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ferdinando.munhoz\Dropbox\Trabalhos\Value\Consultoria\Iguaçu\CPC 06 - Arrendamentos\"/>
    </mc:Choice>
  </mc:AlternateContent>
  <xr:revisionPtr revIDLastSave="0" documentId="13_ncr:1_{6DB4C3F6-78F5-451C-A2AF-D98614C17D84}" xr6:coauthVersionLast="44" xr6:coauthVersionMax="44" xr10:uidLastSave="{00000000-0000-0000-0000-000000000000}"/>
  <bookViews>
    <workbookView xWindow="-120" yWindow="-120" windowWidth="20730" windowHeight="11160" tabRatio="730" activeTab="4" xr2:uid="{00000000-000D-0000-FFFF-FFFF00000000}"/>
  </bookViews>
  <sheets>
    <sheet name="CPC 06 R2 - Árvore de Decisão" sheetId="4" r:id="rId1"/>
    <sheet name="Resumo Contratos" sheetId="1" r:id="rId2"/>
    <sheet name="Premissas" sheetId="7" r:id="rId3"/>
    <sheet name="Contabilização" sheetId="6" r:id="rId4"/>
    <sheet name="Lançamentos Contábeis" sheetId="8" r:id="rId5"/>
  </sheets>
  <definedNames>
    <definedName name="_xlnm._FilterDatabase" localSheetId="1" hidden="1">'Resumo Contratos'!$B$5:$M$16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" l="1"/>
  <c r="U12" i="1" s="1"/>
  <c r="S11" i="1"/>
  <c r="U11" i="1" s="1"/>
  <c r="S10" i="1"/>
  <c r="U10" i="1" s="1"/>
  <c r="S9" i="1"/>
  <c r="U9" i="1" s="1"/>
  <c r="S8" i="1"/>
  <c r="U8" i="1" s="1"/>
  <c r="S7" i="1"/>
  <c r="U7" i="1" s="1"/>
  <c r="S6" i="1"/>
  <c r="U6" i="1" s="1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BJ128" i="6"/>
  <c r="BK127" i="6"/>
  <c r="BK126" i="6"/>
  <c r="BK125" i="6"/>
  <c r="BK123" i="6"/>
  <c r="BK122" i="6"/>
  <c r="BK121" i="6"/>
  <c r="BK120" i="6"/>
  <c r="BK119" i="6"/>
  <c r="BK118" i="6"/>
  <c r="C11" i="6"/>
  <c r="C10" i="6"/>
  <c r="C9" i="6"/>
  <c r="C8" i="6"/>
  <c r="C7" i="6"/>
  <c r="C6" i="6"/>
  <c r="C5" i="6"/>
  <c r="N19" i="7"/>
  <c r="D5" i="6" l="1"/>
  <c r="D6" i="6"/>
  <c r="C15" i="6"/>
  <c r="D13" i="8" s="1"/>
  <c r="D10" i="6"/>
  <c r="D7" i="6"/>
  <c r="D11" i="6"/>
  <c r="D9" i="6"/>
  <c r="D8" i="6"/>
  <c r="N20" i="7"/>
  <c r="R9" i="1"/>
  <c r="R6" i="1"/>
  <c r="R11" i="1"/>
  <c r="R8" i="1"/>
  <c r="R10" i="1"/>
  <c r="R7" i="1"/>
  <c r="R12" i="1"/>
  <c r="D12" i="8" l="1"/>
  <c r="D14" i="8"/>
  <c r="E5" i="6"/>
  <c r="E22" i="6" s="1"/>
  <c r="E6" i="6"/>
  <c r="C27" i="6"/>
  <c r="D27" i="6"/>
  <c r="D28" i="6"/>
  <c r="BG31" i="6"/>
  <c r="BC31" i="6"/>
  <c r="AY31" i="6"/>
  <c r="AU31" i="6"/>
  <c r="AQ31" i="6"/>
  <c r="AM31" i="6"/>
  <c r="AI31" i="6"/>
  <c r="AE31" i="6"/>
  <c r="AA31" i="6"/>
  <c r="W31" i="6"/>
  <c r="S31" i="6"/>
  <c r="O31" i="6"/>
  <c r="K31" i="6"/>
  <c r="G31" i="6"/>
  <c r="C31" i="6"/>
  <c r="BH30" i="6"/>
  <c r="BD30" i="6"/>
  <c r="AZ30" i="6"/>
  <c r="AV30" i="6"/>
  <c r="AR30" i="6"/>
  <c r="AN30" i="6"/>
  <c r="AJ30" i="6"/>
  <c r="AF30" i="6"/>
  <c r="AB30" i="6"/>
  <c r="X30" i="6"/>
  <c r="T30" i="6"/>
  <c r="P30" i="6"/>
  <c r="L30" i="6"/>
  <c r="H30" i="6"/>
  <c r="D30" i="6"/>
  <c r="BI29" i="6"/>
  <c r="BE29" i="6"/>
  <c r="BA29" i="6"/>
  <c r="AW29" i="6"/>
  <c r="AS29" i="6"/>
  <c r="AO29" i="6"/>
  <c r="AK29" i="6"/>
  <c r="AG29" i="6"/>
  <c r="AC29" i="6"/>
  <c r="Y29" i="6"/>
  <c r="U29" i="6"/>
  <c r="Q29" i="6"/>
  <c r="M29" i="6"/>
  <c r="I29" i="6"/>
  <c r="E29" i="6"/>
  <c r="BJ31" i="6"/>
  <c r="BF31" i="6"/>
  <c r="BB31" i="6"/>
  <c r="AX31" i="6"/>
  <c r="AT31" i="6"/>
  <c r="AP31" i="6"/>
  <c r="AL31" i="6"/>
  <c r="AH31" i="6"/>
  <c r="AD31" i="6"/>
  <c r="Z31" i="6"/>
  <c r="V31" i="6"/>
  <c r="R31" i="6"/>
  <c r="N31" i="6"/>
  <c r="J31" i="6"/>
  <c r="F31" i="6"/>
  <c r="BG30" i="6"/>
  <c r="BC30" i="6"/>
  <c r="AY30" i="6"/>
  <c r="AU30" i="6"/>
  <c r="AQ30" i="6"/>
  <c r="AM30" i="6"/>
  <c r="AI30" i="6"/>
  <c r="AE30" i="6"/>
  <c r="AA30" i="6"/>
  <c r="W30" i="6"/>
  <c r="S30" i="6"/>
  <c r="O30" i="6"/>
  <c r="K30" i="6"/>
  <c r="G30" i="6"/>
  <c r="C30" i="6"/>
  <c r="BH29" i="6"/>
  <c r="BD29" i="6"/>
  <c r="AZ29" i="6"/>
  <c r="AV29" i="6"/>
  <c r="AR29" i="6"/>
  <c r="AN29" i="6"/>
  <c r="AJ29" i="6"/>
  <c r="AF29" i="6"/>
  <c r="AB29" i="6"/>
  <c r="X29" i="6"/>
  <c r="T29" i="6"/>
  <c r="P29" i="6"/>
  <c r="L29" i="6"/>
  <c r="H29" i="6"/>
  <c r="D29" i="6"/>
  <c r="V30" i="6"/>
  <c r="R30" i="6"/>
  <c r="N30" i="6"/>
  <c r="J30" i="6"/>
  <c r="F30" i="6"/>
  <c r="BG29" i="6"/>
  <c r="BC29" i="6"/>
  <c r="AY29" i="6"/>
  <c r="BI31" i="6"/>
  <c r="BE31" i="6"/>
  <c r="BA31" i="6"/>
  <c r="AW31" i="6"/>
  <c r="AS31" i="6"/>
  <c r="AO31" i="6"/>
  <c r="AK31" i="6"/>
  <c r="AG31" i="6"/>
  <c r="AC31" i="6"/>
  <c r="Y31" i="6"/>
  <c r="U31" i="6"/>
  <c r="Q31" i="6"/>
  <c r="M31" i="6"/>
  <c r="I31" i="6"/>
  <c r="E31" i="6"/>
  <c r="BJ30" i="6"/>
  <c r="BF30" i="6"/>
  <c r="BB30" i="6"/>
  <c r="AX30" i="6"/>
  <c r="AT30" i="6"/>
  <c r="AP30" i="6"/>
  <c r="AL30" i="6"/>
  <c r="AH30" i="6"/>
  <c r="AD30" i="6"/>
  <c r="Z30" i="6"/>
  <c r="BH31" i="6"/>
  <c r="AR31" i="6"/>
  <c r="AB31" i="6"/>
  <c r="L31" i="6"/>
  <c r="BE30" i="6"/>
  <c r="AO30" i="6"/>
  <c r="Y30" i="6"/>
  <c r="I30" i="6"/>
  <c r="BB29" i="6"/>
  <c r="AQ29" i="6"/>
  <c r="AI29" i="6"/>
  <c r="AA29" i="6"/>
  <c r="S29" i="6"/>
  <c r="K29" i="6"/>
  <c r="C29" i="6"/>
  <c r="BD31" i="6"/>
  <c r="AN31" i="6"/>
  <c r="X31" i="6"/>
  <c r="H31" i="6"/>
  <c r="BA30" i="6"/>
  <c r="AK30" i="6"/>
  <c r="U30" i="6"/>
  <c r="E30" i="6"/>
  <c r="AX29" i="6"/>
  <c r="AP29" i="6"/>
  <c r="AH29" i="6"/>
  <c r="Z29" i="6"/>
  <c r="R29" i="6"/>
  <c r="J29" i="6"/>
  <c r="AZ31" i="6"/>
  <c r="AJ31" i="6"/>
  <c r="T31" i="6"/>
  <c r="D31" i="6"/>
  <c r="AW30" i="6"/>
  <c r="AG30" i="6"/>
  <c r="Q30" i="6"/>
  <c r="BJ29" i="6"/>
  <c r="AU29" i="6"/>
  <c r="AM29" i="6"/>
  <c r="AE29" i="6"/>
  <c r="W29" i="6"/>
  <c r="O29" i="6"/>
  <c r="G29" i="6"/>
  <c r="AV31" i="6"/>
  <c r="AF31" i="6"/>
  <c r="P31" i="6"/>
  <c r="BI30" i="6"/>
  <c r="AS30" i="6"/>
  <c r="AC30" i="6"/>
  <c r="M30" i="6"/>
  <c r="BF29" i="6"/>
  <c r="AT29" i="6"/>
  <c r="AL29" i="6"/>
  <c r="AD29" i="6"/>
  <c r="V29" i="6"/>
  <c r="N29" i="6"/>
  <c r="F29" i="6"/>
  <c r="C28" i="6"/>
  <c r="D15" i="6"/>
  <c r="E13" i="8" s="1"/>
  <c r="C26" i="6"/>
  <c r="C24" i="6"/>
  <c r="C25" i="6"/>
  <c r="C22" i="6"/>
  <c r="E8" i="6"/>
  <c r="D25" i="6"/>
  <c r="E9" i="6"/>
  <c r="D26" i="6"/>
  <c r="E7" i="6"/>
  <c r="D24" i="6"/>
  <c r="D23" i="6"/>
  <c r="C23" i="6"/>
  <c r="D22" i="6"/>
  <c r="E11" i="6"/>
  <c r="E10" i="6"/>
  <c r="E12" i="8" l="1"/>
  <c r="E14" i="8"/>
  <c r="BJ78" i="6"/>
  <c r="BK78" i="6" s="1"/>
  <c r="BF78" i="6"/>
  <c r="BB78" i="6"/>
  <c r="AX78" i="6"/>
  <c r="AT78" i="6"/>
  <c r="AP78" i="6"/>
  <c r="AL78" i="6"/>
  <c r="AH78" i="6"/>
  <c r="AD78" i="6"/>
  <c r="Z78" i="6"/>
  <c r="V78" i="6"/>
  <c r="R78" i="6"/>
  <c r="N78" i="6"/>
  <c r="J78" i="6"/>
  <c r="F78" i="6"/>
  <c r="BI78" i="6"/>
  <c r="BE78" i="6"/>
  <c r="BA78" i="6"/>
  <c r="AW78" i="6"/>
  <c r="AS78" i="6"/>
  <c r="AO78" i="6"/>
  <c r="AK78" i="6"/>
  <c r="AG78" i="6"/>
  <c r="AC78" i="6"/>
  <c r="Y78" i="6"/>
  <c r="U78" i="6"/>
  <c r="Q78" i="6"/>
  <c r="M78" i="6"/>
  <c r="I78" i="6"/>
  <c r="E78" i="6"/>
  <c r="BD78" i="6"/>
  <c r="AV78" i="6"/>
  <c r="AN78" i="6"/>
  <c r="AF78" i="6"/>
  <c r="X78" i="6"/>
  <c r="P78" i="6"/>
  <c r="H78" i="6"/>
  <c r="BC78" i="6"/>
  <c r="AU78" i="6"/>
  <c r="AM78" i="6"/>
  <c r="AE78" i="6"/>
  <c r="W78" i="6"/>
  <c r="O78" i="6"/>
  <c r="G78" i="6"/>
  <c r="AZ78" i="6"/>
  <c r="AJ78" i="6"/>
  <c r="T78" i="6"/>
  <c r="D78" i="6"/>
  <c r="BH78" i="6"/>
  <c r="AR78" i="6"/>
  <c r="AB78" i="6"/>
  <c r="L78" i="6"/>
  <c r="AY78" i="6"/>
  <c r="AI78" i="6"/>
  <c r="S78" i="6"/>
  <c r="C78" i="6"/>
  <c r="AQ78" i="6"/>
  <c r="AA78" i="6"/>
  <c r="BG78" i="6"/>
  <c r="K78" i="6"/>
  <c r="BJ79" i="6"/>
  <c r="BF79" i="6"/>
  <c r="BB79" i="6"/>
  <c r="AX79" i="6"/>
  <c r="AT79" i="6"/>
  <c r="AP79" i="6"/>
  <c r="AL79" i="6"/>
  <c r="AH79" i="6"/>
  <c r="AD79" i="6"/>
  <c r="Z79" i="6"/>
  <c r="V79" i="6"/>
  <c r="R79" i="6"/>
  <c r="N79" i="6"/>
  <c r="J79" i="6"/>
  <c r="F79" i="6"/>
  <c r="BI79" i="6"/>
  <c r="BE79" i="6"/>
  <c r="BA79" i="6"/>
  <c r="AW79" i="6"/>
  <c r="AS79" i="6"/>
  <c r="AO79" i="6"/>
  <c r="AK79" i="6"/>
  <c r="AG79" i="6"/>
  <c r="AC79" i="6"/>
  <c r="Y79" i="6"/>
  <c r="U79" i="6"/>
  <c r="Q79" i="6"/>
  <c r="M79" i="6"/>
  <c r="I79" i="6"/>
  <c r="E79" i="6"/>
  <c r="BH79" i="6"/>
  <c r="AZ79" i="6"/>
  <c r="AR79" i="6"/>
  <c r="AJ79" i="6"/>
  <c r="AB79" i="6"/>
  <c r="T79" i="6"/>
  <c r="L79" i="6"/>
  <c r="D79" i="6"/>
  <c r="BG79" i="6"/>
  <c r="AY79" i="6"/>
  <c r="AQ79" i="6"/>
  <c r="AI79" i="6"/>
  <c r="AA79" i="6"/>
  <c r="S79" i="6"/>
  <c r="K79" i="6"/>
  <c r="C79" i="6"/>
  <c r="BD79" i="6"/>
  <c r="AN79" i="6"/>
  <c r="X79" i="6"/>
  <c r="H79" i="6"/>
  <c r="AV79" i="6"/>
  <c r="AF79" i="6"/>
  <c r="P79" i="6"/>
  <c r="BC79" i="6"/>
  <c r="AM79" i="6"/>
  <c r="W79" i="6"/>
  <c r="G79" i="6"/>
  <c r="AU79" i="6"/>
  <c r="AE79" i="6"/>
  <c r="O79" i="6"/>
  <c r="BJ77" i="6"/>
  <c r="BK77" i="6" s="1"/>
  <c r="BF77" i="6"/>
  <c r="BB77" i="6"/>
  <c r="AX77" i="6"/>
  <c r="AT77" i="6"/>
  <c r="AP77" i="6"/>
  <c r="AL77" i="6"/>
  <c r="AH77" i="6"/>
  <c r="AD77" i="6"/>
  <c r="Z77" i="6"/>
  <c r="V77" i="6"/>
  <c r="R77" i="6"/>
  <c r="N77" i="6"/>
  <c r="J77" i="6"/>
  <c r="F77" i="6"/>
  <c r="BI77" i="6"/>
  <c r="BE77" i="6"/>
  <c r="BA77" i="6"/>
  <c r="AW77" i="6"/>
  <c r="AS77" i="6"/>
  <c r="AO77" i="6"/>
  <c r="AK77" i="6"/>
  <c r="AG77" i="6"/>
  <c r="AC77" i="6"/>
  <c r="Y77" i="6"/>
  <c r="U77" i="6"/>
  <c r="Q77" i="6"/>
  <c r="M77" i="6"/>
  <c r="I77" i="6"/>
  <c r="E77" i="6"/>
  <c r="BH77" i="6"/>
  <c r="AZ77" i="6"/>
  <c r="AR77" i="6"/>
  <c r="AJ77" i="6"/>
  <c r="AB77" i="6"/>
  <c r="T77" i="6"/>
  <c r="L77" i="6"/>
  <c r="D77" i="6"/>
  <c r="BG77" i="6"/>
  <c r="AY77" i="6"/>
  <c r="AQ77" i="6"/>
  <c r="AI77" i="6"/>
  <c r="AA77" i="6"/>
  <c r="S77" i="6"/>
  <c r="K77" i="6"/>
  <c r="C77" i="6"/>
  <c r="AV77" i="6"/>
  <c r="AF77" i="6"/>
  <c r="P77" i="6"/>
  <c r="BD77" i="6"/>
  <c r="AN77" i="6"/>
  <c r="X77" i="6"/>
  <c r="H77" i="6"/>
  <c r="AU77" i="6"/>
  <c r="AE77" i="6"/>
  <c r="O77" i="6"/>
  <c r="AM77" i="6"/>
  <c r="W77" i="6"/>
  <c r="G77" i="6"/>
  <c r="BC77" i="6"/>
  <c r="E27" i="6"/>
  <c r="F5" i="6"/>
  <c r="E28" i="6"/>
  <c r="F6" i="6"/>
  <c r="E23" i="6"/>
  <c r="C62" i="6"/>
  <c r="C63" i="6"/>
  <c r="C61" i="6"/>
  <c r="BK30" i="6"/>
  <c r="BK31" i="6"/>
  <c r="BK29" i="6"/>
  <c r="D32" i="6"/>
  <c r="C32" i="6"/>
  <c r="E15" i="6"/>
  <c r="F13" i="8" s="1"/>
  <c r="F10" i="6"/>
  <c r="F8" i="6"/>
  <c r="E25" i="6"/>
  <c r="F11" i="6"/>
  <c r="F7" i="6"/>
  <c r="E24" i="6"/>
  <c r="F9" i="6"/>
  <c r="E26" i="6"/>
  <c r="F12" i="8" l="1"/>
  <c r="F14" i="8"/>
  <c r="C157" i="6"/>
  <c r="C159" i="6"/>
  <c r="C158" i="6"/>
  <c r="G5" i="6"/>
  <c r="F22" i="6"/>
  <c r="F27" i="6"/>
  <c r="F28" i="6"/>
  <c r="G6" i="6"/>
  <c r="F23" i="6"/>
  <c r="BM31" i="6"/>
  <c r="BJ47" i="6"/>
  <c r="BF47" i="6"/>
  <c r="BB47" i="6"/>
  <c r="AX47" i="6"/>
  <c r="AT47" i="6"/>
  <c r="AP47" i="6"/>
  <c r="AL47" i="6"/>
  <c r="AH47" i="6"/>
  <c r="AD47" i="6"/>
  <c r="Z47" i="6"/>
  <c r="V47" i="6"/>
  <c r="R47" i="6"/>
  <c r="N47" i="6"/>
  <c r="J47" i="6"/>
  <c r="F47" i="6"/>
  <c r="BI47" i="6"/>
  <c r="BE47" i="6"/>
  <c r="BA47" i="6"/>
  <c r="AW47" i="6"/>
  <c r="AS47" i="6"/>
  <c r="AO47" i="6"/>
  <c r="AK47" i="6"/>
  <c r="AG47" i="6"/>
  <c r="AC47" i="6"/>
  <c r="Y47" i="6"/>
  <c r="U47" i="6"/>
  <c r="Q47" i="6"/>
  <c r="M47" i="6"/>
  <c r="I47" i="6"/>
  <c r="E47" i="6"/>
  <c r="BH47" i="6"/>
  <c r="BD47" i="6"/>
  <c r="AZ47" i="6"/>
  <c r="AV47" i="6"/>
  <c r="AR47" i="6"/>
  <c r="AN47" i="6"/>
  <c r="AJ47" i="6"/>
  <c r="AF47" i="6"/>
  <c r="AB47" i="6"/>
  <c r="X47" i="6"/>
  <c r="T47" i="6"/>
  <c r="P47" i="6"/>
  <c r="L47" i="6"/>
  <c r="H47" i="6"/>
  <c r="D47" i="6"/>
  <c r="BG47" i="6"/>
  <c r="AQ47" i="6"/>
  <c r="AA47" i="6"/>
  <c r="K47" i="6"/>
  <c r="BC47" i="6"/>
  <c r="AM47" i="6"/>
  <c r="W47" i="6"/>
  <c r="G47" i="6"/>
  <c r="AY47" i="6"/>
  <c r="S47" i="6"/>
  <c r="AU47" i="6"/>
  <c r="C47" i="6"/>
  <c r="AE47" i="6"/>
  <c r="O47" i="6"/>
  <c r="AI47" i="6"/>
  <c r="BM30" i="6"/>
  <c r="BJ46" i="6"/>
  <c r="BF46" i="6"/>
  <c r="BB46" i="6"/>
  <c r="AX46" i="6"/>
  <c r="AT46" i="6"/>
  <c r="AP46" i="6"/>
  <c r="AL46" i="6"/>
  <c r="AH46" i="6"/>
  <c r="AD46" i="6"/>
  <c r="Z46" i="6"/>
  <c r="V46" i="6"/>
  <c r="R46" i="6"/>
  <c r="N46" i="6"/>
  <c r="J46" i="6"/>
  <c r="F46" i="6"/>
  <c r="BI46" i="6"/>
  <c r="BE46" i="6"/>
  <c r="BA46" i="6"/>
  <c r="AW46" i="6"/>
  <c r="AS46" i="6"/>
  <c r="AO46" i="6"/>
  <c r="AK46" i="6"/>
  <c r="AG46" i="6"/>
  <c r="AC46" i="6"/>
  <c r="Y46" i="6"/>
  <c r="U46" i="6"/>
  <c r="Q46" i="6"/>
  <c r="M46" i="6"/>
  <c r="I46" i="6"/>
  <c r="E46" i="6"/>
  <c r="BH46" i="6"/>
  <c r="BD46" i="6"/>
  <c r="AZ46" i="6"/>
  <c r="AV46" i="6"/>
  <c r="AR46" i="6"/>
  <c r="AN46" i="6"/>
  <c r="AJ46" i="6"/>
  <c r="AF46" i="6"/>
  <c r="AB46" i="6"/>
  <c r="X46" i="6"/>
  <c r="T46" i="6"/>
  <c r="P46" i="6"/>
  <c r="L46" i="6"/>
  <c r="H46" i="6"/>
  <c r="D46" i="6"/>
  <c r="BC46" i="6"/>
  <c r="AM46" i="6"/>
  <c r="W46" i="6"/>
  <c r="G46" i="6"/>
  <c r="AY46" i="6"/>
  <c r="AI46" i="6"/>
  <c r="S46" i="6"/>
  <c r="C46" i="6"/>
  <c r="AU46" i="6"/>
  <c r="O46" i="6"/>
  <c r="AA46" i="6"/>
  <c r="AQ46" i="6"/>
  <c r="AE46" i="6"/>
  <c r="BG46" i="6"/>
  <c r="K46" i="6"/>
  <c r="BM29" i="6"/>
  <c r="BJ45" i="6"/>
  <c r="BF45" i="6"/>
  <c r="BI45" i="6"/>
  <c r="BE45" i="6"/>
  <c r="BA45" i="6"/>
  <c r="AW45" i="6"/>
  <c r="AS45" i="6"/>
  <c r="AO45" i="6"/>
  <c r="AK45" i="6"/>
  <c r="AG45" i="6"/>
  <c r="AC45" i="6"/>
  <c r="Y45" i="6"/>
  <c r="U45" i="6"/>
  <c r="Q45" i="6"/>
  <c r="M45" i="6"/>
  <c r="I45" i="6"/>
  <c r="E45" i="6"/>
  <c r="BH45" i="6"/>
  <c r="BD45" i="6"/>
  <c r="AZ45" i="6"/>
  <c r="AV45" i="6"/>
  <c r="AR45" i="6"/>
  <c r="AN45" i="6"/>
  <c r="AJ45" i="6"/>
  <c r="AF45" i="6"/>
  <c r="AB45" i="6"/>
  <c r="X45" i="6"/>
  <c r="T45" i="6"/>
  <c r="P45" i="6"/>
  <c r="L45" i="6"/>
  <c r="H45" i="6"/>
  <c r="D45" i="6"/>
  <c r="BB45" i="6"/>
  <c r="AT45" i="6"/>
  <c r="AL45" i="6"/>
  <c r="AD45" i="6"/>
  <c r="V45" i="6"/>
  <c r="N45" i="6"/>
  <c r="F45" i="6"/>
  <c r="AY45" i="6"/>
  <c r="AQ45" i="6"/>
  <c r="AI45" i="6"/>
  <c r="AA45" i="6"/>
  <c r="S45" i="6"/>
  <c r="K45" i="6"/>
  <c r="C45" i="6"/>
  <c r="AX45" i="6"/>
  <c r="AH45" i="6"/>
  <c r="R45" i="6"/>
  <c r="AU45" i="6"/>
  <c r="Z45" i="6"/>
  <c r="G45" i="6"/>
  <c r="BG45" i="6"/>
  <c r="AM45" i="6"/>
  <c r="O45" i="6"/>
  <c r="BC45" i="6"/>
  <c r="AE45" i="6"/>
  <c r="J45" i="6"/>
  <c r="AP45" i="6"/>
  <c r="W45" i="6"/>
  <c r="E32" i="6"/>
  <c r="F15" i="6"/>
  <c r="G13" i="8" s="1"/>
  <c r="G11" i="6"/>
  <c r="G7" i="6"/>
  <c r="F24" i="6"/>
  <c r="G8" i="6"/>
  <c r="F25" i="6"/>
  <c r="G9" i="6"/>
  <c r="F26" i="6"/>
  <c r="G10" i="6"/>
  <c r="G12" i="8" l="1"/>
  <c r="G14" i="8"/>
  <c r="D62" i="6"/>
  <c r="D158" i="6" s="1"/>
  <c r="D63" i="6"/>
  <c r="D61" i="6"/>
  <c r="BI95" i="6"/>
  <c r="BI111" i="6" s="1"/>
  <c r="BE95" i="6"/>
  <c r="BE111" i="6" s="1"/>
  <c r="BA95" i="6"/>
  <c r="BA111" i="6" s="1"/>
  <c r="AW95" i="6"/>
  <c r="AW111" i="6" s="1"/>
  <c r="AS95" i="6"/>
  <c r="AS111" i="6" s="1"/>
  <c r="AO95" i="6"/>
  <c r="AO111" i="6" s="1"/>
  <c r="AK95" i="6"/>
  <c r="AK111" i="6" s="1"/>
  <c r="AG95" i="6"/>
  <c r="AG111" i="6" s="1"/>
  <c r="AC95" i="6"/>
  <c r="AC111" i="6" s="1"/>
  <c r="Y95" i="6"/>
  <c r="Y111" i="6" s="1"/>
  <c r="U95" i="6"/>
  <c r="U111" i="6" s="1"/>
  <c r="Q95" i="6"/>
  <c r="Q111" i="6" s="1"/>
  <c r="M95" i="6"/>
  <c r="M111" i="6" s="1"/>
  <c r="I95" i="6"/>
  <c r="I111" i="6" s="1"/>
  <c r="E95" i="6"/>
  <c r="E111" i="6" s="1"/>
  <c r="BJ95" i="6"/>
  <c r="BD95" i="6"/>
  <c r="BD111" i="6" s="1"/>
  <c r="AY95" i="6"/>
  <c r="AY111" i="6" s="1"/>
  <c r="AT95" i="6"/>
  <c r="AT111" i="6" s="1"/>
  <c r="AN95" i="6"/>
  <c r="AN111" i="6" s="1"/>
  <c r="AI95" i="6"/>
  <c r="AI111" i="6" s="1"/>
  <c r="AD95" i="6"/>
  <c r="AD111" i="6" s="1"/>
  <c r="X95" i="6"/>
  <c r="X111" i="6" s="1"/>
  <c r="S95" i="6"/>
  <c r="S111" i="6" s="1"/>
  <c r="N95" i="6"/>
  <c r="N111" i="6" s="1"/>
  <c r="H95" i="6"/>
  <c r="H111" i="6" s="1"/>
  <c r="C95" i="6"/>
  <c r="BH95" i="6"/>
  <c r="BH111" i="6" s="1"/>
  <c r="BC95" i="6"/>
  <c r="BC111" i="6" s="1"/>
  <c r="AX95" i="6"/>
  <c r="AX111" i="6" s="1"/>
  <c r="AR95" i="6"/>
  <c r="AR111" i="6" s="1"/>
  <c r="AM95" i="6"/>
  <c r="AM111" i="6" s="1"/>
  <c r="AH95" i="6"/>
  <c r="AH111" i="6" s="1"/>
  <c r="AB95" i="6"/>
  <c r="AB111" i="6" s="1"/>
  <c r="W95" i="6"/>
  <c r="W111" i="6" s="1"/>
  <c r="R95" i="6"/>
  <c r="R111" i="6" s="1"/>
  <c r="L95" i="6"/>
  <c r="L111" i="6" s="1"/>
  <c r="G95" i="6"/>
  <c r="G111" i="6" s="1"/>
  <c r="BG95" i="6"/>
  <c r="BG111" i="6" s="1"/>
  <c r="AV95" i="6"/>
  <c r="AV111" i="6" s="1"/>
  <c r="AL95" i="6"/>
  <c r="AL111" i="6" s="1"/>
  <c r="AA95" i="6"/>
  <c r="AA111" i="6" s="1"/>
  <c r="P95" i="6"/>
  <c r="P111" i="6" s="1"/>
  <c r="F95" i="6"/>
  <c r="F111" i="6" s="1"/>
  <c r="AQ95" i="6"/>
  <c r="AQ111" i="6" s="1"/>
  <c r="BF95" i="6"/>
  <c r="BF111" i="6" s="1"/>
  <c r="AU95" i="6"/>
  <c r="AU111" i="6" s="1"/>
  <c r="AJ95" i="6"/>
  <c r="AJ111" i="6" s="1"/>
  <c r="Z95" i="6"/>
  <c r="Z111" i="6" s="1"/>
  <c r="O95" i="6"/>
  <c r="O111" i="6" s="1"/>
  <c r="D95" i="6"/>
  <c r="D111" i="6" s="1"/>
  <c r="BB95" i="6"/>
  <c r="BB111" i="6" s="1"/>
  <c r="AF95" i="6"/>
  <c r="AF111" i="6" s="1"/>
  <c r="V95" i="6"/>
  <c r="V111" i="6" s="1"/>
  <c r="K95" i="6"/>
  <c r="K111" i="6" s="1"/>
  <c r="AZ95" i="6"/>
  <c r="AZ111" i="6" s="1"/>
  <c r="J95" i="6"/>
  <c r="J111" i="6" s="1"/>
  <c r="T95" i="6"/>
  <c r="T111" i="6" s="1"/>
  <c r="AP95" i="6"/>
  <c r="AP111" i="6" s="1"/>
  <c r="AE95" i="6"/>
  <c r="AE111" i="6" s="1"/>
  <c r="BI93" i="6"/>
  <c r="BI109" i="6" s="1"/>
  <c r="BE93" i="6"/>
  <c r="BE109" i="6" s="1"/>
  <c r="BA93" i="6"/>
  <c r="BA109" i="6" s="1"/>
  <c r="AW93" i="6"/>
  <c r="AW109" i="6" s="1"/>
  <c r="AS93" i="6"/>
  <c r="AS109" i="6" s="1"/>
  <c r="AO93" i="6"/>
  <c r="AO109" i="6" s="1"/>
  <c r="AK93" i="6"/>
  <c r="AK109" i="6" s="1"/>
  <c r="AG93" i="6"/>
  <c r="AG109" i="6" s="1"/>
  <c r="AC93" i="6"/>
  <c r="AC109" i="6" s="1"/>
  <c r="Y93" i="6"/>
  <c r="Y109" i="6" s="1"/>
  <c r="U93" i="6"/>
  <c r="U109" i="6" s="1"/>
  <c r="Q93" i="6"/>
  <c r="Q109" i="6" s="1"/>
  <c r="M93" i="6"/>
  <c r="M109" i="6" s="1"/>
  <c r="I93" i="6"/>
  <c r="I109" i="6" s="1"/>
  <c r="E93" i="6"/>
  <c r="E109" i="6" s="1"/>
  <c r="BG93" i="6"/>
  <c r="BG109" i="6" s="1"/>
  <c r="BB93" i="6"/>
  <c r="BB109" i="6" s="1"/>
  <c r="AV93" i="6"/>
  <c r="AV109" i="6" s="1"/>
  <c r="AQ93" i="6"/>
  <c r="AQ109" i="6" s="1"/>
  <c r="AL93" i="6"/>
  <c r="AL109" i="6" s="1"/>
  <c r="AF93" i="6"/>
  <c r="AF109" i="6" s="1"/>
  <c r="AA93" i="6"/>
  <c r="AA109" i="6" s="1"/>
  <c r="V93" i="6"/>
  <c r="V109" i="6" s="1"/>
  <c r="P93" i="6"/>
  <c r="P109" i="6" s="1"/>
  <c r="K93" i="6"/>
  <c r="K109" i="6" s="1"/>
  <c r="F93" i="6"/>
  <c r="F109" i="6" s="1"/>
  <c r="BF93" i="6"/>
  <c r="BF109" i="6" s="1"/>
  <c r="AZ93" i="6"/>
  <c r="AZ109" i="6" s="1"/>
  <c r="AU93" i="6"/>
  <c r="AU109" i="6" s="1"/>
  <c r="AP93" i="6"/>
  <c r="AP109" i="6" s="1"/>
  <c r="AJ93" i="6"/>
  <c r="AJ109" i="6" s="1"/>
  <c r="AE93" i="6"/>
  <c r="AE109" i="6" s="1"/>
  <c r="Z93" i="6"/>
  <c r="Z109" i="6" s="1"/>
  <c r="T93" i="6"/>
  <c r="T109" i="6" s="1"/>
  <c r="O93" i="6"/>
  <c r="O109" i="6" s="1"/>
  <c r="J93" i="6"/>
  <c r="J109" i="6" s="1"/>
  <c r="D93" i="6"/>
  <c r="D109" i="6" s="1"/>
  <c r="BJ93" i="6"/>
  <c r="AY93" i="6"/>
  <c r="AY109" i="6" s="1"/>
  <c r="AN93" i="6"/>
  <c r="AN109" i="6" s="1"/>
  <c r="AD93" i="6"/>
  <c r="AD109" i="6" s="1"/>
  <c r="S93" i="6"/>
  <c r="S109" i="6" s="1"/>
  <c r="H93" i="6"/>
  <c r="H109" i="6" s="1"/>
  <c r="AT93" i="6"/>
  <c r="AT109" i="6" s="1"/>
  <c r="X93" i="6"/>
  <c r="X109" i="6" s="1"/>
  <c r="C93" i="6"/>
  <c r="BH93" i="6"/>
  <c r="BH109" i="6" s="1"/>
  <c r="AX93" i="6"/>
  <c r="AX109" i="6" s="1"/>
  <c r="AM93" i="6"/>
  <c r="AM109" i="6" s="1"/>
  <c r="AB93" i="6"/>
  <c r="AB109" i="6" s="1"/>
  <c r="R93" i="6"/>
  <c r="R109" i="6" s="1"/>
  <c r="G93" i="6"/>
  <c r="G109" i="6" s="1"/>
  <c r="BD93" i="6"/>
  <c r="BD109" i="6" s="1"/>
  <c r="AI93" i="6"/>
  <c r="AI109" i="6" s="1"/>
  <c r="N93" i="6"/>
  <c r="N109" i="6" s="1"/>
  <c r="AR93" i="6"/>
  <c r="AR109" i="6" s="1"/>
  <c r="BC93" i="6"/>
  <c r="BC109" i="6" s="1"/>
  <c r="AH93" i="6"/>
  <c r="AH109" i="6" s="1"/>
  <c r="W93" i="6"/>
  <c r="W109" i="6" s="1"/>
  <c r="L93" i="6"/>
  <c r="L109" i="6" s="1"/>
  <c r="BI94" i="6"/>
  <c r="BI110" i="6" s="1"/>
  <c r="BE94" i="6"/>
  <c r="BE110" i="6" s="1"/>
  <c r="BA94" i="6"/>
  <c r="BA110" i="6" s="1"/>
  <c r="AW94" i="6"/>
  <c r="AW110" i="6" s="1"/>
  <c r="AS94" i="6"/>
  <c r="AS110" i="6" s="1"/>
  <c r="AO94" i="6"/>
  <c r="AO110" i="6" s="1"/>
  <c r="AK94" i="6"/>
  <c r="AK110" i="6" s="1"/>
  <c r="AG94" i="6"/>
  <c r="AG110" i="6" s="1"/>
  <c r="AC94" i="6"/>
  <c r="AC110" i="6" s="1"/>
  <c r="Y94" i="6"/>
  <c r="Y110" i="6" s="1"/>
  <c r="U94" i="6"/>
  <c r="U110" i="6" s="1"/>
  <c r="Q94" i="6"/>
  <c r="Q110" i="6" s="1"/>
  <c r="M94" i="6"/>
  <c r="M110" i="6" s="1"/>
  <c r="I94" i="6"/>
  <c r="I110" i="6" s="1"/>
  <c r="E94" i="6"/>
  <c r="E110" i="6" s="1"/>
  <c r="BF94" i="6"/>
  <c r="BF110" i="6" s="1"/>
  <c r="AZ94" i="6"/>
  <c r="AZ110" i="6" s="1"/>
  <c r="AU94" i="6"/>
  <c r="AU110" i="6" s="1"/>
  <c r="AP94" i="6"/>
  <c r="AP110" i="6" s="1"/>
  <c r="AJ94" i="6"/>
  <c r="AJ110" i="6" s="1"/>
  <c r="AE94" i="6"/>
  <c r="AE110" i="6" s="1"/>
  <c r="Z94" i="6"/>
  <c r="Z110" i="6" s="1"/>
  <c r="T94" i="6"/>
  <c r="T110" i="6" s="1"/>
  <c r="O94" i="6"/>
  <c r="O110" i="6" s="1"/>
  <c r="J94" i="6"/>
  <c r="J110" i="6" s="1"/>
  <c r="D94" i="6"/>
  <c r="D110" i="6" s="1"/>
  <c r="BJ94" i="6"/>
  <c r="BD94" i="6"/>
  <c r="BD110" i="6" s="1"/>
  <c r="AY94" i="6"/>
  <c r="AY110" i="6" s="1"/>
  <c r="AT94" i="6"/>
  <c r="AT110" i="6" s="1"/>
  <c r="AN94" i="6"/>
  <c r="AN110" i="6" s="1"/>
  <c r="AI94" i="6"/>
  <c r="AI110" i="6" s="1"/>
  <c r="AD94" i="6"/>
  <c r="AD110" i="6" s="1"/>
  <c r="X94" i="6"/>
  <c r="X110" i="6" s="1"/>
  <c r="S94" i="6"/>
  <c r="S110" i="6" s="1"/>
  <c r="N94" i="6"/>
  <c r="N110" i="6" s="1"/>
  <c r="H94" i="6"/>
  <c r="H110" i="6" s="1"/>
  <c r="C94" i="6"/>
  <c r="BC94" i="6"/>
  <c r="BC110" i="6" s="1"/>
  <c r="AR94" i="6"/>
  <c r="AR110" i="6" s="1"/>
  <c r="AH94" i="6"/>
  <c r="AH110" i="6" s="1"/>
  <c r="W94" i="6"/>
  <c r="W110" i="6" s="1"/>
  <c r="L94" i="6"/>
  <c r="L110" i="6" s="1"/>
  <c r="R94" i="6"/>
  <c r="R110" i="6" s="1"/>
  <c r="BB94" i="6"/>
  <c r="BB110" i="6" s="1"/>
  <c r="AQ94" i="6"/>
  <c r="AQ110" i="6" s="1"/>
  <c r="AF94" i="6"/>
  <c r="AF110" i="6" s="1"/>
  <c r="V94" i="6"/>
  <c r="V110" i="6" s="1"/>
  <c r="K94" i="6"/>
  <c r="K110" i="6" s="1"/>
  <c r="BH94" i="6"/>
  <c r="BH110" i="6" s="1"/>
  <c r="AX94" i="6"/>
  <c r="AX110" i="6" s="1"/>
  <c r="AM94" i="6"/>
  <c r="AM110" i="6" s="1"/>
  <c r="AB94" i="6"/>
  <c r="AB110" i="6" s="1"/>
  <c r="G94" i="6"/>
  <c r="G110" i="6" s="1"/>
  <c r="AA94" i="6"/>
  <c r="AA110" i="6" s="1"/>
  <c r="BG94" i="6"/>
  <c r="BG110" i="6" s="1"/>
  <c r="P94" i="6"/>
  <c r="P110" i="6" s="1"/>
  <c r="AV94" i="6"/>
  <c r="AV110" i="6" s="1"/>
  <c r="F94" i="6"/>
  <c r="F110" i="6" s="1"/>
  <c r="AL94" i="6"/>
  <c r="AL110" i="6" s="1"/>
  <c r="H5" i="6"/>
  <c r="G22" i="6"/>
  <c r="G27" i="6"/>
  <c r="G28" i="6"/>
  <c r="H6" i="6"/>
  <c r="G23" i="6"/>
  <c r="BK47" i="6"/>
  <c r="BK46" i="6"/>
  <c r="BK45" i="6"/>
  <c r="F32" i="6"/>
  <c r="G15" i="6"/>
  <c r="H13" i="8" s="1"/>
  <c r="H9" i="6"/>
  <c r="G26" i="6"/>
  <c r="H7" i="6"/>
  <c r="G24" i="6"/>
  <c r="H10" i="6"/>
  <c r="H8" i="6"/>
  <c r="G25" i="6"/>
  <c r="H11" i="6"/>
  <c r="H12" i="8" l="1"/>
  <c r="H14" i="8"/>
  <c r="E62" i="6"/>
  <c r="E158" i="6" s="1"/>
  <c r="D159" i="6"/>
  <c r="D157" i="6"/>
  <c r="C111" i="6"/>
  <c r="C110" i="6"/>
  <c r="C109" i="6"/>
  <c r="BK94" i="6"/>
  <c r="BJ110" i="6"/>
  <c r="BK110" i="6" s="1"/>
  <c r="BK93" i="6"/>
  <c r="BJ109" i="6"/>
  <c r="BK109" i="6" s="1"/>
  <c r="BK95" i="6"/>
  <c r="BJ111" i="6"/>
  <c r="BK111" i="6" s="1"/>
  <c r="I5" i="6"/>
  <c r="H22" i="6"/>
  <c r="H27" i="6"/>
  <c r="H28" i="6"/>
  <c r="I6" i="6"/>
  <c r="H23" i="6"/>
  <c r="G32" i="6"/>
  <c r="H15" i="6"/>
  <c r="I13" i="8" s="1"/>
  <c r="I7" i="6"/>
  <c r="H24" i="6"/>
  <c r="I8" i="6"/>
  <c r="H25" i="6"/>
  <c r="I11" i="6"/>
  <c r="I10" i="6"/>
  <c r="I9" i="6"/>
  <c r="H26" i="6"/>
  <c r="I12" i="8" l="1"/>
  <c r="I14" i="8"/>
  <c r="E63" i="6"/>
  <c r="E159" i="6" s="1"/>
  <c r="F62" i="6"/>
  <c r="F158" i="6" s="1"/>
  <c r="E61" i="6"/>
  <c r="E157" i="6" s="1"/>
  <c r="I28" i="6"/>
  <c r="J5" i="6"/>
  <c r="I22" i="6"/>
  <c r="I27" i="6"/>
  <c r="J6" i="6"/>
  <c r="I23" i="6"/>
  <c r="H32" i="6"/>
  <c r="I15" i="6"/>
  <c r="J13" i="8" s="1"/>
  <c r="J10" i="6"/>
  <c r="J8" i="6"/>
  <c r="I25" i="6"/>
  <c r="J9" i="6"/>
  <c r="I26" i="6"/>
  <c r="J11" i="6"/>
  <c r="J7" i="6"/>
  <c r="I24" i="6"/>
  <c r="J12" i="8" l="1"/>
  <c r="J14" i="8"/>
  <c r="F63" i="6"/>
  <c r="F159" i="6" s="1"/>
  <c r="G62" i="6"/>
  <c r="G158" i="6" s="1"/>
  <c r="F61" i="6"/>
  <c r="F157" i="6" s="1"/>
  <c r="J27" i="6"/>
  <c r="K5" i="6"/>
  <c r="J22" i="6"/>
  <c r="K6" i="6"/>
  <c r="J23" i="6"/>
  <c r="J28" i="6"/>
  <c r="I32" i="6"/>
  <c r="J15" i="6"/>
  <c r="K13" i="8" s="1"/>
  <c r="K11" i="6"/>
  <c r="K8" i="6"/>
  <c r="J25" i="6"/>
  <c r="K7" i="6"/>
  <c r="J24" i="6"/>
  <c r="K9" i="6"/>
  <c r="J26" i="6"/>
  <c r="K10" i="6"/>
  <c r="K12" i="8" l="1"/>
  <c r="K14" i="8"/>
  <c r="H62" i="6"/>
  <c r="H158" i="6" s="1"/>
  <c r="G63" i="6"/>
  <c r="G159" i="6" s="1"/>
  <c r="G61" i="6"/>
  <c r="G157" i="6" s="1"/>
  <c r="K28" i="6"/>
  <c r="K27" i="6"/>
  <c r="L5" i="6"/>
  <c r="K22" i="6"/>
  <c r="L6" i="6"/>
  <c r="K23" i="6"/>
  <c r="J32" i="6"/>
  <c r="K15" i="6"/>
  <c r="L13" i="8" s="1"/>
  <c r="L9" i="6"/>
  <c r="K26" i="6"/>
  <c r="L8" i="6"/>
  <c r="K25" i="6"/>
  <c r="L10" i="6"/>
  <c r="L7" i="6"/>
  <c r="K24" i="6"/>
  <c r="L11" i="6"/>
  <c r="L12" i="8" l="1"/>
  <c r="L14" i="8"/>
  <c r="H61" i="6"/>
  <c r="H63" i="6"/>
  <c r="H159" i="6" s="1"/>
  <c r="I62" i="6"/>
  <c r="I158" i="6" s="1"/>
  <c r="L27" i="6"/>
  <c r="L28" i="6"/>
  <c r="M5" i="6"/>
  <c r="L22" i="6"/>
  <c r="M6" i="6"/>
  <c r="L23" i="6"/>
  <c r="K32" i="6"/>
  <c r="L15" i="6"/>
  <c r="M13" i="8" s="1"/>
  <c r="M7" i="6"/>
  <c r="L24" i="6"/>
  <c r="M8" i="6"/>
  <c r="L25" i="6"/>
  <c r="M11" i="6"/>
  <c r="M10" i="6"/>
  <c r="M9" i="6"/>
  <c r="L26" i="6"/>
  <c r="M12" i="8" l="1"/>
  <c r="M14" i="8"/>
  <c r="I63" i="6"/>
  <c r="I159" i="6" s="1"/>
  <c r="J62" i="6"/>
  <c r="M28" i="6"/>
  <c r="M27" i="6"/>
  <c r="H157" i="6"/>
  <c r="N5" i="6"/>
  <c r="M22" i="6"/>
  <c r="N6" i="6"/>
  <c r="M23" i="6"/>
  <c r="L32" i="6"/>
  <c r="M15" i="6"/>
  <c r="N13" i="8" s="1"/>
  <c r="N10" i="6"/>
  <c r="N8" i="6"/>
  <c r="M25" i="6"/>
  <c r="N9" i="6"/>
  <c r="M26" i="6"/>
  <c r="N11" i="6"/>
  <c r="N7" i="6"/>
  <c r="M24" i="6"/>
  <c r="N12" i="8" l="1"/>
  <c r="N14" i="8"/>
  <c r="J158" i="6"/>
  <c r="I61" i="6"/>
  <c r="J63" i="6"/>
  <c r="J159" i="6" s="1"/>
  <c r="N28" i="6"/>
  <c r="N25" i="6"/>
  <c r="N27" i="6"/>
  <c r="N23" i="6"/>
  <c r="N22" i="6"/>
  <c r="N26" i="6"/>
  <c r="M32" i="6"/>
  <c r="N24" i="6"/>
  <c r="N15" i="6"/>
  <c r="O13" i="8" s="1"/>
  <c r="O12" i="8" l="1"/>
  <c r="O14" i="8"/>
  <c r="K63" i="6"/>
  <c r="K159" i="6" s="1"/>
  <c r="K62" i="6"/>
  <c r="I157" i="6"/>
  <c r="N32" i="6"/>
  <c r="K158" i="6" l="1"/>
  <c r="J61" i="6"/>
  <c r="J157" i="6" s="1"/>
  <c r="L63" i="6"/>
  <c r="L159" i="6" s="1"/>
  <c r="K61" i="6" l="1"/>
  <c r="M63" i="6"/>
  <c r="M159" i="6" s="1"/>
  <c r="L62" i="6"/>
  <c r="N63" i="6" l="1"/>
  <c r="N159" i="6" s="1"/>
  <c r="L158" i="6"/>
  <c r="M62" i="6" l="1"/>
  <c r="O63" i="6"/>
  <c r="C127" i="6" s="1"/>
  <c r="K157" i="6"/>
  <c r="L61" i="6" l="1"/>
  <c r="L157" i="6" s="1"/>
  <c r="O159" i="6"/>
  <c r="M158" i="6"/>
  <c r="N62" i="6" l="1"/>
  <c r="P63" i="6"/>
  <c r="M61" i="6"/>
  <c r="M157" i="6" s="1"/>
  <c r="D127" i="6" l="1"/>
  <c r="P159" i="6"/>
  <c r="N61" i="6"/>
  <c r="N157" i="6" s="1"/>
  <c r="N158" i="6"/>
  <c r="O61" i="6" l="1"/>
  <c r="C125" i="6" s="1"/>
  <c r="Q63" i="6"/>
  <c r="O62" i="6"/>
  <c r="O157" i="6" l="1"/>
  <c r="P61" i="6" s="1"/>
  <c r="E127" i="6"/>
  <c r="Q159" i="6"/>
  <c r="O158" i="6"/>
  <c r="C126" i="6"/>
  <c r="D125" i="6" l="1"/>
  <c r="P157" i="6"/>
  <c r="Q61" i="6" s="1"/>
  <c r="P62" i="6"/>
  <c r="R63" i="6"/>
  <c r="E125" i="6" l="1"/>
  <c r="Q157" i="6"/>
  <c r="R61" i="6" s="1"/>
  <c r="D126" i="6"/>
  <c r="P158" i="6"/>
  <c r="F127" i="6"/>
  <c r="R159" i="6"/>
  <c r="F125" i="6" l="1"/>
  <c r="R157" i="6"/>
  <c r="S61" i="6" s="1"/>
  <c r="S63" i="6"/>
  <c r="Q62" i="6"/>
  <c r="S157" i="6" l="1"/>
  <c r="T61" i="6" s="1"/>
  <c r="G125" i="6"/>
  <c r="Q158" i="6"/>
  <c r="E126" i="6"/>
  <c r="G127" i="6"/>
  <c r="S159" i="6"/>
  <c r="H125" i="6" l="1"/>
  <c r="T157" i="6"/>
  <c r="U61" i="6" s="1"/>
  <c r="R62" i="6"/>
  <c r="T63" i="6"/>
  <c r="U157" i="6" l="1"/>
  <c r="V61" i="6" s="1"/>
  <c r="I125" i="6"/>
  <c r="T159" i="6"/>
  <c r="H127" i="6"/>
  <c r="R158" i="6"/>
  <c r="F126" i="6"/>
  <c r="V157" i="6" l="1"/>
  <c r="W61" i="6" s="1"/>
  <c r="J125" i="6"/>
  <c r="U63" i="6"/>
  <c r="S62" i="6"/>
  <c r="W157" i="6" l="1"/>
  <c r="X61" i="6" s="1"/>
  <c r="K125" i="6"/>
  <c r="I127" i="6"/>
  <c r="U159" i="6"/>
  <c r="S158" i="6"/>
  <c r="G126" i="6"/>
  <c r="L125" i="6" l="1"/>
  <c r="X157" i="6"/>
  <c r="Y61" i="6" s="1"/>
  <c r="T62" i="6"/>
  <c r="V63" i="6"/>
  <c r="Y157" i="6" l="1"/>
  <c r="Z61" i="6" s="1"/>
  <c r="M125" i="6"/>
  <c r="H126" i="6"/>
  <c r="T158" i="6"/>
  <c r="J127" i="6"/>
  <c r="V159" i="6"/>
  <c r="Z157" i="6" l="1"/>
  <c r="AA61" i="6" s="1"/>
  <c r="N125" i="6"/>
  <c r="U62" i="6"/>
  <c r="W63" i="6"/>
  <c r="O125" i="6" l="1"/>
  <c r="AA157" i="6"/>
  <c r="AB61" i="6" s="1"/>
  <c r="U158" i="6"/>
  <c r="I126" i="6"/>
  <c r="K127" i="6"/>
  <c r="W159" i="6"/>
  <c r="P125" i="6" l="1"/>
  <c r="X63" i="6"/>
  <c r="AB157" i="6"/>
  <c r="V62" i="6"/>
  <c r="J126" i="6" l="1"/>
  <c r="V158" i="6"/>
  <c r="AC61" i="6"/>
  <c r="L127" i="6"/>
  <c r="X159" i="6"/>
  <c r="AC157" i="6" l="1"/>
  <c r="Q125" i="6"/>
  <c r="W62" i="6"/>
  <c r="Y63" i="6"/>
  <c r="K126" i="6" l="1"/>
  <c r="W158" i="6"/>
  <c r="M127" i="6"/>
  <c r="Y159" i="6"/>
  <c r="AD61" i="6"/>
  <c r="AD157" i="6" l="1"/>
  <c r="R125" i="6"/>
  <c r="Z63" i="6"/>
  <c r="X62" i="6"/>
  <c r="L126" i="6" l="1"/>
  <c r="X158" i="6"/>
  <c r="N127" i="6"/>
  <c r="Z159" i="6"/>
  <c r="AE61" i="6"/>
  <c r="Y62" i="6" l="1"/>
  <c r="AA63" i="6"/>
  <c r="S125" i="6"/>
  <c r="AE157" i="6"/>
  <c r="AA159" i="6" l="1"/>
  <c r="O127" i="6"/>
  <c r="AF61" i="6"/>
  <c r="M126" i="6"/>
  <c r="Y158" i="6"/>
  <c r="T125" i="6" l="1"/>
  <c r="AF157" i="6"/>
  <c r="AB63" i="6"/>
  <c r="Z62" i="6"/>
  <c r="Z158" i="6" l="1"/>
  <c r="N126" i="6"/>
  <c r="AB159" i="6"/>
  <c r="P127" i="6"/>
  <c r="AG61" i="6"/>
  <c r="AA62" i="6" l="1"/>
  <c r="U125" i="6"/>
  <c r="AG157" i="6"/>
  <c r="AC63" i="6"/>
  <c r="AH61" i="6" l="1"/>
  <c r="AC159" i="6"/>
  <c r="Q127" i="6"/>
  <c r="O126" i="6"/>
  <c r="AA158" i="6"/>
  <c r="AB62" i="6" l="1"/>
  <c r="AD63" i="6"/>
  <c r="V125" i="6"/>
  <c r="AH157" i="6"/>
  <c r="AI61" i="6" l="1"/>
  <c r="AD159" i="6"/>
  <c r="R127" i="6"/>
  <c r="AB158" i="6"/>
  <c r="P126" i="6"/>
  <c r="AE63" i="6" l="1"/>
  <c r="AC62" i="6"/>
  <c r="AI157" i="6"/>
  <c r="W125" i="6"/>
  <c r="AJ61" i="6" l="1"/>
  <c r="AC158" i="6"/>
  <c r="Q126" i="6"/>
  <c r="S127" i="6"/>
  <c r="AE159" i="6"/>
  <c r="AD62" i="6" l="1"/>
  <c r="AF63" i="6"/>
  <c r="AJ157" i="6"/>
  <c r="X125" i="6"/>
  <c r="AK61" i="6" l="1"/>
  <c r="AF159" i="6"/>
  <c r="T127" i="6"/>
  <c r="R126" i="6"/>
  <c r="AD158" i="6"/>
  <c r="AE62" i="6" l="1"/>
  <c r="AG63" i="6"/>
  <c r="Y125" i="6"/>
  <c r="AK157" i="6"/>
  <c r="AL61" i="6" l="1"/>
  <c r="U127" i="6"/>
  <c r="AG159" i="6"/>
  <c r="AE158" i="6"/>
  <c r="S126" i="6"/>
  <c r="AF62" i="6" l="1"/>
  <c r="AH63" i="6"/>
  <c r="AL157" i="6"/>
  <c r="Z125" i="6"/>
  <c r="AH159" i="6" l="1"/>
  <c r="V127" i="6"/>
  <c r="AM61" i="6"/>
  <c r="AF158" i="6"/>
  <c r="T126" i="6"/>
  <c r="AM157" i="6" l="1"/>
  <c r="AA125" i="6"/>
  <c r="AG62" i="6"/>
  <c r="AI63" i="6"/>
  <c r="AG158" i="6" l="1"/>
  <c r="U126" i="6"/>
  <c r="AN61" i="6"/>
  <c r="W127" i="6"/>
  <c r="AI159" i="6"/>
  <c r="AJ63" i="6" l="1"/>
  <c r="AN157" i="6"/>
  <c r="AB125" i="6"/>
  <c r="AH62" i="6"/>
  <c r="AO61" i="6" l="1"/>
  <c r="AH158" i="6"/>
  <c r="V126" i="6"/>
  <c r="X127" i="6"/>
  <c r="AJ159" i="6"/>
  <c r="AI62" i="6" l="1"/>
  <c r="AK63" i="6"/>
  <c r="AC125" i="6"/>
  <c r="AO157" i="6"/>
  <c r="Y127" i="6" l="1"/>
  <c r="AK159" i="6"/>
  <c r="AP61" i="6"/>
  <c r="AI158" i="6"/>
  <c r="W126" i="6"/>
  <c r="AJ62" i="6" l="1"/>
  <c r="AL63" i="6"/>
  <c r="AD125" i="6"/>
  <c r="AP157" i="6"/>
  <c r="AL159" i="6" l="1"/>
  <c r="Z127" i="6"/>
  <c r="AQ61" i="6"/>
  <c r="AJ158" i="6"/>
  <c r="X126" i="6"/>
  <c r="AE125" i="6" l="1"/>
  <c r="AQ157" i="6"/>
  <c r="AK62" i="6"/>
  <c r="AM63" i="6"/>
  <c r="AA127" i="6" l="1"/>
  <c r="AM159" i="6"/>
  <c r="AR61" i="6"/>
  <c r="AK158" i="6"/>
  <c r="Y126" i="6"/>
  <c r="AR157" i="6" l="1"/>
  <c r="AF125" i="6"/>
  <c r="AN63" i="6"/>
  <c r="AL62" i="6"/>
  <c r="AN159" i="6" l="1"/>
  <c r="AB127" i="6"/>
  <c r="AL158" i="6"/>
  <c r="Z126" i="6"/>
  <c r="AS61" i="6"/>
  <c r="AS157" i="6" l="1"/>
  <c r="AG125" i="6"/>
  <c r="AM62" i="6"/>
  <c r="AO63" i="6"/>
  <c r="AO159" i="6" l="1"/>
  <c r="AC127" i="6"/>
  <c r="AM158" i="6"/>
  <c r="AA126" i="6"/>
  <c r="AT61" i="6"/>
  <c r="AP63" i="6" l="1"/>
  <c r="AT157" i="6"/>
  <c r="AH125" i="6"/>
  <c r="AN62" i="6"/>
  <c r="AU61" i="6" l="1"/>
  <c r="AN158" i="6"/>
  <c r="AB126" i="6"/>
  <c r="AP159" i="6"/>
  <c r="AD127" i="6"/>
  <c r="AO62" i="6" l="1"/>
  <c r="AQ63" i="6"/>
  <c r="AU157" i="6"/>
  <c r="AI125" i="6"/>
  <c r="AQ159" i="6" l="1"/>
  <c r="AE127" i="6"/>
  <c r="AV61" i="6"/>
  <c r="AO158" i="6"/>
  <c r="AC126" i="6"/>
  <c r="AR63" i="6" l="1"/>
  <c r="AV157" i="6"/>
  <c r="AJ125" i="6"/>
  <c r="AP62" i="6"/>
  <c r="AP158" i="6" l="1"/>
  <c r="AD126" i="6"/>
  <c r="AW61" i="6"/>
  <c r="AR159" i="6"/>
  <c r="AF127" i="6"/>
  <c r="AW157" i="6" l="1"/>
  <c r="AK125" i="6"/>
  <c r="AS63" i="6"/>
  <c r="AQ62" i="6"/>
  <c r="AS159" i="6" l="1"/>
  <c r="AG127" i="6"/>
  <c r="AQ158" i="6"/>
  <c r="AE126" i="6"/>
  <c r="AX61" i="6"/>
  <c r="AR62" i="6" l="1"/>
  <c r="AL125" i="6"/>
  <c r="AX157" i="6"/>
  <c r="AT63" i="6"/>
  <c r="AT159" i="6" l="1"/>
  <c r="AH127" i="6"/>
  <c r="AY61" i="6"/>
  <c r="AR158" i="6"/>
  <c r="AF126" i="6"/>
  <c r="AY157" i="6" l="1"/>
  <c r="AM125" i="6"/>
  <c r="AS62" i="6"/>
  <c r="AU63" i="6"/>
  <c r="AU159" i="6" l="1"/>
  <c r="AI127" i="6"/>
  <c r="AS158" i="6"/>
  <c r="AG126" i="6"/>
  <c r="AZ61" i="6"/>
  <c r="AT62" i="6" l="1"/>
  <c r="AN125" i="6"/>
  <c r="AZ157" i="6"/>
  <c r="AV63" i="6"/>
  <c r="F16" i="7"/>
  <c r="F15" i="7"/>
  <c r="F14" i="7"/>
  <c r="F13" i="7"/>
  <c r="F12" i="7"/>
  <c r="F11" i="7"/>
  <c r="F10" i="7"/>
  <c r="F9" i="7"/>
  <c r="F8" i="7"/>
  <c r="F6" i="7"/>
  <c r="F5" i="7"/>
  <c r="F7" i="7"/>
  <c r="L16" i="1"/>
  <c r="L13" i="1"/>
  <c r="L14" i="1"/>
  <c r="L15" i="1"/>
  <c r="F13" i="1"/>
  <c r="AV159" i="6" l="1"/>
  <c r="AJ127" i="6"/>
  <c r="BA61" i="6"/>
  <c r="AT158" i="6"/>
  <c r="AH126" i="6"/>
  <c r="F19" i="7"/>
  <c r="Q12" i="1" l="1"/>
  <c r="Q8" i="1"/>
  <c r="Q11" i="1"/>
  <c r="Q7" i="1"/>
  <c r="Q10" i="1"/>
  <c r="Q6" i="1"/>
  <c r="Q9" i="1"/>
  <c r="BA157" i="6"/>
  <c r="AO125" i="6"/>
  <c r="AU62" i="6"/>
  <c r="AW63" i="6"/>
  <c r="O5" i="6"/>
  <c r="O10" i="6"/>
  <c r="O9" i="6"/>
  <c r="O11" i="6"/>
  <c r="O7" i="6"/>
  <c r="O8" i="6"/>
  <c r="O6" i="6"/>
  <c r="AW159" i="6" l="1"/>
  <c r="AK127" i="6"/>
  <c r="BB61" i="6"/>
  <c r="AU158" i="6"/>
  <c r="AI126" i="6"/>
  <c r="O27" i="6"/>
  <c r="P7" i="6"/>
  <c r="Q7" i="6" s="1"/>
  <c r="O25" i="6"/>
  <c r="P9" i="6"/>
  <c r="P5" i="6"/>
  <c r="Q5" i="6" s="1"/>
  <c r="O22" i="6"/>
  <c r="P11" i="6"/>
  <c r="O28" i="6"/>
  <c r="O15" i="6"/>
  <c r="P13" i="8" s="1"/>
  <c r="O23" i="6"/>
  <c r="P6" i="6"/>
  <c r="P10" i="6"/>
  <c r="O24" i="6"/>
  <c r="O26" i="6"/>
  <c r="P8" i="6"/>
  <c r="P12" i="8" l="1"/>
  <c r="P14" i="8"/>
  <c r="P22" i="6"/>
  <c r="P24" i="6"/>
  <c r="BB157" i="6"/>
  <c r="AP125" i="6"/>
  <c r="AV62" i="6"/>
  <c r="AX63" i="6"/>
  <c r="P23" i="6"/>
  <c r="P26" i="6"/>
  <c r="Q8" i="6"/>
  <c r="Q9" i="6"/>
  <c r="P27" i="6"/>
  <c r="P28" i="6"/>
  <c r="Q11" i="6"/>
  <c r="O32" i="6"/>
  <c r="P15" i="6"/>
  <c r="Q13" i="8" s="1"/>
  <c r="Q10" i="6"/>
  <c r="Q6" i="6"/>
  <c r="P25" i="6"/>
  <c r="R7" i="6"/>
  <c r="Q24" i="6"/>
  <c r="R5" i="6"/>
  <c r="Q22" i="6"/>
  <c r="Q12" i="8" l="1"/>
  <c r="Q14" i="8"/>
  <c r="R8" i="6"/>
  <c r="AV158" i="6"/>
  <c r="AJ126" i="6"/>
  <c r="Q25" i="6"/>
  <c r="AX159" i="6"/>
  <c r="AL127" i="6"/>
  <c r="BC61" i="6"/>
  <c r="Q26" i="6"/>
  <c r="R9" i="6"/>
  <c r="Q23" i="6"/>
  <c r="Q28" i="6"/>
  <c r="R11" i="6"/>
  <c r="P32" i="6"/>
  <c r="R10" i="6"/>
  <c r="Q27" i="6"/>
  <c r="R6" i="6"/>
  <c r="Q15" i="6"/>
  <c r="R13" i="8" s="1"/>
  <c r="S5" i="6"/>
  <c r="R22" i="6"/>
  <c r="S7" i="6"/>
  <c r="R24" i="6"/>
  <c r="J6" i="1"/>
  <c r="J11" i="1"/>
  <c r="R12" i="8" l="1"/>
  <c r="R14" i="8"/>
  <c r="R25" i="6"/>
  <c r="R26" i="6"/>
  <c r="S8" i="6"/>
  <c r="BC157" i="6"/>
  <c r="AQ125" i="6"/>
  <c r="AW62" i="6"/>
  <c r="AY63" i="6"/>
  <c r="S9" i="6"/>
  <c r="R27" i="6"/>
  <c r="R28" i="6"/>
  <c r="S11" i="6"/>
  <c r="T11" i="6" s="1"/>
  <c r="S10" i="6"/>
  <c r="R15" i="6"/>
  <c r="S13" i="8" s="1"/>
  <c r="Q32" i="6"/>
  <c r="R23" i="6"/>
  <c r="S6" i="6"/>
  <c r="T5" i="6"/>
  <c r="S22" i="6"/>
  <c r="T7" i="6"/>
  <c r="S24" i="6"/>
  <c r="J10" i="1"/>
  <c r="J8" i="1"/>
  <c r="S12" i="8" l="1"/>
  <c r="S14" i="8"/>
  <c r="S25" i="6"/>
  <c r="T8" i="6"/>
  <c r="U8" i="6" s="1"/>
  <c r="T9" i="6"/>
  <c r="T26" i="6" s="1"/>
  <c r="AW158" i="6"/>
  <c r="AK126" i="6"/>
  <c r="S26" i="6"/>
  <c r="AY159" i="6"/>
  <c r="AM127" i="6"/>
  <c r="BD61" i="6"/>
  <c r="S23" i="6"/>
  <c r="S27" i="6"/>
  <c r="T28" i="6"/>
  <c r="S28" i="6"/>
  <c r="T10" i="6"/>
  <c r="R32" i="6"/>
  <c r="T6" i="6"/>
  <c r="S15" i="6"/>
  <c r="T13" i="8" s="1"/>
  <c r="U5" i="6"/>
  <c r="T22" i="6"/>
  <c r="U11" i="6"/>
  <c r="U7" i="6"/>
  <c r="T24" i="6"/>
  <c r="T12" i="8" l="1"/>
  <c r="T14" i="8"/>
  <c r="U9" i="6"/>
  <c r="V9" i="6" s="1"/>
  <c r="T25" i="6"/>
  <c r="U10" i="6"/>
  <c r="V10" i="6" s="1"/>
  <c r="BD157" i="6"/>
  <c r="AR125" i="6"/>
  <c r="S32" i="6"/>
  <c r="AZ63" i="6"/>
  <c r="AX62" i="6"/>
  <c r="U28" i="6"/>
  <c r="T23" i="6"/>
  <c r="U27" i="6"/>
  <c r="T27" i="6"/>
  <c r="U6" i="6"/>
  <c r="T15" i="6"/>
  <c r="U13" i="8" s="1"/>
  <c r="V11" i="6"/>
  <c r="V7" i="6"/>
  <c r="U24" i="6"/>
  <c r="V8" i="6"/>
  <c r="U25" i="6"/>
  <c r="V5" i="6"/>
  <c r="U22" i="6"/>
  <c r="U12" i="8" l="1"/>
  <c r="U14" i="8"/>
  <c r="U26" i="6"/>
  <c r="AX158" i="6"/>
  <c r="AL126" i="6"/>
  <c r="BE61" i="6"/>
  <c r="AZ159" i="6"/>
  <c r="AN127" i="6"/>
  <c r="T32" i="6"/>
  <c r="V28" i="6"/>
  <c r="U15" i="6"/>
  <c r="V13" i="8" s="1"/>
  <c r="V27" i="6"/>
  <c r="V6" i="6"/>
  <c r="U23" i="6"/>
  <c r="W5" i="6"/>
  <c r="V22" i="6"/>
  <c r="W7" i="6"/>
  <c r="V24" i="6"/>
  <c r="W10" i="6"/>
  <c r="W8" i="6"/>
  <c r="V25" i="6"/>
  <c r="W11" i="6"/>
  <c r="W9" i="6"/>
  <c r="V26" i="6"/>
  <c r="V12" i="8" l="1"/>
  <c r="V14" i="8"/>
  <c r="BE157" i="6"/>
  <c r="AS125" i="6"/>
  <c r="BA63" i="6"/>
  <c r="AY62" i="6"/>
  <c r="W27" i="6"/>
  <c r="V15" i="6"/>
  <c r="W13" i="8" s="1"/>
  <c r="W28" i="6"/>
  <c r="V23" i="6"/>
  <c r="V32" i="6" s="1"/>
  <c r="W6" i="6"/>
  <c r="U32" i="6"/>
  <c r="X11" i="6"/>
  <c r="X8" i="6"/>
  <c r="W25" i="6"/>
  <c r="X10" i="6"/>
  <c r="X7" i="6"/>
  <c r="W24" i="6"/>
  <c r="X9" i="6"/>
  <c r="W26" i="6"/>
  <c r="X5" i="6"/>
  <c r="W22" i="6"/>
  <c r="W12" i="8" l="1"/>
  <c r="W14" i="8"/>
  <c r="AY158" i="6"/>
  <c r="AM126" i="6"/>
  <c r="BF61" i="6"/>
  <c r="BA159" i="6"/>
  <c r="AO127" i="6"/>
  <c r="X28" i="6"/>
  <c r="X6" i="6"/>
  <c r="X27" i="6"/>
  <c r="W15" i="6"/>
  <c r="X13" i="8" s="1"/>
  <c r="W23" i="6"/>
  <c r="W32" i="6" s="1"/>
  <c r="Y7" i="6"/>
  <c r="X24" i="6"/>
  <c r="Y8" i="6"/>
  <c r="X25" i="6"/>
  <c r="Y5" i="6"/>
  <c r="X22" i="6"/>
  <c r="Y9" i="6"/>
  <c r="X26" i="6"/>
  <c r="Y10" i="6"/>
  <c r="Y11" i="6"/>
  <c r="X12" i="8" l="1"/>
  <c r="X14" i="8"/>
  <c r="BF157" i="6"/>
  <c r="AT125" i="6"/>
  <c r="BB63" i="6"/>
  <c r="AZ62" i="6"/>
  <c r="X15" i="6"/>
  <c r="Y13" i="8" s="1"/>
  <c r="X23" i="6"/>
  <c r="X32" i="6" s="1"/>
  <c r="Y27" i="6"/>
  <c r="Y6" i="6"/>
  <c r="Y15" i="6" s="1"/>
  <c r="Z13" i="8" s="1"/>
  <c r="Y28" i="6"/>
  <c r="Z10" i="6"/>
  <c r="Z8" i="6"/>
  <c r="Y25" i="6"/>
  <c r="Z11" i="6"/>
  <c r="Z9" i="6"/>
  <c r="Y26" i="6"/>
  <c r="Z5" i="6"/>
  <c r="Y22" i="6"/>
  <c r="Z7" i="6"/>
  <c r="Y24" i="6"/>
  <c r="Z12" i="8" l="1"/>
  <c r="Z14" i="8"/>
  <c r="Y12" i="8"/>
  <c r="Y14" i="8"/>
  <c r="Z6" i="6"/>
  <c r="BB159" i="6"/>
  <c r="AP127" i="6"/>
  <c r="AZ158" i="6"/>
  <c r="AN126" i="6"/>
  <c r="BG61" i="6"/>
  <c r="Y23" i="6"/>
  <c r="Y32" i="6" s="1"/>
  <c r="Z27" i="6"/>
  <c r="Z28" i="6"/>
  <c r="AA7" i="6"/>
  <c r="Z24" i="6"/>
  <c r="AA9" i="6"/>
  <c r="Z26" i="6"/>
  <c r="AA5" i="6"/>
  <c r="Z22" i="6"/>
  <c r="AA11" i="6"/>
  <c r="AA8" i="6"/>
  <c r="Z25" i="6"/>
  <c r="AA10" i="6"/>
  <c r="Z15" i="6" l="1"/>
  <c r="AA13" i="8" s="1"/>
  <c r="Z23" i="6"/>
  <c r="Z32" i="6" s="1"/>
  <c r="AA6" i="6"/>
  <c r="AA15" i="6" s="1"/>
  <c r="AB13" i="8" s="1"/>
  <c r="BC63" i="6"/>
  <c r="BG157" i="6"/>
  <c r="AU125" i="6"/>
  <c r="BA62" i="6"/>
  <c r="AA28" i="6"/>
  <c r="AA27" i="6"/>
  <c r="AB8" i="6"/>
  <c r="AA25" i="6"/>
  <c r="AB5" i="6"/>
  <c r="AA22" i="6"/>
  <c r="AB9" i="6"/>
  <c r="AA26" i="6"/>
  <c r="AB10" i="6"/>
  <c r="AB11" i="6"/>
  <c r="AB7" i="6"/>
  <c r="AA24" i="6"/>
  <c r="AB12" i="8" l="1"/>
  <c r="AB14" i="8"/>
  <c r="AA12" i="8"/>
  <c r="AA14" i="8"/>
  <c r="AA23" i="6"/>
  <c r="AA32" i="6" s="1"/>
  <c r="AB6" i="6"/>
  <c r="AB23" i="6" s="1"/>
  <c r="BH61" i="6"/>
  <c r="BA158" i="6"/>
  <c r="AO126" i="6"/>
  <c r="BC159" i="6"/>
  <c r="AQ127" i="6"/>
  <c r="AB28" i="6"/>
  <c r="AB27" i="6"/>
  <c r="AC11" i="6"/>
  <c r="AC9" i="6"/>
  <c r="AB26" i="6"/>
  <c r="AC5" i="6"/>
  <c r="AB22" i="6"/>
  <c r="AC7" i="6"/>
  <c r="AB24" i="6"/>
  <c r="AC10" i="6"/>
  <c r="AC8" i="6"/>
  <c r="AB25" i="6"/>
  <c r="AB15" i="6" l="1"/>
  <c r="AC13" i="8" s="1"/>
  <c r="AC6" i="6"/>
  <c r="AD6" i="6" s="1"/>
  <c r="BB62" i="6"/>
  <c r="BD63" i="6"/>
  <c r="BH157" i="6"/>
  <c r="AV125" i="6"/>
  <c r="AC28" i="6"/>
  <c r="AC27" i="6"/>
  <c r="AB32" i="6"/>
  <c r="AD10" i="6"/>
  <c r="AD5" i="6"/>
  <c r="AC22" i="6"/>
  <c r="AD8" i="6"/>
  <c r="AC25" i="6"/>
  <c r="AD7" i="6"/>
  <c r="AC24" i="6"/>
  <c r="AD9" i="6"/>
  <c r="AC26" i="6"/>
  <c r="AD11" i="6"/>
  <c r="AC12" i="8" l="1"/>
  <c r="AC14" i="8"/>
  <c r="AC15" i="6"/>
  <c r="AD13" i="8" s="1"/>
  <c r="AC23" i="6"/>
  <c r="AC32" i="6" s="1"/>
  <c r="BD159" i="6"/>
  <c r="AR127" i="6"/>
  <c r="BI61" i="6"/>
  <c r="BB158" i="6"/>
  <c r="AP126" i="6"/>
  <c r="AD27" i="6"/>
  <c r="AD28" i="6"/>
  <c r="AD15" i="6"/>
  <c r="AE13" i="8" s="1"/>
  <c r="AE9" i="6"/>
  <c r="AD26" i="6"/>
  <c r="AE10" i="6"/>
  <c r="AE11" i="6"/>
  <c r="AE7" i="6"/>
  <c r="AD24" i="6"/>
  <c r="AE8" i="6"/>
  <c r="AD25" i="6"/>
  <c r="AE5" i="6"/>
  <c r="AD22" i="6"/>
  <c r="AE6" i="6"/>
  <c r="AD23" i="6"/>
  <c r="AD12" i="8" l="1"/>
  <c r="AD14" i="8"/>
  <c r="AE12" i="8"/>
  <c r="AE14" i="8"/>
  <c r="BI157" i="6"/>
  <c r="AW125" i="6"/>
  <c r="BC62" i="6"/>
  <c r="BE63" i="6"/>
  <c r="AE27" i="6"/>
  <c r="AE28" i="6"/>
  <c r="AD32" i="6"/>
  <c r="AE15" i="6"/>
  <c r="AF13" i="8" s="1"/>
  <c r="AF5" i="6"/>
  <c r="AE22" i="6"/>
  <c r="AF7" i="6"/>
  <c r="AE24" i="6"/>
  <c r="AF10" i="6"/>
  <c r="AF6" i="6"/>
  <c r="AE23" i="6"/>
  <c r="AF8" i="6"/>
  <c r="AE25" i="6"/>
  <c r="AF11" i="6"/>
  <c r="AF9" i="6"/>
  <c r="AE26" i="6"/>
  <c r="AF12" i="8" l="1"/>
  <c r="AF14" i="8"/>
  <c r="BC158" i="6"/>
  <c r="AQ126" i="6"/>
  <c r="BJ61" i="6"/>
  <c r="BE159" i="6"/>
  <c r="AS127" i="6"/>
  <c r="AF27" i="6"/>
  <c r="AF28" i="6"/>
  <c r="AE32" i="6"/>
  <c r="AF15" i="6"/>
  <c r="AG13" i="8" s="1"/>
  <c r="AG8" i="6"/>
  <c r="AF25" i="6"/>
  <c r="AG7" i="6"/>
  <c r="AF24" i="6"/>
  <c r="AG9" i="6"/>
  <c r="AF26" i="6"/>
  <c r="AG11" i="6"/>
  <c r="AG6" i="6"/>
  <c r="AF23" i="6"/>
  <c r="AG10" i="6"/>
  <c r="AG5" i="6"/>
  <c r="AF22" i="6"/>
  <c r="AG12" i="8" l="1"/>
  <c r="AG14" i="8"/>
  <c r="AW141" i="6"/>
  <c r="D141" i="6"/>
  <c r="C141" i="6"/>
  <c r="E141" i="6"/>
  <c r="F141" i="6"/>
  <c r="I141" i="6"/>
  <c r="H141" i="6"/>
  <c r="G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T141" i="6"/>
  <c r="AV141" i="6"/>
  <c r="AR141" i="6"/>
  <c r="AS141" i="6"/>
  <c r="AU141" i="6"/>
  <c r="BF125" i="6"/>
  <c r="BI125" i="6"/>
  <c r="BK61" i="6"/>
  <c r="BJ157" i="6"/>
  <c r="AX125" i="6"/>
  <c r="AY125" i="6"/>
  <c r="AZ125" i="6"/>
  <c r="BA125" i="6"/>
  <c r="BB125" i="6"/>
  <c r="BC125" i="6"/>
  <c r="BH125" i="6"/>
  <c r="BD125" i="6"/>
  <c r="BG125" i="6"/>
  <c r="BE125" i="6"/>
  <c r="BF63" i="6"/>
  <c r="BD62" i="6"/>
  <c r="AG27" i="6"/>
  <c r="AG28" i="6"/>
  <c r="AF32" i="6"/>
  <c r="AG15" i="6"/>
  <c r="AH13" i="8" s="1"/>
  <c r="AH10" i="6"/>
  <c r="AH11" i="6"/>
  <c r="AH7" i="6"/>
  <c r="AG24" i="6"/>
  <c r="AH8" i="6"/>
  <c r="AG25" i="6"/>
  <c r="AH5" i="6"/>
  <c r="AG22" i="6"/>
  <c r="AH6" i="6"/>
  <c r="AG23" i="6"/>
  <c r="AH9" i="6"/>
  <c r="AG26" i="6"/>
  <c r="AH12" i="8" l="1"/>
  <c r="AH14" i="8"/>
  <c r="BF159" i="6"/>
  <c r="AT127" i="6"/>
  <c r="BD158" i="6"/>
  <c r="AR126" i="6"/>
  <c r="AH27" i="6"/>
  <c r="AH28" i="6"/>
  <c r="AG32" i="6"/>
  <c r="AH15" i="6"/>
  <c r="AI13" i="8" s="1"/>
  <c r="AI6" i="6"/>
  <c r="AH23" i="6"/>
  <c r="AI8" i="6"/>
  <c r="AH25" i="6"/>
  <c r="AI11" i="6"/>
  <c r="AI9" i="6"/>
  <c r="AH26" i="6"/>
  <c r="AI5" i="6"/>
  <c r="AH22" i="6"/>
  <c r="AI7" i="6"/>
  <c r="AH24" i="6"/>
  <c r="AI10" i="6"/>
  <c r="AI12" i="8" l="1"/>
  <c r="AI14" i="8"/>
  <c r="BG63" i="6"/>
  <c r="BE62" i="6"/>
  <c r="AI27" i="6"/>
  <c r="AI28" i="6"/>
  <c r="AH32" i="6"/>
  <c r="AI15" i="6"/>
  <c r="AJ13" i="8" s="1"/>
  <c r="AJ7" i="6"/>
  <c r="AI24" i="6"/>
  <c r="AJ9" i="6"/>
  <c r="AI26" i="6"/>
  <c r="AJ11" i="6"/>
  <c r="AJ6" i="6"/>
  <c r="AI23" i="6"/>
  <c r="AJ10" i="6"/>
  <c r="AJ5" i="6"/>
  <c r="AI22" i="6"/>
  <c r="AJ8" i="6"/>
  <c r="AI25" i="6"/>
  <c r="AJ12" i="8" l="1"/>
  <c r="AJ14" i="8"/>
  <c r="BE158" i="6"/>
  <c r="AS126" i="6"/>
  <c r="BG159" i="6"/>
  <c r="AU127" i="6"/>
  <c r="AJ27" i="6"/>
  <c r="AJ28" i="6"/>
  <c r="AI32" i="6"/>
  <c r="AJ15" i="6"/>
  <c r="AK13" i="8" s="1"/>
  <c r="AK8" i="6"/>
  <c r="AJ25" i="6"/>
  <c r="AK5" i="6"/>
  <c r="AJ22" i="6"/>
  <c r="AK6" i="6"/>
  <c r="AJ23" i="6"/>
  <c r="AK9" i="6"/>
  <c r="AJ26" i="6"/>
  <c r="AK10" i="6"/>
  <c r="AK11" i="6"/>
  <c r="AK7" i="6"/>
  <c r="AJ24" i="6"/>
  <c r="AK12" i="8" l="1"/>
  <c r="AK14" i="8"/>
  <c r="BF62" i="6"/>
  <c r="BH63" i="6"/>
  <c r="AK28" i="6"/>
  <c r="AK27" i="6"/>
  <c r="AJ32" i="6"/>
  <c r="AK15" i="6"/>
  <c r="AL13" i="8" s="1"/>
  <c r="AL11" i="6"/>
  <c r="AL6" i="6"/>
  <c r="AK23" i="6"/>
  <c r="AL8" i="6"/>
  <c r="AK25" i="6"/>
  <c r="AL7" i="6"/>
  <c r="AK24" i="6"/>
  <c r="AL10" i="6"/>
  <c r="AL9" i="6"/>
  <c r="AK26" i="6"/>
  <c r="AL5" i="6"/>
  <c r="AK22" i="6"/>
  <c r="AL12" i="8" l="1"/>
  <c r="AL14" i="8"/>
  <c r="BH159" i="6"/>
  <c r="AV127" i="6"/>
  <c r="BF158" i="6"/>
  <c r="AT126" i="6"/>
  <c r="AL28" i="6"/>
  <c r="AL27" i="6"/>
  <c r="AK32" i="6"/>
  <c r="AL15" i="6"/>
  <c r="AM13" i="8" s="1"/>
  <c r="AM5" i="6"/>
  <c r="AL22" i="6"/>
  <c r="AM10" i="6"/>
  <c r="AM8" i="6"/>
  <c r="AL25" i="6"/>
  <c r="AM9" i="6"/>
  <c r="AL26" i="6"/>
  <c r="AM7" i="6"/>
  <c r="AL24" i="6"/>
  <c r="AM6" i="6"/>
  <c r="AL23" i="6"/>
  <c r="AM11" i="6"/>
  <c r="AM12" i="8" l="1"/>
  <c r="AM14" i="8"/>
  <c r="BI63" i="6"/>
  <c r="BG62" i="6"/>
  <c r="AM28" i="6"/>
  <c r="AM27" i="6"/>
  <c r="AL32" i="6"/>
  <c r="AM15" i="6"/>
  <c r="AN13" i="8" s="1"/>
  <c r="AN6" i="6"/>
  <c r="AM23" i="6"/>
  <c r="AN10" i="6"/>
  <c r="AN9" i="6"/>
  <c r="AM26" i="6"/>
  <c r="AN11" i="6"/>
  <c r="AN7" i="6"/>
  <c r="AM24" i="6"/>
  <c r="AN8" i="6"/>
  <c r="AM25" i="6"/>
  <c r="AN5" i="6"/>
  <c r="AM22" i="6"/>
  <c r="AN12" i="8" l="1"/>
  <c r="AN14" i="8"/>
  <c r="BG158" i="6"/>
  <c r="AU126" i="6"/>
  <c r="BI159" i="6"/>
  <c r="AW127" i="6"/>
  <c r="AN28" i="6"/>
  <c r="AN27" i="6"/>
  <c r="AM32" i="6"/>
  <c r="AN15" i="6"/>
  <c r="AO13" i="8" s="1"/>
  <c r="AO8" i="6"/>
  <c r="AN25" i="6"/>
  <c r="AO7" i="6"/>
  <c r="AN24" i="6"/>
  <c r="AO9" i="6"/>
  <c r="AN26" i="6"/>
  <c r="AO10" i="6"/>
  <c r="AO5" i="6"/>
  <c r="AN22" i="6"/>
  <c r="AO11" i="6"/>
  <c r="AO6" i="6"/>
  <c r="AN23" i="6"/>
  <c r="AO12" i="8" l="1"/>
  <c r="AO14" i="8"/>
  <c r="BH62" i="6"/>
  <c r="BJ63" i="6"/>
  <c r="AO28" i="6"/>
  <c r="AO27" i="6"/>
  <c r="AN32" i="6"/>
  <c r="AO15" i="6"/>
  <c r="AP13" i="8" s="1"/>
  <c r="AP10" i="6"/>
  <c r="AP7" i="6"/>
  <c r="AO24" i="6"/>
  <c r="AP6" i="6"/>
  <c r="AO23" i="6"/>
  <c r="AP11" i="6"/>
  <c r="AP5" i="6"/>
  <c r="AO22" i="6"/>
  <c r="AP9" i="6"/>
  <c r="AO26" i="6"/>
  <c r="AP8" i="6"/>
  <c r="AO25" i="6"/>
  <c r="AP12" i="8" l="1"/>
  <c r="AP14" i="8"/>
  <c r="AW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U143" i="6"/>
  <c r="AT143" i="6"/>
  <c r="AV143" i="6"/>
  <c r="BI127" i="6"/>
  <c r="BK63" i="6"/>
  <c r="BJ159" i="6"/>
  <c r="AX127" i="6"/>
  <c r="AY127" i="6"/>
  <c r="AZ127" i="6"/>
  <c r="BA127" i="6"/>
  <c r="BB127" i="6"/>
  <c r="BC127" i="6"/>
  <c r="BE127" i="6"/>
  <c r="BG127" i="6"/>
  <c r="BD127" i="6"/>
  <c r="BH127" i="6"/>
  <c r="BF127" i="6"/>
  <c r="BH158" i="6"/>
  <c r="AV126" i="6"/>
  <c r="AP27" i="6"/>
  <c r="AP28" i="6"/>
  <c r="AO32" i="6"/>
  <c r="AP15" i="6"/>
  <c r="AQ13" i="8" s="1"/>
  <c r="AQ5" i="6"/>
  <c r="AP22" i="6"/>
  <c r="AQ8" i="6"/>
  <c r="AP25" i="6"/>
  <c r="AQ6" i="6"/>
  <c r="AP23" i="6"/>
  <c r="AQ9" i="6"/>
  <c r="AP26" i="6"/>
  <c r="AQ11" i="6"/>
  <c r="AQ7" i="6"/>
  <c r="AP24" i="6"/>
  <c r="AQ10" i="6"/>
  <c r="AQ12" i="8" l="1"/>
  <c r="AQ14" i="8"/>
  <c r="BI62" i="6"/>
  <c r="BK159" i="6"/>
  <c r="BK143" i="6"/>
  <c r="AQ27" i="6"/>
  <c r="AQ28" i="6"/>
  <c r="AP32" i="6"/>
  <c r="AQ15" i="6"/>
  <c r="AR13" i="8" s="1"/>
  <c r="AR10" i="6"/>
  <c r="AR7" i="6"/>
  <c r="AQ24" i="6"/>
  <c r="AR9" i="6"/>
  <c r="AQ26" i="6"/>
  <c r="AR8" i="6"/>
  <c r="AQ25" i="6"/>
  <c r="AR11" i="6"/>
  <c r="AR6" i="6"/>
  <c r="AQ23" i="6"/>
  <c r="AR5" i="6"/>
  <c r="AQ22" i="6"/>
  <c r="AR12" i="8" l="1"/>
  <c r="AR14" i="8"/>
  <c r="BI158" i="6"/>
  <c r="AW126" i="6"/>
  <c r="AR27" i="6"/>
  <c r="AR28" i="6"/>
  <c r="AQ32" i="6"/>
  <c r="AR15" i="6"/>
  <c r="AS13" i="8" s="1"/>
  <c r="AS6" i="6"/>
  <c r="AR23" i="6"/>
  <c r="AS8" i="6"/>
  <c r="AR25" i="6"/>
  <c r="AS7" i="6"/>
  <c r="AR24" i="6"/>
  <c r="AS5" i="6"/>
  <c r="AR22" i="6"/>
  <c r="AS11" i="6"/>
  <c r="AS9" i="6"/>
  <c r="AR26" i="6"/>
  <c r="AS10" i="6"/>
  <c r="AS12" i="8" l="1"/>
  <c r="AS14" i="8"/>
  <c r="BJ62" i="6"/>
  <c r="AS27" i="6"/>
  <c r="AS28" i="6"/>
  <c r="AR32" i="6"/>
  <c r="AS15" i="6"/>
  <c r="AT13" i="8" s="1"/>
  <c r="AT9" i="6"/>
  <c r="AS26" i="6"/>
  <c r="AT11" i="6"/>
  <c r="AT7" i="6"/>
  <c r="AS24" i="6"/>
  <c r="AT10" i="6"/>
  <c r="AT5" i="6"/>
  <c r="AS22" i="6"/>
  <c r="AT8" i="6"/>
  <c r="AS25" i="6"/>
  <c r="AT6" i="6"/>
  <c r="AS23" i="6"/>
  <c r="AT12" i="8" l="1"/>
  <c r="AT14" i="8"/>
  <c r="AW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V142" i="6"/>
  <c r="AU142" i="6"/>
  <c r="AS142" i="6"/>
  <c r="AR142" i="6"/>
  <c r="AT142" i="6"/>
  <c r="BH126" i="6"/>
  <c r="BI126" i="6"/>
  <c r="BK62" i="6"/>
  <c r="BJ158" i="6"/>
  <c r="AX126" i="6"/>
  <c r="AY126" i="6"/>
  <c r="AZ126" i="6"/>
  <c r="BA126" i="6"/>
  <c r="BB126" i="6"/>
  <c r="BC126" i="6"/>
  <c r="BE126" i="6"/>
  <c r="BF126" i="6"/>
  <c r="BD126" i="6"/>
  <c r="BG126" i="6"/>
  <c r="AT28" i="6"/>
  <c r="AT27" i="6"/>
  <c r="AS32" i="6"/>
  <c r="AT15" i="6"/>
  <c r="AU13" i="8" s="1"/>
  <c r="AU8" i="6"/>
  <c r="AT25" i="6"/>
  <c r="AU11" i="6"/>
  <c r="AU6" i="6"/>
  <c r="AT23" i="6"/>
  <c r="AU5" i="6"/>
  <c r="AT22" i="6"/>
  <c r="AU10" i="6"/>
  <c r="AU7" i="6"/>
  <c r="AT24" i="6"/>
  <c r="AU9" i="6"/>
  <c r="AT26" i="6"/>
  <c r="AU12" i="8" l="1"/>
  <c r="AU14" i="8"/>
  <c r="BK158" i="6"/>
  <c r="BK142" i="6"/>
  <c r="AU28" i="6"/>
  <c r="AU27" i="6"/>
  <c r="AT32" i="6"/>
  <c r="AU15" i="6"/>
  <c r="AV13" i="8" s="1"/>
  <c r="AV7" i="6"/>
  <c r="AU24" i="6"/>
  <c r="AV5" i="6"/>
  <c r="AU22" i="6"/>
  <c r="AV11" i="6"/>
  <c r="AV9" i="6"/>
  <c r="AU26" i="6"/>
  <c r="AV10" i="6"/>
  <c r="AV6" i="6"/>
  <c r="AU23" i="6"/>
  <c r="AV8" i="6"/>
  <c r="AU25" i="6"/>
  <c r="AV12" i="8" l="1"/>
  <c r="AV14" i="8"/>
  <c r="AV27" i="6"/>
  <c r="AV28" i="6"/>
  <c r="AU32" i="6"/>
  <c r="AV15" i="6"/>
  <c r="AW13" i="8" s="1"/>
  <c r="AW10" i="6"/>
  <c r="AW5" i="6"/>
  <c r="AV22" i="6"/>
  <c r="AW8" i="6"/>
  <c r="AV25" i="6"/>
  <c r="AW6" i="6"/>
  <c r="AV23" i="6"/>
  <c r="AW9" i="6"/>
  <c r="AV26" i="6"/>
  <c r="AW11" i="6"/>
  <c r="AW7" i="6"/>
  <c r="AV24" i="6"/>
  <c r="AW12" i="8" l="1"/>
  <c r="AW14" i="8"/>
  <c r="AW28" i="6"/>
  <c r="AW27" i="6"/>
  <c r="AV32" i="6"/>
  <c r="AW15" i="6"/>
  <c r="AX13" i="8" s="1"/>
  <c r="AX11" i="6"/>
  <c r="AX6" i="6"/>
  <c r="AW23" i="6"/>
  <c r="AX5" i="6"/>
  <c r="AW22" i="6"/>
  <c r="AX10" i="6"/>
  <c r="AX7" i="6"/>
  <c r="AW24" i="6"/>
  <c r="AX9" i="6"/>
  <c r="AW26" i="6"/>
  <c r="AX8" i="6"/>
  <c r="AW25" i="6"/>
  <c r="AX12" i="8" l="1"/>
  <c r="AX14" i="8"/>
  <c r="AX27" i="6"/>
  <c r="AX28" i="6"/>
  <c r="AW32" i="6"/>
  <c r="AX15" i="6"/>
  <c r="AY13" i="8" s="1"/>
  <c r="AX26" i="6"/>
  <c r="AY9" i="6"/>
  <c r="AY10" i="6"/>
  <c r="AX23" i="6"/>
  <c r="AY6" i="6"/>
  <c r="AX25" i="6"/>
  <c r="AY8" i="6"/>
  <c r="AX24" i="6"/>
  <c r="AY7" i="6"/>
  <c r="AX22" i="6"/>
  <c r="AY5" i="6"/>
  <c r="AY11" i="6"/>
  <c r="AY12" i="8" l="1"/>
  <c r="AY14" i="8"/>
  <c r="AY27" i="6"/>
  <c r="AY28" i="6"/>
  <c r="AX32" i="6"/>
  <c r="AY15" i="6"/>
  <c r="AZ13" i="8" s="1"/>
  <c r="AZ8" i="6"/>
  <c r="AY25" i="6"/>
  <c r="AZ6" i="6"/>
  <c r="AY23" i="6"/>
  <c r="AZ9" i="6"/>
  <c r="AY26" i="6"/>
  <c r="AZ11" i="6"/>
  <c r="AZ7" i="6"/>
  <c r="AY24" i="6"/>
  <c r="AZ10" i="6"/>
  <c r="AZ5" i="6"/>
  <c r="AY22" i="6"/>
  <c r="AZ12" i="8" l="1"/>
  <c r="AZ14" i="8"/>
  <c r="AZ28" i="6"/>
  <c r="AZ27" i="6"/>
  <c r="AY32" i="6"/>
  <c r="AZ15" i="6"/>
  <c r="BA13" i="8" s="1"/>
  <c r="BA11" i="6"/>
  <c r="BA6" i="6"/>
  <c r="AZ23" i="6"/>
  <c r="BA5" i="6"/>
  <c r="AZ22" i="6"/>
  <c r="BA10" i="6"/>
  <c r="BA7" i="6"/>
  <c r="AZ24" i="6"/>
  <c r="BA9" i="6"/>
  <c r="AZ26" i="6"/>
  <c r="BA8" i="6"/>
  <c r="AZ25" i="6"/>
  <c r="BA12" i="8" l="1"/>
  <c r="BA14" i="8"/>
  <c r="BA27" i="6"/>
  <c r="BA28" i="6"/>
  <c r="AZ32" i="6"/>
  <c r="BA15" i="6"/>
  <c r="BB13" i="8" s="1"/>
  <c r="BB9" i="6"/>
  <c r="BA26" i="6"/>
  <c r="BB10" i="6"/>
  <c r="BB6" i="6"/>
  <c r="BA23" i="6"/>
  <c r="BB8" i="6"/>
  <c r="BA25" i="6"/>
  <c r="BB7" i="6"/>
  <c r="BA24" i="6"/>
  <c r="BB5" i="6"/>
  <c r="BA22" i="6"/>
  <c r="BB11" i="6"/>
  <c r="BB12" i="8" l="1"/>
  <c r="BB14" i="8"/>
  <c r="BB28" i="6"/>
  <c r="BB27" i="6"/>
  <c r="BA32" i="6"/>
  <c r="BB15" i="6"/>
  <c r="BC13" i="8" s="1"/>
  <c r="BC11" i="6"/>
  <c r="BC7" i="6"/>
  <c r="BB24" i="6"/>
  <c r="BC10" i="6"/>
  <c r="BC5" i="6"/>
  <c r="BB22" i="6"/>
  <c r="BC8" i="6"/>
  <c r="BB25" i="6"/>
  <c r="BC6" i="6"/>
  <c r="BB23" i="6"/>
  <c r="BC9" i="6"/>
  <c r="BB26" i="6"/>
  <c r="BC12" i="8" l="1"/>
  <c r="BC14" i="8"/>
  <c r="BC27" i="6"/>
  <c r="BC28" i="6"/>
  <c r="BB32" i="6"/>
  <c r="BC15" i="6"/>
  <c r="BD13" i="8" s="1"/>
  <c r="BD6" i="6"/>
  <c r="BC23" i="6"/>
  <c r="BD5" i="6"/>
  <c r="BC22" i="6"/>
  <c r="BD10" i="6"/>
  <c r="BD7" i="6"/>
  <c r="BC24" i="6"/>
  <c r="BD9" i="6"/>
  <c r="BC26" i="6"/>
  <c r="BD8" i="6"/>
  <c r="BC25" i="6"/>
  <c r="BD11" i="6"/>
  <c r="BD12" i="8" l="1"/>
  <c r="BD14" i="8"/>
  <c r="BD28" i="6"/>
  <c r="BD27" i="6"/>
  <c r="BC32" i="6"/>
  <c r="BD15" i="6"/>
  <c r="BE13" i="8" s="1"/>
  <c r="BE8" i="6"/>
  <c r="BD25" i="6"/>
  <c r="BE7" i="6"/>
  <c r="BD24" i="6"/>
  <c r="BE5" i="6"/>
  <c r="BD22" i="6"/>
  <c r="BE11" i="6"/>
  <c r="BE9" i="6"/>
  <c r="BD26" i="6"/>
  <c r="BE10" i="6"/>
  <c r="BE6" i="6"/>
  <c r="BD23" i="6"/>
  <c r="BE12" i="8" l="1"/>
  <c r="BE14" i="8"/>
  <c r="BE27" i="6"/>
  <c r="BE28" i="6"/>
  <c r="BD32" i="6"/>
  <c r="BE15" i="6"/>
  <c r="BF13" i="8" s="1"/>
  <c r="BF5" i="6"/>
  <c r="BE22" i="6"/>
  <c r="BF8" i="6"/>
  <c r="BE25" i="6"/>
  <c r="BF10" i="6"/>
  <c r="BF6" i="6"/>
  <c r="BE23" i="6"/>
  <c r="BF9" i="6"/>
  <c r="BE26" i="6"/>
  <c r="BF11" i="6"/>
  <c r="BF7" i="6"/>
  <c r="BE24" i="6"/>
  <c r="BF12" i="8" l="1"/>
  <c r="BF14" i="8"/>
  <c r="BF28" i="6"/>
  <c r="BF27" i="6"/>
  <c r="BE32" i="6"/>
  <c r="BF15" i="6"/>
  <c r="BG13" i="8" s="1"/>
  <c r="BG7" i="6"/>
  <c r="BF24" i="6"/>
  <c r="BG9" i="6"/>
  <c r="BF26" i="6"/>
  <c r="BG10" i="6"/>
  <c r="BG5" i="6"/>
  <c r="BF22" i="6"/>
  <c r="BG11" i="6"/>
  <c r="BG6" i="6"/>
  <c r="BF23" i="6"/>
  <c r="BG8" i="6"/>
  <c r="BF25" i="6"/>
  <c r="BG12" i="8" l="1"/>
  <c r="BG14" i="8"/>
  <c r="BG28" i="6"/>
  <c r="BG27" i="6"/>
  <c r="BF32" i="6"/>
  <c r="BG15" i="6"/>
  <c r="BH13" i="8" s="1"/>
  <c r="BH8" i="6"/>
  <c r="BG25" i="6"/>
  <c r="BH11" i="6"/>
  <c r="BH5" i="6"/>
  <c r="BG22" i="6"/>
  <c r="BH9" i="6"/>
  <c r="BG26" i="6"/>
  <c r="BH6" i="6"/>
  <c r="BG23" i="6"/>
  <c r="BH10" i="6"/>
  <c r="BH7" i="6"/>
  <c r="BG24" i="6"/>
  <c r="BH12" i="8" l="1"/>
  <c r="BH14" i="8"/>
  <c r="BH28" i="6"/>
  <c r="BH27" i="6"/>
  <c r="BG32" i="6"/>
  <c r="BH15" i="6"/>
  <c r="BI13" i="8" s="1"/>
  <c r="BI10" i="6"/>
  <c r="BI6" i="6"/>
  <c r="BH23" i="6"/>
  <c r="BI9" i="6"/>
  <c r="BH26" i="6"/>
  <c r="BI11" i="6"/>
  <c r="BI7" i="6"/>
  <c r="BH24" i="6"/>
  <c r="BI5" i="6"/>
  <c r="BH22" i="6"/>
  <c r="BI8" i="6"/>
  <c r="BH25" i="6"/>
  <c r="BI12" i="8" l="1"/>
  <c r="BI14" i="8"/>
  <c r="BI28" i="6"/>
  <c r="BI27" i="6"/>
  <c r="BH32" i="6"/>
  <c r="BI15" i="6"/>
  <c r="BJ13" i="8" s="1"/>
  <c r="BJ5" i="6"/>
  <c r="BI22" i="6"/>
  <c r="BJ11" i="6"/>
  <c r="BJ6" i="6"/>
  <c r="BI23" i="6"/>
  <c r="BJ8" i="6"/>
  <c r="BI25" i="6"/>
  <c r="BJ7" i="6"/>
  <c r="BI24" i="6"/>
  <c r="BJ9" i="6"/>
  <c r="BI26" i="6"/>
  <c r="BJ10" i="6"/>
  <c r="BJ12" i="8" l="1"/>
  <c r="BJ14" i="8"/>
  <c r="BJ28" i="6"/>
  <c r="BJ27" i="6"/>
  <c r="BI32" i="6"/>
  <c r="BJ15" i="6"/>
  <c r="BK13" i="8" s="1"/>
  <c r="BK6" i="6"/>
  <c r="BK9" i="6"/>
  <c r="BK10" i="6"/>
  <c r="BK7" i="6"/>
  <c r="BK8" i="6"/>
  <c r="BK11" i="6"/>
  <c r="BK5" i="6"/>
  <c r="BJ26" i="6"/>
  <c r="BJ23" i="6"/>
  <c r="BJ24" i="6"/>
  <c r="BJ25" i="6"/>
  <c r="BJ22" i="6"/>
  <c r="BK12" i="8" l="1"/>
  <c r="BK14" i="8"/>
  <c r="BK141" i="6"/>
  <c r="N70" i="6"/>
  <c r="AD70" i="6"/>
  <c r="AT70" i="6"/>
  <c r="O70" i="6"/>
  <c r="AN70" i="6"/>
  <c r="AV70" i="6"/>
  <c r="AX70" i="6"/>
  <c r="AZ70" i="6"/>
  <c r="BD70" i="6"/>
  <c r="AM70" i="6"/>
  <c r="BI70" i="6"/>
  <c r="V70" i="6"/>
  <c r="BJ70" i="6"/>
  <c r="BK70" i="6" s="1"/>
  <c r="Q70" i="6"/>
  <c r="AI70" i="6"/>
  <c r="AP70" i="6"/>
  <c r="S70" i="6"/>
  <c r="F70" i="6"/>
  <c r="G70" i="6"/>
  <c r="D70" i="6"/>
  <c r="AH70" i="6"/>
  <c r="AA70" i="6"/>
  <c r="AE70" i="6"/>
  <c r="T70" i="6"/>
  <c r="H70" i="6"/>
  <c r="BH70" i="6"/>
  <c r="M70" i="6"/>
  <c r="C70" i="6"/>
  <c r="AG70" i="6"/>
  <c r="P70" i="6"/>
  <c r="BC70" i="6"/>
  <c r="AO70" i="6"/>
  <c r="Z70" i="6"/>
  <c r="AK70" i="6"/>
  <c r="AJ70" i="6"/>
  <c r="Y70" i="6"/>
  <c r="AR70" i="6"/>
  <c r="AU70" i="6"/>
  <c r="BE70" i="6"/>
  <c r="L70" i="6"/>
  <c r="BG70" i="6"/>
  <c r="AY70" i="6"/>
  <c r="BB70" i="6"/>
  <c r="E70" i="6"/>
  <c r="BF70" i="6"/>
  <c r="U70" i="6"/>
  <c r="AL70" i="6"/>
  <c r="R70" i="6"/>
  <c r="AQ70" i="6"/>
  <c r="AF70" i="6"/>
  <c r="K70" i="6"/>
  <c r="BA70" i="6"/>
  <c r="AC70" i="6"/>
  <c r="J70" i="6"/>
  <c r="I70" i="6"/>
  <c r="X70" i="6"/>
  <c r="AB70" i="6"/>
  <c r="AW70" i="6"/>
  <c r="W70" i="6"/>
  <c r="AS70" i="6"/>
  <c r="AY71" i="6"/>
  <c r="N71" i="6"/>
  <c r="M71" i="6"/>
  <c r="AV71" i="6"/>
  <c r="X71" i="6"/>
  <c r="AC71" i="6"/>
  <c r="C71" i="6"/>
  <c r="AB71" i="6"/>
  <c r="AA71" i="6"/>
  <c r="J71" i="6"/>
  <c r="BF71" i="6"/>
  <c r="BA71" i="6"/>
  <c r="AU71" i="6"/>
  <c r="BB71" i="6"/>
  <c r="AZ71" i="6"/>
  <c r="K71" i="6"/>
  <c r="W71" i="6"/>
  <c r="AP71" i="6"/>
  <c r="AL71" i="6"/>
  <c r="AD71" i="6"/>
  <c r="T71" i="6"/>
  <c r="AK71" i="6"/>
  <c r="AO71" i="6"/>
  <c r="BD71" i="6"/>
  <c r="AE71" i="6"/>
  <c r="Z71" i="6"/>
  <c r="AW71" i="6"/>
  <c r="D71" i="6"/>
  <c r="AR71" i="6"/>
  <c r="Y71" i="6"/>
  <c r="AQ71" i="6"/>
  <c r="BC71" i="6"/>
  <c r="BJ71" i="6"/>
  <c r="BK71" i="6" s="1"/>
  <c r="Q71" i="6"/>
  <c r="AH71" i="6"/>
  <c r="BE71" i="6"/>
  <c r="AS71" i="6"/>
  <c r="AG71" i="6"/>
  <c r="G71" i="6"/>
  <c r="BI71" i="6"/>
  <c r="AT71" i="6"/>
  <c r="V71" i="6"/>
  <c r="AX71" i="6"/>
  <c r="AJ71" i="6"/>
  <c r="BH71" i="6"/>
  <c r="BG71" i="6"/>
  <c r="S71" i="6"/>
  <c r="F71" i="6"/>
  <c r="AN71" i="6"/>
  <c r="U71" i="6"/>
  <c r="I71" i="6"/>
  <c r="H71" i="6"/>
  <c r="R71" i="6"/>
  <c r="AF71" i="6"/>
  <c r="AM71" i="6"/>
  <c r="O71" i="6"/>
  <c r="L71" i="6"/>
  <c r="AI71" i="6"/>
  <c r="P71" i="6"/>
  <c r="E71" i="6"/>
  <c r="C73" i="6"/>
  <c r="W73" i="6"/>
  <c r="F73" i="6"/>
  <c r="BC73" i="6"/>
  <c r="AG73" i="6"/>
  <c r="AB73" i="6"/>
  <c r="AC73" i="6"/>
  <c r="V73" i="6"/>
  <c r="AL73" i="6"/>
  <c r="AM73" i="6"/>
  <c r="AI73" i="6"/>
  <c r="AY73" i="6"/>
  <c r="R73" i="6"/>
  <c r="AV73" i="6"/>
  <c r="AX73" i="6"/>
  <c r="D73" i="6"/>
  <c r="AH73" i="6"/>
  <c r="AT73" i="6"/>
  <c r="X73" i="6"/>
  <c r="AK73" i="6"/>
  <c r="AE73" i="6"/>
  <c r="BD73" i="6"/>
  <c r="BH73" i="6"/>
  <c r="AW73" i="6"/>
  <c r="AF73" i="6"/>
  <c r="Y73" i="6"/>
  <c r="K73" i="6"/>
  <c r="Q73" i="6"/>
  <c r="AP73" i="6"/>
  <c r="AD73" i="6"/>
  <c r="J73" i="6"/>
  <c r="AO73" i="6"/>
  <c r="BJ73" i="6"/>
  <c r="BK73" i="6" s="1"/>
  <c r="Z73" i="6"/>
  <c r="L73" i="6"/>
  <c r="BF73" i="6"/>
  <c r="AN73" i="6"/>
  <c r="M73" i="6"/>
  <c r="AJ73" i="6"/>
  <c r="BA73" i="6"/>
  <c r="S73" i="6"/>
  <c r="AZ73" i="6"/>
  <c r="AU73" i="6"/>
  <c r="BE73" i="6"/>
  <c r="I73" i="6"/>
  <c r="H73" i="6"/>
  <c r="AA73" i="6"/>
  <c r="AR73" i="6"/>
  <c r="O73" i="6"/>
  <c r="N73" i="6"/>
  <c r="P73" i="6"/>
  <c r="G73" i="6"/>
  <c r="BB73" i="6"/>
  <c r="AS73" i="6"/>
  <c r="BG73" i="6"/>
  <c r="E73" i="6"/>
  <c r="BI73" i="6"/>
  <c r="AQ73" i="6"/>
  <c r="T73" i="6"/>
  <c r="U73" i="6"/>
  <c r="BF72" i="6"/>
  <c r="AM72" i="6"/>
  <c r="BD72" i="6"/>
  <c r="O72" i="6"/>
  <c r="G72" i="6"/>
  <c r="N72" i="6"/>
  <c r="AS72" i="6"/>
  <c r="F72" i="6"/>
  <c r="AK72" i="6"/>
  <c r="BH72" i="6"/>
  <c r="AJ72" i="6"/>
  <c r="R72" i="6"/>
  <c r="AE72" i="6"/>
  <c r="U72" i="6"/>
  <c r="AU72" i="6"/>
  <c r="AD72" i="6"/>
  <c r="Z72" i="6"/>
  <c r="BI72" i="6"/>
  <c r="AH72" i="6"/>
  <c r="AG72" i="6"/>
  <c r="E72" i="6"/>
  <c r="AO72" i="6"/>
  <c r="AB72" i="6"/>
  <c r="AN72" i="6"/>
  <c r="Q72" i="6"/>
  <c r="BE72" i="6"/>
  <c r="T72" i="6"/>
  <c r="AR72" i="6"/>
  <c r="BG72" i="6"/>
  <c r="J72" i="6"/>
  <c r="BB72" i="6"/>
  <c r="X72" i="6"/>
  <c r="I72" i="6"/>
  <c r="AQ72" i="6"/>
  <c r="AZ72" i="6"/>
  <c r="H72" i="6"/>
  <c r="V72" i="6"/>
  <c r="AV72" i="6"/>
  <c r="P72" i="6"/>
  <c r="S72" i="6"/>
  <c r="AF72" i="6"/>
  <c r="AC72" i="6"/>
  <c r="AA72" i="6"/>
  <c r="K72" i="6"/>
  <c r="AI72" i="6"/>
  <c r="W72" i="6"/>
  <c r="C72" i="6"/>
  <c r="AY72" i="6"/>
  <c r="Y72" i="6"/>
  <c r="BC72" i="6"/>
  <c r="AX72" i="6"/>
  <c r="BJ72" i="6"/>
  <c r="AT72" i="6"/>
  <c r="AP72" i="6"/>
  <c r="L72" i="6"/>
  <c r="M72" i="6"/>
  <c r="BA72" i="6"/>
  <c r="AW72" i="6"/>
  <c r="D72" i="6"/>
  <c r="AL72" i="6"/>
  <c r="BJ74" i="6"/>
  <c r="N74" i="6"/>
  <c r="O74" i="6"/>
  <c r="I74" i="6"/>
  <c r="BG74" i="6"/>
  <c r="J74" i="6"/>
  <c r="M74" i="6"/>
  <c r="K74" i="6"/>
  <c r="R74" i="6"/>
  <c r="AN74" i="6"/>
  <c r="AG74" i="6"/>
  <c r="AD74" i="6"/>
  <c r="X74" i="6"/>
  <c r="AM74" i="6"/>
  <c r="L74" i="6"/>
  <c r="E74" i="6"/>
  <c r="AU74" i="6"/>
  <c r="T74" i="6"/>
  <c r="D74" i="6"/>
  <c r="BE74" i="6"/>
  <c r="Q74" i="6"/>
  <c r="G74" i="6"/>
  <c r="U74" i="6"/>
  <c r="AB74" i="6"/>
  <c r="W74" i="6"/>
  <c r="AV74" i="6"/>
  <c r="AK74" i="6"/>
  <c r="AW74" i="6"/>
  <c r="F74" i="6"/>
  <c r="AQ74" i="6"/>
  <c r="AF74" i="6"/>
  <c r="BB74" i="6"/>
  <c r="P74" i="6"/>
  <c r="H74" i="6"/>
  <c r="AA74" i="6"/>
  <c r="BH74" i="6"/>
  <c r="AS74" i="6"/>
  <c r="AR74" i="6"/>
  <c r="AE74" i="6"/>
  <c r="BC74" i="6"/>
  <c r="AL74" i="6"/>
  <c r="AT74" i="6"/>
  <c r="AH74" i="6"/>
  <c r="AY74" i="6"/>
  <c r="AO74" i="6"/>
  <c r="AX74" i="6"/>
  <c r="Y74" i="6"/>
  <c r="BD74" i="6"/>
  <c r="AI74" i="6"/>
  <c r="AJ74" i="6"/>
  <c r="S74" i="6"/>
  <c r="V74" i="6"/>
  <c r="BF74" i="6"/>
  <c r="AZ74" i="6"/>
  <c r="AC74" i="6"/>
  <c r="Z74" i="6"/>
  <c r="BA74" i="6"/>
  <c r="BI74" i="6"/>
  <c r="AP74" i="6"/>
  <c r="C74" i="6"/>
  <c r="F75" i="6"/>
  <c r="AT75" i="6"/>
  <c r="BD75" i="6"/>
  <c r="AI75" i="6"/>
  <c r="AQ75" i="6"/>
  <c r="Z75" i="6"/>
  <c r="BH75" i="6"/>
  <c r="AD75" i="6"/>
  <c r="AE75" i="6"/>
  <c r="W75" i="6"/>
  <c r="AV75" i="6"/>
  <c r="Y75" i="6"/>
  <c r="AR75" i="6"/>
  <c r="V75" i="6"/>
  <c r="J75" i="6"/>
  <c r="D75" i="6"/>
  <c r="X75" i="6"/>
  <c r="AA75" i="6"/>
  <c r="O75" i="6"/>
  <c r="P75" i="6"/>
  <c r="AG75" i="6"/>
  <c r="C75" i="6"/>
  <c r="E75" i="6"/>
  <c r="BE75" i="6"/>
  <c r="AK75" i="6"/>
  <c r="BC75" i="6"/>
  <c r="AC75" i="6"/>
  <c r="L75" i="6"/>
  <c r="AO75" i="6"/>
  <c r="N75" i="6"/>
  <c r="AZ75" i="6"/>
  <c r="G75" i="6"/>
  <c r="BF75" i="6"/>
  <c r="M75" i="6"/>
  <c r="I75" i="6"/>
  <c r="BI75" i="6"/>
  <c r="AJ75" i="6"/>
  <c r="T75" i="6"/>
  <c r="H75" i="6"/>
  <c r="BG75" i="6"/>
  <c r="AY75" i="6"/>
  <c r="K75" i="6"/>
  <c r="AU75" i="6"/>
  <c r="S75" i="6"/>
  <c r="BJ75" i="6"/>
  <c r="AF75" i="6"/>
  <c r="Q75" i="6"/>
  <c r="AM75" i="6"/>
  <c r="AW75" i="6"/>
  <c r="AB75" i="6"/>
  <c r="BA75" i="6"/>
  <c r="U75" i="6"/>
  <c r="AP75" i="6"/>
  <c r="BB75" i="6"/>
  <c r="AL75" i="6"/>
  <c r="AX75" i="6"/>
  <c r="AH75" i="6"/>
  <c r="AN75" i="6"/>
  <c r="R75" i="6"/>
  <c r="AS75" i="6"/>
  <c r="BF76" i="6"/>
  <c r="BC76" i="6"/>
  <c r="AO76" i="6"/>
  <c r="AG76" i="6"/>
  <c r="E76" i="6"/>
  <c r="BG76" i="6"/>
  <c r="AR76" i="6"/>
  <c r="N76" i="6"/>
  <c r="J76" i="6"/>
  <c r="BA76" i="6"/>
  <c r="X76" i="6"/>
  <c r="AF76" i="6"/>
  <c r="BD76" i="6"/>
  <c r="U76" i="6"/>
  <c r="W76" i="6"/>
  <c r="Z76" i="6"/>
  <c r="AC76" i="6"/>
  <c r="S76" i="6"/>
  <c r="O76" i="6"/>
  <c r="AL76" i="6"/>
  <c r="R76" i="6"/>
  <c r="G76" i="6"/>
  <c r="AM76" i="6"/>
  <c r="AU76" i="6"/>
  <c r="AB76" i="6"/>
  <c r="BE76" i="6"/>
  <c r="AP76" i="6"/>
  <c r="AY76" i="6"/>
  <c r="AW76" i="6"/>
  <c r="AK76" i="6"/>
  <c r="AA76" i="6"/>
  <c r="BH76" i="6"/>
  <c r="D76" i="6"/>
  <c r="BB76" i="6"/>
  <c r="AZ76" i="6"/>
  <c r="F76" i="6"/>
  <c r="T76" i="6"/>
  <c r="V76" i="6"/>
  <c r="AN76" i="6"/>
  <c r="C76" i="6"/>
  <c r="AX76" i="6"/>
  <c r="Y76" i="6"/>
  <c r="AQ76" i="6"/>
  <c r="Q76" i="6"/>
  <c r="AV76" i="6"/>
  <c r="BI76" i="6"/>
  <c r="AS76" i="6"/>
  <c r="AI76" i="6"/>
  <c r="M76" i="6"/>
  <c r="I76" i="6"/>
  <c r="BJ76" i="6"/>
  <c r="AD76" i="6"/>
  <c r="AT76" i="6"/>
  <c r="H76" i="6"/>
  <c r="K76" i="6"/>
  <c r="AJ76" i="6"/>
  <c r="AE76" i="6"/>
  <c r="AH76" i="6"/>
  <c r="P76" i="6"/>
  <c r="L76" i="6"/>
  <c r="BK74" i="6"/>
  <c r="C59" i="6"/>
  <c r="C155" i="6" s="1"/>
  <c r="C60" i="6"/>
  <c r="C156" i="6" s="1"/>
  <c r="BK27" i="6"/>
  <c r="BE43" i="6" s="1"/>
  <c r="BK28" i="6"/>
  <c r="BA44" i="6" s="1"/>
  <c r="C55" i="6"/>
  <c r="C151" i="6" s="1"/>
  <c r="C54" i="6"/>
  <c r="C150" i="6" s="1"/>
  <c r="C57" i="6"/>
  <c r="C153" i="6" s="1"/>
  <c r="C56" i="6"/>
  <c r="C152" i="6" s="1"/>
  <c r="C58" i="6"/>
  <c r="C154" i="6" s="1"/>
  <c r="BJ32" i="6"/>
  <c r="BK15" i="6"/>
  <c r="BK25" i="6"/>
  <c r="BK23" i="6"/>
  <c r="BK24" i="6"/>
  <c r="BK22" i="6"/>
  <c r="BK26" i="6"/>
  <c r="D57" i="6" l="1"/>
  <c r="D54" i="6"/>
  <c r="D58" i="6"/>
  <c r="D60" i="6"/>
  <c r="D56" i="6"/>
  <c r="D55" i="6"/>
  <c r="D59" i="6"/>
  <c r="BK76" i="6"/>
  <c r="BK72" i="6"/>
  <c r="BK75" i="6"/>
  <c r="C80" i="6"/>
  <c r="S80" i="6"/>
  <c r="AT80" i="6"/>
  <c r="M80" i="6"/>
  <c r="AL80" i="6"/>
  <c r="AG80" i="6"/>
  <c r="P80" i="6"/>
  <c r="L80" i="6"/>
  <c r="AV80" i="6"/>
  <c r="AI80" i="6"/>
  <c r="G80" i="6"/>
  <c r="AU80" i="6"/>
  <c r="AN80" i="6"/>
  <c r="AS80" i="6"/>
  <c r="F80" i="6"/>
  <c r="BK79" i="6"/>
  <c r="U80" i="6"/>
  <c r="AC80" i="6"/>
  <c r="AJ80" i="6"/>
  <c r="BA80" i="6"/>
  <c r="AR80" i="6"/>
  <c r="I80" i="6"/>
  <c r="AA80" i="6"/>
  <c r="BC80" i="6"/>
  <c r="AW80" i="6"/>
  <c r="Z80" i="6"/>
  <c r="O80" i="6"/>
  <c r="BD80" i="6"/>
  <c r="BI80" i="6"/>
  <c r="W80" i="6"/>
  <c r="BF80" i="6"/>
  <c r="AO80" i="6"/>
  <c r="BG80" i="6"/>
  <c r="K80" i="6"/>
  <c r="E80" i="6"/>
  <c r="J80" i="6"/>
  <c r="BE80" i="6"/>
  <c r="Q80" i="6"/>
  <c r="AF80" i="6"/>
  <c r="N80" i="6"/>
  <c r="R80" i="6"/>
  <c r="H80" i="6"/>
  <c r="X80" i="6"/>
  <c r="AZ80" i="6"/>
  <c r="V80" i="6"/>
  <c r="AM80" i="6"/>
  <c r="AD80" i="6"/>
  <c r="D80" i="6"/>
  <c r="AH80" i="6"/>
  <c r="AB80" i="6"/>
  <c r="AP80" i="6"/>
  <c r="T80" i="6"/>
  <c r="Y80" i="6"/>
  <c r="AK80" i="6"/>
  <c r="AE80" i="6"/>
  <c r="BH80" i="6"/>
  <c r="AY80" i="6"/>
  <c r="AX80" i="6"/>
  <c r="BB80" i="6"/>
  <c r="AQ80" i="6"/>
  <c r="Y44" i="6"/>
  <c r="Q43" i="6"/>
  <c r="BI43" i="6"/>
  <c r="G43" i="6"/>
  <c r="S43" i="6"/>
  <c r="AT43" i="6"/>
  <c r="AF43" i="6"/>
  <c r="BM27" i="6"/>
  <c r="O43" i="6"/>
  <c r="R43" i="6"/>
  <c r="AQ43" i="6"/>
  <c r="BJ43" i="6"/>
  <c r="AR43" i="6"/>
  <c r="AC43" i="6"/>
  <c r="BG43" i="6"/>
  <c r="BD43" i="6"/>
  <c r="AK43" i="6"/>
  <c r="AH43" i="6"/>
  <c r="Z43" i="6"/>
  <c r="L43" i="6"/>
  <c r="W43" i="6"/>
  <c r="BF43" i="6"/>
  <c r="V43" i="6"/>
  <c r="X43" i="6"/>
  <c r="E43" i="6"/>
  <c r="AW43" i="6"/>
  <c r="AU43" i="6"/>
  <c r="AM43" i="6"/>
  <c r="K43" i="6"/>
  <c r="AY43" i="6"/>
  <c r="AD43" i="6"/>
  <c r="H43" i="6"/>
  <c r="AB43" i="6"/>
  <c r="AV43" i="6"/>
  <c r="M43" i="6"/>
  <c r="AG43" i="6"/>
  <c r="BA43" i="6"/>
  <c r="AX43" i="6"/>
  <c r="AP43" i="6"/>
  <c r="AA43" i="6"/>
  <c r="N43" i="6"/>
  <c r="BB43" i="6"/>
  <c r="P43" i="6"/>
  <c r="AN43" i="6"/>
  <c r="BH43" i="6"/>
  <c r="U43" i="6"/>
  <c r="AS43" i="6"/>
  <c r="BJ80" i="6"/>
  <c r="W44" i="6"/>
  <c r="BG44" i="6"/>
  <c r="D44" i="6"/>
  <c r="T44" i="6"/>
  <c r="AT44" i="6"/>
  <c r="I44" i="6"/>
  <c r="K44" i="6"/>
  <c r="BC44" i="6"/>
  <c r="AJ44" i="6"/>
  <c r="AO44" i="6"/>
  <c r="BC43" i="6"/>
  <c r="AE43" i="6"/>
  <c r="J43" i="6"/>
  <c r="C43" i="6"/>
  <c r="AI43" i="6"/>
  <c r="F43" i="6"/>
  <c r="AL43" i="6"/>
  <c r="D43" i="6"/>
  <c r="T43" i="6"/>
  <c r="AJ43" i="6"/>
  <c r="AZ43" i="6"/>
  <c r="I43" i="6"/>
  <c r="Y43" i="6"/>
  <c r="AO43" i="6"/>
  <c r="V44" i="6"/>
  <c r="AH44" i="6"/>
  <c r="AZ44" i="6"/>
  <c r="BE44" i="6"/>
  <c r="F44" i="6"/>
  <c r="AP44" i="6"/>
  <c r="AI44" i="6"/>
  <c r="AQ44" i="6"/>
  <c r="BJ44" i="6"/>
  <c r="AE44" i="6"/>
  <c r="J44" i="6"/>
  <c r="H44" i="6"/>
  <c r="X44" i="6"/>
  <c r="AN44" i="6"/>
  <c r="BD44" i="6"/>
  <c r="M44" i="6"/>
  <c r="AC44" i="6"/>
  <c r="AS44" i="6"/>
  <c r="BI44" i="6"/>
  <c r="S44" i="6"/>
  <c r="AA44" i="6"/>
  <c r="BB44" i="6"/>
  <c r="N44" i="6"/>
  <c r="G44" i="6"/>
  <c r="AM44" i="6"/>
  <c r="R44" i="6"/>
  <c r="AX44" i="6"/>
  <c r="L44" i="6"/>
  <c r="AB44" i="6"/>
  <c r="AR44" i="6"/>
  <c r="BH44" i="6"/>
  <c r="Q44" i="6"/>
  <c r="AG44" i="6"/>
  <c r="AW44" i="6"/>
  <c r="BM28" i="6"/>
  <c r="AL44" i="6"/>
  <c r="AY44" i="6"/>
  <c r="C44" i="6"/>
  <c r="AD44" i="6"/>
  <c r="O44" i="6"/>
  <c r="AU44" i="6"/>
  <c r="Z44" i="6"/>
  <c r="BF44" i="6"/>
  <c r="P44" i="6"/>
  <c r="AF44" i="6"/>
  <c r="AV44" i="6"/>
  <c r="E44" i="6"/>
  <c r="U44" i="6"/>
  <c r="AK44" i="6"/>
  <c r="BM26" i="6"/>
  <c r="BI42" i="6"/>
  <c r="BE42" i="6"/>
  <c r="BA42" i="6"/>
  <c r="AW42" i="6"/>
  <c r="AS42" i="6"/>
  <c r="AO42" i="6"/>
  <c r="AK42" i="6"/>
  <c r="AG42" i="6"/>
  <c r="AC42" i="6"/>
  <c r="Y42" i="6"/>
  <c r="BH42" i="6"/>
  <c r="BD42" i="6"/>
  <c r="AZ42" i="6"/>
  <c r="AV42" i="6"/>
  <c r="AR42" i="6"/>
  <c r="AN42" i="6"/>
  <c r="AJ42" i="6"/>
  <c r="AF42" i="6"/>
  <c r="AB42" i="6"/>
  <c r="X42" i="6"/>
  <c r="BF42" i="6"/>
  <c r="AX42" i="6"/>
  <c r="AP42" i="6"/>
  <c r="AH42" i="6"/>
  <c r="Z42" i="6"/>
  <c r="T42" i="6"/>
  <c r="P42" i="6"/>
  <c r="L42" i="6"/>
  <c r="H42" i="6"/>
  <c r="D42" i="6"/>
  <c r="BC42" i="6"/>
  <c r="AU42" i="6"/>
  <c r="AM42" i="6"/>
  <c r="AE42" i="6"/>
  <c r="W42" i="6"/>
  <c r="S42" i="6"/>
  <c r="O42" i="6"/>
  <c r="K42" i="6"/>
  <c r="G42" i="6"/>
  <c r="C42" i="6"/>
  <c r="BB42" i="6"/>
  <c r="AL42" i="6"/>
  <c r="V42" i="6"/>
  <c r="N42" i="6"/>
  <c r="F42" i="6"/>
  <c r="BG42" i="6"/>
  <c r="AI42" i="6"/>
  <c r="R42" i="6"/>
  <c r="I42" i="6"/>
  <c r="AT42" i="6"/>
  <c r="AA42" i="6"/>
  <c r="M42" i="6"/>
  <c r="BJ42" i="6"/>
  <c r="AQ42" i="6"/>
  <c r="U42" i="6"/>
  <c r="J42" i="6"/>
  <c r="AY42" i="6"/>
  <c r="AD42" i="6"/>
  <c r="Q42" i="6"/>
  <c r="E42" i="6"/>
  <c r="BM23" i="6"/>
  <c r="BH39" i="6"/>
  <c r="BD39" i="6"/>
  <c r="AZ39" i="6"/>
  <c r="AV39" i="6"/>
  <c r="AR39" i="6"/>
  <c r="AN39" i="6"/>
  <c r="AJ39" i="6"/>
  <c r="AF39" i="6"/>
  <c r="AB39" i="6"/>
  <c r="X39" i="6"/>
  <c r="T39" i="6"/>
  <c r="P39" i="6"/>
  <c r="L39" i="6"/>
  <c r="H39" i="6"/>
  <c r="D39" i="6"/>
  <c r="BG39" i="6"/>
  <c r="BC39" i="6"/>
  <c r="AY39" i="6"/>
  <c r="AU39" i="6"/>
  <c r="AQ39" i="6"/>
  <c r="AM39" i="6"/>
  <c r="AI39" i="6"/>
  <c r="AE39" i="6"/>
  <c r="AA39" i="6"/>
  <c r="W39" i="6"/>
  <c r="S39" i="6"/>
  <c r="O39" i="6"/>
  <c r="K39" i="6"/>
  <c r="G39" i="6"/>
  <c r="C39" i="6"/>
  <c r="BF39" i="6"/>
  <c r="AX39" i="6"/>
  <c r="AP39" i="6"/>
  <c r="AH39" i="6"/>
  <c r="Z39" i="6"/>
  <c r="R39" i="6"/>
  <c r="J39" i="6"/>
  <c r="BI39" i="6"/>
  <c r="AW39" i="6"/>
  <c r="AL39" i="6"/>
  <c r="AC39" i="6"/>
  <c r="Q39" i="6"/>
  <c r="F39" i="6"/>
  <c r="BB39" i="6"/>
  <c r="AS39" i="6"/>
  <c r="AG39" i="6"/>
  <c r="V39" i="6"/>
  <c r="M39" i="6"/>
  <c r="BJ39" i="6"/>
  <c r="BA39" i="6"/>
  <c r="AO39" i="6"/>
  <c r="AD39" i="6"/>
  <c r="U39" i="6"/>
  <c r="I39" i="6"/>
  <c r="BE39" i="6"/>
  <c r="AT39" i="6"/>
  <c r="AK39" i="6"/>
  <c r="Y39" i="6"/>
  <c r="N39" i="6"/>
  <c r="E39" i="6"/>
  <c r="BM24" i="6"/>
  <c r="BH40" i="6"/>
  <c r="BD40" i="6"/>
  <c r="AZ40" i="6"/>
  <c r="AV40" i="6"/>
  <c r="AR40" i="6"/>
  <c r="AN40" i="6"/>
  <c r="AJ40" i="6"/>
  <c r="AF40" i="6"/>
  <c r="AB40" i="6"/>
  <c r="X40" i="6"/>
  <c r="T40" i="6"/>
  <c r="P40" i="6"/>
  <c r="L40" i="6"/>
  <c r="H40" i="6"/>
  <c r="D40" i="6"/>
  <c r="BG40" i="6"/>
  <c r="BC40" i="6"/>
  <c r="AY40" i="6"/>
  <c r="AU40" i="6"/>
  <c r="AQ40" i="6"/>
  <c r="AM40" i="6"/>
  <c r="AI40" i="6"/>
  <c r="AE40" i="6"/>
  <c r="AA40" i="6"/>
  <c r="W40" i="6"/>
  <c r="S40" i="6"/>
  <c r="O40" i="6"/>
  <c r="K40" i="6"/>
  <c r="G40" i="6"/>
  <c r="C40" i="6"/>
  <c r="BJ40" i="6"/>
  <c r="BB40" i="6"/>
  <c r="AT40" i="6"/>
  <c r="AL40" i="6"/>
  <c r="AD40" i="6"/>
  <c r="V40" i="6"/>
  <c r="N40" i="6"/>
  <c r="F40" i="6"/>
  <c r="BA40" i="6"/>
  <c r="AP40" i="6"/>
  <c r="AG40" i="6"/>
  <c r="U40" i="6"/>
  <c r="J40" i="6"/>
  <c r="BF40" i="6"/>
  <c r="AW40" i="6"/>
  <c r="AK40" i="6"/>
  <c r="Z40" i="6"/>
  <c r="Q40" i="6"/>
  <c r="E40" i="6"/>
  <c r="BE40" i="6"/>
  <c r="AS40" i="6"/>
  <c r="AH40" i="6"/>
  <c r="M40" i="6"/>
  <c r="BI40" i="6"/>
  <c r="AX40" i="6"/>
  <c r="AO40" i="6"/>
  <c r="AC40" i="6"/>
  <c r="R40" i="6"/>
  <c r="I40" i="6"/>
  <c r="Y40" i="6"/>
  <c r="BM22" i="6"/>
  <c r="BJ38" i="6"/>
  <c r="BF38" i="6"/>
  <c r="BB38" i="6"/>
  <c r="AX38" i="6"/>
  <c r="AT38" i="6"/>
  <c r="AP38" i="6"/>
  <c r="AL38" i="6"/>
  <c r="AH38" i="6"/>
  <c r="AD38" i="6"/>
  <c r="Z38" i="6"/>
  <c r="V38" i="6"/>
  <c r="R38" i="6"/>
  <c r="N38" i="6"/>
  <c r="J38" i="6"/>
  <c r="F38" i="6"/>
  <c r="BG38" i="6"/>
  <c r="BA38" i="6"/>
  <c r="AV38" i="6"/>
  <c r="AQ38" i="6"/>
  <c r="AK38" i="6"/>
  <c r="AF38" i="6"/>
  <c r="AA38" i="6"/>
  <c r="U38" i="6"/>
  <c r="P38" i="6"/>
  <c r="K38" i="6"/>
  <c r="E38" i="6"/>
  <c r="BI38" i="6"/>
  <c r="BD38" i="6"/>
  <c r="AY38" i="6"/>
  <c r="AS38" i="6"/>
  <c r="AN38" i="6"/>
  <c r="AI38" i="6"/>
  <c r="X38" i="6"/>
  <c r="S38" i="6"/>
  <c r="M38" i="6"/>
  <c r="H38" i="6"/>
  <c r="C38" i="6"/>
  <c r="BH38" i="6"/>
  <c r="BC38" i="6"/>
  <c r="AW38" i="6"/>
  <c r="AR38" i="6"/>
  <c r="AM38" i="6"/>
  <c r="AB38" i="6"/>
  <c r="W38" i="6"/>
  <c r="Q38" i="6"/>
  <c r="L38" i="6"/>
  <c r="G38" i="6"/>
  <c r="BE38" i="6"/>
  <c r="AZ38" i="6"/>
  <c r="AU38" i="6"/>
  <c r="AO38" i="6"/>
  <c r="AJ38" i="6"/>
  <c r="AE38" i="6"/>
  <c r="Y38" i="6"/>
  <c r="T38" i="6"/>
  <c r="O38" i="6"/>
  <c r="I38" i="6"/>
  <c r="D38" i="6"/>
  <c r="AC38" i="6"/>
  <c r="AG38" i="6"/>
  <c r="BM25" i="6"/>
  <c r="BH41" i="6"/>
  <c r="BD41" i="6"/>
  <c r="AZ41" i="6"/>
  <c r="AV41" i="6"/>
  <c r="AR41" i="6"/>
  <c r="AN41" i="6"/>
  <c r="AJ41" i="6"/>
  <c r="AF41" i="6"/>
  <c r="AB41" i="6"/>
  <c r="X41" i="6"/>
  <c r="T41" i="6"/>
  <c r="P41" i="6"/>
  <c r="L41" i="6"/>
  <c r="H41" i="6"/>
  <c r="D41" i="6"/>
  <c r="BG41" i="6"/>
  <c r="BC41" i="6"/>
  <c r="AY41" i="6"/>
  <c r="AU41" i="6"/>
  <c r="AQ41" i="6"/>
  <c r="AM41" i="6"/>
  <c r="AI41" i="6"/>
  <c r="AE41" i="6"/>
  <c r="AA41" i="6"/>
  <c r="W41" i="6"/>
  <c r="S41" i="6"/>
  <c r="O41" i="6"/>
  <c r="K41" i="6"/>
  <c r="G41" i="6"/>
  <c r="C41" i="6"/>
  <c r="BF41" i="6"/>
  <c r="AX41" i="6"/>
  <c r="AP41" i="6"/>
  <c r="AH41" i="6"/>
  <c r="Z41" i="6"/>
  <c r="R41" i="6"/>
  <c r="J41" i="6"/>
  <c r="BE41" i="6"/>
  <c r="AT41" i="6"/>
  <c r="AK41" i="6"/>
  <c r="Y41" i="6"/>
  <c r="N41" i="6"/>
  <c r="E41" i="6"/>
  <c r="BJ41" i="6"/>
  <c r="BA41" i="6"/>
  <c r="AO41" i="6"/>
  <c r="AD41" i="6"/>
  <c r="I41" i="6"/>
  <c r="BI41" i="6"/>
  <c r="AW41" i="6"/>
  <c r="AL41" i="6"/>
  <c r="AC41" i="6"/>
  <c r="Q41" i="6"/>
  <c r="F41" i="6"/>
  <c r="BB41" i="6"/>
  <c r="AS41" i="6"/>
  <c r="AG41" i="6"/>
  <c r="V41" i="6"/>
  <c r="M41" i="6"/>
  <c r="U41" i="6"/>
  <c r="BK32" i="6"/>
  <c r="D5" i="8" l="1"/>
  <c r="D152" i="6"/>
  <c r="D153" i="6"/>
  <c r="D154" i="6"/>
  <c r="D155" i="6"/>
  <c r="D156" i="6"/>
  <c r="BK157" i="6"/>
  <c r="BK80" i="6"/>
  <c r="BG87" i="6"/>
  <c r="BG103" i="6" s="1"/>
  <c r="BC87" i="6"/>
  <c r="BC103" i="6" s="1"/>
  <c r="AY87" i="6"/>
  <c r="AY103" i="6" s="1"/>
  <c r="AU87" i="6"/>
  <c r="AU103" i="6" s="1"/>
  <c r="AQ87" i="6"/>
  <c r="AQ103" i="6" s="1"/>
  <c r="AM87" i="6"/>
  <c r="AM103" i="6" s="1"/>
  <c r="AI87" i="6"/>
  <c r="AI103" i="6" s="1"/>
  <c r="AE87" i="6"/>
  <c r="AE103" i="6" s="1"/>
  <c r="AA87" i="6"/>
  <c r="AA103" i="6" s="1"/>
  <c r="W87" i="6"/>
  <c r="W103" i="6" s="1"/>
  <c r="S87" i="6"/>
  <c r="S103" i="6" s="1"/>
  <c r="O87" i="6"/>
  <c r="O103" i="6" s="1"/>
  <c r="K87" i="6"/>
  <c r="K103" i="6" s="1"/>
  <c r="G87" i="6"/>
  <c r="G103" i="6" s="1"/>
  <c r="C87" i="6"/>
  <c r="BI87" i="6"/>
  <c r="BI103" i="6" s="1"/>
  <c r="BA87" i="6"/>
  <c r="BA103" i="6" s="1"/>
  <c r="AS87" i="6"/>
  <c r="AS103" i="6" s="1"/>
  <c r="AK87" i="6"/>
  <c r="AK103" i="6" s="1"/>
  <c r="AG87" i="6"/>
  <c r="AG103" i="6" s="1"/>
  <c r="Y87" i="6"/>
  <c r="Y103" i="6" s="1"/>
  <c r="Q87" i="6"/>
  <c r="Q103" i="6" s="1"/>
  <c r="I87" i="6"/>
  <c r="I103" i="6" s="1"/>
  <c r="E87" i="6"/>
  <c r="E103" i="6" s="1"/>
  <c r="BJ87" i="6"/>
  <c r="BF87" i="6"/>
  <c r="BF103" i="6" s="1"/>
  <c r="BB87" i="6"/>
  <c r="BB103" i="6" s="1"/>
  <c r="AX87" i="6"/>
  <c r="AX103" i="6" s="1"/>
  <c r="AT87" i="6"/>
  <c r="AT103" i="6" s="1"/>
  <c r="AP87" i="6"/>
  <c r="AP103" i="6" s="1"/>
  <c r="AL87" i="6"/>
  <c r="AL103" i="6" s="1"/>
  <c r="AH87" i="6"/>
  <c r="AH103" i="6" s="1"/>
  <c r="AD87" i="6"/>
  <c r="AD103" i="6" s="1"/>
  <c r="Z87" i="6"/>
  <c r="Z103" i="6" s="1"/>
  <c r="V87" i="6"/>
  <c r="V103" i="6" s="1"/>
  <c r="R87" i="6"/>
  <c r="R103" i="6" s="1"/>
  <c r="N87" i="6"/>
  <c r="N103" i="6" s="1"/>
  <c r="J87" i="6"/>
  <c r="J103" i="6" s="1"/>
  <c r="F87" i="6"/>
  <c r="F103" i="6" s="1"/>
  <c r="BE87" i="6"/>
  <c r="BE103" i="6" s="1"/>
  <c r="AW87" i="6"/>
  <c r="AW103" i="6" s="1"/>
  <c r="AO87" i="6"/>
  <c r="AO103" i="6" s="1"/>
  <c r="AC87" i="6"/>
  <c r="AC103" i="6" s="1"/>
  <c r="U87" i="6"/>
  <c r="U103" i="6" s="1"/>
  <c r="M87" i="6"/>
  <c r="M103" i="6" s="1"/>
  <c r="AV87" i="6"/>
  <c r="AV103" i="6" s="1"/>
  <c r="AF87" i="6"/>
  <c r="AF103" i="6" s="1"/>
  <c r="P87" i="6"/>
  <c r="P103" i="6" s="1"/>
  <c r="BD87" i="6"/>
  <c r="BD103" i="6" s="1"/>
  <c r="X87" i="6"/>
  <c r="X103" i="6" s="1"/>
  <c r="T87" i="6"/>
  <c r="T103" i="6" s="1"/>
  <c r="BH87" i="6"/>
  <c r="BH103" i="6" s="1"/>
  <c r="AR87" i="6"/>
  <c r="AR103" i="6" s="1"/>
  <c r="AB87" i="6"/>
  <c r="AB103" i="6" s="1"/>
  <c r="L87" i="6"/>
  <c r="L103" i="6" s="1"/>
  <c r="AN87" i="6"/>
  <c r="AN103" i="6" s="1"/>
  <c r="H87" i="6"/>
  <c r="H103" i="6" s="1"/>
  <c r="AZ87" i="6"/>
  <c r="AZ103" i="6" s="1"/>
  <c r="AJ87" i="6"/>
  <c r="AJ103" i="6" s="1"/>
  <c r="D87" i="6"/>
  <c r="D103" i="6" s="1"/>
  <c r="BI89" i="6"/>
  <c r="BI105" i="6" s="1"/>
  <c r="BE89" i="6"/>
  <c r="BE105" i="6" s="1"/>
  <c r="BA89" i="6"/>
  <c r="BA105" i="6" s="1"/>
  <c r="AW89" i="6"/>
  <c r="AW105" i="6" s="1"/>
  <c r="AS89" i="6"/>
  <c r="AS105" i="6" s="1"/>
  <c r="AO89" i="6"/>
  <c r="AO105" i="6" s="1"/>
  <c r="AK89" i="6"/>
  <c r="AK105" i="6" s="1"/>
  <c r="AG89" i="6"/>
  <c r="AG105" i="6" s="1"/>
  <c r="AC89" i="6"/>
  <c r="AC105" i="6" s="1"/>
  <c r="Y89" i="6"/>
  <c r="Y105" i="6" s="1"/>
  <c r="U89" i="6"/>
  <c r="U105" i="6" s="1"/>
  <c r="Q89" i="6"/>
  <c r="Q105" i="6" s="1"/>
  <c r="M89" i="6"/>
  <c r="M105" i="6" s="1"/>
  <c r="I89" i="6"/>
  <c r="I105" i="6" s="1"/>
  <c r="E89" i="6"/>
  <c r="E105" i="6" s="1"/>
  <c r="BH89" i="6"/>
  <c r="BH105" i="6" s="1"/>
  <c r="BD89" i="6"/>
  <c r="BD105" i="6" s="1"/>
  <c r="AZ89" i="6"/>
  <c r="AZ105" i="6" s="1"/>
  <c r="AV89" i="6"/>
  <c r="AV105" i="6" s="1"/>
  <c r="AR89" i="6"/>
  <c r="AR105" i="6" s="1"/>
  <c r="AN89" i="6"/>
  <c r="AN105" i="6" s="1"/>
  <c r="AJ89" i="6"/>
  <c r="AJ105" i="6" s="1"/>
  <c r="AF89" i="6"/>
  <c r="AF105" i="6" s="1"/>
  <c r="AB89" i="6"/>
  <c r="AB105" i="6" s="1"/>
  <c r="X89" i="6"/>
  <c r="X105" i="6" s="1"/>
  <c r="T89" i="6"/>
  <c r="T105" i="6" s="1"/>
  <c r="P89" i="6"/>
  <c r="P105" i="6" s="1"/>
  <c r="BC89" i="6"/>
  <c r="BC105" i="6" s="1"/>
  <c r="AU89" i="6"/>
  <c r="AU105" i="6" s="1"/>
  <c r="AM89" i="6"/>
  <c r="AM105" i="6" s="1"/>
  <c r="AE89" i="6"/>
  <c r="AE105" i="6" s="1"/>
  <c r="W89" i="6"/>
  <c r="W105" i="6" s="1"/>
  <c r="O89" i="6"/>
  <c r="O105" i="6" s="1"/>
  <c r="J89" i="6"/>
  <c r="J105" i="6" s="1"/>
  <c r="D89" i="6"/>
  <c r="D105" i="6" s="1"/>
  <c r="BG89" i="6"/>
  <c r="BG105" i="6" s="1"/>
  <c r="AQ89" i="6"/>
  <c r="AQ105" i="6" s="1"/>
  <c r="AA89" i="6"/>
  <c r="AA105" i="6" s="1"/>
  <c r="L89" i="6"/>
  <c r="L105" i="6" s="1"/>
  <c r="BJ89" i="6"/>
  <c r="BB89" i="6"/>
  <c r="BB105" i="6" s="1"/>
  <c r="AT89" i="6"/>
  <c r="AT105" i="6" s="1"/>
  <c r="AL89" i="6"/>
  <c r="AL105" i="6" s="1"/>
  <c r="AD89" i="6"/>
  <c r="AD105" i="6" s="1"/>
  <c r="V89" i="6"/>
  <c r="V105" i="6" s="1"/>
  <c r="N89" i="6"/>
  <c r="N105" i="6" s="1"/>
  <c r="H89" i="6"/>
  <c r="H105" i="6" s="1"/>
  <c r="C89" i="6"/>
  <c r="AY89" i="6"/>
  <c r="AY105" i="6" s="1"/>
  <c r="AI89" i="6"/>
  <c r="AI105" i="6" s="1"/>
  <c r="S89" i="6"/>
  <c r="S105" i="6" s="1"/>
  <c r="G89" i="6"/>
  <c r="G105" i="6" s="1"/>
  <c r="AP89" i="6"/>
  <c r="AP105" i="6" s="1"/>
  <c r="K89" i="6"/>
  <c r="K105" i="6" s="1"/>
  <c r="Z89" i="6"/>
  <c r="Z105" i="6" s="1"/>
  <c r="R89" i="6"/>
  <c r="R105" i="6" s="1"/>
  <c r="AH89" i="6"/>
  <c r="AH105" i="6" s="1"/>
  <c r="F89" i="6"/>
  <c r="F105" i="6" s="1"/>
  <c r="BF89" i="6"/>
  <c r="BF105" i="6" s="1"/>
  <c r="AX89" i="6"/>
  <c r="AX105" i="6" s="1"/>
  <c r="BI92" i="6"/>
  <c r="BI108" i="6" s="1"/>
  <c r="BE92" i="6"/>
  <c r="BE108" i="6" s="1"/>
  <c r="BA92" i="6"/>
  <c r="BA108" i="6" s="1"/>
  <c r="AW92" i="6"/>
  <c r="AW108" i="6" s="1"/>
  <c r="AS92" i="6"/>
  <c r="AS108" i="6" s="1"/>
  <c r="AO92" i="6"/>
  <c r="AO108" i="6" s="1"/>
  <c r="AK92" i="6"/>
  <c r="AK108" i="6" s="1"/>
  <c r="AG92" i="6"/>
  <c r="AG108" i="6" s="1"/>
  <c r="AC92" i="6"/>
  <c r="AC108" i="6" s="1"/>
  <c r="Y92" i="6"/>
  <c r="Y108" i="6" s="1"/>
  <c r="U92" i="6"/>
  <c r="U108" i="6" s="1"/>
  <c r="Q92" i="6"/>
  <c r="Q108" i="6" s="1"/>
  <c r="M92" i="6"/>
  <c r="M108" i="6" s="1"/>
  <c r="I92" i="6"/>
  <c r="I108" i="6" s="1"/>
  <c r="E92" i="6"/>
  <c r="E108" i="6" s="1"/>
  <c r="BH92" i="6"/>
  <c r="BH108" i="6" s="1"/>
  <c r="BC92" i="6"/>
  <c r="BC108" i="6" s="1"/>
  <c r="AX92" i="6"/>
  <c r="AX108" i="6" s="1"/>
  <c r="AR92" i="6"/>
  <c r="AR108" i="6" s="1"/>
  <c r="AM92" i="6"/>
  <c r="AM108" i="6" s="1"/>
  <c r="AH92" i="6"/>
  <c r="AH108" i="6" s="1"/>
  <c r="AB92" i="6"/>
  <c r="AB108" i="6" s="1"/>
  <c r="W92" i="6"/>
  <c r="W108" i="6" s="1"/>
  <c r="R92" i="6"/>
  <c r="R108" i="6" s="1"/>
  <c r="L92" i="6"/>
  <c r="L108" i="6" s="1"/>
  <c r="G92" i="6"/>
  <c r="G108" i="6" s="1"/>
  <c r="BG92" i="6"/>
  <c r="BG108" i="6" s="1"/>
  <c r="BB92" i="6"/>
  <c r="BB108" i="6" s="1"/>
  <c r="AV92" i="6"/>
  <c r="AV108" i="6" s="1"/>
  <c r="AQ92" i="6"/>
  <c r="AQ108" i="6" s="1"/>
  <c r="AL92" i="6"/>
  <c r="AL108" i="6" s="1"/>
  <c r="AF92" i="6"/>
  <c r="AF108" i="6" s="1"/>
  <c r="AA92" i="6"/>
  <c r="AA108" i="6" s="1"/>
  <c r="V92" i="6"/>
  <c r="V108" i="6" s="1"/>
  <c r="P92" i="6"/>
  <c r="P108" i="6" s="1"/>
  <c r="K92" i="6"/>
  <c r="K108" i="6" s="1"/>
  <c r="F92" i="6"/>
  <c r="F108" i="6" s="1"/>
  <c r="BF92" i="6"/>
  <c r="BF108" i="6" s="1"/>
  <c r="AU92" i="6"/>
  <c r="AU108" i="6" s="1"/>
  <c r="AJ92" i="6"/>
  <c r="AJ108" i="6" s="1"/>
  <c r="Z92" i="6"/>
  <c r="Z108" i="6" s="1"/>
  <c r="O92" i="6"/>
  <c r="O108" i="6" s="1"/>
  <c r="D92" i="6"/>
  <c r="D108" i="6" s="1"/>
  <c r="AP92" i="6"/>
  <c r="AP108" i="6" s="1"/>
  <c r="AE92" i="6"/>
  <c r="AE108" i="6" s="1"/>
  <c r="J92" i="6"/>
  <c r="J108" i="6" s="1"/>
  <c r="BD92" i="6"/>
  <c r="BD108" i="6" s="1"/>
  <c r="AT92" i="6"/>
  <c r="AT108" i="6" s="1"/>
  <c r="AI92" i="6"/>
  <c r="AI108" i="6" s="1"/>
  <c r="X92" i="6"/>
  <c r="X108" i="6" s="1"/>
  <c r="N92" i="6"/>
  <c r="N108" i="6" s="1"/>
  <c r="C92" i="6"/>
  <c r="AZ92" i="6"/>
  <c r="AZ108" i="6" s="1"/>
  <c r="T92" i="6"/>
  <c r="T108" i="6" s="1"/>
  <c r="BJ92" i="6"/>
  <c r="BJ108" i="6" s="1"/>
  <c r="BK108" i="6" s="1"/>
  <c r="S92" i="6"/>
  <c r="S108" i="6" s="1"/>
  <c r="AD92" i="6"/>
  <c r="AD108" i="6" s="1"/>
  <c r="AY92" i="6"/>
  <c r="AY108" i="6" s="1"/>
  <c r="H92" i="6"/>
  <c r="H108" i="6" s="1"/>
  <c r="AN92" i="6"/>
  <c r="AN108" i="6" s="1"/>
  <c r="BI91" i="6"/>
  <c r="BI107" i="6" s="1"/>
  <c r="BE91" i="6"/>
  <c r="BE107" i="6" s="1"/>
  <c r="BA91" i="6"/>
  <c r="BA107" i="6" s="1"/>
  <c r="AW91" i="6"/>
  <c r="AW107" i="6" s="1"/>
  <c r="AS91" i="6"/>
  <c r="AS107" i="6" s="1"/>
  <c r="AO91" i="6"/>
  <c r="AO107" i="6" s="1"/>
  <c r="AK91" i="6"/>
  <c r="AK107" i="6" s="1"/>
  <c r="AG91" i="6"/>
  <c r="AG107" i="6" s="1"/>
  <c r="AC91" i="6"/>
  <c r="AC107" i="6" s="1"/>
  <c r="Y91" i="6"/>
  <c r="Y107" i="6" s="1"/>
  <c r="U91" i="6"/>
  <c r="U107" i="6" s="1"/>
  <c r="Q91" i="6"/>
  <c r="Q107" i="6" s="1"/>
  <c r="M91" i="6"/>
  <c r="M107" i="6" s="1"/>
  <c r="I91" i="6"/>
  <c r="I107" i="6" s="1"/>
  <c r="E91" i="6"/>
  <c r="E107" i="6" s="1"/>
  <c r="BJ91" i="6"/>
  <c r="BD91" i="6"/>
  <c r="BD107" i="6" s="1"/>
  <c r="AY91" i="6"/>
  <c r="AY107" i="6" s="1"/>
  <c r="AT91" i="6"/>
  <c r="AT107" i="6" s="1"/>
  <c r="AN91" i="6"/>
  <c r="AN107" i="6" s="1"/>
  <c r="AI91" i="6"/>
  <c r="AI107" i="6" s="1"/>
  <c r="AD91" i="6"/>
  <c r="AD107" i="6" s="1"/>
  <c r="X91" i="6"/>
  <c r="X107" i="6" s="1"/>
  <c r="S91" i="6"/>
  <c r="S107" i="6" s="1"/>
  <c r="N91" i="6"/>
  <c r="N107" i="6" s="1"/>
  <c r="H91" i="6"/>
  <c r="H107" i="6" s="1"/>
  <c r="C91" i="6"/>
  <c r="BH91" i="6"/>
  <c r="BH107" i="6" s="1"/>
  <c r="BC91" i="6"/>
  <c r="BC107" i="6" s="1"/>
  <c r="AX91" i="6"/>
  <c r="AX107" i="6" s="1"/>
  <c r="AR91" i="6"/>
  <c r="AR107" i="6" s="1"/>
  <c r="AM91" i="6"/>
  <c r="AM107" i="6" s="1"/>
  <c r="AH91" i="6"/>
  <c r="AH107" i="6" s="1"/>
  <c r="AB91" i="6"/>
  <c r="AB107" i="6" s="1"/>
  <c r="W91" i="6"/>
  <c r="W107" i="6" s="1"/>
  <c r="R91" i="6"/>
  <c r="R107" i="6" s="1"/>
  <c r="L91" i="6"/>
  <c r="L107" i="6" s="1"/>
  <c r="G91" i="6"/>
  <c r="G107" i="6" s="1"/>
  <c r="BB91" i="6"/>
  <c r="BB107" i="6" s="1"/>
  <c r="AQ91" i="6"/>
  <c r="AQ107" i="6" s="1"/>
  <c r="AF91" i="6"/>
  <c r="AF107" i="6" s="1"/>
  <c r="V91" i="6"/>
  <c r="V107" i="6" s="1"/>
  <c r="K91" i="6"/>
  <c r="K107" i="6" s="1"/>
  <c r="AV91" i="6"/>
  <c r="AV107" i="6" s="1"/>
  <c r="AA91" i="6"/>
  <c r="AA107" i="6" s="1"/>
  <c r="F91" i="6"/>
  <c r="F107" i="6" s="1"/>
  <c r="AZ91" i="6"/>
  <c r="AZ107" i="6" s="1"/>
  <c r="AP91" i="6"/>
  <c r="AP107" i="6" s="1"/>
  <c r="AE91" i="6"/>
  <c r="AE107" i="6" s="1"/>
  <c r="T91" i="6"/>
  <c r="T107" i="6" s="1"/>
  <c r="J91" i="6"/>
  <c r="J107" i="6" s="1"/>
  <c r="BG91" i="6"/>
  <c r="BG107" i="6" s="1"/>
  <c r="AL91" i="6"/>
  <c r="AL107" i="6" s="1"/>
  <c r="P91" i="6"/>
  <c r="P107" i="6" s="1"/>
  <c r="AJ91" i="6"/>
  <c r="AJ107" i="6" s="1"/>
  <c r="O91" i="6"/>
  <c r="O107" i="6" s="1"/>
  <c r="Z91" i="6"/>
  <c r="Z107" i="6" s="1"/>
  <c r="BF91" i="6"/>
  <c r="BF107" i="6" s="1"/>
  <c r="AU91" i="6"/>
  <c r="AU107" i="6" s="1"/>
  <c r="D91" i="6"/>
  <c r="D107" i="6" s="1"/>
  <c r="BG86" i="6"/>
  <c r="BG102" i="6" s="1"/>
  <c r="BC86" i="6"/>
  <c r="BC102" i="6" s="1"/>
  <c r="AY86" i="6"/>
  <c r="AY102" i="6" s="1"/>
  <c r="AU86" i="6"/>
  <c r="AU102" i="6" s="1"/>
  <c r="AQ86" i="6"/>
  <c r="AQ102" i="6" s="1"/>
  <c r="AM86" i="6"/>
  <c r="AM102" i="6" s="1"/>
  <c r="AI86" i="6"/>
  <c r="AI102" i="6" s="1"/>
  <c r="AE86" i="6"/>
  <c r="AE102" i="6" s="1"/>
  <c r="AA86" i="6"/>
  <c r="AA102" i="6" s="1"/>
  <c r="W86" i="6"/>
  <c r="W102" i="6" s="1"/>
  <c r="S86" i="6"/>
  <c r="S102" i="6" s="1"/>
  <c r="O86" i="6"/>
  <c r="O102" i="6" s="1"/>
  <c r="K86" i="6"/>
  <c r="K102" i="6" s="1"/>
  <c r="G86" i="6"/>
  <c r="G102" i="6" s="1"/>
  <c r="C86" i="6"/>
  <c r="BE86" i="6"/>
  <c r="BE102" i="6" s="1"/>
  <c r="AW86" i="6"/>
  <c r="AW102" i="6" s="1"/>
  <c r="AO86" i="6"/>
  <c r="AO102" i="6" s="1"/>
  <c r="AC86" i="6"/>
  <c r="AC102" i="6" s="1"/>
  <c r="U86" i="6"/>
  <c r="U102" i="6" s="1"/>
  <c r="M86" i="6"/>
  <c r="M102" i="6" s="1"/>
  <c r="I86" i="6"/>
  <c r="I102" i="6" s="1"/>
  <c r="BJ86" i="6"/>
  <c r="BF86" i="6"/>
  <c r="BF102" i="6" s="1"/>
  <c r="BB86" i="6"/>
  <c r="BB102" i="6" s="1"/>
  <c r="AX86" i="6"/>
  <c r="AX102" i="6" s="1"/>
  <c r="AT86" i="6"/>
  <c r="AT102" i="6" s="1"/>
  <c r="AP86" i="6"/>
  <c r="AP102" i="6" s="1"/>
  <c r="AL86" i="6"/>
  <c r="AL102" i="6" s="1"/>
  <c r="AH86" i="6"/>
  <c r="AH102" i="6" s="1"/>
  <c r="AD86" i="6"/>
  <c r="AD102" i="6" s="1"/>
  <c r="Z86" i="6"/>
  <c r="Z102" i="6" s="1"/>
  <c r="V86" i="6"/>
  <c r="V102" i="6" s="1"/>
  <c r="R86" i="6"/>
  <c r="R102" i="6" s="1"/>
  <c r="N86" i="6"/>
  <c r="N102" i="6" s="1"/>
  <c r="J86" i="6"/>
  <c r="J102" i="6" s="1"/>
  <c r="F86" i="6"/>
  <c r="F102" i="6" s="1"/>
  <c r="BI86" i="6"/>
  <c r="BI102" i="6" s="1"/>
  <c r="BA86" i="6"/>
  <c r="BA102" i="6" s="1"/>
  <c r="AS86" i="6"/>
  <c r="AS102" i="6" s="1"/>
  <c r="AK86" i="6"/>
  <c r="AK102" i="6" s="1"/>
  <c r="AG86" i="6"/>
  <c r="AG102" i="6" s="1"/>
  <c r="Y86" i="6"/>
  <c r="Y102" i="6" s="1"/>
  <c r="Q86" i="6"/>
  <c r="Q102" i="6" s="1"/>
  <c r="E86" i="6"/>
  <c r="E102" i="6" s="1"/>
  <c r="BH86" i="6"/>
  <c r="BH102" i="6" s="1"/>
  <c r="AR86" i="6"/>
  <c r="AR102" i="6" s="1"/>
  <c r="AB86" i="6"/>
  <c r="AB102" i="6" s="1"/>
  <c r="L86" i="6"/>
  <c r="L102" i="6" s="1"/>
  <c r="AZ86" i="6"/>
  <c r="AZ102" i="6" s="1"/>
  <c r="T86" i="6"/>
  <c r="T102" i="6" s="1"/>
  <c r="AV86" i="6"/>
  <c r="AV102" i="6" s="1"/>
  <c r="P86" i="6"/>
  <c r="P102" i="6" s="1"/>
  <c r="BD86" i="6"/>
  <c r="BD102" i="6" s="1"/>
  <c r="AN86" i="6"/>
  <c r="AN102" i="6" s="1"/>
  <c r="X86" i="6"/>
  <c r="X102" i="6" s="1"/>
  <c r="H86" i="6"/>
  <c r="H102" i="6" s="1"/>
  <c r="AJ86" i="6"/>
  <c r="AJ102" i="6" s="1"/>
  <c r="D86" i="6"/>
  <c r="D102" i="6" s="1"/>
  <c r="AF86" i="6"/>
  <c r="AF102" i="6" s="1"/>
  <c r="BI88" i="6"/>
  <c r="BI104" i="6" s="1"/>
  <c r="BG88" i="6"/>
  <c r="BG104" i="6" s="1"/>
  <c r="BC88" i="6"/>
  <c r="BC104" i="6" s="1"/>
  <c r="AY88" i="6"/>
  <c r="AY104" i="6" s="1"/>
  <c r="AU88" i="6"/>
  <c r="AU104" i="6" s="1"/>
  <c r="AQ88" i="6"/>
  <c r="AQ104" i="6" s="1"/>
  <c r="AM88" i="6"/>
  <c r="AM104" i="6" s="1"/>
  <c r="AI88" i="6"/>
  <c r="AI104" i="6" s="1"/>
  <c r="AE88" i="6"/>
  <c r="AE104" i="6" s="1"/>
  <c r="AA88" i="6"/>
  <c r="AA104" i="6" s="1"/>
  <c r="W88" i="6"/>
  <c r="W104" i="6" s="1"/>
  <c r="S88" i="6"/>
  <c r="S104" i="6" s="1"/>
  <c r="O88" i="6"/>
  <c r="O104" i="6" s="1"/>
  <c r="K88" i="6"/>
  <c r="K104" i="6" s="1"/>
  <c r="G88" i="6"/>
  <c r="G104" i="6" s="1"/>
  <c r="C88" i="6"/>
  <c r="BJ88" i="6"/>
  <c r="BA88" i="6"/>
  <c r="BA104" i="6" s="1"/>
  <c r="AW88" i="6"/>
  <c r="AW104" i="6" s="1"/>
  <c r="AO88" i="6"/>
  <c r="AO104" i="6" s="1"/>
  <c r="AG88" i="6"/>
  <c r="AG104" i="6" s="1"/>
  <c r="Y88" i="6"/>
  <c r="Y104" i="6" s="1"/>
  <c r="Q88" i="6"/>
  <c r="Q104" i="6" s="1"/>
  <c r="I88" i="6"/>
  <c r="I104" i="6" s="1"/>
  <c r="BF88" i="6"/>
  <c r="BF104" i="6" s="1"/>
  <c r="BB88" i="6"/>
  <c r="BB104" i="6" s="1"/>
  <c r="AX88" i="6"/>
  <c r="AX104" i="6" s="1"/>
  <c r="AT88" i="6"/>
  <c r="AT104" i="6" s="1"/>
  <c r="AP88" i="6"/>
  <c r="AP104" i="6" s="1"/>
  <c r="AL88" i="6"/>
  <c r="AL104" i="6" s="1"/>
  <c r="AH88" i="6"/>
  <c r="AH104" i="6" s="1"/>
  <c r="AD88" i="6"/>
  <c r="AD104" i="6" s="1"/>
  <c r="Z88" i="6"/>
  <c r="Z104" i="6" s="1"/>
  <c r="V88" i="6"/>
  <c r="V104" i="6" s="1"/>
  <c r="R88" i="6"/>
  <c r="R104" i="6" s="1"/>
  <c r="N88" i="6"/>
  <c r="N104" i="6" s="1"/>
  <c r="J88" i="6"/>
  <c r="J104" i="6" s="1"/>
  <c r="F88" i="6"/>
  <c r="F104" i="6" s="1"/>
  <c r="BE88" i="6"/>
  <c r="BE104" i="6" s="1"/>
  <c r="AS88" i="6"/>
  <c r="AS104" i="6" s="1"/>
  <c r="AK88" i="6"/>
  <c r="AK104" i="6" s="1"/>
  <c r="AC88" i="6"/>
  <c r="AC104" i="6" s="1"/>
  <c r="U88" i="6"/>
  <c r="U104" i="6" s="1"/>
  <c r="M88" i="6"/>
  <c r="M104" i="6" s="1"/>
  <c r="E88" i="6"/>
  <c r="E104" i="6" s="1"/>
  <c r="AZ88" i="6"/>
  <c r="AZ104" i="6" s="1"/>
  <c r="AJ88" i="6"/>
  <c r="AJ104" i="6" s="1"/>
  <c r="T88" i="6"/>
  <c r="T104" i="6" s="1"/>
  <c r="D88" i="6"/>
  <c r="D104" i="6" s="1"/>
  <c r="AB88" i="6"/>
  <c r="AB104" i="6" s="1"/>
  <c r="AN88" i="6"/>
  <c r="AN104" i="6" s="1"/>
  <c r="H88" i="6"/>
  <c r="H104" i="6" s="1"/>
  <c r="AV88" i="6"/>
  <c r="AV104" i="6" s="1"/>
  <c r="AF88" i="6"/>
  <c r="AF104" i="6" s="1"/>
  <c r="P88" i="6"/>
  <c r="P104" i="6" s="1"/>
  <c r="BH88" i="6"/>
  <c r="BH104" i="6" s="1"/>
  <c r="AR88" i="6"/>
  <c r="AR104" i="6" s="1"/>
  <c r="L88" i="6"/>
  <c r="L104" i="6" s="1"/>
  <c r="BD88" i="6"/>
  <c r="BD104" i="6" s="1"/>
  <c r="X88" i="6"/>
  <c r="X104" i="6" s="1"/>
  <c r="BI90" i="6"/>
  <c r="BI106" i="6" s="1"/>
  <c r="BE90" i="6"/>
  <c r="BE106" i="6" s="1"/>
  <c r="BA90" i="6"/>
  <c r="BA106" i="6" s="1"/>
  <c r="AW90" i="6"/>
  <c r="AW106" i="6" s="1"/>
  <c r="AS90" i="6"/>
  <c r="AS106" i="6" s="1"/>
  <c r="AO90" i="6"/>
  <c r="AO106" i="6" s="1"/>
  <c r="AK90" i="6"/>
  <c r="AK106" i="6" s="1"/>
  <c r="AG90" i="6"/>
  <c r="AG106" i="6" s="1"/>
  <c r="AC90" i="6"/>
  <c r="AC106" i="6" s="1"/>
  <c r="Y90" i="6"/>
  <c r="Y106" i="6" s="1"/>
  <c r="BF90" i="6"/>
  <c r="BF106" i="6" s="1"/>
  <c r="AZ90" i="6"/>
  <c r="AZ106" i="6" s="1"/>
  <c r="AU90" i="6"/>
  <c r="AU106" i="6" s="1"/>
  <c r="AP90" i="6"/>
  <c r="AP106" i="6" s="1"/>
  <c r="AJ90" i="6"/>
  <c r="AJ106" i="6" s="1"/>
  <c r="AE90" i="6"/>
  <c r="AE106" i="6" s="1"/>
  <c r="Z90" i="6"/>
  <c r="Z106" i="6" s="1"/>
  <c r="U90" i="6"/>
  <c r="U106" i="6" s="1"/>
  <c r="Q90" i="6"/>
  <c r="Q106" i="6" s="1"/>
  <c r="M90" i="6"/>
  <c r="M106" i="6" s="1"/>
  <c r="I90" i="6"/>
  <c r="I106" i="6" s="1"/>
  <c r="E90" i="6"/>
  <c r="E106" i="6" s="1"/>
  <c r="BJ90" i="6"/>
  <c r="BJ106" i="6" s="1"/>
  <c r="BK106" i="6" s="1"/>
  <c r="BD90" i="6"/>
  <c r="BD106" i="6" s="1"/>
  <c r="AY90" i="6"/>
  <c r="AY106" i="6" s="1"/>
  <c r="AT90" i="6"/>
  <c r="AT106" i="6" s="1"/>
  <c r="AN90" i="6"/>
  <c r="AN106" i="6" s="1"/>
  <c r="AI90" i="6"/>
  <c r="AI106" i="6" s="1"/>
  <c r="AD90" i="6"/>
  <c r="AD106" i="6" s="1"/>
  <c r="X90" i="6"/>
  <c r="X106" i="6" s="1"/>
  <c r="T90" i="6"/>
  <c r="T106" i="6" s="1"/>
  <c r="P90" i="6"/>
  <c r="P106" i="6" s="1"/>
  <c r="L90" i="6"/>
  <c r="L106" i="6" s="1"/>
  <c r="H90" i="6"/>
  <c r="H106" i="6" s="1"/>
  <c r="D90" i="6"/>
  <c r="D106" i="6" s="1"/>
  <c r="BH90" i="6"/>
  <c r="BH106" i="6" s="1"/>
  <c r="AX90" i="6"/>
  <c r="AX106" i="6" s="1"/>
  <c r="AM90" i="6"/>
  <c r="AM106" i="6" s="1"/>
  <c r="AB90" i="6"/>
  <c r="AB106" i="6" s="1"/>
  <c r="S90" i="6"/>
  <c r="S106" i="6" s="1"/>
  <c r="K90" i="6"/>
  <c r="K106" i="6" s="1"/>
  <c r="C90" i="6"/>
  <c r="BC90" i="6"/>
  <c r="BC106" i="6" s="1"/>
  <c r="AH90" i="6"/>
  <c r="AH106" i="6" s="1"/>
  <c r="O90" i="6"/>
  <c r="O106" i="6" s="1"/>
  <c r="BG90" i="6"/>
  <c r="BG106" i="6" s="1"/>
  <c r="AV90" i="6"/>
  <c r="AV106" i="6" s="1"/>
  <c r="AL90" i="6"/>
  <c r="AL106" i="6" s="1"/>
  <c r="AA90" i="6"/>
  <c r="AA106" i="6" s="1"/>
  <c r="R90" i="6"/>
  <c r="R106" i="6" s="1"/>
  <c r="J90" i="6"/>
  <c r="J106" i="6" s="1"/>
  <c r="AR90" i="6"/>
  <c r="AR106" i="6" s="1"/>
  <c r="W90" i="6"/>
  <c r="W106" i="6" s="1"/>
  <c r="G90" i="6"/>
  <c r="G106" i="6" s="1"/>
  <c r="BB90" i="6"/>
  <c r="BB106" i="6" s="1"/>
  <c r="N90" i="6"/>
  <c r="N106" i="6" s="1"/>
  <c r="V90" i="6"/>
  <c r="V106" i="6" s="1"/>
  <c r="AQ90" i="6"/>
  <c r="AQ106" i="6" s="1"/>
  <c r="F90" i="6"/>
  <c r="F106" i="6" s="1"/>
  <c r="AF90" i="6"/>
  <c r="AF106" i="6" s="1"/>
  <c r="BK43" i="6"/>
  <c r="BK44" i="6"/>
  <c r="F48" i="6"/>
  <c r="G37" i="8" s="1"/>
  <c r="G38" i="8" s="1"/>
  <c r="AE48" i="6"/>
  <c r="AF37" i="8" s="1"/>
  <c r="AF38" i="8" s="1"/>
  <c r="T48" i="6"/>
  <c r="U37" i="8" s="1"/>
  <c r="U38" i="8" s="1"/>
  <c r="AF48" i="6"/>
  <c r="AG37" i="8" s="1"/>
  <c r="AG38" i="8" s="1"/>
  <c r="BG48" i="6"/>
  <c r="BH37" i="8" s="1"/>
  <c r="BH38" i="8" s="1"/>
  <c r="AN48" i="6"/>
  <c r="AO37" i="8" s="1"/>
  <c r="AO38" i="8" s="1"/>
  <c r="C48" i="6"/>
  <c r="D37" i="8" s="1"/>
  <c r="AM48" i="6"/>
  <c r="AN37" i="8" s="1"/>
  <c r="AN38" i="8" s="1"/>
  <c r="BI48" i="6"/>
  <c r="BJ37" i="8" s="1"/>
  <c r="BJ38" i="8" s="1"/>
  <c r="BF48" i="6"/>
  <c r="BG37" i="8" s="1"/>
  <c r="BG38" i="8" s="1"/>
  <c r="BK38" i="6"/>
  <c r="Y48" i="6"/>
  <c r="Z37" i="8" s="1"/>
  <c r="Z38" i="8" s="1"/>
  <c r="AZ48" i="6"/>
  <c r="BA37" i="8" s="1"/>
  <c r="BA38" i="8" s="1"/>
  <c r="AO48" i="6"/>
  <c r="AP37" i="8" s="1"/>
  <c r="AP38" i="8" s="1"/>
  <c r="D48" i="6"/>
  <c r="E37" i="8" s="1"/>
  <c r="E38" i="8" s="1"/>
  <c r="W48" i="6"/>
  <c r="X37" i="8" s="1"/>
  <c r="X38" i="8" s="1"/>
  <c r="AR48" i="6"/>
  <c r="AS37" i="8" s="1"/>
  <c r="AS38" i="8" s="1"/>
  <c r="G48" i="6"/>
  <c r="H37" i="8" s="1"/>
  <c r="H38" i="8" s="1"/>
  <c r="AK48" i="6"/>
  <c r="AL37" i="8" s="1"/>
  <c r="AL38" i="8" s="1"/>
  <c r="E48" i="6"/>
  <c r="F37" i="8" s="1"/>
  <c r="F38" i="8" s="1"/>
  <c r="X48" i="6"/>
  <c r="Y37" i="8" s="1"/>
  <c r="Y38" i="8" s="1"/>
  <c r="AS48" i="6"/>
  <c r="AT37" i="8" s="1"/>
  <c r="AT38" i="8" s="1"/>
  <c r="N48" i="6"/>
  <c r="O37" i="8" s="1"/>
  <c r="O38" i="8" s="1"/>
  <c r="AD48" i="6"/>
  <c r="AE37" i="8" s="1"/>
  <c r="AE38" i="8" s="1"/>
  <c r="AT48" i="6"/>
  <c r="AU37" i="8" s="1"/>
  <c r="AU38" i="8" s="1"/>
  <c r="BJ48" i="6"/>
  <c r="BK37" i="8" s="1"/>
  <c r="BK38" i="8" s="1"/>
  <c r="BK40" i="6"/>
  <c r="AV48" i="6"/>
  <c r="AW37" i="8" s="1"/>
  <c r="AW38" i="8" s="1"/>
  <c r="BH48" i="6"/>
  <c r="BI37" i="8" s="1"/>
  <c r="BI38" i="8" s="1"/>
  <c r="S48" i="6"/>
  <c r="T37" i="8" s="1"/>
  <c r="T38" i="8" s="1"/>
  <c r="AP48" i="6"/>
  <c r="AQ37" i="8" s="1"/>
  <c r="AQ38" i="8" s="1"/>
  <c r="AU48" i="6"/>
  <c r="AV37" i="8" s="1"/>
  <c r="AV38" i="8" s="1"/>
  <c r="O48" i="6"/>
  <c r="P37" i="8" s="1"/>
  <c r="P38" i="8" s="1"/>
  <c r="K48" i="6"/>
  <c r="L37" i="8" s="1"/>
  <c r="L38" i="8" s="1"/>
  <c r="H48" i="6"/>
  <c r="I37" i="8" s="1"/>
  <c r="I38" i="8" s="1"/>
  <c r="AB48" i="6"/>
  <c r="AC37" i="8" s="1"/>
  <c r="AC38" i="8" s="1"/>
  <c r="AW48" i="6"/>
  <c r="AX37" i="8" s="1"/>
  <c r="AX38" i="8" s="1"/>
  <c r="P48" i="6"/>
  <c r="Q37" i="8" s="1"/>
  <c r="Q38" i="8" s="1"/>
  <c r="AQ48" i="6"/>
  <c r="AR37" i="8" s="1"/>
  <c r="AR38" i="8" s="1"/>
  <c r="I48" i="6"/>
  <c r="J37" i="8" s="1"/>
  <c r="J38" i="8" s="1"/>
  <c r="AC48" i="6"/>
  <c r="AD37" i="8" s="1"/>
  <c r="AD38" i="8" s="1"/>
  <c r="AY48" i="6"/>
  <c r="AZ37" i="8" s="1"/>
  <c r="AZ38" i="8" s="1"/>
  <c r="R48" i="6"/>
  <c r="S37" i="8" s="1"/>
  <c r="S38" i="8" s="1"/>
  <c r="AH48" i="6"/>
  <c r="AI37" i="8" s="1"/>
  <c r="AI38" i="8" s="1"/>
  <c r="AX48" i="6"/>
  <c r="AY37" i="8" s="1"/>
  <c r="AY38" i="8" s="1"/>
  <c r="BK42" i="6"/>
  <c r="Q48" i="6"/>
  <c r="R37" i="8" s="1"/>
  <c r="R38" i="8" s="1"/>
  <c r="Z48" i="6"/>
  <c r="AA37" i="8" s="1"/>
  <c r="AA38" i="8" s="1"/>
  <c r="BK41" i="6"/>
  <c r="AJ48" i="6"/>
  <c r="AK37" i="8" s="1"/>
  <c r="AK38" i="8" s="1"/>
  <c r="J48" i="6"/>
  <c r="K37" i="8" s="1"/>
  <c r="K38" i="8" s="1"/>
  <c r="BE48" i="6"/>
  <c r="BF37" i="8" s="1"/>
  <c r="BF38" i="8" s="1"/>
  <c r="AA48" i="6"/>
  <c r="AB37" i="8" s="1"/>
  <c r="AB38" i="8" s="1"/>
  <c r="L48" i="6"/>
  <c r="M37" i="8" s="1"/>
  <c r="M38" i="8" s="1"/>
  <c r="AG48" i="6"/>
  <c r="AH37" i="8" s="1"/>
  <c r="AH38" i="8" s="1"/>
  <c r="BC48" i="6"/>
  <c r="BD37" i="8" s="1"/>
  <c r="BD38" i="8" s="1"/>
  <c r="U48" i="6"/>
  <c r="V37" i="8" s="1"/>
  <c r="V38" i="8" s="1"/>
  <c r="BA48" i="6"/>
  <c r="BB37" i="8" s="1"/>
  <c r="BB38" i="8" s="1"/>
  <c r="M48" i="6"/>
  <c r="N37" i="8" s="1"/>
  <c r="N38" i="8" s="1"/>
  <c r="AI48" i="6"/>
  <c r="AJ37" i="8" s="1"/>
  <c r="AJ38" i="8" s="1"/>
  <c r="BD48" i="6"/>
  <c r="BE37" i="8" s="1"/>
  <c r="BE38" i="8" s="1"/>
  <c r="V48" i="6"/>
  <c r="W37" i="8" s="1"/>
  <c r="W38" i="8" s="1"/>
  <c r="AL48" i="6"/>
  <c r="AM37" i="8" s="1"/>
  <c r="AM38" i="8" s="1"/>
  <c r="BB48" i="6"/>
  <c r="BC37" i="8" s="1"/>
  <c r="BC38" i="8" s="1"/>
  <c r="BK39" i="6"/>
  <c r="D6" i="8" l="1"/>
  <c r="D38" i="8"/>
  <c r="E41" i="8" s="1"/>
  <c r="E60" i="6"/>
  <c r="E156" i="6" s="1"/>
  <c r="E59" i="6"/>
  <c r="E155" i="6" s="1"/>
  <c r="E57" i="6"/>
  <c r="E153" i="6" s="1"/>
  <c r="E56" i="6"/>
  <c r="E152" i="6" s="1"/>
  <c r="E58" i="6"/>
  <c r="E154" i="6" s="1"/>
  <c r="D150" i="6"/>
  <c r="D151" i="6"/>
  <c r="C104" i="6"/>
  <c r="C108" i="6"/>
  <c r="C103" i="6"/>
  <c r="C105" i="6"/>
  <c r="C102" i="6"/>
  <c r="C107" i="6"/>
  <c r="C106" i="6"/>
  <c r="BK92" i="6"/>
  <c r="BK89" i="6"/>
  <c r="BJ105" i="6"/>
  <c r="BK105" i="6" s="1"/>
  <c r="BK91" i="6"/>
  <c r="BJ107" i="6"/>
  <c r="BK107" i="6" s="1"/>
  <c r="BK86" i="6"/>
  <c r="BJ102" i="6"/>
  <c r="BK102" i="6" s="1"/>
  <c r="BK88" i="6"/>
  <c r="BJ104" i="6"/>
  <c r="BK104" i="6" s="1"/>
  <c r="BK90" i="6"/>
  <c r="BK87" i="6"/>
  <c r="BJ103" i="6"/>
  <c r="BK103" i="6" s="1"/>
  <c r="Q96" i="6"/>
  <c r="BF96" i="6"/>
  <c r="K96" i="6"/>
  <c r="P96" i="6"/>
  <c r="AE96" i="6"/>
  <c r="BE96" i="6"/>
  <c r="T96" i="6"/>
  <c r="AU96" i="6"/>
  <c r="AB96" i="6"/>
  <c r="BA96" i="6"/>
  <c r="AR96" i="6"/>
  <c r="X96" i="6"/>
  <c r="BJ96" i="6"/>
  <c r="N96" i="6"/>
  <c r="AG96" i="6"/>
  <c r="F96" i="6"/>
  <c r="BD96" i="6"/>
  <c r="I96" i="6"/>
  <c r="V96" i="6"/>
  <c r="G96" i="6"/>
  <c r="AZ96" i="6"/>
  <c r="R96" i="6"/>
  <c r="J96" i="6"/>
  <c r="D96" i="6"/>
  <c r="W96" i="6"/>
  <c r="AC96" i="6"/>
  <c r="AF96" i="6"/>
  <c r="L96" i="6"/>
  <c r="BI96" i="6"/>
  <c r="AP96" i="6"/>
  <c r="AV96" i="6"/>
  <c r="AK96" i="6"/>
  <c r="AW96" i="6"/>
  <c r="AY96" i="6"/>
  <c r="AH96" i="6"/>
  <c r="AS96" i="6"/>
  <c r="AO96" i="6"/>
  <c r="H96" i="6"/>
  <c r="Z96" i="6"/>
  <c r="BB96" i="6"/>
  <c r="S96" i="6"/>
  <c r="AD96" i="6"/>
  <c r="AQ96" i="6"/>
  <c r="U96" i="6"/>
  <c r="AI96" i="6"/>
  <c r="AT96" i="6"/>
  <c r="E96" i="6"/>
  <c r="AN96" i="6"/>
  <c r="O96" i="6"/>
  <c r="AM96" i="6"/>
  <c r="AX96" i="6"/>
  <c r="M96" i="6"/>
  <c r="BC96" i="6"/>
  <c r="AL96" i="6"/>
  <c r="AA96" i="6"/>
  <c r="AJ96" i="6"/>
  <c r="C96" i="6"/>
  <c r="BH96" i="6"/>
  <c r="Y96" i="6"/>
  <c r="BG96" i="6"/>
  <c r="BB112" i="6"/>
  <c r="BI112" i="6"/>
  <c r="BC112" i="6"/>
  <c r="I112" i="6"/>
  <c r="AY112" i="6"/>
  <c r="AU112" i="6"/>
  <c r="AS112" i="6"/>
  <c r="BA112" i="6"/>
  <c r="K112" i="6"/>
  <c r="S112" i="6"/>
  <c r="T112" i="6"/>
  <c r="U112" i="6"/>
  <c r="AT112" i="6"/>
  <c r="AF112" i="6"/>
  <c r="Z112" i="6"/>
  <c r="AP112" i="6"/>
  <c r="AQ112" i="6"/>
  <c r="AB112" i="6"/>
  <c r="AH112" i="6"/>
  <c r="Q112" i="6"/>
  <c r="AX112" i="6"/>
  <c r="AA112" i="6"/>
  <c r="BG112" i="6"/>
  <c r="W112" i="6"/>
  <c r="Y112" i="6"/>
  <c r="R112" i="6"/>
  <c r="AO112" i="6"/>
  <c r="D112" i="6"/>
  <c r="E39" i="8" s="1"/>
  <c r="BF112" i="6"/>
  <c r="AM112" i="6"/>
  <c r="AK112" i="6"/>
  <c r="AL112" i="6"/>
  <c r="L112" i="6"/>
  <c r="F112" i="6"/>
  <c r="E112" i="6"/>
  <c r="BH112" i="6"/>
  <c r="J112" i="6"/>
  <c r="AW112" i="6"/>
  <c r="O112" i="6"/>
  <c r="M112" i="6"/>
  <c r="N112" i="6"/>
  <c r="BE112" i="6"/>
  <c r="AG112" i="6"/>
  <c r="AE112" i="6"/>
  <c r="AJ112" i="6"/>
  <c r="V112" i="6"/>
  <c r="AC112" i="6"/>
  <c r="AI112" i="6"/>
  <c r="AD112" i="6"/>
  <c r="G112" i="6"/>
  <c r="BD112" i="6"/>
  <c r="AV112" i="6"/>
  <c r="X112" i="6"/>
  <c r="P112" i="6"/>
  <c r="AN112" i="6"/>
  <c r="H112" i="6"/>
  <c r="AZ112" i="6"/>
  <c r="AR112" i="6"/>
  <c r="BK48" i="6"/>
  <c r="E43" i="8" l="1"/>
  <c r="H39" i="8"/>
  <c r="H41" i="8"/>
  <c r="H43" i="8" s="1"/>
  <c r="L41" i="8"/>
  <c r="L43" i="8" s="1"/>
  <c r="AF41" i="8"/>
  <c r="AF43" i="8" s="1"/>
  <c r="U41" i="8"/>
  <c r="U43" i="8" s="1"/>
  <c r="AR41" i="8"/>
  <c r="AR43" i="8" s="1"/>
  <c r="AC41" i="8"/>
  <c r="AC43" i="8" s="1"/>
  <c r="I41" i="8"/>
  <c r="I43" i="8" s="1"/>
  <c r="AG41" i="8"/>
  <c r="AG43" i="8" s="1"/>
  <c r="X41" i="8"/>
  <c r="X43" i="8" s="1"/>
  <c r="Q41" i="8"/>
  <c r="Q43" i="8" s="1"/>
  <c r="AK41" i="8"/>
  <c r="AK43" i="8" s="1"/>
  <c r="AW41" i="8"/>
  <c r="AW43" i="8" s="1"/>
  <c r="F41" i="8"/>
  <c r="F43" i="8" s="1"/>
  <c r="V41" i="8"/>
  <c r="V43" i="8" s="1"/>
  <c r="AL41" i="8"/>
  <c r="AL43" i="8" s="1"/>
  <c r="BB41" i="8"/>
  <c r="BB43" i="8" s="1"/>
  <c r="AB41" i="8"/>
  <c r="AB43" i="8" s="1"/>
  <c r="AZ41" i="8"/>
  <c r="AZ43" i="8" s="1"/>
  <c r="AS41" i="8"/>
  <c r="AS43" i="8" s="1"/>
  <c r="S41" i="8"/>
  <c r="S43" i="8" s="1"/>
  <c r="AI41" i="8"/>
  <c r="AI43" i="8" s="1"/>
  <c r="AY41" i="8"/>
  <c r="AY43" i="8" s="1"/>
  <c r="BA41" i="8"/>
  <c r="BA43" i="8" s="1"/>
  <c r="J41" i="8"/>
  <c r="J43" i="8" s="1"/>
  <c r="Z41" i="8"/>
  <c r="Z43" i="8" s="1"/>
  <c r="AP41" i="8"/>
  <c r="AP43" i="8" s="1"/>
  <c r="BF41" i="8"/>
  <c r="BF43" i="8" s="1"/>
  <c r="AJ41" i="8"/>
  <c r="AJ43" i="8" s="1"/>
  <c r="BD41" i="8"/>
  <c r="BD43" i="8" s="1"/>
  <c r="G41" i="8"/>
  <c r="G43" i="8" s="1"/>
  <c r="W41" i="8"/>
  <c r="W43" i="8" s="1"/>
  <c r="AM41" i="8"/>
  <c r="AM43" i="8" s="1"/>
  <c r="BC41" i="8"/>
  <c r="BC43" i="8" s="1"/>
  <c r="BE41" i="8"/>
  <c r="BE43" i="8" s="1"/>
  <c r="N41" i="8"/>
  <c r="N43" i="8" s="1"/>
  <c r="AD41" i="8"/>
  <c r="AD43" i="8" s="1"/>
  <c r="AT41" i="8"/>
  <c r="AT43" i="8" s="1"/>
  <c r="BJ41" i="8"/>
  <c r="BJ43" i="8" s="1"/>
  <c r="AN41" i="8"/>
  <c r="AN43" i="8" s="1"/>
  <c r="BH41" i="8"/>
  <c r="BH43" i="8" s="1"/>
  <c r="K41" i="8"/>
  <c r="K43" i="8" s="1"/>
  <c r="AA41" i="8"/>
  <c r="AA43" i="8" s="1"/>
  <c r="AQ41" i="8"/>
  <c r="AQ43" i="8" s="1"/>
  <c r="BG41" i="8"/>
  <c r="BG43" i="8" s="1"/>
  <c r="P41" i="8"/>
  <c r="P43" i="8" s="1"/>
  <c r="D41" i="8"/>
  <c r="Y41" i="8"/>
  <c r="Y43" i="8" s="1"/>
  <c r="AO41" i="8"/>
  <c r="AO43" i="8" s="1"/>
  <c r="BI41" i="8"/>
  <c r="BI43" i="8" s="1"/>
  <c r="R41" i="8"/>
  <c r="R43" i="8" s="1"/>
  <c r="AH41" i="8"/>
  <c r="AH43" i="8" s="1"/>
  <c r="AX41" i="8"/>
  <c r="AX43" i="8" s="1"/>
  <c r="T41" i="8"/>
  <c r="T43" i="8" s="1"/>
  <c r="AV41" i="8"/>
  <c r="AV43" i="8" s="1"/>
  <c r="M41" i="8"/>
  <c r="M43" i="8" s="1"/>
  <c r="O41" i="8"/>
  <c r="O43" i="8" s="1"/>
  <c r="AE41" i="8"/>
  <c r="AE43" i="8" s="1"/>
  <c r="AU41" i="8"/>
  <c r="AU43" i="8" s="1"/>
  <c r="BK41" i="8"/>
  <c r="P113" i="6"/>
  <c r="Q39" i="8"/>
  <c r="V113" i="6"/>
  <c r="W39" i="8"/>
  <c r="AW113" i="6"/>
  <c r="AX39" i="8"/>
  <c r="AM113" i="6"/>
  <c r="AN39" i="8"/>
  <c r="AA113" i="6"/>
  <c r="AB39" i="8"/>
  <c r="AF113" i="6"/>
  <c r="AG39" i="8"/>
  <c r="AU113" i="6"/>
  <c r="AV39" i="8"/>
  <c r="X113" i="6"/>
  <c r="Y39" i="8"/>
  <c r="AD113" i="6"/>
  <c r="AE39" i="8"/>
  <c r="N113" i="6"/>
  <c r="O39" i="8"/>
  <c r="L113" i="6"/>
  <c r="M39" i="8"/>
  <c r="Y113" i="6"/>
  <c r="Z39" i="8"/>
  <c r="AQ113" i="6"/>
  <c r="AR39" i="8"/>
  <c r="K113" i="6"/>
  <c r="L39" i="8"/>
  <c r="BB113" i="6"/>
  <c r="BC39" i="8"/>
  <c r="H113" i="6"/>
  <c r="I39" i="8"/>
  <c r="AV113" i="6"/>
  <c r="AW39" i="8"/>
  <c r="AI113" i="6"/>
  <c r="AJ39" i="8"/>
  <c r="AE113" i="6"/>
  <c r="AF39" i="8"/>
  <c r="M113" i="6"/>
  <c r="N39" i="8"/>
  <c r="BH113" i="6"/>
  <c r="BI39" i="8"/>
  <c r="AL113" i="6"/>
  <c r="AM39" i="8"/>
  <c r="W113" i="6"/>
  <c r="X39" i="8"/>
  <c r="Q113" i="6"/>
  <c r="R39" i="8"/>
  <c r="AP113" i="6"/>
  <c r="AQ39" i="8"/>
  <c r="U113" i="6"/>
  <c r="V39" i="8"/>
  <c r="BA113" i="6"/>
  <c r="BB39" i="8"/>
  <c r="I113" i="6"/>
  <c r="J39" i="8"/>
  <c r="AR113" i="6"/>
  <c r="AS39" i="8"/>
  <c r="G113" i="6"/>
  <c r="BE113" i="6"/>
  <c r="BF39" i="8"/>
  <c r="F113" i="6"/>
  <c r="G39" i="8"/>
  <c r="R113" i="6"/>
  <c r="S39" i="8"/>
  <c r="AB113" i="6"/>
  <c r="AC39" i="8"/>
  <c r="S113" i="6"/>
  <c r="T39" i="8"/>
  <c r="BI113" i="6"/>
  <c r="BJ39" i="8"/>
  <c r="AZ113" i="6"/>
  <c r="BA39" i="8"/>
  <c r="AJ113" i="6"/>
  <c r="AK39" i="8"/>
  <c r="J113" i="6"/>
  <c r="K39" i="8"/>
  <c r="BF113" i="6"/>
  <c r="BG39" i="8"/>
  <c r="AX113" i="6"/>
  <c r="AY39" i="8"/>
  <c r="AT113" i="6"/>
  <c r="AU39" i="8"/>
  <c r="AY113" i="6"/>
  <c r="AZ39" i="8"/>
  <c r="AN113" i="6"/>
  <c r="AO39" i="8"/>
  <c r="BD113" i="6"/>
  <c r="BE39" i="8"/>
  <c r="AC113" i="6"/>
  <c r="AD39" i="8"/>
  <c r="AG113" i="6"/>
  <c r="AH39" i="8"/>
  <c r="O113" i="6"/>
  <c r="P39" i="8"/>
  <c r="E113" i="6"/>
  <c r="F39" i="8"/>
  <c r="AK113" i="6"/>
  <c r="AL39" i="8"/>
  <c r="AO113" i="6"/>
  <c r="AP39" i="8"/>
  <c r="BG113" i="6"/>
  <c r="BH39" i="8"/>
  <c r="AH113" i="6"/>
  <c r="AI39" i="8"/>
  <c r="Z113" i="6"/>
  <c r="AA39" i="8"/>
  <c r="T113" i="6"/>
  <c r="U39" i="8"/>
  <c r="AS113" i="6"/>
  <c r="AT39" i="8"/>
  <c r="BC113" i="6"/>
  <c r="BD39" i="8"/>
  <c r="D113" i="6"/>
  <c r="F58" i="6"/>
  <c r="F154" i="6" s="1"/>
  <c r="F59" i="6"/>
  <c r="F155" i="6" s="1"/>
  <c r="E55" i="6"/>
  <c r="E151" i="6" s="1"/>
  <c r="F60" i="6"/>
  <c r="F156" i="6" s="1"/>
  <c r="E54" i="6"/>
  <c r="E150" i="6" s="1"/>
  <c r="F56" i="6"/>
  <c r="F152" i="6" s="1"/>
  <c r="F57" i="6"/>
  <c r="F153" i="6" s="1"/>
  <c r="C112" i="6"/>
  <c r="BK112" i="6"/>
  <c r="BK96" i="6"/>
  <c r="Y97" i="6"/>
  <c r="AX97" i="6"/>
  <c r="E97" i="6"/>
  <c r="AQ97" i="6"/>
  <c r="Z97" i="6"/>
  <c r="AH97" i="6"/>
  <c r="AV97" i="6"/>
  <c r="J97" i="6"/>
  <c r="AG97" i="6"/>
  <c r="P97" i="6"/>
  <c r="BJ112" i="6"/>
  <c r="BH97" i="6"/>
  <c r="AL97" i="6"/>
  <c r="AP97" i="6"/>
  <c r="AC97" i="6"/>
  <c r="I97" i="6"/>
  <c r="AR97" i="6"/>
  <c r="T97" i="6"/>
  <c r="AA97" i="6"/>
  <c r="AT97" i="6"/>
  <c r="AY97" i="6"/>
  <c r="R97" i="6"/>
  <c r="N97" i="6"/>
  <c r="K97" i="6"/>
  <c r="BC97" i="6"/>
  <c r="O97" i="6"/>
  <c r="AI97" i="6"/>
  <c r="S97" i="6"/>
  <c r="AO97" i="6"/>
  <c r="AW97" i="6"/>
  <c r="BI97" i="6"/>
  <c r="W97" i="6"/>
  <c r="AZ97" i="6"/>
  <c r="BD97" i="6"/>
  <c r="BA97" i="6"/>
  <c r="BE97" i="6"/>
  <c r="BF97" i="6"/>
  <c r="AF97" i="6"/>
  <c r="V97" i="6"/>
  <c r="X97" i="6"/>
  <c r="AU97" i="6"/>
  <c r="AM97" i="6"/>
  <c r="AD97" i="6"/>
  <c r="H97" i="6"/>
  <c r="BG97" i="6"/>
  <c r="AJ97" i="6"/>
  <c r="M97" i="6"/>
  <c r="AN97" i="6"/>
  <c r="U97" i="6"/>
  <c r="BB97" i="6"/>
  <c r="AS97" i="6"/>
  <c r="AK97" i="6"/>
  <c r="L97" i="6"/>
  <c r="D97" i="6"/>
  <c r="G97" i="6"/>
  <c r="F97" i="6"/>
  <c r="AB97" i="6"/>
  <c r="AE97" i="6"/>
  <c r="Q97" i="6"/>
  <c r="D64" i="6"/>
  <c r="E19" i="8" s="1"/>
  <c r="C64" i="6"/>
  <c r="D19" i="8" s="1"/>
  <c r="BK43" i="8" l="1"/>
  <c r="D43" i="8"/>
  <c r="BJ113" i="6"/>
  <c r="BK39" i="8"/>
  <c r="C113" i="6"/>
  <c r="D39" i="8"/>
  <c r="E20" i="8"/>
  <c r="D20" i="8"/>
  <c r="E64" i="6"/>
  <c r="F19" i="8" s="1"/>
  <c r="F20" i="8" s="1"/>
  <c r="F54" i="6"/>
  <c r="F150" i="6" s="1"/>
  <c r="G56" i="6"/>
  <c r="G152" i="6" s="1"/>
  <c r="G60" i="6"/>
  <c r="G156" i="6" s="1"/>
  <c r="G59" i="6"/>
  <c r="G155" i="6" s="1"/>
  <c r="G58" i="6"/>
  <c r="G154" i="6" s="1"/>
  <c r="F55" i="6"/>
  <c r="F151" i="6" s="1"/>
  <c r="G57" i="6"/>
  <c r="G153" i="6" s="1"/>
  <c r="C97" i="6"/>
  <c r="BJ97" i="6"/>
  <c r="F64" i="6" l="1"/>
  <c r="G19" i="8" s="1"/>
  <c r="H59" i="6"/>
  <c r="H155" i="6" s="1"/>
  <c r="G55" i="6"/>
  <c r="G151" i="6" s="1"/>
  <c r="G54" i="6"/>
  <c r="G150" i="6" s="1"/>
  <c r="H60" i="6"/>
  <c r="H156" i="6" s="1"/>
  <c r="H56" i="6"/>
  <c r="H152" i="6" s="1"/>
  <c r="H58" i="6"/>
  <c r="H154" i="6" s="1"/>
  <c r="H57" i="6"/>
  <c r="H153" i="6" s="1"/>
  <c r="G20" i="8" l="1"/>
  <c r="G64" i="6"/>
  <c r="H19" i="8" s="1"/>
  <c r="H20" i="8" s="1"/>
  <c r="I56" i="6"/>
  <c r="I152" i="6" s="1"/>
  <c r="I59" i="6"/>
  <c r="I155" i="6" s="1"/>
  <c r="I60" i="6"/>
  <c r="I156" i="6" s="1"/>
  <c r="H55" i="6"/>
  <c r="H151" i="6" s="1"/>
  <c r="H54" i="6"/>
  <c r="I58" i="6"/>
  <c r="I154" i="6" s="1"/>
  <c r="I57" i="6"/>
  <c r="I153" i="6" s="1"/>
  <c r="H150" i="6"/>
  <c r="J60" i="6" l="1"/>
  <c r="J156" i="6" s="1"/>
  <c r="I55" i="6"/>
  <c r="I151" i="6" s="1"/>
  <c r="J56" i="6"/>
  <c r="J152" i="6" s="1"/>
  <c r="J58" i="6"/>
  <c r="J59" i="6"/>
  <c r="J155" i="6" s="1"/>
  <c r="I54" i="6"/>
  <c r="I150" i="6" s="1"/>
  <c r="J57" i="6"/>
  <c r="J153" i="6" s="1"/>
  <c r="H64" i="6"/>
  <c r="I19" i="8" s="1"/>
  <c r="I20" i="8" l="1"/>
  <c r="J55" i="6"/>
  <c r="J151" i="6" s="1"/>
  <c r="K57" i="6"/>
  <c r="K153" i="6" s="1"/>
  <c r="K56" i="6"/>
  <c r="K152" i="6" s="1"/>
  <c r="J54" i="6"/>
  <c r="K60" i="6"/>
  <c r="K156" i="6" s="1"/>
  <c r="K59" i="6"/>
  <c r="K155" i="6" s="1"/>
  <c r="J150" i="6"/>
  <c r="J154" i="6"/>
  <c r="L57" i="6" l="1"/>
  <c r="L56" i="6"/>
  <c r="L152" i="6" s="1"/>
  <c r="L59" i="6"/>
  <c r="L155" i="6" s="1"/>
  <c r="L60" i="6"/>
  <c r="L156" i="6" s="1"/>
  <c r="K58" i="6"/>
  <c r="K54" i="6"/>
  <c r="K150" i="6" s="1"/>
  <c r="K55" i="6"/>
  <c r="K151" i="6" s="1"/>
  <c r="I64" i="6"/>
  <c r="J19" i="8" s="1"/>
  <c r="J20" i="8" l="1"/>
  <c r="M60" i="6"/>
  <c r="M156" i="6" s="1"/>
  <c r="L55" i="6"/>
  <c r="L151" i="6" s="1"/>
  <c r="M56" i="6"/>
  <c r="M152" i="6" s="1"/>
  <c r="L54" i="6"/>
  <c r="L150" i="6" s="1"/>
  <c r="M59" i="6"/>
  <c r="K154" i="6"/>
  <c r="M54" i="6" l="1"/>
  <c r="L58" i="6"/>
  <c r="N56" i="6"/>
  <c r="N152" i="6" s="1"/>
  <c r="N60" i="6"/>
  <c r="N156" i="6" s="1"/>
  <c r="M55" i="6"/>
  <c r="M151" i="6" s="1"/>
  <c r="L153" i="6"/>
  <c r="J64" i="6"/>
  <c r="K19" i="8" s="1"/>
  <c r="K20" i="8" l="1"/>
  <c r="O56" i="6"/>
  <c r="O152" i="6" s="1"/>
  <c r="M57" i="6"/>
  <c r="M153" i="6" s="1"/>
  <c r="O60" i="6"/>
  <c r="C124" i="6" s="1"/>
  <c r="N55" i="6"/>
  <c r="M155" i="6"/>
  <c r="O156" i="6" l="1"/>
  <c r="P60" i="6" s="1"/>
  <c r="C120" i="6"/>
  <c r="P56" i="6"/>
  <c r="D120" i="6" s="1"/>
  <c r="N57" i="6"/>
  <c r="N153" i="6" s="1"/>
  <c r="N151" i="6"/>
  <c r="N59" i="6"/>
  <c r="N155" i="6" s="1"/>
  <c r="M150" i="6"/>
  <c r="L154" i="6"/>
  <c r="K64" i="6"/>
  <c r="L19" i="8" s="1"/>
  <c r="L20" i="8" l="1"/>
  <c r="P152" i="6"/>
  <c r="Q56" i="6" s="1"/>
  <c r="P156" i="6"/>
  <c r="Q60" i="6" s="1"/>
  <c r="D124" i="6"/>
  <c r="O59" i="6"/>
  <c r="C123" i="6" s="1"/>
  <c r="N54" i="6"/>
  <c r="N150" i="6" s="1"/>
  <c r="O55" i="6"/>
  <c r="O57" i="6"/>
  <c r="C121" i="6" s="1"/>
  <c r="M58" i="6"/>
  <c r="M154" i="6" s="1"/>
  <c r="Q156" i="6" l="1"/>
  <c r="R60" i="6" s="1"/>
  <c r="E120" i="6"/>
  <c r="E124" i="6"/>
  <c r="O153" i="6"/>
  <c r="O155" i="6"/>
  <c r="P59" i="6" s="1"/>
  <c r="Q152" i="6"/>
  <c r="O54" i="6"/>
  <c r="C118" i="6" s="1"/>
  <c r="C119" i="6"/>
  <c r="O151" i="6"/>
  <c r="N58" i="6"/>
  <c r="N154" i="6" s="1"/>
  <c r="L64" i="6"/>
  <c r="M19" i="8" s="1"/>
  <c r="M20" i="8" l="1"/>
  <c r="P57" i="6"/>
  <c r="P153" i="6" s="1"/>
  <c r="P155" i="6"/>
  <c r="Q59" i="6" s="1"/>
  <c r="F124" i="6"/>
  <c r="R156" i="6"/>
  <c r="S60" i="6" s="1"/>
  <c r="O58" i="6"/>
  <c r="C122" i="6" s="1"/>
  <c r="P55" i="6"/>
  <c r="R56" i="6"/>
  <c r="D123" i="6"/>
  <c r="O150" i="6"/>
  <c r="D121" i="6" l="1"/>
  <c r="Q57" i="6"/>
  <c r="E121" i="6" s="1"/>
  <c r="Q155" i="6"/>
  <c r="R59" i="6" s="1"/>
  <c r="G124" i="6"/>
  <c r="E123" i="6"/>
  <c r="Q153" i="6"/>
  <c r="O154" i="6"/>
  <c r="P58" i="6" s="1"/>
  <c r="F120" i="6"/>
  <c r="R152" i="6"/>
  <c r="P54" i="6"/>
  <c r="D119" i="6"/>
  <c r="P151" i="6"/>
  <c r="S156" i="6"/>
  <c r="M64" i="6"/>
  <c r="N19" i="8" s="1"/>
  <c r="N20" i="8" l="1"/>
  <c r="R57" i="6"/>
  <c r="R153" i="6" s="1"/>
  <c r="F123" i="6"/>
  <c r="D122" i="6"/>
  <c r="P154" i="6"/>
  <c r="Q58" i="6" s="1"/>
  <c r="D118" i="6"/>
  <c r="P150" i="6"/>
  <c r="T60" i="6"/>
  <c r="R155" i="6"/>
  <c r="S56" i="6"/>
  <c r="Q55" i="6"/>
  <c r="F121" i="6" l="1"/>
  <c r="S57" i="6"/>
  <c r="G121" i="6" s="1"/>
  <c r="E122" i="6"/>
  <c r="Q154" i="6"/>
  <c r="R58" i="6" s="1"/>
  <c r="H124" i="6"/>
  <c r="T156" i="6"/>
  <c r="G120" i="6"/>
  <c r="S152" i="6"/>
  <c r="S59" i="6"/>
  <c r="Q54" i="6"/>
  <c r="Q151" i="6"/>
  <c r="E119" i="6"/>
  <c r="N64" i="6"/>
  <c r="O19" i="8" s="1"/>
  <c r="S153" i="6" l="1"/>
  <c r="T57" i="6" s="1"/>
  <c r="T153" i="6" s="1"/>
  <c r="O20" i="8"/>
  <c r="F122" i="6"/>
  <c r="R154" i="6"/>
  <c r="S58" i="6" s="1"/>
  <c r="S155" i="6"/>
  <c r="G123" i="6"/>
  <c r="T56" i="6"/>
  <c r="R55" i="6"/>
  <c r="U60" i="6"/>
  <c r="E118" i="6"/>
  <c r="Q150" i="6"/>
  <c r="C128" i="6"/>
  <c r="H121" i="6" l="1"/>
  <c r="U57" i="6"/>
  <c r="I121" i="6" s="1"/>
  <c r="S154" i="6"/>
  <c r="T58" i="6" s="1"/>
  <c r="G122" i="6"/>
  <c r="R151" i="6"/>
  <c r="F119" i="6"/>
  <c r="T59" i="6"/>
  <c r="I124" i="6"/>
  <c r="U156" i="6"/>
  <c r="H120" i="6"/>
  <c r="T152" i="6"/>
  <c r="R54" i="6"/>
  <c r="O64" i="6"/>
  <c r="U153" i="6" l="1"/>
  <c r="V57" i="6" s="1"/>
  <c r="C129" i="6"/>
  <c r="P19" i="8"/>
  <c r="H122" i="6"/>
  <c r="D128" i="6"/>
  <c r="T154" i="6"/>
  <c r="U58" i="6" s="1"/>
  <c r="S55" i="6"/>
  <c r="V60" i="6"/>
  <c r="H123" i="6"/>
  <c r="T155" i="6"/>
  <c r="F118" i="6"/>
  <c r="R150" i="6"/>
  <c r="U56" i="6"/>
  <c r="V153" i="6" l="1"/>
  <c r="W57" i="6" s="1"/>
  <c r="J121" i="6"/>
  <c r="P20" i="8"/>
  <c r="U154" i="6"/>
  <c r="V58" i="6" s="1"/>
  <c r="J124" i="6"/>
  <c r="V156" i="6"/>
  <c r="U152" i="6"/>
  <c r="I120" i="6"/>
  <c r="I122" i="6"/>
  <c r="S54" i="6"/>
  <c r="U59" i="6"/>
  <c r="S151" i="6"/>
  <c r="G119" i="6"/>
  <c r="P64" i="6"/>
  <c r="D129" i="6" l="1"/>
  <c r="Q19" i="8"/>
  <c r="J122" i="6"/>
  <c r="V154" i="6"/>
  <c r="W58" i="6" s="1"/>
  <c r="U155" i="6"/>
  <c r="I123" i="6"/>
  <c r="V56" i="6"/>
  <c r="W60" i="6"/>
  <c r="T55" i="6"/>
  <c r="W153" i="6"/>
  <c r="K121" i="6"/>
  <c r="S150" i="6"/>
  <c r="G118" i="6"/>
  <c r="Q20" i="8" l="1"/>
  <c r="E128" i="6"/>
  <c r="K122" i="6"/>
  <c r="W154" i="6"/>
  <c r="X58" i="6" s="1"/>
  <c r="W156" i="6"/>
  <c r="K124" i="6"/>
  <c r="V59" i="6"/>
  <c r="T54" i="6"/>
  <c r="X57" i="6"/>
  <c r="V152" i="6"/>
  <c r="J120" i="6"/>
  <c r="H119" i="6"/>
  <c r="T151" i="6"/>
  <c r="Q64" i="6"/>
  <c r="R19" i="8" s="1"/>
  <c r="R20" i="8" l="1"/>
  <c r="E129" i="6"/>
  <c r="L122" i="6"/>
  <c r="F128" i="6"/>
  <c r="X154" i="6"/>
  <c r="Y58" i="6" s="1"/>
  <c r="H118" i="6"/>
  <c r="T150" i="6"/>
  <c r="X153" i="6"/>
  <c r="L121" i="6"/>
  <c r="V155" i="6"/>
  <c r="J123" i="6"/>
  <c r="X60" i="6"/>
  <c r="W56" i="6"/>
  <c r="U55" i="6"/>
  <c r="M122" i="6" l="1"/>
  <c r="Y154" i="6"/>
  <c r="Z58" i="6" s="1"/>
  <c r="U151" i="6"/>
  <c r="I119" i="6"/>
  <c r="W59" i="6"/>
  <c r="X156" i="6"/>
  <c r="L124" i="6"/>
  <c r="Y57" i="6"/>
  <c r="K120" i="6"/>
  <c r="W152" i="6"/>
  <c r="U54" i="6"/>
  <c r="R64" i="6"/>
  <c r="F129" i="6" l="1"/>
  <c r="S19" i="8"/>
  <c r="Z154" i="6"/>
  <c r="AA58" i="6" s="1"/>
  <c r="G128" i="6"/>
  <c r="N122" i="6"/>
  <c r="X56" i="6"/>
  <c r="Y60" i="6"/>
  <c r="U150" i="6"/>
  <c r="I118" i="6"/>
  <c r="Y153" i="6"/>
  <c r="M121" i="6"/>
  <c r="W155" i="6"/>
  <c r="K123" i="6"/>
  <c r="V55" i="6"/>
  <c r="S20" i="8" l="1"/>
  <c r="O122" i="6"/>
  <c r="V54" i="6"/>
  <c r="Z57" i="6"/>
  <c r="M124" i="6"/>
  <c r="Y156" i="6"/>
  <c r="X59" i="6"/>
  <c r="AA154" i="6"/>
  <c r="J119" i="6"/>
  <c r="V151" i="6"/>
  <c r="L120" i="6"/>
  <c r="X152" i="6"/>
  <c r="S64" i="6"/>
  <c r="G129" i="6" l="1"/>
  <c r="T19" i="8"/>
  <c r="H128" i="6"/>
  <c r="Y56" i="6"/>
  <c r="Z60" i="6"/>
  <c r="AB58" i="6"/>
  <c r="X155" i="6"/>
  <c r="L123" i="6"/>
  <c r="V150" i="6"/>
  <c r="J118" i="6"/>
  <c r="W55" i="6"/>
  <c r="Z153" i="6"/>
  <c r="N121" i="6"/>
  <c r="T20" i="8" l="1"/>
  <c r="W151" i="6"/>
  <c r="K119" i="6"/>
  <c r="Z156" i="6"/>
  <c r="N124" i="6"/>
  <c r="AA57" i="6"/>
  <c r="Y59" i="6"/>
  <c r="P122" i="6"/>
  <c r="AB154" i="6"/>
  <c r="M120" i="6"/>
  <c r="Y152" i="6"/>
  <c r="W54" i="6"/>
  <c r="T64" i="6"/>
  <c r="H129" i="6" l="1"/>
  <c r="U19" i="8"/>
  <c r="AC58" i="6"/>
  <c r="AA153" i="6"/>
  <c r="O121" i="6"/>
  <c r="Z56" i="6"/>
  <c r="AA60" i="6"/>
  <c r="X55" i="6"/>
  <c r="K118" i="6"/>
  <c r="W150" i="6"/>
  <c r="M123" i="6"/>
  <c r="Y155" i="6"/>
  <c r="I128" i="6"/>
  <c r="U20" i="8" l="1"/>
  <c r="Z59" i="6"/>
  <c r="AB57" i="6"/>
  <c r="L119" i="6"/>
  <c r="X151" i="6"/>
  <c r="N120" i="6"/>
  <c r="Z152" i="6"/>
  <c r="Q122" i="6"/>
  <c r="AC154" i="6"/>
  <c r="O124" i="6"/>
  <c r="AA156" i="6"/>
  <c r="X54" i="6"/>
  <c r="U64" i="6"/>
  <c r="I129" i="6" l="1"/>
  <c r="V19" i="8"/>
  <c r="J128" i="6"/>
  <c r="AA56" i="6"/>
  <c r="AB153" i="6"/>
  <c r="P121" i="6"/>
  <c r="Y55" i="6"/>
  <c r="X150" i="6"/>
  <c r="L118" i="6"/>
  <c r="N123" i="6"/>
  <c r="Z155" i="6"/>
  <c r="AB60" i="6"/>
  <c r="AD58" i="6"/>
  <c r="V20" i="8" l="1"/>
  <c r="Y54" i="6"/>
  <c r="AC57" i="6"/>
  <c r="R122" i="6"/>
  <c r="AD154" i="6"/>
  <c r="AA59" i="6"/>
  <c r="Y151" i="6"/>
  <c r="M119" i="6"/>
  <c r="P124" i="6"/>
  <c r="AB156" i="6"/>
  <c r="AA152" i="6"/>
  <c r="O120" i="6"/>
  <c r="V64" i="6"/>
  <c r="J129" i="6" l="1"/>
  <c r="W19" i="8"/>
  <c r="AC60" i="6"/>
  <c r="Z55" i="6"/>
  <c r="Q121" i="6"/>
  <c r="AC153" i="6"/>
  <c r="AE58" i="6"/>
  <c r="AB56" i="6"/>
  <c r="AA155" i="6"/>
  <c r="O123" i="6"/>
  <c r="Y150" i="6"/>
  <c r="M118" i="6"/>
  <c r="K128" i="6"/>
  <c r="W20" i="8" l="1"/>
  <c r="Z54" i="6"/>
  <c r="N119" i="6"/>
  <c r="Z151" i="6"/>
  <c r="P120" i="6"/>
  <c r="AB152" i="6"/>
  <c r="Q124" i="6"/>
  <c r="AC156" i="6"/>
  <c r="AB59" i="6"/>
  <c r="AE154" i="6"/>
  <c r="S122" i="6"/>
  <c r="AD57" i="6"/>
  <c r="W64" i="6"/>
  <c r="K129" i="6" l="1"/>
  <c r="X19" i="8"/>
  <c r="AD153" i="6"/>
  <c r="R121" i="6"/>
  <c r="AA55" i="6"/>
  <c r="Z150" i="6"/>
  <c r="N118" i="6"/>
  <c r="P123" i="6"/>
  <c r="AB155" i="6"/>
  <c r="AD60" i="6"/>
  <c r="AC56" i="6"/>
  <c r="AF58" i="6"/>
  <c r="L128" i="6"/>
  <c r="X20" i="8" l="1"/>
  <c r="T122" i="6"/>
  <c r="AF154" i="6"/>
  <c r="AE57" i="6"/>
  <c r="R124" i="6"/>
  <c r="AD156" i="6"/>
  <c r="AC59" i="6"/>
  <c r="AA151" i="6"/>
  <c r="O119" i="6"/>
  <c r="AC152" i="6"/>
  <c r="Q120" i="6"/>
  <c r="AA54" i="6"/>
  <c r="X64" i="6"/>
  <c r="L129" i="6" l="1"/>
  <c r="Y19" i="8"/>
  <c r="AB55" i="6"/>
  <c r="AE60" i="6"/>
  <c r="AA150" i="6"/>
  <c r="O118" i="6"/>
  <c r="AG58" i="6"/>
  <c r="AD56" i="6"/>
  <c r="AC155" i="6"/>
  <c r="Q123" i="6"/>
  <c r="AE153" i="6"/>
  <c r="S121" i="6"/>
  <c r="M128" i="6"/>
  <c r="Y20" i="8" l="1"/>
  <c r="AD59" i="6"/>
  <c r="U122" i="6"/>
  <c r="AG154" i="6"/>
  <c r="AE156" i="6"/>
  <c r="S124" i="6"/>
  <c r="AD152" i="6"/>
  <c r="R120" i="6"/>
  <c r="AF57" i="6"/>
  <c r="AB54" i="6"/>
  <c r="AB151" i="6"/>
  <c r="P119" i="6"/>
  <c r="Y64" i="6"/>
  <c r="M129" i="6" l="1"/>
  <c r="Z19" i="8"/>
  <c r="N128" i="6"/>
  <c r="T121" i="6"/>
  <c r="AF153" i="6"/>
  <c r="AF60" i="6"/>
  <c r="AC55" i="6"/>
  <c r="AE56" i="6"/>
  <c r="P118" i="6"/>
  <c r="AB150" i="6"/>
  <c r="AH58" i="6"/>
  <c r="R123" i="6"/>
  <c r="AD155" i="6"/>
  <c r="Z20" i="8" l="1"/>
  <c r="V122" i="6"/>
  <c r="AH154" i="6"/>
  <c r="S120" i="6"/>
  <c r="AE152" i="6"/>
  <c r="T124" i="6"/>
  <c r="AF156" i="6"/>
  <c r="AG57" i="6"/>
  <c r="Q119" i="6"/>
  <c r="AC151" i="6"/>
  <c r="AE59" i="6"/>
  <c r="AC54" i="6"/>
  <c r="Z64" i="6"/>
  <c r="N129" i="6" l="1"/>
  <c r="AA19" i="8"/>
  <c r="O128" i="6"/>
  <c r="U121" i="6"/>
  <c r="AG153" i="6"/>
  <c r="AD55" i="6"/>
  <c r="AF56" i="6"/>
  <c r="S123" i="6"/>
  <c r="AE155" i="6"/>
  <c r="AG60" i="6"/>
  <c r="Q118" i="6"/>
  <c r="AC150" i="6"/>
  <c r="AI58" i="6"/>
  <c r="AA20" i="8" l="1"/>
  <c r="AF152" i="6"/>
  <c r="T120" i="6"/>
  <c r="AH57" i="6"/>
  <c r="AD54" i="6"/>
  <c r="R119" i="6"/>
  <c r="AD151" i="6"/>
  <c r="W122" i="6"/>
  <c r="AI154" i="6"/>
  <c r="AG156" i="6"/>
  <c r="U124" i="6"/>
  <c r="AF59" i="6"/>
  <c r="AA64" i="6"/>
  <c r="O129" i="6" l="1"/>
  <c r="AB19" i="8"/>
  <c r="P128" i="6"/>
  <c r="AF155" i="6"/>
  <c r="T123" i="6"/>
  <c r="AE55" i="6"/>
  <c r="AG56" i="6"/>
  <c r="AH153" i="6"/>
  <c r="V121" i="6"/>
  <c r="AH60" i="6"/>
  <c r="AD150" i="6"/>
  <c r="R118" i="6"/>
  <c r="AJ58" i="6"/>
  <c r="AB20" i="8" l="1"/>
  <c r="AG152" i="6"/>
  <c r="U120" i="6"/>
  <c r="X122" i="6"/>
  <c r="AJ154" i="6"/>
  <c r="AE54" i="6"/>
  <c r="S119" i="6"/>
  <c r="AE151" i="6"/>
  <c r="AG59" i="6"/>
  <c r="AH156" i="6"/>
  <c r="V124" i="6"/>
  <c r="AI57" i="6"/>
  <c r="AB64" i="6"/>
  <c r="P129" i="6" l="1"/>
  <c r="AC19" i="8"/>
  <c r="Q128" i="6"/>
  <c r="AF55" i="6"/>
  <c r="U123" i="6"/>
  <c r="AG155" i="6"/>
  <c r="AK58" i="6"/>
  <c r="AI153" i="6"/>
  <c r="W121" i="6"/>
  <c r="AI60" i="6"/>
  <c r="AE150" i="6"/>
  <c r="S118" i="6"/>
  <c r="AH56" i="6"/>
  <c r="AC20" i="8" l="1"/>
  <c r="AH59" i="6"/>
  <c r="V120" i="6"/>
  <c r="AH152" i="6"/>
  <c r="W124" i="6"/>
  <c r="AI156" i="6"/>
  <c r="AF54" i="6"/>
  <c r="AK154" i="6"/>
  <c r="Y122" i="6"/>
  <c r="AJ57" i="6"/>
  <c r="T119" i="6"/>
  <c r="AF151" i="6"/>
  <c r="AC64" i="6"/>
  <c r="Q129" i="6" l="1"/>
  <c r="AD19" i="8"/>
  <c r="AF150" i="6"/>
  <c r="T118" i="6"/>
  <c r="AL58" i="6"/>
  <c r="AI56" i="6"/>
  <c r="AJ60" i="6"/>
  <c r="AG55" i="6"/>
  <c r="AJ153" i="6"/>
  <c r="X121" i="6"/>
  <c r="AH155" i="6"/>
  <c r="V123" i="6"/>
  <c r="R128" i="6"/>
  <c r="AD20" i="8" l="1"/>
  <c r="AG151" i="6"/>
  <c r="U119" i="6"/>
  <c r="W120" i="6"/>
  <c r="AI152" i="6"/>
  <c r="AK57" i="6"/>
  <c r="AJ156" i="6"/>
  <c r="X124" i="6"/>
  <c r="AL154" i="6"/>
  <c r="Z122" i="6"/>
  <c r="AG54" i="6"/>
  <c r="AI59" i="6"/>
  <c r="AD64" i="6"/>
  <c r="R129" i="6" l="1"/>
  <c r="AE19" i="8"/>
  <c r="S128" i="6"/>
  <c r="AJ56" i="6"/>
  <c r="U118" i="6"/>
  <c r="AG150" i="6"/>
  <c r="AK60" i="6"/>
  <c r="AI155" i="6"/>
  <c r="W123" i="6"/>
  <c r="AM58" i="6"/>
  <c r="Y121" i="6"/>
  <c r="AK153" i="6"/>
  <c r="AH55" i="6"/>
  <c r="AE20" i="8" l="1"/>
  <c r="AK156" i="6"/>
  <c r="Y124" i="6"/>
  <c r="AH151" i="6"/>
  <c r="V119" i="6"/>
  <c r="AA122" i="6"/>
  <c r="AM154" i="6"/>
  <c r="AH54" i="6"/>
  <c r="AL57" i="6"/>
  <c r="AJ59" i="6"/>
  <c r="AJ152" i="6"/>
  <c r="X120" i="6"/>
  <c r="AE64" i="6"/>
  <c r="S129" i="6" l="1"/>
  <c r="AF19" i="8"/>
  <c r="T128" i="6"/>
  <c r="AK56" i="6"/>
  <c r="Z121" i="6"/>
  <c r="AL153" i="6"/>
  <c r="AH150" i="6"/>
  <c r="V118" i="6"/>
  <c r="AN58" i="6"/>
  <c r="AJ155" i="6"/>
  <c r="X123" i="6"/>
  <c r="AI55" i="6"/>
  <c r="AL60" i="6"/>
  <c r="AF20" i="8" l="1"/>
  <c r="AM57" i="6"/>
  <c r="AI151" i="6"/>
  <c r="W119" i="6"/>
  <c r="AK59" i="6"/>
  <c r="AB122" i="6"/>
  <c r="AN154" i="6"/>
  <c r="AI54" i="6"/>
  <c r="AL156" i="6"/>
  <c r="Z124" i="6"/>
  <c r="Y120" i="6"/>
  <c r="AK152" i="6"/>
  <c r="AF64" i="6"/>
  <c r="T129" i="6" l="1"/>
  <c r="AG19" i="8"/>
  <c r="U128" i="6"/>
  <c r="AO58" i="6"/>
  <c r="AJ55" i="6"/>
  <c r="Y123" i="6"/>
  <c r="AK155" i="6"/>
  <c r="AL56" i="6"/>
  <c r="AM60" i="6"/>
  <c r="W118" i="6"/>
  <c r="AI150" i="6"/>
  <c r="AM153" i="6"/>
  <c r="AA121" i="6"/>
  <c r="AG20" i="8" l="1"/>
  <c r="Z120" i="6"/>
  <c r="AL152" i="6"/>
  <c r="AL59" i="6"/>
  <c r="AC122" i="6"/>
  <c r="AO154" i="6"/>
  <c r="X119" i="6"/>
  <c r="AJ151" i="6"/>
  <c r="AN57" i="6"/>
  <c r="AJ54" i="6"/>
  <c r="AM156" i="6"/>
  <c r="AA124" i="6"/>
  <c r="AG64" i="6"/>
  <c r="U129" i="6" l="1"/>
  <c r="AH19" i="8"/>
  <c r="V128" i="6"/>
  <c r="X118" i="6"/>
  <c r="AJ150" i="6"/>
  <c r="AN153" i="6"/>
  <c r="AB121" i="6"/>
  <c r="AN60" i="6"/>
  <c r="Z123" i="6"/>
  <c r="AL155" i="6"/>
  <c r="AM56" i="6"/>
  <c r="AK55" i="6"/>
  <c r="AP58" i="6"/>
  <c r="AH20" i="8" l="1"/>
  <c r="AO57" i="6"/>
  <c r="AK151" i="6"/>
  <c r="Y119" i="6"/>
  <c r="AK54" i="6"/>
  <c r="AD122" i="6"/>
  <c r="AP154" i="6"/>
  <c r="AM152" i="6"/>
  <c r="AA120" i="6"/>
  <c r="AM59" i="6"/>
  <c r="AN156" i="6"/>
  <c r="AB124" i="6"/>
  <c r="AH64" i="6"/>
  <c r="V129" i="6" l="1"/>
  <c r="AI19" i="8"/>
  <c r="W128" i="6"/>
  <c r="AQ58" i="6"/>
  <c r="AL55" i="6"/>
  <c r="AM155" i="6"/>
  <c r="AA123" i="6"/>
  <c r="Y118" i="6"/>
  <c r="AK150" i="6"/>
  <c r="AO60" i="6"/>
  <c r="AN56" i="6"/>
  <c r="AO153" i="6"/>
  <c r="AC121" i="6"/>
  <c r="BK124" i="6"/>
  <c r="BK128" i="6" s="1"/>
  <c r="AI20" i="8" l="1"/>
  <c r="AL151" i="6"/>
  <c r="Z119" i="6"/>
  <c r="AN59" i="6"/>
  <c r="AE122" i="6"/>
  <c r="AQ154" i="6"/>
  <c r="AB120" i="6"/>
  <c r="AN152" i="6"/>
  <c r="AP57" i="6"/>
  <c r="AO156" i="6"/>
  <c r="AC124" i="6"/>
  <c r="AL54" i="6"/>
  <c r="AI64" i="6"/>
  <c r="W129" i="6" l="1"/>
  <c r="AJ19" i="8"/>
  <c r="AB123" i="6"/>
  <c r="AN155" i="6"/>
  <c r="AL150" i="6"/>
  <c r="Z118" i="6"/>
  <c r="AD121" i="6"/>
  <c r="AP153" i="6"/>
  <c r="AO56" i="6"/>
  <c r="AR58" i="6"/>
  <c r="AP60" i="6"/>
  <c r="AM55" i="6"/>
  <c r="X128" i="6"/>
  <c r="AJ20" i="8" l="1"/>
  <c r="AO59" i="6"/>
  <c r="AP156" i="6"/>
  <c r="AD124" i="6"/>
  <c r="AO152" i="6"/>
  <c r="AC120" i="6"/>
  <c r="AF122" i="6"/>
  <c r="AR154" i="6"/>
  <c r="AQ57" i="6"/>
  <c r="AM151" i="6"/>
  <c r="AA119" i="6"/>
  <c r="AM54" i="6"/>
  <c r="AJ64" i="6"/>
  <c r="X129" i="6" l="1"/>
  <c r="AK19" i="8"/>
  <c r="Y128" i="6"/>
  <c r="AE121" i="6"/>
  <c r="AQ153" i="6"/>
  <c r="AN55" i="6"/>
  <c r="AP56" i="6"/>
  <c r="AM150" i="6"/>
  <c r="AA118" i="6"/>
  <c r="AS58" i="6"/>
  <c r="AQ60" i="6"/>
  <c r="AC123" i="6"/>
  <c r="AO155" i="6"/>
  <c r="AK20" i="8" l="1"/>
  <c r="AS154" i="6"/>
  <c r="AG122" i="6"/>
  <c r="AN54" i="6"/>
  <c r="AN151" i="6"/>
  <c r="AB119" i="6"/>
  <c r="AR57" i="6"/>
  <c r="AQ156" i="6"/>
  <c r="AE124" i="6"/>
  <c r="AP59" i="6"/>
  <c r="AP152" i="6"/>
  <c r="AD120" i="6"/>
  <c r="AK64" i="6"/>
  <c r="Y129" i="6" l="1"/>
  <c r="AL19" i="8"/>
  <c r="Z128" i="6"/>
  <c r="AT58" i="6"/>
  <c r="AP155" i="6"/>
  <c r="AD123" i="6"/>
  <c r="AR60" i="6"/>
  <c r="AQ56" i="6"/>
  <c r="AR153" i="6"/>
  <c r="AF121" i="6"/>
  <c r="AO55" i="6"/>
  <c r="AN150" i="6"/>
  <c r="AB118" i="6"/>
  <c r="AL20" i="8" l="1"/>
  <c r="AS57" i="6"/>
  <c r="AR156" i="6"/>
  <c r="AF124" i="6"/>
  <c r="AQ152" i="6"/>
  <c r="AE120" i="6"/>
  <c r="AQ59" i="6"/>
  <c r="AO54" i="6"/>
  <c r="AO151" i="6"/>
  <c r="AC119" i="6"/>
  <c r="AT154" i="6"/>
  <c r="AH122" i="6"/>
  <c r="AL64" i="6"/>
  <c r="Z129" i="6" l="1"/>
  <c r="AM19" i="8"/>
  <c r="AA128" i="6"/>
  <c r="AP55" i="6"/>
  <c r="AQ155" i="6"/>
  <c r="AE123" i="6"/>
  <c r="AR56" i="6"/>
  <c r="AS60" i="6"/>
  <c r="AU58" i="6"/>
  <c r="AO150" i="6"/>
  <c r="AC118" i="6"/>
  <c r="AG121" i="6"/>
  <c r="AS153" i="6"/>
  <c r="AM20" i="8" l="1"/>
  <c r="AR59" i="6"/>
  <c r="AP151" i="6"/>
  <c r="AD119" i="6"/>
  <c r="AP54" i="6"/>
  <c r="AS156" i="6"/>
  <c r="AG124" i="6"/>
  <c r="AT57" i="6"/>
  <c r="AI122" i="6"/>
  <c r="AU154" i="6"/>
  <c r="AR152" i="6"/>
  <c r="AF120" i="6"/>
  <c r="AM64" i="6"/>
  <c r="AA129" i="6" l="1"/>
  <c r="AN19" i="8"/>
  <c r="AB128" i="6"/>
  <c r="AS56" i="6"/>
  <c r="AV58" i="6"/>
  <c r="AT153" i="6"/>
  <c r="AH121" i="6"/>
  <c r="AR155" i="6"/>
  <c r="AF123" i="6"/>
  <c r="AT60" i="6"/>
  <c r="AP150" i="6"/>
  <c r="AD118" i="6"/>
  <c r="AQ55" i="6"/>
  <c r="AN20" i="8" l="1"/>
  <c r="AJ122" i="6"/>
  <c r="AV154" i="6"/>
  <c r="AS59" i="6"/>
  <c r="AU57" i="6"/>
  <c r="AS152" i="6"/>
  <c r="AG120" i="6"/>
  <c r="AT156" i="6"/>
  <c r="AH124" i="6"/>
  <c r="AQ54" i="6"/>
  <c r="AQ151" i="6"/>
  <c r="AE119" i="6"/>
  <c r="AN64" i="6"/>
  <c r="AB129" i="6" l="1"/>
  <c r="AO19" i="8"/>
  <c r="AT56" i="6"/>
  <c r="AU60" i="6"/>
  <c r="AW58" i="6"/>
  <c r="AQ150" i="6"/>
  <c r="AE118" i="6"/>
  <c r="AS155" i="6"/>
  <c r="AG123" i="6"/>
  <c r="AR55" i="6"/>
  <c r="AU153" i="6"/>
  <c r="AI121" i="6"/>
  <c r="AC128" i="6"/>
  <c r="AO20" i="8" l="1"/>
  <c r="AR54" i="6"/>
  <c r="AR151" i="6"/>
  <c r="AF119" i="6"/>
  <c r="AT59" i="6"/>
  <c r="AU156" i="6"/>
  <c r="AI124" i="6"/>
  <c r="AV57" i="6"/>
  <c r="AW154" i="6"/>
  <c r="AK122" i="6"/>
  <c r="AT152" i="6"/>
  <c r="AH120" i="6"/>
  <c r="AO64" i="6"/>
  <c r="AC129" i="6" l="1"/>
  <c r="AP19" i="8"/>
  <c r="AD128" i="6"/>
  <c r="AU56" i="6"/>
  <c r="AV60" i="6"/>
  <c r="AT155" i="6"/>
  <c r="AH123" i="6"/>
  <c r="AV153" i="6"/>
  <c r="AJ121" i="6"/>
  <c r="AS55" i="6"/>
  <c r="AX58" i="6"/>
  <c r="AR150" i="6"/>
  <c r="AF118" i="6"/>
  <c r="AP20" i="8" l="1"/>
  <c r="AS54" i="6"/>
  <c r="AS151" i="6"/>
  <c r="AG119" i="6"/>
  <c r="AV156" i="6"/>
  <c r="AJ124" i="6"/>
  <c r="AL122" i="6"/>
  <c r="AX154" i="6"/>
  <c r="AW57" i="6"/>
  <c r="AU59" i="6"/>
  <c r="AU152" i="6"/>
  <c r="AI120" i="6"/>
  <c r="AP64" i="6"/>
  <c r="AD129" i="6" l="1"/>
  <c r="AQ19" i="8"/>
  <c r="AW60" i="6"/>
  <c r="AU155" i="6"/>
  <c r="AI123" i="6"/>
  <c r="AW153" i="6"/>
  <c r="AK121" i="6"/>
  <c r="AY58" i="6"/>
  <c r="AV56" i="6"/>
  <c r="AT55" i="6"/>
  <c r="AS150" i="6"/>
  <c r="AG118" i="6"/>
  <c r="AE128" i="6"/>
  <c r="AQ20" i="8" l="1"/>
  <c r="AT54" i="6"/>
  <c r="AT151" i="6"/>
  <c r="AH119" i="6"/>
  <c r="AM122" i="6"/>
  <c r="AY154" i="6"/>
  <c r="AW156" i="6"/>
  <c r="AK124" i="6"/>
  <c r="AV152" i="6"/>
  <c r="AJ120" i="6"/>
  <c r="AV59" i="6"/>
  <c r="AX57" i="6"/>
  <c r="AQ64" i="6"/>
  <c r="AE129" i="6" l="1"/>
  <c r="AR19" i="8"/>
  <c r="AZ58" i="6"/>
  <c r="AW56" i="6"/>
  <c r="AV155" i="6"/>
  <c r="AJ123" i="6"/>
  <c r="AU55" i="6"/>
  <c r="AX153" i="6"/>
  <c r="AL121" i="6"/>
  <c r="AX60" i="6"/>
  <c r="AT150" i="6"/>
  <c r="AH118" i="6"/>
  <c r="AF128" i="6"/>
  <c r="AR20" i="8" l="1"/>
  <c r="AY57" i="6"/>
  <c r="AW59" i="6"/>
  <c r="AW152" i="6"/>
  <c r="AK120" i="6"/>
  <c r="AX156" i="6"/>
  <c r="AL124" i="6"/>
  <c r="AU54" i="6"/>
  <c r="AU151" i="6"/>
  <c r="AI119" i="6"/>
  <c r="AZ154" i="6"/>
  <c r="AN122" i="6"/>
  <c r="AR64" i="6"/>
  <c r="AF129" i="6" l="1"/>
  <c r="AS19" i="8"/>
  <c r="AU150" i="6"/>
  <c r="AI118" i="6"/>
  <c r="AW155" i="6"/>
  <c r="AK123" i="6"/>
  <c r="AY60" i="6"/>
  <c r="BA58" i="6"/>
  <c r="AV55" i="6"/>
  <c r="AX56" i="6"/>
  <c r="AY153" i="6"/>
  <c r="AM121" i="6"/>
  <c r="AG128" i="6"/>
  <c r="AS20" i="8" l="1"/>
  <c r="AZ57" i="6"/>
  <c r="AV151" i="6"/>
  <c r="AJ119" i="6"/>
  <c r="AX152" i="6"/>
  <c r="AL120" i="6"/>
  <c r="BA154" i="6"/>
  <c r="AO122" i="6"/>
  <c r="AX59" i="6"/>
  <c r="AY156" i="6"/>
  <c r="AM124" i="6"/>
  <c r="AV54" i="6"/>
  <c r="AS64" i="6"/>
  <c r="AG129" i="6" l="1"/>
  <c r="AT19" i="8"/>
  <c r="AH128" i="6"/>
  <c r="AX155" i="6"/>
  <c r="AL123" i="6"/>
  <c r="BB58" i="6"/>
  <c r="AY56" i="6"/>
  <c r="AW55" i="6"/>
  <c r="AZ60" i="6"/>
  <c r="AV150" i="6"/>
  <c r="AJ118" i="6"/>
  <c r="AZ153" i="6"/>
  <c r="AN121" i="6"/>
  <c r="AT20" i="8" l="1"/>
  <c r="BA57" i="6"/>
  <c r="AZ156" i="6"/>
  <c r="AN124" i="6"/>
  <c r="AY152" i="6"/>
  <c r="AM120" i="6"/>
  <c r="AY59" i="6"/>
  <c r="AW54" i="6"/>
  <c r="AW151" i="6"/>
  <c r="AK119" i="6"/>
  <c r="BB154" i="6"/>
  <c r="AP122" i="6"/>
  <c r="AT64" i="6"/>
  <c r="AH129" i="6" l="1"/>
  <c r="AU19" i="8"/>
  <c r="AW150" i="6"/>
  <c r="AK118" i="6"/>
  <c r="AY155" i="6"/>
  <c r="AM123" i="6"/>
  <c r="BA60" i="6"/>
  <c r="BC58" i="6"/>
  <c r="AX55" i="6"/>
  <c r="AZ56" i="6"/>
  <c r="BA153" i="6"/>
  <c r="AO121" i="6"/>
  <c r="AI128" i="6"/>
  <c r="AU20" i="8" l="1"/>
  <c r="AX151" i="6"/>
  <c r="AL119" i="6"/>
  <c r="BA156" i="6"/>
  <c r="AO124" i="6"/>
  <c r="AZ152" i="6"/>
  <c r="AN120" i="6"/>
  <c r="BC154" i="6"/>
  <c r="AQ122" i="6"/>
  <c r="AX54" i="6"/>
  <c r="BB57" i="6"/>
  <c r="AZ59" i="6"/>
  <c r="AU64" i="6"/>
  <c r="AI129" i="6" l="1"/>
  <c r="AV19" i="8"/>
  <c r="BB153" i="6"/>
  <c r="AP121" i="6"/>
  <c r="BD58" i="6"/>
  <c r="BA56" i="6"/>
  <c r="AZ155" i="6"/>
  <c r="AN123" i="6"/>
  <c r="AX150" i="6"/>
  <c r="AL118" i="6"/>
  <c r="BB60" i="6"/>
  <c r="AY55" i="6"/>
  <c r="AJ128" i="6"/>
  <c r="AV20" i="8" l="1"/>
  <c r="AY54" i="6"/>
  <c r="BB156" i="6"/>
  <c r="AP124" i="6"/>
  <c r="BA152" i="6"/>
  <c r="AO120" i="6"/>
  <c r="BC57" i="6"/>
  <c r="AY151" i="6"/>
  <c r="AM119" i="6"/>
  <c r="BA59" i="6"/>
  <c r="BD154" i="6"/>
  <c r="AR122" i="6"/>
  <c r="AV64" i="6"/>
  <c r="AJ129" i="6" l="1"/>
  <c r="AW19" i="8"/>
  <c r="BB56" i="6"/>
  <c r="AZ55" i="6"/>
  <c r="BC153" i="6"/>
  <c r="AQ121" i="6"/>
  <c r="BA155" i="6"/>
  <c r="AO123" i="6"/>
  <c r="BC60" i="6"/>
  <c r="BE58" i="6"/>
  <c r="AY150" i="6"/>
  <c r="AM118" i="6"/>
  <c r="AK128" i="6"/>
  <c r="AW20" i="8" l="1"/>
  <c r="BC156" i="6"/>
  <c r="AQ124" i="6"/>
  <c r="AZ151" i="6"/>
  <c r="AN119" i="6"/>
  <c r="BD57" i="6"/>
  <c r="BE154" i="6"/>
  <c r="AS122" i="6"/>
  <c r="BB59" i="6"/>
  <c r="AZ54" i="6"/>
  <c r="BB152" i="6"/>
  <c r="AP120" i="6"/>
  <c r="AW64" i="6"/>
  <c r="AK129" i="6" l="1"/>
  <c r="AX19" i="8"/>
  <c r="BB155" i="6"/>
  <c r="AP123" i="6"/>
  <c r="AZ150" i="6"/>
  <c r="AN118" i="6"/>
  <c r="BF58" i="6"/>
  <c r="BD60" i="6"/>
  <c r="BC56" i="6"/>
  <c r="BD153" i="6"/>
  <c r="AR121" i="6"/>
  <c r="BA55" i="6"/>
  <c r="AL128" i="6"/>
  <c r="AX20" i="8" l="1"/>
  <c r="BC152" i="6"/>
  <c r="AQ120" i="6"/>
  <c r="BF154" i="6"/>
  <c r="AT122" i="6"/>
  <c r="BE57" i="6"/>
  <c r="BD156" i="6"/>
  <c r="AR124" i="6"/>
  <c r="BA54" i="6"/>
  <c r="BC59" i="6"/>
  <c r="BA151" i="6"/>
  <c r="AO119" i="6"/>
  <c r="AX64" i="6"/>
  <c r="AL129" i="6" l="1"/>
  <c r="AY19" i="8"/>
  <c r="BA150" i="6"/>
  <c r="AO118" i="6"/>
  <c r="BC155" i="6"/>
  <c r="AQ123" i="6"/>
  <c r="BE60" i="6"/>
  <c r="BD56" i="6"/>
  <c r="BB55" i="6"/>
  <c r="BE153" i="6"/>
  <c r="AS121" i="6"/>
  <c r="BG58" i="6"/>
  <c r="AY20" i="8" l="1"/>
  <c r="AM128" i="6"/>
  <c r="BB151" i="6"/>
  <c r="AP119" i="6"/>
  <c r="BE156" i="6"/>
  <c r="AS124" i="6"/>
  <c r="BF57" i="6"/>
  <c r="BD152" i="6"/>
  <c r="AR120" i="6"/>
  <c r="BD59" i="6"/>
  <c r="BG154" i="6"/>
  <c r="AU122" i="6"/>
  <c r="BB54" i="6"/>
  <c r="AY64" i="6"/>
  <c r="AZ19" i="8" s="1"/>
  <c r="AZ20" i="8" l="1"/>
  <c r="AM129" i="6"/>
  <c r="AN128" i="6"/>
  <c r="BD155" i="6"/>
  <c r="AR123" i="6"/>
  <c r="BH58" i="6"/>
  <c r="BE56" i="6"/>
  <c r="BC55" i="6"/>
  <c r="BB150" i="6"/>
  <c r="AP118" i="6"/>
  <c r="BF153" i="6"/>
  <c r="AT121" i="6"/>
  <c r="BF60" i="6"/>
  <c r="BC54" i="6" l="1"/>
  <c r="BE59" i="6"/>
  <c r="BG57" i="6"/>
  <c r="BE152" i="6"/>
  <c r="AS120" i="6"/>
  <c r="BF156" i="6"/>
  <c r="AT124" i="6"/>
  <c r="BC151" i="6"/>
  <c r="AQ119" i="6"/>
  <c r="BH154" i="6"/>
  <c r="AV122" i="6"/>
  <c r="AZ64" i="6"/>
  <c r="AN129" i="6" l="1"/>
  <c r="BA19" i="8"/>
  <c r="AO128" i="6"/>
  <c r="BG60" i="6"/>
  <c r="BD55" i="6"/>
  <c r="BF56" i="6"/>
  <c r="BI58" i="6"/>
  <c r="BG153" i="6"/>
  <c r="AU121" i="6"/>
  <c r="BE155" i="6"/>
  <c r="AS123" i="6"/>
  <c r="BC150" i="6"/>
  <c r="AQ118" i="6"/>
  <c r="BA20" i="8" l="1"/>
  <c r="BI154" i="6"/>
  <c r="AW122" i="6"/>
  <c r="BD151" i="6"/>
  <c r="AR119" i="6"/>
  <c r="BF59" i="6"/>
  <c r="BF152" i="6"/>
  <c r="AT120" i="6"/>
  <c r="BG156" i="6"/>
  <c r="AU124" i="6"/>
  <c r="BH57" i="6"/>
  <c r="BD54" i="6"/>
  <c r="BA64" i="6"/>
  <c r="AO129" i="6" l="1"/>
  <c r="BB19" i="8"/>
  <c r="BD150" i="6"/>
  <c r="AR118" i="6"/>
  <c r="BF155" i="6"/>
  <c r="AT123" i="6"/>
  <c r="BG56" i="6"/>
  <c r="BH153" i="6"/>
  <c r="AV121" i="6"/>
  <c r="BH60" i="6"/>
  <c r="BE55" i="6"/>
  <c r="BJ58" i="6"/>
  <c r="AP128" i="6"/>
  <c r="BB20" i="8" l="1"/>
  <c r="AW138" i="6"/>
  <c r="AQ138" i="6"/>
  <c r="C138" i="6"/>
  <c r="D138" i="6"/>
  <c r="E138" i="6"/>
  <c r="F138" i="6"/>
  <c r="G138" i="6"/>
  <c r="H138" i="6"/>
  <c r="J138" i="6"/>
  <c r="I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T138" i="6"/>
  <c r="AS138" i="6"/>
  <c r="AR138" i="6"/>
  <c r="AV138" i="6"/>
  <c r="AU138" i="6"/>
  <c r="BE151" i="6"/>
  <c r="AS119" i="6"/>
  <c r="BG152" i="6"/>
  <c r="AU120" i="6"/>
  <c r="BE54" i="6"/>
  <c r="BI57" i="6"/>
  <c r="BH122" i="6"/>
  <c r="BI122" i="6"/>
  <c r="BJ154" i="6"/>
  <c r="BK58" i="6"/>
  <c r="AX122" i="6"/>
  <c r="AY122" i="6"/>
  <c r="AZ122" i="6"/>
  <c r="BA122" i="6"/>
  <c r="BB122" i="6"/>
  <c r="BC122" i="6"/>
  <c r="BE122" i="6"/>
  <c r="BF122" i="6"/>
  <c r="BD122" i="6"/>
  <c r="BG122" i="6"/>
  <c r="BH156" i="6"/>
  <c r="AV124" i="6"/>
  <c r="BG59" i="6"/>
  <c r="BB64" i="6"/>
  <c r="AP129" i="6" l="1"/>
  <c r="BC19" i="8"/>
  <c r="AQ128" i="6"/>
  <c r="BK138" i="6"/>
  <c r="BI60" i="6"/>
  <c r="BF55" i="6"/>
  <c r="BG155" i="6"/>
  <c r="AU123" i="6"/>
  <c r="BK154" i="6"/>
  <c r="BI153" i="6"/>
  <c r="AW121" i="6"/>
  <c r="BE150" i="6"/>
  <c r="AS118" i="6"/>
  <c r="BH56" i="6"/>
  <c r="BC20" i="8" l="1"/>
  <c r="BH152" i="6"/>
  <c r="AV120" i="6"/>
  <c r="BF151" i="6"/>
  <c r="AT119" i="6"/>
  <c r="BH59" i="6"/>
  <c r="BF54" i="6"/>
  <c r="BI156" i="6"/>
  <c r="AW124" i="6"/>
  <c r="BJ57" i="6"/>
  <c r="BC64" i="6"/>
  <c r="AQ129" i="6" l="1"/>
  <c r="BD19" i="8"/>
  <c r="AT137" i="6"/>
  <c r="AW137" i="6"/>
  <c r="D137" i="6"/>
  <c r="C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Q137" i="6"/>
  <c r="AN137" i="6"/>
  <c r="AO137" i="6"/>
  <c r="AR137" i="6"/>
  <c r="AP137" i="6"/>
  <c r="AS137" i="6"/>
  <c r="AU137" i="6"/>
  <c r="AV137" i="6"/>
  <c r="BF150" i="6"/>
  <c r="AT118" i="6"/>
  <c r="BI56" i="6"/>
  <c r="BH121" i="6"/>
  <c r="BI121" i="6"/>
  <c r="BK57" i="6"/>
  <c r="BJ153" i="6"/>
  <c r="AX121" i="6"/>
  <c r="AY121" i="6"/>
  <c r="AZ121" i="6"/>
  <c r="BA121" i="6"/>
  <c r="BB121" i="6"/>
  <c r="BC121" i="6"/>
  <c r="BF121" i="6"/>
  <c r="BD121" i="6"/>
  <c r="BG121" i="6"/>
  <c r="BE121" i="6"/>
  <c r="BH155" i="6"/>
  <c r="AV123" i="6"/>
  <c r="BJ60" i="6"/>
  <c r="BG55" i="6"/>
  <c r="AR128" i="6"/>
  <c r="BD20" i="8" l="1"/>
  <c r="AW140" i="6"/>
  <c r="AS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V140" i="6"/>
  <c r="AT140" i="6"/>
  <c r="AU140" i="6"/>
  <c r="BH124" i="6"/>
  <c r="BI124" i="6"/>
  <c r="BJ156" i="6"/>
  <c r="BK60" i="6"/>
  <c r="AX124" i="6"/>
  <c r="AY124" i="6"/>
  <c r="AZ124" i="6"/>
  <c r="BA124" i="6"/>
  <c r="BB124" i="6"/>
  <c r="BC124" i="6"/>
  <c r="BF124" i="6"/>
  <c r="BG124" i="6"/>
  <c r="BD124" i="6"/>
  <c r="BE124" i="6"/>
  <c r="BI59" i="6"/>
  <c r="BK153" i="6"/>
  <c r="BK137" i="6"/>
  <c r="BG54" i="6"/>
  <c r="BG151" i="6"/>
  <c r="AU119" i="6"/>
  <c r="BI152" i="6"/>
  <c r="AW120" i="6"/>
  <c r="BD64" i="6"/>
  <c r="AR129" i="6" l="1"/>
  <c r="BE19" i="8"/>
  <c r="AS128" i="6"/>
  <c r="BI155" i="6"/>
  <c r="AW123" i="6"/>
  <c r="BH55" i="6"/>
  <c r="BG150" i="6"/>
  <c r="AU118" i="6"/>
  <c r="BK156" i="6"/>
  <c r="BK140" i="6"/>
  <c r="BJ56" i="6"/>
  <c r="BE20" i="8" l="1"/>
  <c r="AW136" i="6"/>
  <c r="AR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T136" i="6"/>
  <c r="AV136" i="6"/>
  <c r="AS136" i="6"/>
  <c r="AU136" i="6"/>
  <c r="BI120" i="6"/>
  <c r="BJ152" i="6"/>
  <c r="BK56" i="6"/>
  <c r="AX120" i="6"/>
  <c r="AY120" i="6"/>
  <c r="AZ120" i="6"/>
  <c r="BA120" i="6"/>
  <c r="BB120" i="6"/>
  <c r="BC120" i="6"/>
  <c r="BF120" i="6"/>
  <c r="BD120" i="6"/>
  <c r="BG120" i="6"/>
  <c r="BH120" i="6"/>
  <c r="BE120" i="6"/>
  <c r="BJ59" i="6"/>
  <c r="BH54" i="6"/>
  <c r="BH151" i="6"/>
  <c r="AV119" i="6"/>
  <c r="BE64" i="6"/>
  <c r="AS129" i="6" l="1"/>
  <c r="BF19" i="8"/>
  <c r="AQ139" i="6"/>
  <c r="AS139" i="6"/>
  <c r="AR139" i="6"/>
  <c r="AW139" i="6"/>
  <c r="C139" i="6"/>
  <c r="E139" i="6"/>
  <c r="D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T139" i="6"/>
  <c r="AU139" i="6"/>
  <c r="AV139" i="6"/>
  <c r="AT128" i="6"/>
  <c r="BI123" i="6"/>
  <c r="BK59" i="6"/>
  <c r="BJ155" i="6"/>
  <c r="AX123" i="6"/>
  <c r="AY123" i="6"/>
  <c r="AZ123" i="6"/>
  <c r="BA123" i="6"/>
  <c r="BB123" i="6"/>
  <c r="BC123" i="6"/>
  <c r="BH123" i="6"/>
  <c r="BF123" i="6"/>
  <c r="BG123" i="6"/>
  <c r="BD123" i="6"/>
  <c r="BE123" i="6"/>
  <c r="BK152" i="6"/>
  <c r="BK136" i="6"/>
  <c r="BI55" i="6"/>
  <c r="BH150" i="6"/>
  <c r="AV118" i="6"/>
  <c r="BF20" i="8" l="1"/>
  <c r="BK155" i="6"/>
  <c r="BK139" i="6"/>
  <c r="BI151" i="6"/>
  <c r="AW119" i="6"/>
  <c r="BI54" i="6"/>
  <c r="BF64" i="6"/>
  <c r="AT129" i="6" l="1"/>
  <c r="BG19" i="8"/>
  <c r="BI150" i="6"/>
  <c r="AW118" i="6"/>
  <c r="BJ55" i="6"/>
  <c r="AU128" i="6"/>
  <c r="BG20" i="8" l="1"/>
  <c r="AR135" i="6"/>
  <c r="AW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U135" i="6"/>
  <c r="AS135" i="6"/>
  <c r="AV135" i="6"/>
  <c r="AT135" i="6"/>
  <c r="BJ54" i="6"/>
  <c r="BH119" i="6"/>
  <c r="BI119" i="6"/>
  <c r="BJ151" i="6"/>
  <c r="BK55" i="6"/>
  <c r="AX119" i="6"/>
  <c r="AY119" i="6"/>
  <c r="AZ119" i="6"/>
  <c r="BA119" i="6"/>
  <c r="BB119" i="6"/>
  <c r="BC119" i="6"/>
  <c r="BD119" i="6"/>
  <c r="BG119" i="6"/>
  <c r="BE119" i="6"/>
  <c r="BF119" i="6"/>
  <c r="BG64" i="6"/>
  <c r="AU129" i="6" l="1"/>
  <c r="BH19" i="8"/>
  <c r="AW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R134" i="6"/>
  <c r="AP134" i="6"/>
  <c r="AT134" i="6"/>
  <c r="AQ134" i="6"/>
  <c r="AU134" i="6"/>
  <c r="AV134" i="6"/>
  <c r="AS134" i="6"/>
  <c r="C134" i="6"/>
  <c r="AV128" i="6"/>
  <c r="BK151" i="6"/>
  <c r="BK135" i="6"/>
  <c r="BI118" i="6"/>
  <c r="BJ150" i="6"/>
  <c r="BK54" i="6"/>
  <c r="AX118" i="6"/>
  <c r="AY118" i="6"/>
  <c r="AZ118" i="6"/>
  <c r="BA118" i="6"/>
  <c r="BB118" i="6"/>
  <c r="BC118" i="6"/>
  <c r="BH118" i="6"/>
  <c r="BG118" i="6"/>
  <c r="BF118" i="6"/>
  <c r="BE118" i="6"/>
  <c r="BD118" i="6"/>
  <c r="BH20" i="8" l="1"/>
  <c r="BK134" i="6"/>
  <c r="BK150" i="6"/>
  <c r="BH64" i="6"/>
  <c r="AV129" i="6" l="1"/>
  <c r="BI19" i="8"/>
  <c r="AW128" i="6"/>
  <c r="BI20" i="8" l="1"/>
  <c r="BI64" i="6"/>
  <c r="AW129" i="6" l="1"/>
  <c r="BJ19" i="8"/>
  <c r="AQ144" i="6"/>
  <c r="AW144" i="6"/>
  <c r="AR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O144" i="6"/>
  <c r="AN144" i="6"/>
  <c r="AP144" i="6"/>
  <c r="AS144" i="6"/>
  <c r="AT144" i="6"/>
  <c r="AV144" i="6"/>
  <c r="AU144" i="6"/>
  <c r="BC128" i="6"/>
  <c r="BE128" i="6"/>
  <c r="AZ128" i="6"/>
  <c r="BB128" i="6"/>
  <c r="BD128" i="6"/>
  <c r="BA128" i="6"/>
  <c r="BI128" i="6"/>
  <c r="BF128" i="6"/>
  <c r="BJ20" i="8" l="1"/>
  <c r="AX128" i="6"/>
  <c r="BG128" i="6"/>
  <c r="AY128" i="6"/>
  <c r="BH160" i="6"/>
  <c r="BE160" i="6"/>
  <c r="D160" i="6"/>
  <c r="BI160" i="6"/>
  <c r="T160" i="6"/>
  <c r="AE160" i="6"/>
  <c r="E160" i="6"/>
  <c r="P160" i="6"/>
  <c r="K160" i="6"/>
  <c r="BC160" i="6"/>
  <c r="AM160" i="6"/>
  <c r="U160" i="6"/>
  <c r="AZ160" i="6"/>
  <c r="BB160" i="6"/>
  <c r="BA160" i="6"/>
  <c r="BD160" i="6"/>
  <c r="AT160" i="6"/>
  <c r="I160" i="6"/>
  <c r="AW160" i="6"/>
  <c r="AS160" i="6"/>
  <c r="F160" i="6"/>
  <c r="V160" i="6"/>
  <c r="S160" i="6"/>
  <c r="O160" i="6"/>
  <c r="AH160" i="6"/>
  <c r="AU160" i="6"/>
  <c r="AK160" i="6"/>
  <c r="X160" i="6"/>
  <c r="AO160" i="6"/>
  <c r="M160" i="6"/>
  <c r="BF160" i="6"/>
  <c r="AI160" i="6"/>
  <c r="Z160" i="6"/>
  <c r="AY160" i="6"/>
  <c r="Y160" i="6"/>
  <c r="AQ160" i="6"/>
  <c r="G160" i="6"/>
  <c r="AC160" i="6"/>
  <c r="AP160" i="6"/>
  <c r="H160" i="6"/>
  <c r="L160" i="6"/>
  <c r="AV160" i="6"/>
  <c r="AJ160" i="6"/>
  <c r="BG160" i="6"/>
  <c r="W160" i="6"/>
  <c r="AX160" i="6"/>
  <c r="AB160" i="6"/>
  <c r="AG160" i="6"/>
  <c r="J160" i="6"/>
  <c r="N160" i="6"/>
  <c r="AN160" i="6"/>
  <c r="R160" i="6"/>
  <c r="AF160" i="6"/>
  <c r="Q160" i="6"/>
  <c r="AR160" i="6"/>
  <c r="AA160" i="6"/>
  <c r="AL160" i="6"/>
  <c r="AD160" i="6"/>
  <c r="C160" i="6"/>
  <c r="BJ64" i="6"/>
  <c r="AM21" i="8" l="1"/>
  <c r="S21" i="8"/>
  <c r="BH21" i="8"/>
  <c r="AR21" i="8"/>
  <c r="Y21" i="8"/>
  <c r="AT21" i="8"/>
  <c r="Q21" i="8"/>
  <c r="AS21" i="8"/>
  <c r="AC21" i="8"/>
  <c r="AK21" i="8"/>
  <c r="AQ21" i="8"/>
  <c r="Z21" i="8"/>
  <c r="BG21" i="8"/>
  <c r="AL21" i="8"/>
  <c r="T21" i="8"/>
  <c r="AX21" i="8"/>
  <c r="BB21" i="8"/>
  <c r="AN21" i="8"/>
  <c r="F21" i="8"/>
  <c r="E21" i="8"/>
  <c r="AG21" i="8"/>
  <c r="K21" i="8"/>
  <c r="X21" i="8"/>
  <c r="AB21" i="8"/>
  <c r="AH21" i="8"/>
  <c r="I21" i="8"/>
  <c r="AJ21" i="8"/>
  <c r="P21" i="8"/>
  <c r="BE21" i="8"/>
  <c r="V21" i="8"/>
  <c r="BJ21" i="8"/>
  <c r="AO21" i="8"/>
  <c r="AE21" i="8"/>
  <c r="R21" i="8"/>
  <c r="O21" i="8"/>
  <c r="AY21" i="8"/>
  <c r="AW21" i="8"/>
  <c r="AD21" i="8"/>
  <c r="AZ21" i="8"/>
  <c r="N21" i="8"/>
  <c r="AV21" i="8"/>
  <c r="W21" i="8"/>
  <c r="J21" i="8"/>
  <c r="BC21" i="8"/>
  <c r="BD21" i="8"/>
  <c r="AF21" i="8"/>
  <c r="BF21" i="8"/>
  <c r="M21" i="8"/>
  <c r="H21" i="8"/>
  <c r="AA21" i="8"/>
  <c r="AP21" i="8"/>
  <c r="AI21" i="8"/>
  <c r="G21" i="8"/>
  <c r="AU21" i="8"/>
  <c r="BA21" i="8"/>
  <c r="L21" i="8"/>
  <c r="U21" i="8"/>
  <c r="BI21" i="8"/>
  <c r="D21" i="8"/>
  <c r="D27" i="8"/>
  <c r="R161" i="6"/>
  <c r="BG161" i="6"/>
  <c r="AQ161" i="6"/>
  <c r="X161" i="6"/>
  <c r="AS161" i="6"/>
  <c r="U161" i="6"/>
  <c r="P161" i="6"/>
  <c r="AR161" i="6"/>
  <c r="AB161" i="6"/>
  <c r="AP161" i="6"/>
  <c r="BF161" i="6"/>
  <c r="S161" i="6"/>
  <c r="BA161" i="6"/>
  <c r="AM161" i="6"/>
  <c r="D161" i="6"/>
  <c r="Q161" i="6"/>
  <c r="AX161" i="6"/>
  <c r="AV161" i="6"/>
  <c r="AC161" i="6"/>
  <c r="AY161" i="6"/>
  <c r="M161" i="6"/>
  <c r="AU161" i="6"/>
  <c r="V161" i="6"/>
  <c r="I161" i="6"/>
  <c r="BB161" i="6"/>
  <c r="BC161" i="6"/>
  <c r="AE161" i="6"/>
  <c r="BE161" i="6"/>
  <c r="AA161" i="6"/>
  <c r="AG161" i="6"/>
  <c r="H161" i="6"/>
  <c r="AI161" i="6"/>
  <c r="O161" i="6"/>
  <c r="BD161" i="6"/>
  <c r="BI161" i="6"/>
  <c r="AN161" i="6"/>
  <c r="AJ161" i="6"/>
  <c r="Y161" i="6"/>
  <c r="AK161" i="6"/>
  <c r="AW161" i="6"/>
  <c r="E161" i="6"/>
  <c r="AD161" i="6"/>
  <c r="N161" i="6"/>
  <c r="AL161" i="6"/>
  <c r="AF161" i="6"/>
  <c r="J161" i="6"/>
  <c r="W161" i="6"/>
  <c r="L161" i="6"/>
  <c r="G161" i="6"/>
  <c r="Z161" i="6"/>
  <c r="AO161" i="6"/>
  <c r="AH161" i="6"/>
  <c r="F161" i="6"/>
  <c r="AT161" i="6"/>
  <c r="AZ161" i="6"/>
  <c r="K161" i="6"/>
  <c r="T161" i="6"/>
  <c r="BH161" i="6"/>
  <c r="C145" i="6"/>
  <c r="BK19" i="8"/>
  <c r="C161" i="6"/>
  <c r="AX129" i="6"/>
  <c r="S145" i="6"/>
  <c r="AF145" i="6"/>
  <c r="J145" i="6"/>
  <c r="AM145" i="6"/>
  <c r="AB145" i="6"/>
  <c r="AU145" i="6"/>
  <c r="AE145" i="6"/>
  <c r="AN145" i="6"/>
  <c r="AC145" i="6"/>
  <c r="G145" i="6"/>
  <c r="AG145" i="6"/>
  <c r="N145" i="6"/>
  <c r="AD145" i="6"/>
  <c r="AO145" i="6"/>
  <c r="AQ145" i="6"/>
  <c r="T145" i="6"/>
  <c r="U145" i="6"/>
  <c r="I145" i="6"/>
  <c r="X145" i="6"/>
  <c r="D145" i="6"/>
  <c r="AJ145" i="6"/>
  <c r="P145" i="6"/>
  <c r="AS145" i="6"/>
  <c r="E145" i="6"/>
  <c r="AK145" i="6"/>
  <c r="W145" i="6"/>
  <c r="AR145" i="6"/>
  <c r="R145" i="6"/>
  <c r="AH145" i="6"/>
  <c r="O145" i="6"/>
  <c r="Y145" i="6"/>
  <c r="AL145" i="6"/>
  <c r="AW145" i="6"/>
  <c r="Z145" i="6"/>
  <c r="L145" i="6"/>
  <c r="AV145" i="6"/>
  <c r="K145" i="6"/>
  <c r="Q145" i="6"/>
  <c r="M145" i="6"/>
  <c r="H145" i="6"/>
  <c r="AI145" i="6"/>
  <c r="F145" i="6"/>
  <c r="V145" i="6"/>
  <c r="AP145" i="6"/>
  <c r="AA145" i="6"/>
  <c r="AT145" i="6"/>
  <c r="BC144" i="6"/>
  <c r="BH144" i="6"/>
  <c r="BF144" i="6"/>
  <c r="BG144" i="6"/>
  <c r="BA144" i="6"/>
  <c r="AZ144" i="6"/>
  <c r="AX144" i="6"/>
  <c r="AY144" i="6"/>
  <c r="BE144" i="6"/>
  <c r="BD144" i="6"/>
  <c r="BB144" i="6"/>
  <c r="BI144" i="6"/>
  <c r="BK64" i="6"/>
  <c r="BH128" i="6"/>
  <c r="BK160" i="6"/>
  <c r="BJ160" i="6"/>
  <c r="D32" i="8" l="1"/>
  <c r="D26" i="8"/>
  <c r="BK20" i="8"/>
  <c r="BJ161" i="6"/>
  <c r="BJ144" i="6"/>
  <c r="BK144" i="6"/>
  <c r="D42" i="8" l="1"/>
  <c r="D44" i="8" s="1"/>
  <c r="D31" i="8"/>
  <c r="BK21" i="8"/>
  <c r="E29" i="8"/>
  <c r="E32" i="8" l="1"/>
  <c r="E30" i="8"/>
  <c r="E42" i="8" s="1"/>
  <c r="E44" i="8" s="1"/>
  <c r="F29" i="8"/>
  <c r="F32" i="8" l="1"/>
  <c r="E31" i="8"/>
  <c r="G29" i="8"/>
  <c r="F30" i="8"/>
  <c r="F42" i="8" s="1"/>
  <c r="F44" i="8" s="1"/>
  <c r="G32" i="8" l="1"/>
  <c r="G30" i="8"/>
  <c r="G42" i="8" s="1"/>
  <c r="G44" i="8" s="1"/>
  <c r="F31" i="8"/>
  <c r="H29" i="8"/>
  <c r="G31" i="8" l="1"/>
  <c r="H32" i="8"/>
  <c r="I29" i="8"/>
  <c r="H30" i="8"/>
  <c r="H42" i="8" s="1"/>
  <c r="H44" i="8" s="1"/>
  <c r="I32" i="8" l="1"/>
  <c r="J29" i="8"/>
  <c r="J32" i="8" s="1"/>
  <c r="I30" i="8"/>
  <c r="I31" i="8" s="1"/>
  <c r="H31" i="8"/>
  <c r="I42" i="8" l="1"/>
  <c r="I44" i="8" s="1"/>
  <c r="J30" i="8"/>
  <c r="J42" i="8" s="1"/>
  <c r="J44" i="8" s="1"/>
  <c r="K29" i="8"/>
  <c r="K32" i="8" l="1"/>
  <c r="J31" i="8"/>
  <c r="L29" i="8"/>
  <c r="K30" i="8"/>
  <c r="K42" i="8" s="1"/>
  <c r="K44" i="8" s="1"/>
  <c r="L32" i="8" l="1"/>
  <c r="M29" i="8"/>
  <c r="K31" i="8"/>
  <c r="L30" i="8"/>
  <c r="L42" i="8" s="1"/>
  <c r="L44" i="8" s="1"/>
  <c r="M32" i="8" l="1"/>
  <c r="M30" i="8"/>
  <c r="M31" i="8" s="1"/>
  <c r="N29" i="8"/>
  <c r="L31" i="8"/>
  <c r="M42" i="8" l="1"/>
  <c r="M44" i="8" s="1"/>
  <c r="N32" i="8"/>
  <c r="O29" i="8"/>
  <c r="N30" i="8"/>
  <c r="N42" i="8" s="1"/>
  <c r="N44" i="8" s="1"/>
  <c r="O32" i="8" l="1"/>
  <c r="P29" i="8"/>
  <c r="O30" i="8"/>
  <c r="O31" i="8" s="1"/>
  <c r="N31" i="8"/>
  <c r="O42" i="8" l="1"/>
  <c r="O44" i="8" s="1"/>
  <c r="P32" i="8"/>
  <c r="Q29" i="8"/>
  <c r="P30" i="8"/>
  <c r="P31" i="8" s="1"/>
  <c r="P42" i="8" l="1"/>
  <c r="P44" i="8" s="1"/>
  <c r="Q32" i="8"/>
  <c r="Q30" i="8"/>
  <c r="Q31" i="8" s="1"/>
  <c r="R29" i="8"/>
  <c r="Q42" i="8" l="1"/>
  <c r="Q44" i="8" s="1"/>
  <c r="R32" i="8"/>
  <c r="R30" i="8"/>
  <c r="R31" i="8" s="1"/>
  <c r="S29" i="8"/>
  <c r="R42" i="8" l="1"/>
  <c r="R44" i="8" s="1"/>
  <c r="S32" i="8"/>
  <c r="T29" i="8"/>
  <c r="S30" i="8"/>
  <c r="S31" i="8" s="1"/>
  <c r="S42" i="8" l="1"/>
  <c r="S44" i="8" s="1"/>
  <c r="T32" i="8"/>
  <c r="U29" i="8"/>
  <c r="T30" i="8"/>
  <c r="T31" i="8" s="1"/>
  <c r="T42" i="8" l="1"/>
  <c r="T44" i="8" s="1"/>
  <c r="U32" i="8"/>
  <c r="V29" i="8"/>
  <c r="U30" i="8"/>
  <c r="U31" i="8" s="1"/>
  <c r="U42" i="8" l="1"/>
  <c r="U44" i="8" s="1"/>
  <c r="V32" i="8"/>
  <c r="W29" i="8"/>
  <c r="V30" i="8"/>
  <c r="V31" i="8" s="1"/>
  <c r="V42" i="8" l="1"/>
  <c r="V44" i="8" s="1"/>
  <c r="W32" i="8"/>
  <c r="X29" i="8"/>
  <c r="W30" i="8"/>
  <c r="W31" i="8" s="1"/>
  <c r="W42" i="8" l="1"/>
  <c r="W44" i="8" s="1"/>
  <c r="X32" i="8"/>
  <c r="Y29" i="8"/>
  <c r="Z29" i="8" s="1"/>
  <c r="X30" i="8"/>
  <c r="X31" i="8" s="1"/>
  <c r="X42" i="8" l="1"/>
  <c r="X44" i="8" s="1"/>
  <c r="Y32" i="8"/>
  <c r="Z32" i="8"/>
  <c r="Y30" i="8"/>
  <c r="Y42" i="8" s="1"/>
  <c r="Y44" i="8" s="1"/>
  <c r="Z30" i="8"/>
  <c r="AA29" i="8"/>
  <c r="Z42" i="8" l="1"/>
  <c r="Z44" i="8" s="1"/>
  <c r="Y31" i="8"/>
  <c r="AA32" i="8"/>
  <c r="Z31" i="8"/>
  <c r="AA30" i="8"/>
  <c r="AA42" i="8" s="1"/>
  <c r="AA44" i="8" s="1"/>
  <c r="AB29" i="8"/>
  <c r="AB32" i="8" l="1"/>
  <c r="AA31" i="8"/>
  <c r="AC29" i="8"/>
  <c r="AB30" i="8"/>
  <c r="AB42" i="8" s="1"/>
  <c r="AB44" i="8" s="1"/>
  <c r="AC32" i="8" l="1"/>
  <c r="AB31" i="8"/>
  <c r="AD29" i="8"/>
  <c r="AC30" i="8"/>
  <c r="AC42" i="8" s="1"/>
  <c r="AC44" i="8" s="1"/>
  <c r="AD32" i="8" l="1"/>
  <c r="AC31" i="8"/>
  <c r="AE29" i="8"/>
  <c r="AD30" i="8"/>
  <c r="AD42" i="8" s="1"/>
  <c r="AD44" i="8" s="1"/>
  <c r="AE32" i="8" l="1"/>
  <c r="AF29" i="8"/>
  <c r="AD31" i="8"/>
  <c r="AE30" i="8"/>
  <c r="AE42" i="8" s="1"/>
  <c r="AE44" i="8" s="1"/>
  <c r="AF32" i="8" l="1"/>
  <c r="AG29" i="8"/>
  <c r="AF30" i="8"/>
  <c r="AF42" i="8" s="1"/>
  <c r="AF44" i="8" s="1"/>
  <c r="AE31" i="8"/>
  <c r="AG32" i="8" l="1"/>
  <c r="AF31" i="8"/>
  <c r="AH29" i="8"/>
  <c r="AG30" i="8"/>
  <c r="AG42" i="8" s="1"/>
  <c r="AG44" i="8" s="1"/>
  <c r="AH32" i="8" l="1"/>
  <c r="AG31" i="8"/>
  <c r="AH30" i="8"/>
  <c r="AH31" i="8" s="1"/>
  <c r="AI29" i="8"/>
  <c r="AH42" i="8" l="1"/>
  <c r="AH44" i="8" s="1"/>
  <c r="AI32" i="8"/>
  <c r="AJ29" i="8"/>
  <c r="AI30" i="8"/>
  <c r="AI31" i="8" s="1"/>
  <c r="AI42" i="8" l="1"/>
  <c r="AI44" i="8" s="1"/>
  <c r="AJ32" i="8"/>
  <c r="AJ30" i="8"/>
  <c r="AJ31" i="8" s="1"/>
  <c r="AK29" i="8"/>
  <c r="AJ42" i="8" l="1"/>
  <c r="AJ44" i="8" s="1"/>
  <c r="AK32" i="8"/>
  <c r="AL29" i="8"/>
  <c r="AK30" i="8"/>
  <c r="AK31" i="8" s="1"/>
  <c r="AK42" i="8" l="1"/>
  <c r="AK44" i="8" s="1"/>
  <c r="AL32" i="8"/>
  <c r="AM29" i="8"/>
  <c r="AL30" i="8"/>
  <c r="AL31" i="8" s="1"/>
  <c r="AL42" i="8" l="1"/>
  <c r="AL44" i="8" s="1"/>
  <c r="AM32" i="8"/>
  <c r="AN29" i="8"/>
  <c r="AM30" i="8"/>
  <c r="AM31" i="8" s="1"/>
  <c r="AM42" i="8" l="1"/>
  <c r="AM44" i="8" s="1"/>
  <c r="AN32" i="8"/>
  <c r="AO29" i="8"/>
  <c r="AN30" i="8"/>
  <c r="AN31" i="8" s="1"/>
  <c r="AN42" i="8" l="1"/>
  <c r="AN44" i="8" s="1"/>
  <c r="AO32" i="8"/>
  <c r="AP29" i="8"/>
  <c r="AP30" i="8" s="1"/>
  <c r="AO30" i="8"/>
  <c r="AO31" i="8" s="1"/>
  <c r="AO42" i="8" l="1"/>
  <c r="AO44" i="8" s="1"/>
  <c r="AQ29" i="8"/>
  <c r="AQ32" i="8" s="1"/>
  <c r="AP32" i="8"/>
  <c r="AP42" i="8"/>
  <c r="AP44" i="8" s="1"/>
  <c r="AP31" i="8"/>
  <c r="AR29" i="8" l="1"/>
  <c r="AR30" i="8" s="1"/>
  <c r="AQ30" i="8"/>
  <c r="AQ42" i="8" s="1"/>
  <c r="AQ44" i="8" s="1"/>
  <c r="AQ31" i="8" l="1"/>
  <c r="AR42" i="8"/>
  <c r="AR44" i="8" s="1"/>
  <c r="AR32" i="8"/>
  <c r="AS29" i="8"/>
  <c r="AS30" i="8" s="1"/>
  <c r="AS42" i="8" s="1"/>
  <c r="AS44" i="8" s="1"/>
  <c r="AR31" i="8"/>
  <c r="AS32" i="8" l="1"/>
  <c r="AT29" i="8"/>
  <c r="AT30" i="8" s="1"/>
  <c r="AT42" i="8" s="1"/>
  <c r="AT44" i="8" s="1"/>
  <c r="AS31" i="8"/>
  <c r="AT32" i="8" l="1"/>
  <c r="AU29" i="8"/>
  <c r="AU30" i="8" s="1"/>
  <c r="AU42" i="8" s="1"/>
  <c r="AU44" i="8" s="1"/>
  <c r="AT31" i="8"/>
  <c r="AU32" i="8" l="1"/>
  <c r="AV29" i="8"/>
  <c r="AV30" i="8" s="1"/>
  <c r="AV42" i="8" s="1"/>
  <c r="AV44" i="8" s="1"/>
  <c r="AU31" i="8"/>
  <c r="AW29" i="8" l="1"/>
  <c r="AX29" i="8" s="1"/>
  <c r="AV32" i="8"/>
  <c r="AV31" i="8"/>
  <c r="AW30" i="8" l="1"/>
  <c r="AW42" i="8" s="1"/>
  <c r="AW44" i="8" s="1"/>
  <c r="AW32" i="8"/>
  <c r="AX32" i="8"/>
  <c r="AX30" i="8"/>
  <c r="AY29" i="8"/>
  <c r="AX42" i="8" l="1"/>
  <c r="AX44" i="8" s="1"/>
  <c r="AW31" i="8"/>
  <c r="AY32" i="8"/>
  <c r="AX31" i="8"/>
  <c r="AY30" i="8"/>
  <c r="AY42" i="8" s="1"/>
  <c r="AY44" i="8" s="1"/>
  <c r="AZ29" i="8"/>
  <c r="AZ32" i="8" l="1"/>
  <c r="AY31" i="8"/>
  <c r="AZ30" i="8"/>
  <c r="AZ42" i="8" s="1"/>
  <c r="AZ44" i="8" s="1"/>
  <c r="BA29" i="8"/>
  <c r="BA32" i="8" l="1"/>
  <c r="AZ31" i="8"/>
  <c r="BA30" i="8"/>
  <c r="BA42" i="8" s="1"/>
  <c r="BA44" i="8" s="1"/>
  <c r="BB29" i="8"/>
  <c r="BB32" i="8" l="1"/>
  <c r="BA31" i="8"/>
  <c r="BB30" i="8"/>
  <c r="BB42" i="8" s="1"/>
  <c r="BB44" i="8" s="1"/>
  <c r="BC29" i="8"/>
  <c r="BC32" i="8" l="1"/>
  <c r="BB31" i="8"/>
  <c r="BC30" i="8"/>
  <c r="BC42" i="8" s="1"/>
  <c r="BC44" i="8" s="1"/>
  <c r="BD29" i="8"/>
  <c r="BD32" i="8" l="1"/>
  <c r="BC31" i="8"/>
  <c r="BD30" i="8"/>
  <c r="BD42" i="8" s="1"/>
  <c r="BD44" i="8" s="1"/>
  <c r="BE29" i="8"/>
  <c r="BE32" i="8" l="1"/>
  <c r="BD31" i="8"/>
  <c r="BE30" i="8"/>
  <c r="BE42" i="8" s="1"/>
  <c r="BE44" i="8" s="1"/>
  <c r="BF29" i="8"/>
  <c r="BF32" i="8" l="1"/>
  <c r="BE31" i="8"/>
  <c r="BF30" i="8"/>
  <c r="BF42" i="8" s="1"/>
  <c r="BF44" i="8" s="1"/>
  <c r="BG29" i="8"/>
  <c r="BG32" i="8" l="1"/>
  <c r="BF31" i="8"/>
  <c r="BG30" i="8"/>
  <c r="BG42" i="8" s="1"/>
  <c r="BG44" i="8" s="1"/>
  <c r="BH29" i="8"/>
  <c r="BH32" i="8" l="1"/>
  <c r="BG31" i="8"/>
  <c r="BH30" i="8"/>
  <c r="BH42" i="8" s="1"/>
  <c r="BH44" i="8" s="1"/>
  <c r="BI29" i="8"/>
  <c r="BI32" i="8" l="1"/>
  <c r="BH31" i="8"/>
  <c r="BI30" i="8"/>
  <c r="BI42" i="8" s="1"/>
  <c r="BI44" i="8" s="1"/>
  <c r="BJ29" i="8"/>
  <c r="BJ32" i="8" l="1"/>
  <c r="BI31" i="8"/>
  <c r="BJ30" i="8"/>
  <c r="BJ42" i="8" s="1"/>
  <c r="BJ44" i="8" s="1"/>
  <c r="BK29" i="8"/>
  <c r="BK32" i="8" l="1"/>
  <c r="BJ31" i="8"/>
  <c r="BK30" i="8"/>
  <c r="BK42" i="8" s="1"/>
  <c r="BK44" i="8" s="1"/>
  <c r="BK31" i="8" l="1"/>
</calcChain>
</file>

<file path=xl/sharedStrings.xml><?xml version="1.0" encoding="utf-8"?>
<sst xmlns="http://schemas.openxmlformats.org/spreadsheetml/2006/main" count="250" uniqueCount="109">
  <si>
    <t>Data
Início</t>
  </si>
  <si>
    <t>Data
Final</t>
  </si>
  <si>
    <t>Arrendamento
conforme CPC 06 ?</t>
  </si>
  <si>
    <t>Locador</t>
  </si>
  <si>
    <t>Taxa
Implícita
(a.a.)</t>
  </si>
  <si>
    <t>Taxa
Incremental
(a.a.)</t>
  </si>
  <si>
    <t>Valor
ao mês</t>
  </si>
  <si>
    <t>Sim</t>
  </si>
  <si>
    <t>Justificativa</t>
  </si>
  <si>
    <t>Tipo
Contrato</t>
  </si>
  <si>
    <t>Instrumento Particular de Contrato de Locação de Terreno</t>
  </si>
  <si>
    <t>Prazo
(Meses)</t>
  </si>
  <si>
    <t>N/A</t>
  </si>
  <si>
    <t>Observação</t>
  </si>
  <si>
    <t>Instrumento Particular de Contrato de Locação de Imóvel Urbano para fins comerciais</t>
  </si>
  <si>
    <t>W.I. Construções e Serviços Ltda ME</t>
  </si>
  <si>
    <t>Sandro G de Moraes ME</t>
  </si>
  <si>
    <t>Edualdo Junior Simões</t>
  </si>
  <si>
    <t>Reajuste</t>
  </si>
  <si>
    <t>IGP-M, anualmente</t>
  </si>
  <si>
    <t>Entrada / Antecipação</t>
  </si>
  <si>
    <t>R$ 100.000,00, correspondente a 06 meses de aluguel</t>
  </si>
  <si>
    <t>Dirceu Antônio dos Santos</t>
  </si>
  <si>
    <t>Gleba de terras, denominada "Fazenda Nova Esperança", localizada no município de Chapadão do Sul/MS, com área de 252,939 ha, melhor descrita e caracterizada na matrícula de nº 14.484, do Cartório de Registro de Imóveis da Comarca de Chapadão do Sul/MS</t>
  </si>
  <si>
    <t>Prédio Comercial com área de 400 m², a qual faz parte de um total da área construída de 800 m² edificada no lote 01, quadra 26, loteamento denominado "Villa Santiago do Norte", com área total de 2.512,35 m², melhor descrita e caracterizada na matrícula de nº 6.040, do Cartório de Registro de Imóveis da Comarca de Paranatinga/MT</t>
  </si>
  <si>
    <t>01 Lote de Terreno urbano, constituído do membramento dos lotes 04 e 08, situado na cidade de Chapadão do Céu/GO, com área total de 2.975 m² de área de terreno e 794,23 m² de área construída, melhor descrito e caracterizado na matrícula de nº 2.264, do Cartório de Registro de Imóveis da Comarca de Serranópolis/GO</t>
  </si>
  <si>
    <t>Não</t>
  </si>
  <si>
    <t>O ativo atende todos os requisitos previstos no CPC 06 (R2) para ser considerado arrendamento</t>
  </si>
  <si>
    <t>FAQ CPC 06 (R2)</t>
  </si>
  <si>
    <t>1)</t>
  </si>
  <si>
    <t>Existe um Ativo Identificado?</t>
  </si>
  <si>
    <t>2)</t>
  </si>
  <si>
    <t>O cliente tem o direito de obter substancialmente todos os benefícios econômicos do uso do ativo durante todo o período de uso?</t>
  </si>
  <si>
    <t>3)</t>
  </si>
  <si>
    <t>O cliente, o fornecedor, ou nenhuma das partes, tem o direito de direcionar como e para qual finalidade o ativo é usado durante todo o período de uso?</t>
  </si>
  <si>
    <t>4)</t>
  </si>
  <si>
    <t>O cliente tem direito de operar o ativo durante todo o período de uso, sem o fornecedor ter o direito de alterar essas instruções operacionais?</t>
  </si>
  <si>
    <t>5)</t>
  </si>
  <si>
    <t>O cliente projetou o ativo de modo que predetermina como e para qual finalidade o ativo será usado durante todo o período de uso?</t>
  </si>
  <si>
    <t>Valdir Fedrigo e Evalda Fedrigo</t>
  </si>
  <si>
    <t>01 Prédio comercial de 62,15 m², com área total construída de 830,29 m², edificada no lote 10-A, quadra 05, com área total de 1.781,15 m², localizado na Rua Juscelino Kubitschek, 145, Polo Empresarial, CEP: 79.560-000, melhor descrita e caracterizada na matrícula de nº 8.252, do Cartório de Registro de Imóveis da Comarca de Chapadão do Sul/MS</t>
  </si>
  <si>
    <t>Agro Baggio Máquinas Agrícolas Ltda</t>
  </si>
  <si>
    <t>02 Imóveis comerciais, com total de 6.132,846 m² de área de terreno, com total de 1.466,20 m² de área construída, nas seguintes composições:
a) - 01 lote de terras denominado 07-B-9, com 1.600 m², com 01 edificação de 1.025,63 m², situado no "Perímetro Urbano" da cidade de Paranatinga/MT, imóvel melhor descrito e caracterizado na matrícula de nº 1.742, do Cartório de Registro de Imóveis da Comarca de Paranatinga/MT;
b) - 01 lote de terras denominado 07-B-10A, com 4.532,846 m², com 02 edificações , sendo que a primeira refere- se a um prédio aos fundos, para depósito de óleo, peças grandes, materiais recicláveis , com 149,29 m², e o segundo refere- se à uma rampa de lavagem com 291,28 m², melhor descrita e caracterizada na matrícula de nº 6.538, do Cartório de Registro de Imóveis da Comarca de Paranatinga/MT</t>
  </si>
  <si>
    <t>Valor mensal referente a 10 salários mínimos + IPG-M, anualmente</t>
  </si>
  <si>
    <t>Terreno urbano de nº 07-B-8, com 5.969m², com três edificações, sendo que a primeira refere-se a um barracão comercial em alvenaria, medindo 700m², a segunda refere-se a uma varanda de aproximadamente 180m², e a terceira trata-se de construção no andar superior mediindo 75m², melhor descrita e caracterizada na Matrícula de nº 1.615, do Cartório de Registro de Imóveis da Comarca de Paranatinga/MT</t>
  </si>
  <si>
    <t>Instrumento Particular de Contrato de Locação de Imóvel Urbano</t>
  </si>
  <si>
    <t>RS Pneus e Equipamentos Ltda</t>
  </si>
  <si>
    <t>02 imóveis com total de 1.119 m² de área de terreno, e 800 m², localizado a Rua Juscelino Kubitschek, 344, Anexo A,
Castelândia II, município de Primavera do Leste/MT, CEP: 78.850-000, nas seguintes composições:
a) - 01 lote de terras nº 17, na quadra 01 do loteamento Parque
Castelândia II, na cidade de Primavera do Leste/MS, com área de 559,50 m², melhor descrito e caracterizado na matrícula de nº 2.236, do Cartório de Registro de Imóveis da Comarca de Primavera do Leste/MT;
b) - 01 lote de terras nº 18, na quadra 01 do loteamento Parque
Castelândia II, na Cidade de Primavera do Leste/MS, com área de 559,50 m², melhor descrito e caracterizado na matrícula de nº 2.237, do Cartório de Registro de Imóveis da Comarca de Primavera do Leste/MT</t>
  </si>
  <si>
    <t>Ativo Identificado</t>
  </si>
  <si>
    <t>Contrato de Locação de Veículos</t>
  </si>
  <si>
    <t>Ouro Verde Locação e Serviço S/A</t>
  </si>
  <si>
    <t>20 Fiat Strada 1.4 CE Hard Working 2019 Manual 2P Flex 578/24F/0</t>
  </si>
  <si>
    <t>Arval - BNP Paribas</t>
  </si>
  <si>
    <t># Identificação
Contrato</t>
  </si>
  <si>
    <t>Data</t>
  </si>
  <si>
    <t>189 - Índice geral de preços do mercado (IGP-M) - Var. % mensal</t>
  </si>
  <si>
    <t>Fonte</t>
  </si>
  <si>
    <t>FGV</t>
  </si>
  <si>
    <t>Percentual
a.m. %</t>
  </si>
  <si>
    <t>IGP-M</t>
  </si>
  <si>
    <r>
      <t xml:space="preserve">Fonte: </t>
    </r>
    <r>
      <rPr>
        <b/>
        <sz val="10"/>
        <color rgb="FF0070C0"/>
        <rFont val="Calibri"/>
        <family val="2"/>
        <scheme val="minor"/>
      </rPr>
      <t>https://www.portalbrasil.net/igpm.htm</t>
    </r>
  </si>
  <si>
    <t>Fonte:</t>
  </si>
  <si>
    <t>BCB-DSTAT</t>
  </si>
  <si>
    <r>
      <t xml:space="preserve">20761 - Taxa média de juros das operações de crédito com recursos direcionados - Pessoas jurídicas - Financiamento imobiliário com </t>
    </r>
    <r>
      <rPr>
        <b/>
        <u/>
        <sz val="10"/>
        <color theme="0"/>
        <rFont val="Calibri"/>
        <family val="2"/>
        <scheme val="minor"/>
      </rPr>
      <t>taxas de mercado</t>
    </r>
    <r>
      <rPr>
        <b/>
        <sz val="10"/>
        <color theme="0"/>
        <rFont val="Calibri"/>
        <family val="2"/>
        <scheme val="minor"/>
      </rPr>
      <t xml:space="preserve"> - % a.a.</t>
    </r>
  </si>
  <si>
    <r>
      <t xml:space="preserve">20762 - Taxa média de juros das operações de crédito com recursos direcionados - Pessoas jurídicas - Financiamento imobiliário </t>
    </r>
    <r>
      <rPr>
        <b/>
        <u/>
        <sz val="10"/>
        <color theme="0"/>
        <rFont val="Calibri"/>
        <family val="2"/>
        <scheme val="minor"/>
      </rPr>
      <t>com taxas reguladas</t>
    </r>
    <r>
      <rPr>
        <b/>
        <sz val="10"/>
        <color theme="0"/>
        <rFont val="Calibri"/>
        <family val="2"/>
        <scheme val="minor"/>
      </rPr>
      <t xml:space="preserve"> - % a.a.</t>
    </r>
  </si>
  <si>
    <r>
      <t xml:space="preserve">20763 - Taxa média de juros das operações de crédito com recursos direcionados - Pessoas jurídicas - </t>
    </r>
    <r>
      <rPr>
        <b/>
        <u/>
        <sz val="10"/>
        <color theme="0"/>
        <rFont val="Calibri"/>
        <family val="2"/>
        <scheme val="minor"/>
      </rPr>
      <t>Financiamento imobiliário total</t>
    </r>
    <r>
      <rPr>
        <b/>
        <sz val="10"/>
        <color theme="0"/>
        <rFont val="Calibri"/>
        <family val="2"/>
        <scheme val="minor"/>
      </rPr>
      <t xml:space="preserve"> - % a.a.</t>
    </r>
  </si>
  <si>
    <t>% Taxa Média a.a. - Últimos 12 Meses</t>
  </si>
  <si>
    <t>% IGP-M Médio a.a. - Últimos 12 Meses</t>
  </si>
  <si>
    <t>Fluxo de Pagamentos - 5 Anos - Com expectativa de atualização anual pelo IGP-M</t>
  </si>
  <si>
    <t>Taxas de Mercado - Financiamento Imobiliário PJ</t>
  </si>
  <si>
    <t>Atualização ao Valor Presente pelas Taxas Médias de Mercado - Financiamento Imobiliário PJ</t>
  </si>
  <si>
    <t>% Taxa Média a.m. - Últimos 12 Meses</t>
  </si>
  <si>
    <t>TOTAL</t>
  </si>
  <si>
    <t>Lançamento de Depreciação Mensal</t>
  </si>
  <si>
    <t>Lançamento de Juros Mensal</t>
  </si>
  <si>
    <t>Saldo Ativo - Direito de uso de Imóveis CPC 06 R2 (Saldo líquido)</t>
  </si>
  <si>
    <t>Saldo Ativo - Direito de uso de Imóveis CPC 06 R2 (Depreciação Acumulada)</t>
  </si>
  <si>
    <t>Saldo Ativo - Direito de uso de Imóveis CPC 06 R2 (Custo)</t>
  </si>
  <si>
    <t>Lançamento</t>
  </si>
  <si>
    <t>Saldo Passivo - Obrigações por arrendamento CPC 06 R2 (Circulante)</t>
  </si>
  <si>
    <t>Saldo Passivo - Obrigações por arrendamento CPC 06 R2 (Passivo Total)</t>
  </si>
  <si>
    <t>Saldo Passivo - Obrigações por arrendamento CPC 06 R2 (Não Circulante)</t>
  </si>
  <si>
    <t>Pelo Pagamento do Aluguel</t>
  </si>
  <si>
    <t>Pelo Lançamento de Juros</t>
  </si>
  <si>
    <t>Pela Segregação entre Curto e Longo Prazo</t>
  </si>
  <si>
    <t>Pelo Lançamento Inicial</t>
  </si>
  <si>
    <t>Pelo Lançamento de Depreciação</t>
  </si>
  <si>
    <t>D</t>
  </si>
  <si>
    <t>C</t>
  </si>
  <si>
    <t>Obrigações por arrendamento CPC 06 R2 (Passivo Circulante)</t>
  </si>
  <si>
    <t>(-) Dep. Acum. Direito de uso de Imóveis CPC 06 R2 (Ativo Não Circulante)</t>
  </si>
  <si>
    <t>Despesa com depreciação (Resultado)</t>
  </si>
  <si>
    <t>Obrigações por arrendamento CPC 06 R2 (Passivo Não Circulante)</t>
  </si>
  <si>
    <t>Despesa financeira (Resultado)</t>
  </si>
  <si>
    <t>Direito de uso de Imóveis CPC 06 R2 (Ativo Não Circulante)</t>
  </si>
  <si>
    <t>Check Saldo Ativo</t>
  </si>
  <si>
    <t>Check Saldo Passivo</t>
  </si>
  <si>
    <t>Saldo Ativo conforme lançamentos</t>
  </si>
  <si>
    <t>Saldo Passivo conforme lançamentos</t>
  </si>
  <si>
    <t>Resumo Contratos de Alugueis</t>
  </si>
  <si>
    <t>Conforme Contrato</t>
  </si>
  <si>
    <t>Utilizado para análise</t>
  </si>
  <si>
    <t>01 Fiat Strada Pick-up 1.4 CE Hard Working 18/19 2019 2P</t>
  </si>
  <si>
    <t>01 Fiat Toro Pick-up 1.8 Endurance Auto 18/19 2019 4P</t>
  </si>
  <si>
    <t>01 Volkswagen Amarok Pick-up 2.0 CS S 4x4 18/19 2019 2P</t>
  </si>
  <si>
    <t>Reajuste
Anual</t>
  </si>
  <si>
    <t>Bancos (Ativo Circulante)</t>
  </si>
  <si>
    <t>Possui cláusula prevendo a possibilidade de subtituição do ativo, a pedido do locador</t>
  </si>
  <si>
    <t>Prazo de 5 anos sugerido pela administração, baseado na expectativa de continuidade operacional da filial. Anualmente o prazo será revisado.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</si>
</sst>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0"/>
      <color rgb="FF002060"/>
      <name val="Calibri"/>
      <family val="2"/>
      <scheme val="minor"/>
    </font>
    <font>
      <b/>
      <i/>
      <sz val="10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right" vertical="center"/>
    </xf>
    <xf numFmtId="17" fontId="2" fillId="0" borderId="1" xfId="0" applyNumberFormat="1" applyFont="1" applyBorder="1" applyAlignment="1">
      <alignment horizontal="center" vertical="center"/>
    </xf>
    <xf numFmtId="39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10" fontId="2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9" fontId="2" fillId="0" borderId="1" xfId="2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10" fontId="3" fillId="5" borderId="1" xfId="1" applyNumberFormat="1" applyFont="1" applyFill="1" applyBorder="1" applyAlignment="1">
      <alignment horizontal="right" vertical="center"/>
    </xf>
    <xf numFmtId="164" fontId="3" fillId="5" borderId="1" xfId="1" applyNumberFormat="1" applyFont="1" applyFill="1" applyBorder="1" applyAlignment="1">
      <alignment horizontal="right" vertical="center"/>
    </xf>
    <xf numFmtId="10" fontId="2" fillId="0" borderId="1" xfId="1" applyNumberFormat="1" applyFont="1" applyFill="1" applyBorder="1" applyAlignment="1">
      <alignment horizontal="center" vertical="center"/>
    </xf>
    <xf numFmtId="39" fontId="3" fillId="6" borderId="1" xfId="0" applyNumberFormat="1" applyFont="1" applyFill="1" applyBorder="1" applyAlignment="1">
      <alignment horizontal="right" vertical="center"/>
    </xf>
    <xf numFmtId="165" fontId="9" fillId="0" borderId="0" xfId="2" applyNumberFormat="1" applyFont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39" fontId="2" fillId="0" borderId="0" xfId="0" applyNumberFormat="1" applyFont="1" applyAlignment="1">
      <alignment horizontal="left" vertical="center"/>
    </xf>
    <xf numFmtId="39" fontId="9" fillId="0" borderId="0" xfId="0" applyNumberFormat="1" applyFont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37" fontId="9" fillId="0" borderId="0" xfId="0" applyNumberFormat="1" applyFont="1" applyAlignment="1">
      <alignment horizontal="right" vertical="center"/>
    </xf>
    <xf numFmtId="37" fontId="2" fillId="0" borderId="0" xfId="0" applyNumberFormat="1" applyFont="1" applyAlignment="1">
      <alignment horizontal="center" vertical="center"/>
    </xf>
    <xf numFmtId="37" fontId="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0" fillId="7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9" fontId="9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39" fontId="14" fillId="0" borderId="0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0" fontId="5" fillId="0" borderId="1" xfId="1" applyNumberFormat="1" applyFont="1" applyFill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10" fontId="2" fillId="0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324392</xdr:colOff>
      <xdr:row>1</xdr:row>
      <xdr:rowOff>0</xdr:rowOff>
    </xdr:from>
    <xdr:to>
      <xdr:col>21</xdr:col>
      <xdr:colOff>285750</xdr:colOff>
      <xdr:row>20</xdr:row>
      <xdr:rowOff>113656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6492" y="190500"/>
          <a:ext cx="6666958" cy="37331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211668</xdr:colOff>
      <xdr:row>20</xdr:row>
      <xdr:rowOff>89958</xdr:rowOff>
    </xdr:from>
    <xdr:to>
      <xdr:col>6</xdr:col>
      <xdr:colOff>730250</xdr:colOff>
      <xdr:row>24</xdr:row>
      <xdr:rowOff>86918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318" y="4776258"/>
          <a:ext cx="3899957" cy="7589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180975</xdr:rowOff>
        </xdr:from>
        <xdr:to>
          <xdr:col>3</xdr:col>
          <xdr:colOff>76200</xdr:colOff>
          <xdr:row>31</xdr:row>
          <xdr:rowOff>104775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21</xdr:row>
          <xdr:rowOff>85725</xdr:rowOff>
        </xdr:from>
        <xdr:to>
          <xdr:col>11</xdr:col>
          <xdr:colOff>333375</xdr:colOff>
          <xdr:row>25</xdr:row>
          <xdr:rowOff>9525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41D4-BA15-44F4-8436-EC38C9031E28}">
  <sheetPr>
    <tabColor rgb="FF00B050"/>
  </sheetPr>
  <dimension ref="B2:J16"/>
  <sheetViews>
    <sheetView showGridLines="0" zoomScaleNormal="100" workbookViewId="0"/>
  </sheetViews>
  <sheetFormatPr defaultRowHeight="15" customHeight="1" x14ac:dyDescent="0.25"/>
  <cols>
    <col min="1" max="2" width="3.7109375" style="1" customWidth="1"/>
    <col min="3" max="16384" width="9.140625" style="1"/>
  </cols>
  <sheetData>
    <row r="2" spans="2:10" ht="15" customHeight="1" x14ac:dyDescent="0.25">
      <c r="B2" s="14" t="s">
        <v>28</v>
      </c>
    </row>
    <row r="4" spans="2:10" ht="15" customHeight="1" x14ac:dyDescent="0.25">
      <c r="B4" s="2" t="s">
        <v>29</v>
      </c>
      <c r="C4" s="1" t="s">
        <v>30</v>
      </c>
    </row>
    <row r="6" spans="2:10" ht="15" customHeight="1" x14ac:dyDescent="0.25">
      <c r="B6" s="2" t="s">
        <v>31</v>
      </c>
      <c r="C6" s="51" t="s">
        <v>32</v>
      </c>
      <c r="D6" s="51"/>
      <c r="E6" s="51"/>
      <c r="F6" s="51"/>
      <c r="G6" s="51"/>
      <c r="H6" s="51"/>
      <c r="I6" s="51"/>
      <c r="J6" s="51"/>
    </row>
    <row r="7" spans="2:10" ht="15" customHeight="1" x14ac:dyDescent="0.25">
      <c r="C7" s="51"/>
      <c r="D7" s="51"/>
      <c r="E7" s="51"/>
      <c r="F7" s="51"/>
      <c r="G7" s="51"/>
      <c r="H7" s="51"/>
      <c r="I7" s="51"/>
      <c r="J7" s="51"/>
    </row>
    <row r="9" spans="2:10" ht="15" customHeight="1" x14ac:dyDescent="0.25">
      <c r="B9" s="2" t="s">
        <v>33</v>
      </c>
      <c r="C9" s="51" t="s">
        <v>34</v>
      </c>
      <c r="D9" s="51"/>
      <c r="E9" s="51"/>
      <c r="F9" s="51"/>
      <c r="G9" s="51"/>
      <c r="H9" s="51"/>
      <c r="I9" s="51"/>
      <c r="J9" s="51"/>
    </row>
    <row r="10" spans="2:10" ht="15" customHeight="1" x14ac:dyDescent="0.25">
      <c r="C10" s="51"/>
      <c r="D10" s="51"/>
      <c r="E10" s="51"/>
      <c r="F10" s="51"/>
      <c r="G10" s="51"/>
      <c r="H10" s="51"/>
      <c r="I10" s="51"/>
      <c r="J10" s="51"/>
    </row>
    <row r="12" spans="2:10" ht="15" customHeight="1" x14ac:dyDescent="0.25">
      <c r="B12" s="2" t="s">
        <v>35</v>
      </c>
      <c r="C12" s="51" t="s">
        <v>36</v>
      </c>
      <c r="D12" s="51"/>
      <c r="E12" s="51"/>
      <c r="F12" s="51"/>
      <c r="G12" s="51"/>
      <c r="H12" s="51"/>
      <c r="I12" s="51"/>
      <c r="J12" s="51"/>
    </row>
    <row r="13" spans="2:10" ht="15" customHeight="1" x14ac:dyDescent="0.25">
      <c r="C13" s="51"/>
      <c r="D13" s="51"/>
      <c r="E13" s="51"/>
      <c r="F13" s="51"/>
      <c r="G13" s="51"/>
      <c r="H13" s="51"/>
      <c r="I13" s="51"/>
      <c r="J13" s="51"/>
    </row>
    <row r="15" spans="2:10" ht="15" customHeight="1" x14ac:dyDescent="0.25">
      <c r="B15" s="2" t="s">
        <v>37</v>
      </c>
      <c r="C15" s="51" t="s">
        <v>38</v>
      </c>
      <c r="D15" s="51"/>
      <c r="E15" s="51"/>
      <c r="F15" s="51"/>
      <c r="G15" s="51"/>
      <c r="H15" s="51"/>
      <c r="I15" s="51"/>
      <c r="J15" s="51"/>
    </row>
    <row r="16" spans="2:10" ht="15" customHeight="1" x14ac:dyDescent="0.25">
      <c r="C16" s="51"/>
      <c r="D16" s="51"/>
      <c r="E16" s="51"/>
      <c r="F16" s="51"/>
      <c r="G16" s="51"/>
      <c r="H16" s="51"/>
      <c r="I16" s="51"/>
      <c r="J16" s="51"/>
    </row>
  </sheetData>
  <mergeCells count="4">
    <mergeCell ref="C6:J7"/>
    <mergeCell ref="C9:J10"/>
    <mergeCell ref="C12:J13"/>
    <mergeCell ref="C15:J1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6"/>
  <sheetViews>
    <sheetView showGridLines="0" zoomScale="90" zoomScaleNormal="90" workbookViewId="0"/>
  </sheetViews>
  <sheetFormatPr defaultRowHeight="15" customHeight="1" x14ac:dyDescent="0.25"/>
  <cols>
    <col min="1" max="1" width="3.7109375" style="1" customWidth="1"/>
    <col min="2" max="2" width="12.5703125" style="15" bestFit="1" customWidth="1"/>
    <col min="3" max="3" width="21.7109375" style="1" bestFit="1" customWidth="1"/>
    <col min="4" max="4" width="20.85546875" style="1" customWidth="1"/>
    <col min="5" max="5" width="73.42578125" style="1" customWidth="1"/>
    <col min="6" max="6" width="11.5703125" style="1" customWidth="1"/>
    <col min="7" max="7" width="16.140625" style="1" customWidth="1"/>
    <col min="8" max="8" width="14.85546875" style="1" customWidth="1"/>
    <col min="9" max="9" width="11" style="1" customWidth="1"/>
    <col min="10" max="10" width="11.7109375" style="1" customWidth="1"/>
    <col min="11" max="12" width="13.140625" style="1" customWidth="1"/>
    <col min="13" max="13" width="25.5703125" style="1" customWidth="1"/>
    <col min="14" max="14" width="3.7109375" style="1" customWidth="1"/>
    <col min="15" max="15" width="16.5703125" style="1" customWidth="1"/>
    <col min="16" max="16" width="28.28515625" style="1" customWidth="1"/>
    <col min="17" max="18" width="12" style="1" customWidth="1"/>
    <col min="19" max="19" width="11.7109375" style="1" customWidth="1"/>
    <col min="20" max="21" width="13.140625" style="1" customWidth="1"/>
    <col min="22" max="22" width="35.140625" style="1" bestFit="1" customWidth="1"/>
    <col min="23" max="16384" width="9.140625" style="1"/>
  </cols>
  <sheetData>
    <row r="2" spans="2:22" ht="15" customHeight="1" x14ac:dyDescent="0.25">
      <c r="B2" s="14" t="s">
        <v>99</v>
      </c>
    </row>
    <row r="3" spans="2:22" ht="6" customHeight="1" x14ac:dyDescent="0.25">
      <c r="B3" s="14"/>
    </row>
    <row r="4" spans="2:22" ht="15" customHeight="1" x14ac:dyDescent="0.25">
      <c r="B4" s="53" t="s">
        <v>53</v>
      </c>
      <c r="C4" s="52" t="s">
        <v>100</v>
      </c>
      <c r="D4" s="52"/>
      <c r="E4" s="52"/>
      <c r="F4" s="52"/>
      <c r="G4" s="52"/>
      <c r="H4" s="52"/>
      <c r="I4" s="52"/>
      <c r="J4" s="52"/>
      <c r="K4" s="52"/>
      <c r="L4" s="52"/>
      <c r="M4" s="52"/>
      <c r="O4" s="52" t="s">
        <v>101</v>
      </c>
      <c r="P4" s="52"/>
      <c r="Q4" s="52"/>
      <c r="R4" s="52"/>
      <c r="S4" s="52"/>
      <c r="T4" s="52"/>
      <c r="U4" s="52"/>
      <c r="V4" s="52"/>
    </row>
    <row r="5" spans="2:22" ht="41.25" customHeight="1" x14ac:dyDescent="0.25">
      <c r="B5" s="53"/>
      <c r="C5" s="50" t="s">
        <v>9</v>
      </c>
      <c r="D5" s="49" t="s">
        <v>3</v>
      </c>
      <c r="E5" s="49" t="s">
        <v>48</v>
      </c>
      <c r="F5" s="50" t="s">
        <v>6</v>
      </c>
      <c r="G5" s="50" t="s">
        <v>18</v>
      </c>
      <c r="H5" s="50" t="s">
        <v>20</v>
      </c>
      <c r="I5" s="50" t="s">
        <v>4</v>
      </c>
      <c r="J5" s="50" t="s">
        <v>11</v>
      </c>
      <c r="K5" s="50" t="s">
        <v>0</v>
      </c>
      <c r="L5" s="50" t="s">
        <v>1</v>
      </c>
      <c r="M5" s="49" t="s">
        <v>13</v>
      </c>
      <c r="O5" s="50" t="s">
        <v>2</v>
      </c>
      <c r="P5" s="50" t="s">
        <v>8</v>
      </c>
      <c r="Q5" s="50" t="s">
        <v>105</v>
      </c>
      <c r="R5" s="50" t="s">
        <v>5</v>
      </c>
      <c r="S5" s="50" t="s">
        <v>11</v>
      </c>
      <c r="T5" s="50" t="s">
        <v>0</v>
      </c>
      <c r="U5" s="50" t="s">
        <v>1</v>
      </c>
      <c r="V5" s="49" t="s">
        <v>13</v>
      </c>
    </row>
    <row r="6" spans="2:22" ht="83.25" customHeight="1" x14ac:dyDescent="0.25">
      <c r="B6" s="55">
        <v>1</v>
      </c>
      <c r="C6" s="56" t="s">
        <v>14</v>
      </c>
      <c r="D6" s="56" t="s">
        <v>16</v>
      </c>
      <c r="E6" s="56" t="s">
        <v>44</v>
      </c>
      <c r="F6" s="57">
        <v>9540</v>
      </c>
      <c r="G6" s="56" t="s">
        <v>43</v>
      </c>
      <c r="H6" s="55" t="s">
        <v>12</v>
      </c>
      <c r="I6" s="55" t="s">
        <v>12</v>
      </c>
      <c r="J6" s="58">
        <f>6*12</f>
        <v>72</v>
      </c>
      <c r="K6" s="59">
        <v>43313</v>
      </c>
      <c r="L6" s="59">
        <v>45550</v>
      </c>
      <c r="M6" s="56"/>
      <c r="O6" s="58" t="s">
        <v>7</v>
      </c>
      <c r="P6" s="56" t="s">
        <v>27</v>
      </c>
      <c r="Q6" s="60">
        <f>Premissas!$F$19</f>
        <v>4.9636325589200503E-2</v>
      </c>
      <c r="R6" s="60">
        <f>Premissas!$N$19</f>
        <v>0.10384722222222224</v>
      </c>
      <c r="S6" s="58">
        <f t="shared" ref="S6:S12" si="0">5*12</f>
        <v>60</v>
      </c>
      <c r="T6" s="59">
        <v>43466</v>
      </c>
      <c r="U6" s="59">
        <f t="shared" ref="U6:U12" si="1">DATE(YEAR(T6),(MONTH(T6)+S6),DAY(T6))-1</f>
        <v>45291</v>
      </c>
      <c r="V6" s="56" t="s">
        <v>108</v>
      </c>
    </row>
    <row r="7" spans="2:22" ht="71.25" customHeight="1" x14ac:dyDescent="0.25">
      <c r="B7" s="13">
        <v>2</v>
      </c>
      <c r="C7" s="10" t="s">
        <v>14</v>
      </c>
      <c r="D7" s="10" t="s">
        <v>17</v>
      </c>
      <c r="E7" s="10" t="s">
        <v>24</v>
      </c>
      <c r="F7" s="9">
        <v>2000</v>
      </c>
      <c r="G7" s="13" t="s">
        <v>12</v>
      </c>
      <c r="H7" s="13" t="s">
        <v>12</v>
      </c>
      <c r="I7" s="13" t="s">
        <v>12</v>
      </c>
      <c r="J7" s="6">
        <v>24</v>
      </c>
      <c r="K7" s="8">
        <v>43467</v>
      </c>
      <c r="L7" s="8">
        <v>44198</v>
      </c>
      <c r="M7" s="10"/>
      <c r="O7" s="6" t="s">
        <v>7</v>
      </c>
      <c r="P7" s="10" t="s">
        <v>27</v>
      </c>
      <c r="Q7" s="22">
        <f>Premissas!$F$19</f>
        <v>4.9636325589200503E-2</v>
      </c>
      <c r="R7" s="22">
        <f>Premissas!$N$19</f>
        <v>0.10384722222222224</v>
      </c>
      <c r="S7" s="6">
        <f t="shared" si="0"/>
        <v>60</v>
      </c>
      <c r="T7" s="8">
        <v>43466</v>
      </c>
      <c r="U7" s="8">
        <f t="shared" si="1"/>
        <v>45291</v>
      </c>
      <c r="V7" s="56" t="s">
        <v>108</v>
      </c>
    </row>
    <row r="8" spans="2:22" ht="67.5" customHeight="1" x14ac:dyDescent="0.25">
      <c r="B8" s="13">
        <v>3</v>
      </c>
      <c r="C8" s="10" t="s">
        <v>14</v>
      </c>
      <c r="D8" s="10" t="s">
        <v>15</v>
      </c>
      <c r="E8" s="10" t="s">
        <v>25</v>
      </c>
      <c r="F8" s="9">
        <v>18000</v>
      </c>
      <c r="G8" s="10" t="s">
        <v>19</v>
      </c>
      <c r="H8" s="10" t="s">
        <v>21</v>
      </c>
      <c r="I8" s="11" t="s">
        <v>12</v>
      </c>
      <c r="J8" s="6">
        <f>8*12</f>
        <v>96</v>
      </c>
      <c r="K8" s="8">
        <v>43617</v>
      </c>
      <c r="L8" s="8">
        <v>46537</v>
      </c>
      <c r="M8" s="3"/>
      <c r="O8" s="6" t="s">
        <v>7</v>
      </c>
      <c r="P8" s="10" t="s">
        <v>27</v>
      </c>
      <c r="Q8" s="22">
        <f>Premissas!$F$19</f>
        <v>4.9636325589200503E-2</v>
      </c>
      <c r="R8" s="22">
        <f>Premissas!$N$19</f>
        <v>0.10384722222222224</v>
      </c>
      <c r="S8" s="6">
        <f t="shared" si="0"/>
        <v>60</v>
      </c>
      <c r="T8" s="8">
        <v>43466</v>
      </c>
      <c r="U8" s="8">
        <f t="shared" si="1"/>
        <v>45291</v>
      </c>
      <c r="V8" s="56" t="s">
        <v>108</v>
      </c>
    </row>
    <row r="9" spans="2:22" ht="67.5" customHeight="1" x14ac:dyDescent="0.25">
      <c r="B9" s="13">
        <v>4</v>
      </c>
      <c r="C9" s="10" t="s">
        <v>10</v>
      </c>
      <c r="D9" s="10" t="s">
        <v>22</v>
      </c>
      <c r="E9" s="10" t="s">
        <v>23</v>
      </c>
      <c r="F9" s="9">
        <v>1000</v>
      </c>
      <c r="G9" s="13" t="s">
        <v>12</v>
      </c>
      <c r="H9" s="13" t="s">
        <v>12</v>
      </c>
      <c r="I9" s="13" t="s">
        <v>12</v>
      </c>
      <c r="J9" s="6">
        <v>4</v>
      </c>
      <c r="K9" s="8">
        <v>43040</v>
      </c>
      <c r="L9" s="8">
        <v>43160</v>
      </c>
      <c r="M9" s="10"/>
      <c r="O9" s="6" t="s">
        <v>7</v>
      </c>
      <c r="P9" s="10" t="s">
        <v>27</v>
      </c>
      <c r="Q9" s="22">
        <f>Premissas!$F$19</f>
        <v>4.9636325589200503E-2</v>
      </c>
      <c r="R9" s="22">
        <f>Premissas!$N$19</f>
        <v>0.10384722222222224</v>
      </c>
      <c r="S9" s="6">
        <f t="shared" si="0"/>
        <v>60</v>
      </c>
      <c r="T9" s="8">
        <v>43466</v>
      </c>
      <c r="U9" s="8">
        <f t="shared" si="1"/>
        <v>45291</v>
      </c>
      <c r="V9" s="56" t="s">
        <v>108</v>
      </c>
    </row>
    <row r="10" spans="2:22" ht="81.75" customHeight="1" x14ac:dyDescent="0.25">
      <c r="B10" s="13">
        <v>5</v>
      </c>
      <c r="C10" s="10" t="s">
        <v>14</v>
      </c>
      <c r="D10" s="10" t="s">
        <v>39</v>
      </c>
      <c r="E10" s="10" t="s">
        <v>40</v>
      </c>
      <c r="F10" s="9">
        <v>13000</v>
      </c>
      <c r="G10" s="13" t="s">
        <v>12</v>
      </c>
      <c r="H10" s="13" t="s">
        <v>12</v>
      </c>
      <c r="I10" s="13" t="s">
        <v>12</v>
      </c>
      <c r="J10" s="6">
        <f>5*12</f>
        <v>60</v>
      </c>
      <c r="K10" s="8">
        <v>43497</v>
      </c>
      <c r="L10" s="8">
        <v>45323</v>
      </c>
      <c r="M10" s="3"/>
      <c r="O10" s="6" t="s">
        <v>7</v>
      </c>
      <c r="P10" s="10" t="s">
        <v>27</v>
      </c>
      <c r="Q10" s="22">
        <f>Premissas!$F$19</f>
        <v>4.9636325589200503E-2</v>
      </c>
      <c r="R10" s="22">
        <f>Premissas!$N$19</f>
        <v>0.10384722222222224</v>
      </c>
      <c r="S10" s="6">
        <f t="shared" si="0"/>
        <v>60</v>
      </c>
      <c r="T10" s="8">
        <v>43466</v>
      </c>
      <c r="U10" s="8">
        <f t="shared" si="1"/>
        <v>45291</v>
      </c>
      <c r="V10" s="56" t="s">
        <v>108</v>
      </c>
    </row>
    <row r="11" spans="2:22" ht="180.75" customHeight="1" x14ac:dyDescent="0.25">
      <c r="B11" s="13">
        <v>6</v>
      </c>
      <c r="C11" s="10" t="s">
        <v>14</v>
      </c>
      <c r="D11" s="10" t="s">
        <v>41</v>
      </c>
      <c r="E11" s="10" t="s">
        <v>42</v>
      </c>
      <c r="F11" s="9">
        <v>9540</v>
      </c>
      <c r="G11" s="10" t="s">
        <v>43</v>
      </c>
      <c r="H11" s="13" t="s">
        <v>12</v>
      </c>
      <c r="I11" s="13" t="s">
        <v>12</v>
      </c>
      <c r="J11" s="6">
        <f>6*12</f>
        <v>72</v>
      </c>
      <c r="K11" s="8">
        <v>43313</v>
      </c>
      <c r="L11" s="8">
        <v>45565</v>
      </c>
      <c r="M11" s="3"/>
      <c r="O11" s="6" t="s">
        <v>7</v>
      </c>
      <c r="P11" s="10" t="s">
        <v>27</v>
      </c>
      <c r="Q11" s="22">
        <f>Premissas!$F$19</f>
        <v>4.9636325589200503E-2</v>
      </c>
      <c r="R11" s="22">
        <f>Premissas!$N$19</f>
        <v>0.10384722222222224</v>
      </c>
      <c r="S11" s="6">
        <f t="shared" si="0"/>
        <v>60</v>
      </c>
      <c r="T11" s="8">
        <v>43466</v>
      </c>
      <c r="U11" s="8">
        <f t="shared" si="1"/>
        <v>45291</v>
      </c>
      <c r="V11" s="56" t="s">
        <v>108</v>
      </c>
    </row>
    <row r="12" spans="2:22" ht="183.75" customHeight="1" x14ac:dyDescent="0.25">
      <c r="B12" s="13">
        <v>7</v>
      </c>
      <c r="C12" s="10" t="s">
        <v>45</v>
      </c>
      <c r="D12" s="10" t="s">
        <v>46</v>
      </c>
      <c r="E12" s="10" t="s">
        <v>47</v>
      </c>
      <c r="F12" s="9">
        <v>3500</v>
      </c>
      <c r="G12" s="10" t="s">
        <v>19</v>
      </c>
      <c r="H12" s="13" t="s">
        <v>12</v>
      </c>
      <c r="I12" s="13" t="s">
        <v>12</v>
      </c>
      <c r="J12" s="6">
        <v>24</v>
      </c>
      <c r="K12" s="8">
        <v>43497</v>
      </c>
      <c r="L12" s="8">
        <v>44228</v>
      </c>
      <c r="M12" s="3"/>
      <c r="O12" s="6" t="s">
        <v>7</v>
      </c>
      <c r="P12" s="10" t="s">
        <v>27</v>
      </c>
      <c r="Q12" s="22">
        <f>Premissas!$F$19</f>
        <v>4.9636325589200503E-2</v>
      </c>
      <c r="R12" s="22">
        <f>Premissas!$N$19</f>
        <v>0.10384722222222224</v>
      </c>
      <c r="S12" s="6">
        <f t="shared" si="0"/>
        <v>60</v>
      </c>
      <c r="T12" s="8">
        <v>43466</v>
      </c>
      <c r="U12" s="8">
        <f t="shared" si="1"/>
        <v>45291</v>
      </c>
      <c r="V12" s="56" t="s">
        <v>108</v>
      </c>
    </row>
    <row r="13" spans="2:22" ht="90" customHeight="1" x14ac:dyDescent="0.25">
      <c r="B13" s="13">
        <v>8</v>
      </c>
      <c r="C13" s="10" t="s">
        <v>49</v>
      </c>
      <c r="D13" s="10" t="s">
        <v>50</v>
      </c>
      <c r="E13" s="3" t="s">
        <v>51</v>
      </c>
      <c r="F13" s="9">
        <f>1384.05*20</f>
        <v>27681</v>
      </c>
      <c r="G13" s="10" t="s">
        <v>19</v>
      </c>
      <c r="H13" s="13" t="s">
        <v>12</v>
      </c>
      <c r="I13" s="13" t="s">
        <v>12</v>
      </c>
      <c r="J13" s="6">
        <v>36</v>
      </c>
      <c r="K13" s="8">
        <v>43516</v>
      </c>
      <c r="L13" s="8">
        <f>DATE(YEAR(K13),(MONTH(K13)+J13),DAY(K13))</f>
        <v>44612</v>
      </c>
      <c r="M13" s="3"/>
      <c r="O13" s="12" t="s">
        <v>26</v>
      </c>
      <c r="P13" s="46" t="s">
        <v>107</v>
      </c>
      <c r="Q13" s="46" t="s">
        <v>12</v>
      </c>
      <c r="R13" s="47" t="s">
        <v>12</v>
      </c>
      <c r="S13" s="12" t="s">
        <v>12</v>
      </c>
      <c r="T13" s="48" t="s">
        <v>12</v>
      </c>
      <c r="U13" s="48" t="s">
        <v>12</v>
      </c>
      <c r="V13" s="48" t="s">
        <v>12</v>
      </c>
    </row>
    <row r="14" spans="2:22" ht="65.25" customHeight="1" x14ac:dyDescent="0.25">
      <c r="B14" s="13">
        <v>9</v>
      </c>
      <c r="C14" s="10" t="s">
        <v>49</v>
      </c>
      <c r="D14" s="3" t="s">
        <v>52</v>
      </c>
      <c r="E14" s="3" t="s">
        <v>102</v>
      </c>
      <c r="F14" s="9">
        <v>1303.21</v>
      </c>
      <c r="G14" s="10" t="s">
        <v>19</v>
      </c>
      <c r="H14" s="13" t="s">
        <v>12</v>
      </c>
      <c r="I14" s="13" t="s">
        <v>12</v>
      </c>
      <c r="J14" s="6">
        <v>36</v>
      </c>
      <c r="K14" s="8">
        <v>43469</v>
      </c>
      <c r="L14" s="8">
        <f>DATE(YEAR(K14),(MONTH(K14)+J14),DAY(K14))</f>
        <v>44565</v>
      </c>
      <c r="M14" s="10"/>
      <c r="O14" s="12" t="s">
        <v>26</v>
      </c>
      <c r="P14" s="46" t="s">
        <v>107</v>
      </c>
      <c r="Q14" s="46" t="s">
        <v>12</v>
      </c>
      <c r="R14" s="47" t="s">
        <v>12</v>
      </c>
      <c r="S14" s="12" t="s">
        <v>12</v>
      </c>
      <c r="T14" s="48" t="s">
        <v>12</v>
      </c>
      <c r="U14" s="48" t="s">
        <v>12</v>
      </c>
      <c r="V14" s="48" t="s">
        <v>12</v>
      </c>
    </row>
    <row r="15" spans="2:22" ht="65.25" customHeight="1" x14ac:dyDescent="0.25">
      <c r="B15" s="13">
        <v>10</v>
      </c>
      <c r="C15" s="10" t="s">
        <v>49</v>
      </c>
      <c r="D15" s="3" t="s">
        <v>52</v>
      </c>
      <c r="E15" s="3" t="s">
        <v>103</v>
      </c>
      <c r="F15" s="9">
        <v>2117</v>
      </c>
      <c r="G15" s="10" t="s">
        <v>19</v>
      </c>
      <c r="H15" s="13" t="s">
        <v>12</v>
      </c>
      <c r="I15" s="13" t="s">
        <v>12</v>
      </c>
      <c r="J15" s="6">
        <v>36</v>
      </c>
      <c r="K15" s="8">
        <v>43469</v>
      </c>
      <c r="L15" s="8">
        <f>DATE(YEAR(K15),(MONTH(K15)+J15),DAY(K15))</f>
        <v>44565</v>
      </c>
      <c r="M15" s="10"/>
      <c r="O15" s="12" t="s">
        <v>26</v>
      </c>
      <c r="P15" s="46" t="s">
        <v>107</v>
      </c>
      <c r="Q15" s="46" t="s">
        <v>12</v>
      </c>
      <c r="R15" s="47" t="s">
        <v>12</v>
      </c>
      <c r="S15" s="12" t="s">
        <v>12</v>
      </c>
      <c r="T15" s="48" t="s">
        <v>12</v>
      </c>
      <c r="U15" s="48" t="s">
        <v>12</v>
      </c>
      <c r="V15" s="48" t="s">
        <v>12</v>
      </c>
    </row>
    <row r="16" spans="2:22" ht="65.25" customHeight="1" x14ac:dyDescent="0.25">
      <c r="B16" s="13">
        <v>11</v>
      </c>
      <c r="C16" s="10" t="s">
        <v>49</v>
      </c>
      <c r="D16" s="3" t="s">
        <v>52</v>
      </c>
      <c r="E16" s="3" t="s">
        <v>104</v>
      </c>
      <c r="F16" s="9">
        <v>2395</v>
      </c>
      <c r="G16" s="10" t="s">
        <v>19</v>
      </c>
      <c r="H16" s="13" t="s">
        <v>12</v>
      </c>
      <c r="I16" s="13" t="s">
        <v>12</v>
      </c>
      <c r="J16" s="6">
        <v>36</v>
      </c>
      <c r="K16" s="8">
        <v>43469</v>
      </c>
      <c r="L16" s="8">
        <f>DATE(YEAR(K16),(MONTH(K16)+J16),DAY(K16))</f>
        <v>44565</v>
      </c>
      <c r="M16" s="10"/>
      <c r="O16" s="12" t="s">
        <v>26</v>
      </c>
      <c r="P16" s="46" t="s">
        <v>107</v>
      </c>
      <c r="Q16" s="46" t="s">
        <v>12</v>
      </c>
      <c r="R16" s="47" t="s">
        <v>12</v>
      </c>
      <c r="S16" s="12" t="s">
        <v>12</v>
      </c>
      <c r="T16" s="48" t="s">
        <v>12</v>
      </c>
      <c r="U16" s="48" t="s">
        <v>12</v>
      </c>
      <c r="V16" s="48" t="s">
        <v>12</v>
      </c>
    </row>
  </sheetData>
  <autoFilter ref="B5:M16" xr:uid="{9F56EA76-3E8B-4007-88B0-8C9C04E9B441}"/>
  <mergeCells count="3">
    <mergeCell ref="C4:M4"/>
    <mergeCell ref="B4:B5"/>
    <mergeCell ref="O4:V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448FE-8F5E-4583-AD1A-96EA8EBB6714}">
  <dimension ref="A2:P27"/>
  <sheetViews>
    <sheetView showGridLines="0" zoomScaleNormal="100" workbookViewId="0"/>
  </sheetViews>
  <sheetFormatPr defaultRowHeight="15" customHeight="1" x14ac:dyDescent="0.25"/>
  <cols>
    <col min="1" max="1" width="2.7109375" style="19" customWidth="1"/>
    <col min="2" max="2" width="3.7109375" style="1" customWidth="1"/>
    <col min="3" max="3" width="12.5703125" style="15" bestFit="1" customWidth="1"/>
    <col min="4" max="4" width="18.5703125" style="1" customWidth="1"/>
    <col min="5" max="5" width="3.7109375" style="1" customWidth="1"/>
    <col min="6" max="7" width="12.140625" style="1" customWidth="1"/>
    <col min="8" max="8" width="3.7109375" style="1" customWidth="1"/>
    <col min="9" max="9" width="2.7109375" style="19" customWidth="1"/>
    <col min="10" max="10" width="3.7109375" style="1" customWidth="1"/>
    <col min="11" max="11" width="9.28515625" style="1" customWidth="1"/>
    <col min="12" max="14" width="20.42578125" style="1" bestFit="1" customWidth="1"/>
    <col min="15" max="15" width="3.7109375" style="1" customWidth="1"/>
    <col min="16" max="16" width="2.7109375" style="19" customWidth="1"/>
    <col min="17" max="64" width="9.28515625" style="1" customWidth="1"/>
    <col min="65" max="16384" width="9.140625" style="1"/>
  </cols>
  <sheetData>
    <row r="2" spans="3:14" ht="15" customHeight="1" x14ac:dyDescent="0.25">
      <c r="C2" s="14" t="s">
        <v>59</v>
      </c>
      <c r="K2" s="14" t="s">
        <v>69</v>
      </c>
    </row>
    <row r="3" spans="3:14" ht="6" customHeight="1" x14ac:dyDescent="0.25"/>
    <row r="4" spans="3:14" ht="93" customHeight="1" x14ac:dyDescent="0.25">
      <c r="C4" s="4" t="s">
        <v>54</v>
      </c>
      <c r="D4" s="5" t="s">
        <v>55</v>
      </c>
      <c r="F4" s="5" t="s">
        <v>58</v>
      </c>
      <c r="K4" s="4" t="s">
        <v>54</v>
      </c>
      <c r="L4" s="5" t="s">
        <v>63</v>
      </c>
      <c r="M4" s="5" t="s">
        <v>64</v>
      </c>
      <c r="N4" s="5" t="s">
        <v>65</v>
      </c>
    </row>
    <row r="5" spans="3:14" ht="15" customHeight="1" x14ac:dyDescent="0.25">
      <c r="C5" s="8">
        <v>43344</v>
      </c>
      <c r="D5" s="18">
        <v>1.52</v>
      </c>
      <c r="F5" s="7">
        <f t="shared" ref="F5:F6" si="0">D5%</f>
        <v>1.52E-2</v>
      </c>
      <c r="K5" s="8">
        <v>43344</v>
      </c>
      <c r="L5" s="18">
        <v>10.64</v>
      </c>
      <c r="M5" s="18">
        <v>9.7100000000000009</v>
      </c>
      <c r="N5" s="18">
        <v>10.33</v>
      </c>
    </row>
    <row r="6" spans="3:14" ht="15" customHeight="1" x14ac:dyDescent="0.25">
      <c r="C6" s="8">
        <v>43374</v>
      </c>
      <c r="D6" s="18">
        <v>0.89</v>
      </c>
      <c r="F6" s="7">
        <f t="shared" si="0"/>
        <v>8.8999999999999999E-3</v>
      </c>
      <c r="K6" s="8">
        <v>43374</v>
      </c>
      <c r="L6" s="18">
        <v>11.22</v>
      </c>
      <c r="M6" s="18">
        <v>10.41</v>
      </c>
      <c r="N6" s="18">
        <v>10.95</v>
      </c>
    </row>
    <row r="7" spans="3:14" ht="15" customHeight="1" x14ac:dyDescent="0.25">
      <c r="C7" s="8">
        <v>43405</v>
      </c>
      <c r="D7" s="18">
        <v>-0.49</v>
      </c>
      <c r="F7" s="7">
        <f>D7%</f>
        <v>-4.8999999999999998E-3</v>
      </c>
      <c r="K7" s="8">
        <v>43405</v>
      </c>
      <c r="L7" s="18">
        <v>10.72</v>
      </c>
      <c r="M7" s="18">
        <v>10.06</v>
      </c>
      <c r="N7" s="18">
        <v>10.5</v>
      </c>
    </row>
    <row r="8" spans="3:14" ht="15" customHeight="1" x14ac:dyDescent="0.25">
      <c r="C8" s="8">
        <v>43435</v>
      </c>
      <c r="D8" s="18">
        <v>-1.08</v>
      </c>
      <c r="F8" s="7">
        <f t="shared" ref="F8:F16" si="1">D8%</f>
        <v>-1.0800000000000001E-2</v>
      </c>
      <c r="K8" s="8">
        <v>43435</v>
      </c>
      <c r="L8" s="18">
        <v>10.46</v>
      </c>
      <c r="M8" s="18">
        <v>9.6</v>
      </c>
      <c r="N8" s="18">
        <v>10.18</v>
      </c>
    </row>
    <row r="9" spans="3:14" ht="15" customHeight="1" x14ac:dyDescent="0.25">
      <c r="C9" s="8">
        <v>43466</v>
      </c>
      <c r="D9" s="18">
        <v>0.01</v>
      </c>
      <c r="F9" s="7">
        <f t="shared" si="1"/>
        <v>1E-4</v>
      </c>
      <c r="K9" s="8">
        <v>43466</v>
      </c>
      <c r="L9" s="18">
        <v>11.19</v>
      </c>
      <c r="M9" s="18">
        <v>10.43</v>
      </c>
      <c r="N9" s="18">
        <v>10.94</v>
      </c>
    </row>
    <row r="10" spans="3:14" ht="15" customHeight="1" x14ac:dyDescent="0.25">
      <c r="C10" s="8">
        <v>43497</v>
      </c>
      <c r="D10" s="18">
        <v>0.88</v>
      </c>
      <c r="F10" s="7">
        <f t="shared" si="1"/>
        <v>8.8000000000000005E-3</v>
      </c>
      <c r="K10" s="8">
        <v>43497</v>
      </c>
      <c r="L10" s="18">
        <v>10.48</v>
      </c>
      <c r="M10" s="18">
        <v>10.09</v>
      </c>
      <c r="N10" s="18">
        <v>10.35</v>
      </c>
    </row>
    <row r="11" spans="3:14" ht="15" customHeight="1" x14ac:dyDescent="0.25">
      <c r="C11" s="8">
        <v>43525</v>
      </c>
      <c r="D11" s="18">
        <v>1.26</v>
      </c>
      <c r="F11" s="7">
        <f t="shared" si="1"/>
        <v>1.26E-2</v>
      </c>
      <c r="K11" s="8">
        <v>43525</v>
      </c>
      <c r="L11" s="18">
        <v>11.01</v>
      </c>
      <c r="M11" s="18">
        <v>10.050000000000001</v>
      </c>
      <c r="N11" s="18">
        <v>10.72</v>
      </c>
    </row>
    <row r="12" spans="3:14" ht="15" customHeight="1" x14ac:dyDescent="0.25">
      <c r="C12" s="8">
        <v>43556</v>
      </c>
      <c r="D12" s="18">
        <v>0.92</v>
      </c>
      <c r="F12" s="7">
        <f t="shared" si="1"/>
        <v>9.1999999999999998E-3</v>
      </c>
      <c r="K12" s="8">
        <v>43556</v>
      </c>
      <c r="L12" s="18">
        <v>10.34</v>
      </c>
      <c r="M12" s="18">
        <v>10.06</v>
      </c>
      <c r="N12" s="18">
        <v>10.25</v>
      </c>
    </row>
    <row r="13" spans="3:14" ht="15" customHeight="1" x14ac:dyDescent="0.25">
      <c r="C13" s="8">
        <v>43586</v>
      </c>
      <c r="D13" s="18">
        <v>0.45</v>
      </c>
      <c r="F13" s="7">
        <f t="shared" si="1"/>
        <v>4.5000000000000005E-3</v>
      </c>
      <c r="K13" s="8">
        <v>43586</v>
      </c>
      <c r="L13" s="18">
        <v>10.79</v>
      </c>
      <c r="M13" s="18">
        <v>9.9700000000000006</v>
      </c>
      <c r="N13" s="18">
        <v>10.54</v>
      </c>
    </row>
    <row r="14" spans="3:14" ht="15" customHeight="1" x14ac:dyDescent="0.25">
      <c r="C14" s="8">
        <v>43617</v>
      </c>
      <c r="D14" s="18">
        <v>0.8</v>
      </c>
      <c r="F14" s="7">
        <f t="shared" si="1"/>
        <v>8.0000000000000002E-3</v>
      </c>
      <c r="K14" s="8">
        <v>43617</v>
      </c>
      <c r="L14" s="18">
        <v>10.8</v>
      </c>
      <c r="M14" s="18">
        <v>10.24</v>
      </c>
      <c r="N14" s="18">
        <v>10.63</v>
      </c>
    </row>
    <row r="15" spans="3:14" ht="15" customHeight="1" x14ac:dyDescent="0.25">
      <c r="C15" s="8">
        <v>43647</v>
      </c>
      <c r="D15" s="18">
        <v>0.4</v>
      </c>
      <c r="F15" s="7">
        <f t="shared" si="1"/>
        <v>4.0000000000000001E-3</v>
      </c>
      <c r="K15" s="8">
        <v>43647</v>
      </c>
      <c r="L15" s="18">
        <v>10.39</v>
      </c>
      <c r="M15" s="18">
        <v>10.11</v>
      </c>
      <c r="N15" s="18">
        <v>10.3</v>
      </c>
    </row>
    <row r="16" spans="3:14" ht="15" customHeight="1" x14ac:dyDescent="0.25">
      <c r="C16" s="8">
        <v>43678</v>
      </c>
      <c r="D16" s="18">
        <v>-0.67</v>
      </c>
      <c r="F16" s="7">
        <f t="shared" si="1"/>
        <v>-6.7000000000000002E-3</v>
      </c>
      <c r="K16" s="8">
        <v>43678</v>
      </c>
      <c r="L16" s="18">
        <v>9.75</v>
      </c>
      <c r="M16" s="18">
        <v>9.86</v>
      </c>
      <c r="N16" s="18">
        <v>9.7799999999999994</v>
      </c>
    </row>
    <row r="17" spans="3:14" ht="15" customHeight="1" x14ac:dyDescent="0.25">
      <c r="C17" s="17" t="s">
        <v>61</v>
      </c>
      <c r="D17" s="17" t="s">
        <v>57</v>
      </c>
      <c r="K17" s="17" t="s">
        <v>56</v>
      </c>
      <c r="L17" s="17" t="s">
        <v>62</v>
      </c>
      <c r="M17" s="17" t="s">
        <v>62</v>
      </c>
      <c r="N17" s="17" t="s">
        <v>62</v>
      </c>
    </row>
    <row r="19" spans="3:14" ht="15" customHeight="1" x14ac:dyDescent="0.25">
      <c r="C19" s="54" t="s">
        <v>67</v>
      </c>
      <c r="D19" s="54"/>
      <c r="E19" s="54"/>
      <c r="F19" s="21">
        <f>FVSCHEDULE(1,F5:F16)-1</f>
        <v>4.9636325589200503E-2</v>
      </c>
      <c r="L19" s="54" t="s">
        <v>66</v>
      </c>
      <c r="M19" s="54"/>
      <c r="N19" s="20">
        <f>AVERAGE(L5:N16)%</f>
        <v>0.10384722222222224</v>
      </c>
    </row>
    <row r="20" spans="3:14" ht="15" customHeight="1" x14ac:dyDescent="0.25">
      <c r="L20" s="54" t="s">
        <v>71</v>
      </c>
      <c r="M20" s="54"/>
      <c r="N20" s="20">
        <f>(1+N19)^(1/12)-1</f>
        <v>8.2674508877720321E-3</v>
      </c>
    </row>
    <row r="27" spans="3:14" ht="15" customHeight="1" x14ac:dyDescent="0.25">
      <c r="C27" s="2" t="s">
        <v>60</v>
      </c>
    </row>
  </sheetData>
  <mergeCells count="3">
    <mergeCell ref="L19:M19"/>
    <mergeCell ref="C19:E19"/>
    <mergeCell ref="L20:M20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6145" r:id="rId4">
          <objectPr defaultSize="0" r:id="rId5">
            <anchor moveWithCells="1">
              <from>
                <xdr:col>2</xdr:col>
                <xdr:colOff>0</xdr:colOff>
                <xdr:row>27</xdr:row>
                <xdr:rowOff>180975</xdr:rowOff>
              </from>
              <to>
                <xdr:col>3</xdr:col>
                <xdr:colOff>76200</xdr:colOff>
                <xdr:row>31</xdr:row>
                <xdr:rowOff>104775</xdr:rowOff>
              </to>
            </anchor>
          </objectPr>
        </oleObject>
      </mc:Choice>
      <mc:Fallback>
        <oleObject progId="Acrobat Document" dvAspect="DVASPECT_ICON" shapeId="6145" r:id="rId4"/>
      </mc:Fallback>
    </mc:AlternateContent>
    <mc:AlternateContent xmlns:mc="http://schemas.openxmlformats.org/markup-compatibility/2006">
      <mc:Choice Requires="x14">
        <oleObject progId="Acrobat Document" dvAspect="DVASPECT_ICON" shapeId="6146" r:id="rId6">
          <objectPr defaultSize="0" r:id="rId7">
            <anchor moveWithCells="1">
              <from>
                <xdr:col>10</xdr:col>
                <xdr:colOff>38100</xdr:colOff>
                <xdr:row>21</xdr:row>
                <xdr:rowOff>85725</xdr:rowOff>
              </from>
              <to>
                <xdr:col>11</xdr:col>
                <xdr:colOff>333375</xdr:colOff>
                <xdr:row>25</xdr:row>
                <xdr:rowOff>9525</xdr:rowOff>
              </to>
            </anchor>
          </objectPr>
        </oleObject>
      </mc:Choice>
      <mc:Fallback>
        <oleObject progId="Acrobat Document" dvAspect="DVASPECT_ICON" shapeId="6146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FB91-EBC6-4E3A-8DB1-BDE7C313DC12}">
  <dimension ref="B2:BM164"/>
  <sheetViews>
    <sheetView showGridLines="0" zoomScale="90" zoomScaleNormal="90" workbookViewId="0"/>
  </sheetViews>
  <sheetFormatPr defaultRowHeight="15" customHeight="1" x14ac:dyDescent="0.25"/>
  <cols>
    <col min="1" max="1" width="3.7109375" style="1" customWidth="1"/>
    <col min="2" max="2" width="12.5703125" style="15" bestFit="1" customWidth="1"/>
    <col min="3" max="63" width="12.7109375" style="1" customWidth="1"/>
    <col min="64" max="64" width="2.7109375" style="1" customWidth="1"/>
    <col min="65" max="65" width="5.5703125" style="1" bestFit="1" customWidth="1"/>
    <col min="66" max="16384" width="9.140625" style="1"/>
  </cols>
  <sheetData>
    <row r="2" spans="2:63" ht="15" customHeight="1" x14ac:dyDescent="0.25">
      <c r="B2" s="28" t="s">
        <v>68</v>
      </c>
      <c r="C2" s="29"/>
      <c r="D2" s="29"/>
      <c r="E2" s="29"/>
      <c r="F2" s="29"/>
      <c r="G2" s="29"/>
      <c r="H2" s="29"/>
      <c r="I2" s="29"/>
    </row>
    <row r="3" spans="2:63" ht="6" customHeight="1" x14ac:dyDescent="0.25"/>
    <row r="4" spans="2:63" ht="33" customHeight="1" x14ac:dyDescent="0.25">
      <c r="B4" s="5" t="s">
        <v>53</v>
      </c>
      <c r="C4" s="16">
        <v>43466</v>
      </c>
      <c r="D4" s="16">
        <v>43497</v>
      </c>
      <c r="E4" s="16">
        <v>43525</v>
      </c>
      <c r="F4" s="16">
        <v>43556</v>
      </c>
      <c r="G4" s="16">
        <v>43586</v>
      </c>
      <c r="H4" s="16">
        <v>43617</v>
      </c>
      <c r="I4" s="16">
        <v>43647</v>
      </c>
      <c r="J4" s="16">
        <v>43678</v>
      </c>
      <c r="K4" s="16">
        <v>43709</v>
      </c>
      <c r="L4" s="16">
        <v>43739</v>
      </c>
      <c r="M4" s="16">
        <v>43770</v>
      </c>
      <c r="N4" s="16">
        <v>43800</v>
      </c>
      <c r="O4" s="16">
        <v>43831</v>
      </c>
      <c r="P4" s="16">
        <v>43862</v>
      </c>
      <c r="Q4" s="16">
        <v>43891</v>
      </c>
      <c r="R4" s="16">
        <v>43922</v>
      </c>
      <c r="S4" s="16">
        <v>43952</v>
      </c>
      <c r="T4" s="16">
        <v>43983</v>
      </c>
      <c r="U4" s="16">
        <v>44013</v>
      </c>
      <c r="V4" s="16">
        <v>44044</v>
      </c>
      <c r="W4" s="16">
        <v>44075</v>
      </c>
      <c r="X4" s="16">
        <v>44105</v>
      </c>
      <c r="Y4" s="16">
        <v>44136</v>
      </c>
      <c r="Z4" s="16">
        <v>44166</v>
      </c>
      <c r="AA4" s="16">
        <v>44197</v>
      </c>
      <c r="AB4" s="16">
        <v>44228</v>
      </c>
      <c r="AC4" s="16">
        <v>44256</v>
      </c>
      <c r="AD4" s="16">
        <v>44287</v>
      </c>
      <c r="AE4" s="16">
        <v>44317</v>
      </c>
      <c r="AF4" s="16">
        <v>44348</v>
      </c>
      <c r="AG4" s="16">
        <v>44378</v>
      </c>
      <c r="AH4" s="16">
        <v>44409</v>
      </c>
      <c r="AI4" s="16">
        <v>44440</v>
      </c>
      <c r="AJ4" s="16">
        <v>44470</v>
      </c>
      <c r="AK4" s="16">
        <v>44501</v>
      </c>
      <c r="AL4" s="16">
        <v>44531</v>
      </c>
      <c r="AM4" s="16">
        <v>44562</v>
      </c>
      <c r="AN4" s="16">
        <v>44593</v>
      </c>
      <c r="AO4" s="16">
        <v>44621</v>
      </c>
      <c r="AP4" s="16">
        <v>44652</v>
      </c>
      <c r="AQ4" s="16">
        <v>44682</v>
      </c>
      <c r="AR4" s="16">
        <v>44713</v>
      </c>
      <c r="AS4" s="16">
        <v>44743</v>
      </c>
      <c r="AT4" s="16">
        <v>44774</v>
      </c>
      <c r="AU4" s="16">
        <v>44805</v>
      </c>
      <c r="AV4" s="16">
        <v>44835</v>
      </c>
      <c r="AW4" s="16">
        <v>44866</v>
      </c>
      <c r="AX4" s="16">
        <v>44896</v>
      </c>
      <c r="AY4" s="16">
        <v>44927</v>
      </c>
      <c r="AZ4" s="16">
        <v>44958</v>
      </c>
      <c r="BA4" s="16">
        <v>44986</v>
      </c>
      <c r="BB4" s="16">
        <v>45017</v>
      </c>
      <c r="BC4" s="16">
        <v>45047</v>
      </c>
      <c r="BD4" s="16">
        <v>45078</v>
      </c>
      <c r="BE4" s="16">
        <v>45108</v>
      </c>
      <c r="BF4" s="16">
        <v>45139</v>
      </c>
      <c r="BG4" s="16">
        <v>45170</v>
      </c>
      <c r="BH4" s="16">
        <v>45200</v>
      </c>
      <c r="BI4" s="16">
        <v>45231</v>
      </c>
      <c r="BJ4" s="16">
        <v>45261</v>
      </c>
      <c r="BK4" s="16" t="s">
        <v>72</v>
      </c>
    </row>
    <row r="5" spans="2:63" ht="15" customHeight="1" x14ac:dyDescent="0.25">
      <c r="B5" s="6">
        <v>1</v>
      </c>
      <c r="C5" s="9">
        <f>'Resumo Contratos'!F6</f>
        <v>9540</v>
      </c>
      <c r="D5" s="9">
        <f t="shared" ref="D5:D11" si="0">C5</f>
        <v>9540</v>
      </c>
      <c r="E5" s="9">
        <f t="shared" ref="E5:K7" si="1">D5</f>
        <v>9540</v>
      </c>
      <c r="F5" s="9">
        <f t="shared" si="1"/>
        <v>9540</v>
      </c>
      <c r="G5" s="9">
        <f t="shared" si="1"/>
        <v>9540</v>
      </c>
      <c r="H5" s="9">
        <f t="shared" si="1"/>
        <v>9540</v>
      </c>
      <c r="I5" s="9">
        <f t="shared" si="1"/>
        <v>9540</v>
      </c>
      <c r="J5" s="9">
        <f t="shared" si="1"/>
        <v>9540</v>
      </c>
      <c r="K5" s="9">
        <f t="shared" si="1"/>
        <v>9540</v>
      </c>
      <c r="L5" s="9">
        <f t="shared" ref="L5:N7" si="2">K5</f>
        <v>9540</v>
      </c>
      <c r="M5" s="9">
        <f t="shared" si="2"/>
        <v>9540</v>
      </c>
      <c r="N5" s="9">
        <f t="shared" si="2"/>
        <v>9540</v>
      </c>
      <c r="O5" s="9">
        <f>N5+(N5*Premissas!$F$19)</f>
        <v>10013.530546120974</v>
      </c>
      <c r="P5" s="9">
        <f t="shared" ref="P5:BJ5" si="3">O5</f>
        <v>10013.530546120974</v>
      </c>
      <c r="Q5" s="9">
        <f t="shared" si="3"/>
        <v>10013.530546120974</v>
      </c>
      <c r="R5" s="9">
        <f t="shared" si="3"/>
        <v>10013.530546120974</v>
      </c>
      <c r="S5" s="9">
        <f t="shared" si="3"/>
        <v>10013.530546120974</v>
      </c>
      <c r="T5" s="9">
        <f t="shared" si="3"/>
        <v>10013.530546120974</v>
      </c>
      <c r="U5" s="9">
        <f t="shared" si="3"/>
        <v>10013.530546120974</v>
      </c>
      <c r="V5" s="9">
        <f t="shared" si="3"/>
        <v>10013.530546120974</v>
      </c>
      <c r="W5" s="9">
        <f t="shared" si="3"/>
        <v>10013.530546120974</v>
      </c>
      <c r="X5" s="9">
        <f t="shared" si="3"/>
        <v>10013.530546120974</v>
      </c>
      <c r="Y5" s="9">
        <f t="shared" si="3"/>
        <v>10013.530546120974</v>
      </c>
      <c r="Z5" s="9">
        <f t="shared" si="3"/>
        <v>10013.530546120974</v>
      </c>
      <c r="AA5" s="9">
        <f>Z5+(Z5*Premissas!$F$19)</f>
        <v>10510.565408605638</v>
      </c>
      <c r="AB5" s="9">
        <f t="shared" si="3"/>
        <v>10510.565408605638</v>
      </c>
      <c r="AC5" s="9">
        <f t="shared" si="3"/>
        <v>10510.565408605638</v>
      </c>
      <c r="AD5" s="9">
        <f t="shared" si="3"/>
        <v>10510.565408605638</v>
      </c>
      <c r="AE5" s="9">
        <f t="shared" si="3"/>
        <v>10510.565408605638</v>
      </c>
      <c r="AF5" s="9">
        <f t="shared" si="3"/>
        <v>10510.565408605638</v>
      </c>
      <c r="AG5" s="9">
        <f t="shared" si="3"/>
        <v>10510.565408605638</v>
      </c>
      <c r="AH5" s="9">
        <f t="shared" si="3"/>
        <v>10510.565408605638</v>
      </c>
      <c r="AI5" s="9">
        <f t="shared" si="3"/>
        <v>10510.565408605638</v>
      </c>
      <c r="AJ5" s="9">
        <f t="shared" si="3"/>
        <v>10510.565408605638</v>
      </c>
      <c r="AK5" s="9">
        <f t="shared" si="3"/>
        <v>10510.565408605638</v>
      </c>
      <c r="AL5" s="9">
        <f t="shared" si="3"/>
        <v>10510.565408605638</v>
      </c>
      <c r="AM5" s="9">
        <f>AL5+(AL5*Premissas!$F$19)</f>
        <v>11032.271255353777</v>
      </c>
      <c r="AN5" s="9">
        <f t="shared" si="3"/>
        <v>11032.271255353777</v>
      </c>
      <c r="AO5" s="9">
        <f t="shared" si="3"/>
        <v>11032.271255353777</v>
      </c>
      <c r="AP5" s="9">
        <f t="shared" si="3"/>
        <v>11032.271255353777</v>
      </c>
      <c r="AQ5" s="9">
        <f t="shared" si="3"/>
        <v>11032.271255353777</v>
      </c>
      <c r="AR5" s="9">
        <f t="shared" si="3"/>
        <v>11032.271255353777</v>
      </c>
      <c r="AS5" s="9">
        <f t="shared" si="3"/>
        <v>11032.271255353777</v>
      </c>
      <c r="AT5" s="9">
        <f t="shared" si="3"/>
        <v>11032.271255353777</v>
      </c>
      <c r="AU5" s="9">
        <f t="shared" si="3"/>
        <v>11032.271255353777</v>
      </c>
      <c r="AV5" s="9">
        <f t="shared" si="3"/>
        <v>11032.271255353777</v>
      </c>
      <c r="AW5" s="9">
        <f t="shared" si="3"/>
        <v>11032.271255353777</v>
      </c>
      <c r="AX5" s="9">
        <f t="shared" si="3"/>
        <v>11032.271255353777</v>
      </c>
      <c r="AY5" s="9">
        <f>AX5+(AX5*Premissas!$F$19)</f>
        <v>11579.872663372895</v>
      </c>
      <c r="AZ5" s="9">
        <f t="shared" si="3"/>
        <v>11579.872663372895</v>
      </c>
      <c r="BA5" s="9">
        <f t="shared" si="3"/>
        <v>11579.872663372895</v>
      </c>
      <c r="BB5" s="9">
        <f t="shared" si="3"/>
        <v>11579.872663372895</v>
      </c>
      <c r="BC5" s="9">
        <f t="shared" si="3"/>
        <v>11579.872663372895</v>
      </c>
      <c r="BD5" s="9">
        <f t="shared" si="3"/>
        <v>11579.872663372895</v>
      </c>
      <c r="BE5" s="9">
        <f t="shared" si="3"/>
        <v>11579.872663372895</v>
      </c>
      <c r="BF5" s="9">
        <f t="shared" si="3"/>
        <v>11579.872663372895</v>
      </c>
      <c r="BG5" s="9">
        <f t="shared" si="3"/>
        <v>11579.872663372895</v>
      </c>
      <c r="BH5" s="9">
        <f t="shared" si="3"/>
        <v>11579.872663372895</v>
      </c>
      <c r="BI5" s="9">
        <f t="shared" si="3"/>
        <v>11579.872663372895</v>
      </c>
      <c r="BJ5" s="9">
        <f t="shared" si="3"/>
        <v>11579.872663372895</v>
      </c>
      <c r="BK5" s="23">
        <f t="shared" ref="BK5:BK7" si="4">SUM(C5:BJ5)</f>
        <v>632114.87848143908</v>
      </c>
    </row>
    <row r="6" spans="2:63" ht="15" customHeight="1" x14ac:dyDescent="0.25">
      <c r="B6" s="6">
        <v>2</v>
      </c>
      <c r="C6" s="9">
        <f>'Resumo Contratos'!F7</f>
        <v>2000</v>
      </c>
      <c r="D6" s="9">
        <f t="shared" si="0"/>
        <v>2000</v>
      </c>
      <c r="E6" s="9">
        <f t="shared" si="1"/>
        <v>2000</v>
      </c>
      <c r="F6" s="9">
        <f t="shared" si="1"/>
        <v>2000</v>
      </c>
      <c r="G6" s="9">
        <f t="shared" si="1"/>
        <v>2000</v>
      </c>
      <c r="H6" s="9">
        <f t="shared" si="1"/>
        <v>2000</v>
      </c>
      <c r="I6" s="9">
        <f t="shared" si="1"/>
        <v>2000</v>
      </c>
      <c r="J6" s="9">
        <f t="shared" si="1"/>
        <v>2000</v>
      </c>
      <c r="K6" s="9">
        <f t="shared" si="1"/>
        <v>2000</v>
      </c>
      <c r="L6" s="9">
        <f t="shared" si="2"/>
        <v>2000</v>
      </c>
      <c r="M6" s="9">
        <f t="shared" si="2"/>
        <v>2000</v>
      </c>
      <c r="N6" s="9">
        <f t="shared" si="2"/>
        <v>2000</v>
      </c>
      <c r="O6" s="9">
        <f>N6+(N6*Premissas!$F$19)</f>
        <v>2099.2726511784008</v>
      </c>
      <c r="P6" s="9">
        <f t="shared" ref="P6:BJ6" si="5">O6</f>
        <v>2099.2726511784008</v>
      </c>
      <c r="Q6" s="9">
        <f t="shared" si="5"/>
        <v>2099.2726511784008</v>
      </c>
      <c r="R6" s="9">
        <f t="shared" si="5"/>
        <v>2099.2726511784008</v>
      </c>
      <c r="S6" s="9">
        <f t="shared" si="5"/>
        <v>2099.2726511784008</v>
      </c>
      <c r="T6" s="9">
        <f t="shared" si="5"/>
        <v>2099.2726511784008</v>
      </c>
      <c r="U6" s="9">
        <f t="shared" si="5"/>
        <v>2099.2726511784008</v>
      </c>
      <c r="V6" s="9">
        <f t="shared" si="5"/>
        <v>2099.2726511784008</v>
      </c>
      <c r="W6" s="9">
        <f t="shared" si="5"/>
        <v>2099.2726511784008</v>
      </c>
      <c r="X6" s="9">
        <f t="shared" si="5"/>
        <v>2099.2726511784008</v>
      </c>
      <c r="Y6" s="9">
        <f t="shared" si="5"/>
        <v>2099.2726511784008</v>
      </c>
      <c r="Z6" s="9">
        <f t="shared" si="5"/>
        <v>2099.2726511784008</v>
      </c>
      <c r="AA6" s="9">
        <f>Z6+(Z6*Premissas!$F$19)</f>
        <v>2203.4728319927958</v>
      </c>
      <c r="AB6" s="9">
        <f t="shared" si="5"/>
        <v>2203.4728319927958</v>
      </c>
      <c r="AC6" s="9">
        <f t="shared" si="5"/>
        <v>2203.4728319927958</v>
      </c>
      <c r="AD6" s="9">
        <f t="shared" si="5"/>
        <v>2203.4728319927958</v>
      </c>
      <c r="AE6" s="9">
        <f t="shared" si="5"/>
        <v>2203.4728319927958</v>
      </c>
      <c r="AF6" s="9">
        <f t="shared" si="5"/>
        <v>2203.4728319927958</v>
      </c>
      <c r="AG6" s="9">
        <f t="shared" si="5"/>
        <v>2203.4728319927958</v>
      </c>
      <c r="AH6" s="9">
        <f t="shared" si="5"/>
        <v>2203.4728319927958</v>
      </c>
      <c r="AI6" s="9">
        <f t="shared" si="5"/>
        <v>2203.4728319927958</v>
      </c>
      <c r="AJ6" s="9">
        <f t="shared" si="5"/>
        <v>2203.4728319927958</v>
      </c>
      <c r="AK6" s="9">
        <f t="shared" si="5"/>
        <v>2203.4728319927958</v>
      </c>
      <c r="AL6" s="9">
        <f t="shared" si="5"/>
        <v>2203.4728319927958</v>
      </c>
      <c r="AM6" s="9">
        <f>AL6+(AL6*Premissas!$F$19)</f>
        <v>2312.8451269085481</v>
      </c>
      <c r="AN6" s="9">
        <f t="shared" si="5"/>
        <v>2312.8451269085481</v>
      </c>
      <c r="AO6" s="9">
        <f t="shared" si="5"/>
        <v>2312.8451269085481</v>
      </c>
      <c r="AP6" s="9">
        <f t="shared" si="5"/>
        <v>2312.8451269085481</v>
      </c>
      <c r="AQ6" s="9">
        <f t="shared" si="5"/>
        <v>2312.8451269085481</v>
      </c>
      <c r="AR6" s="9">
        <f t="shared" si="5"/>
        <v>2312.8451269085481</v>
      </c>
      <c r="AS6" s="9">
        <f t="shared" si="5"/>
        <v>2312.8451269085481</v>
      </c>
      <c r="AT6" s="9">
        <f t="shared" si="5"/>
        <v>2312.8451269085481</v>
      </c>
      <c r="AU6" s="9">
        <f t="shared" si="5"/>
        <v>2312.8451269085481</v>
      </c>
      <c r="AV6" s="9">
        <f t="shared" si="5"/>
        <v>2312.8451269085481</v>
      </c>
      <c r="AW6" s="9">
        <f t="shared" si="5"/>
        <v>2312.8451269085481</v>
      </c>
      <c r="AX6" s="9">
        <f t="shared" si="5"/>
        <v>2312.8451269085481</v>
      </c>
      <c r="AY6" s="9">
        <f>AX6+(AX6*Premissas!$F$19)</f>
        <v>2427.6462606651767</v>
      </c>
      <c r="AZ6" s="9">
        <f t="shared" si="5"/>
        <v>2427.6462606651767</v>
      </c>
      <c r="BA6" s="9">
        <f t="shared" si="5"/>
        <v>2427.6462606651767</v>
      </c>
      <c r="BB6" s="9">
        <f t="shared" si="5"/>
        <v>2427.6462606651767</v>
      </c>
      <c r="BC6" s="9">
        <f t="shared" si="5"/>
        <v>2427.6462606651767</v>
      </c>
      <c r="BD6" s="9">
        <f t="shared" si="5"/>
        <v>2427.6462606651767</v>
      </c>
      <c r="BE6" s="9">
        <f t="shared" si="5"/>
        <v>2427.6462606651767</v>
      </c>
      <c r="BF6" s="9">
        <f t="shared" si="5"/>
        <v>2427.6462606651767</v>
      </c>
      <c r="BG6" s="9">
        <f t="shared" si="5"/>
        <v>2427.6462606651767</v>
      </c>
      <c r="BH6" s="9">
        <f t="shared" si="5"/>
        <v>2427.6462606651767</v>
      </c>
      <c r="BI6" s="9">
        <f t="shared" si="5"/>
        <v>2427.6462606651767</v>
      </c>
      <c r="BJ6" s="9">
        <f t="shared" si="5"/>
        <v>2427.6462606651767</v>
      </c>
      <c r="BK6" s="23">
        <f t="shared" si="4"/>
        <v>132518.84244893905</v>
      </c>
    </row>
    <row r="7" spans="2:63" ht="15" customHeight="1" x14ac:dyDescent="0.25">
      <c r="B7" s="6">
        <v>3</v>
      </c>
      <c r="C7" s="9">
        <f>'Resumo Contratos'!F8</f>
        <v>18000</v>
      </c>
      <c r="D7" s="9">
        <f t="shared" si="0"/>
        <v>18000</v>
      </c>
      <c r="E7" s="9">
        <f t="shared" si="1"/>
        <v>18000</v>
      </c>
      <c r="F7" s="9">
        <f t="shared" si="1"/>
        <v>18000</v>
      </c>
      <c r="G7" s="9">
        <f t="shared" si="1"/>
        <v>18000</v>
      </c>
      <c r="H7" s="9">
        <f t="shared" si="1"/>
        <v>18000</v>
      </c>
      <c r="I7" s="9">
        <f t="shared" si="1"/>
        <v>18000</v>
      </c>
      <c r="J7" s="9">
        <f t="shared" si="1"/>
        <v>18000</v>
      </c>
      <c r="K7" s="9">
        <f t="shared" si="1"/>
        <v>18000</v>
      </c>
      <c r="L7" s="9">
        <f t="shared" si="2"/>
        <v>18000</v>
      </c>
      <c r="M7" s="9">
        <f t="shared" si="2"/>
        <v>18000</v>
      </c>
      <c r="N7" s="9">
        <f t="shared" si="2"/>
        <v>18000</v>
      </c>
      <c r="O7" s="9">
        <f>N7+(N7*Premissas!$F$19)</f>
        <v>18893.453860605608</v>
      </c>
      <c r="P7" s="9">
        <f t="shared" ref="P7:BJ7" si="6">O7</f>
        <v>18893.453860605608</v>
      </c>
      <c r="Q7" s="9">
        <f t="shared" si="6"/>
        <v>18893.453860605608</v>
      </c>
      <c r="R7" s="9">
        <f t="shared" si="6"/>
        <v>18893.453860605608</v>
      </c>
      <c r="S7" s="9">
        <f t="shared" si="6"/>
        <v>18893.453860605608</v>
      </c>
      <c r="T7" s="9">
        <f t="shared" si="6"/>
        <v>18893.453860605608</v>
      </c>
      <c r="U7" s="9">
        <f t="shared" si="6"/>
        <v>18893.453860605608</v>
      </c>
      <c r="V7" s="9">
        <f t="shared" si="6"/>
        <v>18893.453860605608</v>
      </c>
      <c r="W7" s="9">
        <f t="shared" si="6"/>
        <v>18893.453860605608</v>
      </c>
      <c r="X7" s="9">
        <f t="shared" si="6"/>
        <v>18893.453860605608</v>
      </c>
      <c r="Y7" s="9">
        <f t="shared" si="6"/>
        <v>18893.453860605608</v>
      </c>
      <c r="Z7" s="9">
        <f t="shared" si="6"/>
        <v>18893.453860605608</v>
      </c>
      <c r="AA7" s="9">
        <f>Z7+(Z7*Premissas!$F$19)</f>
        <v>19831.255487935166</v>
      </c>
      <c r="AB7" s="9">
        <f t="shared" si="6"/>
        <v>19831.255487935166</v>
      </c>
      <c r="AC7" s="9">
        <f t="shared" si="6"/>
        <v>19831.255487935166</v>
      </c>
      <c r="AD7" s="9">
        <f t="shared" si="6"/>
        <v>19831.255487935166</v>
      </c>
      <c r="AE7" s="9">
        <f t="shared" si="6"/>
        <v>19831.255487935166</v>
      </c>
      <c r="AF7" s="9">
        <f t="shared" si="6"/>
        <v>19831.255487935166</v>
      </c>
      <c r="AG7" s="9">
        <f t="shared" si="6"/>
        <v>19831.255487935166</v>
      </c>
      <c r="AH7" s="9">
        <f t="shared" si="6"/>
        <v>19831.255487935166</v>
      </c>
      <c r="AI7" s="9">
        <f t="shared" si="6"/>
        <v>19831.255487935166</v>
      </c>
      <c r="AJ7" s="9">
        <f t="shared" si="6"/>
        <v>19831.255487935166</v>
      </c>
      <c r="AK7" s="9">
        <f t="shared" si="6"/>
        <v>19831.255487935166</v>
      </c>
      <c r="AL7" s="9">
        <f t="shared" si="6"/>
        <v>19831.255487935166</v>
      </c>
      <c r="AM7" s="9">
        <f>AL7+(AL7*Premissas!$F$19)</f>
        <v>20815.606142176937</v>
      </c>
      <c r="AN7" s="9">
        <f t="shared" si="6"/>
        <v>20815.606142176937</v>
      </c>
      <c r="AO7" s="9">
        <f t="shared" si="6"/>
        <v>20815.606142176937</v>
      </c>
      <c r="AP7" s="9">
        <f t="shared" si="6"/>
        <v>20815.606142176937</v>
      </c>
      <c r="AQ7" s="9">
        <f t="shared" si="6"/>
        <v>20815.606142176937</v>
      </c>
      <c r="AR7" s="9">
        <f t="shared" si="6"/>
        <v>20815.606142176937</v>
      </c>
      <c r="AS7" s="9">
        <f t="shared" si="6"/>
        <v>20815.606142176937</v>
      </c>
      <c r="AT7" s="9">
        <f t="shared" si="6"/>
        <v>20815.606142176937</v>
      </c>
      <c r="AU7" s="9">
        <f t="shared" si="6"/>
        <v>20815.606142176937</v>
      </c>
      <c r="AV7" s="9">
        <f t="shared" si="6"/>
        <v>20815.606142176937</v>
      </c>
      <c r="AW7" s="9">
        <f t="shared" si="6"/>
        <v>20815.606142176937</v>
      </c>
      <c r="AX7" s="9">
        <f t="shared" si="6"/>
        <v>20815.606142176937</v>
      </c>
      <c r="AY7" s="9">
        <f>AX7+(AX7*Premissas!$F$19)</f>
        <v>21848.816345986594</v>
      </c>
      <c r="AZ7" s="9">
        <f t="shared" si="6"/>
        <v>21848.816345986594</v>
      </c>
      <c r="BA7" s="9">
        <f t="shared" si="6"/>
        <v>21848.816345986594</v>
      </c>
      <c r="BB7" s="9">
        <f t="shared" si="6"/>
        <v>21848.816345986594</v>
      </c>
      <c r="BC7" s="9">
        <f t="shared" si="6"/>
        <v>21848.816345986594</v>
      </c>
      <c r="BD7" s="9">
        <f t="shared" si="6"/>
        <v>21848.816345986594</v>
      </c>
      <c r="BE7" s="9">
        <f t="shared" si="6"/>
        <v>21848.816345986594</v>
      </c>
      <c r="BF7" s="9">
        <f t="shared" si="6"/>
        <v>21848.816345986594</v>
      </c>
      <c r="BG7" s="9">
        <f t="shared" si="6"/>
        <v>21848.816345986594</v>
      </c>
      <c r="BH7" s="9">
        <f t="shared" si="6"/>
        <v>21848.816345986594</v>
      </c>
      <c r="BI7" s="9">
        <f t="shared" si="6"/>
        <v>21848.816345986594</v>
      </c>
      <c r="BJ7" s="9">
        <f t="shared" si="6"/>
        <v>21848.816345986594</v>
      </c>
      <c r="BK7" s="23">
        <f t="shared" si="4"/>
        <v>1192669.5820404512</v>
      </c>
    </row>
    <row r="8" spans="2:63" ht="15" customHeight="1" x14ac:dyDescent="0.25">
      <c r="B8" s="6">
        <v>4</v>
      </c>
      <c r="C8" s="9">
        <f>'Resumo Contratos'!F9</f>
        <v>1000</v>
      </c>
      <c r="D8" s="9">
        <f t="shared" si="0"/>
        <v>1000</v>
      </c>
      <c r="E8" s="9">
        <f t="shared" ref="E8:K11" si="7">D8</f>
        <v>1000</v>
      </c>
      <c r="F8" s="9">
        <f t="shared" si="7"/>
        <v>1000</v>
      </c>
      <c r="G8" s="9">
        <f t="shared" si="7"/>
        <v>1000</v>
      </c>
      <c r="H8" s="9">
        <f t="shared" si="7"/>
        <v>1000</v>
      </c>
      <c r="I8" s="9">
        <f t="shared" si="7"/>
        <v>1000</v>
      </c>
      <c r="J8" s="9">
        <f t="shared" si="7"/>
        <v>1000</v>
      </c>
      <c r="K8" s="9">
        <f t="shared" si="7"/>
        <v>1000</v>
      </c>
      <c r="L8" s="9">
        <f t="shared" ref="L8:N8" si="8">K8</f>
        <v>1000</v>
      </c>
      <c r="M8" s="9">
        <f t="shared" si="8"/>
        <v>1000</v>
      </c>
      <c r="N8" s="9">
        <f t="shared" si="8"/>
        <v>1000</v>
      </c>
      <c r="O8" s="9">
        <f>N8+(N8*Premissas!$F$19)</f>
        <v>1049.6363255892004</v>
      </c>
      <c r="P8" s="9">
        <f t="shared" ref="P8:BJ8" si="9">O8</f>
        <v>1049.6363255892004</v>
      </c>
      <c r="Q8" s="9">
        <f t="shared" si="9"/>
        <v>1049.6363255892004</v>
      </c>
      <c r="R8" s="9">
        <f t="shared" si="9"/>
        <v>1049.6363255892004</v>
      </c>
      <c r="S8" s="9">
        <f t="shared" si="9"/>
        <v>1049.6363255892004</v>
      </c>
      <c r="T8" s="9">
        <f t="shared" si="9"/>
        <v>1049.6363255892004</v>
      </c>
      <c r="U8" s="9">
        <f t="shared" si="9"/>
        <v>1049.6363255892004</v>
      </c>
      <c r="V8" s="9">
        <f t="shared" si="9"/>
        <v>1049.6363255892004</v>
      </c>
      <c r="W8" s="9">
        <f t="shared" si="9"/>
        <v>1049.6363255892004</v>
      </c>
      <c r="X8" s="9">
        <f t="shared" si="9"/>
        <v>1049.6363255892004</v>
      </c>
      <c r="Y8" s="9">
        <f t="shared" si="9"/>
        <v>1049.6363255892004</v>
      </c>
      <c r="Z8" s="9">
        <f t="shared" si="9"/>
        <v>1049.6363255892004</v>
      </c>
      <c r="AA8" s="9">
        <f>Z8+(Z8*Premissas!$F$19)</f>
        <v>1101.7364159963979</v>
      </c>
      <c r="AB8" s="9">
        <f t="shared" si="9"/>
        <v>1101.7364159963979</v>
      </c>
      <c r="AC8" s="9">
        <f t="shared" si="9"/>
        <v>1101.7364159963979</v>
      </c>
      <c r="AD8" s="9">
        <f t="shared" si="9"/>
        <v>1101.7364159963979</v>
      </c>
      <c r="AE8" s="9">
        <f t="shared" si="9"/>
        <v>1101.7364159963979</v>
      </c>
      <c r="AF8" s="9">
        <f t="shared" si="9"/>
        <v>1101.7364159963979</v>
      </c>
      <c r="AG8" s="9">
        <f t="shared" si="9"/>
        <v>1101.7364159963979</v>
      </c>
      <c r="AH8" s="9">
        <f t="shared" si="9"/>
        <v>1101.7364159963979</v>
      </c>
      <c r="AI8" s="9">
        <f t="shared" si="9"/>
        <v>1101.7364159963979</v>
      </c>
      <c r="AJ8" s="9">
        <f t="shared" si="9"/>
        <v>1101.7364159963979</v>
      </c>
      <c r="AK8" s="9">
        <f t="shared" si="9"/>
        <v>1101.7364159963979</v>
      </c>
      <c r="AL8" s="9">
        <f t="shared" si="9"/>
        <v>1101.7364159963979</v>
      </c>
      <c r="AM8" s="9">
        <f>AL8+(AL8*Premissas!$F$19)</f>
        <v>1156.422563454274</v>
      </c>
      <c r="AN8" s="9">
        <f t="shared" si="9"/>
        <v>1156.422563454274</v>
      </c>
      <c r="AO8" s="9">
        <f t="shared" si="9"/>
        <v>1156.422563454274</v>
      </c>
      <c r="AP8" s="9">
        <f t="shared" si="9"/>
        <v>1156.422563454274</v>
      </c>
      <c r="AQ8" s="9">
        <f t="shared" si="9"/>
        <v>1156.422563454274</v>
      </c>
      <c r="AR8" s="9">
        <f t="shared" si="9"/>
        <v>1156.422563454274</v>
      </c>
      <c r="AS8" s="9">
        <f t="shared" si="9"/>
        <v>1156.422563454274</v>
      </c>
      <c r="AT8" s="9">
        <f t="shared" si="9"/>
        <v>1156.422563454274</v>
      </c>
      <c r="AU8" s="9">
        <f t="shared" si="9"/>
        <v>1156.422563454274</v>
      </c>
      <c r="AV8" s="9">
        <f t="shared" si="9"/>
        <v>1156.422563454274</v>
      </c>
      <c r="AW8" s="9">
        <f t="shared" si="9"/>
        <v>1156.422563454274</v>
      </c>
      <c r="AX8" s="9">
        <f t="shared" si="9"/>
        <v>1156.422563454274</v>
      </c>
      <c r="AY8" s="9">
        <f>AX8+(AX8*Premissas!$F$19)</f>
        <v>1213.8231303325883</v>
      </c>
      <c r="AZ8" s="9">
        <f t="shared" si="9"/>
        <v>1213.8231303325883</v>
      </c>
      <c r="BA8" s="9">
        <f t="shared" si="9"/>
        <v>1213.8231303325883</v>
      </c>
      <c r="BB8" s="9">
        <f t="shared" si="9"/>
        <v>1213.8231303325883</v>
      </c>
      <c r="BC8" s="9">
        <f t="shared" si="9"/>
        <v>1213.8231303325883</v>
      </c>
      <c r="BD8" s="9">
        <f t="shared" si="9"/>
        <v>1213.8231303325883</v>
      </c>
      <c r="BE8" s="9">
        <f t="shared" si="9"/>
        <v>1213.8231303325883</v>
      </c>
      <c r="BF8" s="9">
        <f t="shared" si="9"/>
        <v>1213.8231303325883</v>
      </c>
      <c r="BG8" s="9">
        <f t="shared" si="9"/>
        <v>1213.8231303325883</v>
      </c>
      <c r="BH8" s="9">
        <f t="shared" si="9"/>
        <v>1213.8231303325883</v>
      </c>
      <c r="BI8" s="9">
        <f t="shared" si="9"/>
        <v>1213.8231303325883</v>
      </c>
      <c r="BJ8" s="9">
        <f t="shared" si="9"/>
        <v>1213.8231303325883</v>
      </c>
      <c r="BK8" s="23">
        <f>SUM(C8:BJ8)</f>
        <v>66259.421224469523</v>
      </c>
    </row>
    <row r="9" spans="2:63" ht="15" customHeight="1" x14ac:dyDescent="0.25">
      <c r="B9" s="6">
        <v>5</v>
      </c>
      <c r="C9" s="9">
        <f>'Resumo Contratos'!F10</f>
        <v>13000</v>
      </c>
      <c r="D9" s="9">
        <f t="shared" si="0"/>
        <v>13000</v>
      </c>
      <c r="E9" s="9">
        <f t="shared" si="7"/>
        <v>13000</v>
      </c>
      <c r="F9" s="9">
        <f t="shared" si="7"/>
        <v>13000</v>
      </c>
      <c r="G9" s="9">
        <f t="shared" si="7"/>
        <v>13000</v>
      </c>
      <c r="H9" s="9">
        <f t="shared" si="7"/>
        <v>13000</v>
      </c>
      <c r="I9" s="9">
        <f t="shared" si="7"/>
        <v>13000</v>
      </c>
      <c r="J9" s="9">
        <f t="shared" si="7"/>
        <v>13000</v>
      </c>
      <c r="K9" s="9">
        <f t="shared" si="7"/>
        <v>13000</v>
      </c>
      <c r="L9" s="9">
        <f t="shared" ref="L9:N9" si="10">K9</f>
        <v>13000</v>
      </c>
      <c r="M9" s="9">
        <f t="shared" si="10"/>
        <v>13000</v>
      </c>
      <c r="N9" s="9">
        <f t="shared" si="10"/>
        <v>13000</v>
      </c>
      <c r="O9" s="9">
        <f>N9+(N9*Premissas!$F$19)</f>
        <v>13645.272232659607</v>
      </c>
      <c r="P9" s="9">
        <f t="shared" ref="P9:BJ9" si="11">O9</f>
        <v>13645.272232659607</v>
      </c>
      <c r="Q9" s="9">
        <f t="shared" si="11"/>
        <v>13645.272232659607</v>
      </c>
      <c r="R9" s="9">
        <f t="shared" si="11"/>
        <v>13645.272232659607</v>
      </c>
      <c r="S9" s="9">
        <f t="shared" si="11"/>
        <v>13645.272232659607</v>
      </c>
      <c r="T9" s="9">
        <f t="shared" si="11"/>
        <v>13645.272232659607</v>
      </c>
      <c r="U9" s="9">
        <f t="shared" si="11"/>
        <v>13645.272232659607</v>
      </c>
      <c r="V9" s="9">
        <f t="shared" si="11"/>
        <v>13645.272232659607</v>
      </c>
      <c r="W9" s="9">
        <f t="shared" si="11"/>
        <v>13645.272232659607</v>
      </c>
      <c r="X9" s="9">
        <f t="shared" si="11"/>
        <v>13645.272232659607</v>
      </c>
      <c r="Y9" s="9">
        <f t="shared" si="11"/>
        <v>13645.272232659607</v>
      </c>
      <c r="Z9" s="9">
        <f t="shared" si="11"/>
        <v>13645.272232659607</v>
      </c>
      <c r="AA9" s="9">
        <f>Z9+(Z9*Premissas!$F$19)</f>
        <v>14322.573407953176</v>
      </c>
      <c r="AB9" s="9">
        <f t="shared" si="11"/>
        <v>14322.573407953176</v>
      </c>
      <c r="AC9" s="9">
        <f t="shared" si="11"/>
        <v>14322.573407953176</v>
      </c>
      <c r="AD9" s="9">
        <f t="shared" si="11"/>
        <v>14322.573407953176</v>
      </c>
      <c r="AE9" s="9">
        <f t="shared" si="11"/>
        <v>14322.573407953176</v>
      </c>
      <c r="AF9" s="9">
        <f t="shared" si="11"/>
        <v>14322.573407953176</v>
      </c>
      <c r="AG9" s="9">
        <f t="shared" si="11"/>
        <v>14322.573407953176</v>
      </c>
      <c r="AH9" s="9">
        <f t="shared" si="11"/>
        <v>14322.573407953176</v>
      </c>
      <c r="AI9" s="9">
        <f t="shared" si="11"/>
        <v>14322.573407953176</v>
      </c>
      <c r="AJ9" s="9">
        <f t="shared" si="11"/>
        <v>14322.573407953176</v>
      </c>
      <c r="AK9" s="9">
        <f t="shared" si="11"/>
        <v>14322.573407953176</v>
      </c>
      <c r="AL9" s="9">
        <f t="shared" si="11"/>
        <v>14322.573407953176</v>
      </c>
      <c r="AM9" s="9">
        <f>AL9+(AL9*Premissas!$F$19)</f>
        <v>15033.493324905565</v>
      </c>
      <c r="AN9" s="9">
        <f t="shared" si="11"/>
        <v>15033.493324905565</v>
      </c>
      <c r="AO9" s="9">
        <f t="shared" si="11"/>
        <v>15033.493324905565</v>
      </c>
      <c r="AP9" s="9">
        <f t="shared" si="11"/>
        <v>15033.493324905565</v>
      </c>
      <c r="AQ9" s="9">
        <f t="shared" si="11"/>
        <v>15033.493324905565</v>
      </c>
      <c r="AR9" s="9">
        <f t="shared" si="11"/>
        <v>15033.493324905565</v>
      </c>
      <c r="AS9" s="9">
        <f t="shared" si="11"/>
        <v>15033.493324905565</v>
      </c>
      <c r="AT9" s="9">
        <f t="shared" si="11"/>
        <v>15033.493324905565</v>
      </c>
      <c r="AU9" s="9">
        <f t="shared" si="11"/>
        <v>15033.493324905565</v>
      </c>
      <c r="AV9" s="9">
        <f t="shared" si="11"/>
        <v>15033.493324905565</v>
      </c>
      <c r="AW9" s="9">
        <f t="shared" si="11"/>
        <v>15033.493324905565</v>
      </c>
      <c r="AX9" s="9">
        <f t="shared" si="11"/>
        <v>15033.493324905565</v>
      </c>
      <c r="AY9" s="9">
        <f>AX9+(AX9*Premissas!$F$19)</f>
        <v>15779.70069432365</v>
      </c>
      <c r="AZ9" s="9">
        <f t="shared" si="11"/>
        <v>15779.70069432365</v>
      </c>
      <c r="BA9" s="9">
        <f t="shared" si="11"/>
        <v>15779.70069432365</v>
      </c>
      <c r="BB9" s="9">
        <f t="shared" si="11"/>
        <v>15779.70069432365</v>
      </c>
      <c r="BC9" s="9">
        <f t="shared" si="11"/>
        <v>15779.70069432365</v>
      </c>
      <c r="BD9" s="9">
        <f t="shared" si="11"/>
        <v>15779.70069432365</v>
      </c>
      <c r="BE9" s="9">
        <f t="shared" si="11"/>
        <v>15779.70069432365</v>
      </c>
      <c r="BF9" s="9">
        <f t="shared" si="11"/>
        <v>15779.70069432365</v>
      </c>
      <c r="BG9" s="9">
        <f t="shared" si="11"/>
        <v>15779.70069432365</v>
      </c>
      <c r="BH9" s="9">
        <f t="shared" si="11"/>
        <v>15779.70069432365</v>
      </c>
      <c r="BI9" s="9">
        <f t="shared" si="11"/>
        <v>15779.70069432365</v>
      </c>
      <c r="BJ9" s="9">
        <f t="shared" si="11"/>
        <v>15779.70069432365</v>
      </c>
      <c r="BK9" s="23">
        <f t="shared" ref="BK9:BK11" si="12">SUM(C9:BJ9)</f>
        <v>861372.47591810359</v>
      </c>
    </row>
    <row r="10" spans="2:63" ht="15" customHeight="1" x14ac:dyDescent="0.25">
      <c r="B10" s="6">
        <v>6</v>
      </c>
      <c r="C10" s="9">
        <f>'Resumo Contratos'!F11</f>
        <v>9540</v>
      </c>
      <c r="D10" s="9">
        <f t="shared" si="0"/>
        <v>9540</v>
      </c>
      <c r="E10" s="9">
        <f t="shared" si="7"/>
        <v>9540</v>
      </c>
      <c r="F10" s="9">
        <f t="shared" si="7"/>
        <v>9540</v>
      </c>
      <c r="G10" s="9">
        <f t="shared" si="7"/>
        <v>9540</v>
      </c>
      <c r="H10" s="9">
        <f t="shared" si="7"/>
        <v>9540</v>
      </c>
      <c r="I10" s="9">
        <f t="shared" si="7"/>
        <v>9540</v>
      </c>
      <c r="J10" s="9">
        <f t="shared" si="7"/>
        <v>9540</v>
      </c>
      <c r="K10" s="9">
        <f t="shared" si="7"/>
        <v>9540</v>
      </c>
      <c r="L10" s="9">
        <f t="shared" ref="L10:N10" si="13">K10</f>
        <v>9540</v>
      </c>
      <c r="M10" s="9">
        <f t="shared" si="13"/>
        <v>9540</v>
      </c>
      <c r="N10" s="9">
        <f t="shared" si="13"/>
        <v>9540</v>
      </c>
      <c r="O10" s="9">
        <f>N10+(N10*Premissas!$F$19)</f>
        <v>10013.530546120974</v>
      </c>
      <c r="P10" s="9">
        <f t="shared" ref="P10:BJ10" si="14">O10</f>
        <v>10013.530546120974</v>
      </c>
      <c r="Q10" s="9">
        <f t="shared" si="14"/>
        <v>10013.530546120974</v>
      </c>
      <c r="R10" s="9">
        <f t="shared" si="14"/>
        <v>10013.530546120974</v>
      </c>
      <c r="S10" s="9">
        <f t="shared" si="14"/>
        <v>10013.530546120974</v>
      </c>
      <c r="T10" s="9">
        <f t="shared" si="14"/>
        <v>10013.530546120974</v>
      </c>
      <c r="U10" s="9">
        <f t="shared" si="14"/>
        <v>10013.530546120974</v>
      </c>
      <c r="V10" s="9">
        <f t="shared" si="14"/>
        <v>10013.530546120974</v>
      </c>
      <c r="W10" s="9">
        <f t="shared" si="14"/>
        <v>10013.530546120974</v>
      </c>
      <c r="X10" s="9">
        <f t="shared" si="14"/>
        <v>10013.530546120974</v>
      </c>
      <c r="Y10" s="9">
        <f t="shared" si="14"/>
        <v>10013.530546120974</v>
      </c>
      <c r="Z10" s="9">
        <f t="shared" si="14"/>
        <v>10013.530546120974</v>
      </c>
      <c r="AA10" s="9">
        <f>Z10+(Z10*Premissas!$F$19)</f>
        <v>10510.565408605638</v>
      </c>
      <c r="AB10" s="9">
        <f t="shared" si="14"/>
        <v>10510.565408605638</v>
      </c>
      <c r="AC10" s="9">
        <f t="shared" si="14"/>
        <v>10510.565408605638</v>
      </c>
      <c r="AD10" s="9">
        <f t="shared" si="14"/>
        <v>10510.565408605638</v>
      </c>
      <c r="AE10" s="9">
        <f t="shared" si="14"/>
        <v>10510.565408605638</v>
      </c>
      <c r="AF10" s="9">
        <f t="shared" si="14"/>
        <v>10510.565408605638</v>
      </c>
      <c r="AG10" s="9">
        <f t="shared" si="14"/>
        <v>10510.565408605638</v>
      </c>
      <c r="AH10" s="9">
        <f t="shared" si="14"/>
        <v>10510.565408605638</v>
      </c>
      <c r="AI10" s="9">
        <f t="shared" si="14"/>
        <v>10510.565408605638</v>
      </c>
      <c r="AJ10" s="9">
        <f t="shared" si="14"/>
        <v>10510.565408605638</v>
      </c>
      <c r="AK10" s="9">
        <f t="shared" si="14"/>
        <v>10510.565408605638</v>
      </c>
      <c r="AL10" s="9">
        <f t="shared" si="14"/>
        <v>10510.565408605638</v>
      </c>
      <c r="AM10" s="9">
        <f>AL10+(AL10*Premissas!$F$19)</f>
        <v>11032.271255353777</v>
      </c>
      <c r="AN10" s="9">
        <f t="shared" si="14"/>
        <v>11032.271255353777</v>
      </c>
      <c r="AO10" s="9">
        <f t="shared" si="14"/>
        <v>11032.271255353777</v>
      </c>
      <c r="AP10" s="9">
        <f t="shared" si="14"/>
        <v>11032.271255353777</v>
      </c>
      <c r="AQ10" s="9">
        <f t="shared" si="14"/>
        <v>11032.271255353777</v>
      </c>
      <c r="AR10" s="9">
        <f t="shared" si="14"/>
        <v>11032.271255353777</v>
      </c>
      <c r="AS10" s="9">
        <f t="shared" si="14"/>
        <v>11032.271255353777</v>
      </c>
      <c r="AT10" s="9">
        <f t="shared" si="14"/>
        <v>11032.271255353777</v>
      </c>
      <c r="AU10" s="9">
        <f t="shared" si="14"/>
        <v>11032.271255353777</v>
      </c>
      <c r="AV10" s="9">
        <f t="shared" si="14"/>
        <v>11032.271255353777</v>
      </c>
      <c r="AW10" s="9">
        <f t="shared" si="14"/>
        <v>11032.271255353777</v>
      </c>
      <c r="AX10" s="9">
        <f t="shared" si="14"/>
        <v>11032.271255353777</v>
      </c>
      <c r="AY10" s="9">
        <f>AX10+(AX10*Premissas!$F$19)</f>
        <v>11579.872663372895</v>
      </c>
      <c r="AZ10" s="9">
        <f t="shared" si="14"/>
        <v>11579.872663372895</v>
      </c>
      <c r="BA10" s="9">
        <f t="shared" si="14"/>
        <v>11579.872663372895</v>
      </c>
      <c r="BB10" s="9">
        <f t="shared" si="14"/>
        <v>11579.872663372895</v>
      </c>
      <c r="BC10" s="9">
        <f t="shared" si="14"/>
        <v>11579.872663372895</v>
      </c>
      <c r="BD10" s="9">
        <f t="shared" si="14"/>
        <v>11579.872663372895</v>
      </c>
      <c r="BE10" s="9">
        <f t="shared" si="14"/>
        <v>11579.872663372895</v>
      </c>
      <c r="BF10" s="9">
        <f t="shared" si="14"/>
        <v>11579.872663372895</v>
      </c>
      <c r="BG10" s="9">
        <f t="shared" si="14"/>
        <v>11579.872663372895</v>
      </c>
      <c r="BH10" s="9">
        <f t="shared" si="14"/>
        <v>11579.872663372895</v>
      </c>
      <c r="BI10" s="9">
        <f t="shared" si="14"/>
        <v>11579.872663372895</v>
      </c>
      <c r="BJ10" s="9">
        <f t="shared" si="14"/>
        <v>11579.872663372895</v>
      </c>
      <c r="BK10" s="23">
        <f t="shared" si="12"/>
        <v>632114.87848143908</v>
      </c>
    </row>
    <row r="11" spans="2:63" ht="15" customHeight="1" x14ac:dyDescent="0.25">
      <c r="B11" s="6">
        <v>7</v>
      </c>
      <c r="C11" s="9">
        <f>'Resumo Contratos'!F12</f>
        <v>3500</v>
      </c>
      <c r="D11" s="9">
        <f t="shared" si="0"/>
        <v>3500</v>
      </c>
      <c r="E11" s="9">
        <f t="shared" si="7"/>
        <v>3500</v>
      </c>
      <c r="F11" s="9">
        <f t="shared" si="7"/>
        <v>3500</v>
      </c>
      <c r="G11" s="9">
        <f t="shared" si="7"/>
        <v>3500</v>
      </c>
      <c r="H11" s="9">
        <f t="shared" si="7"/>
        <v>3500</v>
      </c>
      <c r="I11" s="9">
        <f t="shared" si="7"/>
        <v>3500</v>
      </c>
      <c r="J11" s="9">
        <f t="shared" si="7"/>
        <v>3500</v>
      </c>
      <c r="K11" s="9">
        <f t="shared" si="7"/>
        <v>3500</v>
      </c>
      <c r="L11" s="9">
        <f t="shared" ref="L11:N11" si="15">K11</f>
        <v>3500</v>
      </c>
      <c r="M11" s="9">
        <f t="shared" si="15"/>
        <v>3500</v>
      </c>
      <c r="N11" s="9">
        <f t="shared" si="15"/>
        <v>3500</v>
      </c>
      <c r="O11" s="9">
        <f>N11+(N11*Premissas!$F$19)</f>
        <v>3673.727139562202</v>
      </c>
      <c r="P11" s="9">
        <f t="shared" ref="P11:BJ11" si="16">O11</f>
        <v>3673.727139562202</v>
      </c>
      <c r="Q11" s="9">
        <f t="shared" si="16"/>
        <v>3673.727139562202</v>
      </c>
      <c r="R11" s="9">
        <f t="shared" si="16"/>
        <v>3673.727139562202</v>
      </c>
      <c r="S11" s="9">
        <f t="shared" si="16"/>
        <v>3673.727139562202</v>
      </c>
      <c r="T11" s="9">
        <f t="shared" si="16"/>
        <v>3673.727139562202</v>
      </c>
      <c r="U11" s="9">
        <f t="shared" si="16"/>
        <v>3673.727139562202</v>
      </c>
      <c r="V11" s="9">
        <f t="shared" si="16"/>
        <v>3673.727139562202</v>
      </c>
      <c r="W11" s="9">
        <f t="shared" si="16"/>
        <v>3673.727139562202</v>
      </c>
      <c r="X11" s="9">
        <f t="shared" si="16"/>
        <v>3673.727139562202</v>
      </c>
      <c r="Y11" s="9">
        <f t="shared" si="16"/>
        <v>3673.727139562202</v>
      </c>
      <c r="Z11" s="9">
        <f t="shared" si="16"/>
        <v>3673.727139562202</v>
      </c>
      <c r="AA11" s="9">
        <f>Z11+(Z11*Premissas!$F$19)</f>
        <v>3856.0774559873935</v>
      </c>
      <c r="AB11" s="9">
        <f t="shared" si="16"/>
        <v>3856.0774559873935</v>
      </c>
      <c r="AC11" s="9">
        <f t="shared" si="16"/>
        <v>3856.0774559873935</v>
      </c>
      <c r="AD11" s="9">
        <f t="shared" si="16"/>
        <v>3856.0774559873935</v>
      </c>
      <c r="AE11" s="9">
        <f t="shared" si="16"/>
        <v>3856.0774559873935</v>
      </c>
      <c r="AF11" s="9">
        <f t="shared" si="16"/>
        <v>3856.0774559873935</v>
      </c>
      <c r="AG11" s="9">
        <f t="shared" si="16"/>
        <v>3856.0774559873935</v>
      </c>
      <c r="AH11" s="9">
        <f t="shared" si="16"/>
        <v>3856.0774559873935</v>
      </c>
      <c r="AI11" s="9">
        <f t="shared" si="16"/>
        <v>3856.0774559873935</v>
      </c>
      <c r="AJ11" s="9">
        <f t="shared" si="16"/>
        <v>3856.0774559873935</v>
      </c>
      <c r="AK11" s="9">
        <f t="shared" si="16"/>
        <v>3856.0774559873935</v>
      </c>
      <c r="AL11" s="9">
        <f t="shared" si="16"/>
        <v>3856.0774559873935</v>
      </c>
      <c r="AM11" s="9">
        <f>AL11+(AL11*Premissas!$F$19)</f>
        <v>4047.4789720899598</v>
      </c>
      <c r="AN11" s="9">
        <f t="shared" si="16"/>
        <v>4047.4789720899598</v>
      </c>
      <c r="AO11" s="9">
        <f t="shared" si="16"/>
        <v>4047.4789720899598</v>
      </c>
      <c r="AP11" s="9">
        <f t="shared" si="16"/>
        <v>4047.4789720899598</v>
      </c>
      <c r="AQ11" s="9">
        <f t="shared" si="16"/>
        <v>4047.4789720899598</v>
      </c>
      <c r="AR11" s="9">
        <f t="shared" si="16"/>
        <v>4047.4789720899598</v>
      </c>
      <c r="AS11" s="9">
        <f t="shared" si="16"/>
        <v>4047.4789720899598</v>
      </c>
      <c r="AT11" s="9">
        <f t="shared" si="16"/>
        <v>4047.4789720899598</v>
      </c>
      <c r="AU11" s="9">
        <f t="shared" si="16"/>
        <v>4047.4789720899598</v>
      </c>
      <c r="AV11" s="9">
        <f t="shared" si="16"/>
        <v>4047.4789720899598</v>
      </c>
      <c r="AW11" s="9">
        <f t="shared" si="16"/>
        <v>4047.4789720899598</v>
      </c>
      <c r="AX11" s="9">
        <f t="shared" si="16"/>
        <v>4047.4789720899598</v>
      </c>
      <c r="AY11" s="9">
        <f>AX11+(AX11*Premissas!$F$19)</f>
        <v>4248.3809561640601</v>
      </c>
      <c r="AZ11" s="9">
        <f t="shared" si="16"/>
        <v>4248.3809561640601</v>
      </c>
      <c r="BA11" s="9">
        <f t="shared" si="16"/>
        <v>4248.3809561640601</v>
      </c>
      <c r="BB11" s="9">
        <f t="shared" si="16"/>
        <v>4248.3809561640601</v>
      </c>
      <c r="BC11" s="9">
        <f t="shared" si="16"/>
        <v>4248.3809561640601</v>
      </c>
      <c r="BD11" s="9">
        <f t="shared" si="16"/>
        <v>4248.3809561640601</v>
      </c>
      <c r="BE11" s="9">
        <f t="shared" si="16"/>
        <v>4248.3809561640601</v>
      </c>
      <c r="BF11" s="9">
        <f t="shared" si="16"/>
        <v>4248.3809561640601</v>
      </c>
      <c r="BG11" s="9">
        <f t="shared" si="16"/>
        <v>4248.3809561640601</v>
      </c>
      <c r="BH11" s="9">
        <f t="shared" si="16"/>
        <v>4248.3809561640601</v>
      </c>
      <c r="BI11" s="9">
        <f t="shared" si="16"/>
        <v>4248.3809561640601</v>
      </c>
      <c r="BJ11" s="9">
        <f t="shared" si="16"/>
        <v>4248.3809561640601</v>
      </c>
      <c r="BK11" s="23">
        <f t="shared" si="12"/>
        <v>231907.97428564366</v>
      </c>
    </row>
    <row r="12" spans="2:63" ht="15" customHeight="1" x14ac:dyDescent="0.25">
      <c r="B12" s="6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3"/>
    </row>
    <row r="13" spans="2:63" ht="15" customHeight="1" x14ac:dyDescent="0.25">
      <c r="B13" s="6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3"/>
    </row>
    <row r="14" spans="2:63" ht="15" customHeight="1" x14ac:dyDescent="0.25">
      <c r="B14" s="6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3"/>
    </row>
    <row r="15" spans="2:63" ht="18" customHeight="1" x14ac:dyDescent="0.25">
      <c r="B15" s="25" t="s">
        <v>72</v>
      </c>
      <c r="C15" s="23">
        <f>SUM(C5:C14)</f>
        <v>56580</v>
      </c>
      <c r="D15" s="23">
        <f>SUM(D5:D14)</f>
        <v>56580</v>
      </c>
      <c r="E15" s="23">
        <f>SUM(E5:E14)</f>
        <v>56580</v>
      </c>
      <c r="F15" s="23">
        <f>SUM(F5:F14)</f>
        <v>56580</v>
      </c>
      <c r="G15" s="23">
        <f>SUM(G5:G14)</f>
        <v>56580</v>
      </c>
      <c r="H15" s="23">
        <f>SUM(H5:H14)</f>
        <v>56580</v>
      </c>
      <c r="I15" s="23">
        <f>SUM(I5:I14)</f>
        <v>56580</v>
      </c>
      <c r="J15" s="23">
        <f>SUM(J5:J14)</f>
        <v>56580</v>
      </c>
      <c r="K15" s="23">
        <f>SUM(K5:K14)</f>
        <v>56580</v>
      </c>
      <c r="L15" s="23">
        <f>SUM(L5:L14)</f>
        <v>56580</v>
      </c>
      <c r="M15" s="23">
        <f>SUM(M5:M14)</f>
        <v>56580</v>
      </c>
      <c r="N15" s="23">
        <f>SUM(N5:N14)</f>
        <v>56580</v>
      </c>
      <c r="O15" s="23">
        <f>SUM(O5:O14)</f>
        <v>59388.423301836963</v>
      </c>
      <c r="P15" s="23">
        <f>SUM(P5:P14)</f>
        <v>59388.423301836963</v>
      </c>
      <c r="Q15" s="23">
        <f>SUM(Q5:Q14)</f>
        <v>59388.423301836963</v>
      </c>
      <c r="R15" s="23">
        <f>SUM(R5:R14)</f>
        <v>59388.423301836963</v>
      </c>
      <c r="S15" s="23">
        <f>SUM(S5:S14)</f>
        <v>59388.423301836963</v>
      </c>
      <c r="T15" s="23">
        <f>SUM(T5:T14)</f>
        <v>59388.423301836963</v>
      </c>
      <c r="U15" s="23">
        <f>SUM(U5:U14)</f>
        <v>59388.423301836963</v>
      </c>
      <c r="V15" s="23">
        <f>SUM(V5:V14)</f>
        <v>59388.423301836963</v>
      </c>
      <c r="W15" s="23">
        <f>SUM(W5:W14)</f>
        <v>59388.423301836963</v>
      </c>
      <c r="X15" s="23">
        <f>SUM(X5:X14)</f>
        <v>59388.423301836963</v>
      </c>
      <c r="Y15" s="23">
        <f>SUM(Y5:Y14)</f>
        <v>59388.423301836963</v>
      </c>
      <c r="Z15" s="23">
        <f>SUM(Z5:Z14)</f>
        <v>59388.423301836963</v>
      </c>
      <c r="AA15" s="23">
        <f>SUM(AA5:AA14)</f>
        <v>62336.24641707621</v>
      </c>
      <c r="AB15" s="23">
        <f>SUM(AB5:AB14)</f>
        <v>62336.24641707621</v>
      </c>
      <c r="AC15" s="23">
        <f>SUM(AC5:AC14)</f>
        <v>62336.24641707621</v>
      </c>
      <c r="AD15" s="23">
        <f>SUM(AD5:AD14)</f>
        <v>62336.24641707621</v>
      </c>
      <c r="AE15" s="23">
        <f>SUM(AE5:AE14)</f>
        <v>62336.24641707621</v>
      </c>
      <c r="AF15" s="23">
        <f>SUM(AF5:AF14)</f>
        <v>62336.24641707621</v>
      </c>
      <c r="AG15" s="23">
        <f>SUM(AG5:AG14)</f>
        <v>62336.24641707621</v>
      </c>
      <c r="AH15" s="23">
        <f>SUM(AH5:AH14)</f>
        <v>62336.24641707621</v>
      </c>
      <c r="AI15" s="23">
        <f>SUM(AI5:AI14)</f>
        <v>62336.24641707621</v>
      </c>
      <c r="AJ15" s="23">
        <f>SUM(AJ5:AJ14)</f>
        <v>62336.24641707621</v>
      </c>
      <c r="AK15" s="23">
        <f>SUM(AK5:AK14)</f>
        <v>62336.24641707621</v>
      </c>
      <c r="AL15" s="23">
        <f>SUM(AL5:AL14)</f>
        <v>62336.24641707621</v>
      </c>
      <c r="AM15" s="23">
        <f>SUM(AM5:AM14)</f>
        <v>65430.38864024284</v>
      </c>
      <c r="AN15" s="23">
        <f>SUM(AN5:AN14)</f>
        <v>65430.38864024284</v>
      </c>
      <c r="AO15" s="23">
        <f>SUM(AO5:AO14)</f>
        <v>65430.38864024284</v>
      </c>
      <c r="AP15" s="23">
        <f>SUM(AP5:AP14)</f>
        <v>65430.38864024284</v>
      </c>
      <c r="AQ15" s="23">
        <f>SUM(AQ5:AQ14)</f>
        <v>65430.38864024284</v>
      </c>
      <c r="AR15" s="23">
        <f>SUM(AR5:AR14)</f>
        <v>65430.38864024284</v>
      </c>
      <c r="AS15" s="23">
        <f>SUM(AS5:AS14)</f>
        <v>65430.38864024284</v>
      </c>
      <c r="AT15" s="23">
        <f>SUM(AT5:AT14)</f>
        <v>65430.38864024284</v>
      </c>
      <c r="AU15" s="23">
        <f>SUM(AU5:AU14)</f>
        <v>65430.38864024284</v>
      </c>
      <c r="AV15" s="23">
        <f>SUM(AV5:AV14)</f>
        <v>65430.38864024284</v>
      </c>
      <c r="AW15" s="23">
        <f>SUM(AW5:AW14)</f>
        <v>65430.38864024284</v>
      </c>
      <c r="AX15" s="23">
        <f>SUM(AX5:AX14)</f>
        <v>65430.38864024284</v>
      </c>
      <c r="AY15" s="23">
        <f>SUM(AY5:AY14)</f>
        <v>68678.112714217859</v>
      </c>
      <c r="AZ15" s="23">
        <f>SUM(AZ5:AZ14)</f>
        <v>68678.112714217859</v>
      </c>
      <c r="BA15" s="23">
        <f>SUM(BA5:BA14)</f>
        <v>68678.112714217859</v>
      </c>
      <c r="BB15" s="23">
        <f>SUM(BB5:BB14)</f>
        <v>68678.112714217859</v>
      </c>
      <c r="BC15" s="23">
        <f>SUM(BC5:BC14)</f>
        <v>68678.112714217859</v>
      </c>
      <c r="BD15" s="23">
        <f>SUM(BD5:BD14)</f>
        <v>68678.112714217859</v>
      </c>
      <c r="BE15" s="23">
        <f>SUM(BE5:BE14)</f>
        <v>68678.112714217859</v>
      </c>
      <c r="BF15" s="23">
        <f>SUM(BF5:BF14)</f>
        <v>68678.112714217859</v>
      </c>
      <c r="BG15" s="23">
        <f>SUM(BG5:BG14)</f>
        <v>68678.112714217859</v>
      </c>
      <c r="BH15" s="23">
        <f>SUM(BH5:BH14)</f>
        <v>68678.112714217859</v>
      </c>
      <c r="BI15" s="23">
        <f>SUM(BI5:BI14)</f>
        <v>68678.112714217859</v>
      </c>
      <c r="BJ15" s="23">
        <f>SUM(BJ5:BJ14)</f>
        <v>68678.112714217859</v>
      </c>
      <c r="BK15" s="23">
        <f>SUM(BK5:BK14)</f>
        <v>3748958.0528804855</v>
      </c>
    </row>
    <row r="18" spans="2:65" ht="15" customHeight="1" x14ac:dyDescent="0.25">
      <c r="B18" s="28" t="s">
        <v>70</v>
      </c>
      <c r="C18" s="29"/>
      <c r="D18" s="29"/>
      <c r="E18" s="29"/>
      <c r="F18" s="29"/>
      <c r="G18" s="29"/>
      <c r="H18" s="29"/>
      <c r="I18" s="29"/>
    </row>
    <row r="19" spans="2:65" ht="6" customHeight="1" x14ac:dyDescent="0.25"/>
    <row r="20" spans="2:65" s="35" customFormat="1" ht="15" customHeight="1" x14ac:dyDescent="0.25">
      <c r="B20" s="33"/>
      <c r="C20" s="34">
        <v>1</v>
      </c>
      <c r="D20" s="34">
        <v>2</v>
      </c>
      <c r="E20" s="34">
        <v>3</v>
      </c>
      <c r="F20" s="34">
        <v>4</v>
      </c>
      <c r="G20" s="34">
        <v>5</v>
      </c>
      <c r="H20" s="34">
        <v>6</v>
      </c>
      <c r="I20" s="34">
        <v>7</v>
      </c>
      <c r="J20" s="34">
        <v>8</v>
      </c>
      <c r="K20" s="34">
        <v>9</v>
      </c>
      <c r="L20" s="34">
        <v>10</v>
      </c>
      <c r="M20" s="34">
        <v>11</v>
      </c>
      <c r="N20" s="34">
        <v>12</v>
      </c>
      <c r="O20" s="34">
        <v>13</v>
      </c>
      <c r="P20" s="34">
        <v>14</v>
      </c>
      <c r="Q20" s="34">
        <v>15</v>
      </c>
      <c r="R20" s="34">
        <v>16</v>
      </c>
      <c r="S20" s="34">
        <v>17</v>
      </c>
      <c r="T20" s="34">
        <v>18</v>
      </c>
      <c r="U20" s="34">
        <v>19</v>
      </c>
      <c r="V20" s="34">
        <v>20</v>
      </c>
      <c r="W20" s="34">
        <v>21</v>
      </c>
      <c r="X20" s="34">
        <v>22</v>
      </c>
      <c r="Y20" s="34">
        <v>23</v>
      </c>
      <c r="Z20" s="34">
        <v>24</v>
      </c>
      <c r="AA20" s="34">
        <v>25</v>
      </c>
      <c r="AB20" s="34">
        <v>26</v>
      </c>
      <c r="AC20" s="34">
        <v>27</v>
      </c>
      <c r="AD20" s="34">
        <v>28</v>
      </c>
      <c r="AE20" s="34">
        <v>29</v>
      </c>
      <c r="AF20" s="34">
        <v>30</v>
      </c>
      <c r="AG20" s="34">
        <v>31</v>
      </c>
      <c r="AH20" s="34">
        <v>32</v>
      </c>
      <c r="AI20" s="34">
        <v>33</v>
      </c>
      <c r="AJ20" s="34">
        <v>34</v>
      </c>
      <c r="AK20" s="34">
        <v>35</v>
      </c>
      <c r="AL20" s="34">
        <v>36</v>
      </c>
      <c r="AM20" s="34">
        <v>37</v>
      </c>
      <c r="AN20" s="34">
        <v>38</v>
      </c>
      <c r="AO20" s="34">
        <v>39</v>
      </c>
      <c r="AP20" s="34">
        <v>40</v>
      </c>
      <c r="AQ20" s="34">
        <v>41</v>
      </c>
      <c r="AR20" s="34">
        <v>42</v>
      </c>
      <c r="AS20" s="34">
        <v>43</v>
      </c>
      <c r="AT20" s="34">
        <v>44</v>
      </c>
      <c r="AU20" s="34">
        <v>45</v>
      </c>
      <c r="AV20" s="34">
        <v>46</v>
      </c>
      <c r="AW20" s="34">
        <v>47</v>
      </c>
      <c r="AX20" s="34">
        <v>48</v>
      </c>
      <c r="AY20" s="34">
        <v>49</v>
      </c>
      <c r="AZ20" s="34">
        <v>50</v>
      </c>
      <c r="BA20" s="34">
        <v>51</v>
      </c>
      <c r="BB20" s="34">
        <v>52</v>
      </c>
      <c r="BC20" s="34">
        <v>53</v>
      </c>
      <c r="BD20" s="34">
        <v>54</v>
      </c>
      <c r="BE20" s="34">
        <v>55</v>
      </c>
      <c r="BF20" s="34">
        <v>56</v>
      </c>
      <c r="BG20" s="34">
        <v>57</v>
      </c>
      <c r="BH20" s="34">
        <v>58</v>
      </c>
      <c r="BI20" s="34">
        <v>59</v>
      </c>
      <c r="BJ20" s="34">
        <v>60</v>
      </c>
      <c r="BK20" s="34"/>
    </row>
    <row r="21" spans="2:65" ht="33" customHeight="1" x14ac:dyDescent="0.25">
      <c r="B21" s="5" t="s">
        <v>53</v>
      </c>
      <c r="C21" s="16">
        <v>43466</v>
      </c>
      <c r="D21" s="16">
        <v>43497</v>
      </c>
      <c r="E21" s="16">
        <v>43525</v>
      </c>
      <c r="F21" s="16">
        <v>43556</v>
      </c>
      <c r="G21" s="16">
        <v>43586</v>
      </c>
      <c r="H21" s="16">
        <v>43617</v>
      </c>
      <c r="I21" s="16">
        <v>43647</v>
      </c>
      <c r="J21" s="16">
        <v>43678</v>
      </c>
      <c r="K21" s="16">
        <v>43709</v>
      </c>
      <c r="L21" s="16">
        <v>43739</v>
      </c>
      <c r="M21" s="16">
        <v>43770</v>
      </c>
      <c r="N21" s="16">
        <v>43800</v>
      </c>
      <c r="O21" s="16">
        <v>43831</v>
      </c>
      <c r="P21" s="16">
        <v>43862</v>
      </c>
      <c r="Q21" s="16">
        <v>43891</v>
      </c>
      <c r="R21" s="16">
        <v>43922</v>
      </c>
      <c r="S21" s="16">
        <v>43952</v>
      </c>
      <c r="T21" s="16">
        <v>43983</v>
      </c>
      <c r="U21" s="16">
        <v>44013</v>
      </c>
      <c r="V21" s="16">
        <v>44044</v>
      </c>
      <c r="W21" s="16">
        <v>44075</v>
      </c>
      <c r="X21" s="16">
        <v>44105</v>
      </c>
      <c r="Y21" s="16">
        <v>44136</v>
      </c>
      <c r="Z21" s="16">
        <v>44166</v>
      </c>
      <c r="AA21" s="16">
        <v>44197</v>
      </c>
      <c r="AB21" s="16">
        <v>44228</v>
      </c>
      <c r="AC21" s="16">
        <v>44256</v>
      </c>
      <c r="AD21" s="16">
        <v>44287</v>
      </c>
      <c r="AE21" s="16">
        <v>44317</v>
      </c>
      <c r="AF21" s="16">
        <v>44348</v>
      </c>
      <c r="AG21" s="16">
        <v>44378</v>
      </c>
      <c r="AH21" s="16">
        <v>44409</v>
      </c>
      <c r="AI21" s="16">
        <v>44440</v>
      </c>
      <c r="AJ21" s="16">
        <v>44470</v>
      </c>
      <c r="AK21" s="16">
        <v>44501</v>
      </c>
      <c r="AL21" s="16">
        <v>44531</v>
      </c>
      <c r="AM21" s="16">
        <v>44562</v>
      </c>
      <c r="AN21" s="16">
        <v>44593</v>
      </c>
      <c r="AO21" s="16">
        <v>44621</v>
      </c>
      <c r="AP21" s="16">
        <v>44652</v>
      </c>
      <c r="AQ21" s="16">
        <v>44682</v>
      </c>
      <c r="AR21" s="16">
        <v>44713</v>
      </c>
      <c r="AS21" s="16">
        <v>44743</v>
      </c>
      <c r="AT21" s="16">
        <v>44774</v>
      </c>
      <c r="AU21" s="16">
        <v>44805</v>
      </c>
      <c r="AV21" s="16">
        <v>44835</v>
      </c>
      <c r="AW21" s="16">
        <v>44866</v>
      </c>
      <c r="AX21" s="16">
        <v>44896</v>
      </c>
      <c r="AY21" s="16">
        <v>44927</v>
      </c>
      <c r="AZ21" s="16">
        <v>44958</v>
      </c>
      <c r="BA21" s="16">
        <v>44986</v>
      </c>
      <c r="BB21" s="16">
        <v>45017</v>
      </c>
      <c r="BC21" s="16">
        <v>45047</v>
      </c>
      <c r="BD21" s="16">
        <v>45078</v>
      </c>
      <c r="BE21" s="16">
        <v>45108</v>
      </c>
      <c r="BF21" s="16">
        <v>45139</v>
      </c>
      <c r="BG21" s="16">
        <v>45170</v>
      </c>
      <c r="BH21" s="16">
        <v>45200</v>
      </c>
      <c r="BI21" s="16">
        <v>45231</v>
      </c>
      <c r="BJ21" s="16">
        <v>45261</v>
      </c>
      <c r="BK21" s="16" t="s">
        <v>72</v>
      </c>
    </row>
    <row r="22" spans="2:65" ht="15" customHeight="1" x14ac:dyDescent="0.25">
      <c r="B22" s="6">
        <v>1</v>
      </c>
      <c r="C22" s="9">
        <f>(C5/(1+Premissas!$N$20)^C$20)</f>
        <v>9461.7752379094454</v>
      </c>
      <c r="D22" s="9">
        <f>(D5/(1+Premissas!$N$20)^D$20)</f>
        <v>9384.1918923182766</v>
      </c>
      <c r="E22" s="9">
        <f>(E5/(1+Premissas!$N$20)^E$20)</f>
        <v>9307.2447038288956</v>
      </c>
      <c r="F22" s="9">
        <f>(F5/(1+Premissas!$N$20)^F$20)</f>
        <v>9230.9284561689819</v>
      </c>
      <c r="G22" s="9">
        <f>(G5/(1+Premissas!$N$20)^G$20)</f>
        <v>9155.2379758378775</v>
      </c>
      <c r="H22" s="9">
        <f>(H5/(1+Premissas!$N$20)^H$20)</f>
        <v>9080.1681317558741</v>
      </c>
      <c r="I22" s="9">
        <f>(I5/(1+Premissas!$N$20)^I$20)</f>
        <v>9005.7138349163724</v>
      </c>
      <c r="J22" s="9">
        <f>(J5/(1+Premissas!$N$20)^J$20)</f>
        <v>8931.8700380409082</v>
      </c>
      <c r="K22" s="9">
        <f>(K5/(1+Premissas!$N$20)^K$20)</f>
        <v>8858.631735236977</v>
      </c>
      <c r="L22" s="9">
        <f>(L5/(1+Premissas!$N$20)^L$20)</f>
        <v>8785.9939616587017</v>
      </c>
      <c r="M22" s="9">
        <f>(M5/(1+Premissas!$N$20)^M$20)</f>
        <v>8713.9517931702539</v>
      </c>
      <c r="N22" s="9">
        <f>(N5/(1+Premissas!$N$20)^N$20)</f>
        <v>8642.5003460120479</v>
      </c>
      <c r="O22" s="9">
        <f>(O5/(1+Premissas!$N$20)^O$20)</f>
        <v>8997.0992310662295</v>
      </c>
      <c r="P22" s="9">
        <f>(P5/(1+Premissas!$N$20)^P$20)</f>
        <v>8923.3260710185095</v>
      </c>
      <c r="Q22" s="9">
        <f>(Q5/(1+Premissas!$N$20)^Q$20)</f>
        <v>8850.1578258443096</v>
      </c>
      <c r="R22" s="9">
        <f>(R5/(1+Premissas!$N$20)^R$20)</f>
        <v>8777.5895354469812</v>
      </c>
      <c r="S22" s="9">
        <f>(S5/(1+Premissas!$N$20)^S$20)</f>
        <v>8705.6162804009764</v>
      </c>
      <c r="T22" s="9">
        <f>(T5/(1+Premissas!$N$20)^T$20)</f>
        <v>8634.233181618376</v>
      </c>
      <c r="U22" s="9">
        <f>(U5/(1+Premissas!$N$20)^U$20)</f>
        <v>8563.4354000181193</v>
      </c>
      <c r="V22" s="9">
        <f>(V5/(1+Premissas!$N$20)^V$20)</f>
        <v>8493.2181361979674</v>
      </c>
      <c r="W22" s="9">
        <f>(W5/(1+Premissas!$N$20)^W$20)</f>
        <v>8423.5766301091553</v>
      </c>
      <c r="X22" s="9">
        <f>(X5/(1+Premissas!$N$20)^X$20)</f>
        <v>8354.5061607337011</v>
      </c>
      <c r="Y22" s="9">
        <f>(Y5/(1+Premissas!$N$20)^Y$20)</f>
        <v>8286.0020457643659</v>
      </c>
      <c r="Z22" s="9">
        <f>(Z5/(1+Premissas!$N$20)^Z$20)</f>
        <v>8218.0596412872437</v>
      </c>
      <c r="AA22" s="9">
        <f>(AA5/(1+Premissas!$N$20)^AA$20)</f>
        <v>8555.2438668515351</v>
      </c>
      <c r="AB22" s="9">
        <f>(AB5/(1+Premissas!$N$20)^AB$20)</f>
        <v>8485.0937708231158</v>
      </c>
      <c r="AC22" s="9">
        <f>(AC5/(1+Premissas!$N$20)^AC$20)</f>
        <v>8415.5188817729395</v>
      </c>
      <c r="AD22" s="9">
        <f>(AD5/(1+Premissas!$N$20)^AD$20)</f>
        <v>8346.5144831990165</v>
      </c>
      <c r="AE22" s="9">
        <f>(AE5/(1+Premissas!$N$20)^AE$20)</f>
        <v>8278.07589727306</v>
      </c>
      <c r="AF22" s="9">
        <f>(AF5/(1+Premissas!$N$20)^AF$20)</f>
        <v>8210.1984845234037</v>
      </c>
      <c r="AG22" s="9">
        <f>(AG5/(1+Premissas!$N$20)^AG$20)</f>
        <v>8142.8776435204609</v>
      </c>
      <c r="AH22" s="9">
        <f>(AH5/(1+Premissas!$N$20)^AH$20)</f>
        <v>8076.1088105648141</v>
      </c>
      <c r="AI22" s="9">
        <f>(AI5/(1+Premissas!$N$20)^AI$20)</f>
        <v>8009.8874593778264</v>
      </c>
      <c r="AJ22" s="9">
        <f>(AJ5/(1+Premissas!$N$20)^AJ$20)</f>
        <v>7944.2091007948147</v>
      </c>
      <c r="AK22" s="9">
        <f>(AK5/(1+Premissas!$N$20)^AK$20)</f>
        <v>7879.0692824607177</v>
      </c>
      <c r="AL22" s="9">
        <f>(AL5/(1+Premissas!$N$20)^AL$20)</f>
        <v>7814.4635885282787</v>
      </c>
      <c r="AM22" s="9">
        <f>(AM5/(1+Premissas!$N$20)^AM$20)</f>
        <v>8135.0884036684092</v>
      </c>
      <c r="AN22" s="9">
        <f>(AN5/(1+Premissas!$N$20)^AN$20)</f>
        <v>8068.3834398358531</v>
      </c>
      <c r="AO22" s="9">
        <f>(AO5/(1+Premissas!$N$20)^AO$20)</f>
        <v>8002.2254340668242</v>
      </c>
      <c r="AP22" s="9">
        <f>(AP5/(1+Premissas!$N$20)^AP$20)</f>
        <v>7936.609901490845</v>
      </c>
      <c r="AQ22" s="9">
        <f>(AQ5/(1+Premissas!$N$20)^AQ$20)</f>
        <v>7871.5323940118442</v>
      </c>
      <c r="AR22" s="9">
        <f>(AR5/(1+Premissas!$N$20)^AR$20)</f>
        <v>7806.9885000066397</v>
      </c>
      <c r="AS22" s="9">
        <f>(AS5/(1+Premissas!$N$20)^AS$20)</f>
        <v>7742.9738440258516</v>
      </c>
      <c r="AT22" s="9">
        <f>(AT5/(1+Premissas!$N$20)^AT$20)</f>
        <v>7679.4840864973103</v>
      </c>
      <c r="AU22" s="9">
        <f>(AU5/(1+Premissas!$N$20)^AU$20)</f>
        <v>7616.5149234318542</v>
      </c>
      <c r="AV22" s="9">
        <f>(AV5/(1+Premissas!$N$20)^AV$20)</f>
        <v>7554.0620861315829</v>
      </c>
      <c r="AW22" s="9">
        <f>(AW5/(1+Premissas!$N$20)^AW$20)</f>
        <v>7492.1213409004577</v>
      </c>
      <c r="AX22" s="9">
        <f>(AX5/(1+Premissas!$N$20)^AX$20)</f>
        <v>7430.6884887573251</v>
      </c>
      <c r="AY22" s="9">
        <f>(AY5/(1+Premissas!$N$20)^AY$20)</f>
        <v>7735.5671405139447</v>
      </c>
      <c r="AZ22" s="9">
        <f>(AZ5/(1+Premissas!$N$20)^AZ$20)</f>
        <v>7672.1381154403398</v>
      </c>
      <c r="BA22" s="9">
        <f>(BA5/(1+Premissas!$N$20)^BA$20)</f>
        <v>7609.2291868443035</v>
      </c>
      <c r="BB22" s="9">
        <f>(BB5/(1+Premissas!$N$20)^BB$20)</f>
        <v>7546.8360901112419</v>
      </c>
      <c r="BC22" s="9">
        <f>(BC5/(1+Premissas!$N$20)^BC$20)</f>
        <v>7484.954595594957</v>
      </c>
      <c r="BD22" s="9">
        <f>(BD5/(1+Premissas!$N$20)^BD$20)</f>
        <v>7423.5805083309115</v>
      </c>
      <c r="BE22" s="9">
        <f>(BE5/(1+Premissas!$N$20)^BE$20)</f>
        <v>7362.7096677518475</v>
      </c>
      <c r="BF22" s="9">
        <f>(BF5/(1+Premissas!$N$20)^BF$20)</f>
        <v>7302.3379474057583</v>
      </c>
      <c r="BG22" s="9">
        <f>(BG5/(1+Premissas!$N$20)^BG$20)</f>
        <v>7242.4612546761309</v>
      </c>
      <c r="BH22" s="9">
        <f>(BH5/(1+Premissas!$N$20)^BH$20)</f>
        <v>7183.0755305045286</v>
      </c>
      <c r="BI22" s="9">
        <f>(BI5/(1+Premissas!$N$20)^BI$20)</f>
        <v>7124.1767491154087</v>
      </c>
      <c r="BJ22" s="9">
        <f>(BJ5/(1+Premissas!$N$20)^BJ$20)</f>
        <v>7065.7609177432287</v>
      </c>
      <c r="BK22" s="23">
        <f t="shared" ref="BK22:BK26" si="17">SUM(C22:BJ22)</f>
        <v>492031.79006290797</v>
      </c>
      <c r="BL22" s="24"/>
      <c r="BM22" s="30">
        <f>NPV(Premissas!$N$20,Contabilização!C5:BJ5)-BK22</f>
        <v>-4.6566128730773926E-10</v>
      </c>
    </row>
    <row r="23" spans="2:65" ht="15" customHeight="1" x14ac:dyDescent="0.25">
      <c r="B23" s="6">
        <v>2</v>
      </c>
      <c r="C23" s="9">
        <f>(C6/(1+Premissas!$N$20)^C$20)</f>
        <v>1983.6006788070117</v>
      </c>
      <c r="D23" s="9">
        <f>(D6/(1+Premissas!$N$20)^D$20)</f>
        <v>1967.3358264818191</v>
      </c>
      <c r="E23" s="9">
        <f>(E6/(1+Premissas!$N$20)^E$20)</f>
        <v>1951.204340425345</v>
      </c>
      <c r="F23" s="9">
        <f>(F6/(1+Premissas!$N$20)^F$20)</f>
        <v>1935.2051270794511</v>
      </c>
      <c r="G23" s="9">
        <f>(G6/(1+Premissas!$N$20)^G$20)</f>
        <v>1919.3371018528044</v>
      </c>
      <c r="H23" s="9">
        <f>(H6/(1+Premissas!$N$20)^H$20)</f>
        <v>1903.5991890473531</v>
      </c>
      <c r="I23" s="9">
        <f>(I6/(1+Premissas!$N$20)^I$20)</f>
        <v>1887.990321785403</v>
      </c>
      <c r="J23" s="9">
        <f>(J6/(1+Premissas!$N$20)^J$20)</f>
        <v>1872.5094419372972</v>
      </c>
      <c r="K23" s="9">
        <f>(K6/(1+Premissas!$N$20)^K$20)</f>
        <v>1857.1555000496805</v>
      </c>
      <c r="L23" s="9">
        <f>(L6/(1+Premissas!$N$20)^L$20)</f>
        <v>1841.9274552743611</v>
      </c>
      <c r="M23" s="9">
        <f>(M6/(1+Premissas!$N$20)^M$20)</f>
        <v>1826.8242752977471</v>
      </c>
      <c r="N23" s="9">
        <f>(N6/(1+Premissas!$N$20)^N$20)</f>
        <v>1811.8449362708698</v>
      </c>
      <c r="O23" s="9">
        <f>(O6/(1+Premissas!$N$20)^O$20)</f>
        <v>1886.1843251711168</v>
      </c>
      <c r="P23" s="9">
        <f>(P6/(1+Premissas!$N$20)^P$20)</f>
        <v>1870.7182538822869</v>
      </c>
      <c r="Q23" s="9">
        <f>(Q6/(1+Premissas!$N$20)^Q$20)</f>
        <v>1855.3789991287856</v>
      </c>
      <c r="R23" s="9">
        <f>(R6/(1+Premissas!$N$20)^R$20)</f>
        <v>1840.1655210580668</v>
      </c>
      <c r="S23" s="9">
        <f>(S6/(1+Premissas!$N$20)^S$20)</f>
        <v>1825.0767883440199</v>
      </c>
      <c r="T23" s="9">
        <f>(T6/(1+Premissas!$N$20)^T$20)</f>
        <v>1810.1117781170597</v>
      </c>
      <c r="U23" s="9">
        <f>(U6/(1+Premissas!$N$20)^U$20)</f>
        <v>1795.2694758947835</v>
      </c>
      <c r="V23" s="9">
        <f>(V6/(1+Premissas!$N$20)^V$20)</f>
        <v>1780.5488755132003</v>
      </c>
      <c r="W23" s="9">
        <f>(W6/(1+Premissas!$N$20)^W$20)</f>
        <v>1765.9489790585228</v>
      </c>
      <c r="X23" s="9">
        <f>(X6/(1+Premissas!$N$20)^X$20)</f>
        <v>1751.4687967995178</v>
      </c>
      <c r="Y23" s="9">
        <f>(Y6/(1+Premissas!$N$20)^Y$20)</f>
        <v>1737.1073471204118</v>
      </c>
      <c r="Z23" s="9">
        <f>(Z6/(1+Premissas!$N$20)^Z$20)</f>
        <v>1722.8636564543483</v>
      </c>
      <c r="AA23" s="9">
        <f>(AA6/(1+Premissas!$N$20)^AA$20)</f>
        <v>1793.5521733441371</v>
      </c>
      <c r="AB23" s="9">
        <f>(AB6/(1+Premissas!$N$20)^AB$20)</f>
        <v>1778.8456542606109</v>
      </c>
      <c r="AC23" s="9">
        <f>(AC6/(1+Premissas!$N$20)^AC$20)</f>
        <v>1764.2597236421252</v>
      </c>
      <c r="AD23" s="9">
        <f>(AD6/(1+Premissas!$N$20)^AD$20)</f>
        <v>1749.7933927041959</v>
      </c>
      <c r="AE23" s="9">
        <f>(AE6/(1+Premissas!$N$20)^AE$20)</f>
        <v>1735.4456807700333</v>
      </c>
      <c r="AF23" s="9">
        <f>(AF6/(1+Premissas!$N$20)^AF$20)</f>
        <v>1721.2156152040677</v>
      </c>
      <c r="AG23" s="9">
        <f>(AG6/(1+Premissas!$N$20)^AG$20)</f>
        <v>1707.1022313460082</v>
      </c>
      <c r="AH23" s="9">
        <f>(AH6/(1+Premissas!$N$20)^AH$20)</f>
        <v>1693.1045724454534</v>
      </c>
      <c r="AI23" s="9">
        <f>(AI6/(1+Premissas!$N$20)^AI$20)</f>
        <v>1679.2216895970282</v>
      </c>
      <c r="AJ23" s="9">
        <f>(AJ6/(1+Premissas!$N$20)^AJ$20)</f>
        <v>1665.4526416760614</v>
      </c>
      <c r="AK23" s="9">
        <f>(AK6/(1+Premissas!$N$20)^AK$20)</f>
        <v>1651.7964952747832</v>
      </c>
      <c r="AL23" s="9">
        <f>(AL6/(1+Premissas!$N$20)^AL$20)</f>
        <v>1638.2523246390517</v>
      </c>
      <c r="AM23" s="9">
        <f>(AM6/(1+Premissas!$N$20)^AM$20)</f>
        <v>1705.4692670164377</v>
      </c>
      <c r="AN23" s="9">
        <f>(AN6/(1+Premissas!$N$20)^AN$20)</f>
        <v>1691.4849978691511</v>
      </c>
      <c r="AO23" s="9">
        <f>(AO6/(1+Premissas!$N$20)^AO$20)</f>
        <v>1677.6153949825623</v>
      </c>
      <c r="AP23" s="9">
        <f>(AP6/(1+Premissas!$N$20)^AP$20)</f>
        <v>1663.8595181322521</v>
      </c>
      <c r="AQ23" s="9">
        <f>(AQ6/(1+Premissas!$N$20)^AQ$20)</f>
        <v>1650.2164348033214</v>
      </c>
      <c r="AR23" s="9">
        <f>(AR6/(1+Premissas!$N$20)^AR$20)</f>
        <v>1636.6852201271779</v>
      </c>
      <c r="AS23" s="9">
        <f>(AS6/(1+Premissas!$N$20)^AS$20)</f>
        <v>1623.2649568188365</v>
      </c>
      <c r="AT23" s="9">
        <f>(AT6/(1+Premissas!$N$20)^AT$20)</f>
        <v>1609.9547351147396</v>
      </c>
      <c r="AU23" s="9">
        <f>(AU6/(1+Premissas!$N$20)^AU$20)</f>
        <v>1596.7536527110801</v>
      </c>
      <c r="AV23" s="9">
        <f>(AV6/(1+Premissas!$N$20)^AV$20)</f>
        <v>1583.6608147026375</v>
      </c>
      <c r="AW23" s="9">
        <f>(AW6/(1+Premissas!$N$20)^AW$20)</f>
        <v>1570.6753335221083</v>
      </c>
      <c r="AX23" s="9">
        <f>(AX6/(1+Premissas!$N$20)^AX$20)</f>
        <v>1557.7963288799419</v>
      </c>
      <c r="AY23" s="9">
        <f>(AY6/(1+Premissas!$N$20)^AY$20)</f>
        <v>1621.7121887869903</v>
      </c>
      <c r="AZ23" s="9">
        <f>(AZ6/(1+Premissas!$N$20)^AZ$20)</f>
        <v>1608.4146992537396</v>
      </c>
      <c r="BA23" s="9">
        <f>(BA6/(1+Premissas!$N$20)^BA$20)</f>
        <v>1595.226244621447</v>
      </c>
      <c r="BB23" s="9">
        <f>(BB6/(1+Premissas!$N$20)^BB$20)</f>
        <v>1582.145930840931</v>
      </c>
      <c r="BC23" s="9">
        <f>(BC6/(1+Premissas!$N$20)^BC$20)</f>
        <v>1569.1728711939111</v>
      </c>
      <c r="BD23" s="9">
        <f>(BD6/(1+Premissas!$N$20)^BD$20)</f>
        <v>1556.306186232895</v>
      </c>
      <c r="BE23" s="9">
        <f>(BE6/(1+Premissas!$N$20)^BE$20)</f>
        <v>1543.545003721561</v>
      </c>
      <c r="BF23" s="9">
        <f>(BF6/(1+Premissas!$N$20)^BF$20)</f>
        <v>1530.8884585756305</v>
      </c>
      <c r="BG23" s="9">
        <f>(BG6/(1+Premissas!$N$20)^BG$20)</f>
        <v>1518.3356928042201</v>
      </c>
      <c r="BH23" s="9">
        <f>(BH6/(1+Premissas!$N$20)^BH$20)</f>
        <v>1505.8858554516828</v>
      </c>
      <c r="BI23" s="9">
        <f>(BI6/(1+Premissas!$N$20)^BI$20)</f>
        <v>1493.5381025399176</v>
      </c>
      <c r="BJ23" s="9">
        <f>(BJ6/(1+Premissas!$N$20)^BJ$20)</f>
        <v>1481.2915970111587</v>
      </c>
      <c r="BK23" s="23">
        <f t="shared" si="17"/>
        <v>103151.31867146914</v>
      </c>
      <c r="BL23" s="24"/>
      <c r="BM23" s="30">
        <f>NPV(Premissas!$N$20,Contabilização!C6:BJ6)-BK23</f>
        <v>-1.1641532182693481E-10</v>
      </c>
    </row>
    <row r="24" spans="2:65" ht="15" customHeight="1" x14ac:dyDescent="0.25">
      <c r="B24" s="6">
        <v>3</v>
      </c>
      <c r="C24" s="9">
        <f>(C7/(1+Premissas!$N$20)^C$20)</f>
        <v>17852.406109263105</v>
      </c>
      <c r="D24" s="9">
        <f>(D7/(1+Premissas!$N$20)^D$20)</f>
        <v>17706.022438336371</v>
      </c>
      <c r="E24" s="9">
        <f>(E7/(1+Premissas!$N$20)^E$20)</f>
        <v>17560.839063828105</v>
      </c>
      <c r="F24" s="9">
        <f>(F7/(1+Premissas!$N$20)^F$20)</f>
        <v>17416.846143715062</v>
      </c>
      <c r="G24" s="9">
        <f>(G7/(1+Premissas!$N$20)^G$20)</f>
        <v>17274.033916675242</v>
      </c>
      <c r="H24" s="9">
        <f>(H7/(1+Premissas!$N$20)^H$20)</f>
        <v>17132.392701426175</v>
      </c>
      <c r="I24" s="9">
        <f>(I7/(1+Premissas!$N$20)^I$20)</f>
        <v>16991.912896068628</v>
      </c>
      <c r="J24" s="9">
        <f>(J7/(1+Premissas!$N$20)^J$20)</f>
        <v>16852.584977435676</v>
      </c>
      <c r="K24" s="9">
        <f>(K7/(1+Premissas!$N$20)^K$20)</f>
        <v>16714.399500447125</v>
      </c>
      <c r="L24" s="9">
        <f>(L7/(1+Premissas!$N$20)^L$20)</f>
        <v>16577.34709746925</v>
      </c>
      <c r="M24" s="9">
        <f>(M7/(1+Premissas!$N$20)^M$20)</f>
        <v>16441.418477679726</v>
      </c>
      <c r="N24" s="9">
        <f>(N7/(1+Premissas!$N$20)^N$20)</f>
        <v>16306.604426437827</v>
      </c>
      <c r="O24" s="9">
        <f>(O7/(1+Premissas!$N$20)^O$20)</f>
        <v>16975.658926540054</v>
      </c>
      <c r="P24" s="9">
        <f>(P7/(1+Premissas!$N$20)^P$20)</f>
        <v>16836.464284940583</v>
      </c>
      <c r="Q24" s="9">
        <f>(Q7/(1+Premissas!$N$20)^Q$20)</f>
        <v>16698.410992159072</v>
      </c>
      <c r="R24" s="9">
        <f>(R7/(1+Premissas!$N$20)^R$20)</f>
        <v>16561.489689522605</v>
      </c>
      <c r="S24" s="9">
        <f>(S7/(1+Premissas!$N$20)^S$20)</f>
        <v>16425.691095096179</v>
      </c>
      <c r="T24" s="9">
        <f>(T7/(1+Premissas!$N$20)^T$20)</f>
        <v>16291.006003053539</v>
      </c>
      <c r="U24" s="9">
        <f>(U7/(1+Premissas!$N$20)^U$20)</f>
        <v>16157.425283053053</v>
      </c>
      <c r="V24" s="9">
        <f>(V7/(1+Premissas!$N$20)^V$20)</f>
        <v>16024.939879618803</v>
      </c>
      <c r="W24" s="9">
        <f>(W7/(1+Premissas!$N$20)^W$20)</f>
        <v>15893.540811526707</v>
      </c>
      <c r="X24" s="9">
        <f>(X7/(1+Premissas!$N$20)^X$20)</f>
        <v>15763.219171195662</v>
      </c>
      <c r="Y24" s="9">
        <f>(Y7/(1+Premissas!$N$20)^Y$20)</f>
        <v>15633.966124083707</v>
      </c>
      <c r="Z24" s="9">
        <f>(Z7/(1+Premissas!$N$20)^Z$20)</f>
        <v>15505.772908089137</v>
      </c>
      <c r="AA24" s="9">
        <f>(AA7/(1+Premissas!$N$20)^AA$20)</f>
        <v>16141.969560097237</v>
      </c>
      <c r="AB24" s="9">
        <f>(AB7/(1+Premissas!$N$20)^AB$20)</f>
        <v>16009.610888345502</v>
      </c>
      <c r="AC24" s="9">
        <f>(AC7/(1+Premissas!$N$20)^AC$20)</f>
        <v>15878.337512779131</v>
      </c>
      <c r="AD24" s="9">
        <f>(AD7/(1+Premissas!$N$20)^AD$20)</f>
        <v>15748.140534337766</v>
      </c>
      <c r="AE24" s="9">
        <f>(AE7/(1+Premissas!$N$20)^AE$20)</f>
        <v>15619.011126930302</v>
      </c>
      <c r="AF24" s="9">
        <f>(AF7/(1+Premissas!$N$20)^AF$20)</f>
        <v>15490.940536836611</v>
      </c>
      <c r="AG24" s="9">
        <f>(AG7/(1+Premissas!$N$20)^AG$20)</f>
        <v>15363.920082114078</v>
      </c>
      <c r="AH24" s="9">
        <f>(AH7/(1+Premissas!$N$20)^AH$20)</f>
        <v>15237.941152009083</v>
      </c>
      <c r="AI24" s="9">
        <f>(AI7/(1+Premissas!$N$20)^AI$20)</f>
        <v>15112.995206373258</v>
      </c>
      <c r="AJ24" s="9">
        <f>(AJ7/(1+Premissas!$N$20)^AJ$20)</f>
        <v>14989.073775084556</v>
      </c>
      <c r="AK24" s="9">
        <f>(AK7/(1+Premissas!$N$20)^AK$20)</f>
        <v>14866.168457473052</v>
      </c>
      <c r="AL24" s="9">
        <f>(AL7/(1+Premissas!$N$20)^AL$20)</f>
        <v>14744.270921751469</v>
      </c>
      <c r="AM24" s="9">
        <f>(AM7/(1+Premissas!$N$20)^AM$20)</f>
        <v>15349.223403147942</v>
      </c>
      <c r="AN24" s="9">
        <f>(AN7/(1+Premissas!$N$20)^AN$20)</f>
        <v>15223.364980822364</v>
      </c>
      <c r="AO24" s="9">
        <f>(AO7/(1+Premissas!$N$20)^AO$20)</f>
        <v>15098.538554843064</v>
      </c>
      <c r="AP24" s="9">
        <f>(AP7/(1+Premissas!$N$20)^AP$20)</f>
        <v>14974.735663190273</v>
      </c>
      <c r="AQ24" s="9">
        <f>(AQ7/(1+Premissas!$N$20)^AQ$20)</f>
        <v>14851.947913229895</v>
      </c>
      <c r="AR24" s="9">
        <f>(AR7/(1+Premissas!$N$20)^AR$20)</f>
        <v>14730.166981144605</v>
      </c>
      <c r="AS24" s="9">
        <f>(AS7/(1+Premissas!$N$20)^AS$20)</f>
        <v>14609.384611369531</v>
      </c>
      <c r="AT24" s="9">
        <f>(AT7/(1+Premissas!$N$20)^AT$20)</f>
        <v>14489.59261603266</v>
      </c>
      <c r="AU24" s="9">
        <f>(AU7/(1+Premissas!$N$20)^AU$20)</f>
        <v>14370.782874399725</v>
      </c>
      <c r="AV24" s="9">
        <f>(AV7/(1+Premissas!$N$20)^AV$20)</f>
        <v>14252.947332323742</v>
      </c>
      <c r="AW24" s="9">
        <f>(AW7/(1+Premissas!$N$20)^AW$20)</f>
        <v>14136.078001698977</v>
      </c>
      <c r="AX24" s="9">
        <f>(AX7/(1+Premissas!$N$20)^AX$20)</f>
        <v>14020.166959919481</v>
      </c>
      <c r="AY24" s="9">
        <f>(AY7/(1+Premissas!$N$20)^AY$20)</f>
        <v>14595.409699082915</v>
      </c>
      <c r="AZ24" s="9">
        <f>(AZ7/(1+Premissas!$N$20)^AZ$20)</f>
        <v>14475.73229328366</v>
      </c>
      <c r="BA24" s="9">
        <f>(BA7/(1+Premissas!$N$20)^BA$20)</f>
        <v>14357.036201593026</v>
      </c>
      <c r="BB24" s="9">
        <f>(BB7/(1+Premissas!$N$20)^BB$20)</f>
        <v>14239.313377568382</v>
      </c>
      <c r="BC24" s="9">
        <f>(BC7/(1+Premissas!$N$20)^BC$20)</f>
        <v>14122.555840745203</v>
      </c>
      <c r="BD24" s="9">
        <f>(BD7/(1+Premissas!$N$20)^BD$20)</f>
        <v>14006.755676096058</v>
      </c>
      <c r="BE24" s="9">
        <f>(BE7/(1+Premissas!$N$20)^BE$20)</f>
        <v>13891.905033494051</v>
      </c>
      <c r="BF24" s="9">
        <f>(BF7/(1+Premissas!$N$20)^BF$20)</f>
        <v>13777.996127180675</v>
      </c>
      <c r="BG24" s="9">
        <f>(BG7/(1+Premissas!$N$20)^BG$20)</f>
        <v>13665.021235237982</v>
      </c>
      <c r="BH24" s="9">
        <f>(BH7/(1+Premissas!$N$20)^BH$20)</f>
        <v>13552.972699065147</v>
      </c>
      <c r="BI24" s="9">
        <f>(BI7/(1+Premissas!$N$20)^BI$20)</f>
        <v>13441.842922859261</v>
      </c>
      <c r="BJ24" s="9">
        <f>(BJ7/(1+Premissas!$N$20)^BJ$20)</f>
        <v>13331.624373100431</v>
      </c>
      <c r="BK24" s="23">
        <f t="shared" si="17"/>
        <v>928361.86804322246</v>
      </c>
      <c r="BL24" s="24"/>
      <c r="BM24" s="30">
        <f>NPV(Premissas!$N$20,Contabilização!C7:BJ7)-BK24</f>
        <v>0</v>
      </c>
    </row>
    <row r="25" spans="2:65" ht="15" customHeight="1" x14ac:dyDescent="0.25">
      <c r="B25" s="6">
        <v>4</v>
      </c>
      <c r="C25" s="9">
        <f>(C8/(1+Premissas!$N$20)^C$20)</f>
        <v>991.80033940350586</v>
      </c>
      <c r="D25" s="9">
        <f>(D8/(1+Premissas!$N$20)^D$20)</f>
        <v>983.66791324090957</v>
      </c>
      <c r="E25" s="9">
        <f>(E8/(1+Premissas!$N$20)^E$20)</f>
        <v>975.60217021267249</v>
      </c>
      <c r="F25" s="9">
        <f>(F8/(1+Premissas!$N$20)^F$20)</f>
        <v>967.60256353972557</v>
      </c>
      <c r="G25" s="9">
        <f>(G8/(1+Premissas!$N$20)^G$20)</f>
        <v>959.66855092640219</v>
      </c>
      <c r="H25" s="9">
        <f>(H8/(1+Premissas!$N$20)^H$20)</f>
        <v>951.79959452367655</v>
      </c>
      <c r="I25" s="9">
        <f>(I8/(1+Premissas!$N$20)^I$20)</f>
        <v>943.99516089270151</v>
      </c>
      <c r="J25" s="9">
        <f>(J8/(1+Premissas!$N$20)^J$20)</f>
        <v>936.2547209686486</v>
      </c>
      <c r="K25" s="9">
        <f>(K8/(1+Premissas!$N$20)^K$20)</f>
        <v>928.57775002484027</v>
      </c>
      <c r="L25" s="9">
        <f>(L8/(1+Premissas!$N$20)^L$20)</f>
        <v>920.96372763718057</v>
      </c>
      <c r="M25" s="9">
        <f>(M8/(1+Premissas!$N$20)^M$20)</f>
        <v>913.41213764887357</v>
      </c>
      <c r="N25" s="9">
        <f>(N8/(1+Premissas!$N$20)^N$20)</f>
        <v>905.92246813543488</v>
      </c>
      <c r="O25" s="9">
        <f>(O8/(1+Premissas!$N$20)^O$20)</f>
        <v>943.09216258555841</v>
      </c>
      <c r="P25" s="9">
        <f>(P8/(1+Premissas!$N$20)^P$20)</f>
        <v>935.35912694114347</v>
      </c>
      <c r="Q25" s="9">
        <f>(Q8/(1+Premissas!$N$20)^Q$20)</f>
        <v>927.6894995643928</v>
      </c>
      <c r="R25" s="9">
        <f>(R8/(1+Premissas!$N$20)^R$20)</f>
        <v>920.08276052903341</v>
      </c>
      <c r="S25" s="9">
        <f>(S8/(1+Premissas!$N$20)^S$20)</f>
        <v>912.53839417200993</v>
      </c>
      <c r="T25" s="9">
        <f>(T8/(1+Premissas!$N$20)^T$20)</f>
        <v>905.05588905852983</v>
      </c>
      <c r="U25" s="9">
        <f>(U8/(1+Premissas!$N$20)^U$20)</f>
        <v>897.63473794739173</v>
      </c>
      <c r="V25" s="9">
        <f>(V8/(1+Premissas!$N$20)^V$20)</f>
        <v>890.27443775660015</v>
      </c>
      <c r="W25" s="9">
        <f>(W8/(1+Premissas!$N$20)^W$20)</f>
        <v>882.9744895292614</v>
      </c>
      <c r="X25" s="9">
        <f>(X8/(1+Premissas!$N$20)^X$20)</f>
        <v>875.7343983997589</v>
      </c>
      <c r="Y25" s="9">
        <f>(Y8/(1+Premissas!$N$20)^Y$20)</f>
        <v>868.55367356020588</v>
      </c>
      <c r="Z25" s="9">
        <f>(Z8/(1+Premissas!$N$20)^Z$20)</f>
        <v>861.43182822717415</v>
      </c>
      <c r="AA25" s="9">
        <f>(AA8/(1+Premissas!$N$20)^AA$20)</f>
        <v>896.77608667206857</v>
      </c>
      <c r="AB25" s="9">
        <f>(AB8/(1+Premissas!$N$20)^AB$20)</f>
        <v>889.42282713030545</v>
      </c>
      <c r="AC25" s="9">
        <f>(AC8/(1+Premissas!$N$20)^AC$20)</f>
        <v>882.1298618210626</v>
      </c>
      <c r="AD25" s="9">
        <f>(AD8/(1+Premissas!$N$20)^AD$20)</f>
        <v>874.89669635209793</v>
      </c>
      <c r="AE25" s="9">
        <f>(AE8/(1+Premissas!$N$20)^AE$20)</f>
        <v>867.72284038501664</v>
      </c>
      <c r="AF25" s="9">
        <f>(AF8/(1+Premissas!$N$20)^AF$20)</f>
        <v>860.60780760203386</v>
      </c>
      <c r="AG25" s="9">
        <f>(AG8/(1+Premissas!$N$20)^AG$20)</f>
        <v>853.55111567300412</v>
      </c>
      <c r="AH25" s="9">
        <f>(AH8/(1+Premissas!$N$20)^AH$20)</f>
        <v>846.55228622272671</v>
      </c>
      <c r="AI25" s="9">
        <f>(AI8/(1+Premissas!$N$20)^AI$20)</f>
        <v>839.61084479851411</v>
      </c>
      <c r="AJ25" s="9">
        <f>(AJ8/(1+Premissas!$N$20)^AJ$20)</f>
        <v>832.72632083803069</v>
      </c>
      <c r="AK25" s="9">
        <f>(AK8/(1+Premissas!$N$20)^AK$20)</f>
        <v>825.89824763739159</v>
      </c>
      <c r="AL25" s="9">
        <f>(AL8/(1+Premissas!$N$20)^AL$20)</f>
        <v>819.12616231952586</v>
      </c>
      <c r="AM25" s="9">
        <f>(AM8/(1+Premissas!$N$20)^AM$20)</f>
        <v>852.73463350821885</v>
      </c>
      <c r="AN25" s="9">
        <f>(AN8/(1+Premissas!$N$20)^AN$20)</f>
        <v>845.74249893457556</v>
      </c>
      <c r="AO25" s="9">
        <f>(AO8/(1+Premissas!$N$20)^AO$20)</f>
        <v>838.80769749128115</v>
      </c>
      <c r="AP25" s="9">
        <f>(AP8/(1+Premissas!$N$20)^AP$20)</f>
        <v>831.92975906612605</v>
      </c>
      <c r="AQ25" s="9">
        <f>(AQ8/(1+Premissas!$N$20)^AQ$20)</f>
        <v>825.10821740166068</v>
      </c>
      <c r="AR25" s="9">
        <f>(AR8/(1+Premissas!$N$20)^AR$20)</f>
        <v>818.34261006358895</v>
      </c>
      <c r="AS25" s="9">
        <f>(AS8/(1+Premissas!$N$20)^AS$20)</f>
        <v>811.63247840941824</v>
      </c>
      <c r="AT25" s="9">
        <f>(AT8/(1+Premissas!$N$20)^AT$20)</f>
        <v>804.9773675573698</v>
      </c>
      <c r="AU25" s="9">
        <f>(AU8/(1+Premissas!$N$20)^AU$20)</f>
        <v>798.37682635554006</v>
      </c>
      <c r="AV25" s="9">
        <f>(AV8/(1+Premissas!$N$20)^AV$20)</f>
        <v>791.83040735131874</v>
      </c>
      <c r="AW25" s="9">
        <f>(AW8/(1+Premissas!$N$20)^AW$20)</f>
        <v>785.33766676105415</v>
      </c>
      <c r="AX25" s="9">
        <f>(AX8/(1+Premissas!$N$20)^AX$20)</f>
        <v>778.89816443997097</v>
      </c>
      <c r="AY25" s="9">
        <f>(AY8/(1+Premissas!$N$20)^AY$20)</f>
        <v>810.85609439349514</v>
      </c>
      <c r="AZ25" s="9">
        <f>(AZ8/(1+Premissas!$N$20)^AZ$20)</f>
        <v>804.20734962686981</v>
      </c>
      <c r="BA25" s="9">
        <f>(BA8/(1+Premissas!$N$20)^BA$20)</f>
        <v>797.6131223107235</v>
      </c>
      <c r="BB25" s="9">
        <f>(BB8/(1+Premissas!$N$20)^BB$20)</f>
        <v>791.07296542046549</v>
      </c>
      <c r="BC25" s="9">
        <f>(BC8/(1+Premissas!$N$20)^BC$20)</f>
        <v>784.58643559695554</v>
      </c>
      <c r="BD25" s="9">
        <f>(BD8/(1+Premissas!$N$20)^BD$20)</f>
        <v>778.15309311644751</v>
      </c>
      <c r="BE25" s="9">
        <f>(BE8/(1+Premissas!$N$20)^BE$20)</f>
        <v>771.77250186078049</v>
      </c>
      <c r="BF25" s="9">
        <f>(BF8/(1+Premissas!$N$20)^BF$20)</f>
        <v>765.44422928781523</v>
      </c>
      <c r="BG25" s="9">
        <f>(BG8/(1+Premissas!$N$20)^BG$20)</f>
        <v>759.16784640211006</v>
      </c>
      <c r="BH25" s="9">
        <f>(BH8/(1+Premissas!$N$20)^BH$20)</f>
        <v>752.9429277258414</v>
      </c>
      <c r="BI25" s="9">
        <f>(BI8/(1+Premissas!$N$20)^BI$20)</f>
        <v>746.76905126995882</v>
      </c>
      <c r="BJ25" s="9">
        <f>(BJ8/(1+Premissas!$N$20)^BJ$20)</f>
        <v>740.64579850557936</v>
      </c>
      <c r="BK25" s="23">
        <f t="shared" si="17"/>
        <v>51575.65933573457</v>
      </c>
      <c r="BL25" s="24"/>
      <c r="BM25" s="30">
        <f>NPV(Premissas!$N$20,Contabilização!C8:BJ8)-BK25</f>
        <v>-5.8207660913467407E-11</v>
      </c>
    </row>
    <row r="26" spans="2:65" ht="15" customHeight="1" x14ac:dyDescent="0.25">
      <c r="B26" s="6">
        <v>5</v>
      </c>
      <c r="C26" s="9">
        <f>(C9/(1+Premissas!$N$20)^C$20)</f>
        <v>12893.404412245576</v>
      </c>
      <c r="D26" s="9">
        <f>(D9/(1+Premissas!$N$20)^D$20)</f>
        <v>12787.682872131823</v>
      </c>
      <c r="E26" s="9">
        <f>(E9/(1+Premissas!$N$20)^E$20)</f>
        <v>12682.828212764742</v>
      </c>
      <c r="F26" s="9">
        <f>(F9/(1+Premissas!$N$20)^F$20)</f>
        <v>12578.833326016433</v>
      </c>
      <c r="G26" s="9">
        <f>(G9/(1+Premissas!$N$20)^G$20)</f>
        <v>12475.691162043229</v>
      </c>
      <c r="H26" s="9">
        <f>(H9/(1+Premissas!$N$20)^H$20)</f>
        <v>12373.394728807794</v>
      </c>
      <c r="I26" s="9">
        <f>(I9/(1+Premissas!$N$20)^I$20)</f>
        <v>12271.937091605119</v>
      </c>
      <c r="J26" s="9">
        <f>(J9/(1+Premissas!$N$20)^J$20)</f>
        <v>12171.311372592432</v>
      </c>
      <c r="K26" s="9">
        <f>(K9/(1+Premissas!$N$20)^K$20)</f>
        <v>12071.510750322925</v>
      </c>
      <c r="L26" s="9">
        <f>(L9/(1+Premissas!$N$20)^L$20)</f>
        <v>11972.528459283347</v>
      </c>
      <c r="M26" s="9">
        <f>(M9/(1+Premissas!$N$20)^M$20)</f>
        <v>11874.357789435357</v>
      </c>
      <c r="N26" s="9">
        <f>(N9/(1+Premissas!$N$20)^N$20)</f>
        <v>11776.992085760654</v>
      </c>
      <c r="O26" s="9">
        <f>(O9/(1+Premissas!$N$20)^O$20)</f>
        <v>12260.198113612261</v>
      </c>
      <c r="P26" s="9">
        <f>(P9/(1+Premissas!$N$20)^P$20)</f>
        <v>12159.668650234866</v>
      </c>
      <c r="Q26" s="9">
        <f>(Q9/(1+Premissas!$N$20)^Q$20)</f>
        <v>12059.963494337107</v>
      </c>
      <c r="R26" s="9">
        <f>(R9/(1+Premissas!$N$20)^R$20)</f>
        <v>11961.075886877436</v>
      </c>
      <c r="S26" s="9">
        <f>(S9/(1+Premissas!$N$20)^S$20)</f>
        <v>11862.99912423613</v>
      </c>
      <c r="T26" s="9">
        <f>(T9/(1+Premissas!$N$20)^T$20)</f>
        <v>11765.726557760891</v>
      </c>
      <c r="U26" s="9">
        <f>(U9/(1+Premissas!$N$20)^U$20)</f>
        <v>11669.251593316094</v>
      </c>
      <c r="V26" s="9">
        <f>(V9/(1+Premissas!$N$20)^V$20)</f>
        <v>11573.567690835804</v>
      </c>
      <c r="W26" s="9">
        <f>(W9/(1+Premissas!$N$20)^W$20)</f>
        <v>11478.668363880399</v>
      </c>
      <c r="X26" s="9">
        <f>(X9/(1+Premissas!$N$20)^X$20)</f>
        <v>11384.547179196868</v>
      </c>
      <c r="Y26" s="9">
        <f>(Y9/(1+Premissas!$N$20)^Y$20)</f>
        <v>11291.197756282678</v>
      </c>
      <c r="Z26" s="9">
        <f>(Z9/(1+Premissas!$N$20)^Z$20)</f>
        <v>11198.613766953265</v>
      </c>
      <c r="AA26" s="9">
        <f>(AA9/(1+Premissas!$N$20)^AA$20)</f>
        <v>11658.089126736893</v>
      </c>
      <c r="AB26" s="9">
        <f>(AB9/(1+Premissas!$N$20)^AB$20)</f>
        <v>11562.496752693973</v>
      </c>
      <c r="AC26" s="9">
        <f>(AC9/(1+Premissas!$N$20)^AC$20)</f>
        <v>11467.688203673817</v>
      </c>
      <c r="AD26" s="9">
        <f>(AD9/(1+Premissas!$N$20)^AD$20)</f>
        <v>11373.657052577275</v>
      </c>
      <c r="AE26" s="9">
        <f>(AE9/(1+Premissas!$N$20)^AE$20)</f>
        <v>11280.396925005218</v>
      </c>
      <c r="AF26" s="9">
        <f>(AF9/(1+Premissas!$N$20)^AF$20)</f>
        <v>11187.901498826443</v>
      </c>
      <c r="AG26" s="9">
        <f>(AG9/(1+Premissas!$N$20)^AG$20)</f>
        <v>11096.164503749056</v>
      </c>
      <c r="AH26" s="9">
        <f>(AH9/(1+Premissas!$N$20)^AH$20)</f>
        <v>11005.179720895449</v>
      </c>
      <c r="AI26" s="9">
        <f>(AI9/(1+Premissas!$N$20)^AI$20)</f>
        <v>10914.940982380685</v>
      </c>
      <c r="AJ26" s="9">
        <f>(AJ9/(1+Premissas!$N$20)^AJ$20)</f>
        <v>10825.442170894401</v>
      </c>
      <c r="AK26" s="9">
        <f>(AK9/(1+Premissas!$N$20)^AK$20)</f>
        <v>10736.677219286094</v>
      </c>
      <c r="AL26" s="9">
        <f>(AL9/(1+Premissas!$N$20)^AL$20)</f>
        <v>10648.640110153838</v>
      </c>
      <c r="AM26" s="9">
        <f>(AM9/(1+Premissas!$N$20)^AM$20)</f>
        <v>11085.550235606846</v>
      </c>
      <c r="AN26" s="9">
        <f>(AN9/(1+Premissas!$N$20)^AN$20)</f>
        <v>10994.652486149485</v>
      </c>
      <c r="AO26" s="9">
        <f>(AO9/(1+Premissas!$N$20)^AO$20)</f>
        <v>10904.500067386656</v>
      </c>
      <c r="AP26" s="9">
        <f>(AP9/(1+Premissas!$N$20)^AP$20)</f>
        <v>10815.086867859642</v>
      </c>
      <c r="AQ26" s="9">
        <f>(AQ9/(1+Premissas!$N$20)^AQ$20)</f>
        <v>10726.40682622159</v>
      </c>
      <c r="AR26" s="9">
        <f>(AR9/(1+Premissas!$N$20)^AR$20)</f>
        <v>10638.453930826658</v>
      </c>
      <c r="AS26" s="9">
        <f>(AS9/(1+Premissas!$N$20)^AS$20)</f>
        <v>10551.222219322439</v>
      </c>
      <c r="AT26" s="9">
        <f>(AT9/(1+Premissas!$N$20)^AT$20)</f>
        <v>10464.705778245809</v>
      </c>
      <c r="AU26" s="9">
        <f>(AU9/(1+Premissas!$N$20)^AU$20)</f>
        <v>10378.898742622023</v>
      </c>
      <c r="AV26" s="9">
        <f>(AV9/(1+Premissas!$N$20)^AV$20)</f>
        <v>10293.795295567146</v>
      </c>
      <c r="AW26" s="9">
        <f>(AW9/(1+Premissas!$N$20)^AW$20)</f>
        <v>10209.389667893705</v>
      </c>
      <c r="AX26" s="9">
        <f>(AX9/(1+Premissas!$N$20)^AX$20)</f>
        <v>10125.676137719625</v>
      </c>
      <c r="AY26" s="9">
        <f>(AY9/(1+Premissas!$N$20)^AY$20)</f>
        <v>10541.129227115438</v>
      </c>
      <c r="AZ26" s="9">
        <f>(AZ9/(1+Premissas!$N$20)^AZ$20)</f>
        <v>10454.695545149309</v>
      </c>
      <c r="BA26" s="9">
        <f>(BA9/(1+Premissas!$N$20)^BA$20)</f>
        <v>10368.970590039407</v>
      </c>
      <c r="BB26" s="9">
        <f>(BB9/(1+Premissas!$N$20)^BB$20)</f>
        <v>10283.948550466053</v>
      </c>
      <c r="BC26" s="9">
        <f>(BC9/(1+Premissas!$N$20)^BC$20)</f>
        <v>10199.623662760423</v>
      </c>
      <c r="BD26" s="9">
        <f>(BD9/(1+Premissas!$N$20)^BD$20)</f>
        <v>10115.990210513819</v>
      </c>
      <c r="BE26" s="9">
        <f>(BE9/(1+Premissas!$N$20)^BE$20)</f>
        <v>10033.042524190148</v>
      </c>
      <c r="BF26" s="9">
        <f>(BF9/(1+Premissas!$N$20)^BF$20)</f>
        <v>9950.7749807415985</v>
      </c>
      <c r="BG26" s="9">
        <f>(BG9/(1+Premissas!$N$20)^BG$20)</f>
        <v>9869.1820032274318</v>
      </c>
      <c r="BH26" s="9">
        <f>(BH9/(1+Premissas!$N$20)^BH$20)</f>
        <v>9788.2580604359391</v>
      </c>
      <c r="BI26" s="9">
        <f>(BI9/(1+Premissas!$N$20)^BI$20)</f>
        <v>9707.9976665094655</v>
      </c>
      <c r="BJ26" s="9">
        <f>(BJ9/(1+Premissas!$N$20)^BJ$20)</f>
        <v>9628.3953805725341</v>
      </c>
      <c r="BK26" s="23">
        <f t="shared" si="17"/>
        <v>670483.57136454969</v>
      </c>
      <c r="BL26" s="24"/>
      <c r="BM26" s="30">
        <f>NPV(Premissas!$N$20,Contabilização!C9:BJ9)-BK26</f>
        <v>0</v>
      </c>
    </row>
    <row r="27" spans="2:65" ht="15" customHeight="1" x14ac:dyDescent="0.25">
      <c r="B27" s="6">
        <v>6</v>
      </c>
      <c r="C27" s="9">
        <f>(C10/(1+Premissas!$N$20)^C$20)</f>
        <v>9461.7752379094454</v>
      </c>
      <c r="D27" s="9">
        <f>(D10/(1+Premissas!$N$20)^D$20)</f>
        <v>9384.1918923182766</v>
      </c>
      <c r="E27" s="9">
        <f>(E10/(1+Premissas!$N$20)^E$20)</f>
        <v>9307.2447038288956</v>
      </c>
      <c r="F27" s="9">
        <f>(F10/(1+Premissas!$N$20)^F$20)</f>
        <v>9230.9284561689819</v>
      </c>
      <c r="G27" s="9">
        <f>(G10/(1+Premissas!$N$20)^G$20)</f>
        <v>9155.2379758378775</v>
      </c>
      <c r="H27" s="9">
        <f>(H10/(1+Premissas!$N$20)^H$20)</f>
        <v>9080.1681317558741</v>
      </c>
      <c r="I27" s="9">
        <f>(I10/(1+Premissas!$N$20)^I$20)</f>
        <v>9005.7138349163724</v>
      </c>
      <c r="J27" s="9">
        <f>(J10/(1+Premissas!$N$20)^J$20)</f>
        <v>8931.8700380409082</v>
      </c>
      <c r="K27" s="9">
        <f>(K10/(1+Premissas!$N$20)^K$20)</f>
        <v>8858.631735236977</v>
      </c>
      <c r="L27" s="9">
        <f>(L10/(1+Premissas!$N$20)^L$20)</f>
        <v>8785.9939616587017</v>
      </c>
      <c r="M27" s="9">
        <f>(M10/(1+Premissas!$N$20)^M$20)</f>
        <v>8713.9517931702539</v>
      </c>
      <c r="N27" s="9">
        <f>(N10/(1+Premissas!$N$20)^N$20)</f>
        <v>8642.5003460120479</v>
      </c>
      <c r="O27" s="9">
        <f>(O10/(1+Premissas!$N$20)^O$20)</f>
        <v>8997.0992310662295</v>
      </c>
      <c r="P27" s="9">
        <f>(P10/(1+Premissas!$N$20)^P$20)</f>
        <v>8923.3260710185095</v>
      </c>
      <c r="Q27" s="9">
        <f>(Q10/(1+Premissas!$N$20)^Q$20)</f>
        <v>8850.1578258443096</v>
      </c>
      <c r="R27" s="9">
        <f>(R10/(1+Premissas!$N$20)^R$20)</f>
        <v>8777.5895354469812</v>
      </c>
      <c r="S27" s="9">
        <f>(S10/(1+Premissas!$N$20)^S$20)</f>
        <v>8705.6162804009764</v>
      </c>
      <c r="T27" s="9">
        <f>(T10/(1+Premissas!$N$20)^T$20)</f>
        <v>8634.233181618376</v>
      </c>
      <c r="U27" s="9">
        <f>(U10/(1+Premissas!$N$20)^U$20)</f>
        <v>8563.4354000181193</v>
      </c>
      <c r="V27" s="9">
        <f>(V10/(1+Premissas!$N$20)^V$20)</f>
        <v>8493.2181361979674</v>
      </c>
      <c r="W27" s="9">
        <f>(W10/(1+Premissas!$N$20)^W$20)</f>
        <v>8423.5766301091553</v>
      </c>
      <c r="X27" s="9">
        <f>(X10/(1+Premissas!$N$20)^X$20)</f>
        <v>8354.5061607337011</v>
      </c>
      <c r="Y27" s="9">
        <f>(Y10/(1+Premissas!$N$20)^Y$20)</f>
        <v>8286.0020457643659</v>
      </c>
      <c r="Z27" s="9">
        <f>(Z10/(1+Premissas!$N$20)^Z$20)</f>
        <v>8218.0596412872437</v>
      </c>
      <c r="AA27" s="9">
        <f>(AA10/(1+Premissas!$N$20)^AA$20)</f>
        <v>8555.2438668515351</v>
      </c>
      <c r="AB27" s="9">
        <f>(AB10/(1+Premissas!$N$20)^AB$20)</f>
        <v>8485.0937708231158</v>
      </c>
      <c r="AC27" s="9">
        <f>(AC10/(1+Premissas!$N$20)^AC$20)</f>
        <v>8415.5188817729395</v>
      </c>
      <c r="AD27" s="9">
        <f>(AD10/(1+Premissas!$N$20)^AD$20)</f>
        <v>8346.5144831990165</v>
      </c>
      <c r="AE27" s="9">
        <f>(AE10/(1+Premissas!$N$20)^AE$20)</f>
        <v>8278.07589727306</v>
      </c>
      <c r="AF27" s="9">
        <f>(AF10/(1+Premissas!$N$20)^AF$20)</f>
        <v>8210.1984845234037</v>
      </c>
      <c r="AG27" s="9">
        <f>(AG10/(1+Premissas!$N$20)^AG$20)</f>
        <v>8142.8776435204609</v>
      </c>
      <c r="AH27" s="9">
        <f>(AH10/(1+Premissas!$N$20)^AH$20)</f>
        <v>8076.1088105648141</v>
      </c>
      <c r="AI27" s="9">
        <f>(AI10/(1+Premissas!$N$20)^AI$20)</f>
        <v>8009.8874593778264</v>
      </c>
      <c r="AJ27" s="9">
        <f>(AJ10/(1+Premissas!$N$20)^AJ$20)</f>
        <v>7944.2091007948147</v>
      </c>
      <c r="AK27" s="9">
        <f>(AK10/(1+Premissas!$N$20)^AK$20)</f>
        <v>7879.0692824607177</v>
      </c>
      <c r="AL27" s="9">
        <f>(AL10/(1+Premissas!$N$20)^AL$20)</f>
        <v>7814.4635885282787</v>
      </c>
      <c r="AM27" s="9">
        <f>(AM10/(1+Premissas!$N$20)^AM$20)</f>
        <v>8135.0884036684092</v>
      </c>
      <c r="AN27" s="9">
        <f>(AN10/(1+Premissas!$N$20)^AN$20)</f>
        <v>8068.3834398358531</v>
      </c>
      <c r="AO27" s="9">
        <f>(AO10/(1+Premissas!$N$20)^AO$20)</f>
        <v>8002.2254340668242</v>
      </c>
      <c r="AP27" s="9">
        <f>(AP10/(1+Premissas!$N$20)^AP$20)</f>
        <v>7936.609901490845</v>
      </c>
      <c r="AQ27" s="9">
        <f>(AQ10/(1+Premissas!$N$20)^AQ$20)</f>
        <v>7871.5323940118442</v>
      </c>
      <c r="AR27" s="9">
        <f>(AR10/(1+Premissas!$N$20)^AR$20)</f>
        <v>7806.9885000066397</v>
      </c>
      <c r="AS27" s="9">
        <f>(AS10/(1+Premissas!$N$20)^AS$20)</f>
        <v>7742.9738440258516</v>
      </c>
      <c r="AT27" s="9">
        <f>(AT10/(1+Premissas!$N$20)^AT$20)</f>
        <v>7679.4840864973103</v>
      </c>
      <c r="AU27" s="9">
        <f>(AU10/(1+Premissas!$N$20)^AU$20)</f>
        <v>7616.5149234318542</v>
      </c>
      <c r="AV27" s="9">
        <f>(AV10/(1+Premissas!$N$20)^AV$20)</f>
        <v>7554.0620861315829</v>
      </c>
      <c r="AW27" s="9">
        <f>(AW10/(1+Premissas!$N$20)^AW$20)</f>
        <v>7492.1213409004577</v>
      </c>
      <c r="AX27" s="9">
        <f>(AX10/(1+Premissas!$N$20)^AX$20)</f>
        <v>7430.6884887573251</v>
      </c>
      <c r="AY27" s="9">
        <f>(AY10/(1+Premissas!$N$20)^AY$20)</f>
        <v>7735.5671405139447</v>
      </c>
      <c r="AZ27" s="9">
        <f>(AZ10/(1+Premissas!$N$20)^AZ$20)</f>
        <v>7672.1381154403398</v>
      </c>
      <c r="BA27" s="9">
        <f>(BA10/(1+Premissas!$N$20)^BA$20)</f>
        <v>7609.2291868443035</v>
      </c>
      <c r="BB27" s="9">
        <f>(BB10/(1+Premissas!$N$20)^BB$20)</f>
        <v>7546.8360901112419</v>
      </c>
      <c r="BC27" s="9">
        <f>(BC10/(1+Premissas!$N$20)^BC$20)</f>
        <v>7484.954595594957</v>
      </c>
      <c r="BD27" s="9">
        <f>(BD10/(1+Premissas!$N$20)^BD$20)</f>
        <v>7423.5805083309115</v>
      </c>
      <c r="BE27" s="9">
        <f>(BE10/(1+Premissas!$N$20)^BE$20)</f>
        <v>7362.7096677518475</v>
      </c>
      <c r="BF27" s="9">
        <f>(BF10/(1+Premissas!$N$20)^BF$20)</f>
        <v>7302.3379474057583</v>
      </c>
      <c r="BG27" s="9">
        <f>(BG10/(1+Premissas!$N$20)^BG$20)</f>
        <v>7242.4612546761309</v>
      </c>
      <c r="BH27" s="9">
        <f>(BH10/(1+Premissas!$N$20)^BH$20)</f>
        <v>7183.0755305045286</v>
      </c>
      <c r="BI27" s="9">
        <f>(BI10/(1+Premissas!$N$20)^BI$20)</f>
        <v>7124.1767491154087</v>
      </c>
      <c r="BJ27" s="9">
        <f>(BJ10/(1+Premissas!$N$20)^BJ$20)</f>
        <v>7065.7609177432287</v>
      </c>
      <c r="BK27" s="23">
        <f t="shared" ref="BK27:BK31" si="18">SUM(C27:BJ27)</f>
        <v>492031.79006290797</v>
      </c>
      <c r="BL27" s="24"/>
      <c r="BM27" s="30">
        <f>NPV(Premissas!$N$20,Contabilização!C10:BJ10)-BK27</f>
        <v>-4.6566128730773926E-10</v>
      </c>
    </row>
    <row r="28" spans="2:65" ht="15" customHeight="1" x14ac:dyDescent="0.25">
      <c r="B28" s="6">
        <v>7</v>
      </c>
      <c r="C28" s="9">
        <f>(C11/(1+Premissas!$N$20)^C$20)</f>
        <v>3471.3011879122705</v>
      </c>
      <c r="D28" s="9">
        <f>(D11/(1+Premissas!$N$20)^D$20)</f>
        <v>3442.8376963431833</v>
      </c>
      <c r="E28" s="9">
        <f>(E11/(1+Premissas!$N$20)^E$20)</f>
        <v>3414.6075957443536</v>
      </c>
      <c r="F28" s="9">
        <f>(F11/(1+Premissas!$N$20)^F$20)</f>
        <v>3386.6089723890395</v>
      </c>
      <c r="G28" s="9">
        <f>(G11/(1+Premissas!$N$20)^G$20)</f>
        <v>3358.839928242408</v>
      </c>
      <c r="H28" s="9">
        <f>(H11/(1+Premissas!$N$20)^H$20)</f>
        <v>3331.2985808328676</v>
      </c>
      <c r="I28" s="9">
        <f>(I11/(1+Premissas!$N$20)^I$20)</f>
        <v>3303.9830631244554</v>
      </c>
      <c r="J28" s="9">
        <f>(J11/(1+Premissas!$N$20)^J$20)</f>
        <v>3276.8915233902699</v>
      </c>
      <c r="K28" s="9">
        <f>(K11/(1+Premissas!$N$20)^K$20)</f>
        <v>3250.0221250869413</v>
      </c>
      <c r="L28" s="9">
        <f>(L11/(1+Premissas!$N$20)^L$20)</f>
        <v>3223.373046730132</v>
      </c>
      <c r="M28" s="9">
        <f>(M11/(1+Premissas!$N$20)^M$20)</f>
        <v>3196.9424817710574</v>
      </c>
      <c r="N28" s="9">
        <f>(N11/(1+Premissas!$N$20)^N$20)</f>
        <v>3170.7286384740219</v>
      </c>
      <c r="O28" s="9">
        <f>(O11/(1+Premissas!$N$20)^O$20)</f>
        <v>3300.8225690494551</v>
      </c>
      <c r="P28" s="9">
        <f>(P11/(1+Premissas!$N$20)^P$20)</f>
        <v>3273.7569442940026</v>
      </c>
      <c r="Q28" s="9">
        <f>(Q11/(1+Premissas!$N$20)^Q$20)</f>
        <v>3246.9132484753754</v>
      </c>
      <c r="R28" s="9">
        <f>(R11/(1+Premissas!$N$20)^R$20)</f>
        <v>3220.2896618516174</v>
      </c>
      <c r="S28" s="9">
        <f>(S11/(1+Premissas!$N$20)^S$20)</f>
        <v>3193.8843796020351</v>
      </c>
      <c r="T28" s="9">
        <f>(T11/(1+Premissas!$N$20)^T$20)</f>
        <v>3167.6956117048549</v>
      </c>
      <c r="U28" s="9">
        <f>(U11/(1+Premissas!$N$20)^U$20)</f>
        <v>3141.7215828158714</v>
      </c>
      <c r="V28" s="9">
        <f>(V11/(1+Premissas!$N$20)^V$20)</f>
        <v>3115.9605321481008</v>
      </c>
      <c r="W28" s="9">
        <f>(W11/(1+Premissas!$N$20)^W$20)</f>
        <v>3090.4107133524153</v>
      </c>
      <c r="X28" s="9">
        <f>(X11/(1+Premissas!$N$20)^X$20)</f>
        <v>3065.0703943991566</v>
      </c>
      <c r="Y28" s="9">
        <f>(Y11/(1+Premissas!$N$20)^Y$20)</f>
        <v>3039.9378574607213</v>
      </c>
      <c r="Z28" s="9">
        <f>(Z11/(1+Premissas!$N$20)^Z$20)</f>
        <v>3015.0113987951099</v>
      </c>
      <c r="AA28" s="9">
        <f>(AA11/(1+Premissas!$N$20)^AA$20)</f>
        <v>3138.7163033522406</v>
      </c>
      <c r="AB28" s="9">
        <f>(AB11/(1+Premissas!$N$20)^AB$20)</f>
        <v>3112.9798949560695</v>
      </c>
      <c r="AC28" s="9">
        <f>(AC11/(1+Premissas!$N$20)^AC$20)</f>
        <v>3087.4545163737198</v>
      </c>
      <c r="AD28" s="9">
        <f>(AD11/(1+Premissas!$N$20)^AD$20)</f>
        <v>3062.1384372323432</v>
      </c>
      <c r="AE28" s="9">
        <f>(AE11/(1+Premissas!$N$20)^AE$20)</f>
        <v>3037.0299413475586</v>
      </c>
      <c r="AF28" s="9">
        <f>(AF11/(1+Premissas!$N$20)^AF$20)</f>
        <v>3012.1273266071189</v>
      </c>
      <c r="AG28" s="9">
        <f>(AG11/(1+Premissas!$N$20)^AG$20)</f>
        <v>2987.4289048555152</v>
      </c>
      <c r="AH28" s="9">
        <f>(AH11/(1+Premissas!$N$20)^AH$20)</f>
        <v>2962.9330017795442</v>
      </c>
      <c r="AI28" s="9">
        <f>(AI11/(1+Premissas!$N$20)^AI$20)</f>
        <v>2938.6379567948002</v>
      </c>
      <c r="AJ28" s="9">
        <f>(AJ11/(1+Premissas!$N$20)^AJ$20)</f>
        <v>2914.5421229331082</v>
      </c>
      <c r="AK28" s="9">
        <f>(AK11/(1+Premissas!$N$20)^AK$20)</f>
        <v>2890.6438667308712</v>
      </c>
      <c r="AL28" s="9">
        <f>(AL11/(1+Premissas!$N$20)^AL$20)</f>
        <v>2866.9415681183409</v>
      </c>
      <c r="AM28" s="9">
        <f>(AM11/(1+Premissas!$N$20)^AM$20)</f>
        <v>2984.5712172787662</v>
      </c>
      <c r="AN28" s="9">
        <f>(AN11/(1+Premissas!$N$20)^AN$20)</f>
        <v>2960.098746271015</v>
      </c>
      <c r="AO28" s="9">
        <f>(AO11/(1+Premissas!$N$20)^AO$20)</f>
        <v>2935.8269412194845</v>
      </c>
      <c r="AP28" s="9">
        <f>(AP11/(1+Premissas!$N$20)^AP$20)</f>
        <v>2911.754156731442</v>
      </c>
      <c r="AQ28" s="9">
        <f>(AQ11/(1+Premissas!$N$20)^AQ$20)</f>
        <v>2887.8787609058127</v>
      </c>
      <c r="AR28" s="9">
        <f>(AR11/(1+Premissas!$N$20)^AR$20)</f>
        <v>2864.1991352225618</v>
      </c>
      <c r="AS28" s="9">
        <f>(AS11/(1+Premissas!$N$20)^AS$20)</f>
        <v>2840.7136744329641</v>
      </c>
      <c r="AT28" s="9">
        <f>(AT11/(1+Premissas!$N$20)^AT$20)</f>
        <v>2817.4207864507948</v>
      </c>
      <c r="AU28" s="9">
        <f>(AU11/(1+Premissas!$N$20)^AU$20)</f>
        <v>2794.318892244391</v>
      </c>
      <c r="AV28" s="9">
        <f>(AV11/(1+Premissas!$N$20)^AV$20)</f>
        <v>2771.4064257296163</v>
      </c>
      <c r="AW28" s="9">
        <f>(AW11/(1+Premissas!$N$20)^AW$20)</f>
        <v>2748.6818336636898</v>
      </c>
      <c r="AX28" s="9">
        <f>(AX11/(1+Premissas!$N$20)^AX$20)</f>
        <v>2726.1435755398988</v>
      </c>
      <c r="AY28" s="9">
        <f>(AY11/(1+Premissas!$N$20)^AY$20)</f>
        <v>2837.9963303772333</v>
      </c>
      <c r="AZ28" s="9">
        <f>(AZ11/(1+Premissas!$N$20)^AZ$20)</f>
        <v>2814.725723694045</v>
      </c>
      <c r="BA28" s="9">
        <f>(BA11/(1+Premissas!$N$20)^BA$20)</f>
        <v>2791.6459280875329</v>
      </c>
      <c r="BB28" s="9">
        <f>(BB11/(1+Premissas!$N$20)^BB$20)</f>
        <v>2768.7553789716299</v>
      </c>
      <c r="BC28" s="9">
        <f>(BC11/(1+Premissas!$N$20)^BC$20)</f>
        <v>2746.052524589345</v>
      </c>
      <c r="BD28" s="9">
        <f>(BD11/(1+Premissas!$N$20)^BD$20)</f>
        <v>2723.535825907567</v>
      </c>
      <c r="BE28" s="9">
        <f>(BE11/(1+Premissas!$N$20)^BE$20)</f>
        <v>2701.2037565127325</v>
      </c>
      <c r="BF28" s="9">
        <f>(BF11/(1+Premissas!$N$20)^BF$20)</f>
        <v>2679.0548025073535</v>
      </c>
      <c r="BG28" s="9">
        <f>(BG11/(1+Premissas!$N$20)^BG$20)</f>
        <v>2657.0874624073854</v>
      </c>
      <c r="BH28" s="9">
        <f>(BH11/(1+Premissas!$N$20)^BH$20)</f>
        <v>2635.3002470404454</v>
      </c>
      <c r="BI28" s="9">
        <f>(BI11/(1+Premissas!$N$20)^BI$20)</f>
        <v>2613.6916794448566</v>
      </c>
      <c r="BJ28" s="9">
        <f>(BJ11/(1+Premissas!$N$20)^BJ$20)</f>
        <v>2592.2602947695286</v>
      </c>
      <c r="BK28" s="23">
        <f t="shared" si="18"/>
        <v>180514.80767507109</v>
      </c>
      <c r="BL28" s="24"/>
      <c r="BM28" s="30">
        <f>NPV(Premissas!$N$20,Contabilização!C11:BJ11)-BK28</f>
        <v>0</v>
      </c>
    </row>
    <row r="29" spans="2:65" ht="15" customHeight="1" x14ac:dyDescent="0.25">
      <c r="B29" s="6"/>
      <c r="C29" s="9">
        <f>(C12/(1+Premissas!$N$20)^C$20)</f>
        <v>0</v>
      </c>
      <c r="D29" s="9">
        <f>(D12/(1+Premissas!$N$20)^D$20)</f>
        <v>0</v>
      </c>
      <c r="E29" s="9">
        <f>(E12/(1+Premissas!$N$20)^E$20)</f>
        <v>0</v>
      </c>
      <c r="F29" s="9">
        <f>(F12/(1+Premissas!$N$20)^F$20)</f>
        <v>0</v>
      </c>
      <c r="G29" s="9">
        <f>(G12/(1+Premissas!$N$20)^G$20)</f>
        <v>0</v>
      </c>
      <c r="H29" s="9">
        <f>(H12/(1+Premissas!$N$20)^H$20)</f>
        <v>0</v>
      </c>
      <c r="I29" s="9">
        <f>(I12/(1+Premissas!$N$20)^I$20)</f>
        <v>0</v>
      </c>
      <c r="J29" s="9">
        <f>(J12/(1+Premissas!$N$20)^J$20)</f>
        <v>0</v>
      </c>
      <c r="K29" s="9">
        <f>(K12/(1+Premissas!$N$20)^K$20)</f>
        <v>0</v>
      </c>
      <c r="L29" s="9">
        <f>(L12/(1+Premissas!$N$20)^L$20)</f>
        <v>0</v>
      </c>
      <c r="M29" s="9">
        <f>(M12/(1+Premissas!$N$20)^M$20)</f>
        <v>0</v>
      </c>
      <c r="N29" s="9">
        <f>(N12/(1+Premissas!$N$20)^N$20)</f>
        <v>0</v>
      </c>
      <c r="O29" s="9">
        <f>(O12/(1+Premissas!$N$20)^O$20)</f>
        <v>0</v>
      </c>
      <c r="P29" s="9">
        <f>(P12/(1+Premissas!$N$20)^P$20)</f>
        <v>0</v>
      </c>
      <c r="Q29" s="9">
        <f>(Q12/(1+Premissas!$N$20)^Q$20)</f>
        <v>0</v>
      </c>
      <c r="R29" s="9">
        <f>(R12/(1+Premissas!$N$20)^R$20)</f>
        <v>0</v>
      </c>
      <c r="S29" s="9">
        <f>(S12/(1+Premissas!$N$20)^S$20)</f>
        <v>0</v>
      </c>
      <c r="T29" s="9">
        <f>(T12/(1+Premissas!$N$20)^T$20)</f>
        <v>0</v>
      </c>
      <c r="U29" s="9">
        <f>(U12/(1+Premissas!$N$20)^U$20)</f>
        <v>0</v>
      </c>
      <c r="V29" s="9">
        <f>(V12/(1+Premissas!$N$20)^V$20)</f>
        <v>0</v>
      </c>
      <c r="W29" s="9">
        <f>(W12/(1+Premissas!$N$20)^W$20)</f>
        <v>0</v>
      </c>
      <c r="X29" s="9">
        <f>(X12/(1+Premissas!$N$20)^X$20)</f>
        <v>0</v>
      </c>
      <c r="Y29" s="9">
        <f>(Y12/(1+Premissas!$N$20)^Y$20)</f>
        <v>0</v>
      </c>
      <c r="Z29" s="9">
        <f>(Z12/(1+Premissas!$N$20)^Z$20)</f>
        <v>0</v>
      </c>
      <c r="AA29" s="9">
        <f>(AA12/(1+Premissas!$N$20)^AA$20)</f>
        <v>0</v>
      </c>
      <c r="AB29" s="9">
        <f>(AB12/(1+Premissas!$N$20)^AB$20)</f>
        <v>0</v>
      </c>
      <c r="AC29" s="9">
        <f>(AC12/(1+Premissas!$N$20)^AC$20)</f>
        <v>0</v>
      </c>
      <c r="AD29" s="9">
        <f>(AD12/(1+Premissas!$N$20)^AD$20)</f>
        <v>0</v>
      </c>
      <c r="AE29" s="9">
        <f>(AE12/(1+Premissas!$N$20)^AE$20)</f>
        <v>0</v>
      </c>
      <c r="AF29" s="9">
        <f>(AF12/(1+Premissas!$N$20)^AF$20)</f>
        <v>0</v>
      </c>
      <c r="AG29" s="9">
        <f>(AG12/(1+Premissas!$N$20)^AG$20)</f>
        <v>0</v>
      </c>
      <c r="AH29" s="9">
        <f>(AH12/(1+Premissas!$N$20)^AH$20)</f>
        <v>0</v>
      </c>
      <c r="AI29" s="9">
        <f>(AI12/(1+Premissas!$N$20)^AI$20)</f>
        <v>0</v>
      </c>
      <c r="AJ29" s="9">
        <f>(AJ12/(1+Premissas!$N$20)^AJ$20)</f>
        <v>0</v>
      </c>
      <c r="AK29" s="9">
        <f>(AK12/(1+Premissas!$N$20)^AK$20)</f>
        <v>0</v>
      </c>
      <c r="AL29" s="9">
        <f>(AL12/(1+Premissas!$N$20)^AL$20)</f>
        <v>0</v>
      </c>
      <c r="AM29" s="9">
        <f>(AM12/(1+Premissas!$N$20)^AM$20)</f>
        <v>0</v>
      </c>
      <c r="AN29" s="9">
        <f>(AN12/(1+Premissas!$N$20)^AN$20)</f>
        <v>0</v>
      </c>
      <c r="AO29" s="9">
        <f>(AO12/(1+Premissas!$N$20)^AO$20)</f>
        <v>0</v>
      </c>
      <c r="AP29" s="9">
        <f>(AP12/(1+Premissas!$N$20)^AP$20)</f>
        <v>0</v>
      </c>
      <c r="AQ29" s="9">
        <f>(AQ12/(1+Premissas!$N$20)^AQ$20)</f>
        <v>0</v>
      </c>
      <c r="AR29" s="9">
        <f>(AR12/(1+Premissas!$N$20)^AR$20)</f>
        <v>0</v>
      </c>
      <c r="AS29" s="9">
        <f>(AS12/(1+Premissas!$N$20)^AS$20)</f>
        <v>0</v>
      </c>
      <c r="AT29" s="9">
        <f>(AT12/(1+Premissas!$N$20)^AT$20)</f>
        <v>0</v>
      </c>
      <c r="AU29" s="9">
        <f>(AU12/(1+Premissas!$N$20)^AU$20)</f>
        <v>0</v>
      </c>
      <c r="AV29" s="9">
        <f>(AV12/(1+Premissas!$N$20)^AV$20)</f>
        <v>0</v>
      </c>
      <c r="AW29" s="9">
        <f>(AW12/(1+Premissas!$N$20)^AW$20)</f>
        <v>0</v>
      </c>
      <c r="AX29" s="9">
        <f>(AX12/(1+Premissas!$N$20)^AX$20)</f>
        <v>0</v>
      </c>
      <c r="AY29" s="9">
        <f>(AY12/(1+Premissas!$N$20)^AY$20)</f>
        <v>0</v>
      </c>
      <c r="AZ29" s="9">
        <f>(AZ12/(1+Premissas!$N$20)^AZ$20)</f>
        <v>0</v>
      </c>
      <c r="BA29" s="9">
        <f>(BA12/(1+Premissas!$N$20)^BA$20)</f>
        <v>0</v>
      </c>
      <c r="BB29" s="9">
        <f>(BB12/(1+Premissas!$N$20)^BB$20)</f>
        <v>0</v>
      </c>
      <c r="BC29" s="9">
        <f>(BC12/(1+Premissas!$N$20)^BC$20)</f>
        <v>0</v>
      </c>
      <c r="BD29" s="9">
        <f>(BD12/(1+Premissas!$N$20)^BD$20)</f>
        <v>0</v>
      </c>
      <c r="BE29" s="9">
        <f>(BE12/(1+Premissas!$N$20)^BE$20)</f>
        <v>0</v>
      </c>
      <c r="BF29" s="9">
        <f>(BF12/(1+Premissas!$N$20)^BF$20)</f>
        <v>0</v>
      </c>
      <c r="BG29" s="9">
        <f>(BG12/(1+Premissas!$N$20)^BG$20)</f>
        <v>0</v>
      </c>
      <c r="BH29" s="9">
        <f>(BH12/(1+Premissas!$N$20)^BH$20)</f>
        <v>0</v>
      </c>
      <c r="BI29" s="9">
        <f>(BI12/(1+Premissas!$N$20)^BI$20)</f>
        <v>0</v>
      </c>
      <c r="BJ29" s="9">
        <f>(BJ12/(1+Premissas!$N$20)^BJ$20)</f>
        <v>0</v>
      </c>
      <c r="BK29" s="23">
        <f t="shared" si="18"/>
        <v>0</v>
      </c>
      <c r="BM29" s="30">
        <f>NPV(Premissas!$N$20,Contabilização!C12:BJ12)-BK29</f>
        <v>0</v>
      </c>
    </row>
    <row r="30" spans="2:65" ht="15" customHeight="1" x14ac:dyDescent="0.25">
      <c r="B30" s="6"/>
      <c r="C30" s="9">
        <f>(C13/(1+Premissas!$N$20)^C$20)</f>
        <v>0</v>
      </c>
      <c r="D30" s="9">
        <f>(D13/(1+Premissas!$N$20)^D$20)</f>
        <v>0</v>
      </c>
      <c r="E30" s="9">
        <f>(E13/(1+Premissas!$N$20)^E$20)</f>
        <v>0</v>
      </c>
      <c r="F30" s="9">
        <f>(F13/(1+Premissas!$N$20)^F$20)</f>
        <v>0</v>
      </c>
      <c r="G30" s="9">
        <f>(G13/(1+Premissas!$N$20)^G$20)</f>
        <v>0</v>
      </c>
      <c r="H30" s="9">
        <f>(H13/(1+Premissas!$N$20)^H$20)</f>
        <v>0</v>
      </c>
      <c r="I30" s="9">
        <f>(I13/(1+Premissas!$N$20)^I$20)</f>
        <v>0</v>
      </c>
      <c r="J30" s="9">
        <f>(J13/(1+Premissas!$N$20)^J$20)</f>
        <v>0</v>
      </c>
      <c r="K30" s="9">
        <f>(K13/(1+Premissas!$N$20)^K$20)</f>
        <v>0</v>
      </c>
      <c r="L30" s="9">
        <f>(L13/(1+Premissas!$N$20)^L$20)</f>
        <v>0</v>
      </c>
      <c r="M30" s="9">
        <f>(M13/(1+Premissas!$N$20)^M$20)</f>
        <v>0</v>
      </c>
      <c r="N30" s="9">
        <f>(N13/(1+Premissas!$N$20)^N$20)</f>
        <v>0</v>
      </c>
      <c r="O30" s="9">
        <f>(O13/(1+Premissas!$N$20)^O$20)</f>
        <v>0</v>
      </c>
      <c r="P30" s="9">
        <f>(P13/(1+Premissas!$N$20)^P$20)</f>
        <v>0</v>
      </c>
      <c r="Q30" s="9">
        <f>(Q13/(1+Premissas!$N$20)^Q$20)</f>
        <v>0</v>
      </c>
      <c r="R30" s="9">
        <f>(R13/(1+Premissas!$N$20)^R$20)</f>
        <v>0</v>
      </c>
      <c r="S30" s="9">
        <f>(S13/(1+Premissas!$N$20)^S$20)</f>
        <v>0</v>
      </c>
      <c r="T30" s="9">
        <f>(T13/(1+Premissas!$N$20)^T$20)</f>
        <v>0</v>
      </c>
      <c r="U30" s="9">
        <f>(U13/(1+Premissas!$N$20)^U$20)</f>
        <v>0</v>
      </c>
      <c r="V30" s="9">
        <f>(V13/(1+Premissas!$N$20)^V$20)</f>
        <v>0</v>
      </c>
      <c r="W30" s="9">
        <f>(W13/(1+Premissas!$N$20)^W$20)</f>
        <v>0</v>
      </c>
      <c r="X30" s="9">
        <f>(X13/(1+Premissas!$N$20)^X$20)</f>
        <v>0</v>
      </c>
      <c r="Y30" s="9">
        <f>(Y13/(1+Premissas!$N$20)^Y$20)</f>
        <v>0</v>
      </c>
      <c r="Z30" s="9">
        <f>(Z13/(1+Premissas!$N$20)^Z$20)</f>
        <v>0</v>
      </c>
      <c r="AA30" s="9">
        <f>(AA13/(1+Premissas!$N$20)^AA$20)</f>
        <v>0</v>
      </c>
      <c r="AB30" s="9">
        <f>(AB13/(1+Premissas!$N$20)^AB$20)</f>
        <v>0</v>
      </c>
      <c r="AC30" s="9">
        <f>(AC13/(1+Premissas!$N$20)^AC$20)</f>
        <v>0</v>
      </c>
      <c r="AD30" s="9">
        <f>(AD13/(1+Premissas!$N$20)^AD$20)</f>
        <v>0</v>
      </c>
      <c r="AE30" s="9">
        <f>(AE13/(1+Premissas!$N$20)^AE$20)</f>
        <v>0</v>
      </c>
      <c r="AF30" s="9">
        <f>(AF13/(1+Premissas!$N$20)^AF$20)</f>
        <v>0</v>
      </c>
      <c r="AG30" s="9">
        <f>(AG13/(1+Premissas!$N$20)^AG$20)</f>
        <v>0</v>
      </c>
      <c r="AH30" s="9">
        <f>(AH13/(1+Premissas!$N$20)^AH$20)</f>
        <v>0</v>
      </c>
      <c r="AI30" s="9">
        <f>(AI13/(1+Premissas!$N$20)^AI$20)</f>
        <v>0</v>
      </c>
      <c r="AJ30" s="9">
        <f>(AJ13/(1+Premissas!$N$20)^AJ$20)</f>
        <v>0</v>
      </c>
      <c r="AK30" s="9">
        <f>(AK13/(1+Premissas!$N$20)^AK$20)</f>
        <v>0</v>
      </c>
      <c r="AL30" s="9">
        <f>(AL13/(1+Premissas!$N$20)^AL$20)</f>
        <v>0</v>
      </c>
      <c r="AM30" s="9">
        <f>(AM13/(1+Premissas!$N$20)^AM$20)</f>
        <v>0</v>
      </c>
      <c r="AN30" s="9">
        <f>(AN13/(1+Premissas!$N$20)^AN$20)</f>
        <v>0</v>
      </c>
      <c r="AO30" s="9">
        <f>(AO13/(1+Premissas!$N$20)^AO$20)</f>
        <v>0</v>
      </c>
      <c r="AP30" s="9">
        <f>(AP13/(1+Premissas!$N$20)^AP$20)</f>
        <v>0</v>
      </c>
      <c r="AQ30" s="9">
        <f>(AQ13/(1+Premissas!$N$20)^AQ$20)</f>
        <v>0</v>
      </c>
      <c r="AR30" s="9">
        <f>(AR13/(1+Premissas!$N$20)^AR$20)</f>
        <v>0</v>
      </c>
      <c r="AS30" s="9">
        <f>(AS13/(1+Premissas!$N$20)^AS$20)</f>
        <v>0</v>
      </c>
      <c r="AT30" s="9">
        <f>(AT13/(1+Premissas!$N$20)^AT$20)</f>
        <v>0</v>
      </c>
      <c r="AU30" s="9">
        <f>(AU13/(1+Premissas!$N$20)^AU$20)</f>
        <v>0</v>
      </c>
      <c r="AV30" s="9">
        <f>(AV13/(1+Premissas!$N$20)^AV$20)</f>
        <v>0</v>
      </c>
      <c r="AW30" s="9">
        <f>(AW13/(1+Premissas!$N$20)^AW$20)</f>
        <v>0</v>
      </c>
      <c r="AX30" s="9">
        <f>(AX13/(1+Premissas!$N$20)^AX$20)</f>
        <v>0</v>
      </c>
      <c r="AY30" s="9">
        <f>(AY13/(1+Premissas!$N$20)^AY$20)</f>
        <v>0</v>
      </c>
      <c r="AZ30" s="9">
        <f>(AZ13/(1+Premissas!$N$20)^AZ$20)</f>
        <v>0</v>
      </c>
      <c r="BA30" s="9">
        <f>(BA13/(1+Premissas!$N$20)^BA$20)</f>
        <v>0</v>
      </c>
      <c r="BB30" s="9">
        <f>(BB13/(1+Premissas!$N$20)^BB$20)</f>
        <v>0</v>
      </c>
      <c r="BC30" s="9">
        <f>(BC13/(1+Premissas!$N$20)^BC$20)</f>
        <v>0</v>
      </c>
      <c r="BD30" s="9">
        <f>(BD13/(1+Premissas!$N$20)^BD$20)</f>
        <v>0</v>
      </c>
      <c r="BE30" s="9">
        <f>(BE13/(1+Premissas!$N$20)^BE$20)</f>
        <v>0</v>
      </c>
      <c r="BF30" s="9">
        <f>(BF13/(1+Premissas!$N$20)^BF$20)</f>
        <v>0</v>
      </c>
      <c r="BG30" s="9">
        <f>(BG13/(1+Premissas!$N$20)^BG$20)</f>
        <v>0</v>
      </c>
      <c r="BH30" s="9">
        <f>(BH13/(1+Premissas!$N$20)^BH$20)</f>
        <v>0</v>
      </c>
      <c r="BI30" s="9">
        <f>(BI13/(1+Premissas!$N$20)^BI$20)</f>
        <v>0</v>
      </c>
      <c r="BJ30" s="9">
        <f>(BJ13/(1+Premissas!$N$20)^BJ$20)</f>
        <v>0</v>
      </c>
      <c r="BK30" s="23">
        <f t="shared" si="18"/>
        <v>0</v>
      </c>
      <c r="BM30" s="30">
        <f>NPV(Premissas!$N$20,Contabilização!C13:BJ13)-BK30</f>
        <v>0</v>
      </c>
    </row>
    <row r="31" spans="2:65" ht="15" customHeight="1" x14ac:dyDescent="0.25">
      <c r="B31" s="6"/>
      <c r="C31" s="9">
        <f>(C14/(1+Premissas!$N$20)^C$20)</f>
        <v>0</v>
      </c>
      <c r="D31" s="9">
        <f>(D14/(1+Premissas!$N$20)^D$20)</f>
        <v>0</v>
      </c>
      <c r="E31" s="9">
        <f>(E14/(1+Premissas!$N$20)^E$20)</f>
        <v>0</v>
      </c>
      <c r="F31" s="9">
        <f>(F14/(1+Premissas!$N$20)^F$20)</f>
        <v>0</v>
      </c>
      <c r="G31" s="9">
        <f>(G14/(1+Premissas!$N$20)^G$20)</f>
        <v>0</v>
      </c>
      <c r="H31" s="9">
        <f>(H14/(1+Premissas!$N$20)^H$20)</f>
        <v>0</v>
      </c>
      <c r="I31" s="9">
        <f>(I14/(1+Premissas!$N$20)^I$20)</f>
        <v>0</v>
      </c>
      <c r="J31" s="9">
        <f>(J14/(1+Premissas!$N$20)^J$20)</f>
        <v>0</v>
      </c>
      <c r="K31" s="9">
        <f>(K14/(1+Premissas!$N$20)^K$20)</f>
        <v>0</v>
      </c>
      <c r="L31" s="9">
        <f>(L14/(1+Premissas!$N$20)^L$20)</f>
        <v>0</v>
      </c>
      <c r="M31" s="9">
        <f>(M14/(1+Premissas!$N$20)^M$20)</f>
        <v>0</v>
      </c>
      <c r="N31" s="9">
        <f>(N14/(1+Premissas!$N$20)^N$20)</f>
        <v>0</v>
      </c>
      <c r="O31" s="9">
        <f>(O14/(1+Premissas!$N$20)^O$20)</f>
        <v>0</v>
      </c>
      <c r="P31" s="9">
        <f>(P14/(1+Premissas!$N$20)^P$20)</f>
        <v>0</v>
      </c>
      <c r="Q31" s="9">
        <f>(Q14/(1+Premissas!$N$20)^Q$20)</f>
        <v>0</v>
      </c>
      <c r="R31" s="9">
        <f>(R14/(1+Premissas!$N$20)^R$20)</f>
        <v>0</v>
      </c>
      <c r="S31" s="9">
        <f>(S14/(1+Premissas!$N$20)^S$20)</f>
        <v>0</v>
      </c>
      <c r="T31" s="9">
        <f>(T14/(1+Premissas!$N$20)^T$20)</f>
        <v>0</v>
      </c>
      <c r="U31" s="9">
        <f>(U14/(1+Premissas!$N$20)^U$20)</f>
        <v>0</v>
      </c>
      <c r="V31" s="9">
        <f>(V14/(1+Premissas!$N$20)^V$20)</f>
        <v>0</v>
      </c>
      <c r="W31" s="9">
        <f>(W14/(1+Premissas!$N$20)^W$20)</f>
        <v>0</v>
      </c>
      <c r="X31" s="9">
        <f>(X14/(1+Premissas!$N$20)^X$20)</f>
        <v>0</v>
      </c>
      <c r="Y31" s="9">
        <f>(Y14/(1+Premissas!$N$20)^Y$20)</f>
        <v>0</v>
      </c>
      <c r="Z31" s="9">
        <f>(Z14/(1+Premissas!$N$20)^Z$20)</f>
        <v>0</v>
      </c>
      <c r="AA31" s="9">
        <f>(AA14/(1+Premissas!$N$20)^AA$20)</f>
        <v>0</v>
      </c>
      <c r="AB31" s="9">
        <f>(AB14/(1+Premissas!$N$20)^AB$20)</f>
        <v>0</v>
      </c>
      <c r="AC31" s="9">
        <f>(AC14/(1+Premissas!$N$20)^AC$20)</f>
        <v>0</v>
      </c>
      <c r="AD31" s="9">
        <f>(AD14/(1+Premissas!$N$20)^AD$20)</f>
        <v>0</v>
      </c>
      <c r="AE31" s="9">
        <f>(AE14/(1+Premissas!$N$20)^AE$20)</f>
        <v>0</v>
      </c>
      <c r="AF31" s="9">
        <f>(AF14/(1+Premissas!$N$20)^AF$20)</f>
        <v>0</v>
      </c>
      <c r="AG31" s="9">
        <f>(AG14/(1+Premissas!$N$20)^AG$20)</f>
        <v>0</v>
      </c>
      <c r="AH31" s="9">
        <f>(AH14/(1+Premissas!$N$20)^AH$20)</f>
        <v>0</v>
      </c>
      <c r="AI31" s="9">
        <f>(AI14/(1+Premissas!$N$20)^AI$20)</f>
        <v>0</v>
      </c>
      <c r="AJ31" s="9">
        <f>(AJ14/(1+Premissas!$N$20)^AJ$20)</f>
        <v>0</v>
      </c>
      <c r="AK31" s="9">
        <f>(AK14/(1+Premissas!$N$20)^AK$20)</f>
        <v>0</v>
      </c>
      <c r="AL31" s="9">
        <f>(AL14/(1+Premissas!$N$20)^AL$20)</f>
        <v>0</v>
      </c>
      <c r="AM31" s="9">
        <f>(AM14/(1+Premissas!$N$20)^AM$20)</f>
        <v>0</v>
      </c>
      <c r="AN31" s="9">
        <f>(AN14/(1+Premissas!$N$20)^AN$20)</f>
        <v>0</v>
      </c>
      <c r="AO31" s="9">
        <f>(AO14/(1+Premissas!$N$20)^AO$20)</f>
        <v>0</v>
      </c>
      <c r="AP31" s="9">
        <f>(AP14/(1+Premissas!$N$20)^AP$20)</f>
        <v>0</v>
      </c>
      <c r="AQ31" s="9">
        <f>(AQ14/(1+Premissas!$N$20)^AQ$20)</f>
        <v>0</v>
      </c>
      <c r="AR31" s="9">
        <f>(AR14/(1+Premissas!$N$20)^AR$20)</f>
        <v>0</v>
      </c>
      <c r="AS31" s="9">
        <f>(AS14/(1+Premissas!$N$20)^AS$20)</f>
        <v>0</v>
      </c>
      <c r="AT31" s="9">
        <f>(AT14/(1+Premissas!$N$20)^AT$20)</f>
        <v>0</v>
      </c>
      <c r="AU31" s="9">
        <f>(AU14/(1+Premissas!$N$20)^AU$20)</f>
        <v>0</v>
      </c>
      <c r="AV31" s="9">
        <f>(AV14/(1+Premissas!$N$20)^AV$20)</f>
        <v>0</v>
      </c>
      <c r="AW31" s="9">
        <f>(AW14/(1+Premissas!$N$20)^AW$20)</f>
        <v>0</v>
      </c>
      <c r="AX31" s="9">
        <f>(AX14/(1+Premissas!$N$20)^AX$20)</f>
        <v>0</v>
      </c>
      <c r="AY31" s="9">
        <f>(AY14/(1+Premissas!$N$20)^AY$20)</f>
        <v>0</v>
      </c>
      <c r="AZ31" s="9">
        <f>(AZ14/(1+Premissas!$N$20)^AZ$20)</f>
        <v>0</v>
      </c>
      <c r="BA31" s="9">
        <f>(BA14/(1+Premissas!$N$20)^BA$20)</f>
        <v>0</v>
      </c>
      <c r="BB31" s="9">
        <f>(BB14/(1+Premissas!$N$20)^BB$20)</f>
        <v>0</v>
      </c>
      <c r="BC31" s="9">
        <f>(BC14/(1+Premissas!$N$20)^BC$20)</f>
        <v>0</v>
      </c>
      <c r="BD31" s="9">
        <f>(BD14/(1+Premissas!$N$20)^BD$20)</f>
        <v>0</v>
      </c>
      <c r="BE31" s="9">
        <f>(BE14/(1+Premissas!$N$20)^BE$20)</f>
        <v>0</v>
      </c>
      <c r="BF31" s="9">
        <f>(BF14/(1+Premissas!$N$20)^BF$20)</f>
        <v>0</v>
      </c>
      <c r="BG31" s="9">
        <f>(BG14/(1+Premissas!$N$20)^BG$20)</f>
        <v>0</v>
      </c>
      <c r="BH31" s="9">
        <f>(BH14/(1+Premissas!$N$20)^BH$20)</f>
        <v>0</v>
      </c>
      <c r="BI31" s="9">
        <f>(BI14/(1+Premissas!$N$20)^BI$20)</f>
        <v>0</v>
      </c>
      <c r="BJ31" s="9">
        <f>(BJ14/(1+Premissas!$N$20)^BJ$20)</f>
        <v>0</v>
      </c>
      <c r="BK31" s="23">
        <f t="shared" si="18"/>
        <v>0</v>
      </c>
      <c r="BM31" s="30">
        <f>NPV(Premissas!$N$20,Contabilização!C14:BJ14)-BK31</f>
        <v>0</v>
      </c>
    </row>
    <row r="32" spans="2:65" ht="18" customHeight="1" x14ac:dyDescent="0.25">
      <c r="B32" s="25" t="s">
        <v>72</v>
      </c>
      <c r="C32" s="23">
        <f>SUM(C22:C31)</f>
        <v>56116.063203450358</v>
      </c>
      <c r="D32" s="23">
        <f>SUM(D22:D31)</f>
        <v>55655.930531170648</v>
      </c>
      <c r="E32" s="23">
        <f>SUM(E22:E31)</f>
        <v>55199.570790633006</v>
      </c>
      <c r="F32" s="23">
        <f>SUM(F22:F31)</f>
        <v>54746.953045077673</v>
      </c>
      <c r="G32" s="23">
        <f>SUM(G22:G31)</f>
        <v>54298.046611415848</v>
      </c>
      <c r="H32" s="23">
        <f>SUM(H22:H31)</f>
        <v>53852.821058149617</v>
      </c>
      <c r="I32" s="23">
        <f>SUM(I22:I31)</f>
        <v>53411.246203309049</v>
      </c>
      <c r="J32" s="23">
        <f>SUM(J22:J31)</f>
        <v>52973.292112406139</v>
      </c>
      <c r="K32" s="23">
        <f>SUM(K22:K31)</f>
        <v>52538.929096405474</v>
      </c>
      <c r="L32" s="23">
        <f>SUM(L22:L31)</f>
        <v>52108.127709711669</v>
      </c>
      <c r="M32" s="23">
        <f>SUM(M22:M31)</f>
        <v>51680.858748173276</v>
      </c>
      <c r="N32" s="23">
        <f>SUM(N22:N31)</f>
        <v>51257.093247102901</v>
      </c>
      <c r="O32" s="23">
        <f>SUM(O22:O31)</f>
        <v>53360.154559090908</v>
      </c>
      <c r="P32" s="23">
        <f>SUM(P22:P31)</f>
        <v>52922.619402329903</v>
      </c>
      <c r="Q32" s="23">
        <f>SUM(Q22:Q31)</f>
        <v>52488.671885353353</v>
      </c>
      <c r="R32" s="23">
        <f>SUM(R22:R31)</f>
        <v>52058.282590732721</v>
      </c>
      <c r="S32" s="23">
        <f>SUM(S22:S31)</f>
        <v>51631.422342252336</v>
      </c>
      <c r="T32" s="23">
        <f>SUM(T22:T31)</f>
        <v>51208.062202931629</v>
      </c>
      <c r="U32" s="23">
        <f>SUM(U22:U31)</f>
        <v>50788.173473063434</v>
      </c>
      <c r="V32" s="23">
        <f>SUM(V22:V31)</f>
        <v>50371.727688268445</v>
      </c>
      <c r="W32" s="23">
        <f>SUM(W22:W31)</f>
        <v>49958.696617565613</v>
      </c>
      <c r="X32" s="23">
        <f>SUM(X22:X31)</f>
        <v>49549.052261458361</v>
      </c>
      <c r="Y32" s="23">
        <f>SUM(Y22:Y31)</f>
        <v>49142.76685003646</v>
      </c>
      <c r="Z32" s="23">
        <f>SUM(Z22:Z31)</f>
        <v>48739.812841093524</v>
      </c>
      <c r="AA32" s="23">
        <f>SUM(AA22:AA31)</f>
        <v>50739.59098390564</v>
      </c>
      <c r="AB32" s="23">
        <f>SUM(AB22:AB31)</f>
        <v>50323.543559032696</v>
      </c>
      <c r="AC32" s="23">
        <f>SUM(AC22:AC31)</f>
        <v>49910.907581835738</v>
      </c>
      <c r="AD32" s="23">
        <f>SUM(AD22:AD31)</f>
        <v>49501.655079601711</v>
      </c>
      <c r="AE32" s="23">
        <f>SUM(AE22:AE31)</f>
        <v>49095.758308984252</v>
      </c>
      <c r="AF32" s="23">
        <f>SUM(AF22:AF31)</f>
        <v>48693.189754123086</v>
      </c>
      <c r="AG32" s="23">
        <f>SUM(AG22:AG31)</f>
        <v>48293.922124778583</v>
      </c>
      <c r="AH32" s="23">
        <f>SUM(AH22:AH31)</f>
        <v>47897.928354481883</v>
      </c>
      <c r="AI32" s="23">
        <f>SUM(AI22:AI31)</f>
        <v>47505.181598699935</v>
      </c>
      <c r="AJ32" s="23">
        <f>SUM(AJ22:AJ31)</f>
        <v>47115.655233015787</v>
      </c>
      <c r="AK32" s="23">
        <f>SUM(AK22:AK31)</f>
        <v>46729.322851323624</v>
      </c>
      <c r="AL32" s="23">
        <f>SUM(AL22:AL31)</f>
        <v>46346.158264038779</v>
      </c>
      <c r="AM32" s="23">
        <f>SUM(AM22:AM31)</f>
        <v>48247.72556389503</v>
      </c>
      <c r="AN32" s="23">
        <f>SUM(AN22:AN31)</f>
        <v>47852.110589718301</v>
      </c>
      <c r="AO32" s="23">
        <f>SUM(AO22:AO31)</f>
        <v>47459.739524056698</v>
      </c>
      <c r="AP32" s="23">
        <f>SUM(AP22:AP31)</f>
        <v>47070.585767961427</v>
      </c>
      <c r="AQ32" s="23">
        <f>SUM(AQ22:AQ31)</f>
        <v>46684.62294058597</v>
      </c>
      <c r="AR32" s="23">
        <f>SUM(AR22:AR31)</f>
        <v>46301.82487739787</v>
      </c>
      <c r="AS32" s="23">
        <f>SUM(AS22:AS31)</f>
        <v>45922.165628404888</v>
      </c>
      <c r="AT32" s="23">
        <f>SUM(AT22:AT31)</f>
        <v>45545.619456395987</v>
      </c>
      <c r="AU32" s="23">
        <f>SUM(AU22:AU31)</f>
        <v>45172.160835196461</v>
      </c>
      <c r="AV32" s="23">
        <f>SUM(AV22:AV31)</f>
        <v>44801.764447937625</v>
      </c>
      <c r="AW32" s="23">
        <f>SUM(AW22:AW31)</f>
        <v>44434.405185340453</v>
      </c>
      <c r="AX32" s="23">
        <f>SUM(AX22:AX31)</f>
        <v>44070.058144013572</v>
      </c>
      <c r="AY32" s="23">
        <f>SUM(AY22:AY31)</f>
        <v>45878.237820783957</v>
      </c>
      <c r="AZ32" s="23">
        <f>SUM(AZ22:AZ31)</f>
        <v>45502.0518418883</v>
      </c>
      <c r="BA32" s="23">
        <f>SUM(BA22:BA31)</f>
        <v>45128.950460340748</v>
      </c>
      <c r="BB32" s="23">
        <f>SUM(BB22:BB31)</f>
        <v>44758.908383489943</v>
      </c>
      <c r="BC32" s="23">
        <f>SUM(BC22:BC31)</f>
        <v>44391.900526075748</v>
      </c>
      <c r="BD32" s="23">
        <f>SUM(BD22:BD31)</f>
        <v>44027.90200852861</v>
      </c>
      <c r="BE32" s="23">
        <f>SUM(BE22:BE31)</f>
        <v>43666.88815528297</v>
      </c>
      <c r="BF32" s="23">
        <f>SUM(BF22:BF31)</f>
        <v>43308.834493104587</v>
      </c>
      <c r="BG32" s="23">
        <f>SUM(BG22:BG31)</f>
        <v>42953.716749431384</v>
      </c>
      <c r="BH32" s="23">
        <f>SUM(BH22:BH31)</f>
        <v>42601.510850728118</v>
      </c>
      <c r="BI32" s="23">
        <f>SUM(BI22:BI31)</f>
        <v>42252.192920854272</v>
      </c>
      <c r="BJ32" s="23">
        <f>SUM(BJ22:BJ31)</f>
        <v>41905.73927944569</v>
      </c>
      <c r="BK32" s="23">
        <f>SUM(BK22:BK31)</f>
        <v>2918150.805215863</v>
      </c>
    </row>
    <row r="33" spans="2:65" ht="15" customHeight="1" x14ac:dyDescent="0.25"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</row>
    <row r="35" spans="2:65" ht="15" customHeight="1" x14ac:dyDescent="0.25">
      <c r="B35" s="28" t="s">
        <v>73</v>
      </c>
      <c r="C35" s="29"/>
      <c r="D35" s="29"/>
      <c r="E35" s="29"/>
      <c r="F35" s="29"/>
      <c r="G35" s="29"/>
      <c r="H35" s="29"/>
      <c r="I35" s="29"/>
    </row>
    <row r="36" spans="2:65" ht="6" customHeight="1" x14ac:dyDescent="0.25"/>
    <row r="37" spans="2:65" ht="33" customHeight="1" x14ac:dyDescent="0.25">
      <c r="B37" s="5" t="s">
        <v>53</v>
      </c>
      <c r="C37" s="16">
        <v>43466</v>
      </c>
      <c r="D37" s="16">
        <v>43497</v>
      </c>
      <c r="E37" s="16">
        <v>43525</v>
      </c>
      <c r="F37" s="16">
        <v>43556</v>
      </c>
      <c r="G37" s="16">
        <v>43586</v>
      </c>
      <c r="H37" s="16">
        <v>43617</v>
      </c>
      <c r="I37" s="16">
        <v>43647</v>
      </c>
      <c r="J37" s="16">
        <v>43678</v>
      </c>
      <c r="K37" s="16">
        <v>43709</v>
      </c>
      <c r="L37" s="16">
        <v>43739</v>
      </c>
      <c r="M37" s="16">
        <v>43770</v>
      </c>
      <c r="N37" s="16">
        <v>43800</v>
      </c>
      <c r="O37" s="16">
        <v>43831</v>
      </c>
      <c r="P37" s="16">
        <v>43862</v>
      </c>
      <c r="Q37" s="16">
        <v>43891</v>
      </c>
      <c r="R37" s="16">
        <v>43922</v>
      </c>
      <c r="S37" s="16">
        <v>43952</v>
      </c>
      <c r="T37" s="16">
        <v>43983</v>
      </c>
      <c r="U37" s="16">
        <v>44013</v>
      </c>
      <c r="V37" s="16">
        <v>44044</v>
      </c>
      <c r="W37" s="16">
        <v>44075</v>
      </c>
      <c r="X37" s="16">
        <v>44105</v>
      </c>
      <c r="Y37" s="16">
        <v>44136</v>
      </c>
      <c r="Z37" s="16">
        <v>44166</v>
      </c>
      <c r="AA37" s="16">
        <v>44197</v>
      </c>
      <c r="AB37" s="16">
        <v>44228</v>
      </c>
      <c r="AC37" s="16">
        <v>44256</v>
      </c>
      <c r="AD37" s="16">
        <v>44287</v>
      </c>
      <c r="AE37" s="16">
        <v>44317</v>
      </c>
      <c r="AF37" s="16">
        <v>44348</v>
      </c>
      <c r="AG37" s="16">
        <v>44378</v>
      </c>
      <c r="AH37" s="16">
        <v>44409</v>
      </c>
      <c r="AI37" s="16">
        <v>44440</v>
      </c>
      <c r="AJ37" s="16">
        <v>44470</v>
      </c>
      <c r="AK37" s="16">
        <v>44501</v>
      </c>
      <c r="AL37" s="16">
        <v>44531</v>
      </c>
      <c r="AM37" s="16">
        <v>44562</v>
      </c>
      <c r="AN37" s="16">
        <v>44593</v>
      </c>
      <c r="AO37" s="16">
        <v>44621</v>
      </c>
      <c r="AP37" s="16">
        <v>44652</v>
      </c>
      <c r="AQ37" s="16">
        <v>44682</v>
      </c>
      <c r="AR37" s="16">
        <v>44713</v>
      </c>
      <c r="AS37" s="16">
        <v>44743</v>
      </c>
      <c r="AT37" s="16">
        <v>44774</v>
      </c>
      <c r="AU37" s="16">
        <v>44805</v>
      </c>
      <c r="AV37" s="16">
        <v>44835</v>
      </c>
      <c r="AW37" s="16">
        <v>44866</v>
      </c>
      <c r="AX37" s="16">
        <v>44896</v>
      </c>
      <c r="AY37" s="16">
        <v>44927</v>
      </c>
      <c r="AZ37" s="16">
        <v>44958</v>
      </c>
      <c r="BA37" s="16">
        <v>44986</v>
      </c>
      <c r="BB37" s="16">
        <v>45017</v>
      </c>
      <c r="BC37" s="16">
        <v>45047</v>
      </c>
      <c r="BD37" s="16">
        <v>45078</v>
      </c>
      <c r="BE37" s="16">
        <v>45108</v>
      </c>
      <c r="BF37" s="16">
        <v>45139</v>
      </c>
      <c r="BG37" s="16">
        <v>45170</v>
      </c>
      <c r="BH37" s="16">
        <v>45200</v>
      </c>
      <c r="BI37" s="16">
        <v>45231</v>
      </c>
      <c r="BJ37" s="16">
        <v>45261</v>
      </c>
      <c r="BK37" s="16" t="s">
        <v>72</v>
      </c>
    </row>
    <row r="38" spans="2:65" ht="15" customHeight="1" x14ac:dyDescent="0.25">
      <c r="B38" s="6">
        <v>1</v>
      </c>
      <c r="C38" s="9">
        <f>$BK22/$BJ$20</f>
        <v>8200.5298343817994</v>
      </c>
      <c r="D38" s="9">
        <f>$BK22/$BJ$20</f>
        <v>8200.5298343817994</v>
      </c>
      <c r="E38" s="9">
        <f>$BK22/$BJ$20</f>
        <v>8200.5298343817994</v>
      </c>
      <c r="F38" s="9">
        <f>$BK22/$BJ$20</f>
        <v>8200.5298343817994</v>
      </c>
      <c r="G38" s="9">
        <f>$BK22/$BJ$20</f>
        <v>8200.5298343817994</v>
      </c>
      <c r="H38" s="9">
        <f>$BK22/$BJ$20</f>
        <v>8200.5298343817994</v>
      </c>
      <c r="I38" s="9">
        <f>$BK22/$BJ$20</f>
        <v>8200.5298343817994</v>
      </c>
      <c r="J38" s="9">
        <f>$BK22/$BJ$20</f>
        <v>8200.5298343817994</v>
      </c>
      <c r="K38" s="9">
        <f>$BK22/$BJ$20</f>
        <v>8200.5298343817994</v>
      </c>
      <c r="L38" s="9">
        <f>$BK22/$BJ$20</f>
        <v>8200.5298343817994</v>
      </c>
      <c r="M38" s="9">
        <f>$BK22/$BJ$20</f>
        <v>8200.5298343817994</v>
      </c>
      <c r="N38" s="9">
        <f>$BK22/$BJ$20</f>
        <v>8200.5298343817994</v>
      </c>
      <c r="O38" s="9">
        <f>$BK22/$BJ$20</f>
        <v>8200.5298343817994</v>
      </c>
      <c r="P38" s="9">
        <f>$BK22/$BJ$20</f>
        <v>8200.5298343817994</v>
      </c>
      <c r="Q38" s="9">
        <f>$BK22/$BJ$20</f>
        <v>8200.5298343817994</v>
      </c>
      <c r="R38" s="9">
        <f>$BK22/$BJ$20</f>
        <v>8200.5298343817994</v>
      </c>
      <c r="S38" s="9">
        <f>$BK22/$BJ$20</f>
        <v>8200.5298343817994</v>
      </c>
      <c r="T38" s="9">
        <f>$BK22/$BJ$20</f>
        <v>8200.5298343817994</v>
      </c>
      <c r="U38" s="9">
        <f>$BK22/$BJ$20</f>
        <v>8200.5298343817994</v>
      </c>
      <c r="V38" s="9">
        <f>$BK22/$BJ$20</f>
        <v>8200.5298343817994</v>
      </c>
      <c r="W38" s="9">
        <f>$BK22/$BJ$20</f>
        <v>8200.5298343817994</v>
      </c>
      <c r="X38" s="9">
        <f>$BK22/$BJ$20</f>
        <v>8200.5298343817994</v>
      </c>
      <c r="Y38" s="9">
        <f>$BK22/$BJ$20</f>
        <v>8200.5298343817994</v>
      </c>
      <c r="Z38" s="9">
        <f>$BK22/$BJ$20</f>
        <v>8200.5298343817994</v>
      </c>
      <c r="AA38" s="9">
        <f>$BK22/$BJ$20</f>
        <v>8200.5298343817994</v>
      </c>
      <c r="AB38" s="9">
        <f>$BK22/$BJ$20</f>
        <v>8200.5298343817994</v>
      </c>
      <c r="AC38" s="9">
        <f>$BK22/$BJ$20</f>
        <v>8200.5298343817994</v>
      </c>
      <c r="AD38" s="9">
        <f>$BK22/$BJ$20</f>
        <v>8200.5298343817994</v>
      </c>
      <c r="AE38" s="9">
        <f>$BK22/$BJ$20</f>
        <v>8200.5298343817994</v>
      </c>
      <c r="AF38" s="9">
        <f>$BK22/$BJ$20</f>
        <v>8200.5298343817994</v>
      </c>
      <c r="AG38" s="9">
        <f>$BK22/$BJ$20</f>
        <v>8200.5298343817994</v>
      </c>
      <c r="AH38" s="9">
        <f>$BK22/$BJ$20</f>
        <v>8200.5298343817994</v>
      </c>
      <c r="AI38" s="9">
        <f>$BK22/$BJ$20</f>
        <v>8200.5298343817994</v>
      </c>
      <c r="AJ38" s="9">
        <f>$BK22/$BJ$20</f>
        <v>8200.5298343817994</v>
      </c>
      <c r="AK38" s="9">
        <f>$BK22/$BJ$20</f>
        <v>8200.5298343817994</v>
      </c>
      <c r="AL38" s="9">
        <f>$BK22/$BJ$20</f>
        <v>8200.5298343817994</v>
      </c>
      <c r="AM38" s="9">
        <f>$BK22/$BJ$20</f>
        <v>8200.5298343817994</v>
      </c>
      <c r="AN38" s="9">
        <f>$BK22/$BJ$20</f>
        <v>8200.5298343817994</v>
      </c>
      <c r="AO38" s="9">
        <f>$BK22/$BJ$20</f>
        <v>8200.5298343817994</v>
      </c>
      <c r="AP38" s="9">
        <f>$BK22/$BJ$20</f>
        <v>8200.5298343817994</v>
      </c>
      <c r="AQ38" s="9">
        <f>$BK22/$BJ$20</f>
        <v>8200.5298343817994</v>
      </c>
      <c r="AR38" s="9">
        <f>$BK22/$BJ$20</f>
        <v>8200.5298343817994</v>
      </c>
      <c r="AS38" s="9">
        <f>$BK22/$BJ$20</f>
        <v>8200.5298343817994</v>
      </c>
      <c r="AT38" s="9">
        <f>$BK22/$BJ$20</f>
        <v>8200.5298343817994</v>
      </c>
      <c r="AU38" s="9">
        <f>$BK22/$BJ$20</f>
        <v>8200.5298343817994</v>
      </c>
      <c r="AV38" s="9">
        <f>$BK22/$BJ$20</f>
        <v>8200.5298343817994</v>
      </c>
      <c r="AW38" s="9">
        <f>$BK22/$BJ$20</f>
        <v>8200.5298343817994</v>
      </c>
      <c r="AX38" s="9">
        <f>$BK22/$BJ$20</f>
        <v>8200.5298343817994</v>
      </c>
      <c r="AY38" s="9">
        <f>$BK22/$BJ$20</f>
        <v>8200.5298343817994</v>
      </c>
      <c r="AZ38" s="9">
        <f>$BK22/$BJ$20</f>
        <v>8200.5298343817994</v>
      </c>
      <c r="BA38" s="9">
        <f>$BK22/$BJ$20</f>
        <v>8200.5298343817994</v>
      </c>
      <c r="BB38" s="9">
        <f>$BK22/$BJ$20</f>
        <v>8200.5298343817994</v>
      </c>
      <c r="BC38" s="9">
        <f>$BK22/$BJ$20</f>
        <v>8200.5298343817994</v>
      </c>
      <c r="BD38" s="9">
        <f>$BK22/$BJ$20</f>
        <v>8200.5298343817994</v>
      </c>
      <c r="BE38" s="9">
        <f>$BK22/$BJ$20</f>
        <v>8200.5298343817994</v>
      </c>
      <c r="BF38" s="9">
        <f>$BK22/$BJ$20</f>
        <v>8200.5298343817994</v>
      </c>
      <c r="BG38" s="9">
        <f>$BK22/$BJ$20</f>
        <v>8200.5298343817994</v>
      </c>
      <c r="BH38" s="9">
        <f>$BK22/$BJ$20</f>
        <v>8200.5298343817994</v>
      </c>
      <c r="BI38" s="9">
        <f>$BK22/$BJ$20</f>
        <v>8200.5298343817994</v>
      </c>
      <c r="BJ38" s="9">
        <f>$BK22/$BJ$20</f>
        <v>8200.5298343817994</v>
      </c>
      <c r="BK38" s="23">
        <f t="shared" ref="BK38:BK47" si="19">SUM(C38:BJ38)</f>
        <v>492031.79006290715</v>
      </c>
      <c r="BL38" s="24"/>
      <c r="BM38" s="24"/>
    </row>
    <row r="39" spans="2:65" ht="15" customHeight="1" x14ac:dyDescent="0.25">
      <c r="B39" s="6">
        <v>2</v>
      </c>
      <c r="C39" s="9">
        <f>$BK23/$BJ$20</f>
        <v>1719.1886445244857</v>
      </c>
      <c r="D39" s="9">
        <f>$BK23/$BJ$20</f>
        <v>1719.1886445244857</v>
      </c>
      <c r="E39" s="9">
        <f>$BK23/$BJ$20</f>
        <v>1719.1886445244857</v>
      </c>
      <c r="F39" s="9">
        <f>$BK23/$BJ$20</f>
        <v>1719.1886445244857</v>
      </c>
      <c r="G39" s="9">
        <f>$BK23/$BJ$20</f>
        <v>1719.1886445244857</v>
      </c>
      <c r="H39" s="9">
        <f>$BK23/$BJ$20</f>
        <v>1719.1886445244857</v>
      </c>
      <c r="I39" s="9">
        <f>$BK23/$BJ$20</f>
        <v>1719.1886445244857</v>
      </c>
      <c r="J39" s="9">
        <f>$BK23/$BJ$20</f>
        <v>1719.1886445244857</v>
      </c>
      <c r="K39" s="9">
        <f>$BK23/$BJ$20</f>
        <v>1719.1886445244857</v>
      </c>
      <c r="L39" s="9">
        <f>$BK23/$BJ$20</f>
        <v>1719.1886445244857</v>
      </c>
      <c r="M39" s="9">
        <f>$BK23/$BJ$20</f>
        <v>1719.1886445244857</v>
      </c>
      <c r="N39" s="9">
        <f>$BK23/$BJ$20</f>
        <v>1719.1886445244857</v>
      </c>
      <c r="O39" s="9">
        <f>$BK23/$BJ$20</f>
        <v>1719.1886445244857</v>
      </c>
      <c r="P39" s="9">
        <f>$BK23/$BJ$20</f>
        <v>1719.1886445244857</v>
      </c>
      <c r="Q39" s="9">
        <f>$BK23/$BJ$20</f>
        <v>1719.1886445244857</v>
      </c>
      <c r="R39" s="9">
        <f>$BK23/$BJ$20</f>
        <v>1719.1886445244857</v>
      </c>
      <c r="S39" s="9">
        <f>$BK23/$BJ$20</f>
        <v>1719.1886445244857</v>
      </c>
      <c r="T39" s="9">
        <f>$BK23/$BJ$20</f>
        <v>1719.1886445244857</v>
      </c>
      <c r="U39" s="9">
        <f>$BK23/$BJ$20</f>
        <v>1719.1886445244857</v>
      </c>
      <c r="V39" s="9">
        <f>$BK23/$BJ$20</f>
        <v>1719.1886445244857</v>
      </c>
      <c r="W39" s="9">
        <f>$BK23/$BJ$20</f>
        <v>1719.1886445244857</v>
      </c>
      <c r="X39" s="9">
        <f>$BK23/$BJ$20</f>
        <v>1719.1886445244857</v>
      </c>
      <c r="Y39" s="9">
        <f>$BK23/$BJ$20</f>
        <v>1719.1886445244857</v>
      </c>
      <c r="Z39" s="9">
        <f>$BK23/$BJ$20</f>
        <v>1719.1886445244857</v>
      </c>
      <c r="AA39" s="9">
        <f>$BK23/$BJ$20</f>
        <v>1719.1886445244857</v>
      </c>
      <c r="AB39" s="9">
        <f>$BK23/$BJ$20</f>
        <v>1719.1886445244857</v>
      </c>
      <c r="AC39" s="9">
        <f>$BK23/$BJ$20</f>
        <v>1719.1886445244857</v>
      </c>
      <c r="AD39" s="9">
        <f>$BK23/$BJ$20</f>
        <v>1719.1886445244857</v>
      </c>
      <c r="AE39" s="9">
        <f>$BK23/$BJ$20</f>
        <v>1719.1886445244857</v>
      </c>
      <c r="AF39" s="9">
        <f>$BK23/$BJ$20</f>
        <v>1719.1886445244857</v>
      </c>
      <c r="AG39" s="9">
        <f>$BK23/$BJ$20</f>
        <v>1719.1886445244857</v>
      </c>
      <c r="AH39" s="9">
        <f>$BK23/$BJ$20</f>
        <v>1719.1886445244857</v>
      </c>
      <c r="AI39" s="9">
        <f>$BK23/$BJ$20</f>
        <v>1719.1886445244857</v>
      </c>
      <c r="AJ39" s="9">
        <f>$BK23/$BJ$20</f>
        <v>1719.1886445244857</v>
      </c>
      <c r="AK39" s="9">
        <f>$BK23/$BJ$20</f>
        <v>1719.1886445244857</v>
      </c>
      <c r="AL39" s="9">
        <f>$BK23/$BJ$20</f>
        <v>1719.1886445244857</v>
      </c>
      <c r="AM39" s="9">
        <f>$BK23/$BJ$20</f>
        <v>1719.1886445244857</v>
      </c>
      <c r="AN39" s="9">
        <f>$BK23/$BJ$20</f>
        <v>1719.1886445244857</v>
      </c>
      <c r="AO39" s="9">
        <f>$BK23/$BJ$20</f>
        <v>1719.1886445244857</v>
      </c>
      <c r="AP39" s="9">
        <f>$BK23/$BJ$20</f>
        <v>1719.1886445244857</v>
      </c>
      <c r="AQ39" s="9">
        <f>$BK23/$BJ$20</f>
        <v>1719.1886445244857</v>
      </c>
      <c r="AR39" s="9">
        <f>$BK23/$BJ$20</f>
        <v>1719.1886445244857</v>
      </c>
      <c r="AS39" s="9">
        <f>$BK23/$BJ$20</f>
        <v>1719.1886445244857</v>
      </c>
      <c r="AT39" s="9">
        <f>$BK23/$BJ$20</f>
        <v>1719.1886445244857</v>
      </c>
      <c r="AU39" s="9">
        <f>$BK23/$BJ$20</f>
        <v>1719.1886445244857</v>
      </c>
      <c r="AV39" s="9">
        <f>$BK23/$BJ$20</f>
        <v>1719.1886445244857</v>
      </c>
      <c r="AW39" s="9">
        <f>$BK23/$BJ$20</f>
        <v>1719.1886445244857</v>
      </c>
      <c r="AX39" s="9">
        <f>$BK23/$BJ$20</f>
        <v>1719.1886445244857</v>
      </c>
      <c r="AY39" s="9">
        <f>$BK23/$BJ$20</f>
        <v>1719.1886445244857</v>
      </c>
      <c r="AZ39" s="9">
        <f>$BK23/$BJ$20</f>
        <v>1719.1886445244857</v>
      </c>
      <c r="BA39" s="9">
        <f>$BK23/$BJ$20</f>
        <v>1719.1886445244857</v>
      </c>
      <c r="BB39" s="9">
        <f>$BK23/$BJ$20</f>
        <v>1719.1886445244857</v>
      </c>
      <c r="BC39" s="9">
        <f>$BK23/$BJ$20</f>
        <v>1719.1886445244857</v>
      </c>
      <c r="BD39" s="9">
        <f>$BK23/$BJ$20</f>
        <v>1719.1886445244857</v>
      </c>
      <c r="BE39" s="9">
        <f>$BK23/$BJ$20</f>
        <v>1719.1886445244857</v>
      </c>
      <c r="BF39" s="9">
        <f>$BK23/$BJ$20</f>
        <v>1719.1886445244857</v>
      </c>
      <c r="BG39" s="9">
        <f>$BK23/$BJ$20</f>
        <v>1719.1886445244857</v>
      </c>
      <c r="BH39" s="9">
        <f>$BK23/$BJ$20</f>
        <v>1719.1886445244857</v>
      </c>
      <c r="BI39" s="9">
        <f>$BK23/$BJ$20</f>
        <v>1719.1886445244857</v>
      </c>
      <c r="BJ39" s="9">
        <f>$BK23/$BJ$20</f>
        <v>1719.1886445244857</v>
      </c>
      <c r="BK39" s="23">
        <f t="shared" si="19"/>
        <v>103151.31867146927</v>
      </c>
      <c r="BL39" s="24"/>
      <c r="BM39" s="24"/>
    </row>
    <row r="40" spans="2:65" ht="15" customHeight="1" x14ac:dyDescent="0.25">
      <c r="B40" s="6">
        <v>3</v>
      </c>
      <c r="C40" s="9">
        <f>$BK24/$BJ$20</f>
        <v>15472.697800720374</v>
      </c>
      <c r="D40" s="9">
        <f>$BK24/$BJ$20</f>
        <v>15472.697800720374</v>
      </c>
      <c r="E40" s="9">
        <f>$BK24/$BJ$20</f>
        <v>15472.697800720374</v>
      </c>
      <c r="F40" s="9">
        <f>$BK24/$BJ$20</f>
        <v>15472.697800720374</v>
      </c>
      <c r="G40" s="9">
        <f>$BK24/$BJ$20</f>
        <v>15472.697800720374</v>
      </c>
      <c r="H40" s="9">
        <f>$BK24/$BJ$20</f>
        <v>15472.697800720374</v>
      </c>
      <c r="I40" s="9">
        <f>$BK24/$BJ$20</f>
        <v>15472.697800720374</v>
      </c>
      <c r="J40" s="9">
        <f>$BK24/$BJ$20</f>
        <v>15472.697800720374</v>
      </c>
      <c r="K40" s="9">
        <f>$BK24/$BJ$20</f>
        <v>15472.697800720374</v>
      </c>
      <c r="L40" s="9">
        <f>$BK24/$BJ$20</f>
        <v>15472.697800720374</v>
      </c>
      <c r="M40" s="9">
        <f>$BK24/$BJ$20</f>
        <v>15472.697800720374</v>
      </c>
      <c r="N40" s="9">
        <f>$BK24/$BJ$20</f>
        <v>15472.697800720374</v>
      </c>
      <c r="O40" s="9">
        <f>$BK24/$BJ$20</f>
        <v>15472.697800720374</v>
      </c>
      <c r="P40" s="9">
        <f>$BK24/$BJ$20</f>
        <v>15472.697800720374</v>
      </c>
      <c r="Q40" s="9">
        <f>$BK24/$BJ$20</f>
        <v>15472.697800720374</v>
      </c>
      <c r="R40" s="9">
        <f>$BK24/$BJ$20</f>
        <v>15472.697800720374</v>
      </c>
      <c r="S40" s="9">
        <f>$BK24/$BJ$20</f>
        <v>15472.697800720374</v>
      </c>
      <c r="T40" s="9">
        <f>$BK24/$BJ$20</f>
        <v>15472.697800720374</v>
      </c>
      <c r="U40" s="9">
        <f>$BK24/$BJ$20</f>
        <v>15472.697800720374</v>
      </c>
      <c r="V40" s="9">
        <f>$BK24/$BJ$20</f>
        <v>15472.697800720374</v>
      </c>
      <c r="W40" s="9">
        <f>$BK24/$BJ$20</f>
        <v>15472.697800720374</v>
      </c>
      <c r="X40" s="9">
        <f>$BK24/$BJ$20</f>
        <v>15472.697800720374</v>
      </c>
      <c r="Y40" s="9">
        <f>$BK24/$BJ$20</f>
        <v>15472.697800720374</v>
      </c>
      <c r="Z40" s="9">
        <f>$BK24/$BJ$20</f>
        <v>15472.697800720374</v>
      </c>
      <c r="AA40" s="9">
        <f>$BK24/$BJ$20</f>
        <v>15472.697800720374</v>
      </c>
      <c r="AB40" s="9">
        <f>$BK24/$BJ$20</f>
        <v>15472.697800720374</v>
      </c>
      <c r="AC40" s="9">
        <f>$BK24/$BJ$20</f>
        <v>15472.697800720374</v>
      </c>
      <c r="AD40" s="9">
        <f>$BK24/$BJ$20</f>
        <v>15472.697800720374</v>
      </c>
      <c r="AE40" s="9">
        <f>$BK24/$BJ$20</f>
        <v>15472.697800720374</v>
      </c>
      <c r="AF40" s="9">
        <f>$BK24/$BJ$20</f>
        <v>15472.697800720374</v>
      </c>
      <c r="AG40" s="9">
        <f>$BK24/$BJ$20</f>
        <v>15472.697800720374</v>
      </c>
      <c r="AH40" s="9">
        <f>$BK24/$BJ$20</f>
        <v>15472.697800720374</v>
      </c>
      <c r="AI40" s="9">
        <f>$BK24/$BJ$20</f>
        <v>15472.697800720374</v>
      </c>
      <c r="AJ40" s="9">
        <f>$BK24/$BJ$20</f>
        <v>15472.697800720374</v>
      </c>
      <c r="AK40" s="9">
        <f>$BK24/$BJ$20</f>
        <v>15472.697800720374</v>
      </c>
      <c r="AL40" s="9">
        <f>$BK24/$BJ$20</f>
        <v>15472.697800720374</v>
      </c>
      <c r="AM40" s="9">
        <f>$BK24/$BJ$20</f>
        <v>15472.697800720374</v>
      </c>
      <c r="AN40" s="9">
        <f>$BK24/$BJ$20</f>
        <v>15472.697800720374</v>
      </c>
      <c r="AO40" s="9">
        <f>$BK24/$BJ$20</f>
        <v>15472.697800720374</v>
      </c>
      <c r="AP40" s="9">
        <f>$BK24/$BJ$20</f>
        <v>15472.697800720374</v>
      </c>
      <c r="AQ40" s="9">
        <f>$BK24/$BJ$20</f>
        <v>15472.697800720374</v>
      </c>
      <c r="AR40" s="9">
        <f>$BK24/$BJ$20</f>
        <v>15472.697800720374</v>
      </c>
      <c r="AS40" s="9">
        <f>$BK24/$BJ$20</f>
        <v>15472.697800720374</v>
      </c>
      <c r="AT40" s="9">
        <f>$BK24/$BJ$20</f>
        <v>15472.697800720374</v>
      </c>
      <c r="AU40" s="9">
        <f>$BK24/$BJ$20</f>
        <v>15472.697800720374</v>
      </c>
      <c r="AV40" s="9">
        <f>$BK24/$BJ$20</f>
        <v>15472.697800720374</v>
      </c>
      <c r="AW40" s="9">
        <f>$BK24/$BJ$20</f>
        <v>15472.697800720374</v>
      </c>
      <c r="AX40" s="9">
        <f>$BK24/$BJ$20</f>
        <v>15472.697800720374</v>
      </c>
      <c r="AY40" s="9">
        <f>$BK24/$BJ$20</f>
        <v>15472.697800720374</v>
      </c>
      <c r="AZ40" s="9">
        <f>$BK24/$BJ$20</f>
        <v>15472.697800720374</v>
      </c>
      <c r="BA40" s="9">
        <f>$BK24/$BJ$20</f>
        <v>15472.697800720374</v>
      </c>
      <c r="BB40" s="9">
        <f>$BK24/$BJ$20</f>
        <v>15472.697800720374</v>
      </c>
      <c r="BC40" s="9">
        <f>$BK24/$BJ$20</f>
        <v>15472.697800720374</v>
      </c>
      <c r="BD40" s="9">
        <f>$BK24/$BJ$20</f>
        <v>15472.697800720374</v>
      </c>
      <c r="BE40" s="9">
        <f>$BK24/$BJ$20</f>
        <v>15472.697800720374</v>
      </c>
      <c r="BF40" s="9">
        <f>$BK24/$BJ$20</f>
        <v>15472.697800720374</v>
      </c>
      <c r="BG40" s="9">
        <f>$BK24/$BJ$20</f>
        <v>15472.697800720374</v>
      </c>
      <c r="BH40" s="9">
        <f>$BK24/$BJ$20</f>
        <v>15472.697800720374</v>
      </c>
      <c r="BI40" s="9">
        <f>$BK24/$BJ$20</f>
        <v>15472.697800720374</v>
      </c>
      <c r="BJ40" s="9">
        <f>$BK24/$BJ$20</f>
        <v>15472.697800720374</v>
      </c>
      <c r="BK40" s="23">
        <f t="shared" si="19"/>
        <v>928361.86804322212</v>
      </c>
      <c r="BL40" s="24"/>
      <c r="BM40" s="24"/>
    </row>
    <row r="41" spans="2:65" ht="15" customHeight="1" x14ac:dyDescent="0.25">
      <c r="B41" s="6">
        <v>4</v>
      </c>
      <c r="C41" s="9">
        <f>$BK25/$BJ$20</f>
        <v>859.59432226224283</v>
      </c>
      <c r="D41" s="9">
        <f>$BK25/$BJ$20</f>
        <v>859.59432226224283</v>
      </c>
      <c r="E41" s="9">
        <f>$BK25/$BJ$20</f>
        <v>859.59432226224283</v>
      </c>
      <c r="F41" s="9">
        <f>$BK25/$BJ$20</f>
        <v>859.59432226224283</v>
      </c>
      <c r="G41" s="9">
        <f>$BK25/$BJ$20</f>
        <v>859.59432226224283</v>
      </c>
      <c r="H41" s="9">
        <f>$BK25/$BJ$20</f>
        <v>859.59432226224283</v>
      </c>
      <c r="I41" s="9">
        <f>$BK25/$BJ$20</f>
        <v>859.59432226224283</v>
      </c>
      <c r="J41" s="9">
        <f>$BK25/$BJ$20</f>
        <v>859.59432226224283</v>
      </c>
      <c r="K41" s="9">
        <f>$BK25/$BJ$20</f>
        <v>859.59432226224283</v>
      </c>
      <c r="L41" s="9">
        <f>$BK25/$BJ$20</f>
        <v>859.59432226224283</v>
      </c>
      <c r="M41" s="9">
        <f>$BK25/$BJ$20</f>
        <v>859.59432226224283</v>
      </c>
      <c r="N41" s="9">
        <f>$BK25/$BJ$20</f>
        <v>859.59432226224283</v>
      </c>
      <c r="O41" s="9">
        <f>$BK25/$BJ$20</f>
        <v>859.59432226224283</v>
      </c>
      <c r="P41" s="9">
        <f>$BK25/$BJ$20</f>
        <v>859.59432226224283</v>
      </c>
      <c r="Q41" s="9">
        <f>$BK25/$BJ$20</f>
        <v>859.59432226224283</v>
      </c>
      <c r="R41" s="9">
        <f>$BK25/$BJ$20</f>
        <v>859.59432226224283</v>
      </c>
      <c r="S41" s="9">
        <f>$BK25/$BJ$20</f>
        <v>859.59432226224283</v>
      </c>
      <c r="T41" s="9">
        <f>$BK25/$BJ$20</f>
        <v>859.59432226224283</v>
      </c>
      <c r="U41" s="9">
        <f>$BK25/$BJ$20</f>
        <v>859.59432226224283</v>
      </c>
      <c r="V41" s="9">
        <f>$BK25/$BJ$20</f>
        <v>859.59432226224283</v>
      </c>
      <c r="W41" s="9">
        <f>$BK25/$BJ$20</f>
        <v>859.59432226224283</v>
      </c>
      <c r="X41" s="9">
        <f>$BK25/$BJ$20</f>
        <v>859.59432226224283</v>
      </c>
      <c r="Y41" s="9">
        <f>$BK25/$BJ$20</f>
        <v>859.59432226224283</v>
      </c>
      <c r="Z41" s="9">
        <f>$BK25/$BJ$20</f>
        <v>859.59432226224283</v>
      </c>
      <c r="AA41" s="9">
        <f>$BK25/$BJ$20</f>
        <v>859.59432226224283</v>
      </c>
      <c r="AB41" s="9">
        <f>$BK25/$BJ$20</f>
        <v>859.59432226224283</v>
      </c>
      <c r="AC41" s="9">
        <f>$BK25/$BJ$20</f>
        <v>859.59432226224283</v>
      </c>
      <c r="AD41" s="9">
        <f>$BK25/$BJ$20</f>
        <v>859.59432226224283</v>
      </c>
      <c r="AE41" s="9">
        <f>$BK25/$BJ$20</f>
        <v>859.59432226224283</v>
      </c>
      <c r="AF41" s="9">
        <f>$BK25/$BJ$20</f>
        <v>859.59432226224283</v>
      </c>
      <c r="AG41" s="9">
        <f>$BK25/$BJ$20</f>
        <v>859.59432226224283</v>
      </c>
      <c r="AH41" s="9">
        <f>$BK25/$BJ$20</f>
        <v>859.59432226224283</v>
      </c>
      <c r="AI41" s="9">
        <f>$BK25/$BJ$20</f>
        <v>859.59432226224283</v>
      </c>
      <c r="AJ41" s="9">
        <f>$BK25/$BJ$20</f>
        <v>859.59432226224283</v>
      </c>
      <c r="AK41" s="9">
        <f>$BK25/$BJ$20</f>
        <v>859.59432226224283</v>
      </c>
      <c r="AL41" s="9">
        <f>$BK25/$BJ$20</f>
        <v>859.59432226224283</v>
      </c>
      <c r="AM41" s="9">
        <f>$BK25/$BJ$20</f>
        <v>859.59432226224283</v>
      </c>
      <c r="AN41" s="9">
        <f>$BK25/$BJ$20</f>
        <v>859.59432226224283</v>
      </c>
      <c r="AO41" s="9">
        <f>$BK25/$BJ$20</f>
        <v>859.59432226224283</v>
      </c>
      <c r="AP41" s="9">
        <f>$BK25/$BJ$20</f>
        <v>859.59432226224283</v>
      </c>
      <c r="AQ41" s="9">
        <f>$BK25/$BJ$20</f>
        <v>859.59432226224283</v>
      </c>
      <c r="AR41" s="9">
        <f>$BK25/$BJ$20</f>
        <v>859.59432226224283</v>
      </c>
      <c r="AS41" s="9">
        <f>$BK25/$BJ$20</f>
        <v>859.59432226224283</v>
      </c>
      <c r="AT41" s="9">
        <f>$BK25/$BJ$20</f>
        <v>859.59432226224283</v>
      </c>
      <c r="AU41" s="9">
        <f>$BK25/$BJ$20</f>
        <v>859.59432226224283</v>
      </c>
      <c r="AV41" s="9">
        <f>$BK25/$BJ$20</f>
        <v>859.59432226224283</v>
      </c>
      <c r="AW41" s="9">
        <f>$BK25/$BJ$20</f>
        <v>859.59432226224283</v>
      </c>
      <c r="AX41" s="9">
        <f>$BK25/$BJ$20</f>
        <v>859.59432226224283</v>
      </c>
      <c r="AY41" s="9">
        <f>$BK25/$BJ$20</f>
        <v>859.59432226224283</v>
      </c>
      <c r="AZ41" s="9">
        <f>$BK25/$BJ$20</f>
        <v>859.59432226224283</v>
      </c>
      <c r="BA41" s="9">
        <f>$BK25/$BJ$20</f>
        <v>859.59432226224283</v>
      </c>
      <c r="BB41" s="9">
        <f>$BK25/$BJ$20</f>
        <v>859.59432226224283</v>
      </c>
      <c r="BC41" s="9">
        <f>$BK25/$BJ$20</f>
        <v>859.59432226224283</v>
      </c>
      <c r="BD41" s="9">
        <f>$BK25/$BJ$20</f>
        <v>859.59432226224283</v>
      </c>
      <c r="BE41" s="9">
        <f>$BK25/$BJ$20</f>
        <v>859.59432226224283</v>
      </c>
      <c r="BF41" s="9">
        <f>$BK25/$BJ$20</f>
        <v>859.59432226224283</v>
      </c>
      <c r="BG41" s="9">
        <f>$BK25/$BJ$20</f>
        <v>859.59432226224283</v>
      </c>
      <c r="BH41" s="9">
        <f>$BK25/$BJ$20</f>
        <v>859.59432226224283</v>
      </c>
      <c r="BI41" s="9">
        <f>$BK25/$BJ$20</f>
        <v>859.59432226224283</v>
      </c>
      <c r="BJ41" s="9">
        <f>$BK25/$BJ$20</f>
        <v>859.59432226224283</v>
      </c>
      <c r="BK41" s="23">
        <f t="shared" si="19"/>
        <v>51575.659335734636</v>
      </c>
      <c r="BL41" s="24"/>
      <c r="BM41" s="24"/>
    </row>
    <row r="42" spans="2:65" ht="15" customHeight="1" x14ac:dyDescent="0.25">
      <c r="B42" s="6">
        <v>5</v>
      </c>
      <c r="C42" s="9">
        <f>$BK26/$BJ$20</f>
        <v>11174.726189409161</v>
      </c>
      <c r="D42" s="9">
        <f>$BK26/$BJ$20</f>
        <v>11174.726189409161</v>
      </c>
      <c r="E42" s="9">
        <f>$BK26/$BJ$20</f>
        <v>11174.726189409161</v>
      </c>
      <c r="F42" s="9">
        <f>$BK26/$BJ$20</f>
        <v>11174.726189409161</v>
      </c>
      <c r="G42" s="9">
        <f>$BK26/$BJ$20</f>
        <v>11174.726189409161</v>
      </c>
      <c r="H42" s="9">
        <f>$BK26/$BJ$20</f>
        <v>11174.726189409161</v>
      </c>
      <c r="I42" s="9">
        <f>$BK26/$BJ$20</f>
        <v>11174.726189409161</v>
      </c>
      <c r="J42" s="9">
        <f>$BK26/$BJ$20</f>
        <v>11174.726189409161</v>
      </c>
      <c r="K42" s="9">
        <f>$BK26/$BJ$20</f>
        <v>11174.726189409161</v>
      </c>
      <c r="L42" s="9">
        <f>$BK26/$BJ$20</f>
        <v>11174.726189409161</v>
      </c>
      <c r="M42" s="9">
        <f>$BK26/$BJ$20</f>
        <v>11174.726189409161</v>
      </c>
      <c r="N42" s="9">
        <f>$BK26/$BJ$20</f>
        <v>11174.726189409161</v>
      </c>
      <c r="O42" s="9">
        <f>$BK26/$BJ$20</f>
        <v>11174.726189409161</v>
      </c>
      <c r="P42" s="9">
        <f>$BK26/$BJ$20</f>
        <v>11174.726189409161</v>
      </c>
      <c r="Q42" s="9">
        <f>$BK26/$BJ$20</f>
        <v>11174.726189409161</v>
      </c>
      <c r="R42" s="9">
        <f>$BK26/$BJ$20</f>
        <v>11174.726189409161</v>
      </c>
      <c r="S42" s="9">
        <f>$BK26/$BJ$20</f>
        <v>11174.726189409161</v>
      </c>
      <c r="T42" s="9">
        <f>$BK26/$BJ$20</f>
        <v>11174.726189409161</v>
      </c>
      <c r="U42" s="9">
        <f>$BK26/$BJ$20</f>
        <v>11174.726189409161</v>
      </c>
      <c r="V42" s="9">
        <f>$BK26/$BJ$20</f>
        <v>11174.726189409161</v>
      </c>
      <c r="W42" s="9">
        <f>$BK26/$BJ$20</f>
        <v>11174.726189409161</v>
      </c>
      <c r="X42" s="9">
        <f>$BK26/$BJ$20</f>
        <v>11174.726189409161</v>
      </c>
      <c r="Y42" s="9">
        <f>$BK26/$BJ$20</f>
        <v>11174.726189409161</v>
      </c>
      <c r="Z42" s="9">
        <f>$BK26/$BJ$20</f>
        <v>11174.726189409161</v>
      </c>
      <c r="AA42" s="9">
        <f>$BK26/$BJ$20</f>
        <v>11174.726189409161</v>
      </c>
      <c r="AB42" s="9">
        <f>$BK26/$BJ$20</f>
        <v>11174.726189409161</v>
      </c>
      <c r="AC42" s="9">
        <f>$BK26/$BJ$20</f>
        <v>11174.726189409161</v>
      </c>
      <c r="AD42" s="9">
        <f>$BK26/$BJ$20</f>
        <v>11174.726189409161</v>
      </c>
      <c r="AE42" s="9">
        <f>$BK26/$BJ$20</f>
        <v>11174.726189409161</v>
      </c>
      <c r="AF42" s="9">
        <f>$BK26/$BJ$20</f>
        <v>11174.726189409161</v>
      </c>
      <c r="AG42" s="9">
        <f>$BK26/$BJ$20</f>
        <v>11174.726189409161</v>
      </c>
      <c r="AH42" s="9">
        <f>$BK26/$BJ$20</f>
        <v>11174.726189409161</v>
      </c>
      <c r="AI42" s="9">
        <f>$BK26/$BJ$20</f>
        <v>11174.726189409161</v>
      </c>
      <c r="AJ42" s="9">
        <f>$BK26/$BJ$20</f>
        <v>11174.726189409161</v>
      </c>
      <c r="AK42" s="9">
        <f>$BK26/$BJ$20</f>
        <v>11174.726189409161</v>
      </c>
      <c r="AL42" s="9">
        <f>$BK26/$BJ$20</f>
        <v>11174.726189409161</v>
      </c>
      <c r="AM42" s="9">
        <f>$BK26/$BJ$20</f>
        <v>11174.726189409161</v>
      </c>
      <c r="AN42" s="9">
        <f>$BK26/$BJ$20</f>
        <v>11174.726189409161</v>
      </c>
      <c r="AO42" s="9">
        <f>$BK26/$BJ$20</f>
        <v>11174.726189409161</v>
      </c>
      <c r="AP42" s="9">
        <f>$BK26/$BJ$20</f>
        <v>11174.726189409161</v>
      </c>
      <c r="AQ42" s="9">
        <f>$BK26/$BJ$20</f>
        <v>11174.726189409161</v>
      </c>
      <c r="AR42" s="9">
        <f>$BK26/$BJ$20</f>
        <v>11174.726189409161</v>
      </c>
      <c r="AS42" s="9">
        <f>$BK26/$BJ$20</f>
        <v>11174.726189409161</v>
      </c>
      <c r="AT42" s="9">
        <f>$BK26/$BJ$20</f>
        <v>11174.726189409161</v>
      </c>
      <c r="AU42" s="9">
        <f>$BK26/$BJ$20</f>
        <v>11174.726189409161</v>
      </c>
      <c r="AV42" s="9">
        <f>$BK26/$BJ$20</f>
        <v>11174.726189409161</v>
      </c>
      <c r="AW42" s="9">
        <f>$BK26/$BJ$20</f>
        <v>11174.726189409161</v>
      </c>
      <c r="AX42" s="9">
        <f>$BK26/$BJ$20</f>
        <v>11174.726189409161</v>
      </c>
      <c r="AY42" s="9">
        <f>$BK26/$BJ$20</f>
        <v>11174.726189409161</v>
      </c>
      <c r="AZ42" s="9">
        <f>$BK26/$BJ$20</f>
        <v>11174.726189409161</v>
      </c>
      <c r="BA42" s="9">
        <f>$BK26/$BJ$20</f>
        <v>11174.726189409161</v>
      </c>
      <c r="BB42" s="9">
        <f>$BK26/$BJ$20</f>
        <v>11174.726189409161</v>
      </c>
      <c r="BC42" s="9">
        <f>$BK26/$BJ$20</f>
        <v>11174.726189409161</v>
      </c>
      <c r="BD42" s="9">
        <f>$BK26/$BJ$20</f>
        <v>11174.726189409161</v>
      </c>
      <c r="BE42" s="9">
        <f>$BK26/$BJ$20</f>
        <v>11174.726189409161</v>
      </c>
      <c r="BF42" s="9">
        <f>$BK26/$BJ$20</f>
        <v>11174.726189409161</v>
      </c>
      <c r="BG42" s="9">
        <f>$BK26/$BJ$20</f>
        <v>11174.726189409161</v>
      </c>
      <c r="BH42" s="9">
        <f>$BK26/$BJ$20</f>
        <v>11174.726189409161</v>
      </c>
      <c r="BI42" s="9">
        <f>$BK26/$BJ$20</f>
        <v>11174.726189409161</v>
      </c>
      <c r="BJ42" s="9">
        <f>$BK26/$BJ$20</f>
        <v>11174.726189409161</v>
      </c>
      <c r="BK42" s="23">
        <f t="shared" si="19"/>
        <v>670483.57136454922</v>
      </c>
      <c r="BL42" s="24"/>
      <c r="BM42" s="24"/>
    </row>
    <row r="43" spans="2:65" ht="15" customHeight="1" x14ac:dyDescent="0.25">
      <c r="B43" s="6">
        <v>6</v>
      </c>
      <c r="C43" s="9">
        <f>$BK27/$BJ$20</f>
        <v>8200.5298343817994</v>
      </c>
      <c r="D43" s="9">
        <f>$BK27/$BJ$20</f>
        <v>8200.5298343817994</v>
      </c>
      <c r="E43" s="9">
        <f>$BK27/$BJ$20</f>
        <v>8200.5298343817994</v>
      </c>
      <c r="F43" s="9">
        <f>$BK27/$BJ$20</f>
        <v>8200.5298343817994</v>
      </c>
      <c r="G43" s="9">
        <f>$BK27/$BJ$20</f>
        <v>8200.5298343817994</v>
      </c>
      <c r="H43" s="9">
        <f>$BK27/$BJ$20</f>
        <v>8200.5298343817994</v>
      </c>
      <c r="I43" s="9">
        <f>$BK27/$BJ$20</f>
        <v>8200.5298343817994</v>
      </c>
      <c r="J43" s="9">
        <f>$BK27/$BJ$20</f>
        <v>8200.5298343817994</v>
      </c>
      <c r="K43" s="9">
        <f>$BK27/$BJ$20</f>
        <v>8200.5298343817994</v>
      </c>
      <c r="L43" s="9">
        <f>$BK27/$BJ$20</f>
        <v>8200.5298343817994</v>
      </c>
      <c r="M43" s="9">
        <f>$BK27/$BJ$20</f>
        <v>8200.5298343817994</v>
      </c>
      <c r="N43" s="9">
        <f>$BK27/$BJ$20</f>
        <v>8200.5298343817994</v>
      </c>
      <c r="O43" s="9">
        <f>$BK27/$BJ$20</f>
        <v>8200.5298343817994</v>
      </c>
      <c r="P43" s="9">
        <f>$BK27/$BJ$20</f>
        <v>8200.5298343817994</v>
      </c>
      <c r="Q43" s="9">
        <f>$BK27/$BJ$20</f>
        <v>8200.5298343817994</v>
      </c>
      <c r="R43" s="9">
        <f>$BK27/$BJ$20</f>
        <v>8200.5298343817994</v>
      </c>
      <c r="S43" s="9">
        <f>$BK27/$BJ$20</f>
        <v>8200.5298343817994</v>
      </c>
      <c r="T43" s="9">
        <f>$BK27/$BJ$20</f>
        <v>8200.5298343817994</v>
      </c>
      <c r="U43" s="9">
        <f>$BK27/$BJ$20</f>
        <v>8200.5298343817994</v>
      </c>
      <c r="V43" s="9">
        <f>$BK27/$BJ$20</f>
        <v>8200.5298343817994</v>
      </c>
      <c r="W43" s="9">
        <f>$BK27/$BJ$20</f>
        <v>8200.5298343817994</v>
      </c>
      <c r="X43" s="9">
        <f>$BK27/$BJ$20</f>
        <v>8200.5298343817994</v>
      </c>
      <c r="Y43" s="9">
        <f>$BK27/$BJ$20</f>
        <v>8200.5298343817994</v>
      </c>
      <c r="Z43" s="9">
        <f>$BK27/$BJ$20</f>
        <v>8200.5298343817994</v>
      </c>
      <c r="AA43" s="9">
        <f>$BK27/$BJ$20</f>
        <v>8200.5298343817994</v>
      </c>
      <c r="AB43" s="9">
        <f>$BK27/$BJ$20</f>
        <v>8200.5298343817994</v>
      </c>
      <c r="AC43" s="9">
        <f>$BK27/$BJ$20</f>
        <v>8200.5298343817994</v>
      </c>
      <c r="AD43" s="9">
        <f>$BK27/$BJ$20</f>
        <v>8200.5298343817994</v>
      </c>
      <c r="AE43" s="9">
        <f>$BK27/$BJ$20</f>
        <v>8200.5298343817994</v>
      </c>
      <c r="AF43" s="9">
        <f>$BK27/$BJ$20</f>
        <v>8200.5298343817994</v>
      </c>
      <c r="AG43" s="9">
        <f>$BK27/$BJ$20</f>
        <v>8200.5298343817994</v>
      </c>
      <c r="AH43" s="9">
        <f>$BK27/$BJ$20</f>
        <v>8200.5298343817994</v>
      </c>
      <c r="AI43" s="9">
        <f>$BK27/$BJ$20</f>
        <v>8200.5298343817994</v>
      </c>
      <c r="AJ43" s="9">
        <f>$BK27/$BJ$20</f>
        <v>8200.5298343817994</v>
      </c>
      <c r="AK43" s="9">
        <f>$BK27/$BJ$20</f>
        <v>8200.5298343817994</v>
      </c>
      <c r="AL43" s="9">
        <f>$BK27/$BJ$20</f>
        <v>8200.5298343817994</v>
      </c>
      <c r="AM43" s="9">
        <f>$BK27/$BJ$20</f>
        <v>8200.5298343817994</v>
      </c>
      <c r="AN43" s="9">
        <f>$BK27/$BJ$20</f>
        <v>8200.5298343817994</v>
      </c>
      <c r="AO43" s="9">
        <f>$BK27/$BJ$20</f>
        <v>8200.5298343817994</v>
      </c>
      <c r="AP43" s="9">
        <f>$BK27/$BJ$20</f>
        <v>8200.5298343817994</v>
      </c>
      <c r="AQ43" s="9">
        <f>$BK27/$BJ$20</f>
        <v>8200.5298343817994</v>
      </c>
      <c r="AR43" s="9">
        <f>$BK27/$BJ$20</f>
        <v>8200.5298343817994</v>
      </c>
      <c r="AS43" s="9">
        <f>$BK27/$BJ$20</f>
        <v>8200.5298343817994</v>
      </c>
      <c r="AT43" s="9">
        <f>$BK27/$BJ$20</f>
        <v>8200.5298343817994</v>
      </c>
      <c r="AU43" s="9">
        <f>$BK27/$BJ$20</f>
        <v>8200.5298343817994</v>
      </c>
      <c r="AV43" s="9">
        <f>$BK27/$BJ$20</f>
        <v>8200.5298343817994</v>
      </c>
      <c r="AW43" s="9">
        <f>$BK27/$BJ$20</f>
        <v>8200.5298343817994</v>
      </c>
      <c r="AX43" s="9">
        <f>$BK27/$BJ$20</f>
        <v>8200.5298343817994</v>
      </c>
      <c r="AY43" s="9">
        <f>$BK27/$BJ$20</f>
        <v>8200.5298343817994</v>
      </c>
      <c r="AZ43" s="9">
        <f>$BK27/$BJ$20</f>
        <v>8200.5298343817994</v>
      </c>
      <c r="BA43" s="9">
        <f>$BK27/$BJ$20</f>
        <v>8200.5298343817994</v>
      </c>
      <c r="BB43" s="9">
        <f>$BK27/$BJ$20</f>
        <v>8200.5298343817994</v>
      </c>
      <c r="BC43" s="9">
        <f>$BK27/$BJ$20</f>
        <v>8200.5298343817994</v>
      </c>
      <c r="BD43" s="9">
        <f>$BK27/$BJ$20</f>
        <v>8200.5298343817994</v>
      </c>
      <c r="BE43" s="9">
        <f>$BK27/$BJ$20</f>
        <v>8200.5298343817994</v>
      </c>
      <c r="BF43" s="9">
        <f>$BK27/$BJ$20</f>
        <v>8200.5298343817994</v>
      </c>
      <c r="BG43" s="9">
        <f>$BK27/$BJ$20</f>
        <v>8200.5298343817994</v>
      </c>
      <c r="BH43" s="9">
        <f>$BK27/$BJ$20</f>
        <v>8200.5298343817994</v>
      </c>
      <c r="BI43" s="9">
        <f>$BK27/$BJ$20</f>
        <v>8200.5298343817994</v>
      </c>
      <c r="BJ43" s="9">
        <f>$BK27/$BJ$20</f>
        <v>8200.5298343817994</v>
      </c>
      <c r="BK43" s="23">
        <f t="shared" si="19"/>
        <v>492031.79006290715</v>
      </c>
      <c r="BL43" s="24"/>
      <c r="BM43" s="24"/>
    </row>
    <row r="44" spans="2:65" ht="15" customHeight="1" x14ac:dyDescent="0.25">
      <c r="B44" s="6">
        <v>7</v>
      </c>
      <c r="C44" s="9">
        <f>$BK28/$BJ$20</f>
        <v>3008.5801279178513</v>
      </c>
      <c r="D44" s="9">
        <f>$BK28/$BJ$20</f>
        <v>3008.5801279178513</v>
      </c>
      <c r="E44" s="9">
        <f>$BK28/$BJ$20</f>
        <v>3008.5801279178513</v>
      </c>
      <c r="F44" s="9">
        <f>$BK28/$BJ$20</f>
        <v>3008.5801279178513</v>
      </c>
      <c r="G44" s="9">
        <f>$BK28/$BJ$20</f>
        <v>3008.5801279178513</v>
      </c>
      <c r="H44" s="9">
        <f>$BK28/$BJ$20</f>
        <v>3008.5801279178513</v>
      </c>
      <c r="I44" s="9">
        <f>$BK28/$BJ$20</f>
        <v>3008.5801279178513</v>
      </c>
      <c r="J44" s="9">
        <f>$BK28/$BJ$20</f>
        <v>3008.5801279178513</v>
      </c>
      <c r="K44" s="9">
        <f>$BK28/$BJ$20</f>
        <v>3008.5801279178513</v>
      </c>
      <c r="L44" s="9">
        <f>$BK28/$BJ$20</f>
        <v>3008.5801279178513</v>
      </c>
      <c r="M44" s="9">
        <f>$BK28/$BJ$20</f>
        <v>3008.5801279178513</v>
      </c>
      <c r="N44" s="9">
        <f>$BK28/$BJ$20</f>
        <v>3008.5801279178513</v>
      </c>
      <c r="O44" s="9">
        <f>$BK28/$BJ$20</f>
        <v>3008.5801279178513</v>
      </c>
      <c r="P44" s="9">
        <f>$BK28/$BJ$20</f>
        <v>3008.5801279178513</v>
      </c>
      <c r="Q44" s="9">
        <f>$BK28/$BJ$20</f>
        <v>3008.5801279178513</v>
      </c>
      <c r="R44" s="9">
        <f>$BK28/$BJ$20</f>
        <v>3008.5801279178513</v>
      </c>
      <c r="S44" s="9">
        <f>$BK28/$BJ$20</f>
        <v>3008.5801279178513</v>
      </c>
      <c r="T44" s="9">
        <f>$BK28/$BJ$20</f>
        <v>3008.5801279178513</v>
      </c>
      <c r="U44" s="9">
        <f>$BK28/$BJ$20</f>
        <v>3008.5801279178513</v>
      </c>
      <c r="V44" s="9">
        <f>$BK28/$BJ$20</f>
        <v>3008.5801279178513</v>
      </c>
      <c r="W44" s="9">
        <f>$BK28/$BJ$20</f>
        <v>3008.5801279178513</v>
      </c>
      <c r="X44" s="9">
        <f>$BK28/$BJ$20</f>
        <v>3008.5801279178513</v>
      </c>
      <c r="Y44" s="9">
        <f>$BK28/$BJ$20</f>
        <v>3008.5801279178513</v>
      </c>
      <c r="Z44" s="9">
        <f>$BK28/$BJ$20</f>
        <v>3008.5801279178513</v>
      </c>
      <c r="AA44" s="9">
        <f>$BK28/$BJ$20</f>
        <v>3008.5801279178513</v>
      </c>
      <c r="AB44" s="9">
        <f>$BK28/$BJ$20</f>
        <v>3008.5801279178513</v>
      </c>
      <c r="AC44" s="9">
        <f>$BK28/$BJ$20</f>
        <v>3008.5801279178513</v>
      </c>
      <c r="AD44" s="9">
        <f>$BK28/$BJ$20</f>
        <v>3008.5801279178513</v>
      </c>
      <c r="AE44" s="9">
        <f>$BK28/$BJ$20</f>
        <v>3008.5801279178513</v>
      </c>
      <c r="AF44" s="9">
        <f>$BK28/$BJ$20</f>
        <v>3008.5801279178513</v>
      </c>
      <c r="AG44" s="9">
        <f>$BK28/$BJ$20</f>
        <v>3008.5801279178513</v>
      </c>
      <c r="AH44" s="9">
        <f>$BK28/$BJ$20</f>
        <v>3008.5801279178513</v>
      </c>
      <c r="AI44" s="9">
        <f>$BK28/$BJ$20</f>
        <v>3008.5801279178513</v>
      </c>
      <c r="AJ44" s="9">
        <f>$BK28/$BJ$20</f>
        <v>3008.5801279178513</v>
      </c>
      <c r="AK44" s="9">
        <f>$BK28/$BJ$20</f>
        <v>3008.5801279178513</v>
      </c>
      <c r="AL44" s="9">
        <f>$BK28/$BJ$20</f>
        <v>3008.5801279178513</v>
      </c>
      <c r="AM44" s="9">
        <f>$BK28/$BJ$20</f>
        <v>3008.5801279178513</v>
      </c>
      <c r="AN44" s="9">
        <f>$BK28/$BJ$20</f>
        <v>3008.5801279178513</v>
      </c>
      <c r="AO44" s="9">
        <f>$BK28/$BJ$20</f>
        <v>3008.5801279178513</v>
      </c>
      <c r="AP44" s="9">
        <f>$BK28/$BJ$20</f>
        <v>3008.5801279178513</v>
      </c>
      <c r="AQ44" s="9">
        <f>$BK28/$BJ$20</f>
        <v>3008.5801279178513</v>
      </c>
      <c r="AR44" s="9">
        <f>$BK28/$BJ$20</f>
        <v>3008.5801279178513</v>
      </c>
      <c r="AS44" s="9">
        <f>$BK28/$BJ$20</f>
        <v>3008.5801279178513</v>
      </c>
      <c r="AT44" s="9">
        <f>$BK28/$BJ$20</f>
        <v>3008.5801279178513</v>
      </c>
      <c r="AU44" s="9">
        <f>$BK28/$BJ$20</f>
        <v>3008.5801279178513</v>
      </c>
      <c r="AV44" s="9">
        <f>$BK28/$BJ$20</f>
        <v>3008.5801279178513</v>
      </c>
      <c r="AW44" s="9">
        <f>$BK28/$BJ$20</f>
        <v>3008.5801279178513</v>
      </c>
      <c r="AX44" s="9">
        <f>$BK28/$BJ$20</f>
        <v>3008.5801279178513</v>
      </c>
      <c r="AY44" s="9">
        <f>$BK28/$BJ$20</f>
        <v>3008.5801279178513</v>
      </c>
      <c r="AZ44" s="9">
        <f>$BK28/$BJ$20</f>
        <v>3008.5801279178513</v>
      </c>
      <c r="BA44" s="9">
        <f>$BK28/$BJ$20</f>
        <v>3008.5801279178513</v>
      </c>
      <c r="BB44" s="9">
        <f>$BK28/$BJ$20</f>
        <v>3008.5801279178513</v>
      </c>
      <c r="BC44" s="9">
        <f>$BK28/$BJ$20</f>
        <v>3008.5801279178513</v>
      </c>
      <c r="BD44" s="9">
        <f>$BK28/$BJ$20</f>
        <v>3008.5801279178513</v>
      </c>
      <c r="BE44" s="9">
        <f>$BK28/$BJ$20</f>
        <v>3008.5801279178513</v>
      </c>
      <c r="BF44" s="9">
        <f>$BK28/$BJ$20</f>
        <v>3008.5801279178513</v>
      </c>
      <c r="BG44" s="9">
        <f>$BK28/$BJ$20</f>
        <v>3008.5801279178513</v>
      </c>
      <c r="BH44" s="9">
        <f>$BK28/$BJ$20</f>
        <v>3008.5801279178513</v>
      </c>
      <c r="BI44" s="9">
        <f>$BK28/$BJ$20</f>
        <v>3008.5801279178513</v>
      </c>
      <c r="BJ44" s="9">
        <f>$BK28/$BJ$20</f>
        <v>3008.5801279178513</v>
      </c>
      <c r="BK44" s="23">
        <f t="shared" si="19"/>
        <v>180514.807675071</v>
      </c>
      <c r="BL44" s="24"/>
      <c r="BM44" s="24"/>
    </row>
    <row r="45" spans="2:65" ht="15" customHeight="1" x14ac:dyDescent="0.25">
      <c r="B45" s="6"/>
      <c r="C45" s="9">
        <f>$BK29/$BJ$20</f>
        <v>0</v>
      </c>
      <c r="D45" s="9">
        <f>$BK29/$BJ$20</f>
        <v>0</v>
      </c>
      <c r="E45" s="9">
        <f>$BK29/$BJ$20</f>
        <v>0</v>
      </c>
      <c r="F45" s="9">
        <f>$BK29/$BJ$20</f>
        <v>0</v>
      </c>
      <c r="G45" s="9">
        <f>$BK29/$BJ$20</f>
        <v>0</v>
      </c>
      <c r="H45" s="9">
        <f>$BK29/$BJ$20</f>
        <v>0</v>
      </c>
      <c r="I45" s="9">
        <f>$BK29/$BJ$20</f>
        <v>0</v>
      </c>
      <c r="J45" s="9">
        <f>$BK29/$BJ$20</f>
        <v>0</v>
      </c>
      <c r="K45" s="9">
        <f>$BK29/$BJ$20</f>
        <v>0</v>
      </c>
      <c r="L45" s="9">
        <f>$BK29/$BJ$20</f>
        <v>0</v>
      </c>
      <c r="M45" s="9">
        <f>$BK29/$BJ$20</f>
        <v>0</v>
      </c>
      <c r="N45" s="9">
        <f>$BK29/$BJ$20</f>
        <v>0</v>
      </c>
      <c r="O45" s="9">
        <f>$BK29/$BJ$20</f>
        <v>0</v>
      </c>
      <c r="P45" s="9">
        <f>$BK29/$BJ$20</f>
        <v>0</v>
      </c>
      <c r="Q45" s="9">
        <f>$BK29/$BJ$20</f>
        <v>0</v>
      </c>
      <c r="R45" s="9">
        <f>$BK29/$BJ$20</f>
        <v>0</v>
      </c>
      <c r="S45" s="9">
        <f>$BK29/$BJ$20</f>
        <v>0</v>
      </c>
      <c r="T45" s="9">
        <f>$BK29/$BJ$20</f>
        <v>0</v>
      </c>
      <c r="U45" s="9">
        <f>$BK29/$BJ$20</f>
        <v>0</v>
      </c>
      <c r="V45" s="9">
        <f>$BK29/$BJ$20</f>
        <v>0</v>
      </c>
      <c r="W45" s="9">
        <f>$BK29/$BJ$20</f>
        <v>0</v>
      </c>
      <c r="X45" s="9">
        <f>$BK29/$BJ$20</f>
        <v>0</v>
      </c>
      <c r="Y45" s="9">
        <f>$BK29/$BJ$20</f>
        <v>0</v>
      </c>
      <c r="Z45" s="9">
        <f>$BK29/$BJ$20</f>
        <v>0</v>
      </c>
      <c r="AA45" s="9">
        <f>$BK29/$BJ$20</f>
        <v>0</v>
      </c>
      <c r="AB45" s="9">
        <f>$BK29/$BJ$20</f>
        <v>0</v>
      </c>
      <c r="AC45" s="9">
        <f>$BK29/$BJ$20</f>
        <v>0</v>
      </c>
      <c r="AD45" s="9">
        <f>$BK29/$BJ$20</f>
        <v>0</v>
      </c>
      <c r="AE45" s="9">
        <f>$BK29/$BJ$20</f>
        <v>0</v>
      </c>
      <c r="AF45" s="9">
        <f>$BK29/$BJ$20</f>
        <v>0</v>
      </c>
      <c r="AG45" s="9">
        <f>$BK29/$BJ$20</f>
        <v>0</v>
      </c>
      <c r="AH45" s="9">
        <f>$BK29/$BJ$20</f>
        <v>0</v>
      </c>
      <c r="AI45" s="9">
        <f>$BK29/$BJ$20</f>
        <v>0</v>
      </c>
      <c r="AJ45" s="9">
        <f>$BK29/$BJ$20</f>
        <v>0</v>
      </c>
      <c r="AK45" s="9">
        <f>$BK29/$BJ$20</f>
        <v>0</v>
      </c>
      <c r="AL45" s="9">
        <f>$BK29/$BJ$20</f>
        <v>0</v>
      </c>
      <c r="AM45" s="9">
        <f>$BK29/$BJ$20</f>
        <v>0</v>
      </c>
      <c r="AN45" s="9">
        <f>$BK29/$BJ$20</f>
        <v>0</v>
      </c>
      <c r="AO45" s="9">
        <f>$BK29/$BJ$20</f>
        <v>0</v>
      </c>
      <c r="AP45" s="9">
        <f>$BK29/$BJ$20</f>
        <v>0</v>
      </c>
      <c r="AQ45" s="9">
        <f>$BK29/$BJ$20</f>
        <v>0</v>
      </c>
      <c r="AR45" s="9">
        <f>$BK29/$BJ$20</f>
        <v>0</v>
      </c>
      <c r="AS45" s="9">
        <f>$BK29/$BJ$20</f>
        <v>0</v>
      </c>
      <c r="AT45" s="9">
        <f>$BK29/$BJ$20</f>
        <v>0</v>
      </c>
      <c r="AU45" s="9">
        <f>$BK29/$BJ$20</f>
        <v>0</v>
      </c>
      <c r="AV45" s="9">
        <f>$BK29/$BJ$20</f>
        <v>0</v>
      </c>
      <c r="AW45" s="9">
        <f>$BK29/$BJ$20</f>
        <v>0</v>
      </c>
      <c r="AX45" s="9">
        <f>$BK29/$BJ$20</f>
        <v>0</v>
      </c>
      <c r="AY45" s="9">
        <f>$BK29/$BJ$20</f>
        <v>0</v>
      </c>
      <c r="AZ45" s="9">
        <f>$BK29/$BJ$20</f>
        <v>0</v>
      </c>
      <c r="BA45" s="9">
        <f>$BK29/$BJ$20</f>
        <v>0</v>
      </c>
      <c r="BB45" s="9">
        <f>$BK29/$BJ$20</f>
        <v>0</v>
      </c>
      <c r="BC45" s="9">
        <f>$BK29/$BJ$20</f>
        <v>0</v>
      </c>
      <c r="BD45" s="9">
        <f>$BK29/$BJ$20</f>
        <v>0</v>
      </c>
      <c r="BE45" s="9">
        <f>$BK29/$BJ$20</f>
        <v>0</v>
      </c>
      <c r="BF45" s="9">
        <f>$BK29/$BJ$20</f>
        <v>0</v>
      </c>
      <c r="BG45" s="9">
        <f>$BK29/$BJ$20</f>
        <v>0</v>
      </c>
      <c r="BH45" s="9">
        <f>$BK29/$BJ$20</f>
        <v>0</v>
      </c>
      <c r="BI45" s="9">
        <f>$BK29/$BJ$20</f>
        <v>0</v>
      </c>
      <c r="BJ45" s="9">
        <f>$BK29/$BJ$20</f>
        <v>0</v>
      </c>
      <c r="BK45" s="23">
        <f t="shared" si="19"/>
        <v>0</v>
      </c>
      <c r="BM45" s="24"/>
    </row>
    <row r="46" spans="2:65" ht="15" customHeight="1" x14ac:dyDescent="0.25">
      <c r="B46" s="6"/>
      <c r="C46" s="9">
        <f>$BK30/$BJ$20</f>
        <v>0</v>
      </c>
      <c r="D46" s="9">
        <f>$BK30/$BJ$20</f>
        <v>0</v>
      </c>
      <c r="E46" s="9">
        <f>$BK30/$BJ$20</f>
        <v>0</v>
      </c>
      <c r="F46" s="9">
        <f>$BK30/$BJ$20</f>
        <v>0</v>
      </c>
      <c r="G46" s="9">
        <f>$BK30/$BJ$20</f>
        <v>0</v>
      </c>
      <c r="H46" s="9">
        <f>$BK30/$BJ$20</f>
        <v>0</v>
      </c>
      <c r="I46" s="9">
        <f>$BK30/$BJ$20</f>
        <v>0</v>
      </c>
      <c r="J46" s="9">
        <f>$BK30/$BJ$20</f>
        <v>0</v>
      </c>
      <c r="K46" s="9">
        <f>$BK30/$BJ$20</f>
        <v>0</v>
      </c>
      <c r="L46" s="9">
        <f>$BK30/$BJ$20</f>
        <v>0</v>
      </c>
      <c r="M46" s="9">
        <f>$BK30/$BJ$20</f>
        <v>0</v>
      </c>
      <c r="N46" s="9">
        <f>$BK30/$BJ$20</f>
        <v>0</v>
      </c>
      <c r="O46" s="9">
        <f>$BK30/$BJ$20</f>
        <v>0</v>
      </c>
      <c r="P46" s="9">
        <f>$BK30/$BJ$20</f>
        <v>0</v>
      </c>
      <c r="Q46" s="9">
        <f>$BK30/$BJ$20</f>
        <v>0</v>
      </c>
      <c r="R46" s="9">
        <f>$BK30/$BJ$20</f>
        <v>0</v>
      </c>
      <c r="S46" s="9">
        <f>$BK30/$BJ$20</f>
        <v>0</v>
      </c>
      <c r="T46" s="9">
        <f>$BK30/$BJ$20</f>
        <v>0</v>
      </c>
      <c r="U46" s="9">
        <f>$BK30/$BJ$20</f>
        <v>0</v>
      </c>
      <c r="V46" s="9">
        <f>$BK30/$BJ$20</f>
        <v>0</v>
      </c>
      <c r="W46" s="9">
        <f>$BK30/$BJ$20</f>
        <v>0</v>
      </c>
      <c r="X46" s="9">
        <f>$BK30/$BJ$20</f>
        <v>0</v>
      </c>
      <c r="Y46" s="9">
        <f>$BK30/$BJ$20</f>
        <v>0</v>
      </c>
      <c r="Z46" s="9">
        <f>$BK30/$BJ$20</f>
        <v>0</v>
      </c>
      <c r="AA46" s="9">
        <f>$BK30/$BJ$20</f>
        <v>0</v>
      </c>
      <c r="AB46" s="9">
        <f>$BK30/$BJ$20</f>
        <v>0</v>
      </c>
      <c r="AC46" s="9">
        <f>$BK30/$BJ$20</f>
        <v>0</v>
      </c>
      <c r="AD46" s="9">
        <f>$BK30/$BJ$20</f>
        <v>0</v>
      </c>
      <c r="AE46" s="9">
        <f>$BK30/$BJ$20</f>
        <v>0</v>
      </c>
      <c r="AF46" s="9">
        <f>$BK30/$BJ$20</f>
        <v>0</v>
      </c>
      <c r="AG46" s="9">
        <f>$BK30/$BJ$20</f>
        <v>0</v>
      </c>
      <c r="AH46" s="9">
        <f>$BK30/$BJ$20</f>
        <v>0</v>
      </c>
      <c r="AI46" s="9">
        <f>$BK30/$BJ$20</f>
        <v>0</v>
      </c>
      <c r="AJ46" s="9">
        <f>$BK30/$BJ$20</f>
        <v>0</v>
      </c>
      <c r="AK46" s="9">
        <f>$BK30/$BJ$20</f>
        <v>0</v>
      </c>
      <c r="AL46" s="9">
        <f>$BK30/$BJ$20</f>
        <v>0</v>
      </c>
      <c r="AM46" s="9">
        <f>$BK30/$BJ$20</f>
        <v>0</v>
      </c>
      <c r="AN46" s="9">
        <f>$BK30/$BJ$20</f>
        <v>0</v>
      </c>
      <c r="AO46" s="9">
        <f>$BK30/$BJ$20</f>
        <v>0</v>
      </c>
      <c r="AP46" s="9">
        <f>$BK30/$BJ$20</f>
        <v>0</v>
      </c>
      <c r="AQ46" s="9">
        <f>$BK30/$BJ$20</f>
        <v>0</v>
      </c>
      <c r="AR46" s="9">
        <f>$BK30/$BJ$20</f>
        <v>0</v>
      </c>
      <c r="AS46" s="9">
        <f>$BK30/$BJ$20</f>
        <v>0</v>
      </c>
      <c r="AT46" s="9">
        <f>$BK30/$BJ$20</f>
        <v>0</v>
      </c>
      <c r="AU46" s="9">
        <f>$BK30/$BJ$20</f>
        <v>0</v>
      </c>
      <c r="AV46" s="9">
        <f>$BK30/$BJ$20</f>
        <v>0</v>
      </c>
      <c r="AW46" s="9">
        <f>$BK30/$BJ$20</f>
        <v>0</v>
      </c>
      <c r="AX46" s="9">
        <f>$BK30/$BJ$20</f>
        <v>0</v>
      </c>
      <c r="AY46" s="9">
        <f>$BK30/$BJ$20</f>
        <v>0</v>
      </c>
      <c r="AZ46" s="9">
        <f>$BK30/$BJ$20</f>
        <v>0</v>
      </c>
      <c r="BA46" s="9">
        <f>$BK30/$BJ$20</f>
        <v>0</v>
      </c>
      <c r="BB46" s="9">
        <f>$BK30/$BJ$20</f>
        <v>0</v>
      </c>
      <c r="BC46" s="9">
        <f>$BK30/$BJ$20</f>
        <v>0</v>
      </c>
      <c r="BD46" s="9">
        <f>$BK30/$BJ$20</f>
        <v>0</v>
      </c>
      <c r="BE46" s="9">
        <f>$BK30/$BJ$20</f>
        <v>0</v>
      </c>
      <c r="BF46" s="9">
        <f>$BK30/$BJ$20</f>
        <v>0</v>
      </c>
      <c r="BG46" s="9">
        <f>$BK30/$BJ$20</f>
        <v>0</v>
      </c>
      <c r="BH46" s="9">
        <f>$BK30/$BJ$20</f>
        <v>0</v>
      </c>
      <c r="BI46" s="9">
        <f>$BK30/$BJ$20</f>
        <v>0</v>
      </c>
      <c r="BJ46" s="9">
        <f>$BK30/$BJ$20</f>
        <v>0</v>
      </c>
      <c r="BK46" s="23">
        <f t="shared" si="19"/>
        <v>0</v>
      </c>
      <c r="BM46" s="24"/>
    </row>
    <row r="47" spans="2:65" ht="15" customHeight="1" x14ac:dyDescent="0.25">
      <c r="B47" s="6"/>
      <c r="C47" s="9">
        <f>$BK31/$BJ$20</f>
        <v>0</v>
      </c>
      <c r="D47" s="9">
        <f>$BK31/$BJ$20</f>
        <v>0</v>
      </c>
      <c r="E47" s="9">
        <f>$BK31/$BJ$20</f>
        <v>0</v>
      </c>
      <c r="F47" s="9">
        <f>$BK31/$BJ$20</f>
        <v>0</v>
      </c>
      <c r="G47" s="9">
        <f>$BK31/$BJ$20</f>
        <v>0</v>
      </c>
      <c r="H47" s="9">
        <f>$BK31/$BJ$20</f>
        <v>0</v>
      </c>
      <c r="I47" s="9">
        <f>$BK31/$BJ$20</f>
        <v>0</v>
      </c>
      <c r="J47" s="9">
        <f>$BK31/$BJ$20</f>
        <v>0</v>
      </c>
      <c r="K47" s="9">
        <f>$BK31/$BJ$20</f>
        <v>0</v>
      </c>
      <c r="L47" s="9">
        <f>$BK31/$BJ$20</f>
        <v>0</v>
      </c>
      <c r="M47" s="9">
        <f>$BK31/$BJ$20</f>
        <v>0</v>
      </c>
      <c r="N47" s="9">
        <f>$BK31/$BJ$20</f>
        <v>0</v>
      </c>
      <c r="O47" s="9">
        <f>$BK31/$BJ$20</f>
        <v>0</v>
      </c>
      <c r="P47" s="9">
        <f>$BK31/$BJ$20</f>
        <v>0</v>
      </c>
      <c r="Q47" s="9">
        <f>$BK31/$BJ$20</f>
        <v>0</v>
      </c>
      <c r="R47" s="9">
        <f>$BK31/$BJ$20</f>
        <v>0</v>
      </c>
      <c r="S47" s="9">
        <f>$BK31/$BJ$20</f>
        <v>0</v>
      </c>
      <c r="T47" s="9">
        <f>$BK31/$BJ$20</f>
        <v>0</v>
      </c>
      <c r="U47" s="9">
        <f>$BK31/$BJ$20</f>
        <v>0</v>
      </c>
      <c r="V47" s="9">
        <f>$BK31/$BJ$20</f>
        <v>0</v>
      </c>
      <c r="W47" s="9">
        <f>$BK31/$BJ$20</f>
        <v>0</v>
      </c>
      <c r="X47" s="9">
        <f>$BK31/$BJ$20</f>
        <v>0</v>
      </c>
      <c r="Y47" s="9">
        <f>$BK31/$BJ$20</f>
        <v>0</v>
      </c>
      <c r="Z47" s="9">
        <f>$BK31/$BJ$20</f>
        <v>0</v>
      </c>
      <c r="AA47" s="9">
        <f>$BK31/$BJ$20</f>
        <v>0</v>
      </c>
      <c r="AB47" s="9">
        <f>$BK31/$BJ$20</f>
        <v>0</v>
      </c>
      <c r="AC47" s="9">
        <f>$BK31/$BJ$20</f>
        <v>0</v>
      </c>
      <c r="AD47" s="9">
        <f>$BK31/$BJ$20</f>
        <v>0</v>
      </c>
      <c r="AE47" s="9">
        <f>$BK31/$BJ$20</f>
        <v>0</v>
      </c>
      <c r="AF47" s="9">
        <f>$BK31/$BJ$20</f>
        <v>0</v>
      </c>
      <c r="AG47" s="9">
        <f>$BK31/$BJ$20</f>
        <v>0</v>
      </c>
      <c r="AH47" s="9">
        <f>$BK31/$BJ$20</f>
        <v>0</v>
      </c>
      <c r="AI47" s="9">
        <f>$BK31/$BJ$20</f>
        <v>0</v>
      </c>
      <c r="AJ47" s="9">
        <f>$BK31/$BJ$20</f>
        <v>0</v>
      </c>
      <c r="AK47" s="9">
        <f>$BK31/$BJ$20</f>
        <v>0</v>
      </c>
      <c r="AL47" s="9">
        <f>$BK31/$BJ$20</f>
        <v>0</v>
      </c>
      <c r="AM47" s="9">
        <f>$BK31/$BJ$20</f>
        <v>0</v>
      </c>
      <c r="AN47" s="9">
        <f>$BK31/$BJ$20</f>
        <v>0</v>
      </c>
      <c r="AO47" s="9">
        <f>$BK31/$BJ$20</f>
        <v>0</v>
      </c>
      <c r="AP47" s="9">
        <f>$BK31/$BJ$20</f>
        <v>0</v>
      </c>
      <c r="AQ47" s="9">
        <f>$BK31/$BJ$20</f>
        <v>0</v>
      </c>
      <c r="AR47" s="9">
        <f>$BK31/$BJ$20</f>
        <v>0</v>
      </c>
      <c r="AS47" s="9">
        <f>$BK31/$BJ$20</f>
        <v>0</v>
      </c>
      <c r="AT47" s="9">
        <f>$BK31/$BJ$20</f>
        <v>0</v>
      </c>
      <c r="AU47" s="9">
        <f>$BK31/$BJ$20</f>
        <v>0</v>
      </c>
      <c r="AV47" s="9">
        <f>$BK31/$BJ$20</f>
        <v>0</v>
      </c>
      <c r="AW47" s="9">
        <f>$BK31/$BJ$20</f>
        <v>0</v>
      </c>
      <c r="AX47" s="9">
        <f>$BK31/$BJ$20</f>
        <v>0</v>
      </c>
      <c r="AY47" s="9">
        <f>$BK31/$BJ$20</f>
        <v>0</v>
      </c>
      <c r="AZ47" s="9">
        <f>$BK31/$BJ$20</f>
        <v>0</v>
      </c>
      <c r="BA47" s="9">
        <f>$BK31/$BJ$20</f>
        <v>0</v>
      </c>
      <c r="BB47" s="9">
        <f>$BK31/$BJ$20</f>
        <v>0</v>
      </c>
      <c r="BC47" s="9">
        <f>$BK31/$BJ$20</f>
        <v>0</v>
      </c>
      <c r="BD47" s="9">
        <f>$BK31/$BJ$20</f>
        <v>0</v>
      </c>
      <c r="BE47" s="9">
        <f>$BK31/$BJ$20</f>
        <v>0</v>
      </c>
      <c r="BF47" s="9">
        <f>$BK31/$BJ$20</f>
        <v>0</v>
      </c>
      <c r="BG47" s="9">
        <f>$BK31/$BJ$20</f>
        <v>0</v>
      </c>
      <c r="BH47" s="9">
        <f>$BK31/$BJ$20</f>
        <v>0</v>
      </c>
      <c r="BI47" s="9">
        <f>$BK31/$BJ$20</f>
        <v>0</v>
      </c>
      <c r="BJ47" s="9">
        <f>$BK31/$BJ$20</f>
        <v>0</v>
      </c>
      <c r="BK47" s="23">
        <f t="shared" si="19"/>
        <v>0</v>
      </c>
      <c r="BM47" s="24"/>
    </row>
    <row r="48" spans="2:65" ht="18" customHeight="1" x14ac:dyDescent="0.25">
      <c r="B48" s="25" t="s">
        <v>72</v>
      </c>
      <c r="C48" s="23">
        <f>SUM(C38:C47)</f>
        <v>48635.846753597718</v>
      </c>
      <c r="D48" s="23">
        <f>SUM(D38:D47)</f>
        <v>48635.846753597718</v>
      </c>
      <c r="E48" s="23">
        <f>SUM(E38:E47)</f>
        <v>48635.846753597718</v>
      </c>
      <c r="F48" s="23">
        <f>SUM(F38:F47)</f>
        <v>48635.846753597718</v>
      </c>
      <c r="G48" s="23">
        <f>SUM(G38:G47)</f>
        <v>48635.846753597718</v>
      </c>
      <c r="H48" s="23">
        <f>SUM(H38:H47)</f>
        <v>48635.846753597718</v>
      </c>
      <c r="I48" s="23">
        <f>SUM(I38:I47)</f>
        <v>48635.846753597718</v>
      </c>
      <c r="J48" s="23">
        <f>SUM(J38:J47)</f>
        <v>48635.846753597718</v>
      </c>
      <c r="K48" s="23">
        <f>SUM(K38:K47)</f>
        <v>48635.846753597718</v>
      </c>
      <c r="L48" s="23">
        <f>SUM(L38:L47)</f>
        <v>48635.846753597718</v>
      </c>
      <c r="M48" s="23">
        <f>SUM(M38:M47)</f>
        <v>48635.846753597718</v>
      </c>
      <c r="N48" s="23">
        <f>SUM(N38:N47)</f>
        <v>48635.846753597718</v>
      </c>
      <c r="O48" s="23">
        <f>SUM(O38:O47)</f>
        <v>48635.846753597718</v>
      </c>
      <c r="P48" s="23">
        <f>SUM(P38:P47)</f>
        <v>48635.846753597718</v>
      </c>
      <c r="Q48" s="23">
        <f>SUM(Q38:Q47)</f>
        <v>48635.846753597718</v>
      </c>
      <c r="R48" s="23">
        <f>SUM(R38:R47)</f>
        <v>48635.846753597718</v>
      </c>
      <c r="S48" s="23">
        <f>SUM(S38:S47)</f>
        <v>48635.846753597718</v>
      </c>
      <c r="T48" s="23">
        <f>SUM(T38:T47)</f>
        <v>48635.846753597718</v>
      </c>
      <c r="U48" s="23">
        <f>SUM(U38:U47)</f>
        <v>48635.846753597718</v>
      </c>
      <c r="V48" s="23">
        <f>SUM(V38:V47)</f>
        <v>48635.846753597718</v>
      </c>
      <c r="W48" s="23">
        <f>SUM(W38:W47)</f>
        <v>48635.846753597718</v>
      </c>
      <c r="X48" s="23">
        <f>SUM(X38:X47)</f>
        <v>48635.846753597718</v>
      </c>
      <c r="Y48" s="23">
        <f>SUM(Y38:Y47)</f>
        <v>48635.846753597718</v>
      </c>
      <c r="Z48" s="23">
        <f>SUM(Z38:Z47)</f>
        <v>48635.846753597718</v>
      </c>
      <c r="AA48" s="23">
        <f>SUM(AA38:AA47)</f>
        <v>48635.846753597718</v>
      </c>
      <c r="AB48" s="23">
        <f>SUM(AB38:AB47)</f>
        <v>48635.846753597718</v>
      </c>
      <c r="AC48" s="23">
        <f>SUM(AC38:AC47)</f>
        <v>48635.846753597718</v>
      </c>
      <c r="AD48" s="23">
        <f>SUM(AD38:AD47)</f>
        <v>48635.846753597718</v>
      </c>
      <c r="AE48" s="23">
        <f>SUM(AE38:AE47)</f>
        <v>48635.846753597718</v>
      </c>
      <c r="AF48" s="23">
        <f>SUM(AF38:AF47)</f>
        <v>48635.846753597718</v>
      </c>
      <c r="AG48" s="23">
        <f>SUM(AG38:AG47)</f>
        <v>48635.846753597718</v>
      </c>
      <c r="AH48" s="23">
        <f>SUM(AH38:AH47)</f>
        <v>48635.846753597718</v>
      </c>
      <c r="AI48" s="23">
        <f>SUM(AI38:AI47)</f>
        <v>48635.846753597718</v>
      </c>
      <c r="AJ48" s="23">
        <f>SUM(AJ38:AJ47)</f>
        <v>48635.846753597718</v>
      </c>
      <c r="AK48" s="23">
        <f>SUM(AK38:AK47)</f>
        <v>48635.846753597718</v>
      </c>
      <c r="AL48" s="23">
        <f>SUM(AL38:AL47)</f>
        <v>48635.846753597718</v>
      </c>
      <c r="AM48" s="23">
        <f>SUM(AM38:AM47)</f>
        <v>48635.846753597718</v>
      </c>
      <c r="AN48" s="23">
        <f>SUM(AN38:AN47)</f>
        <v>48635.846753597718</v>
      </c>
      <c r="AO48" s="23">
        <f>SUM(AO38:AO47)</f>
        <v>48635.846753597718</v>
      </c>
      <c r="AP48" s="23">
        <f>SUM(AP38:AP47)</f>
        <v>48635.846753597718</v>
      </c>
      <c r="AQ48" s="23">
        <f>SUM(AQ38:AQ47)</f>
        <v>48635.846753597718</v>
      </c>
      <c r="AR48" s="23">
        <f>SUM(AR38:AR47)</f>
        <v>48635.846753597718</v>
      </c>
      <c r="AS48" s="23">
        <f>SUM(AS38:AS47)</f>
        <v>48635.846753597718</v>
      </c>
      <c r="AT48" s="23">
        <f>SUM(AT38:AT47)</f>
        <v>48635.846753597718</v>
      </c>
      <c r="AU48" s="23">
        <f>SUM(AU38:AU47)</f>
        <v>48635.846753597718</v>
      </c>
      <c r="AV48" s="23">
        <f>SUM(AV38:AV47)</f>
        <v>48635.846753597718</v>
      </c>
      <c r="AW48" s="23">
        <f>SUM(AW38:AW47)</f>
        <v>48635.846753597718</v>
      </c>
      <c r="AX48" s="23">
        <f>SUM(AX38:AX47)</f>
        <v>48635.846753597718</v>
      </c>
      <c r="AY48" s="23">
        <f>SUM(AY38:AY47)</f>
        <v>48635.846753597718</v>
      </c>
      <c r="AZ48" s="23">
        <f>SUM(AZ38:AZ47)</f>
        <v>48635.846753597718</v>
      </c>
      <c r="BA48" s="23">
        <f>SUM(BA38:BA47)</f>
        <v>48635.846753597718</v>
      </c>
      <c r="BB48" s="23">
        <f>SUM(BB38:BB47)</f>
        <v>48635.846753597718</v>
      </c>
      <c r="BC48" s="23">
        <f>SUM(BC38:BC47)</f>
        <v>48635.846753597718</v>
      </c>
      <c r="BD48" s="23">
        <f>SUM(BD38:BD47)</f>
        <v>48635.846753597718</v>
      </c>
      <c r="BE48" s="23">
        <f>SUM(BE38:BE47)</f>
        <v>48635.846753597718</v>
      </c>
      <c r="BF48" s="23">
        <f>SUM(BF38:BF47)</f>
        <v>48635.846753597718</v>
      </c>
      <c r="BG48" s="23">
        <f>SUM(BG38:BG47)</f>
        <v>48635.846753597718</v>
      </c>
      <c r="BH48" s="23">
        <f>SUM(BH38:BH47)</f>
        <v>48635.846753597718</v>
      </c>
      <c r="BI48" s="23">
        <f>SUM(BI38:BI47)</f>
        <v>48635.846753597718</v>
      </c>
      <c r="BJ48" s="23">
        <f>SUM(BJ38:BJ47)</f>
        <v>48635.846753597718</v>
      </c>
      <c r="BK48" s="23">
        <f>SUM(BK38:BK47)</f>
        <v>2918150.8052158607</v>
      </c>
    </row>
    <row r="51" spans="2:65" ht="15" customHeight="1" x14ac:dyDescent="0.25">
      <c r="B51" s="28" t="s">
        <v>74</v>
      </c>
      <c r="C51" s="29"/>
      <c r="D51" s="29"/>
      <c r="E51" s="29"/>
      <c r="F51" s="29"/>
      <c r="G51" s="29"/>
      <c r="H51" s="29"/>
      <c r="I51" s="29"/>
    </row>
    <row r="52" spans="2:65" ht="6" customHeight="1" x14ac:dyDescent="0.25"/>
    <row r="53" spans="2:65" ht="33" customHeight="1" x14ac:dyDescent="0.25">
      <c r="B53" s="5" t="s">
        <v>53</v>
      </c>
      <c r="C53" s="16">
        <v>43466</v>
      </c>
      <c r="D53" s="16">
        <v>43497</v>
      </c>
      <c r="E53" s="16">
        <v>43525</v>
      </c>
      <c r="F53" s="16">
        <v>43556</v>
      </c>
      <c r="G53" s="16">
        <v>43586</v>
      </c>
      <c r="H53" s="16">
        <v>43617</v>
      </c>
      <c r="I53" s="16">
        <v>43647</v>
      </c>
      <c r="J53" s="16">
        <v>43678</v>
      </c>
      <c r="K53" s="16">
        <v>43709</v>
      </c>
      <c r="L53" s="16">
        <v>43739</v>
      </c>
      <c r="M53" s="16">
        <v>43770</v>
      </c>
      <c r="N53" s="16">
        <v>43800</v>
      </c>
      <c r="O53" s="16">
        <v>43831</v>
      </c>
      <c r="P53" s="16">
        <v>43862</v>
      </c>
      <c r="Q53" s="16">
        <v>43891</v>
      </c>
      <c r="R53" s="16">
        <v>43922</v>
      </c>
      <c r="S53" s="16">
        <v>43952</v>
      </c>
      <c r="T53" s="16">
        <v>43983</v>
      </c>
      <c r="U53" s="16">
        <v>44013</v>
      </c>
      <c r="V53" s="16">
        <v>44044</v>
      </c>
      <c r="W53" s="16">
        <v>44075</v>
      </c>
      <c r="X53" s="16">
        <v>44105</v>
      </c>
      <c r="Y53" s="16">
        <v>44136</v>
      </c>
      <c r="Z53" s="16">
        <v>44166</v>
      </c>
      <c r="AA53" s="16">
        <v>44197</v>
      </c>
      <c r="AB53" s="16">
        <v>44228</v>
      </c>
      <c r="AC53" s="16">
        <v>44256</v>
      </c>
      <c r="AD53" s="16">
        <v>44287</v>
      </c>
      <c r="AE53" s="16">
        <v>44317</v>
      </c>
      <c r="AF53" s="16">
        <v>44348</v>
      </c>
      <c r="AG53" s="16">
        <v>44378</v>
      </c>
      <c r="AH53" s="16">
        <v>44409</v>
      </c>
      <c r="AI53" s="16">
        <v>44440</v>
      </c>
      <c r="AJ53" s="16">
        <v>44470</v>
      </c>
      <c r="AK53" s="16">
        <v>44501</v>
      </c>
      <c r="AL53" s="16">
        <v>44531</v>
      </c>
      <c r="AM53" s="16">
        <v>44562</v>
      </c>
      <c r="AN53" s="16">
        <v>44593</v>
      </c>
      <c r="AO53" s="16">
        <v>44621</v>
      </c>
      <c r="AP53" s="16">
        <v>44652</v>
      </c>
      <c r="AQ53" s="16">
        <v>44682</v>
      </c>
      <c r="AR53" s="16">
        <v>44713</v>
      </c>
      <c r="AS53" s="16">
        <v>44743</v>
      </c>
      <c r="AT53" s="16">
        <v>44774</v>
      </c>
      <c r="AU53" s="16">
        <v>44805</v>
      </c>
      <c r="AV53" s="16">
        <v>44835</v>
      </c>
      <c r="AW53" s="16">
        <v>44866</v>
      </c>
      <c r="AX53" s="16">
        <v>44896</v>
      </c>
      <c r="AY53" s="16">
        <v>44927</v>
      </c>
      <c r="AZ53" s="16">
        <v>44958</v>
      </c>
      <c r="BA53" s="16">
        <v>44986</v>
      </c>
      <c r="BB53" s="16">
        <v>45017</v>
      </c>
      <c r="BC53" s="16">
        <v>45047</v>
      </c>
      <c r="BD53" s="16">
        <v>45078</v>
      </c>
      <c r="BE53" s="16">
        <v>45108</v>
      </c>
      <c r="BF53" s="16">
        <v>45139</v>
      </c>
      <c r="BG53" s="16">
        <v>45170</v>
      </c>
      <c r="BH53" s="16">
        <v>45200</v>
      </c>
      <c r="BI53" s="16">
        <v>45231</v>
      </c>
      <c r="BJ53" s="16">
        <v>45261</v>
      </c>
      <c r="BK53" s="16" t="s">
        <v>72</v>
      </c>
    </row>
    <row r="54" spans="2:65" ht="15" customHeight="1" x14ac:dyDescent="0.25">
      <c r="B54" s="6">
        <v>1</v>
      </c>
      <c r="C54" s="9">
        <f>SUM($C22:$BJ22)*Premissas!$N$20</f>
        <v>4067.8486595676504</v>
      </c>
      <c r="D54" s="9">
        <f>C150*Premissas!$N$20</f>
        <v>4022.6079171101701</v>
      </c>
      <c r="E54" s="9">
        <f>D150*Premissas!$N$20</f>
        <v>3976.993149036296</v>
      </c>
      <c r="F54" s="9">
        <f>E150*Premissas!$N$20</f>
        <v>3931.0012631076142</v>
      </c>
      <c r="G54" s="9">
        <f>F150*Premissas!$N$20</f>
        <v>3884.6291415207816</v>
      </c>
      <c r="H54" s="9">
        <f>G150*Premissas!$N$20</f>
        <v>3837.8736406961675</v>
      </c>
      <c r="I54" s="9">
        <f>H150*Premissas!$N$20</f>
        <v>3790.7315910647526</v>
      </c>
      <c r="J54" s="9">
        <f>I150*Premissas!$N$20</f>
        <v>3743.1997968532614</v>
      </c>
      <c r="K54" s="9">
        <f>J150*Premissas!$N$20</f>
        <v>3695.2750358675185</v>
      </c>
      <c r="L54" s="9">
        <f>K150*Premissas!$N$20</f>
        <v>3646.9540592740182</v>
      </c>
      <c r="M54" s="9">
        <f>L150*Premissas!$N$20</f>
        <v>3598.2335913796819</v>
      </c>
      <c r="N54" s="9">
        <f>M150*Premissas!$N$20</f>
        <v>3549.1103294097993</v>
      </c>
      <c r="O54" s="9">
        <f>N150*Premissas!$N$20</f>
        <v>3499.5809432841343</v>
      </c>
      <c r="P54" s="9">
        <f>O150*Premissas!$N$20</f>
        <v>3445.7271848572582</v>
      </c>
      <c r="Q54" s="9">
        <f>P150*Premissas!$N$20</f>
        <v>3391.4281931274672</v>
      </c>
      <c r="R54" s="9">
        <f>Q150*Premissas!$N$20</f>
        <v>3336.6802871502928</v>
      </c>
      <c r="S54" s="9">
        <f>R150*Premissas!$N$20</f>
        <v>3281.4797555492451</v>
      </c>
      <c r="T54" s="9">
        <f>S150*Premissas!$N$20</f>
        <v>3225.8228562642062</v>
      </c>
      <c r="U54" s="9">
        <f>T150*Premissas!$N$20</f>
        <v>3169.7058162977637</v>
      </c>
      <c r="V54" s="9">
        <f>U150*Premissas!$N$20</f>
        <v>3113.1248314594295</v>
      </c>
      <c r="W54" s="9">
        <f>V150*Premissas!$N$20</f>
        <v>3056.0760661077643</v>
      </c>
      <c r="X54" s="9">
        <f>W150*Premissas!$N$20</f>
        <v>2998.5556528903453</v>
      </c>
      <c r="Y54" s="9">
        <f>X150*Premissas!$N$20</f>
        <v>2940.5596924816073</v>
      </c>
      <c r="Z54" s="9">
        <f>Y150*Premissas!$N$20</f>
        <v>2882.0842533185009</v>
      </c>
      <c r="AA54" s="9">
        <f>Z150*Premissas!$N$20</f>
        <v>2823.1253713339725</v>
      </c>
      <c r="AB54" s="9">
        <f>AA150*Premissas!$N$20</f>
        <v>2759.5698383731365</v>
      </c>
      <c r="AC54" s="9">
        <f>AB150*Premissas!$N$20</f>
        <v>2695.4888631649001</v>
      </c>
      <c r="AD54" s="9">
        <f>AC150*Premissas!$N$20</f>
        <v>2630.87810164129</v>
      </c>
      <c r="AE54" s="9">
        <f>AD150*Premissas!$N$20</f>
        <v>2565.7331738199618</v>
      </c>
      <c r="AF54" s="9">
        <f>AE150*Premissas!$N$20</f>
        <v>2500.0496635072832</v>
      </c>
      <c r="AG54" s="9">
        <f>AF150*Premissas!$N$20</f>
        <v>2433.823117998958</v>
      </c>
      <c r="AH54" s="9">
        <f>AG150*Premissas!$N$20</f>
        <v>2367.0490477781764</v>
      </c>
      <c r="AI54" s="9">
        <f>AH150*Premissas!$N$20</f>
        <v>2299.7229262112669</v>
      </c>
      <c r="AJ54" s="9">
        <f>AI150*Premissas!$N$20</f>
        <v>2231.8401892408401</v>
      </c>
      <c r="AK54" s="9">
        <f>AJ150*Premissas!$N$20</f>
        <v>2163.3962350763813</v>
      </c>
      <c r="AL54" s="9">
        <f>AK150*Premissas!$N$20</f>
        <v>2094.3864238823044</v>
      </c>
      <c r="AM54" s="9">
        <f>AL150*Premissas!$N$20</f>
        <v>2024.8060774634046</v>
      </c>
      <c r="AN54" s="9">
        <f>AM150*Premissas!$N$20</f>
        <v>1950.3373014818796</v>
      </c>
      <c r="AO54" s="9">
        <f>AN150*Premissas!$N$20</f>
        <v>1875.2528585522546</v>
      </c>
      <c r="AP54" s="9">
        <f>AO150*Premissas!$N$20</f>
        <v>1799.5476586782731</v>
      </c>
      <c r="AQ54" s="9">
        <f>AP150*Premissas!$N$20</f>
        <v>1723.2165697823846</v>
      </c>
      <c r="AR54" s="9">
        <f>AQ150*Premissas!$N$20</f>
        <v>1646.254417357839</v>
      </c>
      <c r="AS54" s="9">
        <f>AR150*Premissas!$N$20</f>
        <v>1568.6559841179064</v>
      </c>
      <c r="AT54" s="9">
        <f>AS150*Premissas!$N$20</f>
        <v>1490.4160096421954</v>
      </c>
      <c r="AU54" s="9">
        <f>AT150*Premissas!$N$20</f>
        <v>1411.529190020045</v>
      </c>
      <c r="AV54" s="9">
        <f>AU150*Premissas!$N$20</f>
        <v>1331.9901774909761</v>
      </c>
      <c r="AW54" s="9">
        <f>AV150*Premissas!$N$20</f>
        <v>1251.7935800821613</v>
      </c>
      <c r="AX54" s="9">
        <f>AW150*Premissas!$N$20</f>
        <v>1170.9339612429023</v>
      </c>
      <c r="AY54" s="9">
        <f>AX150*Premissas!$N$20</f>
        <v>1089.4058394760862</v>
      </c>
      <c r="AZ54" s="9">
        <f>AY150*Premissas!$N$20</f>
        <v>1002.676420219717</v>
      </c>
      <c r="BA54" s="9">
        <f>AZ150*Premissas!$N$20</f>
        <v>915.2299697491211</v>
      </c>
      <c r="BB54" s="9">
        <f>BA150*Premissas!$N$20</f>
        <v>827.06056004395009</v>
      </c>
      <c r="BC54" s="9">
        <f>BB150*Premissas!$N$20</f>
        <v>738.162214074237</v>
      </c>
      <c r="BD54" s="9">
        <f>BC150*Premissas!$N$20</f>
        <v>648.52890539521593</v>
      </c>
      <c r="BE54" s="9">
        <f>BD150*Premissas!$N$20</f>
        <v>558.15455773878182</v>
      </c>
      <c r="BF54" s="9">
        <f>BE150*Premissas!$N$20</f>
        <v>467.03304460158319</v>
      </c>
      <c r="BG54" s="9">
        <f>BF150*Premissas!$N$20</f>
        <v>375.15818882970484</v>
      </c>
      <c r="BH54" s="9">
        <f>BG150*Premissas!$N$20</f>
        <v>282.52376219991027</v>
      </c>
      <c r="BI54" s="9">
        <f>BH150*Premissas!$N$20</f>
        <v>189.12348499743732</v>
      </c>
      <c r="BJ54" s="9">
        <f>BI150*Premissas!$N$20</f>
        <v>94.951025590288509</v>
      </c>
      <c r="BK54" s="23">
        <f t="shared" ref="BK54:BK59" si="20">SUM(C54:BJ54)</f>
        <v>140083.0884185324</v>
      </c>
      <c r="BL54" s="24"/>
      <c r="BM54" s="24"/>
    </row>
    <row r="55" spans="2:65" ht="15" customHeight="1" x14ac:dyDescent="0.25">
      <c r="B55" s="6">
        <v>2</v>
      </c>
      <c r="C55" s="9">
        <f>SUM($C23:$BJ23)*Premissas!$N$20</f>
        <v>852.79846112529333</v>
      </c>
      <c r="D55" s="9">
        <f>C151*Premissas!$N$20</f>
        <v>843.31402874427022</v>
      </c>
      <c r="E55" s="9">
        <f>D151*Premissas!$N$20</f>
        <v>833.75118428433848</v>
      </c>
      <c r="F55" s="9">
        <f>E151*Premissas!$N$20</f>
        <v>824.10927947748712</v>
      </c>
      <c r="G55" s="9">
        <f>F151*Premissas!$N$20</f>
        <v>814.38766069618021</v>
      </c>
      <c r="H55" s="9">
        <f>G151*Premissas!$N$20</f>
        <v>804.58566890904945</v>
      </c>
      <c r="I55" s="9">
        <f>H151*Premissas!$N$20</f>
        <v>794.70263963621608</v>
      </c>
      <c r="J55" s="9">
        <f>I151*Premissas!$N$20</f>
        <v>784.73790290424722</v>
      </c>
      <c r="K55" s="9">
        <f>J151*Premissas!$N$20</f>
        <v>774.69078320073731</v>
      </c>
      <c r="L55" s="9">
        <f>K151*Premissas!$N$20</f>
        <v>764.56059942851505</v>
      </c>
      <c r="M55" s="9">
        <f>L151*Premissas!$N$20</f>
        <v>754.34666485947173</v>
      </c>
      <c r="N55" s="9">
        <f>M151*Premissas!$N$20</f>
        <v>744.04828708800801</v>
      </c>
      <c r="O55" s="9">
        <f>N151*Premissas!$N$20</f>
        <v>733.66476798409485</v>
      </c>
      <c r="P55" s="9">
        <f>O151*Premissas!$N$20</f>
        <v>722.3746718778317</v>
      </c>
      <c r="Q55" s="9">
        <f>P151*Premissas!$N$20</f>
        <v>710.99123545649161</v>
      </c>
      <c r="R55" s="9">
        <f>Q151*Premissas!$N$20</f>
        <v>699.51368703360413</v>
      </c>
      <c r="S55" s="9">
        <f>R151*Premissas!$N$20</f>
        <v>687.94124854281836</v>
      </c>
      <c r="T55" s="9">
        <f>S151*Premissas!$N$20</f>
        <v>676.27313548515826</v>
      </c>
      <c r="U55" s="9">
        <f>T151*Premissas!$N$20</f>
        <v>664.50855687584101</v>
      </c>
      <c r="V55" s="9">
        <f>U151*Premissas!$N$20</f>
        <v>652.64671519065598</v>
      </c>
      <c r="W55" s="9">
        <f>V151*Premissas!$N$20</f>
        <v>640.6868063119</v>
      </c>
      <c r="X55" s="9">
        <f>W151*Premissas!$N$20</f>
        <v>628.62801947386686</v>
      </c>
      <c r="Y55" s="9">
        <f>X151*Premissas!$N$20</f>
        <v>616.46953720788395</v>
      </c>
      <c r="Z55" s="9">
        <f>Y151*Premissas!$N$20</f>
        <v>604.21053528689731</v>
      </c>
      <c r="AA55" s="9">
        <f>Z151*Premissas!$N$20</f>
        <v>591.85018266959582</v>
      </c>
      <c r="AB55" s="9">
        <f>AA151*Premissas!$N$20</f>
        <v>578.5261715666951</v>
      </c>
      <c r="AC55" s="9">
        <f>AB151*Premissas!$N$20</f>
        <v>565.09200485637325</v>
      </c>
      <c r="AD55" s="9">
        <f>AC151*Premissas!$N$20</f>
        <v>551.54677183255546</v>
      </c>
      <c r="AE55" s="9">
        <f>AD151*Premissas!$N$20</f>
        <v>537.88955425995005</v>
      </c>
      <c r="AF55" s="9">
        <f>AE151*Premissas!$N$20</f>
        <v>524.11942631179932</v>
      </c>
      <c r="AG55" s="9">
        <f>AF151*Premissas!$N$20</f>
        <v>510.23545450711896</v>
      </c>
      <c r="AH55" s="9">
        <f>AG151*Premissas!$N$20</f>
        <v>496.23669764741618</v>
      </c>
      <c r="AI55" s="9">
        <f>AH151*Premissas!$N$20</f>
        <v>482.12220675288597</v>
      </c>
      <c r="AJ55" s="9">
        <f>AI151*Premissas!$N$20</f>
        <v>467.89102499807933</v>
      </c>
      <c r="AK55" s="9">
        <f>AJ151*Premissas!$N$20</f>
        <v>453.5421876470399</v>
      </c>
      <c r="AL55" s="9">
        <f>AK151*Premissas!$N$20</f>
        <v>439.07472198790407</v>
      </c>
      <c r="AM55" s="9">
        <f>AL151*Premissas!$N$20</f>
        <v>424.48764726696089</v>
      </c>
      <c r="AN55" s="9">
        <f>AM151*Premissas!$N$20</f>
        <v>408.87574454546706</v>
      </c>
      <c r="AO55" s="9">
        <f>AN151*Premissas!$N$20</f>
        <v>393.13477118495865</v>
      </c>
      <c r="AP55" s="9">
        <f>AO151*Premissas!$N$20</f>
        <v>377.26366010026641</v>
      </c>
      <c r="AQ55" s="9">
        <f>AP151*Premissas!$N$20</f>
        <v>361.26133538414729</v>
      </c>
      <c r="AR55" s="9">
        <f>AQ151*Premissas!$N$20</f>
        <v>345.12671223434734</v>
      </c>
      <c r="AS55" s="9">
        <f>AR151*Premissas!$N$20</f>
        <v>328.8586968800638</v>
      </c>
      <c r="AT55" s="9">
        <f>AS151*Premissas!$N$20</f>
        <v>312.45618650779704</v>
      </c>
      <c r="AU55" s="9">
        <f>AT151*Premissas!$N$20</f>
        <v>295.91806918659148</v>
      </c>
      <c r="AV55" s="9">
        <f>AU151*Premissas!$N$20</f>
        <v>279.24322379265664</v>
      </c>
      <c r="AW55" s="9">
        <f>AV151*Premissas!$N$20</f>
        <v>262.43051993336627</v>
      </c>
      <c r="AX55" s="9">
        <f>AW151*Premissas!$N$20</f>
        <v>245.47881787062852</v>
      </c>
      <c r="AY55" s="9">
        <f>AX151*Premissas!$N$20</f>
        <v>228.38696844362303</v>
      </c>
      <c r="AZ55" s="9">
        <f>AY151*Premissas!$N$20</f>
        <v>210.20470025570492</v>
      </c>
      <c r="BA55" s="9">
        <f>AZ151*Premissas!$N$20</f>
        <v>191.87211105851506</v>
      </c>
      <c r="BB55" s="9">
        <f>BA151*Premissas!$N$20</f>
        <v>173.38795808049184</v>
      </c>
      <c r="BC55" s="9">
        <f>BB151*Premissas!$N$20</f>
        <v>154.75098827552051</v>
      </c>
      <c r="BD55" s="9">
        <f>BC151*Premissas!$N$20</f>
        <v>135.95993823798997</v>
      </c>
      <c r="BE55" s="9">
        <f>BD151*Premissas!$N$20</f>
        <v>117.0135341171441</v>
      </c>
      <c r="BF55" s="9">
        <f>BE151*Premissas!$N$20</f>
        <v>97.910491530729445</v>
      </c>
      <c r="BG55" s="9">
        <f>BF151*Premissas!$N$20</f>
        <v>78.649515477924567</v>
      </c>
      <c r="BH55" s="9">
        <f>BG151*Premissas!$N$20</f>
        <v>59.229300251552729</v>
      </c>
      <c r="BI55" s="9">
        <f>BH151*Premissas!$N$20</f>
        <v>39.648529349566765</v>
      </c>
      <c r="BJ55" s="9">
        <f>BI151*Premissas!$N$20</f>
        <v>19.905875385803906</v>
      </c>
      <c r="BK55" s="23">
        <f t="shared" si="20"/>
        <v>29367.523777470095</v>
      </c>
      <c r="BL55" s="24"/>
      <c r="BM55" s="24"/>
    </row>
    <row r="56" spans="2:65" ht="15" customHeight="1" x14ac:dyDescent="0.25">
      <c r="B56" s="6">
        <v>3</v>
      </c>
      <c r="C56" s="9">
        <f>SUM($C24:$BJ24)*Premissas!$N$20</f>
        <v>7675.1861501276417</v>
      </c>
      <c r="D56" s="9">
        <f>C152*Premissas!$N$20</f>
        <v>7589.8262586984338</v>
      </c>
      <c r="E56" s="9">
        <f>D152*Premissas!$N$20</f>
        <v>7503.7606585590484</v>
      </c>
      <c r="F56" s="9">
        <f>E152*Premissas!$N$20</f>
        <v>7416.9835152973847</v>
      </c>
      <c r="G56" s="9">
        <f>F152*Premissas!$N$20</f>
        <v>7329.4889462656238</v>
      </c>
      <c r="H56" s="9">
        <f>G152*Premissas!$N$20</f>
        <v>7241.2710201814471</v>
      </c>
      <c r="I56" s="9">
        <f>H152*Premissas!$N$20</f>
        <v>7152.3237567259475</v>
      </c>
      <c r="J56" s="9">
        <f>I152*Premissas!$N$20</f>
        <v>7062.6411261382273</v>
      </c>
      <c r="K56" s="9">
        <f>J152*Premissas!$N$20</f>
        <v>6972.2170488066376</v>
      </c>
      <c r="L56" s="9">
        <f>K152*Premissas!$N$20</f>
        <v>6881.0453948566364</v>
      </c>
      <c r="M56" s="9">
        <f>L152*Premissas!$N$20</f>
        <v>6789.1199837352469</v>
      </c>
      <c r="N56" s="9">
        <f>M152*Premissas!$N$20</f>
        <v>6696.4345837920737</v>
      </c>
      <c r="O56" s="9">
        <f>N152*Premissas!$N$20</f>
        <v>6602.9829118568559</v>
      </c>
      <c r="P56" s="9">
        <f>O152*Premissas!$N$20</f>
        <v>6501.3720469004866</v>
      </c>
      <c r="Q56" s="9">
        <f>P152*Premissas!$N$20</f>
        <v>6398.9211191084278</v>
      </c>
      <c r="R56" s="9">
        <f>Q152*Premissas!$N$20</f>
        <v>6295.6231833024394</v>
      </c>
      <c r="S56" s="9">
        <f>R152*Premissas!$N$20</f>
        <v>6191.4712368853679</v>
      </c>
      <c r="T56" s="9">
        <f>S152*Premissas!$N$20</f>
        <v>6086.4582193664273</v>
      </c>
      <c r="U56" s="9">
        <f>T152*Premissas!$N$20</f>
        <v>5980.5770118825712</v>
      </c>
      <c r="V56" s="9">
        <f>U152*Premissas!$N$20</f>
        <v>5873.8204367159051</v>
      </c>
      <c r="W56" s="9">
        <f>V152*Premissas!$N$20</f>
        <v>5766.1812568071018</v>
      </c>
      <c r="X56" s="9">
        <f>W152*Premissas!$N$20</f>
        <v>5657.6521752648032</v>
      </c>
      <c r="Y56" s="9">
        <f>X152*Premissas!$N$20</f>
        <v>5548.2258348709584</v>
      </c>
      <c r="Z56" s="9">
        <f>Y152*Premissas!$N$20</f>
        <v>5437.8948175820778</v>
      </c>
      <c r="AA56" s="9">
        <f>Z152*Premissas!$N$20</f>
        <v>5326.651644026364</v>
      </c>
      <c r="AB56" s="9">
        <f>AA152*Premissas!$N$20</f>
        <v>5206.7355441002592</v>
      </c>
      <c r="AC56" s="9">
        <f>AB152*Premissas!$N$20</f>
        <v>5085.8280437073608</v>
      </c>
      <c r="AD56" s="9">
        <f>AC152*Premissas!$N$20</f>
        <v>4963.9209464930027</v>
      </c>
      <c r="AE56" s="9">
        <f>AD152*Premissas!$N$20</f>
        <v>4841.0059883395506</v>
      </c>
      <c r="AF56" s="9">
        <f>AE152*Premissas!$N$20</f>
        <v>4717.0748368061959</v>
      </c>
      <c r="AG56" s="9">
        <f>AF152*Premissas!$N$20</f>
        <v>4592.1190905640724</v>
      </c>
      <c r="AH56" s="9">
        <f>AG152*Premissas!$N$20</f>
        <v>4466.1302788267485</v>
      </c>
      <c r="AI56" s="9">
        <f>AH152*Premissas!$N$20</f>
        <v>4339.0998607759757</v>
      </c>
      <c r="AJ56" s="9">
        <f>AI152*Premissas!$N$20</f>
        <v>4211.0192249827169</v>
      </c>
      <c r="AK56" s="9">
        <f>AJ152*Premissas!$N$20</f>
        <v>4081.8796888233614</v>
      </c>
      <c r="AL56" s="9">
        <f>AK152*Premissas!$N$20</f>
        <v>3951.6724978911393</v>
      </c>
      <c r="AM56" s="9">
        <f>AL152*Premissas!$N$20</f>
        <v>3820.3888254026519</v>
      </c>
      <c r="AN56" s="9">
        <f>AM152*Premissas!$N$20</f>
        <v>3679.8817009092077</v>
      </c>
      <c r="AO56" s="9">
        <f>AN152*Premissas!$N$20</f>
        <v>3538.2129406646327</v>
      </c>
      <c r="AP56" s="9">
        <f>AO152*Premissas!$N$20</f>
        <v>3395.3729409024022</v>
      </c>
      <c r="AQ56" s="9">
        <f>AP152*Premissas!$N$20</f>
        <v>3251.3520184573295</v>
      </c>
      <c r="AR56" s="9">
        <f>AQ152*Premissas!$N$20</f>
        <v>3106.1404101091307</v>
      </c>
      <c r="AS56" s="9">
        <f>AR152*Premissas!$N$20</f>
        <v>2959.7282719205791</v>
      </c>
      <c r="AT56" s="9">
        <f>AS152*Premissas!$N$20</f>
        <v>2812.1056785701808</v>
      </c>
      <c r="AU56" s="9">
        <f>AT152*Premissas!$N$20</f>
        <v>2663.2626226793295</v>
      </c>
      <c r="AV56" s="9">
        <f>AU152*Premissas!$N$20</f>
        <v>2513.1890141339168</v>
      </c>
      <c r="AW56" s="9">
        <f>AV152*Premissas!$N$20</f>
        <v>2361.8746794003046</v>
      </c>
      <c r="AX56" s="9">
        <f>AW152*Premissas!$N$20</f>
        <v>2209.3093608356658</v>
      </c>
      <c r="AY56" s="9">
        <f>AX152*Premissas!$N$20</f>
        <v>2055.4827159926167</v>
      </c>
      <c r="AZ56" s="9">
        <f>AY152*Premissas!$N$20</f>
        <v>1891.842302301354</v>
      </c>
      <c r="BA56" s="9">
        <f>AZ152*Premissas!$N$20</f>
        <v>1726.8489995266461</v>
      </c>
      <c r="BB56" s="9">
        <f>BA152*Premissas!$N$20</f>
        <v>1560.4916227244357</v>
      </c>
      <c r="BC56" s="9">
        <f>BB152*Premissas!$N$20</f>
        <v>1392.7588944796942</v>
      </c>
      <c r="BD56" s="9">
        <f>BC152*Premissas!$N$20</f>
        <v>1223.6394441419193</v>
      </c>
      <c r="BE56" s="9">
        <f>BD152*Premissas!$N$20</f>
        <v>1053.1218070543082</v>
      </c>
      <c r="BF56" s="9">
        <f>BE152*Premissas!$N$20</f>
        <v>881.19442377657447</v>
      </c>
      <c r="BG56" s="9">
        <f>BF152*Premissas!$N$20</f>
        <v>707.84563930133027</v>
      </c>
      <c r="BH56" s="9">
        <f>BG152*Premissas!$N$20</f>
        <v>533.06370226398315</v>
      </c>
      <c r="BI56" s="9">
        <f>BH152*Premissas!$N$20</f>
        <v>356.83676414610795</v>
      </c>
      <c r="BJ56" s="9">
        <f>BI152*Premissas!$N$20</f>
        <v>179.15287847224175</v>
      </c>
      <c r="BK56" s="23">
        <f t="shared" si="20"/>
        <v>264307.71399723104</v>
      </c>
      <c r="BL56" s="24"/>
      <c r="BM56" s="24"/>
    </row>
    <row r="57" spans="2:65" ht="15" customHeight="1" x14ac:dyDescent="0.25">
      <c r="B57" s="6">
        <v>4</v>
      </c>
      <c r="C57" s="9">
        <f>SUM($C25:$BJ25)*Premissas!$N$20</f>
        <v>426.39923056264666</v>
      </c>
      <c r="D57" s="9">
        <f>C153*Premissas!$N$20</f>
        <v>421.65701437213511</v>
      </c>
      <c r="E57" s="9">
        <f>D153*Premissas!$N$20</f>
        <v>416.87559214216924</v>
      </c>
      <c r="F57" s="9">
        <f>E153*Premissas!$N$20</f>
        <v>412.05463973874356</v>
      </c>
      <c r="G57" s="9">
        <f>F153*Premissas!$N$20</f>
        <v>407.1938303480901</v>
      </c>
      <c r="H57" s="9">
        <f>G153*Premissas!$N$20</f>
        <v>402.29283445452472</v>
      </c>
      <c r="I57" s="9">
        <f>H153*Premissas!$N$20</f>
        <v>397.35131981810804</v>
      </c>
      <c r="J57" s="9">
        <f>I153*Premissas!$N$20</f>
        <v>392.36895145212361</v>
      </c>
      <c r="K57" s="9">
        <f>J153*Premissas!$N$20</f>
        <v>387.34539160036866</v>
      </c>
      <c r="L57" s="9">
        <f>K153*Premissas!$N$20</f>
        <v>382.28029971425752</v>
      </c>
      <c r="M57" s="9">
        <f>L153*Premissas!$N$20</f>
        <v>377.17333242973586</v>
      </c>
      <c r="N57" s="9">
        <f>M153*Premissas!$N$20</f>
        <v>372.024143544004</v>
      </c>
      <c r="O57" s="9">
        <f>N153*Premissas!$N$20</f>
        <v>366.83238399204743</v>
      </c>
      <c r="P57" s="9">
        <f>O153*Premissas!$N$20</f>
        <v>361.18733593891585</v>
      </c>
      <c r="Q57" s="9">
        <f>P153*Premissas!$N$20</f>
        <v>355.4956177282458</v>
      </c>
      <c r="R57" s="9">
        <f>Q153*Premissas!$N$20</f>
        <v>349.75684351680206</v>
      </c>
      <c r="S57" s="9">
        <f>R153*Premissas!$N$20</f>
        <v>343.97062427140918</v>
      </c>
      <c r="T57" s="9">
        <f>S153*Premissas!$N$20</f>
        <v>338.13656774257913</v>
      </c>
      <c r="U57" s="9">
        <f>T153*Premissas!$N$20</f>
        <v>332.2542784379205</v>
      </c>
      <c r="V57" s="9">
        <f>U153*Premissas!$N$20</f>
        <v>326.32335759532799</v>
      </c>
      <c r="W57" s="9">
        <f>V153*Premissas!$N$20</f>
        <v>320.34340315595</v>
      </c>
      <c r="X57" s="9">
        <f>W153*Premissas!$N$20</f>
        <v>314.31400973693343</v>
      </c>
      <c r="Y57" s="9">
        <f>X153*Premissas!$N$20</f>
        <v>308.23476860394197</v>
      </c>
      <c r="Z57" s="9">
        <f>Y153*Premissas!$N$20</f>
        <v>302.10526764344866</v>
      </c>
      <c r="AA57" s="9">
        <f>Z153*Premissas!$N$20</f>
        <v>295.92509133479791</v>
      </c>
      <c r="AB57" s="9">
        <f>AA153*Premissas!$N$20</f>
        <v>289.26308578334755</v>
      </c>
      <c r="AC57" s="9">
        <f>AB153*Premissas!$N$20</f>
        <v>282.54600242818663</v>
      </c>
      <c r="AD57" s="9">
        <f>AC153*Premissas!$N$20</f>
        <v>275.77338591627773</v>
      </c>
      <c r="AE57" s="9">
        <f>AD153*Premissas!$N$20</f>
        <v>268.94477712997502</v>
      </c>
      <c r="AF57" s="9">
        <f>AE153*Premissas!$N$20</f>
        <v>262.05971315589966</v>
      </c>
      <c r="AG57" s="9">
        <f>AF153*Premissas!$N$20</f>
        <v>255.11772725355948</v>
      </c>
      <c r="AH57" s="9">
        <f>AG153*Premissas!$N$20</f>
        <v>248.11834882370809</v>
      </c>
      <c r="AI57" s="9">
        <f>AH153*Premissas!$N$20</f>
        <v>241.06110337644299</v>
      </c>
      <c r="AJ57" s="9">
        <f>AI153*Premissas!$N$20</f>
        <v>233.94551249903967</v>
      </c>
      <c r="AK57" s="9">
        <f>AJ153*Premissas!$N$20</f>
        <v>226.77109382351995</v>
      </c>
      <c r="AL57" s="9">
        <f>AK153*Premissas!$N$20</f>
        <v>219.53736099395203</v>
      </c>
      <c r="AM57" s="9">
        <f>AL153*Premissas!$N$20</f>
        <v>212.24382363348045</v>
      </c>
      <c r="AN57" s="9">
        <f>AM153*Premissas!$N$20</f>
        <v>204.43787227273353</v>
      </c>
      <c r="AO57" s="9">
        <f>AN153*Premissas!$N$20</f>
        <v>196.56738559247933</v>
      </c>
      <c r="AP57" s="9">
        <f>AO153*Premissas!$N$20</f>
        <v>188.6318300501332</v>
      </c>
      <c r="AQ57" s="9">
        <f>AP153*Premissas!$N$20</f>
        <v>180.63066769207364</v>
      </c>
      <c r="AR57" s="9">
        <f>AQ153*Premissas!$N$20</f>
        <v>172.56335611717367</v>
      </c>
      <c r="AS57" s="9">
        <f>AR153*Premissas!$N$20</f>
        <v>164.4293484400319</v>
      </c>
      <c r="AT57" s="9">
        <f>AS153*Premissas!$N$20</f>
        <v>156.22809325389852</v>
      </c>
      <c r="AU57" s="9">
        <f>AT153*Premissas!$N$20</f>
        <v>147.95903459329574</v>
      </c>
      <c r="AV57" s="9">
        <f>AU153*Premissas!$N$20</f>
        <v>139.62161189632832</v>
      </c>
      <c r="AW57" s="9">
        <f>AV153*Premissas!$N$20</f>
        <v>131.21525996668313</v>
      </c>
      <c r="AX57" s="9">
        <f>AW153*Premissas!$N$20</f>
        <v>122.73940893531426</v>
      </c>
      <c r="AY57" s="9">
        <f>AX153*Premissas!$N$20</f>
        <v>114.19348422181152</v>
      </c>
      <c r="AZ57" s="9">
        <f>AY153*Premissas!$N$20</f>
        <v>105.10235012785246</v>
      </c>
      <c r="BA57" s="9">
        <f>AZ153*Premissas!$N$20</f>
        <v>95.93605552925753</v>
      </c>
      <c r="BB57" s="9">
        <f>BA153*Premissas!$N$20</f>
        <v>86.693979040245921</v>
      </c>
      <c r="BC57" s="9">
        <f>BB153*Premissas!$N$20</f>
        <v>77.375494137760256</v>
      </c>
      <c r="BD57" s="9">
        <f>BC153*Premissas!$N$20</f>
        <v>67.979969118994987</v>
      </c>
      <c r="BE57" s="9">
        <f>BD153*Premissas!$N$20</f>
        <v>58.506767058572052</v>
      </c>
      <c r="BF57" s="9">
        <f>BE153*Premissas!$N$20</f>
        <v>48.955245765364722</v>
      </c>
      <c r="BG57" s="9">
        <f>BF153*Premissas!$N$20</f>
        <v>39.324757738962283</v>
      </c>
      <c r="BH57" s="9">
        <f>BG153*Premissas!$N$20</f>
        <v>29.614650125776365</v>
      </c>
      <c r="BI57" s="9">
        <f>BH153*Premissas!$N$20</f>
        <v>19.824264674783382</v>
      </c>
      <c r="BJ57" s="9">
        <f>BI153*Premissas!$N$20</f>
        <v>9.9529376929019531</v>
      </c>
      <c r="BK57" s="23">
        <f t="shared" si="20"/>
        <v>14683.761888735047</v>
      </c>
      <c r="BL57" s="24"/>
      <c r="BM57" s="24"/>
    </row>
    <row r="58" spans="2:65" ht="15" customHeight="1" x14ac:dyDescent="0.25">
      <c r="B58" s="6">
        <v>5</v>
      </c>
      <c r="C58" s="9">
        <f>SUM($C26:$BJ26)*Premissas!$N$20</f>
        <v>5543.1899973144091</v>
      </c>
      <c r="D58" s="9">
        <f>C154*Premissas!$N$20</f>
        <v>5481.5411868377578</v>
      </c>
      <c r="E58" s="9">
        <f>D154*Premissas!$N$20</f>
        <v>5419.382697848203</v>
      </c>
      <c r="F58" s="9">
        <f>E154*Premissas!$N$20</f>
        <v>5356.7103166036677</v>
      </c>
      <c r="G58" s="9">
        <f>F154*Premissas!$N$20</f>
        <v>5293.5197945251748</v>
      </c>
      <c r="H58" s="9">
        <f>G154*Premissas!$N$20</f>
        <v>5229.8068479088233</v>
      </c>
      <c r="I58" s="9">
        <f>H154*Premissas!$N$20</f>
        <v>5165.5671576354071</v>
      </c>
      <c r="J58" s="9">
        <f>I154*Premissas!$N$20</f>
        <v>5100.7963688776099</v>
      </c>
      <c r="K58" s="9">
        <f>J154*Premissas!$N$20</f>
        <v>5035.4900908047948</v>
      </c>
      <c r="L58" s="9">
        <f>K154*Premissas!$N$20</f>
        <v>4969.6438962853499</v>
      </c>
      <c r="M58" s="9">
        <f>L154*Premissas!$N$20</f>
        <v>4903.2533215865687</v>
      </c>
      <c r="N58" s="9">
        <f>M154*Premissas!$N$20</f>
        <v>4836.3138660720551</v>
      </c>
      <c r="O58" s="9">
        <f>N154*Premissas!$N$20</f>
        <v>4768.8209918966195</v>
      </c>
      <c r="P58" s="9">
        <f>O154*Premissas!$N$20</f>
        <v>4695.4353672059087</v>
      </c>
      <c r="Q58" s="9">
        <f>P154*Premissas!$N$20</f>
        <v>4621.4430304671978</v>
      </c>
      <c r="R58" s="9">
        <f>Q154*Premissas!$N$20</f>
        <v>4546.8389657184307</v>
      </c>
      <c r="S58" s="9">
        <f>R154*Premissas!$N$20</f>
        <v>4471.618115528323</v>
      </c>
      <c r="T58" s="9">
        <f>S154*Premissas!$N$20</f>
        <v>4395.7753806535311</v>
      </c>
      <c r="U58" s="9">
        <f>T154*Premissas!$N$20</f>
        <v>4319.3056196929692</v>
      </c>
      <c r="V58" s="9">
        <f>U154*Premissas!$N$20</f>
        <v>4242.203648739267</v>
      </c>
      <c r="W58" s="9">
        <f>V154*Premissas!$N$20</f>
        <v>4164.4642410273536</v>
      </c>
      <c r="X58" s="9">
        <f>W154*Premissas!$N$20</f>
        <v>4086.0821265801369</v>
      </c>
      <c r="Y58" s="9">
        <f>X154*Premissas!$N$20</f>
        <v>4007.0519918512477</v>
      </c>
      <c r="Z58" s="9">
        <f>Y154*Premissas!$N$20</f>
        <v>3927.3684793648345</v>
      </c>
      <c r="AA58" s="9">
        <f>Z154*Premissas!$N$20</f>
        <v>3847.0261873523741</v>
      </c>
      <c r="AB58" s="9">
        <f>AA154*Premissas!$N$20</f>
        <v>3760.42011518352</v>
      </c>
      <c r="AC58" s="9">
        <f>AB154*Premissas!$N$20</f>
        <v>3673.0980315664274</v>
      </c>
      <c r="AD58" s="9">
        <f>AC154*Premissas!$N$20</f>
        <v>3585.0540169116116</v>
      </c>
      <c r="AE58" s="9">
        <f>AD154*Premissas!$N$20</f>
        <v>3496.2821026896759</v>
      </c>
      <c r="AF58" s="9">
        <f>AE154*Premissas!$N$20</f>
        <v>3406.7762710266966</v>
      </c>
      <c r="AG58" s="9">
        <f>AF154*Premissas!$N$20</f>
        <v>3316.5304542962735</v>
      </c>
      <c r="AH58" s="9">
        <f>AG154*Premissas!$N$20</f>
        <v>3225.5385347082065</v>
      </c>
      <c r="AI58" s="9">
        <f>AH154*Premissas!$N$20</f>
        <v>3133.7943438937587</v>
      </c>
      <c r="AJ58" s="9">
        <f>AI154*Premissas!$N$20</f>
        <v>3041.2916624875165</v>
      </c>
      <c r="AK58" s="9">
        <f>AJ154*Premissas!$N$20</f>
        <v>2948.0242197057592</v>
      </c>
      <c r="AL58" s="9">
        <f>AK154*Premissas!$N$20</f>
        <v>2853.9856929213761</v>
      </c>
      <c r="AM58" s="9">
        <f>AL154*Premissas!$N$20</f>
        <v>2759.1697072352454</v>
      </c>
      <c r="AN58" s="9">
        <f>AM154*Premissas!$N$20</f>
        <v>2657.692339545536</v>
      </c>
      <c r="AO58" s="9">
        <f>AN154*Premissas!$N$20</f>
        <v>2555.3760127022306</v>
      </c>
      <c r="AP58" s="9">
        <f>AO154*Premissas!$N$20</f>
        <v>2452.2137906517319</v>
      </c>
      <c r="AQ58" s="9">
        <f>AP154*Premissas!$N$20</f>
        <v>2348.1986799969577</v>
      </c>
      <c r="AR58" s="9">
        <f>AQ154*Premissas!$N$20</f>
        <v>2243.3236295232578</v>
      </c>
      <c r="AS58" s="9">
        <f>AR154*Premissas!$N$20</f>
        <v>2137.5815297204149</v>
      </c>
      <c r="AT58" s="9">
        <f>AS154*Premissas!$N$20</f>
        <v>2030.9652123006824</v>
      </c>
      <c r="AU58" s="9">
        <f>AT154*Premissas!$N$20</f>
        <v>1923.4674497128465</v>
      </c>
      <c r="AV58" s="9">
        <f>AU154*Premissas!$N$20</f>
        <v>1815.0809546522712</v>
      </c>
      <c r="AW58" s="9">
        <f>AV154*Premissas!$N$20</f>
        <v>1705.7983795668843</v>
      </c>
      <c r="AX58" s="9">
        <f>AW154*Premissas!$N$20</f>
        <v>1595.6123161590886</v>
      </c>
      <c r="AY58" s="9">
        <f>AX154*Premissas!$N$20</f>
        <v>1484.5152948835537</v>
      </c>
      <c r="AZ58" s="9">
        <f>AY154*Premissas!$N$20</f>
        <v>1366.3305516620867</v>
      </c>
      <c r="BA58" s="9">
        <f>AZ154*Premissas!$N$20</f>
        <v>1247.168721880352</v>
      </c>
      <c r="BB58" s="9">
        <f>BA154*Premissas!$N$20</f>
        <v>1127.0217275232008</v>
      </c>
      <c r="BC58" s="9">
        <f>BB154*Premissas!$N$20</f>
        <v>1005.8814237908879</v>
      </c>
      <c r="BD58" s="9">
        <f>BC154*Premissas!$N$20</f>
        <v>883.73959854693885</v>
      </c>
      <c r="BE58" s="9">
        <f>BD154*Premissas!$N$20</f>
        <v>760.58797176144162</v>
      </c>
      <c r="BF58" s="9">
        <f>BE154*Premissas!$N$20</f>
        <v>636.41819494974686</v>
      </c>
      <c r="BG58" s="9">
        <f>BF154*Premissas!$N$20</f>
        <v>511.22185060651549</v>
      </c>
      <c r="BH58" s="9">
        <f>BG154*Premissas!$N$20</f>
        <v>384.99045163509777</v>
      </c>
      <c r="BI58" s="9">
        <f>BH154*Premissas!$N$20</f>
        <v>257.7154407721892</v>
      </c>
      <c r="BJ58" s="9">
        <f>BI154*Premissas!$N$20</f>
        <v>129.38819000773134</v>
      </c>
      <c r="BK58" s="23">
        <f t="shared" si="20"/>
        <v>190888.90455355571</v>
      </c>
      <c r="BL58" s="24"/>
      <c r="BM58" s="24"/>
    </row>
    <row r="59" spans="2:65" ht="15" customHeight="1" x14ac:dyDescent="0.25">
      <c r="B59" s="6">
        <v>6</v>
      </c>
      <c r="C59" s="9">
        <f>SUM($C27:$BJ27)*Premissas!$N$20</f>
        <v>4067.8486595676504</v>
      </c>
      <c r="D59" s="9">
        <f>C155*Premissas!$N$20</f>
        <v>4022.6079171101701</v>
      </c>
      <c r="E59" s="9">
        <f>D155*Premissas!$N$20</f>
        <v>3976.993149036296</v>
      </c>
      <c r="F59" s="9">
        <f>E155*Premissas!$N$20</f>
        <v>3931.0012631076142</v>
      </c>
      <c r="G59" s="9">
        <f>F155*Premissas!$N$20</f>
        <v>3884.6291415207816</v>
      </c>
      <c r="H59" s="9">
        <f>G155*Premissas!$N$20</f>
        <v>3837.8736406961675</v>
      </c>
      <c r="I59" s="9">
        <f>H155*Premissas!$N$20</f>
        <v>3790.7315910647526</v>
      </c>
      <c r="J59" s="9">
        <f>I155*Premissas!$N$20</f>
        <v>3743.1997968532614</v>
      </c>
      <c r="K59" s="9">
        <f>J155*Premissas!$N$20</f>
        <v>3695.2750358675185</v>
      </c>
      <c r="L59" s="9">
        <f>K155*Premissas!$N$20</f>
        <v>3646.9540592740182</v>
      </c>
      <c r="M59" s="9">
        <f>L155*Premissas!$N$20</f>
        <v>3598.2335913796819</v>
      </c>
      <c r="N59" s="9">
        <f>M155*Premissas!$N$20</f>
        <v>3549.1103294097993</v>
      </c>
      <c r="O59" s="9">
        <f>N155*Premissas!$N$20</f>
        <v>3499.5809432841343</v>
      </c>
      <c r="P59" s="9">
        <f>O155*Premissas!$N$20</f>
        <v>3445.7271848572582</v>
      </c>
      <c r="Q59" s="9">
        <f>P155*Premissas!$N$20</f>
        <v>3391.4281931274672</v>
      </c>
      <c r="R59" s="9">
        <f>Q155*Premissas!$N$20</f>
        <v>3336.6802871502928</v>
      </c>
      <c r="S59" s="9">
        <f>R155*Premissas!$N$20</f>
        <v>3281.4797555492451</v>
      </c>
      <c r="T59" s="9">
        <f>S155*Premissas!$N$20</f>
        <v>3225.8228562642062</v>
      </c>
      <c r="U59" s="9">
        <f>T155*Premissas!$N$20</f>
        <v>3169.7058162977637</v>
      </c>
      <c r="V59" s="9">
        <f>U155*Premissas!$N$20</f>
        <v>3113.1248314594295</v>
      </c>
      <c r="W59" s="9">
        <f>V155*Premissas!$N$20</f>
        <v>3056.0760661077643</v>
      </c>
      <c r="X59" s="9">
        <f>W155*Premissas!$N$20</f>
        <v>2998.5556528903453</v>
      </c>
      <c r="Y59" s="9">
        <f>X155*Premissas!$N$20</f>
        <v>2940.5596924816073</v>
      </c>
      <c r="Z59" s="9">
        <f>Y155*Premissas!$N$20</f>
        <v>2882.0842533185009</v>
      </c>
      <c r="AA59" s="9">
        <f>Z155*Premissas!$N$20</f>
        <v>2823.1253713339725</v>
      </c>
      <c r="AB59" s="9">
        <f>AA155*Premissas!$N$20</f>
        <v>2759.5698383731365</v>
      </c>
      <c r="AC59" s="9">
        <f>AB155*Premissas!$N$20</f>
        <v>2695.4888631649001</v>
      </c>
      <c r="AD59" s="9">
        <f>AC155*Premissas!$N$20</f>
        <v>2630.87810164129</v>
      </c>
      <c r="AE59" s="9">
        <f>AD155*Premissas!$N$20</f>
        <v>2565.7331738199618</v>
      </c>
      <c r="AF59" s="9">
        <f>AE155*Premissas!$N$20</f>
        <v>2500.0496635072832</v>
      </c>
      <c r="AG59" s="9">
        <f>AF155*Premissas!$N$20</f>
        <v>2433.823117998958</v>
      </c>
      <c r="AH59" s="9">
        <f>AG155*Premissas!$N$20</f>
        <v>2367.0490477781764</v>
      </c>
      <c r="AI59" s="9">
        <f>AH155*Premissas!$N$20</f>
        <v>2299.7229262112669</v>
      </c>
      <c r="AJ59" s="9">
        <f>AI155*Premissas!$N$20</f>
        <v>2231.8401892408401</v>
      </c>
      <c r="AK59" s="9">
        <f>AJ155*Premissas!$N$20</f>
        <v>2163.3962350763813</v>
      </c>
      <c r="AL59" s="9">
        <f>AK155*Premissas!$N$20</f>
        <v>2094.3864238823044</v>
      </c>
      <c r="AM59" s="9">
        <f>AL155*Premissas!$N$20</f>
        <v>2024.8060774634046</v>
      </c>
      <c r="AN59" s="9">
        <f>AM155*Premissas!$N$20</f>
        <v>1950.3373014818796</v>
      </c>
      <c r="AO59" s="9">
        <f>AN155*Premissas!$N$20</f>
        <v>1875.2528585522546</v>
      </c>
      <c r="AP59" s="9">
        <f>AO155*Premissas!$N$20</f>
        <v>1799.5476586782731</v>
      </c>
      <c r="AQ59" s="9">
        <f>AP155*Premissas!$N$20</f>
        <v>1723.2165697823846</v>
      </c>
      <c r="AR59" s="9">
        <f>AQ155*Premissas!$N$20</f>
        <v>1646.254417357839</v>
      </c>
      <c r="AS59" s="9">
        <f>AR155*Premissas!$N$20</f>
        <v>1568.6559841179064</v>
      </c>
      <c r="AT59" s="9">
        <f>AS155*Premissas!$N$20</f>
        <v>1490.4160096421954</v>
      </c>
      <c r="AU59" s="9">
        <f>AT155*Premissas!$N$20</f>
        <v>1411.529190020045</v>
      </c>
      <c r="AV59" s="9">
        <f>AU155*Premissas!$N$20</f>
        <v>1331.9901774909761</v>
      </c>
      <c r="AW59" s="9">
        <f>AV155*Premissas!$N$20</f>
        <v>1251.7935800821613</v>
      </c>
      <c r="AX59" s="9">
        <f>AW155*Premissas!$N$20</f>
        <v>1170.9339612429023</v>
      </c>
      <c r="AY59" s="9">
        <f>AX155*Premissas!$N$20</f>
        <v>1089.4058394760862</v>
      </c>
      <c r="AZ59" s="9">
        <f>AY155*Premissas!$N$20</f>
        <v>1002.676420219717</v>
      </c>
      <c r="BA59" s="9">
        <f>AZ155*Premissas!$N$20</f>
        <v>915.2299697491211</v>
      </c>
      <c r="BB59" s="9">
        <f>BA155*Premissas!$N$20</f>
        <v>827.06056004395009</v>
      </c>
      <c r="BC59" s="9">
        <f>BB155*Premissas!$N$20</f>
        <v>738.162214074237</v>
      </c>
      <c r="BD59" s="9">
        <f>BC155*Premissas!$N$20</f>
        <v>648.52890539521593</v>
      </c>
      <c r="BE59" s="9">
        <f>BD155*Premissas!$N$20</f>
        <v>558.15455773878182</v>
      </c>
      <c r="BF59" s="9">
        <f>BE155*Premissas!$N$20</f>
        <v>467.03304460158319</v>
      </c>
      <c r="BG59" s="9">
        <f>BF155*Premissas!$N$20</f>
        <v>375.15818882970484</v>
      </c>
      <c r="BH59" s="9">
        <f>BG155*Premissas!$N$20</f>
        <v>282.52376219991027</v>
      </c>
      <c r="BI59" s="9">
        <f>BH155*Premissas!$N$20</f>
        <v>189.12348499743732</v>
      </c>
      <c r="BJ59" s="9">
        <f>BI155*Premissas!$N$20</f>
        <v>94.951025590288509</v>
      </c>
      <c r="BK59" s="23">
        <f t="shared" si="20"/>
        <v>140083.0884185324</v>
      </c>
      <c r="BL59" s="24"/>
      <c r="BM59" s="24"/>
    </row>
    <row r="60" spans="2:65" ht="15" customHeight="1" x14ac:dyDescent="0.25">
      <c r="B60" s="6">
        <v>7</v>
      </c>
      <c r="C60" s="9">
        <f>SUM($C28:$BJ28)*Premissas!$N$20</f>
        <v>1492.397306969264</v>
      </c>
      <c r="D60" s="9">
        <f>C156*Premissas!$N$20</f>
        <v>1475.7995503024738</v>
      </c>
      <c r="E60" s="9">
        <f>D156*Premissas!$N$20</f>
        <v>1459.0645724975934</v>
      </c>
      <c r="F60" s="9">
        <f>E156*Premissas!$N$20</f>
        <v>1442.1912390856032</v>
      </c>
      <c r="G60" s="9">
        <f>F156*Premissas!$N$20</f>
        <v>1425.1784062183162</v>
      </c>
      <c r="H60" s="9">
        <f>G156*Premissas!$N$20</f>
        <v>1408.0249205908372</v>
      </c>
      <c r="I60" s="9">
        <f>H156*Premissas!$N$20</f>
        <v>1390.7296193633792</v>
      </c>
      <c r="J60" s="9">
        <f>I156*Premissas!$N$20</f>
        <v>1373.2913300824337</v>
      </c>
      <c r="K60" s="9">
        <f>J156*Premissas!$N$20</f>
        <v>1355.7088706012912</v>
      </c>
      <c r="L60" s="9">
        <f>K156*Premissas!$N$20</f>
        <v>1337.9810489999022</v>
      </c>
      <c r="M60" s="9">
        <f>L156*Premissas!$N$20</f>
        <v>1320.1066635040766</v>
      </c>
      <c r="N60" s="9">
        <f>M156*Premissas!$N$20</f>
        <v>1302.0845024040148</v>
      </c>
      <c r="O60" s="9">
        <f>N156*Premissas!$N$20</f>
        <v>1283.913343972167</v>
      </c>
      <c r="P60" s="9">
        <f>O156*Premissas!$N$20</f>
        <v>1264.1556757862063</v>
      </c>
      <c r="Q60" s="9">
        <f>P156*Premissas!$N$20</f>
        <v>1244.2346620488611</v>
      </c>
      <c r="R60" s="9">
        <f>Q156*Premissas!$N$20</f>
        <v>1224.148952308808</v>
      </c>
      <c r="S60" s="9">
        <f>R156*Premissas!$N$20</f>
        <v>1203.897184949933</v>
      </c>
      <c r="T60" s="9">
        <f>S156*Premissas!$N$20</f>
        <v>1183.4779870990278</v>
      </c>
      <c r="U60" s="9">
        <f>T156*Premissas!$N$20</f>
        <v>1162.8899745327226</v>
      </c>
      <c r="V60" s="9">
        <f>U156*Premissas!$N$20</f>
        <v>1142.1317515836488</v>
      </c>
      <c r="W60" s="9">
        <f>V156*Premissas!$N$20</f>
        <v>1121.2019110458257</v>
      </c>
      <c r="X60" s="9">
        <f>W156*Premissas!$N$20</f>
        <v>1100.0990340792675</v>
      </c>
      <c r="Y60" s="9">
        <f>X156*Premissas!$N$20</f>
        <v>1078.8216901137976</v>
      </c>
      <c r="Z60" s="9">
        <f>Y156*Premissas!$N$20</f>
        <v>1057.3684367520709</v>
      </c>
      <c r="AA60" s="9">
        <f>Z156*Premissas!$N$20</f>
        <v>1035.737819671793</v>
      </c>
      <c r="AB60" s="9">
        <f>AA156*Premissas!$N$20</f>
        <v>1012.4208002417167</v>
      </c>
      <c r="AC60" s="9">
        <f>AB156*Premissas!$N$20</f>
        <v>988.91100849865336</v>
      </c>
      <c r="AD60" s="9">
        <f>AC156*Premissas!$N$20</f>
        <v>965.20685070697243</v>
      </c>
      <c r="AE60" s="9">
        <f>AD156*Premissas!$N$20</f>
        <v>941.30671995491275</v>
      </c>
      <c r="AF60" s="9">
        <f>AE156*Premissas!$N$20</f>
        <v>917.20899604564886</v>
      </c>
      <c r="AG60" s="9">
        <f>AF156*Premissas!$N$20</f>
        <v>892.91204538745831</v>
      </c>
      <c r="AH60" s="9">
        <f>AG156*Premissas!$N$20</f>
        <v>868.4142208829785</v>
      </c>
      <c r="AI60" s="9">
        <f>AH156*Premissas!$N$20</f>
        <v>843.71386181755076</v>
      </c>
      <c r="AJ60" s="9">
        <f>AI156*Premissas!$N$20</f>
        <v>818.80929374663913</v>
      </c>
      <c r="AK60" s="9">
        <f>AJ156*Premissas!$N$20</f>
        <v>793.6988283823199</v>
      </c>
      <c r="AL60" s="9">
        <f>AK156*Premissas!$N$20</f>
        <v>768.38076347883236</v>
      </c>
      <c r="AM60" s="9">
        <f>AL156*Premissas!$N$20</f>
        <v>742.8533827171816</v>
      </c>
      <c r="AN60" s="9">
        <f>AM156*Premissas!$N$20</f>
        <v>715.53255295456756</v>
      </c>
      <c r="AO60" s="9">
        <f>AN156*Premissas!$N$20</f>
        <v>687.98584957367768</v>
      </c>
      <c r="AP60" s="9">
        <f>AO156*Premissas!$N$20</f>
        <v>660.2114051754661</v>
      </c>
      <c r="AQ60" s="9">
        <f>AP156*Premissas!$N$20</f>
        <v>632.20733692225747</v>
      </c>
      <c r="AR60" s="9">
        <f>AQ156*Premissas!$N$20</f>
        <v>603.97174641010758</v>
      </c>
      <c r="AS60" s="9">
        <f>AR156*Premissas!$N$20</f>
        <v>575.50271954011112</v>
      </c>
      <c r="AT60" s="9">
        <f>AS156*Premissas!$N$20</f>
        <v>546.79832638864434</v>
      </c>
      <c r="AU60" s="9">
        <f>AT156*Premissas!$N$20</f>
        <v>517.85662107653457</v>
      </c>
      <c r="AV60" s="9">
        <f>AU156*Premissas!$N$20</f>
        <v>488.67564163714843</v>
      </c>
      <c r="AW60" s="9">
        <f>AV156*Premissas!$N$20</f>
        <v>459.25340988339019</v>
      </c>
      <c r="AX60" s="9">
        <f>AW156*Premissas!$N$20</f>
        <v>429.58793127359905</v>
      </c>
      <c r="AY60" s="9">
        <f>AX156*Premissas!$N$20</f>
        <v>399.67719477633943</v>
      </c>
      <c r="AZ60" s="9">
        <f>AY156*Premissas!$N$20</f>
        <v>367.85822544748288</v>
      </c>
      <c r="BA60" s="9">
        <f>AZ156*Premissas!$N$20</f>
        <v>335.77619435240041</v>
      </c>
      <c r="BB60" s="9">
        <f>BA156*Premissas!$N$20</f>
        <v>303.42892664085946</v>
      </c>
      <c r="BC60" s="9">
        <f>BB156*Premissas!$N$20</f>
        <v>270.81422948215999</v>
      </c>
      <c r="BD60" s="9">
        <f>BC156*Premissas!$N$20</f>
        <v>237.92989191648101</v>
      </c>
      <c r="BE60" s="9">
        <f>BD156*Premissas!$N$20</f>
        <v>204.77368470500107</v>
      </c>
      <c r="BF60" s="9">
        <f>BE156*Premissas!$N$20</f>
        <v>171.34336017877536</v>
      </c>
      <c r="BG60" s="9">
        <f>BF156*Premissas!$N$20</f>
        <v>137.63665208636687</v>
      </c>
      <c r="BH60" s="9">
        <f>BG156*Premissas!$N$20</f>
        <v>103.65127544021587</v>
      </c>
      <c r="BI60" s="9">
        <f>BH156*Premissas!$N$20</f>
        <v>69.384926361740298</v>
      </c>
      <c r="BJ60" s="9">
        <f>BI156*Premissas!$N$20</f>
        <v>34.835281925155179</v>
      </c>
      <c r="BK60" s="23">
        <f>SUM(C60:BJ60)</f>
        <v>51393.166610572662</v>
      </c>
      <c r="BL60" s="24"/>
      <c r="BM60" s="24"/>
    </row>
    <row r="61" spans="2:65" ht="15" customHeight="1" x14ac:dyDescent="0.25">
      <c r="B61" s="6"/>
      <c r="C61" s="9">
        <f>SUM($C29:$BJ29)*Premissas!$N$20</f>
        <v>0</v>
      </c>
      <c r="D61" s="9">
        <f>C157*Premissas!$N$20</f>
        <v>0</v>
      </c>
      <c r="E61" s="9">
        <f>D157*Premissas!$N$20</f>
        <v>0</v>
      </c>
      <c r="F61" s="9">
        <f>E157*Premissas!$N$20</f>
        <v>0</v>
      </c>
      <c r="G61" s="9">
        <f>F157*Premissas!$N$20</f>
        <v>0</v>
      </c>
      <c r="H61" s="9">
        <f>G157*Premissas!$N$20</f>
        <v>0</v>
      </c>
      <c r="I61" s="9">
        <f>H157*Premissas!$N$20</f>
        <v>0</v>
      </c>
      <c r="J61" s="9">
        <f>I157*Premissas!$N$20</f>
        <v>0</v>
      </c>
      <c r="K61" s="9">
        <f>J157*Premissas!$N$20</f>
        <v>0</v>
      </c>
      <c r="L61" s="9">
        <f>K157*Premissas!$N$20</f>
        <v>0</v>
      </c>
      <c r="M61" s="9">
        <f>L157*Premissas!$N$20</f>
        <v>0</v>
      </c>
      <c r="N61" s="9">
        <f>M157*Premissas!$N$20</f>
        <v>0</v>
      </c>
      <c r="O61" s="9">
        <f>N157*Premissas!$N$20</f>
        <v>0</v>
      </c>
      <c r="P61" s="9">
        <f>O157*Premissas!$N$20</f>
        <v>0</v>
      </c>
      <c r="Q61" s="9">
        <f>P157*Premissas!$N$20</f>
        <v>0</v>
      </c>
      <c r="R61" s="9">
        <f>Q157*Premissas!$N$20</f>
        <v>0</v>
      </c>
      <c r="S61" s="9">
        <f>R157*Premissas!$N$20</f>
        <v>0</v>
      </c>
      <c r="T61" s="9">
        <f>S157*Premissas!$N$20</f>
        <v>0</v>
      </c>
      <c r="U61" s="9">
        <f>T157*Premissas!$N$20</f>
        <v>0</v>
      </c>
      <c r="V61" s="9">
        <f>U157*Premissas!$N$20</f>
        <v>0</v>
      </c>
      <c r="W61" s="9">
        <f>V157*Premissas!$N$20</f>
        <v>0</v>
      </c>
      <c r="X61" s="9">
        <f>W157*Premissas!$N$20</f>
        <v>0</v>
      </c>
      <c r="Y61" s="9">
        <f>X157*Premissas!$N$20</f>
        <v>0</v>
      </c>
      <c r="Z61" s="9">
        <f>Y157*Premissas!$N$20</f>
        <v>0</v>
      </c>
      <c r="AA61" s="9">
        <f>Z157*Premissas!$N$20</f>
        <v>0</v>
      </c>
      <c r="AB61" s="9">
        <f>AA157*Premissas!$N$20</f>
        <v>0</v>
      </c>
      <c r="AC61" s="9">
        <f>AB157*Premissas!$N$20</f>
        <v>0</v>
      </c>
      <c r="AD61" s="9">
        <f>AC157*Premissas!$N$20</f>
        <v>0</v>
      </c>
      <c r="AE61" s="9">
        <f>AD157*Premissas!$N$20</f>
        <v>0</v>
      </c>
      <c r="AF61" s="9">
        <f>AE157*Premissas!$N$20</f>
        <v>0</v>
      </c>
      <c r="AG61" s="9">
        <f>AF157*Premissas!$N$20</f>
        <v>0</v>
      </c>
      <c r="AH61" s="9">
        <f>AG157*Premissas!$N$20</f>
        <v>0</v>
      </c>
      <c r="AI61" s="9">
        <f>AH157*Premissas!$N$20</f>
        <v>0</v>
      </c>
      <c r="AJ61" s="9">
        <f>AI157*Premissas!$N$20</f>
        <v>0</v>
      </c>
      <c r="AK61" s="9">
        <f>AJ157*Premissas!$N$20</f>
        <v>0</v>
      </c>
      <c r="AL61" s="9">
        <f>AK157*Premissas!$N$20</f>
        <v>0</v>
      </c>
      <c r="AM61" s="9">
        <f>AL157*Premissas!$N$20</f>
        <v>0</v>
      </c>
      <c r="AN61" s="9">
        <f>AM157*Premissas!$N$20</f>
        <v>0</v>
      </c>
      <c r="AO61" s="9">
        <f>AN157*Premissas!$N$20</f>
        <v>0</v>
      </c>
      <c r="AP61" s="9">
        <f>AO157*Premissas!$N$20</f>
        <v>0</v>
      </c>
      <c r="AQ61" s="9">
        <f>AP157*Premissas!$N$20</f>
        <v>0</v>
      </c>
      <c r="AR61" s="9">
        <f>AQ157*Premissas!$N$20</f>
        <v>0</v>
      </c>
      <c r="AS61" s="9">
        <f>AR157*Premissas!$N$20</f>
        <v>0</v>
      </c>
      <c r="AT61" s="9">
        <f>AS157*Premissas!$N$20</f>
        <v>0</v>
      </c>
      <c r="AU61" s="9">
        <f>AT157*Premissas!$N$20</f>
        <v>0</v>
      </c>
      <c r="AV61" s="9">
        <f>AU157*Premissas!$N$20</f>
        <v>0</v>
      </c>
      <c r="AW61" s="9">
        <f>AV157*Premissas!$N$20</f>
        <v>0</v>
      </c>
      <c r="AX61" s="9">
        <f>AW157*Premissas!$N$20</f>
        <v>0</v>
      </c>
      <c r="AY61" s="9">
        <f>AX157*Premissas!$N$20</f>
        <v>0</v>
      </c>
      <c r="AZ61" s="9">
        <f>AY157*Premissas!$N$20</f>
        <v>0</v>
      </c>
      <c r="BA61" s="9">
        <f>AZ157*Premissas!$N$20</f>
        <v>0</v>
      </c>
      <c r="BB61" s="9">
        <f>BA157*Premissas!$N$20</f>
        <v>0</v>
      </c>
      <c r="BC61" s="9">
        <f>BB157*Premissas!$N$20</f>
        <v>0</v>
      </c>
      <c r="BD61" s="9">
        <f>BC157*Premissas!$N$20</f>
        <v>0</v>
      </c>
      <c r="BE61" s="9">
        <f>BD157*Premissas!$N$20</f>
        <v>0</v>
      </c>
      <c r="BF61" s="9">
        <f>BE157*Premissas!$N$20</f>
        <v>0</v>
      </c>
      <c r="BG61" s="9">
        <f>BF157*Premissas!$N$20</f>
        <v>0</v>
      </c>
      <c r="BH61" s="9">
        <f>BG157*Premissas!$N$20</f>
        <v>0</v>
      </c>
      <c r="BI61" s="9">
        <f>BH157*Premissas!$N$20</f>
        <v>0</v>
      </c>
      <c r="BJ61" s="9">
        <f>BI157*Premissas!$N$20</f>
        <v>0</v>
      </c>
      <c r="BK61" s="23">
        <f t="shared" ref="BK61:BK63" si="21">SUM(C61:BJ61)</f>
        <v>0</v>
      </c>
      <c r="BM61" s="24"/>
    </row>
    <row r="62" spans="2:65" ht="15" customHeight="1" x14ac:dyDescent="0.25">
      <c r="B62" s="6"/>
      <c r="C62" s="9">
        <f>SUM($C30:$BJ30)*Premissas!$N$20</f>
        <v>0</v>
      </c>
      <c r="D62" s="9">
        <f>C158*Premissas!$N$20</f>
        <v>0</v>
      </c>
      <c r="E62" s="9">
        <f>D158*Premissas!$N$20</f>
        <v>0</v>
      </c>
      <c r="F62" s="9">
        <f>E158*Premissas!$N$20</f>
        <v>0</v>
      </c>
      <c r="G62" s="9">
        <f>F158*Premissas!$N$20</f>
        <v>0</v>
      </c>
      <c r="H62" s="9">
        <f>G158*Premissas!$N$20</f>
        <v>0</v>
      </c>
      <c r="I62" s="9">
        <f>H158*Premissas!$N$20</f>
        <v>0</v>
      </c>
      <c r="J62" s="9">
        <f>I158*Premissas!$N$20</f>
        <v>0</v>
      </c>
      <c r="K62" s="9">
        <f>J158*Premissas!$N$20</f>
        <v>0</v>
      </c>
      <c r="L62" s="9">
        <f>K158*Premissas!$N$20</f>
        <v>0</v>
      </c>
      <c r="M62" s="9">
        <f>L158*Premissas!$N$20</f>
        <v>0</v>
      </c>
      <c r="N62" s="9">
        <f>M158*Premissas!$N$20</f>
        <v>0</v>
      </c>
      <c r="O62" s="9">
        <f>N158*Premissas!$N$20</f>
        <v>0</v>
      </c>
      <c r="P62" s="9">
        <f>O158*Premissas!$N$20</f>
        <v>0</v>
      </c>
      <c r="Q62" s="9">
        <f>P158*Premissas!$N$20</f>
        <v>0</v>
      </c>
      <c r="R62" s="9">
        <f>Q158*Premissas!$N$20</f>
        <v>0</v>
      </c>
      <c r="S62" s="9">
        <f>R158*Premissas!$N$20</f>
        <v>0</v>
      </c>
      <c r="T62" s="9">
        <f>S158*Premissas!$N$20</f>
        <v>0</v>
      </c>
      <c r="U62" s="9">
        <f>T158*Premissas!$N$20</f>
        <v>0</v>
      </c>
      <c r="V62" s="9">
        <f>U158*Premissas!$N$20</f>
        <v>0</v>
      </c>
      <c r="W62" s="9">
        <f>V158*Premissas!$N$20</f>
        <v>0</v>
      </c>
      <c r="X62" s="9">
        <f>W158*Premissas!$N$20</f>
        <v>0</v>
      </c>
      <c r="Y62" s="9">
        <f>X158*Premissas!$N$20</f>
        <v>0</v>
      </c>
      <c r="Z62" s="9">
        <f>Y158*Premissas!$N$20</f>
        <v>0</v>
      </c>
      <c r="AA62" s="9">
        <f>Z158*Premissas!$N$20</f>
        <v>0</v>
      </c>
      <c r="AB62" s="9">
        <f>AA158*Premissas!$N$20</f>
        <v>0</v>
      </c>
      <c r="AC62" s="9">
        <f>AB158*Premissas!$N$20</f>
        <v>0</v>
      </c>
      <c r="AD62" s="9">
        <f>AC158*Premissas!$N$20</f>
        <v>0</v>
      </c>
      <c r="AE62" s="9">
        <f>AD158*Premissas!$N$20</f>
        <v>0</v>
      </c>
      <c r="AF62" s="9">
        <f>AE158*Premissas!$N$20</f>
        <v>0</v>
      </c>
      <c r="AG62" s="9">
        <f>AF158*Premissas!$N$20</f>
        <v>0</v>
      </c>
      <c r="AH62" s="9">
        <f>AG158*Premissas!$N$20</f>
        <v>0</v>
      </c>
      <c r="AI62" s="9">
        <f>AH158*Premissas!$N$20</f>
        <v>0</v>
      </c>
      <c r="AJ62" s="9">
        <f>AI158*Premissas!$N$20</f>
        <v>0</v>
      </c>
      <c r="AK62" s="9">
        <f>AJ158*Premissas!$N$20</f>
        <v>0</v>
      </c>
      <c r="AL62" s="9">
        <f>AK158*Premissas!$N$20</f>
        <v>0</v>
      </c>
      <c r="AM62" s="9">
        <f>AL158*Premissas!$N$20</f>
        <v>0</v>
      </c>
      <c r="AN62" s="9">
        <f>AM158*Premissas!$N$20</f>
        <v>0</v>
      </c>
      <c r="AO62" s="9">
        <f>AN158*Premissas!$N$20</f>
        <v>0</v>
      </c>
      <c r="AP62" s="9">
        <f>AO158*Premissas!$N$20</f>
        <v>0</v>
      </c>
      <c r="AQ62" s="9">
        <f>AP158*Premissas!$N$20</f>
        <v>0</v>
      </c>
      <c r="AR62" s="9">
        <f>AQ158*Premissas!$N$20</f>
        <v>0</v>
      </c>
      <c r="AS62" s="9">
        <f>AR158*Premissas!$N$20</f>
        <v>0</v>
      </c>
      <c r="AT62" s="9">
        <f>AS158*Premissas!$N$20</f>
        <v>0</v>
      </c>
      <c r="AU62" s="9">
        <f>AT158*Premissas!$N$20</f>
        <v>0</v>
      </c>
      <c r="AV62" s="9">
        <f>AU158*Premissas!$N$20</f>
        <v>0</v>
      </c>
      <c r="AW62" s="9">
        <f>AV158*Premissas!$N$20</f>
        <v>0</v>
      </c>
      <c r="AX62" s="9">
        <f>AW158*Premissas!$N$20</f>
        <v>0</v>
      </c>
      <c r="AY62" s="9">
        <f>AX158*Premissas!$N$20</f>
        <v>0</v>
      </c>
      <c r="AZ62" s="9">
        <f>AY158*Premissas!$N$20</f>
        <v>0</v>
      </c>
      <c r="BA62" s="9">
        <f>AZ158*Premissas!$N$20</f>
        <v>0</v>
      </c>
      <c r="BB62" s="9">
        <f>BA158*Premissas!$N$20</f>
        <v>0</v>
      </c>
      <c r="BC62" s="9">
        <f>BB158*Premissas!$N$20</f>
        <v>0</v>
      </c>
      <c r="BD62" s="9">
        <f>BC158*Premissas!$N$20</f>
        <v>0</v>
      </c>
      <c r="BE62" s="9">
        <f>BD158*Premissas!$N$20</f>
        <v>0</v>
      </c>
      <c r="BF62" s="9">
        <f>BE158*Premissas!$N$20</f>
        <v>0</v>
      </c>
      <c r="BG62" s="9">
        <f>BF158*Premissas!$N$20</f>
        <v>0</v>
      </c>
      <c r="BH62" s="9">
        <f>BG158*Premissas!$N$20</f>
        <v>0</v>
      </c>
      <c r="BI62" s="9">
        <f>BH158*Premissas!$N$20</f>
        <v>0</v>
      </c>
      <c r="BJ62" s="9">
        <f>BI158*Premissas!$N$20</f>
        <v>0</v>
      </c>
      <c r="BK62" s="23">
        <f t="shared" si="21"/>
        <v>0</v>
      </c>
      <c r="BM62" s="24"/>
    </row>
    <row r="63" spans="2:65" ht="15" customHeight="1" x14ac:dyDescent="0.25">
      <c r="B63" s="6"/>
      <c r="C63" s="9">
        <f>SUM($C31:$BJ31)*Premissas!$N$20</f>
        <v>0</v>
      </c>
      <c r="D63" s="9">
        <f>C159*Premissas!$N$20</f>
        <v>0</v>
      </c>
      <c r="E63" s="9">
        <f>D159*Premissas!$N$20</f>
        <v>0</v>
      </c>
      <c r="F63" s="9">
        <f>E159*Premissas!$N$20</f>
        <v>0</v>
      </c>
      <c r="G63" s="9">
        <f>F159*Premissas!$N$20</f>
        <v>0</v>
      </c>
      <c r="H63" s="9">
        <f>G159*Premissas!$N$20</f>
        <v>0</v>
      </c>
      <c r="I63" s="9">
        <f>H159*Premissas!$N$20</f>
        <v>0</v>
      </c>
      <c r="J63" s="9">
        <f>I159*Premissas!$N$20</f>
        <v>0</v>
      </c>
      <c r="K63" s="9">
        <f>J159*Premissas!$N$20</f>
        <v>0</v>
      </c>
      <c r="L63" s="9">
        <f>K159*Premissas!$N$20</f>
        <v>0</v>
      </c>
      <c r="M63" s="9">
        <f>L159*Premissas!$N$20</f>
        <v>0</v>
      </c>
      <c r="N63" s="9">
        <f>M159*Premissas!$N$20</f>
        <v>0</v>
      </c>
      <c r="O63" s="9">
        <f>N159*Premissas!$N$20</f>
        <v>0</v>
      </c>
      <c r="P63" s="9">
        <f>O159*Premissas!$N$20</f>
        <v>0</v>
      </c>
      <c r="Q63" s="9">
        <f>P159*Premissas!$N$20</f>
        <v>0</v>
      </c>
      <c r="R63" s="9">
        <f>Q159*Premissas!$N$20</f>
        <v>0</v>
      </c>
      <c r="S63" s="9">
        <f>R159*Premissas!$N$20</f>
        <v>0</v>
      </c>
      <c r="T63" s="9">
        <f>S159*Premissas!$N$20</f>
        <v>0</v>
      </c>
      <c r="U63" s="9">
        <f>T159*Premissas!$N$20</f>
        <v>0</v>
      </c>
      <c r="V63" s="9">
        <f>U159*Premissas!$N$20</f>
        <v>0</v>
      </c>
      <c r="W63" s="9">
        <f>V159*Premissas!$N$20</f>
        <v>0</v>
      </c>
      <c r="X63" s="9">
        <f>W159*Premissas!$N$20</f>
        <v>0</v>
      </c>
      <c r="Y63" s="9">
        <f>X159*Premissas!$N$20</f>
        <v>0</v>
      </c>
      <c r="Z63" s="9">
        <f>Y159*Premissas!$N$20</f>
        <v>0</v>
      </c>
      <c r="AA63" s="9">
        <f>Z159*Premissas!$N$20</f>
        <v>0</v>
      </c>
      <c r="AB63" s="9">
        <f>AA159*Premissas!$N$20</f>
        <v>0</v>
      </c>
      <c r="AC63" s="9">
        <f>AB159*Premissas!$N$20</f>
        <v>0</v>
      </c>
      <c r="AD63" s="9">
        <f>AC159*Premissas!$N$20</f>
        <v>0</v>
      </c>
      <c r="AE63" s="9">
        <f>AD159*Premissas!$N$20</f>
        <v>0</v>
      </c>
      <c r="AF63" s="9">
        <f>AE159*Premissas!$N$20</f>
        <v>0</v>
      </c>
      <c r="AG63" s="9">
        <f>AF159*Premissas!$N$20</f>
        <v>0</v>
      </c>
      <c r="AH63" s="9">
        <f>AG159*Premissas!$N$20</f>
        <v>0</v>
      </c>
      <c r="AI63" s="9">
        <f>AH159*Premissas!$N$20</f>
        <v>0</v>
      </c>
      <c r="AJ63" s="9">
        <f>AI159*Premissas!$N$20</f>
        <v>0</v>
      </c>
      <c r="AK63" s="9">
        <f>AJ159*Premissas!$N$20</f>
        <v>0</v>
      </c>
      <c r="AL63" s="9">
        <f>AK159*Premissas!$N$20</f>
        <v>0</v>
      </c>
      <c r="AM63" s="9">
        <f>AL159*Premissas!$N$20</f>
        <v>0</v>
      </c>
      <c r="AN63" s="9">
        <f>AM159*Premissas!$N$20</f>
        <v>0</v>
      </c>
      <c r="AO63" s="9">
        <f>AN159*Premissas!$N$20</f>
        <v>0</v>
      </c>
      <c r="AP63" s="9">
        <f>AO159*Premissas!$N$20</f>
        <v>0</v>
      </c>
      <c r="AQ63" s="9">
        <f>AP159*Premissas!$N$20</f>
        <v>0</v>
      </c>
      <c r="AR63" s="9">
        <f>AQ159*Premissas!$N$20</f>
        <v>0</v>
      </c>
      <c r="AS63" s="9">
        <f>AR159*Premissas!$N$20</f>
        <v>0</v>
      </c>
      <c r="AT63" s="9">
        <f>AS159*Premissas!$N$20</f>
        <v>0</v>
      </c>
      <c r="AU63" s="9">
        <f>AT159*Premissas!$N$20</f>
        <v>0</v>
      </c>
      <c r="AV63" s="9">
        <f>AU159*Premissas!$N$20</f>
        <v>0</v>
      </c>
      <c r="AW63" s="9">
        <f>AV159*Premissas!$N$20</f>
        <v>0</v>
      </c>
      <c r="AX63" s="9">
        <f>AW159*Premissas!$N$20</f>
        <v>0</v>
      </c>
      <c r="AY63" s="9">
        <f>AX159*Premissas!$N$20</f>
        <v>0</v>
      </c>
      <c r="AZ63" s="9">
        <f>AY159*Premissas!$N$20</f>
        <v>0</v>
      </c>
      <c r="BA63" s="9">
        <f>AZ159*Premissas!$N$20</f>
        <v>0</v>
      </c>
      <c r="BB63" s="9">
        <f>BA159*Premissas!$N$20</f>
        <v>0</v>
      </c>
      <c r="BC63" s="9">
        <f>BB159*Premissas!$N$20</f>
        <v>0</v>
      </c>
      <c r="BD63" s="9">
        <f>BC159*Premissas!$N$20</f>
        <v>0</v>
      </c>
      <c r="BE63" s="9">
        <f>BD159*Premissas!$N$20</f>
        <v>0</v>
      </c>
      <c r="BF63" s="9">
        <f>BE159*Premissas!$N$20</f>
        <v>0</v>
      </c>
      <c r="BG63" s="9">
        <f>BF159*Premissas!$N$20</f>
        <v>0</v>
      </c>
      <c r="BH63" s="9">
        <f>BG159*Premissas!$N$20</f>
        <v>0</v>
      </c>
      <c r="BI63" s="9">
        <f>BH159*Premissas!$N$20</f>
        <v>0</v>
      </c>
      <c r="BJ63" s="9">
        <f>BI159*Premissas!$N$20</f>
        <v>0</v>
      </c>
      <c r="BK63" s="23">
        <f t="shared" si="21"/>
        <v>0</v>
      </c>
      <c r="BM63" s="24"/>
    </row>
    <row r="64" spans="2:65" ht="18" customHeight="1" x14ac:dyDescent="0.25">
      <c r="B64" s="25" t="s">
        <v>72</v>
      </c>
      <c r="C64" s="23">
        <f>SUM(C54:C63)</f>
        <v>24125.668465234558</v>
      </c>
      <c r="D64" s="23">
        <f>SUM(D54:D63)</f>
        <v>23857.353873175409</v>
      </c>
      <c r="E64" s="23">
        <f>SUM(E54:E63)</f>
        <v>23586.821003403948</v>
      </c>
      <c r="F64" s="23">
        <f>SUM(F54:F63)</f>
        <v>23314.051516418112</v>
      </c>
      <c r="G64" s="23">
        <f>SUM(G54:G63)</f>
        <v>23039.026921094948</v>
      </c>
      <c r="H64" s="23">
        <f>SUM(H54:H63)</f>
        <v>22761.72857343702</v>
      </c>
      <c r="I64" s="23">
        <f>SUM(I54:I63)</f>
        <v>22482.137675308564</v>
      </c>
      <c r="J64" s="23">
        <f>SUM(J54:J63)</f>
        <v>22200.235273161165</v>
      </c>
      <c r="K64" s="23">
        <f>SUM(K54:K63)</f>
        <v>21916.002256748867</v>
      </c>
      <c r="L64" s="23">
        <f>SUM(L54:L63)</f>
        <v>21629.419357832699</v>
      </c>
      <c r="M64" s="23">
        <f>SUM(M54:M63)</f>
        <v>21340.467148874464</v>
      </c>
      <c r="N64" s="23">
        <f>SUM(N54:N63)</f>
        <v>21049.126041719752</v>
      </c>
      <c r="O64" s="23">
        <f>SUM(O54:O63)</f>
        <v>20755.376286270053</v>
      </c>
      <c r="P64" s="23">
        <f>SUM(P54:P63)</f>
        <v>20435.979467423866</v>
      </c>
      <c r="Q64" s="23">
        <f>SUM(Q54:Q63)</f>
        <v>20113.942051064158</v>
      </c>
      <c r="R64" s="23">
        <f>SUM(R54:R63)</f>
        <v>19789.242206180672</v>
      </c>
      <c r="S64" s="23">
        <f>SUM(S54:S63)</f>
        <v>19461.85792127634</v>
      </c>
      <c r="T64" s="23">
        <f>SUM(T54:T63)</f>
        <v>19131.767002875134</v>
      </c>
      <c r="U64" s="23">
        <f>SUM(U54:U63)</f>
        <v>18798.947074017549</v>
      </c>
      <c r="V64" s="23">
        <f>SUM(V54:V63)</f>
        <v>18463.375572743662</v>
      </c>
      <c r="W64" s="23">
        <f>SUM(W54:W63)</f>
        <v>18125.029750563659</v>
      </c>
      <c r="X64" s="23">
        <f>SUM(X54:X63)</f>
        <v>17783.886670915697</v>
      </c>
      <c r="Y64" s="23">
        <f>SUM(Y54:Y63)</f>
        <v>17439.923207611042</v>
      </c>
      <c r="Z64" s="23">
        <f>SUM(Z54:Z63)</f>
        <v>17093.116043266331</v>
      </c>
      <c r="AA64" s="23">
        <f>SUM(AA54:AA63)</f>
        <v>16743.441667722869</v>
      </c>
      <c r="AB64" s="23">
        <f>SUM(AB54:AB63)</f>
        <v>16366.505393621812</v>
      </c>
      <c r="AC64" s="23">
        <f>SUM(AC54:AC63)</f>
        <v>15986.452817386802</v>
      </c>
      <c r="AD64" s="23">
        <f>SUM(AD54:AD63)</f>
        <v>15603.258175143001</v>
      </c>
      <c r="AE64" s="23">
        <f>SUM(AE54:AE63)</f>
        <v>15216.895490013989</v>
      </c>
      <c r="AF64" s="23">
        <f>SUM(AF54:AF63)</f>
        <v>14827.338570360807</v>
      </c>
      <c r="AG64" s="23">
        <f>SUM(AG54:AG63)</f>
        <v>14434.5610080064</v>
      </c>
      <c r="AH64" s="23">
        <f>SUM(AH54:AH63)</f>
        <v>14038.53617644541</v>
      </c>
      <c r="AI64" s="23">
        <f>SUM(AI54:AI63)</f>
        <v>13639.237229039147</v>
      </c>
      <c r="AJ64" s="23">
        <f>SUM(AJ54:AJ63)</f>
        <v>13236.637097195671</v>
      </c>
      <c r="AK64" s="23">
        <f>SUM(AK54:AK63)</f>
        <v>12830.708488534763</v>
      </c>
      <c r="AL64" s="23">
        <f>SUM(AL54:AL63)</f>
        <v>12421.423885037813</v>
      </c>
      <c r="AM64" s="23">
        <f>SUM(AM54:AM63)</f>
        <v>12008.755541182329</v>
      </c>
      <c r="AN64" s="23">
        <f>SUM(AN54:AN63)</f>
        <v>11567.094813191272</v>
      </c>
      <c r="AO64" s="23">
        <f>SUM(AO54:AO63)</f>
        <v>11121.782676822488</v>
      </c>
      <c r="AP64" s="23">
        <f>SUM(AP54:AP63)</f>
        <v>10672.788944236549</v>
      </c>
      <c r="AQ64" s="23">
        <f>SUM(AQ54:AQ63)</f>
        <v>10220.083178017536</v>
      </c>
      <c r="AR64" s="23">
        <f>SUM(AR54:AR63)</f>
        <v>9763.6346891096946</v>
      </c>
      <c r="AS64" s="23">
        <f>SUM(AS54:AS63)</f>
        <v>9303.4125347370136</v>
      </c>
      <c r="AT64" s="23">
        <f>SUM(AT54:AT63)</f>
        <v>8839.3855163055923</v>
      </c>
      <c r="AU64" s="23">
        <f>SUM(AU54:AU63)</f>
        <v>8371.5221772886871</v>
      </c>
      <c r="AV64" s="23">
        <f>SUM(AV54:AV63)</f>
        <v>7899.7908010942738</v>
      </c>
      <c r="AW64" s="23">
        <f>SUM(AW54:AW63)</f>
        <v>7424.1594089149512</v>
      </c>
      <c r="AX64" s="23">
        <f>SUM(AX54:AX63)</f>
        <v>6944.5957575601005</v>
      </c>
      <c r="AY64" s="23">
        <f>SUM(AY54:AY63)</f>
        <v>6461.0673372701167</v>
      </c>
      <c r="AZ64" s="23">
        <f>SUM(AZ54:AZ63)</f>
        <v>5946.6909702339153</v>
      </c>
      <c r="BA64" s="23">
        <f>SUM(BA54:BA63)</f>
        <v>5428.0620218454123</v>
      </c>
      <c r="BB64" s="23">
        <f>SUM(BB54:BB63)</f>
        <v>4905.1453340971339</v>
      </c>
      <c r="BC64" s="23">
        <f>SUM(BC54:BC63)</f>
        <v>4377.9054583144962</v>
      </c>
      <c r="BD64" s="23">
        <f>SUM(BD54:BD63)</f>
        <v>3846.3066527527562</v>
      </c>
      <c r="BE64" s="23">
        <f>SUM(BE54:BE63)</f>
        <v>3310.3128801740309</v>
      </c>
      <c r="BF64" s="23">
        <f>SUM(BF54:BF63)</f>
        <v>2769.8878054043571</v>
      </c>
      <c r="BG64" s="23">
        <f>SUM(BG54:BG63)</f>
        <v>2224.9947928705087</v>
      </c>
      <c r="BH64" s="23">
        <f>SUM(BH54:BH63)</f>
        <v>1675.5969041164465</v>
      </c>
      <c r="BI64" s="23">
        <f>SUM(BI54:BI63)</f>
        <v>1121.6568952992623</v>
      </c>
      <c r="BJ64" s="23">
        <f>SUM(BJ54:BJ63)</f>
        <v>563.1372146644112</v>
      </c>
      <c r="BK64" s="23">
        <f>SUM(BK54:BK63)</f>
        <v>830807.24766462948</v>
      </c>
    </row>
    <row r="65" spans="2:65" ht="15" customHeight="1" x14ac:dyDescent="0.25"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</row>
    <row r="66" spans="2:65" ht="14.25" customHeight="1" x14ac:dyDescent="0.25"/>
    <row r="67" spans="2:65" ht="15" customHeight="1" x14ac:dyDescent="0.25">
      <c r="B67" s="28" t="s">
        <v>77</v>
      </c>
      <c r="C67" s="29"/>
      <c r="D67" s="29"/>
      <c r="E67" s="29"/>
      <c r="F67" s="29"/>
      <c r="G67" s="29"/>
      <c r="H67" s="29"/>
      <c r="I67" s="29"/>
    </row>
    <row r="68" spans="2:65" ht="6" customHeight="1" x14ac:dyDescent="0.25"/>
    <row r="69" spans="2:65" ht="33" customHeight="1" x14ac:dyDescent="0.25">
      <c r="B69" s="5" t="s">
        <v>53</v>
      </c>
      <c r="C69" s="16">
        <v>43466</v>
      </c>
      <c r="D69" s="16">
        <v>43497</v>
      </c>
      <c r="E69" s="16">
        <v>43525</v>
      </c>
      <c r="F69" s="16">
        <v>43556</v>
      </c>
      <c r="G69" s="16">
        <v>43586</v>
      </c>
      <c r="H69" s="16">
        <v>43617</v>
      </c>
      <c r="I69" s="16">
        <v>43647</v>
      </c>
      <c r="J69" s="16">
        <v>43678</v>
      </c>
      <c r="K69" s="16">
        <v>43709</v>
      </c>
      <c r="L69" s="16">
        <v>43739</v>
      </c>
      <c r="M69" s="16">
        <v>43770</v>
      </c>
      <c r="N69" s="16">
        <v>43800</v>
      </c>
      <c r="O69" s="16">
        <v>43831</v>
      </c>
      <c r="P69" s="16">
        <v>43862</v>
      </c>
      <c r="Q69" s="16">
        <v>43891</v>
      </c>
      <c r="R69" s="16">
        <v>43922</v>
      </c>
      <c r="S69" s="16">
        <v>43952</v>
      </c>
      <c r="T69" s="16">
        <v>43983</v>
      </c>
      <c r="U69" s="16">
        <v>44013</v>
      </c>
      <c r="V69" s="16">
        <v>44044</v>
      </c>
      <c r="W69" s="16">
        <v>44075</v>
      </c>
      <c r="X69" s="16">
        <v>44105</v>
      </c>
      <c r="Y69" s="16">
        <v>44136</v>
      </c>
      <c r="Z69" s="16">
        <v>44166</v>
      </c>
      <c r="AA69" s="16">
        <v>44197</v>
      </c>
      <c r="AB69" s="16">
        <v>44228</v>
      </c>
      <c r="AC69" s="16">
        <v>44256</v>
      </c>
      <c r="AD69" s="16">
        <v>44287</v>
      </c>
      <c r="AE69" s="16">
        <v>44317</v>
      </c>
      <c r="AF69" s="16">
        <v>44348</v>
      </c>
      <c r="AG69" s="16">
        <v>44378</v>
      </c>
      <c r="AH69" s="16">
        <v>44409</v>
      </c>
      <c r="AI69" s="16">
        <v>44440</v>
      </c>
      <c r="AJ69" s="16">
        <v>44470</v>
      </c>
      <c r="AK69" s="16">
        <v>44501</v>
      </c>
      <c r="AL69" s="16">
        <v>44531</v>
      </c>
      <c r="AM69" s="16">
        <v>44562</v>
      </c>
      <c r="AN69" s="16">
        <v>44593</v>
      </c>
      <c r="AO69" s="16">
        <v>44621</v>
      </c>
      <c r="AP69" s="16">
        <v>44652</v>
      </c>
      <c r="AQ69" s="16">
        <v>44682</v>
      </c>
      <c r="AR69" s="16">
        <v>44713</v>
      </c>
      <c r="AS69" s="16">
        <v>44743</v>
      </c>
      <c r="AT69" s="16">
        <v>44774</v>
      </c>
      <c r="AU69" s="16">
        <v>44805</v>
      </c>
      <c r="AV69" s="16">
        <v>44835</v>
      </c>
      <c r="AW69" s="16">
        <v>44866</v>
      </c>
      <c r="AX69" s="16">
        <v>44896</v>
      </c>
      <c r="AY69" s="16">
        <v>44927</v>
      </c>
      <c r="AZ69" s="16">
        <v>44958</v>
      </c>
      <c r="BA69" s="16">
        <v>44986</v>
      </c>
      <c r="BB69" s="16">
        <v>45017</v>
      </c>
      <c r="BC69" s="16">
        <v>45047</v>
      </c>
      <c r="BD69" s="16">
        <v>45078</v>
      </c>
      <c r="BE69" s="16">
        <v>45108</v>
      </c>
      <c r="BF69" s="16">
        <v>45139</v>
      </c>
      <c r="BG69" s="16">
        <v>45170</v>
      </c>
      <c r="BH69" s="16">
        <v>45200</v>
      </c>
      <c r="BI69" s="16">
        <v>45231</v>
      </c>
      <c r="BJ69" s="16">
        <v>45261</v>
      </c>
      <c r="BK69" s="16" t="s">
        <v>72</v>
      </c>
    </row>
    <row r="70" spans="2:65" ht="15" customHeight="1" x14ac:dyDescent="0.25">
      <c r="B70" s="6">
        <v>1</v>
      </c>
      <c r="C70" s="9">
        <f>SUM($C22:$BJ22)</f>
        <v>492031.79006290797</v>
      </c>
      <c r="D70" s="9">
        <f>SUM($C22:$BJ22)</f>
        <v>492031.79006290797</v>
      </c>
      <c r="E70" s="9">
        <f>SUM($C22:$BJ22)</f>
        <v>492031.79006290797</v>
      </c>
      <c r="F70" s="9">
        <f>SUM($C22:$BJ22)</f>
        <v>492031.79006290797</v>
      </c>
      <c r="G70" s="9">
        <f>SUM($C22:$BJ22)</f>
        <v>492031.79006290797</v>
      </c>
      <c r="H70" s="9">
        <f>SUM($C22:$BJ22)</f>
        <v>492031.79006290797</v>
      </c>
      <c r="I70" s="9">
        <f>SUM($C22:$BJ22)</f>
        <v>492031.79006290797</v>
      </c>
      <c r="J70" s="9">
        <f>SUM($C22:$BJ22)</f>
        <v>492031.79006290797</v>
      </c>
      <c r="K70" s="9">
        <f>SUM($C22:$BJ22)</f>
        <v>492031.79006290797</v>
      </c>
      <c r="L70" s="9">
        <f>SUM($C22:$BJ22)</f>
        <v>492031.79006290797</v>
      </c>
      <c r="M70" s="9">
        <f>SUM($C22:$BJ22)</f>
        <v>492031.79006290797</v>
      </c>
      <c r="N70" s="9">
        <f>SUM($C22:$BJ22)</f>
        <v>492031.79006290797</v>
      </c>
      <c r="O70" s="9">
        <f>SUM($C22:$BJ22)</f>
        <v>492031.79006290797</v>
      </c>
      <c r="P70" s="9">
        <f>SUM($C22:$BJ22)</f>
        <v>492031.79006290797</v>
      </c>
      <c r="Q70" s="9">
        <f>SUM($C22:$BJ22)</f>
        <v>492031.79006290797</v>
      </c>
      <c r="R70" s="9">
        <f>SUM($C22:$BJ22)</f>
        <v>492031.79006290797</v>
      </c>
      <c r="S70" s="9">
        <f>SUM($C22:$BJ22)</f>
        <v>492031.79006290797</v>
      </c>
      <c r="T70" s="9">
        <f>SUM($C22:$BJ22)</f>
        <v>492031.79006290797</v>
      </c>
      <c r="U70" s="9">
        <f>SUM($C22:$BJ22)</f>
        <v>492031.79006290797</v>
      </c>
      <c r="V70" s="9">
        <f>SUM($C22:$BJ22)</f>
        <v>492031.79006290797</v>
      </c>
      <c r="W70" s="9">
        <f>SUM($C22:$BJ22)</f>
        <v>492031.79006290797</v>
      </c>
      <c r="X70" s="9">
        <f>SUM($C22:$BJ22)</f>
        <v>492031.79006290797</v>
      </c>
      <c r="Y70" s="9">
        <f>SUM($C22:$BJ22)</f>
        <v>492031.79006290797</v>
      </c>
      <c r="Z70" s="9">
        <f>SUM($C22:$BJ22)</f>
        <v>492031.79006290797</v>
      </c>
      <c r="AA70" s="9">
        <f>SUM($C22:$BJ22)</f>
        <v>492031.79006290797</v>
      </c>
      <c r="AB70" s="9">
        <f>SUM($C22:$BJ22)</f>
        <v>492031.79006290797</v>
      </c>
      <c r="AC70" s="9">
        <f>SUM($C22:$BJ22)</f>
        <v>492031.79006290797</v>
      </c>
      <c r="AD70" s="9">
        <f>SUM($C22:$BJ22)</f>
        <v>492031.79006290797</v>
      </c>
      <c r="AE70" s="9">
        <f>SUM($C22:$BJ22)</f>
        <v>492031.79006290797</v>
      </c>
      <c r="AF70" s="9">
        <f>SUM($C22:$BJ22)</f>
        <v>492031.79006290797</v>
      </c>
      <c r="AG70" s="9">
        <f>SUM($C22:$BJ22)</f>
        <v>492031.79006290797</v>
      </c>
      <c r="AH70" s="9">
        <f>SUM($C22:$BJ22)</f>
        <v>492031.79006290797</v>
      </c>
      <c r="AI70" s="9">
        <f>SUM($C22:$BJ22)</f>
        <v>492031.79006290797</v>
      </c>
      <c r="AJ70" s="9">
        <f>SUM($C22:$BJ22)</f>
        <v>492031.79006290797</v>
      </c>
      <c r="AK70" s="9">
        <f>SUM($C22:$BJ22)</f>
        <v>492031.79006290797</v>
      </c>
      <c r="AL70" s="9">
        <f>SUM($C22:$BJ22)</f>
        <v>492031.79006290797</v>
      </c>
      <c r="AM70" s="9">
        <f>SUM($C22:$BJ22)</f>
        <v>492031.79006290797</v>
      </c>
      <c r="AN70" s="9">
        <f>SUM($C22:$BJ22)</f>
        <v>492031.79006290797</v>
      </c>
      <c r="AO70" s="9">
        <f>SUM($C22:$BJ22)</f>
        <v>492031.79006290797</v>
      </c>
      <c r="AP70" s="9">
        <f>SUM($C22:$BJ22)</f>
        <v>492031.79006290797</v>
      </c>
      <c r="AQ70" s="9">
        <f>SUM($C22:$BJ22)</f>
        <v>492031.79006290797</v>
      </c>
      <c r="AR70" s="9">
        <f>SUM($C22:$BJ22)</f>
        <v>492031.79006290797</v>
      </c>
      <c r="AS70" s="9">
        <f>SUM($C22:$BJ22)</f>
        <v>492031.79006290797</v>
      </c>
      <c r="AT70" s="9">
        <f>SUM($C22:$BJ22)</f>
        <v>492031.79006290797</v>
      </c>
      <c r="AU70" s="9">
        <f>SUM($C22:$BJ22)</f>
        <v>492031.79006290797</v>
      </c>
      <c r="AV70" s="9">
        <f>SUM($C22:$BJ22)</f>
        <v>492031.79006290797</v>
      </c>
      <c r="AW70" s="9">
        <f>SUM($C22:$BJ22)</f>
        <v>492031.79006290797</v>
      </c>
      <c r="AX70" s="9">
        <f>SUM($C22:$BJ22)</f>
        <v>492031.79006290797</v>
      </c>
      <c r="AY70" s="9">
        <f>SUM($C22:$BJ22)</f>
        <v>492031.79006290797</v>
      </c>
      <c r="AZ70" s="9">
        <f>SUM($C22:$BJ22)</f>
        <v>492031.79006290797</v>
      </c>
      <c r="BA70" s="9">
        <f>SUM($C22:$BJ22)</f>
        <v>492031.79006290797</v>
      </c>
      <c r="BB70" s="9">
        <f>SUM($C22:$BJ22)</f>
        <v>492031.79006290797</v>
      </c>
      <c r="BC70" s="9">
        <f>SUM($C22:$BJ22)</f>
        <v>492031.79006290797</v>
      </c>
      <c r="BD70" s="9">
        <f>SUM($C22:$BJ22)</f>
        <v>492031.79006290797</v>
      </c>
      <c r="BE70" s="9">
        <f>SUM($C22:$BJ22)</f>
        <v>492031.79006290797</v>
      </c>
      <c r="BF70" s="9">
        <f>SUM($C22:$BJ22)</f>
        <v>492031.79006290797</v>
      </c>
      <c r="BG70" s="9">
        <f>SUM($C22:$BJ22)</f>
        <v>492031.79006290797</v>
      </c>
      <c r="BH70" s="9">
        <f>SUM($C22:$BJ22)</f>
        <v>492031.79006290797</v>
      </c>
      <c r="BI70" s="9">
        <f>SUM($C22:$BJ22)</f>
        <v>492031.79006290797</v>
      </c>
      <c r="BJ70" s="9">
        <f>SUM($C22:$BJ22)</f>
        <v>492031.79006290797</v>
      </c>
      <c r="BK70" s="23">
        <f t="shared" ref="BK70:BK72" si="22">BJ70</f>
        <v>492031.79006290797</v>
      </c>
      <c r="BL70" s="24"/>
      <c r="BM70" s="24"/>
    </row>
    <row r="71" spans="2:65" ht="15" customHeight="1" x14ac:dyDescent="0.25">
      <c r="B71" s="6">
        <v>2</v>
      </c>
      <c r="C71" s="9">
        <f>SUM($C23:$BJ23)</f>
        <v>103151.31867146914</v>
      </c>
      <c r="D71" s="9">
        <f>SUM($C23:$BJ23)</f>
        <v>103151.31867146914</v>
      </c>
      <c r="E71" s="9">
        <f>SUM($C23:$BJ23)</f>
        <v>103151.31867146914</v>
      </c>
      <c r="F71" s="9">
        <f>SUM($C23:$BJ23)</f>
        <v>103151.31867146914</v>
      </c>
      <c r="G71" s="9">
        <f>SUM($C23:$BJ23)</f>
        <v>103151.31867146914</v>
      </c>
      <c r="H71" s="9">
        <f>SUM($C23:$BJ23)</f>
        <v>103151.31867146914</v>
      </c>
      <c r="I71" s="9">
        <f>SUM($C23:$BJ23)</f>
        <v>103151.31867146914</v>
      </c>
      <c r="J71" s="9">
        <f>SUM($C23:$BJ23)</f>
        <v>103151.31867146914</v>
      </c>
      <c r="K71" s="9">
        <f>SUM($C23:$BJ23)</f>
        <v>103151.31867146914</v>
      </c>
      <c r="L71" s="9">
        <f>SUM($C23:$BJ23)</f>
        <v>103151.31867146914</v>
      </c>
      <c r="M71" s="9">
        <f>SUM($C23:$BJ23)</f>
        <v>103151.31867146914</v>
      </c>
      <c r="N71" s="9">
        <f>SUM($C23:$BJ23)</f>
        <v>103151.31867146914</v>
      </c>
      <c r="O71" s="9">
        <f>SUM($C23:$BJ23)</f>
        <v>103151.31867146914</v>
      </c>
      <c r="P71" s="9">
        <f>SUM($C23:$BJ23)</f>
        <v>103151.31867146914</v>
      </c>
      <c r="Q71" s="9">
        <f>SUM($C23:$BJ23)</f>
        <v>103151.31867146914</v>
      </c>
      <c r="R71" s="9">
        <f>SUM($C23:$BJ23)</f>
        <v>103151.31867146914</v>
      </c>
      <c r="S71" s="9">
        <f>SUM($C23:$BJ23)</f>
        <v>103151.31867146914</v>
      </c>
      <c r="T71" s="9">
        <f>SUM($C23:$BJ23)</f>
        <v>103151.31867146914</v>
      </c>
      <c r="U71" s="9">
        <f>SUM($C23:$BJ23)</f>
        <v>103151.31867146914</v>
      </c>
      <c r="V71" s="9">
        <f>SUM($C23:$BJ23)</f>
        <v>103151.31867146914</v>
      </c>
      <c r="W71" s="9">
        <f>SUM($C23:$BJ23)</f>
        <v>103151.31867146914</v>
      </c>
      <c r="X71" s="9">
        <f>SUM($C23:$BJ23)</f>
        <v>103151.31867146914</v>
      </c>
      <c r="Y71" s="9">
        <f>SUM($C23:$BJ23)</f>
        <v>103151.31867146914</v>
      </c>
      <c r="Z71" s="9">
        <f>SUM($C23:$BJ23)</f>
        <v>103151.31867146914</v>
      </c>
      <c r="AA71" s="9">
        <f>SUM($C23:$BJ23)</f>
        <v>103151.31867146914</v>
      </c>
      <c r="AB71" s="9">
        <f>SUM($C23:$BJ23)</f>
        <v>103151.31867146914</v>
      </c>
      <c r="AC71" s="9">
        <f>SUM($C23:$BJ23)</f>
        <v>103151.31867146914</v>
      </c>
      <c r="AD71" s="9">
        <f>SUM($C23:$BJ23)</f>
        <v>103151.31867146914</v>
      </c>
      <c r="AE71" s="9">
        <f>SUM($C23:$BJ23)</f>
        <v>103151.31867146914</v>
      </c>
      <c r="AF71" s="9">
        <f>SUM($C23:$BJ23)</f>
        <v>103151.31867146914</v>
      </c>
      <c r="AG71" s="9">
        <f>SUM($C23:$BJ23)</f>
        <v>103151.31867146914</v>
      </c>
      <c r="AH71" s="9">
        <f>SUM($C23:$BJ23)</f>
        <v>103151.31867146914</v>
      </c>
      <c r="AI71" s="9">
        <f>SUM($C23:$BJ23)</f>
        <v>103151.31867146914</v>
      </c>
      <c r="AJ71" s="9">
        <f>SUM($C23:$BJ23)</f>
        <v>103151.31867146914</v>
      </c>
      <c r="AK71" s="9">
        <f>SUM($C23:$BJ23)</f>
        <v>103151.31867146914</v>
      </c>
      <c r="AL71" s="9">
        <f>SUM($C23:$BJ23)</f>
        <v>103151.31867146914</v>
      </c>
      <c r="AM71" s="9">
        <f>SUM($C23:$BJ23)</f>
        <v>103151.31867146914</v>
      </c>
      <c r="AN71" s="9">
        <f>SUM($C23:$BJ23)</f>
        <v>103151.31867146914</v>
      </c>
      <c r="AO71" s="9">
        <f>SUM($C23:$BJ23)</f>
        <v>103151.31867146914</v>
      </c>
      <c r="AP71" s="9">
        <f>SUM($C23:$BJ23)</f>
        <v>103151.31867146914</v>
      </c>
      <c r="AQ71" s="9">
        <f>SUM($C23:$BJ23)</f>
        <v>103151.31867146914</v>
      </c>
      <c r="AR71" s="9">
        <f>SUM($C23:$BJ23)</f>
        <v>103151.31867146914</v>
      </c>
      <c r="AS71" s="9">
        <f>SUM($C23:$BJ23)</f>
        <v>103151.31867146914</v>
      </c>
      <c r="AT71" s="9">
        <f>SUM($C23:$BJ23)</f>
        <v>103151.31867146914</v>
      </c>
      <c r="AU71" s="9">
        <f>SUM($C23:$BJ23)</f>
        <v>103151.31867146914</v>
      </c>
      <c r="AV71" s="9">
        <f>SUM($C23:$BJ23)</f>
        <v>103151.31867146914</v>
      </c>
      <c r="AW71" s="9">
        <f>SUM($C23:$BJ23)</f>
        <v>103151.31867146914</v>
      </c>
      <c r="AX71" s="9">
        <f>SUM($C23:$BJ23)</f>
        <v>103151.31867146914</v>
      </c>
      <c r="AY71" s="9">
        <f>SUM($C23:$BJ23)</f>
        <v>103151.31867146914</v>
      </c>
      <c r="AZ71" s="9">
        <f>SUM($C23:$BJ23)</f>
        <v>103151.31867146914</v>
      </c>
      <c r="BA71" s="9">
        <f>SUM($C23:$BJ23)</f>
        <v>103151.31867146914</v>
      </c>
      <c r="BB71" s="9">
        <f>SUM($C23:$BJ23)</f>
        <v>103151.31867146914</v>
      </c>
      <c r="BC71" s="9">
        <f>SUM($C23:$BJ23)</f>
        <v>103151.31867146914</v>
      </c>
      <c r="BD71" s="9">
        <f>SUM($C23:$BJ23)</f>
        <v>103151.31867146914</v>
      </c>
      <c r="BE71" s="9">
        <f>SUM($C23:$BJ23)</f>
        <v>103151.31867146914</v>
      </c>
      <c r="BF71" s="9">
        <f>SUM($C23:$BJ23)</f>
        <v>103151.31867146914</v>
      </c>
      <c r="BG71" s="9">
        <f>SUM($C23:$BJ23)</f>
        <v>103151.31867146914</v>
      </c>
      <c r="BH71" s="9">
        <f>SUM($C23:$BJ23)</f>
        <v>103151.31867146914</v>
      </c>
      <c r="BI71" s="9">
        <f>SUM($C23:$BJ23)</f>
        <v>103151.31867146914</v>
      </c>
      <c r="BJ71" s="9">
        <f>SUM($C23:$BJ23)</f>
        <v>103151.31867146914</v>
      </c>
      <c r="BK71" s="23">
        <f t="shared" si="22"/>
        <v>103151.31867146914</v>
      </c>
      <c r="BL71" s="24"/>
      <c r="BM71" s="24"/>
    </row>
    <row r="72" spans="2:65" ht="15" customHeight="1" x14ac:dyDescent="0.25">
      <c r="B72" s="6">
        <v>3</v>
      </c>
      <c r="C72" s="9">
        <f>SUM($C24:$BJ24)</f>
        <v>928361.86804322246</v>
      </c>
      <c r="D72" s="9">
        <f>SUM($C24:$BJ24)</f>
        <v>928361.86804322246</v>
      </c>
      <c r="E72" s="9">
        <f>SUM($C24:$BJ24)</f>
        <v>928361.86804322246</v>
      </c>
      <c r="F72" s="9">
        <f>SUM($C24:$BJ24)</f>
        <v>928361.86804322246</v>
      </c>
      <c r="G72" s="9">
        <f>SUM($C24:$BJ24)</f>
        <v>928361.86804322246</v>
      </c>
      <c r="H72" s="9">
        <f>SUM($C24:$BJ24)</f>
        <v>928361.86804322246</v>
      </c>
      <c r="I72" s="9">
        <f>SUM($C24:$BJ24)</f>
        <v>928361.86804322246</v>
      </c>
      <c r="J72" s="9">
        <f>SUM($C24:$BJ24)</f>
        <v>928361.86804322246</v>
      </c>
      <c r="K72" s="9">
        <f>SUM($C24:$BJ24)</f>
        <v>928361.86804322246</v>
      </c>
      <c r="L72" s="9">
        <f>SUM($C24:$BJ24)</f>
        <v>928361.86804322246</v>
      </c>
      <c r="M72" s="9">
        <f>SUM($C24:$BJ24)</f>
        <v>928361.86804322246</v>
      </c>
      <c r="N72" s="9">
        <f>SUM($C24:$BJ24)</f>
        <v>928361.86804322246</v>
      </c>
      <c r="O72" s="9">
        <f>SUM($C24:$BJ24)</f>
        <v>928361.86804322246</v>
      </c>
      <c r="P72" s="9">
        <f>SUM($C24:$BJ24)</f>
        <v>928361.86804322246</v>
      </c>
      <c r="Q72" s="9">
        <f>SUM($C24:$BJ24)</f>
        <v>928361.86804322246</v>
      </c>
      <c r="R72" s="9">
        <f>SUM($C24:$BJ24)</f>
        <v>928361.86804322246</v>
      </c>
      <c r="S72" s="9">
        <f>SUM($C24:$BJ24)</f>
        <v>928361.86804322246</v>
      </c>
      <c r="T72" s="9">
        <f>SUM($C24:$BJ24)</f>
        <v>928361.86804322246</v>
      </c>
      <c r="U72" s="9">
        <f>SUM($C24:$BJ24)</f>
        <v>928361.86804322246</v>
      </c>
      <c r="V72" s="9">
        <f>SUM($C24:$BJ24)</f>
        <v>928361.86804322246</v>
      </c>
      <c r="W72" s="9">
        <f>SUM($C24:$BJ24)</f>
        <v>928361.86804322246</v>
      </c>
      <c r="X72" s="9">
        <f>SUM($C24:$BJ24)</f>
        <v>928361.86804322246</v>
      </c>
      <c r="Y72" s="9">
        <f>SUM($C24:$BJ24)</f>
        <v>928361.86804322246</v>
      </c>
      <c r="Z72" s="9">
        <f>SUM($C24:$BJ24)</f>
        <v>928361.86804322246</v>
      </c>
      <c r="AA72" s="9">
        <f>SUM($C24:$BJ24)</f>
        <v>928361.86804322246</v>
      </c>
      <c r="AB72" s="9">
        <f>SUM($C24:$BJ24)</f>
        <v>928361.86804322246</v>
      </c>
      <c r="AC72" s="9">
        <f>SUM($C24:$BJ24)</f>
        <v>928361.86804322246</v>
      </c>
      <c r="AD72" s="9">
        <f>SUM($C24:$BJ24)</f>
        <v>928361.86804322246</v>
      </c>
      <c r="AE72" s="9">
        <f>SUM($C24:$BJ24)</f>
        <v>928361.86804322246</v>
      </c>
      <c r="AF72" s="9">
        <f>SUM($C24:$BJ24)</f>
        <v>928361.86804322246</v>
      </c>
      <c r="AG72" s="9">
        <f>SUM($C24:$BJ24)</f>
        <v>928361.86804322246</v>
      </c>
      <c r="AH72" s="9">
        <f>SUM($C24:$BJ24)</f>
        <v>928361.86804322246</v>
      </c>
      <c r="AI72" s="9">
        <f>SUM($C24:$BJ24)</f>
        <v>928361.86804322246</v>
      </c>
      <c r="AJ72" s="9">
        <f>SUM($C24:$BJ24)</f>
        <v>928361.86804322246</v>
      </c>
      <c r="AK72" s="9">
        <f>SUM($C24:$BJ24)</f>
        <v>928361.86804322246</v>
      </c>
      <c r="AL72" s="9">
        <f>SUM($C24:$BJ24)</f>
        <v>928361.86804322246</v>
      </c>
      <c r="AM72" s="9">
        <f>SUM($C24:$BJ24)</f>
        <v>928361.86804322246</v>
      </c>
      <c r="AN72" s="9">
        <f>SUM($C24:$BJ24)</f>
        <v>928361.86804322246</v>
      </c>
      <c r="AO72" s="9">
        <f>SUM($C24:$BJ24)</f>
        <v>928361.86804322246</v>
      </c>
      <c r="AP72" s="9">
        <f>SUM($C24:$BJ24)</f>
        <v>928361.86804322246</v>
      </c>
      <c r="AQ72" s="9">
        <f>SUM($C24:$BJ24)</f>
        <v>928361.86804322246</v>
      </c>
      <c r="AR72" s="9">
        <f>SUM($C24:$BJ24)</f>
        <v>928361.86804322246</v>
      </c>
      <c r="AS72" s="9">
        <f>SUM($C24:$BJ24)</f>
        <v>928361.86804322246</v>
      </c>
      <c r="AT72" s="9">
        <f>SUM($C24:$BJ24)</f>
        <v>928361.86804322246</v>
      </c>
      <c r="AU72" s="9">
        <f>SUM($C24:$BJ24)</f>
        <v>928361.86804322246</v>
      </c>
      <c r="AV72" s="9">
        <f>SUM($C24:$BJ24)</f>
        <v>928361.86804322246</v>
      </c>
      <c r="AW72" s="9">
        <f>SUM($C24:$BJ24)</f>
        <v>928361.86804322246</v>
      </c>
      <c r="AX72" s="9">
        <f>SUM($C24:$BJ24)</f>
        <v>928361.86804322246</v>
      </c>
      <c r="AY72" s="9">
        <f>SUM($C24:$BJ24)</f>
        <v>928361.86804322246</v>
      </c>
      <c r="AZ72" s="9">
        <f>SUM($C24:$BJ24)</f>
        <v>928361.86804322246</v>
      </c>
      <c r="BA72" s="9">
        <f>SUM($C24:$BJ24)</f>
        <v>928361.86804322246</v>
      </c>
      <c r="BB72" s="9">
        <f>SUM($C24:$BJ24)</f>
        <v>928361.86804322246</v>
      </c>
      <c r="BC72" s="9">
        <f>SUM($C24:$BJ24)</f>
        <v>928361.86804322246</v>
      </c>
      <c r="BD72" s="9">
        <f>SUM($C24:$BJ24)</f>
        <v>928361.86804322246</v>
      </c>
      <c r="BE72" s="9">
        <f>SUM($C24:$BJ24)</f>
        <v>928361.86804322246</v>
      </c>
      <c r="BF72" s="9">
        <f>SUM($C24:$BJ24)</f>
        <v>928361.86804322246</v>
      </c>
      <c r="BG72" s="9">
        <f>SUM($C24:$BJ24)</f>
        <v>928361.86804322246</v>
      </c>
      <c r="BH72" s="9">
        <f>SUM($C24:$BJ24)</f>
        <v>928361.86804322246</v>
      </c>
      <c r="BI72" s="9">
        <f>SUM($C24:$BJ24)</f>
        <v>928361.86804322246</v>
      </c>
      <c r="BJ72" s="9">
        <f>SUM($C24:$BJ24)</f>
        <v>928361.86804322246</v>
      </c>
      <c r="BK72" s="23">
        <f t="shared" si="22"/>
        <v>928361.86804322246</v>
      </c>
      <c r="BL72" s="24"/>
      <c r="BM72" s="24"/>
    </row>
    <row r="73" spans="2:65" ht="15" customHeight="1" x14ac:dyDescent="0.25">
      <c r="B73" s="6">
        <v>4</v>
      </c>
      <c r="C73" s="9">
        <f>SUM($C25:$BJ25)</f>
        <v>51575.65933573457</v>
      </c>
      <c r="D73" s="9">
        <f>SUM($C25:$BJ25)</f>
        <v>51575.65933573457</v>
      </c>
      <c r="E73" s="9">
        <f>SUM($C25:$BJ25)</f>
        <v>51575.65933573457</v>
      </c>
      <c r="F73" s="9">
        <f>SUM($C25:$BJ25)</f>
        <v>51575.65933573457</v>
      </c>
      <c r="G73" s="9">
        <f>SUM($C25:$BJ25)</f>
        <v>51575.65933573457</v>
      </c>
      <c r="H73" s="9">
        <f>SUM($C25:$BJ25)</f>
        <v>51575.65933573457</v>
      </c>
      <c r="I73" s="9">
        <f>SUM($C25:$BJ25)</f>
        <v>51575.65933573457</v>
      </c>
      <c r="J73" s="9">
        <f>SUM($C25:$BJ25)</f>
        <v>51575.65933573457</v>
      </c>
      <c r="K73" s="9">
        <f>SUM($C25:$BJ25)</f>
        <v>51575.65933573457</v>
      </c>
      <c r="L73" s="9">
        <f>SUM($C25:$BJ25)</f>
        <v>51575.65933573457</v>
      </c>
      <c r="M73" s="9">
        <f>SUM($C25:$BJ25)</f>
        <v>51575.65933573457</v>
      </c>
      <c r="N73" s="9">
        <f>SUM($C25:$BJ25)</f>
        <v>51575.65933573457</v>
      </c>
      <c r="O73" s="9">
        <f>SUM($C25:$BJ25)</f>
        <v>51575.65933573457</v>
      </c>
      <c r="P73" s="9">
        <f>SUM($C25:$BJ25)</f>
        <v>51575.65933573457</v>
      </c>
      <c r="Q73" s="9">
        <f>SUM($C25:$BJ25)</f>
        <v>51575.65933573457</v>
      </c>
      <c r="R73" s="9">
        <f>SUM($C25:$BJ25)</f>
        <v>51575.65933573457</v>
      </c>
      <c r="S73" s="9">
        <f>SUM($C25:$BJ25)</f>
        <v>51575.65933573457</v>
      </c>
      <c r="T73" s="9">
        <f>SUM($C25:$BJ25)</f>
        <v>51575.65933573457</v>
      </c>
      <c r="U73" s="9">
        <f>SUM($C25:$BJ25)</f>
        <v>51575.65933573457</v>
      </c>
      <c r="V73" s="9">
        <f>SUM($C25:$BJ25)</f>
        <v>51575.65933573457</v>
      </c>
      <c r="W73" s="9">
        <f>SUM($C25:$BJ25)</f>
        <v>51575.65933573457</v>
      </c>
      <c r="X73" s="9">
        <f>SUM($C25:$BJ25)</f>
        <v>51575.65933573457</v>
      </c>
      <c r="Y73" s="9">
        <f>SUM($C25:$BJ25)</f>
        <v>51575.65933573457</v>
      </c>
      <c r="Z73" s="9">
        <f>SUM($C25:$BJ25)</f>
        <v>51575.65933573457</v>
      </c>
      <c r="AA73" s="9">
        <f>SUM($C25:$BJ25)</f>
        <v>51575.65933573457</v>
      </c>
      <c r="AB73" s="9">
        <f>SUM($C25:$BJ25)</f>
        <v>51575.65933573457</v>
      </c>
      <c r="AC73" s="9">
        <f>SUM($C25:$BJ25)</f>
        <v>51575.65933573457</v>
      </c>
      <c r="AD73" s="9">
        <f>SUM($C25:$BJ25)</f>
        <v>51575.65933573457</v>
      </c>
      <c r="AE73" s="9">
        <f>SUM($C25:$BJ25)</f>
        <v>51575.65933573457</v>
      </c>
      <c r="AF73" s="9">
        <f>SUM($C25:$BJ25)</f>
        <v>51575.65933573457</v>
      </c>
      <c r="AG73" s="9">
        <f>SUM($C25:$BJ25)</f>
        <v>51575.65933573457</v>
      </c>
      <c r="AH73" s="9">
        <f>SUM($C25:$BJ25)</f>
        <v>51575.65933573457</v>
      </c>
      <c r="AI73" s="9">
        <f>SUM($C25:$BJ25)</f>
        <v>51575.65933573457</v>
      </c>
      <c r="AJ73" s="9">
        <f>SUM($C25:$BJ25)</f>
        <v>51575.65933573457</v>
      </c>
      <c r="AK73" s="9">
        <f>SUM($C25:$BJ25)</f>
        <v>51575.65933573457</v>
      </c>
      <c r="AL73" s="9">
        <f>SUM($C25:$BJ25)</f>
        <v>51575.65933573457</v>
      </c>
      <c r="AM73" s="9">
        <f>SUM($C25:$BJ25)</f>
        <v>51575.65933573457</v>
      </c>
      <c r="AN73" s="9">
        <f>SUM($C25:$BJ25)</f>
        <v>51575.65933573457</v>
      </c>
      <c r="AO73" s="9">
        <f>SUM($C25:$BJ25)</f>
        <v>51575.65933573457</v>
      </c>
      <c r="AP73" s="9">
        <f>SUM($C25:$BJ25)</f>
        <v>51575.65933573457</v>
      </c>
      <c r="AQ73" s="9">
        <f>SUM($C25:$BJ25)</f>
        <v>51575.65933573457</v>
      </c>
      <c r="AR73" s="9">
        <f>SUM($C25:$BJ25)</f>
        <v>51575.65933573457</v>
      </c>
      <c r="AS73" s="9">
        <f>SUM($C25:$BJ25)</f>
        <v>51575.65933573457</v>
      </c>
      <c r="AT73" s="9">
        <f>SUM($C25:$BJ25)</f>
        <v>51575.65933573457</v>
      </c>
      <c r="AU73" s="9">
        <f>SUM($C25:$BJ25)</f>
        <v>51575.65933573457</v>
      </c>
      <c r="AV73" s="9">
        <f>SUM($C25:$BJ25)</f>
        <v>51575.65933573457</v>
      </c>
      <c r="AW73" s="9">
        <f>SUM($C25:$BJ25)</f>
        <v>51575.65933573457</v>
      </c>
      <c r="AX73" s="9">
        <f>SUM($C25:$BJ25)</f>
        <v>51575.65933573457</v>
      </c>
      <c r="AY73" s="9">
        <f>SUM($C25:$BJ25)</f>
        <v>51575.65933573457</v>
      </c>
      <c r="AZ73" s="9">
        <f>SUM($C25:$BJ25)</f>
        <v>51575.65933573457</v>
      </c>
      <c r="BA73" s="9">
        <f>SUM($C25:$BJ25)</f>
        <v>51575.65933573457</v>
      </c>
      <c r="BB73" s="9">
        <f>SUM($C25:$BJ25)</f>
        <v>51575.65933573457</v>
      </c>
      <c r="BC73" s="9">
        <f>SUM($C25:$BJ25)</f>
        <v>51575.65933573457</v>
      </c>
      <c r="BD73" s="9">
        <f>SUM($C25:$BJ25)</f>
        <v>51575.65933573457</v>
      </c>
      <c r="BE73" s="9">
        <f>SUM($C25:$BJ25)</f>
        <v>51575.65933573457</v>
      </c>
      <c r="BF73" s="9">
        <f>SUM($C25:$BJ25)</f>
        <v>51575.65933573457</v>
      </c>
      <c r="BG73" s="9">
        <f>SUM($C25:$BJ25)</f>
        <v>51575.65933573457</v>
      </c>
      <c r="BH73" s="9">
        <f>SUM($C25:$BJ25)</f>
        <v>51575.65933573457</v>
      </c>
      <c r="BI73" s="9">
        <f>SUM($C25:$BJ25)</f>
        <v>51575.65933573457</v>
      </c>
      <c r="BJ73" s="9">
        <f>SUM($C25:$BJ25)</f>
        <v>51575.65933573457</v>
      </c>
      <c r="BK73" s="23">
        <f>BJ73</f>
        <v>51575.65933573457</v>
      </c>
      <c r="BL73" s="24"/>
      <c r="BM73" s="24"/>
    </row>
    <row r="74" spans="2:65" ht="15" customHeight="1" x14ac:dyDescent="0.25">
      <c r="B74" s="6">
        <v>5</v>
      </c>
      <c r="C74" s="9">
        <f>SUM($C26:$BJ26)</f>
        <v>670483.57136454969</v>
      </c>
      <c r="D74" s="9">
        <f>SUM($C26:$BJ26)</f>
        <v>670483.57136454969</v>
      </c>
      <c r="E74" s="9">
        <f>SUM($C26:$BJ26)</f>
        <v>670483.57136454969</v>
      </c>
      <c r="F74" s="9">
        <f>SUM($C26:$BJ26)</f>
        <v>670483.57136454969</v>
      </c>
      <c r="G74" s="9">
        <f>SUM($C26:$BJ26)</f>
        <v>670483.57136454969</v>
      </c>
      <c r="H74" s="9">
        <f>SUM($C26:$BJ26)</f>
        <v>670483.57136454969</v>
      </c>
      <c r="I74" s="9">
        <f>SUM($C26:$BJ26)</f>
        <v>670483.57136454969</v>
      </c>
      <c r="J74" s="9">
        <f>SUM($C26:$BJ26)</f>
        <v>670483.57136454969</v>
      </c>
      <c r="K74" s="9">
        <f>SUM($C26:$BJ26)</f>
        <v>670483.57136454969</v>
      </c>
      <c r="L74" s="9">
        <f>SUM($C26:$BJ26)</f>
        <v>670483.57136454969</v>
      </c>
      <c r="M74" s="9">
        <f>SUM($C26:$BJ26)</f>
        <v>670483.57136454969</v>
      </c>
      <c r="N74" s="9">
        <f>SUM($C26:$BJ26)</f>
        <v>670483.57136454969</v>
      </c>
      <c r="O74" s="9">
        <f>SUM($C26:$BJ26)</f>
        <v>670483.57136454969</v>
      </c>
      <c r="P74" s="9">
        <f>SUM($C26:$BJ26)</f>
        <v>670483.57136454969</v>
      </c>
      <c r="Q74" s="9">
        <f>SUM($C26:$BJ26)</f>
        <v>670483.57136454969</v>
      </c>
      <c r="R74" s="9">
        <f>SUM($C26:$BJ26)</f>
        <v>670483.57136454969</v>
      </c>
      <c r="S74" s="9">
        <f>SUM($C26:$BJ26)</f>
        <v>670483.57136454969</v>
      </c>
      <c r="T74" s="9">
        <f>SUM($C26:$BJ26)</f>
        <v>670483.57136454969</v>
      </c>
      <c r="U74" s="9">
        <f>SUM($C26:$BJ26)</f>
        <v>670483.57136454969</v>
      </c>
      <c r="V74" s="9">
        <f>SUM($C26:$BJ26)</f>
        <v>670483.57136454969</v>
      </c>
      <c r="W74" s="9">
        <f>SUM($C26:$BJ26)</f>
        <v>670483.57136454969</v>
      </c>
      <c r="X74" s="9">
        <f>SUM($C26:$BJ26)</f>
        <v>670483.57136454969</v>
      </c>
      <c r="Y74" s="9">
        <f>SUM($C26:$BJ26)</f>
        <v>670483.57136454969</v>
      </c>
      <c r="Z74" s="9">
        <f>SUM($C26:$BJ26)</f>
        <v>670483.57136454969</v>
      </c>
      <c r="AA74" s="9">
        <f>SUM($C26:$BJ26)</f>
        <v>670483.57136454969</v>
      </c>
      <c r="AB74" s="9">
        <f>SUM($C26:$BJ26)</f>
        <v>670483.57136454969</v>
      </c>
      <c r="AC74" s="9">
        <f>SUM($C26:$BJ26)</f>
        <v>670483.57136454969</v>
      </c>
      <c r="AD74" s="9">
        <f>SUM($C26:$BJ26)</f>
        <v>670483.57136454969</v>
      </c>
      <c r="AE74" s="9">
        <f>SUM($C26:$BJ26)</f>
        <v>670483.57136454969</v>
      </c>
      <c r="AF74" s="9">
        <f>SUM($C26:$BJ26)</f>
        <v>670483.57136454969</v>
      </c>
      <c r="AG74" s="9">
        <f>SUM($C26:$BJ26)</f>
        <v>670483.57136454969</v>
      </c>
      <c r="AH74" s="9">
        <f>SUM($C26:$BJ26)</f>
        <v>670483.57136454969</v>
      </c>
      <c r="AI74" s="9">
        <f>SUM($C26:$BJ26)</f>
        <v>670483.57136454969</v>
      </c>
      <c r="AJ74" s="9">
        <f>SUM($C26:$BJ26)</f>
        <v>670483.57136454969</v>
      </c>
      <c r="AK74" s="9">
        <f>SUM($C26:$BJ26)</f>
        <v>670483.57136454969</v>
      </c>
      <c r="AL74" s="9">
        <f>SUM($C26:$BJ26)</f>
        <v>670483.57136454969</v>
      </c>
      <c r="AM74" s="9">
        <f>SUM($C26:$BJ26)</f>
        <v>670483.57136454969</v>
      </c>
      <c r="AN74" s="9">
        <f>SUM($C26:$BJ26)</f>
        <v>670483.57136454969</v>
      </c>
      <c r="AO74" s="9">
        <f>SUM($C26:$BJ26)</f>
        <v>670483.57136454969</v>
      </c>
      <c r="AP74" s="9">
        <f>SUM($C26:$BJ26)</f>
        <v>670483.57136454969</v>
      </c>
      <c r="AQ74" s="9">
        <f>SUM($C26:$BJ26)</f>
        <v>670483.57136454969</v>
      </c>
      <c r="AR74" s="9">
        <f>SUM($C26:$BJ26)</f>
        <v>670483.57136454969</v>
      </c>
      <c r="AS74" s="9">
        <f>SUM($C26:$BJ26)</f>
        <v>670483.57136454969</v>
      </c>
      <c r="AT74" s="9">
        <f>SUM($C26:$BJ26)</f>
        <v>670483.57136454969</v>
      </c>
      <c r="AU74" s="9">
        <f>SUM($C26:$BJ26)</f>
        <v>670483.57136454969</v>
      </c>
      <c r="AV74" s="9">
        <f>SUM($C26:$BJ26)</f>
        <v>670483.57136454969</v>
      </c>
      <c r="AW74" s="9">
        <f>SUM($C26:$BJ26)</f>
        <v>670483.57136454969</v>
      </c>
      <c r="AX74" s="9">
        <f>SUM($C26:$BJ26)</f>
        <v>670483.57136454969</v>
      </c>
      <c r="AY74" s="9">
        <f>SUM($C26:$BJ26)</f>
        <v>670483.57136454969</v>
      </c>
      <c r="AZ74" s="9">
        <f>SUM($C26:$BJ26)</f>
        <v>670483.57136454969</v>
      </c>
      <c r="BA74" s="9">
        <f>SUM($C26:$BJ26)</f>
        <v>670483.57136454969</v>
      </c>
      <c r="BB74" s="9">
        <f>SUM($C26:$BJ26)</f>
        <v>670483.57136454969</v>
      </c>
      <c r="BC74" s="9">
        <f>SUM($C26:$BJ26)</f>
        <v>670483.57136454969</v>
      </c>
      <c r="BD74" s="9">
        <f>SUM($C26:$BJ26)</f>
        <v>670483.57136454969</v>
      </c>
      <c r="BE74" s="9">
        <f>SUM($C26:$BJ26)</f>
        <v>670483.57136454969</v>
      </c>
      <c r="BF74" s="9">
        <f>SUM($C26:$BJ26)</f>
        <v>670483.57136454969</v>
      </c>
      <c r="BG74" s="9">
        <f>SUM($C26:$BJ26)</f>
        <v>670483.57136454969</v>
      </c>
      <c r="BH74" s="9">
        <f>SUM($C26:$BJ26)</f>
        <v>670483.57136454969</v>
      </c>
      <c r="BI74" s="9">
        <f>SUM($C26:$BJ26)</f>
        <v>670483.57136454969</v>
      </c>
      <c r="BJ74" s="9">
        <f>SUM($C26:$BJ26)</f>
        <v>670483.57136454969</v>
      </c>
      <c r="BK74" s="23">
        <f t="shared" ref="BK74:BK79" si="23">BJ74</f>
        <v>670483.57136454969</v>
      </c>
      <c r="BL74" s="24"/>
      <c r="BM74" s="24"/>
    </row>
    <row r="75" spans="2:65" ht="15" customHeight="1" x14ac:dyDescent="0.25">
      <c r="B75" s="6">
        <v>6</v>
      </c>
      <c r="C75" s="9">
        <f>SUM($C27:$BJ27)</f>
        <v>492031.79006290797</v>
      </c>
      <c r="D75" s="9">
        <f>SUM($C27:$BJ27)</f>
        <v>492031.79006290797</v>
      </c>
      <c r="E75" s="9">
        <f>SUM($C27:$BJ27)</f>
        <v>492031.79006290797</v>
      </c>
      <c r="F75" s="9">
        <f>SUM($C27:$BJ27)</f>
        <v>492031.79006290797</v>
      </c>
      <c r="G75" s="9">
        <f>SUM($C27:$BJ27)</f>
        <v>492031.79006290797</v>
      </c>
      <c r="H75" s="9">
        <f>SUM($C27:$BJ27)</f>
        <v>492031.79006290797</v>
      </c>
      <c r="I75" s="9">
        <f>SUM($C27:$BJ27)</f>
        <v>492031.79006290797</v>
      </c>
      <c r="J75" s="9">
        <f>SUM($C27:$BJ27)</f>
        <v>492031.79006290797</v>
      </c>
      <c r="K75" s="9">
        <f>SUM($C27:$BJ27)</f>
        <v>492031.79006290797</v>
      </c>
      <c r="L75" s="9">
        <f>SUM($C27:$BJ27)</f>
        <v>492031.79006290797</v>
      </c>
      <c r="M75" s="9">
        <f>SUM($C27:$BJ27)</f>
        <v>492031.79006290797</v>
      </c>
      <c r="N75" s="9">
        <f>SUM($C27:$BJ27)</f>
        <v>492031.79006290797</v>
      </c>
      <c r="O75" s="9">
        <f>SUM($C27:$BJ27)</f>
        <v>492031.79006290797</v>
      </c>
      <c r="P75" s="9">
        <f>SUM($C27:$BJ27)</f>
        <v>492031.79006290797</v>
      </c>
      <c r="Q75" s="9">
        <f>SUM($C27:$BJ27)</f>
        <v>492031.79006290797</v>
      </c>
      <c r="R75" s="9">
        <f>SUM($C27:$BJ27)</f>
        <v>492031.79006290797</v>
      </c>
      <c r="S75" s="9">
        <f>SUM($C27:$BJ27)</f>
        <v>492031.79006290797</v>
      </c>
      <c r="T75" s="9">
        <f>SUM($C27:$BJ27)</f>
        <v>492031.79006290797</v>
      </c>
      <c r="U75" s="9">
        <f>SUM($C27:$BJ27)</f>
        <v>492031.79006290797</v>
      </c>
      <c r="V75" s="9">
        <f>SUM($C27:$BJ27)</f>
        <v>492031.79006290797</v>
      </c>
      <c r="W75" s="9">
        <f>SUM($C27:$BJ27)</f>
        <v>492031.79006290797</v>
      </c>
      <c r="X75" s="9">
        <f>SUM($C27:$BJ27)</f>
        <v>492031.79006290797</v>
      </c>
      <c r="Y75" s="9">
        <f>SUM($C27:$BJ27)</f>
        <v>492031.79006290797</v>
      </c>
      <c r="Z75" s="9">
        <f>SUM($C27:$BJ27)</f>
        <v>492031.79006290797</v>
      </c>
      <c r="AA75" s="9">
        <f>SUM($C27:$BJ27)</f>
        <v>492031.79006290797</v>
      </c>
      <c r="AB75" s="9">
        <f>SUM($C27:$BJ27)</f>
        <v>492031.79006290797</v>
      </c>
      <c r="AC75" s="9">
        <f>SUM($C27:$BJ27)</f>
        <v>492031.79006290797</v>
      </c>
      <c r="AD75" s="9">
        <f>SUM($C27:$BJ27)</f>
        <v>492031.79006290797</v>
      </c>
      <c r="AE75" s="9">
        <f>SUM($C27:$BJ27)</f>
        <v>492031.79006290797</v>
      </c>
      <c r="AF75" s="9">
        <f>SUM($C27:$BJ27)</f>
        <v>492031.79006290797</v>
      </c>
      <c r="AG75" s="9">
        <f>SUM($C27:$BJ27)</f>
        <v>492031.79006290797</v>
      </c>
      <c r="AH75" s="9">
        <f>SUM($C27:$BJ27)</f>
        <v>492031.79006290797</v>
      </c>
      <c r="AI75" s="9">
        <f>SUM($C27:$BJ27)</f>
        <v>492031.79006290797</v>
      </c>
      <c r="AJ75" s="9">
        <f>SUM($C27:$BJ27)</f>
        <v>492031.79006290797</v>
      </c>
      <c r="AK75" s="9">
        <f>SUM($C27:$BJ27)</f>
        <v>492031.79006290797</v>
      </c>
      <c r="AL75" s="9">
        <f>SUM($C27:$BJ27)</f>
        <v>492031.79006290797</v>
      </c>
      <c r="AM75" s="9">
        <f>SUM($C27:$BJ27)</f>
        <v>492031.79006290797</v>
      </c>
      <c r="AN75" s="9">
        <f>SUM($C27:$BJ27)</f>
        <v>492031.79006290797</v>
      </c>
      <c r="AO75" s="9">
        <f>SUM($C27:$BJ27)</f>
        <v>492031.79006290797</v>
      </c>
      <c r="AP75" s="9">
        <f>SUM($C27:$BJ27)</f>
        <v>492031.79006290797</v>
      </c>
      <c r="AQ75" s="9">
        <f>SUM($C27:$BJ27)</f>
        <v>492031.79006290797</v>
      </c>
      <c r="AR75" s="9">
        <f>SUM($C27:$BJ27)</f>
        <v>492031.79006290797</v>
      </c>
      <c r="AS75" s="9">
        <f>SUM($C27:$BJ27)</f>
        <v>492031.79006290797</v>
      </c>
      <c r="AT75" s="9">
        <f>SUM($C27:$BJ27)</f>
        <v>492031.79006290797</v>
      </c>
      <c r="AU75" s="9">
        <f>SUM($C27:$BJ27)</f>
        <v>492031.79006290797</v>
      </c>
      <c r="AV75" s="9">
        <f>SUM($C27:$BJ27)</f>
        <v>492031.79006290797</v>
      </c>
      <c r="AW75" s="9">
        <f>SUM($C27:$BJ27)</f>
        <v>492031.79006290797</v>
      </c>
      <c r="AX75" s="9">
        <f>SUM($C27:$BJ27)</f>
        <v>492031.79006290797</v>
      </c>
      <c r="AY75" s="9">
        <f>SUM($C27:$BJ27)</f>
        <v>492031.79006290797</v>
      </c>
      <c r="AZ75" s="9">
        <f>SUM($C27:$BJ27)</f>
        <v>492031.79006290797</v>
      </c>
      <c r="BA75" s="9">
        <f>SUM($C27:$BJ27)</f>
        <v>492031.79006290797</v>
      </c>
      <c r="BB75" s="9">
        <f>SUM($C27:$BJ27)</f>
        <v>492031.79006290797</v>
      </c>
      <c r="BC75" s="9">
        <f>SUM($C27:$BJ27)</f>
        <v>492031.79006290797</v>
      </c>
      <c r="BD75" s="9">
        <f>SUM($C27:$BJ27)</f>
        <v>492031.79006290797</v>
      </c>
      <c r="BE75" s="9">
        <f>SUM($C27:$BJ27)</f>
        <v>492031.79006290797</v>
      </c>
      <c r="BF75" s="9">
        <f>SUM($C27:$BJ27)</f>
        <v>492031.79006290797</v>
      </c>
      <c r="BG75" s="9">
        <f>SUM($C27:$BJ27)</f>
        <v>492031.79006290797</v>
      </c>
      <c r="BH75" s="9">
        <f>SUM($C27:$BJ27)</f>
        <v>492031.79006290797</v>
      </c>
      <c r="BI75" s="9">
        <f>SUM($C27:$BJ27)</f>
        <v>492031.79006290797</v>
      </c>
      <c r="BJ75" s="9">
        <f>SUM($C27:$BJ27)</f>
        <v>492031.79006290797</v>
      </c>
      <c r="BK75" s="23">
        <f t="shared" si="23"/>
        <v>492031.79006290797</v>
      </c>
      <c r="BL75" s="24"/>
      <c r="BM75" s="24"/>
    </row>
    <row r="76" spans="2:65" ht="15" customHeight="1" x14ac:dyDescent="0.25">
      <c r="B76" s="6">
        <v>7</v>
      </c>
      <c r="C76" s="9">
        <f>SUM($C28:$BJ28)</f>
        <v>180514.80767507109</v>
      </c>
      <c r="D76" s="9">
        <f>SUM($C28:$BJ28)</f>
        <v>180514.80767507109</v>
      </c>
      <c r="E76" s="9">
        <f>SUM($C28:$BJ28)</f>
        <v>180514.80767507109</v>
      </c>
      <c r="F76" s="9">
        <f>SUM($C28:$BJ28)</f>
        <v>180514.80767507109</v>
      </c>
      <c r="G76" s="9">
        <f>SUM($C28:$BJ28)</f>
        <v>180514.80767507109</v>
      </c>
      <c r="H76" s="9">
        <f>SUM($C28:$BJ28)</f>
        <v>180514.80767507109</v>
      </c>
      <c r="I76" s="9">
        <f>SUM($C28:$BJ28)</f>
        <v>180514.80767507109</v>
      </c>
      <c r="J76" s="9">
        <f>SUM($C28:$BJ28)</f>
        <v>180514.80767507109</v>
      </c>
      <c r="K76" s="9">
        <f>SUM($C28:$BJ28)</f>
        <v>180514.80767507109</v>
      </c>
      <c r="L76" s="9">
        <f>SUM($C28:$BJ28)</f>
        <v>180514.80767507109</v>
      </c>
      <c r="M76" s="9">
        <f>SUM($C28:$BJ28)</f>
        <v>180514.80767507109</v>
      </c>
      <c r="N76" s="9">
        <f>SUM($C28:$BJ28)</f>
        <v>180514.80767507109</v>
      </c>
      <c r="O76" s="9">
        <f>SUM($C28:$BJ28)</f>
        <v>180514.80767507109</v>
      </c>
      <c r="P76" s="9">
        <f>SUM($C28:$BJ28)</f>
        <v>180514.80767507109</v>
      </c>
      <c r="Q76" s="9">
        <f>SUM($C28:$BJ28)</f>
        <v>180514.80767507109</v>
      </c>
      <c r="R76" s="9">
        <f>SUM($C28:$BJ28)</f>
        <v>180514.80767507109</v>
      </c>
      <c r="S76" s="9">
        <f>SUM($C28:$BJ28)</f>
        <v>180514.80767507109</v>
      </c>
      <c r="T76" s="9">
        <f>SUM($C28:$BJ28)</f>
        <v>180514.80767507109</v>
      </c>
      <c r="U76" s="9">
        <f>SUM($C28:$BJ28)</f>
        <v>180514.80767507109</v>
      </c>
      <c r="V76" s="9">
        <f>SUM($C28:$BJ28)</f>
        <v>180514.80767507109</v>
      </c>
      <c r="W76" s="9">
        <f>SUM($C28:$BJ28)</f>
        <v>180514.80767507109</v>
      </c>
      <c r="X76" s="9">
        <f>SUM($C28:$BJ28)</f>
        <v>180514.80767507109</v>
      </c>
      <c r="Y76" s="9">
        <f>SUM($C28:$BJ28)</f>
        <v>180514.80767507109</v>
      </c>
      <c r="Z76" s="9">
        <f>SUM($C28:$BJ28)</f>
        <v>180514.80767507109</v>
      </c>
      <c r="AA76" s="9">
        <f>SUM($C28:$BJ28)</f>
        <v>180514.80767507109</v>
      </c>
      <c r="AB76" s="9">
        <f>SUM($C28:$BJ28)</f>
        <v>180514.80767507109</v>
      </c>
      <c r="AC76" s="9">
        <f>SUM($C28:$BJ28)</f>
        <v>180514.80767507109</v>
      </c>
      <c r="AD76" s="9">
        <f>SUM($C28:$BJ28)</f>
        <v>180514.80767507109</v>
      </c>
      <c r="AE76" s="9">
        <f>SUM($C28:$BJ28)</f>
        <v>180514.80767507109</v>
      </c>
      <c r="AF76" s="9">
        <f>SUM($C28:$BJ28)</f>
        <v>180514.80767507109</v>
      </c>
      <c r="AG76" s="9">
        <f>SUM($C28:$BJ28)</f>
        <v>180514.80767507109</v>
      </c>
      <c r="AH76" s="9">
        <f>SUM($C28:$BJ28)</f>
        <v>180514.80767507109</v>
      </c>
      <c r="AI76" s="9">
        <f>SUM($C28:$BJ28)</f>
        <v>180514.80767507109</v>
      </c>
      <c r="AJ76" s="9">
        <f>SUM($C28:$BJ28)</f>
        <v>180514.80767507109</v>
      </c>
      <c r="AK76" s="9">
        <f>SUM($C28:$BJ28)</f>
        <v>180514.80767507109</v>
      </c>
      <c r="AL76" s="9">
        <f>SUM($C28:$BJ28)</f>
        <v>180514.80767507109</v>
      </c>
      <c r="AM76" s="9">
        <f>SUM($C28:$BJ28)</f>
        <v>180514.80767507109</v>
      </c>
      <c r="AN76" s="9">
        <f>SUM($C28:$BJ28)</f>
        <v>180514.80767507109</v>
      </c>
      <c r="AO76" s="9">
        <f>SUM($C28:$BJ28)</f>
        <v>180514.80767507109</v>
      </c>
      <c r="AP76" s="9">
        <f>SUM($C28:$BJ28)</f>
        <v>180514.80767507109</v>
      </c>
      <c r="AQ76" s="9">
        <f>SUM($C28:$BJ28)</f>
        <v>180514.80767507109</v>
      </c>
      <c r="AR76" s="9">
        <f>SUM($C28:$BJ28)</f>
        <v>180514.80767507109</v>
      </c>
      <c r="AS76" s="9">
        <f>SUM($C28:$BJ28)</f>
        <v>180514.80767507109</v>
      </c>
      <c r="AT76" s="9">
        <f>SUM($C28:$BJ28)</f>
        <v>180514.80767507109</v>
      </c>
      <c r="AU76" s="9">
        <f>SUM($C28:$BJ28)</f>
        <v>180514.80767507109</v>
      </c>
      <c r="AV76" s="9">
        <f>SUM($C28:$BJ28)</f>
        <v>180514.80767507109</v>
      </c>
      <c r="AW76" s="9">
        <f>SUM($C28:$BJ28)</f>
        <v>180514.80767507109</v>
      </c>
      <c r="AX76" s="9">
        <f>SUM($C28:$BJ28)</f>
        <v>180514.80767507109</v>
      </c>
      <c r="AY76" s="9">
        <f>SUM($C28:$BJ28)</f>
        <v>180514.80767507109</v>
      </c>
      <c r="AZ76" s="9">
        <f>SUM($C28:$BJ28)</f>
        <v>180514.80767507109</v>
      </c>
      <c r="BA76" s="9">
        <f>SUM($C28:$BJ28)</f>
        <v>180514.80767507109</v>
      </c>
      <c r="BB76" s="9">
        <f>SUM($C28:$BJ28)</f>
        <v>180514.80767507109</v>
      </c>
      <c r="BC76" s="9">
        <f>SUM($C28:$BJ28)</f>
        <v>180514.80767507109</v>
      </c>
      <c r="BD76" s="9">
        <f>SUM($C28:$BJ28)</f>
        <v>180514.80767507109</v>
      </c>
      <c r="BE76" s="9">
        <f>SUM($C28:$BJ28)</f>
        <v>180514.80767507109</v>
      </c>
      <c r="BF76" s="9">
        <f>SUM($C28:$BJ28)</f>
        <v>180514.80767507109</v>
      </c>
      <c r="BG76" s="9">
        <f>SUM($C28:$BJ28)</f>
        <v>180514.80767507109</v>
      </c>
      <c r="BH76" s="9">
        <f>SUM($C28:$BJ28)</f>
        <v>180514.80767507109</v>
      </c>
      <c r="BI76" s="9">
        <f>SUM($C28:$BJ28)</f>
        <v>180514.80767507109</v>
      </c>
      <c r="BJ76" s="9">
        <f>SUM($C28:$BJ28)</f>
        <v>180514.80767507109</v>
      </c>
      <c r="BK76" s="23">
        <f t="shared" si="23"/>
        <v>180514.80767507109</v>
      </c>
      <c r="BL76" s="24"/>
      <c r="BM76" s="24"/>
    </row>
    <row r="77" spans="2:65" ht="15" customHeight="1" x14ac:dyDescent="0.25">
      <c r="B77" s="6"/>
      <c r="C77" s="9">
        <f>SUM($C29:$BJ29)</f>
        <v>0</v>
      </c>
      <c r="D77" s="9">
        <f>SUM($C29:$BJ29)</f>
        <v>0</v>
      </c>
      <c r="E77" s="9">
        <f>SUM($C29:$BJ29)</f>
        <v>0</v>
      </c>
      <c r="F77" s="9">
        <f>SUM($C29:$BJ29)</f>
        <v>0</v>
      </c>
      <c r="G77" s="9">
        <f>SUM($C29:$BJ29)</f>
        <v>0</v>
      </c>
      <c r="H77" s="9">
        <f>SUM($C29:$BJ29)</f>
        <v>0</v>
      </c>
      <c r="I77" s="9">
        <f>SUM($C29:$BJ29)</f>
        <v>0</v>
      </c>
      <c r="J77" s="9">
        <f>SUM($C29:$BJ29)</f>
        <v>0</v>
      </c>
      <c r="K77" s="9">
        <f>SUM($C29:$BJ29)</f>
        <v>0</v>
      </c>
      <c r="L77" s="9">
        <f>SUM($C29:$BJ29)</f>
        <v>0</v>
      </c>
      <c r="M77" s="9">
        <f>SUM($C29:$BJ29)</f>
        <v>0</v>
      </c>
      <c r="N77" s="9">
        <f>SUM($C29:$BJ29)</f>
        <v>0</v>
      </c>
      <c r="O77" s="9">
        <f>SUM($C29:$BJ29)</f>
        <v>0</v>
      </c>
      <c r="P77" s="9">
        <f>SUM($C29:$BJ29)</f>
        <v>0</v>
      </c>
      <c r="Q77" s="9">
        <f>SUM($C29:$BJ29)</f>
        <v>0</v>
      </c>
      <c r="R77" s="9">
        <f>SUM($C29:$BJ29)</f>
        <v>0</v>
      </c>
      <c r="S77" s="9">
        <f>SUM($C29:$BJ29)</f>
        <v>0</v>
      </c>
      <c r="T77" s="9">
        <f>SUM($C29:$BJ29)</f>
        <v>0</v>
      </c>
      <c r="U77" s="9">
        <f>SUM($C29:$BJ29)</f>
        <v>0</v>
      </c>
      <c r="V77" s="9">
        <f>SUM($C29:$BJ29)</f>
        <v>0</v>
      </c>
      <c r="W77" s="9">
        <f>SUM($C29:$BJ29)</f>
        <v>0</v>
      </c>
      <c r="X77" s="9">
        <f>SUM($C29:$BJ29)</f>
        <v>0</v>
      </c>
      <c r="Y77" s="9">
        <f>SUM($C29:$BJ29)</f>
        <v>0</v>
      </c>
      <c r="Z77" s="9">
        <f>SUM($C29:$BJ29)</f>
        <v>0</v>
      </c>
      <c r="AA77" s="9">
        <f>SUM($C29:$BJ29)</f>
        <v>0</v>
      </c>
      <c r="AB77" s="9">
        <f>SUM($C29:$BJ29)</f>
        <v>0</v>
      </c>
      <c r="AC77" s="9">
        <f>SUM($C29:$BJ29)</f>
        <v>0</v>
      </c>
      <c r="AD77" s="9">
        <f>SUM($C29:$BJ29)</f>
        <v>0</v>
      </c>
      <c r="AE77" s="9">
        <f>SUM($C29:$BJ29)</f>
        <v>0</v>
      </c>
      <c r="AF77" s="9">
        <f>SUM($C29:$BJ29)</f>
        <v>0</v>
      </c>
      <c r="AG77" s="9">
        <f>SUM($C29:$BJ29)</f>
        <v>0</v>
      </c>
      <c r="AH77" s="9">
        <f>SUM($C29:$BJ29)</f>
        <v>0</v>
      </c>
      <c r="AI77" s="9">
        <f>SUM($C29:$BJ29)</f>
        <v>0</v>
      </c>
      <c r="AJ77" s="9">
        <f>SUM($C29:$BJ29)</f>
        <v>0</v>
      </c>
      <c r="AK77" s="9">
        <f>SUM($C29:$BJ29)</f>
        <v>0</v>
      </c>
      <c r="AL77" s="9">
        <f>SUM($C29:$BJ29)</f>
        <v>0</v>
      </c>
      <c r="AM77" s="9">
        <f>SUM($C29:$BJ29)</f>
        <v>0</v>
      </c>
      <c r="AN77" s="9">
        <f>SUM($C29:$BJ29)</f>
        <v>0</v>
      </c>
      <c r="AO77" s="9">
        <f>SUM($C29:$BJ29)</f>
        <v>0</v>
      </c>
      <c r="AP77" s="9">
        <f>SUM($C29:$BJ29)</f>
        <v>0</v>
      </c>
      <c r="AQ77" s="9">
        <f>SUM($C29:$BJ29)</f>
        <v>0</v>
      </c>
      <c r="AR77" s="9">
        <f>SUM($C29:$BJ29)</f>
        <v>0</v>
      </c>
      <c r="AS77" s="9">
        <f>SUM($C29:$BJ29)</f>
        <v>0</v>
      </c>
      <c r="AT77" s="9">
        <f>SUM($C29:$BJ29)</f>
        <v>0</v>
      </c>
      <c r="AU77" s="9">
        <f>SUM($C29:$BJ29)</f>
        <v>0</v>
      </c>
      <c r="AV77" s="9">
        <f>SUM($C29:$BJ29)</f>
        <v>0</v>
      </c>
      <c r="AW77" s="9">
        <f>SUM($C29:$BJ29)</f>
        <v>0</v>
      </c>
      <c r="AX77" s="9">
        <f>SUM($C29:$BJ29)</f>
        <v>0</v>
      </c>
      <c r="AY77" s="9">
        <f>SUM($C29:$BJ29)</f>
        <v>0</v>
      </c>
      <c r="AZ77" s="9">
        <f>SUM($C29:$BJ29)</f>
        <v>0</v>
      </c>
      <c r="BA77" s="9">
        <f>SUM($C29:$BJ29)</f>
        <v>0</v>
      </c>
      <c r="BB77" s="9">
        <f>SUM($C29:$BJ29)</f>
        <v>0</v>
      </c>
      <c r="BC77" s="9">
        <f>SUM($C29:$BJ29)</f>
        <v>0</v>
      </c>
      <c r="BD77" s="9">
        <f>SUM($C29:$BJ29)</f>
        <v>0</v>
      </c>
      <c r="BE77" s="9">
        <f>SUM($C29:$BJ29)</f>
        <v>0</v>
      </c>
      <c r="BF77" s="9">
        <f>SUM($C29:$BJ29)</f>
        <v>0</v>
      </c>
      <c r="BG77" s="9">
        <f>SUM($C29:$BJ29)</f>
        <v>0</v>
      </c>
      <c r="BH77" s="9">
        <f>SUM($C29:$BJ29)</f>
        <v>0</v>
      </c>
      <c r="BI77" s="9">
        <f>SUM($C29:$BJ29)</f>
        <v>0</v>
      </c>
      <c r="BJ77" s="9">
        <f>SUM($C29:$BJ29)</f>
        <v>0</v>
      </c>
      <c r="BK77" s="23">
        <f t="shared" si="23"/>
        <v>0</v>
      </c>
      <c r="BM77" s="24"/>
    </row>
    <row r="78" spans="2:65" ht="15" customHeight="1" x14ac:dyDescent="0.25">
      <c r="B78" s="6"/>
      <c r="C78" s="9">
        <f>SUM($C30:$BJ30)</f>
        <v>0</v>
      </c>
      <c r="D78" s="9">
        <f>SUM($C30:$BJ30)</f>
        <v>0</v>
      </c>
      <c r="E78" s="9">
        <f>SUM($C30:$BJ30)</f>
        <v>0</v>
      </c>
      <c r="F78" s="9">
        <f>SUM($C30:$BJ30)</f>
        <v>0</v>
      </c>
      <c r="G78" s="9">
        <f>SUM($C30:$BJ30)</f>
        <v>0</v>
      </c>
      <c r="H78" s="9">
        <f>SUM($C30:$BJ30)</f>
        <v>0</v>
      </c>
      <c r="I78" s="9">
        <f>SUM($C30:$BJ30)</f>
        <v>0</v>
      </c>
      <c r="J78" s="9">
        <f>SUM($C30:$BJ30)</f>
        <v>0</v>
      </c>
      <c r="K78" s="9">
        <f>SUM($C30:$BJ30)</f>
        <v>0</v>
      </c>
      <c r="L78" s="9">
        <f>SUM($C30:$BJ30)</f>
        <v>0</v>
      </c>
      <c r="M78" s="9">
        <f>SUM($C30:$BJ30)</f>
        <v>0</v>
      </c>
      <c r="N78" s="9">
        <f>SUM($C30:$BJ30)</f>
        <v>0</v>
      </c>
      <c r="O78" s="9">
        <f>SUM($C30:$BJ30)</f>
        <v>0</v>
      </c>
      <c r="P78" s="9">
        <f>SUM($C30:$BJ30)</f>
        <v>0</v>
      </c>
      <c r="Q78" s="9">
        <f>SUM($C30:$BJ30)</f>
        <v>0</v>
      </c>
      <c r="R78" s="9">
        <f>SUM($C30:$BJ30)</f>
        <v>0</v>
      </c>
      <c r="S78" s="9">
        <f>SUM($C30:$BJ30)</f>
        <v>0</v>
      </c>
      <c r="T78" s="9">
        <f>SUM($C30:$BJ30)</f>
        <v>0</v>
      </c>
      <c r="U78" s="9">
        <f>SUM($C30:$BJ30)</f>
        <v>0</v>
      </c>
      <c r="V78" s="9">
        <f>SUM($C30:$BJ30)</f>
        <v>0</v>
      </c>
      <c r="W78" s="9">
        <f>SUM($C30:$BJ30)</f>
        <v>0</v>
      </c>
      <c r="X78" s="9">
        <f>SUM($C30:$BJ30)</f>
        <v>0</v>
      </c>
      <c r="Y78" s="9">
        <f>SUM($C30:$BJ30)</f>
        <v>0</v>
      </c>
      <c r="Z78" s="9">
        <f>SUM($C30:$BJ30)</f>
        <v>0</v>
      </c>
      <c r="AA78" s="9">
        <f>SUM($C30:$BJ30)</f>
        <v>0</v>
      </c>
      <c r="AB78" s="9">
        <f>SUM($C30:$BJ30)</f>
        <v>0</v>
      </c>
      <c r="AC78" s="9">
        <f>SUM($C30:$BJ30)</f>
        <v>0</v>
      </c>
      <c r="AD78" s="9">
        <f>SUM($C30:$BJ30)</f>
        <v>0</v>
      </c>
      <c r="AE78" s="9">
        <f>SUM($C30:$BJ30)</f>
        <v>0</v>
      </c>
      <c r="AF78" s="9">
        <f>SUM($C30:$BJ30)</f>
        <v>0</v>
      </c>
      <c r="AG78" s="9">
        <f>SUM($C30:$BJ30)</f>
        <v>0</v>
      </c>
      <c r="AH78" s="9">
        <f>SUM($C30:$BJ30)</f>
        <v>0</v>
      </c>
      <c r="AI78" s="9">
        <f>SUM($C30:$BJ30)</f>
        <v>0</v>
      </c>
      <c r="AJ78" s="9">
        <f>SUM($C30:$BJ30)</f>
        <v>0</v>
      </c>
      <c r="AK78" s="9">
        <f>SUM($C30:$BJ30)</f>
        <v>0</v>
      </c>
      <c r="AL78" s="9">
        <f>SUM($C30:$BJ30)</f>
        <v>0</v>
      </c>
      <c r="AM78" s="9">
        <f>SUM($C30:$BJ30)</f>
        <v>0</v>
      </c>
      <c r="AN78" s="9">
        <f>SUM($C30:$BJ30)</f>
        <v>0</v>
      </c>
      <c r="AO78" s="9">
        <f>SUM($C30:$BJ30)</f>
        <v>0</v>
      </c>
      <c r="AP78" s="9">
        <f>SUM($C30:$BJ30)</f>
        <v>0</v>
      </c>
      <c r="AQ78" s="9">
        <f>SUM($C30:$BJ30)</f>
        <v>0</v>
      </c>
      <c r="AR78" s="9">
        <f>SUM($C30:$BJ30)</f>
        <v>0</v>
      </c>
      <c r="AS78" s="9">
        <f>SUM($C30:$BJ30)</f>
        <v>0</v>
      </c>
      <c r="AT78" s="9">
        <f>SUM($C30:$BJ30)</f>
        <v>0</v>
      </c>
      <c r="AU78" s="9">
        <f>SUM($C30:$BJ30)</f>
        <v>0</v>
      </c>
      <c r="AV78" s="9">
        <f>SUM($C30:$BJ30)</f>
        <v>0</v>
      </c>
      <c r="AW78" s="9">
        <f>SUM($C30:$BJ30)</f>
        <v>0</v>
      </c>
      <c r="AX78" s="9">
        <f>SUM($C30:$BJ30)</f>
        <v>0</v>
      </c>
      <c r="AY78" s="9">
        <f>SUM($C30:$BJ30)</f>
        <v>0</v>
      </c>
      <c r="AZ78" s="9">
        <f>SUM($C30:$BJ30)</f>
        <v>0</v>
      </c>
      <c r="BA78" s="9">
        <f>SUM($C30:$BJ30)</f>
        <v>0</v>
      </c>
      <c r="BB78" s="9">
        <f>SUM($C30:$BJ30)</f>
        <v>0</v>
      </c>
      <c r="BC78" s="9">
        <f>SUM($C30:$BJ30)</f>
        <v>0</v>
      </c>
      <c r="BD78" s="9">
        <f>SUM($C30:$BJ30)</f>
        <v>0</v>
      </c>
      <c r="BE78" s="9">
        <f>SUM($C30:$BJ30)</f>
        <v>0</v>
      </c>
      <c r="BF78" s="9">
        <f>SUM($C30:$BJ30)</f>
        <v>0</v>
      </c>
      <c r="BG78" s="9">
        <f>SUM($C30:$BJ30)</f>
        <v>0</v>
      </c>
      <c r="BH78" s="9">
        <f>SUM($C30:$BJ30)</f>
        <v>0</v>
      </c>
      <c r="BI78" s="9">
        <f>SUM($C30:$BJ30)</f>
        <v>0</v>
      </c>
      <c r="BJ78" s="9">
        <f>SUM($C30:$BJ30)</f>
        <v>0</v>
      </c>
      <c r="BK78" s="23">
        <f t="shared" si="23"/>
        <v>0</v>
      </c>
      <c r="BM78" s="24"/>
    </row>
    <row r="79" spans="2:65" ht="15" customHeight="1" x14ac:dyDescent="0.25">
      <c r="B79" s="6"/>
      <c r="C79" s="9">
        <f>SUM($C31:$BJ31)</f>
        <v>0</v>
      </c>
      <c r="D79" s="9">
        <f>SUM($C31:$BJ31)</f>
        <v>0</v>
      </c>
      <c r="E79" s="9">
        <f>SUM($C31:$BJ31)</f>
        <v>0</v>
      </c>
      <c r="F79" s="9">
        <f>SUM($C31:$BJ31)</f>
        <v>0</v>
      </c>
      <c r="G79" s="9">
        <f>SUM($C31:$BJ31)</f>
        <v>0</v>
      </c>
      <c r="H79" s="9">
        <f>SUM($C31:$BJ31)</f>
        <v>0</v>
      </c>
      <c r="I79" s="9">
        <f>SUM($C31:$BJ31)</f>
        <v>0</v>
      </c>
      <c r="J79" s="9">
        <f>SUM($C31:$BJ31)</f>
        <v>0</v>
      </c>
      <c r="K79" s="9">
        <f>SUM($C31:$BJ31)</f>
        <v>0</v>
      </c>
      <c r="L79" s="9">
        <f>SUM($C31:$BJ31)</f>
        <v>0</v>
      </c>
      <c r="M79" s="9">
        <f>SUM($C31:$BJ31)</f>
        <v>0</v>
      </c>
      <c r="N79" s="9">
        <f>SUM($C31:$BJ31)</f>
        <v>0</v>
      </c>
      <c r="O79" s="9">
        <f>SUM($C31:$BJ31)</f>
        <v>0</v>
      </c>
      <c r="P79" s="9">
        <f>SUM($C31:$BJ31)</f>
        <v>0</v>
      </c>
      <c r="Q79" s="9">
        <f>SUM($C31:$BJ31)</f>
        <v>0</v>
      </c>
      <c r="R79" s="9">
        <f>SUM($C31:$BJ31)</f>
        <v>0</v>
      </c>
      <c r="S79" s="9">
        <f>SUM($C31:$BJ31)</f>
        <v>0</v>
      </c>
      <c r="T79" s="9">
        <f>SUM($C31:$BJ31)</f>
        <v>0</v>
      </c>
      <c r="U79" s="9">
        <f>SUM($C31:$BJ31)</f>
        <v>0</v>
      </c>
      <c r="V79" s="9">
        <f>SUM($C31:$BJ31)</f>
        <v>0</v>
      </c>
      <c r="W79" s="9">
        <f>SUM($C31:$BJ31)</f>
        <v>0</v>
      </c>
      <c r="X79" s="9">
        <f>SUM($C31:$BJ31)</f>
        <v>0</v>
      </c>
      <c r="Y79" s="9">
        <f>SUM($C31:$BJ31)</f>
        <v>0</v>
      </c>
      <c r="Z79" s="9">
        <f>SUM($C31:$BJ31)</f>
        <v>0</v>
      </c>
      <c r="AA79" s="9">
        <f>SUM($C31:$BJ31)</f>
        <v>0</v>
      </c>
      <c r="AB79" s="9">
        <f>SUM($C31:$BJ31)</f>
        <v>0</v>
      </c>
      <c r="AC79" s="9">
        <f>SUM($C31:$BJ31)</f>
        <v>0</v>
      </c>
      <c r="AD79" s="9">
        <f>SUM($C31:$BJ31)</f>
        <v>0</v>
      </c>
      <c r="AE79" s="9">
        <f>SUM($C31:$BJ31)</f>
        <v>0</v>
      </c>
      <c r="AF79" s="9">
        <f>SUM($C31:$BJ31)</f>
        <v>0</v>
      </c>
      <c r="AG79" s="9">
        <f>SUM($C31:$BJ31)</f>
        <v>0</v>
      </c>
      <c r="AH79" s="9">
        <f>SUM($C31:$BJ31)</f>
        <v>0</v>
      </c>
      <c r="AI79" s="9">
        <f>SUM($C31:$BJ31)</f>
        <v>0</v>
      </c>
      <c r="AJ79" s="9">
        <f>SUM($C31:$BJ31)</f>
        <v>0</v>
      </c>
      <c r="AK79" s="9">
        <f>SUM($C31:$BJ31)</f>
        <v>0</v>
      </c>
      <c r="AL79" s="9">
        <f>SUM($C31:$BJ31)</f>
        <v>0</v>
      </c>
      <c r="AM79" s="9">
        <f>SUM($C31:$BJ31)</f>
        <v>0</v>
      </c>
      <c r="AN79" s="9">
        <f>SUM($C31:$BJ31)</f>
        <v>0</v>
      </c>
      <c r="AO79" s="9">
        <f>SUM($C31:$BJ31)</f>
        <v>0</v>
      </c>
      <c r="AP79" s="9">
        <f>SUM($C31:$BJ31)</f>
        <v>0</v>
      </c>
      <c r="AQ79" s="9">
        <f>SUM($C31:$BJ31)</f>
        <v>0</v>
      </c>
      <c r="AR79" s="9">
        <f>SUM($C31:$BJ31)</f>
        <v>0</v>
      </c>
      <c r="AS79" s="9">
        <f>SUM($C31:$BJ31)</f>
        <v>0</v>
      </c>
      <c r="AT79" s="9">
        <f>SUM($C31:$BJ31)</f>
        <v>0</v>
      </c>
      <c r="AU79" s="9">
        <f>SUM($C31:$BJ31)</f>
        <v>0</v>
      </c>
      <c r="AV79" s="9">
        <f>SUM($C31:$BJ31)</f>
        <v>0</v>
      </c>
      <c r="AW79" s="9">
        <f>SUM($C31:$BJ31)</f>
        <v>0</v>
      </c>
      <c r="AX79" s="9">
        <f>SUM($C31:$BJ31)</f>
        <v>0</v>
      </c>
      <c r="AY79" s="9">
        <f>SUM($C31:$BJ31)</f>
        <v>0</v>
      </c>
      <c r="AZ79" s="9">
        <f>SUM($C31:$BJ31)</f>
        <v>0</v>
      </c>
      <c r="BA79" s="9">
        <f>SUM($C31:$BJ31)</f>
        <v>0</v>
      </c>
      <c r="BB79" s="9">
        <f>SUM($C31:$BJ31)</f>
        <v>0</v>
      </c>
      <c r="BC79" s="9">
        <f>SUM($C31:$BJ31)</f>
        <v>0</v>
      </c>
      <c r="BD79" s="9">
        <f>SUM($C31:$BJ31)</f>
        <v>0</v>
      </c>
      <c r="BE79" s="9">
        <f>SUM($C31:$BJ31)</f>
        <v>0</v>
      </c>
      <c r="BF79" s="9">
        <f>SUM($C31:$BJ31)</f>
        <v>0</v>
      </c>
      <c r="BG79" s="9">
        <f>SUM($C31:$BJ31)</f>
        <v>0</v>
      </c>
      <c r="BH79" s="9">
        <f>SUM($C31:$BJ31)</f>
        <v>0</v>
      </c>
      <c r="BI79" s="9">
        <f>SUM($C31:$BJ31)</f>
        <v>0</v>
      </c>
      <c r="BJ79" s="9">
        <f>SUM($C31:$BJ31)</f>
        <v>0</v>
      </c>
      <c r="BK79" s="23">
        <f t="shared" si="23"/>
        <v>0</v>
      </c>
      <c r="BM79" s="24"/>
    </row>
    <row r="80" spans="2:65" ht="18" customHeight="1" x14ac:dyDescent="0.25">
      <c r="B80" s="25" t="s">
        <v>72</v>
      </c>
      <c r="C80" s="23">
        <f>SUM(C70:C79)</f>
        <v>2918150.805215863</v>
      </c>
      <c r="D80" s="23">
        <f>SUM(D70:D79)</f>
        <v>2918150.805215863</v>
      </c>
      <c r="E80" s="23">
        <f>SUM(E70:E79)</f>
        <v>2918150.805215863</v>
      </c>
      <c r="F80" s="23">
        <f>SUM(F70:F79)</f>
        <v>2918150.805215863</v>
      </c>
      <c r="G80" s="23">
        <f>SUM(G70:G79)</f>
        <v>2918150.805215863</v>
      </c>
      <c r="H80" s="23">
        <f>SUM(H70:H79)</f>
        <v>2918150.805215863</v>
      </c>
      <c r="I80" s="23">
        <f>SUM(I70:I79)</f>
        <v>2918150.805215863</v>
      </c>
      <c r="J80" s="23">
        <f>SUM(J70:J79)</f>
        <v>2918150.805215863</v>
      </c>
      <c r="K80" s="23">
        <f>SUM(K70:K79)</f>
        <v>2918150.805215863</v>
      </c>
      <c r="L80" s="23">
        <f>SUM(L70:L79)</f>
        <v>2918150.805215863</v>
      </c>
      <c r="M80" s="23">
        <f>SUM(M70:M79)</f>
        <v>2918150.805215863</v>
      </c>
      <c r="N80" s="23">
        <f>SUM(N70:N79)</f>
        <v>2918150.805215863</v>
      </c>
      <c r="O80" s="23">
        <f>SUM(O70:O79)</f>
        <v>2918150.805215863</v>
      </c>
      <c r="P80" s="23">
        <f>SUM(P70:P79)</f>
        <v>2918150.805215863</v>
      </c>
      <c r="Q80" s="23">
        <f>SUM(Q70:Q79)</f>
        <v>2918150.805215863</v>
      </c>
      <c r="R80" s="23">
        <f>SUM(R70:R79)</f>
        <v>2918150.805215863</v>
      </c>
      <c r="S80" s="23">
        <f>SUM(S70:S79)</f>
        <v>2918150.805215863</v>
      </c>
      <c r="T80" s="23">
        <f>SUM(T70:T79)</f>
        <v>2918150.805215863</v>
      </c>
      <c r="U80" s="23">
        <f>SUM(U70:U79)</f>
        <v>2918150.805215863</v>
      </c>
      <c r="V80" s="23">
        <f>SUM(V70:V79)</f>
        <v>2918150.805215863</v>
      </c>
      <c r="W80" s="23">
        <f>SUM(W70:W79)</f>
        <v>2918150.805215863</v>
      </c>
      <c r="X80" s="23">
        <f>SUM(X70:X79)</f>
        <v>2918150.805215863</v>
      </c>
      <c r="Y80" s="23">
        <f>SUM(Y70:Y79)</f>
        <v>2918150.805215863</v>
      </c>
      <c r="Z80" s="23">
        <f>SUM(Z70:Z79)</f>
        <v>2918150.805215863</v>
      </c>
      <c r="AA80" s="23">
        <f>SUM(AA70:AA79)</f>
        <v>2918150.805215863</v>
      </c>
      <c r="AB80" s="23">
        <f>SUM(AB70:AB79)</f>
        <v>2918150.805215863</v>
      </c>
      <c r="AC80" s="23">
        <f>SUM(AC70:AC79)</f>
        <v>2918150.805215863</v>
      </c>
      <c r="AD80" s="23">
        <f>SUM(AD70:AD79)</f>
        <v>2918150.805215863</v>
      </c>
      <c r="AE80" s="23">
        <f>SUM(AE70:AE79)</f>
        <v>2918150.805215863</v>
      </c>
      <c r="AF80" s="23">
        <f>SUM(AF70:AF79)</f>
        <v>2918150.805215863</v>
      </c>
      <c r="AG80" s="23">
        <f>SUM(AG70:AG79)</f>
        <v>2918150.805215863</v>
      </c>
      <c r="AH80" s="23">
        <f>SUM(AH70:AH79)</f>
        <v>2918150.805215863</v>
      </c>
      <c r="AI80" s="23">
        <f>SUM(AI70:AI79)</f>
        <v>2918150.805215863</v>
      </c>
      <c r="AJ80" s="23">
        <f>SUM(AJ70:AJ79)</f>
        <v>2918150.805215863</v>
      </c>
      <c r="AK80" s="23">
        <f>SUM(AK70:AK79)</f>
        <v>2918150.805215863</v>
      </c>
      <c r="AL80" s="23">
        <f>SUM(AL70:AL79)</f>
        <v>2918150.805215863</v>
      </c>
      <c r="AM80" s="23">
        <f>SUM(AM70:AM79)</f>
        <v>2918150.805215863</v>
      </c>
      <c r="AN80" s="23">
        <f>SUM(AN70:AN79)</f>
        <v>2918150.805215863</v>
      </c>
      <c r="AO80" s="23">
        <f>SUM(AO70:AO79)</f>
        <v>2918150.805215863</v>
      </c>
      <c r="AP80" s="23">
        <f>SUM(AP70:AP79)</f>
        <v>2918150.805215863</v>
      </c>
      <c r="AQ80" s="23">
        <f>SUM(AQ70:AQ79)</f>
        <v>2918150.805215863</v>
      </c>
      <c r="AR80" s="23">
        <f>SUM(AR70:AR79)</f>
        <v>2918150.805215863</v>
      </c>
      <c r="AS80" s="23">
        <f>SUM(AS70:AS79)</f>
        <v>2918150.805215863</v>
      </c>
      <c r="AT80" s="23">
        <f>SUM(AT70:AT79)</f>
        <v>2918150.805215863</v>
      </c>
      <c r="AU80" s="23">
        <f>SUM(AU70:AU79)</f>
        <v>2918150.805215863</v>
      </c>
      <c r="AV80" s="23">
        <f>SUM(AV70:AV79)</f>
        <v>2918150.805215863</v>
      </c>
      <c r="AW80" s="23">
        <f>SUM(AW70:AW79)</f>
        <v>2918150.805215863</v>
      </c>
      <c r="AX80" s="23">
        <f>SUM(AX70:AX79)</f>
        <v>2918150.805215863</v>
      </c>
      <c r="AY80" s="23">
        <f>SUM(AY70:AY79)</f>
        <v>2918150.805215863</v>
      </c>
      <c r="AZ80" s="23">
        <f>SUM(AZ70:AZ79)</f>
        <v>2918150.805215863</v>
      </c>
      <c r="BA80" s="23">
        <f>SUM(BA70:BA79)</f>
        <v>2918150.805215863</v>
      </c>
      <c r="BB80" s="23">
        <f>SUM(BB70:BB79)</f>
        <v>2918150.805215863</v>
      </c>
      <c r="BC80" s="23">
        <f>SUM(BC70:BC79)</f>
        <v>2918150.805215863</v>
      </c>
      <c r="BD80" s="23">
        <f>SUM(BD70:BD79)</f>
        <v>2918150.805215863</v>
      </c>
      <c r="BE80" s="23">
        <f>SUM(BE70:BE79)</f>
        <v>2918150.805215863</v>
      </c>
      <c r="BF80" s="23">
        <f>SUM(BF70:BF79)</f>
        <v>2918150.805215863</v>
      </c>
      <c r="BG80" s="23">
        <f>SUM(BG70:BG79)</f>
        <v>2918150.805215863</v>
      </c>
      <c r="BH80" s="23">
        <f>SUM(BH70:BH79)</f>
        <v>2918150.805215863</v>
      </c>
      <c r="BI80" s="23">
        <f>SUM(BI70:BI79)</f>
        <v>2918150.805215863</v>
      </c>
      <c r="BJ80" s="23">
        <f>SUM(BJ70:BJ79)</f>
        <v>2918150.805215863</v>
      </c>
      <c r="BK80" s="23">
        <f>SUM(BK70:BK79)</f>
        <v>2918150.805215863</v>
      </c>
    </row>
    <row r="81" spans="2:65" s="32" customFormat="1" ht="15" customHeight="1" x14ac:dyDescent="0.25">
      <c r="B81" s="31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</row>
    <row r="82" spans="2:65" ht="15" customHeight="1" x14ac:dyDescent="0.25"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</row>
    <row r="83" spans="2:65" ht="15" customHeight="1" x14ac:dyDescent="0.25">
      <c r="B83" s="28" t="s">
        <v>76</v>
      </c>
      <c r="C83" s="29"/>
      <c r="D83" s="29"/>
      <c r="E83" s="29"/>
      <c r="F83" s="29"/>
      <c r="G83" s="29"/>
      <c r="H83" s="29"/>
      <c r="I83" s="29"/>
    </row>
    <row r="84" spans="2:65" ht="6" customHeight="1" x14ac:dyDescent="0.25"/>
    <row r="85" spans="2:65" ht="33" customHeight="1" x14ac:dyDescent="0.25">
      <c r="B85" s="5" t="s">
        <v>53</v>
      </c>
      <c r="C85" s="16">
        <v>43466</v>
      </c>
      <c r="D85" s="16">
        <v>43497</v>
      </c>
      <c r="E85" s="16">
        <v>43525</v>
      </c>
      <c r="F85" s="16">
        <v>43556</v>
      </c>
      <c r="G85" s="16">
        <v>43586</v>
      </c>
      <c r="H85" s="16">
        <v>43617</v>
      </c>
      <c r="I85" s="16">
        <v>43647</v>
      </c>
      <c r="J85" s="16">
        <v>43678</v>
      </c>
      <c r="K85" s="16">
        <v>43709</v>
      </c>
      <c r="L85" s="16">
        <v>43739</v>
      </c>
      <c r="M85" s="16">
        <v>43770</v>
      </c>
      <c r="N85" s="16">
        <v>43800</v>
      </c>
      <c r="O85" s="16">
        <v>43831</v>
      </c>
      <c r="P85" s="16">
        <v>43862</v>
      </c>
      <c r="Q85" s="16">
        <v>43891</v>
      </c>
      <c r="R85" s="16">
        <v>43922</v>
      </c>
      <c r="S85" s="16">
        <v>43952</v>
      </c>
      <c r="T85" s="16">
        <v>43983</v>
      </c>
      <c r="U85" s="16">
        <v>44013</v>
      </c>
      <c r="V85" s="16">
        <v>44044</v>
      </c>
      <c r="W85" s="16">
        <v>44075</v>
      </c>
      <c r="X85" s="16">
        <v>44105</v>
      </c>
      <c r="Y85" s="16">
        <v>44136</v>
      </c>
      <c r="Z85" s="16">
        <v>44166</v>
      </c>
      <c r="AA85" s="16">
        <v>44197</v>
      </c>
      <c r="AB85" s="16">
        <v>44228</v>
      </c>
      <c r="AC85" s="16">
        <v>44256</v>
      </c>
      <c r="AD85" s="16">
        <v>44287</v>
      </c>
      <c r="AE85" s="16">
        <v>44317</v>
      </c>
      <c r="AF85" s="16">
        <v>44348</v>
      </c>
      <c r="AG85" s="16">
        <v>44378</v>
      </c>
      <c r="AH85" s="16">
        <v>44409</v>
      </c>
      <c r="AI85" s="16">
        <v>44440</v>
      </c>
      <c r="AJ85" s="16">
        <v>44470</v>
      </c>
      <c r="AK85" s="16">
        <v>44501</v>
      </c>
      <c r="AL85" s="16">
        <v>44531</v>
      </c>
      <c r="AM85" s="16">
        <v>44562</v>
      </c>
      <c r="AN85" s="16">
        <v>44593</v>
      </c>
      <c r="AO85" s="16">
        <v>44621</v>
      </c>
      <c r="AP85" s="16">
        <v>44652</v>
      </c>
      <c r="AQ85" s="16">
        <v>44682</v>
      </c>
      <c r="AR85" s="16">
        <v>44713</v>
      </c>
      <c r="AS85" s="16">
        <v>44743</v>
      </c>
      <c r="AT85" s="16">
        <v>44774</v>
      </c>
      <c r="AU85" s="16">
        <v>44805</v>
      </c>
      <c r="AV85" s="16">
        <v>44835</v>
      </c>
      <c r="AW85" s="16">
        <v>44866</v>
      </c>
      <c r="AX85" s="16">
        <v>44896</v>
      </c>
      <c r="AY85" s="16">
        <v>44927</v>
      </c>
      <c r="AZ85" s="16">
        <v>44958</v>
      </c>
      <c r="BA85" s="16">
        <v>44986</v>
      </c>
      <c r="BB85" s="16">
        <v>45017</v>
      </c>
      <c r="BC85" s="16">
        <v>45047</v>
      </c>
      <c r="BD85" s="16">
        <v>45078</v>
      </c>
      <c r="BE85" s="16">
        <v>45108</v>
      </c>
      <c r="BF85" s="16">
        <v>45139</v>
      </c>
      <c r="BG85" s="16">
        <v>45170</v>
      </c>
      <c r="BH85" s="16">
        <v>45200</v>
      </c>
      <c r="BI85" s="16">
        <v>45231</v>
      </c>
      <c r="BJ85" s="16">
        <v>45261</v>
      </c>
      <c r="BK85" s="16" t="s">
        <v>72</v>
      </c>
    </row>
    <row r="86" spans="2:65" ht="15" customHeight="1" x14ac:dyDescent="0.25">
      <c r="B86" s="6">
        <v>1</v>
      </c>
      <c r="C86" s="9">
        <f>-SUM($C38:C38)</f>
        <v>-8200.5298343817994</v>
      </c>
      <c r="D86" s="9">
        <f>-SUM($C38:D38)</f>
        <v>-16401.059668763599</v>
      </c>
      <c r="E86" s="9">
        <f>-SUM($C38:E38)</f>
        <v>-24601.589503145398</v>
      </c>
      <c r="F86" s="9">
        <f>-SUM($C38:F38)</f>
        <v>-32802.119337527198</v>
      </c>
      <c r="G86" s="9">
        <f>-SUM($C38:G38)</f>
        <v>-41002.649171908997</v>
      </c>
      <c r="H86" s="9">
        <f>-SUM($C38:H38)</f>
        <v>-49203.179006290797</v>
      </c>
      <c r="I86" s="9">
        <f>-SUM($C38:I38)</f>
        <v>-57403.708840672596</v>
      </c>
      <c r="J86" s="9">
        <f>-SUM($C38:J38)</f>
        <v>-65604.238675054396</v>
      </c>
      <c r="K86" s="9">
        <f>-SUM($C38:K38)</f>
        <v>-73804.768509436195</v>
      </c>
      <c r="L86" s="9">
        <f>-SUM($C38:L38)</f>
        <v>-82005.298343817994</v>
      </c>
      <c r="M86" s="9">
        <f>-SUM($C38:M38)</f>
        <v>-90205.828178199794</v>
      </c>
      <c r="N86" s="9">
        <f>-SUM($C38:N38)</f>
        <v>-98406.358012581593</v>
      </c>
      <c r="O86" s="9">
        <f>-SUM($C38:O38)</f>
        <v>-106606.88784696339</v>
      </c>
      <c r="P86" s="9">
        <f>-SUM($C38:P38)</f>
        <v>-114807.41768134519</v>
      </c>
      <c r="Q86" s="9">
        <f>-SUM($C38:Q38)</f>
        <v>-123007.94751572699</v>
      </c>
      <c r="R86" s="9">
        <f>-SUM($C38:R38)</f>
        <v>-131208.47735010879</v>
      </c>
      <c r="S86" s="9">
        <f>-SUM($C38:S38)</f>
        <v>-139409.00718449059</v>
      </c>
      <c r="T86" s="9">
        <f>-SUM($C38:T38)</f>
        <v>-147609.53701887239</v>
      </c>
      <c r="U86" s="9">
        <f>-SUM($C38:U38)</f>
        <v>-155810.06685325419</v>
      </c>
      <c r="V86" s="9">
        <f>-SUM($C38:V38)</f>
        <v>-164010.59668763599</v>
      </c>
      <c r="W86" s="9">
        <f>-SUM($C38:W38)</f>
        <v>-172211.12652201779</v>
      </c>
      <c r="X86" s="9">
        <f>-SUM($C38:X38)</f>
        <v>-180411.65635639959</v>
      </c>
      <c r="Y86" s="9">
        <f>-SUM($C38:Y38)</f>
        <v>-188612.18619078139</v>
      </c>
      <c r="Z86" s="9">
        <f>-SUM($C38:Z38)</f>
        <v>-196812.71602516319</v>
      </c>
      <c r="AA86" s="9">
        <f>-SUM($C38:AA38)</f>
        <v>-205013.24585954499</v>
      </c>
      <c r="AB86" s="9">
        <f>-SUM($C38:AB38)</f>
        <v>-213213.77569392679</v>
      </c>
      <c r="AC86" s="9">
        <f>-SUM($C38:AC38)</f>
        <v>-221414.30552830859</v>
      </c>
      <c r="AD86" s="9">
        <f>-SUM($C38:AD38)</f>
        <v>-229614.83536269038</v>
      </c>
      <c r="AE86" s="9">
        <f>-SUM($C38:AE38)</f>
        <v>-237815.36519707218</v>
      </c>
      <c r="AF86" s="9">
        <f>-SUM($C38:AF38)</f>
        <v>-246015.89503145398</v>
      </c>
      <c r="AG86" s="9">
        <f>-SUM($C38:AG38)</f>
        <v>-254216.42486583578</v>
      </c>
      <c r="AH86" s="9">
        <f>-SUM($C38:AH38)</f>
        <v>-262416.95470021758</v>
      </c>
      <c r="AI86" s="9">
        <f>-SUM($C38:AI38)</f>
        <v>-270617.48453459935</v>
      </c>
      <c r="AJ86" s="9">
        <f>-SUM($C38:AJ38)</f>
        <v>-278818.01436898112</v>
      </c>
      <c r="AK86" s="9">
        <f>-SUM($C38:AK38)</f>
        <v>-287018.54420336289</v>
      </c>
      <c r="AL86" s="9">
        <f>-SUM($C38:AL38)</f>
        <v>-295219.07403774466</v>
      </c>
      <c r="AM86" s="9">
        <f>-SUM($C38:AM38)</f>
        <v>-303419.60387212643</v>
      </c>
      <c r="AN86" s="9">
        <f>-SUM($C38:AN38)</f>
        <v>-311620.1337065082</v>
      </c>
      <c r="AO86" s="9">
        <f>-SUM($C38:AO38)</f>
        <v>-319820.66354088997</v>
      </c>
      <c r="AP86" s="9">
        <f>-SUM($C38:AP38)</f>
        <v>-328021.19337527175</v>
      </c>
      <c r="AQ86" s="9">
        <f>-SUM($C38:AQ38)</f>
        <v>-336221.72320965352</v>
      </c>
      <c r="AR86" s="9">
        <f>-SUM($C38:AR38)</f>
        <v>-344422.25304403529</v>
      </c>
      <c r="AS86" s="9">
        <f>-SUM($C38:AS38)</f>
        <v>-352622.78287841706</v>
      </c>
      <c r="AT86" s="9">
        <f>-SUM($C38:AT38)</f>
        <v>-360823.31271279883</v>
      </c>
      <c r="AU86" s="9">
        <f>-SUM($C38:AU38)</f>
        <v>-369023.8425471806</v>
      </c>
      <c r="AV86" s="9">
        <f>-SUM($C38:AV38)</f>
        <v>-377224.37238156237</v>
      </c>
      <c r="AW86" s="9">
        <f>-SUM($C38:AW38)</f>
        <v>-385424.90221594414</v>
      </c>
      <c r="AX86" s="9">
        <f>-SUM($C38:AX38)</f>
        <v>-393625.43205032591</v>
      </c>
      <c r="AY86" s="9">
        <f>-SUM($C38:AY38)</f>
        <v>-401825.96188470768</v>
      </c>
      <c r="AZ86" s="9">
        <f>-SUM($C38:AZ38)</f>
        <v>-410026.49171908945</v>
      </c>
      <c r="BA86" s="9">
        <f>-SUM($C38:BA38)</f>
        <v>-418227.02155347122</v>
      </c>
      <c r="BB86" s="9">
        <f>-SUM($C38:BB38)</f>
        <v>-426427.55138785299</v>
      </c>
      <c r="BC86" s="9">
        <f>-SUM($C38:BC38)</f>
        <v>-434628.08122223476</v>
      </c>
      <c r="BD86" s="9">
        <f>-SUM($C38:BD38)</f>
        <v>-442828.61105661653</v>
      </c>
      <c r="BE86" s="9">
        <f>-SUM($C38:BE38)</f>
        <v>-451029.1408909983</v>
      </c>
      <c r="BF86" s="9">
        <f>-SUM($C38:BF38)</f>
        <v>-459229.67072538007</v>
      </c>
      <c r="BG86" s="9">
        <f>-SUM($C38:BG38)</f>
        <v>-467430.20055976184</v>
      </c>
      <c r="BH86" s="9">
        <f>-SUM($C38:BH38)</f>
        <v>-475630.73039414361</v>
      </c>
      <c r="BI86" s="9">
        <f>-SUM($C38:BI38)</f>
        <v>-483831.26022852538</v>
      </c>
      <c r="BJ86" s="9">
        <f>-SUM($C38:BJ38)</f>
        <v>-492031.79006290715</v>
      </c>
      <c r="BK86" s="23">
        <f t="shared" ref="BK86:BK88" si="24">BJ86</f>
        <v>-492031.79006290715</v>
      </c>
      <c r="BL86" s="24"/>
      <c r="BM86" s="24"/>
    </row>
    <row r="87" spans="2:65" ht="15" customHeight="1" x14ac:dyDescent="0.25">
      <c r="B87" s="6">
        <v>2</v>
      </c>
      <c r="C87" s="9">
        <f>-SUM($C39:C39)</f>
        <v>-1719.1886445244857</v>
      </c>
      <c r="D87" s="9">
        <f>-SUM($C39:D39)</f>
        <v>-3438.3772890489713</v>
      </c>
      <c r="E87" s="9">
        <f>-SUM($C39:E39)</f>
        <v>-5157.5659335734572</v>
      </c>
      <c r="F87" s="9">
        <f>-SUM($C39:F39)</f>
        <v>-6876.7545780979426</v>
      </c>
      <c r="G87" s="9">
        <f>-SUM($C39:G39)</f>
        <v>-8595.9432226224289</v>
      </c>
      <c r="H87" s="9">
        <f>-SUM($C39:H39)</f>
        <v>-10315.131867146914</v>
      </c>
      <c r="I87" s="9">
        <f>-SUM($C39:I39)</f>
        <v>-12034.3205116714</v>
      </c>
      <c r="J87" s="9">
        <f>-SUM($C39:J39)</f>
        <v>-13753.509156195885</v>
      </c>
      <c r="K87" s="9">
        <f>-SUM($C39:K39)</f>
        <v>-15472.697800720371</v>
      </c>
      <c r="L87" s="9">
        <f>-SUM($C39:L39)</f>
        <v>-17191.886445244858</v>
      </c>
      <c r="M87" s="9">
        <f>-SUM($C39:M39)</f>
        <v>-18911.075089769343</v>
      </c>
      <c r="N87" s="9">
        <f>-SUM($C39:N39)</f>
        <v>-20630.263734293829</v>
      </c>
      <c r="O87" s="9">
        <f>-SUM($C39:O39)</f>
        <v>-22349.452378818314</v>
      </c>
      <c r="P87" s="9">
        <f>-SUM($C39:P39)</f>
        <v>-24068.6410233428</v>
      </c>
      <c r="Q87" s="9">
        <f>-SUM($C39:Q39)</f>
        <v>-25787.829667867285</v>
      </c>
      <c r="R87" s="9">
        <f>-SUM($C39:R39)</f>
        <v>-27507.01831239177</v>
      </c>
      <c r="S87" s="9">
        <f>-SUM($C39:S39)</f>
        <v>-29226.206956916256</v>
      </c>
      <c r="T87" s="9">
        <f>-SUM($C39:T39)</f>
        <v>-30945.395601440741</v>
      </c>
      <c r="U87" s="9">
        <f>-SUM($C39:U39)</f>
        <v>-32664.584245965227</v>
      </c>
      <c r="V87" s="9">
        <f>-SUM($C39:V39)</f>
        <v>-34383.772890489716</v>
      </c>
      <c r="W87" s="9">
        <f>-SUM($C39:W39)</f>
        <v>-36102.961535014205</v>
      </c>
      <c r="X87" s="9">
        <f>-SUM($C39:X39)</f>
        <v>-37822.150179538694</v>
      </c>
      <c r="Y87" s="9">
        <f>-SUM($C39:Y39)</f>
        <v>-39541.338824063183</v>
      </c>
      <c r="Z87" s="9">
        <f>-SUM($C39:Z39)</f>
        <v>-41260.527468587672</v>
      </c>
      <c r="AA87" s="9">
        <f>-SUM($C39:AA39)</f>
        <v>-42979.716113112161</v>
      </c>
      <c r="AB87" s="9">
        <f>-SUM($C39:AB39)</f>
        <v>-44698.90475763665</v>
      </c>
      <c r="AC87" s="9">
        <f>-SUM($C39:AC39)</f>
        <v>-46418.093402161139</v>
      </c>
      <c r="AD87" s="9">
        <f>-SUM($C39:AD39)</f>
        <v>-48137.282046685628</v>
      </c>
      <c r="AE87" s="9">
        <f>-SUM($C39:AE39)</f>
        <v>-49856.470691210117</v>
      </c>
      <c r="AF87" s="9">
        <f>-SUM($C39:AF39)</f>
        <v>-51575.659335734606</v>
      </c>
      <c r="AG87" s="9">
        <f>-SUM($C39:AG39)</f>
        <v>-53294.847980259095</v>
      </c>
      <c r="AH87" s="9">
        <f>-SUM($C39:AH39)</f>
        <v>-55014.036624783585</v>
      </c>
      <c r="AI87" s="9">
        <f>-SUM($C39:AI39)</f>
        <v>-56733.225269308074</v>
      </c>
      <c r="AJ87" s="9">
        <f>-SUM($C39:AJ39)</f>
        <v>-58452.413913832563</v>
      </c>
      <c r="AK87" s="9">
        <f>-SUM($C39:AK39)</f>
        <v>-60171.602558357052</v>
      </c>
      <c r="AL87" s="9">
        <f>-SUM($C39:AL39)</f>
        <v>-61890.791202881541</v>
      </c>
      <c r="AM87" s="9">
        <f>-SUM($C39:AM39)</f>
        <v>-63609.97984740603</v>
      </c>
      <c r="AN87" s="9">
        <f>-SUM($C39:AN39)</f>
        <v>-65329.168491930519</v>
      </c>
      <c r="AO87" s="9">
        <f>-SUM($C39:AO39)</f>
        <v>-67048.357136455001</v>
      </c>
      <c r="AP87" s="9">
        <f>-SUM($C39:AP39)</f>
        <v>-68767.54578097949</v>
      </c>
      <c r="AQ87" s="9">
        <f>-SUM($C39:AQ39)</f>
        <v>-70486.734425503979</v>
      </c>
      <c r="AR87" s="9">
        <f>-SUM($C39:AR39)</f>
        <v>-72205.923070028468</v>
      </c>
      <c r="AS87" s="9">
        <f>-SUM($C39:AS39)</f>
        <v>-73925.111714552957</v>
      </c>
      <c r="AT87" s="9">
        <f>-SUM($C39:AT39)</f>
        <v>-75644.300359077446</v>
      </c>
      <c r="AU87" s="9">
        <f>-SUM($C39:AU39)</f>
        <v>-77363.489003601935</v>
      </c>
      <c r="AV87" s="9">
        <f>-SUM($C39:AV39)</f>
        <v>-79082.677648126424</v>
      </c>
      <c r="AW87" s="9">
        <f>-SUM($C39:AW39)</f>
        <v>-80801.866292650913</v>
      </c>
      <c r="AX87" s="9">
        <f>-SUM($C39:AX39)</f>
        <v>-82521.054937175402</v>
      </c>
      <c r="AY87" s="9">
        <f>-SUM($C39:AY39)</f>
        <v>-84240.243581699891</v>
      </c>
      <c r="AZ87" s="9">
        <f>-SUM($C39:AZ39)</f>
        <v>-85959.43222622438</v>
      </c>
      <c r="BA87" s="9">
        <f>-SUM($C39:BA39)</f>
        <v>-87678.620870748869</v>
      </c>
      <c r="BB87" s="9">
        <f>-SUM($C39:BB39)</f>
        <v>-89397.809515273359</v>
      </c>
      <c r="BC87" s="9">
        <f>-SUM($C39:BC39)</f>
        <v>-91116.998159797848</v>
      </c>
      <c r="BD87" s="9">
        <f>-SUM($C39:BD39)</f>
        <v>-92836.186804322337</v>
      </c>
      <c r="BE87" s="9">
        <f>-SUM($C39:BE39)</f>
        <v>-94555.375448846826</v>
      </c>
      <c r="BF87" s="9">
        <f>-SUM($C39:BF39)</f>
        <v>-96274.564093371315</v>
      </c>
      <c r="BG87" s="9">
        <f>-SUM($C39:BG39)</f>
        <v>-97993.752737895804</v>
      </c>
      <c r="BH87" s="9">
        <f>-SUM($C39:BH39)</f>
        <v>-99712.941382420293</v>
      </c>
      <c r="BI87" s="9">
        <f>-SUM($C39:BI39)</f>
        <v>-101432.13002694478</v>
      </c>
      <c r="BJ87" s="9">
        <f>-SUM($C39:BJ39)</f>
        <v>-103151.31867146927</v>
      </c>
      <c r="BK87" s="23">
        <f t="shared" si="24"/>
        <v>-103151.31867146927</v>
      </c>
      <c r="BL87" s="24"/>
      <c r="BM87" s="24"/>
    </row>
    <row r="88" spans="2:65" ht="15" customHeight="1" x14ac:dyDescent="0.25">
      <c r="B88" s="6">
        <v>3</v>
      </c>
      <c r="C88" s="9">
        <f>-SUM($C40:C40)</f>
        <v>-15472.697800720374</v>
      </c>
      <c r="D88" s="9">
        <f>-SUM($C40:D40)</f>
        <v>-30945.395601440749</v>
      </c>
      <c r="E88" s="9">
        <f>-SUM($C40:E40)</f>
        <v>-46418.093402161125</v>
      </c>
      <c r="F88" s="9">
        <f>-SUM($C40:F40)</f>
        <v>-61890.791202881497</v>
      </c>
      <c r="G88" s="9">
        <f>-SUM($C40:G40)</f>
        <v>-77363.489003601877</v>
      </c>
      <c r="H88" s="9">
        <f>-SUM($C40:H40)</f>
        <v>-92836.186804322249</v>
      </c>
      <c r="I88" s="9">
        <f>-SUM($C40:I40)</f>
        <v>-108308.88460504262</v>
      </c>
      <c r="J88" s="9">
        <f>-SUM($C40:J40)</f>
        <v>-123781.58240576299</v>
      </c>
      <c r="K88" s="9">
        <f>-SUM($C40:K40)</f>
        <v>-139254.28020648338</v>
      </c>
      <c r="L88" s="9">
        <f>-SUM($C40:L40)</f>
        <v>-154726.97800720375</v>
      </c>
      <c r="M88" s="9">
        <f>-SUM($C40:M40)</f>
        <v>-170199.67580792413</v>
      </c>
      <c r="N88" s="9">
        <f>-SUM($C40:N40)</f>
        <v>-185672.3736086445</v>
      </c>
      <c r="O88" s="9">
        <f>-SUM($C40:O40)</f>
        <v>-201145.07140936487</v>
      </c>
      <c r="P88" s="9">
        <f>-SUM($C40:P40)</f>
        <v>-216617.76921008524</v>
      </c>
      <c r="Q88" s="9">
        <f>-SUM($C40:Q40)</f>
        <v>-232090.46701080562</v>
      </c>
      <c r="R88" s="9">
        <f>-SUM($C40:R40)</f>
        <v>-247563.16481152599</v>
      </c>
      <c r="S88" s="9">
        <f>-SUM($C40:S40)</f>
        <v>-263035.86261224636</v>
      </c>
      <c r="T88" s="9">
        <f>-SUM($C40:T40)</f>
        <v>-278508.56041296676</v>
      </c>
      <c r="U88" s="9">
        <f>-SUM($C40:U40)</f>
        <v>-293981.25821368716</v>
      </c>
      <c r="V88" s="9">
        <f>-SUM($C40:V40)</f>
        <v>-309453.95601440757</v>
      </c>
      <c r="W88" s="9">
        <f>-SUM($C40:W40)</f>
        <v>-324926.65381512797</v>
      </c>
      <c r="X88" s="9">
        <f>-SUM($C40:X40)</f>
        <v>-340399.35161584837</v>
      </c>
      <c r="Y88" s="9">
        <f>-SUM($C40:Y40)</f>
        <v>-355872.04941656877</v>
      </c>
      <c r="Z88" s="9">
        <f>-SUM($C40:Z40)</f>
        <v>-371344.74721728917</v>
      </c>
      <c r="AA88" s="9">
        <f>-SUM($C40:AA40)</f>
        <v>-386817.44501800957</v>
      </c>
      <c r="AB88" s="9">
        <f>-SUM($C40:AB40)</f>
        <v>-402290.14281872998</v>
      </c>
      <c r="AC88" s="9">
        <f>-SUM($C40:AC40)</f>
        <v>-417762.84061945038</v>
      </c>
      <c r="AD88" s="9">
        <f>-SUM($C40:AD40)</f>
        <v>-433235.53842017078</v>
      </c>
      <c r="AE88" s="9">
        <f>-SUM($C40:AE40)</f>
        <v>-448708.23622089118</v>
      </c>
      <c r="AF88" s="9">
        <f>-SUM($C40:AF40)</f>
        <v>-464180.93402161158</v>
      </c>
      <c r="AG88" s="9">
        <f>-SUM($C40:AG40)</f>
        <v>-479653.63182233198</v>
      </c>
      <c r="AH88" s="9">
        <f>-SUM($C40:AH40)</f>
        <v>-495126.32962305238</v>
      </c>
      <c r="AI88" s="9">
        <f>-SUM($C40:AI40)</f>
        <v>-510599.02742377279</v>
      </c>
      <c r="AJ88" s="9">
        <f>-SUM($C40:AJ40)</f>
        <v>-526071.72522449319</v>
      </c>
      <c r="AK88" s="9">
        <f>-SUM($C40:AK40)</f>
        <v>-541544.42302521353</v>
      </c>
      <c r="AL88" s="9">
        <f>-SUM($C40:AL40)</f>
        <v>-557017.12082593387</v>
      </c>
      <c r="AM88" s="9">
        <f>-SUM($C40:AM40)</f>
        <v>-572489.81862665422</v>
      </c>
      <c r="AN88" s="9">
        <f>-SUM($C40:AN40)</f>
        <v>-587962.51642737456</v>
      </c>
      <c r="AO88" s="9">
        <f>-SUM($C40:AO40)</f>
        <v>-603435.2142280949</v>
      </c>
      <c r="AP88" s="9">
        <f>-SUM($C40:AP40)</f>
        <v>-618907.91202881525</v>
      </c>
      <c r="AQ88" s="9">
        <f>-SUM($C40:AQ40)</f>
        <v>-634380.60982953559</v>
      </c>
      <c r="AR88" s="9">
        <f>-SUM($C40:AR40)</f>
        <v>-649853.30763025593</v>
      </c>
      <c r="AS88" s="9">
        <f>-SUM($C40:AS40)</f>
        <v>-665326.00543097628</v>
      </c>
      <c r="AT88" s="9">
        <f>-SUM($C40:AT40)</f>
        <v>-680798.70323169662</v>
      </c>
      <c r="AU88" s="9">
        <f>-SUM($C40:AU40)</f>
        <v>-696271.40103241696</v>
      </c>
      <c r="AV88" s="9">
        <f>-SUM($C40:AV40)</f>
        <v>-711744.09883313731</v>
      </c>
      <c r="AW88" s="9">
        <f>-SUM($C40:AW40)</f>
        <v>-727216.79663385765</v>
      </c>
      <c r="AX88" s="9">
        <f>-SUM($C40:AX40)</f>
        <v>-742689.49443457799</v>
      </c>
      <c r="AY88" s="9">
        <f>-SUM($C40:AY40)</f>
        <v>-758162.19223529834</v>
      </c>
      <c r="AZ88" s="9">
        <f>-SUM($C40:AZ40)</f>
        <v>-773634.89003601868</v>
      </c>
      <c r="BA88" s="9">
        <f>-SUM($C40:BA40)</f>
        <v>-789107.58783673903</v>
      </c>
      <c r="BB88" s="9">
        <f>-SUM($C40:BB40)</f>
        <v>-804580.28563745937</v>
      </c>
      <c r="BC88" s="9">
        <f>-SUM($C40:BC40)</f>
        <v>-820052.98343817971</v>
      </c>
      <c r="BD88" s="9">
        <f>-SUM($C40:BD40)</f>
        <v>-835525.68123890006</v>
      </c>
      <c r="BE88" s="9">
        <f>-SUM($C40:BE40)</f>
        <v>-850998.3790396204</v>
      </c>
      <c r="BF88" s="9">
        <f>-SUM($C40:BF40)</f>
        <v>-866471.07684034074</v>
      </c>
      <c r="BG88" s="9">
        <f>-SUM($C40:BG40)</f>
        <v>-881943.77464106109</v>
      </c>
      <c r="BH88" s="9">
        <f>-SUM($C40:BH40)</f>
        <v>-897416.47244178143</v>
      </c>
      <c r="BI88" s="9">
        <f>-SUM($C40:BI40)</f>
        <v>-912889.17024250177</v>
      </c>
      <c r="BJ88" s="9">
        <f>-SUM($C40:BJ40)</f>
        <v>-928361.86804322212</v>
      </c>
      <c r="BK88" s="23">
        <f t="shared" si="24"/>
        <v>-928361.86804322212</v>
      </c>
      <c r="BL88" s="24"/>
      <c r="BM88" s="24"/>
    </row>
    <row r="89" spans="2:65" ht="15" customHeight="1" x14ac:dyDescent="0.25">
      <c r="B89" s="6">
        <v>4</v>
      </c>
      <c r="C89" s="9">
        <f>-SUM($C41:C41)</f>
        <v>-859.59432226224283</v>
      </c>
      <c r="D89" s="9">
        <f>-SUM($C41:D41)</f>
        <v>-1719.1886445244857</v>
      </c>
      <c r="E89" s="9">
        <f>-SUM($C41:E41)</f>
        <v>-2578.7829667867286</v>
      </c>
      <c r="F89" s="9">
        <f>-SUM($C41:F41)</f>
        <v>-3438.3772890489713</v>
      </c>
      <c r="G89" s="9">
        <f>-SUM($C41:G41)</f>
        <v>-4297.9716113112145</v>
      </c>
      <c r="H89" s="9">
        <f>-SUM($C41:H41)</f>
        <v>-5157.5659335734572</v>
      </c>
      <c r="I89" s="9">
        <f>-SUM($C41:I41)</f>
        <v>-6017.1602558356999</v>
      </c>
      <c r="J89" s="9">
        <f>-SUM($C41:J41)</f>
        <v>-6876.7545780979426</v>
      </c>
      <c r="K89" s="9">
        <f>-SUM($C41:K41)</f>
        <v>-7736.3489003601853</v>
      </c>
      <c r="L89" s="9">
        <f>-SUM($C41:L41)</f>
        <v>-8595.9432226224289</v>
      </c>
      <c r="M89" s="9">
        <f>-SUM($C41:M41)</f>
        <v>-9455.5375448846717</v>
      </c>
      <c r="N89" s="9">
        <f>-SUM($C41:N41)</f>
        <v>-10315.131867146914</v>
      </c>
      <c r="O89" s="9">
        <f>-SUM($C41:O41)</f>
        <v>-11174.726189409157</v>
      </c>
      <c r="P89" s="9">
        <f>-SUM($C41:P41)</f>
        <v>-12034.3205116714</v>
      </c>
      <c r="Q89" s="9">
        <f>-SUM($C41:Q41)</f>
        <v>-12893.914833933643</v>
      </c>
      <c r="R89" s="9">
        <f>-SUM($C41:R41)</f>
        <v>-13753.509156195885</v>
      </c>
      <c r="S89" s="9">
        <f>-SUM($C41:S41)</f>
        <v>-14613.103478458128</v>
      </c>
      <c r="T89" s="9">
        <f>-SUM($C41:T41)</f>
        <v>-15472.697800720371</v>
      </c>
      <c r="U89" s="9">
        <f>-SUM($C41:U41)</f>
        <v>-16332.292122982613</v>
      </c>
      <c r="V89" s="9">
        <f>-SUM($C41:V41)</f>
        <v>-17191.886445244858</v>
      </c>
      <c r="W89" s="9">
        <f>-SUM($C41:W41)</f>
        <v>-18051.480767507102</v>
      </c>
      <c r="X89" s="9">
        <f>-SUM($C41:X41)</f>
        <v>-18911.075089769347</v>
      </c>
      <c r="Y89" s="9">
        <f>-SUM($C41:Y41)</f>
        <v>-19770.669412031591</v>
      </c>
      <c r="Z89" s="9">
        <f>-SUM($C41:Z41)</f>
        <v>-20630.263734293836</v>
      </c>
      <c r="AA89" s="9">
        <f>-SUM($C41:AA41)</f>
        <v>-21489.858056556081</v>
      </c>
      <c r="AB89" s="9">
        <f>-SUM($C41:AB41)</f>
        <v>-22349.452378818325</v>
      </c>
      <c r="AC89" s="9">
        <f>-SUM($C41:AC41)</f>
        <v>-23209.04670108057</v>
      </c>
      <c r="AD89" s="9">
        <f>-SUM($C41:AD41)</f>
        <v>-24068.641023342814</v>
      </c>
      <c r="AE89" s="9">
        <f>-SUM($C41:AE41)</f>
        <v>-24928.235345605059</v>
      </c>
      <c r="AF89" s="9">
        <f>-SUM($C41:AF41)</f>
        <v>-25787.829667867303</v>
      </c>
      <c r="AG89" s="9">
        <f>-SUM($C41:AG41)</f>
        <v>-26647.423990129548</v>
      </c>
      <c r="AH89" s="9">
        <f>-SUM($C41:AH41)</f>
        <v>-27507.018312391792</v>
      </c>
      <c r="AI89" s="9">
        <f>-SUM($C41:AI41)</f>
        <v>-28366.612634654037</v>
      </c>
      <c r="AJ89" s="9">
        <f>-SUM($C41:AJ41)</f>
        <v>-29226.206956916281</v>
      </c>
      <c r="AK89" s="9">
        <f>-SUM($C41:AK41)</f>
        <v>-30085.801279178526</v>
      </c>
      <c r="AL89" s="9">
        <f>-SUM($C41:AL41)</f>
        <v>-30945.39560144077</v>
      </c>
      <c r="AM89" s="9">
        <f>-SUM($C41:AM41)</f>
        <v>-31804.989923703015</v>
      </c>
      <c r="AN89" s="9">
        <f>-SUM($C41:AN41)</f>
        <v>-32664.584245965259</v>
      </c>
      <c r="AO89" s="9">
        <f>-SUM($C41:AO41)</f>
        <v>-33524.1785682275</v>
      </c>
      <c r="AP89" s="9">
        <f>-SUM($C41:AP41)</f>
        <v>-34383.772890489745</v>
      </c>
      <c r="AQ89" s="9">
        <f>-SUM($C41:AQ41)</f>
        <v>-35243.367212751989</v>
      </c>
      <c r="AR89" s="9">
        <f>-SUM($C41:AR41)</f>
        <v>-36102.961535014234</v>
      </c>
      <c r="AS89" s="9">
        <f>-SUM($C41:AS41)</f>
        <v>-36962.555857276478</v>
      </c>
      <c r="AT89" s="9">
        <f>-SUM($C41:AT41)</f>
        <v>-37822.150179538723</v>
      </c>
      <c r="AU89" s="9">
        <f>-SUM($C41:AU41)</f>
        <v>-38681.744501800968</v>
      </c>
      <c r="AV89" s="9">
        <f>-SUM($C41:AV41)</f>
        <v>-39541.338824063212</v>
      </c>
      <c r="AW89" s="9">
        <f>-SUM($C41:AW41)</f>
        <v>-40400.933146325457</v>
      </c>
      <c r="AX89" s="9">
        <f>-SUM($C41:AX41)</f>
        <v>-41260.527468587701</v>
      </c>
      <c r="AY89" s="9">
        <f>-SUM($C41:AY41)</f>
        <v>-42120.121790849946</v>
      </c>
      <c r="AZ89" s="9">
        <f>-SUM($C41:AZ41)</f>
        <v>-42979.71611311219</v>
      </c>
      <c r="BA89" s="9">
        <f>-SUM($C41:BA41)</f>
        <v>-43839.310435374435</v>
      </c>
      <c r="BB89" s="9">
        <f>-SUM($C41:BB41)</f>
        <v>-44698.904757636679</v>
      </c>
      <c r="BC89" s="9">
        <f>-SUM($C41:BC41)</f>
        <v>-45558.499079898924</v>
      </c>
      <c r="BD89" s="9">
        <f>-SUM($C41:BD41)</f>
        <v>-46418.093402161168</v>
      </c>
      <c r="BE89" s="9">
        <f>-SUM($C41:BE41)</f>
        <v>-47277.687724423413</v>
      </c>
      <c r="BF89" s="9">
        <f>-SUM($C41:BF41)</f>
        <v>-48137.282046685657</v>
      </c>
      <c r="BG89" s="9">
        <f>-SUM($C41:BG41)</f>
        <v>-48996.876368947902</v>
      </c>
      <c r="BH89" s="9">
        <f>-SUM($C41:BH41)</f>
        <v>-49856.470691210146</v>
      </c>
      <c r="BI89" s="9">
        <f>-SUM($C41:BI41)</f>
        <v>-50716.065013472391</v>
      </c>
      <c r="BJ89" s="9">
        <f>-SUM($C41:BJ41)</f>
        <v>-51575.659335734636</v>
      </c>
      <c r="BK89" s="23">
        <f>BJ89</f>
        <v>-51575.659335734636</v>
      </c>
      <c r="BL89" s="24"/>
      <c r="BM89" s="24"/>
    </row>
    <row r="90" spans="2:65" ht="15" customHeight="1" x14ac:dyDescent="0.25">
      <c r="B90" s="6">
        <v>5</v>
      </c>
      <c r="C90" s="9">
        <f>-SUM($C42:C42)</f>
        <v>-11174.726189409161</v>
      </c>
      <c r="D90" s="9">
        <f>-SUM($C42:D42)</f>
        <v>-22349.452378818321</v>
      </c>
      <c r="E90" s="9">
        <f>-SUM($C42:E42)</f>
        <v>-33524.178568227479</v>
      </c>
      <c r="F90" s="9">
        <f>-SUM($C42:F42)</f>
        <v>-44698.904757636643</v>
      </c>
      <c r="G90" s="9">
        <f>-SUM($C42:G42)</f>
        <v>-55873.630947045807</v>
      </c>
      <c r="H90" s="9">
        <f>-SUM($C42:H42)</f>
        <v>-67048.357136454972</v>
      </c>
      <c r="I90" s="9">
        <f>-SUM($C42:I42)</f>
        <v>-78223.083325864136</v>
      </c>
      <c r="J90" s="9">
        <f>-SUM($C42:J42)</f>
        <v>-89397.8095152733</v>
      </c>
      <c r="K90" s="9">
        <f>-SUM($C42:K42)</f>
        <v>-100572.53570468246</v>
      </c>
      <c r="L90" s="9">
        <f>-SUM($C42:L42)</f>
        <v>-111747.26189409163</v>
      </c>
      <c r="M90" s="9">
        <f>-SUM($C42:M42)</f>
        <v>-122921.98808350079</v>
      </c>
      <c r="N90" s="9">
        <f>-SUM($C42:N42)</f>
        <v>-134096.71427290994</v>
      </c>
      <c r="O90" s="9">
        <f>-SUM($C42:O42)</f>
        <v>-145271.44046231909</v>
      </c>
      <c r="P90" s="9">
        <f>-SUM($C42:P42)</f>
        <v>-156446.16665172824</v>
      </c>
      <c r="Q90" s="9">
        <f>-SUM($C42:Q42)</f>
        <v>-167620.89284113739</v>
      </c>
      <c r="R90" s="9">
        <f>-SUM($C42:R42)</f>
        <v>-178795.61903054654</v>
      </c>
      <c r="S90" s="9">
        <f>-SUM($C42:S42)</f>
        <v>-189970.34521995569</v>
      </c>
      <c r="T90" s="9">
        <f>-SUM($C42:T42)</f>
        <v>-201145.07140936484</v>
      </c>
      <c r="U90" s="9">
        <f>-SUM($C42:U42)</f>
        <v>-212319.79759877399</v>
      </c>
      <c r="V90" s="9">
        <f>-SUM($C42:V42)</f>
        <v>-223494.52378818314</v>
      </c>
      <c r="W90" s="9">
        <f>-SUM($C42:W42)</f>
        <v>-234669.24997759229</v>
      </c>
      <c r="X90" s="9">
        <f>-SUM($C42:X42)</f>
        <v>-245843.97616700144</v>
      </c>
      <c r="Y90" s="9">
        <f>-SUM($C42:Y42)</f>
        <v>-257018.70235641059</v>
      </c>
      <c r="Z90" s="9">
        <f>-SUM($C42:Z42)</f>
        <v>-268193.42854581977</v>
      </c>
      <c r="AA90" s="9">
        <f>-SUM($C42:AA42)</f>
        <v>-279368.15473522892</v>
      </c>
      <c r="AB90" s="9">
        <f>-SUM($C42:AB42)</f>
        <v>-290542.88092463807</v>
      </c>
      <c r="AC90" s="9">
        <f>-SUM($C42:AC42)</f>
        <v>-301717.60711404722</v>
      </c>
      <c r="AD90" s="9">
        <f>-SUM($C42:AD42)</f>
        <v>-312892.33330345637</v>
      </c>
      <c r="AE90" s="9">
        <f>-SUM($C42:AE42)</f>
        <v>-324067.05949286552</v>
      </c>
      <c r="AF90" s="9">
        <f>-SUM($C42:AF42)</f>
        <v>-335241.78568227467</v>
      </c>
      <c r="AG90" s="9">
        <f>-SUM($C42:AG42)</f>
        <v>-346416.51187168382</v>
      </c>
      <c r="AH90" s="9">
        <f>-SUM($C42:AH42)</f>
        <v>-357591.23806109297</v>
      </c>
      <c r="AI90" s="9">
        <f>-SUM($C42:AI42)</f>
        <v>-368765.96425050212</v>
      </c>
      <c r="AJ90" s="9">
        <f>-SUM($C42:AJ42)</f>
        <v>-379940.69043991127</v>
      </c>
      <c r="AK90" s="9">
        <f>-SUM($C42:AK42)</f>
        <v>-391115.41662932042</v>
      </c>
      <c r="AL90" s="9">
        <f>-SUM($C42:AL42)</f>
        <v>-402290.14281872957</v>
      </c>
      <c r="AM90" s="9">
        <f>-SUM($C42:AM42)</f>
        <v>-413464.86900813872</v>
      </c>
      <c r="AN90" s="9">
        <f>-SUM($C42:AN42)</f>
        <v>-424639.59519754787</v>
      </c>
      <c r="AO90" s="9">
        <f>-SUM($C42:AO42)</f>
        <v>-435814.32138695702</v>
      </c>
      <c r="AP90" s="9">
        <f>-SUM($C42:AP42)</f>
        <v>-446989.04757636617</v>
      </c>
      <c r="AQ90" s="9">
        <f>-SUM($C42:AQ42)</f>
        <v>-458163.77376577532</v>
      </c>
      <c r="AR90" s="9">
        <f>-SUM($C42:AR42)</f>
        <v>-469338.49995518447</v>
      </c>
      <c r="AS90" s="9">
        <f>-SUM($C42:AS42)</f>
        <v>-480513.22614459362</v>
      </c>
      <c r="AT90" s="9">
        <f>-SUM($C42:AT42)</f>
        <v>-491687.95233400277</v>
      </c>
      <c r="AU90" s="9">
        <f>-SUM($C42:AU42)</f>
        <v>-502862.67852341192</v>
      </c>
      <c r="AV90" s="9">
        <f>-SUM($C42:AV42)</f>
        <v>-514037.40471282107</v>
      </c>
      <c r="AW90" s="9">
        <f>-SUM($C42:AW42)</f>
        <v>-525212.13090223027</v>
      </c>
      <c r="AX90" s="9">
        <f>-SUM($C42:AX42)</f>
        <v>-536386.85709163942</v>
      </c>
      <c r="AY90" s="9">
        <f>-SUM($C42:AY42)</f>
        <v>-547561.58328104857</v>
      </c>
      <c r="AZ90" s="9">
        <f>-SUM($C42:AZ42)</f>
        <v>-558736.30947045772</v>
      </c>
      <c r="BA90" s="9">
        <f>-SUM($C42:BA42)</f>
        <v>-569911.03565986687</v>
      </c>
      <c r="BB90" s="9">
        <f>-SUM($C42:BB42)</f>
        <v>-581085.76184927602</v>
      </c>
      <c r="BC90" s="9">
        <f>-SUM($C42:BC42)</f>
        <v>-592260.48803868517</v>
      </c>
      <c r="BD90" s="9">
        <f>-SUM($C42:BD42)</f>
        <v>-603435.21422809432</v>
      </c>
      <c r="BE90" s="9">
        <f>-SUM($C42:BE42)</f>
        <v>-614609.94041750347</v>
      </c>
      <c r="BF90" s="9">
        <f>-SUM($C42:BF42)</f>
        <v>-625784.66660691262</v>
      </c>
      <c r="BG90" s="9">
        <f>-SUM($C42:BG42)</f>
        <v>-636959.39279632177</v>
      </c>
      <c r="BH90" s="9">
        <f>-SUM($C42:BH42)</f>
        <v>-648134.11898573092</v>
      </c>
      <c r="BI90" s="9">
        <f>-SUM($C42:BI42)</f>
        <v>-659308.84517514007</v>
      </c>
      <c r="BJ90" s="9">
        <f>-SUM($C42:BJ42)</f>
        <v>-670483.57136454922</v>
      </c>
      <c r="BK90" s="23">
        <f t="shared" ref="BK90:BK95" si="25">BJ90</f>
        <v>-670483.57136454922</v>
      </c>
      <c r="BL90" s="24"/>
      <c r="BM90" s="24"/>
    </row>
    <row r="91" spans="2:65" ht="15" customHeight="1" x14ac:dyDescent="0.25">
      <c r="B91" s="6">
        <v>6</v>
      </c>
      <c r="C91" s="9">
        <f>-SUM($C43:C43)</f>
        <v>-8200.5298343817994</v>
      </c>
      <c r="D91" s="9">
        <f>-SUM($C43:D43)</f>
        <v>-16401.059668763599</v>
      </c>
      <c r="E91" s="9">
        <f>-SUM($C43:E43)</f>
        <v>-24601.589503145398</v>
      </c>
      <c r="F91" s="9">
        <f>-SUM($C43:F43)</f>
        <v>-32802.119337527198</v>
      </c>
      <c r="G91" s="9">
        <f>-SUM($C43:G43)</f>
        <v>-41002.649171908997</v>
      </c>
      <c r="H91" s="9">
        <f>-SUM($C43:H43)</f>
        <v>-49203.179006290797</v>
      </c>
      <c r="I91" s="9">
        <f>-SUM($C43:I43)</f>
        <v>-57403.708840672596</v>
      </c>
      <c r="J91" s="9">
        <f>-SUM($C43:J43)</f>
        <v>-65604.238675054396</v>
      </c>
      <c r="K91" s="9">
        <f>-SUM($C43:K43)</f>
        <v>-73804.768509436195</v>
      </c>
      <c r="L91" s="9">
        <f>-SUM($C43:L43)</f>
        <v>-82005.298343817994</v>
      </c>
      <c r="M91" s="9">
        <f>-SUM($C43:M43)</f>
        <v>-90205.828178199794</v>
      </c>
      <c r="N91" s="9">
        <f>-SUM($C43:N43)</f>
        <v>-98406.358012581593</v>
      </c>
      <c r="O91" s="9">
        <f>-SUM($C43:O43)</f>
        <v>-106606.88784696339</v>
      </c>
      <c r="P91" s="9">
        <f>-SUM($C43:P43)</f>
        <v>-114807.41768134519</v>
      </c>
      <c r="Q91" s="9">
        <f>-SUM($C43:Q43)</f>
        <v>-123007.94751572699</v>
      </c>
      <c r="R91" s="9">
        <f>-SUM($C43:R43)</f>
        <v>-131208.47735010879</v>
      </c>
      <c r="S91" s="9">
        <f>-SUM($C43:S43)</f>
        <v>-139409.00718449059</v>
      </c>
      <c r="T91" s="9">
        <f>-SUM($C43:T43)</f>
        <v>-147609.53701887239</v>
      </c>
      <c r="U91" s="9">
        <f>-SUM($C43:U43)</f>
        <v>-155810.06685325419</v>
      </c>
      <c r="V91" s="9">
        <f>-SUM($C43:V43)</f>
        <v>-164010.59668763599</v>
      </c>
      <c r="W91" s="9">
        <f>-SUM($C43:W43)</f>
        <v>-172211.12652201779</v>
      </c>
      <c r="X91" s="9">
        <f>-SUM($C43:X43)</f>
        <v>-180411.65635639959</v>
      </c>
      <c r="Y91" s="9">
        <f>-SUM($C43:Y43)</f>
        <v>-188612.18619078139</v>
      </c>
      <c r="Z91" s="9">
        <f>-SUM($C43:Z43)</f>
        <v>-196812.71602516319</v>
      </c>
      <c r="AA91" s="9">
        <f>-SUM($C43:AA43)</f>
        <v>-205013.24585954499</v>
      </c>
      <c r="AB91" s="9">
        <f>-SUM($C43:AB43)</f>
        <v>-213213.77569392679</v>
      </c>
      <c r="AC91" s="9">
        <f>-SUM($C43:AC43)</f>
        <v>-221414.30552830859</v>
      </c>
      <c r="AD91" s="9">
        <f>-SUM($C43:AD43)</f>
        <v>-229614.83536269038</v>
      </c>
      <c r="AE91" s="9">
        <f>-SUM($C43:AE43)</f>
        <v>-237815.36519707218</v>
      </c>
      <c r="AF91" s="9">
        <f>-SUM($C43:AF43)</f>
        <v>-246015.89503145398</v>
      </c>
      <c r="AG91" s="9">
        <f>-SUM($C43:AG43)</f>
        <v>-254216.42486583578</v>
      </c>
      <c r="AH91" s="9">
        <f>-SUM($C43:AH43)</f>
        <v>-262416.95470021758</v>
      </c>
      <c r="AI91" s="9">
        <f>-SUM($C43:AI43)</f>
        <v>-270617.48453459935</v>
      </c>
      <c r="AJ91" s="9">
        <f>-SUM($C43:AJ43)</f>
        <v>-278818.01436898112</v>
      </c>
      <c r="AK91" s="9">
        <f>-SUM($C43:AK43)</f>
        <v>-287018.54420336289</v>
      </c>
      <c r="AL91" s="9">
        <f>-SUM($C43:AL43)</f>
        <v>-295219.07403774466</v>
      </c>
      <c r="AM91" s="9">
        <f>-SUM($C43:AM43)</f>
        <v>-303419.60387212643</v>
      </c>
      <c r="AN91" s="9">
        <f>-SUM($C43:AN43)</f>
        <v>-311620.1337065082</v>
      </c>
      <c r="AO91" s="9">
        <f>-SUM($C43:AO43)</f>
        <v>-319820.66354088997</v>
      </c>
      <c r="AP91" s="9">
        <f>-SUM($C43:AP43)</f>
        <v>-328021.19337527175</v>
      </c>
      <c r="AQ91" s="9">
        <f>-SUM($C43:AQ43)</f>
        <v>-336221.72320965352</v>
      </c>
      <c r="AR91" s="9">
        <f>-SUM($C43:AR43)</f>
        <v>-344422.25304403529</v>
      </c>
      <c r="AS91" s="9">
        <f>-SUM($C43:AS43)</f>
        <v>-352622.78287841706</v>
      </c>
      <c r="AT91" s="9">
        <f>-SUM($C43:AT43)</f>
        <v>-360823.31271279883</v>
      </c>
      <c r="AU91" s="9">
        <f>-SUM($C43:AU43)</f>
        <v>-369023.8425471806</v>
      </c>
      <c r="AV91" s="9">
        <f>-SUM($C43:AV43)</f>
        <v>-377224.37238156237</v>
      </c>
      <c r="AW91" s="9">
        <f>-SUM($C43:AW43)</f>
        <v>-385424.90221594414</v>
      </c>
      <c r="AX91" s="9">
        <f>-SUM($C43:AX43)</f>
        <v>-393625.43205032591</v>
      </c>
      <c r="AY91" s="9">
        <f>-SUM($C43:AY43)</f>
        <v>-401825.96188470768</v>
      </c>
      <c r="AZ91" s="9">
        <f>-SUM($C43:AZ43)</f>
        <v>-410026.49171908945</v>
      </c>
      <c r="BA91" s="9">
        <f>-SUM($C43:BA43)</f>
        <v>-418227.02155347122</v>
      </c>
      <c r="BB91" s="9">
        <f>-SUM($C43:BB43)</f>
        <v>-426427.55138785299</v>
      </c>
      <c r="BC91" s="9">
        <f>-SUM($C43:BC43)</f>
        <v>-434628.08122223476</v>
      </c>
      <c r="BD91" s="9">
        <f>-SUM($C43:BD43)</f>
        <v>-442828.61105661653</v>
      </c>
      <c r="BE91" s="9">
        <f>-SUM($C43:BE43)</f>
        <v>-451029.1408909983</v>
      </c>
      <c r="BF91" s="9">
        <f>-SUM($C43:BF43)</f>
        <v>-459229.67072538007</v>
      </c>
      <c r="BG91" s="9">
        <f>-SUM($C43:BG43)</f>
        <v>-467430.20055976184</v>
      </c>
      <c r="BH91" s="9">
        <f>-SUM($C43:BH43)</f>
        <v>-475630.73039414361</v>
      </c>
      <c r="BI91" s="9">
        <f>-SUM($C43:BI43)</f>
        <v>-483831.26022852538</v>
      </c>
      <c r="BJ91" s="9">
        <f>-SUM($C43:BJ43)</f>
        <v>-492031.79006290715</v>
      </c>
      <c r="BK91" s="23">
        <f t="shared" si="25"/>
        <v>-492031.79006290715</v>
      </c>
      <c r="BL91" s="24"/>
      <c r="BM91" s="24"/>
    </row>
    <row r="92" spans="2:65" ht="15" customHeight="1" x14ac:dyDescent="0.25">
      <c r="B92" s="6">
        <v>7</v>
      </c>
      <c r="C92" s="9">
        <f>-SUM($C44:C44)</f>
        <v>-3008.5801279178513</v>
      </c>
      <c r="D92" s="9">
        <f>-SUM($C44:D44)</f>
        <v>-6017.1602558357026</v>
      </c>
      <c r="E92" s="9">
        <f>-SUM($C44:E44)</f>
        <v>-9025.740383753553</v>
      </c>
      <c r="F92" s="9">
        <f>-SUM($C44:F44)</f>
        <v>-12034.320511671405</v>
      </c>
      <c r="G92" s="9">
        <f>-SUM($C44:G44)</f>
        <v>-15042.900639589257</v>
      </c>
      <c r="H92" s="9">
        <f>-SUM($C44:H44)</f>
        <v>-18051.48076750711</v>
      </c>
      <c r="I92" s="9">
        <f>-SUM($C44:I44)</f>
        <v>-21060.060895424962</v>
      </c>
      <c r="J92" s="9">
        <f>-SUM($C44:J44)</f>
        <v>-24068.641023342814</v>
      </c>
      <c r="K92" s="9">
        <f>-SUM($C44:K44)</f>
        <v>-27077.221151260666</v>
      </c>
      <c r="L92" s="9">
        <f>-SUM($C44:L44)</f>
        <v>-30085.801279178519</v>
      </c>
      <c r="M92" s="9">
        <f>-SUM($C44:M44)</f>
        <v>-33094.381407096371</v>
      </c>
      <c r="N92" s="9">
        <f>-SUM($C44:N44)</f>
        <v>-36102.961535014219</v>
      </c>
      <c r="O92" s="9">
        <f>-SUM($C44:O44)</f>
        <v>-39111.541662932068</v>
      </c>
      <c r="P92" s="9">
        <f>-SUM($C44:P44)</f>
        <v>-42120.121790849917</v>
      </c>
      <c r="Q92" s="9">
        <f>-SUM($C44:Q44)</f>
        <v>-45128.701918767765</v>
      </c>
      <c r="R92" s="9">
        <f>-SUM($C44:R44)</f>
        <v>-48137.282046685614</v>
      </c>
      <c r="S92" s="9">
        <f>-SUM($C44:S44)</f>
        <v>-51145.862174603462</v>
      </c>
      <c r="T92" s="9">
        <f>-SUM($C44:T44)</f>
        <v>-54154.442302521311</v>
      </c>
      <c r="U92" s="9">
        <f>-SUM($C44:U44)</f>
        <v>-57163.02243043916</v>
      </c>
      <c r="V92" s="9">
        <f>-SUM($C44:V44)</f>
        <v>-60171.602558357008</v>
      </c>
      <c r="W92" s="9">
        <f>-SUM($C44:W44)</f>
        <v>-63180.182686274857</v>
      </c>
      <c r="X92" s="9">
        <f>-SUM($C44:X44)</f>
        <v>-66188.762814192713</v>
      </c>
      <c r="Y92" s="9">
        <f>-SUM($C44:Y44)</f>
        <v>-69197.342942110568</v>
      </c>
      <c r="Z92" s="9">
        <f>-SUM($C44:Z44)</f>
        <v>-72205.923070028424</v>
      </c>
      <c r="AA92" s="9">
        <f>-SUM($C44:AA44)</f>
        <v>-75214.50319794628</v>
      </c>
      <c r="AB92" s="9">
        <f>-SUM($C44:AB44)</f>
        <v>-78223.083325864136</v>
      </c>
      <c r="AC92" s="9">
        <f>-SUM($C44:AC44)</f>
        <v>-81231.663453781992</v>
      </c>
      <c r="AD92" s="9">
        <f>-SUM($C44:AD44)</f>
        <v>-84240.243581699848</v>
      </c>
      <c r="AE92" s="9">
        <f>-SUM($C44:AE44)</f>
        <v>-87248.823709617704</v>
      </c>
      <c r="AF92" s="9">
        <f>-SUM($C44:AF44)</f>
        <v>-90257.403837535559</v>
      </c>
      <c r="AG92" s="9">
        <f>-SUM($C44:AG44)</f>
        <v>-93265.983965453415</v>
      </c>
      <c r="AH92" s="9">
        <f>-SUM($C44:AH44)</f>
        <v>-96274.564093371271</v>
      </c>
      <c r="AI92" s="9">
        <f>-SUM($C44:AI44)</f>
        <v>-99283.144221289127</v>
      </c>
      <c r="AJ92" s="9">
        <f>-SUM($C44:AJ44)</f>
        <v>-102291.72434920698</v>
      </c>
      <c r="AK92" s="9">
        <f>-SUM($C44:AK44)</f>
        <v>-105300.30447712484</v>
      </c>
      <c r="AL92" s="9">
        <f>-SUM($C44:AL44)</f>
        <v>-108308.88460504269</v>
      </c>
      <c r="AM92" s="9">
        <f>-SUM($C44:AM44)</f>
        <v>-111317.46473296055</v>
      </c>
      <c r="AN92" s="9">
        <f>-SUM($C44:AN44)</f>
        <v>-114326.04486087841</v>
      </c>
      <c r="AO92" s="9">
        <f>-SUM($C44:AO44)</f>
        <v>-117334.62498879626</v>
      </c>
      <c r="AP92" s="9">
        <f>-SUM($C44:AP44)</f>
        <v>-120343.20511671412</v>
      </c>
      <c r="AQ92" s="9">
        <f>-SUM($C44:AQ44)</f>
        <v>-123351.78524463197</v>
      </c>
      <c r="AR92" s="9">
        <f>-SUM($C44:AR44)</f>
        <v>-126360.36537254983</v>
      </c>
      <c r="AS92" s="9">
        <f>-SUM($C44:AS44)</f>
        <v>-129368.94550046769</v>
      </c>
      <c r="AT92" s="9">
        <f>-SUM($C44:AT44)</f>
        <v>-132377.52562838554</v>
      </c>
      <c r="AU92" s="9">
        <f>-SUM($C44:AU44)</f>
        <v>-135386.10575630338</v>
      </c>
      <c r="AV92" s="9">
        <f>-SUM($C44:AV44)</f>
        <v>-138394.68588422122</v>
      </c>
      <c r="AW92" s="9">
        <f>-SUM($C44:AW44)</f>
        <v>-141403.26601213907</v>
      </c>
      <c r="AX92" s="9">
        <f>-SUM($C44:AX44)</f>
        <v>-144411.84614005691</v>
      </c>
      <c r="AY92" s="9">
        <f>-SUM($C44:AY44)</f>
        <v>-147420.42626797475</v>
      </c>
      <c r="AZ92" s="9">
        <f>-SUM($C44:AZ44)</f>
        <v>-150429.00639589259</v>
      </c>
      <c r="BA92" s="9">
        <f>-SUM($C44:BA44)</f>
        <v>-153437.58652381043</v>
      </c>
      <c r="BB92" s="9">
        <f>-SUM($C44:BB44)</f>
        <v>-156446.16665172827</v>
      </c>
      <c r="BC92" s="9">
        <f>-SUM($C44:BC44)</f>
        <v>-159454.74677964611</v>
      </c>
      <c r="BD92" s="9">
        <f>-SUM($C44:BD44)</f>
        <v>-162463.32690756395</v>
      </c>
      <c r="BE92" s="9">
        <f>-SUM($C44:BE44)</f>
        <v>-165471.9070354818</v>
      </c>
      <c r="BF92" s="9">
        <f>-SUM($C44:BF44)</f>
        <v>-168480.48716339964</v>
      </c>
      <c r="BG92" s="9">
        <f>-SUM($C44:BG44)</f>
        <v>-171489.06729131748</v>
      </c>
      <c r="BH92" s="9">
        <f>-SUM($C44:BH44)</f>
        <v>-174497.64741923532</v>
      </c>
      <c r="BI92" s="9">
        <f>-SUM($C44:BI44)</f>
        <v>-177506.22754715316</v>
      </c>
      <c r="BJ92" s="9">
        <f>-SUM($C44:BJ44)</f>
        <v>-180514.807675071</v>
      </c>
      <c r="BK92" s="23">
        <f t="shared" si="25"/>
        <v>-180514.807675071</v>
      </c>
      <c r="BL92" s="24"/>
      <c r="BM92" s="24"/>
    </row>
    <row r="93" spans="2:65" ht="15" customHeight="1" x14ac:dyDescent="0.25">
      <c r="B93" s="6"/>
      <c r="C93" s="9">
        <f>-SUM($C45:C45)</f>
        <v>0</v>
      </c>
      <c r="D93" s="9">
        <f>-SUM($C45:D45)</f>
        <v>0</v>
      </c>
      <c r="E93" s="9">
        <f>-SUM($C45:E45)</f>
        <v>0</v>
      </c>
      <c r="F93" s="9">
        <f>-SUM($C45:F45)</f>
        <v>0</v>
      </c>
      <c r="G93" s="9">
        <f>-SUM($C45:G45)</f>
        <v>0</v>
      </c>
      <c r="H93" s="9">
        <f>-SUM($C45:H45)</f>
        <v>0</v>
      </c>
      <c r="I93" s="9">
        <f>-SUM($C45:I45)</f>
        <v>0</v>
      </c>
      <c r="J93" s="9">
        <f>-SUM($C45:J45)</f>
        <v>0</v>
      </c>
      <c r="K93" s="9">
        <f>-SUM($C45:K45)</f>
        <v>0</v>
      </c>
      <c r="L93" s="9">
        <f>-SUM($C45:L45)</f>
        <v>0</v>
      </c>
      <c r="M93" s="9">
        <f>-SUM($C45:M45)</f>
        <v>0</v>
      </c>
      <c r="N93" s="9">
        <f>-SUM($C45:N45)</f>
        <v>0</v>
      </c>
      <c r="O93" s="9">
        <f>-SUM($C45:O45)</f>
        <v>0</v>
      </c>
      <c r="P93" s="9">
        <f>-SUM($C45:P45)</f>
        <v>0</v>
      </c>
      <c r="Q93" s="9">
        <f>-SUM($C45:Q45)</f>
        <v>0</v>
      </c>
      <c r="R93" s="9">
        <f>-SUM($C45:R45)</f>
        <v>0</v>
      </c>
      <c r="S93" s="9">
        <f>-SUM($C45:S45)</f>
        <v>0</v>
      </c>
      <c r="T93" s="9">
        <f>-SUM($C45:T45)</f>
        <v>0</v>
      </c>
      <c r="U93" s="9">
        <f>-SUM($C45:U45)</f>
        <v>0</v>
      </c>
      <c r="V93" s="9">
        <f>-SUM($C45:V45)</f>
        <v>0</v>
      </c>
      <c r="W93" s="9">
        <f>-SUM($C45:W45)</f>
        <v>0</v>
      </c>
      <c r="X93" s="9">
        <f>-SUM($C45:X45)</f>
        <v>0</v>
      </c>
      <c r="Y93" s="9">
        <f>-SUM($C45:Y45)</f>
        <v>0</v>
      </c>
      <c r="Z93" s="9">
        <f>-SUM($C45:Z45)</f>
        <v>0</v>
      </c>
      <c r="AA93" s="9">
        <f>-SUM($C45:AA45)</f>
        <v>0</v>
      </c>
      <c r="AB93" s="9">
        <f>-SUM($C45:AB45)</f>
        <v>0</v>
      </c>
      <c r="AC93" s="9">
        <f>-SUM($C45:AC45)</f>
        <v>0</v>
      </c>
      <c r="AD93" s="9">
        <f>-SUM($C45:AD45)</f>
        <v>0</v>
      </c>
      <c r="AE93" s="9">
        <f>-SUM($C45:AE45)</f>
        <v>0</v>
      </c>
      <c r="AF93" s="9">
        <f>-SUM($C45:AF45)</f>
        <v>0</v>
      </c>
      <c r="AG93" s="9">
        <f>-SUM($C45:AG45)</f>
        <v>0</v>
      </c>
      <c r="AH93" s="9">
        <f>-SUM($C45:AH45)</f>
        <v>0</v>
      </c>
      <c r="AI93" s="9">
        <f>-SUM($C45:AI45)</f>
        <v>0</v>
      </c>
      <c r="AJ93" s="9">
        <f>-SUM($C45:AJ45)</f>
        <v>0</v>
      </c>
      <c r="AK93" s="9">
        <f>-SUM($C45:AK45)</f>
        <v>0</v>
      </c>
      <c r="AL93" s="9">
        <f>-SUM($C45:AL45)</f>
        <v>0</v>
      </c>
      <c r="AM93" s="9">
        <f>-SUM($C45:AM45)</f>
        <v>0</v>
      </c>
      <c r="AN93" s="9">
        <f>-SUM($C45:AN45)</f>
        <v>0</v>
      </c>
      <c r="AO93" s="9">
        <f>-SUM($C45:AO45)</f>
        <v>0</v>
      </c>
      <c r="AP93" s="9">
        <f>-SUM($C45:AP45)</f>
        <v>0</v>
      </c>
      <c r="AQ93" s="9">
        <f>-SUM($C45:AQ45)</f>
        <v>0</v>
      </c>
      <c r="AR93" s="9">
        <f>-SUM($C45:AR45)</f>
        <v>0</v>
      </c>
      <c r="AS93" s="9">
        <f>-SUM($C45:AS45)</f>
        <v>0</v>
      </c>
      <c r="AT93" s="9">
        <f>-SUM($C45:AT45)</f>
        <v>0</v>
      </c>
      <c r="AU93" s="9">
        <f>-SUM($C45:AU45)</f>
        <v>0</v>
      </c>
      <c r="AV93" s="9">
        <f>-SUM($C45:AV45)</f>
        <v>0</v>
      </c>
      <c r="AW93" s="9">
        <f>-SUM($C45:AW45)</f>
        <v>0</v>
      </c>
      <c r="AX93" s="9">
        <f>-SUM($C45:AX45)</f>
        <v>0</v>
      </c>
      <c r="AY93" s="9">
        <f>-SUM($C45:AY45)</f>
        <v>0</v>
      </c>
      <c r="AZ93" s="9">
        <f>-SUM($C45:AZ45)</f>
        <v>0</v>
      </c>
      <c r="BA93" s="9">
        <f>-SUM($C45:BA45)</f>
        <v>0</v>
      </c>
      <c r="BB93" s="9">
        <f>-SUM($C45:BB45)</f>
        <v>0</v>
      </c>
      <c r="BC93" s="9">
        <f>-SUM($C45:BC45)</f>
        <v>0</v>
      </c>
      <c r="BD93" s="9">
        <f>-SUM($C45:BD45)</f>
        <v>0</v>
      </c>
      <c r="BE93" s="9">
        <f>-SUM($C45:BE45)</f>
        <v>0</v>
      </c>
      <c r="BF93" s="9">
        <f>-SUM($C45:BF45)</f>
        <v>0</v>
      </c>
      <c r="BG93" s="9">
        <f>-SUM($C45:BG45)</f>
        <v>0</v>
      </c>
      <c r="BH93" s="9">
        <f>-SUM($C45:BH45)</f>
        <v>0</v>
      </c>
      <c r="BI93" s="9">
        <f>-SUM($C45:BI45)</f>
        <v>0</v>
      </c>
      <c r="BJ93" s="9">
        <f>-SUM($C45:BJ45)</f>
        <v>0</v>
      </c>
      <c r="BK93" s="23">
        <f t="shared" si="25"/>
        <v>0</v>
      </c>
      <c r="BM93" s="24"/>
    </row>
    <row r="94" spans="2:65" ht="15" customHeight="1" x14ac:dyDescent="0.25">
      <c r="B94" s="6"/>
      <c r="C94" s="9">
        <f>-SUM($C46:C46)</f>
        <v>0</v>
      </c>
      <c r="D94" s="9">
        <f>-SUM($C46:D46)</f>
        <v>0</v>
      </c>
      <c r="E94" s="9">
        <f>-SUM($C46:E46)</f>
        <v>0</v>
      </c>
      <c r="F94" s="9">
        <f>-SUM($C46:F46)</f>
        <v>0</v>
      </c>
      <c r="G94" s="9">
        <f>-SUM($C46:G46)</f>
        <v>0</v>
      </c>
      <c r="H94" s="9">
        <f>-SUM($C46:H46)</f>
        <v>0</v>
      </c>
      <c r="I94" s="9">
        <f>-SUM($C46:I46)</f>
        <v>0</v>
      </c>
      <c r="J94" s="9">
        <f>-SUM($C46:J46)</f>
        <v>0</v>
      </c>
      <c r="K94" s="9">
        <f>-SUM($C46:K46)</f>
        <v>0</v>
      </c>
      <c r="L94" s="9">
        <f>-SUM($C46:L46)</f>
        <v>0</v>
      </c>
      <c r="M94" s="9">
        <f>-SUM($C46:M46)</f>
        <v>0</v>
      </c>
      <c r="N94" s="9">
        <f>-SUM($C46:N46)</f>
        <v>0</v>
      </c>
      <c r="O94" s="9">
        <f>-SUM($C46:O46)</f>
        <v>0</v>
      </c>
      <c r="P94" s="9">
        <f>-SUM($C46:P46)</f>
        <v>0</v>
      </c>
      <c r="Q94" s="9">
        <f>-SUM($C46:Q46)</f>
        <v>0</v>
      </c>
      <c r="R94" s="9">
        <f>-SUM($C46:R46)</f>
        <v>0</v>
      </c>
      <c r="S94" s="9">
        <f>-SUM($C46:S46)</f>
        <v>0</v>
      </c>
      <c r="T94" s="9">
        <f>-SUM($C46:T46)</f>
        <v>0</v>
      </c>
      <c r="U94" s="9">
        <f>-SUM($C46:U46)</f>
        <v>0</v>
      </c>
      <c r="V94" s="9">
        <f>-SUM($C46:V46)</f>
        <v>0</v>
      </c>
      <c r="W94" s="9">
        <f>-SUM($C46:W46)</f>
        <v>0</v>
      </c>
      <c r="X94" s="9">
        <f>-SUM($C46:X46)</f>
        <v>0</v>
      </c>
      <c r="Y94" s="9">
        <f>-SUM($C46:Y46)</f>
        <v>0</v>
      </c>
      <c r="Z94" s="9">
        <f>-SUM($C46:Z46)</f>
        <v>0</v>
      </c>
      <c r="AA94" s="9">
        <f>-SUM($C46:AA46)</f>
        <v>0</v>
      </c>
      <c r="AB94" s="9">
        <f>-SUM($C46:AB46)</f>
        <v>0</v>
      </c>
      <c r="AC94" s="9">
        <f>-SUM($C46:AC46)</f>
        <v>0</v>
      </c>
      <c r="AD94" s="9">
        <f>-SUM($C46:AD46)</f>
        <v>0</v>
      </c>
      <c r="AE94" s="9">
        <f>-SUM($C46:AE46)</f>
        <v>0</v>
      </c>
      <c r="AF94" s="9">
        <f>-SUM($C46:AF46)</f>
        <v>0</v>
      </c>
      <c r="AG94" s="9">
        <f>-SUM($C46:AG46)</f>
        <v>0</v>
      </c>
      <c r="AH94" s="9">
        <f>-SUM($C46:AH46)</f>
        <v>0</v>
      </c>
      <c r="AI94" s="9">
        <f>-SUM($C46:AI46)</f>
        <v>0</v>
      </c>
      <c r="AJ94" s="9">
        <f>-SUM($C46:AJ46)</f>
        <v>0</v>
      </c>
      <c r="AK94" s="9">
        <f>-SUM($C46:AK46)</f>
        <v>0</v>
      </c>
      <c r="AL94" s="9">
        <f>-SUM($C46:AL46)</f>
        <v>0</v>
      </c>
      <c r="AM94" s="9">
        <f>-SUM($C46:AM46)</f>
        <v>0</v>
      </c>
      <c r="AN94" s="9">
        <f>-SUM($C46:AN46)</f>
        <v>0</v>
      </c>
      <c r="AO94" s="9">
        <f>-SUM($C46:AO46)</f>
        <v>0</v>
      </c>
      <c r="AP94" s="9">
        <f>-SUM($C46:AP46)</f>
        <v>0</v>
      </c>
      <c r="AQ94" s="9">
        <f>-SUM($C46:AQ46)</f>
        <v>0</v>
      </c>
      <c r="AR94" s="9">
        <f>-SUM($C46:AR46)</f>
        <v>0</v>
      </c>
      <c r="AS94" s="9">
        <f>-SUM($C46:AS46)</f>
        <v>0</v>
      </c>
      <c r="AT94" s="9">
        <f>-SUM($C46:AT46)</f>
        <v>0</v>
      </c>
      <c r="AU94" s="9">
        <f>-SUM($C46:AU46)</f>
        <v>0</v>
      </c>
      <c r="AV94" s="9">
        <f>-SUM($C46:AV46)</f>
        <v>0</v>
      </c>
      <c r="AW94" s="9">
        <f>-SUM($C46:AW46)</f>
        <v>0</v>
      </c>
      <c r="AX94" s="9">
        <f>-SUM($C46:AX46)</f>
        <v>0</v>
      </c>
      <c r="AY94" s="9">
        <f>-SUM($C46:AY46)</f>
        <v>0</v>
      </c>
      <c r="AZ94" s="9">
        <f>-SUM($C46:AZ46)</f>
        <v>0</v>
      </c>
      <c r="BA94" s="9">
        <f>-SUM($C46:BA46)</f>
        <v>0</v>
      </c>
      <c r="BB94" s="9">
        <f>-SUM($C46:BB46)</f>
        <v>0</v>
      </c>
      <c r="BC94" s="9">
        <f>-SUM($C46:BC46)</f>
        <v>0</v>
      </c>
      <c r="BD94" s="9">
        <f>-SUM($C46:BD46)</f>
        <v>0</v>
      </c>
      <c r="BE94" s="9">
        <f>-SUM($C46:BE46)</f>
        <v>0</v>
      </c>
      <c r="BF94" s="9">
        <f>-SUM($C46:BF46)</f>
        <v>0</v>
      </c>
      <c r="BG94" s="9">
        <f>-SUM($C46:BG46)</f>
        <v>0</v>
      </c>
      <c r="BH94" s="9">
        <f>-SUM($C46:BH46)</f>
        <v>0</v>
      </c>
      <c r="BI94" s="9">
        <f>-SUM($C46:BI46)</f>
        <v>0</v>
      </c>
      <c r="BJ94" s="9">
        <f>-SUM($C46:BJ46)</f>
        <v>0</v>
      </c>
      <c r="BK94" s="23">
        <f t="shared" si="25"/>
        <v>0</v>
      </c>
      <c r="BM94" s="24"/>
    </row>
    <row r="95" spans="2:65" ht="15" customHeight="1" x14ac:dyDescent="0.25">
      <c r="B95" s="6"/>
      <c r="C95" s="9">
        <f>-SUM($C47:C47)</f>
        <v>0</v>
      </c>
      <c r="D95" s="9">
        <f>-SUM($C47:D47)</f>
        <v>0</v>
      </c>
      <c r="E95" s="9">
        <f>-SUM($C47:E47)</f>
        <v>0</v>
      </c>
      <c r="F95" s="9">
        <f>-SUM($C47:F47)</f>
        <v>0</v>
      </c>
      <c r="G95" s="9">
        <f>-SUM($C47:G47)</f>
        <v>0</v>
      </c>
      <c r="H95" s="9">
        <f>-SUM($C47:H47)</f>
        <v>0</v>
      </c>
      <c r="I95" s="9">
        <f>-SUM($C47:I47)</f>
        <v>0</v>
      </c>
      <c r="J95" s="9">
        <f>-SUM($C47:J47)</f>
        <v>0</v>
      </c>
      <c r="K95" s="9">
        <f>-SUM($C47:K47)</f>
        <v>0</v>
      </c>
      <c r="L95" s="9">
        <f>-SUM($C47:L47)</f>
        <v>0</v>
      </c>
      <c r="M95" s="9">
        <f>-SUM($C47:M47)</f>
        <v>0</v>
      </c>
      <c r="N95" s="9">
        <f>-SUM($C47:N47)</f>
        <v>0</v>
      </c>
      <c r="O95" s="9">
        <f>-SUM($C47:O47)</f>
        <v>0</v>
      </c>
      <c r="P95" s="9">
        <f>-SUM($C47:P47)</f>
        <v>0</v>
      </c>
      <c r="Q95" s="9">
        <f>-SUM($C47:Q47)</f>
        <v>0</v>
      </c>
      <c r="R95" s="9">
        <f>-SUM($C47:R47)</f>
        <v>0</v>
      </c>
      <c r="S95" s="9">
        <f>-SUM($C47:S47)</f>
        <v>0</v>
      </c>
      <c r="T95" s="9">
        <f>-SUM($C47:T47)</f>
        <v>0</v>
      </c>
      <c r="U95" s="9">
        <f>-SUM($C47:U47)</f>
        <v>0</v>
      </c>
      <c r="V95" s="9">
        <f>-SUM($C47:V47)</f>
        <v>0</v>
      </c>
      <c r="W95" s="9">
        <f>-SUM($C47:W47)</f>
        <v>0</v>
      </c>
      <c r="X95" s="9">
        <f>-SUM($C47:X47)</f>
        <v>0</v>
      </c>
      <c r="Y95" s="9">
        <f>-SUM($C47:Y47)</f>
        <v>0</v>
      </c>
      <c r="Z95" s="9">
        <f>-SUM($C47:Z47)</f>
        <v>0</v>
      </c>
      <c r="AA95" s="9">
        <f>-SUM($C47:AA47)</f>
        <v>0</v>
      </c>
      <c r="AB95" s="9">
        <f>-SUM($C47:AB47)</f>
        <v>0</v>
      </c>
      <c r="AC95" s="9">
        <f>-SUM($C47:AC47)</f>
        <v>0</v>
      </c>
      <c r="AD95" s="9">
        <f>-SUM($C47:AD47)</f>
        <v>0</v>
      </c>
      <c r="AE95" s="9">
        <f>-SUM($C47:AE47)</f>
        <v>0</v>
      </c>
      <c r="AF95" s="9">
        <f>-SUM($C47:AF47)</f>
        <v>0</v>
      </c>
      <c r="AG95" s="9">
        <f>-SUM($C47:AG47)</f>
        <v>0</v>
      </c>
      <c r="AH95" s="9">
        <f>-SUM($C47:AH47)</f>
        <v>0</v>
      </c>
      <c r="AI95" s="9">
        <f>-SUM($C47:AI47)</f>
        <v>0</v>
      </c>
      <c r="AJ95" s="9">
        <f>-SUM($C47:AJ47)</f>
        <v>0</v>
      </c>
      <c r="AK95" s="9">
        <f>-SUM($C47:AK47)</f>
        <v>0</v>
      </c>
      <c r="AL95" s="9">
        <f>-SUM($C47:AL47)</f>
        <v>0</v>
      </c>
      <c r="AM95" s="9">
        <f>-SUM($C47:AM47)</f>
        <v>0</v>
      </c>
      <c r="AN95" s="9">
        <f>-SUM($C47:AN47)</f>
        <v>0</v>
      </c>
      <c r="AO95" s="9">
        <f>-SUM($C47:AO47)</f>
        <v>0</v>
      </c>
      <c r="AP95" s="9">
        <f>-SUM($C47:AP47)</f>
        <v>0</v>
      </c>
      <c r="AQ95" s="9">
        <f>-SUM($C47:AQ47)</f>
        <v>0</v>
      </c>
      <c r="AR95" s="9">
        <f>-SUM($C47:AR47)</f>
        <v>0</v>
      </c>
      <c r="AS95" s="9">
        <f>-SUM($C47:AS47)</f>
        <v>0</v>
      </c>
      <c r="AT95" s="9">
        <f>-SUM($C47:AT47)</f>
        <v>0</v>
      </c>
      <c r="AU95" s="9">
        <f>-SUM($C47:AU47)</f>
        <v>0</v>
      </c>
      <c r="AV95" s="9">
        <f>-SUM($C47:AV47)</f>
        <v>0</v>
      </c>
      <c r="AW95" s="9">
        <f>-SUM($C47:AW47)</f>
        <v>0</v>
      </c>
      <c r="AX95" s="9">
        <f>-SUM($C47:AX47)</f>
        <v>0</v>
      </c>
      <c r="AY95" s="9">
        <f>-SUM($C47:AY47)</f>
        <v>0</v>
      </c>
      <c r="AZ95" s="9">
        <f>-SUM($C47:AZ47)</f>
        <v>0</v>
      </c>
      <c r="BA95" s="9">
        <f>-SUM($C47:BA47)</f>
        <v>0</v>
      </c>
      <c r="BB95" s="9">
        <f>-SUM($C47:BB47)</f>
        <v>0</v>
      </c>
      <c r="BC95" s="9">
        <f>-SUM($C47:BC47)</f>
        <v>0</v>
      </c>
      <c r="BD95" s="9">
        <f>-SUM($C47:BD47)</f>
        <v>0</v>
      </c>
      <c r="BE95" s="9">
        <f>-SUM($C47:BE47)</f>
        <v>0</v>
      </c>
      <c r="BF95" s="9">
        <f>-SUM($C47:BF47)</f>
        <v>0</v>
      </c>
      <c r="BG95" s="9">
        <f>-SUM($C47:BG47)</f>
        <v>0</v>
      </c>
      <c r="BH95" s="9">
        <f>-SUM($C47:BH47)</f>
        <v>0</v>
      </c>
      <c r="BI95" s="9">
        <f>-SUM($C47:BI47)</f>
        <v>0</v>
      </c>
      <c r="BJ95" s="9">
        <f>-SUM($C47:BJ47)</f>
        <v>0</v>
      </c>
      <c r="BK95" s="23">
        <f t="shared" si="25"/>
        <v>0</v>
      </c>
      <c r="BM95" s="24"/>
    </row>
    <row r="96" spans="2:65" ht="18" customHeight="1" x14ac:dyDescent="0.25">
      <c r="B96" s="25" t="s">
        <v>72</v>
      </c>
      <c r="C96" s="23">
        <f>SUM(C86:C95)</f>
        <v>-48635.846753597718</v>
      </c>
      <c r="D96" s="23">
        <f>SUM(D86:D95)</f>
        <v>-97271.693507195436</v>
      </c>
      <c r="E96" s="23">
        <f>SUM(E86:E95)</f>
        <v>-145907.54026079315</v>
      </c>
      <c r="F96" s="23">
        <f>SUM(F86:F95)</f>
        <v>-194543.38701439087</v>
      </c>
      <c r="G96" s="23">
        <f>SUM(G86:G95)</f>
        <v>-243179.2337679886</v>
      </c>
      <c r="H96" s="23">
        <f>SUM(H86:H95)</f>
        <v>-291815.08052158629</v>
      </c>
      <c r="I96" s="23">
        <f>SUM(I86:I95)</f>
        <v>-340450.92727518402</v>
      </c>
      <c r="J96" s="23">
        <f>SUM(J86:J95)</f>
        <v>-389086.77402878174</v>
      </c>
      <c r="K96" s="23">
        <f>SUM(K86:K95)</f>
        <v>-437722.62078237941</v>
      </c>
      <c r="L96" s="23">
        <f>SUM(L86:L95)</f>
        <v>-486358.46753597719</v>
      </c>
      <c r="M96" s="23">
        <f>SUM(M86:M95)</f>
        <v>-534994.31428957498</v>
      </c>
      <c r="N96" s="23">
        <f>SUM(N86:N95)</f>
        <v>-583630.16104317259</v>
      </c>
      <c r="O96" s="23">
        <f>SUM(O86:O95)</f>
        <v>-632266.00779677019</v>
      </c>
      <c r="P96" s="23">
        <f>SUM(P86:P95)</f>
        <v>-680901.85455036804</v>
      </c>
      <c r="Q96" s="23">
        <f>SUM(Q86:Q95)</f>
        <v>-729537.70130396576</v>
      </c>
      <c r="R96" s="23">
        <f>SUM(R86:R95)</f>
        <v>-778173.54805756337</v>
      </c>
      <c r="S96" s="23">
        <f>SUM(S86:S95)</f>
        <v>-826809.3948111611</v>
      </c>
      <c r="T96" s="23">
        <f>SUM(T86:T95)</f>
        <v>-875445.24156475882</v>
      </c>
      <c r="U96" s="23">
        <f>SUM(U86:U95)</f>
        <v>-924081.08831835655</v>
      </c>
      <c r="V96" s="23">
        <f>SUM(V86:V95)</f>
        <v>-972716.93507195427</v>
      </c>
      <c r="W96" s="23">
        <f>SUM(W86:W95)</f>
        <v>-1021352.781825552</v>
      </c>
      <c r="X96" s="23">
        <f>SUM(X86:X95)</f>
        <v>-1069988.6285791497</v>
      </c>
      <c r="Y96" s="23">
        <f>SUM(Y86:Y95)</f>
        <v>-1118624.4753327472</v>
      </c>
      <c r="Z96" s="23">
        <f>SUM(Z86:Z95)</f>
        <v>-1167260.3220863454</v>
      </c>
      <c r="AA96" s="23">
        <f>SUM(AA86:AA95)</f>
        <v>-1215896.1688399431</v>
      </c>
      <c r="AB96" s="23">
        <f>SUM(AB86:AB95)</f>
        <v>-1264532.0155935406</v>
      </c>
      <c r="AC96" s="23">
        <f>SUM(AC86:AC95)</f>
        <v>-1313167.8623471383</v>
      </c>
      <c r="AD96" s="23">
        <f>SUM(AD86:AD95)</f>
        <v>-1361803.7091007361</v>
      </c>
      <c r="AE96" s="23">
        <f>SUM(AE86:AE95)</f>
        <v>-1410439.555854334</v>
      </c>
      <c r="AF96" s="23">
        <f>SUM(AF86:AF95)</f>
        <v>-1459075.4026079318</v>
      </c>
      <c r="AG96" s="23">
        <f>SUM(AG86:AG95)</f>
        <v>-1507711.2493615295</v>
      </c>
      <c r="AH96" s="23">
        <f>SUM(AH86:AH95)</f>
        <v>-1556347.0961151272</v>
      </c>
      <c r="AI96" s="23">
        <f>SUM(AI86:AI95)</f>
        <v>-1604982.9428687247</v>
      </c>
      <c r="AJ96" s="23">
        <f>SUM(AJ86:AJ95)</f>
        <v>-1653618.7896223227</v>
      </c>
      <c r="AK96" s="23">
        <f>SUM(AK86:AK95)</f>
        <v>-1702254.6363759201</v>
      </c>
      <c r="AL96" s="23">
        <f>SUM(AL86:AL95)</f>
        <v>-1750890.4831295176</v>
      </c>
      <c r="AM96" s="23">
        <f>SUM(AM86:AM95)</f>
        <v>-1799526.3298831154</v>
      </c>
      <c r="AN96" s="23">
        <f>SUM(AN86:AN95)</f>
        <v>-1848162.1766367131</v>
      </c>
      <c r="AO96" s="23">
        <f>SUM(AO86:AO95)</f>
        <v>-1896798.0233903106</v>
      </c>
      <c r="AP96" s="23">
        <f>SUM(AP86:AP95)</f>
        <v>-1945433.8701439083</v>
      </c>
      <c r="AQ96" s="23">
        <f>SUM(AQ86:AQ95)</f>
        <v>-1994069.716897506</v>
      </c>
      <c r="AR96" s="23">
        <f>SUM(AR86:AR95)</f>
        <v>-2042705.5636511035</v>
      </c>
      <c r="AS96" s="23">
        <f>SUM(AS86:AS95)</f>
        <v>-2091341.4104047013</v>
      </c>
      <c r="AT96" s="23">
        <f>SUM(AT86:AT95)</f>
        <v>-2139977.2571582985</v>
      </c>
      <c r="AU96" s="23">
        <f>SUM(AU86:AU95)</f>
        <v>-2188613.1039118967</v>
      </c>
      <c r="AV96" s="23">
        <f>SUM(AV86:AV95)</f>
        <v>-2237248.9506654944</v>
      </c>
      <c r="AW96" s="23">
        <f>SUM(AW86:AW95)</f>
        <v>-2285884.7974190917</v>
      </c>
      <c r="AX96" s="23">
        <f>SUM(AX86:AX95)</f>
        <v>-2334520.6441726889</v>
      </c>
      <c r="AY96" s="23">
        <f>SUM(AY86:AY95)</f>
        <v>-2383156.4909262867</v>
      </c>
      <c r="AZ96" s="23">
        <f>SUM(AZ86:AZ95)</f>
        <v>-2431792.3376798849</v>
      </c>
      <c r="BA96" s="23">
        <f>SUM(BA86:BA95)</f>
        <v>-2480428.1844334821</v>
      </c>
      <c r="BB96" s="23">
        <f>SUM(BB86:BB95)</f>
        <v>-2529064.0311870794</v>
      </c>
      <c r="BC96" s="23">
        <f>SUM(BC86:BC95)</f>
        <v>-2577699.8779406776</v>
      </c>
      <c r="BD96" s="23">
        <f>SUM(BD86:BD95)</f>
        <v>-2626335.7246942753</v>
      </c>
      <c r="BE96" s="23">
        <f>SUM(BE86:BE95)</f>
        <v>-2674971.5714478721</v>
      </c>
      <c r="BF96" s="23">
        <f>SUM(BF86:BF95)</f>
        <v>-2723607.4182014703</v>
      </c>
      <c r="BG96" s="23">
        <f>SUM(BG86:BG95)</f>
        <v>-2772243.2649550675</v>
      </c>
      <c r="BH96" s="23">
        <f>SUM(BH86:BH95)</f>
        <v>-2820879.1117086648</v>
      </c>
      <c r="BI96" s="23">
        <f>SUM(BI86:BI95)</f>
        <v>-2869514.9584622635</v>
      </c>
      <c r="BJ96" s="23">
        <f>SUM(BJ86:BJ95)</f>
        <v>-2918150.8052158607</v>
      </c>
      <c r="BK96" s="23">
        <f>SUM(BK86:BK95)</f>
        <v>-2918150.8052158607</v>
      </c>
    </row>
    <row r="97" spans="2:65" s="32" customFormat="1" ht="15" customHeight="1" x14ac:dyDescent="0.25">
      <c r="B97" s="31"/>
      <c r="C97" s="30">
        <f>C80+C96-C112</f>
        <v>0</v>
      </c>
      <c r="D97" s="30">
        <f>D80+D96-D112</f>
        <v>0</v>
      </c>
      <c r="E97" s="30">
        <f>E80+E96-E112</f>
        <v>0</v>
      </c>
      <c r="F97" s="30">
        <f>F80+F96-F112</f>
        <v>0</v>
      </c>
      <c r="G97" s="30">
        <f>G80+G96-G112</f>
        <v>0</v>
      </c>
      <c r="H97" s="30">
        <f>H80+H96-H112</f>
        <v>0</v>
      </c>
      <c r="I97" s="30">
        <f>I80+I96-I112</f>
        <v>0</v>
      </c>
      <c r="J97" s="30">
        <f>J80+J96-J112</f>
        <v>0</v>
      </c>
      <c r="K97" s="30">
        <f>K80+K96-K112</f>
        <v>0</v>
      </c>
      <c r="L97" s="30">
        <f>L80+L96-L112</f>
        <v>0</v>
      </c>
      <c r="M97" s="30">
        <f>M80+M96-M112</f>
        <v>0</v>
      </c>
      <c r="N97" s="30">
        <f>N80+N96-N112</f>
        <v>0</v>
      </c>
      <c r="O97" s="30">
        <f>O80+O96-O112</f>
        <v>0</v>
      </c>
      <c r="P97" s="30">
        <f>P80+P96-P112</f>
        <v>0</v>
      </c>
      <c r="Q97" s="30">
        <f>Q80+Q96-Q112</f>
        <v>0</v>
      </c>
      <c r="R97" s="30">
        <f>R80+R96-R112</f>
        <v>0</v>
      </c>
      <c r="S97" s="30">
        <f>S80+S96-S112</f>
        <v>0</v>
      </c>
      <c r="T97" s="30">
        <f>T80+T96-T112</f>
        <v>0</v>
      </c>
      <c r="U97" s="30">
        <f>U80+U96-U112</f>
        <v>0</v>
      </c>
      <c r="V97" s="30">
        <f>V80+V96-V112</f>
        <v>0</v>
      </c>
      <c r="W97" s="30">
        <f>W80+W96-W112</f>
        <v>0</v>
      </c>
      <c r="X97" s="30">
        <f>X80+X96-X112</f>
        <v>0</v>
      </c>
      <c r="Y97" s="30">
        <f>Y80+Y96-Y112</f>
        <v>0</v>
      </c>
      <c r="Z97" s="30">
        <f>Z80+Z96-Z112</f>
        <v>0</v>
      </c>
      <c r="AA97" s="30">
        <f>AA80+AA96-AA112</f>
        <v>0</v>
      </c>
      <c r="AB97" s="30">
        <f>AB80+AB96-AB112</f>
        <v>0</v>
      </c>
      <c r="AC97" s="30">
        <f>AC80+AC96-AC112</f>
        <v>0</v>
      </c>
      <c r="AD97" s="30">
        <f>AD80+AD96-AD112</f>
        <v>0</v>
      </c>
      <c r="AE97" s="30">
        <f>AE80+AE96-AE112</f>
        <v>0</v>
      </c>
      <c r="AF97" s="30">
        <f>AF80+AF96-AF112</f>
        <v>0</v>
      </c>
      <c r="AG97" s="30">
        <f>AG80+AG96-AG112</f>
        <v>0</v>
      </c>
      <c r="AH97" s="30">
        <f>AH80+AH96-AH112</f>
        <v>0</v>
      </c>
      <c r="AI97" s="30">
        <f>AI80+AI96-AI112</f>
        <v>0</v>
      </c>
      <c r="AJ97" s="30">
        <f>AJ80+AJ96-AJ112</f>
        <v>0</v>
      </c>
      <c r="AK97" s="30">
        <f>AK80+AK96-AK112</f>
        <v>0</v>
      </c>
      <c r="AL97" s="30">
        <f>AL80+AL96-AL112</f>
        <v>0</v>
      </c>
      <c r="AM97" s="30">
        <f>AM80+AM96-AM112</f>
        <v>0</v>
      </c>
      <c r="AN97" s="30">
        <f>AN80+AN96-AN112</f>
        <v>0</v>
      </c>
      <c r="AO97" s="30">
        <f>AO80+AO96-AO112</f>
        <v>0</v>
      </c>
      <c r="AP97" s="30">
        <f>AP80+AP96-AP112</f>
        <v>0</v>
      </c>
      <c r="AQ97" s="30">
        <f>AQ80+AQ96-AQ112</f>
        <v>0</v>
      </c>
      <c r="AR97" s="30">
        <f>AR80+AR96-AR112</f>
        <v>0</v>
      </c>
      <c r="AS97" s="30">
        <f>AS80+AS96-AS112</f>
        <v>0</v>
      </c>
      <c r="AT97" s="30">
        <f>AT80+AT96-AT112</f>
        <v>0</v>
      </c>
      <c r="AU97" s="30">
        <f>AU80+AU96-AU112</f>
        <v>0</v>
      </c>
      <c r="AV97" s="30">
        <f>AV80+AV96-AV112</f>
        <v>0</v>
      </c>
      <c r="AW97" s="30">
        <f>AW80+AW96-AW112</f>
        <v>0</v>
      </c>
      <c r="AX97" s="30">
        <f>AX80+AX96-AX112</f>
        <v>0</v>
      </c>
      <c r="AY97" s="30">
        <f>AY80+AY96-AY112</f>
        <v>0</v>
      </c>
      <c r="AZ97" s="30">
        <f>AZ80+AZ96-AZ112</f>
        <v>0</v>
      </c>
      <c r="BA97" s="30">
        <f>BA80+BA96-BA112</f>
        <v>0</v>
      </c>
      <c r="BB97" s="30">
        <f>BB80+BB96-BB112</f>
        <v>4.6566128730773926E-10</v>
      </c>
      <c r="BC97" s="30">
        <f>BC80+BC96-BC112</f>
        <v>0</v>
      </c>
      <c r="BD97" s="30">
        <f>BD80+BD96-BD112</f>
        <v>0</v>
      </c>
      <c r="BE97" s="30">
        <f>BE80+BE96-BE112</f>
        <v>5.8207660913467407E-10</v>
      </c>
      <c r="BF97" s="30">
        <f>BF80+BF96-BF112</f>
        <v>0</v>
      </c>
      <c r="BG97" s="30">
        <f>BG80+BG96-BG112</f>
        <v>3.4924596548080444E-10</v>
      </c>
      <c r="BH97" s="30">
        <f>BH80+BH96-BH112</f>
        <v>6.9849193096160889E-10</v>
      </c>
      <c r="BI97" s="30">
        <f>BI80+BI96-BI112</f>
        <v>-3.5652192309498787E-10</v>
      </c>
      <c r="BJ97" s="30">
        <f>BJ80+BJ96-BJ112</f>
        <v>8.9494278654456139E-10</v>
      </c>
      <c r="BK97" s="30"/>
    </row>
    <row r="98" spans="2:65" ht="15" customHeight="1" x14ac:dyDescent="0.25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</row>
    <row r="99" spans="2:65" ht="15" customHeight="1" x14ac:dyDescent="0.25">
      <c r="B99" s="28" t="s">
        <v>75</v>
      </c>
      <c r="C99" s="29"/>
      <c r="D99" s="29"/>
      <c r="E99" s="29"/>
      <c r="F99" s="29"/>
      <c r="G99" s="29"/>
      <c r="H99" s="29"/>
      <c r="I99" s="29"/>
    </row>
    <row r="100" spans="2:65" ht="6" customHeight="1" x14ac:dyDescent="0.25"/>
    <row r="101" spans="2:65" ht="33" customHeight="1" x14ac:dyDescent="0.25">
      <c r="B101" s="5" t="s">
        <v>53</v>
      </c>
      <c r="C101" s="16">
        <v>43466</v>
      </c>
      <c r="D101" s="16">
        <v>43497</v>
      </c>
      <c r="E101" s="16">
        <v>43525</v>
      </c>
      <c r="F101" s="16">
        <v>43556</v>
      </c>
      <c r="G101" s="16">
        <v>43586</v>
      </c>
      <c r="H101" s="16">
        <v>43617</v>
      </c>
      <c r="I101" s="16">
        <v>43647</v>
      </c>
      <c r="J101" s="16">
        <v>43678</v>
      </c>
      <c r="K101" s="16">
        <v>43709</v>
      </c>
      <c r="L101" s="16">
        <v>43739</v>
      </c>
      <c r="M101" s="16">
        <v>43770</v>
      </c>
      <c r="N101" s="16">
        <v>43800</v>
      </c>
      <c r="O101" s="16">
        <v>43831</v>
      </c>
      <c r="P101" s="16">
        <v>43862</v>
      </c>
      <c r="Q101" s="16">
        <v>43891</v>
      </c>
      <c r="R101" s="16">
        <v>43922</v>
      </c>
      <c r="S101" s="16">
        <v>43952</v>
      </c>
      <c r="T101" s="16">
        <v>43983</v>
      </c>
      <c r="U101" s="16">
        <v>44013</v>
      </c>
      <c r="V101" s="16">
        <v>44044</v>
      </c>
      <c r="W101" s="16">
        <v>44075</v>
      </c>
      <c r="X101" s="16">
        <v>44105</v>
      </c>
      <c r="Y101" s="16">
        <v>44136</v>
      </c>
      <c r="Z101" s="16">
        <v>44166</v>
      </c>
      <c r="AA101" s="16">
        <v>44197</v>
      </c>
      <c r="AB101" s="16">
        <v>44228</v>
      </c>
      <c r="AC101" s="16">
        <v>44256</v>
      </c>
      <c r="AD101" s="16">
        <v>44287</v>
      </c>
      <c r="AE101" s="16">
        <v>44317</v>
      </c>
      <c r="AF101" s="16">
        <v>44348</v>
      </c>
      <c r="AG101" s="16">
        <v>44378</v>
      </c>
      <c r="AH101" s="16">
        <v>44409</v>
      </c>
      <c r="AI101" s="16">
        <v>44440</v>
      </c>
      <c r="AJ101" s="16">
        <v>44470</v>
      </c>
      <c r="AK101" s="16">
        <v>44501</v>
      </c>
      <c r="AL101" s="16">
        <v>44531</v>
      </c>
      <c r="AM101" s="16">
        <v>44562</v>
      </c>
      <c r="AN101" s="16">
        <v>44593</v>
      </c>
      <c r="AO101" s="16">
        <v>44621</v>
      </c>
      <c r="AP101" s="16">
        <v>44652</v>
      </c>
      <c r="AQ101" s="16">
        <v>44682</v>
      </c>
      <c r="AR101" s="16">
        <v>44713</v>
      </c>
      <c r="AS101" s="16">
        <v>44743</v>
      </c>
      <c r="AT101" s="16">
        <v>44774</v>
      </c>
      <c r="AU101" s="16">
        <v>44805</v>
      </c>
      <c r="AV101" s="16">
        <v>44835</v>
      </c>
      <c r="AW101" s="16">
        <v>44866</v>
      </c>
      <c r="AX101" s="16">
        <v>44896</v>
      </c>
      <c r="AY101" s="16">
        <v>44927</v>
      </c>
      <c r="AZ101" s="16">
        <v>44958</v>
      </c>
      <c r="BA101" s="16">
        <v>44986</v>
      </c>
      <c r="BB101" s="16">
        <v>45017</v>
      </c>
      <c r="BC101" s="16">
        <v>45047</v>
      </c>
      <c r="BD101" s="16">
        <v>45078</v>
      </c>
      <c r="BE101" s="16">
        <v>45108</v>
      </c>
      <c r="BF101" s="16">
        <v>45139</v>
      </c>
      <c r="BG101" s="16">
        <v>45170</v>
      </c>
      <c r="BH101" s="16">
        <v>45200</v>
      </c>
      <c r="BI101" s="16">
        <v>45231</v>
      </c>
      <c r="BJ101" s="16">
        <v>45261</v>
      </c>
      <c r="BK101" s="16" t="s">
        <v>72</v>
      </c>
    </row>
    <row r="102" spans="2:65" ht="15" customHeight="1" x14ac:dyDescent="0.25">
      <c r="B102" s="6">
        <v>1</v>
      </c>
      <c r="C102" s="9">
        <f>C70+C86</f>
        <v>483831.2602285262</v>
      </c>
      <c r="D102" s="9">
        <f>D70+D86</f>
        <v>475630.73039414437</v>
      </c>
      <c r="E102" s="9">
        <f>E70+E86</f>
        <v>467430.20055976254</v>
      </c>
      <c r="F102" s="9">
        <f>F70+F86</f>
        <v>459229.67072538077</v>
      </c>
      <c r="G102" s="9">
        <f>G70+G86</f>
        <v>451029.140890999</v>
      </c>
      <c r="H102" s="9">
        <f>H70+H86</f>
        <v>442828.61105661717</v>
      </c>
      <c r="I102" s="9">
        <f>I70+I86</f>
        <v>434628.08122223534</v>
      </c>
      <c r="J102" s="9">
        <f>J70+J86</f>
        <v>426427.55138785357</v>
      </c>
      <c r="K102" s="9">
        <f>K70+K86</f>
        <v>418227.0215534718</v>
      </c>
      <c r="L102" s="9">
        <f>L70+L86</f>
        <v>410026.49171908997</v>
      </c>
      <c r="M102" s="9">
        <f>M70+M86</f>
        <v>401825.96188470814</v>
      </c>
      <c r="N102" s="9">
        <f>N70+N86</f>
        <v>393625.43205032637</v>
      </c>
      <c r="O102" s="9">
        <f>O70+O86</f>
        <v>385424.9022159446</v>
      </c>
      <c r="P102" s="9">
        <f>P70+P86</f>
        <v>377224.37238156277</v>
      </c>
      <c r="Q102" s="9">
        <f>Q70+Q86</f>
        <v>369023.84254718095</v>
      </c>
      <c r="R102" s="9">
        <f>R70+R86</f>
        <v>360823.31271279918</v>
      </c>
      <c r="S102" s="9">
        <f>S70+S86</f>
        <v>352622.78287841741</v>
      </c>
      <c r="T102" s="9">
        <f>T70+T86</f>
        <v>344422.25304403558</v>
      </c>
      <c r="U102" s="9">
        <f>U70+U86</f>
        <v>336221.72320965375</v>
      </c>
      <c r="V102" s="9">
        <f>V70+V86</f>
        <v>328021.19337527198</v>
      </c>
      <c r="W102" s="9">
        <f>W70+W86</f>
        <v>319820.66354089021</v>
      </c>
      <c r="X102" s="9">
        <f>X70+X86</f>
        <v>311620.13370650838</v>
      </c>
      <c r="Y102" s="9">
        <f>Y70+Y86</f>
        <v>303419.60387212655</v>
      </c>
      <c r="Z102" s="9">
        <f>Z70+Z86</f>
        <v>295219.07403774478</v>
      </c>
      <c r="AA102" s="9">
        <f>AA70+AA86</f>
        <v>287018.54420336301</v>
      </c>
      <c r="AB102" s="9">
        <f>AB70+AB86</f>
        <v>278818.01436898118</v>
      </c>
      <c r="AC102" s="9">
        <f>AC70+AC86</f>
        <v>270617.48453459935</v>
      </c>
      <c r="AD102" s="9">
        <f>AD70+AD86</f>
        <v>262416.95470021758</v>
      </c>
      <c r="AE102" s="9">
        <f>AE70+AE86</f>
        <v>254216.42486583578</v>
      </c>
      <c r="AF102" s="9">
        <f>AF70+AF86</f>
        <v>246015.89503145398</v>
      </c>
      <c r="AG102" s="9">
        <f>AG70+AG86</f>
        <v>237815.36519707218</v>
      </c>
      <c r="AH102" s="9">
        <f>AH70+AH86</f>
        <v>229614.83536269038</v>
      </c>
      <c r="AI102" s="9">
        <f>AI70+AI86</f>
        <v>221414.30552830861</v>
      </c>
      <c r="AJ102" s="9">
        <f>AJ70+AJ86</f>
        <v>213213.77569392684</v>
      </c>
      <c r="AK102" s="9">
        <f>AK70+AK86</f>
        <v>205013.24585954507</v>
      </c>
      <c r="AL102" s="9">
        <f>AL70+AL86</f>
        <v>196812.7160251633</v>
      </c>
      <c r="AM102" s="9">
        <f>AM70+AM86</f>
        <v>188612.18619078153</v>
      </c>
      <c r="AN102" s="9">
        <f>AN70+AN86</f>
        <v>180411.65635639976</v>
      </c>
      <c r="AO102" s="9">
        <f>AO70+AO86</f>
        <v>172211.12652201799</v>
      </c>
      <c r="AP102" s="9">
        <f>AP70+AP86</f>
        <v>164010.59668763622</v>
      </c>
      <c r="AQ102" s="9">
        <f>AQ70+AQ86</f>
        <v>155810.06685325445</v>
      </c>
      <c r="AR102" s="9">
        <f>AR70+AR86</f>
        <v>147609.53701887268</v>
      </c>
      <c r="AS102" s="9">
        <f>AS70+AS86</f>
        <v>139409.00718449091</v>
      </c>
      <c r="AT102" s="9">
        <f>AT70+AT86</f>
        <v>131208.47735010914</v>
      </c>
      <c r="AU102" s="9">
        <f>AU70+AU86</f>
        <v>123007.94751572737</v>
      </c>
      <c r="AV102" s="9">
        <f>AV70+AV86</f>
        <v>114807.4176813456</v>
      </c>
      <c r="AW102" s="9">
        <f>AW70+AW86</f>
        <v>106606.88784696383</v>
      </c>
      <c r="AX102" s="9">
        <f>AX70+AX86</f>
        <v>98406.358012582059</v>
      </c>
      <c r="AY102" s="9">
        <f>AY70+AY86</f>
        <v>90205.828178200289</v>
      </c>
      <c r="AZ102" s="9">
        <f>AZ70+AZ86</f>
        <v>82005.298343818518</v>
      </c>
      <c r="BA102" s="9">
        <f>BA70+BA86</f>
        <v>73804.768509436748</v>
      </c>
      <c r="BB102" s="9">
        <f>BB70+BB86</f>
        <v>65604.238675054978</v>
      </c>
      <c r="BC102" s="9">
        <f>BC70+BC86</f>
        <v>57403.708840673207</v>
      </c>
      <c r="BD102" s="9">
        <f>BD70+BD86</f>
        <v>49203.179006291437</v>
      </c>
      <c r="BE102" s="9">
        <f>BE70+BE86</f>
        <v>41002.649171909667</v>
      </c>
      <c r="BF102" s="9">
        <f>BF70+BF86</f>
        <v>32802.119337527896</v>
      </c>
      <c r="BG102" s="9">
        <f>BG70+BG86</f>
        <v>24601.589503146126</v>
      </c>
      <c r="BH102" s="9">
        <f>BH70+BH86</f>
        <v>16401.059668764356</v>
      </c>
      <c r="BI102" s="9">
        <f>BI70+BI86</f>
        <v>8200.5298343825852</v>
      </c>
      <c r="BJ102" s="9">
        <f>BJ70+BJ86</f>
        <v>8.149072527885437E-10</v>
      </c>
      <c r="BK102" s="23">
        <f t="shared" ref="BK102:BK104" si="26">BJ102</f>
        <v>8.149072527885437E-10</v>
      </c>
      <c r="BL102" s="24"/>
      <c r="BM102" s="24"/>
    </row>
    <row r="103" spans="2:65" ht="15" customHeight="1" x14ac:dyDescent="0.25">
      <c r="B103" s="6">
        <v>2</v>
      </c>
      <c r="C103" s="9">
        <f>C71+C87</f>
        <v>101432.13002694465</v>
      </c>
      <c r="D103" s="9">
        <f>D71+D87</f>
        <v>99712.941382420162</v>
      </c>
      <c r="E103" s="9">
        <f>E71+E87</f>
        <v>97993.752737895687</v>
      </c>
      <c r="F103" s="9">
        <f>F71+F87</f>
        <v>96274.564093371198</v>
      </c>
      <c r="G103" s="9">
        <f>G71+G87</f>
        <v>94555.375448846709</v>
      </c>
      <c r="H103" s="9">
        <f>H71+H87</f>
        <v>92836.18680432222</v>
      </c>
      <c r="I103" s="9">
        <f>I71+I87</f>
        <v>91116.998159797746</v>
      </c>
      <c r="J103" s="9">
        <f>J71+J87</f>
        <v>89397.809515273257</v>
      </c>
      <c r="K103" s="9">
        <f>K71+K87</f>
        <v>87678.620870748768</v>
      </c>
      <c r="L103" s="9">
        <f>L71+L87</f>
        <v>85959.432226224279</v>
      </c>
      <c r="M103" s="9">
        <f>M71+M87</f>
        <v>84240.24358169979</v>
      </c>
      <c r="N103" s="9">
        <f>N71+N87</f>
        <v>82521.054937175315</v>
      </c>
      <c r="O103" s="9">
        <f>O71+O87</f>
        <v>80801.866292650826</v>
      </c>
      <c r="P103" s="9">
        <f>P71+P87</f>
        <v>79082.677648126337</v>
      </c>
      <c r="Q103" s="9">
        <f>Q71+Q87</f>
        <v>77363.489003601862</v>
      </c>
      <c r="R103" s="9">
        <f>R71+R87</f>
        <v>75644.300359077373</v>
      </c>
      <c r="S103" s="9">
        <f>S71+S87</f>
        <v>73925.111714552884</v>
      </c>
      <c r="T103" s="9">
        <f>T71+T87</f>
        <v>72205.923070028395</v>
      </c>
      <c r="U103" s="9">
        <f>U71+U87</f>
        <v>70486.734425503906</v>
      </c>
      <c r="V103" s="9">
        <f>V71+V87</f>
        <v>68767.545780979417</v>
      </c>
      <c r="W103" s="9">
        <f>W71+W87</f>
        <v>67048.357136454928</v>
      </c>
      <c r="X103" s="9">
        <f>X71+X87</f>
        <v>65329.168491930446</v>
      </c>
      <c r="Y103" s="9">
        <f>Y71+Y87</f>
        <v>63609.979847405957</v>
      </c>
      <c r="Z103" s="9">
        <f>Z71+Z87</f>
        <v>61890.791202881468</v>
      </c>
      <c r="AA103" s="9">
        <f>AA71+AA87</f>
        <v>60171.602558356979</v>
      </c>
      <c r="AB103" s="9">
        <f>AB71+AB87</f>
        <v>58452.41391383249</v>
      </c>
      <c r="AC103" s="9">
        <f>AC71+AC87</f>
        <v>56733.225269308001</v>
      </c>
      <c r="AD103" s="9">
        <f>AD71+AD87</f>
        <v>55014.036624783512</v>
      </c>
      <c r="AE103" s="9">
        <f>AE71+AE87</f>
        <v>53294.847980259023</v>
      </c>
      <c r="AF103" s="9">
        <f>AF71+AF87</f>
        <v>51575.659335734534</v>
      </c>
      <c r="AG103" s="9">
        <f>AG71+AG87</f>
        <v>49856.470691210045</v>
      </c>
      <c r="AH103" s="9">
        <f>AH71+AH87</f>
        <v>48137.282046685556</v>
      </c>
      <c r="AI103" s="9">
        <f>AI71+AI87</f>
        <v>46418.093402161066</v>
      </c>
      <c r="AJ103" s="9">
        <f>AJ71+AJ87</f>
        <v>44698.904757636577</v>
      </c>
      <c r="AK103" s="9">
        <f>AK71+AK87</f>
        <v>42979.716113112088</v>
      </c>
      <c r="AL103" s="9">
        <f>AL71+AL87</f>
        <v>41260.527468587599</v>
      </c>
      <c r="AM103" s="9">
        <f>AM71+AM87</f>
        <v>39541.33882406311</v>
      </c>
      <c r="AN103" s="9">
        <f>AN71+AN87</f>
        <v>37822.150179538621</v>
      </c>
      <c r="AO103" s="9">
        <f>AO71+AO87</f>
        <v>36102.961535014139</v>
      </c>
      <c r="AP103" s="9">
        <f>AP71+AP87</f>
        <v>34383.77289048965</v>
      </c>
      <c r="AQ103" s="9">
        <f>AQ71+AQ87</f>
        <v>32664.584245965161</v>
      </c>
      <c r="AR103" s="9">
        <f>AR71+AR87</f>
        <v>30945.395601440672</v>
      </c>
      <c r="AS103" s="9">
        <f>AS71+AS87</f>
        <v>29226.206956916183</v>
      </c>
      <c r="AT103" s="9">
        <f>AT71+AT87</f>
        <v>27507.018312391694</v>
      </c>
      <c r="AU103" s="9">
        <f>AU71+AU87</f>
        <v>25787.829667867205</v>
      </c>
      <c r="AV103" s="9">
        <f>AV71+AV87</f>
        <v>24068.641023342716</v>
      </c>
      <c r="AW103" s="9">
        <f>AW71+AW87</f>
        <v>22349.452378818227</v>
      </c>
      <c r="AX103" s="9">
        <f>AX71+AX87</f>
        <v>20630.263734293738</v>
      </c>
      <c r="AY103" s="9">
        <f>AY71+AY87</f>
        <v>18911.075089769249</v>
      </c>
      <c r="AZ103" s="9">
        <f>AZ71+AZ87</f>
        <v>17191.88644524476</v>
      </c>
      <c r="BA103" s="9">
        <f>BA71+BA87</f>
        <v>15472.697800720271</v>
      </c>
      <c r="BB103" s="9">
        <f>BB71+BB87</f>
        <v>13753.509156195782</v>
      </c>
      <c r="BC103" s="9">
        <f>BC71+BC87</f>
        <v>12034.320511671292</v>
      </c>
      <c r="BD103" s="9">
        <f>BD71+BD87</f>
        <v>10315.131867146803</v>
      </c>
      <c r="BE103" s="9">
        <f>BE71+BE87</f>
        <v>8595.9432226223144</v>
      </c>
      <c r="BF103" s="9">
        <f>BF71+BF87</f>
        <v>6876.7545780978253</v>
      </c>
      <c r="BG103" s="9">
        <f>BG71+BG87</f>
        <v>5157.5659335733362</v>
      </c>
      <c r="BH103" s="9">
        <f>BH71+BH87</f>
        <v>3438.3772890488472</v>
      </c>
      <c r="BI103" s="9">
        <f>BI71+BI87</f>
        <v>1719.1886445243581</v>
      </c>
      <c r="BJ103" s="9">
        <f>BJ71+BJ87</f>
        <v>-1.3096723705530167E-10</v>
      </c>
      <c r="BK103" s="23">
        <f t="shared" si="26"/>
        <v>-1.3096723705530167E-10</v>
      </c>
      <c r="BL103" s="24"/>
      <c r="BM103" s="24"/>
    </row>
    <row r="104" spans="2:65" ht="15" customHeight="1" x14ac:dyDescent="0.25">
      <c r="B104" s="6">
        <v>3</v>
      </c>
      <c r="C104" s="9">
        <f>C72+C88</f>
        <v>912889.17024250212</v>
      </c>
      <c r="D104" s="9">
        <f>D72+D88</f>
        <v>897416.47244178166</v>
      </c>
      <c r="E104" s="9">
        <f>E72+E88</f>
        <v>881943.77464106132</v>
      </c>
      <c r="F104" s="9">
        <f>F72+F88</f>
        <v>866471.07684034097</v>
      </c>
      <c r="G104" s="9">
        <f>G72+G88</f>
        <v>850998.37903962063</v>
      </c>
      <c r="H104" s="9">
        <f>H72+H88</f>
        <v>835525.68123890017</v>
      </c>
      <c r="I104" s="9">
        <f>I72+I88</f>
        <v>820052.98343817983</v>
      </c>
      <c r="J104" s="9">
        <f>J72+J88</f>
        <v>804580.28563745948</v>
      </c>
      <c r="K104" s="9">
        <f>K72+K88</f>
        <v>789107.58783673914</v>
      </c>
      <c r="L104" s="9">
        <f>L72+L88</f>
        <v>773634.89003601868</v>
      </c>
      <c r="M104" s="9">
        <f>M72+M88</f>
        <v>758162.19223529834</v>
      </c>
      <c r="N104" s="9">
        <f>N72+N88</f>
        <v>742689.49443457799</v>
      </c>
      <c r="O104" s="9">
        <f>O72+O88</f>
        <v>727216.79663385754</v>
      </c>
      <c r="P104" s="9">
        <f>P72+P88</f>
        <v>711744.09883313719</v>
      </c>
      <c r="Q104" s="9">
        <f>Q72+Q88</f>
        <v>696271.40103241685</v>
      </c>
      <c r="R104" s="9">
        <f>R72+R88</f>
        <v>680798.70323169651</v>
      </c>
      <c r="S104" s="9">
        <f>S72+S88</f>
        <v>665326.00543097616</v>
      </c>
      <c r="T104" s="9">
        <f>T72+T88</f>
        <v>649853.3076302557</v>
      </c>
      <c r="U104" s="9">
        <f>U72+U88</f>
        <v>634380.60982953524</v>
      </c>
      <c r="V104" s="9">
        <f>V72+V88</f>
        <v>618907.9120288149</v>
      </c>
      <c r="W104" s="9">
        <f>W72+W88</f>
        <v>603435.21422809456</v>
      </c>
      <c r="X104" s="9">
        <f>X72+X88</f>
        <v>587962.5164273741</v>
      </c>
      <c r="Y104" s="9">
        <f>Y72+Y88</f>
        <v>572489.81862665364</v>
      </c>
      <c r="Z104" s="9">
        <f>Z72+Z88</f>
        <v>557017.12082593329</v>
      </c>
      <c r="AA104" s="9">
        <f>AA72+AA88</f>
        <v>541544.42302521295</v>
      </c>
      <c r="AB104" s="9">
        <f>AB72+AB88</f>
        <v>526071.72522449249</v>
      </c>
      <c r="AC104" s="9">
        <f>AC72+AC88</f>
        <v>510599.02742377209</v>
      </c>
      <c r="AD104" s="9">
        <f>AD72+AD88</f>
        <v>495126.32962305169</v>
      </c>
      <c r="AE104" s="9">
        <f>AE72+AE88</f>
        <v>479653.63182233128</v>
      </c>
      <c r="AF104" s="9">
        <f>AF72+AF88</f>
        <v>464180.93402161088</v>
      </c>
      <c r="AG104" s="9">
        <f>AG72+AG88</f>
        <v>448708.23622089048</v>
      </c>
      <c r="AH104" s="9">
        <f>AH72+AH88</f>
        <v>433235.53842017008</v>
      </c>
      <c r="AI104" s="9">
        <f>AI72+AI88</f>
        <v>417762.84061944968</v>
      </c>
      <c r="AJ104" s="9">
        <f>AJ72+AJ88</f>
        <v>402290.14281872928</v>
      </c>
      <c r="AK104" s="9">
        <f>AK72+AK88</f>
        <v>386817.44501800893</v>
      </c>
      <c r="AL104" s="9">
        <f>AL72+AL88</f>
        <v>371344.74721728859</v>
      </c>
      <c r="AM104" s="9">
        <f>AM72+AM88</f>
        <v>355872.04941656825</v>
      </c>
      <c r="AN104" s="9">
        <f>AN72+AN88</f>
        <v>340399.3516158479</v>
      </c>
      <c r="AO104" s="9">
        <f>AO72+AO88</f>
        <v>324926.65381512756</v>
      </c>
      <c r="AP104" s="9">
        <f>AP72+AP88</f>
        <v>309453.95601440722</v>
      </c>
      <c r="AQ104" s="9">
        <f>AQ72+AQ88</f>
        <v>293981.25821368687</v>
      </c>
      <c r="AR104" s="9">
        <f>AR72+AR88</f>
        <v>278508.56041296653</v>
      </c>
      <c r="AS104" s="9">
        <f>AS72+AS88</f>
        <v>263035.86261224619</v>
      </c>
      <c r="AT104" s="9">
        <f>AT72+AT88</f>
        <v>247563.16481152584</v>
      </c>
      <c r="AU104" s="9">
        <f>AU72+AU88</f>
        <v>232090.4670108055</v>
      </c>
      <c r="AV104" s="9">
        <f>AV72+AV88</f>
        <v>216617.76921008516</v>
      </c>
      <c r="AW104" s="9">
        <f>AW72+AW88</f>
        <v>201145.07140936481</v>
      </c>
      <c r="AX104" s="9">
        <f>AX72+AX88</f>
        <v>185672.37360864447</v>
      </c>
      <c r="AY104" s="9">
        <f>AY72+AY88</f>
        <v>170199.67580792413</v>
      </c>
      <c r="AZ104" s="9">
        <f>AZ72+AZ88</f>
        <v>154726.97800720378</v>
      </c>
      <c r="BA104" s="9">
        <f>BA72+BA88</f>
        <v>139254.28020648344</v>
      </c>
      <c r="BB104" s="9">
        <f>BB72+BB88</f>
        <v>123781.5824057631</v>
      </c>
      <c r="BC104" s="9">
        <f>BC72+BC88</f>
        <v>108308.88460504275</v>
      </c>
      <c r="BD104" s="9">
        <f>BD72+BD88</f>
        <v>92836.186804322409</v>
      </c>
      <c r="BE104" s="9">
        <f>BE72+BE88</f>
        <v>77363.489003602066</v>
      </c>
      <c r="BF104" s="9">
        <f>BF72+BF88</f>
        <v>61890.791202881723</v>
      </c>
      <c r="BG104" s="9">
        <f>BG72+BG88</f>
        <v>46418.093402161379</v>
      </c>
      <c r="BH104" s="9">
        <f>BH72+BH88</f>
        <v>30945.395601441036</v>
      </c>
      <c r="BI104" s="9">
        <f>BI72+BI88</f>
        <v>15472.697800720693</v>
      </c>
      <c r="BJ104" s="9">
        <f>BJ72+BJ88</f>
        <v>0</v>
      </c>
      <c r="BK104" s="23">
        <f t="shared" si="26"/>
        <v>0</v>
      </c>
      <c r="BL104" s="24"/>
      <c r="BM104" s="24"/>
    </row>
    <row r="105" spans="2:65" ht="15" customHeight="1" x14ac:dyDescent="0.25">
      <c r="B105" s="6">
        <v>4</v>
      </c>
      <c r="C105" s="9">
        <f>C73+C89</f>
        <v>50716.065013472326</v>
      </c>
      <c r="D105" s="9">
        <f>D73+D89</f>
        <v>49856.470691210081</v>
      </c>
      <c r="E105" s="9">
        <f>E73+E89</f>
        <v>48996.876368947844</v>
      </c>
      <c r="F105" s="9">
        <f>F73+F89</f>
        <v>48137.282046685599</v>
      </c>
      <c r="G105" s="9">
        <f>G73+G89</f>
        <v>47277.687724423355</v>
      </c>
      <c r="H105" s="9">
        <f>H73+H89</f>
        <v>46418.09340216111</v>
      </c>
      <c r="I105" s="9">
        <f>I73+I89</f>
        <v>45558.499079898873</v>
      </c>
      <c r="J105" s="9">
        <f>J73+J89</f>
        <v>44698.904757636628</v>
      </c>
      <c r="K105" s="9">
        <f>K73+K89</f>
        <v>43839.310435374384</v>
      </c>
      <c r="L105" s="9">
        <f>L73+L89</f>
        <v>42979.716113112139</v>
      </c>
      <c r="M105" s="9">
        <f>M73+M89</f>
        <v>42120.121790849895</v>
      </c>
      <c r="N105" s="9">
        <f>N73+N89</f>
        <v>41260.527468587657</v>
      </c>
      <c r="O105" s="9">
        <f>O73+O89</f>
        <v>40400.933146325413</v>
      </c>
      <c r="P105" s="9">
        <f>P73+P89</f>
        <v>39541.338824063168</v>
      </c>
      <c r="Q105" s="9">
        <f>Q73+Q89</f>
        <v>38681.744501800931</v>
      </c>
      <c r="R105" s="9">
        <f>R73+R89</f>
        <v>37822.150179538687</v>
      </c>
      <c r="S105" s="9">
        <f>S73+S89</f>
        <v>36962.555857276442</v>
      </c>
      <c r="T105" s="9">
        <f>T73+T89</f>
        <v>36102.961535014198</v>
      </c>
      <c r="U105" s="9">
        <f>U73+U89</f>
        <v>35243.367212751953</v>
      </c>
      <c r="V105" s="9">
        <f>V73+V89</f>
        <v>34383.772890489709</v>
      </c>
      <c r="W105" s="9">
        <f>W73+W89</f>
        <v>33524.178568227464</v>
      </c>
      <c r="X105" s="9">
        <f>X73+X89</f>
        <v>32664.584245965223</v>
      </c>
      <c r="Y105" s="9">
        <f>Y73+Y89</f>
        <v>31804.989923702979</v>
      </c>
      <c r="Z105" s="9">
        <f>Z73+Z89</f>
        <v>30945.395601440734</v>
      </c>
      <c r="AA105" s="9">
        <f>AA73+AA89</f>
        <v>30085.801279178489</v>
      </c>
      <c r="AB105" s="9">
        <f>AB73+AB89</f>
        <v>29226.206956916245</v>
      </c>
      <c r="AC105" s="9">
        <f>AC73+AC89</f>
        <v>28366.612634654</v>
      </c>
      <c r="AD105" s="9">
        <f>AD73+AD89</f>
        <v>27507.018312391756</v>
      </c>
      <c r="AE105" s="9">
        <f>AE73+AE89</f>
        <v>26647.423990129511</v>
      </c>
      <c r="AF105" s="9">
        <f>AF73+AF89</f>
        <v>25787.829667867267</v>
      </c>
      <c r="AG105" s="9">
        <f>AG73+AG89</f>
        <v>24928.235345605022</v>
      </c>
      <c r="AH105" s="9">
        <f>AH73+AH89</f>
        <v>24068.641023342778</v>
      </c>
      <c r="AI105" s="9">
        <f>AI73+AI89</f>
        <v>23209.046701080533</v>
      </c>
      <c r="AJ105" s="9">
        <f>AJ73+AJ89</f>
        <v>22349.452378818289</v>
      </c>
      <c r="AK105" s="9">
        <f>AK73+AK89</f>
        <v>21489.858056556044</v>
      </c>
      <c r="AL105" s="9">
        <f>AL73+AL89</f>
        <v>20630.2637342938</v>
      </c>
      <c r="AM105" s="9">
        <f>AM73+AM89</f>
        <v>19770.669412031555</v>
      </c>
      <c r="AN105" s="9">
        <f>AN73+AN89</f>
        <v>18911.075089769311</v>
      </c>
      <c r="AO105" s="9">
        <f>AO73+AO89</f>
        <v>18051.48076750707</v>
      </c>
      <c r="AP105" s="9">
        <f>AP73+AP89</f>
        <v>17191.886445244825</v>
      </c>
      <c r="AQ105" s="9">
        <f>AQ73+AQ89</f>
        <v>16332.292122982581</v>
      </c>
      <c r="AR105" s="9">
        <f>AR73+AR89</f>
        <v>15472.697800720336</v>
      </c>
      <c r="AS105" s="9">
        <f>AS73+AS89</f>
        <v>14613.103478458092</v>
      </c>
      <c r="AT105" s="9">
        <f>AT73+AT89</f>
        <v>13753.509156195847</v>
      </c>
      <c r="AU105" s="9">
        <f>AU73+AU89</f>
        <v>12893.914833933602</v>
      </c>
      <c r="AV105" s="9">
        <f>AV73+AV89</f>
        <v>12034.320511671358</v>
      </c>
      <c r="AW105" s="9">
        <f>AW73+AW89</f>
        <v>11174.726189409113</v>
      </c>
      <c r="AX105" s="9">
        <f>AX73+AX89</f>
        <v>10315.131867146869</v>
      </c>
      <c r="AY105" s="9">
        <f>AY73+AY89</f>
        <v>9455.5375448846244</v>
      </c>
      <c r="AZ105" s="9">
        <f>AZ73+AZ89</f>
        <v>8595.9432226223798</v>
      </c>
      <c r="BA105" s="9">
        <f>BA73+BA89</f>
        <v>7736.3489003601353</v>
      </c>
      <c r="BB105" s="9">
        <f>BB73+BB89</f>
        <v>6876.7545780978908</v>
      </c>
      <c r="BC105" s="9">
        <f>BC73+BC89</f>
        <v>6017.1602558356462</v>
      </c>
      <c r="BD105" s="9">
        <f>BD73+BD89</f>
        <v>5157.5659335734017</v>
      </c>
      <c r="BE105" s="9">
        <f>BE73+BE89</f>
        <v>4297.9716113111572</v>
      </c>
      <c r="BF105" s="9">
        <f>BF73+BF89</f>
        <v>3438.3772890489126</v>
      </c>
      <c r="BG105" s="9">
        <f>BG73+BG89</f>
        <v>2578.7829667866681</v>
      </c>
      <c r="BH105" s="9">
        <f>BH73+BH89</f>
        <v>1719.1886445244236</v>
      </c>
      <c r="BI105" s="9">
        <f>BI73+BI89</f>
        <v>859.59432226217905</v>
      </c>
      <c r="BJ105" s="9">
        <f>BJ73+BJ89</f>
        <v>-6.5483618527650833E-11</v>
      </c>
      <c r="BK105" s="23">
        <f>BJ105</f>
        <v>-6.5483618527650833E-11</v>
      </c>
      <c r="BL105" s="24"/>
      <c r="BM105" s="24"/>
    </row>
    <row r="106" spans="2:65" ht="15" customHeight="1" x14ac:dyDescent="0.25">
      <c r="B106" s="6">
        <v>5</v>
      </c>
      <c r="C106" s="9">
        <f>C74+C90</f>
        <v>659308.84517514054</v>
      </c>
      <c r="D106" s="9">
        <f>D74+D90</f>
        <v>648134.11898573139</v>
      </c>
      <c r="E106" s="9">
        <f>E74+E90</f>
        <v>636959.39279632224</v>
      </c>
      <c r="F106" s="9">
        <f>F74+F90</f>
        <v>625784.66660691309</v>
      </c>
      <c r="G106" s="9">
        <f>G74+G90</f>
        <v>614609.94041750394</v>
      </c>
      <c r="H106" s="9">
        <f>H74+H90</f>
        <v>603435.21422809467</v>
      </c>
      <c r="I106" s="9">
        <f>I74+I90</f>
        <v>592260.48803868552</v>
      </c>
      <c r="J106" s="9">
        <f>J74+J90</f>
        <v>581085.76184927637</v>
      </c>
      <c r="K106" s="9">
        <f>K74+K90</f>
        <v>569911.03565986722</v>
      </c>
      <c r="L106" s="9">
        <f>L74+L90</f>
        <v>558736.30947045807</v>
      </c>
      <c r="M106" s="9">
        <f>M74+M90</f>
        <v>547561.58328104892</v>
      </c>
      <c r="N106" s="9">
        <f>N74+N90</f>
        <v>536386.85709163977</v>
      </c>
      <c r="O106" s="9">
        <f>O74+O90</f>
        <v>525212.13090223062</v>
      </c>
      <c r="P106" s="9">
        <f>P74+P90</f>
        <v>514037.40471282147</v>
      </c>
      <c r="Q106" s="9">
        <f>Q74+Q90</f>
        <v>502862.67852341232</v>
      </c>
      <c r="R106" s="9">
        <f>R74+R90</f>
        <v>491687.95233400317</v>
      </c>
      <c r="S106" s="9">
        <f>S74+S90</f>
        <v>480513.22614459402</v>
      </c>
      <c r="T106" s="9">
        <f>T74+T90</f>
        <v>469338.49995518487</v>
      </c>
      <c r="U106" s="9">
        <f>U74+U90</f>
        <v>458163.77376577572</v>
      </c>
      <c r="V106" s="9">
        <f>V74+V90</f>
        <v>446989.04757636657</v>
      </c>
      <c r="W106" s="9">
        <f>W74+W90</f>
        <v>435814.32138695742</v>
      </c>
      <c r="X106" s="9">
        <f>X74+X90</f>
        <v>424639.59519754827</v>
      </c>
      <c r="Y106" s="9">
        <f>Y74+Y90</f>
        <v>413464.86900813913</v>
      </c>
      <c r="Z106" s="9">
        <f>Z74+Z90</f>
        <v>402290.14281872992</v>
      </c>
      <c r="AA106" s="9">
        <f>AA74+AA90</f>
        <v>391115.41662932077</v>
      </c>
      <c r="AB106" s="9">
        <f>AB74+AB90</f>
        <v>379940.69043991162</v>
      </c>
      <c r="AC106" s="9">
        <f>AC74+AC90</f>
        <v>368765.96425050247</v>
      </c>
      <c r="AD106" s="9">
        <f>AD74+AD90</f>
        <v>357591.23806109332</v>
      </c>
      <c r="AE106" s="9">
        <f>AE74+AE90</f>
        <v>346416.51187168417</v>
      </c>
      <c r="AF106" s="9">
        <f>AF74+AF90</f>
        <v>335241.78568227502</v>
      </c>
      <c r="AG106" s="9">
        <f>AG74+AG90</f>
        <v>324067.05949286587</v>
      </c>
      <c r="AH106" s="9">
        <f>AH74+AH90</f>
        <v>312892.33330345672</v>
      </c>
      <c r="AI106" s="9">
        <f>AI74+AI90</f>
        <v>301717.60711404757</v>
      </c>
      <c r="AJ106" s="9">
        <f>AJ74+AJ90</f>
        <v>290542.88092463842</v>
      </c>
      <c r="AK106" s="9">
        <f>AK74+AK90</f>
        <v>279368.15473522927</v>
      </c>
      <c r="AL106" s="9">
        <f>AL74+AL90</f>
        <v>268193.42854582012</v>
      </c>
      <c r="AM106" s="9">
        <f>AM74+AM90</f>
        <v>257018.70235641097</v>
      </c>
      <c r="AN106" s="9">
        <f>AN74+AN90</f>
        <v>245843.97616700182</v>
      </c>
      <c r="AO106" s="9">
        <f>AO74+AO90</f>
        <v>234669.24997759267</v>
      </c>
      <c r="AP106" s="9">
        <f>AP74+AP90</f>
        <v>223494.52378818352</v>
      </c>
      <c r="AQ106" s="9">
        <f>AQ74+AQ90</f>
        <v>212319.79759877437</v>
      </c>
      <c r="AR106" s="9">
        <f>AR74+AR90</f>
        <v>201145.07140936522</v>
      </c>
      <c r="AS106" s="9">
        <f>AS74+AS90</f>
        <v>189970.34521995607</v>
      </c>
      <c r="AT106" s="9">
        <f>AT74+AT90</f>
        <v>178795.61903054692</v>
      </c>
      <c r="AU106" s="9">
        <f>AU74+AU90</f>
        <v>167620.89284113777</v>
      </c>
      <c r="AV106" s="9">
        <f>AV74+AV90</f>
        <v>156446.16665172862</v>
      </c>
      <c r="AW106" s="9">
        <f>AW74+AW90</f>
        <v>145271.44046231941</v>
      </c>
      <c r="AX106" s="9">
        <f>AX74+AX90</f>
        <v>134096.71427291026</v>
      </c>
      <c r="AY106" s="9">
        <f>AY74+AY90</f>
        <v>122921.98808350111</v>
      </c>
      <c r="AZ106" s="9">
        <f>AZ74+AZ90</f>
        <v>111747.26189409196</v>
      </c>
      <c r="BA106" s="9">
        <f>BA74+BA90</f>
        <v>100572.53570468281</v>
      </c>
      <c r="BB106" s="9">
        <f>BB74+BB90</f>
        <v>89397.809515273664</v>
      </c>
      <c r="BC106" s="9">
        <f>BC74+BC90</f>
        <v>78223.083325864514</v>
      </c>
      <c r="BD106" s="9">
        <f>BD74+BD90</f>
        <v>67048.357136455365</v>
      </c>
      <c r="BE106" s="9">
        <f>BE74+BE90</f>
        <v>55873.630947046215</v>
      </c>
      <c r="BF106" s="9">
        <f>BF74+BF90</f>
        <v>44698.904757637065</v>
      </c>
      <c r="BG106" s="9">
        <f>BG74+BG90</f>
        <v>33524.178568227915</v>
      </c>
      <c r="BH106" s="9">
        <f>BH74+BH90</f>
        <v>22349.452378818765</v>
      </c>
      <c r="BI106" s="9">
        <f>BI74+BI90</f>
        <v>11174.726189409615</v>
      </c>
      <c r="BJ106" s="9">
        <f>BJ74+BJ90</f>
        <v>0</v>
      </c>
      <c r="BK106" s="23">
        <f t="shared" ref="BK106:BK111" si="27">BJ106</f>
        <v>0</v>
      </c>
      <c r="BL106" s="24"/>
      <c r="BM106" s="24"/>
    </row>
    <row r="107" spans="2:65" ht="15" customHeight="1" x14ac:dyDescent="0.25">
      <c r="B107" s="6">
        <v>6</v>
      </c>
      <c r="C107" s="9">
        <f>C75+C91</f>
        <v>483831.2602285262</v>
      </c>
      <c r="D107" s="9">
        <f>D75+D91</f>
        <v>475630.73039414437</v>
      </c>
      <c r="E107" s="9">
        <f>E75+E91</f>
        <v>467430.20055976254</v>
      </c>
      <c r="F107" s="9">
        <f>F75+F91</f>
        <v>459229.67072538077</v>
      </c>
      <c r="G107" s="9">
        <f>G75+G91</f>
        <v>451029.140890999</v>
      </c>
      <c r="H107" s="9">
        <f>H75+H91</f>
        <v>442828.61105661717</v>
      </c>
      <c r="I107" s="9">
        <f>I75+I91</f>
        <v>434628.08122223534</v>
      </c>
      <c r="J107" s="9">
        <f>J75+J91</f>
        <v>426427.55138785357</v>
      </c>
      <c r="K107" s="9">
        <f>K75+K91</f>
        <v>418227.0215534718</v>
      </c>
      <c r="L107" s="9">
        <f>L75+L91</f>
        <v>410026.49171908997</v>
      </c>
      <c r="M107" s="9">
        <f>M75+M91</f>
        <v>401825.96188470814</v>
      </c>
      <c r="N107" s="9">
        <f>N75+N91</f>
        <v>393625.43205032637</v>
      </c>
      <c r="O107" s="9">
        <f>O75+O91</f>
        <v>385424.9022159446</v>
      </c>
      <c r="P107" s="9">
        <f>P75+P91</f>
        <v>377224.37238156277</v>
      </c>
      <c r="Q107" s="9">
        <f>Q75+Q91</f>
        <v>369023.84254718095</v>
      </c>
      <c r="R107" s="9">
        <f>R75+R91</f>
        <v>360823.31271279918</v>
      </c>
      <c r="S107" s="9">
        <f>S75+S91</f>
        <v>352622.78287841741</v>
      </c>
      <c r="T107" s="9">
        <f>T75+T91</f>
        <v>344422.25304403558</v>
      </c>
      <c r="U107" s="9">
        <f>U75+U91</f>
        <v>336221.72320965375</v>
      </c>
      <c r="V107" s="9">
        <f>V75+V91</f>
        <v>328021.19337527198</v>
      </c>
      <c r="W107" s="9">
        <f>W75+W91</f>
        <v>319820.66354089021</v>
      </c>
      <c r="X107" s="9">
        <f>X75+X91</f>
        <v>311620.13370650838</v>
      </c>
      <c r="Y107" s="9">
        <f>Y75+Y91</f>
        <v>303419.60387212655</v>
      </c>
      <c r="Z107" s="9">
        <f>Z75+Z91</f>
        <v>295219.07403774478</v>
      </c>
      <c r="AA107" s="9">
        <f>AA75+AA91</f>
        <v>287018.54420336301</v>
      </c>
      <c r="AB107" s="9">
        <f>AB75+AB91</f>
        <v>278818.01436898118</v>
      </c>
      <c r="AC107" s="9">
        <f>AC75+AC91</f>
        <v>270617.48453459935</v>
      </c>
      <c r="AD107" s="9">
        <f>AD75+AD91</f>
        <v>262416.95470021758</v>
      </c>
      <c r="AE107" s="9">
        <f>AE75+AE91</f>
        <v>254216.42486583578</v>
      </c>
      <c r="AF107" s="9">
        <f>AF75+AF91</f>
        <v>246015.89503145398</v>
      </c>
      <c r="AG107" s="9">
        <f>AG75+AG91</f>
        <v>237815.36519707218</v>
      </c>
      <c r="AH107" s="9">
        <f>AH75+AH91</f>
        <v>229614.83536269038</v>
      </c>
      <c r="AI107" s="9">
        <f>AI75+AI91</f>
        <v>221414.30552830861</v>
      </c>
      <c r="AJ107" s="9">
        <f>AJ75+AJ91</f>
        <v>213213.77569392684</v>
      </c>
      <c r="AK107" s="9">
        <f>AK75+AK91</f>
        <v>205013.24585954507</v>
      </c>
      <c r="AL107" s="9">
        <f>AL75+AL91</f>
        <v>196812.7160251633</v>
      </c>
      <c r="AM107" s="9">
        <f>AM75+AM91</f>
        <v>188612.18619078153</v>
      </c>
      <c r="AN107" s="9">
        <f>AN75+AN91</f>
        <v>180411.65635639976</v>
      </c>
      <c r="AO107" s="9">
        <f>AO75+AO91</f>
        <v>172211.12652201799</v>
      </c>
      <c r="AP107" s="9">
        <f>AP75+AP91</f>
        <v>164010.59668763622</v>
      </c>
      <c r="AQ107" s="9">
        <f>AQ75+AQ91</f>
        <v>155810.06685325445</v>
      </c>
      <c r="AR107" s="9">
        <f>AR75+AR91</f>
        <v>147609.53701887268</v>
      </c>
      <c r="AS107" s="9">
        <f>AS75+AS91</f>
        <v>139409.00718449091</v>
      </c>
      <c r="AT107" s="9">
        <f>AT75+AT91</f>
        <v>131208.47735010914</v>
      </c>
      <c r="AU107" s="9">
        <f>AU75+AU91</f>
        <v>123007.94751572737</v>
      </c>
      <c r="AV107" s="9">
        <f>AV75+AV91</f>
        <v>114807.4176813456</v>
      </c>
      <c r="AW107" s="9">
        <f>AW75+AW91</f>
        <v>106606.88784696383</v>
      </c>
      <c r="AX107" s="9">
        <f>AX75+AX91</f>
        <v>98406.358012582059</v>
      </c>
      <c r="AY107" s="9">
        <f>AY75+AY91</f>
        <v>90205.828178200289</v>
      </c>
      <c r="AZ107" s="9">
        <f>AZ75+AZ91</f>
        <v>82005.298343818518</v>
      </c>
      <c r="BA107" s="9">
        <f>BA75+BA91</f>
        <v>73804.768509436748</v>
      </c>
      <c r="BB107" s="9">
        <f>BB75+BB91</f>
        <v>65604.238675054978</v>
      </c>
      <c r="BC107" s="9">
        <f>BC75+BC91</f>
        <v>57403.708840673207</v>
      </c>
      <c r="BD107" s="9">
        <f>BD75+BD91</f>
        <v>49203.179006291437</v>
      </c>
      <c r="BE107" s="9">
        <f>BE75+BE91</f>
        <v>41002.649171909667</v>
      </c>
      <c r="BF107" s="9">
        <f>BF75+BF91</f>
        <v>32802.119337527896</v>
      </c>
      <c r="BG107" s="9">
        <f>BG75+BG91</f>
        <v>24601.589503146126</v>
      </c>
      <c r="BH107" s="9">
        <f>BH75+BH91</f>
        <v>16401.059668764356</v>
      </c>
      <c r="BI107" s="9">
        <f>BI75+BI91</f>
        <v>8200.5298343825852</v>
      </c>
      <c r="BJ107" s="9">
        <f>BJ75+BJ91</f>
        <v>8.149072527885437E-10</v>
      </c>
      <c r="BK107" s="23">
        <f t="shared" si="27"/>
        <v>8.149072527885437E-10</v>
      </c>
      <c r="BL107" s="24"/>
      <c r="BM107" s="24"/>
    </row>
    <row r="108" spans="2:65" ht="15" customHeight="1" x14ac:dyDescent="0.25">
      <c r="B108" s="6">
        <v>7</v>
      </c>
      <c r="C108" s="9">
        <f>C76+C92</f>
        <v>177506.22754715325</v>
      </c>
      <c r="D108" s="9">
        <f>D76+D92</f>
        <v>174497.64741923538</v>
      </c>
      <c r="E108" s="9">
        <f>E76+E92</f>
        <v>171489.06729131754</v>
      </c>
      <c r="F108" s="9">
        <f>F76+F92</f>
        <v>168480.4871633997</v>
      </c>
      <c r="G108" s="9">
        <f>G76+G92</f>
        <v>165471.90703548183</v>
      </c>
      <c r="H108" s="9">
        <f>H76+H92</f>
        <v>162463.32690756398</v>
      </c>
      <c r="I108" s="9">
        <f>I76+I92</f>
        <v>159454.74677964614</v>
      </c>
      <c r="J108" s="9">
        <f>J76+J92</f>
        <v>156446.16665172827</v>
      </c>
      <c r="K108" s="9">
        <f>K76+K92</f>
        <v>153437.58652381043</v>
      </c>
      <c r="L108" s="9">
        <f>L76+L92</f>
        <v>150429.00639589256</v>
      </c>
      <c r="M108" s="9">
        <f>M76+M92</f>
        <v>147420.42626797472</v>
      </c>
      <c r="N108" s="9">
        <f>N76+N92</f>
        <v>144411.84614005688</v>
      </c>
      <c r="O108" s="9">
        <f>O76+O92</f>
        <v>141403.26601213904</v>
      </c>
      <c r="P108" s="9">
        <f>P76+P92</f>
        <v>138394.68588422117</v>
      </c>
      <c r="Q108" s="9">
        <f>Q76+Q92</f>
        <v>135386.10575630332</v>
      </c>
      <c r="R108" s="9">
        <f>R76+R92</f>
        <v>132377.52562838548</v>
      </c>
      <c r="S108" s="9">
        <f>S76+S92</f>
        <v>129368.94550046763</v>
      </c>
      <c r="T108" s="9">
        <f>T76+T92</f>
        <v>126360.36537254977</v>
      </c>
      <c r="U108" s="9">
        <f>U76+U92</f>
        <v>123351.78524463193</v>
      </c>
      <c r="V108" s="9">
        <f>V76+V92</f>
        <v>120343.20511671409</v>
      </c>
      <c r="W108" s="9">
        <f>W76+W92</f>
        <v>117334.62498879623</v>
      </c>
      <c r="X108" s="9">
        <f>X76+X92</f>
        <v>114326.04486087838</v>
      </c>
      <c r="Y108" s="9">
        <f>Y76+Y92</f>
        <v>111317.46473296052</v>
      </c>
      <c r="Z108" s="9">
        <f>Z76+Z92</f>
        <v>108308.88460504267</v>
      </c>
      <c r="AA108" s="9">
        <f>AA76+AA92</f>
        <v>105300.30447712481</v>
      </c>
      <c r="AB108" s="9">
        <f>AB76+AB92</f>
        <v>102291.72434920695</v>
      </c>
      <c r="AC108" s="9">
        <f>AC76+AC92</f>
        <v>99283.144221289098</v>
      </c>
      <c r="AD108" s="9">
        <f>AD76+AD92</f>
        <v>96274.564093371242</v>
      </c>
      <c r="AE108" s="9">
        <f>AE76+AE92</f>
        <v>93265.983965453386</v>
      </c>
      <c r="AF108" s="9">
        <f>AF76+AF92</f>
        <v>90257.40383753553</v>
      </c>
      <c r="AG108" s="9">
        <f>AG76+AG92</f>
        <v>87248.823709617674</v>
      </c>
      <c r="AH108" s="9">
        <f>AH76+AH92</f>
        <v>84240.243581699819</v>
      </c>
      <c r="AI108" s="9">
        <f>AI76+AI92</f>
        <v>81231.663453781963</v>
      </c>
      <c r="AJ108" s="9">
        <f>AJ76+AJ92</f>
        <v>78223.083325864107</v>
      </c>
      <c r="AK108" s="9">
        <f>AK76+AK92</f>
        <v>75214.503197946251</v>
      </c>
      <c r="AL108" s="9">
        <f>AL76+AL92</f>
        <v>72205.923070028395</v>
      </c>
      <c r="AM108" s="9">
        <f>AM76+AM92</f>
        <v>69197.342942110539</v>
      </c>
      <c r="AN108" s="9">
        <f>AN76+AN92</f>
        <v>66188.762814192683</v>
      </c>
      <c r="AO108" s="9">
        <f>AO76+AO92</f>
        <v>63180.182686274828</v>
      </c>
      <c r="AP108" s="9">
        <f>AP76+AP92</f>
        <v>60171.602558356972</v>
      </c>
      <c r="AQ108" s="9">
        <f>AQ76+AQ92</f>
        <v>57163.022430439116</v>
      </c>
      <c r="AR108" s="9">
        <f>AR76+AR92</f>
        <v>54154.44230252126</v>
      </c>
      <c r="AS108" s="9">
        <f>AS76+AS92</f>
        <v>51145.862174603404</v>
      </c>
      <c r="AT108" s="9">
        <f>AT76+AT92</f>
        <v>48137.282046685548</v>
      </c>
      <c r="AU108" s="9">
        <f>AU76+AU92</f>
        <v>45128.701918767707</v>
      </c>
      <c r="AV108" s="9">
        <f>AV76+AV92</f>
        <v>42120.121790849866</v>
      </c>
      <c r="AW108" s="9">
        <f>AW76+AW92</f>
        <v>39111.541662932024</v>
      </c>
      <c r="AX108" s="9">
        <f>AX76+AX92</f>
        <v>36102.961535014183</v>
      </c>
      <c r="AY108" s="9">
        <f>AY76+AY92</f>
        <v>33094.381407096342</v>
      </c>
      <c r="AZ108" s="9">
        <f>AZ76+AZ92</f>
        <v>30085.8012791785</v>
      </c>
      <c r="BA108" s="9">
        <f>BA76+BA92</f>
        <v>27077.221151260659</v>
      </c>
      <c r="BB108" s="9">
        <f>BB76+BB92</f>
        <v>24068.641023342818</v>
      </c>
      <c r="BC108" s="9">
        <f>BC76+BC92</f>
        <v>21060.060895424976</v>
      </c>
      <c r="BD108" s="9">
        <f>BD76+BD92</f>
        <v>18051.480767507135</v>
      </c>
      <c r="BE108" s="9">
        <f>BE76+BE92</f>
        <v>15042.900639589294</v>
      </c>
      <c r="BF108" s="9">
        <f>BF76+BF92</f>
        <v>12034.320511671453</v>
      </c>
      <c r="BG108" s="9">
        <f>BG76+BG92</f>
        <v>9025.7403837536112</v>
      </c>
      <c r="BH108" s="9">
        <f>BH76+BH92</f>
        <v>6017.1602558357699</v>
      </c>
      <c r="BI108" s="9">
        <f>BI76+BI92</f>
        <v>3008.5801279179286</v>
      </c>
      <c r="BJ108" s="9">
        <f>BJ76+BJ92</f>
        <v>0</v>
      </c>
      <c r="BK108" s="23">
        <f t="shared" si="27"/>
        <v>0</v>
      </c>
      <c r="BL108" s="24"/>
      <c r="BM108" s="24"/>
    </row>
    <row r="109" spans="2:65" ht="15" customHeight="1" x14ac:dyDescent="0.25">
      <c r="B109" s="6"/>
      <c r="C109" s="9">
        <f>C77+C93</f>
        <v>0</v>
      </c>
      <c r="D109" s="9">
        <f>D77+D93</f>
        <v>0</v>
      </c>
      <c r="E109" s="9">
        <f>E77+E93</f>
        <v>0</v>
      </c>
      <c r="F109" s="9">
        <f>F77+F93</f>
        <v>0</v>
      </c>
      <c r="G109" s="9">
        <f>G77+G93</f>
        <v>0</v>
      </c>
      <c r="H109" s="9">
        <f>H77+H93</f>
        <v>0</v>
      </c>
      <c r="I109" s="9">
        <f>I77+I93</f>
        <v>0</v>
      </c>
      <c r="J109" s="9">
        <f>J77+J93</f>
        <v>0</v>
      </c>
      <c r="K109" s="9">
        <f>K77+K93</f>
        <v>0</v>
      </c>
      <c r="L109" s="9">
        <f>L77+L93</f>
        <v>0</v>
      </c>
      <c r="M109" s="9">
        <f>M77+M93</f>
        <v>0</v>
      </c>
      <c r="N109" s="9">
        <f>N77+N93</f>
        <v>0</v>
      </c>
      <c r="O109" s="9">
        <f>O77+O93</f>
        <v>0</v>
      </c>
      <c r="P109" s="9">
        <f>P77+P93</f>
        <v>0</v>
      </c>
      <c r="Q109" s="9">
        <f>Q77+Q93</f>
        <v>0</v>
      </c>
      <c r="R109" s="9">
        <f>R77+R93</f>
        <v>0</v>
      </c>
      <c r="S109" s="9">
        <f>S77+S93</f>
        <v>0</v>
      </c>
      <c r="T109" s="9">
        <f>T77+T93</f>
        <v>0</v>
      </c>
      <c r="U109" s="9">
        <f>U77+U93</f>
        <v>0</v>
      </c>
      <c r="V109" s="9">
        <f>V77+V93</f>
        <v>0</v>
      </c>
      <c r="W109" s="9">
        <f>W77+W93</f>
        <v>0</v>
      </c>
      <c r="X109" s="9">
        <f>X77+X93</f>
        <v>0</v>
      </c>
      <c r="Y109" s="9">
        <f>Y77+Y93</f>
        <v>0</v>
      </c>
      <c r="Z109" s="9">
        <f>Z77+Z93</f>
        <v>0</v>
      </c>
      <c r="AA109" s="9">
        <f>AA77+AA93</f>
        <v>0</v>
      </c>
      <c r="AB109" s="9">
        <f>AB77+AB93</f>
        <v>0</v>
      </c>
      <c r="AC109" s="9">
        <f>AC77+AC93</f>
        <v>0</v>
      </c>
      <c r="AD109" s="9">
        <f>AD77+AD93</f>
        <v>0</v>
      </c>
      <c r="AE109" s="9">
        <f>AE77+AE93</f>
        <v>0</v>
      </c>
      <c r="AF109" s="9">
        <f>AF77+AF93</f>
        <v>0</v>
      </c>
      <c r="AG109" s="9">
        <f>AG77+AG93</f>
        <v>0</v>
      </c>
      <c r="AH109" s="9">
        <f>AH77+AH93</f>
        <v>0</v>
      </c>
      <c r="AI109" s="9">
        <f>AI77+AI93</f>
        <v>0</v>
      </c>
      <c r="AJ109" s="9">
        <f>AJ77+AJ93</f>
        <v>0</v>
      </c>
      <c r="AK109" s="9">
        <f>AK77+AK93</f>
        <v>0</v>
      </c>
      <c r="AL109" s="9">
        <f>AL77+AL93</f>
        <v>0</v>
      </c>
      <c r="AM109" s="9">
        <f>AM77+AM93</f>
        <v>0</v>
      </c>
      <c r="AN109" s="9">
        <f>AN77+AN93</f>
        <v>0</v>
      </c>
      <c r="AO109" s="9">
        <f>AO77+AO93</f>
        <v>0</v>
      </c>
      <c r="AP109" s="9">
        <f>AP77+AP93</f>
        <v>0</v>
      </c>
      <c r="AQ109" s="9">
        <f>AQ77+AQ93</f>
        <v>0</v>
      </c>
      <c r="AR109" s="9">
        <f>AR77+AR93</f>
        <v>0</v>
      </c>
      <c r="AS109" s="9">
        <f>AS77+AS93</f>
        <v>0</v>
      </c>
      <c r="AT109" s="9">
        <f>AT77+AT93</f>
        <v>0</v>
      </c>
      <c r="AU109" s="9">
        <f>AU77+AU93</f>
        <v>0</v>
      </c>
      <c r="AV109" s="9">
        <f>AV77+AV93</f>
        <v>0</v>
      </c>
      <c r="AW109" s="9">
        <f>AW77+AW93</f>
        <v>0</v>
      </c>
      <c r="AX109" s="9">
        <f>AX77+AX93</f>
        <v>0</v>
      </c>
      <c r="AY109" s="9">
        <f>AY77+AY93</f>
        <v>0</v>
      </c>
      <c r="AZ109" s="9">
        <f>AZ77+AZ93</f>
        <v>0</v>
      </c>
      <c r="BA109" s="9">
        <f>BA77+BA93</f>
        <v>0</v>
      </c>
      <c r="BB109" s="9">
        <f>BB77+BB93</f>
        <v>0</v>
      </c>
      <c r="BC109" s="9">
        <f>BC77+BC93</f>
        <v>0</v>
      </c>
      <c r="BD109" s="9">
        <f>BD77+BD93</f>
        <v>0</v>
      </c>
      <c r="BE109" s="9">
        <f>BE77+BE93</f>
        <v>0</v>
      </c>
      <c r="BF109" s="9">
        <f>BF77+BF93</f>
        <v>0</v>
      </c>
      <c r="BG109" s="9">
        <f>BG77+BG93</f>
        <v>0</v>
      </c>
      <c r="BH109" s="9">
        <f>BH77+BH93</f>
        <v>0</v>
      </c>
      <c r="BI109" s="9">
        <f>BI77+BI93</f>
        <v>0</v>
      </c>
      <c r="BJ109" s="9">
        <f>BJ77+BJ93</f>
        <v>0</v>
      </c>
      <c r="BK109" s="23">
        <f t="shared" si="27"/>
        <v>0</v>
      </c>
      <c r="BM109" s="24"/>
    </row>
    <row r="110" spans="2:65" ht="15" customHeight="1" x14ac:dyDescent="0.25">
      <c r="B110" s="6"/>
      <c r="C110" s="9">
        <f>C78+C94</f>
        <v>0</v>
      </c>
      <c r="D110" s="9">
        <f>D78+D94</f>
        <v>0</v>
      </c>
      <c r="E110" s="9">
        <f>E78+E94</f>
        <v>0</v>
      </c>
      <c r="F110" s="9">
        <f>F78+F94</f>
        <v>0</v>
      </c>
      <c r="G110" s="9">
        <f>G78+G94</f>
        <v>0</v>
      </c>
      <c r="H110" s="9">
        <f>H78+H94</f>
        <v>0</v>
      </c>
      <c r="I110" s="9">
        <f>I78+I94</f>
        <v>0</v>
      </c>
      <c r="J110" s="9">
        <f>J78+J94</f>
        <v>0</v>
      </c>
      <c r="K110" s="9">
        <f>K78+K94</f>
        <v>0</v>
      </c>
      <c r="L110" s="9">
        <f>L78+L94</f>
        <v>0</v>
      </c>
      <c r="M110" s="9">
        <f>M78+M94</f>
        <v>0</v>
      </c>
      <c r="N110" s="9">
        <f>N78+N94</f>
        <v>0</v>
      </c>
      <c r="O110" s="9">
        <f>O78+O94</f>
        <v>0</v>
      </c>
      <c r="P110" s="9">
        <f>P78+P94</f>
        <v>0</v>
      </c>
      <c r="Q110" s="9">
        <f>Q78+Q94</f>
        <v>0</v>
      </c>
      <c r="R110" s="9">
        <f>R78+R94</f>
        <v>0</v>
      </c>
      <c r="S110" s="9">
        <f>S78+S94</f>
        <v>0</v>
      </c>
      <c r="T110" s="9">
        <f>T78+T94</f>
        <v>0</v>
      </c>
      <c r="U110" s="9">
        <f>U78+U94</f>
        <v>0</v>
      </c>
      <c r="V110" s="9">
        <f>V78+V94</f>
        <v>0</v>
      </c>
      <c r="W110" s="9">
        <f>W78+W94</f>
        <v>0</v>
      </c>
      <c r="X110" s="9">
        <f>X78+X94</f>
        <v>0</v>
      </c>
      <c r="Y110" s="9">
        <f>Y78+Y94</f>
        <v>0</v>
      </c>
      <c r="Z110" s="9">
        <f>Z78+Z94</f>
        <v>0</v>
      </c>
      <c r="AA110" s="9">
        <f>AA78+AA94</f>
        <v>0</v>
      </c>
      <c r="AB110" s="9">
        <f>AB78+AB94</f>
        <v>0</v>
      </c>
      <c r="AC110" s="9">
        <f>AC78+AC94</f>
        <v>0</v>
      </c>
      <c r="AD110" s="9">
        <f>AD78+AD94</f>
        <v>0</v>
      </c>
      <c r="AE110" s="9">
        <f>AE78+AE94</f>
        <v>0</v>
      </c>
      <c r="AF110" s="9">
        <f>AF78+AF94</f>
        <v>0</v>
      </c>
      <c r="AG110" s="9">
        <f>AG78+AG94</f>
        <v>0</v>
      </c>
      <c r="AH110" s="9">
        <f>AH78+AH94</f>
        <v>0</v>
      </c>
      <c r="AI110" s="9">
        <f>AI78+AI94</f>
        <v>0</v>
      </c>
      <c r="AJ110" s="9">
        <f>AJ78+AJ94</f>
        <v>0</v>
      </c>
      <c r="AK110" s="9">
        <f>AK78+AK94</f>
        <v>0</v>
      </c>
      <c r="AL110" s="9">
        <f>AL78+AL94</f>
        <v>0</v>
      </c>
      <c r="AM110" s="9">
        <f>AM78+AM94</f>
        <v>0</v>
      </c>
      <c r="AN110" s="9">
        <f>AN78+AN94</f>
        <v>0</v>
      </c>
      <c r="AO110" s="9">
        <f>AO78+AO94</f>
        <v>0</v>
      </c>
      <c r="AP110" s="9">
        <f>AP78+AP94</f>
        <v>0</v>
      </c>
      <c r="AQ110" s="9">
        <f>AQ78+AQ94</f>
        <v>0</v>
      </c>
      <c r="AR110" s="9">
        <f>AR78+AR94</f>
        <v>0</v>
      </c>
      <c r="AS110" s="9">
        <f>AS78+AS94</f>
        <v>0</v>
      </c>
      <c r="AT110" s="9">
        <f>AT78+AT94</f>
        <v>0</v>
      </c>
      <c r="AU110" s="9">
        <f>AU78+AU94</f>
        <v>0</v>
      </c>
      <c r="AV110" s="9">
        <f>AV78+AV94</f>
        <v>0</v>
      </c>
      <c r="AW110" s="9">
        <f>AW78+AW94</f>
        <v>0</v>
      </c>
      <c r="AX110" s="9">
        <f>AX78+AX94</f>
        <v>0</v>
      </c>
      <c r="AY110" s="9">
        <f>AY78+AY94</f>
        <v>0</v>
      </c>
      <c r="AZ110" s="9">
        <f>AZ78+AZ94</f>
        <v>0</v>
      </c>
      <c r="BA110" s="9">
        <f>BA78+BA94</f>
        <v>0</v>
      </c>
      <c r="BB110" s="9">
        <f>BB78+BB94</f>
        <v>0</v>
      </c>
      <c r="BC110" s="9">
        <f>BC78+BC94</f>
        <v>0</v>
      </c>
      <c r="BD110" s="9">
        <f>BD78+BD94</f>
        <v>0</v>
      </c>
      <c r="BE110" s="9">
        <f>BE78+BE94</f>
        <v>0</v>
      </c>
      <c r="BF110" s="9">
        <f>BF78+BF94</f>
        <v>0</v>
      </c>
      <c r="BG110" s="9">
        <f>BG78+BG94</f>
        <v>0</v>
      </c>
      <c r="BH110" s="9">
        <f>BH78+BH94</f>
        <v>0</v>
      </c>
      <c r="BI110" s="9">
        <f>BI78+BI94</f>
        <v>0</v>
      </c>
      <c r="BJ110" s="9">
        <f>BJ78+BJ94</f>
        <v>0</v>
      </c>
      <c r="BK110" s="23">
        <f t="shared" si="27"/>
        <v>0</v>
      </c>
      <c r="BM110" s="24"/>
    </row>
    <row r="111" spans="2:65" ht="15" customHeight="1" x14ac:dyDescent="0.25">
      <c r="B111" s="6"/>
      <c r="C111" s="9">
        <f>C79+C95</f>
        <v>0</v>
      </c>
      <c r="D111" s="9">
        <f>D79+D95</f>
        <v>0</v>
      </c>
      <c r="E111" s="9">
        <f>E79+E95</f>
        <v>0</v>
      </c>
      <c r="F111" s="9">
        <f>F79+F95</f>
        <v>0</v>
      </c>
      <c r="G111" s="9">
        <f>G79+G95</f>
        <v>0</v>
      </c>
      <c r="H111" s="9">
        <f>H79+H95</f>
        <v>0</v>
      </c>
      <c r="I111" s="9">
        <f>I79+I95</f>
        <v>0</v>
      </c>
      <c r="J111" s="9">
        <f>J79+J95</f>
        <v>0</v>
      </c>
      <c r="K111" s="9">
        <f>K79+K95</f>
        <v>0</v>
      </c>
      <c r="L111" s="9">
        <f>L79+L95</f>
        <v>0</v>
      </c>
      <c r="M111" s="9">
        <f>M79+M95</f>
        <v>0</v>
      </c>
      <c r="N111" s="9">
        <f>N79+N95</f>
        <v>0</v>
      </c>
      <c r="O111" s="9">
        <f>O79+O95</f>
        <v>0</v>
      </c>
      <c r="P111" s="9">
        <f>P79+P95</f>
        <v>0</v>
      </c>
      <c r="Q111" s="9">
        <f>Q79+Q95</f>
        <v>0</v>
      </c>
      <c r="R111" s="9">
        <f>R79+R95</f>
        <v>0</v>
      </c>
      <c r="S111" s="9">
        <f>S79+S95</f>
        <v>0</v>
      </c>
      <c r="T111" s="9">
        <f>T79+T95</f>
        <v>0</v>
      </c>
      <c r="U111" s="9">
        <f>U79+U95</f>
        <v>0</v>
      </c>
      <c r="V111" s="9">
        <f>V79+V95</f>
        <v>0</v>
      </c>
      <c r="W111" s="9">
        <f>W79+W95</f>
        <v>0</v>
      </c>
      <c r="X111" s="9">
        <f>X79+X95</f>
        <v>0</v>
      </c>
      <c r="Y111" s="9">
        <f>Y79+Y95</f>
        <v>0</v>
      </c>
      <c r="Z111" s="9">
        <f>Z79+Z95</f>
        <v>0</v>
      </c>
      <c r="AA111" s="9">
        <f>AA79+AA95</f>
        <v>0</v>
      </c>
      <c r="AB111" s="9">
        <f>AB79+AB95</f>
        <v>0</v>
      </c>
      <c r="AC111" s="9">
        <f>AC79+AC95</f>
        <v>0</v>
      </c>
      <c r="AD111" s="9">
        <f>AD79+AD95</f>
        <v>0</v>
      </c>
      <c r="AE111" s="9">
        <f>AE79+AE95</f>
        <v>0</v>
      </c>
      <c r="AF111" s="9">
        <f>AF79+AF95</f>
        <v>0</v>
      </c>
      <c r="AG111" s="9">
        <f>AG79+AG95</f>
        <v>0</v>
      </c>
      <c r="AH111" s="9">
        <f>AH79+AH95</f>
        <v>0</v>
      </c>
      <c r="AI111" s="9">
        <f>AI79+AI95</f>
        <v>0</v>
      </c>
      <c r="AJ111" s="9">
        <f>AJ79+AJ95</f>
        <v>0</v>
      </c>
      <c r="AK111" s="9">
        <f>AK79+AK95</f>
        <v>0</v>
      </c>
      <c r="AL111" s="9">
        <f>AL79+AL95</f>
        <v>0</v>
      </c>
      <c r="AM111" s="9">
        <f>AM79+AM95</f>
        <v>0</v>
      </c>
      <c r="AN111" s="9">
        <f>AN79+AN95</f>
        <v>0</v>
      </c>
      <c r="AO111" s="9">
        <f>AO79+AO95</f>
        <v>0</v>
      </c>
      <c r="AP111" s="9">
        <f>AP79+AP95</f>
        <v>0</v>
      </c>
      <c r="AQ111" s="9">
        <f>AQ79+AQ95</f>
        <v>0</v>
      </c>
      <c r="AR111" s="9">
        <f>AR79+AR95</f>
        <v>0</v>
      </c>
      <c r="AS111" s="9">
        <f>AS79+AS95</f>
        <v>0</v>
      </c>
      <c r="AT111" s="9">
        <f>AT79+AT95</f>
        <v>0</v>
      </c>
      <c r="AU111" s="9">
        <f>AU79+AU95</f>
        <v>0</v>
      </c>
      <c r="AV111" s="9">
        <f>AV79+AV95</f>
        <v>0</v>
      </c>
      <c r="AW111" s="9">
        <f>AW79+AW95</f>
        <v>0</v>
      </c>
      <c r="AX111" s="9">
        <f>AX79+AX95</f>
        <v>0</v>
      </c>
      <c r="AY111" s="9">
        <f>AY79+AY95</f>
        <v>0</v>
      </c>
      <c r="AZ111" s="9">
        <f>AZ79+AZ95</f>
        <v>0</v>
      </c>
      <c r="BA111" s="9">
        <f>BA79+BA95</f>
        <v>0</v>
      </c>
      <c r="BB111" s="9">
        <f>BB79+BB95</f>
        <v>0</v>
      </c>
      <c r="BC111" s="9">
        <f>BC79+BC95</f>
        <v>0</v>
      </c>
      <c r="BD111" s="9">
        <f>BD79+BD95</f>
        <v>0</v>
      </c>
      <c r="BE111" s="9">
        <f>BE79+BE95</f>
        <v>0</v>
      </c>
      <c r="BF111" s="9">
        <f>BF79+BF95</f>
        <v>0</v>
      </c>
      <c r="BG111" s="9">
        <f>BG79+BG95</f>
        <v>0</v>
      </c>
      <c r="BH111" s="9">
        <f>BH79+BH95</f>
        <v>0</v>
      </c>
      <c r="BI111" s="9">
        <f>BI79+BI95</f>
        <v>0</v>
      </c>
      <c r="BJ111" s="9">
        <f>BJ79+BJ95</f>
        <v>0</v>
      </c>
      <c r="BK111" s="23">
        <f t="shared" si="27"/>
        <v>0</v>
      </c>
      <c r="BM111" s="24"/>
    </row>
    <row r="112" spans="2:65" ht="18" customHeight="1" x14ac:dyDescent="0.25">
      <c r="B112" s="25" t="s">
        <v>72</v>
      </c>
      <c r="C112" s="23">
        <f>SUM(C102:C111)</f>
        <v>2869514.9584622653</v>
      </c>
      <c r="D112" s="23">
        <f>SUM(D102:D111)</f>
        <v>2820879.1117086676</v>
      </c>
      <c r="E112" s="23">
        <f>SUM(E102:E111)</f>
        <v>2772243.2649550699</v>
      </c>
      <c r="F112" s="23">
        <f>SUM(F102:F111)</f>
        <v>2723607.4182014721</v>
      </c>
      <c r="G112" s="23">
        <f>SUM(G102:G111)</f>
        <v>2674971.5714478744</v>
      </c>
      <c r="H112" s="23">
        <f>SUM(H102:H111)</f>
        <v>2626335.7246942762</v>
      </c>
      <c r="I112" s="23">
        <f>SUM(I102:I111)</f>
        <v>2577699.877940679</v>
      </c>
      <c r="J112" s="23">
        <f>SUM(J102:J111)</f>
        <v>2529064.0311870808</v>
      </c>
      <c r="K112" s="23">
        <f>SUM(K102:K111)</f>
        <v>2480428.1844334835</v>
      </c>
      <c r="L112" s="23">
        <f>SUM(L102:L111)</f>
        <v>2431792.3376798858</v>
      </c>
      <c r="M112" s="23">
        <f>SUM(M102:M111)</f>
        <v>2383156.4909262876</v>
      </c>
      <c r="N112" s="23">
        <f>SUM(N102:N111)</f>
        <v>2334520.6441726903</v>
      </c>
      <c r="O112" s="23">
        <f>SUM(O102:O111)</f>
        <v>2285884.7974190926</v>
      </c>
      <c r="P112" s="23">
        <f>SUM(P102:P111)</f>
        <v>2237248.9506654944</v>
      </c>
      <c r="Q112" s="23">
        <f>SUM(Q102:Q111)</f>
        <v>2188613.1039118972</v>
      </c>
      <c r="R112" s="23">
        <f>SUM(R102:R111)</f>
        <v>2139977.2571582999</v>
      </c>
      <c r="S112" s="23">
        <f>SUM(S102:S111)</f>
        <v>2091341.4104047024</v>
      </c>
      <c r="T112" s="23">
        <f>SUM(T102:T111)</f>
        <v>2042705.5636511038</v>
      </c>
      <c r="U112" s="23">
        <f>SUM(U102:U111)</f>
        <v>1994069.7168975063</v>
      </c>
      <c r="V112" s="23">
        <f>SUM(V102:V111)</f>
        <v>1945433.8701439085</v>
      </c>
      <c r="W112" s="23">
        <f>SUM(W102:W111)</f>
        <v>1896798.023390311</v>
      </c>
      <c r="X112" s="23">
        <f>SUM(X102:X111)</f>
        <v>1848162.1766367131</v>
      </c>
      <c r="Y112" s="23">
        <f>SUM(Y102:Y111)</f>
        <v>1799526.3298831151</v>
      </c>
      <c r="Z112" s="23">
        <f>SUM(Z102:Z111)</f>
        <v>1750890.4831295176</v>
      </c>
      <c r="AA112" s="23">
        <f>SUM(AA102:AA111)</f>
        <v>1702254.6363759201</v>
      </c>
      <c r="AB112" s="23">
        <f>SUM(AB102:AB111)</f>
        <v>1653618.7896223222</v>
      </c>
      <c r="AC112" s="23">
        <f>SUM(AC102:AC111)</f>
        <v>1604982.9428687245</v>
      </c>
      <c r="AD112" s="23">
        <f>SUM(AD102:AD111)</f>
        <v>1556347.0961151265</v>
      </c>
      <c r="AE112" s="23">
        <f>SUM(AE102:AE111)</f>
        <v>1507711.249361529</v>
      </c>
      <c r="AF112" s="23">
        <f>SUM(AF102:AF111)</f>
        <v>1459075.4026079313</v>
      </c>
      <c r="AG112" s="23">
        <f>SUM(AG102:AG111)</f>
        <v>1410439.5558543336</v>
      </c>
      <c r="AH112" s="23">
        <f>SUM(AH102:AH111)</f>
        <v>1361803.7091007356</v>
      </c>
      <c r="AI112" s="23">
        <f>SUM(AI102:AI111)</f>
        <v>1313167.8623471381</v>
      </c>
      <c r="AJ112" s="23">
        <f>SUM(AJ102:AJ111)</f>
        <v>1264532.0155935402</v>
      </c>
      <c r="AK112" s="23">
        <f>SUM(AK102:AK111)</f>
        <v>1215896.1688399429</v>
      </c>
      <c r="AL112" s="23">
        <f>SUM(AL102:AL111)</f>
        <v>1167260.3220863449</v>
      </c>
      <c r="AM112" s="23">
        <f>SUM(AM102:AM111)</f>
        <v>1118624.4753327474</v>
      </c>
      <c r="AN112" s="23">
        <f>SUM(AN102:AN111)</f>
        <v>1069988.62857915</v>
      </c>
      <c r="AO112" s="23">
        <f>SUM(AO102:AO111)</f>
        <v>1021352.7818255523</v>
      </c>
      <c r="AP112" s="23">
        <f>SUM(AP102:AP111)</f>
        <v>972716.93507195462</v>
      </c>
      <c r="AQ112" s="23">
        <f>SUM(AQ102:AQ111)</f>
        <v>924081.08831835701</v>
      </c>
      <c r="AR112" s="23">
        <f>SUM(AR102:AR111)</f>
        <v>875445.24156475929</v>
      </c>
      <c r="AS112" s="23">
        <f>SUM(AS102:AS111)</f>
        <v>826809.39481116168</v>
      </c>
      <c r="AT112" s="23">
        <f>SUM(AT102:AT111)</f>
        <v>778173.54805756419</v>
      </c>
      <c r="AU112" s="23">
        <f>SUM(AU102:AU111)</f>
        <v>729537.70130396658</v>
      </c>
      <c r="AV112" s="23">
        <f>SUM(AV102:AV111)</f>
        <v>680901.85455036885</v>
      </c>
      <c r="AW112" s="23">
        <f>SUM(AW102:AW111)</f>
        <v>632266.00779677124</v>
      </c>
      <c r="AX112" s="23">
        <f>SUM(AX102:AX111)</f>
        <v>583630.16104317363</v>
      </c>
      <c r="AY112" s="23">
        <f>SUM(AY102:AY111)</f>
        <v>534994.31428957602</v>
      </c>
      <c r="AZ112" s="23">
        <f>SUM(AZ102:AZ111)</f>
        <v>486358.46753597842</v>
      </c>
      <c r="BA112" s="23">
        <f>SUM(BA102:BA111)</f>
        <v>437722.62078238081</v>
      </c>
      <c r="BB112" s="23">
        <f>SUM(BB102:BB111)</f>
        <v>389086.7740287832</v>
      </c>
      <c r="BC112" s="23">
        <f>SUM(BC102:BC111)</f>
        <v>340450.92727518565</v>
      </c>
      <c r="BD112" s="23">
        <f>SUM(BD102:BD111)</f>
        <v>291815.08052158798</v>
      </c>
      <c r="BE112" s="23">
        <f>SUM(BE102:BE111)</f>
        <v>243179.23376799037</v>
      </c>
      <c r="BF112" s="23">
        <f>SUM(BF102:BF111)</f>
        <v>194543.38701439276</v>
      </c>
      <c r="BG112" s="23">
        <f>SUM(BG102:BG111)</f>
        <v>145907.54026079515</v>
      </c>
      <c r="BH112" s="23">
        <f>SUM(BH102:BH111)</f>
        <v>97271.693507197546</v>
      </c>
      <c r="BI112" s="23">
        <f>SUM(BI102:BI111)</f>
        <v>48635.846753599944</v>
      </c>
      <c r="BJ112" s="23">
        <f>SUM(BJ102:BJ111)</f>
        <v>1.4333636499941349E-9</v>
      </c>
      <c r="BK112" s="23">
        <f>SUM(BK102:BK111)</f>
        <v>1.4333636499941349E-9</v>
      </c>
    </row>
    <row r="113" spans="2:65" s="32" customFormat="1" ht="15" customHeight="1" x14ac:dyDescent="0.25">
      <c r="B113" s="31"/>
      <c r="C113" s="30">
        <f>$BK$32-SUM($C48:C48)-C112</f>
        <v>0</v>
      </c>
      <c r="D113" s="30">
        <f>$BK$32-SUM($C48:D48)-D112</f>
        <v>0</v>
      </c>
      <c r="E113" s="30">
        <f>$BK$32-SUM($C48:E48)-E112</f>
        <v>0</v>
      </c>
      <c r="F113" s="30">
        <f>$BK$32-SUM($C48:F48)-F112</f>
        <v>0</v>
      </c>
      <c r="G113" s="30">
        <f>$BK$32-SUM($C48:G48)-G112</f>
        <v>0</v>
      </c>
      <c r="H113" s="30">
        <f>$BK$32-SUM($C48:H48)-H112</f>
        <v>0</v>
      </c>
      <c r="I113" s="30">
        <f>$BK$32-SUM($C48:I48)-I112</f>
        <v>0</v>
      </c>
      <c r="J113" s="30">
        <f>$BK$32-SUM($C48:J48)-J112</f>
        <v>0</v>
      </c>
      <c r="K113" s="30">
        <f>$BK$32-SUM($C48:K48)-K112</f>
        <v>0</v>
      </c>
      <c r="L113" s="30">
        <f>$BK$32-SUM($C48:L48)-L112</f>
        <v>0</v>
      </c>
      <c r="M113" s="30">
        <f>$BK$32-SUM($C48:M48)-M112</f>
        <v>0</v>
      </c>
      <c r="N113" s="30">
        <f>$BK$32-SUM($C48:N48)-N112</f>
        <v>0</v>
      </c>
      <c r="O113" s="30">
        <f>$BK$32-SUM($C48:O48)-O112</f>
        <v>0</v>
      </c>
      <c r="P113" s="30">
        <f>$BK$32-SUM($C48:P48)-P112</f>
        <v>0</v>
      </c>
      <c r="Q113" s="30">
        <f>$BK$32-SUM($C48:Q48)-Q112</f>
        <v>0</v>
      </c>
      <c r="R113" s="30">
        <f>$BK$32-SUM($C48:R48)-R112</f>
        <v>0</v>
      </c>
      <c r="S113" s="30">
        <f>$BK$32-SUM($C48:S48)-S112</f>
        <v>0</v>
      </c>
      <c r="T113" s="30">
        <f>$BK$32-SUM($C48:T48)-T112</f>
        <v>0</v>
      </c>
      <c r="U113" s="30">
        <f>$BK$32-SUM($C48:U48)-U112</f>
        <v>0</v>
      </c>
      <c r="V113" s="30">
        <f>$BK$32-SUM($C48:V48)-V112</f>
        <v>0</v>
      </c>
      <c r="W113" s="30">
        <f>$BK$32-SUM($C48:W48)-W112</f>
        <v>0</v>
      </c>
      <c r="X113" s="30">
        <f>$BK$32-SUM($C48:X48)-X112</f>
        <v>0</v>
      </c>
      <c r="Y113" s="30">
        <f>$BK$32-SUM($C48:Y48)-Y112</f>
        <v>0</v>
      </c>
      <c r="Z113" s="30">
        <f>$BK$32-SUM($C48:Z48)-Z112</f>
        <v>0</v>
      </c>
      <c r="AA113" s="30">
        <f>$BK$32-SUM($C48:AA48)-AA112</f>
        <v>0</v>
      </c>
      <c r="AB113" s="30">
        <f>$BK$32-SUM($C48:AB48)-AB112</f>
        <v>0</v>
      </c>
      <c r="AC113" s="30">
        <f>$BK$32-SUM($C48:AC48)-AC112</f>
        <v>0</v>
      </c>
      <c r="AD113" s="30">
        <f>$BK$32-SUM($C48:AD48)-AD112</f>
        <v>0</v>
      </c>
      <c r="AE113" s="30">
        <f>$BK$32-SUM($C48:AE48)-AE112</f>
        <v>0</v>
      </c>
      <c r="AF113" s="30">
        <f>$BK$32-SUM($C48:AF48)-AF112</f>
        <v>0</v>
      </c>
      <c r="AG113" s="30">
        <f>$BK$32-SUM($C48:AG48)-AG112</f>
        <v>0</v>
      </c>
      <c r="AH113" s="30">
        <f>$BK$32-SUM($C48:AH48)-AH112</f>
        <v>0</v>
      </c>
      <c r="AI113" s="30">
        <f>$BK$32-SUM($C48:AI48)-AI112</f>
        <v>0</v>
      </c>
      <c r="AJ113" s="30">
        <f>$BK$32-SUM($C48:AJ48)-AJ112</f>
        <v>0</v>
      </c>
      <c r="AK113" s="30">
        <f>$BK$32-SUM($C48:AK48)-AK112</f>
        <v>0</v>
      </c>
      <c r="AL113" s="30">
        <f>$BK$32-SUM($C48:AL48)-AL112</f>
        <v>0</v>
      </c>
      <c r="AM113" s="30">
        <f>$BK$32-SUM($C48:AM48)-AM112</f>
        <v>0</v>
      </c>
      <c r="AN113" s="30">
        <f>$BK$32-SUM($C48:AN48)-AN112</f>
        <v>0</v>
      </c>
      <c r="AO113" s="30">
        <f>$BK$32-SUM($C48:AO48)-AO112</f>
        <v>0</v>
      </c>
      <c r="AP113" s="30">
        <f>$BK$32-SUM($C48:AP48)-AP112</f>
        <v>0</v>
      </c>
      <c r="AQ113" s="30">
        <f>$BK$32-SUM($C48:AQ48)-AQ112</f>
        <v>0</v>
      </c>
      <c r="AR113" s="30">
        <f>$BK$32-SUM($C48:AR48)-AR112</f>
        <v>0</v>
      </c>
      <c r="AS113" s="30">
        <f>$BK$32-SUM($C48:AS48)-AS112</f>
        <v>0</v>
      </c>
      <c r="AT113" s="30">
        <f>$BK$32-SUM($C48:AT48)-AT112</f>
        <v>0</v>
      </c>
      <c r="AU113" s="30">
        <f>$BK$32-SUM($C48:AU48)-AU112</f>
        <v>0</v>
      </c>
      <c r="AV113" s="30">
        <f>$BK$32-SUM($C48:AV48)-AV112</f>
        <v>0</v>
      </c>
      <c r="AW113" s="30">
        <f>$BK$32-SUM($C48:AW48)-AW112</f>
        <v>0</v>
      </c>
      <c r="AX113" s="30">
        <f>$BK$32-SUM($C48:AX48)-AX112</f>
        <v>-9.3132257461547852E-10</v>
      </c>
      <c r="AY113" s="30">
        <f>$BK$32-SUM($C48:AY48)-AY112</f>
        <v>-1.0477378964424133E-9</v>
      </c>
      <c r="AZ113" s="30">
        <f>$BK$32-SUM($C48:AZ48)-AZ112</f>
        <v>-1.1641532182693481E-9</v>
      </c>
      <c r="BA113" s="30">
        <f>$BK$32-SUM($C48:BA48)-BA112</f>
        <v>-1.280568540096283E-9</v>
      </c>
      <c r="BB113" s="30">
        <f>$BK$32-SUM($C48:BB48)-BB112</f>
        <v>-1.3969838619232178E-9</v>
      </c>
      <c r="BC113" s="30">
        <f>$BK$32-SUM($C48:BC48)-BC112</f>
        <v>-1.57160684466362E-9</v>
      </c>
      <c r="BD113" s="30">
        <f>$BK$32-SUM($C48:BD48)-BD112</f>
        <v>-1.6298145055770874E-9</v>
      </c>
      <c r="BE113" s="30">
        <f>$BK$32-SUM($C48:BE48)-BE112</f>
        <v>-1.7462298274040222E-9</v>
      </c>
      <c r="BF113" s="30">
        <f>$BK$32-SUM($C48:BF48)-BF112</f>
        <v>-1.862645149230957E-9</v>
      </c>
      <c r="BG113" s="30">
        <f>$BK$32-SUM($C48:BG48)-BG112</f>
        <v>-1.9790604710578918E-9</v>
      </c>
      <c r="BH113" s="30">
        <f>$BK$32-SUM($C48:BH48)-BH112</f>
        <v>-2.0954757928848267E-9</v>
      </c>
      <c r="BI113" s="30">
        <f>$BK$32-SUM($C48:BI48)-BI112</f>
        <v>-2.2191670723259449E-9</v>
      </c>
      <c r="BJ113" s="30">
        <f>$BK$32-SUM($C48:BJ48)-BJ112</f>
        <v>-1.4333636499941349E-9</v>
      </c>
      <c r="BK113" s="30"/>
    </row>
    <row r="114" spans="2:65" ht="15" customHeight="1" x14ac:dyDescent="0.25"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</row>
    <row r="115" spans="2:65" ht="15" customHeight="1" x14ac:dyDescent="0.25">
      <c r="B115" s="28" t="s">
        <v>79</v>
      </c>
      <c r="C115" s="29"/>
      <c r="D115" s="29"/>
      <c r="E115" s="29"/>
      <c r="F115" s="29"/>
      <c r="G115" s="29"/>
      <c r="H115" s="29"/>
      <c r="I115" s="29"/>
    </row>
    <row r="116" spans="2:65" ht="6" customHeight="1" x14ac:dyDescent="0.25"/>
    <row r="117" spans="2:65" ht="33" customHeight="1" x14ac:dyDescent="0.25">
      <c r="B117" s="5" t="s">
        <v>53</v>
      </c>
      <c r="C117" s="16">
        <v>43466</v>
      </c>
      <c r="D117" s="16">
        <v>43497</v>
      </c>
      <c r="E117" s="16">
        <v>43525</v>
      </c>
      <c r="F117" s="16">
        <v>43556</v>
      </c>
      <c r="G117" s="16">
        <v>43586</v>
      </c>
      <c r="H117" s="16">
        <v>43617</v>
      </c>
      <c r="I117" s="16">
        <v>43647</v>
      </c>
      <c r="J117" s="16">
        <v>43678</v>
      </c>
      <c r="K117" s="16">
        <v>43709</v>
      </c>
      <c r="L117" s="16">
        <v>43739</v>
      </c>
      <c r="M117" s="16">
        <v>43770</v>
      </c>
      <c r="N117" s="16">
        <v>43800</v>
      </c>
      <c r="O117" s="16">
        <v>43831</v>
      </c>
      <c r="P117" s="16">
        <v>43862</v>
      </c>
      <c r="Q117" s="16">
        <v>43891</v>
      </c>
      <c r="R117" s="16">
        <v>43922</v>
      </c>
      <c r="S117" s="16">
        <v>43952</v>
      </c>
      <c r="T117" s="16">
        <v>43983</v>
      </c>
      <c r="U117" s="16">
        <v>44013</v>
      </c>
      <c r="V117" s="16">
        <v>44044</v>
      </c>
      <c r="W117" s="16">
        <v>44075</v>
      </c>
      <c r="X117" s="16">
        <v>44105</v>
      </c>
      <c r="Y117" s="16">
        <v>44136</v>
      </c>
      <c r="Z117" s="16">
        <v>44166</v>
      </c>
      <c r="AA117" s="16">
        <v>44197</v>
      </c>
      <c r="AB117" s="16">
        <v>44228</v>
      </c>
      <c r="AC117" s="16">
        <v>44256</v>
      </c>
      <c r="AD117" s="16">
        <v>44287</v>
      </c>
      <c r="AE117" s="16">
        <v>44317</v>
      </c>
      <c r="AF117" s="16">
        <v>44348</v>
      </c>
      <c r="AG117" s="16">
        <v>44378</v>
      </c>
      <c r="AH117" s="16">
        <v>44409</v>
      </c>
      <c r="AI117" s="16">
        <v>44440</v>
      </c>
      <c r="AJ117" s="16">
        <v>44470</v>
      </c>
      <c r="AK117" s="16">
        <v>44501</v>
      </c>
      <c r="AL117" s="16">
        <v>44531</v>
      </c>
      <c r="AM117" s="16">
        <v>44562</v>
      </c>
      <c r="AN117" s="16">
        <v>44593</v>
      </c>
      <c r="AO117" s="16">
        <v>44621</v>
      </c>
      <c r="AP117" s="16">
        <v>44652</v>
      </c>
      <c r="AQ117" s="16">
        <v>44682</v>
      </c>
      <c r="AR117" s="16">
        <v>44713</v>
      </c>
      <c r="AS117" s="16">
        <v>44743</v>
      </c>
      <c r="AT117" s="16">
        <v>44774</v>
      </c>
      <c r="AU117" s="16">
        <v>44805</v>
      </c>
      <c r="AV117" s="16">
        <v>44835</v>
      </c>
      <c r="AW117" s="16">
        <v>44866</v>
      </c>
      <c r="AX117" s="16">
        <v>44896</v>
      </c>
      <c r="AY117" s="16">
        <v>44927</v>
      </c>
      <c r="AZ117" s="16">
        <v>44958</v>
      </c>
      <c r="BA117" s="16">
        <v>44986</v>
      </c>
      <c r="BB117" s="16">
        <v>45017</v>
      </c>
      <c r="BC117" s="16">
        <v>45047</v>
      </c>
      <c r="BD117" s="16">
        <v>45078</v>
      </c>
      <c r="BE117" s="16">
        <v>45108</v>
      </c>
      <c r="BF117" s="16">
        <v>45139</v>
      </c>
      <c r="BG117" s="16">
        <v>45170</v>
      </c>
      <c r="BH117" s="16">
        <v>45200</v>
      </c>
      <c r="BI117" s="16">
        <v>45231</v>
      </c>
      <c r="BJ117" s="16">
        <v>45261</v>
      </c>
      <c r="BK117" s="16" t="s">
        <v>72</v>
      </c>
    </row>
    <row r="118" spans="2:65" ht="15" customHeight="1" x14ac:dyDescent="0.25">
      <c r="B118" s="6">
        <v>1</v>
      </c>
      <c r="C118" s="9">
        <f>SUM(D5:O5)-SUM(D54:O54)</f>
        <v>69777.340087516786</v>
      </c>
      <c r="D118" s="9">
        <f>SUM(E5:P5)-SUM(E54:P54)</f>
        <v>70827.751365890668</v>
      </c>
      <c r="E118" s="9">
        <f>SUM(F5:Q5)-SUM(F54:Q54)</f>
        <v>71886.846867920482</v>
      </c>
      <c r="F118" s="9">
        <f>SUM(G5:R5)-SUM(G54:R54)</f>
        <v>72954.698389998783</v>
      </c>
      <c r="G118" s="9">
        <f>SUM(H5:S5)-SUM(H54:S54)</f>
        <v>74031.378322091303</v>
      </c>
      <c r="H118" s="9">
        <f>SUM(I5:T5)-SUM(I54:T54)</f>
        <v>75116.959652644233</v>
      </c>
      <c r="I118" s="9">
        <f>SUM(J5:U5)-SUM(J54:U54)</f>
        <v>76211.515973532194</v>
      </c>
      <c r="J118" s="9">
        <f>SUM(K5:V5)-SUM(K54:V54)</f>
        <v>77315.121485047013</v>
      </c>
      <c r="K118" s="9">
        <f>SUM(L5:W5)-SUM(L54:W54)</f>
        <v>78427.851000927723</v>
      </c>
      <c r="L118" s="9">
        <f>SUM(M5:X5)-SUM(M54:X54)</f>
        <v>79549.779953432371</v>
      </c>
      <c r="M118" s="9">
        <f>SUM(N5:Y5)-SUM(N54:Y54)</f>
        <v>80680.984398451415</v>
      </c>
      <c r="N118" s="9">
        <f>SUM(O5:Z5)-SUM(O54:Z54)</f>
        <v>81821.541020663688</v>
      </c>
      <c r="O118" s="9">
        <f>SUM(P5:AA5)-SUM(P54:AA54)</f>
        <v>82995.031455098506</v>
      </c>
      <c r="P118" s="9">
        <f>SUM(Q5:AB5)-SUM(Q54:AB54)</f>
        <v>84178.223664067293</v>
      </c>
      <c r="Q118" s="9">
        <f>SUM(R5:AC5)-SUM(R54:AC54)</f>
        <v>85371.197856514525</v>
      </c>
      <c r="R118" s="9">
        <f>SUM(S5:AD5)-SUM(S54:AD54)</f>
        <v>86574.034904508197</v>
      </c>
      <c r="S118" s="9">
        <f>SUM(T5:AE5)-SUM(T54:AE54)</f>
        <v>87786.816348722146</v>
      </c>
      <c r="T118" s="9">
        <f>SUM(U5:AF5)-SUM(U54:AF54)</f>
        <v>89009.624403963739</v>
      </c>
      <c r="U118" s="9">
        <f>SUM(V5:AG5)-SUM(V54:AG54)</f>
        <v>90242.541964747215</v>
      </c>
      <c r="V118" s="9">
        <f>SUM(W5:AH5)-SUM(W54:AH54)</f>
        <v>91485.652610913123</v>
      </c>
      <c r="W118" s="9">
        <f>SUM(X5:AI5)-SUM(X54:AI54)</f>
        <v>92739.040613294288</v>
      </c>
      <c r="X118" s="9">
        <f>SUM(Y5:AJ5)-SUM(Y54:AJ54)</f>
        <v>94002.790939428465</v>
      </c>
      <c r="Y118" s="9">
        <f>SUM(Z5:AK5)-SUM(Z54:AK54)</f>
        <v>95276.989259318361</v>
      </c>
      <c r="Z118" s="9">
        <f>SUM(AA5:AL5)-SUM(AA54:AL54)</f>
        <v>96561.721951239218</v>
      </c>
      <c r="AA118" s="9">
        <f>SUM(AB5:AM5)-SUM(AB54:AM54)</f>
        <v>97881.74709185792</v>
      </c>
      <c r="AB118" s="9">
        <f>SUM(AC5:AN5)-SUM(AC54:AN54)</f>
        <v>99212.685475497303</v>
      </c>
      <c r="AC118" s="9">
        <f>SUM(AD5:AO5)-SUM(AD54:AO54)</f>
        <v>100554.62732685807</v>
      </c>
      <c r="AD118" s="9">
        <f>SUM(AE5:AP5)-SUM(AE54:AP54)</f>
        <v>101907.66361656922</v>
      </c>
      <c r="AE118" s="9">
        <f>SUM(AF5:AQ5)-SUM(AF54:AQ54)</f>
        <v>103271.88606735491</v>
      </c>
      <c r="AF118" s="9">
        <f>SUM(AG5:AR5)-SUM(AG54:AR54)</f>
        <v>104647.38716025249</v>
      </c>
      <c r="AG118" s="9">
        <f>SUM(AH5:AS5)-SUM(AH54:AS54)</f>
        <v>106034.26014088168</v>
      </c>
      <c r="AH118" s="9">
        <f>SUM(AI5:AT5)-SUM(AI54:AT54)</f>
        <v>107432.59902576581</v>
      </c>
      <c r="AI118" s="9">
        <f>SUM(AJ5:AU5)-SUM(AJ54:AU54)</f>
        <v>108842.49860870517</v>
      </c>
      <c r="AJ118" s="9">
        <f>SUM(AK5:AV5)-SUM(AK54:AV54)</f>
        <v>110264.05446720318</v>
      </c>
      <c r="AK118" s="9">
        <f>SUM(AL5:AW5)-SUM(AL54:AW54)</f>
        <v>111697.36296894556</v>
      </c>
      <c r="AL118" s="9">
        <f>SUM(AM5:AX5)-SUM(AM54:AX54)</f>
        <v>113142.52127833306</v>
      </c>
      <c r="AM118" s="9">
        <f>SUM(AN5:AY5)-SUM(AN54:AY54)</f>
        <v>114625.52292433949</v>
      </c>
      <c r="AN118" s="9">
        <f>SUM(AO5:AZ5)-SUM(AO54:AZ54)</f>
        <v>116120.78521362079</v>
      </c>
      <c r="AO118" s="9">
        <f>SUM(AP5:BA5)-SUM(AP54:BA54)</f>
        <v>117628.40951044306</v>
      </c>
      <c r="AP118" s="9">
        <f>SUM(AQ5:BB5)-SUM(AQ54:BB54)</f>
        <v>119148.49801709648</v>
      </c>
      <c r="AQ118" s="9">
        <f>SUM(AR5:BC5)-SUM(AR54:BC54)</f>
        <v>120681.15378082375</v>
      </c>
      <c r="AR118" s="9">
        <f>SUM(AS5:BD5)-SUM(AS54:BD54)</f>
        <v>122226.48070080551</v>
      </c>
      <c r="AS118" s="9">
        <f>SUM(AT5:BE5)-SUM(AT54:BE54)</f>
        <v>123784.58353520377</v>
      </c>
      <c r="AT118" s="9">
        <f>SUM(AU5:BF5)-SUM(AU54:BF54)</f>
        <v>125355.56790826349</v>
      </c>
      <c r="AU118" s="9">
        <f>SUM(AV5:BG5)-SUM(AV54:BG54)</f>
        <v>126939.54031747294</v>
      </c>
      <c r="AV118" s="9">
        <f>SUM(AW5:BH5)-SUM(AW54:BH54)</f>
        <v>128536.60814078315</v>
      </c>
      <c r="AW118" s="9">
        <f>SUM(AX5:BI5)-SUM(AX54:BI54)</f>
        <v>130146.87964388698</v>
      </c>
      <c r="AX118" s="9">
        <f>SUM(AY5:$BJ5)-SUM(AY54:$BJ54)</f>
        <v>131770.4639875587</v>
      </c>
      <c r="AY118" s="9">
        <f>SUM(AZ5:$BJ5)-SUM(AZ54:$BJ54)</f>
        <v>121279.9971636619</v>
      </c>
      <c r="AZ118" s="9">
        <f>SUM(BA5:$BJ5)-SUM(BA54:$BJ54)</f>
        <v>110702.80092050871</v>
      </c>
      <c r="BA118" s="9">
        <f>SUM(BB5:$BJ5)-SUM(BB54:$BJ54)</f>
        <v>100038.15822688495</v>
      </c>
      <c r="BB118" s="9">
        <f>SUM(BC5:$BJ5)-SUM(BC54:$BJ54)</f>
        <v>89285.346123555995</v>
      </c>
      <c r="BC118" s="9">
        <f>SUM(BD5:$BJ5)-SUM(BD54:$BJ54)</f>
        <v>78443.635674257341</v>
      </c>
      <c r="BD118" s="9">
        <f>SUM(BE5:$BJ5)-SUM(BE54:$BJ54)</f>
        <v>67512.291916279661</v>
      </c>
      <c r="BE118" s="9">
        <f>SUM(BF5:$BJ5)-SUM(BF54:$BJ54)</f>
        <v>56490.573810645546</v>
      </c>
      <c r="BF118" s="9">
        <f>SUM(BG5:$BJ5)-SUM(BG54:$BJ54)</f>
        <v>45377.734191874239</v>
      </c>
      <c r="BG118" s="9">
        <f>SUM(BH5:$BJ5)-SUM(BH54:$BJ54)</f>
        <v>34173.019717331052</v>
      </c>
      <c r="BH118" s="9">
        <f>SUM(BI5:$BJ5)-SUM(BI54:$BJ54)</f>
        <v>22875.670816158065</v>
      </c>
      <c r="BI118" s="9">
        <f>SUM(BJ5:$BJ5)-SUM(BJ54:$BJ54)</f>
        <v>11484.921637782607</v>
      </c>
      <c r="BJ118" s="9">
        <v>0</v>
      </c>
      <c r="BK118" s="23">
        <f t="shared" ref="BK118:BK127" si="28">BJ118</f>
        <v>0</v>
      </c>
      <c r="BL118" s="24"/>
      <c r="BM118" s="24"/>
    </row>
    <row r="119" spans="2:65" ht="15" customHeight="1" x14ac:dyDescent="0.25">
      <c r="B119" s="6">
        <v>2</v>
      </c>
      <c r="C119" s="9">
        <f>SUM(D6:O6)-SUM(D55:O55)</f>
        <v>14628.373183965787</v>
      </c>
      <c r="D119" s="9">
        <f>SUM(E6:P6)-SUM(E55:P55)</f>
        <v>14848.585192010627</v>
      </c>
      <c r="E119" s="9">
        <f>SUM(F6:Q6)-SUM(F55:Q55)</f>
        <v>15070.617792016876</v>
      </c>
      <c r="F119" s="9">
        <f>SUM(G6:R6)-SUM(G55:R55)</f>
        <v>15294.48603563916</v>
      </c>
      <c r="G119" s="9">
        <f>SUM(H6:S6)-SUM(H55:S55)</f>
        <v>15520.205098970922</v>
      </c>
      <c r="H119" s="9">
        <f>SUM(I6:T6)-SUM(I55:T55)</f>
        <v>15747.790283573215</v>
      </c>
      <c r="I119" s="9">
        <f>SUM(J6:U6)-SUM(J55:U55)</f>
        <v>15977.257017511989</v>
      </c>
      <c r="J119" s="9">
        <f>SUM(K6:V6)-SUM(K55:V55)</f>
        <v>16208.620856403983</v>
      </c>
      <c r="K119" s="9">
        <f>SUM(L6:W6)-SUM(L55:W55)</f>
        <v>16441.897484471221</v>
      </c>
      <c r="L119" s="9">
        <f>SUM(M6:X6)-SUM(M55:X55)</f>
        <v>16677.102715604269</v>
      </c>
      <c r="M119" s="9">
        <f>SUM(N6:Y6)-SUM(N55:Y55)</f>
        <v>16914.252494434259</v>
      </c>
      <c r="N119" s="9">
        <f>SUM(O6:Z6)-SUM(O55:Z55)</f>
        <v>17153.362897413768</v>
      </c>
      <c r="O119" s="9">
        <f>SUM(P6:AA6)-SUM(P55:AA55)</f>
        <v>17399.377663542662</v>
      </c>
      <c r="P119" s="9">
        <f>SUM(Q6:AB6)-SUM(Q55:AB55)</f>
        <v>17647.426344668194</v>
      </c>
      <c r="Q119" s="9">
        <f>SUM(R6:AC6)-SUM(R55:AC55)</f>
        <v>17897.525756082709</v>
      </c>
      <c r="R119" s="9">
        <f>SUM(S6:AD6)-SUM(S55:AD55)</f>
        <v>18149.692852098153</v>
      </c>
      <c r="S119" s="9">
        <f>SUM(T6:AE6)-SUM(T55:AE55)</f>
        <v>18403.944727195412</v>
      </c>
      <c r="T119" s="9">
        <f>SUM(U6:AF6)-SUM(U55:AF55)</f>
        <v>18660.298617183165</v>
      </c>
      <c r="U119" s="9">
        <f>SUM(V6:AG6)-SUM(V55:AG55)</f>
        <v>18918.771900366286</v>
      </c>
      <c r="V119" s="9">
        <f>SUM(W6:AH6)-SUM(W55:AH55)</f>
        <v>19179.38209872392</v>
      </c>
      <c r="W119" s="9">
        <f>SUM(X6:AI6)-SUM(X55:AI55)</f>
        <v>19442.14687909733</v>
      </c>
      <c r="X119" s="9">
        <f>SUM(Y6:AJ6)-SUM(Y55:AJ55)</f>
        <v>19707.084054387513</v>
      </c>
      <c r="Y119" s="9">
        <f>SUM(Z6:AK6)-SUM(Z55:AK55)</f>
        <v>19974.21158476275</v>
      </c>
      <c r="Z119" s="9">
        <f>SUM(AA6:AL6)-SUM(AA55:AL55)</f>
        <v>20243.54757887614</v>
      </c>
      <c r="AA119" s="9">
        <f>SUM(AB6:AM6)-SUM(AB55:AM55)</f>
        <v>20520.282409194526</v>
      </c>
      <c r="AB119" s="9">
        <f>SUM(AC6:AN6)-SUM(AC55:AN55)</f>
        <v>20799.305131131507</v>
      </c>
      <c r="AC119" s="9">
        <f>SUM(AD6:AO6)-SUM(AD55:AO55)</f>
        <v>21080.634659718671</v>
      </c>
      <c r="AD119" s="9">
        <f>SUM(AE6:AP6)-SUM(AE55:AP55)</f>
        <v>21364.290066366717</v>
      </c>
      <c r="AE119" s="9">
        <f>SUM(AF6:AQ6)-SUM(AF55:AQ55)</f>
        <v>21650.290580158271</v>
      </c>
      <c r="AF119" s="9">
        <f>SUM(AG6:AR6)-SUM(AG55:AR55)</f>
        <v>21938.655589151476</v>
      </c>
      <c r="AG119" s="9">
        <f>SUM(AH6:AS6)-SUM(AH55:AS55)</f>
        <v>22229.404641694284</v>
      </c>
      <c r="AH119" s="9">
        <f>SUM(AI6:AT6)-SUM(AI55:AT55)</f>
        <v>22522.557447749656</v>
      </c>
      <c r="AI119" s="9">
        <f>SUM(AJ6:AU6)-SUM(AJ55:AU55)</f>
        <v>22818.133880231704</v>
      </c>
      <c r="AJ119" s="9">
        <f>SUM(AK6:AV6)-SUM(AK55:AV55)</f>
        <v>23116.153976352878</v>
      </c>
      <c r="AK119" s="9">
        <f>SUM(AL6:AW6)-SUM(AL55:AW55)</f>
        <v>23416.637938982305</v>
      </c>
      <c r="AL119" s="9">
        <f>SUM(AM6:AX6)-SUM(AM55:AX55)</f>
        <v>23719.606138015333</v>
      </c>
      <c r="AM119" s="9">
        <f>SUM(AN6:AY6)-SUM(AN55:AY55)</f>
        <v>24030.5079505953</v>
      </c>
      <c r="AN119" s="9">
        <f>SUM(AO6:AZ6)-SUM(AO55:AZ55)</f>
        <v>24343.980128641688</v>
      </c>
      <c r="AO119" s="9">
        <f>SUM(AP6:BA6)-SUM(AP55:BA55)</f>
        <v>24660.043922524761</v>
      </c>
      <c r="AP119" s="9">
        <f>SUM(AQ6:BB6)-SUM(AQ55:BB55)</f>
        <v>24978.720758301162</v>
      </c>
      <c r="AQ119" s="9">
        <f>SUM(AR6:BC6)-SUM(AR55:BC55)</f>
        <v>25300.032239166416</v>
      </c>
      <c r="AR119" s="9">
        <f>SUM(AS6:BD6)-SUM(AS55:BD55)</f>
        <v>25624.000146919399</v>
      </c>
      <c r="AS119" s="9">
        <f>SUM(AT6:BE6)-SUM(AT55:BE55)</f>
        <v>25950.646443438949</v>
      </c>
      <c r="AT119" s="9">
        <f>SUM(AU6:BF6)-SUM(AU55:BF55)</f>
        <v>26279.993272172644</v>
      </c>
      <c r="AU119" s="9">
        <f>SUM(AV6:BG6)-SUM(AV55:BG55)</f>
        <v>26612.062959637937</v>
      </c>
      <c r="AV119" s="9">
        <f>SUM(AW6:BH6)-SUM(AW55:BH55)</f>
        <v>26946.878016935672</v>
      </c>
      <c r="AW119" s="9">
        <f>SUM(AX6:BI6)-SUM(AX55:BI55)</f>
        <v>27284.461141276101</v>
      </c>
      <c r="AX119" s="9">
        <f>SUM(AY6:$BJ6)-SUM(AY55:$BJ55)</f>
        <v>27624.835217517553</v>
      </c>
      <c r="AY119" s="9">
        <f>SUM(AZ6:$BJ6)-SUM(AZ55:$BJ55)</f>
        <v>25425.575925295998</v>
      </c>
      <c r="AZ119" s="9">
        <f>SUM(BA6:$BJ6)-SUM(BA55:$BJ55)</f>
        <v>23208.13436488653</v>
      </c>
      <c r="BA119" s="9">
        <f>SUM(BB6:$BJ6)-SUM(BB55:$BJ55)</f>
        <v>20972.360215279867</v>
      </c>
      <c r="BB119" s="9">
        <f>SUM(BC6:$BJ6)-SUM(BC55:$BJ55)</f>
        <v>18718.10191269518</v>
      </c>
      <c r="BC119" s="9">
        <f>SUM(BD6:$BJ6)-SUM(BD55:$BJ55)</f>
        <v>16445.206640305525</v>
      </c>
      <c r="BD119" s="9">
        <f>SUM(BE6:$BJ6)-SUM(BE55:$BJ55)</f>
        <v>14153.520317878338</v>
      </c>
      <c r="BE119" s="9">
        <f>SUM(BF6:$BJ6)-SUM(BF55:$BJ55)</f>
        <v>11842.887591330305</v>
      </c>
      <c r="BF119" s="9">
        <f>SUM(BG6:$BJ6)-SUM(BG55:$BJ55)</f>
        <v>9513.1518221958595</v>
      </c>
      <c r="BG119" s="9">
        <f>SUM(BH6:$BJ6)-SUM(BH55:$BJ55)</f>
        <v>7164.1550770086069</v>
      </c>
      <c r="BH119" s="9">
        <f>SUM(BI6:$BJ6)-SUM(BI55:$BJ55)</f>
        <v>4795.7381165949828</v>
      </c>
      <c r="BI119" s="9">
        <f>SUM(BJ6:$BJ6)-SUM(BJ55:$BJ55)</f>
        <v>2407.7403852793727</v>
      </c>
      <c r="BJ119" s="9">
        <v>0</v>
      </c>
      <c r="BK119" s="23">
        <f t="shared" si="28"/>
        <v>0</v>
      </c>
      <c r="BL119" s="24"/>
      <c r="BM119" s="24"/>
    </row>
    <row r="120" spans="2:65" ht="15" customHeight="1" x14ac:dyDescent="0.25">
      <c r="B120" s="6">
        <v>3</v>
      </c>
      <c r="C120" s="9">
        <f>SUM(D7:O7)-SUM(D56:O56)</f>
        <v>131655.35865569202</v>
      </c>
      <c r="D120" s="9">
        <f>SUM(E7:P7)-SUM(E56:P56)</f>
        <v>133637.26672809559</v>
      </c>
      <c r="E120" s="9">
        <f>SUM(F7:Q7)-SUM(F56:Q56)</f>
        <v>135635.56012815179</v>
      </c>
      <c r="F120" s="9">
        <f>SUM(G7:R7)-SUM(G56:R56)</f>
        <v>137650.37432075234</v>
      </c>
      <c r="G120" s="9">
        <f>SUM(H7:S7)-SUM(H56:S56)</f>
        <v>139681.84589073822</v>
      </c>
      <c r="H120" s="9">
        <f>SUM(I7:T7)-SUM(I56:T56)</f>
        <v>141730.11255215883</v>
      </c>
      <c r="I120" s="9">
        <f>SUM(J7:U7)-SUM(J56:U56)</f>
        <v>143795.3131576078</v>
      </c>
      <c r="J120" s="9">
        <f>SUM(K7:V7)-SUM(K56:V56)</f>
        <v>145877.58770763574</v>
      </c>
      <c r="K120" s="9">
        <f>SUM(L7:W7)-SUM(L56:W56)</f>
        <v>147977.07736024086</v>
      </c>
      <c r="L120" s="9">
        <f>SUM(M7:X7)-SUM(M56:X56)</f>
        <v>150093.92444043834</v>
      </c>
      <c r="M120" s="9">
        <f>SUM(N7:Y7)-SUM(N56:Y56)</f>
        <v>152228.27244990823</v>
      </c>
      <c r="N120" s="9">
        <f>SUM(O7:Z7)-SUM(O56:Z56)</f>
        <v>154380.26607672381</v>
      </c>
      <c r="O120" s="9">
        <f>SUM(P7:AA7)-SUM(P56:AA56)</f>
        <v>156594.39897188387</v>
      </c>
      <c r="P120" s="9">
        <f>SUM(Q7:AB7)-SUM(Q56:AB56)</f>
        <v>158826.83710201367</v>
      </c>
      <c r="Q120" s="9">
        <f>SUM(R7:AC7)-SUM(R56:AC56)</f>
        <v>161077.73180474428</v>
      </c>
      <c r="R120" s="9">
        <f>SUM(S7:AD7)-SUM(S56:AD56)</f>
        <v>163347.23566888328</v>
      </c>
      <c r="S120" s="9">
        <f>SUM(T7:AE7)-SUM(T56:AE56)</f>
        <v>165635.50254475864</v>
      </c>
      <c r="T120" s="9">
        <f>SUM(U7:AF7)-SUM(U56:AF56)</f>
        <v>167942.68755464844</v>
      </c>
      <c r="U120" s="9">
        <f>SUM(V7:AG7)-SUM(V56:AG56)</f>
        <v>170268.94710329646</v>
      </c>
      <c r="V120" s="9">
        <f>SUM(W7:AH7)-SUM(W56:AH56)</f>
        <v>172614.43888851517</v>
      </c>
      <c r="W120" s="9">
        <f>SUM(X7:AI7)-SUM(X56:AI56)</f>
        <v>174979.32191187586</v>
      </c>
      <c r="X120" s="9">
        <f>SUM(Y7:AJ7)-SUM(Y56:AJ56)</f>
        <v>177363.75648948754</v>
      </c>
      <c r="Y120" s="9">
        <f>SUM(Z7:AK7)-SUM(Z56:AK56)</f>
        <v>179767.9042628647</v>
      </c>
      <c r="Z120" s="9">
        <f>SUM(AA7:AL7)-SUM(AA56:AL56)</f>
        <v>182191.9282098852</v>
      </c>
      <c r="AA120" s="9">
        <f>SUM(AB7:AM7)-SUM(AB56:AM56)</f>
        <v>184682.54168275069</v>
      </c>
      <c r="AB120" s="9">
        <f>SUM(AC7:AN7)-SUM(AC56:AN56)</f>
        <v>187193.74618018349</v>
      </c>
      <c r="AC120" s="9">
        <f>SUM(AD7:AO7)-SUM(AD56:AO56)</f>
        <v>189725.711937468</v>
      </c>
      <c r="AD120" s="9">
        <f>SUM(AE7:AP7)-SUM(AE56:AP56)</f>
        <v>192278.61059730037</v>
      </c>
      <c r="AE120" s="9">
        <f>SUM(AF7:AQ7)-SUM(AF56:AQ56)</f>
        <v>194852.61522142438</v>
      </c>
      <c r="AF120" s="9">
        <f>SUM(AG7:AR7)-SUM(AG56:AR56)</f>
        <v>197447.90030236318</v>
      </c>
      <c r="AG120" s="9">
        <f>SUM(AH7:AS7)-SUM(AH56:AS56)</f>
        <v>200064.64177524846</v>
      </c>
      <c r="AH120" s="9">
        <f>SUM(AI7:AT7)-SUM(AI56:AT56)</f>
        <v>202703.01702974678</v>
      </c>
      <c r="AI120" s="9">
        <f>SUM(AJ7:AU7)-SUM(AJ56:AU56)</f>
        <v>205363.20492208522</v>
      </c>
      <c r="AJ120" s="9">
        <f>SUM(AK7:AV7)-SUM(AK56:AV56)</f>
        <v>208045.38578717579</v>
      </c>
      <c r="AK120" s="9">
        <f>SUM(AL7:AW7)-SUM(AL56:AW56)</f>
        <v>210749.74145084061</v>
      </c>
      <c r="AL120" s="9">
        <f>SUM(AM7:AX7)-SUM(AM56:AX56)</f>
        <v>213476.45524213789</v>
      </c>
      <c r="AM120" s="9">
        <f>SUM(AN7:AY7)-SUM(AN56:AY56)</f>
        <v>216274.57155535757</v>
      </c>
      <c r="AN120" s="9">
        <f>SUM(AO7:AZ7)-SUM(AO56:AZ56)</f>
        <v>219095.82115777509</v>
      </c>
      <c r="AO120" s="9">
        <f>SUM(AP7:BA7)-SUM(AP56:BA56)</f>
        <v>221940.39530272275</v>
      </c>
      <c r="AP120" s="9">
        <f>SUM(AQ7:BB7)-SUM(AQ56:BB56)</f>
        <v>224808.48682471036</v>
      </c>
      <c r="AQ120" s="9">
        <f>SUM(AR7:BC7)-SUM(AR56:BC56)</f>
        <v>227700.29015249768</v>
      </c>
      <c r="AR120" s="9">
        <f>SUM(AS7:BD7)-SUM(AS56:BD56)</f>
        <v>230616.00132227453</v>
      </c>
      <c r="AS120" s="9">
        <f>SUM(AT7:BE7)-SUM(AT56:BE56)</f>
        <v>233555.81799095045</v>
      </c>
      <c r="AT120" s="9">
        <f>SUM(AU7:BF7)-SUM(AU56:BF56)</f>
        <v>236519.93944955373</v>
      </c>
      <c r="AU120" s="9">
        <f>SUM(AV7:BG7)-SUM(AV56:BG56)</f>
        <v>239508.56663674137</v>
      </c>
      <c r="AV120" s="9">
        <f>SUM(AW7:BH7)-SUM(AW56:BH56)</f>
        <v>242521.90215242095</v>
      </c>
      <c r="AW120" s="9">
        <f>SUM(AX7:BI7)-SUM(AX56:BI56)</f>
        <v>245560.1502714848</v>
      </c>
      <c r="AX120" s="9">
        <f>SUM(AY7:$BJ7)-SUM(AY56:$BJ56)</f>
        <v>248623.51695765794</v>
      </c>
      <c r="AY120" s="9">
        <f>SUM(AZ7:$BJ7)-SUM(AZ56:$BJ56)</f>
        <v>228830.18332766392</v>
      </c>
      <c r="AZ120" s="9">
        <f>SUM(BA7:$BJ7)-SUM(BA56:$BJ56)</f>
        <v>208873.20928397868</v>
      </c>
      <c r="BA120" s="9">
        <f>SUM(BB7:$BJ7)-SUM(BB56:$BJ56)</f>
        <v>188751.24193751873</v>
      </c>
      <c r="BB120" s="9">
        <f>SUM(BC7:$BJ7)-SUM(BC56:$BJ56)</f>
        <v>168462.91721425659</v>
      </c>
      <c r="BC120" s="9">
        <f>SUM(BD7:$BJ7)-SUM(BD56:$BJ56)</f>
        <v>148006.85976274969</v>
      </c>
      <c r="BD120" s="9">
        <f>SUM(BE7:$BJ7)-SUM(BE56:$BJ56)</f>
        <v>127381.68286090503</v>
      </c>
      <c r="BE120" s="9">
        <f>SUM(BF7:$BJ7)-SUM(BF56:$BJ56)</f>
        <v>106585.98832197272</v>
      </c>
      <c r="BF120" s="9">
        <f>SUM(BG7:$BJ7)-SUM(BG56:$BJ56)</f>
        <v>85618.366399762715</v>
      </c>
      <c r="BG120" s="9">
        <f>SUM(BH7:$BJ7)-SUM(BH56:$BJ56)</f>
        <v>64477.395693077451</v>
      </c>
      <c r="BH120" s="9">
        <f>SUM(BI7:$BJ7)-SUM(BI56:$BJ56)</f>
        <v>43161.64304935484</v>
      </c>
      <c r="BI120" s="9">
        <f>SUM(BJ7:$BJ7)-SUM(BJ56:$BJ56)</f>
        <v>21669.66346751435</v>
      </c>
      <c r="BJ120" s="9">
        <v>0</v>
      </c>
      <c r="BK120" s="23">
        <f t="shared" si="28"/>
        <v>0</v>
      </c>
      <c r="BL120" s="24"/>
      <c r="BM120" s="24"/>
    </row>
    <row r="121" spans="2:65" ht="15" customHeight="1" x14ac:dyDescent="0.25">
      <c r="B121" s="6">
        <v>4</v>
      </c>
      <c r="C121" s="9">
        <f>SUM(D8:O8)-SUM(D57:O57)</f>
        <v>7314.1865919828933</v>
      </c>
      <c r="D121" s="9">
        <f>SUM(E8:P8)-SUM(E57:P57)</f>
        <v>7424.2925960053135</v>
      </c>
      <c r="E121" s="9">
        <f>SUM(F8:Q8)-SUM(F57:Q57)</f>
        <v>7535.3088960084378</v>
      </c>
      <c r="F121" s="9">
        <f>SUM(G8:R8)-SUM(G57:R57)</f>
        <v>7647.24301781958</v>
      </c>
      <c r="G121" s="9">
        <f>SUM(H8:S8)-SUM(H57:S57)</f>
        <v>7760.1025494854612</v>
      </c>
      <c r="H121" s="9">
        <f>SUM(I8:T8)-SUM(I57:T57)</f>
        <v>7873.8951417866074</v>
      </c>
      <c r="I121" s="9">
        <f>SUM(J8:U8)-SUM(J57:U57)</f>
        <v>7988.6285087559945</v>
      </c>
      <c r="J121" s="9">
        <f>SUM(K8:V8)-SUM(K57:V57)</f>
        <v>8104.3104282019913</v>
      </c>
      <c r="K121" s="9">
        <f>SUM(L8:W8)-SUM(L57:W57)</f>
        <v>8220.9487422356106</v>
      </c>
      <c r="L121" s="9">
        <f>SUM(M8:X8)-SUM(M57:X57)</f>
        <v>8338.5513578021346</v>
      </c>
      <c r="M121" s="9">
        <f>SUM(N8:Y8)-SUM(N57:Y57)</f>
        <v>8457.1262472171293</v>
      </c>
      <c r="N121" s="9">
        <f>SUM(O8:Z8)-SUM(O57:Z57)</f>
        <v>8576.6814487068841</v>
      </c>
      <c r="O121" s="9">
        <f>SUM(P8:AA8)-SUM(P57:AA57)</f>
        <v>8699.688831771331</v>
      </c>
      <c r="P121" s="9">
        <f>SUM(Q8:AB8)-SUM(Q57:AB57)</f>
        <v>8823.7131723340972</v>
      </c>
      <c r="Q121" s="9">
        <f>SUM(R8:AC8)-SUM(R57:AC57)</f>
        <v>8948.7628780413543</v>
      </c>
      <c r="R121" s="9">
        <f>SUM(S8:AD8)-SUM(S57:AD57)</f>
        <v>9074.8464260490764</v>
      </c>
      <c r="S121" s="9">
        <f>SUM(T8:AE8)-SUM(T57:AE57)</f>
        <v>9201.9723635977061</v>
      </c>
      <c r="T121" s="9">
        <f>SUM(U8:AF8)-SUM(U57:AF57)</f>
        <v>9330.1493085915827</v>
      </c>
      <c r="U121" s="9">
        <f>SUM(V8:AG8)-SUM(V57:AG57)</f>
        <v>9459.385950183143</v>
      </c>
      <c r="V121" s="9">
        <f>SUM(W8:AH8)-SUM(W57:AH57)</f>
        <v>9589.6910493619598</v>
      </c>
      <c r="W121" s="9">
        <f>SUM(X8:AI8)-SUM(X57:AI57)</f>
        <v>9721.0734395486652</v>
      </c>
      <c r="X121" s="9">
        <f>SUM(Y8:AJ8)-SUM(Y57:AJ57)</f>
        <v>9853.5420271937564</v>
      </c>
      <c r="Y121" s="9">
        <f>SUM(Z8:AK8)-SUM(Z57:AK57)</f>
        <v>9987.1057923813751</v>
      </c>
      <c r="Z121" s="9">
        <f>SUM(AA8:AL8)-SUM(AA57:AL57)</f>
        <v>10121.77378943807</v>
      </c>
      <c r="AA121" s="9">
        <f>SUM(AB8:AM8)-SUM(AB57:AM57)</f>
        <v>10260.141204597263</v>
      </c>
      <c r="AB121" s="9">
        <f>SUM(AC8:AN8)-SUM(AC57:AN57)</f>
        <v>10399.652565565753</v>
      </c>
      <c r="AC121" s="9">
        <f>SUM(AD8:AO8)-SUM(AD57:AO57)</f>
        <v>10540.317329859336</v>
      </c>
      <c r="AD121" s="9">
        <f>SUM(AE8:AP8)-SUM(AE57:AP57)</f>
        <v>10682.145033183358</v>
      </c>
      <c r="AE121" s="9">
        <f>SUM(AF8:AQ8)-SUM(AF57:AQ57)</f>
        <v>10825.145290079136</v>
      </c>
      <c r="AF121" s="9">
        <f>SUM(AG8:AR8)-SUM(AG57:AR57)</f>
        <v>10969.327794575738</v>
      </c>
      <c r="AG121" s="9">
        <f>SUM(AH8:AS8)-SUM(AH57:AS57)</f>
        <v>11114.702320847142</v>
      </c>
      <c r="AH121" s="9">
        <f>SUM(AI8:AT8)-SUM(AI57:AT57)</f>
        <v>11261.278723874828</v>
      </c>
      <c r="AI121" s="9">
        <f>SUM(AJ8:AU8)-SUM(AJ57:AU57)</f>
        <v>11409.066940115852</v>
      </c>
      <c r="AJ121" s="9">
        <f>SUM(AK8:AV8)-SUM(AK57:AV57)</f>
        <v>11558.076988176439</v>
      </c>
      <c r="AK121" s="9">
        <f>SUM(AL8:AW8)-SUM(AL57:AW57)</f>
        <v>11708.318969491153</v>
      </c>
      <c r="AL121" s="9">
        <f>SUM(AM8:AX8)-SUM(AM57:AX57)</f>
        <v>11859.803069007667</v>
      </c>
      <c r="AM121" s="9">
        <f>SUM(AN8:AY8)-SUM(AN57:AY57)</f>
        <v>12015.25397529765</v>
      </c>
      <c r="AN121" s="9">
        <f>SUM(AO8:AZ8)-SUM(AO57:AZ57)</f>
        <v>12171.990064320844</v>
      </c>
      <c r="AO121" s="9">
        <f>SUM(AP8:BA8)-SUM(AP57:BA57)</f>
        <v>12330.021961262381</v>
      </c>
      <c r="AP121" s="9">
        <f>SUM(AQ8:BB8)-SUM(AQ57:BB57)</f>
        <v>12489.360379150581</v>
      </c>
      <c r="AQ121" s="9">
        <f>SUM(AR8:BC8)-SUM(AR57:BC57)</f>
        <v>12650.016119583208</v>
      </c>
      <c r="AR121" s="9">
        <f>SUM(AS8:BD8)-SUM(AS57:BD57)</f>
        <v>12812.0000734597</v>
      </c>
      <c r="AS121" s="9">
        <f>SUM(AT8:BE8)-SUM(AT57:BE57)</f>
        <v>12975.323221719475</v>
      </c>
      <c r="AT121" s="9">
        <f>SUM(AU8:BF8)-SUM(AU57:BF57)</f>
        <v>13139.996636086322</v>
      </c>
      <c r="AU121" s="9">
        <f>SUM(AV8:BG8)-SUM(AV57:BG57)</f>
        <v>13306.031479818968</v>
      </c>
      <c r="AV121" s="9">
        <f>SUM(AW8:BH8)-SUM(AW57:BH57)</f>
        <v>13473.439008467836</v>
      </c>
      <c r="AW121" s="9">
        <f>SUM(AX8:BI8)-SUM(AX57:BI57)</f>
        <v>13642.23057063805</v>
      </c>
      <c r="AX121" s="9">
        <f>SUM(AY8:$BJ8)-SUM(AY57:$BJ57)</f>
        <v>13812.417608758777</v>
      </c>
      <c r="AY121" s="9">
        <f>SUM(AZ8:$BJ8)-SUM(AZ57:$BJ57)</f>
        <v>12712.787962647999</v>
      </c>
      <c r="AZ121" s="9">
        <f>SUM(BA8:$BJ8)-SUM(BA57:$BJ57)</f>
        <v>11604.067182443265</v>
      </c>
      <c r="BA121" s="9">
        <f>SUM(BB8:$BJ8)-SUM(BB57:$BJ57)</f>
        <v>10486.180107639933</v>
      </c>
      <c r="BB121" s="9">
        <f>SUM(BC8:$BJ8)-SUM(BC57:$BJ57)</f>
        <v>9359.0509563475898</v>
      </c>
      <c r="BC121" s="9">
        <f>SUM(BD8:$BJ8)-SUM(BD57:$BJ57)</f>
        <v>8222.6033201527625</v>
      </c>
      <c r="BD121" s="9">
        <f>SUM(BE8:$BJ8)-SUM(BE57:$BJ57)</f>
        <v>7076.7601589391688</v>
      </c>
      <c r="BE121" s="9">
        <f>SUM(BF8:$BJ8)-SUM(BF57:$BJ57)</f>
        <v>5921.4437956651527</v>
      </c>
      <c r="BF121" s="9">
        <f>SUM(BG8:$BJ8)-SUM(BG57:$BJ57)</f>
        <v>4756.5759110979297</v>
      </c>
      <c r="BG121" s="9">
        <f>SUM(BH8:$BJ8)-SUM(BH57:$BJ57)</f>
        <v>3582.0775385043034</v>
      </c>
      <c r="BH121" s="9">
        <f>SUM(BI8:$BJ8)-SUM(BI57:$BJ57)</f>
        <v>2397.8690582974914</v>
      </c>
      <c r="BI121" s="9">
        <f>SUM(BJ8:$BJ8)-SUM(BJ57:$BJ57)</f>
        <v>1203.8701926396864</v>
      </c>
      <c r="BJ121" s="9">
        <v>0</v>
      </c>
      <c r="BK121" s="23">
        <f t="shared" si="28"/>
        <v>0</v>
      </c>
      <c r="BL121" s="24"/>
      <c r="BM121" s="24"/>
    </row>
    <row r="122" spans="2:65" ht="15" customHeight="1" x14ac:dyDescent="0.25">
      <c r="B122" s="6">
        <v>5</v>
      </c>
      <c r="C122" s="9">
        <f>SUM(D9:O9)-SUM(D58:O58)</f>
        <v>95084.42569577758</v>
      </c>
      <c r="D122" s="9">
        <f>SUM(E9:P9)-SUM(E58:P58)</f>
        <v>96515.803748069011</v>
      </c>
      <c r="E122" s="9">
        <f>SUM(F9:Q9)-SUM(F58:Q58)</f>
        <v>97959.015648109635</v>
      </c>
      <c r="F122" s="9">
        <f>SUM(G9:R9)-SUM(G58:R58)</f>
        <v>99414.159231654485</v>
      </c>
      <c r="G122" s="9">
        <f>SUM(H9:S9)-SUM(H58:S58)</f>
        <v>100881.33314331093</v>
      </c>
      <c r="H122" s="9">
        <f>SUM(I9:T9)-SUM(I58:T58)</f>
        <v>102360.63684322585</v>
      </c>
      <c r="I122" s="9">
        <f>SUM(J9:U9)-SUM(J58:U58)</f>
        <v>103852.17061382788</v>
      </c>
      <c r="J122" s="9">
        <f>SUM(K9:V9)-SUM(K58:V58)</f>
        <v>105356.03556662585</v>
      </c>
      <c r="K122" s="9">
        <f>SUM(L9:W9)-SUM(L58:W58)</f>
        <v>106872.3336490629</v>
      </c>
      <c r="L122" s="9">
        <f>SUM(M9:X9)-SUM(M58:X58)</f>
        <v>108401.16765142771</v>
      </c>
      <c r="M122" s="9">
        <f>SUM(N9:Y9)-SUM(N58:Y58)</f>
        <v>109942.64121382262</v>
      </c>
      <c r="N122" s="9">
        <f>SUM(O9:Z9)-SUM(O58:Z58)</f>
        <v>111496.85883318947</v>
      </c>
      <c r="O122" s="9">
        <f>SUM(P9:AA9)-SUM(P58:AA58)</f>
        <v>113095.95481302729</v>
      </c>
      <c r="P122" s="9">
        <f>SUM(Q9:AB9)-SUM(Q58:AB58)</f>
        <v>114708.27124034325</v>
      </c>
      <c r="Q122" s="9">
        <f>SUM(R9:AC9)-SUM(R58:AC58)</f>
        <v>116333.91741453759</v>
      </c>
      <c r="R122" s="9">
        <f>SUM(S9:AD9)-SUM(S58:AD58)</f>
        <v>117973.00353863795</v>
      </c>
      <c r="S122" s="9">
        <f>SUM(T9:AE9)-SUM(T58:AE58)</f>
        <v>119625.64072677016</v>
      </c>
      <c r="T122" s="9">
        <f>SUM(U9:AF9)-SUM(U58:AF58)</f>
        <v>121291.94101169053</v>
      </c>
      <c r="U122" s="9">
        <f>SUM(V9:AG9)-SUM(V58:AG58)</f>
        <v>122972.01735238079</v>
      </c>
      <c r="V122" s="9">
        <f>SUM(W9:AH9)-SUM(W58:AH58)</f>
        <v>124665.98364170545</v>
      </c>
      <c r="W122" s="9">
        <f>SUM(X9:AI9)-SUM(X58:AI58)</f>
        <v>126373.95471413262</v>
      </c>
      <c r="X122" s="9">
        <f>SUM(Y9:AJ9)-SUM(Y58:AJ58)</f>
        <v>128096.04635351879</v>
      </c>
      <c r="Y122" s="9">
        <f>SUM(Z9:AK9)-SUM(Z58:AK58)</f>
        <v>129832.37530095782</v>
      </c>
      <c r="Z122" s="9">
        <f>SUM(AA9:AL9)-SUM(AA58:AL58)</f>
        <v>131583.05926269485</v>
      </c>
      <c r="AA122" s="9">
        <f>SUM(AB9:AM9)-SUM(AB58:AM58)</f>
        <v>133381.83565976439</v>
      </c>
      <c r="AB122" s="9">
        <f>SUM(AC9:AN9)-SUM(AC58:AN58)</f>
        <v>135195.48335235479</v>
      </c>
      <c r="AC122" s="9">
        <f>SUM(AD9:AO9)-SUM(AD58:AO58)</f>
        <v>137024.12528817137</v>
      </c>
      <c r="AD122" s="9">
        <f>SUM(AE9:AP9)-SUM(AE58:AP58)</f>
        <v>138867.88543138365</v>
      </c>
      <c r="AE122" s="9">
        <f>SUM(AF9:AQ9)-SUM(AF58:AQ58)</f>
        <v>140726.88877102878</v>
      </c>
      <c r="AF122" s="9">
        <f>SUM(AG9:AR9)-SUM(AG58:AR58)</f>
        <v>142601.26132948458</v>
      </c>
      <c r="AG122" s="9">
        <f>SUM(AH9:AS9)-SUM(AH58:AS58)</f>
        <v>144491.13017101286</v>
      </c>
      <c r="AH122" s="9">
        <f>SUM(AI9:AT9)-SUM(AI58:AT58)</f>
        <v>146396.62341037279</v>
      </c>
      <c r="AI122" s="9">
        <f>SUM(AJ9:AU9)-SUM(AJ58:AU58)</f>
        <v>148317.87022150608</v>
      </c>
      <c r="AJ122" s="9">
        <f>SUM(AK9:AV9)-SUM(AK58:AV58)</f>
        <v>150255.0008462937</v>
      </c>
      <c r="AK122" s="9">
        <f>SUM(AL9:AW9)-SUM(AL58:AW58)</f>
        <v>152208.14660338499</v>
      </c>
      <c r="AL122" s="9">
        <f>SUM(AM9:AX9)-SUM(AM58:AX58)</f>
        <v>154177.43989709966</v>
      </c>
      <c r="AM122" s="9">
        <f>SUM(AN9:AY9)-SUM(AN58:AY58)</f>
        <v>156198.30167886941</v>
      </c>
      <c r="AN122" s="9">
        <f>SUM(AO9:AZ9)-SUM(AO58:AZ58)</f>
        <v>158235.87083617097</v>
      </c>
      <c r="AO122" s="9">
        <f>SUM(AP9:BA9)-SUM(AP58:BA58)</f>
        <v>160290.28549641091</v>
      </c>
      <c r="AP122" s="9">
        <f>SUM(AQ9:BB9)-SUM(AQ58:BB58)</f>
        <v>162361.68492895755</v>
      </c>
      <c r="AQ122" s="9">
        <f>SUM(AR9:BC9)-SUM(AR58:BC58)</f>
        <v>164450.2095545817</v>
      </c>
      <c r="AR122" s="9">
        <f>SUM(AS9:BD9)-SUM(AS58:BD58)</f>
        <v>166556.0009549761</v>
      </c>
      <c r="AS122" s="9">
        <f>SUM(AT9:BE9)-SUM(AT58:BE58)</f>
        <v>168679.20188235317</v>
      </c>
      <c r="AT122" s="9">
        <f>SUM(AU9:BF9)-SUM(AU58:BF58)</f>
        <v>170819.95626912219</v>
      </c>
      <c r="AU122" s="9">
        <f>SUM(AV9:BG9)-SUM(AV58:BG58)</f>
        <v>172978.40923764661</v>
      </c>
      <c r="AV122" s="9">
        <f>SUM(AW9:BH9)-SUM(AW58:BH58)</f>
        <v>175154.70711008186</v>
      </c>
      <c r="AW122" s="9">
        <f>SUM(AX9:BI9)-SUM(AX58:BI58)</f>
        <v>177348.99741829466</v>
      </c>
      <c r="AX122" s="9">
        <f>SUM(AY9:$BJ9)-SUM(AY58:$BJ58)</f>
        <v>179561.4289138641</v>
      </c>
      <c r="AY122" s="9">
        <f>SUM(AZ9:$BJ9)-SUM(AZ58:$BJ58)</f>
        <v>165266.24351442399</v>
      </c>
      <c r="AZ122" s="9">
        <f>SUM(BA9:$BJ9)-SUM(BA58:$BJ58)</f>
        <v>150852.8733717624</v>
      </c>
      <c r="BA122" s="9">
        <f>SUM(BB9:$BJ9)-SUM(BB58:$BJ58)</f>
        <v>136320.34139931909</v>
      </c>
      <c r="BB122" s="9">
        <f>SUM(BC9:$BJ9)-SUM(BC58:$BJ58)</f>
        <v>121667.66243251866</v>
      </c>
      <c r="BC122" s="9">
        <f>SUM(BD9:$BJ9)-SUM(BD58:$BJ58)</f>
        <v>106893.84316198589</v>
      </c>
      <c r="BD122" s="9">
        <f>SUM(BE9:$BJ9)-SUM(BE58:$BJ58)</f>
        <v>91997.882066209189</v>
      </c>
      <c r="BE122" s="9">
        <f>SUM(BF9:$BJ9)-SUM(BF58:$BJ58)</f>
        <v>76978.769343646971</v>
      </c>
      <c r="BF122" s="9">
        <f>SUM(BG9:$BJ9)-SUM(BG58:$BJ58)</f>
        <v>61835.486844273066</v>
      </c>
      <c r="BG122" s="9">
        <f>SUM(BH9:$BJ9)-SUM(BH58:$BJ58)</f>
        <v>46567.008000555936</v>
      </c>
      <c r="BH122" s="9">
        <f>SUM(BI9:$BJ9)-SUM(BI58:$BJ58)</f>
        <v>31172.297757867378</v>
      </c>
      <c r="BI122" s="9">
        <f>SUM(BJ9:$BJ9)-SUM(BJ58:$BJ58)</f>
        <v>15650.312504315918</v>
      </c>
      <c r="BJ122" s="9">
        <v>0</v>
      </c>
      <c r="BK122" s="23">
        <f t="shared" si="28"/>
        <v>0</v>
      </c>
      <c r="BL122" s="24"/>
      <c r="BM122" s="24"/>
    </row>
    <row r="123" spans="2:65" ht="15" customHeight="1" x14ac:dyDescent="0.25">
      <c r="B123" s="6">
        <v>6</v>
      </c>
      <c r="C123" s="9">
        <f>SUM(D10:O10)-SUM(D59:O59)</f>
        <v>69777.340087516786</v>
      </c>
      <c r="D123" s="9">
        <f>SUM(E10:P10)-SUM(E59:P59)</f>
        <v>70827.751365890668</v>
      </c>
      <c r="E123" s="9">
        <f>SUM(F10:Q10)-SUM(F59:Q59)</f>
        <v>71886.846867920482</v>
      </c>
      <c r="F123" s="9">
        <f>SUM(G10:R10)-SUM(G59:R59)</f>
        <v>72954.698389998783</v>
      </c>
      <c r="G123" s="9">
        <f>SUM(H10:S10)-SUM(H59:S59)</f>
        <v>74031.378322091303</v>
      </c>
      <c r="H123" s="9">
        <f>SUM(I10:T10)-SUM(I59:T59)</f>
        <v>75116.959652644233</v>
      </c>
      <c r="I123" s="9">
        <f>SUM(J10:U10)-SUM(J59:U59)</f>
        <v>76211.515973532194</v>
      </c>
      <c r="J123" s="9">
        <f>SUM(K10:V10)-SUM(K59:V59)</f>
        <v>77315.121485047013</v>
      </c>
      <c r="K123" s="9">
        <f>SUM(L10:W10)-SUM(L59:W59)</f>
        <v>78427.851000927723</v>
      </c>
      <c r="L123" s="9">
        <f>SUM(M10:X10)-SUM(M59:X59)</f>
        <v>79549.779953432371</v>
      </c>
      <c r="M123" s="9">
        <f>SUM(N10:Y10)-SUM(N59:Y59)</f>
        <v>80680.984398451415</v>
      </c>
      <c r="N123" s="9">
        <f>SUM(O10:Z10)-SUM(O59:Z59)</f>
        <v>81821.541020663688</v>
      </c>
      <c r="O123" s="9">
        <f>SUM(P10:AA10)-SUM(P59:AA59)</f>
        <v>82995.031455098506</v>
      </c>
      <c r="P123" s="9">
        <f>SUM(Q10:AB10)-SUM(Q59:AB59)</f>
        <v>84178.223664067293</v>
      </c>
      <c r="Q123" s="9">
        <f>SUM(R10:AC10)-SUM(R59:AC59)</f>
        <v>85371.197856514525</v>
      </c>
      <c r="R123" s="9">
        <f>SUM(S10:AD10)-SUM(S59:AD59)</f>
        <v>86574.034904508197</v>
      </c>
      <c r="S123" s="9">
        <f>SUM(T10:AE10)-SUM(T59:AE59)</f>
        <v>87786.816348722146</v>
      </c>
      <c r="T123" s="9">
        <f>SUM(U10:AF10)-SUM(U59:AF59)</f>
        <v>89009.624403963739</v>
      </c>
      <c r="U123" s="9">
        <f>SUM(V10:AG10)-SUM(V59:AG59)</f>
        <v>90242.541964747215</v>
      </c>
      <c r="V123" s="9">
        <f>SUM(W10:AH10)-SUM(W59:AH59)</f>
        <v>91485.652610913123</v>
      </c>
      <c r="W123" s="9">
        <f>SUM(X10:AI10)-SUM(X59:AI59)</f>
        <v>92739.040613294288</v>
      </c>
      <c r="X123" s="9">
        <f>SUM(Y10:AJ10)-SUM(Y59:AJ59)</f>
        <v>94002.790939428465</v>
      </c>
      <c r="Y123" s="9">
        <f>SUM(Z10:AK10)-SUM(Z59:AK59)</f>
        <v>95276.989259318361</v>
      </c>
      <c r="Z123" s="9">
        <f>SUM(AA10:AL10)-SUM(AA59:AL59)</f>
        <v>96561.721951239218</v>
      </c>
      <c r="AA123" s="9">
        <f>SUM(AB10:AM10)-SUM(AB59:AM59)</f>
        <v>97881.74709185792</v>
      </c>
      <c r="AB123" s="9">
        <f>SUM(AC10:AN10)-SUM(AC59:AN59)</f>
        <v>99212.685475497303</v>
      </c>
      <c r="AC123" s="9">
        <f>SUM(AD10:AO10)-SUM(AD59:AO59)</f>
        <v>100554.62732685807</v>
      </c>
      <c r="AD123" s="9">
        <f>SUM(AE10:AP10)-SUM(AE59:AP59)</f>
        <v>101907.66361656922</v>
      </c>
      <c r="AE123" s="9">
        <f>SUM(AF10:AQ10)-SUM(AF59:AQ59)</f>
        <v>103271.88606735491</v>
      </c>
      <c r="AF123" s="9">
        <f>SUM(AG10:AR10)-SUM(AG59:AR59)</f>
        <v>104647.38716025249</v>
      </c>
      <c r="AG123" s="9">
        <f>SUM(AH10:AS10)-SUM(AH59:AS59)</f>
        <v>106034.26014088168</v>
      </c>
      <c r="AH123" s="9">
        <f>SUM(AI10:AT10)-SUM(AI59:AT59)</f>
        <v>107432.59902576581</v>
      </c>
      <c r="AI123" s="9">
        <f>SUM(AJ10:AU10)-SUM(AJ59:AU59)</f>
        <v>108842.49860870517</v>
      </c>
      <c r="AJ123" s="9">
        <f>SUM(AK10:AV10)-SUM(AK59:AV59)</f>
        <v>110264.05446720318</v>
      </c>
      <c r="AK123" s="9">
        <f>SUM(AL10:AW10)-SUM(AL59:AW59)</f>
        <v>111697.36296894556</v>
      </c>
      <c r="AL123" s="9">
        <f>SUM(AM10:AX10)-SUM(AM59:AX59)</f>
        <v>113142.52127833306</v>
      </c>
      <c r="AM123" s="9">
        <f>SUM(AN10:AY10)-SUM(AN59:AY59)</f>
        <v>114625.52292433949</v>
      </c>
      <c r="AN123" s="9">
        <f>SUM(AO10:AZ10)-SUM(AO59:AZ59)</f>
        <v>116120.78521362079</v>
      </c>
      <c r="AO123" s="9">
        <f>SUM(AP10:BA10)-SUM(AP59:BA59)</f>
        <v>117628.40951044306</v>
      </c>
      <c r="AP123" s="9">
        <f>SUM(AQ10:BB10)-SUM(AQ59:BB59)</f>
        <v>119148.49801709648</v>
      </c>
      <c r="AQ123" s="9">
        <f>SUM(AR10:BC10)-SUM(AR59:BC59)</f>
        <v>120681.15378082375</v>
      </c>
      <c r="AR123" s="9">
        <f>SUM(AS10:BD10)-SUM(AS59:BD59)</f>
        <v>122226.48070080551</v>
      </c>
      <c r="AS123" s="9">
        <f>SUM(AT10:BE10)-SUM(AT59:BE59)</f>
        <v>123784.58353520377</v>
      </c>
      <c r="AT123" s="9">
        <f>SUM(AU10:BF10)-SUM(AU59:BF59)</f>
        <v>125355.56790826349</v>
      </c>
      <c r="AU123" s="9">
        <f>SUM(AV10:BG10)-SUM(AV59:BG59)</f>
        <v>126939.54031747294</v>
      </c>
      <c r="AV123" s="9">
        <f>SUM(AW10:BH10)-SUM(AW59:BH59)</f>
        <v>128536.60814078315</v>
      </c>
      <c r="AW123" s="9">
        <f>SUM(AX10:BI10)-SUM(AX59:BI59)</f>
        <v>130146.87964388698</v>
      </c>
      <c r="AX123" s="9">
        <f>SUM(AY10:$BJ10)-SUM(AY59:$BJ59)</f>
        <v>131770.4639875587</v>
      </c>
      <c r="AY123" s="9">
        <f>SUM(AZ10:$BJ10)-SUM(AZ59:$BJ59)</f>
        <v>121279.9971636619</v>
      </c>
      <c r="AZ123" s="9">
        <f>SUM(BA10:$BJ10)-SUM(BA59:$BJ59)</f>
        <v>110702.80092050871</v>
      </c>
      <c r="BA123" s="9">
        <f>SUM(BB10:$BJ10)-SUM(BB59:$BJ59)</f>
        <v>100038.15822688495</v>
      </c>
      <c r="BB123" s="9">
        <f>SUM(BC10:$BJ10)-SUM(BC59:$BJ59)</f>
        <v>89285.346123555995</v>
      </c>
      <c r="BC123" s="9">
        <f>SUM(BD10:$BJ10)-SUM(BD59:$BJ59)</f>
        <v>78443.635674257341</v>
      </c>
      <c r="BD123" s="9">
        <f>SUM(BE10:$BJ10)-SUM(BE59:$BJ59)</f>
        <v>67512.291916279661</v>
      </c>
      <c r="BE123" s="9">
        <f>SUM(BF10:$BJ10)-SUM(BF59:$BJ59)</f>
        <v>56490.573810645546</v>
      </c>
      <c r="BF123" s="9">
        <f>SUM(BG10:$BJ10)-SUM(BG59:$BJ59)</f>
        <v>45377.734191874239</v>
      </c>
      <c r="BG123" s="9">
        <f>SUM(BH10:$BJ10)-SUM(BH59:$BJ59)</f>
        <v>34173.019717331052</v>
      </c>
      <c r="BH123" s="9">
        <f>SUM(BI10:$BJ10)-SUM(BI59:$BJ59)</f>
        <v>22875.670816158065</v>
      </c>
      <c r="BI123" s="9">
        <f>SUM(BJ10:$BJ10)-SUM(BJ59:$BJ59)</f>
        <v>11484.921637782607</v>
      </c>
      <c r="BJ123" s="9">
        <v>0</v>
      </c>
      <c r="BK123" s="23">
        <f t="shared" si="28"/>
        <v>0</v>
      </c>
      <c r="BL123" s="24"/>
      <c r="BM123" s="24"/>
    </row>
    <row r="124" spans="2:65" ht="15" customHeight="1" x14ac:dyDescent="0.25">
      <c r="B124" s="6">
        <v>7</v>
      </c>
      <c r="C124" s="9">
        <f>SUM(D11:O11)-SUM(D60:O60)</f>
        <v>25599.653071940113</v>
      </c>
      <c r="D124" s="9">
        <f>SUM(E11:P11)-SUM(E60:P60)</f>
        <v>25985.02408601858</v>
      </c>
      <c r="E124" s="9">
        <f>SUM(F11:Q11)-SUM(F60:Q60)</f>
        <v>26373.581136029516</v>
      </c>
      <c r="F124" s="9">
        <f>SUM(G11:R11)-SUM(G60:R60)</f>
        <v>26765.350562368512</v>
      </c>
      <c r="G124" s="9">
        <f>SUM(H11:S11)-SUM(H60:S60)</f>
        <v>27160.358923199095</v>
      </c>
      <c r="H124" s="9">
        <f>SUM(I11:T11)-SUM(I60:T60)</f>
        <v>27558.632996253105</v>
      </c>
      <c r="I124" s="9">
        <f>SUM(J11:U11)-SUM(J60:U60)</f>
        <v>27960.199780645966</v>
      </c>
      <c r="J124" s="9">
        <f>SUM(K11:V11)-SUM(K60:V60)</f>
        <v>28365.086498706951</v>
      </c>
      <c r="K124" s="9">
        <f>SUM(L11:W11)-SUM(L60:W60)</f>
        <v>28773.320597824619</v>
      </c>
      <c r="L124" s="9">
        <f>SUM(M11:X11)-SUM(M60:X60)</f>
        <v>29184.929752307449</v>
      </c>
      <c r="M124" s="9">
        <f>SUM(N11:Y11)-SUM(N60:Y60)</f>
        <v>29599.941865259938</v>
      </c>
      <c r="N124" s="9">
        <f>SUM(O11:Z11)-SUM(O60:Z60)</f>
        <v>30018.385070474083</v>
      </c>
      <c r="O124" s="9">
        <f>SUM(P11:AA11)-SUM(P60:AA60)</f>
        <v>30448.910911199655</v>
      </c>
      <c r="P124" s="9">
        <f>SUM(Q11:AB11)-SUM(Q60:AB60)</f>
        <v>30882.996103169331</v>
      </c>
      <c r="Q124" s="9">
        <f>SUM(R11:AC11)-SUM(R60:AC60)</f>
        <v>31320.670073144742</v>
      </c>
      <c r="R124" s="9">
        <f>SUM(S11:AD11)-SUM(S60:AD60)</f>
        <v>31761.962491171769</v>
      </c>
      <c r="S124" s="9">
        <f>SUM(T11:AE11)-SUM(T60:AE60)</f>
        <v>32206.903272591975</v>
      </c>
      <c r="T124" s="9">
        <f>SUM(U11:AF11)-SUM(U60:AF60)</f>
        <v>32655.522580070545</v>
      </c>
      <c r="U124" s="9">
        <f>SUM(V11:AG11)-SUM(V60:AG60)</f>
        <v>33107.850825641013</v>
      </c>
      <c r="V124" s="9">
        <f>SUM(W11:AH11)-SUM(W60:AH60)</f>
        <v>33563.918672766871</v>
      </c>
      <c r="W124" s="9">
        <f>SUM(X11:AI11)-SUM(X60:AI60)</f>
        <v>34023.757038420335</v>
      </c>
      <c r="X124" s="9">
        <f>SUM(Y11:AJ11)-SUM(Y60:AJ60)</f>
        <v>34487.397095178152</v>
      </c>
      <c r="Y124" s="9">
        <f>SUM(Z11:AK11)-SUM(Z60:AK60)</f>
        <v>34954.870273334818</v>
      </c>
      <c r="Z124" s="9">
        <f>SUM(AA11:AL11)-SUM(AA60:AL60)</f>
        <v>35426.208263033259</v>
      </c>
      <c r="AA124" s="9">
        <f>SUM(AB11:AM11)-SUM(AB60:AM60)</f>
        <v>35910.494216090432</v>
      </c>
      <c r="AB124" s="9">
        <f>SUM(AC11:AN11)-SUM(AC60:AN60)</f>
        <v>36398.78397948014</v>
      </c>
      <c r="AC124" s="9">
        <f>SUM(AD11:AO11)-SUM(AD60:AO60)</f>
        <v>36891.110654507676</v>
      </c>
      <c r="AD124" s="9">
        <f>SUM(AE11:AP11)-SUM(AE60:AP60)</f>
        <v>37387.507616141738</v>
      </c>
      <c r="AE124" s="9">
        <f>SUM(AF11:AQ11)-SUM(AF60:AQ60)</f>
        <v>37888.008515276961</v>
      </c>
      <c r="AF124" s="9">
        <f>SUM(AG11:AR11)-SUM(AG60:AR60)</f>
        <v>38392.647281015074</v>
      </c>
      <c r="AG124" s="9">
        <f>SUM(AH11:AS11)-SUM(AH60:AS60)</f>
        <v>38901.458122964992</v>
      </c>
      <c r="AH124" s="9">
        <f>SUM(AI11:AT11)-SUM(AI60:AT60)</f>
        <v>39414.47553356189</v>
      </c>
      <c r="AI124" s="9">
        <f>SUM(AJ11:AU11)-SUM(AJ60:AU60)</f>
        <v>39931.734290405475</v>
      </c>
      <c r="AJ124" s="9">
        <f>SUM(AK11:AV11)-SUM(AK60:AV60)</f>
        <v>40453.269458617535</v>
      </c>
      <c r="AK124" s="9">
        <f>SUM(AL11:AW11)-SUM(AL60:AW60)</f>
        <v>40979.116393219025</v>
      </c>
      <c r="AL124" s="9">
        <f>SUM(AM11:AX11)-SUM(AM60:AX60)</f>
        <v>41509.310741526831</v>
      </c>
      <c r="AM124" s="9">
        <f>SUM(AN11:AY11)-SUM(AN60:AY60)</f>
        <v>42053.38891354177</v>
      </c>
      <c r="AN124" s="9">
        <f>SUM(AO11:AZ11)-SUM(AO60:AZ60)</f>
        <v>42601.965225122956</v>
      </c>
      <c r="AO124" s="9">
        <f>SUM(AP11:BA11)-SUM(AP60:BA60)</f>
        <v>43155.076864418341</v>
      </c>
      <c r="AP124" s="9">
        <f>SUM(AQ11:BB11)-SUM(AQ60:BB60)</f>
        <v>43712.761327027045</v>
      </c>
      <c r="AQ124" s="9">
        <f>SUM(AR11:BC11)-SUM(AR60:BC60)</f>
        <v>44275.056418541237</v>
      </c>
      <c r="AR124" s="9">
        <f>SUM(AS11:BD11)-SUM(AS60:BD60)</f>
        <v>44842.000257108972</v>
      </c>
      <c r="AS124" s="9">
        <f>SUM(AT11:BE11)-SUM(AT60:BE60)</f>
        <v>45413.631276018175</v>
      </c>
      <c r="AT124" s="9">
        <f>SUM(AU11:BF11)-SUM(AU60:BF60)</f>
        <v>45989.988226302143</v>
      </c>
      <c r="AU124" s="9">
        <f>SUM(AV11:BG11)-SUM(AV60:BG60)</f>
        <v>46571.110179366406</v>
      </c>
      <c r="AV124" s="9">
        <f>SUM(AW11:BH11)-SUM(AW60:BH60)</f>
        <v>47157.036529637444</v>
      </c>
      <c r="AW124" s="9">
        <f>SUM(AX11:BI11)-SUM(AX60:BI60)</f>
        <v>47747.806997233194</v>
      </c>
      <c r="AX124" s="9">
        <f>SUM(AY11:$BJ11)-SUM(AY60:$BJ60)</f>
        <v>48343.461630655736</v>
      </c>
      <c r="AY124" s="9">
        <f>SUM(AZ11:$BJ11)-SUM(AZ60:$BJ60)</f>
        <v>44494.757869268018</v>
      </c>
      <c r="AZ124" s="9">
        <f>SUM(BA11:$BJ11)-SUM(BA60:$BJ60)</f>
        <v>40614.235138551441</v>
      </c>
      <c r="BA124" s="9">
        <f>SUM(BB11:$BJ11)-SUM(BB60:$BJ60)</f>
        <v>36701.630376739784</v>
      </c>
      <c r="BB124" s="9">
        <f>SUM(BC11:$BJ11)-SUM(BC60:$BJ60)</f>
        <v>32756.678347216584</v>
      </c>
      <c r="BC124" s="9">
        <f>SUM(BD11:$BJ11)-SUM(BD60:$BJ60)</f>
        <v>28779.111620534681</v>
      </c>
      <c r="BD124" s="9">
        <f>SUM(BE11:$BJ11)-SUM(BE60:$BJ60)</f>
        <v>24768.660556287105</v>
      </c>
      <c r="BE124" s="9">
        <f>SUM(BF11:$BJ11)-SUM(BF60:$BJ60)</f>
        <v>20725.053284828045</v>
      </c>
      <c r="BF124" s="9">
        <f>SUM(BG11:$BJ11)-SUM(BG60:$BJ60)</f>
        <v>16648.015688842763</v>
      </c>
      <c r="BG124" s="9">
        <f>SUM(BH11:$BJ11)-SUM(BH60:$BJ60)</f>
        <v>12537.27138476507</v>
      </c>
      <c r="BH124" s="9">
        <f>SUM(BI11:$BJ11)-SUM(BI60:$BJ60)</f>
        <v>8392.5417040412249</v>
      </c>
      <c r="BI124" s="9">
        <f>SUM(BJ11:$BJ11)-SUM(BJ60:$BJ60)</f>
        <v>4213.5456742389051</v>
      </c>
      <c r="BJ124" s="9">
        <v>0</v>
      </c>
      <c r="BK124" s="23">
        <f t="shared" ref="BK124" si="29">BJ124</f>
        <v>0</v>
      </c>
      <c r="BL124" s="24"/>
      <c r="BM124" s="24"/>
    </row>
    <row r="125" spans="2:65" ht="15" customHeight="1" x14ac:dyDescent="0.25">
      <c r="B125" s="6"/>
      <c r="C125" s="9">
        <f>SUM(D12:O12)-SUM(D61:O61)</f>
        <v>0</v>
      </c>
      <c r="D125" s="9">
        <f>SUM(E12:P12)-SUM(E61:P61)</f>
        <v>0</v>
      </c>
      <c r="E125" s="9">
        <f>SUM(F12:Q12)-SUM(F61:Q61)</f>
        <v>0</v>
      </c>
      <c r="F125" s="9">
        <f>SUM(G12:R12)-SUM(G61:R61)</f>
        <v>0</v>
      </c>
      <c r="G125" s="9">
        <f>SUM(H12:S12)-SUM(H61:S61)</f>
        <v>0</v>
      </c>
      <c r="H125" s="9">
        <f>SUM(I12:T12)-SUM(I61:T61)</f>
        <v>0</v>
      </c>
      <c r="I125" s="9">
        <f>SUM(J12:U12)-SUM(J61:U61)</f>
        <v>0</v>
      </c>
      <c r="J125" s="9">
        <f>SUM(K12:V12)-SUM(K61:V61)</f>
        <v>0</v>
      </c>
      <c r="K125" s="9">
        <f>SUM(L12:W12)-SUM(L61:W61)</f>
        <v>0</v>
      </c>
      <c r="L125" s="9">
        <f>SUM(M12:X12)-SUM(M61:X61)</f>
        <v>0</v>
      </c>
      <c r="M125" s="9">
        <f>SUM(N12:Y12)-SUM(N61:Y61)</f>
        <v>0</v>
      </c>
      <c r="N125" s="9">
        <f>SUM(O12:Z12)-SUM(O61:Z61)</f>
        <v>0</v>
      </c>
      <c r="O125" s="9">
        <f>SUM(P12:AA12)-SUM(P61:AA61)</f>
        <v>0</v>
      </c>
      <c r="P125" s="9">
        <f>SUM(Q12:AB12)-SUM(Q61:AB61)</f>
        <v>0</v>
      </c>
      <c r="Q125" s="9">
        <f>SUM(R12:AC12)-SUM(R61:AC61)</f>
        <v>0</v>
      </c>
      <c r="R125" s="9">
        <f>SUM(S12:AD12)-SUM(S61:AD61)</f>
        <v>0</v>
      </c>
      <c r="S125" s="9">
        <f>SUM(T12:AE12)-SUM(T61:AE61)</f>
        <v>0</v>
      </c>
      <c r="T125" s="9">
        <f>SUM(U12:AF12)-SUM(U61:AF61)</f>
        <v>0</v>
      </c>
      <c r="U125" s="9">
        <f>SUM(V12:AG12)-SUM(V61:AG61)</f>
        <v>0</v>
      </c>
      <c r="V125" s="9">
        <f>SUM(W12:AH12)-SUM(W61:AH61)</f>
        <v>0</v>
      </c>
      <c r="W125" s="9">
        <f>SUM(X12:AI12)-SUM(X61:AI61)</f>
        <v>0</v>
      </c>
      <c r="X125" s="9">
        <f>SUM(Y12:AJ12)-SUM(Y61:AJ61)</f>
        <v>0</v>
      </c>
      <c r="Y125" s="9">
        <f>SUM(Z12:AK12)-SUM(Z61:AK61)</f>
        <v>0</v>
      </c>
      <c r="Z125" s="9">
        <f>SUM(AA12:AL12)-SUM(AA61:AL61)</f>
        <v>0</v>
      </c>
      <c r="AA125" s="9">
        <f>SUM(AB12:AM12)-SUM(AB61:AM61)</f>
        <v>0</v>
      </c>
      <c r="AB125" s="9">
        <f>SUM(AC12:AN12)-SUM(AC61:AN61)</f>
        <v>0</v>
      </c>
      <c r="AC125" s="9">
        <f>SUM(AD12:AO12)-SUM(AD61:AO61)</f>
        <v>0</v>
      </c>
      <c r="AD125" s="9">
        <f>SUM(AE12:AP12)-SUM(AE61:AP61)</f>
        <v>0</v>
      </c>
      <c r="AE125" s="9">
        <f>SUM(AF12:AQ12)-SUM(AF61:AQ61)</f>
        <v>0</v>
      </c>
      <c r="AF125" s="9">
        <f>SUM(AG12:AR12)-SUM(AG61:AR61)</f>
        <v>0</v>
      </c>
      <c r="AG125" s="9">
        <f>SUM(AH12:AS12)-SUM(AH61:AS61)</f>
        <v>0</v>
      </c>
      <c r="AH125" s="9">
        <f>SUM(AI12:AT12)-SUM(AI61:AT61)</f>
        <v>0</v>
      </c>
      <c r="AI125" s="9">
        <f>SUM(AJ12:AU12)-SUM(AJ61:AU61)</f>
        <v>0</v>
      </c>
      <c r="AJ125" s="9">
        <f>SUM(AK12:AV12)-SUM(AK61:AV61)</f>
        <v>0</v>
      </c>
      <c r="AK125" s="9">
        <f>SUM(AL12:AW12)-SUM(AL61:AW61)</f>
        <v>0</v>
      </c>
      <c r="AL125" s="9">
        <f>SUM(AM12:AX12)-SUM(AM61:AX61)</f>
        <v>0</v>
      </c>
      <c r="AM125" s="9">
        <f>SUM(AN12:AY12)-SUM(AN61:AY61)</f>
        <v>0</v>
      </c>
      <c r="AN125" s="9">
        <f>SUM(AO12:AZ12)-SUM(AO61:AZ61)</f>
        <v>0</v>
      </c>
      <c r="AO125" s="9">
        <f>SUM(AP12:BA12)-SUM(AP61:BA61)</f>
        <v>0</v>
      </c>
      <c r="AP125" s="9">
        <f>SUM(AQ12:BB12)-SUM(AQ61:BB61)</f>
        <v>0</v>
      </c>
      <c r="AQ125" s="9">
        <f>SUM(AR12:BC12)-SUM(AR61:BC61)</f>
        <v>0</v>
      </c>
      <c r="AR125" s="9">
        <f>SUM(AS12:BD12)-SUM(AS61:BD61)</f>
        <v>0</v>
      </c>
      <c r="AS125" s="9">
        <f>SUM(AT12:BE12)-SUM(AT61:BE61)</f>
        <v>0</v>
      </c>
      <c r="AT125" s="9">
        <f>SUM(AU12:BF12)-SUM(AU61:BF61)</f>
        <v>0</v>
      </c>
      <c r="AU125" s="9">
        <f>SUM(AV12:BG12)-SUM(AV61:BG61)</f>
        <v>0</v>
      </c>
      <c r="AV125" s="9">
        <f>SUM(AW12:BH12)-SUM(AW61:BH61)</f>
        <v>0</v>
      </c>
      <c r="AW125" s="9">
        <f>SUM(AX12:BI12)-SUM(AX61:BI61)</f>
        <v>0</v>
      </c>
      <c r="AX125" s="9">
        <f>SUM(AY12:$BJ12)-SUM(AY61:$BJ61)</f>
        <v>0</v>
      </c>
      <c r="AY125" s="9">
        <f>SUM(AZ12:$BJ12)-SUM(AZ61:$BJ61)</f>
        <v>0</v>
      </c>
      <c r="AZ125" s="9">
        <f>SUM(BA12:$BJ12)-SUM(BA61:$BJ61)</f>
        <v>0</v>
      </c>
      <c r="BA125" s="9">
        <f>SUM(BB12:$BJ12)-SUM(BB61:$BJ61)</f>
        <v>0</v>
      </c>
      <c r="BB125" s="9">
        <f>SUM(BC12:$BJ12)-SUM(BC61:$BJ61)</f>
        <v>0</v>
      </c>
      <c r="BC125" s="9">
        <f>SUM(BD12:$BJ12)-SUM(BD61:$BJ61)</f>
        <v>0</v>
      </c>
      <c r="BD125" s="9">
        <f>SUM(BE12:$BJ12)-SUM(BE61:$BJ61)</f>
        <v>0</v>
      </c>
      <c r="BE125" s="9">
        <f>SUM(BF12:$BJ12)-SUM(BF61:$BJ61)</f>
        <v>0</v>
      </c>
      <c r="BF125" s="9">
        <f>SUM(BG12:$BJ12)-SUM(BG61:$BJ61)</f>
        <v>0</v>
      </c>
      <c r="BG125" s="9">
        <f>SUM(BH12:$BJ12)-SUM(BH61:$BJ61)</f>
        <v>0</v>
      </c>
      <c r="BH125" s="9">
        <f>SUM(BI12:$BJ12)-SUM(BI61:$BJ61)</f>
        <v>0</v>
      </c>
      <c r="BI125" s="9">
        <f>SUM(BJ12:$BJ12)-SUM(BJ61:$BJ61)</f>
        <v>0</v>
      </c>
      <c r="BJ125" s="9">
        <v>0</v>
      </c>
      <c r="BK125" s="23">
        <f t="shared" si="28"/>
        <v>0</v>
      </c>
      <c r="BM125" s="24"/>
    </row>
    <row r="126" spans="2:65" ht="15" customHeight="1" x14ac:dyDescent="0.25">
      <c r="B126" s="6"/>
      <c r="C126" s="9">
        <f>SUM(D13:O13)-SUM(D62:O62)</f>
        <v>0</v>
      </c>
      <c r="D126" s="9">
        <f>SUM(E13:P13)-SUM(E62:P62)</f>
        <v>0</v>
      </c>
      <c r="E126" s="9">
        <f>SUM(F13:Q13)-SUM(F62:Q62)</f>
        <v>0</v>
      </c>
      <c r="F126" s="9">
        <f>SUM(G13:R13)-SUM(G62:R62)</f>
        <v>0</v>
      </c>
      <c r="G126" s="9">
        <f>SUM(H13:S13)-SUM(H62:S62)</f>
        <v>0</v>
      </c>
      <c r="H126" s="9">
        <f>SUM(I13:T13)-SUM(I62:T62)</f>
        <v>0</v>
      </c>
      <c r="I126" s="9">
        <f>SUM(J13:U13)-SUM(J62:U62)</f>
        <v>0</v>
      </c>
      <c r="J126" s="9">
        <f>SUM(K13:V13)-SUM(K62:V62)</f>
        <v>0</v>
      </c>
      <c r="K126" s="9">
        <f>SUM(L13:W13)-SUM(L62:W62)</f>
        <v>0</v>
      </c>
      <c r="L126" s="9">
        <f>SUM(M13:X13)-SUM(M62:X62)</f>
        <v>0</v>
      </c>
      <c r="M126" s="9">
        <f>SUM(N13:Y13)-SUM(N62:Y62)</f>
        <v>0</v>
      </c>
      <c r="N126" s="9">
        <f>SUM(O13:Z13)-SUM(O62:Z62)</f>
        <v>0</v>
      </c>
      <c r="O126" s="9">
        <f>SUM(P13:AA13)-SUM(P62:AA62)</f>
        <v>0</v>
      </c>
      <c r="P126" s="9">
        <f>SUM(Q13:AB13)-SUM(Q62:AB62)</f>
        <v>0</v>
      </c>
      <c r="Q126" s="9">
        <f>SUM(R13:AC13)-SUM(R62:AC62)</f>
        <v>0</v>
      </c>
      <c r="R126" s="9">
        <f>SUM(S13:AD13)-SUM(S62:AD62)</f>
        <v>0</v>
      </c>
      <c r="S126" s="9">
        <f>SUM(T13:AE13)-SUM(T62:AE62)</f>
        <v>0</v>
      </c>
      <c r="T126" s="9">
        <f>SUM(U13:AF13)-SUM(U62:AF62)</f>
        <v>0</v>
      </c>
      <c r="U126" s="9">
        <f>SUM(V13:AG13)-SUM(V62:AG62)</f>
        <v>0</v>
      </c>
      <c r="V126" s="9">
        <f>SUM(W13:AH13)-SUM(W62:AH62)</f>
        <v>0</v>
      </c>
      <c r="W126" s="9">
        <f>SUM(X13:AI13)-SUM(X62:AI62)</f>
        <v>0</v>
      </c>
      <c r="X126" s="9">
        <f>SUM(Y13:AJ13)-SUM(Y62:AJ62)</f>
        <v>0</v>
      </c>
      <c r="Y126" s="9">
        <f>SUM(Z13:AK13)-SUM(Z62:AK62)</f>
        <v>0</v>
      </c>
      <c r="Z126" s="9">
        <f>SUM(AA13:AL13)-SUM(AA62:AL62)</f>
        <v>0</v>
      </c>
      <c r="AA126" s="9">
        <f>SUM(AB13:AM13)-SUM(AB62:AM62)</f>
        <v>0</v>
      </c>
      <c r="AB126" s="9">
        <f>SUM(AC13:AN13)-SUM(AC62:AN62)</f>
        <v>0</v>
      </c>
      <c r="AC126" s="9">
        <f>SUM(AD13:AO13)-SUM(AD62:AO62)</f>
        <v>0</v>
      </c>
      <c r="AD126" s="9">
        <f>SUM(AE13:AP13)-SUM(AE62:AP62)</f>
        <v>0</v>
      </c>
      <c r="AE126" s="9">
        <f>SUM(AF13:AQ13)-SUM(AF62:AQ62)</f>
        <v>0</v>
      </c>
      <c r="AF126" s="9">
        <f>SUM(AG13:AR13)-SUM(AG62:AR62)</f>
        <v>0</v>
      </c>
      <c r="AG126" s="9">
        <f>SUM(AH13:AS13)-SUM(AH62:AS62)</f>
        <v>0</v>
      </c>
      <c r="AH126" s="9">
        <f>SUM(AI13:AT13)-SUM(AI62:AT62)</f>
        <v>0</v>
      </c>
      <c r="AI126" s="9">
        <f>SUM(AJ13:AU13)-SUM(AJ62:AU62)</f>
        <v>0</v>
      </c>
      <c r="AJ126" s="9">
        <f>SUM(AK13:AV13)-SUM(AK62:AV62)</f>
        <v>0</v>
      </c>
      <c r="AK126" s="9">
        <f>SUM(AL13:AW13)-SUM(AL62:AW62)</f>
        <v>0</v>
      </c>
      <c r="AL126" s="9">
        <f>SUM(AM13:AX13)-SUM(AM62:AX62)</f>
        <v>0</v>
      </c>
      <c r="AM126" s="9">
        <f>SUM(AN13:AY13)-SUM(AN62:AY62)</f>
        <v>0</v>
      </c>
      <c r="AN126" s="9">
        <f>SUM(AO13:AZ13)-SUM(AO62:AZ62)</f>
        <v>0</v>
      </c>
      <c r="AO126" s="9">
        <f>SUM(AP13:BA13)-SUM(AP62:BA62)</f>
        <v>0</v>
      </c>
      <c r="AP126" s="9">
        <f>SUM(AQ13:BB13)-SUM(AQ62:BB62)</f>
        <v>0</v>
      </c>
      <c r="AQ126" s="9">
        <f>SUM(AR13:BC13)-SUM(AR62:BC62)</f>
        <v>0</v>
      </c>
      <c r="AR126" s="9">
        <f>SUM(AS13:BD13)-SUM(AS62:BD62)</f>
        <v>0</v>
      </c>
      <c r="AS126" s="9">
        <f>SUM(AT13:BE13)-SUM(AT62:BE62)</f>
        <v>0</v>
      </c>
      <c r="AT126" s="9">
        <f>SUM(AU13:BF13)-SUM(AU62:BF62)</f>
        <v>0</v>
      </c>
      <c r="AU126" s="9">
        <f>SUM(AV13:BG13)-SUM(AV62:BG62)</f>
        <v>0</v>
      </c>
      <c r="AV126" s="9">
        <f>SUM(AW13:BH13)-SUM(AW62:BH62)</f>
        <v>0</v>
      </c>
      <c r="AW126" s="9">
        <f>SUM(AX13:BI13)-SUM(AX62:BI62)</f>
        <v>0</v>
      </c>
      <c r="AX126" s="9">
        <f>SUM(AY13:$BJ13)-SUM(AY62:$BJ62)</f>
        <v>0</v>
      </c>
      <c r="AY126" s="9">
        <f>SUM(AZ13:$BJ13)-SUM(AZ62:$BJ62)</f>
        <v>0</v>
      </c>
      <c r="AZ126" s="9">
        <f>SUM(BA13:$BJ13)-SUM(BA62:$BJ62)</f>
        <v>0</v>
      </c>
      <c r="BA126" s="9">
        <f>SUM(BB13:$BJ13)-SUM(BB62:$BJ62)</f>
        <v>0</v>
      </c>
      <c r="BB126" s="9">
        <f>SUM(BC13:$BJ13)-SUM(BC62:$BJ62)</f>
        <v>0</v>
      </c>
      <c r="BC126" s="9">
        <f>SUM(BD13:$BJ13)-SUM(BD62:$BJ62)</f>
        <v>0</v>
      </c>
      <c r="BD126" s="9">
        <f>SUM(BE13:$BJ13)-SUM(BE62:$BJ62)</f>
        <v>0</v>
      </c>
      <c r="BE126" s="9">
        <f>SUM(BF13:$BJ13)-SUM(BF62:$BJ62)</f>
        <v>0</v>
      </c>
      <c r="BF126" s="9">
        <f>SUM(BG13:$BJ13)-SUM(BG62:$BJ62)</f>
        <v>0</v>
      </c>
      <c r="BG126" s="9">
        <f>SUM(BH13:$BJ13)-SUM(BH62:$BJ62)</f>
        <v>0</v>
      </c>
      <c r="BH126" s="9">
        <f>SUM(BI13:$BJ13)-SUM(BI62:$BJ62)</f>
        <v>0</v>
      </c>
      <c r="BI126" s="9">
        <f>SUM(BJ13:$BJ13)-SUM(BJ62:$BJ62)</f>
        <v>0</v>
      </c>
      <c r="BJ126" s="9">
        <v>0</v>
      </c>
      <c r="BK126" s="23">
        <f t="shared" si="28"/>
        <v>0</v>
      </c>
      <c r="BM126" s="24"/>
    </row>
    <row r="127" spans="2:65" ht="15" customHeight="1" x14ac:dyDescent="0.25">
      <c r="B127" s="6"/>
      <c r="C127" s="9">
        <f>SUM(D14:O14)-SUM(D63:O63)</f>
        <v>0</v>
      </c>
      <c r="D127" s="9">
        <f>SUM(E14:P14)-SUM(E63:P63)</f>
        <v>0</v>
      </c>
      <c r="E127" s="9">
        <f>SUM(F14:Q14)-SUM(F63:Q63)</f>
        <v>0</v>
      </c>
      <c r="F127" s="9">
        <f>SUM(G14:R14)-SUM(G63:R63)</f>
        <v>0</v>
      </c>
      <c r="G127" s="9">
        <f>SUM(H14:S14)-SUM(H63:S63)</f>
        <v>0</v>
      </c>
      <c r="H127" s="9">
        <f>SUM(I14:T14)-SUM(I63:T63)</f>
        <v>0</v>
      </c>
      <c r="I127" s="9">
        <f>SUM(J14:U14)-SUM(J63:U63)</f>
        <v>0</v>
      </c>
      <c r="J127" s="9">
        <f>SUM(K14:V14)-SUM(K63:V63)</f>
        <v>0</v>
      </c>
      <c r="K127" s="9">
        <f>SUM(L14:W14)-SUM(L63:W63)</f>
        <v>0</v>
      </c>
      <c r="L127" s="9">
        <f>SUM(M14:X14)-SUM(M63:X63)</f>
        <v>0</v>
      </c>
      <c r="M127" s="9">
        <f>SUM(N14:Y14)-SUM(N63:Y63)</f>
        <v>0</v>
      </c>
      <c r="N127" s="9">
        <f>SUM(O14:Z14)-SUM(O63:Z63)</f>
        <v>0</v>
      </c>
      <c r="O127" s="9">
        <f>SUM(P14:AA14)-SUM(P63:AA63)</f>
        <v>0</v>
      </c>
      <c r="P127" s="9">
        <f>SUM(Q14:AB14)-SUM(Q63:AB63)</f>
        <v>0</v>
      </c>
      <c r="Q127" s="9">
        <f>SUM(R14:AC14)-SUM(R63:AC63)</f>
        <v>0</v>
      </c>
      <c r="R127" s="9">
        <f>SUM(S14:AD14)-SUM(S63:AD63)</f>
        <v>0</v>
      </c>
      <c r="S127" s="9">
        <f>SUM(T14:AE14)-SUM(T63:AE63)</f>
        <v>0</v>
      </c>
      <c r="T127" s="9">
        <f>SUM(U14:AF14)-SUM(U63:AF63)</f>
        <v>0</v>
      </c>
      <c r="U127" s="9">
        <f>SUM(V14:AG14)-SUM(V63:AG63)</f>
        <v>0</v>
      </c>
      <c r="V127" s="9">
        <f>SUM(W14:AH14)-SUM(W63:AH63)</f>
        <v>0</v>
      </c>
      <c r="W127" s="9">
        <f>SUM(X14:AI14)-SUM(X63:AI63)</f>
        <v>0</v>
      </c>
      <c r="X127" s="9">
        <f>SUM(Y14:AJ14)-SUM(Y63:AJ63)</f>
        <v>0</v>
      </c>
      <c r="Y127" s="9">
        <f>SUM(Z14:AK14)-SUM(Z63:AK63)</f>
        <v>0</v>
      </c>
      <c r="Z127" s="9">
        <f>SUM(AA14:AL14)-SUM(AA63:AL63)</f>
        <v>0</v>
      </c>
      <c r="AA127" s="9">
        <f>SUM(AB14:AM14)-SUM(AB63:AM63)</f>
        <v>0</v>
      </c>
      <c r="AB127" s="9">
        <f>SUM(AC14:AN14)-SUM(AC63:AN63)</f>
        <v>0</v>
      </c>
      <c r="AC127" s="9">
        <f>SUM(AD14:AO14)-SUM(AD63:AO63)</f>
        <v>0</v>
      </c>
      <c r="AD127" s="9">
        <f>SUM(AE14:AP14)-SUM(AE63:AP63)</f>
        <v>0</v>
      </c>
      <c r="AE127" s="9">
        <f>SUM(AF14:AQ14)-SUM(AF63:AQ63)</f>
        <v>0</v>
      </c>
      <c r="AF127" s="9">
        <f>SUM(AG14:AR14)-SUM(AG63:AR63)</f>
        <v>0</v>
      </c>
      <c r="AG127" s="9">
        <f>SUM(AH14:AS14)-SUM(AH63:AS63)</f>
        <v>0</v>
      </c>
      <c r="AH127" s="9">
        <f>SUM(AI14:AT14)-SUM(AI63:AT63)</f>
        <v>0</v>
      </c>
      <c r="AI127" s="9">
        <f>SUM(AJ14:AU14)-SUM(AJ63:AU63)</f>
        <v>0</v>
      </c>
      <c r="AJ127" s="9">
        <f>SUM(AK14:AV14)-SUM(AK63:AV63)</f>
        <v>0</v>
      </c>
      <c r="AK127" s="9">
        <f>SUM(AL14:AW14)-SUM(AL63:AW63)</f>
        <v>0</v>
      </c>
      <c r="AL127" s="9">
        <f>SUM(AM14:AX14)-SUM(AM63:AX63)</f>
        <v>0</v>
      </c>
      <c r="AM127" s="9">
        <f>SUM(AN14:AY14)-SUM(AN63:AY63)</f>
        <v>0</v>
      </c>
      <c r="AN127" s="9">
        <f>SUM(AO14:AZ14)-SUM(AO63:AZ63)</f>
        <v>0</v>
      </c>
      <c r="AO127" s="9">
        <f>SUM(AP14:BA14)-SUM(AP63:BA63)</f>
        <v>0</v>
      </c>
      <c r="AP127" s="9">
        <f>SUM(AQ14:BB14)-SUM(AQ63:BB63)</f>
        <v>0</v>
      </c>
      <c r="AQ127" s="9">
        <f>SUM(AR14:BC14)-SUM(AR63:BC63)</f>
        <v>0</v>
      </c>
      <c r="AR127" s="9">
        <f>SUM(AS14:BD14)-SUM(AS63:BD63)</f>
        <v>0</v>
      </c>
      <c r="AS127" s="9">
        <f>SUM(AT14:BE14)-SUM(AT63:BE63)</f>
        <v>0</v>
      </c>
      <c r="AT127" s="9">
        <f>SUM(AU14:BF14)-SUM(AU63:BF63)</f>
        <v>0</v>
      </c>
      <c r="AU127" s="9">
        <f>SUM(AV14:BG14)-SUM(AV63:BG63)</f>
        <v>0</v>
      </c>
      <c r="AV127" s="9">
        <f>SUM(AW14:BH14)-SUM(AW63:BH63)</f>
        <v>0</v>
      </c>
      <c r="AW127" s="9">
        <f>SUM(AX14:BI14)-SUM(AX63:BI63)</f>
        <v>0</v>
      </c>
      <c r="AX127" s="9">
        <f>SUM(AY14:$BJ14)-SUM(AY63:$BJ63)</f>
        <v>0</v>
      </c>
      <c r="AY127" s="9">
        <f>SUM(AZ14:$BJ14)-SUM(AZ63:$BJ63)</f>
        <v>0</v>
      </c>
      <c r="AZ127" s="9">
        <f>SUM(BA14:$BJ14)-SUM(BA63:$BJ63)</f>
        <v>0</v>
      </c>
      <c r="BA127" s="9">
        <f>SUM(BB14:$BJ14)-SUM(BB63:$BJ63)</f>
        <v>0</v>
      </c>
      <c r="BB127" s="9">
        <f>SUM(BC14:$BJ14)-SUM(BC63:$BJ63)</f>
        <v>0</v>
      </c>
      <c r="BC127" s="9">
        <f>SUM(BD14:$BJ14)-SUM(BD63:$BJ63)</f>
        <v>0</v>
      </c>
      <c r="BD127" s="9">
        <f>SUM(BE14:$BJ14)-SUM(BE63:$BJ63)</f>
        <v>0</v>
      </c>
      <c r="BE127" s="9">
        <f>SUM(BF14:$BJ14)-SUM(BF63:$BJ63)</f>
        <v>0</v>
      </c>
      <c r="BF127" s="9">
        <f>SUM(BG14:$BJ14)-SUM(BG63:$BJ63)</f>
        <v>0</v>
      </c>
      <c r="BG127" s="9">
        <f>SUM(BH14:$BJ14)-SUM(BH63:$BJ63)</f>
        <v>0</v>
      </c>
      <c r="BH127" s="9">
        <f>SUM(BI14:$BJ14)-SUM(BI63:$BJ63)</f>
        <v>0</v>
      </c>
      <c r="BI127" s="9">
        <f>SUM(BJ14:$BJ14)-SUM(BJ63:$BJ63)</f>
        <v>0</v>
      </c>
      <c r="BJ127" s="9">
        <v>0</v>
      </c>
      <c r="BK127" s="23">
        <f t="shared" si="28"/>
        <v>0</v>
      </c>
      <c r="BM127" s="24"/>
    </row>
    <row r="128" spans="2:65" ht="18" customHeight="1" x14ac:dyDescent="0.25">
      <c r="B128" s="25" t="s">
        <v>72</v>
      </c>
      <c r="C128" s="23">
        <f>SUM(C118:C127)</f>
        <v>413836.67737439199</v>
      </c>
      <c r="D128" s="23">
        <f>SUM(D118:D127)</f>
        <v>420066.4750819804</v>
      </c>
      <c r="E128" s="23">
        <f>SUM(E118:E127)</f>
        <v>426347.77733615722</v>
      </c>
      <c r="F128" s="23">
        <f>SUM(F118:F127)</f>
        <v>432681.00994823163</v>
      </c>
      <c r="G128" s="23">
        <f>SUM(G118:G127)</f>
        <v>439066.60224988725</v>
      </c>
      <c r="H128" s="23">
        <f>SUM(H118:H127)</f>
        <v>445504.98712228605</v>
      </c>
      <c r="I128" s="23">
        <f>SUM(I118:I127)</f>
        <v>451996.60102541401</v>
      </c>
      <c r="J128" s="23">
        <f>SUM(J118:J127)</f>
        <v>458541.88402766851</v>
      </c>
      <c r="K128" s="23">
        <f>SUM(K118:K127)</f>
        <v>465141.27983569069</v>
      </c>
      <c r="L128" s="23">
        <f>SUM(L118:L127)</f>
        <v>471795.23582444468</v>
      </c>
      <c r="M128" s="23">
        <f>SUM(M118:M127)</f>
        <v>478504.20306754502</v>
      </c>
      <c r="N128" s="23">
        <f>SUM(N118:N127)</f>
        <v>485268.6363678354</v>
      </c>
      <c r="O128" s="23">
        <f>SUM(O118:O127)</f>
        <v>492228.39410162182</v>
      </c>
      <c r="P128" s="23">
        <f>SUM(P118:P127)</f>
        <v>499245.69129066309</v>
      </c>
      <c r="Q128" s="23">
        <f>SUM(Q118:Q127)</f>
        <v>506321.00363957975</v>
      </c>
      <c r="R128" s="23">
        <f>SUM(R118:R127)</f>
        <v>513454.81078585662</v>
      </c>
      <c r="S128" s="23">
        <f>SUM(S118:S127)</f>
        <v>520647.5963323582</v>
      </c>
      <c r="T128" s="23">
        <f>SUM(T118:T127)</f>
        <v>527899.84788011177</v>
      </c>
      <c r="U128" s="23">
        <f>SUM(U118:U127)</f>
        <v>535212.05706136208</v>
      </c>
      <c r="V128" s="23">
        <f>SUM(V118:V127)</f>
        <v>542584.71957289963</v>
      </c>
      <c r="W128" s="23">
        <f>SUM(W118:W127)</f>
        <v>550018.33520966338</v>
      </c>
      <c r="X128" s="23">
        <f>SUM(X118:X127)</f>
        <v>557513.40789862268</v>
      </c>
      <c r="Y128" s="23">
        <f>SUM(Y118:Y127)</f>
        <v>565070.44573293824</v>
      </c>
      <c r="Z128" s="23">
        <f>SUM(Z118:Z127)</f>
        <v>572689.961006406</v>
      </c>
      <c r="AA128" s="23">
        <f>SUM(AA118:AA127)</f>
        <v>580518.78935611318</v>
      </c>
      <c r="AB128" s="23">
        <f>SUM(AB118:AB127)</f>
        <v>588412.34215971036</v>
      </c>
      <c r="AC128" s="23">
        <f>SUM(AC118:AC127)</f>
        <v>596371.15452344122</v>
      </c>
      <c r="AD128" s="23">
        <f>SUM(AD118:AD127)</f>
        <v>604395.76597751421</v>
      </c>
      <c r="AE128" s="23">
        <f>SUM(AE118:AE127)</f>
        <v>612486.72051267733</v>
      </c>
      <c r="AF128" s="23">
        <f>SUM(AF118:AF127)</f>
        <v>620644.56661709491</v>
      </c>
      <c r="AG128" s="23">
        <f>SUM(AG118:AG127)</f>
        <v>628869.85731353099</v>
      </c>
      <c r="AH128" s="23">
        <f>SUM(AH118:AH127)</f>
        <v>637163.15019683749</v>
      </c>
      <c r="AI128" s="23">
        <f>SUM(AI118:AI127)</f>
        <v>645525.00747175468</v>
      </c>
      <c r="AJ128" s="23">
        <f>SUM(AJ118:AJ127)</f>
        <v>653955.99599102268</v>
      </c>
      <c r="AK128" s="23">
        <f>SUM(AK118:AK127)</f>
        <v>662456.68729380914</v>
      </c>
      <c r="AL128" s="23">
        <f>SUM(AL118:AL127)</f>
        <v>671027.65764445346</v>
      </c>
      <c r="AM128" s="23">
        <f>SUM(AM118:AM127)</f>
        <v>679823.06992234068</v>
      </c>
      <c r="AN128" s="23">
        <f>SUM(AN118:AN127)</f>
        <v>688691.19783927314</v>
      </c>
      <c r="AO128" s="23">
        <f>SUM(AO118:AO127)</f>
        <v>697632.64256822539</v>
      </c>
      <c r="AP128" s="23">
        <f>SUM(AP118:AP127)</f>
        <v>706648.01025233965</v>
      </c>
      <c r="AQ128" s="23">
        <f>SUM(AQ118:AQ127)</f>
        <v>715737.91204601771</v>
      </c>
      <c r="AR128" s="23">
        <f>SUM(AR118:AR127)</f>
        <v>724902.96415634977</v>
      </c>
      <c r="AS128" s="23">
        <f>SUM(AS118:AS127)</f>
        <v>734143.78788488777</v>
      </c>
      <c r="AT128" s="23">
        <f>SUM(AT118:AT127)</f>
        <v>743461.0096697642</v>
      </c>
      <c r="AU128" s="23">
        <f>SUM(AU118:AU127)</f>
        <v>752855.26112815726</v>
      </c>
      <c r="AV128" s="23">
        <f>SUM(AV118:AV127)</f>
        <v>762327.17909910996</v>
      </c>
      <c r="AW128" s="23">
        <f>SUM(AW118:AW127)</f>
        <v>771877.40568670072</v>
      </c>
      <c r="AX128" s="23">
        <f>SUM(AX118:AX127)</f>
        <v>781506.58830357145</v>
      </c>
      <c r="AY128" s="23">
        <f>SUM(AY118:AY127)</f>
        <v>719289.54292662372</v>
      </c>
      <c r="AZ128" s="23">
        <f>SUM(AZ118:AZ127)</f>
        <v>656558.12118263973</v>
      </c>
      <c r="BA128" s="23">
        <f>SUM(BA118:BA127)</f>
        <v>593308.07049026724</v>
      </c>
      <c r="BB128" s="23">
        <f>SUM(BB118:BB127)</f>
        <v>529535.10311014659</v>
      </c>
      <c r="BC128" s="23">
        <f>SUM(BC118:BC127)</f>
        <v>465234.89585424325</v>
      </c>
      <c r="BD128" s="23">
        <f>SUM(BD118:BD127)</f>
        <v>400403.08979277813</v>
      </c>
      <c r="BE128" s="23">
        <f>SUM(BE118:BE127)</f>
        <v>335035.28995873424</v>
      </c>
      <c r="BF128" s="23">
        <f>SUM(BF118:BF127)</f>
        <v>269127.06504992081</v>
      </c>
      <c r="BG128" s="23">
        <f>SUM(BG118:BG127)</f>
        <v>202673.94712857346</v>
      </c>
      <c r="BH128" s="23">
        <f>SUM(BH118:BH127)</f>
        <v>135671.43131847205</v>
      </c>
      <c r="BI128" s="23">
        <f>SUM(BI118:BI127)</f>
        <v>68114.975499553446</v>
      </c>
      <c r="BJ128" s="23">
        <f>SUM(BJ118:BJ127)</f>
        <v>0</v>
      </c>
      <c r="BK128" s="23">
        <f>SUM(BK118:BK127)</f>
        <v>0</v>
      </c>
    </row>
    <row r="129" spans="2:65" s="32" customFormat="1" ht="15" customHeight="1" x14ac:dyDescent="0.25">
      <c r="B129" s="31"/>
      <c r="C129" s="30">
        <f>SUM(D15:O15)-SUM(D64:O64)-C128</f>
        <v>0</v>
      </c>
      <c r="D129" s="30">
        <f>SUM(E15:P15)-SUM(E64:P64)-D128</f>
        <v>0</v>
      </c>
      <c r="E129" s="30">
        <f>SUM(F15:Q15)-SUM(F64:Q64)-E128</f>
        <v>0</v>
      </c>
      <c r="F129" s="30">
        <f>SUM(G15:R15)-SUM(G64:R64)-F128</f>
        <v>0</v>
      </c>
      <c r="G129" s="30">
        <f>SUM(H15:S15)-SUM(H64:S64)-G128</f>
        <v>0</v>
      </c>
      <c r="H129" s="30">
        <f>SUM(I15:T15)-SUM(I64:T64)-H128</f>
        <v>0</v>
      </c>
      <c r="I129" s="30">
        <f>SUM(J15:U15)-SUM(J64:U64)-I128</f>
        <v>0</v>
      </c>
      <c r="J129" s="30">
        <f>SUM(K15:V15)-SUM(K64:V64)-J128</f>
        <v>0</v>
      </c>
      <c r="K129" s="30">
        <f>SUM(L15:W15)-SUM(L64:W64)-K128</f>
        <v>0</v>
      </c>
      <c r="L129" s="30">
        <f>SUM(M15:X15)-SUM(M64:X64)-L128</f>
        <v>0</v>
      </c>
      <c r="M129" s="30">
        <f>SUM(N15:Y15)-SUM(N64:Y64)-M128</f>
        <v>0</v>
      </c>
      <c r="N129" s="30">
        <f>SUM(O15:Z15)-SUM(O64:Z64)-N128</f>
        <v>0</v>
      </c>
      <c r="O129" s="30">
        <f>SUM(P15:AA15)-SUM(P64:AA64)-O128</f>
        <v>0</v>
      </c>
      <c r="P129" s="30">
        <f>SUM(Q15:AB15)-SUM(Q64:AB64)-P128</f>
        <v>0</v>
      </c>
      <c r="Q129" s="30">
        <f>SUM(R15:AC15)-SUM(R64:AC64)-Q128</f>
        <v>0</v>
      </c>
      <c r="R129" s="30">
        <f>SUM(S15:AD15)-SUM(S64:AD64)-R128</f>
        <v>0</v>
      </c>
      <c r="S129" s="30">
        <f>SUM(T15:AE15)-SUM(T64:AE64)-S128</f>
        <v>0</v>
      </c>
      <c r="T129" s="30">
        <f>SUM(U15:AF15)-SUM(U64:AF64)-T128</f>
        <v>0</v>
      </c>
      <c r="U129" s="30">
        <f>SUM(V15:AG15)-SUM(V64:AG64)-U128</f>
        <v>0</v>
      </c>
      <c r="V129" s="30">
        <f>SUM(W15:AH15)-SUM(W64:AH64)-V128</f>
        <v>0</v>
      </c>
      <c r="W129" s="30">
        <f>SUM(X15:AI15)-SUM(X64:AI64)-W128</f>
        <v>0</v>
      </c>
      <c r="X129" s="30">
        <f>SUM(Y15:AJ15)-SUM(Y64:AJ64)-X128</f>
        <v>0</v>
      </c>
      <c r="Y129" s="30">
        <f>SUM(Z15:AK15)-SUM(Z64:AK64)-Y128</f>
        <v>0</v>
      </c>
      <c r="Z129" s="30">
        <f>SUM(AA15:AL15)-SUM(AA64:AL64)-Z128</f>
        <v>0</v>
      </c>
      <c r="AA129" s="30">
        <f>SUM(AB15:AM15)-SUM(AB64:AM64)-AA128</f>
        <v>0</v>
      </c>
      <c r="AB129" s="30">
        <f>SUM(AC15:AN15)-SUM(AC64:AN64)-AB128</f>
        <v>0</v>
      </c>
      <c r="AC129" s="30">
        <f>SUM(AD15:AO15)-SUM(AD64:AO64)-AC128</f>
        <v>0</v>
      </c>
      <c r="AD129" s="30">
        <f>SUM(AE15:AP15)-SUM(AE64:AP64)-AD128</f>
        <v>0</v>
      </c>
      <c r="AE129" s="30">
        <f>SUM(AF15:AQ15)-SUM(AF64:AQ64)-AE128</f>
        <v>0</v>
      </c>
      <c r="AF129" s="30">
        <f>SUM(AG15:AR15)-SUM(AG64:AR64)-AF128</f>
        <v>0</v>
      </c>
      <c r="AG129" s="30">
        <f>SUM(AH15:AS15)-SUM(AH64:AS64)-AG128</f>
        <v>0</v>
      </c>
      <c r="AH129" s="30">
        <f>SUM(AI15:AT15)-SUM(AI64:AT64)-AH128</f>
        <v>0</v>
      </c>
      <c r="AI129" s="30">
        <f>SUM(AJ15:AU15)-SUM(AJ64:AU64)-AI128</f>
        <v>0</v>
      </c>
      <c r="AJ129" s="30">
        <f>SUM(AK15:AV15)-SUM(AK64:AV64)-AJ128</f>
        <v>0</v>
      </c>
      <c r="AK129" s="30">
        <f>SUM(AL15:AW15)-SUM(AL64:AW64)-AK128</f>
        <v>0</v>
      </c>
      <c r="AL129" s="30">
        <f>SUM(AM15:AX15)-SUM(AM64:AX64)-AL128</f>
        <v>0</v>
      </c>
      <c r="AM129" s="30">
        <f>SUM(AN15:AY15)-SUM(AN64:AY64)-AM128</f>
        <v>0</v>
      </c>
      <c r="AN129" s="30">
        <f>SUM(AO15:AZ15)-SUM(AO64:AZ64)-AN128</f>
        <v>0</v>
      </c>
      <c r="AO129" s="30">
        <f>SUM(AP15:BA15)-SUM(AP64:BA64)-AO128</f>
        <v>0</v>
      </c>
      <c r="AP129" s="30">
        <f>SUM(AQ15:BB15)-SUM(AQ64:BB64)-AP128</f>
        <v>0</v>
      </c>
      <c r="AQ129" s="30">
        <f>SUM(AR15:BC15)-SUM(AR64:BC64)-AQ128</f>
        <v>0</v>
      </c>
      <c r="AR129" s="30">
        <f>SUM(AS15:BD15)-SUM(AS64:BD64)-AR128</f>
        <v>0</v>
      </c>
      <c r="AS129" s="30">
        <f>SUM(AT15:BE15)-SUM(AT64:BE64)-AS128</f>
        <v>0</v>
      </c>
      <c r="AT129" s="30">
        <f>SUM(AU15:BF15)-SUM(AU64:BF64)-AT128</f>
        <v>0</v>
      </c>
      <c r="AU129" s="30">
        <f>SUM(AV15:BG15)-SUM(AV64:BG64)-AU128</f>
        <v>0</v>
      </c>
      <c r="AV129" s="30">
        <f>SUM(AW15:BH15)-SUM(AW64:BH64)-AV128</f>
        <v>0</v>
      </c>
      <c r="AW129" s="30">
        <f>SUM(AX15:BI15)-SUM(AX64:BI64)-AW128</f>
        <v>0</v>
      </c>
      <c r="AX129" s="30">
        <f>SUM(AY15:BJ15)-SUM(AY64:BJ64)-AX128</f>
        <v>0</v>
      </c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</row>
    <row r="131" spans="2:65" ht="15" customHeight="1" x14ac:dyDescent="0.25">
      <c r="B131" s="28" t="s">
        <v>81</v>
      </c>
      <c r="C131" s="29"/>
      <c r="D131" s="29"/>
      <c r="E131" s="29"/>
      <c r="F131" s="29"/>
      <c r="G131" s="29"/>
      <c r="H131" s="29"/>
      <c r="I131" s="29"/>
    </row>
    <row r="132" spans="2:65" ht="6" customHeight="1" x14ac:dyDescent="0.25"/>
    <row r="133" spans="2:65" ht="33" customHeight="1" x14ac:dyDescent="0.25">
      <c r="B133" s="5" t="s">
        <v>53</v>
      </c>
      <c r="C133" s="16">
        <v>43466</v>
      </c>
      <c r="D133" s="16">
        <v>43497</v>
      </c>
      <c r="E133" s="16">
        <v>43525</v>
      </c>
      <c r="F133" s="16">
        <v>43556</v>
      </c>
      <c r="G133" s="16">
        <v>43586</v>
      </c>
      <c r="H133" s="16">
        <v>43617</v>
      </c>
      <c r="I133" s="16">
        <v>43647</v>
      </c>
      <c r="J133" s="16">
        <v>43678</v>
      </c>
      <c r="K133" s="16">
        <v>43709</v>
      </c>
      <c r="L133" s="16">
        <v>43739</v>
      </c>
      <c r="M133" s="16">
        <v>43770</v>
      </c>
      <c r="N133" s="16">
        <v>43800</v>
      </c>
      <c r="O133" s="16">
        <v>43831</v>
      </c>
      <c r="P133" s="16">
        <v>43862</v>
      </c>
      <c r="Q133" s="16">
        <v>43891</v>
      </c>
      <c r="R133" s="16">
        <v>43922</v>
      </c>
      <c r="S133" s="16">
        <v>43952</v>
      </c>
      <c r="T133" s="16">
        <v>43983</v>
      </c>
      <c r="U133" s="16">
        <v>44013</v>
      </c>
      <c r="V133" s="16">
        <v>44044</v>
      </c>
      <c r="W133" s="16">
        <v>44075</v>
      </c>
      <c r="X133" s="16">
        <v>44105</v>
      </c>
      <c r="Y133" s="16">
        <v>44136</v>
      </c>
      <c r="Z133" s="16">
        <v>44166</v>
      </c>
      <c r="AA133" s="16">
        <v>44197</v>
      </c>
      <c r="AB133" s="16">
        <v>44228</v>
      </c>
      <c r="AC133" s="16">
        <v>44256</v>
      </c>
      <c r="AD133" s="16">
        <v>44287</v>
      </c>
      <c r="AE133" s="16">
        <v>44317</v>
      </c>
      <c r="AF133" s="16">
        <v>44348</v>
      </c>
      <c r="AG133" s="16">
        <v>44378</v>
      </c>
      <c r="AH133" s="16">
        <v>44409</v>
      </c>
      <c r="AI133" s="16">
        <v>44440</v>
      </c>
      <c r="AJ133" s="16">
        <v>44470</v>
      </c>
      <c r="AK133" s="16">
        <v>44501</v>
      </c>
      <c r="AL133" s="16">
        <v>44531</v>
      </c>
      <c r="AM133" s="16">
        <v>44562</v>
      </c>
      <c r="AN133" s="16">
        <v>44593</v>
      </c>
      <c r="AO133" s="16">
        <v>44621</v>
      </c>
      <c r="AP133" s="16">
        <v>44652</v>
      </c>
      <c r="AQ133" s="16">
        <v>44682</v>
      </c>
      <c r="AR133" s="16">
        <v>44713</v>
      </c>
      <c r="AS133" s="16">
        <v>44743</v>
      </c>
      <c r="AT133" s="16">
        <v>44774</v>
      </c>
      <c r="AU133" s="16">
        <v>44805</v>
      </c>
      <c r="AV133" s="16">
        <v>44835</v>
      </c>
      <c r="AW133" s="16">
        <v>44866</v>
      </c>
      <c r="AX133" s="16">
        <v>44896</v>
      </c>
      <c r="AY133" s="16">
        <v>44927</v>
      </c>
      <c r="AZ133" s="16">
        <v>44958</v>
      </c>
      <c r="BA133" s="16">
        <v>44986</v>
      </c>
      <c r="BB133" s="16">
        <v>45017</v>
      </c>
      <c r="BC133" s="16">
        <v>45047</v>
      </c>
      <c r="BD133" s="16">
        <v>45078</v>
      </c>
      <c r="BE133" s="16">
        <v>45108</v>
      </c>
      <c r="BF133" s="16">
        <v>45139</v>
      </c>
      <c r="BG133" s="16">
        <v>45170</v>
      </c>
      <c r="BH133" s="16">
        <v>45200</v>
      </c>
      <c r="BI133" s="16">
        <v>45231</v>
      </c>
      <c r="BJ133" s="16">
        <v>45261</v>
      </c>
      <c r="BK133" s="16" t="s">
        <v>72</v>
      </c>
    </row>
    <row r="134" spans="2:65" ht="15" customHeight="1" x14ac:dyDescent="0.25">
      <c r="B134" s="6">
        <v>1</v>
      </c>
      <c r="C134" s="9">
        <f>SUM(P5:$BJ5)-SUM(P54:$BJ54)</f>
        <v>416782.29863495775</v>
      </c>
      <c r="D134" s="9">
        <f>SUM(Q5:$BJ5)-SUM(Q54:$BJ54)</f>
        <v>410214.49527369405</v>
      </c>
      <c r="E134" s="9">
        <f>SUM(R5:$BJ5)-SUM(R54:$BJ54)</f>
        <v>403592.39292070054</v>
      </c>
      <c r="F134" s="9">
        <f>SUM(S5:$BJ5)-SUM(S54:$BJ54)</f>
        <v>396915.54266172985</v>
      </c>
      <c r="G134" s="9">
        <f>SUM(T5:$BJ5)-SUM(T54:$BJ54)</f>
        <v>390183.49187115813</v>
      </c>
      <c r="H134" s="9">
        <f>SUM(U5:$BJ5)-SUM(U54:$BJ54)</f>
        <v>383395.78418130137</v>
      </c>
      <c r="I134" s="9">
        <f>SUM(V5:$BJ5)-SUM(V54:$BJ54)</f>
        <v>376551.95945147821</v>
      </c>
      <c r="J134" s="9">
        <f>SUM(W5:$BJ5)-SUM(W54:$BJ54)</f>
        <v>369651.55373681668</v>
      </c>
      <c r="K134" s="9">
        <f>SUM(X5:$BJ5)-SUM(X54:$BJ54)</f>
        <v>362694.09925680351</v>
      </c>
      <c r="L134" s="9">
        <f>SUM(Y5:$BJ5)-SUM(Y54:$BJ54)</f>
        <v>355679.12436357292</v>
      </c>
      <c r="M134" s="9">
        <f>SUM(Z5:$BJ5)-SUM(Z54:$BJ54)</f>
        <v>348606.15350993362</v>
      </c>
      <c r="N134" s="9">
        <f>SUM(AA5:$BJ5)-SUM(AA54:$BJ54)</f>
        <v>341474.70721713116</v>
      </c>
      <c r="O134" s="9">
        <f>SUM(AB5:$BJ5)-SUM(AB54:$BJ54)</f>
        <v>333787.26717985945</v>
      </c>
      <c r="P134" s="9">
        <f>SUM(AC5:$BJ5)-SUM(AC54:$BJ54)</f>
        <v>326036.27160962694</v>
      </c>
      <c r="Q134" s="9">
        <f>SUM(AD5:$BJ5)-SUM(AD54:$BJ54)</f>
        <v>318221.19506418612</v>
      </c>
      <c r="R134" s="9">
        <f>SUM(AE5:$BJ5)-SUM(AE54:$BJ54)</f>
        <v>310341.50775722181</v>
      </c>
      <c r="S134" s="9">
        <f>SUM(AF5:$BJ5)-SUM(AF54:$BJ54)</f>
        <v>302396.6755224361</v>
      </c>
      <c r="T134" s="9">
        <f>SUM(AG5:$BJ5)-SUM(AG54:$BJ54)</f>
        <v>294386.15977733769</v>
      </c>
      <c r="U134" s="9">
        <f>SUM(AH5:$BJ5)-SUM(AH54:$BJ54)</f>
        <v>286309.41748673102</v>
      </c>
      <c r="V134" s="9">
        <f>SUM(AI5:$BJ5)-SUM(AI54:$BJ54)</f>
        <v>278165.90112590359</v>
      </c>
      <c r="W134" s="9">
        <f>SUM(AJ5:$BJ5)-SUM(AJ54:$BJ54)</f>
        <v>269955.05864350917</v>
      </c>
      <c r="X134" s="9">
        <f>SUM(AK5:$BJ5)-SUM(AK54:$BJ54)</f>
        <v>261676.3334241444</v>
      </c>
      <c r="Y134" s="9">
        <f>SUM(AL5:$BJ5)-SUM(AL54:$BJ54)</f>
        <v>253329.16425061511</v>
      </c>
      <c r="Z134" s="9">
        <f>SUM(AM5:$BJ5)-SUM(AM54:$BJ54)</f>
        <v>244912.9852658918</v>
      </c>
      <c r="AA134" s="9">
        <f>SUM(AN5:$BJ5)-SUM(AN54:$BJ54)</f>
        <v>235905.52008800139</v>
      </c>
      <c r="AB134" s="9">
        <f>SUM(AO5:$BJ5)-SUM(AO54:$BJ54)</f>
        <v>226823.58613412949</v>
      </c>
      <c r="AC134" s="9">
        <f>SUM(AP5:$BJ5)-SUM(AP54:$BJ54)</f>
        <v>217666.56773732801</v>
      </c>
      <c r="AD134" s="9">
        <f>SUM(AQ5:$BJ5)-SUM(AQ54:$BJ54)</f>
        <v>208433.84414065248</v>
      </c>
      <c r="AE134" s="9">
        <f>SUM(AR5:$BJ5)-SUM(AR54:$BJ54)</f>
        <v>199124.78945508107</v>
      </c>
      <c r="AF134" s="9">
        <f>SUM(AS5:$BJ5)-SUM(AS54:$BJ54)</f>
        <v>189738.77261708517</v>
      </c>
      <c r="AG134" s="9">
        <f>SUM(AT5:$BJ5)-SUM(AT54:$BJ54)</f>
        <v>180275.15734584932</v>
      </c>
      <c r="AH134" s="9">
        <f>SUM(AU5:$BJ5)-SUM(AU54:$BJ54)</f>
        <v>170733.30210013775</v>
      </c>
      <c r="AI134" s="9">
        <f>SUM(AV5:$BJ5)-SUM(AV54:$BJ54)</f>
        <v>161112.56003480399</v>
      </c>
      <c r="AJ134" s="9">
        <f>SUM(AW5:$BJ5)-SUM(AW54:$BJ54)</f>
        <v>151412.27895694121</v>
      </c>
      <c r="AK134" s="9">
        <f>SUM(AX5:$BJ5)-SUM(AX54:$BJ54)</f>
        <v>141631.80128166958</v>
      </c>
      <c r="AL134" s="9">
        <f>SUM(AY5:$BJ5)-SUM(AY54:$BJ54)</f>
        <v>131770.4639875587</v>
      </c>
      <c r="AM134" s="9">
        <f>SUM(AZ5:$BJ5)-SUM(AZ54:$BJ54)</f>
        <v>121279.9971636619</v>
      </c>
      <c r="AN134" s="9">
        <f>SUM(BA5:$BJ5)-SUM(BA54:$BJ54)</f>
        <v>110702.80092050871</v>
      </c>
      <c r="AO134" s="9">
        <f>SUM(BB5:$BJ5)-SUM(BB54:$BJ54)</f>
        <v>100038.15822688495</v>
      </c>
      <c r="AP134" s="9">
        <f>SUM(BC5:$BJ5)-SUM(BC54:$BJ54)</f>
        <v>89285.346123555995</v>
      </c>
      <c r="AQ134" s="9">
        <f>SUM(BD5:$BJ5)-SUM(BD54:$BJ54)</f>
        <v>78443.635674257341</v>
      </c>
      <c r="AR134" s="9">
        <f>SUM(BE5:$BJ5)-SUM(BE54:$BJ54)</f>
        <v>67512.291916279661</v>
      </c>
      <c r="AS134" s="9">
        <f>SUM(BF5:$BJ5)-SUM(BF54:$BJ54)</f>
        <v>56490.573810645546</v>
      </c>
      <c r="AT134" s="9">
        <f>SUM(BG5:$BJ5)-SUM(BG54:$BJ54)</f>
        <v>45377.734191874239</v>
      </c>
      <c r="AU134" s="9">
        <f>SUM(BH5:$BJ5)-SUM(BH54:$BJ54)</f>
        <v>34173.019717331052</v>
      </c>
      <c r="AV134" s="9">
        <f>SUM(BI5:$BJ5)-SUM(BI54:$BJ54)</f>
        <v>22875.670816158065</v>
      </c>
      <c r="AW134" s="9">
        <f>SUM(BJ5:$BJ5)-SUM(BJ54:$BJ54)</f>
        <v>11484.921637782607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23">
        <f t="shared" ref="BK134:BK136" si="30">BJ134</f>
        <v>0</v>
      </c>
      <c r="BL134" s="24"/>
      <c r="BM134" s="24"/>
    </row>
    <row r="135" spans="2:65" ht="15" customHeight="1" x14ac:dyDescent="0.25">
      <c r="B135" s="6">
        <v>2</v>
      </c>
      <c r="C135" s="9">
        <f>SUM(P6:$BJ6)-SUM(P55:$BJ55)</f>
        <v>87375.743948628486</v>
      </c>
      <c r="D135" s="9">
        <f>SUM(Q6:$BJ6)-SUM(Q55:$BJ55)</f>
        <v>85998.8459693279</v>
      </c>
      <c r="E135" s="9">
        <f>SUM(R6:$BJ6)-SUM(R55:$BJ55)</f>
        <v>84610.564553606004</v>
      </c>
      <c r="F135" s="9">
        <f>SUM(S6:$BJ6)-SUM(S55:$BJ55)</f>
        <v>83210.805589461204</v>
      </c>
      <c r="G135" s="9">
        <f>SUM(T6:$BJ6)-SUM(T55:$BJ55)</f>
        <v>81799.474186825639</v>
      </c>
      <c r="H135" s="9">
        <f>SUM(U6:$BJ6)-SUM(U55:$BJ55)</f>
        <v>80376.474671132382</v>
      </c>
      <c r="I135" s="9">
        <f>SUM(V6:$BJ6)-SUM(V55:$BJ55)</f>
        <v>78941.710576829835</v>
      </c>
      <c r="J135" s="9">
        <f>SUM(W6:$BJ6)-SUM(W55:$BJ55)</f>
        <v>77495.084640842077</v>
      </c>
      <c r="K135" s="9">
        <f>SUM(X6:$BJ6)-SUM(X55:$BJ55)</f>
        <v>76036.498795975596</v>
      </c>
      <c r="L135" s="9">
        <f>SUM(Y6:$BJ6)-SUM(Y55:$BJ55)</f>
        <v>74565.854164271048</v>
      </c>
      <c r="M135" s="9">
        <f>SUM(Z6:$BJ6)-SUM(Z55:$BJ55)</f>
        <v>73083.051050300535</v>
      </c>
      <c r="N135" s="9">
        <f>SUM(AA6:$BJ6)-SUM(AA55:$BJ55)</f>
        <v>71587.988934409033</v>
      </c>
      <c r="O135" s="9">
        <f>SUM(AB6:$BJ6)-SUM(AB55:$BJ55)</f>
        <v>69976.366285085824</v>
      </c>
      <c r="P135" s="9">
        <f>SUM(AC6:$BJ6)-SUM(AC55:$BJ55)</f>
        <v>68351.419624659728</v>
      </c>
      <c r="Q135" s="9">
        <f>SUM(AD6:$BJ6)-SUM(AD55:$BJ55)</f>
        <v>66713.038797523288</v>
      </c>
      <c r="R135" s="9">
        <f>SUM(AE6:$BJ6)-SUM(AE55:$BJ55)</f>
        <v>65061.112737363066</v>
      </c>
      <c r="S135" s="9">
        <f>SUM(AF6:$BJ6)-SUM(AF55:$BJ55)</f>
        <v>63395.529459630212</v>
      </c>
      <c r="T135" s="9">
        <f>SUM(AG6:$BJ6)-SUM(AG55:$BJ55)</f>
        <v>61716.176053949224</v>
      </c>
      <c r="U135" s="9">
        <f>SUM(AH6:$BJ6)-SUM(AH55:$BJ55)</f>
        <v>60022.938676463535</v>
      </c>
      <c r="V135" s="9">
        <f>SUM(AI6:$BJ6)-SUM(AI55:$BJ55)</f>
        <v>58315.702542118168</v>
      </c>
      <c r="W135" s="9">
        <f>SUM(AJ6:$BJ6)-SUM(AJ55:$BJ55)</f>
        <v>56594.351916878251</v>
      </c>
      <c r="X135" s="9">
        <f>SUM(AK6:$BJ6)-SUM(AK55:$BJ55)</f>
        <v>54858.770109883539</v>
      </c>
      <c r="Y135" s="9">
        <f>SUM(AL6:$BJ6)-SUM(AL55:$BJ55)</f>
        <v>53108.839465537778</v>
      </c>
      <c r="Z135" s="9">
        <f>SUM(AM6:$BJ6)-SUM(AM55:$BJ55)</f>
        <v>51344.441355532894</v>
      </c>
      <c r="AA135" s="9">
        <f>SUM(AN6:$BJ6)-SUM(AN55:$BJ55)</f>
        <v>49456.083875891301</v>
      </c>
      <c r="AB135" s="9">
        <f>SUM(AO6:$BJ6)-SUM(AO55:$BJ55)</f>
        <v>47552.114493528221</v>
      </c>
      <c r="AC135" s="9">
        <f>SUM(AP6:$BJ6)-SUM(AP55:$BJ55)</f>
        <v>45632.404137804631</v>
      </c>
      <c r="AD135" s="9">
        <f>SUM(AQ6:$BJ6)-SUM(AQ55:$BJ55)</f>
        <v>43696.822670996349</v>
      </c>
      <c r="AE135" s="9">
        <f>SUM(AR6:$BJ6)-SUM(AR55:$BJ55)</f>
        <v>41745.238879471945</v>
      </c>
      <c r="AF135" s="9">
        <f>SUM(AS6:$BJ6)-SUM(AS55:$BJ55)</f>
        <v>39777.520464797744</v>
      </c>
      <c r="AG135" s="9">
        <f>SUM(AT6:$BJ6)-SUM(AT55:$BJ55)</f>
        <v>37793.534034769262</v>
      </c>
      <c r="AH135" s="9">
        <f>SUM(AU6:$BJ6)-SUM(AU55:$BJ55)</f>
        <v>35793.145094368505</v>
      </c>
      <c r="AI135" s="9">
        <f>SUM(AV6:$BJ6)-SUM(AV55:$BJ55)</f>
        <v>33776.218036646547</v>
      </c>
      <c r="AJ135" s="9">
        <f>SUM(AW6:$BJ6)-SUM(AW55:$BJ55)</f>
        <v>31742.616133530657</v>
      </c>
      <c r="AK135" s="9">
        <f>SUM(AX6:$BJ6)-SUM(AX55:$BJ55)</f>
        <v>29692.201526555473</v>
      </c>
      <c r="AL135" s="9">
        <f>SUM(AY6:$BJ6)-SUM(AY55:$BJ55)</f>
        <v>27624.835217517553</v>
      </c>
      <c r="AM135" s="9">
        <f>SUM(AZ6:$BJ6)-SUM(AZ55:$BJ55)</f>
        <v>25425.575925295998</v>
      </c>
      <c r="AN135" s="9">
        <f>SUM(BA6:$BJ6)-SUM(BA55:$BJ55)</f>
        <v>23208.13436488653</v>
      </c>
      <c r="AO135" s="9">
        <f>SUM(BB6:$BJ6)-SUM(BB55:$BJ55)</f>
        <v>20972.360215279867</v>
      </c>
      <c r="AP135" s="9">
        <f>SUM(BC6:$BJ6)-SUM(BC55:$BJ55)</f>
        <v>18718.10191269518</v>
      </c>
      <c r="AQ135" s="9">
        <f>SUM(BD6:$BJ6)-SUM(BD55:$BJ55)</f>
        <v>16445.206640305525</v>
      </c>
      <c r="AR135" s="9">
        <f>SUM(BE6:$BJ6)-SUM(BE55:$BJ55)</f>
        <v>14153.520317878338</v>
      </c>
      <c r="AS135" s="9">
        <f>SUM(BF6:$BJ6)-SUM(BF55:$BJ55)</f>
        <v>11842.887591330305</v>
      </c>
      <c r="AT135" s="9">
        <f>SUM(BG6:$BJ6)-SUM(BG55:$BJ55)</f>
        <v>9513.1518221958595</v>
      </c>
      <c r="AU135" s="9">
        <f>SUM(BH6:$BJ6)-SUM(BH55:$BJ55)</f>
        <v>7164.1550770086069</v>
      </c>
      <c r="AV135" s="9">
        <f>SUM(BI6:$BJ6)-SUM(BI55:$BJ55)</f>
        <v>4795.7381165949828</v>
      </c>
      <c r="AW135" s="9">
        <f>SUM(BJ6:$BJ6)-SUM(BJ55:$BJ55)</f>
        <v>2407.7403852793727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23">
        <f t="shared" si="30"/>
        <v>0</v>
      </c>
      <c r="BL135" s="24"/>
      <c r="BM135" s="24"/>
    </row>
    <row r="136" spans="2:65" ht="15" customHeight="1" x14ac:dyDescent="0.25">
      <c r="B136" s="6">
        <v>3</v>
      </c>
      <c r="C136" s="9">
        <f>SUM(P7:$BJ7)-SUM(P56:$BJ56)</f>
        <v>786381.69553765538</v>
      </c>
      <c r="D136" s="9">
        <f>SUM(Q7:$BJ7)-SUM(Q56:$BJ56)</f>
        <v>773989.61372395034</v>
      </c>
      <c r="E136" s="9">
        <f>SUM(R7:$BJ7)-SUM(R56:$BJ56)</f>
        <v>761495.08098245319</v>
      </c>
      <c r="F136" s="9">
        <f>SUM(S7:$BJ7)-SUM(S56:$BJ56)</f>
        <v>748897.25030515017</v>
      </c>
      <c r="G136" s="9">
        <f>SUM(T7:$BJ7)-SUM(T56:$BJ56)</f>
        <v>736195.26768142986</v>
      </c>
      <c r="H136" s="9">
        <f>SUM(U7:$BJ7)-SUM(U56:$BJ56)</f>
        <v>723388.27204019087</v>
      </c>
      <c r="I136" s="9">
        <f>SUM(V7:$BJ7)-SUM(V56:$BJ56)</f>
        <v>710475.39519146783</v>
      </c>
      <c r="J136" s="9">
        <f>SUM(W7:$BJ7)-SUM(W56:$BJ56)</f>
        <v>697455.76176757819</v>
      </c>
      <c r="K136" s="9">
        <f>SUM(X7:$BJ7)-SUM(X56:$BJ56)</f>
        <v>684328.48916377965</v>
      </c>
      <c r="L136" s="9">
        <f>SUM(Y7:$BJ7)-SUM(Y56:$BJ56)</f>
        <v>671092.68747843895</v>
      </c>
      <c r="M136" s="9">
        <f>SUM(Z7:$BJ7)-SUM(Z56:$BJ56)</f>
        <v>657747.45945270429</v>
      </c>
      <c r="N136" s="9">
        <f>SUM(AA7:$BJ7)-SUM(AA56:$BJ56)</f>
        <v>644291.90040968079</v>
      </c>
      <c r="O136" s="9">
        <f>SUM(AB7:$BJ7)-SUM(AB56:$BJ56)</f>
        <v>629787.29656577215</v>
      </c>
      <c r="P136" s="9">
        <f>SUM(AC7:$BJ7)-SUM(AC56:$BJ56)</f>
        <v>615162.77662193729</v>
      </c>
      <c r="Q136" s="9">
        <f>SUM(AD7:$BJ7)-SUM(AD56:$BJ56)</f>
        <v>600417.34917770943</v>
      </c>
      <c r="R136" s="9">
        <f>SUM(AE7:$BJ7)-SUM(AE56:$BJ56)</f>
        <v>585550.01463626744</v>
      </c>
      <c r="S136" s="9">
        <f>SUM(AF7:$BJ7)-SUM(AF56:$BJ56)</f>
        <v>570559.76513667183</v>
      </c>
      <c r="T136" s="9">
        <f>SUM(AG7:$BJ7)-SUM(AG56:$BJ56)</f>
        <v>555445.58448554284</v>
      </c>
      <c r="U136" s="9">
        <f>SUM(AH7:$BJ7)-SUM(AH56:$BJ56)</f>
        <v>540206.44808817178</v>
      </c>
      <c r="V136" s="9">
        <f>SUM(AI7:$BJ7)-SUM(AI56:$BJ56)</f>
        <v>524841.32287906343</v>
      </c>
      <c r="W136" s="9">
        <f>SUM(AJ7:$BJ7)-SUM(AJ56:$BJ56)</f>
        <v>509349.16725190426</v>
      </c>
      <c r="X136" s="9">
        <f>SUM(AK7:$BJ7)-SUM(AK56:$BJ56)</f>
        <v>493728.93098895182</v>
      </c>
      <c r="Y136" s="9">
        <f>SUM(AL7:$BJ7)-SUM(AL56:$BJ56)</f>
        <v>477979.55518984015</v>
      </c>
      <c r="Z136" s="9">
        <f>SUM(AM7:$BJ7)-SUM(AM56:$BJ56)</f>
        <v>462099.97219979606</v>
      </c>
      <c r="AA136" s="9">
        <f>SUM(AN7:$BJ7)-SUM(AN56:$BJ56)</f>
        <v>445104.75488302176</v>
      </c>
      <c r="AB136" s="9">
        <f>SUM(AO7:$BJ7)-SUM(AO56:$BJ56)</f>
        <v>427969.03044175403</v>
      </c>
      <c r="AC136" s="9">
        <f>SUM(AP7:$BJ7)-SUM(AP56:$BJ56)</f>
        <v>410691.63724024169</v>
      </c>
      <c r="AD136" s="9">
        <f>SUM(AQ7:$BJ7)-SUM(AQ56:$BJ56)</f>
        <v>393271.40403896716</v>
      </c>
      <c r="AE136" s="9">
        <f>SUM(AR7:$BJ7)-SUM(AR56:$BJ56)</f>
        <v>375707.14991524752</v>
      </c>
      <c r="AF136" s="9">
        <f>SUM(AS7:$BJ7)-SUM(AS56:$BJ56)</f>
        <v>357997.68418317969</v>
      </c>
      <c r="AG136" s="9">
        <f>SUM(AT7:$BJ7)-SUM(AT56:$BJ56)</f>
        <v>340141.80631292332</v>
      </c>
      <c r="AH136" s="9">
        <f>SUM(AU7:$BJ7)-SUM(AU56:$BJ56)</f>
        <v>322138.30584931653</v>
      </c>
      <c r="AI136" s="9">
        <f>SUM(AV7:$BJ7)-SUM(AV56:$BJ56)</f>
        <v>303985.96232981887</v>
      </c>
      <c r="AJ136" s="9">
        <f>SUM(AW7:$BJ7)-SUM(AW56:$BJ56)</f>
        <v>285683.54520177579</v>
      </c>
      <c r="AK136" s="9">
        <f>SUM(AX7:$BJ7)-SUM(AX56:$BJ56)</f>
        <v>267229.81373899919</v>
      </c>
      <c r="AL136" s="9">
        <f>SUM(AY7:$BJ7)-SUM(AY56:$BJ56)</f>
        <v>248623.51695765794</v>
      </c>
      <c r="AM136" s="9">
        <f>SUM(AZ7:$BJ7)-SUM(AZ56:$BJ56)</f>
        <v>228830.18332766392</v>
      </c>
      <c r="AN136" s="9">
        <f>SUM(BA7:$BJ7)-SUM(BA56:$BJ56)</f>
        <v>208873.20928397868</v>
      </c>
      <c r="AO136" s="9">
        <f>SUM(BB7:$BJ7)-SUM(BB56:$BJ56)</f>
        <v>188751.24193751873</v>
      </c>
      <c r="AP136" s="9">
        <f>SUM(BC7:$BJ7)-SUM(BC56:$BJ56)</f>
        <v>168462.91721425659</v>
      </c>
      <c r="AQ136" s="9">
        <f>SUM(BD7:$BJ7)-SUM(BD56:$BJ56)</f>
        <v>148006.85976274969</v>
      </c>
      <c r="AR136" s="9">
        <f>SUM(BE7:$BJ7)-SUM(BE56:$BJ56)</f>
        <v>127381.68286090503</v>
      </c>
      <c r="AS136" s="9">
        <f>SUM(BF7:$BJ7)-SUM(BF56:$BJ56)</f>
        <v>106585.98832197272</v>
      </c>
      <c r="AT136" s="9">
        <f>SUM(BG7:$BJ7)-SUM(BG56:$BJ56)</f>
        <v>85618.366399762715</v>
      </c>
      <c r="AU136" s="9">
        <f>SUM(BH7:$BJ7)-SUM(BH56:$BJ56)</f>
        <v>64477.395693077451</v>
      </c>
      <c r="AV136" s="9">
        <f>SUM(BI7:$BJ7)-SUM(BI56:$BJ56)</f>
        <v>43161.64304935484</v>
      </c>
      <c r="AW136" s="9">
        <f>SUM(BJ7:$BJ7)-SUM(BJ56:$BJ56)</f>
        <v>21669.66346751435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0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23">
        <f t="shared" si="30"/>
        <v>0</v>
      </c>
      <c r="BL136" s="24"/>
      <c r="BM136" s="24"/>
    </row>
    <row r="137" spans="2:65" ht="15" customHeight="1" x14ac:dyDescent="0.25">
      <c r="B137" s="6">
        <v>4</v>
      </c>
      <c r="C137" s="9">
        <f>SUM(P8:$BJ8)-SUM(P57:$BJ57)</f>
        <v>43687.871974314243</v>
      </c>
      <c r="D137" s="9">
        <f>SUM(Q8:$BJ8)-SUM(Q57:$BJ57)</f>
        <v>42999.42298466395</v>
      </c>
      <c r="E137" s="9">
        <f>SUM(R8:$BJ8)-SUM(R57:$BJ57)</f>
        <v>42305.282276803002</v>
      </c>
      <c r="F137" s="9">
        <f>SUM(S8:$BJ8)-SUM(S57:$BJ57)</f>
        <v>41605.402794730602</v>
      </c>
      <c r="G137" s="9">
        <f>SUM(T8:$BJ8)-SUM(T57:$BJ57)</f>
        <v>40899.737093412819</v>
      </c>
      <c r="H137" s="9">
        <f>SUM(U8:$BJ8)-SUM(U57:$BJ57)</f>
        <v>40188.237335566191</v>
      </c>
      <c r="I137" s="9">
        <f>SUM(V8:$BJ8)-SUM(V57:$BJ57)</f>
        <v>39470.855288414918</v>
      </c>
      <c r="J137" s="9">
        <f>SUM(W8:$BJ8)-SUM(W57:$BJ57)</f>
        <v>38747.542320421038</v>
      </c>
      <c r="K137" s="9">
        <f>SUM(X8:$BJ8)-SUM(X57:$BJ57)</f>
        <v>38018.249397987798</v>
      </c>
      <c r="L137" s="9">
        <f>SUM(Y8:$BJ8)-SUM(Y57:$BJ57)</f>
        <v>37282.927082135524</v>
      </c>
      <c r="M137" s="9">
        <f>SUM(Z8:$BJ8)-SUM(Z57:$BJ57)</f>
        <v>36541.525525150268</v>
      </c>
      <c r="N137" s="9">
        <f>SUM(AA8:$BJ8)-SUM(AA57:$BJ57)</f>
        <v>35793.994467204517</v>
      </c>
      <c r="O137" s="9">
        <f>SUM(AB8:$BJ8)-SUM(AB57:$BJ57)</f>
        <v>34988.183142542912</v>
      </c>
      <c r="P137" s="9">
        <f>SUM(AC8:$BJ8)-SUM(AC57:$BJ57)</f>
        <v>34175.709812329864</v>
      </c>
      <c r="Q137" s="9">
        <f>SUM(AD8:$BJ8)-SUM(AD57:$BJ57)</f>
        <v>33356.519398761644</v>
      </c>
      <c r="R137" s="9">
        <f>SUM(AE8:$BJ8)-SUM(AE57:$BJ57)</f>
        <v>32530.556368681533</v>
      </c>
      <c r="S137" s="9">
        <f>SUM(AF8:$BJ8)-SUM(AF57:$BJ57)</f>
        <v>31697.764729815106</v>
      </c>
      <c r="T137" s="9">
        <f>SUM(AG8:$BJ8)-SUM(AG57:$BJ57)</f>
        <v>30858.088026974612</v>
      </c>
      <c r="U137" s="9">
        <f>SUM(AH8:$BJ8)-SUM(AH57:$BJ57)</f>
        <v>30011.469338231767</v>
      </c>
      <c r="V137" s="9">
        <f>SUM(AI8:$BJ8)-SUM(AI57:$BJ57)</f>
        <v>29157.851271059084</v>
      </c>
      <c r="W137" s="9">
        <f>SUM(AJ8:$BJ8)-SUM(AJ57:$BJ57)</f>
        <v>28297.175958439126</v>
      </c>
      <c r="X137" s="9">
        <f>SUM(AK8:$BJ8)-SUM(AK57:$BJ57)</f>
        <v>27429.385054941769</v>
      </c>
      <c r="Y137" s="9">
        <f>SUM(AL8:$BJ8)-SUM(AL57:$BJ57)</f>
        <v>26554.419732768889</v>
      </c>
      <c r="Z137" s="9">
        <f>SUM(AM8:$BJ8)-SUM(AM57:$BJ57)</f>
        <v>25672.220677766447</v>
      </c>
      <c r="AA137" s="9">
        <f>SUM(AN8:$BJ8)-SUM(AN57:$BJ57)</f>
        <v>24728.041937945651</v>
      </c>
      <c r="AB137" s="9">
        <f>SUM(AO8:$BJ8)-SUM(AO57:$BJ57)</f>
        <v>23776.05724676411</v>
      </c>
      <c r="AC137" s="9">
        <f>SUM(AP8:$BJ8)-SUM(AP57:$BJ57)</f>
        <v>22816.202068902316</v>
      </c>
      <c r="AD137" s="9">
        <f>SUM(AQ8:$BJ8)-SUM(AQ57:$BJ57)</f>
        <v>21848.411335498175</v>
      </c>
      <c r="AE137" s="9">
        <f>SUM(AR8:$BJ8)-SUM(AR57:$BJ57)</f>
        <v>20872.619439735972</v>
      </c>
      <c r="AF137" s="9">
        <f>SUM(AS8:$BJ8)-SUM(AS57:$BJ57)</f>
        <v>19888.760232398872</v>
      </c>
      <c r="AG137" s="9">
        <f>SUM(AT8:$BJ8)-SUM(AT57:$BJ57)</f>
        <v>18896.767017384631</v>
      </c>
      <c r="AH137" s="9">
        <f>SUM(AU8:$BJ8)-SUM(AU57:$BJ57)</f>
        <v>17896.572547184252</v>
      </c>
      <c r="AI137" s="9">
        <f>SUM(AV8:$BJ8)-SUM(AV57:$BJ57)</f>
        <v>16888.109018323274</v>
      </c>
      <c r="AJ137" s="9">
        <f>SUM(AW8:$BJ8)-SUM(AW57:$BJ57)</f>
        <v>15871.308066765328</v>
      </c>
      <c r="AK137" s="9">
        <f>SUM(AX8:$BJ8)-SUM(AX57:$BJ57)</f>
        <v>14846.100763277736</v>
      </c>
      <c r="AL137" s="9">
        <f>SUM(AY8:$BJ8)-SUM(AY57:$BJ57)</f>
        <v>13812.417608758777</v>
      </c>
      <c r="AM137" s="9">
        <f>SUM(AZ8:$BJ8)-SUM(AZ57:$BJ57)</f>
        <v>12712.787962647999</v>
      </c>
      <c r="AN137" s="9">
        <f>SUM(BA8:$BJ8)-SUM(BA57:$BJ57)</f>
        <v>11604.067182443265</v>
      </c>
      <c r="AO137" s="9">
        <f>SUM(BB8:$BJ8)-SUM(BB57:$BJ57)</f>
        <v>10486.180107639933</v>
      </c>
      <c r="AP137" s="9">
        <f>SUM(BC8:$BJ8)-SUM(BC57:$BJ57)</f>
        <v>9359.0509563475898</v>
      </c>
      <c r="AQ137" s="9">
        <f>SUM(BD8:$BJ8)-SUM(BD57:$BJ57)</f>
        <v>8222.6033201527625</v>
      </c>
      <c r="AR137" s="9">
        <f>SUM(BE8:$BJ8)-SUM(BE57:$BJ57)</f>
        <v>7076.7601589391688</v>
      </c>
      <c r="AS137" s="9">
        <f>SUM(BF8:$BJ8)-SUM(BF57:$BJ57)</f>
        <v>5921.4437956651527</v>
      </c>
      <c r="AT137" s="9">
        <f>SUM(BG8:$BJ8)-SUM(BG57:$BJ57)</f>
        <v>4756.5759110979297</v>
      </c>
      <c r="AU137" s="9">
        <f>SUM(BH8:$BJ8)-SUM(BH57:$BJ57)</f>
        <v>3582.0775385043034</v>
      </c>
      <c r="AV137" s="9">
        <f>SUM(BI8:$BJ8)-SUM(BI57:$BJ57)</f>
        <v>2397.8690582974914</v>
      </c>
      <c r="AW137" s="9">
        <f>SUM(BJ8:$BJ8)-SUM(BJ57:$BJ57)</f>
        <v>1203.8701926396864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23">
        <f>BJ137</f>
        <v>0</v>
      </c>
      <c r="BL137" s="24"/>
      <c r="BM137" s="24"/>
    </row>
    <row r="138" spans="2:65" ht="15" customHeight="1" x14ac:dyDescent="0.25">
      <c r="B138" s="6">
        <v>5</v>
      </c>
      <c r="C138" s="9">
        <f>SUM(P9:$BJ9)-SUM(P58:$BJ58)</f>
        <v>567942.33566608513</v>
      </c>
      <c r="D138" s="9">
        <f>SUM(Q9:$BJ9)-SUM(Q58:$BJ58)</f>
        <v>558992.4988006315</v>
      </c>
      <c r="E138" s="9">
        <f>SUM(R9:$BJ9)-SUM(R58:$BJ58)</f>
        <v>549968.66959843901</v>
      </c>
      <c r="F138" s="9">
        <f>SUM(S9:$BJ9)-SUM(S58:$BJ58)</f>
        <v>540870.23633149778</v>
      </c>
      <c r="G138" s="9">
        <f>SUM(T9:$BJ9)-SUM(T58:$BJ58)</f>
        <v>531696.58221436641</v>
      </c>
      <c r="H138" s="9">
        <f>SUM(U9:$BJ9)-SUM(U58:$BJ58)</f>
        <v>522447.08536236029</v>
      </c>
      <c r="I138" s="9">
        <f>SUM(V9:$BJ9)-SUM(V58:$BJ58)</f>
        <v>513121.11874939362</v>
      </c>
      <c r="J138" s="9">
        <f>SUM(W9:$BJ9)-SUM(W58:$BJ58)</f>
        <v>503718.05016547337</v>
      </c>
      <c r="K138" s="9">
        <f>SUM(X9:$BJ9)-SUM(X58:$BJ58)</f>
        <v>494237.24217384111</v>
      </c>
      <c r="L138" s="9">
        <f>SUM(Y9:$BJ9)-SUM(Y58:$BJ58)</f>
        <v>484678.05206776166</v>
      </c>
      <c r="M138" s="9">
        <f>SUM(Z9:$BJ9)-SUM(Z58:$BJ58)</f>
        <v>475039.83182695328</v>
      </c>
      <c r="N138" s="9">
        <f>SUM(AA9:$BJ9)-SUM(AA58:$BJ58)</f>
        <v>465321.92807365849</v>
      </c>
      <c r="O138" s="9">
        <f>SUM(AB9:$BJ9)-SUM(AB58:$BJ58)</f>
        <v>454846.38085305772</v>
      </c>
      <c r="P138" s="9">
        <f>SUM(AC9:$BJ9)-SUM(AC58:$BJ58)</f>
        <v>444284.22756028804</v>
      </c>
      <c r="Q138" s="9">
        <f>SUM(AD9:$BJ9)-SUM(AD58:$BJ58)</f>
        <v>433634.75218390126</v>
      </c>
      <c r="R138" s="9">
        <f>SUM(AE9:$BJ9)-SUM(AE58:$BJ58)</f>
        <v>422897.23279285972</v>
      </c>
      <c r="S138" s="9">
        <f>SUM(AF9:$BJ9)-SUM(AF58:$BJ58)</f>
        <v>412070.9414875962</v>
      </c>
      <c r="T138" s="9">
        <f>SUM(AG9:$BJ9)-SUM(AG58:$BJ58)</f>
        <v>401155.1443506697</v>
      </c>
      <c r="U138" s="9">
        <f>SUM(AH9:$BJ9)-SUM(AH58:$BJ58)</f>
        <v>390149.10139701283</v>
      </c>
      <c r="V138" s="9">
        <f>SUM(AI9:$BJ9)-SUM(AI58:$BJ58)</f>
        <v>379052.06652376789</v>
      </c>
      <c r="W138" s="9">
        <f>SUM(AJ9:$BJ9)-SUM(AJ58:$BJ58)</f>
        <v>367863.28745970852</v>
      </c>
      <c r="X138" s="9">
        <f>SUM(AK9:$BJ9)-SUM(AK58:$BJ58)</f>
        <v>356582.00571424281</v>
      </c>
      <c r="Y138" s="9">
        <f>SUM(AL9:$BJ9)-SUM(AL58:$BJ58)</f>
        <v>345207.45652599545</v>
      </c>
      <c r="Z138" s="9">
        <f>SUM(AM9:$BJ9)-SUM(AM58:$BJ58)</f>
        <v>333738.8688109637</v>
      </c>
      <c r="AA138" s="9">
        <f>SUM(AN9:$BJ9)-SUM(AN58:$BJ58)</f>
        <v>321464.54519329336</v>
      </c>
      <c r="AB138" s="9">
        <f>SUM(AO9:$BJ9)-SUM(AO58:$BJ58)</f>
        <v>309088.74420793337</v>
      </c>
      <c r="AC138" s="9">
        <f>SUM(AP9:$BJ9)-SUM(AP58:$BJ58)</f>
        <v>296610.62689573003</v>
      </c>
      <c r="AD138" s="9">
        <f>SUM(AQ9:$BJ9)-SUM(AQ58:$BJ58)</f>
        <v>284029.34736147616</v>
      </c>
      <c r="AE138" s="9">
        <f>SUM(AR9:$BJ9)-SUM(AR58:$BJ58)</f>
        <v>271344.05271656765</v>
      </c>
      <c r="AF138" s="9">
        <f>SUM(AS9:$BJ9)-SUM(AS58:$BJ58)</f>
        <v>258553.88302118532</v>
      </c>
      <c r="AG138" s="9">
        <f>SUM(AT9:$BJ9)-SUM(AT58:$BJ58)</f>
        <v>245657.9712260002</v>
      </c>
      <c r="AH138" s="9">
        <f>SUM(AU9:$BJ9)-SUM(AU58:$BJ58)</f>
        <v>232655.4431133953</v>
      </c>
      <c r="AI138" s="9">
        <f>SUM(AV9:$BJ9)-SUM(AV58:$BJ58)</f>
        <v>219545.41723820259</v>
      </c>
      <c r="AJ138" s="9">
        <f>SUM(AW9:$BJ9)-SUM(AW58:$BJ58)</f>
        <v>206327.00486794926</v>
      </c>
      <c r="AK138" s="9">
        <f>SUM(AX9:$BJ9)-SUM(AX58:$BJ58)</f>
        <v>192999.30992261058</v>
      </c>
      <c r="AL138" s="9">
        <f>SUM(AY9:$BJ9)-SUM(AY58:$BJ58)</f>
        <v>179561.4289138641</v>
      </c>
      <c r="AM138" s="9">
        <f>SUM(AZ9:$BJ9)-SUM(AZ58:$BJ58)</f>
        <v>165266.24351442399</v>
      </c>
      <c r="AN138" s="9">
        <f>SUM(BA9:$BJ9)-SUM(BA58:$BJ58)</f>
        <v>150852.8733717624</v>
      </c>
      <c r="AO138" s="9">
        <f>SUM(BB9:$BJ9)-SUM(BB58:$BJ58)</f>
        <v>136320.34139931909</v>
      </c>
      <c r="AP138" s="9">
        <f>SUM(BC9:$BJ9)-SUM(BC58:$BJ58)</f>
        <v>121667.66243251866</v>
      </c>
      <c r="AQ138" s="9">
        <f>SUM(BD9:$BJ9)-SUM(BD58:$BJ58)</f>
        <v>106893.84316198589</v>
      </c>
      <c r="AR138" s="9">
        <f>SUM(BE9:$BJ9)-SUM(BE58:$BJ58)</f>
        <v>91997.882066209189</v>
      </c>
      <c r="AS138" s="9">
        <f>SUM(BF9:$BJ9)-SUM(BF58:$BJ58)</f>
        <v>76978.769343646971</v>
      </c>
      <c r="AT138" s="9">
        <f>SUM(BG9:$BJ9)-SUM(BG58:$BJ58)</f>
        <v>61835.486844273066</v>
      </c>
      <c r="AU138" s="9">
        <f>SUM(BH9:$BJ9)-SUM(BH58:$BJ58)</f>
        <v>46567.008000555936</v>
      </c>
      <c r="AV138" s="9">
        <f>SUM(BI9:$BJ9)-SUM(BI58:$BJ58)</f>
        <v>31172.297757867378</v>
      </c>
      <c r="AW138" s="9">
        <f>SUM(BJ9:$BJ9)-SUM(BJ58:$BJ58)</f>
        <v>15650.312504315918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23">
        <f t="shared" ref="BK138:BK143" si="31">BJ138</f>
        <v>0</v>
      </c>
      <c r="BL138" s="24"/>
      <c r="BM138" s="24"/>
    </row>
    <row r="139" spans="2:65" ht="15" customHeight="1" x14ac:dyDescent="0.25">
      <c r="B139" s="6">
        <v>6</v>
      </c>
      <c r="C139" s="9">
        <f>SUM(P10:$BJ10)-SUM(P59:$BJ59)</f>
        <v>416782.29863495775</v>
      </c>
      <c r="D139" s="9">
        <f>SUM(Q10:$BJ10)-SUM(Q59:$BJ59)</f>
        <v>410214.49527369405</v>
      </c>
      <c r="E139" s="9">
        <f>SUM(R10:$BJ10)-SUM(R59:$BJ59)</f>
        <v>403592.39292070054</v>
      </c>
      <c r="F139" s="9">
        <f>SUM(S10:$BJ10)-SUM(S59:$BJ59)</f>
        <v>396915.54266172985</v>
      </c>
      <c r="G139" s="9">
        <f>SUM(T10:$BJ10)-SUM(T59:$BJ59)</f>
        <v>390183.49187115813</v>
      </c>
      <c r="H139" s="9">
        <f>SUM(U10:$BJ10)-SUM(U59:$BJ59)</f>
        <v>383395.78418130137</v>
      </c>
      <c r="I139" s="9">
        <f>SUM(V10:$BJ10)-SUM(V59:$BJ59)</f>
        <v>376551.95945147821</v>
      </c>
      <c r="J139" s="9">
        <f>SUM(W10:$BJ10)-SUM(W59:$BJ59)</f>
        <v>369651.55373681668</v>
      </c>
      <c r="K139" s="9">
        <f>SUM(X10:$BJ10)-SUM(X59:$BJ59)</f>
        <v>362694.09925680351</v>
      </c>
      <c r="L139" s="9">
        <f>SUM(Y10:$BJ10)-SUM(Y59:$BJ59)</f>
        <v>355679.12436357292</v>
      </c>
      <c r="M139" s="9">
        <f>SUM(Z10:$BJ10)-SUM(Z59:$BJ59)</f>
        <v>348606.15350993362</v>
      </c>
      <c r="N139" s="9">
        <f>SUM(AA10:$BJ10)-SUM(AA59:$BJ59)</f>
        <v>341474.70721713116</v>
      </c>
      <c r="O139" s="9">
        <f>SUM(AB10:$BJ10)-SUM(AB59:$BJ59)</f>
        <v>333787.26717985945</v>
      </c>
      <c r="P139" s="9">
        <f>SUM(AC10:$BJ10)-SUM(AC59:$BJ59)</f>
        <v>326036.27160962694</v>
      </c>
      <c r="Q139" s="9">
        <f>SUM(AD10:$BJ10)-SUM(AD59:$BJ59)</f>
        <v>318221.19506418612</v>
      </c>
      <c r="R139" s="9">
        <f>SUM(AE10:$BJ10)-SUM(AE59:$BJ59)</f>
        <v>310341.50775722181</v>
      </c>
      <c r="S139" s="9">
        <f>SUM(AF10:$BJ10)-SUM(AF59:$BJ59)</f>
        <v>302396.6755224361</v>
      </c>
      <c r="T139" s="9">
        <f>SUM(AG10:$BJ10)-SUM(AG59:$BJ59)</f>
        <v>294386.15977733769</v>
      </c>
      <c r="U139" s="9">
        <f>SUM(AH10:$BJ10)-SUM(AH59:$BJ59)</f>
        <v>286309.41748673102</v>
      </c>
      <c r="V139" s="9">
        <f>SUM(AI10:$BJ10)-SUM(AI59:$BJ59)</f>
        <v>278165.90112590359</v>
      </c>
      <c r="W139" s="9">
        <f>SUM(AJ10:$BJ10)-SUM(AJ59:$BJ59)</f>
        <v>269955.05864350917</v>
      </c>
      <c r="X139" s="9">
        <f>SUM(AK10:$BJ10)-SUM(AK59:$BJ59)</f>
        <v>261676.3334241444</v>
      </c>
      <c r="Y139" s="9">
        <f>SUM(AL10:$BJ10)-SUM(AL59:$BJ59)</f>
        <v>253329.16425061511</v>
      </c>
      <c r="Z139" s="9">
        <f>SUM(AM10:$BJ10)-SUM(AM59:$BJ59)</f>
        <v>244912.9852658918</v>
      </c>
      <c r="AA139" s="9">
        <f>SUM(AN10:$BJ10)-SUM(AN59:$BJ59)</f>
        <v>235905.52008800139</v>
      </c>
      <c r="AB139" s="9">
        <f>SUM(AO10:$BJ10)-SUM(AO59:$BJ59)</f>
        <v>226823.58613412949</v>
      </c>
      <c r="AC139" s="9">
        <f>SUM(AP10:$BJ10)-SUM(AP59:$BJ59)</f>
        <v>217666.56773732801</v>
      </c>
      <c r="AD139" s="9">
        <f>SUM(AQ10:$BJ10)-SUM(AQ59:$BJ59)</f>
        <v>208433.84414065248</v>
      </c>
      <c r="AE139" s="9">
        <f>SUM(AR10:$BJ10)-SUM(AR59:$BJ59)</f>
        <v>199124.78945508107</v>
      </c>
      <c r="AF139" s="9">
        <f>SUM(AS10:$BJ10)-SUM(AS59:$BJ59)</f>
        <v>189738.77261708517</v>
      </c>
      <c r="AG139" s="9">
        <f>SUM(AT10:$BJ10)-SUM(AT59:$BJ59)</f>
        <v>180275.15734584932</v>
      </c>
      <c r="AH139" s="9">
        <f>SUM(AU10:$BJ10)-SUM(AU59:$BJ59)</f>
        <v>170733.30210013775</v>
      </c>
      <c r="AI139" s="9">
        <f>SUM(AV10:$BJ10)-SUM(AV59:$BJ59)</f>
        <v>161112.56003480399</v>
      </c>
      <c r="AJ139" s="9">
        <f>SUM(AW10:$BJ10)-SUM(AW59:$BJ59)</f>
        <v>151412.27895694121</v>
      </c>
      <c r="AK139" s="9">
        <f>SUM(AX10:$BJ10)-SUM(AX59:$BJ59)</f>
        <v>141631.80128166958</v>
      </c>
      <c r="AL139" s="9">
        <f>SUM(AY10:$BJ10)-SUM(AY59:$BJ59)</f>
        <v>131770.4639875587</v>
      </c>
      <c r="AM139" s="9">
        <f>SUM(AZ10:$BJ10)-SUM(AZ59:$BJ59)</f>
        <v>121279.9971636619</v>
      </c>
      <c r="AN139" s="9">
        <f>SUM(BA10:$BJ10)-SUM(BA59:$BJ59)</f>
        <v>110702.80092050871</v>
      </c>
      <c r="AO139" s="9">
        <f>SUM(BB10:$BJ10)-SUM(BB59:$BJ59)</f>
        <v>100038.15822688495</v>
      </c>
      <c r="AP139" s="9">
        <f>SUM(BC10:$BJ10)-SUM(BC59:$BJ59)</f>
        <v>89285.346123555995</v>
      </c>
      <c r="AQ139" s="9">
        <f>SUM(BD10:$BJ10)-SUM(BD59:$BJ59)</f>
        <v>78443.635674257341</v>
      </c>
      <c r="AR139" s="9">
        <f>SUM(BE10:$BJ10)-SUM(BE59:$BJ59)</f>
        <v>67512.291916279661</v>
      </c>
      <c r="AS139" s="9">
        <f>SUM(BF10:$BJ10)-SUM(BF59:$BJ59)</f>
        <v>56490.573810645546</v>
      </c>
      <c r="AT139" s="9">
        <f>SUM(BG10:$BJ10)-SUM(BG59:$BJ59)</f>
        <v>45377.734191874239</v>
      </c>
      <c r="AU139" s="9">
        <f>SUM(BH10:$BJ10)-SUM(BH59:$BJ59)</f>
        <v>34173.019717331052</v>
      </c>
      <c r="AV139" s="9">
        <f>SUM(BI10:$BJ10)-SUM(BI59:$BJ59)</f>
        <v>22875.670816158065</v>
      </c>
      <c r="AW139" s="9">
        <f>SUM(BJ10:$BJ10)-SUM(BJ59:$BJ59)</f>
        <v>11484.921637782607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23">
        <f t="shared" si="31"/>
        <v>0</v>
      </c>
      <c r="BL139" s="24"/>
      <c r="BM139" s="24"/>
    </row>
    <row r="140" spans="2:65" ht="15" customHeight="1" x14ac:dyDescent="0.25">
      <c r="B140" s="6">
        <v>7</v>
      </c>
      <c r="C140" s="9">
        <f>SUM(P11:$BJ11)-SUM(P60:$BJ60)</f>
        <v>152907.55191009998</v>
      </c>
      <c r="D140" s="9">
        <f>SUM(Q11:$BJ11)-SUM(Q60:$BJ60)</f>
        <v>150497.98044632396</v>
      </c>
      <c r="E140" s="9">
        <f>SUM(R11:$BJ11)-SUM(R60:$BJ60)</f>
        <v>148068.4879688106</v>
      </c>
      <c r="F140" s="9">
        <f>SUM(S11:$BJ11)-SUM(S60:$BJ60)</f>
        <v>145618.90978155722</v>
      </c>
      <c r="G140" s="9">
        <f>SUM(T11:$BJ11)-SUM(T60:$BJ60)</f>
        <v>143149.07982694492</v>
      </c>
      <c r="H140" s="9">
        <f>SUM(U11:$BJ11)-SUM(U60:$BJ60)</f>
        <v>140658.83067448175</v>
      </c>
      <c r="I140" s="9">
        <f>SUM(V11:$BJ11)-SUM(V60:$BJ60)</f>
        <v>138147.9935094523</v>
      </c>
      <c r="J140" s="9">
        <f>SUM(W11:$BJ11)-SUM(W60:$BJ60)</f>
        <v>135616.39812147373</v>
      </c>
      <c r="K140" s="9">
        <f>SUM(X11:$BJ11)-SUM(X60:$BJ60)</f>
        <v>133063.87289295736</v>
      </c>
      <c r="L140" s="9">
        <f>SUM(Y11:$BJ11)-SUM(Y60:$BJ60)</f>
        <v>130490.2447874744</v>
      </c>
      <c r="M140" s="9">
        <f>SUM(Z11:$BJ11)-SUM(Z60:$BJ60)</f>
        <v>127895.33933802599</v>
      </c>
      <c r="N140" s="9">
        <f>SUM(AA11:$BJ11)-SUM(AA60:$BJ60)</f>
        <v>125278.98063521588</v>
      </c>
      <c r="O140" s="9">
        <f>SUM(AB11:$BJ11)-SUM(AB60:$BJ60)</f>
        <v>122458.64099890027</v>
      </c>
      <c r="P140" s="9">
        <f>SUM(AC11:$BJ11)-SUM(AC60:$BJ60)</f>
        <v>119614.98434315459</v>
      </c>
      <c r="Q140" s="9">
        <f>SUM(AD11:$BJ11)-SUM(AD60:$BJ60)</f>
        <v>116747.81789566585</v>
      </c>
      <c r="R140" s="9">
        <f>SUM(AE11:$BJ11)-SUM(AE60:$BJ60)</f>
        <v>113856.94729038543</v>
      </c>
      <c r="S140" s="9">
        <f>SUM(AF11:$BJ11)-SUM(AF60:$BJ60)</f>
        <v>110942.17655435296</v>
      </c>
      <c r="T140" s="9">
        <f>SUM(AG11:$BJ11)-SUM(AG60:$BJ60)</f>
        <v>108003.30809441122</v>
      </c>
      <c r="U140" s="9">
        <f>SUM(AH11:$BJ11)-SUM(AH60:$BJ60)</f>
        <v>105040.14268381128</v>
      </c>
      <c r="V140" s="9">
        <f>SUM(AI11:$BJ11)-SUM(AI60:$BJ60)</f>
        <v>102052.47944870687</v>
      </c>
      <c r="W140" s="9">
        <f>SUM(AJ11:$BJ11)-SUM(AJ60:$BJ60)</f>
        <v>99040.115854537027</v>
      </c>
      <c r="X140" s="9">
        <f>SUM(AK11:$BJ11)-SUM(AK60:$BJ60)</f>
        <v>96002.847692296258</v>
      </c>
      <c r="Y140" s="9">
        <f>SUM(AL11:$BJ11)-SUM(AL60:$BJ60)</f>
        <v>92940.469064691191</v>
      </c>
      <c r="Z140" s="9">
        <f>SUM(AM11:$BJ11)-SUM(AM60:$BJ60)</f>
        <v>89852.772372182619</v>
      </c>
      <c r="AA140" s="9">
        <f>SUM(AN11:$BJ11)-SUM(AN60:$BJ60)</f>
        <v>86548.146782809839</v>
      </c>
      <c r="AB140" s="9">
        <f>SUM(AO11:$BJ11)-SUM(AO60:$BJ60)</f>
        <v>83216.200363674434</v>
      </c>
      <c r="AC140" s="9">
        <f>SUM(AP11:$BJ11)-SUM(AP60:$BJ60)</f>
        <v>79856.707241158161</v>
      </c>
      <c r="AD140" s="9">
        <f>SUM(AQ11:$BJ11)-SUM(AQ60:$BJ60)</f>
        <v>76469.439674243651</v>
      </c>
      <c r="AE140" s="9">
        <f>SUM(AR11:$BJ11)-SUM(AR60:$BJ60)</f>
        <v>73054.168039075943</v>
      </c>
      <c r="AF140" s="9">
        <f>SUM(AS11:$BJ11)-SUM(AS60:$BJ60)</f>
        <v>69610.660813396098</v>
      </c>
      <c r="AG140" s="9">
        <f>SUM(AT11:$BJ11)-SUM(AT60:$BJ60)</f>
        <v>66138.684560846232</v>
      </c>
      <c r="AH140" s="9">
        <f>SUM(AU11:$BJ11)-SUM(AU60:$BJ60)</f>
        <v>62638.003915144902</v>
      </c>
      <c r="AI140" s="9">
        <f>SUM(AV11:$BJ11)-SUM(AV60:$BJ60)</f>
        <v>59108.381564131472</v>
      </c>
      <c r="AJ140" s="9">
        <f>SUM(AW11:$BJ11)-SUM(AW60:$BJ60)</f>
        <v>55549.578233678665</v>
      </c>
      <c r="AK140" s="9">
        <f>SUM(AX11:$BJ11)-SUM(AX60:$BJ60)</f>
        <v>51961.352671472101</v>
      </c>
      <c r="AL140" s="9">
        <f>SUM(AY11:$BJ11)-SUM(AY60:$BJ60)</f>
        <v>48343.461630655736</v>
      </c>
      <c r="AM140" s="9">
        <f>SUM(AZ11:$BJ11)-SUM(AZ60:$BJ60)</f>
        <v>44494.757869268018</v>
      </c>
      <c r="AN140" s="9">
        <f>SUM(BA11:$BJ11)-SUM(BA60:$BJ60)</f>
        <v>40614.235138551441</v>
      </c>
      <c r="AO140" s="9">
        <f>SUM(BB11:$BJ11)-SUM(BB60:$BJ60)</f>
        <v>36701.630376739784</v>
      </c>
      <c r="AP140" s="9">
        <f>SUM(BC11:$BJ11)-SUM(BC60:$BJ60)</f>
        <v>32756.678347216584</v>
      </c>
      <c r="AQ140" s="9">
        <f>SUM(BD11:$BJ11)-SUM(BD60:$BJ60)</f>
        <v>28779.111620534681</v>
      </c>
      <c r="AR140" s="9">
        <f>SUM(BE11:$BJ11)-SUM(BE60:$BJ60)</f>
        <v>24768.660556287105</v>
      </c>
      <c r="AS140" s="9">
        <f>SUM(BF11:$BJ11)-SUM(BF60:$BJ60)</f>
        <v>20725.053284828045</v>
      </c>
      <c r="AT140" s="9">
        <f>SUM(BG11:$BJ11)-SUM(BG60:$BJ60)</f>
        <v>16648.015688842763</v>
      </c>
      <c r="AU140" s="9">
        <f>SUM(BH11:$BJ11)-SUM(BH60:$BJ60)</f>
        <v>12537.27138476507</v>
      </c>
      <c r="AV140" s="9">
        <f>SUM(BI11:$BJ11)-SUM(BI60:$BJ60)</f>
        <v>8392.5417040412249</v>
      </c>
      <c r="AW140" s="9">
        <f>SUM(BJ11:$BJ11)-SUM(BJ60:$BJ60)</f>
        <v>4213.5456742389051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23">
        <f t="shared" si="31"/>
        <v>0</v>
      </c>
      <c r="BL140" s="24"/>
      <c r="BM140" s="24"/>
    </row>
    <row r="141" spans="2:65" ht="15" customHeight="1" x14ac:dyDescent="0.25">
      <c r="B141" s="6"/>
      <c r="C141" s="9">
        <f>SUM(P12:$BJ12)-SUM(P61:$BJ61)</f>
        <v>0</v>
      </c>
      <c r="D141" s="9">
        <f>SUM(Q12:$BJ12)-SUM(Q61:$BJ61)</f>
        <v>0</v>
      </c>
      <c r="E141" s="9">
        <f>SUM(R12:$BJ12)-SUM(R61:$BJ61)</f>
        <v>0</v>
      </c>
      <c r="F141" s="9">
        <f>SUM(S12:$BJ12)-SUM(S61:$BJ61)</f>
        <v>0</v>
      </c>
      <c r="G141" s="9">
        <f>SUM(T12:$BJ12)-SUM(T61:$BJ61)</f>
        <v>0</v>
      </c>
      <c r="H141" s="9">
        <f>SUM(U12:$BJ12)-SUM(U61:$BJ61)</f>
        <v>0</v>
      </c>
      <c r="I141" s="9">
        <f>SUM(V12:$BJ12)-SUM(V61:$BJ61)</f>
        <v>0</v>
      </c>
      <c r="J141" s="9">
        <f>SUM(W12:$BJ12)-SUM(W61:$BJ61)</f>
        <v>0</v>
      </c>
      <c r="K141" s="9">
        <f>SUM(X12:$BJ12)-SUM(X61:$BJ61)</f>
        <v>0</v>
      </c>
      <c r="L141" s="9">
        <f>SUM(Y12:$BJ12)-SUM(Y61:$BJ61)</f>
        <v>0</v>
      </c>
      <c r="M141" s="9">
        <f>SUM(Z12:$BJ12)-SUM(Z61:$BJ61)</f>
        <v>0</v>
      </c>
      <c r="N141" s="9">
        <f>SUM(AA12:$BJ12)-SUM(AA61:$BJ61)</f>
        <v>0</v>
      </c>
      <c r="O141" s="9">
        <f>SUM(AB12:$BJ12)-SUM(AB61:$BJ61)</f>
        <v>0</v>
      </c>
      <c r="P141" s="9">
        <f>SUM(AC12:$BJ12)-SUM(AC61:$BJ61)</f>
        <v>0</v>
      </c>
      <c r="Q141" s="9">
        <f>SUM(AD12:$BJ12)-SUM(AD61:$BJ61)</f>
        <v>0</v>
      </c>
      <c r="R141" s="9">
        <f>SUM(AE12:$BJ12)-SUM(AE61:$BJ61)</f>
        <v>0</v>
      </c>
      <c r="S141" s="9">
        <f>SUM(AF12:$BJ12)-SUM(AF61:$BJ61)</f>
        <v>0</v>
      </c>
      <c r="T141" s="9">
        <f>SUM(AG12:$BJ12)-SUM(AG61:$BJ61)</f>
        <v>0</v>
      </c>
      <c r="U141" s="9">
        <f>SUM(AH12:$BJ12)-SUM(AH61:$BJ61)</f>
        <v>0</v>
      </c>
      <c r="V141" s="9">
        <f>SUM(AI12:$BJ12)-SUM(AI61:$BJ61)</f>
        <v>0</v>
      </c>
      <c r="W141" s="9">
        <f>SUM(AJ12:$BJ12)-SUM(AJ61:$BJ61)</f>
        <v>0</v>
      </c>
      <c r="X141" s="9">
        <f>SUM(AK12:$BJ12)-SUM(AK61:$BJ61)</f>
        <v>0</v>
      </c>
      <c r="Y141" s="9">
        <f>SUM(AL12:$BJ12)-SUM(AL61:$BJ61)</f>
        <v>0</v>
      </c>
      <c r="Z141" s="9">
        <f>SUM(AM12:$BJ12)-SUM(AM61:$BJ61)</f>
        <v>0</v>
      </c>
      <c r="AA141" s="9">
        <f>SUM(AN12:$BJ12)-SUM(AN61:$BJ61)</f>
        <v>0</v>
      </c>
      <c r="AB141" s="9">
        <f>SUM(AO12:$BJ12)-SUM(AO61:$BJ61)</f>
        <v>0</v>
      </c>
      <c r="AC141" s="9">
        <f>SUM(AP12:$BJ12)-SUM(AP61:$BJ61)</f>
        <v>0</v>
      </c>
      <c r="AD141" s="9">
        <f>SUM(AQ12:$BJ12)-SUM(AQ61:$BJ61)</f>
        <v>0</v>
      </c>
      <c r="AE141" s="9">
        <f>SUM(AR12:$BJ12)-SUM(AR61:$BJ61)</f>
        <v>0</v>
      </c>
      <c r="AF141" s="9">
        <f>SUM(AS12:$BJ12)-SUM(AS61:$BJ61)</f>
        <v>0</v>
      </c>
      <c r="AG141" s="9">
        <f>SUM(AT12:$BJ12)-SUM(AT61:$BJ61)</f>
        <v>0</v>
      </c>
      <c r="AH141" s="9">
        <f>SUM(AU12:$BJ12)-SUM(AU61:$BJ61)</f>
        <v>0</v>
      </c>
      <c r="AI141" s="9">
        <f>SUM(AV12:$BJ12)-SUM(AV61:$BJ61)</f>
        <v>0</v>
      </c>
      <c r="AJ141" s="9">
        <f>SUM(AW12:$BJ12)-SUM(AW61:$BJ61)</f>
        <v>0</v>
      </c>
      <c r="AK141" s="9">
        <f>SUM(AX12:$BJ12)-SUM(AX61:$BJ61)</f>
        <v>0</v>
      </c>
      <c r="AL141" s="9">
        <f>SUM(AY12:$BJ12)-SUM(AY61:$BJ61)</f>
        <v>0</v>
      </c>
      <c r="AM141" s="9">
        <f>SUM(AZ12:$BJ12)-SUM(AZ61:$BJ61)</f>
        <v>0</v>
      </c>
      <c r="AN141" s="9">
        <f>SUM(BA12:$BJ12)-SUM(BA61:$BJ61)</f>
        <v>0</v>
      </c>
      <c r="AO141" s="9">
        <f>SUM(BB12:$BJ12)-SUM(BB61:$BJ61)</f>
        <v>0</v>
      </c>
      <c r="AP141" s="9">
        <f>SUM(BC12:$BJ12)-SUM(BC61:$BJ61)</f>
        <v>0</v>
      </c>
      <c r="AQ141" s="9">
        <f>SUM(BD12:$BJ12)-SUM(BD61:$BJ61)</f>
        <v>0</v>
      </c>
      <c r="AR141" s="9">
        <f>SUM(BE12:$BJ12)-SUM(BE61:$BJ61)</f>
        <v>0</v>
      </c>
      <c r="AS141" s="9">
        <f>SUM(BF12:$BJ12)-SUM(BF61:$BJ61)</f>
        <v>0</v>
      </c>
      <c r="AT141" s="9">
        <f>SUM(BG12:$BJ12)-SUM(BG61:$BJ61)</f>
        <v>0</v>
      </c>
      <c r="AU141" s="9">
        <f>SUM(BH12:$BJ12)-SUM(BH61:$BJ61)</f>
        <v>0</v>
      </c>
      <c r="AV141" s="9">
        <f>SUM(BI12:$BJ12)-SUM(BI61:$BJ61)</f>
        <v>0</v>
      </c>
      <c r="AW141" s="9">
        <f>SUM(BJ12:$BJ12)-SUM(BJ61:$BJ61)</f>
        <v>0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23">
        <f t="shared" si="31"/>
        <v>0</v>
      </c>
      <c r="BM141" s="24"/>
    </row>
    <row r="142" spans="2:65" ht="15" customHeight="1" x14ac:dyDescent="0.25">
      <c r="B142" s="6"/>
      <c r="C142" s="9">
        <f>SUM(P13:$BJ13)-SUM(P62:$BJ62)</f>
        <v>0</v>
      </c>
      <c r="D142" s="9">
        <f>SUM(Q13:$BJ13)-SUM(Q62:$BJ62)</f>
        <v>0</v>
      </c>
      <c r="E142" s="9">
        <f>SUM(R13:$BJ13)-SUM(R62:$BJ62)</f>
        <v>0</v>
      </c>
      <c r="F142" s="9">
        <f>SUM(S13:$BJ13)-SUM(S62:$BJ62)</f>
        <v>0</v>
      </c>
      <c r="G142" s="9">
        <f>SUM(T13:$BJ13)-SUM(T62:$BJ62)</f>
        <v>0</v>
      </c>
      <c r="H142" s="9">
        <f>SUM(U13:$BJ13)-SUM(U62:$BJ62)</f>
        <v>0</v>
      </c>
      <c r="I142" s="9">
        <f>SUM(V13:$BJ13)-SUM(V62:$BJ62)</f>
        <v>0</v>
      </c>
      <c r="J142" s="9">
        <f>SUM(W13:$BJ13)-SUM(W62:$BJ62)</f>
        <v>0</v>
      </c>
      <c r="K142" s="9">
        <f>SUM(X13:$BJ13)-SUM(X62:$BJ62)</f>
        <v>0</v>
      </c>
      <c r="L142" s="9">
        <f>SUM(Y13:$BJ13)-SUM(Y62:$BJ62)</f>
        <v>0</v>
      </c>
      <c r="M142" s="9">
        <f>SUM(Z13:$BJ13)-SUM(Z62:$BJ62)</f>
        <v>0</v>
      </c>
      <c r="N142" s="9">
        <f>SUM(AA13:$BJ13)-SUM(AA62:$BJ62)</f>
        <v>0</v>
      </c>
      <c r="O142" s="9">
        <f>SUM(AB13:$BJ13)-SUM(AB62:$BJ62)</f>
        <v>0</v>
      </c>
      <c r="P142" s="9">
        <f>SUM(AC13:$BJ13)-SUM(AC62:$BJ62)</f>
        <v>0</v>
      </c>
      <c r="Q142" s="9">
        <f>SUM(AD13:$BJ13)-SUM(AD62:$BJ62)</f>
        <v>0</v>
      </c>
      <c r="R142" s="9">
        <f>SUM(AE13:$BJ13)-SUM(AE62:$BJ62)</f>
        <v>0</v>
      </c>
      <c r="S142" s="9">
        <f>SUM(AF13:$BJ13)-SUM(AF62:$BJ62)</f>
        <v>0</v>
      </c>
      <c r="T142" s="9">
        <f>SUM(AG13:$BJ13)-SUM(AG62:$BJ62)</f>
        <v>0</v>
      </c>
      <c r="U142" s="9">
        <f>SUM(AH13:$BJ13)-SUM(AH62:$BJ62)</f>
        <v>0</v>
      </c>
      <c r="V142" s="9">
        <f>SUM(AI13:$BJ13)-SUM(AI62:$BJ62)</f>
        <v>0</v>
      </c>
      <c r="W142" s="9">
        <f>SUM(AJ13:$BJ13)-SUM(AJ62:$BJ62)</f>
        <v>0</v>
      </c>
      <c r="X142" s="9">
        <f>SUM(AK13:$BJ13)-SUM(AK62:$BJ62)</f>
        <v>0</v>
      </c>
      <c r="Y142" s="9">
        <f>SUM(AL13:$BJ13)-SUM(AL62:$BJ62)</f>
        <v>0</v>
      </c>
      <c r="Z142" s="9">
        <f>SUM(AM13:$BJ13)-SUM(AM62:$BJ62)</f>
        <v>0</v>
      </c>
      <c r="AA142" s="9">
        <f>SUM(AN13:$BJ13)-SUM(AN62:$BJ62)</f>
        <v>0</v>
      </c>
      <c r="AB142" s="9">
        <f>SUM(AO13:$BJ13)-SUM(AO62:$BJ62)</f>
        <v>0</v>
      </c>
      <c r="AC142" s="9">
        <f>SUM(AP13:$BJ13)-SUM(AP62:$BJ62)</f>
        <v>0</v>
      </c>
      <c r="AD142" s="9">
        <f>SUM(AQ13:$BJ13)-SUM(AQ62:$BJ62)</f>
        <v>0</v>
      </c>
      <c r="AE142" s="9">
        <f>SUM(AR13:$BJ13)-SUM(AR62:$BJ62)</f>
        <v>0</v>
      </c>
      <c r="AF142" s="9">
        <f>SUM(AS13:$BJ13)-SUM(AS62:$BJ62)</f>
        <v>0</v>
      </c>
      <c r="AG142" s="9">
        <f>SUM(AT13:$BJ13)-SUM(AT62:$BJ62)</f>
        <v>0</v>
      </c>
      <c r="AH142" s="9">
        <f>SUM(AU13:$BJ13)-SUM(AU62:$BJ62)</f>
        <v>0</v>
      </c>
      <c r="AI142" s="9">
        <f>SUM(AV13:$BJ13)-SUM(AV62:$BJ62)</f>
        <v>0</v>
      </c>
      <c r="AJ142" s="9">
        <f>SUM(AW13:$BJ13)-SUM(AW62:$BJ62)</f>
        <v>0</v>
      </c>
      <c r="AK142" s="9">
        <f>SUM(AX13:$BJ13)-SUM(AX62:$BJ62)</f>
        <v>0</v>
      </c>
      <c r="AL142" s="9">
        <f>SUM(AY13:$BJ13)-SUM(AY62:$BJ62)</f>
        <v>0</v>
      </c>
      <c r="AM142" s="9">
        <f>SUM(AZ13:$BJ13)-SUM(AZ62:$BJ62)</f>
        <v>0</v>
      </c>
      <c r="AN142" s="9">
        <f>SUM(BA13:$BJ13)-SUM(BA62:$BJ62)</f>
        <v>0</v>
      </c>
      <c r="AO142" s="9">
        <f>SUM(BB13:$BJ13)-SUM(BB62:$BJ62)</f>
        <v>0</v>
      </c>
      <c r="AP142" s="9">
        <f>SUM(BC13:$BJ13)-SUM(BC62:$BJ62)</f>
        <v>0</v>
      </c>
      <c r="AQ142" s="9">
        <f>SUM(BD13:$BJ13)-SUM(BD62:$BJ62)</f>
        <v>0</v>
      </c>
      <c r="AR142" s="9">
        <f>SUM(BE13:$BJ13)-SUM(BE62:$BJ62)</f>
        <v>0</v>
      </c>
      <c r="AS142" s="9">
        <f>SUM(BF13:$BJ13)-SUM(BF62:$BJ62)</f>
        <v>0</v>
      </c>
      <c r="AT142" s="9">
        <f>SUM(BG13:$BJ13)-SUM(BG62:$BJ62)</f>
        <v>0</v>
      </c>
      <c r="AU142" s="9">
        <f>SUM(BH13:$BJ13)-SUM(BH62:$BJ62)</f>
        <v>0</v>
      </c>
      <c r="AV142" s="9">
        <f>SUM(BI13:$BJ13)-SUM(BI62:$BJ62)</f>
        <v>0</v>
      </c>
      <c r="AW142" s="9">
        <f>SUM(BJ13:$BJ13)-SUM(BJ62:$BJ62)</f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23">
        <f t="shared" si="31"/>
        <v>0</v>
      </c>
      <c r="BM142" s="24"/>
    </row>
    <row r="143" spans="2:65" ht="15" customHeight="1" x14ac:dyDescent="0.25">
      <c r="B143" s="6"/>
      <c r="C143" s="9">
        <f>SUM(P14:$BJ14)-SUM(P63:$BJ63)</f>
        <v>0</v>
      </c>
      <c r="D143" s="9">
        <f>SUM(Q14:$BJ14)-SUM(Q63:$BJ63)</f>
        <v>0</v>
      </c>
      <c r="E143" s="9">
        <f>SUM(R14:$BJ14)-SUM(R63:$BJ63)</f>
        <v>0</v>
      </c>
      <c r="F143" s="9">
        <f>SUM(S14:$BJ14)-SUM(S63:$BJ63)</f>
        <v>0</v>
      </c>
      <c r="G143" s="9">
        <f>SUM(T14:$BJ14)-SUM(T63:$BJ63)</f>
        <v>0</v>
      </c>
      <c r="H143" s="9">
        <f>SUM(U14:$BJ14)-SUM(U63:$BJ63)</f>
        <v>0</v>
      </c>
      <c r="I143" s="9">
        <f>SUM(V14:$BJ14)-SUM(V63:$BJ63)</f>
        <v>0</v>
      </c>
      <c r="J143" s="9">
        <f>SUM(W14:$BJ14)-SUM(W63:$BJ63)</f>
        <v>0</v>
      </c>
      <c r="K143" s="9">
        <f>SUM(X14:$BJ14)-SUM(X63:$BJ63)</f>
        <v>0</v>
      </c>
      <c r="L143" s="9">
        <f>SUM(Y14:$BJ14)-SUM(Y63:$BJ63)</f>
        <v>0</v>
      </c>
      <c r="M143" s="9">
        <f>SUM(Z14:$BJ14)-SUM(Z63:$BJ63)</f>
        <v>0</v>
      </c>
      <c r="N143" s="9">
        <f>SUM(AA14:$BJ14)-SUM(AA63:$BJ63)</f>
        <v>0</v>
      </c>
      <c r="O143" s="9">
        <f>SUM(AB14:$BJ14)-SUM(AB63:$BJ63)</f>
        <v>0</v>
      </c>
      <c r="P143" s="9">
        <f>SUM(AC14:$BJ14)-SUM(AC63:$BJ63)</f>
        <v>0</v>
      </c>
      <c r="Q143" s="9">
        <f>SUM(AD14:$BJ14)-SUM(AD63:$BJ63)</f>
        <v>0</v>
      </c>
      <c r="R143" s="9">
        <f>SUM(AE14:$BJ14)-SUM(AE63:$BJ63)</f>
        <v>0</v>
      </c>
      <c r="S143" s="9">
        <f>SUM(AF14:$BJ14)-SUM(AF63:$BJ63)</f>
        <v>0</v>
      </c>
      <c r="T143" s="9">
        <f>SUM(AG14:$BJ14)-SUM(AG63:$BJ63)</f>
        <v>0</v>
      </c>
      <c r="U143" s="9">
        <f>SUM(AH14:$BJ14)-SUM(AH63:$BJ63)</f>
        <v>0</v>
      </c>
      <c r="V143" s="9">
        <f>SUM(AI14:$BJ14)-SUM(AI63:$BJ63)</f>
        <v>0</v>
      </c>
      <c r="W143" s="9">
        <f>SUM(AJ14:$BJ14)-SUM(AJ63:$BJ63)</f>
        <v>0</v>
      </c>
      <c r="X143" s="9">
        <f>SUM(AK14:$BJ14)-SUM(AK63:$BJ63)</f>
        <v>0</v>
      </c>
      <c r="Y143" s="9">
        <f>SUM(AL14:$BJ14)-SUM(AL63:$BJ63)</f>
        <v>0</v>
      </c>
      <c r="Z143" s="9">
        <f>SUM(AM14:$BJ14)-SUM(AM63:$BJ63)</f>
        <v>0</v>
      </c>
      <c r="AA143" s="9">
        <f>SUM(AN14:$BJ14)-SUM(AN63:$BJ63)</f>
        <v>0</v>
      </c>
      <c r="AB143" s="9">
        <f>SUM(AO14:$BJ14)-SUM(AO63:$BJ63)</f>
        <v>0</v>
      </c>
      <c r="AC143" s="9">
        <f>SUM(AP14:$BJ14)-SUM(AP63:$BJ63)</f>
        <v>0</v>
      </c>
      <c r="AD143" s="9">
        <f>SUM(AQ14:$BJ14)-SUM(AQ63:$BJ63)</f>
        <v>0</v>
      </c>
      <c r="AE143" s="9">
        <f>SUM(AR14:$BJ14)-SUM(AR63:$BJ63)</f>
        <v>0</v>
      </c>
      <c r="AF143" s="9">
        <f>SUM(AS14:$BJ14)-SUM(AS63:$BJ63)</f>
        <v>0</v>
      </c>
      <c r="AG143" s="9">
        <f>SUM(AT14:$BJ14)-SUM(AT63:$BJ63)</f>
        <v>0</v>
      </c>
      <c r="AH143" s="9">
        <f>SUM(AU14:$BJ14)-SUM(AU63:$BJ63)</f>
        <v>0</v>
      </c>
      <c r="AI143" s="9">
        <f>SUM(AV14:$BJ14)-SUM(AV63:$BJ63)</f>
        <v>0</v>
      </c>
      <c r="AJ143" s="9">
        <f>SUM(AW14:$BJ14)-SUM(AW63:$BJ63)</f>
        <v>0</v>
      </c>
      <c r="AK143" s="9">
        <f>SUM(AX14:$BJ14)-SUM(AX63:$BJ63)</f>
        <v>0</v>
      </c>
      <c r="AL143" s="9">
        <f>SUM(AY14:$BJ14)-SUM(AY63:$BJ63)</f>
        <v>0</v>
      </c>
      <c r="AM143" s="9">
        <f>SUM(AZ14:$BJ14)-SUM(AZ63:$BJ63)</f>
        <v>0</v>
      </c>
      <c r="AN143" s="9">
        <f>SUM(BA14:$BJ14)-SUM(BA63:$BJ63)</f>
        <v>0</v>
      </c>
      <c r="AO143" s="9">
        <f>SUM(BB14:$BJ14)-SUM(BB63:$BJ63)</f>
        <v>0</v>
      </c>
      <c r="AP143" s="9">
        <f>SUM(BC14:$BJ14)-SUM(BC63:$BJ63)</f>
        <v>0</v>
      </c>
      <c r="AQ143" s="9">
        <f>SUM(BD14:$BJ14)-SUM(BD63:$BJ63)</f>
        <v>0</v>
      </c>
      <c r="AR143" s="9">
        <f>SUM(BE14:$BJ14)-SUM(BE63:$BJ63)</f>
        <v>0</v>
      </c>
      <c r="AS143" s="9">
        <f>SUM(BF14:$BJ14)-SUM(BF63:$BJ63)</f>
        <v>0</v>
      </c>
      <c r="AT143" s="9">
        <f>SUM(BG14:$BJ14)-SUM(BG63:$BJ63)</f>
        <v>0</v>
      </c>
      <c r="AU143" s="9">
        <f>SUM(BH14:$BJ14)-SUM(BH63:$BJ63)</f>
        <v>0</v>
      </c>
      <c r="AV143" s="9">
        <f>SUM(BI14:$BJ14)-SUM(BI63:$BJ63)</f>
        <v>0</v>
      </c>
      <c r="AW143" s="9">
        <f>SUM(BJ14:$BJ14)-SUM(BJ63:$BJ63)</f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23">
        <f t="shared" si="31"/>
        <v>0</v>
      </c>
      <c r="BM143" s="24"/>
    </row>
    <row r="144" spans="2:65" ht="18" customHeight="1" x14ac:dyDescent="0.25">
      <c r="B144" s="25" t="s">
        <v>72</v>
      </c>
      <c r="C144" s="23">
        <f>SUM(C134:C143)</f>
        <v>2471859.796306699</v>
      </c>
      <c r="D144" s="23">
        <f>SUM(D134:D143)</f>
        <v>2432907.3524722853</v>
      </c>
      <c r="E144" s="23">
        <f>SUM(E134:E143)</f>
        <v>2393632.8712215126</v>
      </c>
      <c r="F144" s="23">
        <f>SUM(F134:F143)</f>
        <v>2354033.6901258565</v>
      </c>
      <c r="G144" s="23">
        <f>SUM(G134:G143)</f>
        <v>2314107.1247452958</v>
      </c>
      <c r="H144" s="23">
        <f>SUM(H134:H143)</f>
        <v>2273850.4684463339</v>
      </c>
      <c r="I144" s="23">
        <f>SUM(I134:I143)</f>
        <v>2233260.9922185149</v>
      </c>
      <c r="J144" s="23">
        <f>SUM(J134:J143)</f>
        <v>2192335.9444894218</v>
      </c>
      <c r="K144" s="23">
        <f>SUM(K134:K143)</f>
        <v>2151072.5509381485</v>
      </c>
      <c r="L144" s="23">
        <f>SUM(L134:L143)</f>
        <v>2109468.014307227</v>
      </c>
      <c r="M144" s="23">
        <f>SUM(M134:M143)</f>
        <v>2067519.5142130018</v>
      </c>
      <c r="N144" s="23">
        <f>SUM(N134:N143)</f>
        <v>2025224.2069544313</v>
      </c>
      <c r="O144" s="23">
        <f>SUM(O134:O143)</f>
        <v>1979631.4022050777</v>
      </c>
      <c r="P144" s="23">
        <f>SUM(P134:P143)</f>
        <v>1933661.6611816233</v>
      </c>
      <c r="Q144" s="23">
        <f>SUM(Q134:Q143)</f>
        <v>1887311.8675819337</v>
      </c>
      <c r="R144" s="23">
        <f>SUM(R134:R143)</f>
        <v>1840578.8793400007</v>
      </c>
      <c r="S144" s="23">
        <f>SUM(S134:S143)</f>
        <v>1793459.5284129386</v>
      </c>
      <c r="T144" s="23">
        <f>SUM(T134:T143)</f>
        <v>1745950.6205662228</v>
      </c>
      <c r="U144" s="23">
        <f>SUM(U134:U143)</f>
        <v>1698048.9351571531</v>
      </c>
      <c r="V144" s="23">
        <f>SUM(V134:V143)</f>
        <v>1649751.2249165229</v>
      </c>
      <c r="W144" s="23">
        <f>SUM(W134:W143)</f>
        <v>1601054.2157284855</v>
      </c>
      <c r="X144" s="23">
        <f>SUM(X134:X143)</f>
        <v>1551954.6064086049</v>
      </c>
      <c r="Y144" s="23">
        <f>SUM(Y134:Y143)</f>
        <v>1502449.0684800635</v>
      </c>
      <c r="Z144" s="23">
        <f>SUM(Z134:Z143)</f>
        <v>1452534.2459480255</v>
      </c>
      <c r="AA144" s="23">
        <f>SUM(AA134:AA143)</f>
        <v>1399112.6128489648</v>
      </c>
      <c r="AB144" s="23">
        <f>SUM(AB134:AB143)</f>
        <v>1345249.319021913</v>
      </c>
      <c r="AC144" s="23">
        <f>SUM(AC134:AC143)</f>
        <v>1290940.7130584929</v>
      </c>
      <c r="AD144" s="23">
        <f>SUM(AD134:AD143)</f>
        <v>1236183.1133624865</v>
      </c>
      <c r="AE144" s="23">
        <f>SUM(AE134:AE143)</f>
        <v>1180972.8079002614</v>
      </c>
      <c r="AF144" s="23">
        <f>SUM(AF134:AF143)</f>
        <v>1125306.0539491281</v>
      </c>
      <c r="AG144" s="23">
        <f>SUM(AG134:AG143)</f>
        <v>1069179.0778436223</v>
      </c>
      <c r="AH144" s="23">
        <f>SUM(AH134:AH143)</f>
        <v>1012588.074719685</v>
      </c>
      <c r="AI144" s="23">
        <f>SUM(AI134:AI143)</f>
        <v>955529.20825673081</v>
      </c>
      <c r="AJ144" s="23">
        <f>SUM(AJ134:AJ143)</f>
        <v>897998.61041758221</v>
      </c>
      <c r="AK144" s="23">
        <f>SUM(AK134:AK143)</f>
        <v>839992.38118625432</v>
      </c>
      <c r="AL144" s="23">
        <f>SUM(AL134:AL143)</f>
        <v>781506.58830357145</v>
      </c>
      <c r="AM144" s="23">
        <f>SUM(AM134:AM143)</f>
        <v>719289.54292662372</v>
      </c>
      <c r="AN144" s="23">
        <f>SUM(AN134:AN143)</f>
        <v>656558.12118263973</v>
      </c>
      <c r="AO144" s="23">
        <f>SUM(AO134:AO143)</f>
        <v>593308.07049026724</v>
      </c>
      <c r="AP144" s="23">
        <f>SUM(AP134:AP143)</f>
        <v>529535.10311014659</v>
      </c>
      <c r="AQ144" s="23">
        <f>SUM(AQ134:AQ143)</f>
        <v>465234.89585424325</v>
      </c>
      <c r="AR144" s="23">
        <f>SUM(AR134:AR143)</f>
        <v>400403.08979277813</v>
      </c>
      <c r="AS144" s="23">
        <f>SUM(AS134:AS143)</f>
        <v>335035.28995873424</v>
      </c>
      <c r="AT144" s="23">
        <f>SUM(AT134:AT143)</f>
        <v>269127.06504992081</v>
      </c>
      <c r="AU144" s="23">
        <f>SUM(AU134:AU143)</f>
        <v>202673.94712857346</v>
      </c>
      <c r="AV144" s="23">
        <f>SUM(AV134:AV143)</f>
        <v>135671.43131847205</v>
      </c>
      <c r="AW144" s="23">
        <f>SUM(AW134:AW143)</f>
        <v>68114.975499553446</v>
      </c>
      <c r="AX144" s="23">
        <f>SUM(AX134:AX143)</f>
        <v>0</v>
      </c>
      <c r="AY144" s="23">
        <f>SUM(AY134:AY143)</f>
        <v>0</v>
      </c>
      <c r="AZ144" s="23">
        <f>SUM(AZ134:AZ143)</f>
        <v>0</v>
      </c>
      <c r="BA144" s="23">
        <f>SUM(BA134:BA143)</f>
        <v>0</v>
      </c>
      <c r="BB144" s="23">
        <f>SUM(BB134:BB143)</f>
        <v>0</v>
      </c>
      <c r="BC144" s="23">
        <f>SUM(BC134:BC143)</f>
        <v>0</v>
      </c>
      <c r="BD144" s="23">
        <f>SUM(BD134:BD143)</f>
        <v>0</v>
      </c>
      <c r="BE144" s="23">
        <f>SUM(BE134:BE143)</f>
        <v>0</v>
      </c>
      <c r="BF144" s="23">
        <f>SUM(BF134:BF143)</f>
        <v>0</v>
      </c>
      <c r="BG144" s="23">
        <f>SUM(BG134:BG143)</f>
        <v>0</v>
      </c>
      <c r="BH144" s="23">
        <f>SUM(BH134:BH143)</f>
        <v>0</v>
      </c>
      <c r="BI144" s="23">
        <f>SUM(BI134:BI143)</f>
        <v>0</v>
      </c>
      <c r="BJ144" s="23">
        <f>SUM(BJ134:BJ143)</f>
        <v>0</v>
      </c>
      <c r="BK144" s="23">
        <f>SUM(BK134:BK143)</f>
        <v>0</v>
      </c>
    </row>
    <row r="145" spans="2:65" s="32" customFormat="1" ht="15" customHeight="1" x14ac:dyDescent="0.25">
      <c r="B145" s="31"/>
      <c r="C145" s="30">
        <f>SUM(P15:$BJ15)-SUM(P64:$BJ64)-C144</f>
        <v>0</v>
      </c>
      <c r="D145" s="30">
        <f>SUM(Q15:$BJ15)-SUM(Q64:$BJ64)-D144</f>
        <v>0</v>
      </c>
      <c r="E145" s="30">
        <f>SUM(R15:$BJ15)-SUM(R64:$BJ64)-E144</f>
        <v>0</v>
      </c>
      <c r="F145" s="30">
        <f>SUM(S15:$BJ15)-SUM(S64:$BJ64)-F144</f>
        <v>0</v>
      </c>
      <c r="G145" s="30">
        <f>SUM(T15:$BJ15)-SUM(T64:$BJ64)-G144</f>
        <v>0</v>
      </c>
      <c r="H145" s="30">
        <f>SUM(U15:$BJ15)-SUM(U64:$BJ64)-H144</f>
        <v>0</v>
      </c>
      <c r="I145" s="30">
        <f>SUM(V15:$BJ15)-SUM(V64:$BJ64)-I144</f>
        <v>0</v>
      </c>
      <c r="J145" s="30">
        <f>SUM(W15:$BJ15)-SUM(W64:$BJ64)-J144</f>
        <v>0</v>
      </c>
      <c r="K145" s="30">
        <f>SUM(X15:$BJ15)-SUM(X64:$BJ64)-K144</f>
        <v>0</v>
      </c>
      <c r="L145" s="30">
        <f>SUM(Y15:$BJ15)-SUM(Y64:$BJ64)-L144</f>
        <v>0</v>
      </c>
      <c r="M145" s="30">
        <f>SUM(Z15:$BJ15)-SUM(Z64:$BJ64)-M144</f>
        <v>0</v>
      </c>
      <c r="N145" s="30">
        <f>SUM(AA15:$BJ15)-SUM(AA64:$BJ64)-N144</f>
        <v>0</v>
      </c>
      <c r="O145" s="30">
        <f>SUM(AB15:$BJ15)-SUM(AB64:$BJ64)-O144</f>
        <v>0</v>
      </c>
      <c r="P145" s="30">
        <f>SUM(AC15:$BJ15)-SUM(AC64:$BJ64)-P144</f>
        <v>0</v>
      </c>
      <c r="Q145" s="30">
        <f>SUM(AD15:$BJ15)-SUM(AD64:$BJ64)-Q144</f>
        <v>0</v>
      </c>
      <c r="R145" s="30">
        <f>SUM(AE15:$BJ15)-SUM(AE64:$BJ64)-R144</f>
        <v>0</v>
      </c>
      <c r="S145" s="30">
        <f>SUM(AF15:$BJ15)-SUM(AF64:$BJ64)-S144</f>
        <v>0</v>
      </c>
      <c r="T145" s="30">
        <f>SUM(AG15:$BJ15)-SUM(AG64:$BJ64)-T144</f>
        <v>1.862645149230957E-9</v>
      </c>
      <c r="U145" s="30">
        <f>SUM(AH15:$BJ15)-SUM(AH64:$BJ64)-U144</f>
        <v>0</v>
      </c>
      <c r="V145" s="30">
        <f>SUM(AI15:$BJ15)-SUM(AI64:$BJ64)-V144</f>
        <v>0</v>
      </c>
      <c r="W145" s="30">
        <f>SUM(AJ15:$BJ15)-SUM(AJ64:$BJ64)-W144</f>
        <v>0</v>
      </c>
      <c r="X145" s="30">
        <f>SUM(AK15:$BJ15)-SUM(AK64:$BJ64)-X144</f>
        <v>0</v>
      </c>
      <c r="Y145" s="30">
        <f>SUM(AL15:$BJ15)-SUM(AL64:$BJ64)-Y144</f>
        <v>0</v>
      </c>
      <c r="Z145" s="30">
        <f>SUM(AM15:$BJ15)-SUM(AM64:$BJ64)-Z144</f>
        <v>0</v>
      </c>
      <c r="AA145" s="30">
        <f>SUM(AN15:$BJ15)-SUM(AN64:$BJ64)-AA144</f>
        <v>0</v>
      </c>
      <c r="AB145" s="30">
        <f>SUM(AO15:$BJ15)-SUM(AO64:$BJ64)-AB144</f>
        <v>0</v>
      </c>
      <c r="AC145" s="30">
        <f>SUM(AP15:$BJ15)-SUM(AP64:$BJ64)-AC144</f>
        <v>0</v>
      </c>
      <c r="AD145" s="30">
        <f>SUM(AQ15:$BJ15)-SUM(AQ64:$BJ64)-AD144</f>
        <v>0</v>
      </c>
      <c r="AE145" s="30">
        <f>SUM(AR15:$BJ15)-SUM(AR64:$BJ64)-AE144</f>
        <v>0</v>
      </c>
      <c r="AF145" s="30">
        <f>SUM(AS15:$BJ15)-SUM(AS64:$BJ64)-AF144</f>
        <v>0</v>
      </c>
      <c r="AG145" s="30">
        <f>SUM(AT15:$BJ15)-SUM(AT64:$BJ64)-AG144</f>
        <v>0</v>
      </c>
      <c r="AH145" s="30">
        <f>SUM(AU15:$BJ15)-SUM(AU64:$BJ64)-AH144</f>
        <v>0</v>
      </c>
      <c r="AI145" s="30">
        <f>SUM(AV15:$BJ15)-SUM(AV64:$BJ64)-AI144</f>
        <v>0</v>
      </c>
      <c r="AJ145" s="30">
        <f>SUM(AW15:$BJ15)-SUM(AW64:$BJ64)-AJ144</f>
        <v>0</v>
      </c>
      <c r="AK145" s="30">
        <f>SUM(AX15:$BJ15)-SUM(AX64:$BJ64)-AK144</f>
        <v>0</v>
      </c>
      <c r="AL145" s="30">
        <f>SUM(AY15:$BJ15)-SUM(AY64:$BJ64)-AL144</f>
        <v>0</v>
      </c>
      <c r="AM145" s="30">
        <f>SUM(AZ15:$BJ15)-SUM(AZ64:$BJ64)-AM144</f>
        <v>0</v>
      </c>
      <c r="AN145" s="30">
        <f>SUM(BA15:$BJ15)-SUM(BA64:$BJ64)-AN144</f>
        <v>0</v>
      </c>
      <c r="AO145" s="30">
        <f>SUM(BB15:$BJ15)-SUM(BB64:$BJ64)-AO144</f>
        <v>0</v>
      </c>
      <c r="AP145" s="30">
        <f>SUM(BC15:$BJ15)-SUM(BC64:$BJ64)-AP144</f>
        <v>0</v>
      </c>
      <c r="AQ145" s="30">
        <f>SUM(BD15:$BJ15)-SUM(BD64:$BJ64)-AQ144</f>
        <v>0</v>
      </c>
      <c r="AR145" s="30">
        <f>SUM(BE15:$BJ15)-SUM(BE64:$BJ64)-AR144</f>
        <v>0</v>
      </c>
      <c r="AS145" s="30">
        <f>SUM(BF15:$BJ15)-SUM(BF64:$BJ64)-AS144</f>
        <v>0</v>
      </c>
      <c r="AT145" s="30">
        <f>SUM(BG15:$BJ15)-SUM(BG64:$BJ64)-AT144</f>
        <v>0</v>
      </c>
      <c r="AU145" s="30">
        <f>SUM(BH15:$BJ15)-SUM(BH64:$BJ64)-AU144</f>
        <v>0</v>
      </c>
      <c r="AV145" s="30">
        <f>SUM(BI15:$BJ15)-SUM(BI64:$BJ64)-AV144</f>
        <v>0</v>
      </c>
      <c r="AW145" s="30">
        <f>SUM(BJ15:$BJ15)-SUM(BJ64:$BJ64)-AW144</f>
        <v>0</v>
      </c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</row>
    <row r="147" spans="2:65" ht="15" customHeight="1" x14ac:dyDescent="0.25">
      <c r="B147" s="28" t="s">
        <v>80</v>
      </c>
      <c r="C147" s="29"/>
      <c r="D147" s="29"/>
      <c r="E147" s="29"/>
      <c r="F147" s="29"/>
      <c r="G147" s="29"/>
      <c r="H147" s="29"/>
      <c r="I147" s="29"/>
    </row>
    <row r="148" spans="2:65" ht="6" customHeight="1" x14ac:dyDescent="0.25"/>
    <row r="149" spans="2:65" ht="33" customHeight="1" x14ac:dyDescent="0.25">
      <c r="B149" s="5" t="s">
        <v>53</v>
      </c>
      <c r="C149" s="16">
        <v>43466</v>
      </c>
      <c r="D149" s="16">
        <v>43497</v>
      </c>
      <c r="E149" s="16">
        <v>43525</v>
      </c>
      <c r="F149" s="16">
        <v>43556</v>
      </c>
      <c r="G149" s="16">
        <v>43586</v>
      </c>
      <c r="H149" s="16">
        <v>43617</v>
      </c>
      <c r="I149" s="16">
        <v>43647</v>
      </c>
      <c r="J149" s="16">
        <v>43678</v>
      </c>
      <c r="K149" s="16">
        <v>43709</v>
      </c>
      <c r="L149" s="16">
        <v>43739</v>
      </c>
      <c r="M149" s="16">
        <v>43770</v>
      </c>
      <c r="N149" s="16">
        <v>43800</v>
      </c>
      <c r="O149" s="16">
        <v>43831</v>
      </c>
      <c r="P149" s="16">
        <v>43862</v>
      </c>
      <c r="Q149" s="16">
        <v>43891</v>
      </c>
      <c r="R149" s="16">
        <v>43922</v>
      </c>
      <c r="S149" s="16">
        <v>43952</v>
      </c>
      <c r="T149" s="16">
        <v>43983</v>
      </c>
      <c r="U149" s="16">
        <v>44013</v>
      </c>
      <c r="V149" s="16">
        <v>44044</v>
      </c>
      <c r="W149" s="16">
        <v>44075</v>
      </c>
      <c r="X149" s="16">
        <v>44105</v>
      </c>
      <c r="Y149" s="16">
        <v>44136</v>
      </c>
      <c r="Z149" s="16">
        <v>44166</v>
      </c>
      <c r="AA149" s="16">
        <v>44197</v>
      </c>
      <c r="AB149" s="16">
        <v>44228</v>
      </c>
      <c r="AC149" s="16">
        <v>44256</v>
      </c>
      <c r="AD149" s="16">
        <v>44287</v>
      </c>
      <c r="AE149" s="16">
        <v>44317</v>
      </c>
      <c r="AF149" s="16">
        <v>44348</v>
      </c>
      <c r="AG149" s="16">
        <v>44378</v>
      </c>
      <c r="AH149" s="16">
        <v>44409</v>
      </c>
      <c r="AI149" s="16">
        <v>44440</v>
      </c>
      <c r="AJ149" s="16">
        <v>44470</v>
      </c>
      <c r="AK149" s="16">
        <v>44501</v>
      </c>
      <c r="AL149" s="16">
        <v>44531</v>
      </c>
      <c r="AM149" s="16">
        <v>44562</v>
      </c>
      <c r="AN149" s="16">
        <v>44593</v>
      </c>
      <c r="AO149" s="16">
        <v>44621</v>
      </c>
      <c r="AP149" s="16">
        <v>44652</v>
      </c>
      <c r="AQ149" s="16">
        <v>44682</v>
      </c>
      <c r="AR149" s="16">
        <v>44713</v>
      </c>
      <c r="AS149" s="16">
        <v>44743</v>
      </c>
      <c r="AT149" s="16">
        <v>44774</v>
      </c>
      <c r="AU149" s="16">
        <v>44805</v>
      </c>
      <c r="AV149" s="16">
        <v>44835</v>
      </c>
      <c r="AW149" s="16">
        <v>44866</v>
      </c>
      <c r="AX149" s="16">
        <v>44896</v>
      </c>
      <c r="AY149" s="16">
        <v>44927</v>
      </c>
      <c r="AZ149" s="16">
        <v>44958</v>
      </c>
      <c r="BA149" s="16">
        <v>44986</v>
      </c>
      <c r="BB149" s="16">
        <v>45017</v>
      </c>
      <c r="BC149" s="16">
        <v>45047</v>
      </c>
      <c r="BD149" s="16">
        <v>45078</v>
      </c>
      <c r="BE149" s="16">
        <v>45108</v>
      </c>
      <c r="BF149" s="16">
        <v>45139</v>
      </c>
      <c r="BG149" s="16">
        <v>45170</v>
      </c>
      <c r="BH149" s="16">
        <v>45200</v>
      </c>
      <c r="BI149" s="16">
        <v>45231</v>
      </c>
      <c r="BJ149" s="16">
        <v>45261</v>
      </c>
      <c r="BK149" s="16" t="s">
        <v>72</v>
      </c>
    </row>
    <row r="150" spans="2:65" ht="15" customHeight="1" x14ac:dyDescent="0.25">
      <c r="B150" s="6">
        <v>1</v>
      </c>
      <c r="C150" s="9">
        <f>SUM($C22:$BJ22)+C54-C5</f>
        <v>486559.63872247562</v>
      </c>
      <c r="D150" s="9">
        <f>SUM($C22:$BJ22)+SUM($C54:D54)-SUM($C5:D5)</f>
        <v>481042.24663958576</v>
      </c>
      <c r="E150" s="9">
        <f>SUM($C22:$BJ22)+SUM($C54:E54)-SUM($C5:E5)</f>
        <v>475479.23978862207</v>
      </c>
      <c r="F150" s="9">
        <f>SUM($C22:$BJ22)+SUM($C54:F54)-SUM($C5:F5)</f>
        <v>469870.24105172971</v>
      </c>
      <c r="G150" s="9">
        <f>SUM($C22:$BJ22)+SUM($C54:G54)-SUM($C5:G5)</f>
        <v>464214.87019325048</v>
      </c>
      <c r="H150" s="9">
        <f>SUM($C22:$BJ22)+SUM($C54:H54)-SUM($C5:H5)</f>
        <v>458512.74383394665</v>
      </c>
      <c r="I150" s="9">
        <f>SUM($C22:$BJ22)+SUM($C54:I54)-SUM($C5:I5)</f>
        <v>452763.47542501142</v>
      </c>
      <c r="J150" s="9">
        <f>SUM($C22:$BJ22)+SUM($C54:J54)-SUM($C5:J5)</f>
        <v>446966.67522186466</v>
      </c>
      <c r="K150" s="9">
        <f>SUM($C22:$BJ22)+SUM($C54:K54)-SUM($C5:K5)</f>
        <v>441121.95025773218</v>
      </c>
      <c r="L150" s="9">
        <f>SUM($C22:$BJ22)+SUM($C54:L54)-SUM($C5:L5)</f>
        <v>435228.90431700624</v>
      </c>
      <c r="M150" s="9">
        <f>SUM($C22:$BJ22)+SUM($C54:M54)-SUM($C5:M5)</f>
        <v>429287.13790838583</v>
      </c>
      <c r="N150" s="9">
        <f>SUM($C22:$BJ22)+SUM($C54:N54)-SUM($C5:N5)</f>
        <v>423296.24823779566</v>
      </c>
      <c r="O150" s="9">
        <f>SUM($C22:$BJ22)+SUM($C54:O54)-SUM($C5:O5)</f>
        <v>416782.2986349588</v>
      </c>
      <c r="P150" s="9">
        <f>SUM($C22:$BJ22)+SUM($C54:P54)-SUM($C5:P5)</f>
        <v>410214.49527369515</v>
      </c>
      <c r="Q150" s="9">
        <f>SUM($C22:$BJ22)+SUM($C54:Q54)-SUM($C5:Q5)</f>
        <v>403592.39292070153</v>
      </c>
      <c r="R150" s="9">
        <f>SUM($C22:$BJ22)+SUM($C54:R54)-SUM($C5:R5)</f>
        <v>396915.5426617309</v>
      </c>
      <c r="S150" s="9">
        <f>SUM($C22:$BJ22)+SUM($C54:S54)-SUM($C5:S5)</f>
        <v>390183.49187115917</v>
      </c>
      <c r="T150" s="9">
        <f>SUM($C22:$BJ22)+SUM($C54:T54)-SUM($C5:T5)</f>
        <v>383395.78418130247</v>
      </c>
      <c r="U150" s="9">
        <f>SUM($C22:$BJ22)+SUM($C54:U54)-SUM($C5:U5)</f>
        <v>376551.95945147914</v>
      </c>
      <c r="V150" s="9">
        <f>SUM($C22:$BJ22)+SUM($C54:V54)-SUM($C5:V5)</f>
        <v>369651.55373681767</v>
      </c>
      <c r="W150" s="9">
        <f>SUM($C22:$BJ22)+SUM($C54:W54)-SUM($C5:W5)</f>
        <v>362694.09925680445</v>
      </c>
      <c r="X150" s="9">
        <f>SUM($C22:$BJ22)+SUM($C54:X54)-SUM($C5:X5)</f>
        <v>355679.12436357379</v>
      </c>
      <c r="Y150" s="9">
        <f>SUM($C22:$BJ22)+SUM($C54:Y54)-SUM($C5:Y5)</f>
        <v>348606.15350993443</v>
      </c>
      <c r="Z150" s="9">
        <f>SUM($C22:$BJ22)+SUM($C54:Z54)-SUM($C5:Z5)</f>
        <v>341474.70721713197</v>
      </c>
      <c r="AA150" s="9">
        <f>SUM($C22:$BJ22)+SUM($C54:AA54)-SUM($C5:AA5)</f>
        <v>333787.26717986027</v>
      </c>
      <c r="AB150" s="9">
        <f>SUM($C22:$BJ22)+SUM($C54:AB54)-SUM($C5:AB5)</f>
        <v>326036.2716096277</v>
      </c>
      <c r="AC150" s="9">
        <f>SUM($C22:$BJ22)+SUM($C54:AC54)-SUM($C5:AC5)</f>
        <v>318221.19506418699</v>
      </c>
      <c r="AD150" s="9">
        <f>SUM($C22:$BJ22)+SUM($C54:AD54)-SUM($C5:AD5)</f>
        <v>310341.50775722269</v>
      </c>
      <c r="AE150" s="9">
        <f>SUM($C22:$BJ22)+SUM($C54:AE54)-SUM($C5:AE5)</f>
        <v>302396.67552243703</v>
      </c>
      <c r="AF150" s="9">
        <f>SUM($C22:$BJ22)+SUM($C54:AF54)-SUM($C5:AF5)</f>
        <v>294386.15977733867</v>
      </c>
      <c r="AG150" s="9">
        <f>SUM($C22:$BJ22)+SUM($C54:AG54)-SUM($C5:AG5)</f>
        <v>286309.41748673207</v>
      </c>
      <c r="AH150" s="9">
        <f>SUM($C22:$BJ22)+SUM($C54:AH54)-SUM($C5:AH5)</f>
        <v>278165.90112590458</v>
      </c>
      <c r="AI150" s="9">
        <f>SUM($C22:$BJ22)+SUM($C54:AI54)-SUM($C5:AI5)</f>
        <v>269955.05864351027</v>
      </c>
      <c r="AJ150" s="9">
        <f>SUM($C22:$BJ22)+SUM($C54:AJ54)-SUM($C5:AJ5)</f>
        <v>261676.33342414541</v>
      </c>
      <c r="AK150" s="9">
        <f>SUM($C22:$BJ22)+SUM($C54:AK54)-SUM($C5:AK5)</f>
        <v>253329.16425061628</v>
      </c>
      <c r="AL150" s="9">
        <f>SUM($C22:$BJ22)+SUM($C54:AL54)-SUM($C5:AL5)</f>
        <v>244912.98526589287</v>
      </c>
      <c r="AM150" s="9">
        <f>SUM($C22:$BJ22)+SUM($C54:AM54)-SUM($C5:AM5)</f>
        <v>235905.52008800255</v>
      </c>
      <c r="AN150" s="9">
        <f>SUM($C22:$BJ22)+SUM($C54:AN54)-SUM($C5:AN5)</f>
        <v>226823.58613413066</v>
      </c>
      <c r="AO150" s="9">
        <f>SUM($C22:$BJ22)+SUM($C54:AO54)-SUM($C5:AO5)</f>
        <v>217666.56773732917</v>
      </c>
      <c r="AP150" s="9">
        <f>SUM($C22:$BJ22)+SUM($C54:AP54)-SUM($C5:AP5)</f>
        <v>208433.84414065367</v>
      </c>
      <c r="AQ150" s="9">
        <f>SUM($C22:$BJ22)+SUM($C54:AQ54)-SUM($C5:AQ5)</f>
        <v>199124.78945508227</v>
      </c>
      <c r="AR150" s="9">
        <f>SUM($C22:$BJ22)+SUM($C54:AR54)-SUM($C5:AR5)</f>
        <v>189738.77261708636</v>
      </c>
      <c r="AS150" s="9">
        <f>SUM($C22:$BJ22)+SUM($C54:AS54)-SUM($C5:AS5)</f>
        <v>180275.1573458506</v>
      </c>
      <c r="AT150" s="9">
        <f>SUM($C22:$BJ22)+SUM($C54:AT54)-SUM($C5:AT5)</f>
        <v>170733.30210013903</v>
      </c>
      <c r="AU150" s="9">
        <f>SUM($C22:$BJ22)+SUM($C54:AU54)-SUM($C5:AU5)</f>
        <v>161112.56003480533</v>
      </c>
      <c r="AV150" s="9">
        <f>SUM($C22:$BJ22)+SUM($C54:AV54)-SUM($C5:AV5)</f>
        <v>151412.27895694255</v>
      </c>
      <c r="AW150" s="9">
        <f>SUM($C22:$BJ22)+SUM($C54:AW54)-SUM($C5:AW5)</f>
        <v>141631.80128167092</v>
      </c>
      <c r="AX150" s="9">
        <f>SUM($C22:$BJ22)+SUM($C54:AX54)-SUM($C5:AX5)</f>
        <v>131770.46398756007</v>
      </c>
      <c r="AY150" s="9">
        <f>SUM($C22:$BJ22)+SUM($C54:AY54)-SUM($C5:AY5)</f>
        <v>121279.99716366321</v>
      </c>
      <c r="AZ150" s="9">
        <f>SUM($C22:$BJ22)+SUM($C54:AZ54)-SUM($C5:AZ5)</f>
        <v>110702.80092051002</v>
      </c>
      <c r="BA150" s="9">
        <f>SUM($C22:$BJ22)+SUM($C54:BA54)-SUM($C5:BA5)</f>
        <v>100038.1582268863</v>
      </c>
      <c r="BB150" s="9">
        <f>SUM($C22:$BJ22)+SUM($C54:BB54)-SUM($C5:BB5)</f>
        <v>89285.346123557305</v>
      </c>
      <c r="BC150" s="9">
        <f>SUM($C22:$BJ22)+SUM($C54:BC54)-SUM($C5:BC5)</f>
        <v>78443.635674258694</v>
      </c>
      <c r="BD150" s="9">
        <f>SUM($C22:$BJ22)+SUM($C54:BD54)-SUM($C5:BD5)</f>
        <v>67512.291916280985</v>
      </c>
      <c r="BE150" s="9">
        <f>SUM($C22:$BJ22)+SUM($C54:BE54)-SUM($C5:BE5)</f>
        <v>56490.573810646776</v>
      </c>
      <c r="BF150" s="9">
        <f>SUM($C22:$BJ22)+SUM($C54:BF54)-SUM($C5:BF5)</f>
        <v>45377.734191875556</v>
      </c>
      <c r="BG150" s="9">
        <f>SUM($C22:$BJ22)+SUM($C54:BG54)-SUM($C5:BG5)</f>
        <v>34173.019717332325</v>
      </c>
      <c r="BH150" s="9">
        <f>SUM($C22:$BJ22)+SUM($C54:BH54)-SUM($C5:BH5)</f>
        <v>22875.670816159341</v>
      </c>
      <c r="BI150" s="9">
        <f>SUM($C22:$BJ22)+SUM($C54:BI54)-SUM($C5:BI5)</f>
        <v>11484.921637783875</v>
      </c>
      <c r="BJ150" s="9">
        <f>SUM($C22:$BJ22)+SUM($C54:BJ54)-SUM($C5:BJ5)</f>
        <v>1.280568540096283E-9</v>
      </c>
      <c r="BK150" s="23">
        <f t="shared" ref="BK150:BK152" si="32">BJ150</f>
        <v>1.280568540096283E-9</v>
      </c>
      <c r="BL150" s="24"/>
      <c r="BM150" s="24"/>
    </row>
    <row r="151" spans="2:65" ht="15" customHeight="1" x14ac:dyDescent="0.25">
      <c r="B151" s="6">
        <v>2</v>
      </c>
      <c r="C151" s="9">
        <f>SUM($C23:$BJ23)+C55-C6</f>
        <v>102004.11713259443</v>
      </c>
      <c r="D151" s="9">
        <f>SUM($C23:$BJ23)+SUM($C55:D55)-SUM($C6:D6)</f>
        <v>100847.4311613387</v>
      </c>
      <c r="E151" s="9">
        <f>SUM($C23:$BJ23)+SUM($C55:E55)-SUM($C6:E6)</f>
        <v>99681.182345623049</v>
      </c>
      <c r="F151" s="9">
        <f>SUM($C23:$BJ23)+SUM($C55:F55)-SUM($C6:F6)</f>
        <v>98505.291625100523</v>
      </c>
      <c r="G151" s="9">
        <f>SUM($C23:$BJ23)+SUM($C55:G55)-SUM($C6:G6)</f>
        <v>97319.679285796708</v>
      </c>
      <c r="H151" s="9">
        <f>SUM($C23:$BJ23)+SUM($C55:H55)-SUM($C6:H6)</f>
        <v>96124.264954705752</v>
      </c>
      <c r="I151" s="9">
        <f>SUM($C23:$BJ23)+SUM($C55:I55)-SUM($C6:I6)</f>
        <v>94918.967594341972</v>
      </c>
      <c r="J151" s="9">
        <f>SUM($C23:$BJ23)+SUM($C55:J55)-SUM($C6:J6)</f>
        <v>93703.705497246221</v>
      </c>
      <c r="K151" s="9">
        <f>SUM($C23:$BJ23)+SUM($C55:K55)-SUM($C6:K6)</f>
        <v>92478.396280446963</v>
      </c>
      <c r="L151" s="9">
        <f>SUM($C23:$BJ23)+SUM($C55:L55)-SUM($C6:L6)</f>
        <v>91242.956879875477</v>
      </c>
      <c r="M151" s="9">
        <f>SUM($C23:$BJ23)+SUM($C55:M55)-SUM($C6:M6)</f>
        <v>89997.303544734954</v>
      </c>
      <c r="N151" s="9">
        <f>SUM($C23:$BJ23)+SUM($C55:N55)-SUM($C6:N6)</f>
        <v>88741.351831822947</v>
      </c>
      <c r="O151" s="9">
        <f>SUM($C23:$BJ23)+SUM($C55:O55)-SUM($C6:O6)</f>
        <v>87375.743948628646</v>
      </c>
      <c r="P151" s="9">
        <f>SUM($C23:$BJ23)+SUM($C55:P55)-SUM($C6:P6)</f>
        <v>85998.845969328075</v>
      </c>
      <c r="Q151" s="9">
        <f>SUM($C23:$BJ23)+SUM($C55:Q55)-SUM($C6:Q6)</f>
        <v>84610.564553606164</v>
      </c>
      <c r="R151" s="9">
        <f>SUM($C23:$BJ23)+SUM($C55:R55)-SUM($C6:R6)</f>
        <v>83210.805589461364</v>
      </c>
      <c r="S151" s="9">
        <f>SUM($C23:$BJ23)+SUM($C55:S55)-SUM($C6:S6)</f>
        <v>81799.474186825784</v>
      </c>
      <c r="T151" s="9">
        <f>SUM($C23:$BJ23)+SUM($C55:T55)-SUM($C6:T6)</f>
        <v>80376.474671132542</v>
      </c>
      <c r="U151" s="9">
        <f>SUM($C23:$BJ23)+SUM($C55:U55)-SUM($C6:U6)</f>
        <v>78941.710576829995</v>
      </c>
      <c r="V151" s="9">
        <f>SUM($C23:$BJ23)+SUM($C55:V55)-SUM($C6:V6)</f>
        <v>77495.084640842251</v>
      </c>
      <c r="W151" s="9">
        <f>SUM($C23:$BJ23)+SUM($C55:W55)-SUM($C6:W6)</f>
        <v>76036.498795975756</v>
      </c>
      <c r="X151" s="9">
        <f>SUM($C23:$BJ23)+SUM($C55:X55)-SUM($C6:X6)</f>
        <v>74565.854164271223</v>
      </c>
      <c r="Y151" s="9">
        <f>SUM($C23:$BJ23)+SUM($C55:Y55)-SUM($C6:Y6)</f>
        <v>73083.05105030071</v>
      </c>
      <c r="Z151" s="9">
        <f>SUM($C23:$BJ23)+SUM($C55:Z55)-SUM($C6:Z6)</f>
        <v>71587.988934409208</v>
      </c>
      <c r="AA151" s="9">
        <f>SUM($C23:$BJ23)+SUM($C55:AA55)-SUM($C6:AA6)</f>
        <v>69976.366285085998</v>
      </c>
      <c r="AB151" s="9">
        <f>SUM($C23:$BJ23)+SUM($C55:AB55)-SUM($C6:AB6)</f>
        <v>68351.419624659902</v>
      </c>
      <c r="AC151" s="9">
        <f>SUM($C23:$BJ23)+SUM($C55:AC55)-SUM($C6:AC6)</f>
        <v>66713.038797523477</v>
      </c>
      <c r="AD151" s="9">
        <f>SUM($C23:$BJ23)+SUM($C55:AD55)-SUM($C6:AD6)</f>
        <v>65061.112737363248</v>
      </c>
      <c r="AE151" s="9">
        <f>SUM($C23:$BJ23)+SUM($C55:AE55)-SUM($C6:AE6)</f>
        <v>63395.529459630401</v>
      </c>
      <c r="AF151" s="9">
        <f>SUM($C23:$BJ23)+SUM($C55:AF55)-SUM($C6:AF6)</f>
        <v>61716.176053949399</v>
      </c>
      <c r="AG151" s="9">
        <f>SUM($C23:$BJ23)+SUM($C55:AG55)-SUM($C6:AG6)</f>
        <v>60022.938676463717</v>
      </c>
      <c r="AH151" s="9">
        <f>SUM($C23:$BJ23)+SUM($C55:AH55)-SUM($C6:AH6)</f>
        <v>58315.702542118335</v>
      </c>
      <c r="AI151" s="9">
        <f>SUM($C23:$BJ23)+SUM($C55:AI55)-SUM($C6:AI6)</f>
        <v>56594.351916878426</v>
      </c>
      <c r="AJ151" s="9">
        <f>SUM($C23:$BJ23)+SUM($C55:AJ55)-SUM($C6:AJ6)</f>
        <v>54858.770109883713</v>
      </c>
      <c r="AK151" s="9">
        <f>SUM($C23:$BJ23)+SUM($C55:AK55)-SUM($C6:AK6)</f>
        <v>53108.839465537952</v>
      </c>
      <c r="AL151" s="9">
        <f>SUM($C23:$BJ23)+SUM($C55:AL55)-SUM($C6:AL6)</f>
        <v>51344.441355533068</v>
      </c>
      <c r="AM151" s="9">
        <f>SUM($C23:$BJ23)+SUM($C55:AM55)-SUM($C6:AM6)</f>
        <v>49456.083875891476</v>
      </c>
      <c r="AN151" s="9">
        <f>SUM($C23:$BJ23)+SUM($C55:AN55)-SUM($C6:AN6)</f>
        <v>47552.114493528396</v>
      </c>
      <c r="AO151" s="9">
        <f>SUM($C23:$BJ23)+SUM($C55:AO55)-SUM($C6:AO6)</f>
        <v>45632.404137804799</v>
      </c>
      <c r="AP151" s="9">
        <f>SUM($C23:$BJ23)+SUM($C55:AP55)-SUM($C6:AP6)</f>
        <v>43696.822670996524</v>
      </c>
      <c r="AQ151" s="9">
        <f>SUM($C23:$BJ23)+SUM($C55:AQ55)-SUM($C6:AQ6)</f>
        <v>41745.238879472119</v>
      </c>
      <c r="AR151" s="9">
        <f>SUM($C23:$BJ23)+SUM($C55:AR55)-SUM($C6:AR6)</f>
        <v>39777.520464797926</v>
      </c>
      <c r="AS151" s="9">
        <f>SUM($C23:$BJ23)+SUM($C55:AS55)-SUM($C6:AS6)</f>
        <v>37793.534034769429</v>
      </c>
      <c r="AT151" s="9">
        <f>SUM($C23:$BJ23)+SUM($C55:AT55)-SUM($C6:AT6)</f>
        <v>35793.14509436868</v>
      </c>
      <c r="AU151" s="9">
        <f>SUM($C23:$BJ23)+SUM($C55:AU55)-SUM($C6:AU6)</f>
        <v>33776.218036646722</v>
      </c>
      <c r="AV151" s="9">
        <f>SUM($C23:$BJ23)+SUM($C55:AV55)-SUM($C6:AV6)</f>
        <v>31742.616133530828</v>
      </c>
      <c r="AW151" s="9">
        <f>SUM($C23:$BJ23)+SUM($C55:AW55)-SUM($C6:AW6)</f>
        <v>29692.20152655564</v>
      </c>
      <c r="AX151" s="9">
        <f>SUM($C23:$BJ23)+SUM($C55:AX55)-SUM($C6:AX6)</f>
        <v>27624.835217517728</v>
      </c>
      <c r="AY151" s="9">
        <f>SUM($C23:$BJ23)+SUM($C55:AY55)-SUM($C6:AY6)</f>
        <v>25425.575925296158</v>
      </c>
      <c r="AZ151" s="9">
        <f>SUM($C23:$BJ23)+SUM($C55:AZ55)-SUM($C6:AZ6)</f>
        <v>23208.13436488669</v>
      </c>
      <c r="BA151" s="9">
        <f>SUM($C23:$BJ23)+SUM($C55:BA55)-SUM($C6:BA6)</f>
        <v>20972.360215280045</v>
      </c>
      <c r="BB151" s="9">
        <f>SUM($C23:$BJ23)+SUM($C55:BB55)-SUM($C6:BB6)</f>
        <v>18718.101912695347</v>
      </c>
      <c r="BC151" s="9">
        <f>SUM($C23:$BJ23)+SUM($C55:BC55)-SUM($C6:BC6)</f>
        <v>16445.206640305711</v>
      </c>
      <c r="BD151" s="9">
        <f>SUM($C23:$BJ23)+SUM($C55:BD55)-SUM($C6:BD6)</f>
        <v>14153.520317878501</v>
      </c>
      <c r="BE151" s="9">
        <f>SUM($C23:$BJ23)+SUM($C55:BE55)-SUM($C6:BE6)</f>
        <v>11842.887591330466</v>
      </c>
      <c r="BF151" s="9">
        <f>SUM($C23:$BJ23)+SUM($C55:BF55)-SUM($C6:BF6)</f>
        <v>9513.1518221960141</v>
      </c>
      <c r="BG151" s="9">
        <f>SUM($C23:$BJ23)+SUM($C55:BG55)-SUM($C6:BG6)</f>
        <v>7164.1550770087779</v>
      </c>
      <c r="BH151" s="9">
        <f>SUM($C23:$BJ23)+SUM($C55:BH55)-SUM($C6:BH6)</f>
        <v>4795.738116595152</v>
      </c>
      <c r="BI151" s="9">
        <f>SUM($C23:$BJ23)+SUM($C55:BI55)-SUM($C6:BI6)</f>
        <v>2407.7403852795396</v>
      </c>
      <c r="BJ151" s="9">
        <f>SUM($C23:$BJ23)+SUM($C55:BJ55)-SUM($C6:BJ6)</f>
        <v>0</v>
      </c>
      <c r="BK151" s="23">
        <f t="shared" si="32"/>
        <v>0</v>
      </c>
      <c r="BL151" s="24"/>
      <c r="BM151" s="24"/>
    </row>
    <row r="152" spans="2:65" ht="15" customHeight="1" x14ac:dyDescent="0.25">
      <c r="B152" s="6">
        <v>3</v>
      </c>
      <c r="C152" s="9">
        <f>SUM($C24:$BJ24)+C56-C7</f>
        <v>918037.05419335014</v>
      </c>
      <c r="D152" s="9">
        <f>SUM($C24:$BJ24)+SUM($C56:D56)-SUM($C7:D7)</f>
        <v>907626.8804520485</v>
      </c>
      <c r="E152" s="9">
        <f>SUM($C24:$BJ24)+SUM($C56:E56)-SUM($C7:E7)</f>
        <v>897130.64111060754</v>
      </c>
      <c r="F152" s="9">
        <f>SUM($C24:$BJ24)+SUM($C56:F56)-SUM($C7:F7)</f>
        <v>886547.62462590495</v>
      </c>
      <c r="G152" s="9">
        <f>SUM($C24:$BJ24)+SUM($C56:G56)-SUM($C7:G7)</f>
        <v>875877.11357217061</v>
      </c>
      <c r="H152" s="9">
        <f>SUM($C24:$BJ24)+SUM($C56:H56)-SUM($C7:H7)</f>
        <v>865118.38459235209</v>
      </c>
      <c r="I152" s="9">
        <f>SUM($C24:$BJ24)+SUM($C56:I56)-SUM($C7:I7)</f>
        <v>854270.70834907796</v>
      </c>
      <c r="J152" s="9">
        <f>SUM($C24:$BJ24)+SUM($C56:J56)-SUM($C7:J7)</f>
        <v>843333.34947521624</v>
      </c>
      <c r="K152" s="9">
        <f>SUM($C24:$BJ24)+SUM($C56:K56)-SUM($C7:K7)</f>
        <v>832305.56652402284</v>
      </c>
      <c r="L152" s="9">
        <f>SUM($C24:$BJ24)+SUM($C56:L56)-SUM($C7:L7)</f>
        <v>821186.61191887944</v>
      </c>
      <c r="M152" s="9">
        <f>SUM($C24:$BJ24)+SUM($C56:M56)-SUM($C7:M7)</f>
        <v>809975.7319026147</v>
      </c>
      <c r="N152" s="9">
        <f>SUM($C24:$BJ24)+SUM($C56:N56)-SUM($C7:N7)</f>
        <v>798672.16648640682</v>
      </c>
      <c r="O152" s="9">
        <f>SUM($C24:$BJ24)+SUM($C56:O56)-SUM($C7:O7)</f>
        <v>786381.69553765806</v>
      </c>
      <c r="P152" s="9">
        <f>SUM($C24:$BJ24)+SUM($C56:P56)-SUM($C7:P7)</f>
        <v>773989.61372395302</v>
      </c>
      <c r="Q152" s="9">
        <f>SUM($C24:$BJ24)+SUM($C56:Q56)-SUM($C7:Q7)</f>
        <v>761495.08098245575</v>
      </c>
      <c r="R152" s="9">
        <f>SUM($C24:$BJ24)+SUM($C56:R56)-SUM($C7:R7)</f>
        <v>748897.25030515261</v>
      </c>
      <c r="S152" s="9">
        <f>SUM($C24:$BJ24)+SUM($C56:S56)-SUM($C7:S7)</f>
        <v>736195.26768143242</v>
      </c>
      <c r="T152" s="9">
        <f>SUM($C24:$BJ24)+SUM($C56:T56)-SUM($C7:T7)</f>
        <v>723388.2720401932</v>
      </c>
      <c r="U152" s="9">
        <f>SUM($C24:$BJ24)+SUM($C56:U56)-SUM($C7:U7)</f>
        <v>710475.39519147016</v>
      </c>
      <c r="V152" s="9">
        <f>SUM($C24:$BJ24)+SUM($C56:V56)-SUM($C7:V7)</f>
        <v>697455.76176758041</v>
      </c>
      <c r="W152" s="9">
        <f>SUM($C24:$BJ24)+SUM($C56:W56)-SUM($C7:W7)</f>
        <v>684328.48916378198</v>
      </c>
      <c r="X152" s="9">
        <f>SUM($C24:$BJ24)+SUM($C56:X56)-SUM($C7:X7)</f>
        <v>671092.68747844128</v>
      </c>
      <c r="Y152" s="9">
        <f>SUM($C24:$BJ24)+SUM($C56:Y56)-SUM($C7:Y7)</f>
        <v>657747.45945270662</v>
      </c>
      <c r="Z152" s="9">
        <f>SUM($C24:$BJ24)+SUM($C56:Z56)-SUM($C7:Z7)</f>
        <v>644291.90040968312</v>
      </c>
      <c r="AA152" s="9">
        <f>SUM($C24:$BJ24)+SUM($C56:AA56)-SUM($C7:AA7)</f>
        <v>629787.29656577436</v>
      </c>
      <c r="AB152" s="9">
        <f>SUM($C24:$BJ24)+SUM($C56:AB56)-SUM($C7:AB7)</f>
        <v>615162.77662193938</v>
      </c>
      <c r="AC152" s="9">
        <f>SUM($C24:$BJ24)+SUM($C56:AC56)-SUM($C7:AC7)</f>
        <v>600417.34917771164</v>
      </c>
      <c r="AD152" s="9">
        <f>SUM($C24:$BJ24)+SUM($C56:AD56)-SUM($C7:AD7)</f>
        <v>585550.0146362693</v>
      </c>
      <c r="AE152" s="9">
        <f>SUM($C24:$BJ24)+SUM($C56:AE56)-SUM($C7:AE7)</f>
        <v>570559.76513667381</v>
      </c>
      <c r="AF152" s="9">
        <f>SUM($C24:$BJ24)+SUM($C56:AF56)-SUM($C7:AF7)</f>
        <v>555445.58448554482</v>
      </c>
      <c r="AG152" s="9">
        <f>SUM($C24:$BJ24)+SUM($C56:AG56)-SUM($C7:AG7)</f>
        <v>540206.44808817375</v>
      </c>
      <c r="AH152" s="9">
        <f>SUM($C24:$BJ24)+SUM($C56:AH56)-SUM($C7:AH7)</f>
        <v>524841.32287906529</v>
      </c>
      <c r="AI152" s="9">
        <f>SUM($C24:$BJ24)+SUM($C56:AI56)-SUM($C7:AI7)</f>
        <v>509349.16725190612</v>
      </c>
      <c r="AJ152" s="9">
        <f>SUM($C24:$BJ24)+SUM($C56:AJ56)-SUM($C7:AJ7)</f>
        <v>493728.93098895368</v>
      </c>
      <c r="AK152" s="9">
        <f>SUM($C24:$BJ24)+SUM($C56:AK56)-SUM($C7:AK7)</f>
        <v>477979.55518984189</v>
      </c>
      <c r="AL152" s="9">
        <f>SUM($C24:$BJ24)+SUM($C56:AL56)-SUM($C7:AL7)</f>
        <v>462099.9721997981</v>
      </c>
      <c r="AM152" s="9">
        <f>SUM($C24:$BJ24)+SUM($C56:AM56)-SUM($C7:AM7)</f>
        <v>445104.75488302379</v>
      </c>
      <c r="AN152" s="9">
        <f>SUM($C24:$BJ24)+SUM($C56:AN56)-SUM($C7:AN7)</f>
        <v>427969.03044175613</v>
      </c>
      <c r="AO152" s="9">
        <f>SUM($C24:$BJ24)+SUM($C56:AO56)-SUM($C7:AO7)</f>
        <v>410691.63724024373</v>
      </c>
      <c r="AP152" s="9">
        <f>SUM($C24:$BJ24)+SUM($C56:AP56)-SUM($C7:AP7)</f>
        <v>393271.40403896919</v>
      </c>
      <c r="AQ152" s="9">
        <f>SUM($C24:$BJ24)+SUM($C56:AQ56)-SUM($C7:AQ7)</f>
        <v>375707.14991524967</v>
      </c>
      <c r="AR152" s="9">
        <f>SUM($C24:$BJ24)+SUM($C56:AR56)-SUM($C7:AR7)</f>
        <v>357997.68418318196</v>
      </c>
      <c r="AS152" s="9">
        <f>SUM($C24:$BJ24)+SUM($C56:AS56)-SUM($C7:AS7)</f>
        <v>340141.80631292576</v>
      </c>
      <c r="AT152" s="9">
        <f>SUM($C24:$BJ24)+SUM($C56:AT56)-SUM($C7:AT7)</f>
        <v>322138.30584931886</v>
      </c>
      <c r="AU152" s="9">
        <f>SUM($C24:$BJ24)+SUM($C56:AU56)-SUM($C7:AU7)</f>
        <v>303985.96232982131</v>
      </c>
      <c r="AV152" s="9">
        <f>SUM($C24:$BJ24)+SUM($C56:AV56)-SUM($C7:AV7)</f>
        <v>285683.54520177841</v>
      </c>
      <c r="AW152" s="9">
        <f>SUM($C24:$BJ24)+SUM($C56:AW56)-SUM($C7:AW7)</f>
        <v>267229.81373900187</v>
      </c>
      <c r="AX152" s="9">
        <f>SUM($C24:$BJ24)+SUM($C56:AX56)-SUM($C7:AX7)</f>
        <v>248623.51695766067</v>
      </c>
      <c r="AY152" s="9">
        <f>SUM($C24:$BJ24)+SUM($C56:AY56)-SUM($C7:AY7)</f>
        <v>228830.1833276666</v>
      </c>
      <c r="AZ152" s="9">
        <f>SUM($C24:$BJ24)+SUM($C56:AZ56)-SUM($C7:AZ7)</f>
        <v>208873.20928398147</v>
      </c>
      <c r="BA152" s="9">
        <f>SUM($C24:$BJ24)+SUM($C56:BA56)-SUM($C7:BA7)</f>
        <v>188751.2419375215</v>
      </c>
      <c r="BB152" s="9">
        <f>SUM($C24:$BJ24)+SUM($C56:BB56)-SUM($C7:BB7)</f>
        <v>168462.91721425927</v>
      </c>
      <c r="BC152" s="9">
        <f>SUM($C24:$BJ24)+SUM($C56:BC56)-SUM($C7:BC7)</f>
        <v>148006.85976275255</v>
      </c>
      <c r="BD152" s="9">
        <f>SUM($C24:$BJ24)+SUM($C56:BD56)-SUM($C7:BD7)</f>
        <v>127381.68286090787</v>
      </c>
      <c r="BE152" s="9">
        <f>SUM($C24:$BJ24)+SUM($C56:BE56)-SUM($C7:BE7)</f>
        <v>106585.98832197534</v>
      </c>
      <c r="BF152" s="9">
        <f>SUM($C24:$BJ24)+SUM($C56:BF56)-SUM($C7:BF7)</f>
        <v>85618.366399765247</v>
      </c>
      <c r="BG152" s="9">
        <f>SUM($C24:$BJ24)+SUM($C56:BG56)-SUM($C7:BG7)</f>
        <v>64477.395693080034</v>
      </c>
      <c r="BH152" s="9">
        <f>SUM($C24:$BJ24)+SUM($C56:BH56)-SUM($C7:BH7)</f>
        <v>43161.643049357226</v>
      </c>
      <c r="BI152" s="9">
        <f>SUM($C24:$BJ24)+SUM($C56:BI56)-SUM($C7:BI7)</f>
        <v>21669.663467516657</v>
      </c>
      <c r="BJ152" s="9">
        <f>SUM($C24:$BJ24)+SUM($C56:BJ56)-SUM($C7:BJ7)</f>
        <v>2.3283064365386963E-9</v>
      </c>
      <c r="BK152" s="23">
        <f t="shared" si="32"/>
        <v>2.3283064365386963E-9</v>
      </c>
      <c r="BL152" s="24"/>
      <c r="BM152" s="24"/>
    </row>
    <row r="153" spans="2:65" ht="15" customHeight="1" x14ac:dyDescent="0.25">
      <c r="B153" s="6">
        <v>4</v>
      </c>
      <c r="C153" s="9">
        <f>SUM($C25:$BJ25)+C57-C8</f>
        <v>51002.058566297215</v>
      </c>
      <c r="D153" s="9">
        <f>SUM($C25:$BJ25)+SUM($C57:D57)-SUM($C8:D8)</f>
        <v>50423.715580669348</v>
      </c>
      <c r="E153" s="9">
        <f>SUM($C25:$BJ25)+SUM($C57:E57)-SUM($C8:E8)</f>
        <v>49840.591172811524</v>
      </c>
      <c r="F153" s="9">
        <f>SUM($C25:$BJ25)+SUM($C57:F57)-SUM($C8:F8)</f>
        <v>49252.645812550261</v>
      </c>
      <c r="G153" s="9">
        <f>SUM($C25:$BJ25)+SUM($C57:G57)-SUM($C8:G8)</f>
        <v>48659.839642898354</v>
      </c>
      <c r="H153" s="9">
        <f>SUM($C25:$BJ25)+SUM($C57:H57)-SUM($C8:H8)</f>
        <v>48062.132477352876</v>
      </c>
      <c r="I153" s="9">
        <f>SUM($C25:$BJ25)+SUM($C57:I57)-SUM($C8:I8)</f>
        <v>47459.483797170986</v>
      </c>
      <c r="J153" s="9">
        <f>SUM($C25:$BJ25)+SUM($C57:J57)-SUM($C8:J8)</f>
        <v>46851.852748623111</v>
      </c>
      <c r="K153" s="9">
        <f>SUM($C25:$BJ25)+SUM($C57:K57)-SUM($C8:K8)</f>
        <v>46239.198140223481</v>
      </c>
      <c r="L153" s="9">
        <f>SUM($C25:$BJ25)+SUM($C57:L57)-SUM($C8:L8)</f>
        <v>45621.478439937739</v>
      </c>
      <c r="M153" s="9">
        <f>SUM($C25:$BJ25)+SUM($C57:M57)-SUM($C8:M8)</f>
        <v>44998.651772367477</v>
      </c>
      <c r="N153" s="9">
        <f>SUM($C25:$BJ25)+SUM($C57:N57)-SUM($C8:N8)</f>
        <v>44370.675915911474</v>
      </c>
      <c r="O153" s="9">
        <f>SUM($C25:$BJ25)+SUM($C57:O57)-SUM($C8:O8)</f>
        <v>43687.871974314323</v>
      </c>
      <c r="P153" s="9">
        <f>SUM($C25:$BJ25)+SUM($C57:P57)-SUM($C8:P8)</f>
        <v>42999.422984664037</v>
      </c>
      <c r="Q153" s="9">
        <f>SUM($C25:$BJ25)+SUM($C57:Q57)-SUM($C8:Q8)</f>
        <v>42305.282276803082</v>
      </c>
      <c r="R153" s="9">
        <f>SUM($C25:$BJ25)+SUM($C57:R57)-SUM($C8:R8)</f>
        <v>41605.402794730682</v>
      </c>
      <c r="S153" s="9">
        <f>SUM($C25:$BJ25)+SUM($C57:S57)-SUM($C8:S8)</f>
        <v>40899.737093412892</v>
      </c>
      <c r="T153" s="9">
        <f>SUM($C25:$BJ25)+SUM($C57:T57)-SUM($C8:T8)</f>
        <v>40188.237335566271</v>
      </c>
      <c r="U153" s="9">
        <f>SUM($C25:$BJ25)+SUM($C57:U57)-SUM($C8:U8)</f>
        <v>39470.855288414998</v>
      </c>
      <c r="V153" s="9">
        <f>SUM($C25:$BJ25)+SUM($C57:V57)-SUM($C8:V8)</f>
        <v>38747.542320421126</v>
      </c>
      <c r="W153" s="9">
        <f>SUM($C25:$BJ25)+SUM($C57:W57)-SUM($C8:W8)</f>
        <v>38018.249397987878</v>
      </c>
      <c r="X153" s="9">
        <f>SUM($C25:$BJ25)+SUM($C57:X57)-SUM($C8:X8)</f>
        <v>37282.927082135611</v>
      </c>
      <c r="Y153" s="9">
        <f>SUM($C25:$BJ25)+SUM($C57:Y57)-SUM($C8:Y8)</f>
        <v>36541.525525150355</v>
      </c>
      <c r="Z153" s="9">
        <f>SUM($C25:$BJ25)+SUM($C57:Z57)-SUM($C8:Z8)</f>
        <v>35793.994467204604</v>
      </c>
      <c r="AA153" s="9">
        <f>SUM($C25:$BJ25)+SUM($C57:AA57)-SUM($C8:AA8)</f>
        <v>34988.183142542999</v>
      </c>
      <c r="AB153" s="9">
        <f>SUM($C25:$BJ25)+SUM($C57:AB57)-SUM($C8:AB8)</f>
        <v>34175.709812329951</v>
      </c>
      <c r="AC153" s="9">
        <f>SUM($C25:$BJ25)+SUM($C57:AC57)-SUM($C8:AC8)</f>
        <v>33356.519398761739</v>
      </c>
      <c r="AD153" s="9">
        <f>SUM($C25:$BJ25)+SUM($C57:AD57)-SUM($C8:AD8)</f>
        <v>32530.556368681624</v>
      </c>
      <c r="AE153" s="9">
        <f>SUM($C25:$BJ25)+SUM($C57:AE57)-SUM($C8:AE8)</f>
        <v>31697.764729815201</v>
      </c>
      <c r="AF153" s="9">
        <f>SUM($C25:$BJ25)+SUM($C57:AF57)-SUM($C8:AF8)</f>
        <v>30858.088026974699</v>
      </c>
      <c r="AG153" s="9">
        <f>SUM($C25:$BJ25)+SUM($C57:AG57)-SUM($C8:AG8)</f>
        <v>30011.469338231858</v>
      </c>
      <c r="AH153" s="9">
        <f>SUM($C25:$BJ25)+SUM($C57:AH57)-SUM($C8:AH8)</f>
        <v>29157.851271059168</v>
      </c>
      <c r="AI153" s="9">
        <f>SUM($C25:$BJ25)+SUM($C57:AI57)-SUM($C8:AI8)</f>
        <v>28297.175958439213</v>
      </c>
      <c r="AJ153" s="9">
        <f>SUM($C25:$BJ25)+SUM($C57:AJ57)-SUM($C8:AJ8)</f>
        <v>27429.385054941857</v>
      </c>
      <c r="AK153" s="9">
        <f>SUM($C25:$BJ25)+SUM($C57:AK57)-SUM($C8:AK8)</f>
        <v>26554.419732768976</v>
      </c>
      <c r="AL153" s="9">
        <f>SUM($C25:$BJ25)+SUM($C57:AL57)-SUM($C8:AL8)</f>
        <v>25672.220677766534</v>
      </c>
      <c r="AM153" s="9">
        <f>SUM($C25:$BJ25)+SUM($C57:AM57)-SUM($C8:AM8)</f>
        <v>24728.041937945738</v>
      </c>
      <c r="AN153" s="9">
        <f>SUM($C25:$BJ25)+SUM($C57:AN57)-SUM($C8:AN8)</f>
        <v>23776.057246764198</v>
      </c>
      <c r="AO153" s="9">
        <f>SUM($C25:$BJ25)+SUM($C57:AO57)-SUM($C8:AO8)</f>
        <v>22816.202068902399</v>
      </c>
      <c r="AP153" s="9">
        <f>SUM($C25:$BJ25)+SUM($C57:AP57)-SUM($C8:AP8)</f>
        <v>21848.411335498262</v>
      </c>
      <c r="AQ153" s="9">
        <f>SUM($C25:$BJ25)+SUM($C57:AQ57)-SUM($C8:AQ8)</f>
        <v>20872.61943973606</v>
      </c>
      <c r="AR153" s="9">
        <f>SUM($C25:$BJ25)+SUM($C57:AR57)-SUM($C8:AR8)</f>
        <v>19888.760232398963</v>
      </c>
      <c r="AS153" s="9">
        <f>SUM($C25:$BJ25)+SUM($C57:AS57)-SUM($C8:AS8)</f>
        <v>18896.767017384715</v>
      </c>
      <c r="AT153" s="9">
        <f>SUM($C25:$BJ25)+SUM($C57:AT57)-SUM($C8:AT8)</f>
        <v>17896.57254718434</v>
      </c>
      <c r="AU153" s="9">
        <f>SUM($C25:$BJ25)+SUM($C57:AU57)-SUM($C8:AU8)</f>
        <v>16888.109018323361</v>
      </c>
      <c r="AV153" s="9">
        <f>SUM($C25:$BJ25)+SUM($C57:AV57)-SUM($C8:AV8)</f>
        <v>15871.308066765414</v>
      </c>
      <c r="AW153" s="9">
        <f>SUM($C25:$BJ25)+SUM($C57:AW57)-SUM($C8:AW8)</f>
        <v>14846.10076327782</v>
      </c>
      <c r="AX153" s="9">
        <f>SUM($C25:$BJ25)+SUM($C57:AX57)-SUM($C8:AX8)</f>
        <v>13812.417608758864</v>
      </c>
      <c r="AY153" s="9">
        <f>SUM($C25:$BJ25)+SUM($C57:AY57)-SUM($C8:AY8)</f>
        <v>12712.787962648079</v>
      </c>
      <c r="AZ153" s="9">
        <f>SUM($C25:$BJ25)+SUM($C57:AZ57)-SUM($C8:AZ8)</f>
        <v>11604.067182443345</v>
      </c>
      <c r="BA153" s="9">
        <f>SUM($C25:$BJ25)+SUM($C57:BA57)-SUM($C8:BA8)</f>
        <v>10486.180107640022</v>
      </c>
      <c r="BB153" s="9">
        <f>SUM($C25:$BJ25)+SUM($C57:BB57)-SUM($C8:BB8)</f>
        <v>9359.0509563476735</v>
      </c>
      <c r="BC153" s="9">
        <f>SUM($C25:$BJ25)+SUM($C57:BC57)-SUM($C8:BC8)</f>
        <v>8222.6033201528553</v>
      </c>
      <c r="BD153" s="9">
        <f>SUM($C25:$BJ25)+SUM($C57:BD57)-SUM($C8:BD8)</f>
        <v>7076.7601589392507</v>
      </c>
      <c r="BE153" s="9">
        <f>SUM($C25:$BJ25)+SUM($C57:BE57)-SUM($C8:BE8)</f>
        <v>5921.4437956652328</v>
      </c>
      <c r="BF153" s="9">
        <f>SUM($C25:$BJ25)+SUM($C57:BF57)-SUM($C8:BF8)</f>
        <v>4756.5759110980071</v>
      </c>
      <c r="BG153" s="9">
        <f>SUM($C25:$BJ25)+SUM($C57:BG57)-SUM($C8:BG8)</f>
        <v>3582.0775385043889</v>
      </c>
      <c r="BH153" s="9">
        <f>SUM($C25:$BJ25)+SUM($C57:BH57)-SUM($C8:BH8)</f>
        <v>2397.869058297576</v>
      </c>
      <c r="BI153" s="9">
        <f>SUM($C25:$BJ25)+SUM($C57:BI57)-SUM($C8:BI8)</f>
        <v>1203.8701926397698</v>
      </c>
      <c r="BJ153" s="9">
        <f>SUM($C25:$BJ25)+SUM($C57:BJ57)-SUM($C8:BJ8)</f>
        <v>0</v>
      </c>
      <c r="BK153" s="23">
        <f>BJ153</f>
        <v>0</v>
      </c>
      <c r="BL153" s="24"/>
      <c r="BM153" s="24"/>
    </row>
    <row r="154" spans="2:65" ht="15" customHeight="1" x14ac:dyDescent="0.25">
      <c r="B154" s="6">
        <v>5</v>
      </c>
      <c r="C154" s="9">
        <f>SUM($C26:$BJ26)+C58-C9</f>
        <v>663026.76136186405</v>
      </c>
      <c r="D154" s="9">
        <f>SUM($C26:$BJ26)+SUM($C58:D58)-SUM($C9:D9)</f>
        <v>655508.30254870187</v>
      </c>
      <c r="E154" s="9">
        <f>SUM($C26:$BJ26)+SUM($C58:E58)-SUM($C9:E9)</f>
        <v>647927.68524655001</v>
      </c>
      <c r="F154" s="9">
        <f>SUM($C26:$BJ26)+SUM($C58:F58)-SUM($C9:F9)</f>
        <v>640284.39556315378</v>
      </c>
      <c r="G154" s="9">
        <f>SUM($C26:$BJ26)+SUM($C58:G58)-SUM($C9:G9)</f>
        <v>632577.9153576789</v>
      </c>
      <c r="H154" s="9">
        <f>SUM($C26:$BJ26)+SUM($C58:H58)-SUM($C9:H9)</f>
        <v>624807.72220558766</v>
      </c>
      <c r="I154" s="9">
        <f>SUM($C26:$BJ26)+SUM($C58:I58)-SUM($C9:I9)</f>
        <v>616973.28936322313</v>
      </c>
      <c r="J154" s="9">
        <f>SUM($C26:$BJ26)+SUM($C58:J58)-SUM($C9:J9)</f>
        <v>609074.08573210076</v>
      </c>
      <c r="K154" s="9">
        <f>SUM($C26:$BJ26)+SUM($C58:K58)-SUM($C9:K9)</f>
        <v>601109.57582290552</v>
      </c>
      <c r="L154" s="9">
        <f>SUM($C26:$BJ26)+SUM($C58:L58)-SUM($C9:L9)</f>
        <v>593079.21971919085</v>
      </c>
      <c r="M154" s="9">
        <f>SUM($C26:$BJ26)+SUM($C58:M58)-SUM($C9:M9)</f>
        <v>584982.47304077749</v>
      </c>
      <c r="N154" s="9">
        <f>SUM($C26:$BJ26)+SUM($C58:N58)-SUM($C9:N9)</f>
        <v>576818.78690684948</v>
      </c>
      <c r="O154" s="9">
        <f>SUM($C26:$BJ26)+SUM($C58:O58)-SUM($C9:O9)</f>
        <v>567942.33566608652</v>
      </c>
      <c r="P154" s="9">
        <f>SUM($C26:$BJ26)+SUM($C58:P58)-SUM($C9:P9)</f>
        <v>558992.49880063278</v>
      </c>
      <c r="Q154" s="9">
        <f>SUM($C26:$BJ26)+SUM($C58:Q58)-SUM($C9:Q9)</f>
        <v>549968.66959844052</v>
      </c>
      <c r="R154" s="9">
        <f>SUM($C26:$BJ26)+SUM($C58:R58)-SUM($C9:R9)</f>
        <v>540870.2363314993</v>
      </c>
      <c r="S154" s="9">
        <f>SUM($C26:$BJ26)+SUM($C58:S58)-SUM($C9:S9)</f>
        <v>531696.58221436793</v>
      </c>
      <c r="T154" s="9">
        <f>SUM($C26:$BJ26)+SUM($C58:T58)-SUM($C9:T9)</f>
        <v>522447.08536236192</v>
      </c>
      <c r="U154" s="9">
        <f>SUM($C26:$BJ26)+SUM($C58:U58)-SUM($C9:U9)</f>
        <v>513121.11874939536</v>
      </c>
      <c r="V154" s="9">
        <f>SUM($C26:$BJ26)+SUM($C58:V58)-SUM($C9:V9)</f>
        <v>503718.050165475</v>
      </c>
      <c r="W154" s="9">
        <f>SUM($C26:$BJ26)+SUM($C58:W58)-SUM($C9:W9)</f>
        <v>494237.24217384274</v>
      </c>
      <c r="X154" s="9">
        <f>SUM($C26:$BJ26)+SUM($C58:X58)-SUM($C9:X9)</f>
        <v>484678.05206776317</v>
      </c>
      <c r="Y154" s="9">
        <f>SUM($C26:$BJ26)+SUM($C58:Y58)-SUM($C9:Y9)</f>
        <v>475039.83182695485</v>
      </c>
      <c r="Z154" s="9">
        <f>SUM($C26:$BJ26)+SUM($C58:Z58)-SUM($C9:Z9)</f>
        <v>465321.92807366</v>
      </c>
      <c r="AA154" s="9">
        <f>SUM($C26:$BJ26)+SUM($C58:AA58)-SUM($C9:AA9)</f>
        <v>454846.38085305918</v>
      </c>
      <c r="AB154" s="9">
        <f>SUM($C26:$BJ26)+SUM($C58:AB58)-SUM($C9:AB9)</f>
        <v>444284.22756028955</v>
      </c>
      <c r="AC154" s="9">
        <f>SUM($C26:$BJ26)+SUM($C58:AC58)-SUM($C9:AC9)</f>
        <v>433634.75218390272</v>
      </c>
      <c r="AD154" s="9">
        <f>SUM($C26:$BJ26)+SUM($C58:AD58)-SUM($C9:AD9)</f>
        <v>422897.23279286118</v>
      </c>
      <c r="AE154" s="9">
        <f>SUM($C26:$BJ26)+SUM($C58:AE58)-SUM($C9:AE9)</f>
        <v>412070.94148759771</v>
      </c>
      <c r="AF154" s="9">
        <f>SUM($C26:$BJ26)+SUM($C58:AF58)-SUM($C9:AF9)</f>
        <v>401155.14435067109</v>
      </c>
      <c r="AG154" s="9">
        <f>SUM($C26:$BJ26)+SUM($C58:AG58)-SUM($C9:AG9)</f>
        <v>390149.10139701428</v>
      </c>
      <c r="AH154" s="9">
        <f>SUM($C26:$BJ26)+SUM($C58:AH58)-SUM($C9:AH9)</f>
        <v>379052.06652376917</v>
      </c>
      <c r="AI154" s="9">
        <f>SUM($C26:$BJ26)+SUM($C58:AI58)-SUM($C9:AI9)</f>
        <v>367863.28745970986</v>
      </c>
      <c r="AJ154" s="9">
        <f>SUM($C26:$BJ26)+SUM($C58:AJ58)-SUM($C9:AJ9)</f>
        <v>356582.00571424409</v>
      </c>
      <c r="AK154" s="9">
        <f>SUM($C26:$BJ26)+SUM($C58:AK58)-SUM($C9:AK9)</f>
        <v>345207.45652599662</v>
      </c>
      <c r="AL154" s="9">
        <f>SUM($C26:$BJ26)+SUM($C58:AL58)-SUM($C9:AL9)</f>
        <v>333738.86881096486</v>
      </c>
      <c r="AM154" s="9">
        <f>SUM($C26:$BJ26)+SUM($C58:AM58)-SUM($C9:AM9)</f>
        <v>321464.54519329459</v>
      </c>
      <c r="AN154" s="9">
        <f>SUM($C26:$BJ26)+SUM($C58:AN58)-SUM($C9:AN9)</f>
        <v>309088.74420793448</v>
      </c>
      <c r="AO154" s="9">
        <f>SUM($C26:$BJ26)+SUM($C58:AO58)-SUM($C9:AO9)</f>
        <v>296610.6268957312</v>
      </c>
      <c r="AP154" s="9">
        <f>SUM($C26:$BJ26)+SUM($C58:AP58)-SUM($C9:AP9)</f>
        <v>284029.34736147744</v>
      </c>
      <c r="AQ154" s="9">
        <f>SUM($C26:$BJ26)+SUM($C58:AQ58)-SUM($C9:AQ9)</f>
        <v>271344.05271656881</v>
      </c>
      <c r="AR154" s="9">
        <f>SUM($C26:$BJ26)+SUM($C58:AR58)-SUM($C9:AR9)</f>
        <v>258553.88302118657</v>
      </c>
      <c r="AS154" s="9">
        <f>SUM($C26:$BJ26)+SUM($C58:AS58)-SUM($C9:AS9)</f>
        <v>245657.97122600151</v>
      </c>
      <c r="AT154" s="9">
        <f>SUM($C26:$BJ26)+SUM($C58:AT58)-SUM($C9:AT9)</f>
        <v>232655.44311339664</v>
      </c>
      <c r="AU154" s="9">
        <f>SUM($C26:$BJ26)+SUM($C58:AU58)-SUM($C9:AU9)</f>
        <v>219545.41723820404</v>
      </c>
      <c r="AV154" s="9">
        <f>SUM($C26:$BJ26)+SUM($C58:AV58)-SUM($C9:AV9)</f>
        <v>206327.0048679508</v>
      </c>
      <c r="AW154" s="9">
        <f>SUM($C26:$BJ26)+SUM($C58:AW58)-SUM($C9:AW9)</f>
        <v>192999.30992261204</v>
      </c>
      <c r="AX154" s="9">
        <f>SUM($C26:$BJ26)+SUM($C58:AX58)-SUM($C9:AX9)</f>
        <v>179561.4289138657</v>
      </c>
      <c r="AY154" s="9">
        <f>SUM($C26:$BJ26)+SUM($C58:AY58)-SUM($C9:AY9)</f>
        <v>165266.24351442559</v>
      </c>
      <c r="AZ154" s="9">
        <f>SUM($C26:$BJ26)+SUM($C58:AZ58)-SUM($C9:AZ9)</f>
        <v>150852.87337176397</v>
      </c>
      <c r="BA154" s="9">
        <f>SUM($C26:$BJ26)+SUM($C58:BA58)-SUM($C9:BA9)</f>
        <v>136320.34139932075</v>
      </c>
      <c r="BB154" s="9">
        <f>SUM($C26:$BJ26)+SUM($C58:BB58)-SUM($C9:BB9)</f>
        <v>121667.6624325203</v>
      </c>
      <c r="BC154" s="9">
        <f>SUM($C26:$BJ26)+SUM($C58:BC58)-SUM($C9:BC9)</f>
        <v>106893.84316198761</v>
      </c>
      <c r="BD154" s="9">
        <f>SUM($C26:$BJ26)+SUM($C58:BD58)-SUM($C9:BD9)</f>
        <v>91997.882066210848</v>
      </c>
      <c r="BE154" s="9">
        <f>SUM($C26:$BJ26)+SUM($C58:BE58)-SUM($C9:BE9)</f>
        <v>76978.769343648688</v>
      </c>
      <c r="BF154" s="9">
        <f>SUM($C26:$BJ26)+SUM($C58:BF58)-SUM($C9:BF9)</f>
        <v>61835.486844274797</v>
      </c>
      <c r="BG154" s="9">
        <f>SUM($C26:$BJ26)+SUM($C58:BG58)-SUM($C9:BG9)</f>
        <v>46567.00800055766</v>
      </c>
      <c r="BH154" s="9">
        <f>SUM($C26:$BJ26)+SUM($C58:BH58)-SUM($C9:BH9)</f>
        <v>31172.297757869121</v>
      </c>
      <c r="BI154" s="9">
        <f>SUM($C26:$BJ26)+SUM($C58:BI58)-SUM($C9:BI9)</f>
        <v>15650.312504317728</v>
      </c>
      <c r="BJ154" s="9">
        <f>SUM($C26:$BJ26)+SUM($C58:BJ58)-SUM($C9:BJ9)</f>
        <v>1.7462298274040222E-9</v>
      </c>
      <c r="BK154" s="23">
        <f t="shared" ref="BK154:BK159" si="33">BJ154</f>
        <v>1.7462298274040222E-9</v>
      </c>
      <c r="BL154" s="24"/>
      <c r="BM154" s="24"/>
    </row>
    <row r="155" spans="2:65" ht="15" customHeight="1" x14ac:dyDescent="0.25">
      <c r="B155" s="6">
        <v>6</v>
      </c>
      <c r="C155" s="9">
        <f>SUM($C27:$BJ27)+C59-C10</f>
        <v>486559.63872247562</v>
      </c>
      <c r="D155" s="9">
        <f>SUM($C27:$BJ27)+SUM($C59:D59)-SUM($C10:D10)</f>
        <v>481042.24663958576</v>
      </c>
      <c r="E155" s="9">
        <f>SUM($C27:$BJ27)+SUM($C59:E59)-SUM($C10:E10)</f>
        <v>475479.23978862207</v>
      </c>
      <c r="F155" s="9">
        <f>SUM($C27:$BJ27)+SUM($C59:F59)-SUM($C10:F10)</f>
        <v>469870.24105172971</v>
      </c>
      <c r="G155" s="9">
        <f>SUM($C27:$BJ27)+SUM($C59:G59)-SUM($C10:G10)</f>
        <v>464214.87019325048</v>
      </c>
      <c r="H155" s="9">
        <f>SUM($C27:$BJ27)+SUM($C59:H59)-SUM($C10:H10)</f>
        <v>458512.74383394665</v>
      </c>
      <c r="I155" s="9">
        <f>SUM($C27:$BJ27)+SUM($C59:I59)-SUM($C10:I10)</f>
        <v>452763.47542501142</v>
      </c>
      <c r="J155" s="9">
        <f>SUM($C27:$BJ27)+SUM($C59:J59)-SUM($C10:J10)</f>
        <v>446966.67522186466</v>
      </c>
      <c r="K155" s="9">
        <f>SUM($C27:$BJ27)+SUM($C59:K59)-SUM($C10:K10)</f>
        <v>441121.95025773218</v>
      </c>
      <c r="L155" s="9">
        <f>SUM($C27:$BJ27)+SUM($C59:L59)-SUM($C10:L10)</f>
        <v>435228.90431700624</v>
      </c>
      <c r="M155" s="9">
        <f>SUM($C27:$BJ27)+SUM($C59:M59)-SUM($C10:M10)</f>
        <v>429287.13790838583</v>
      </c>
      <c r="N155" s="9">
        <f>SUM($C27:$BJ27)+SUM($C59:N59)-SUM($C10:N10)</f>
        <v>423296.24823779566</v>
      </c>
      <c r="O155" s="9">
        <f>SUM($C27:$BJ27)+SUM($C59:O59)-SUM($C10:O10)</f>
        <v>416782.2986349588</v>
      </c>
      <c r="P155" s="9">
        <f>SUM($C27:$BJ27)+SUM($C59:P59)-SUM($C10:P10)</f>
        <v>410214.49527369515</v>
      </c>
      <c r="Q155" s="9">
        <f>SUM($C27:$BJ27)+SUM($C59:Q59)-SUM($C10:Q10)</f>
        <v>403592.39292070153</v>
      </c>
      <c r="R155" s="9">
        <f>SUM($C27:$BJ27)+SUM($C59:R59)-SUM($C10:R10)</f>
        <v>396915.5426617309</v>
      </c>
      <c r="S155" s="9">
        <f>SUM($C27:$BJ27)+SUM($C59:S59)-SUM($C10:S10)</f>
        <v>390183.49187115917</v>
      </c>
      <c r="T155" s="9">
        <f>SUM($C27:$BJ27)+SUM($C59:T59)-SUM($C10:T10)</f>
        <v>383395.78418130247</v>
      </c>
      <c r="U155" s="9">
        <f>SUM($C27:$BJ27)+SUM($C59:U59)-SUM($C10:U10)</f>
        <v>376551.95945147914</v>
      </c>
      <c r="V155" s="9">
        <f>SUM($C27:$BJ27)+SUM($C59:V59)-SUM($C10:V10)</f>
        <v>369651.55373681767</v>
      </c>
      <c r="W155" s="9">
        <f>SUM($C27:$BJ27)+SUM($C59:W59)-SUM($C10:W10)</f>
        <v>362694.09925680445</v>
      </c>
      <c r="X155" s="9">
        <f>SUM($C27:$BJ27)+SUM($C59:X59)-SUM($C10:X10)</f>
        <v>355679.12436357379</v>
      </c>
      <c r="Y155" s="9">
        <f>SUM($C27:$BJ27)+SUM($C59:Y59)-SUM($C10:Y10)</f>
        <v>348606.15350993443</v>
      </c>
      <c r="Z155" s="9">
        <f>SUM($C27:$BJ27)+SUM($C59:Z59)-SUM($C10:Z10)</f>
        <v>341474.70721713197</v>
      </c>
      <c r="AA155" s="9">
        <f>SUM($C27:$BJ27)+SUM($C59:AA59)-SUM($C10:AA10)</f>
        <v>333787.26717986027</v>
      </c>
      <c r="AB155" s="9">
        <f>SUM($C27:$BJ27)+SUM($C59:AB59)-SUM($C10:AB10)</f>
        <v>326036.2716096277</v>
      </c>
      <c r="AC155" s="9">
        <f>SUM($C27:$BJ27)+SUM($C59:AC59)-SUM($C10:AC10)</f>
        <v>318221.19506418699</v>
      </c>
      <c r="AD155" s="9">
        <f>SUM($C27:$BJ27)+SUM($C59:AD59)-SUM($C10:AD10)</f>
        <v>310341.50775722269</v>
      </c>
      <c r="AE155" s="9">
        <f>SUM($C27:$BJ27)+SUM($C59:AE59)-SUM($C10:AE10)</f>
        <v>302396.67552243703</v>
      </c>
      <c r="AF155" s="9">
        <f>SUM($C27:$BJ27)+SUM($C59:AF59)-SUM($C10:AF10)</f>
        <v>294386.15977733867</v>
      </c>
      <c r="AG155" s="9">
        <f>SUM($C27:$BJ27)+SUM($C59:AG59)-SUM($C10:AG10)</f>
        <v>286309.41748673207</v>
      </c>
      <c r="AH155" s="9">
        <f>SUM($C27:$BJ27)+SUM($C59:AH59)-SUM($C10:AH10)</f>
        <v>278165.90112590458</v>
      </c>
      <c r="AI155" s="9">
        <f>SUM($C27:$BJ27)+SUM($C59:AI59)-SUM($C10:AI10)</f>
        <v>269955.05864351027</v>
      </c>
      <c r="AJ155" s="9">
        <f>SUM($C27:$BJ27)+SUM($C59:AJ59)-SUM($C10:AJ10)</f>
        <v>261676.33342414541</v>
      </c>
      <c r="AK155" s="9">
        <f>SUM($C27:$BJ27)+SUM($C59:AK59)-SUM($C10:AK10)</f>
        <v>253329.16425061628</v>
      </c>
      <c r="AL155" s="9">
        <f>SUM($C27:$BJ27)+SUM($C59:AL59)-SUM($C10:AL10)</f>
        <v>244912.98526589287</v>
      </c>
      <c r="AM155" s="9">
        <f>SUM($C27:$BJ27)+SUM($C59:AM59)-SUM($C10:AM10)</f>
        <v>235905.52008800255</v>
      </c>
      <c r="AN155" s="9">
        <f>SUM($C27:$BJ27)+SUM($C59:AN59)-SUM($C10:AN10)</f>
        <v>226823.58613413066</v>
      </c>
      <c r="AO155" s="9">
        <f>SUM($C27:$BJ27)+SUM($C59:AO59)-SUM($C10:AO10)</f>
        <v>217666.56773732917</v>
      </c>
      <c r="AP155" s="9">
        <f>SUM($C27:$BJ27)+SUM($C59:AP59)-SUM($C10:AP10)</f>
        <v>208433.84414065367</v>
      </c>
      <c r="AQ155" s="9">
        <f>SUM($C27:$BJ27)+SUM($C59:AQ59)-SUM($C10:AQ10)</f>
        <v>199124.78945508227</v>
      </c>
      <c r="AR155" s="9">
        <f>SUM($C27:$BJ27)+SUM($C59:AR59)-SUM($C10:AR10)</f>
        <v>189738.77261708636</v>
      </c>
      <c r="AS155" s="9">
        <f>SUM($C27:$BJ27)+SUM($C59:AS59)-SUM($C10:AS10)</f>
        <v>180275.1573458506</v>
      </c>
      <c r="AT155" s="9">
        <f>SUM($C27:$BJ27)+SUM($C59:AT59)-SUM($C10:AT10)</f>
        <v>170733.30210013903</v>
      </c>
      <c r="AU155" s="9">
        <f>SUM($C27:$BJ27)+SUM($C59:AU59)-SUM($C10:AU10)</f>
        <v>161112.56003480533</v>
      </c>
      <c r="AV155" s="9">
        <f>SUM($C27:$BJ27)+SUM($C59:AV59)-SUM($C10:AV10)</f>
        <v>151412.27895694255</v>
      </c>
      <c r="AW155" s="9">
        <f>SUM($C27:$BJ27)+SUM($C59:AW59)-SUM($C10:AW10)</f>
        <v>141631.80128167092</v>
      </c>
      <c r="AX155" s="9">
        <f>SUM($C27:$BJ27)+SUM($C59:AX59)-SUM($C10:AX10)</f>
        <v>131770.46398756007</v>
      </c>
      <c r="AY155" s="9">
        <f>SUM($C27:$BJ27)+SUM($C59:AY59)-SUM($C10:AY10)</f>
        <v>121279.99716366321</v>
      </c>
      <c r="AZ155" s="9">
        <f>SUM($C27:$BJ27)+SUM($C59:AZ59)-SUM($C10:AZ10)</f>
        <v>110702.80092051002</v>
      </c>
      <c r="BA155" s="9">
        <f>SUM($C27:$BJ27)+SUM($C59:BA59)-SUM($C10:BA10)</f>
        <v>100038.1582268863</v>
      </c>
      <c r="BB155" s="9">
        <f>SUM($C27:$BJ27)+SUM($C59:BB59)-SUM($C10:BB10)</f>
        <v>89285.346123557305</v>
      </c>
      <c r="BC155" s="9">
        <f>SUM($C27:$BJ27)+SUM($C59:BC59)-SUM($C10:BC10)</f>
        <v>78443.635674258694</v>
      </c>
      <c r="BD155" s="9">
        <f>SUM($C27:$BJ27)+SUM($C59:BD59)-SUM($C10:BD10)</f>
        <v>67512.291916280985</v>
      </c>
      <c r="BE155" s="9">
        <f>SUM($C27:$BJ27)+SUM($C59:BE59)-SUM($C10:BE10)</f>
        <v>56490.573810646776</v>
      </c>
      <c r="BF155" s="9">
        <f>SUM($C27:$BJ27)+SUM($C59:BF59)-SUM($C10:BF10)</f>
        <v>45377.734191875556</v>
      </c>
      <c r="BG155" s="9">
        <f>SUM($C27:$BJ27)+SUM($C59:BG59)-SUM($C10:BG10)</f>
        <v>34173.019717332325</v>
      </c>
      <c r="BH155" s="9">
        <f>SUM($C27:$BJ27)+SUM($C59:BH59)-SUM($C10:BH10)</f>
        <v>22875.670816159341</v>
      </c>
      <c r="BI155" s="9">
        <f>SUM($C27:$BJ27)+SUM($C59:BI59)-SUM($C10:BI10)</f>
        <v>11484.921637783875</v>
      </c>
      <c r="BJ155" s="9">
        <f>SUM($C27:$BJ27)+SUM($C59:BJ59)-SUM($C10:BJ10)</f>
        <v>1.280568540096283E-9</v>
      </c>
      <c r="BK155" s="23">
        <f t="shared" si="33"/>
        <v>1.280568540096283E-9</v>
      </c>
      <c r="BL155" s="24"/>
      <c r="BM155" s="24"/>
    </row>
    <row r="156" spans="2:65" ht="15" customHeight="1" x14ac:dyDescent="0.25">
      <c r="B156" s="6">
        <v>7</v>
      </c>
      <c r="C156" s="9">
        <f>SUM($C28:$BJ28)+C60-C11</f>
        <v>178507.20498204036</v>
      </c>
      <c r="D156" s="9">
        <f>SUM($C28:$BJ28)+SUM($C60:D60)-SUM($C11:D11)</f>
        <v>176483.00453234283</v>
      </c>
      <c r="E156" s="9">
        <f>SUM($C28:$BJ28)+SUM($C60:E60)-SUM($C11:E11)</f>
        <v>174442.06910484043</v>
      </c>
      <c r="F156" s="9">
        <f>SUM($C28:$BJ28)+SUM($C60:F60)-SUM($C11:F11)</f>
        <v>172384.26034392603</v>
      </c>
      <c r="G156" s="9">
        <f>SUM($C28:$BJ28)+SUM($C60:G60)-SUM($C11:G11)</f>
        <v>170309.43875014433</v>
      </c>
      <c r="H156" s="9">
        <f>SUM($C28:$BJ28)+SUM($C60:H60)-SUM($C11:H11)</f>
        <v>168217.46367073519</v>
      </c>
      <c r="I156" s="9">
        <f>SUM($C28:$BJ28)+SUM($C60:I60)-SUM($C11:I11)</f>
        <v>166108.19329009857</v>
      </c>
      <c r="J156" s="9">
        <f>SUM($C28:$BJ28)+SUM($C60:J60)-SUM($C11:J11)</f>
        <v>163981.484620181</v>
      </c>
      <c r="K156" s="9">
        <f>SUM($C28:$BJ28)+SUM($C60:K60)-SUM($C11:K11)</f>
        <v>161837.19349078229</v>
      </c>
      <c r="L156" s="9">
        <f>SUM($C28:$BJ28)+SUM($C60:L60)-SUM($C11:L11)</f>
        <v>159675.17453978219</v>
      </c>
      <c r="M156" s="9">
        <f>SUM($C28:$BJ28)+SUM($C60:M60)-SUM($C11:M11)</f>
        <v>157495.28120328626</v>
      </c>
      <c r="N156" s="9">
        <f>SUM($C28:$BJ28)+SUM($C60:N60)-SUM($C11:N11)</f>
        <v>155297.36570569029</v>
      </c>
      <c r="O156" s="9">
        <f>SUM($C28:$BJ28)+SUM($C60:O60)-SUM($C11:O11)</f>
        <v>152907.55191010024</v>
      </c>
      <c r="P156" s="9">
        <f>SUM($C28:$BJ28)+SUM($C60:P60)-SUM($C11:P11)</f>
        <v>150497.98044632422</v>
      </c>
      <c r="Q156" s="9">
        <f>SUM($C28:$BJ28)+SUM($C60:Q60)-SUM($C11:Q11)</f>
        <v>148068.48796881089</v>
      </c>
      <c r="R156" s="9">
        <f>SUM($C28:$BJ28)+SUM($C60:R60)-SUM($C11:R11)</f>
        <v>145618.90978155751</v>
      </c>
      <c r="S156" s="9">
        <f>SUM($C28:$BJ28)+SUM($C60:S60)-SUM($C11:S11)</f>
        <v>143149.07982694524</v>
      </c>
      <c r="T156" s="9">
        <f>SUM($C28:$BJ28)+SUM($C60:T60)-SUM($C11:T11)</f>
        <v>140658.83067448204</v>
      </c>
      <c r="U156" s="9">
        <f>SUM($C28:$BJ28)+SUM($C60:U60)-SUM($C11:U11)</f>
        <v>138147.99350945259</v>
      </c>
      <c r="V156" s="9">
        <f>SUM($C28:$BJ28)+SUM($C60:V60)-SUM($C11:V11)</f>
        <v>135616.39812147402</v>
      </c>
      <c r="W156" s="9">
        <f>SUM($C28:$BJ28)+SUM($C60:W60)-SUM($C11:W11)</f>
        <v>133063.87289295765</v>
      </c>
      <c r="X156" s="9">
        <f>SUM($C28:$BJ28)+SUM($C60:X60)-SUM($C11:X11)</f>
        <v>130490.2447874747</v>
      </c>
      <c r="Y156" s="9">
        <f>SUM($C28:$BJ28)+SUM($C60:Y60)-SUM($C11:Y11)</f>
        <v>127895.3393380263</v>
      </c>
      <c r="Z156" s="9">
        <f>SUM($C28:$BJ28)+SUM($C60:Z60)-SUM($C11:Z11)</f>
        <v>125278.98063521615</v>
      </c>
      <c r="AA156" s="9">
        <f>SUM($C28:$BJ28)+SUM($C60:AA60)-SUM($C11:AA11)</f>
        <v>122458.64099890053</v>
      </c>
      <c r="AB156" s="9">
        <f>SUM($C28:$BJ28)+SUM($C60:AB60)-SUM($C11:AB11)</f>
        <v>119614.98434315487</v>
      </c>
      <c r="AC156" s="9">
        <f>SUM($C28:$BJ28)+SUM($C60:AC60)-SUM($C11:AC11)</f>
        <v>116747.81789566613</v>
      </c>
      <c r="AD156" s="9">
        <f>SUM($C28:$BJ28)+SUM($C60:AD60)-SUM($C11:AD11)</f>
        <v>113856.94729038571</v>
      </c>
      <c r="AE156" s="9">
        <f>SUM($C28:$BJ28)+SUM($C60:AE60)-SUM($C11:AE11)</f>
        <v>110942.17655435319</v>
      </c>
      <c r="AF156" s="9">
        <f>SUM($C28:$BJ28)+SUM($C60:AF60)-SUM($C11:AF11)</f>
        <v>108003.30809441146</v>
      </c>
      <c r="AG156" s="9">
        <f>SUM($C28:$BJ28)+SUM($C60:AG60)-SUM($C11:AG11)</f>
        <v>105040.14268381153</v>
      </c>
      <c r="AH156" s="9">
        <f>SUM($C28:$BJ28)+SUM($C60:AH60)-SUM($C11:AH11)</f>
        <v>102052.47944870712</v>
      </c>
      <c r="AI156" s="9">
        <f>SUM($C28:$BJ28)+SUM($C60:AI60)-SUM($C11:AI11)</f>
        <v>99040.115854537275</v>
      </c>
      <c r="AJ156" s="9">
        <f>SUM($C28:$BJ28)+SUM($C60:AJ60)-SUM($C11:AJ11)</f>
        <v>96002.847692296506</v>
      </c>
      <c r="AK156" s="9">
        <f>SUM($C28:$BJ28)+SUM($C60:AK60)-SUM($C11:AK11)</f>
        <v>92940.469064691439</v>
      </c>
      <c r="AL156" s="9">
        <f>SUM($C28:$BJ28)+SUM($C60:AL60)-SUM($C11:AL11)</f>
        <v>89852.772372182866</v>
      </c>
      <c r="AM156" s="9">
        <f>SUM($C28:$BJ28)+SUM($C60:AM60)-SUM($C11:AM11)</f>
        <v>86548.146782810101</v>
      </c>
      <c r="AN156" s="9">
        <f>SUM($C28:$BJ28)+SUM($C60:AN60)-SUM($C11:AN11)</f>
        <v>83216.200363674696</v>
      </c>
      <c r="AO156" s="9">
        <f>SUM($C28:$BJ28)+SUM($C60:AO60)-SUM($C11:AO11)</f>
        <v>79856.707241158379</v>
      </c>
      <c r="AP156" s="9">
        <f>SUM($C28:$BJ28)+SUM($C60:AP60)-SUM($C11:AP11)</f>
        <v>76469.439674243884</v>
      </c>
      <c r="AQ156" s="9">
        <f>SUM($C28:$BJ28)+SUM($C60:AQ60)-SUM($C11:AQ11)</f>
        <v>73054.168039076176</v>
      </c>
      <c r="AR156" s="9">
        <f>SUM($C28:$BJ28)+SUM($C60:AR60)-SUM($C11:AR11)</f>
        <v>69610.660813396302</v>
      </c>
      <c r="AS156" s="9">
        <f>SUM($C28:$BJ28)+SUM($C60:AS60)-SUM($C11:AS11)</f>
        <v>66138.68456084645</v>
      </c>
      <c r="AT156" s="9">
        <f>SUM($C28:$BJ28)+SUM($C60:AT60)-SUM($C11:AT11)</f>
        <v>62638.00391514512</v>
      </c>
      <c r="AU156" s="9">
        <f>SUM($C28:$BJ28)+SUM($C60:AU60)-SUM($C11:AU11)</f>
        <v>59108.381564131676</v>
      </c>
      <c r="AV156" s="9">
        <f>SUM($C28:$BJ28)+SUM($C60:AV60)-SUM($C11:AV11)</f>
        <v>55549.578233678854</v>
      </c>
      <c r="AW156" s="9">
        <f>SUM($C28:$BJ28)+SUM($C60:AW60)-SUM($C11:AW11)</f>
        <v>51961.352671472268</v>
      </c>
      <c r="AX156" s="9">
        <f>SUM($C28:$BJ28)+SUM($C60:AX60)-SUM($C11:AX11)</f>
        <v>48343.461630655918</v>
      </c>
      <c r="AY156" s="9">
        <f>SUM($C28:$BJ28)+SUM($C60:AY60)-SUM($C11:AY11)</f>
        <v>44494.757869268185</v>
      </c>
      <c r="AZ156" s="9">
        <f>SUM($C28:$BJ28)+SUM($C60:AZ60)-SUM($C11:AZ11)</f>
        <v>40614.235138551594</v>
      </c>
      <c r="BA156" s="9">
        <f>SUM($C28:$BJ28)+SUM($C60:BA60)-SUM($C11:BA11)</f>
        <v>36701.630376739922</v>
      </c>
      <c r="BB156" s="9">
        <f>SUM($C28:$BJ28)+SUM($C60:BB60)-SUM($C11:BB11)</f>
        <v>32756.678347216744</v>
      </c>
      <c r="BC156" s="9">
        <f>SUM($C28:$BJ28)+SUM($C60:BC60)-SUM($C11:BC11)</f>
        <v>28779.111620534823</v>
      </c>
      <c r="BD156" s="9">
        <f>SUM($C28:$BJ28)+SUM($C60:BD60)-SUM($C11:BD11)</f>
        <v>24768.660556287243</v>
      </c>
      <c r="BE156" s="9">
        <f>SUM($C28:$BJ28)+SUM($C60:BE60)-SUM($C11:BE11)</f>
        <v>20725.053284828173</v>
      </c>
      <c r="BF156" s="9">
        <f>SUM($C28:$BJ28)+SUM($C60:BF60)-SUM($C11:BF11)</f>
        <v>16648.01568884289</v>
      </c>
      <c r="BG156" s="9">
        <f>SUM($C28:$BJ28)+SUM($C60:BG60)-SUM($C11:BG11)</f>
        <v>12537.27138476519</v>
      </c>
      <c r="BH156" s="9">
        <f>SUM($C28:$BJ28)+SUM($C60:BH60)-SUM($C11:BH11)</f>
        <v>8392.5417040413304</v>
      </c>
      <c r="BI156" s="9">
        <f>SUM($C28:$BJ28)+SUM($C60:BI60)-SUM($C11:BI11)</f>
        <v>4213.5456742389943</v>
      </c>
      <c r="BJ156" s="9">
        <f>SUM($C28:$BJ28)+SUM($C60:BJ60)-SUM($C11:BJ11)</f>
        <v>0</v>
      </c>
      <c r="BK156" s="23">
        <f t="shared" si="33"/>
        <v>0</v>
      </c>
      <c r="BL156" s="24"/>
      <c r="BM156" s="24"/>
    </row>
    <row r="157" spans="2:65" ht="15" customHeight="1" x14ac:dyDescent="0.25">
      <c r="B157" s="6"/>
      <c r="C157" s="9">
        <f>SUM($C29:$BJ29)+C61-C12</f>
        <v>0</v>
      </c>
      <c r="D157" s="9">
        <f>SUM($C29:$BJ29)+SUM($C61:D61)-SUM($C12:D12)</f>
        <v>0</v>
      </c>
      <c r="E157" s="9">
        <f>SUM($C29:$BJ29)+SUM($C61:E61)-SUM($C12:E12)</f>
        <v>0</v>
      </c>
      <c r="F157" s="9">
        <f>SUM($C29:$BJ29)+SUM($C61:F61)-SUM($C12:F12)</f>
        <v>0</v>
      </c>
      <c r="G157" s="9">
        <f>SUM($C29:$BJ29)+SUM($C61:G61)-SUM($C12:G12)</f>
        <v>0</v>
      </c>
      <c r="H157" s="9">
        <f>SUM($C29:$BJ29)+SUM($C61:H61)-SUM($C12:H12)</f>
        <v>0</v>
      </c>
      <c r="I157" s="9">
        <f>SUM($C29:$BJ29)+SUM($C61:I61)-SUM($C12:I12)</f>
        <v>0</v>
      </c>
      <c r="J157" s="9">
        <f>SUM($C29:$BJ29)+SUM($C61:J61)-SUM($C12:J12)</f>
        <v>0</v>
      </c>
      <c r="K157" s="9">
        <f>SUM($C29:$BJ29)+SUM($C61:K61)-SUM($C12:K12)</f>
        <v>0</v>
      </c>
      <c r="L157" s="9">
        <f>SUM($C29:$BJ29)+SUM($C61:L61)-SUM($C12:L12)</f>
        <v>0</v>
      </c>
      <c r="M157" s="9">
        <f>SUM($C29:$BJ29)+SUM($C61:M61)-SUM($C12:M12)</f>
        <v>0</v>
      </c>
      <c r="N157" s="9">
        <f>SUM($C29:$BJ29)+SUM($C61:N61)-SUM($C12:N12)</f>
        <v>0</v>
      </c>
      <c r="O157" s="9">
        <f>SUM($C29:$BJ29)+SUM($C61:O61)-SUM($C12:O12)</f>
        <v>0</v>
      </c>
      <c r="P157" s="9">
        <f>SUM($C29:$BJ29)+SUM($C61:P61)-SUM($C12:P12)</f>
        <v>0</v>
      </c>
      <c r="Q157" s="9">
        <f>SUM($C29:$BJ29)+SUM($C61:Q61)-SUM($C12:Q12)</f>
        <v>0</v>
      </c>
      <c r="R157" s="9">
        <f>SUM($C29:$BJ29)+SUM($C61:R61)-SUM($C12:R12)</f>
        <v>0</v>
      </c>
      <c r="S157" s="9">
        <f>SUM($C29:$BJ29)+SUM($C61:S61)-SUM($C12:S12)</f>
        <v>0</v>
      </c>
      <c r="T157" s="9">
        <f>SUM($C29:$BJ29)+SUM($C61:T61)-SUM($C12:T12)</f>
        <v>0</v>
      </c>
      <c r="U157" s="9">
        <f>SUM($C29:$BJ29)+SUM($C61:U61)-SUM($C12:U12)</f>
        <v>0</v>
      </c>
      <c r="V157" s="9">
        <f>SUM($C29:$BJ29)+SUM($C61:V61)-SUM($C12:V12)</f>
        <v>0</v>
      </c>
      <c r="W157" s="9">
        <f>SUM($C29:$BJ29)+SUM($C61:W61)-SUM($C12:W12)</f>
        <v>0</v>
      </c>
      <c r="X157" s="9">
        <f>SUM($C29:$BJ29)+SUM($C61:X61)-SUM($C12:X12)</f>
        <v>0</v>
      </c>
      <c r="Y157" s="9">
        <f>SUM($C29:$BJ29)+SUM($C61:Y61)-SUM($C12:Y12)</f>
        <v>0</v>
      </c>
      <c r="Z157" s="9">
        <f>SUM($C29:$BJ29)+SUM($C61:Z61)-SUM($C12:Z12)</f>
        <v>0</v>
      </c>
      <c r="AA157" s="9">
        <f>SUM($C29:$BJ29)+SUM($C61:AA61)-SUM($C12:AA12)</f>
        <v>0</v>
      </c>
      <c r="AB157" s="9">
        <f>SUM($C29:$BJ29)+SUM($C61:AB61)-SUM($C12:AB12)</f>
        <v>0</v>
      </c>
      <c r="AC157" s="9">
        <f>SUM($C29:$BJ29)+SUM($C61:AC61)-SUM($C12:AC12)</f>
        <v>0</v>
      </c>
      <c r="AD157" s="9">
        <f>SUM($C29:$BJ29)+SUM($C61:AD61)-SUM($C12:AD12)</f>
        <v>0</v>
      </c>
      <c r="AE157" s="9">
        <f>SUM($C29:$BJ29)+SUM($C61:AE61)-SUM($C12:AE12)</f>
        <v>0</v>
      </c>
      <c r="AF157" s="9">
        <f>SUM($C29:$BJ29)+SUM($C61:AF61)-SUM($C12:AF12)</f>
        <v>0</v>
      </c>
      <c r="AG157" s="9">
        <f>SUM($C29:$BJ29)+SUM($C61:AG61)-SUM($C12:AG12)</f>
        <v>0</v>
      </c>
      <c r="AH157" s="9">
        <f>SUM($C29:$BJ29)+SUM($C61:AH61)-SUM($C12:AH12)</f>
        <v>0</v>
      </c>
      <c r="AI157" s="9">
        <f>SUM($C29:$BJ29)+SUM($C61:AI61)-SUM($C12:AI12)</f>
        <v>0</v>
      </c>
      <c r="AJ157" s="9">
        <f>SUM($C29:$BJ29)+SUM($C61:AJ61)-SUM($C12:AJ12)</f>
        <v>0</v>
      </c>
      <c r="AK157" s="9">
        <f>SUM($C29:$BJ29)+SUM($C61:AK61)-SUM($C12:AK12)</f>
        <v>0</v>
      </c>
      <c r="AL157" s="9">
        <f>SUM($C29:$BJ29)+SUM($C61:AL61)-SUM($C12:AL12)</f>
        <v>0</v>
      </c>
      <c r="AM157" s="9">
        <f>SUM($C29:$BJ29)+SUM($C61:AM61)-SUM($C12:AM12)</f>
        <v>0</v>
      </c>
      <c r="AN157" s="9">
        <f>SUM($C29:$BJ29)+SUM($C61:AN61)-SUM($C12:AN12)</f>
        <v>0</v>
      </c>
      <c r="AO157" s="9">
        <f>SUM($C29:$BJ29)+SUM($C61:AO61)-SUM($C12:AO12)</f>
        <v>0</v>
      </c>
      <c r="AP157" s="9">
        <f>SUM($C29:$BJ29)+SUM($C61:AP61)-SUM($C12:AP12)</f>
        <v>0</v>
      </c>
      <c r="AQ157" s="9">
        <f>SUM($C29:$BJ29)+SUM($C61:AQ61)-SUM($C12:AQ12)</f>
        <v>0</v>
      </c>
      <c r="AR157" s="9">
        <f>SUM($C29:$BJ29)+SUM($C61:AR61)-SUM($C12:AR12)</f>
        <v>0</v>
      </c>
      <c r="AS157" s="9">
        <f>SUM($C29:$BJ29)+SUM($C61:AS61)-SUM($C12:AS12)</f>
        <v>0</v>
      </c>
      <c r="AT157" s="9">
        <f>SUM($C29:$BJ29)+SUM($C61:AT61)-SUM($C12:AT12)</f>
        <v>0</v>
      </c>
      <c r="AU157" s="9">
        <f>SUM($C29:$BJ29)+SUM($C61:AU61)-SUM($C12:AU12)</f>
        <v>0</v>
      </c>
      <c r="AV157" s="9">
        <f>SUM($C29:$BJ29)+SUM($C61:AV61)-SUM($C12:AV12)</f>
        <v>0</v>
      </c>
      <c r="AW157" s="9">
        <f>SUM($C29:$BJ29)+SUM($C61:AW61)-SUM($C12:AW12)</f>
        <v>0</v>
      </c>
      <c r="AX157" s="9">
        <f>SUM($C29:$BJ29)+SUM($C61:AX61)-SUM($C12:AX12)</f>
        <v>0</v>
      </c>
      <c r="AY157" s="9">
        <f>SUM($C29:$BJ29)+SUM($C61:AY61)-SUM($C12:AY12)</f>
        <v>0</v>
      </c>
      <c r="AZ157" s="9">
        <f>SUM($C29:$BJ29)+SUM($C61:AZ61)-SUM($C12:AZ12)</f>
        <v>0</v>
      </c>
      <c r="BA157" s="9">
        <f>SUM($C29:$BJ29)+SUM($C61:BA61)-SUM($C12:BA12)</f>
        <v>0</v>
      </c>
      <c r="BB157" s="9">
        <f>SUM($C29:$BJ29)+SUM($C61:BB61)-SUM($C12:BB12)</f>
        <v>0</v>
      </c>
      <c r="BC157" s="9">
        <f>SUM($C29:$BJ29)+SUM($C61:BC61)-SUM($C12:BC12)</f>
        <v>0</v>
      </c>
      <c r="BD157" s="9">
        <f>SUM($C29:$BJ29)+SUM($C61:BD61)-SUM($C12:BD12)</f>
        <v>0</v>
      </c>
      <c r="BE157" s="9">
        <f>SUM($C29:$BJ29)+SUM($C61:BE61)-SUM($C12:BE12)</f>
        <v>0</v>
      </c>
      <c r="BF157" s="9">
        <f>SUM($C29:$BJ29)+SUM($C61:BF61)-SUM($C12:BF12)</f>
        <v>0</v>
      </c>
      <c r="BG157" s="9">
        <f>SUM($C29:$BJ29)+SUM($C61:BG61)-SUM($C12:BG12)</f>
        <v>0</v>
      </c>
      <c r="BH157" s="9">
        <f>SUM($C29:$BJ29)+SUM($C61:BH61)-SUM($C12:BH12)</f>
        <v>0</v>
      </c>
      <c r="BI157" s="9">
        <f>SUM($C29:$BJ29)+SUM($C61:BI61)-SUM($C12:BI12)</f>
        <v>0</v>
      </c>
      <c r="BJ157" s="9">
        <f>SUM($C29:$BJ29)+SUM($C61:BJ61)-SUM($C12:BJ12)</f>
        <v>0</v>
      </c>
      <c r="BK157" s="23">
        <f t="shared" si="33"/>
        <v>0</v>
      </c>
      <c r="BM157" s="24"/>
    </row>
    <row r="158" spans="2:65" ht="15" customHeight="1" x14ac:dyDescent="0.25">
      <c r="B158" s="6"/>
      <c r="C158" s="9">
        <f>SUM($C30:$BJ30)+C62-C13</f>
        <v>0</v>
      </c>
      <c r="D158" s="9">
        <f>SUM($C30:$BJ30)+SUM($C62:D62)-SUM($C13:D13)</f>
        <v>0</v>
      </c>
      <c r="E158" s="9">
        <f>SUM($C30:$BJ30)+SUM($C62:E62)-SUM($C13:E13)</f>
        <v>0</v>
      </c>
      <c r="F158" s="9">
        <f>SUM($C30:$BJ30)+SUM($C62:F62)-SUM($C13:F13)</f>
        <v>0</v>
      </c>
      <c r="G158" s="9">
        <f>SUM($C30:$BJ30)+SUM($C62:G62)-SUM($C13:G13)</f>
        <v>0</v>
      </c>
      <c r="H158" s="9">
        <f>SUM($C30:$BJ30)+SUM($C62:H62)-SUM($C13:H13)</f>
        <v>0</v>
      </c>
      <c r="I158" s="9">
        <f>SUM($C30:$BJ30)+SUM($C62:I62)-SUM($C13:I13)</f>
        <v>0</v>
      </c>
      <c r="J158" s="9">
        <f>SUM($C30:$BJ30)+SUM($C62:J62)-SUM($C13:J13)</f>
        <v>0</v>
      </c>
      <c r="K158" s="9">
        <f>SUM($C30:$BJ30)+SUM($C62:K62)-SUM($C13:K13)</f>
        <v>0</v>
      </c>
      <c r="L158" s="9">
        <f>SUM($C30:$BJ30)+SUM($C62:L62)-SUM($C13:L13)</f>
        <v>0</v>
      </c>
      <c r="M158" s="9">
        <f>SUM($C30:$BJ30)+SUM($C62:M62)-SUM($C13:M13)</f>
        <v>0</v>
      </c>
      <c r="N158" s="9">
        <f>SUM($C30:$BJ30)+SUM($C62:N62)-SUM($C13:N13)</f>
        <v>0</v>
      </c>
      <c r="O158" s="9">
        <f>SUM($C30:$BJ30)+SUM($C62:O62)-SUM($C13:O13)</f>
        <v>0</v>
      </c>
      <c r="P158" s="9">
        <f>SUM($C30:$BJ30)+SUM($C62:P62)-SUM($C13:P13)</f>
        <v>0</v>
      </c>
      <c r="Q158" s="9">
        <f>SUM($C30:$BJ30)+SUM($C62:Q62)-SUM($C13:Q13)</f>
        <v>0</v>
      </c>
      <c r="R158" s="9">
        <f>SUM($C30:$BJ30)+SUM($C62:R62)-SUM($C13:R13)</f>
        <v>0</v>
      </c>
      <c r="S158" s="9">
        <f>SUM($C30:$BJ30)+SUM($C62:S62)-SUM($C13:S13)</f>
        <v>0</v>
      </c>
      <c r="T158" s="9">
        <f>SUM($C30:$BJ30)+SUM($C62:T62)-SUM($C13:T13)</f>
        <v>0</v>
      </c>
      <c r="U158" s="9">
        <f>SUM($C30:$BJ30)+SUM($C62:U62)-SUM($C13:U13)</f>
        <v>0</v>
      </c>
      <c r="V158" s="9">
        <f>SUM($C30:$BJ30)+SUM($C62:V62)-SUM($C13:V13)</f>
        <v>0</v>
      </c>
      <c r="W158" s="9">
        <f>SUM($C30:$BJ30)+SUM($C62:W62)-SUM($C13:W13)</f>
        <v>0</v>
      </c>
      <c r="X158" s="9">
        <f>SUM($C30:$BJ30)+SUM($C62:X62)-SUM($C13:X13)</f>
        <v>0</v>
      </c>
      <c r="Y158" s="9">
        <f>SUM($C30:$BJ30)+SUM($C62:Y62)-SUM($C13:Y13)</f>
        <v>0</v>
      </c>
      <c r="Z158" s="9">
        <f>SUM($C30:$BJ30)+SUM($C62:Z62)-SUM($C13:Z13)</f>
        <v>0</v>
      </c>
      <c r="AA158" s="9">
        <f>SUM($C30:$BJ30)+SUM($C62:AA62)-SUM($C13:AA13)</f>
        <v>0</v>
      </c>
      <c r="AB158" s="9">
        <f>SUM($C30:$BJ30)+SUM($C62:AB62)-SUM($C13:AB13)</f>
        <v>0</v>
      </c>
      <c r="AC158" s="9">
        <f>SUM($C30:$BJ30)+SUM($C62:AC62)-SUM($C13:AC13)</f>
        <v>0</v>
      </c>
      <c r="AD158" s="9">
        <f>SUM($C30:$BJ30)+SUM($C62:AD62)-SUM($C13:AD13)</f>
        <v>0</v>
      </c>
      <c r="AE158" s="9">
        <f>SUM($C30:$BJ30)+SUM($C62:AE62)-SUM($C13:AE13)</f>
        <v>0</v>
      </c>
      <c r="AF158" s="9">
        <f>SUM($C30:$BJ30)+SUM($C62:AF62)-SUM($C13:AF13)</f>
        <v>0</v>
      </c>
      <c r="AG158" s="9">
        <f>SUM($C30:$BJ30)+SUM($C62:AG62)-SUM($C13:AG13)</f>
        <v>0</v>
      </c>
      <c r="AH158" s="9">
        <f>SUM($C30:$BJ30)+SUM($C62:AH62)-SUM($C13:AH13)</f>
        <v>0</v>
      </c>
      <c r="AI158" s="9">
        <f>SUM($C30:$BJ30)+SUM($C62:AI62)-SUM($C13:AI13)</f>
        <v>0</v>
      </c>
      <c r="AJ158" s="9">
        <f>SUM($C30:$BJ30)+SUM($C62:AJ62)-SUM($C13:AJ13)</f>
        <v>0</v>
      </c>
      <c r="AK158" s="9">
        <f>SUM($C30:$BJ30)+SUM($C62:AK62)-SUM($C13:AK13)</f>
        <v>0</v>
      </c>
      <c r="AL158" s="9">
        <f>SUM($C30:$BJ30)+SUM($C62:AL62)-SUM($C13:AL13)</f>
        <v>0</v>
      </c>
      <c r="AM158" s="9">
        <f>SUM($C30:$BJ30)+SUM($C62:AM62)-SUM($C13:AM13)</f>
        <v>0</v>
      </c>
      <c r="AN158" s="9">
        <f>SUM($C30:$BJ30)+SUM($C62:AN62)-SUM($C13:AN13)</f>
        <v>0</v>
      </c>
      <c r="AO158" s="9">
        <f>SUM($C30:$BJ30)+SUM($C62:AO62)-SUM($C13:AO13)</f>
        <v>0</v>
      </c>
      <c r="AP158" s="9">
        <f>SUM($C30:$BJ30)+SUM($C62:AP62)-SUM($C13:AP13)</f>
        <v>0</v>
      </c>
      <c r="AQ158" s="9">
        <f>SUM($C30:$BJ30)+SUM($C62:AQ62)-SUM($C13:AQ13)</f>
        <v>0</v>
      </c>
      <c r="AR158" s="9">
        <f>SUM($C30:$BJ30)+SUM($C62:AR62)-SUM($C13:AR13)</f>
        <v>0</v>
      </c>
      <c r="AS158" s="9">
        <f>SUM($C30:$BJ30)+SUM($C62:AS62)-SUM($C13:AS13)</f>
        <v>0</v>
      </c>
      <c r="AT158" s="9">
        <f>SUM($C30:$BJ30)+SUM($C62:AT62)-SUM($C13:AT13)</f>
        <v>0</v>
      </c>
      <c r="AU158" s="9">
        <f>SUM($C30:$BJ30)+SUM($C62:AU62)-SUM($C13:AU13)</f>
        <v>0</v>
      </c>
      <c r="AV158" s="9">
        <f>SUM($C30:$BJ30)+SUM($C62:AV62)-SUM($C13:AV13)</f>
        <v>0</v>
      </c>
      <c r="AW158" s="9">
        <f>SUM($C30:$BJ30)+SUM($C62:AW62)-SUM($C13:AW13)</f>
        <v>0</v>
      </c>
      <c r="AX158" s="9">
        <f>SUM($C30:$BJ30)+SUM($C62:AX62)-SUM($C13:AX13)</f>
        <v>0</v>
      </c>
      <c r="AY158" s="9">
        <f>SUM($C30:$BJ30)+SUM($C62:AY62)-SUM($C13:AY13)</f>
        <v>0</v>
      </c>
      <c r="AZ158" s="9">
        <f>SUM($C30:$BJ30)+SUM($C62:AZ62)-SUM($C13:AZ13)</f>
        <v>0</v>
      </c>
      <c r="BA158" s="9">
        <f>SUM($C30:$BJ30)+SUM($C62:BA62)-SUM($C13:BA13)</f>
        <v>0</v>
      </c>
      <c r="BB158" s="9">
        <f>SUM($C30:$BJ30)+SUM($C62:BB62)-SUM($C13:BB13)</f>
        <v>0</v>
      </c>
      <c r="BC158" s="9">
        <f>SUM($C30:$BJ30)+SUM($C62:BC62)-SUM($C13:BC13)</f>
        <v>0</v>
      </c>
      <c r="BD158" s="9">
        <f>SUM($C30:$BJ30)+SUM($C62:BD62)-SUM($C13:BD13)</f>
        <v>0</v>
      </c>
      <c r="BE158" s="9">
        <f>SUM($C30:$BJ30)+SUM($C62:BE62)-SUM($C13:BE13)</f>
        <v>0</v>
      </c>
      <c r="BF158" s="9">
        <f>SUM($C30:$BJ30)+SUM($C62:BF62)-SUM($C13:BF13)</f>
        <v>0</v>
      </c>
      <c r="BG158" s="9">
        <f>SUM($C30:$BJ30)+SUM($C62:BG62)-SUM($C13:BG13)</f>
        <v>0</v>
      </c>
      <c r="BH158" s="9">
        <f>SUM($C30:$BJ30)+SUM($C62:BH62)-SUM($C13:BH13)</f>
        <v>0</v>
      </c>
      <c r="BI158" s="9">
        <f>SUM($C30:$BJ30)+SUM($C62:BI62)-SUM($C13:BI13)</f>
        <v>0</v>
      </c>
      <c r="BJ158" s="9">
        <f>SUM($C30:$BJ30)+SUM($C62:BJ62)-SUM($C13:BJ13)</f>
        <v>0</v>
      </c>
      <c r="BK158" s="23">
        <f t="shared" si="33"/>
        <v>0</v>
      </c>
      <c r="BM158" s="24"/>
    </row>
    <row r="159" spans="2:65" ht="15" customHeight="1" x14ac:dyDescent="0.25">
      <c r="B159" s="6"/>
      <c r="C159" s="9">
        <f>SUM($C31:$BJ31)+C63-C14</f>
        <v>0</v>
      </c>
      <c r="D159" s="9">
        <f>SUM($C31:$BJ31)+SUM($C63:D63)-SUM($C14:D14)</f>
        <v>0</v>
      </c>
      <c r="E159" s="9">
        <f>SUM($C31:$BJ31)+SUM($C63:E63)-SUM($C14:E14)</f>
        <v>0</v>
      </c>
      <c r="F159" s="9">
        <f>SUM($C31:$BJ31)+SUM($C63:F63)-SUM($C14:F14)</f>
        <v>0</v>
      </c>
      <c r="G159" s="9">
        <f>SUM($C31:$BJ31)+SUM($C63:G63)-SUM($C14:G14)</f>
        <v>0</v>
      </c>
      <c r="H159" s="9">
        <f>SUM($C31:$BJ31)+SUM($C63:H63)-SUM($C14:H14)</f>
        <v>0</v>
      </c>
      <c r="I159" s="9">
        <f>SUM($C31:$BJ31)+SUM($C63:I63)-SUM($C14:I14)</f>
        <v>0</v>
      </c>
      <c r="J159" s="9">
        <f>SUM($C31:$BJ31)+SUM($C63:J63)-SUM($C14:J14)</f>
        <v>0</v>
      </c>
      <c r="K159" s="9">
        <f>SUM($C31:$BJ31)+SUM($C63:K63)-SUM($C14:K14)</f>
        <v>0</v>
      </c>
      <c r="L159" s="9">
        <f>SUM($C31:$BJ31)+SUM($C63:L63)-SUM($C14:L14)</f>
        <v>0</v>
      </c>
      <c r="M159" s="9">
        <f>SUM($C31:$BJ31)+SUM($C63:M63)-SUM($C14:M14)</f>
        <v>0</v>
      </c>
      <c r="N159" s="9">
        <f>SUM($C31:$BJ31)+SUM($C63:N63)-SUM($C14:N14)</f>
        <v>0</v>
      </c>
      <c r="O159" s="9">
        <f>SUM($C31:$BJ31)+SUM($C63:O63)-SUM($C14:O14)</f>
        <v>0</v>
      </c>
      <c r="P159" s="9">
        <f>SUM($C31:$BJ31)+SUM($C63:P63)-SUM($C14:P14)</f>
        <v>0</v>
      </c>
      <c r="Q159" s="9">
        <f>SUM($C31:$BJ31)+SUM($C63:Q63)-SUM($C14:Q14)</f>
        <v>0</v>
      </c>
      <c r="R159" s="9">
        <f>SUM($C31:$BJ31)+SUM($C63:R63)-SUM($C14:R14)</f>
        <v>0</v>
      </c>
      <c r="S159" s="9">
        <f>SUM($C31:$BJ31)+SUM($C63:S63)-SUM($C14:S14)</f>
        <v>0</v>
      </c>
      <c r="T159" s="9">
        <f>SUM($C31:$BJ31)+SUM($C63:T63)-SUM($C14:T14)</f>
        <v>0</v>
      </c>
      <c r="U159" s="9">
        <f>SUM($C31:$BJ31)+SUM($C63:U63)-SUM($C14:U14)</f>
        <v>0</v>
      </c>
      <c r="V159" s="9">
        <f>SUM($C31:$BJ31)+SUM($C63:V63)-SUM($C14:V14)</f>
        <v>0</v>
      </c>
      <c r="W159" s="9">
        <f>SUM($C31:$BJ31)+SUM($C63:W63)-SUM($C14:W14)</f>
        <v>0</v>
      </c>
      <c r="X159" s="9">
        <f>SUM($C31:$BJ31)+SUM($C63:X63)-SUM($C14:X14)</f>
        <v>0</v>
      </c>
      <c r="Y159" s="9">
        <f>SUM($C31:$BJ31)+SUM($C63:Y63)-SUM($C14:Y14)</f>
        <v>0</v>
      </c>
      <c r="Z159" s="9">
        <f>SUM($C31:$BJ31)+SUM($C63:Z63)-SUM($C14:Z14)</f>
        <v>0</v>
      </c>
      <c r="AA159" s="9">
        <f>SUM($C31:$BJ31)+SUM($C63:AA63)-SUM($C14:AA14)</f>
        <v>0</v>
      </c>
      <c r="AB159" s="9">
        <f>SUM($C31:$BJ31)+SUM($C63:AB63)-SUM($C14:AB14)</f>
        <v>0</v>
      </c>
      <c r="AC159" s="9">
        <f>SUM($C31:$BJ31)+SUM($C63:AC63)-SUM($C14:AC14)</f>
        <v>0</v>
      </c>
      <c r="AD159" s="9">
        <f>SUM($C31:$BJ31)+SUM($C63:AD63)-SUM($C14:AD14)</f>
        <v>0</v>
      </c>
      <c r="AE159" s="9">
        <f>SUM($C31:$BJ31)+SUM($C63:AE63)-SUM($C14:AE14)</f>
        <v>0</v>
      </c>
      <c r="AF159" s="9">
        <f>SUM($C31:$BJ31)+SUM($C63:AF63)-SUM($C14:AF14)</f>
        <v>0</v>
      </c>
      <c r="AG159" s="9">
        <f>SUM($C31:$BJ31)+SUM($C63:AG63)-SUM($C14:AG14)</f>
        <v>0</v>
      </c>
      <c r="AH159" s="9">
        <f>SUM($C31:$BJ31)+SUM($C63:AH63)-SUM($C14:AH14)</f>
        <v>0</v>
      </c>
      <c r="AI159" s="9">
        <f>SUM($C31:$BJ31)+SUM($C63:AI63)-SUM($C14:AI14)</f>
        <v>0</v>
      </c>
      <c r="AJ159" s="9">
        <f>SUM($C31:$BJ31)+SUM($C63:AJ63)-SUM($C14:AJ14)</f>
        <v>0</v>
      </c>
      <c r="AK159" s="9">
        <f>SUM($C31:$BJ31)+SUM($C63:AK63)-SUM($C14:AK14)</f>
        <v>0</v>
      </c>
      <c r="AL159" s="9">
        <f>SUM($C31:$BJ31)+SUM($C63:AL63)-SUM($C14:AL14)</f>
        <v>0</v>
      </c>
      <c r="AM159" s="9">
        <f>SUM($C31:$BJ31)+SUM($C63:AM63)-SUM($C14:AM14)</f>
        <v>0</v>
      </c>
      <c r="AN159" s="9">
        <f>SUM($C31:$BJ31)+SUM($C63:AN63)-SUM($C14:AN14)</f>
        <v>0</v>
      </c>
      <c r="AO159" s="9">
        <f>SUM($C31:$BJ31)+SUM($C63:AO63)-SUM($C14:AO14)</f>
        <v>0</v>
      </c>
      <c r="AP159" s="9">
        <f>SUM($C31:$BJ31)+SUM($C63:AP63)-SUM($C14:AP14)</f>
        <v>0</v>
      </c>
      <c r="AQ159" s="9">
        <f>SUM($C31:$BJ31)+SUM($C63:AQ63)-SUM($C14:AQ14)</f>
        <v>0</v>
      </c>
      <c r="AR159" s="9">
        <f>SUM($C31:$BJ31)+SUM($C63:AR63)-SUM($C14:AR14)</f>
        <v>0</v>
      </c>
      <c r="AS159" s="9">
        <f>SUM($C31:$BJ31)+SUM($C63:AS63)-SUM($C14:AS14)</f>
        <v>0</v>
      </c>
      <c r="AT159" s="9">
        <f>SUM($C31:$BJ31)+SUM($C63:AT63)-SUM($C14:AT14)</f>
        <v>0</v>
      </c>
      <c r="AU159" s="9">
        <f>SUM($C31:$BJ31)+SUM($C63:AU63)-SUM($C14:AU14)</f>
        <v>0</v>
      </c>
      <c r="AV159" s="9">
        <f>SUM($C31:$BJ31)+SUM($C63:AV63)-SUM($C14:AV14)</f>
        <v>0</v>
      </c>
      <c r="AW159" s="9">
        <f>SUM($C31:$BJ31)+SUM($C63:AW63)-SUM($C14:AW14)</f>
        <v>0</v>
      </c>
      <c r="AX159" s="9">
        <f>SUM($C31:$BJ31)+SUM($C63:AX63)-SUM($C14:AX14)</f>
        <v>0</v>
      </c>
      <c r="AY159" s="9">
        <f>SUM($C31:$BJ31)+SUM($C63:AY63)-SUM($C14:AY14)</f>
        <v>0</v>
      </c>
      <c r="AZ159" s="9">
        <f>SUM($C31:$BJ31)+SUM($C63:AZ63)-SUM($C14:AZ14)</f>
        <v>0</v>
      </c>
      <c r="BA159" s="9">
        <f>SUM($C31:$BJ31)+SUM($C63:BA63)-SUM($C14:BA14)</f>
        <v>0</v>
      </c>
      <c r="BB159" s="9">
        <f>SUM($C31:$BJ31)+SUM($C63:BB63)-SUM($C14:BB14)</f>
        <v>0</v>
      </c>
      <c r="BC159" s="9">
        <f>SUM($C31:$BJ31)+SUM($C63:BC63)-SUM($C14:BC14)</f>
        <v>0</v>
      </c>
      <c r="BD159" s="9">
        <f>SUM($C31:$BJ31)+SUM($C63:BD63)-SUM($C14:BD14)</f>
        <v>0</v>
      </c>
      <c r="BE159" s="9">
        <f>SUM($C31:$BJ31)+SUM($C63:BE63)-SUM($C14:BE14)</f>
        <v>0</v>
      </c>
      <c r="BF159" s="9">
        <f>SUM($C31:$BJ31)+SUM($C63:BF63)-SUM($C14:BF14)</f>
        <v>0</v>
      </c>
      <c r="BG159" s="9">
        <f>SUM($C31:$BJ31)+SUM($C63:BG63)-SUM($C14:BG14)</f>
        <v>0</v>
      </c>
      <c r="BH159" s="9">
        <f>SUM($C31:$BJ31)+SUM($C63:BH63)-SUM($C14:BH14)</f>
        <v>0</v>
      </c>
      <c r="BI159" s="9">
        <f>SUM($C31:$BJ31)+SUM($C63:BI63)-SUM($C14:BI14)</f>
        <v>0</v>
      </c>
      <c r="BJ159" s="9">
        <f>SUM($C31:$BJ31)+SUM($C63:BJ63)-SUM($C14:BJ14)</f>
        <v>0</v>
      </c>
      <c r="BK159" s="23">
        <f t="shared" si="33"/>
        <v>0</v>
      </c>
      <c r="BM159" s="24"/>
    </row>
    <row r="160" spans="2:65" ht="18" customHeight="1" x14ac:dyDescent="0.25">
      <c r="B160" s="25" t="s">
        <v>72</v>
      </c>
      <c r="C160" s="23">
        <f>SUM(C150:C159)</f>
        <v>2885696.4736810974</v>
      </c>
      <c r="D160" s="23">
        <f>SUM(D150:D159)</f>
        <v>2852973.8275542725</v>
      </c>
      <c r="E160" s="23">
        <f>SUM(E150:E159)</f>
        <v>2819980.6485576769</v>
      </c>
      <c r="F160" s="23">
        <f>SUM(F150:F159)</f>
        <v>2786714.7000740953</v>
      </c>
      <c r="G160" s="23">
        <f>SUM(G150:G159)</f>
        <v>2753173.7269951897</v>
      </c>
      <c r="H160" s="23">
        <f>SUM(H150:H159)</f>
        <v>2719355.455568627</v>
      </c>
      <c r="I160" s="23">
        <f>SUM(I150:I159)</f>
        <v>2685257.5932439351</v>
      </c>
      <c r="J160" s="23">
        <f>SUM(J150:J159)</f>
        <v>2650877.8285170966</v>
      </c>
      <c r="K160" s="23">
        <f>SUM(K150:K159)</f>
        <v>2616213.8307738453</v>
      </c>
      <c r="L160" s="23">
        <f>SUM(L150:L159)</f>
        <v>2581263.2501316783</v>
      </c>
      <c r="M160" s="23">
        <f>SUM(M150:M159)</f>
        <v>2546023.7172805523</v>
      </c>
      <c r="N160" s="23">
        <f>SUM(N150:N159)</f>
        <v>2510492.8433222724</v>
      </c>
      <c r="O160" s="23">
        <f>SUM(O150:O159)</f>
        <v>2471859.7963067051</v>
      </c>
      <c r="P160" s="23">
        <f>SUM(P150:P159)</f>
        <v>2432907.3524722927</v>
      </c>
      <c r="Q160" s="23">
        <f>SUM(Q150:Q159)</f>
        <v>2393632.8712215191</v>
      </c>
      <c r="R160" s="23">
        <f>SUM(R150:R159)</f>
        <v>2354033.6901258631</v>
      </c>
      <c r="S160" s="23">
        <f>SUM(S150:S159)</f>
        <v>2314107.1247453028</v>
      </c>
      <c r="T160" s="23">
        <f>SUM(T150:T159)</f>
        <v>2273850.4684463409</v>
      </c>
      <c r="U160" s="23">
        <f>SUM(U150:U159)</f>
        <v>2233260.9922185214</v>
      </c>
      <c r="V160" s="23">
        <f>SUM(V150:V159)</f>
        <v>2192335.9444894278</v>
      </c>
      <c r="W160" s="23">
        <f>SUM(W150:W159)</f>
        <v>2151072.5509381546</v>
      </c>
      <c r="X160" s="23">
        <f>SUM(X150:X159)</f>
        <v>2109468.0143072335</v>
      </c>
      <c r="Y160" s="23">
        <f>SUM(Y150:Y159)</f>
        <v>2067519.5142130076</v>
      </c>
      <c r="Z160" s="23">
        <f>SUM(Z150:Z159)</f>
        <v>2025224.2069544371</v>
      </c>
      <c r="AA160" s="23">
        <f>SUM(AA150:AA159)</f>
        <v>1979631.4022050838</v>
      </c>
      <c r="AB160" s="23">
        <f>SUM(AB150:AB159)</f>
        <v>1933661.6611816289</v>
      </c>
      <c r="AC160" s="23">
        <f>SUM(AC150:AC159)</f>
        <v>1887311.8675819398</v>
      </c>
      <c r="AD160" s="23">
        <f>SUM(AD150:AD159)</f>
        <v>1840578.8793400065</v>
      </c>
      <c r="AE160" s="23">
        <f>SUM(AE150:AE159)</f>
        <v>1793459.5284129444</v>
      </c>
      <c r="AF160" s="23">
        <f>SUM(AF150:AF159)</f>
        <v>1745950.6205662286</v>
      </c>
      <c r="AG160" s="23">
        <f>SUM(AG150:AG159)</f>
        <v>1698048.9351571593</v>
      </c>
      <c r="AH160" s="23">
        <f>SUM(AH150:AH159)</f>
        <v>1649751.2249165282</v>
      </c>
      <c r="AI160" s="23">
        <f>SUM(AI150:AI159)</f>
        <v>1601054.2157284915</v>
      </c>
      <c r="AJ160" s="23">
        <f>SUM(AJ150:AJ159)</f>
        <v>1551954.6064086107</v>
      </c>
      <c r="AK160" s="23">
        <f>SUM(AK150:AK159)</f>
        <v>1502449.0684800693</v>
      </c>
      <c r="AL160" s="23">
        <f>SUM(AL150:AL159)</f>
        <v>1452534.2459480311</v>
      </c>
      <c r="AM160" s="23">
        <f>SUM(AM150:AM159)</f>
        <v>1399112.6128489708</v>
      </c>
      <c r="AN160" s="23">
        <f>SUM(AN150:AN159)</f>
        <v>1345249.319021919</v>
      </c>
      <c r="AO160" s="23">
        <f>SUM(AO150:AO159)</f>
        <v>1290940.7130584992</v>
      </c>
      <c r="AP160" s="23">
        <f>SUM(AP150:AP159)</f>
        <v>1236183.1133624925</v>
      </c>
      <c r="AQ160" s="23">
        <f>SUM(AQ150:AQ159)</f>
        <v>1180972.8079002674</v>
      </c>
      <c r="AR160" s="23">
        <f>SUM(AR150:AR159)</f>
        <v>1125306.0539491344</v>
      </c>
      <c r="AS160" s="23">
        <f>SUM(AS150:AS159)</f>
        <v>1069179.0778436291</v>
      </c>
      <c r="AT160" s="23">
        <f>SUM(AT150:AT159)</f>
        <v>1012588.0747196916</v>
      </c>
      <c r="AU160" s="23">
        <f>SUM(AU150:AU159)</f>
        <v>955529.20825673779</v>
      </c>
      <c r="AV160" s="23">
        <f>SUM(AV150:AV159)</f>
        <v>897998.61041758931</v>
      </c>
      <c r="AW160" s="23">
        <f>SUM(AW150:AW159)</f>
        <v>839992.38118626142</v>
      </c>
      <c r="AX160" s="23">
        <f>SUM(AX150:AX159)</f>
        <v>781506.58830357902</v>
      </c>
      <c r="AY160" s="23">
        <f>SUM(AY150:AY159)</f>
        <v>719289.54292663105</v>
      </c>
      <c r="AZ160" s="23">
        <f>SUM(AZ150:AZ159)</f>
        <v>656558.12118264707</v>
      </c>
      <c r="BA160" s="23">
        <f>SUM(BA150:BA159)</f>
        <v>593308.07049027481</v>
      </c>
      <c r="BB160" s="23">
        <f>SUM(BB150:BB159)</f>
        <v>529535.10311015393</v>
      </c>
      <c r="BC160" s="23">
        <f>SUM(BC150:BC159)</f>
        <v>465234.89585425088</v>
      </c>
      <c r="BD160" s="23">
        <f>SUM(BD150:BD159)</f>
        <v>400403.0897927857</v>
      </c>
      <c r="BE160" s="23">
        <f>SUM(BE150:BE159)</f>
        <v>335035.2899587414</v>
      </c>
      <c r="BF160" s="23">
        <f>SUM(BF150:BF159)</f>
        <v>269127.06504992809</v>
      </c>
      <c r="BG160" s="23">
        <f>SUM(BG150:BG159)</f>
        <v>202673.94712858071</v>
      </c>
      <c r="BH160" s="23">
        <f>SUM(BH150:BH159)</f>
        <v>135671.4313184791</v>
      </c>
      <c r="BI160" s="23">
        <f>SUM(BI150:BI159)</f>
        <v>68114.975499560445</v>
      </c>
      <c r="BJ160" s="23">
        <f>SUM(BJ150:BJ159)</f>
        <v>6.6356733441352844E-9</v>
      </c>
      <c r="BK160" s="23">
        <f>SUM(BK150:BK159)</f>
        <v>6.6356733441352844E-9</v>
      </c>
    </row>
    <row r="161" spans="2:63" s="32" customFormat="1" ht="15" customHeight="1" x14ac:dyDescent="0.25">
      <c r="B161" s="31"/>
      <c r="C161" s="30">
        <f>$BK$32+SUM($C64:C64)-SUM($C15:C15)-C160</f>
        <v>0</v>
      </c>
      <c r="D161" s="30">
        <f>$BK$32+SUM($C64:D64)-SUM($C15:D15)-D160</f>
        <v>0</v>
      </c>
      <c r="E161" s="30">
        <f>$BK$32+SUM($C64:E64)-SUM($C15:E15)-E160</f>
        <v>0</v>
      </c>
      <c r="F161" s="30">
        <f>$BK$32+SUM($C64:F64)-SUM($C15:F15)-F160</f>
        <v>0</v>
      </c>
      <c r="G161" s="30">
        <f>$BK$32+SUM($C64:G64)-SUM($C15:G15)-G160</f>
        <v>0</v>
      </c>
      <c r="H161" s="30">
        <f>$BK$32+SUM($C64:H64)-SUM($C15:H15)-H160</f>
        <v>0</v>
      </c>
      <c r="I161" s="30">
        <f>$BK$32+SUM($C64:I64)-SUM($C15:I15)-I160</f>
        <v>0</v>
      </c>
      <c r="J161" s="30">
        <f>$BK$32+SUM($C64:J64)-SUM($C15:J15)-J160</f>
        <v>0</v>
      </c>
      <c r="K161" s="30">
        <f>$BK$32+SUM($C64:K64)-SUM($C15:K15)-K160</f>
        <v>0</v>
      </c>
      <c r="L161" s="30">
        <f>$BK$32+SUM($C64:L64)-SUM($C15:L15)-L160</f>
        <v>0</v>
      </c>
      <c r="M161" s="30">
        <f>$BK$32+SUM($C64:M64)-SUM($C15:M15)-M160</f>
        <v>0</v>
      </c>
      <c r="N161" s="30">
        <f>$BK$32+SUM($C64:N64)-SUM($C15:N15)-N160</f>
        <v>0</v>
      </c>
      <c r="O161" s="30">
        <f>$BK$32+SUM($C64:O64)-SUM($C15:O15)-O160</f>
        <v>0</v>
      </c>
      <c r="P161" s="30">
        <f>$BK$32+SUM($C64:P64)-SUM($C15:P15)-P160</f>
        <v>0</v>
      </c>
      <c r="Q161" s="30">
        <f>$BK$32+SUM($C64:Q64)-SUM($C15:Q15)-Q160</f>
        <v>0</v>
      </c>
      <c r="R161" s="30">
        <f>$BK$32+SUM($C64:R64)-SUM($C15:R15)-R160</f>
        <v>0</v>
      </c>
      <c r="S161" s="30">
        <f>$BK$32+SUM($C64:S64)-SUM($C15:S15)-S160</f>
        <v>0</v>
      </c>
      <c r="T161" s="30">
        <f>$BK$32+SUM($C64:T64)-SUM($C15:T15)-T160</f>
        <v>0</v>
      </c>
      <c r="U161" s="30">
        <f>$BK$32+SUM($C64:U64)-SUM($C15:U15)-U160</f>
        <v>0</v>
      </c>
      <c r="V161" s="30">
        <f>$BK$32+SUM($C64:V64)-SUM($C15:V15)-V160</f>
        <v>0</v>
      </c>
      <c r="W161" s="30">
        <f>$BK$32+SUM($C64:W64)-SUM($C15:W15)-W160</f>
        <v>0</v>
      </c>
      <c r="X161" s="30">
        <f>$BK$32+SUM($C64:X64)-SUM($C15:X15)-X160</f>
        <v>0</v>
      </c>
      <c r="Y161" s="30">
        <f>$BK$32+SUM($C64:Y64)-SUM($C15:Y15)-Y160</f>
        <v>0</v>
      </c>
      <c r="Z161" s="30">
        <f>$BK$32+SUM($C64:Z64)-SUM($C15:Z15)-Z160</f>
        <v>0</v>
      </c>
      <c r="AA161" s="30">
        <f>$BK$32+SUM($C64:AA64)-SUM($C15:AA15)-AA160</f>
        <v>0</v>
      </c>
      <c r="AB161" s="30">
        <f>$BK$32+SUM($C64:AB64)-SUM($C15:AB15)-AB160</f>
        <v>0</v>
      </c>
      <c r="AC161" s="30">
        <f>$BK$32+SUM($C64:AC64)-SUM($C15:AC15)-AC160</f>
        <v>0</v>
      </c>
      <c r="AD161" s="30">
        <f>$BK$32+SUM($C64:AD64)-SUM($C15:AD15)-AD160</f>
        <v>0</v>
      </c>
      <c r="AE161" s="30">
        <f>$BK$32+SUM($C64:AE64)-SUM($C15:AE15)-AE160</f>
        <v>0</v>
      </c>
      <c r="AF161" s="30">
        <f>$BK$32+SUM($C64:AF64)-SUM($C15:AF15)-AF160</f>
        <v>0</v>
      </c>
      <c r="AG161" s="30">
        <f>$BK$32+SUM($C64:AG64)-SUM($C15:AG15)-AG160</f>
        <v>0</v>
      </c>
      <c r="AH161" s="30">
        <f>$BK$32+SUM($C64:AH64)-SUM($C15:AH15)-AH160</f>
        <v>0</v>
      </c>
      <c r="AI161" s="30">
        <f>$BK$32+SUM($C64:AI64)-SUM($C15:AI15)-AI160</f>
        <v>0</v>
      </c>
      <c r="AJ161" s="30">
        <f>$BK$32+SUM($C64:AJ64)-SUM($C15:AJ15)-AJ160</f>
        <v>0</v>
      </c>
      <c r="AK161" s="30">
        <f>$BK$32+SUM($C64:AK64)-SUM($C15:AK15)-AK160</f>
        <v>0</v>
      </c>
      <c r="AL161" s="30">
        <f>$BK$32+SUM($C64:AL64)-SUM($C15:AL15)-AL160</f>
        <v>0</v>
      </c>
      <c r="AM161" s="30">
        <f>$BK$32+SUM($C64:AM64)-SUM($C15:AM15)-AM160</f>
        <v>0</v>
      </c>
      <c r="AN161" s="30">
        <f>$BK$32+SUM($C64:AN64)-SUM($C15:AN15)-AN160</f>
        <v>0</v>
      </c>
      <c r="AO161" s="30">
        <f>$BK$32+SUM($C64:AO64)-SUM($C15:AO15)-AO160</f>
        <v>0</v>
      </c>
      <c r="AP161" s="30">
        <f>$BK$32+SUM($C64:AP64)-SUM($C15:AP15)-AP160</f>
        <v>0</v>
      </c>
      <c r="AQ161" s="30">
        <f>$BK$32+SUM($C64:AQ64)-SUM($C15:AQ15)-AQ160</f>
        <v>0</v>
      </c>
      <c r="AR161" s="30">
        <f>$BK$32+SUM($C64:AR64)-SUM($C15:AR15)-AR160</f>
        <v>0</v>
      </c>
      <c r="AS161" s="30">
        <f>$BK$32+SUM($C64:AS64)-SUM($C15:AS15)-AS160</f>
        <v>0</v>
      </c>
      <c r="AT161" s="30">
        <f>$BK$32+SUM($C64:AT64)-SUM($C15:AT15)-AT160</f>
        <v>0</v>
      </c>
      <c r="AU161" s="30">
        <f>$BK$32+SUM($C64:AU64)-SUM($C15:AU15)-AU160</f>
        <v>0</v>
      </c>
      <c r="AV161" s="30">
        <f>$BK$32+SUM($C64:AV64)-SUM($C15:AV15)-AV160</f>
        <v>0</v>
      </c>
      <c r="AW161" s="30">
        <f>$BK$32+SUM($C64:AW64)-SUM($C15:AW15)-AW160</f>
        <v>0</v>
      </c>
      <c r="AX161" s="30">
        <f>$BK$32+SUM($C64:AX64)-SUM($C15:AX15)-AX160</f>
        <v>0</v>
      </c>
      <c r="AY161" s="30">
        <f>$BK$32+SUM($C64:AY64)-SUM($C15:AY15)-AY160</f>
        <v>0</v>
      </c>
      <c r="AZ161" s="30">
        <f>$BK$32+SUM($C64:AZ64)-SUM($C15:AZ15)-AZ160</f>
        <v>0</v>
      </c>
      <c r="BA161" s="30">
        <f>$BK$32+SUM($C64:BA64)-SUM($C15:BA15)-BA160</f>
        <v>0</v>
      </c>
      <c r="BB161" s="30">
        <f>$BK$32+SUM($C64:BB64)-SUM($C15:BB15)-BB160</f>
        <v>0</v>
      </c>
      <c r="BC161" s="30">
        <f>$BK$32+SUM($C64:BC64)-SUM($C15:BC15)-BC160</f>
        <v>0</v>
      </c>
      <c r="BD161" s="30">
        <f>$BK$32+SUM($C64:BD64)-SUM($C15:BD15)-BD160</f>
        <v>-4.6566128730773926E-10</v>
      </c>
      <c r="BE161" s="30">
        <f>$BK$32+SUM($C64:BE64)-SUM($C15:BE15)-BE160</f>
        <v>0</v>
      </c>
      <c r="BF161" s="30">
        <f>$BK$32+SUM($C64:BF64)-SUM($C15:BF15)-BF160</f>
        <v>0</v>
      </c>
      <c r="BG161" s="30">
        <f>$BK$32+SUM($C64:BG64)-SUM($C15:BG15)-BG160</f>
        <v>-7.5669959187507629E-10</v>
      </c>
      <c r="BH161" s="30">
        <f>$BK$32+SUM($C64:BH64)-SUM($C15:BH15)-BH160</f>
        <v>-4.3655745685100555E-10</v>
      </c>
      <c r="BI161" s="30">
        <f>$BK$32+SUM($C64:BI64)-SUM($C15:BI15)-BI160</f>
        <v>-7.8580342233181E-10</v>
      </c>
      <c r="BJ161" s="30">
        <f>$BK$32+SUM($C64:BJ64)-SUM($C15:BJ15)-BJ160</f>
        <v>-5.8207660913467407E-10</v>
      </c>
      <c r="BK161" s="30"/>
    </row>
    <row r="162" spans="2:63" ht="15" customHeight="1" x14ac:dyDescent="0.25"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</row>
    <row r="164" spans="2:63" ht="15" customHeight="1" x14ac:dyDescent="0.25"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C5:AY11" formula="1"/>
    <ignoredError sqref="BJ128 B144:BJ14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BF99-1CAF-4E87-8A57-7AB45E9DA01D}">
  <dimension ref="B2:BK44"/>
  <sheetViews>
    <sheetView showGridLines="0" tabSelected="1" zoomScale="90" zoomScaleNormal="90" workbookViewId="0"/>
  </sheetViews>
  <sheetFormatPr defaultRowHeight="15" customHeight="1" x14ac:dyDescent="0.25"/>
  <cols>
    <col min="1" max="1" width="3.7109375" style="1" customWidth="1"/>
    <col min="2" max="2" width="3.7109375" style="40" customWidth="1"/>
    <col min="3" max="3" width="67" style="37" customWidth="1"/>
    <col min="4" max="64" width="12.7109375" style="1" customWidth="1"/>
    <col min="65" max="65" width="2.7109375" style="1" customWidth="1"/>
    <col min="66" max="66" width="5.5703125" style="1" bestFit="1" customWidth="1"/>
    <col min="67" max="16384" width="9.140625" style="1"/>
  </cols>
  <sheetData>
    <row r="2" spans="2:63" ht="15" customHeight="1" x14ac:dyDescent="0.25">
      <c r="C2" s="36" t="s">
        <v>85</v>
      </c>
    </row>
    <row r="3" spans="2:63" ht="6" customHeight="1" x14ac:dyDescent="0.25"/>
    <row r="4" spans="2:63" ht="33" customHeight="1" x14ac:dyDescent="0.25">
      <c r="C4" s="38" t="s">
        <v>78</v>
      </c>
      <c r="D4" s="16">
        <v>43466</v>
      </c>
      <c r="E4" s="16">
        <v>43497</v>
      </c>
      <c r="F4" s="16">
        <v>43525</v>
      </c>
      <c r="G4" s="16">
        <v>43556</v>
      </c>
      <c r="H4" s="16">
        <v>43586</v>
      </c>
      <c r="I4" s="16">
        <v>43617</v>
      </c>
      <c r="J4" s="16">
        <v>43647</v>
      </c>
      <c r="K4" s="16">
        <v>43678</v>
      </c>
      <c r="L4" s="16">
        <v>43709</v>
      </c>
      <c r="M4" s="16">
        <v>43739</v>
      </c>
      <c r="N4" s="16">
        <v>43770</v>
      </c>
      <c r="O4" s="16">
        <v>43800</v>
      </c>
      <c r="P4" s="16">
        <v>43831</v>
      </c>
      <c r="Q4" s="16">
        <v>43862</v>
      </c>
      <c r="R4" s="16">
        <v>43891</v>
      </c>
      <c r="S4" s="16">
        <v>43922</v>
      </c>
      <c r="T4" s="16">
        <v>43952</v>
      </c>
      <c r="U4" s="16">
        <v>43983</v>
      </c>
      <c r="V4" s="16">
        <v>44013</v>
      </c>
      <c r="W4" s="16">
        <v>44044</v>
      </c>
      <c r="X4" s="16">
        <v>44075</v>
      </c>
      <c r="Y4" s="16">
        <v>44105</v>
      </c>
      <c r="Z4" s="16">
        <v>44136</v>
      </c>
      <c r="AA4" s="16">
        <v>44166</v>
      </c>
      <c r="AB4" s="16">
        <v>44197</v>
      </c>
      <c r="AC4" s="16">
        <v>44228</v>
      </c>
      <c r="AD4" s="16">
        <v>44256</v>
      </c>
      <c r="AE4" s="16">
        <v>44287</v>
      </c>
      <c r="AF4" s="16">
        <v>44317</v>
      </c>
      <c r="AG4" s="16">
        <v>44348</v>
      </c>
      <c r="AH4" s="16">
        <v>44378</v>
      </c>
      <c r="AI4" s="16">
        <v>44409</v>
      </c>
      <c r="AJ4" s="16">
        <v>44440</v>
      </c>
      <c r="AK4" s="16">
        <v>44470</v>
      </c>
      <c r="AL4" s="16">
        <v>44501</v>
      </c>
      <c r="AM4" s="16">
        <v>44531</v>
      </c>
      <c r="AN4" s="16">
        <v>44562</v>
      </c>
      <c r="AO4" s="16">
        <v>44593</v>
      </c>
      <c r="AP4" s="16">
        <v>44621</v>
      </c>
      <c r="AQ4" s="16">
        <v>44652</v>
      </c>
      <c r="AR4" s="16">
        <v>44682</v>
      </c>
      <c r="AS4" s="16">
        <v>44713</v>
      </c>
      <c r="AT4" s="16">
        <v>44743</v>
      </c>
      <c r="AU4" s="16">
        <v>44774</v>
      </c>
      <c r="AV4" s="16">
        <v>44805</v>
      </c>
      <c r="AW4" s="16">
        <v>44835</v>
      </c>
      <c r="AX4" s="16">
        <v>44866</v>
      </c>
      <c r="AY4" s="16">
        <v>44896</v>
      </c>
      <c r="AZ4" s="16">
        <v>44927</v>
      </c>
      <c r="BA4" s="16">
        <v>44958</v>
      </c>
      <c r="BB4" s="16">
        <v>44986</v>
      </c>
      <c r="BC4" s="16">
        <v>45017</v>
      </c>
      <c r="BD4" s="16">
        <v>45047</v>
      </c>
      <c r="BE4" s="16">
        <v>45078</v>
      </c>
      <c r="BF4" s="16">
        <v>45108</v>
      </c>
      <c r="BG4" s="16">
        <v>45139</v>
      </c>
      <c r="BH4" s="16">
        <v>45170</v>
      </c>
      <c r="BI4" s="16">
        <v>45200</v>
      </c>
      <c r="BJ4" s="16">
        <v>45231</v>
      </c>
      <c r="BK4" s="16">
        <v>45261</v>
      </c>
    </row>
    <row r="5" spans="2:63" ht="15" customHeight="1" x14ac:dyDescent="0.25">
      <c r="B5" s="42" t="s">
        <v>87</v>
      </c>
      <c r="C5" s="39" t="s">
        <v>94</v>
      </c>
      <c r="D5" s="9">
        <f>Contabilização!$C$80</f>
        <v>2918150.805215863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</row>
    <row r="6" spans="2:63" ht="15" customHeight="1" x14ac:dyDescent="0.25">
      <c r="B6" s="42" t="s">
        <v>88</v>
      </c>
      <c r="C6" s="39" t="s">
        <v>89</v>
      </c>
      <c r="D6" s="9">
        <f>D5</f>
        <v>2918150.805215863</v>
      </c>
      <c r="E6" s="9">
        <f t="shared" ref="E6:BK6" si="0">E5</f>
        <v>0</v>
      </c>
      <c r="F6" s="9">
        <f t="shared" si="0"/>
        <v>0</v>
      </c>
      <c r="G6" s="9">
        <f t="shared" si="0"/>
        <v>0</v>
      </c>
      <c r="H6" s="9">
        <f t="shared" si="0"/>
        <v>0</v>
      </c>
      <c r="I6" s="9">
        <f t="shared" si="0"/>
        <v>0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9">
        <f t="shared" si="0"/>
        <v>0</v>
      </c>
      <c r="O6" s="9">
        <f t="shared" si="0"/>
        <v>0</v>
      </c>
      <c r="P6" s="9">
        <f t="shared" si="0"/>
        <v>0</v>
      </c>
      <c r="Q6" s="9">
        <f t="shared" si="0"/>
        <v>0</v>
      </c>
      <c r="R6" s="9">
        <f t="shared" si="0"/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si="0"/>
        <v>0</v>
      </c>
      <c r="W6" s="9">
        <f t="shared" si="0"/>
        <v>0</v>
      </c>
      <c r="X6" s="9">
        <f t="shared" si="0"/>
        <v>0</v>
      </c>
      <c r="Y6" s="9">
        <f t="shared" si="0"/>
        <v>0</v>
      </c>
      <c r="Z6" s="9">
        <f t="shared" si="0"/>
        <v>0</v>
      </c>
      <c r="AA6" s="9">
        <f t="shared" si="0"/>
        <v>0</v>
      </c>
      <c r="AB6" s="9">
        <f t="shared" si="0"/>
        <v>0</v>
      </c>
      <c r="AC6" s="9">
        <f t="shared" si="0"/>
        <v>0</v>
      </c>
      <c r="AD6" s="9">
        <f t="shared" si="0"/>
        <v>0</v>
      </c>
      <c r="AE6" s="9">
        <f t="shared" si="0"/>
        <v>0</v>
      </c>
      <c r="AF6" s="9">
        <f t="shared" si="0"/>
        <v>0</v>
      </c>
      <c r="AG6" s="9">
        <f t="shared" si="0"/>
        <v>0</v>
      </c>
      <c r="AH6" s="9">
        <f t="shared" si="0"/>
        <v>0</v>
      </c>
      <c r="AI6" s="9">
        <f t="shared" si="0"/>
        <v>0</v>
      </c>
      <c r="AJ6" s="9">
        <f t="shared" si="0"/>
        <v>0</v>
      </c>
      <c r="AK6" s="9">
        <f t="shared" si="0"/>
        <v>0</v>
      </c>
      <c r="AL6" s="9">
        <f t="shared" si="0"/>
        <v>0</v>
      </c>
      <c r="AM6" s="9">
        <f t="shared" si="0"/>
        <v>0</v>
      </c>
      <c r="AN6" s="9">
        <f t="shared" si="0"/>
        <v>0</v>
      </c>
      <c r="AO6" s="9">
        <f t="shared" si="0"/>
        <v>0</v>
      </c>
      <c r="AP6" s="9">
        <f t="shared" si="0"/>
        <v>0</v>
      </c>
      <c r="AQ6" s="9">
        <f t="shared" si="0"/>
        <v>0</v>
      </c>
      <c r="AR6" s="9">
        <f t="shared" si="0"/>
        <v>0</v>
      </c>
      <c r="AS6" s="9">
        <f t="shared" si="0"/>
        <v>0</v>
      </c>
      <c r="AT6" s="9">
        <f t="shared" si="0"/>
        <v>0</v>
      </c>
      <c r="AU6" s="9">
        <f t="shared" si="0"/>
        <v>0</v>
      </c>
      <c r="AV6" s="9">
        <f t="shared" si="0"/>
        <v>0</v>
      </c>
      <c r="AW6" s="9">
        <f t="shared" si="0"/>
        <v>0</v>
      </c>
      <c r="AX6" s="9">
        <f t="shared" si="0"/>
        <v>0</v>
      </c>
      <c r="AY6" s="9">
        <f t="shared" si="0"/>
        <v>0</v>
      </c>
      <c r="AZ6" s="9">
        <f t="shared" si="0"/>
        <v>0</v>
      </c>
      <c r="BA6" s="9">
        <f t="shared" si="0"/>
        <v>0</v>
      </c>
      <c r="BB6" s="9">
        <f t="shared" si="0"/>
        <v>0</v>
      </c>
      <c r="BC6" s="9">
        <f t="shared" si="0"/>
        <v>0</v>
      </c>
      <c r="BD6" s="9">
        <f t="shared" si="0"/>
        <v>0</v>
      </c>
      <c r="BE6" s="9">
        <f t="shared" si="0"/>
        <v>0</v>
      </c>
      <c r="BF6" s="9">
        <f t="shared" si="0"/>
        <v>0</v>
      </c>
      <c r="BG6" s="9">
        <f t="shared" si="0"/>
        <v>0</v>
      </c>
      <c r="BH6" s="9">
        <f t="shared" si="0"/>
        <v>0</v>
      </c>
      <c r="BI6" s="9">
        <f t="shared" si="0"/>
        <v>0</v>
      </c>
      <c r="BJ6" s="9">
        <f t="shared" si="0"/>
        <v>0</v>
      </c>
      <c r="BK6" s="9">
        <f t="shared" si="0"/>
        <v>0</v>
      </c>
    </row>
    <row r="7" spans="2:63" ht="15" customHeight="1" x14ac:dyDescent="0.25">
      <c r="C7" s="40"/>
    </row>
    <row r="8" spans="2:63" ht="15" customHeight="1" x14ac:dyDescent="0.25">
      <c r="C8" s="40"/>
    </row>
    <row r="9" spans="2:63" ht="15" customHeight="1" x14ac:dyDescent="0.25">
      <c r="C9" s="36" t="s">
        <v>82</v>
      </c>
    </row>
    <row r="10" spans="2:63" ht="6" customHeight="1" x14ac:dyDescent="0.25"/>
    <row r="11" spans="2:63" ht="33" customHeight="1" x14ac:dyDescent="0.25">
      <c r="C11" s="38" t="s">
        <v>78</v>
      </c>
      <c r="D11" s="16">
        <v>43466</v>
      </c>
      <c r="E11" s="16">
        <v>43497</v>
      </c>
      <c r="F11" s="16">
        <v>43525</v>
      </c>
      <c r="G11" s="16">
        <v>43556</v>
      </c>
      <c r="H11" s="16">
        <v>43586</v>
      </c>
      <c r="I11" s="16">
        <v>43617</v>
      </c>
      <c r="J11" s="16">
        <v>43647</v>
      </c>
      <c r="K11" s="16">
        <v>43678</v>
      </c>
      <c r="L11" s="16">
        <v>43709</v>
      </c>
      <c r="M11" s="16">
        <v>43739</v>
      </c>
      <c r="N11" s="16">
        <v>43770</v>
      </c>
      <c r="O11" s="16">
        <v>43800</v>
      </c>
      <c r="P11" s="16">
        <v>43831</v>
      </c>
      <c r="Q11" s="16">
        <v>43862</v>
      </c>
      <c r="R11" s="16">
        <v>43891</v>
      </c>
      <c r="S11" s="16">
        <v>43922</v>
      </c>
      <c r="T11" s="16">
        <v>43952</v>
      </c>
      <c r="U11" s="16">
        <v>43983</v>
      </c>
      <c r="V11" s="16">
        <v>44013</v>
      </c>
      <c r="W11" s="16">
        <v>44044</v>
      </c>
      <c r="X11" s="16">
        <v>44075</v>
      </c>
      <c r="Y11" s="16">
        <v>44105</v>
      </c>
      <c r="Z11" s="16">
        <v>44136</v>
      </c>
      <c r="AA11" s="16">
        <v>44166</v>
      </c>
      <c r="AB11" s="16">
        <v>44197</v>
      </c>
      <c r="AC11" s="16">
        <v>44228</v>
      </c>
      <c r="AD11" s="16">
        <v>44256</v>
      </c>
      <c r="AE11" s="16">
        <v>44287</v>
      </c>
      <c r="AF11" s="16">
        <v>44317</v>
      </c>
      <c r="AG11" s="16">
        <v>44348</v>
      </c>
      <c r="AH11" s="16">
        <v>44378</v>
      </c>
      <c r="AI11" s="16">
        <v>44409</v>
      </c>
      <c r="AJ11" s="16">
        <v>44440</v>
      </c>
      <c r="AK11" s="16">
        <v>44470</v>
      </c>
      <c r="AL11" s="16">
        <v>44501</v>
      </c>
      <c r="AM11" s="16">
        <v>44531</v>
      </c>
      <c r="AN11" s="16">
        <v>44562</v>
      </c>
      <c r="AO11" s="16">
        <v>44593</v>
      </c>
      <c r="AP11" s="16">
        <v>44621</v>
      </c>
      <c r="AQ11" s="16">
        <v>44652</v>
      </c>
      <c r="AR11" s="16">
        <v>44682</v>
      </c>
      <c r="AS11" s="16">
        <v>44713</v>
      </c>
      <c r="AT11" s="16">
        <v>44743</v>
      </c>
      <c r="AU11" s="16">
        <v>44774</v>
      </c>
      <c r="AV11" s="16">
        <v>44805</v>
      </c>
      <c r="AW11" s="16">
        <v>44835</v>
      </c>
      <c r="AX11" s="16">
        <v>44866</v>
      </c>
      <c r="AY11" s="16">
        <v>44896</v>
      </c>
      <c r="AZ11" s="16">
        <v>44927</v>
      </c>
      <c r="BA11" s="16">
        <v>44958</v>
      </c>
      <c r="BB11" s="16">
        <v>44986</v>
      </c>
      <c r="BC11" s="16">
        <v>45017</v>
      </c>
      <c r="BD11" s="16">
        <v>45047</v>
      </c>
      <c r="BE11" s="16">
        <v>45078</v>
      </c>
      <c r="BF11" s="16">
        <v>45108</v>
      </c>
      <c r="BG11" s="16">
        <v>45139</v>
      </c>
      <c r="BH11" s="16">
        <v>45170</v>
      </c>
      <c r="BI11" s="16">
        <v>45200</v>
      </c>
      <c r="BJ11" s="16">
        <v>45231</v>
      </c>
      <c r="BK11" s="16">
        <v>45261</v>
      </c>
    </row>
    <row r="12" spans="2:63" ht="15" customHeight="1" x14ac:dyDescent="0.25">
      <c r="B12" s="42" t="s">
        <v>87</v>
      </c>
      <c r="C12" s="39" t="s">
        <v>89</v>
      </c>
      <c r="D12" s="9">
        <f>D13</f>
        <v>56580</v>
      </c>
      <c r="E12" s="9">
        <f t="shared" ref="E12:BK12" si="1">E13</f>
        <v>56580</v>
      </c>
      <c r="F12" s="9">
        <f t="shared" si="1"/>
        <v>56580</v>
      </c>
      <c r="G12" s="9">
        <f t="shared" si="1"/>
        <v>56580</v>
      </c>
      <c r="H12" s="9">
        <f t="shared" si="1"/>
        <v>56580</v>
      </c>
      <c r="I12" s="9">
        <f t="shared" si="1"/>
        <v>56580</v>
      </c>
      <c r="J12" s="9">
        <f t="shared" si="1"/>
        <v>56580</v>
      </c>
      <c r="K12" s="9">
        <f t="shared" si="1"/>
        <v>56580</v>
      </c>
      <c r="L12" s="9">
        <f t="shared" si="1"/>
        <v>56580</v>
      </c>
      <c r="M12" s="9">
        <f t="shared" si="1"/>
        <v>56580</v>
      </c>
      <c r="N12" s="9">
        <f t="shared" si="1"/>
        <v>56580</v>
      </c>
      <c r="O12" s="9">
        <f t="shared" si="1"/>
        <v>56580</v>
      </c>
      <c r="P12" s="9">
        <f t="shared" si="1"/>
        <v>59388.423301836963</v>
      </c>
      <c r="Q12" s="9">
        <f t="shared" si="1"/>
        <v>59388.423301836963</v>
      </c>
      <c r="R12" s="9">
        <f t="shared" si="1"/>
        <v>59388.423301836963</v>
      </c>
      <c r="S12" s="9">
        <f t="shared" si="1"/>
        <v>59388.423301836963</v>
      </c>
      <c r="T12" s="9">
        <f t="shared" si="1"/>
        <v>59388.423301836963</v>
      </c>
      <c r="U12" s="9">
        <f t="shared" si="1"/>
        <v>59388.423301836963</v>
      </c>
      <c r="V12" s="9">
        <f t="shared" si="1"/>
        <v>59388.423301836963</v>
      </c>
      <c r="W12" s="9">
        <f t="shared" si="1"/>
        <v>59388.423301836963</v>
      </c>
      <c r="X12" s="9">
        <f t="shared" si="1"/>
        <v>59388.423301836963</v>
      </c>
      <c r="Y12" s="9">
        <f t="shared" si="1"/>
        <v>59388.423301836963</v>
      </c>
      <c r="Z12" s="9">
        <f t="shared" si="1"/>
        <v>59388.423301836963</v>
      </c>
      <c r="AA12" s="9">
        <f t="shared" si="1"/>
        <v>59388.423301836963</v>
      </c>
      <c r="AB12" s="9">
        <f t="shared" si="1"/>
        <v>62336.24641707621</v>
      </c>
      <c r="AC12" s="9">
        <f t="shared" si="1"/>
        <v>62336.24641707621</v>
      </c>
      <c r="AD12" s="9">
        <f t="shared" si="1"/>
        <v>62336.24641707621</v>
      </c>
      <c r="AE12" s="9">
        <f t="shared" si="1"/>
        <v>62336.24641707621</v>
      </c>
      <c r="AF12" s="9">
        <f t="shared" si="1"/>
        <v>62336.24641707621</v>
      </c>
      <c r="AG12" s="9">
        <f t="shared" si="1"/>
        <v>62336.24641707621</v>
      </c>
      <c r="AH12" s="9">
        <f t="shared" si="1"/>
        <v>62336.24641707621</v>
      </c>
      <c r="AI12" s="9">
        <f t="shared" si="1"/>
        <v>62336.24641707621</v>
      </c>
      <c r="AJ12" s="9">
        <f t="shared" si="1"/>
        <v>62336.24641707621</v>
      </c>
      <c r="AK12" s="9">
        <f t="shared" si="1"/>
        <v>62336.24641707621</v>
      </c>
      <c r="AL12" s="9">
        <f t="shared" si="1"/>
        <v>62336.24641707621</v>
      </c>
      <c r="AM12" s="9">
        <f t="shared" si="1"/>
        <v>62336.24641707621</v>
      </c>
      <c r="AN12" s="9">
        <f t="shared" si="1"/>
        <v>65430.38864024284</v>
      </c>
      <c r="AO12" s="9">
        <f t="shared" si="1"/>
        <v>65430.38864024284</v>
      </c>
      <c r="AP12" s="9">
        <f t="shared" si="1"/>
        <v>65430.38864024284</v>
      </c>
      <c r="AQ12" s="9">
        <f t="shared" si="1"/>
        <v>65430.38864024284</v>
      </c>
      <c r="AR12" s="9">
        <f t="shared" si="1"/>
        <v>65430.38864024284</v>
      </c>
      <c r="AS12" s="9">
        <f t="shared" si="1"/>
        <v>65430.38864024284</v>
      </c>
      <c r="AT12" s="9">
        <f t="shared" si="1"/>
        <v>65430.38864024284</v>
      </c>
      <c r="AU12" s="9">
        <f t="shared" si="1"/>
        <v>65430.38864024284</v>
      </c>
      <c r="AV12" s="9">
        <f t="shared" si="1"/>
        <v>65430.38864024284</v>
      </c>
      <c r="AW12" s="9">
        <f t="shared" si="1"/>
        <v>65430.38864024284</v>
      </c>
      <c r="AX12" s="9">
        <f t="shared" si="1"/>
        <v>65430.38864024284</v>
      </c>
      <c r="AY12" s="9">
        <f t="shared" si="1"/>
        <v>65430.38864024284</v>
      </c>
      <c r="AZ12" s="9">
        <f t="shared" si="1"/>
        <v>68678.112714217859</v>
      </c>
      <c r="BA12" s="9">
        <f t="shared" si="1"/>
        <v>68678.112714217859</v>
      </c>
      <c r="BB12" s="9">
        <f t="shared" si="1"/>
        <v>68678.112714217859</v>
      </c>
      <c r="BC12" s="9">
        <f t="shared" si="1"/>
        <v>68678.112714217859</v>
      </c>
      <c r="BD12" s="9">
        <f t="shared" si="1"/>
        <v>68678.112714217859</v>
      </c>
      <c r="BE12" s="9">
        <f t="shared" si="1"/>
        <v>68678.112714217859</v>
      </c>
      <c r="BF12" s="9">
        <f t="shared" si="1"/>
        <v>68678.112714217859</v>
      </c>
      <c r="BG12" s="9">
        <f t="shared" si="1"/>
        <v>68678.112714217859</v>
      </c>
      <c r="BH12" s="9">
        <f t="shared" si="1"/>
        <v>68678.112714217859</v>
      </c>
      <c r="BI12" s="9">
        <f t="shared" si="1"/>
        <v>68678.112714217859</v>
      </c>
      <c r="BJ12" s="9">
        <f t="shared" si="1"/>
        <v>68678.112714217859</v>
      </c>
      <c r="BK12" s="9">
        <f t="shared" si="1"/>
        <v>68678.112714217859</v>
      </c>
    </row>
    <row r="13" spans="2:63" ht="15" customHeight="1" x14ac:dyDescent="0.25">
      <c r="B13" s="42" t="s">
        <v>88</v>
      </c>
      <c r="C13" s="39" t="s">
        <v>106</v>
      </c>
      <c r="D13" s="9">
        <f>Contabilização!C15</f>
        <v>56580</v>
      </c>
      <c r="E13" s="9">
        <f>Contabilização!D15</f>
        <v>56580</v>
      </c>
      <c r="F13" s="9">
        <f>Contabilização!E15</f>
        <v>56580</v>
      </c>
      <c r="G13" s="9">
        <f>Contabilização!F15</f>
        <v>56580</v>
      </c>
      <c r="H13" s="9">
        <f>Contabilização!G15</f>
        <v>56580</v>
      </c>
      <c r="I13" s="9">
        <f>Contabilização!H15</f>
        <v>56580</v>
      </c>
      <c r="J13" s="9">
        <f>Contabilização!I15</f>
        <v>56580</v>
      </c>
      <c r="K13" s="9">
        <f>Contabilização!J15</f>
        <v>56580</v>
      </c>
      <c r="L13" s="9">
        <f>Contabilização!K15</f>
        <v>56580</v>
      </c>
      <c r="M13" s="9">
        <f>Contabilização!L15</f>
        <v>56580</v>
      </c>
      <c r="N13" s="9">
        <f>Contabilização!M15</f>
        <v>56580</v>
      </c>
      <c r="O13" s="9">
        <f>Contabilização!N15</f>
        <v>56580</v>
      </c>
      <c r="P13" s="9">
        <f>Contabilização!O15</f>
        <v>59388.423301836963</v>
      </c>
      <c r="Q13" s="9">
        <f>Contabilização!P15</f>
        <v>59388.423301836963</v>
      </c>
      <c r="R13" s="9">
        <f>Contabilização!Q15</f>
        <v>59388.423301836963</v>
      </c>
      <c r="S13" s="9">
        <f>Contabilização!R15</f>
        <v>59388.423301836963</v>
      </c>
      <c r="T13" s="9">
        <f>Contabilização!S15</f>
        <v>59388.423301836963</v>
      </c>
      <c r="U13" s="9">
        <f>Contabilização!T15</f>
        <v>59388.423301836963</v>
      </c>
      <c r="V13" s="9">
        <f>Contabilização!U15</f>
        <v>59388.423301836963</v>
      </c>
      <c r="W13" s="9">
        <f>Contabilização!V15</f>
        <v>59388.423301836963</v>
      </c>
      <c r="X13" s="9">
        <f>Contabilização!W15</f>
        <v>59388.423301836963</v>
      </c>
      <c r="Y13" s="9">
        <f>Contabilização!X15</f>
        <v>59388.423301836963</v>
      </c>
      <c r="Z13" s="9">
        <f>Contabilização!Y15</f>
        <v>59388.423301836963</v>
      </c>
      <c r="AA13" s="9">
        <f>Contabilização!Z15</f>
        <v>59388.423301836963</v>
      </c>
      <c r="AB13" s="9">
        <f>Contabilização!AA15</f>
        <v>62336.24641707621</v>
      </c>
      <c r="AC13" s="9">
        <f>Contabilização!AB15</f>
        <v>62336.24641707621</v>
      </c>
      <c r="AD13" s="9">
        <f>Contabilização!AC15</f>
        <v>62336.24641707621</v>
      </c>
      <c r="AE13" s="9">
        <f>Contabilização!AD15</f>
        <v>62336.24641707621</v>
      </c>
      <c r="AF13" s="9">
        <f>Contabilização!AE15</f>
        <v>62336.24641707621</v>
      </c>
      <c r="AG13" s="9">
        <f>Contabilização!AF15</f>
        <v>62336.24641707621</v>
      </c>
      <c r="AH13" s="9">
        <f>Contabilização!AG15</f>
        <v>62336.24641707621</v>
      </c>
      <c r="AI13" s="9">
        <f>Contabilização!AH15</f>
        <v>62336.24641707621</v>
      </c>
      <c r="AJ13" s="9">
        <f>Contabilização!AI15</f>
        <v>62336.24641707621</v>
      </c>
      <c r="AK13" s="9">
        <f>Contabilização!AJ15</f>
        <v>62336.24641707621</v>
      </c>
      <c r="AL13" s="9">
        <f>Contabilização!AK15</f>
        <v>62336.24641707621</v>
      </c>
      <c r="AM13" s="9">
        <f>Contabilização!AL15</f>
        <v>62336.24641707621</v>
      </c>
      <c r="AN13" s="9">
        <f>Contabilização!AM15</f>
        <v>65430.38864024284</v>
      </c>
      <c r="AO13" s="9">
        <f>Contabilização!AN15</f>
        <v>65430.38864024284</v>
      </c>
      <c r="AP13" s="9">
        <f>Contabilização!AO15</f>
        <v>65430.38864024284</v>
      </c>
      <c r="AQ13" s="9">
        <f>Contabilização!AP15</f>
        <v>65430.38864024284</v>
      </c>
      <c r="AR13" s="9">
        <f>Contabilização!AQ15</f>
        <v>65430.38864024284</v>
      </c>
      <c r="AS13" s="9">
        <f>Contabilização!AR15</f>
        <v>65430.38864024284</v>
      </c>
      <c r="AT13" s="9">
        <f>Contabilização!AS15</f>
        <v>65430.38864024284</v>
      </c>
      <c r="AU13" s="9">
        <f>Contabilização!AT15</f>
        <v>65430.38864024284</v>
      </c>
      <c r="AV13" s="9">
        <f>Contabilização!AU15</f>
        <v>65430.38864024284</v>
      </c>
      <c r="AW13" s="9">
        <f>Contabilização!AV15</f>
        <v>65430.38864024284</v>
      </c>
      <c r="AX13" s="9">
        <f>Contabilização!AW15</f>
        <v>65430.38864024284</v>
      </c>
      <c r="AY13" s="9">
        <f>Contabilização!AX15</f>
        <v>65430.38864024284</v>
      </c>
      <c r="AZ13" s="9">
        <f>Contabilização!AY15</f>
        <v>68678.112714217859</v>
      </c>
      <c r="BA13" s="9">
        <f>Contabilização!AZ15</f>
        <v>68678.112714217859</v>
      </c>
      <c r="BB13" s="9">
        <f>Contabilização!BA15</f>
        <v>68678.112714217859</v>
      </c>
      <c r="BC13" s="9">
        <f>Contabilização!BB15</f>
        <v>68678.112714217859</v>
      </c>
      <c r="BD13" s="9">
        <f>Contabilização!BC15</f>
        <v>68678.112714217859</v>
      </c>
      <c r="BE13" s="9">
        <f>Contabilização!BD15</f>
        <v>68678.112714217859</v>
      </c>
      <c r="BF13" s="9">
        <f>Contabilização!BE15</f>
        <v>68678.112714217859</v>
      </c>
      <c r="BG13" s="9">
        <f>Contabilização!BF15</f>
        <v>68678.112714217859</v>
      </c>
      <c r="BH13" s="9">
        <f>Contabilização!BG15</f>
        <v>68678.112714217859</v>
      </c>
      <c r="BI13" s="9">
        <f>Contabilização!BH15</f>
        <v>68678.112714217859</v>
      </c>
      <c r="BJ13" s="9">
        <f>Contabilização!BI15</f>
        <v>68678.112714217859</v>
      </c>
      <c r="BK13" s="9">
        <f>Contabilização!BJ15</f>
        <v>68678.112714217859</v>
      </c>
    </row>
    <row r="14" spans="2:63" ht="15" customHeight="1" x14ac:dyDescent="0.25">
      <c r="D14" s="41">
        <f>D13-Contabilização!C15</f>
        <v>0</v>
      </c>
      <c r="E14" s="41">
        <f>E13-Contabilização!D15</f>
        <v>0</v>
      </c>
      <c r="F14" s="41">
        <f>F13-Contabilização!E15</f>
        <v>0</v>
      </c>
      <c r="G14" s="41">
        <f>G13-Contabilização!F15</f>
        <v>0</v>
      </c>
      <c r="H14" s="41">
        <f>H13-Contabilização!G15</f>
        <v>0</v>
      </c>
      <c r="I14" s="41">
        <f>I13-Contabilização!H15</f>
        <v>0</v>
      </c>
      <c r="J14" s="41">
        <f>J13-Contabilização!I15</f>
        <v>0</v>
      </c>
      <c r="K14" s="41">
        <f>K13-Contabilização!J15</f>
        <v>0</v>
      </c>
      <c r="L14" s="41">
        <f>L13-Contabilização!K15</f>
        <v>0</v>
      </c>
      <c r="M14" s="41">
        <f>M13-Contabilização!L15</f>
        <v>0</v>
      </c>
      <c r="N14" s="41">
        <f>N13-Contabilização!M15</f>
        <v>0</v>
      </c>
      <c r="O14" s="41">
        <f>O13-Contabilização!N15</f>
        <v>0</v>
      </c>
      <c r="P14" s="41">
        <f>P13-Contabilização!O15</f>
        <v>0</v>
      </c>
      <c r="Q14" s="41">
        <f>Q13-Contabilização!P15</f>
        <v>0</v>
      </c>
      <c r="R14" s="41">
        <f>R13-Contabilização!Q15</f>
        <v>0</v>
      </c>
      <c r="S14" s="41">
        <f>S13-Contabilização!R15</f>
        <v>0</v>
      </c>
      <c r="T14" s="41">
        <f>T13-Contabilização!S15</f>
        <v>0</v>
      </c>
      <c r="U14" s="41">
        <f>U13-Contabilização!T15</f>
        <v>0</v>
      </c>
      <c r="V14" s="41">
        <f>V13-Contabilização!U15</f>
        <v>0</v>
      </c>
      <c r="W14" s="41">
        <f>W13-Contabilização!V15</f>
        <v>0</v>
      </c>
      <c r="X14" s="41">
        <f>X13-Contabilização!W15</f>
        <v>0</v>
      </c>
      <c r="Y14" s="41">
        <f>Y13-Contabilização!X15</f>
        <v>0</v>
      </c>
      <c r="Z14" s="41">
        <f>Z13-Contabilização!Y15</f>
        <v>0</v>
      </c>
      <c r="AA14" s="41">
        <f>AA13-Contabilização!Z15</f>
        <v>0</v>
      </c>
      <c r="AB14" s="41">
        <f>AB13-Contabilização!AA15</f>
        <v>0</v>
      </c>
      <c r="AC14" s="41">
        <f>AC13-Contabilização!AB15</f>
        <v>0</v>
      </c>
      <c r="AD14" s="41">
        <f>AD13-Contabilização!AC15</f>
        <v>0</v>
      </c>
      <c r="AE14" s="41">
        <f>AE13-Contabilização!AD15</f>
        <v>0</v>
      </c>
      <c r="AF14" s="41">
        <f>AF13-Contabilização!AE15</f>
        <v>0</v>
      </c>
      <c r="AG14" s="41">
        <f>AG13-Contabilização!AF15</f>
        <v>0</v>
      </c>
      <c r="AH14" s="41">
        <f>AH13-Contabilização!AG15</f>
        <v>0</v>
      </c>
      <c r="AI14" s="41">
        <f>AI13-Contabilização!AH15</f>
        <v>0</v>
      </c>
      <c r="AJ14" s="41">
        <f>AJ13-Contabilização!AI15</f>
        <v>0</v>
      </c>
      <c r="AK14" s="41">
        <f>AK13-Contabilização!AJ15</f>
        <v>0</v>
      </c>
      <c r="AL14" s="41">
        <f>AL13-Contabilização!AK15</f>
        <v>0</v>
      </c>
      <c r="AM14" s="41">
        <f>AM13-Contabilização!AL15</f>
        <v>0</v>
      </c>
      <c r="AN14" s="41">
        <f>AN13-Contabilização!AM15</f>
        <v>0</v>
      </c>
      <c r="AO14" s="41">
        <f>AO13-Contabilização!AN15</f>
        <v>0</v>
      </c>
      <c r="AP14" s="41">
        <f>AP13-Contabilização!AO15</f>
        <v>0</v>
      </c>
      <c r="AQ14" s="41">
        <f>AQ13-Contabilização!AP15</f>
        <v>0</v>
      </c>
      <c r="AR14" s="41">
        <f>AR13-Contabilização!AQ15</f>
        <v>0</v>
      </c>
      <c r="AS14" s="41">
        <f>AS13-Contabilização!AR15</f>
        <v>0</v>
      </c>
      <c r="AT14" s="41">
        <f>AT13-Contabilização!AS15</f>
        <v>0</v>
      </c>
      <c r="AU14" s="41">
        <f>AU13-Contabilização!AT15</f>
        <v>0</v>
      </c>
      <c r="AV14" s="41">
        <f>AV13-Contabilização!AU15</f>
        <v>0</v>
      </c>
      <c r="AW14" s="41">
        <f>AW13-Contabilização!AV15</f>
        <v>0</v>
      </c>
      <c r="AX14" s="41">
        <f>AX13-Contabilização!AW15</f>
        <v>0</v>
      </c>
      <c r="AY14" s="41">
        <f>AY13-Contabilização!AX15</f>
        <v>0</v>
      </c>
      <c r="AZ14" s="41">
        <f>AZ13-Contabilização!AY15</f>
        <v>0</v>
      </c>
      <c r="BA14" s="41">
        <f>BA13-Contabilização!AZ15</f>
        <v>0</v>
      </c>
      <c r="BB14" s="41">
        <f>BB13-Contabilização!BA15</f>
        <v>0</v>
      </c>
      <c r="BC14" s="41">
        <f>BC13-Contabilização!BB15</f>
        <v>0</v>
      </c>
      <c r="BD14" s="41">
        <f>BD13-Contabilização!BC15</f>
        <v>0</v>
      </c>
      <c r="BE14" s="41">
        <f>BE13-Contabilização!BD15</f>
        <v>0</v>
      </c>
      <c r="BF14" s="41">
        <f>BF13-Contabilização!BE15</f>
        <v>0</v>
      </c>
      <c r="BG14" s="41">
        <f>BG13-Contabilização!BF15</f>
        <v>0</v>
      </c>
      <c r="BH14" s="41">
        <f>BH13-Contabilização!BG15</f>
        <v>0</v>
      </c>
      <c r="BI14" s="41">
        <f>BI13-Contabilização!BH15</f>
        <v>0</v>
      </c>
      <c r="BJ14" s="41">
        <f>BJ13-Contabilização!BI15</f>
        <v>0</v>
      </c>
      <c r="BK14" s="41">
        <f>BK13-Contabilização!BJ15</f>
        <v>0</v>
      </c>
    </row>
    <row r="15" spans="2:63" ht="15" customHeight="1" x14ac:dyDescent="0.25">
      <c r="C15" s="40"/>
    </row>
    <row r="16" spans="2:63" ht="15" customHeight="1" x14ac:dyDescent="0.25">
      <c r="C16" s="36" t="s">
        <v>83</v>
      </c>
    </row>
    <row r="17" spans="2:63" ht="6" customHeight="1" x14ac:dyDescent="0.25"/>
    <row r="18" spans="2:63" ht="33" customHeight="1" x14ac:dyDescent="0.25">
      <c r="C18" s="38" t="s">
        <v>78</v>
      </c>
      <c r="D18" s="16">
        <v>43466</v>
      </c>
      <c r="E18" s="16">
        <v>43497</v>
      </c>
      <c r="F18" s="16">
        <v>43525</v>
      </c>
      <c r="G18" s="16">
        <v>43556</v>
      </c>
      <c r="H18" s="16">
        <v>43586</v>
      </c>
      <c r="I18" s="16">
        <v>43617</v>
      </c>
      <c r="J18" s="16">
        <v>43647</v>
      </c>
      <c r="K18" s="16">
        <v>43678</v>
      </c>
      <c r="L18" s="16">
        <v>43709</v>
      </c>
      <c r="M18" s="16">
        <v>43739</v>
      </c>
      <c r="N18" s="16">
        <v>43770</v>
      </c>
      <c r="O18" s="16">
        <v>43800</v>
      </c>
      <c r="P18" s="16">
        <v>43831</v>
      </c>
      <c r="Q18" s="16">
        <v>43862</v>
      </c>
      <c r="R18" s="16">
        <v>43891</v>
      </c>
      <c r="S18" s="16">
        <v>43922</v>
      </c>
      <c r="T18" s="16">
        <v>43952</v>
      </c>
      <c r="U18" s="16">
        <v>43983</v>
      </c>
      <c r="V18" s="16">
        <v>44013</v>
      </c>
      <c r="W18" s="16">
        <v>44044</v>
      </c>
      <c r="X18" s="16">
        <v>44075</v>
      </c>
      <c r="Y18" s="16">
        <v>44105</v>
      </c>
      <c r="Z18" s="16">
        <v>44136</v>
      </c>
      <c r="AA18" s="16">
        <v>44166</v>
      </c>
      <c r="AB18" s="16">
        <v>44197</v>
      </c>
      <c r="AC18" s="16">
        <v>44228</v>
      </c>
      <c r="AD18" s="16">
        <v>44256</v>
      </c>
      <c r="AE18" s="16">
        <v>44287</v>
      </c>
      <c r="AF18" s="16">
        <v>44317</v>
      </c>
      <c r="AG18" s="16">
        <v>44348</v>
      </c>
      <c r="AH18" s="16">
        <v>44378</v>
      </c>
      <c r="AI18" s="16">
        <v>44409</v>
      </c>
      <c r="AJ18" s="16">
        <v>44440</v>
      </c>
      <c r="AK18" s="16">
        <v>44470</v>
      </c>
      <c r="AL18" s="16">
        <v>44501</v>
      </c>
      <c r="AM18" s="16">
        <v>44531</v>
      </c>
      <c r="AN18" s="16">
        <v>44562</v>
      </c>
      <c r="AO18" s="16">
        <v>44593</v>
      </c>
      <c r="AP18" s="16">
        <v>44621</v>
      </c>
      <c r="AQ18" s="16">
        <v>44652</v>
      </c>
      <c r="AR18" s="16">
        <v>44682</v>
      </c>
      <c r="AS18" s="16">
        <v>44713</v>
      </c>
      <c r="AT18" s="16">
        <v>44743</v>
      </c>
      <c r="AU18" s="16">
        <v>44774</v>
      </c>
      <c r="AV18" s="16">
        <v>44805</v>
      </c>
      <c r="AW18" s="16">
        <v>44835</v>
      </c>
      <c r="AX18" s="16">
        <v>44866</v>
      </c>
      <c r="AY18" s="16">
        <v>44896</v>
      </c>
      <c r="AZ18" s="16">
        <v>44927</v>
      </c>
      <c r="BA18" s="16">
        <v>44958</v>
      </c>
      <c r="BB18" s="16">
        <v>44986</v>
      </c>
      <c r="BC18" s="16">
        <v>45017</v>
      </c>
      <c r="BD18" s="16">
        <v>45047</v>
      </c>
      <c r="BE18" s="16">
        <v>45078</v>
      </c>
      <c r="BF18" s="16">
        <v>45108</v>
      </c>
      <c r="BG18" s="16">
        <v>45139</v>
      </c>
      <c r="BH18" s="16">
        <v>45170</v>
      </c>
      <c r="BI18" s="16">
        <v>45200</v>
      </c>
      <c r="BJ18" s="16">
        <v>45231</v>
      </c>
      <c r="BK18" s="16">
        <v>45261</v>
      </c>
    </row>
    <row r="19" spans="2:63" ht="15" customHeight="1" x14ac:dyDescent="0.25">
      <c r="B19" s="42" t="s">
        <v>87</v>
      </c>
      <c r="C19" s="39" t="s">
        <v>93</v>
      </c>
      <c r="D19" s="9">
        <f>Contabilização!C64</f>
        <v>24125.668465234558</v>
      </c>
      <c r="E19" s="9">
        <f>Contabilização!D64</f>
        <v>23857.353873175409</v>
      </c>
      <c r="F19" s="9">
        <f>Contabilização!E64</f>
        <v>23586.821003403948</v>
      </c>
      <c r="G19" s="9">
        <f>Contabilização!F64</f>
        <v>23314.051516418112</v>
      </c>
      <c r="H19" s="9">
        <f>Contabilização!G64</f>
        <v>23039.026921094948</v>
      </c>
      <c r="I19" s="9">
        <f>Contabilização!H64</f>
        <v>22761.72857343702</v>
      </c>
      <c r="J19" s="9">
        <f>Contabilização!I64</f>
        <v>22482.137675308564</v>
      </c>
      <c r="K19" s="9">
        <f>Contabilização!J64</f>
        <v>22200.235273161165</v>
      </c>
      <c r="L19" s="9">
        <f>Contabilização!K64</f>
        <v>21916.002256748867</v>
      </c>
      <c r="M19" s="9">
        <f>Contabilização!L64</f>
        <v>21629.419357832699</v>
      </c>
      <c r="N19" s="9">
        <f>Contabilização!M64</f>
        <v>21340.467148874464</v>
      </c>
      <c r="O19" s="9">
        <f>Contabilização!N64</f>
        <v>21049.126041719752</v>
      </c>
      <c r="P19" s="9">
        <f>Contabilização!O64</f>
        <v>20755.376286270053</v>
      </c>
      <c r="Q19" s="9">
        <f>Contabilização!P64</f>
        <v>20435.979467423866</v>
      </c>
      <c r="R19" s="9">
        <f>Contabilização!Q64</f>
        <v>20113.942051064158</v>
      </c>
      <c r="S19" s="9">
        <f>Contabilização!R64</f>
        <v>19789.242206180672</v>
      </c>
      <c r="T19" s="9">
        <f>Contabilização!S64</f>
        <v>19461.85792127634</v>
      </c>
      <c r="U19" s="9">
        <f>Contabilização!T64</f>
        <v>19131.767002875134</v>
      </c>
      <c r="V19" s="9">
        <f>Contabilização!U64</f>
        <v>18798.947074017549</v>
      </c>
      <c r="W19" s="9">
        <f>Contabilização!V64</f>
        <v>18463.375572743662</v>
      </c>
      <c r="X19" s="9">
        <f>Contabilização!W64</f>
        <v>18125.029750563659</v>
      </c>
      <c r="Y19" s="9">
        <f>Contabilização!X64</f>
        <v>17783.886670915697</v>
      </c>
      <c r="Z19" s="9">
        <f>Contabilização!Y64</f>
        <v>17439.923207611042</v>
      </c>
      <c r="AA19" s="9">
        <f>Contabilização!Z64</f>
        <v>17093.116043266331</v>
      </c>
      <c r="AB19" s="9">
        <f>Contabilização!AA64</f>
        <v>16743.441667722869</v>
      </c>
      <c r="AC19" s="9">
        <f>Contabilização!AB64</f>
        <v>16366.505393621812</v>
      </c>
      <c r="AD19" s="9">
        <f>Contabilização!AC64</f>
        <v>15986.452817386802</v>
      </c>
      <c r="AE19" s="9">
        <f>Contabilização!AD64</f>
        <v>15603.258175143001</v>
      </c>
      <c r="AF19" s="9">
        <f>Contabilização!AE64</f>
        <v>15216.895490013989</v>
      </c>
      <c r="AG19" s="9">
        <f>Contabilização!AF64</f>
        <v>14827.338570360807</v>
      </c>
      <c r="AH19" s="9">
        <f>Contabilização!AG64</f>
        <v>14434.5610080064</v>
      </c>
      <c r="AI19" s="9">
        <f>Contabilização!AH64</f>
        <v>14038.53617644541</v>
      </c>
      <c r="AJ19" s="9">
        <f>Contabilização!AI64</f>
        <v>13639.237229039147</v>
      </c>
      <c r="AK19" s="9">
        <f>Contabilização!AJ64</f>
        <v>13236.637097195671</v>
      </c>
      <c r="AL19" s="9">
        <f>Contabilização!AK64</f>
        <v>12830.708488534763</v>
      </c>
      <c r="AM19" s="9">
        <f>Contabilização!AL64</f>
        <v>12421.423885037813</v>
      </c>
      <c r="AN19" s="9">
        <f>Contabilização!AM64</f>
        <v>12008.755541182329</v>
      </c>
      <c r="AO19" s="9">
        <f>Contabilização!AN64</f>
        <v>11567.094813191272</v>
      </c>
      <c r="AP19" s="9">
        <f>Contabilização!AO64</f>
        <v>11121.782676822488</v>
      </c>
      <c r="AQ19" s="9">
        <f>Contabilização!AP64</f>
        <v>10672.788944236549</v>
      </c>
      <c r="AR19" s="9">
        <f>Contabilização!AQ64</f>
        <v>10220.083178017536</v>
      </c>
      <c r="AS19" s="9">
        <f>Contabilização!AR64</f>
        <v>9763.6346891096946</v>
      </c>
      <c r="AT19" s="9">
        <f>Contabilização!AS64</f>
        <v>9303.4125347370136</v>
      </c>
      <c r="AU19" s="9">
        <f>Contabilização!AT64</f>
        <v>8839.3855163055923</v>
      </c>
      <c r="AV19" s="9">
        <f>Contabilização!AU64</f>
        <v>8371.5221772886871</v>
      </c>
      <c r="AW19" s="9">
        <f>Contabilização!AV64</f>
        <v>7899.7908010942738</v>
      </c>
      <c r="AX19" s="9">
        <f>Contabilização!AW64</f>
        <v>7424.1594089149512</v>
      </c>
      <c r="AY19" s="9">
        <f>Contabilização!AX64</f>
        <v>6944.5957575601005</v>
      </c>
      <c r="AZ19" s="9">
        <f>Contabilização!AY64</f>
        <v>6461.0673372701167</v>
      </c>
      <c r="BA19" s="9">
        <f>Contabilização!AZ64</f>
        <v>5946.6909702339153</v>
      </c>
      <c r="BB19" s="9">
        <f>Contabilização!BA64</f>
        <v>5428.0620218454123</v>
      </c>
      <c r="BC19" s="9">
        <f>Contabilização!BB64</f>
        <v>4905.1453340971339</v>
      </c>
      <c r="BD19" s="9">
        <f>Contabilização!BC64</f>
        <v>4377.9054583144962</v>
      </c>
      <c r="BE19" s="9">
        <f>Contabilização!BD64</f>
        <v>3846.3066527527562</v>
      </c>
      <c r="BF19" s="9">
        <f>Contabilização!BE64</f>
        <v>3310.3128801740309</v>
      </c>
      <c r="BG19" s="9">
        <f>Contabilização!BF64</f>
        <v>2769.8878054043571</v>
      </c>
      <c r="BH19" s="9">
        <f>Contabilização!BG64</f>
        <v>2224.9947928705087</v>
      </c>
      <c r="BI19" s="9">
        <f>Contabilização!BH64</f>
        <v>1675.5969041164465</v>
      </c>
      <c r="BJ19" s="9">
        <f>Contabilização!BI64</f>
        <v>1121.6568952992623</v>
      </c>
      <c r="BK19" s="9">
        <f>Contabilização!BJ64</f>
        <v>563.1372146644112</v>
      </c>
    </row>
    <row r="20" spans="2:63" ht="15" customHeight="1" x14ac:dyDescent="0.25">
      <c r="B20" s="42" t="s">
        <v>88</v>
      </c>
      <c r="C20" s="39" t="s">
        <v>89</v>
      </c>
      <c r="D20" s="9">
        <f>D19</f>
        <v>24125.668465234558</v>
      </c>
      <c r="E20" s="9">
        <f t="shared" ref="E20:BK20" si="2">E19</f>
        <v>23857.353873175409</v>
      </c>
      <c r="F20" s="9">
        <f t="shared" si="2"/>
        <v>23586.821003403948</v>
      </c>
      <c r="G20" s="9">
        <f t="shared" si="2"/>
        <v>23314.051516418112</v>
      </c>
      <c r="H20" s="9">
        <f t="shared" si="2"/>
        <v>23039.026921094948</v>
      </c>
      <c r="I20" s="9">
        <f t="shared" si="2"/>
        <v>22761.72857343702</v>
      </c>
      <c r="J20" s="9">
        <f t="shared" si="2"/>
        <v>22482.137675308564</v>
      </c>
      <c r="K20" s="9">
        <f t="shared" si="2"/>
        <v>22200.235273161165</v>
      </c>
      <c r="L20" s="9">
        <f t="shared" si="2"/>
        <v>21916.002256748867</v>
      </c>
      <c r="M20" s="9">
        <f t="shared" si="2"/>
        <v>21629.419357832699</v>
      </c>
      <c r="N20" s="9">
        <f t="shared" si="2"/>
        <v>21340.467148874464</v>
      </c>
      <c r="O20" s="9">
        <f t="shared" si="2"/>
        <v>21049.126041719752</v>
      </c>
      <c r="P20" s="9">
        <f t="shared" si="2"/>
        <v>20755.376286270053</v>
      </c>
      <c r="Q20" s="9">
        <f t="shared" si="2"/>
        <v>20435.979467423866</v>
      </c>
      <c r="R20" s="9">
        <f t="shared" si="2"/>
        <v>20113.942051064158</v>
      </c>
      <c r="S20" s="9">
        <f t="shared" si="2"/>
        <v>19789.242206180672</v>
      </c>
      <c r="T20" s="9">
        <f t="shared" si="2"/>
        <v>19461.85792127634</v>
      </c>
      <c r="U20" s="9">
        <f t="shared" si="2"/>
        <v>19131.767002875134</v>
      </c>
      <c r="V20" s="9">
        <f t="shared" si="2"/>
        <v>18798.947074017549</v>
      </c>
      <c r="W20" s="9">
        <f t="shared" si="2"/>
        <v>18463.375572743662</v>
      </c>
      <c r="X20" s="9">
        <f t="shared" si="2"/>
        <v>18125.029750563659</v>
      </c>
      <c r="Y20" s="9">
        <f t="shared" si="2"/>
        <v>17783.886670915697</v>
      </c>
      <c r="Z20" s="9">
        <f t="shared" si="2"/>
        <v>17439.923207611042</v>
      </c>
      <c r="AA20" s="9">
        <f t="shared" si="2"/>
        <v>17093.116043266331</v>
      </c>
      <c r="AB20" s="9">
        <f t="shared" si="2"/>
        <v>16743.441667722869</v>
      </c>
      <c r="AC20" s="9">
        <f t="shared" si="2"/>
        <v>16366.505393621812</v>
      </c>
      <c r="AD20" s="9">
        <f t="shared" si="2"/>
        <v>15986.452817386802</v>
      </c>
      <c r="AE20" s="9">
        <f t="shared" si="2"/>
        <v>15603.258175143001</v>
      </c>
      <c r="AF20" s="9">
        <f t="shared" si="2"/>
        <v>15216.895490013989</v>
      </c>
      <c r="AG20" s="9">
        <f t="shared" si="2"/>
        <v>14827.338570360807</v>
      </c>
      <c r="AH20" s="9">
        <f t="shared" si="2"/>
        <v>14434.5610080064</v>
      </c>
      <c r="AI20" s="9">
        <f t="shared" si="2"/>
        <v>14038.53617644541</v>
      </c>
      <c r="AJ20" s="9">
        <f t="shared" si="2"/>
        <v>13639.237229039147</v>
      </c>
      <c r="AK20" s="9">
        <f t="shared" si="2"/>
        <v>13236.637097195671</v>
      </c>
      <c r="AL20" s="9">
        <f t="shared" si="2"/>
        <v>12830.708488534763</v>
      </c>
      <c r="AM20" s="9">
        <f t="shared" si="2"/>
        <v>12421.423885037813</v>
      </c>
      <c r="AN20" s="9">
        <f t="shared" si="2"/>
        <v>12008.755541182329</v>
      </c>
      <c r="AO20" s="9">
        <f t="shared" si="2"/>
        <v>11567.094813191272</v>
      </c>
      <c r="AP20" s="9">
        <f t="shared" si="2"/>
        <v>11121.782676822488</v>
      </c>
      <c r="AQ20" s="9">
        <f t="shared" si="2"/>
        <v>10672.788944236549</v>
      </c>
      <c r="AR20" s="9">
        <f t="shared" si="2"/>
        <v>10220.083178017536</v>
      </c>
      <c r="AS20" s="9">
        <f t="shared" si="2"/>
        <v>9763.6346891096946</v>
      </c>
      <c r="AT20" s="9">
        <f t="shared" si="2"/>
        <v>9303.4125347370136</v>
      </c>
      <c r="AU20" s="9">
        <f t="shared" si="2"/>
        <v>8839.3855163055923</v>
      </c>
      <c r="AV20" s="9">
        <f t="shared" si="2"/>
        <v>8371.5221772886871</v>
      </c>
      <c r="AW20" s="9">
        <f t="shared" si="2"/>
        <v>7899.7908010942738</v>
      </c>
      <c r="AX20" s="9">
        <f t="shared" si="2"/>
        <v>7424.1594089149512</v>
      </c>
      <c r="AY20" s="9">
        <f t="shared" si="2"/>
        <v>6944.5957575601005</v>
      </c>
      <c r="AZ20" s="9">
        <f t="shared" si="2"/>
        <v>6461.0673372701167</v>
      </c>
      <c r="BA20" s="9">
        <f t="shared" si="2"/>
        <v>5946.6909702339153</v>
      </c>
      <c r="BB20" s="9">
        <f t="shared" si="2"/>
        <v>5428.0620218454123</v>
      </c>
      <c r="BC20" s="9">
        <f t="shared" si="2"/>
        <v>4905.1453340971339</v>
      </c>
      <c r="BD20" s="9">
        <f t="shared" si="2"/>
        <v>4377.9054583144962</v>
      </c>
      <c r="BE20" s="9">
        <f t="shared" si="2"/>
        <v>3846.3066527527562</v>
      </c>
      <c r="BF20" s="9">
        <f t="shared" si="2"/>
        <v>3310.3128801740309</v>
      </c>
      <c r="BG20" s="9">
        <f t="shared" si="2"/>
        <v>2769.8878054043571</v>
      </c>
      <c r="BH20" s="9">
        <f t="shared" si="2"/>
        <v>2224.9947928705087</v>
      </c>
      <c r="BI20" s="9">
        <f t="shared" si="2"/>
        <v>1675.5969041164465</v>
      </c>
      <c r="BJ20" s="9">
        <f t="shared" si="2"/>
        <v>1121.6568952992623</v>
      </c>
      <c r="BK20" s="9">
        <f t="shared" si="2"/>
        <v>563.1372146644112</v>
      </c>
    </row>
    <row r="21" spans="2:63" ht="15" customHeight="1" x14ac:dyDescent="0.25">
      <c r="D21" s="41">
        <f>SUM($D6:D6)+SUM($D20:D20)-SUM($D12:D12)-Contabilização!C160</f>
        <v>0</v>
      </c>
      <c r="E21" s="41">
        <f>SUM($D6:E6)+SUM($D20:E20)-SUM($D12:E12)-Contabilização!D160</f>
        <v>0</v>
      </c>
      <c r="F21" s="41">
        <f>SUM($D6:F6)+SUM($D20:F20)-SUM($D12:F12)-Contabilização!E160</f>
        <v>0</v>
      </c>
      <c r="G21" s="41">
        <f>SUM($D6:G6)+SUM($D20:G20)-SUM($D12:G12)-Contabilização!F160</f>
        <v>0</v>
      </c>
      <c r="H21" s="41">
        <f>SUM($D6:H6)+SUM($D20:H20)-SUM($D12:H12)-Contabilização!G160</f>
        <v>0</v>
      </c>
      <c r="I21" s="41">
        <f>SUM($D6:I6)+SUM($D20:I20)-SUM($D12:I12)-Contabilização!H160</f>
        <v>0</v>
      </c>
      <c r="J21" s="41">
        <f>SUM($D6:J6)+SUM($D20:J20)-SUM($D12:J12)-Contabilização!I160</f>
        <v>0</v>
      </c>
      <c r="K21" s="41">
        <f>SUM($D6:K6)+SUM($D20:K20)-SUM($D12:K12)-Contabilização!J160</f>
        <v>0</v>
      </c>
      <c r="L21" s="41">
        <f>SUM($D6:L6)+SUM($D20:L20)-SUM($D12:L12)-Contabilização!K160</f>
        <v>0</v>
      </c>
      <c r="M21" s="41">
        <f>SUM($D6:M6)+SUM($D20:M20)-SUM($D12:M12)-Contabilização!L160</f>
        <v>0</v>
      </c>
      <c r="N21" s="41">
        <f>SUM($D6:N6)+SUM($D20:N20)-SUM($D12:N12)-Contabilização!M160</f>
        <v>0</v>
      </c>
      <c r="O21" s="41">
        <f>SUM($D6:O6)+SUM($D20:O20)-SUM($D12:O12)-Contabilização!N160</f>
        <v>0</v>
      </c>
      <c r="P21" s="41">
        <f>SUM($D6:P6)+SUM($D20:P20)-SUM($D12:P12)-Contabilização!O160</f>
        <v>0</v>
      </c>
      <c r="Q21" s="41">
        <f>SUM($D6:Q6)+SUM($D20:Q20)-SUM($D12:Q12)-Contabilização!P160</f>
        <v>0</v>
      </c>
      <c r="R21" s="41">
        <f>SUM($D6:R6)+SUM($D20:R20)-SUM($D12:R12)-Contabilização!Q160</f>
        <v>0</v>
      </c>
      <c r="S21" s="41">
        <f>SUM($D6:S6)+SUM($D20:S20)-SUM($D12:S12)-Contabilização!R160</f>
        <v>0</v>
      </c>
      <c r="T21" s="41">
        <f>SUM($D6:T6)+SUM($D20:T20)-SUM($D12:T12)-Contabilização!S160</f>
        <v>0</v>
      </c>
      <c r="U21" s="41">
        <f>SUM($D6:U6)+SUM($D20:U20)-SUM($D12:U12)-Contabilização!T160</f>
        <v>0</v>
      </c>
      <c r="V21" s="41">
        <f>SUM($D6:V6)+SUM($D20:V20)-SUM($D12:V12)-Contabilização!U160</f>
        <v>0</v>
      </c>
      <c r="W21" s="41">
        <f>SUM($D6:W6)+SUM($D20:W20)-SUM($D12:W12)-Contabilização!V160</f>
        <v>0</v>
      </c>
      <c r="X21" s="41">
        <f>SUM($D6:X6)+SUM($D20:X20)-SUM($D12:X12)-Contabilização!W160</f>
        <v>0</v>
      </c>
      <c r="Y21" s="41">
        <f>SUM($D6:Y6)+SUM($D20:Y20)-SUM($D12:Y12)-Contabilização!X160</f>
        <v>0</v>
      </c>
      <c r="Z21" s="41">
        <f>SUM($D6:Z6)+SUM($D20:Z20)-SUM($D12:Z12)-Contabilização!Y160</f>
        <v>0</v>
      </c>
      <c r="AA21" s="41">
        <f>SUM($D6:AA6)+SUM($D20:AA20)-SUM($D12:AA12)-Contabilização!Z160</f>
        <v>0</v>
      </c>
      <c r="AB21" s="41">
        <f>SUM($D6:AB6)+SUM($D20:AB20)-SUM($D12:AB12)-Contabilização!AA160</f>
        <v>0</v>
      </c>
      <c r="AC21" s="41">
        <f>SUM($D6:AC6)+SUM($D20:AC20)-SUM($D12:AC12)-Contabilização!AB160</f>
        <v>0</v>
      </c>
      <c r="AD21" s="41">
        <f>SUM($D6:AD6)+SUM($D20:AD20)-SUM($D12:AD12)-Contabilização!AC160</f>
        <v>0</v>
      </c>
      <c r="AE21" s="41">
        <f>SUM($D6:AE6)+SUM($D20:AE20)-SUM($D12:AE12)-Contabilização!AD160</f>
        <v>0</v>
      </c>
      <c r="AF21" s="41">
        <f>SUM($D6:AF6)+SUM($D20:AF20)-SUM($D12:AF12)-Contabilização!AE160</f>
        <v>0</v>
      </c>
      <c r="AG21" s="41">
        <f>SUM($D6:AG6)+SUM($D20:AG20)-SUM($D12:AG12)-Contabilização!AF160</f>
        <v>0</v>
      </c>
      <c r="AH21" s="41">
        <f>SUM($D6:AH6)+SUM($D20:AH20)-SUM($D12:AH12)-Contabilização!AG160</f>
        <v>0</v>
      </c>
      <c r="AI21" s="41">
        <f>SUM($D6:AI6)+SUM($D20:AI20)-SUM($D12:AI12)-Contabilização!AH160</f>
        <v>0</v>
      </c>
      <c r="AJ21" s="41">
        <f>SUM($D6:AJ6)+SUM($D20:AJ20)-SUM($D12:AJ12)-Contabilização!AI160</f>
        <v>0</v>
      </c>
      <c r="AK21" s="41">
        <f>SUM($D6:AK6)+SUM($D20:AK20)-SUM($D12:AK12)-Contabilização!AJ160</f>
        <v>0</v>
      </c>
      <c r="AL21" s="41">
        <f>SUM($D6:AL6)+SUM($D20:AL20)-SUM($D12:AL12)-Contabilização!AK160</f>
        <v>0</v>
      </c>
      <c r="AM21" s="41">
        <f>SUM($D6:AM6)+SUM($D20:AM20)-SUM($D12:AM12)-Contabilização!AL160</f>
        <v>0</v>
      </c>
      <c r="AN21" s="41">
        <f>SUM($D6:AN6)+SUM($D20:AN20)-SUM($D12:AN12)-Contabilização!AM160</f>
        <v>0</v>
      </c>
      <c r="AO21" s="41">
        <f>SUM($D6:AO6)+SUM($D20:AO20)-SUM($D12:AO12)-Contabilização!AN160</f>
        <v>0</v>
      </c>
      <c r="AP21" s="41">
        <f>SUM($D6:AP6)+SUM($D20:AP20)-SUM($D12:AP12)-Contabilização!AO160</f>
        <v>0</v>
      </c>
      <c r="AQ21" s="41">
        <f>SUM($D6:AQ6)+SUM($D20:AQ20)-SUM($D12:AQ12)-Contabilização!AP160</f>
        <v>0</v>
      </c>
      <c r="AR21" s="41">
        <f>SUM($D6:AR6)+SUM($D20:AR20)-SUM($D12:AR12)-Contabilização!AQ160</f>
        <v>0</v>
      </c>
      <c r="AS21" s="41">
        <f>SUM($D6:AS6)+SUM($D20:AS20)-SUM($D12:AS12)-Contabilização!AR160</f>
        <v>0</v>
      </c>
      <c r="AT21" s="41">
        <f>SUM($D6:AT6)+SUM($D20:AT20)-SUM($D12:AT12)-Contabilização!AS160</f>
        <v>0</v>
      </c>
      <c r="AU21" s="41">
        <f>SUM($D6:AU6)+SUM($D20:AU20)-SUM($D12:AU12)-Contabilização!AT160</f>
        <v>0</v>
      </c>
      <c r="AV21" s="41">
        <f>SUM($D6:AV6)+SUM($D20:AV20)-SUM($D12:AV12)-Contabilização!AU160</f>
        <v>0</v>
      </c>
      <c r="AW21" s="41">
        <f>SUM($D6:AW6)+SUM($D20:AW20)-SUM($D12:AW12)-Contabilização!AV160</f>
        <v>0</v>
      </c>
      <c r="AX21" s="41">
        <f>SUM($D6:AX6)+SUM($D20:AX20)-SUM($D12:AX12)-Contabilização!AW160</f>
        <v>0</v>
      </c>
      <c r="AY21" s="41">
        <f>SUM($D6:AY6)+SUM($D20:AY20)-SUM($D12:AY12)-Contabilização!AX160</f>
        <v>0</v>
      </c>
      <c r="AZ21" s="41">
        <f>SUM($D6:AZ6)+SUM($D20:AZ20)-SUM($D12:AZ12)-Contabilização!AY160</f>
        <v>0</v>
      </c>
      <c r="BA21" s="41">
        <f>SUM($D6:BA6)+SUM($D20:BA20)-SUM($D12:BA12)-Contabilização!AZ160</f>
        <v>0</v>
      </c>
      <c r="BB21" s="41">
        <f>SUM($D6:BB6)+SUM($D20:BB20)-SUM($D12:BB12)-Contabilização!BA160</f>
        <v>0</v>
      </c>
      <c r="BC21" s="41">
        <f>SUM($D6:BC6)+SUM($D20:BC20)-SUM($D12:BC12)-Contabilização!BB160</f>
        <v>0</v>
      </c>
      <c r="BD21" s="41">
        <f>SUM($D6:BD6)+SUM($D20:BD20)-SUM($D12:BD12)-Contabilização!BC160</f>
        <v>0</v>
      </c>
      <c r="BE21" s="41">
        <f>SUM($D6:BE6)+SUM($D20:BE20)-SUM($D12:BE12)-Contabilização!BD160</f>
        <v>-4.6566128730773926E-10</v>
      </c>
      <c r="BF21" s="41">
        <f>SUM($D6:BF6)+SUM($D20:BF20)-SUM($D12:BF12)-Contabilização!BE160</f>
        <v>0</v>
      </c>
      <c r="BG21" s="41">
        <f>SUM($D6:BG6)+SUM($D20:BG20)-SUM($D12:BG12)-Contabilização!BF160</f>
        <v>0</v>
      </c>
      <c r="BH21" s="41">
        <f>SUM($D6:BH6)+SUM($D20:BH20)-SUM($D12:BH12)-Contabilização!BG160</f>
        <v>-7.5669959187507629E-10</v>
      </c>
      <c r="BI21" s="41">
        <f>SUM($D6:BI6)+SUM($D20:BI20)-SUM($D12:BI12)-Contabilização!BH160</f>
        <v>-4.3655745685100555E-10</v>
      </c>
      <c r="BJ21" s="41">
        <f>SUM($D6:BJ6)+SUM($D20:BJ20)-SUM($D12:BJ12)-Contabilização!BI160</f>
        <v>-7.8580342233181E-10</v>
      </c>
      <c r="BK21" s="41">
        <f>SUM($D6:BK6)+SUM($D20:BK20)-SUM($D12:BK12)-Contabilização!BJ160</f>
        <v>-5.8207660913467407E-10</v>
      </c>
    </row>
    <row r="23" spans="2:63" ht="15" customHeight="1" x14ac:dyDescent="0.25">
      <c r="C23" s="36" t="s">
        <v>84</v>
      </c>
    </row>
    <row r="24" spans="2:63" ht="6" customHeight="1" x14ac:dyDescent="0.25"/>
    <row r="25" spans="2:63" ht="33" customHeight="1" x14ac:dyDescent="0.25">
      <c r="C25" s="38" t="s">
        <v>78</v>
      </c>
      <c r="D25" s="16">
        <v>43466</v>
      </c>
      <c r="E25" s="16">
        <v>43497</v>
      </c>
      <c r="F25" s="16">
        <v>43525</v>
      </c>
      <c r="G25" s="16">
        <v>43556</v>
      </c>
      <c r="H25" s="16">
        <v>43586</v>
      </c>
      <c r="I25" s="16">
        <v>43617</v>
      </c>
      <c r="J25" s="16">
        <v>43647</v>
      </c>
      <c r="K25" s="16">
        <v>43678</v>
      </c>
      <c r="L25" s="16">
        <v>43709</v>
      </c>
      <c r="M25" s="16">
        <v>43739</v>
      </c>
      <c r="N25" s="16">
        <v>43770</v>
      </c>
      <c r="O25" s="16">
        <v>43800</v>
      </c>
      <c r="P25" s="16">
        <v>43831</v>
      </c>
      <c r="Q25" s="16">
        <v>43862</v>
      </c>
      <c r="R25" s="16">
        <v>43891</v>
      </c>
      <c r="S25" s="16">
        <v>43922</v>
      </c>
      <c r="T25" s="16">
        <v>43952</v>
      </c>
      <c r="U25" s="16">
        <v>43983</v>
      </c>
      <c r="V25" s="16">
        <v>44013</v>
      </c>
      <c r="W25" s="16">
        <v>44044</v>
      </c>
      <c r="X25" s="16">
        <v>44075</v>
      </c>
      <c r="Y25" s="16">
        <v>44105</v>
      </c>
      <c r="Z25" s="16">
        <v>44136</v>
      </c>
      <c r="AA25" s="16">
        <v>44166</v>
      </c>
      <c r="AB25" s="16">
        <v>44197</v>
      </c>
      <c r="AC25" s="16">
        <v>44228</v>
      </c>
      <c r="AD25" s="16">
        <v>44256</v>
      </c>
      <c r="AE25" s="16">
        <v>44287</v>
      </c>
      <c r="AF25" s="16">
        <v>44317</v>
      </c>
      <c r="AG25" s="16">
        <v>44348</v>
      </c>
      <c r="AH25" s="16">
        <v>44378</v>
      </c>
      <c r="AI25" s="16">
        <v>44409</v>
      </c>
      <c r="AJ25" s="16">
        <v>44440</v>
      </c>
      <c r="AK25" s="16">
        <v>44470</v>
      </c>
      <c r="AL25" s="16">
        <v>44501</v>
      </c>
      <c r="AM25" s="16">
        <v>44531</v>
      </c>
      <c r="AN25" s="16">
        <v>44562</v>
      </c>
      <c r="AO25" s="16">
        <v>44593</v>
      </c>
      <c r="AP25" s="16">
        <v>44621</v>
      </c>
      <c r="AQ25" s="16">
        <v>44652</v>
      </c>
      <c r="AR25" s="16">
        <v>44682</v>
      </c>
      <c r="AS25" s="16">
        <v>44713</v>
      </c>
      <c r="AT25" s="16">
        <v>44743</v>
      </c>
      <c r="AU25" s="16">
        <v>44774</v>
      </c>
      <c r="AV25" s="16">
        <v>44805</v>
      </c>
      <c r="AW25" s="16">
        <v>44835</v>
      </c>
      <c r="AX25" s="16">
        <v>44866</v>
      </c>
      <c r="AY25" s="16">
        <v>44896</v>
      </c>
      <c r="AZ25" s="16">
        <v>44927</v>
      </c>
      <c r="BA25" s="16">
        <v>44958</v>
      </c>
      <c r="BB25" s="16">
        <v>44986</v>
      </c>
      <c r="BC25" s="16">
        <v>45017</v>
      </c>
      <c r="BD25" s="16">
        <v>45047</v>
      </c>
      <c r="BE25" s="16">
        <v>45078</v>
      </c>
      <c r="BF25" s="16">
        <v>45108</v>
      </c>
      <c r="BG25" s="16">
        <v>45139</v>
      </c>
      <c r="BH25" s="16">
        <v>45170</v>
      </c>
      <c r="BI25" s="16">
        <v>45200</v>
      </c>
      <c r="BJ25" s="16">
        <v>45231</v>
      </c>
      <c r="BK25" s="16">
        <v>45261</v>
      </c>
    </row>
    <row r="26" spans="2:63" ht="15" customHeight="1" x14ac:dyDescent="0.25">
      <c r="B26" s="42" t="s">
        <v>87</v>
      </c>
      <c r="C26" s="39" t="s">
        <v>89</v>
      </c>
      <c r="D26" s="9">
        <f>D27</f>
        <v>2471859.7963067056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</row>
    <row r="27" spans="2:63" ht="15" customHeight="1" x14ac:dyDescent="0.25">
      <c r="B27" s="42" t="s">
        <v>88</v>
      </c>
      <c r="C27" s="39" t="s">
        <v>92</v>
      </c>
      <c r="D27" s="9">
        <f>Contabilização!C160-Contabilização!C128</f>
        <v>2471859.7963067056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</row>
    <row r="28" spans="2:63" ht="15" customHeight="1" x14ac:dyDescent="0.25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2:63" ht="15" customHeight="1" x14ac:dyDescent="0.25">
      <c r="B29" s="42" t="s">
        <v>87</v>
      </c>
      <c r="C29" s="39" t="s">
        <v>92</v>
      </c>
      <c r="D29" s="9">
        <v>0</v>
      </c>
      <c r="E29" s="9">
        <f>-(Contabilização!D144-SUM('Lançamentos Contábeis'!$D27:D27)+SUM('Lançamentos Contábeis'!$D29:D29))</f>
        <v>38952.443834420294</v>
      </c>
      <c r="F29" s="9">
        <f>-(Contabilização!E144-SUM('Lançamentos Contábeis'!$D27:E27)+SUM('Lançamentos Contábeis'!$D29:E29))</f>
        <v>39274.481250772718</v>
      </c>
      <c r="G29" s="9">
        <f>-(Contabilização!F144-SUM('Lançamentos Contábeis'!$D27:F27)+SUM('Lançamentos Contábeis'!$D29:F29))</f>
        <v>39599.181095656008</v>
      </c>
      <c r="H29" s="9">
        <f>-(Contabilização!G144-SUM('Lançamentos Contábeis'!$D27:G27)+SUM('Lançamentos Contábeis'!$D29:G29))</f>
        <v>39926.5653805607</v>
      </c>
      <c r="I29" s="9">
        <f>-(Contabilização!H144-SUM('Lançamentos Contábeis'!$D27:H27)+SUM('Lançamentos Contábeis'!$D29:H29))</f>
        <v>40256.656298961956</v>
      </c>
      <c r="J29" s="9">
        <f>-(Contabilização!I144-SUM('Lançamentos Contábeis'!$D27:I27)+SUM('Lançamentos Contábeis'!$D29:I29))</f>
        <v>40589.476227818988</v>
      </c>
      <c r="K29" s="9">
        <f>-(Contabilização!J144-SUM('Lançamentos Contábeis'!$D27:J27)+SUM('Lançamentos Contábeis'!$D29:J29))</f>
        <v>40925.047729093116</v>
      </c>
      <c r="L29" s="9">
        <f>-(Contabilização!K144-SUM('Lançamentos Contábeis'!$D27:K27)+SUM('Lançamentos Contábeis'!$D29:K29))</f>
        <v>41263.393551273271</v>
      </c>
      <c r="M29" s="9">
        <f>-(Contabilização!L144-SUM('Lançamentos Contábeis'!$D27:L27)+SUM('Lançamentos Contábeis'!$D29:L29))</f>
        <v>41604.536630921531</v>
      </c>
      <c r="N29" s="9">
        <f>-(Contabilização!M144-SUM('Lançamentos Contábeis'!$D27:M27)+SUM('Lançamentos Contábeis'!$D29:M29))</f>
        <v>41948.500094225165</v>
      </c>
      <c r="O29" s="9">
        <f>-(Contabilização!N144-SUM('Lançamentos Contábeis'!$D27:N27)+SUM('Lançamentos Contábeis'!$D29:N29))</f>
        <v>42295.307258570567</v>
      </c>
      <c r="P29" s="9">
        <f>-(Contabilização!O144-SUM('Lançamentos Contábeis'!$D27:O27)+SUM('Lançamentos Contábeis'!$D29:O29))</f>
        <v>45592.804749353556</v>
      </c>
      <c r="Q29" s="9">
        <f>-(Contabilização!P144-SUM('Lançamentos Contábeis'!$D27:P27)+SUM('Lançamentos Contábeis'!$D29:P29))</f>
        <v>45969.741023454349</v>
      </c>
      <c r="R29" s="9">
        <f>-(Contabilização!Q144-SUM('Lançamentos Contábeis'!$D27:Q27)+SUM('Lançamentos Contábeis'!$D29:Q29))</f>
        <v>46349.793599689612</v>
      </c>
      <c r="S29" s="9">
        <f>-(Contabilização!R144-SUM('Lançamentos Contábeis'!$D27:R27)+SUM('Lançamentos Contábeis'!$D29:R29))</f>
        <v>46732.988241933053</v>
      </c>
      <c r="T29" s="9">
        <f>-(Contabilização!S144-SUM('Lançamentos Contábeis'!$D27:S27)+SUM('Lançamentos Contábeis'!$D29:S29))</f>
        <v>47119.3509270621</v>
      </c>
      <c r="U29" s="9">
        <f>-(Contabilização!T144-SUM('Lançamentos Contábeis'!$D27:T27)+SUM('Lançamentos Contábeis'!$D29:T29))</f>
        <v>47508.907846715767</v>
      </c>
      <c r="V29" s="9">
        <f>-(Contabilização!U144-SUM('Lançamentos Contábeis'!$D27:U27)+SUM('Lançamentos Contábeis'!$D29:U29))</f>
        <v>47901.68540906976</v>
      </c>
      <c r="W29" s="9">
        <f>-(Contabilização!V144-SUM('Lançamentos Contábeis'!$D27:V27)+SUM('Lançamentos Contábeis'!$D29:V29))</f>
        <v>48297.7102406302</v>
      </c>
      <c r="X29" s="9">
        <f>-(Contabilização!W144-SUM('Lançamentos Contábeis'!$D27:W27)+SUM('Lançamentos Contábeis'!$D29:W29))</f>
        <v>48697.009188037366</v>
      </c>
      <c r="Y29" s="9">
        <f>-(Contabilização!X144-SUM('Lançamentos Contábeis'!$D27:X27)+SUM('Lançamentos Contábeis'!$D29:X29))</f>
        <v>49099.609319880605</v>
      </c>
      <c r="Z29" s="9">
        <f>-(Contabilização!Y144-SUM('Lançamentos Contábeis'!$D27:Y27)+SUM('Lançamentos Contábeis'!$D29:Y29))</f>
        <v>49505.537928541424</v>
      </c>
      <c r="AA29" s="9">
        <f>-(Contabilização!Z144-SUM('Lançamentos Contábeis'!$D27:Z27)+SUM('Lançamentos Contábeis'!$D29:Z29))</f>
        <v>49914.822532037972</v>
      </c>
      <c r="AB29" s="9">
        <f>-(Contabilização!AA144-SUM('Lançamentos Contábeis'!$D27:AA27)+SUM('Lançamentos Contábeis'!$D29:AA29))</f>
        <v>53421.633099060738</v>
      </c>
      <c r="AC29" s="9">
        <f>-(Contabilização!AB144-SUM('Lançamentos Contábeis'!$D27:AB27)+SUM('Lançamentos Contábeis'!$D29:AB29))</f>
        <v>53863.293827051762</v>
      </c>
      <c r="AD29" s="9">
        <f>-(Contabilização!AC144-SUM('Lançamentos Contábeis'!$D27:AC27)+SUM('Lançamentos Contábeis'!$D29:AC29))</f>
        <v>54308.605963420123</v>
      </c>
      <c r="AE29" s="9">
        <f>-(Contabilização!AD144-SUM('Lançamentos Contábeis'!$D27:AD27)+SUM('Lançamentos Contábeis'!$D29:AD29))</f>
        <v>54757.599696006393</v>
      </c>
      <c r="AF29" s="9">
        <f>-(Contabilização!AE144-SUM('Lançamentos Contábeis'!$D27:AE27)+SUM('Lançamentos Contábeis'!$D29:AE29))</f>
        <v>55210.305462225107</v>
      </c>
      <c r="AG29" s="9">
        <f>-(Contabilização!AF144-SUM('Lançamentos Contábeis'!$D27:AF27)+SUM('Lançamentos Contábeis'!$D29:AF29))</f>
        <v>55666.753951133229</v>
      </c>
      <c r="AH29" s="9">
        <f>-(Contabilização!AG144-SUM('Lançamentos Contábeis'!$D27:AG27)+SUM('Lançamentos Contábeis'!$D29:AG29))</f>
        <v>56126.976105505833</v>
      </c>
      <c r="AI29" s="9">
        <f>-(Contabilização!AH144-SUM('Lançamentos Contábeis'!$D27:AH27)+SUM('Lançamentos Contábeis'!$D29:AH29))</f>
        <v>56591.003123937175</v>
      </c>
      <c r="AJ29" s="9">
        <f>-(Contabilização!AI144-SUM('Lançamentos Contábeis'!$D27:AI27)+SUM('Lançamentos Contábeis'!$D29:AI29))</f>
        <v>57058.86646295432</v>
      </c>
      <c r="AK29" s="9">
        <f>-(Contabilização!AJ144-SUM('Lançamentos Contábeis'!$D27:AJ27)+SUM('Lançamentos Contábeis'!$D29:AJ29))</f>
        <v>57530.597839148715</v>
      </c>
      <c r="AL29" s="9">
        <f>-(Contabilização!AK144-SUM('Lançamentos Contábeis'!$D27:AK27)+SUM('Lançamentos Contábeis'!$D29:AK29))</f>
        <v>58006.229231327772</v>
      </c>
      <c r="AM29" s="9">
        <f>-(Contabilização!AL144-SUM('Lançamentos Contábeis'!$D27:AL27)+SUM('Lançamentos Contábeis'!$D29:AL29))</f>
        <v>58485.792882682756</v>
      </c>
      <c r="AN29" s="9">
        <f>-(Contabilização!AM144-SUM('Lançamentos Contábeis'!$D27:AM27)+SUM('Lançamentos Contábeis'!$D29:AM29))</f>
        <v>62217.045376947848</v>
      </c>
      <c r="AO29" s="9">
        <f>-(Contabilização!AN144-SUM('Lançamentos Contábeis'!$D27:AN27)+SUM('Lançamentos Contábeis'!$D29:AN29))</f>
        <v>62731.421743984101</v>
      </c>
      <c r="AP29" s="9">
        <f>-(Contabilização!AO144-SUM('Lançamentos Contábeis'!$D27:AO27)+SUM('Lançamentos Contábeis'!$D29:AO29))</f>
        <v>63250.05069237249</v>
      </c>
      <c r="AQ29" s="9">
        <f>-(Contabilização!AP144-SUM('Lançamentos Contábeis'!$D27:AP27)+SUM('Lançamentos Contábeis'!$D29:AP29))</f>
        <v>63772.967380120419</v>
      </c>
      <c r="AR29" s="9">
        <f>-(Contabilização!AQ144-SUM('Lançamentos Contábeis'!$D27:AQ27)+SUM('Lançamentos Contábeis'!$D29:AQ29))</f>
        <v>64300.207255903399</v>
      </c>
      <c r="AS29" s="9">
        <f>-(Contabilização!AR144-SUM('Lançamentos Contábeis'!$D27:AR27)+SUM('Lançamentos Contábeis'!$D29:AR29))</f>
        <v>64831.80606146506</v>
      </c>
      <c r="AT29" s="9">
        <f>-(Contabilização!AS144-SUM('Lançamentos Contábeis'!$D27:AS27)+SUM('Lançamentos Contábeis'!$D29:AS29))</f>
        <v>65367.799834044185</v>
      </c>
      <c r="AU29" s="9">
        <f>-(Contabilização!AT144-SUM('Lançamentos Contábeis'!$D27:AT27)+SUM('Lançamentos Contábeis'!$D29:AT29))</f>
        <v>65908.224908813369</v>
      </c>
      <c r="AV29" s="9">
        <f>-(Contabilização!AU144-SUM('Lançamentos Contábeis'!$D27:AU27)+SUM('Lançamentos Contábeis'!$D29:AU29))</f>
        <v>66453.117921347264</v>
      </c>
      <c r="AW29" s="9">
        <f>-(Contabilização!AV144-SUM('Lançamentos Contábeis'!$D27:AV27)+SUM('Lançamentos Contábeis'!$D29:AV29))</f>
        <v>67002.515810101293</v>
      </c>
      <c r="AX29" s="9">
        <f>-(Contabilização!AW144-SUM('Lançamentos Contábeis'!$D27:AW27)+SUM('Lançamentos Contábeis'!$D29:AW29))</f>
        <v>67556.455818918534</v>
      </c>
      <c r="AY29" s="9">
        <f>-(Contabilização!AX144-SUM('Lançamentos Contábeis'!$D27:AX27)+SUM('Lançamentos Contábeis'!$D29:AX29))</f>
        <v>68114.975499553606</v>
      </c>
      <c r="AZ29" s="9">
        <f>-(Contabilização!AY144-SUM('Lançamentos Contábeis'!$D27:AY27)+SUM('Lançamentos Contábeis'!$D29:AY29))</f>
        <v>0</v>
      </c>
      <c r="BA29" s="9">
        <f>-(Contabilização!AZ144-SUM('Lançamentos Contábeis'!$D27:AZ27)+SUM('Lançamentos Contábeis'!$D29:AZ29))</f>
        <v>0</v>
      </c>
      <c r="BB29" s="9">
        <f>-(Contabilização!BA144-SUM('Lançamentos Contábeis'!$D27:BA27)+SUM('Lançamentos Contábeis'!$D29:BA29))</f>
        <v>0</v>
      </c>
      <c r="BC29" s="9">
        <f>-(Contabilização!BB144-SUM('Lançamentos Contábeis'!$D27:BB27)+SUM('Lançamentos Contábeis'!$D29:BB29))</f>
        <v>0</v>
      </c>
      <c r="BD29" s="9">
        <f>-(Contabilização!BC144-SUM('Lançamentos Contábeis'!$D27:BC27)+SUM('Lançamentos Contábeis'!$D29:BC29))</f>
        <v>0</v>
      </c>
      <c r="BE29" s="9">
        <f>-(Contabilização!BD144-SUM('Lançamentos Contábeis'!$D27:BD27)+SUM('Lançamentos Contábeis'!$D29:BD29))</f>
        <v>0</v>
      </c>
      <c r="BF29" s="9">
        <f>-(Contabilização!BE144-SUM('Lançamentos Contábeis'!$D27:BE27)+SUM('Lançamentos Contábeis'!$D29:BE29))</f>
        <v>0</v>
      </c>
      <c r="BG29" s="9">
        <f>-(Contabilização!BF144-SUM('Lançamentos Contábeis'!$D27:BF27)+SUM('Lançamentos Contábeis'!$D29:BF29))</f>
        <v>0</v>
      </c>
      <c r="BH29" s="9">
        <f>-(Contabilização!BG144-SUM('Lançamentos Contábeis'!$D27:BG27)+SUM('Lançamentos Contábeis'!$D29:BG29))</f>
        <v>0</v>
      </c>
      <c r="BI29" s="9">
        <f>-(Contabilização!BH144-SUM('Lançamentos Contábeis'!$D27:BH27)+SUM('Lançamentos Contábeis'!$D29:BH29))</f>
        <v>0</v>
      </c>
      <c r="BJ29" s="9">
        <f>-(Contabilização!BI144-SUM('Lançamentos Contábeis'!$D27:BI27)+SUM('Lançamentos Contábeis'!$D29:BI29))</f>
        <v>0</v>
      </c>
      <c r="BK29" s="9">
        <f>-(Contabilização!BJ144-SUM('Lançamentos Contábeis'!$D27:BJ27)+SUM('Lançamentos Contábeis'!$D29:BJ29))</f>
        <v>0</v>
      </c>
    </row>
    <row r="30" spans="2:63" ht="15" customHeight="1" x14ac:dyDescent="0.25">
      <c r="B30" s="42" t="s">
        <v>88</v>
      </c>
      <c r="C30" s="39" t="s">
        <v>89</v>
      </c>
      <c r="D30" s="9">
        <v>0</v>
      </c>
      <c r="E30" s="9">
        <f t="shared" ref="E30:AJ30" si="3">E29</f>
        <v>38952.443834420294</v>
      </c>
      <c r="F30" s="9">
        <f t="shared" si="3"/>
        <v>39274.481250772718</v>
      </c>
      <c r="G30" s="9">
        <f t="shared" si="3"/>
        <v>39599.181095656008</v>
      </c>
      <c r="H30" s="9">
        <f t="shared" si="3"/>
        <v>39926.5653805607</v>
      </c>
      <c r="I30" s="9">
        <f t="shared" si="3"/>
        <v>40256.656298961956</v>
      </c>
      <c r="J30" s="9">
        <f t="shared" si="3"/>
        <v>40589.476227818988</v>
      </c>
      <c r="K30" s="9">
        <f t="shared" si="3"/>
        <v>40925.047729093116</v>
      </c>
      <c r="L30" s="9">
        <f t="shared" si="3"/>
        <v>41263.393551273271</v>
      </c>
      <c r="M30" s="9">
        <f t="shared" si="3"/>
        <v>41604.536630921531</v>
      </c>
      <c r="N30" s="9">
        <f t="shared" si="3"/>
        <v>41948.500094225165</v>
      </c>
      <c r="O30" s="9">
        <f t="shared" si="3"/>
        <v>42295.307258570567</v>
      </c>
      <c r="P30" s="9">
        <f t="shared" si="3"/>
        <v>45592.804749353556</v>
      </c>
      <c r="Q30" s="9">
        <f t="shared" si="3"/>
        <v>45969.741023454349</v>
      </c>
      <c r="R30" s="9">
        <f t="shared" si="3"/>
        <v>46349.793599689612</v>
      </c>
      <c r="S30" s="9">
        <f t="shared" si="3"/>
        <v>46732.988241933053</v>
      </c>
      <c r="T30" s="9">
        <f t="shared" si="3"/>
        <v>47119.3509270621</v>
      </c>
      <c r="U30" s="9">
        <f t="shared" si="3"/>
        <v>47508.907846715767</v>
      </c>
      <c r="V30" s="9">
        <f t="shared" si="3"/>
        <v>47901.68540906976</v>
      </c>
      <c r="W30" s="9">
        <f t="shared" si="3"/>
        <v>48297.7102406302</v>
      </c>
      <c r="X30" s="9">
        <f t="shared" si="3"/>
        <v>48697.009188037366</v>
      </c>
      <c r="Y30" s="9">
        <f t="shared" si="3"/>
        <v>49099.609319880605</v>
      </c>
      <c r="Z30" s="9">
        <f t="shared" si="3"/>
        <v>49505.537928541424</v>
      </c>
      <c r="AA30" s="9">
        <f t="shared" si="3"/>
        <v>49914.822532037972</v>
      </c>
      <c r="AB30" s="9">
        <f t="shared" si="3"/>
        <v>53421.633099060738</v>
      </c>
      <c r="AC30" s="9">
        <f t="shared" si="3"/>
        <v>53863.293827051762</v>
      </c>
      <c r="AD30" s="9">
        <f t="shared" si="3"/>
        <v>54308.605963420123</v>
      </c>
      <c r="AE30" s="9">
        <f t="shared" si="3"/>
        <v>54757.599696006393</v>
      </c>
      <c r="AF30" s="9">
        <f t="shared" si="3"/>
        <v>55210.305462225107</v>
      </c>
      <c r="AG30" s="9">
        <f t="shared" si="3"/>
        <v>55666.753951133229</v>
      </c>
      <c r="AH30" s="9">
        <f t="shared" si="3"/>
        <v>56126.976105505833</v>
      </c>
      <c r="AI30" s="9">
        <f t="shared" si="3"/>
        <v>56591.003123937175</v>
      </c>
      <c r="AJ30" s="9">
        <f t="shared" si="3"/>
        <v>57058.86646295432</v>
      </c>
      <c r="AK30" s="9">
        <f t="shared" ref="AK30:BK30" si="4">AK29</f>
        <v>57530.597839148715</v>
      </c>
      <c r="AL30" s="9">
        <f t="shared" si="4"/>
        <v>58006.229231327772</v>
      </c>
      <c r="AM30" s="9">
        <f t="shared" si="4"/>
        <v>58485.792882682756</v>
      </c>
      <c r="AN30" s="9">
        <f t="shared" si="4"/>
        <v>62217.045376947848</v>
      </c>
      <c r="AO30" s="9">
        <f t="shared" si="4"/>
        <v>62731.421743984101</v>
      </c>
      <c r="AP30" s="9">
        <f t="shared" si="4"/>
        <v>63250.05069237249</v>
      </c>
      <c r="AQ30" s="9">
        <f t="shared" si="4"/>
        <v>63772.967380120419</v>
      </c>
      <c r="AR30" s="9">
        <f t="shared" si="4"/>
        <v>64300.207255903399</v>
      </c>
      <c r="AS30" s="9">
        <f t="shared" si="4"/>
        <v>64831.80606146506</v>
      </c>
      <c r="AT30" s="9">
        <f t="shared" si="4"/>
        <v>65367.799834044185</v>
      </c>
      <c r="AU30" s="9">
        <f t="shared" si="4"/>
        <v>65908.224908813369</v>
      </c>
      <c r="AV30" s="9">
        <f t="shared" si="4"/>
        <v>66453.117921347264</v>
      </c>
      <c r="AW30" s="9">
        <f t="shared" si="4"/>
        <v>67002.515810101293</v>
      </c>
      <c r="AX30" s="9">
        <f t="shared" si="4"/>
        <v>67556.455818918534</v>
      </c>
      <c r="AY30" s="9">
        <f t="shared" si="4"/>
        <v>68114.975499553606</v>
      </c>
      <c r="AZ30" s="9">
        <f t="shared" si="4"/>
        <v>0</v>
      </c>
      <c r="BA30" s="9">
        <f t="shared" si="4"/>
        <v>0</v>
      </c>
      <c r="BB30" s="9">
        <f t="shared" si="4"/>
        <v>0</v>
      </c>
      <c r="BC30" s="9">
        <f t="shared" si="4"/>
        <v>0</v>
      </c>
      <c r="BD30" s="9">
        <f t="shared" si="4"/>
        <v>0</v>
      </c>
      <c r="BE30" s="9">
        <f t="shared" si="4"/>
        <v>0</v>
      </c>
      <c r="BF30" s="9">
        <f t="shared" si="4"/>
        <v>0</v>
      </c>
      <c r="BG30" s="9">
        <f t="shared" si="4"/>
        <v>0</v>
      </c>
      <c r="BH30" s="9">
        <f t="shared" si="4"/>
        <v>0</v>
      </c>
      <c r="BI30" s="9">
        <f t="shared" si="4"/>
        <v>0</v>
      </c>
      <c r="BJ30" s="9">
        <f t="shared" si="4"/>
        <v>0</v>
      </c>
      <c r="BK30" s="9">
        <f t="shared" si="4"/>
        <v>0</v>
      </c>
    </row>
    <row r="31" spans="2:63" ht="15" customHeight="1" x14ac:dyDescent="0.25">
      <c r="D31" s="41">
        <f>Contabilização!C128-(SUM($D6:D6)-SUM($D12:D12)+SUM($D20:D20)+SUM($D30:D30)-SUM($D26:D26))</f>
        <v>0</v>
      </c>
      <c r="E31" s="41">
        <f>Contabilização!D128-(SUM($D6:E6)-SUM($D12:E12)+SUM($D20:E20)+SUM($D30:E30)-SUM($D26:E26))</f>
        <v>-7.2759576141834259E-9</v>
      </c>
      <c r="F31" s="41">
        <f>Contabilização!E128-(SUM($D6:F6)-SUM($D12:F12)+SUM($D20:F20)+SUM($D30:F30)-SUM($D26:F26))</f>
        <v>-7.1595422923564911E-9</v>
      </c>
      <c r="G31" s="41">
        <f>Contabilização!F128-(SUM($D6:G6)-SUM($D12:G12)+SUM($D20:G20)+SUM($D30:G30)-SUM($D26:G26))</f>
        <v>-7.1013346314430237E-9</v>
      </c>
      <c r="H31" s="41">
        <f>Contabilização!G128-(SUM($D6:H6)-SUM($D12:H12)+SUM($D20:H20)+SUM($D30:H30)-SUM($D26:H26))</f>
        <v>-7.0431269705295563E-9</v>
      </c>
      <c r="I31" s="41">
        <f>Contabilização!H128-(SUM($D6:I6)-SUM($D12:I12)+SUM($D20:I20)+SUM($D30:I30)-SUM($D26:I26))</f>
        <v>-7.0431269705295563E-9</v>
      </c>
      <c r="J31" s="41">
        <f>Contabilização!I128-(SUM($D6:J6)-SUM($D12:J12)+SUM($D20:J20)+SUM($D30:J30)-SUM($D26:J26))</f>
        <v>-6.6938810050487518E-9</v>
      </c>
      <c r="K31" s="41">
        <f>Contabilização!J128-(SUM($D6:K6)-SUM($D12:K12)+SUM($D20:K20)+SUM($D30:K30)-SUM($D26:K26))</f>
        <v>-6.28642737865448E-9</v>
      </c>
      <c r="L31" s="41">
        <f>Contabilização!K128-(SUM($D6:L6)-SUM($D12:L12)+SUM($D20:L20)+SUM($D30:L30)-SUM($D26:L26))</f>
        <v>-6.577465683221817E-9</v>
      </c>
      <c r="M31" s="41">
        <f>Contabilização!L128-(SUM($D6:M6)-SUM($D12:M12)+SUM($D20:M20)+SUM($D30:M30)-SUM($D26:M26))</f>
        <v>-6.6356733441352844E-9</v>
      </c>
      <c r="N31" s="41">
        <f>Contabilização!M128-(SUM($D6:N6)-SUM($D12:N12)+SUM($D20:N20)+SUM($D30:N30)-SUM($D26:N26))</f>
        <v>-5.8789737522602081E-9</v>
      </c>
      <c r="O31" s="41">
        <f>Contabilização!N128-(SUM($D6:O6)-SUM($D12:O12)+SUM($D20:O20)+SUM($D30:O30)-SUM($D26:O26))</f>
        <v>-5.7625584304332733E-9</v>
      </c>
      <c r="P31" s="41">
        <f>Contabilização!O128-(SUM($D6:P6)-SUM($D12:P12)+SUM($D20:P20)+SUM($D30:P30)-SUM($D26:P26))</f>
        <v>-5.8207660913467407E-9</v>
      </c>
      <c r="Q31" s="41">
        <f>Contabilização!P128-(SUM($D6:Q6)-SUM($D12:Q12)+SUM($D20:Q20)+SUM($D30:Q30)-SUM($D26:Q26))</f>
        <v>-6.5192580223083496E-9</v>
      </c>
      <c r="R31" s="41">
        <f>Contabilização!Q128-(SUM($D6:R6)-SUM($D12:R12)+SUM($D20:R20)+SUM($D30:R30)-SUM($D26:R26))</f>
        <v>-6.5192580223083496E-9</v>
      </c>
      <c r="S31" s="41">
        <f>Contabilização!R128-(SUM($D6:S6)-SUM($D12:S12)+SUM($D20:S20)+SUM($D30:S30)-SUM($D26:S26))</f>
        <v>-6.4610503613948822E-9</v>
      </c>
      <c r="T31" s="41">
        <f>Contabilização!S128-(SUM($D6:T6)-SUM($D12:T12)+SUM($D20:T20)+SUM($D30:T30)-SUM($D26:T26))</f>
        <v>-6.0535967350006104E-9</v>
      </c>
      <c r="U31" s="41">
        <f>Contabilização!T128-(SUM($D6:U6)-SUM($D12:U12)+SUM($D20:U20)+SUM($D30:U30)-SUM($D26:U26))</f>
        <v>-6.7520886659622192E-9</v>
      </c>
      <c r="V31" s="41">
        <f>Contabilização!U128-(SUM($D6:V6)-SUM($D12:V12)+SUM($D20:V20)+SUM($D30:V30)-SUM($D26:V26))</f>
        <v>-6.9849193096160889E-9</v>
      </c>
      <c r="W31" s="41">
        <f>Contabilização!V128-(SUM($D6:W6)-SUM($D12:W12)+SUM($D20:W20)+SUM($D30:W30)-SUM($D26:W26))</f>
        <v>-5.8207660913467407E-9</v>
      </c>
      <c r="X31" s="41">
        <f>Contabilização!W128-(SUM($D6:X6)-SUM($D12:X12)+SUM($D20:X20)+SUM($D30:X30)-SUM($D26:X26))</f>
        <v>-6.1700120568275452E-9</v>
      </c>
      <c r="Y31" s="41">
        <f>Contabilização!X128-(SUM($D6:Y6)-SUM($D12:Y12)+SUM($D20:Y20)+SUM($D30:Y30)-SUM($D26:Y26))</f>
        <v>-6.4028427004814148E-9</v>
      </c>
      <c r="Z31" s="41">
        <f>Contabilização!Y128-(SUM($D6:Z6)-SUM($D12:Z12)+SUM($D20:Z20)+SUM($D30:Z30)-SUM($D26:Z26))</f>
        <v>-6.4028427004814148E-9</v>
      </c>
      <c r="AA31" s="41">
        <f>Contabilização!Z128-(SUM($D6:AA6)-SUM($D12:AA12)+SUM($D20:AA20)+SUM($D30:AA30)-SUM($D26:AA26))</f>
        <v>-5.8207660913467407E-9</v>
      </c>
      <c r="AB31" s="41">
        <f>Contabilização!AA128-(SUM($D6:AB6)-SUM($D12:AB12)+SUM($D20:AB20)+SUM($D30:AB30)-SUM($D26:AB26))</f>
        <v>-6.28642737865448E-9</v>
      </c>
      <c r="AC31" s="41">
        <f>Contabilização!AB128-(SUM($D6:AC6)-SUM($D12:AC12)+SUM($D20:AC20)+SUM($D30:AC30)-SUM($D26:AC26))</f>
        <v>-6.5192580223083496E-9</v>
      </c>
      <c r="AD31" s="41">
        <f>Contabilização!AC128-(SUM($D6:AD6)-SUM($D12:AD12)+SUM($D20:AD20)+SUM($D30:AD30)-SUM($D26:AD26))</f>
        <v>-5.9371814131736755E-9</v>
      </c>
      <c r="AE31" s="41">
        <f>Contabilização!AD128-(SUM($D6:AE6)-SUM($D12:AE12)+SUM($D20:AE20)+SUM($D30:AE30)-SUM($D26:AE26))</f>
        <v>-5.8207660913467407E-9</v>
      </c>
      <c r="AF31" s="41">
        <f>Contabilização!AE128-(SUM($D6:AF6)-SUM($D12:AF12)+SUM($D20:AF20)+SUM($D30:AF30)-SUM($D26:AF26))</f>
        <v>-5.7043507695198059E-9</v>
      </c>
      <c r="AG31" s="41">
        <f>Contabilização!AF128-(SUM($D6:AG6)-SUM($D12:AG12)+SUM($D20:AG20)+SUM($D30:AG30)-SUM($D26:AG26))</f>
        <v>-6.0535967350006104E-9</v>
      </c>
      <c r="AH31" s="41">
        <f>Contabilização!AG128-(SUM($D6:AH6)-SUM($D12:AH12)+SUM($D20:AH20)+SUM($D30:AH30)-SUM($D26:AH26))</f>
        <v>-5.5879354476928711E-9</v>
      </c>
      <c r="AI31" s="41">
        <f>Contabilização!AH128-(SUM($D6:AI6)-SUM($D12:AI12)+SUM($D20:AI20)+SUM($D30:AI30)-SUM($D26:AI26))</f>
        <v>-5.3551048040390015E-9</v>
      </c>
      <c r="AJ31" s="41">
        <f>Contabilização!AI128-(SUM($D6:AJ6)-SUM($D12:AJ12)+SUM($D20:AJ20)+SUM($D30:AJ30)-SUM($D26:AJ26))</f>
        <v>-5.5879354476928711E-9</v>
      </c>
      <c r="AK31" s="41">
        <f>Contabilização!AJ128-(SUM($D6:AK6)-SUM($D12:AK12)+SUM($D20:AK20)+SUM($D30:AK30)-SUM($D26:AK26))</f>
        <v>-5.7043507695198059E-9</v>
      </c>
      <c r="AL31" s="41">
        <f>Contabilização!AK128-(SUM($D6:AL6)-SUM($D12:AL12)+SUM($D20:AL20)+SUM($D30:AL30)-SUM($D26:AL26))</f>
        <v>-5.3551048040390015E-9</v>
      </c>
      <c r="AM31" s="41">
        <f>Contabilização!AL128-(SUM($D6:AM6)-SUM($D12:AM12)+SUM($D20:AM20)+SUM($D30:AM30)-SUM($D26:AM26))</f>
        <v>-5.1222741603851318E-9</v>
      </c>
      <c r="AN31" s="41">
        <f>Contabilização!AM128-(SUM($D6:AN6)-SUM($D12:AN12)+SUM($D20:AN20)+SUM($D30:AN30)-SUM($D26:AN26))</f>
        <v>-5.4715201258659363E-9</v>
      </c>
      <c r="AO31" s="41">
        <f>Contabilização!AN128-(SUM($D6:AO6)-SUM($D12:AO12)+SUM($D20:AO20)+SUM($D30:AO30)-SUM($D26:AO26))</f>
        <v>-6.0535967350006104E-9</v>
      </c>
      <c r="AP31" s="41">
        <f>Contabilização!AO128-(SUM($D6:AP6)-SUM($D12:AP12)+SUM($D20:AP20)+SUM($D30:AP30)-SUM($D26:AP26))</f>
        <v>-5.7043507695198059E-9</v>
      </c>
      <c r="AQ31" s="41">
        <f>Contabilização!AP128-(SUM($D6:AQ6)-SUM($D12:AQ12)+SUM($D20:AQ20)+SUM($D30:AQ30)-SUM($D26:AQ26))</f>
        <v>-6.1700120568275452E-9</v>
      </c>
      <c r="AR31" s="41">
        <f>Contabilização!AQ128-(SUM($D6:AR6)-SUM($D12:AR12)+SUM($D20:AR20)+SUM($D30:AR30)-SUM($D26:AR26))</f>
        <v>-6.4028427004814148E-9</v>
      </c>
      <c r="AS31" s="41">
        <f>Contabilização!AR128-(SUM($D6:AS6)-SUM($D12:AS12)+SUM($D20:AS20)+SUM($D30:AS30)-SUM($D26:AS26))</f>
        <v>-6.4028427004814148E-9</v>
      </c>
      <c r="AT31" s="41">
        <f>Contabilização!AS128-(SUM($D6:AT6)-SUM($D12:AT12)+SUM($D20:AT20)+SUM($D30:AT30)-SUM($D26:AT26))</f>
        <v>-6.9849193096160889E-9</v>
      </c>
      <c r="AU31" s="41">
        <f>Contabilização!AT128-(SUM($D6:AU6)-SUM($D12:AU12)+SUM($D20:AU20)+SUM($D30:AU30)-SUM($D26:AU26))</f>
        <v>-6.7520886659622192E-9</v>
      </c>
      <c r="AV31" s="41">
        <f>Contabilização!AU128-(SUM($D6:AV6)-SUM($D12:AV12)+SUM($D20:AV20)+SUM($D30:AV30)-SUM($D26:AV26))</f>
        <v>-7.1013346314430237E-9</v>
      </c>
      <c r="AW31" s="41">
        <f>Contabilização!AV128-(SUM($D6:AW6)-SUM($D12:AW12)+SUM($D20:AW20)+SUM($D30:AW30)-SUM($D26:AW26))</f>
        <v>-7.4505805969238281E-9</v>
      </c>
      <c r="AX31" s="41">
        <f>Contabilização!AW128-(SUM($D6:AX6)-SUM($D12:AX12)+SUM($D20:AX20)+SUM($D30:AX30)-SUM($D26:AX26))</f>
        <v>-7.4505805969238281E-9</v>
      </c>
      <c r="AY31" s="41">
        <f>Contabilização!AX128-(SUM($D6:AY6)-SUM($D12:AY12)+SUM($D20:AY20)+SUM($D30:AY30)-SUM($D26:AY26))</f>
        <v>-8.0326572060585022E-9</v>
      </c>
      <c r="AZ31" s="41">
        <f>Contabilização!AY128-(SUM($D6:AZ6)-SUM($D12:AZ12)+SUM($D20:AZ20)+SUM($D30:AZ30)-SUM($D26:AZ26))</f>
        <v>-7.6834112405776978E-9</v>
      </c>
      <c r="BA31" s="41">
        <f>Contabilização!AZ128-(SUM($D6:BA6)-SUM($D12:BA12)+SUM($D20:BA20)+SUM($D30:BA30)-SUM($D26:BA26))</f>
        <v>-7.3341652750968933E-9</v>
      </c>
      <c r="BB31" s="41">
        <f>Contabilização!BA128-(SUM($D6:BB6)-SUM($D12:BB12)+SUM($D20:BB20)+SUM($D30:BB30)-SUM($D26:BB26))</f>
        <v>-7.3341652750968933E-9</v>
      </c>
      <c r="BC31" s="41">
        <f>Contabilização!BB128-(SUM($D6:BC6)-SUM($D12:BC12)+SUM($D20:BC20)+SUM($D30:BC30)-SUM($D26:BC26))</f>
        <v>-7.1013346314430237E-9</v>
      </c>
      <c r="BD31" s="41">
        <f>Contabilização!BC128-(SUM($D6:BD6)-SUM($D12:BD12)+SUM($D20:BD20)+SUM($D30:BD30)-SUM($D26:BD26))</f>
        <v>-6.8102963268756866E-9</v>
      </c>
      <c r="BE31" s="41">
        <f>Contabilização!BD128-(SUM($D6:BE6)-SUM($D12:BE12)+SUM($D20:BE20)+SUM($D30:BE30)-SUM($D26:BE26))</f>
        <v>-7.1013346314430237E-9</v>
      </c>
      <c r="BF31" s="41">
        <f>Contabilização!BE128-(SUM($D6:BF6)-SUM($D12:BF12)+SUM($D20:BF20)+SUM($D30:BF30)-SUM($D26:BF26))</f>
        <v>-6.8102963268756866E-9</v>
      </c>
      <c r="BG31" s="41">
        <f>Contabilização!BF128-(SUM($D6:BG6)-SUM($D12:BG12)+SUM($D20:BG20)+SUM($D30:BG30)-SUM($D26:BG26))</f>
        <v>-6.8685039877891541E-9</v>
      </c>
      <c r="BH31" s="41">
        <f>Contabilização!BG128-(SUM($D6:BH6)-SUM($D12:BH12)+SUM($D20:BH20)+SUM($D30:BH30)-SUM($D26:BH26))</f>
        <v>-6.4901541918516159E-9</v>
      </c>
      <c r="BI31" s="41">
        <f>Contabilização!BH128-(SUM($D6:BI6)-SUM($D12:BI12)+SUM($D20:BI20)+SUM($D30:BI30)-SUM($D26:BI26))</f>
        <v>-6.6065695136785507E-9</v>
      </c>
      <c r="BJ31" s="41">
        <f>Contabilização!BI128-(SUM($D6:BJ6)-SUM($D12:BJ12)+SUM($D20:BJ20)+SUM($D30:BJ30)-SUM($D26:BJ26))</f>
        <v>-6.2136678025126457E-9</v>
      </c>
      <c r="BK31" s="41">
        <f>Contabilização!BJ128-(SUM($D6:BK6)-SUM($D12:BK12)+SUM($D20:BK20)+SUM($D30:BK30)-SUM($D26:BK26))</f>
        <v>-6.0535967350006104E-9</v>
      </c>
    </row>
    <row r="32" spans="2:63" ht="15" customHeight="1" x14ac:dyDescent="0.25">
      <c r="D32" s="41">
        <f>Contabilização!C144+(-SUM($D27:D27)+SUM($D29:D29))</f>
        <v>-6.5192580223083496E-9</v>
      </c>
      <c r="E32" s="41">
        <f>Contabilização!D144+(-SUM($D27:E27)+SUM($D29:E29))</f>
        <v>0</v>
      </c>
      <c r="F32" s="41">
        <f>Contabilização!E144+(-SUM($D27:F27)+SUM($D29:F29))</f>
        <v>0</v>
      </c>
      <c r="G32" s="41">
        <f>Contabilização!F144+(-SUM($D27:G27)+SUM($D29:G29))</f>
        <v>0</v>
      </c>
      <c r="H32" s="41">
        <f>Contabilização!G144+(-SUM($D27:H27)+SUM($D29:H29))</f>
        <v>0</v>
      </c>
      <c r="I32" s="41">
        <f>Contabilização!H144+(-SUM($D27:I27)+SUM($D29:I29))</f>
        <v>0</v>
      </c>
      <c r="J32" s="41">
        <f>Contabilização!I144+(-SUM($D27:J27)+SUM($D29:J29))</f>
        <v>0</v>
      </c>
      <c r="K32" s="41">
        <f>Contabilização!J144+(-SUM($D27:K27)+SUM($D29:K29))</f>
        <v>0</v>
      </c>
      <c r="L32" s="41">
        <f>Contabilização!K144+(-SUM($D27:L27)+SUM($D29:L29))</f>
        <v>0</v>
      </c>
      <c r="M32" s="41">
        <f>Contabilização!L144+(-SUM($D27:M27)+SUM($D29:M29))</f>
        <v>0</v>
      </c>
      <c r="N32" s="41">
        <f>Contabilização!M144+(-SUM($D27:N27)+SUM($D29:N29))</f>
        <v>0</v>
      </c>
      <c r="O32" s="41">
        <f>Contabilização!N144+(-SUM($D27:O27)+SUM($D29:O29))</f>
        <v>0</v>
      </c>
      <c r="P32" s="41">
        <f>Contabilização!O144+(-SUM($D27:P27)+SUM($D29:P29))</f>
        <v>0</v>
      </c>
      <c r="Q32" s="41">
        <f>Contabilização!P144+(-SUM($D27:Q27)+SUM($D29:Q29))</f>
        <v>0</v>
      </c>
      <c r="R32" s="41">
        <f>Contabilização!Q144+(-SUM($D27:R27)+SUM($D29:R29))</f>
        <v>0</v>
      </c>
      <c r="S32" s="41">
        <f>Contabilização!R144+(-SUM($D27:S27)+SUM($D29:S29))</f>
        <v>0</v>
      </c>
      <c r="T32" s="41">
        <f>Contabilização!S144+(-SUM($D27:T27)+SUM($D29:T29))</f>
        <v>0</v>
      </c>
      <c r="U32" s="41">
        <f>Contabilização!T144+(-SUM($D27:U27)+SUM($D29:U29))</f>
        <v>0</v>
      </c>
      <c r="V32" s="41">
        <f>Contabilização!U144+(-SUM($D27:V27)+SUM($D29:V29))</f>
        <v>0</v>
      </c>
      <c r="W32" s="41">
        <f>Contabilização!V144+(-SUM($D27:W27)+SUM($D29:W29))</f>
        <v>0</v>
      </c>
      <c r="X32" s="41">
        <f>Contabilização!W144+(-SUM($D27:X27)+SUM($D29:X29))</f>
        <v>0</v>
      </c>
      <c r="Y32" s="41">
        <f>Contabilização!X144+(-SUM($D27:Y27)+SUM($D29:Y29))</f>
        <v>0</v>
      </c>
      <c r="Z32" s="41">
        <f>Contabilização!Y144+(-SUM($D27:Z27)+SUM($D29:Z29))</f>
        <v>0</v>
      </c>
      <c r="AA32" s="41">
        <f>Contabilização!Z144+(-SUM($D27:AA27)+SUM($D29:AA29))</f>
        <v>0</v>
      </c>
      <c r="AB32" s="41">
        <f>Contabilização!AA144+(-SUM($D27:AB27)+SUM($D29:AB29))</f>
        <v>0</v>
      </c>
      <c r="AC32" s="41">
        <f>Contabilização!AB144+(-SUM($D27:AC27)+SUM($D29:AC29))</f>
        <v>0</v>
      </c>
      <c r="AD32" s="41">
        <f>Contabilização!AC144+(-SUM($D27:AD27)+SUM($D29:AD29))</f>
        <v>0</v>
      </c>
      <c r="AE32" s="41">
        <f>Contabilização!AD144+(-SUM($D27:AE27)+SUM($D29:AE29))</f>
        <v>0</v>
      </c>
      <c r="AF32" s="41">
        <f>Contabilização!AE144+(-SUM($D27:AF27)+SUM($D29:AF29))</f>
        <v>0</v>
      </c>
      <c r="AG32" s="41">
        <f>Contabilização!AF144+(-SUM($D27:AG27)+SUM($D29:AG29))</f>
        <v>0</v>
      </c>
      <c r="AH32" s="41">
        <f>Contabilização!AG144+(-SUM($D27:AH27)+SUM($D29:AH29))</f>
        <v>0</v>
      </c>
      <c r="AI32" s="41">
        <f>Contabilização!AH144+(-SUM($D27:AI27)+SUM($D29:AI29))</f>
        <v>0</v>
      </c>
      <c r="AJ32" s="41">
        <f>Contabilização!AI144+(-SUM($D27:AJ27)+SUM($D29:AJ29))</f>
        <v>0</v>
      </c>
      <c r="AK32" s="41">
        <f>Contabilização!AJ144+(-SUM($D27:AK27)+SUM($D29:AK29))</f>
        <v>0</v>
      </c>
      <c r="AL32" s="41">
        <f>Contabilização!AK144+(-SUM($D27:AL27)+SUM($D29:AL29))</f>
        <v>0</v>
      </c>
      <c r="AM32" s="41">
        <f>Contabilização!AL144+(-SUM($D27:AM27)+SUM($D29:AM29))</f>
        <v>0</v>
      </c>
      <c r="AN32" s="41">
        <f>Contabilização!AM144+(-SUM($D27:AN27)+SUM($D29:AN29))</f>
        <v>0</v>
      </c>
      <c r="AO32" s="41">
        <f>Contabilização!AN144+(-SUM($D27:AO27)+SUM($D29:AO29))</f>
        <v>0</v>
      </c>
      <c r="AP32" s="41">
        <f>Contabilização!AO144+(-SUM($D27:AP27)+SUM($D29:AP29))</f>
        <v>0</v>
      </c>
      <c r="AQ32" s="41">
        <f>Contabilização!AP144+(-SUM($D27:AQ27)+SUM($D29:AQ29))</f>
        <v>0</v>
      </c>
      <c r="AR32" s="41">
        <f>Contabilização!AQ144+(-SUM($D27:AR27)+SUM($D29:AR29))</f>
        <v>0</v>
      </c>
      <c r="AS32" s="41">
        <f>Contabilização!AR144+(-SUM($D27:AS27)+SUM($D29:AS29))</f>
        <v>0</v>
      </c>
      <c r="AT32" s="41">
        <f>Contabilização!AS144+(-SUM($D27:AT27)+SUM($D29:AT29))</f>
        <v>0</v>
      </c>
      <c r="AU32" s="41">
        <f>Contabilização!AT144+(-SUM($D27:AU27)+SUM($D29:AU29))</f>
        <v>0</v>
      </c>
      <c r="AV32" s="41">
        <f>Contabilização!AU144+(-SUM($D27:AV27)+SUM($D29:AV29))</f>
        <v>0</v>
      </c>
      <c r="AW32" s="41">
        <f>Contabilização!AV144+(-SUM($D27:AW27)+SUM($D29:AW29))</f>
        <v>0</v>
      </c>
      <c r="AX32" s="41">
        <f>Contabilização!AW144+(-SUM($D27:AX27)+SUM($D29:AX29))</f>
        <v>-1.6007106751203537E-10</v>
      </c>
      <c r="AY32" s="41">
        <f>Contabilização!AX144+(-SUM($D27:AY27)+SUM($D29:AY29))</f>
        <v>0</v>
      </c>
      <c r="AZ32" s="41">
        <f>Contabilização!AY144+(-SUM($D27:AZ27)+SUM($D29:AZ29))</f>
        <v>0</v>
      </c>
      <c r="BA32" s="41">
        <f>Contabilização!AZ144+(-SUM($D27:BA27)+SUM($D29:BA29))</f>
        <v>0</v>
      </c>
      <c r="BB32" s="41">
        <f>Contabilização!BA144+(-SUM($D27:BB27)+SUM($D29:BB29))</f>
        <v>0</v>
      </c>
      <c r="BC32" s="41">
        <f>Contabilização!BB144+(-SUM($D27:BC27)+SUM($D29:BC29))</f>
        <v>0</v>
      </c>
      <c r="BD32" s="41">
        <f>Contabilização!BC144+(-SUM($D27:BD27)+SUM($D29:BD29))</f>
        <v>0</v>
      </c>
      <c r="BE32" s="41">
        <f>Contabilização!BD144+(-SUM($D27:BE27)+SUM($D29:BE29))</f>
        <v>0</v>
      </c>
      <c r="BF32" s="41">
        <f>Contabilização!BE144+(-SUM($D27:BF27)+SUM($D29:BF29))</f>
        <v>0</v>
      </c>
      <c r="BG32" s="41">
        <f>Contabilização!BF144+(-SUM($D27:BG27)+SUM($D29:BG29))</f>
        <v>0</v>
      </c>
      <c r="BH32" s="41">
        <f>Contabilização!BG144+(-SUM($D27:BH27)+SUM($D29:BH29))</f>
        <v>0</v>
      </c>
      <c r="BI32" s="41">
        <f>Contabilização!BH144+(-SUM($D27:BI27)+SUM($D29:BI29))</f>
        <v>0</v>
      </c>
      <c r="BJ32" s="41">
        <f>Contabilização!BI144+(-SUM($D27:BJ27)+SUM($D29:BJ29))</f>
        <v>0</v>
      </c>
      <c r="BK32" s="41">
        <f>Contabilização!BJ144+(-SUM($D27:BK27)+SUM($D29:BK29))</f>
        <v>0</v>
      </c>
    </row>
    <row r="34" spans="2:63" ht="14.25" customHeight="1" x14ac:dyDescent="0.25">
      <c r="C34" s="36" t="s">
        <v>86</v>
      </c>
    </row>
    <row r="35" spans="2:63" ht="6" customHeight="1" x14ac:dyDescent="0.25"/>
    <row r="36" spans="2:63" ht="33" customHeight="1" x14ac:dyDescent="0.25">
      <c r="C36" s="38" t="s">
        <v>78</v>
      </c>
      <c r="D36" s="16">
        <v>43466</v>
      </c>
      <c r="E36" s="16">
        <v>43497</v>
      </c>
      <c r="F36" s="16">
        <v>43525</v>
      </c>
      <c r="G36" s="16">
        <v>43556</v>
      </c>
      <c r="H36" s="16">
        <v>43586</v>
      </c>
      <c r="I36" s="16">
        <v>43617</v>
      </c>
      <c r="J36" s="16">
        <v>43647</v>
      </c>
      <c r="K36" s="16">
        <v>43678</v>
      </c>
      <c r="L36" s="16">
        <v>43709</v>
      </c>
      <c r="M36" s="16">
        <v>43739</v>
      </c>
      <c r="N36" s="16">
        <v>43770</v>
      </c>
      <c r="O36" s="16">
        <v>43800</v>
      </c>
      <c r="P36" s="16">
        <v>43831</v>
      </c>
      <c r="Q36" s="16">
        <v>43862</v>
      </c>
      <c r="R36" s="16">
        <v>43891</v>
      </c>
      <c r="S36" s="16">
        <v>43922</v>
      </c>
      <c r="T36" s="16">
        <v>43952</v>
      </c>
      <c r="U36" s="16">
        <v>43983</v>
      </c>
      <c r="V36" s="16">
        <v>44013</v>
      </c>
      <c r="W36" s="16">
        <v>44044</v>
      </c>
      <c r="X36" s="16">
        <v>44075</v>
      </c>
      <c r="Y36" s="16">
        <v>44105</v>
      </c>
      <c r="Z36" s="16">
        <v>44136</v>
      </c>
      <c r="AA36" s="16">
        <v>44166</v>
      </c>
      <c r="AB36" s="16">
        <v>44197</v>
      </c>
      <c r="AC36" s="16">
        <v>44228</v>
      </c>
      <c r="AD36" s="16">
        <v>44256</v>
      </c>
      <c r="AE36" s="16">
        <v>44287</v>
      </c>
      <c r="AF36" s="16">
        <v>44317</v>
      </c>
      <c r="AG36" s="16">
        <v>44348</v>
      </c>
      <c r="AH36" s="16">
        <v>44378</v>
      </c>
      <c r="AI36" s="16">
        <v>44409</v>
      </c>
      <c r="AJ36" s="16">
        <v>44440</v>
      </c>
      <c r="AK36" s="16">
        <v>44470</v>
      </c>
      <c r="AL36" s="16">
        <v>44501</v>
      </c>
      <c r="AM36" s="16">
        <v>44531</v>
      </c>
      <c r="AN36" s="16">
        <v>44562</v>
      </c>
      <c r="AO36" s="16">
        <v>44593</v>
      </c>
      <c r="AP36" s="16">
        <v>44621</v>
      </c>
      <c r="AQ36" s="16">
        <v>44652</v>
      </c>
      <c r="AR36" s="16">
        <v>44682</v>
      </c>
      <c r="AS36" s="16">
        <v>44713</v>
      </c>
      <c r="AT36" s="16">
        <v>44743</v>
      </c>
      <c r="AU36" s="16">
        <v>44774</v>
      </c>
      <c r="AV36" s="16">
        <v>44805</v>
      </c>
      <c r="AW36" s="16">
        <v>44835</v>
      </c>
      <c r="AX36" s="16">
        <v>44866</v>
      </c>
      <c r="AY36" s="16">
        <v>44896</v>
      </c>
      <c r="AZ36" s="16">
        <v>44927</v>
      </c>
      <c r="BA36" s="16">
        <v>44958</v>
      </c>
      <c r="BB36" s="16">
        <v>44986</v>
      </c>
      <c r="BC36" s="16">
        <v>45017</v>
      </c>
      <c r="BD36" s="16">
        <v>45047</v>
      </c>
      <c r="BE36" s="16">
        <v>45078</v>
      </c>
      <c r="BF36" s="16">
        <v>45108</v>
      </c>
      <c r="BG36" s="16">
        <v>45139</v>
      </c>
      <c r="BH36" s="16">
        <v>45170</v>
      </c>
      <c r="BI36" s="16">
        <v>45200</v>
      </c>
      <c r="BJ36" s="16">
        <v>45231</v>
      </c>
      <c r="BK36" s="16">
        <v>45261</v>
      </c>
    </row>
    <row r="37" spans="2:63" ht="15" customHeight="1" x14ac:dyDescent="0.25">
      <c r="B37" s="42" t="s">
        <v>87</v>
      </c>
      <c r="C37" s="39" t="s">
        <v>91</v>
      </c>
      <c r="D37" s="9">
        <f>Contabilização!C48</f>
        <v>48635.846753597718</v>
      </c>
      <c r="E37" s="9">
        <f>Contabilização!D48</f>
        <v>48635.846753597718</v>
      </c>
      <c r="F37" s="9">
        <f>Contabilização!E48</f>
        <v>48635.846753597718</v>
      </c>
      <c r="G37" s="9">
        <f>Contabilização!F48</f>
        <v>48635.846753597718</v>
      </c>
      <c r="H37" s="9">
        <f>Contabilização!G48</f>
        <v>48635.846753597718</v>
      </c>
      <c r="I37" s="9">
        <f>Contabilização!H48</f>
        <v>48635.846753597718</v>
      </c>
      <c r="J37" s="9">
        <f>Contabilização!I48</f>
        <v>48635.846753597718</v>
      </c>
      <c r="K37" s="9">
        <f>Contabilização!J48</f>
        <v>48635.846753597718</v>
      </c>
      <c r="L37" s="9">
        <f>Contabilização!K48</f>
        <v>48635.846753597718</v>
      </c>
      <c r="M37" s="9">
        <f>Contabilização!L48</f>
        <v>48635.846753597718</v>
      </c>
      <c r="N37" s="9">
        <f>Contabilização!M48</f>
        <v>48635.846753597718</v>
      </c>
      <c r="O37" s="9">
        <f>Contabilização!N48</f>
        <v>48635.846753597718</v>
      </c>
      <c r="P37" s="9">
        <f>Contabilização!O48</f>
        <v>48635.846753597718</v>
      </c>
      <c r="Q37" s="9">
        <f>Contabilização!P48</f>
        <v>48635.846753597718</v>
      </c>
      <c r="R37" s="9">
        <f>Contabilização!Q48</f>
        <v>48635.846753597718</v>
      </c>
      <c r="S37" s="9">
        <f>Contabilização!R48</f>
        <v>48635.846753597718</v>
      </c>
      <c r="T37" s="9">
        <f>Contabilização!S48</f>
        <v>48635.846753597718</v>
      </c>
      <c r="U37" s="9">
        <f>Contabilização!T48</f>
        <v>48635.846753597718</v>
      </c>
      <c r="V37" s="9">
        <f>Contabilização!U48</f>
        <v>48635.846753597718</v>
      </c>
      <c r="W37" s="9">
        <f>Contabilização!V48</f>
        <v>48635.846753597718</v>
      </c>
      <c r="X37" s="9">
        <f>Contabilização!W48</f>
        <v>48635.846753597718</v>
      </c>
      <c r="Y37" s="9">
        <f>Contabilização!X48</f>
        <v>48635.846753597718</v>
      </c>
      <c r="Z37" s="9">
        <f>Contabilização!Y48</f>
        <v>48635.846753597718</v>
      </c>
      <c r="AA37" s="9">
        <f>Contabilização!Z48</f>
        <v>48635.846753597718</v>
      </c>
      <c r="AB37" s="9">
        <f>Contabilização!AA48</f>
        <v>48635.846753597718</v>
      </c>
      <c r="AC37" s="9">
        <f>Contabilização!AB48</f>
        <v>48635.846753597718</v>
      </c>
      <c r="AD37" s="9">
        <f>Contabilização!AC48</f>
        <v>48635.846753597718</v>
      </c>
      <c r="AE37" s="9">
        <f>Contabilização!AD48</f>
        <v>48635.846753597718</v>
      </c>
      <c r="AF37" s="9">
        <f>Contabilização!AE48</f>
        <v>48635.846753597718</v>
      </c>
      <c r="AG37" s="9">
        <f>Contabilização!AF48</f>
        <v>48635.846753597718</v>
      </c>
      <c r="AH37" s="9">
        <f>Contabilização!AG48</f>
        <v>48635.846753597718</v>
      </c>
      <c r="AI37" s="9">
        <f>Contabilização!AH48</f>
        <v>48635.846753597718</v>
      </c>
      <c r="AJ37" s="9">
        <f>Contabilização!AI48</f>
        <v>48635.846753597718</v>
      </c>
      <c r="AK37" s="9">
        <f>Contabilização!AJ48</f>
        <v>48635.846753597718</v>
      </c>
      <c r="AL37" s="9">
        <f>Contabilização!AK48</f>
        <v>48635.846753597718</v>
      </c>
      <c r="AM37" s="9">
        <f>Contabilização!AL48</f>
        <v>48635.846753597718</v>
      </c>
      <c r="AN37" s="9">
        <f>Contabilização!AM48</f>
        <v>48635.846753597718</v>
      </c>
      <c r="AO37" s="9">
        <f>Contabilização!AN48</f>
        <v>48635.846753597718</v>
      </c>
      <c r="AP37" s="9">
        <f>Contabilização!AO48</f>
        <v>48635.846753597718</v>
      </c>
      <c r="AQ37" s="9">
        <f>Contabilização!AP48</f>
        <v>48635.846753597718</v>
      </c>
      <c r="AR37" s="9">
        <f>Contabilização!AQ48</f>
        <v>48635.846753597718</v>
      </c>
      <c r="AS37" s="9">
        <f>Contabilização!AR48</f>
        <v>48635.846753597718</v>
      </c>
      <c r="AT37" s="9">
        <f>Contabilização!AS48</f>
        <v>48635.846753597718</v>
      </c>
      <c r="AU37" s="9">
        <f>Contabilização!AT48</f>
        <v>48635.846753597718</v>
      </c>
      <c r="AV37" s="9">
        <f>Contabilização!AU48</f>
        <v>48635.846753597718</v>
      </c>
      <c r="AW37" s="9">
        <f>Contabilização!AV48</f>
        <v>48635.846753597718</v>
      </c>
      <c r="AX37" s="9">
        <f>Contabilização!AW48</f>
        <v>48635.846753597718</v>
      </c>
      <c r="AY37" s="9">
        <f>Contabilização!AX48</f>
        <v>48635.846753597718</v>
      </c>
      <c r="AZ37" s="9">
        <f>Contabilização!AY48</f>
        <v>48635.846753597718</v>
      </c>
      <c r="BA37" s="9">
        <f>Contabilização!AZ48</f>
        <v>48635.846753597718</v>
      </c>
      <c r="BB37" s="9">
        <f>Contabilização!BA48</f>
        <v>48635.846753597718</v>
      </c>
      <c r="BC37" s="9">
        <f>Contabilização!BB48</f>
        <v>48635.846753597718</v>
      </c>
      <c r="BD37" s="9">
        <f>Contabilização!BC48</f>
        <v>48635.846753597718</v>
      </c>
      <c r="BE37" s="9">
        <f>Contabilização!BD48</f>
        <v>48635.846753597718</v>
      </c>
      <c r="BF37" s="9">
        <f>Contabilização!BE48</f>
        <v>48635.846753597718</v>
      </c>
      <c r="BG37" s="9">
        <f>Contabilização!BF48</f>
        <v>48635.846753597718</v>
      </c>
      <c r="BH37" s="9">
        <f>Contabilização!BG48</f>
        <v>48635.846753597718</v>
      </c>
      <c r="BI37" s="9">
        <f>Contabilização!BH48</f>
        <v>48635.846753597718</v>
      </c>
      <c r="BJ37" s="9">
        <f>Contabilização!BI48</f>
        <v>48635.846753597718</v>
      </c>
      <c r="BK37" s="9">
        <f>Contabilização!BJ48</f>
        <v>48635.846753597718</v>
      </c>
    </row>
    <row r="38" spans="2:63" ht="15" customHeight="1" x14ac:dyDescent="0.25">
      <c r="B38" s="42" t="s">
        <v>88</v>
      </c>
      <c r="C38" s="39" t="s">
        <v>90</v>
      </c>
      <c r="D38" s="9">
        <f>D37</f>
        <v>48635.846753597718</v>
      </c>
      <c r="E38" s="9">
        <f t="shared" ref="E38:BK38" si="5">E37</f>
        <v>48635.846753597718</v>
      </c>
      <c r="F38" s="9">
        <f t="shared" si="5"/>
        <v>48635.846753597718</v>
      </c>
      <c r="G38" s="9">
        <f t="shared" si="5"/>
        <v>48635.846753597718</v>
      </c>
      <c r="H38" s="9">
        <f t="shared" si="5"/>
        <v>48635.846753597718</v>
      </c>
      <c r="I38" s="9">
        <f t="shared" si="5"/>
        <v>48635.846753597718</v>
      </c>
      <c r="J38" s="9">
        <f t="shared" si="5"/>
        <v>48635.846753597718</v>
      </c>
      <c r="K38" s="9">
        <f t="shared" si="5"/>
        <v>48635.846753597718</v>
      </c>
      <c r="L38" s="9">
        <f t="shared" si="5"/>
        <v>48635.846753597718</v>
      </c>
      <c r="M38" s="9">
        <f t="shared" si="5"/>
        <v>48635.846753597718</v>
      </c>
      <c r="N38" s="9">
        <f t="shared" si="5"/>
        <v>48635.846753597718</v>
      </c>
      <c r="O38" s="9">
        <f t="shared" si="5"/>
        <v>48635.846753597718</v>
      </c>
      <c r="P38" s="9">
        <f t="shared" si="5"/>
        <v>48635.846753597718</v>
      </c>
      <c r="Q38" s="9">
        <f t="shared" si="5"/>
        <v>48635.846753597718</v>
      </c>
      <c r="R38" s="9">
        <f t="shared" si="5"/>
        <v>48635.846753597718</v>
      </c>
      <c r="S38" s="9">
        <f t="shared" si="5"/>
        <v>48635.846753597718</v>
      </c>
      <c r="T38" s="9">
        <f t="shared" si="5"/>
        <v>48635.846753597718</v>
      </c>
      <c r="U38" s="9">
        <f t="shared" si="5"/>
        <v>48635.846753597718</v>
      </c>
      <c r="V38" s="9">
        <f t="shared" si="5"/>
        <v>48635.846753597718</v>
      </c>
      <c r="W38" s="9">
        <f t="shared" si="5"/>
        <v>48635.846753597718</v>
      </c>
      <c r="X38" s="9">
        <f t="shared" si="5"/>
        <v>48635.846753597718</v>
      </c>
      <c r="Y38" s="9">
        <f t="shared" si="5"/>
        <v>48635.846753597718</v>
      </c>
      <c r="Z38" s="9">
        <f t="shared" si="5"/>
        <v>48635.846753597718</v>
      </c>
      <c r="AA38" s="9">
        <f t="shared" si="5"/>
        <v>48635.846753597718</v>
      </c>
      <c r="AB38" s="9">
        <f t="shared" si="5"/>
        <v>48635.846753597718</v>
      </c>
      <c r="AC38" s="9">
        <f t="shared" si="5"/>
        <v>48635.846753597718</v>
      </c>
      <c r="AD38" s="9">
        <f t="shared" si="5"/>
        <v>48635.846753597718</v>
      </c>
      <c r="AE38" s="9">
        <f t="shared" si="5"/>
        <v>48635.846753597718</v>
      </c>
      <c r="AF38" s="9">
        <f t="shared" si="5"/>
        <v>48635.846753597718</v>
      </c>
      <c r="AG38" s="9">
        <f t="shared" si="5"/>
        <v>48635.846753597718</v>
      </c>
      <c r="AH38" s="9">
        <f t="shared" si="5"/>
        <v>48635.846753597718</v>
      </c>
      <c r="AI38" s="9">
        <f t="shared" si="5"/>
        <v>48635.846753597718</v>
      </c>
      <c r="AJ38" s="9">
        <f t="shared" si="5"/>
        <v>48635.846753597718</v>
      </c>
      <c r="AK38" s="9">
        <f t="shared" si="5"/>
        <v>48635.846753597718</v>
      </c>
      <c r="AL38" s="9">
        <f t="shared" si="5"/>
        <v>48635.846753597718</v>
      </c>
      <c r="AM38" s="9">
        <f t="shared" si="5"/>
        <v>48635.846753597718</v>
      </c>
      <c r="AN38" s="9">
        <f t="shared" si="5"/>
        <v>48635.846753597718</v>
      </c>
      <c r="AO38" s="9">
        <f t="shared" si="5"/>
        <v>48635.846753597718</v>
      </c>
      <c r="AP38" s="9">
        <f t="shared" si="5"/>
        <v>48635.846753597718</v>
      </c>
      <c r="AQ38" s="9">
        <f t="shared" si="5"/>
        <v>48635.846753597718</v>
      </c>
      <c r="AR38" s="9">
        <f t="shared" si="5"/>
        <v>48635.846753597718</v>
      </c>
      <c r="AS38" s="9">
        <f t="shared" si="5"/>
        <v>48635.846753597718</v>
      </c>
      <c r="AT38" s="9">
        <f t="shared" si="5"/>
        <v>48635.846753597718</v>
      </c>
      <c r="AU38" s="9">
        <f t="shared" si="5"/>
        <v>48635.846753597718</v>
      </c>
      <c r="AV38" s="9">
        <f t="shared" si="5"/>
        <v>48635.846753597718</v>
      </c>
      <c r="AW38" s="9">
        <f t="shared" si="5"/>
        <v>48635.846753597718</v>
      </c>
      <c r="AX38" s="9">
        <f t="shared" si="5"/>
        <v>48635.846753597718</v>
      </c>
      <c r="AY38" s="9">
        <f t="shared" si="5"/>
        <v>48635.846753597718</v>
      </c>
      <c r="AZ38" s="9">
        <f t="shared" si="5"/>
        <v>48635.846753597718</v>
      </c>
      <c r="BA38" s="9">
        <f t="shared" si="5"/>
        <v>48635.846753597718</v>
      </c>
      <c r="BB38" s="9">
        <f t="shared" si="5"/>
        <v>48635.846753597718</v>
      </c>
      <c r="BC38" s="9">
        <f t="shared" si="5"/>
        <v>48635.846753597718</v>
      </c>
      <c r="BD38" s="9">
        <f t="shared" si="5"/>
        <v>48635.846753597718</v>
      </c>
      <c r="BE38" s="9">
        <f t="shared" si="5"/>
        <v>48635.846753597718</v>
      </c>
      <c r="BF38" s="9">
        <f t="shared" si="5"/>
        <v>48635.846753597718</v>
      </c>
      <c r="BG38" s="9">
        <f t="shared" si="5"/>
        <v>48635.846753597718</v>
      </c>
      <c r="BH38" s="9">
        <f t="shared" si="5"/>
        <v>48635.846753597718</v>
      </c>
      <c r="BI38" s="9">
        <f t="shared" si="5"/>
        <v>48635.846753597718</v>
      </c>
      <c r="BJ38" s="9">
        <f t="shared" si="5"/>
        <v>48635.846753597718</v>
      </c>
      <c r="BK38" s="9">
        <f t="shared" si="5"/>
        <v>48635.846753597718</v>
      </c>
    </row>
    <row r="39" spans="2:63" ht="15.75" customHeight="1" x14ac:dyDescent="0.25">
      <c r="D39" s="41">
        <f>Contabilização!C112-(SUM($D5:D5)-SUM($D38:D38))</f>
        <v>0</v>
      </c>
      <c r="E39" s="41">
        <f>Contabilização!D112-(SUM($D5:E5)-SUM($D38:E38))</f>
        <v>0</v>
      </c>
      <c r="F39" s="41">
        <f>Contabilização!E112-(SUM($D5:F5)-SUM($D38:F38))</f>
        <v>0</v>
      </c>
      <c r="G39" s="41">
        <f>Contabilização!F112-(SUM($D5:G5)-SUM($D38:G38))</f>
        <v>0</v>
      </c>
      <c r="H39" s="41">
        <f>Contabilização!G112-(SUM($D5:H5)-SUM($D38:H38))</f>
        <v>0</v>
      </c>
      <c r="I39" s="41">
        <f>Contabilização!H112-(SUM($D5:I5)-SUM($D38:I38))</f>
        <v>0</v>
      </c>
      <c r="J39" s="41">
        <f>Contabilização!I112-(SUM($D5:J5)-SUM($D38:J38))</f>
        <v>0</v>
      </c>
      <c r="K39" s="41">
        <f>Contabilização!J112-(SUM($D5:K5)-SUM($D38:K38))</f>
        <v>0</v>
      </c>
      <c r="L39" s="41">
        <f>Contabilização!K112-(SUM($D5:L5)-SUM($D38:L38))</f>
        <v>0</v>
      </c>
      <c r="M39" s="41">
        <f>Contabilização!L112-(SUM($D5:M5)-SUM($D38:M38))</f>
        <v>0</v>
      </c>
      <c r="N39" s="41">
        <f>Contabilização!M112-(SUM($D5:N5)-SUM($D38:N38))</f>
        <v>0</v>
      </c>
      <c r="O39" s="41">
        <f>Contabilização!N112-(SUM($D5:O5)-SUM($D38:O38))</f>
        <v>0</v>
      </c>
      <c r="P39" s="41">
        <f>Contabilização!O112-(SUM($D5:P5)-SUM($D38:P38))</f>
        <v>0</v>
      </c>
      <c r="Q39" s="41">
        <f>Contabilização!P112-(SUM($D5:Q5)-SUM($D38:Q38))</f>
        <v>0</v>
      </c>
      <c r="R39" s="41">
        <f>Contabilização!Q112-(SUM($D5:R5)-SUM($D38:R38))</f>
        <v>0</v>
      </c>
      <c r="S39" s="41">
        <f>Contabilização!R112-(SUM($D5:S5)-SUM($D38:S38))</f>
        <v>0</v>
      </c>
      <c r="T39" s="41">
        <f>Contabilização!S112-(SUM($D5:T5)-SUM($D38:T38))</f>
        <v>0</v>
      </c>
      <c r="U39" s="41">
        <f>Contabilização!T112-(SUM($D5:U5)-SUM($D38:U38))</f>
        <v>0</v>
      </c>
      <c r="V39" s="41">
        <f>Contabilização!U112-(SUM($D5:V5)-SUM($D38:V38))</f>
        <v>0</v>
      </c>
      <c r="W39" s="41">
        <f>Contabilização!V112-(SUM($D5:W5)-SUM($D38:W38))</f>
        <v>0</v>
      </c>
      <c r="X39" s="41">
        <f>Contabilização!W112-(SUM($D5:X5)-SUM($D38:X38))</f>
        <v>0</v>
      </c>
      <c r="Y39" s="41">
        <f>Contabilização!X112-(SUM($D5:Y5)-SUM($D38:Y38))</f>
        <v>0</v>
      </c>
      <c r="Z39" s="41">
        <f>Contabilização!Y112-(SUM($D5:Z5)-SUM($D38:Z38))</f>
        <v>0</v>
      </c>
      <c r="AA39" s="41">
        <f>Contabilização!Z112-(SUM($D5:AA5)-SUM($D38:AA38))</f>
        <v>0</v>
      </c>
      <c r="AB39" s="41">
        <f>Contabilização!AA112-(SUM($D5:AB5)-SUM($D38:AB38))</f>
        <v>0</v>
      </c>
      <c r="AC39" s="41">
        <f>Contabilização!AB112-(SUM($D5:AC5)-SUM($D38:AC38))</f>
        <v>0</v>
      </c>
      <c r="AD39" s="41">
        <f>Contabilização!AC112-(SUM($D5:AD5)-SUM($D38:AD38))</f>
        <v>0</v>
      </c>
      <c r="AE39" s="41">
        <f>Contabilização!AD112-(SUM($D5:AE5)-SUM($D38:AE38))</f>
        <v>0</v>
      </c>
      <c r="AF39" s="41">
        <f>Contabilização!AE112-(SUM($D5:AF5)-SUM($D38:AF38))</f>
        <v>0</v>
      </c>
      <c r="AG39" s="41">
        <f>Contabilização!AF112-(SUM($D5:AG5)-SUM($D38:AG38))</f>
        <v>0</v>
      </c>
      <c r="AH39" s="41">
        <f>Contabilização!AG112-(SUM($D5:AH5)-SUM($D38:AH38))</f>
        <v>0</v>
      </c>
      <c r="AI39" s="41">
        <f>Contabilização!AH112-(SUM($D5:AI5)-SUM($D38:AI38))</f>
        <v>0</v>
      </c>
      <c r="AJ39" s="41">
        <f>Contabilização!AI112-(SUM($D5:AJ5)-SUM($D38:AJ38))</f>
        <v>0</v>
      </c>
      <c r="AK39" s="41">
        <f>Contabilização!AJ112-(SUM($D5:AK5)-SUM($D38:AK38))</f>
        <v>0</v>
      </c>
      <c r="AL39" s="41">
        <f>Contabilização!AK112-(SUM($D5:AL5)-SUM($D38:AL38))</f>
        <v>0</v>
      </c>
      <c r="AM39" s="41">
        <f>Contabilização!AL112-(SUM($D5:AM5)-SUM($D38:AM38))</f>
        <v>0</v>
      </c>
      <c r="AN39" s="41">
        <f>Contabilização!AM112-(SUM($D5:AN5)-SUM($D38:AN38))</f>
        <v>0</v>
      </c>
      <c r="AO39" s="41">
        <f>Contabilização!AN112-(SUM($D5:AO5)-SUM($D38:AO38))</f>
        <v>0</v>
      </c>
      <c r="AP39" s="41">
        <f>Contabilização!AO112-(SUM($D5:AP5)-SUM($D38:AP38))</f>
        <v>0</v>
      </c>
      <c r="AQ39" s="41">
        <f>Contabilização!AP112-(SUM($D5:AQ5)-SUM($D38:AQ38))</f>
        <v>0</v>
      </c>
      <c r="AR39" s="41">
        <f>Contabilização!AQ112-(SUM($D5:AR5)-SUM($D38:AR38))</f>
        <v>0</v>
      </c>
      <c r="AS39" s="41">
        <f>Contabilização!AR112-(SUM($D5:AS5)-SUM($D38:AS38))</f>
        <v>0</v>
      </c>
      <c r="AT39" s="41">
        <f>Contabilização!AS112-(SUM($D5:AT5)-SUM($D38:AT38))</f>
        <v>0</v>
      </c>
      <c r="AU39" s="41">
        <f>Contabilização!AT112-(SUM($D5:AU5)-SUM($D38:AU38))</f>
        <v>0</v>
      </c>
      <c r="AV39" s="41">
        <f>Contabilização!AU112-(SUM($D5:AV5)-SUM($D38:AV38))</f>
        <v>0</v>
      </c>
      <c r="AW39" s="41">
        <f>Contabilização!AV112-(SUM($D5:AW5)-SUM($D38:AW38))</f>
        <v>0</v>
      </c>
      <c r="AX39" s="41">
        <f>Contabilização!AW112-(SUM($D5:AX5)-SUM($D38:AX38))</f>
        <v>0</v>
      </c>
      <c r="AY39" s="41">
        <f>Contabilização!AX112-(SUM($D5:AY5)-SUM($D38:AY38))</f>
        <v>9.3132257461547852E-10</v>
      </c>
      <c r="AZ39" s="41">
        <f>Contabilização!AY112-(SUM($D5:AZ5)-SUM($D38:AZ38))</f>
        <v>1.0477378964424133E-9</v>
      </c>
      <c r="BA39" s="41">
        <f>Contabilização!AZ112-(SUM($D5:BA5)-SUM($D38:BA38))</f>
        <v>1.1641532182693481E-9</v>
      </c>
      <c r="BB39" s="41">
        <f>Contabilização!BA112-(SUM($D5:BB5)-SUM($D38:BB38))</f>
        <v>1.280568540096283E-9</v>
      </c>
      <c r="BC39" s="41">
        <f>Contabilização!BB112-(SUM($D5:BC5)-SUM($D38:BC38))</f>
        <v>1.3969838619232178E-9</v>
      </c>
      <c r="BD39" s="41">
        <f>Contabilização!BC112-(SUM($D5:BD5)-SUM($D38:BD38))</f>
        <v>1.57160684466362E-9</v>
      </c>
      <c r="BE39" s="41">
        <f>Contabilização!BD112-(SUM($D5:BE5)-SUM($D38:BE38))</f>
        <v>1.6298145055770874E-9</v>
      </c>
      <c r="BF39" s="41">
        <f>Contabilização!BE112-(SUM($D5:BF5)-SUM($D38:BF38))</f>
        <v>1.7462298274040222E-9</v>
      </c>
      <c r="BG39" s="41">
        <f>Contabilização!BF112-(SUM($D5:BG5)-SUM($D38:BG38))</f>
        <v>1.862645149230957E-9</v>
      </c>
      <c r="BH39" s="41">
        <f>Contabilização!BG112-(SUM($D5:BH5)-SUM($D38:BH38))</f>
        <v>1.9790604710578918E-9</v>
      </c>
      <c r="BI39" s="41">
        <f>Contabilização!BH112-(SUM($D5:BI5)-SUM($D38:BI38))</f>
        <v>2.0954757928848267E-9</v>
      </c>
      <c r="BJ39" s="41">
        <f>Contabilização!BI112-(SUM($D5:BJ5)-SUM($D38:BJ38))</f>
        <v>2.2191670723259449E-9</v>
      </c>
      <c r="BK39" s="41">
        <f>Contabilização!BJ112-(SUM($D5:BK5)-SUM($D38:BK38))</f>
        <v>1.4333636499941349E-9</v>
      </c>
    </row>
    <row r="41" spans="2:63" s="45" customFormat="1" ht="15" customHeight="1" x14ac:dyDescent="0.25">
      <c r="B41" s="43"/>
      <c r="C41" s="44" t="s">
        <v>97</v>
      </c>
      <c r="D41" s="44">
        <f>SUM($D5:D5)-SUM($D38:D38)</f>
        <v>2869514.9584622653</v>
      </c>
      <c r="E41" s="44">
        <f>SUM($D5:E5)-SUM($D38:E38)</f>
        <v>2820879.1117086676</v>
      </c>
      <c r="F41" s="44">
        <f>SUM($D5:F5)-SUM($D38:F38)</f>
        <v>2772243.2649550699</v>
      </c>
      <c r="G41" s="44">
        <f>SUM($D5:G5)-SUM($D38:G38)</f>
        <v>2723607.4182014721</v>
      </c>
      <c r="H41" s="44">
        <f>SUM($D5:H5)-SUM($D38:H38)</f>
        <v>2674971.5714478744</v>
      </c>
      <c r="I41" s="44">
        <f>SUM($D5:I5)-SUM($D38:I38)</f>
        <v>2626335.7246942767</v>
      </c>
      <c r="J41" s="44">
        <f>SUM($D5:J5)-SUM($D38:J38)</f>
        <v>2577699.877940679</v>
      </c>
      <c r="K41" s="44">
        <f>SUM($D5:K5)-SUM($D38:K38)</f>
        <v>2529064.0311870812</v>
      </c>
      <c r="L41" s="44">
        <f>SUM($D5:L5)-SUM($D38:L38)</f>
        <v>2480428.1844334835</v>
      </c>
      <c r="M41" s="44">
        <f>SUM($D5:M5)-SUM($D38:M38)</f>
        <v>2431792.3376798858</v>
      </c>
      <c r="N41" s="44">
        <f>SUM($D5:N5)-SUM($D38:N38)</f>
        <v>2383156.4909262881</v>
      </c>
      <c r="O41" s="44">
        <f>SUM($D5:O5)-SUM($D38:O38)</f>
        <v>2334520.6441726903</v>
      </c>
      <c r="P41" s="44">
        <f>SUM($D5:P5)-SUM($D38:P38)</f>
        <v>2285884.7974190926</v>
      </c>
      <c r="Q41" s="44">
        <f>SUM($D5:Q5)-SUM($D38:Q38)</f>
        <v>2237248.9506654949</v>
      </c>
      <c r="R41" s="44">
        <f>SUM($D5:R5)-SUM($D38:R38)</f>
        <v>2188613.1039118972</v>
      </c>
      <c r="S41" s="44">
        <f>SUM($D5:S5)-SUM($D38:S38)</f>
        <v>2139977.2571582994</v>
      </c>
      <c r="T41" s="44">
        <f>SUM($D5:T5)-SUM($D38:T38)</f>
        <v>2091341.4104047017</v>
      </c>
      <c r="U41" s="44">
        <f>SUM($D5:U5)-SUM($D38:U38)</f>
        <v>2042705.563651104</v>
      </c>
      <c r="V41" s="44">
        <f>SUM($D5:V5)-SUM($D38:V38)</f>
        <v>1994069.7168975063</v>
      </c>
      <c r="W41" s="44">
        <f>SUM($D5:W5)-SUM($D38:W38)</f>
        <v>1945433.8701439085</v>
      </c>
      <c r="X41" s="44">
        <f>SUM($D5:X5)-SUM($D38:X38)</f>
        <v>1896798.0233903108</v>
      </c>
      <c r="Y41" s="44">
        <f>SUM($D5:Y5)-SUM($D38:Y38)</f>
        <v>1848162.1766367133</v>
      </c>
      <c r="Z41" s="44">
        <f>SUM($D5:Z5)-SUM($D38:Z38)</f>
        <v>1799526.3298831156</v>
      </c>
      <c r="AA41" s="44">
        <f>SUM($D5:AA5)-SUM($D38:AA38)</f>
        <v>1750890.4831295179</v>
      </c>
      <c r="AB41" s="44">
        <f>SUM($D5:AB5)-SUM($D38:AB38)</f>
        <v>1702254.6363759201</v>
      </c>
      <c r="AC41" s="44">
        <f>SUM($D5:AC5)-SUM($D38:AC38)</f>
        <v>1653618.7896223224</v>
      </c>
      <c r="AD41" s="44">
        <f>SUM($D5:AD5)-SUM($D38:AD38)</f>
        <v>1604982.9428687247</v>
      </c>
      <c r="AE41" s="44">
        <f>SUM($D5:AE5)-SUM($D38:AE38)</f>
        <v>1556347.096115127</v>
      </c>
      <c r="AF41" s="44">
        <f>SUM($D5:AF5)-SUM($D38:AF38)</f>
        <v>1507711.2493615292</v>
      </c>
      <c r="AG41" s="44">
        <f>SUM($D5:AG5)-SUM($D38:AG38)</f>
        <v>1459075.4026079315</v>
      </c>
      <c r="AH41" s="44">
        <f>SUM($D5:AH5)-SUM($D38:AH38)</f>
        <v>1410439.5558543338</v>
      </c>
      <c r="AI41" s="44">
        <f>SUM($D5:AI5)-SUM($D38:AI38)</f>
        <v>1361803.7091007361</v>
      </c>
      <c r="AJ41" s="44">
        <f>SUM($D5:AJ5)-SUM($D38:AJ38)</f>
        <v>1313167.8623471383</v>
      </c>
      <c r="AK41" s="44">
        <f>SUM($D5:AK5)-SUM($D38:AK38)</f>
        <v>1264532.0155935406</v>
      </c>
      <c r="AL41" s="44">
        <f>SUM($D5:AL5)-SUM($D38:AL38)</f>
        <v>1215896.1688399429</v>
      </c>
      <c r="AM41" s="44">
        <f>SUM($D5:AM5)-SUM($D38:AM38)</f>
        <v>1167260.3220863452</v>
      </c>
      <c r="AN41" s="44">
        <f>SUM($D5:AN5)-SUM($D38:AN38)</f>
        <v>1118624.4753327474</v>
      </c>
      <c r="AO41" s="44">
        <f>SUM($D5:AO5)-SUM($D38:AO38)</f>
        <v>1069988.6285791497</v>
      </c>
      <c r="AP41" s="44">
        <f>SUM($D5:AP5)-SUM($D38:AP38)</f>
        <v>1021352.781825552</v>
      </c>
      <c r="AQ41" s="44">
        <f>SUM($D5:AQ5)-SUM($D38:AQ38)</f>
        <v>972716.93507195427</v>
      </c>
      <c r="AR41" s="44">
        <f>SUM($D5:AR5)-SUM($D38:AR38)</f>
        <v>924081.08831835655</v>
      </c>
      <c r="AS41" s="44">
        <f>SUM($D5:AS5)-SUM($D38:AS38)</f>
        <v>875445.24156475882</v>
      </c>
      <c r="AT41" s="44">
        <f>SUM($D5:AT5)-SUM($D38:AT38)</f>
        <v>826809.3948111611</v>
      </c>
      <c r="AU41" s="44">
        <f>SUM($D5:AU5)-SUM($D38:AU38)</f>
        <v>778173.5480575636</v>
      </c>
      <c r="AV41" s="44">
        <f>SUM($D5:AV5)-SUM($D38:AV38)</f>
        <v>729537.70130396588</v>
      </c>
      <c r="AW41" s="44">
        <f>SUM($D5:AW5)-SUM($D38:AW38)</f>
        <v>680901.85455036815</v>
      </c>
      <c r="AX41" s="44">
        <f>SUM($D5:AX5)-SUM($D38:AX38)</f>
        <v>632266.00779677043</v>
      </c>
      <c r="AY41" s="44">
        <f>SUM($D5:AY5)-SUM($D38:AY38)</f>
        <v>583630.1610431727</v>
      </c>
      <c r="AZ41" s="44">
        <f>SUM($D5:AZ5)-SUM($D38:AZ38)</f>
        <v>534994.31428957498</v>
      </c>
      <c r="BA41" s="44">
        <f>SUM($D5:BA5)-SUM($D38:BA38)</f>
        <v>486358.46753597725</v>
      </c>
      <c r="BB41" s="44">
        <f>SUM($D5:BB5)-SUM($D38:BB38)</f>
        <v>437722.62078237953</v>
      </c>
      <c r="BC41" s="44">
        <f>SUM($D5:BC5)-SUM($D38:BC38)</f>
        <v>389086.7740287818</v>
      </c>
      <c r="BD41" s="44">
        <f>SUM($D5:BD5)-SUM($D38:BD38)</f>
        <v>340450.92727518408</v>
      </c>
      <c r="BE41" s="44">
        <f>SUM($D5:BE5)-SUM($D38:BE38)</f>
        <v>291815.08052158635</v>
      </c>
      <c r="BF41" s="44">
        <f>SUM($D5:BF5)-SUM($D38:BF38)</f>
        <v>243179.23376798863</v>
      </c>
      <c r="BG41" s="44">
        <f>SUM($D5:BG5)-SUM($D38:BG38)</f>
        <v>194543.3870143909</v>
      </c>
      <c r="BH41" s="44">
        <f>SUM($D5:BH5)-SUM($D38:BH38)</f>
        <v>145907.54026079318</v>
      </c>
      <c r="BI41" s="44">
        <f>SUM($D5:BI5)-SUM($D38:BI38)</f>
        <v>97271.69350719545</v>
      </c>
      <c r="BJ41" s="44">
        <f>SUM($D5:BJ5)-SUM($D38:BJ38)</f>
        <v>48635.846753597725</v>
      </c>
      <c r="BK41" s="44">
        <f>SUM($D5:BK5)-SUM($D38:BK38)</f>
        <v>0</v>
      </c>
    </row>
    <row r="42" spans="2:63" s="45" customFormat="1" ht="15" customHeight="1" x14ac:dyDescent="0.25">
      <c r="B42" s="43"/>
      <c r="C42" s="44" t="s">
        <v>98</v>
      </c>
      <c r="D42" s="44">
        <f>SUM($D6:D6)-SUM($D12:D12)+SUM($D20:D20)-SUM($D26:D26)+SUM($D27:D27)-SUM($D29:D29)+SUM($D30:D30)</f>
        <v>2885696.4736810974</v>
      </c>
      <c r="E42" s="44">
        <f>SUM($D6:E6)-SUM($D12:E12)+SUM($D20:E20)-SUM($D26:E26)+SUM($D27:E27)-SUM($D29:E29)+SUM($D30:E30)</f>
        <v>2852973.827554273</v>
      </c>
      <c r="F42" s="44">
        <f>SUM($D6:F6)-SUM($D12:F12)+SUM($D20:F20)-SUM($D26:F26)+SUM($D27:F27)-SUM($D29:F29)+SUM($D30:F30)</f>
        <v>2819980.6485576769</v>
      </c>
      <c r="G42" s="44">
        <f>SUM($D6:G6)-SUM($D12:G12)+SUM($D20:G20)-SUM($D26:G26)+SUM($D27:G27)-SUM($D29:G29)+SUM($D30:G30)</f>
        <v>2786714.7000740953</v>
      </c>
      <c r="H42" s="44">
        <f>SUM($D6:H6)-SUM($D12:H12)+SUM($D20:H20)-SUM($D26:H26)+SUM($D27:H27)-SUM($D29:H29)+SUM($D30:H30)</f>
        <v>2753173.7269951901</v>
      </c>
      <c r="I42" s="44">
        <f>SUM($D6:I6)-SUM($D12:I12)+SUM($D20:I20)-SUM($D26:I26)+SUM($D27:I27)-SUM($D29:I29)+SUM($D30:I30)</f>
        <v>2719355.455568627</v>
      </c>
      <c r="J42" s="44">
        <f>SUM($D6:J6)-SUM($D12:J12)+SUM($D20:J20)-SUM($D26:J26)+SUM($D27:J27)-SUM($D29:J29)+SUM($D30:J30)</f>
        <v>2685257.5932439356</v>
      </c>
      <c r="K42" s="44">
        <f>SUM($D6:K6)-SUM($D12:K12)+SUM($D20:K20)-SUM($D26:K26)+SUM($D27:K27)-SUM($D29:K29)+SUM($D30:K30)</f>
        <v>2650877.8285170966</v>
      </c>
      <c r="L42" s="44">
        <f>SUM($D6:L6)-SUM($D12:L12)+SUM($D20:L20)-SUM($D26:L26)+SUM($D27:L27)-SUM($D29:L29)+SUM($D30:L30)</f>
        <v>2616213.8307738458</v>
      </c>
      <c r="M42" s="44">
        <f>SUM($D6:M6)-SUM($D12:M12)+SUM($D20:M20)-SUM($D26:M26)+SUM($D27:M27)-SUM($D29:M29)+SUM($D30:M30)</f>
        <v>2581263.2501316783</v>
      </c>
      <c r="N42" s="44">
        <f>SUM($D6:N6)-SUM($D12:N12)+SUM($D20:N20)-SUM($D26:N26)+SUM($D27:N27)-SUM($D29:N29)+SUM($D30:N30)</f>
        <v>2546023.7172805527</v>
      </c>
      <c r="O42" s="44">
        <f>SUM($D6:O6)-SUM($D12:O12)+SUM($D20:O20)-SUM($D26:O26)+SUM($D27:O27)-SUM($D29:O29)+SUM($D30:O30)</f>
        <v>2510492.8433222724</v>
      </c>
      <c r="P42" s="44">
        <f>SUM($D6:P6)-SUM($D12:P12)+SUM($D20:P20)-SUM($D26:P26)+SUM($D27:P27)-SUM($D29:P29)+SUM($D30:P30)</f>
        <v>2471859.7963067056</v>
      </c>
      <c r="Q42" s="44">
        <f>SUM($D6:Q6)-SUM($D12:Q12)+SUM($D20:Q20)-SUM($D26:Q26)+SUM($D27:Q27)-SUM($D29:Q29)+SUM($D30:Q30)</f>
        <v>2432907.3524722927</v>
      </c>
      <c r="R42" s="44">
        <f>SUM($D6:R6)-SUM($D12:R12)+SUM($D20:R20)-SUM($D26:R26)+SUM($D27:R27)-SUM($D29:R29)+SUM($D30:R30)</f>
        <v>2393632.87122152</v>
      </c>
      <c r="S42" s="44">
        <f>SUM($D6:S6)-SUM($D12:S12)+SUM($D20:S20)-SUM($D26:S26)+SUM($D27:S27)-SUM($D29:S29)+SUM($D30:S30)</f>
        <v>2354033.6901258635</v>
      </c>
      <c r="T42" s="44">
        <f>SUM($D6:T6)-SUM($D12:T12)+SUM($D20:T20)-SUM($D26:T26)+SUM($D27:T27)-SUM($D29:T29)+SUM($D30:T30)</f>
        <v>2314107.1247453028</v>
      </c>
      <c r="U42" s="44">
        <f>SUM($D6:U6)-SUM($D12:U12)+SUM($D20:U20)-SUM($D26:U26)+SUM($D27:U27)-SUM($D29:U29)+SUM($D30:U30)</f>
        <v>2273850.4684463413</v>
      </c>
      <c r="V42" s="44">
        <f>SUM($D6:V6)-SUM($D12:V12)+SUM($D20:V20)-SUM($D26:V26)+SUM($D27:V27)-SUM($D29:V29)+SUM($D30:V30)</f>
        <v>2233260.9922185219</v>
      </c>
      <c r="W42" s="44">
        <f>SUM($D6:W6)-SUM($D12:W12)+SUM($D20:W20)-SUM($D26:W26)+SUM($D27:W27)-SUM($D29:W29)+SUM($D30:W30)</f>
        <v>2192335.9444894283</v>
      </c>
      <c r="X42" s="44">
        <f>SUM($D6:X6)-SUM($D12:X12)+SUM($D20:X20)-SUM($D26:X26)+SUM($D27:X27)-SUM($D29:X29)+SUM($D30:X30)</f>
        <v>2151072.550938155</v>
      </c>
      <c r="Y42" s="44">
        <f>SUM($D6:Y6)-SUM($D12:Y12)+SUM($D20:Y20)-SUM($D26:Y26)+SUM($D27:Y27)-SUM($D29:Y29)+SUM($D30:Y30)</f>
        <v>2109468.014307234</v>
      </c>
      <c r="Z42" s="44">
        <f>SUM($D6:Z6)-SUM($D12:Z12)+SUM($D20:Z20)-SUM($D26:Z26)+SUM($D27:Z27)-SUM($D29:Z29)+SUM($D30:Z30)</f>
        <v>2067519.5142130081</v>
      </c>
      <c r="AA42" s="44">
        <f>SUM($D6:AA6)-SUM($D12:AA12)+SUM($D20:AA20)-SUM($D26:AA26)+SUM($D27:AA27)-SUM($D29:AA29)+SUM($D30:AA30)</f>
        <v>2025224.2069544373</v>
      </c>
      <c r="AB42" s="44">
        <f>SUM($D6:AB6)-SUM($D12:AB12)+SUM($D20:AB20)-SUM($D26:AB26)+SUM($D27:AB27)-SUM($D29:AB29)+SUM($D30:AB30)</f>
        <v>1979631.402205084</v>
      </c>
      <c r="AC42" s="44">
        <f>SUM($D6:AC6)-SUM($D12:AC12)+SUM($D20:AC20)-SUM($D26:AC26)+SUM($D27:AC27)-SUM($D29:AC29)+SUM($D30:AC30)</f>
        <v>1933661.6611816296</v>
      </c>
      <c r="AD42" s="44">
        <f>SUM($D6:AD6)-SUM($D12:AD12)+SUM($D20:AD20)-SUM($D26:AD26)+SUM($D27:AD27)-SUM($D29:AD29)+SUM($D30:AD30)</f>
        <v>1887311.86758194</v>
      </c>
      <c r="AE42" s="44">
        <f>SUM($D6:AE6)-SUM($D12:AE12)+SUM($D20:AE20)-SUM($D26:AE26)+SUM($D27:AE27)-SUM($D29:AE29)+SUM($D30:AE30)</f>
        <v>1840578.8793400067</v>
      </c>
      <c r="AF42" s="44">
        <f>SUM($D6:AF6)-SUM($D12:AF12)+SUM($D20:AF20)-SUM($D26:AF26)+SUM($D27:AF27)-SUM($D29:AF29)+SUM($D30:AF30)</f>
        <v>1793459.5284129444</v>
      </c>
      <c r="AG42" s="44">
        <f>SUM($D6:AG6)-SUM($D12:AG12)+SUM($D20:AG20)-SUM($D26:AG26)+SUM($D27:AG27)-SUM($D29:AG29)+SUM($D30:AG30)</f>
        <v>1745950.6205662289</v>
      </c>
      <c r="AH42" s="44">
        <f>SUM($D6:AH6)-SUM($D12:AH12)+SUM($D20:AH20)-SUM($D26:AH26)+SUM($D27:AH27)-SUM($D29:AH29)+SUM($D30:AH30)</f>
        <v>1698048.9351571589</v>
      </c>
      <c r="AI42" s="44">
        <f>SUM($D6:AI6)-SUM($D12:AI12)+SUM($D20:AI20)-SUM($D26:AI26)+SUM($D27:AI27)-SUM($D29:AI29)+SUM($D30:AI30)</f>
        <v>1649751.224916528</v>
      </c>
      <c r="AJ42" s="44">
        <f>SUM($D6:AJ6)-SUM($D12:AJ12)+SUM($D20:AJ20)-SUM($D26:AJ26)+SUM($D27:AJ27)-SUM($D29:AJ29)+SUM($D30:AJ30)</f>
        <v>1601054.2157284911</v>
      </c>
      <c r="AK42" s="44">
        <f>SUM($D6:AK6)-SUM($D12:AK12)+SUM($D20:AK20)-SUM($D26:AK26)+SUM($D27:AK27)-SUM($D29:AK29)+SUM($D30:AK30)</f>
        <v>1551954.6064086105</v>
      </c>
      <c r="AL42" s="44">
        <f>SUM($D6:AL6)-SUM($D12:AL12)+SUM($D20:AL20)-SUM($D26:AL26)+SUM($D27:AL27)-SUM($D29:AL29)+SUM($D30:AL30)</f>
        <v>1502449.0684800688</v>
      </c>
      <c r="AM42" s="44">
        <f>SUM($D6:AM6)-SUM($D12:AM12)+SUM($D20:AM20)-SUM($D26:AM26)+SUM($D27:AM27)-SUM($D29:AM29)+SUM($D30:AM30)</f>
        <v>1452534.2459480301</v>
      </c>
      <c r="AN42" s="44">
        <f>SUM($D6:AN6)-SUM($D12:AN12)+SUM($D20:AN20)-SUM($D26:AN26)+SUM($D27:AN27)-SUM($D29:AN29)+SUM($D30:AN30)</f>
        <v>1399112.6128489701</v>
      </c>
      <c r="AO42" s="44">
        <f>SUM($D6:AO6)-SUM($D12:AO12)+SUM($D20:AO20)-SUM($D26:AO26)+SUM($D27:AO27)-SUM($D29:AO29)+SUM($D30:AO30)</f>
        <v>1345249.3190219186</v>
      </c>
      <c r="AP42" s="44">
        <f>SUM($D6:AP6)-SUM($D12:AP12)+SUM($D20:AP20)-SUM($D26:AP26)+SUM($D27:AP27)-SUM($D29:AP29)+SUM($D30:AP30)</f>
        <v>1290940.7130584985</v>
      </c>
      <c r="AQ42" s="44">
        <f>SUM($D6:AQ6)-SUM($D12:AQ12)+SUM($D20:AQ20)-SUM($D26:AQ26)+SUM($D27:AQ27)-SUM($D29:AQ29)+SUM($D30:AQ30)</f>
        <v>1236183.1133624925</v>
      </c>
      <c r="AR42" s="44">
        <f>SUM($D6:AR6)-SUM($D12:AR12)+SUM($D20:AR20)-SUM($D26:AR26)+SUM($D27:AR27)-SUM($D29:AR29)+SUM($D30:AR30)</f>
        <v>1180972.8079002672</v>
      </c>
      <c r="AS42" s="44">
        <f>SUM($D6:AS6)-SUM($D12:AS12)+SUM($D20:AS20)-SUM($D26:AS26)+SUM($D27:AS27)-SUM($D29:AS29)+SUM($D30:AS30)</f>
        <v>1125306.0539491344</v>
      </c>
      <c r="AT42" s="44">
        <f>SUM($D6:AT6)-SUM($D12:AT12)+SUM($D20:AT20)-SUM($D26:AT26)+SUM($D27:AT27)-SUM($D29:AT29)+SUM($D30:AT30)</f>
        <v>1069179.0778436288</v>
      </c>
      <c r="AU42" s="44">
        <f>SUM($D6:AU6)-SUM($D12:AU12)+SUM($D20:AU20)-SUM($D26:AU26)+SUM($D27:AU27)-SUM($D29:AU29)+SUM($D30:AU30)</f>
        <v>1012588.0747196916</v>
      </c>
      <c r="AV42" s="44">
        <f>SUM($D6:AV6)-SUM($D12:AV12)+SUM($D20:AV20)-SUM($D26:AV26)+SUM($D27:AV27)-SUM($D29:AV29)+SUM($D30:AV30)</f>
        <v>955529.20825673779</v>
      </c>
      <c r="AW42" s="44">
        <f>SUM($D6:AW6)-SUM($D12:AW12)+SUM($D20:AW20)-SUM($D26:AW26)+SUM($D27:AW27)-SUM($D29:AW29)+SUM($D30:AW30)</f>
        <v>897998.61041758955</v>
      </c>
      <c r="AX42" s="44">
        <f>SUM($D6:AX6)-SUM($D12:AX12)+SUM($D20:AX20)-SUM($D26:AX26)+SUM($D27:AX27)-SUM($D29:AX29)+SUM($D30:AX30)</f>
        <v>839992.38118626177</v>
      </c>
      <c r="AY42" s="44">
        <f>SUM($D6:AY6)-SUM($D12:AY12)+SUM($D20:AY20)-SUM($D26:AY26)+SUM($D27:AY27)-SUM($D29:AY29)+SUM($D30:AY30)</f>
        <v>781506.58830357925</v>
      </c>
      <c r="AZ42" s="44">
        <f>SUM($D6:AZ6)-SUM($D12:AZ12)+SUM($D20:AZ20)-SUM($D26:AZ26)+SUM($D27:AZ27)-SUM($D29:AZ29)+SUM($D30:AZ30)</f>
        <v>719289.5429266314</v>
      </c>
      <c r="BA42" s="44">
        <f>SUM($D6:BA6)-SUM($D12:BA12)+SUM($D20:BA20)-SUM($D26:BA26)+SUM($D27:BA27)-SUM($D29:BA29)+SUM($D30:BA30)</f>
        <v>656558.1211826473</v>
      </c>
      <c r="BB42" s="44">
        <f>SUM($D6:BB6)-SUM($D12:BB12)+SUM($D20:BB20)-SUM($D26:BB26)+SUM($D27:BB27)-SUM($D29:BB29)+SUM($D30:BB30)</f>
        <v>593308.07049027458</v>
      </c>
      <c r="BC42" s="44">
        <f>SUM($D6:BC6)-SUM($D12:BC12)+SUM($D20:BC20)-SUM($D26:BC26)+SUM($D27:BC27)-SUM($D29:BC29)+SUM($D30:BC30)</f>
        <v>529535.10311015369</v>
      </c>
      <c r="BD42" s="44">
        <f>SUM($D6:BD6)-SUM($D12:BD12)+SUM($D20:BD20)-SUM($D26:BD26)+SUM($D27:BD27)-SUM($D29:BD29)+SUM($D30:BD30)</f>
        <v>465234.8958542503</v>
      </c>
      <c r="BE42" s="44">
        <f>SUM($D6:BE6)-SUM($D12:BE12)+SUM($D20:BE20)-SUM($D26:BE26)+SUM($D27:BE27)-SUM($D29:BE29)+SUM($D30:BE30)</f>
        <v>400403.08979278523</v>
      </c>
      <c r="BF42" s="44">
        <f>SUM($D6:BF6)-SUM($D12:BF12)+SUM($D20:BF20)-SUM($D26:BF26)+SUM($D27:BF27)-SUM($D29:BF29)+SUM($D30:BF30)</f>
        <v>335035.28995874105</v>
      </c>
      <c r="BG42" s="44">
        <f>SUM($D6:BG6)-SUM($D12:BG12)+SUM($D20:BG20)-SUM($D26:BG26)+SUM($D27:BG27)-SUM($D29:BG29)+SUM($D30:BG30)</f>
        <v>269127.06504992768</v>
      </c>
      <c r="BH42" s="44">
        <f>SUM($D6:BH6)-SUM($D12:BH12)+SUM($D20:BH20)-SUM($D26:BH26)+SUM($D27:BH27)-SUM($D29:BH29)+SUM($D30:BH30)</f>
        <v>202673.94712857995</v>
      </c>
      <c r="BI42" s="44">
        <f>SUM($D6:BI6)-SUM($D12:BI12)+SUM($D20:BI20)-SUM($D26:BI26)+SUM($D27:BI27)-SUM($D29:BI29)+SUM($D30:BI30)</f>
        <v>135671.43131847866</v>
      </c>
      <c r="BJ42" s="44">
        <f>SUM($D6:BJ6)-SUM($D12:BJ12)+SUM($D20:BJ20)-SUM($D26:BJ26)+SUM($D27:BJ27)-SUM($D29:BJ29)+SUM($D30:BJ30)</f>
        <v>68114.97549955966</v>
      </c>
      <c r="BK42" s="44">
        <f>SUM($D6:BK6)-SUM($D12:BK12)+SUM($D20:BK20)-SUM($D26:BK26)+SUM($D27:BK27)-SUM($D29:BK29)+SUM($D30:BK30)</f>
        <v>6.0535967350006104E-9</v>
      </c>
    </row>
    <row r="43" spans="2:63" ht="15" customHeight="1" x14ac:dyDescent="0.25">
      <c r="C43" s="41" t="s">
        <v>95</v>
      </c>
      <c r="D43" s="41">
        <f>D41-Contabilização!C112</f>
        <v>0</v>
      </c>
      <c r="E43" s="41">
        <f>E41-Contabilização!D112</f>
        <v>0</v>
      </c>
      <c r="F43" s="41">
        <f>F41-Contabilização!E112</f>
        <v>0</v>
      </c>
      <c r="G43" s="41">
        <f>G41-Contabilização!F112</f>
        <v>0</v>
      </c>
      <c r="H43" s="41">
        <f>H41-Contabilização!G112</f>
        <v>0</v>
      </c>
      <c r="I43" s="41">
        <f>I41-Contabilização!H112</f>
        <v>0</v>
      </c>
      <c r="J43" s="41">
        <f>J41-Contabilização!I112</f>
        <v>0</v>
      </c>
      <c r="K43" s="41">
        <f>K41-Contabilização!J112</f>
        <v>0</v>
      </c>
      <c r="L43" s="41">
        <f>L41-Contabilização!K112</f>
        <v>0</v>
      </c>
      <c r="M43" s="41">
        <f>M41-Contabilização!L112</f>
        <v>0</v>
      </c>
      <c r="N43" s="41">
        <f>N41-Contabilização!M112</f>
        <v>0</v>
      </c>
      <c r="O43" s="41">
        <f>O41-Contabilização!N112</f>
        <v>0</v>
      </c>
      <c r="P43" s="41">
        <f>P41-Contabilização!O112</f>
        <v>0</v>
      </c>
      <c r="Q43" s="41">
        <f>Q41-Contabilização!P112</f>
        <v>0</v>
      </c>
      <c r="R43" s="41">
        <f>R41-Contabilização!Q112</f>
        <v>0</v>
      </c>
      <c r="S43" s="41">
        <f>S41-Contabilização!R112</f>
        <v>0</v>
      </c>
      <c r="T43" s="41">
        <f>T41-Contabilização!S112</f>
        <v>0</v>
      </c>
      <c r="U43" s="41">
        <f>U41-Contabilização!T112</f>
        <v>0</v>
      </c>
      <c r="V43" s="41">
        <f>V41-Contabilização!U112</f>
        <v>0</v>
      </c>
      <c r="W43" s="41">
        <f>W41-Contabilização!V112</f>
        <v>0</v>
      </c>
      <c r="X43" s="41">
        <f>X41-Contabilização!W112</f>
        <v>0</v>
      </c>
      <c r="Y43" s="41">
        <f>Y41-Contabilização!X112</f>
        <v>0</v>
      </c>
      <c r="Z43" s="41">
        <f>Z41-Contabilização!Y112</f>
        <v>0</v>
      </c>
      <c r="AA43" s="41">
        <f>AA41-Contabilização!Z112</f>
        <v>0</v>
      </c>
      <c r="AB43" s="41">
        <f>AB41-Contabilização!AA112</f>
        <v>0</v>
      </c>
      <c r="AC43" s="41">
        <f>AC41-Contabilização!AB112</f>
        <v>0</v>
      </c>
      <c r="AD43" s="41">
        <f>AD41-Contabilização!AC112</f>
        <v>0</v>
      </c>
      <c r="AE43" s="41">
        <f>AE41-Contabilização!AD112</f>
        <v>0</v>
      </c>
      <c r="AF43" s="41">
        <f>AF41-Contabilização!AE112</f>
        <v>0</v>
      </c>
      <c r="AG43" s="41">
        <f>AG41-Contabilização!AF112</f>
        <v>0</v>
      </c>
      <c r="AH43" s="41">
        <f>AH41-Contabilização!AG112</f>
        <v>0</v>
      </c>
      <c r="AI43" s="41">
        <f>AI41-Contabilização!AH112</f>
        <v>0</v>
      </c>
      <c r="AJ43" s="41">
        <f>AJ41-Contabilização!AI112</f>
        <v>0</v>
      </c>
      <c r="AK43" s="41">
        <f>AK41-Contabilização!AJ112</f>
        <v>0</v>
      </c>
      <c r="AL43" s="41">
        <f>AL41-Contabilização!AK112</f>
        <v>0</v>
      </c>
      <c r="AM43" s="41">
        <f>AM41-Contabilização!AL112</f>
        <v>0</v>
      </c>
      <c r="AN43" s="41">
        <f>AN41-Contabilização!AM112</f>
        <v>0</v>
      </c>
      <c r="AO43" s="41">
        <f>AO41-Contabilização!AN112</f>
        <v>0</v>
      </c>
      <c r="AP43" s="41">
        <f>AP41-Contabilização!AO112</f>
        <v>0</v>
      </c>
      <c r="AQ43" s="41">
        <f>AQ41-Contabilização!AP112</f>
        <v>0</v>
      </c>
      <c r="AR43" s="41">
        <f>AR41-Contabilização!AQ112</f>
        <v>0</v>
      </c>
      <c r="AS43" s="41">
        <f>AS41-Contabilização!AR112</f>
        <v>0</v>
      </c>
      <c r="AT43" s="41">
        <f>AT41-Contabilização!AS112</f>
        <v>0</v>
      </c>
      <c r="AU43" s="41">
        <f>AU41-Contabilização!AT112</f>
        <v>0</v>
      </c>
      <c r="AV43" s="41">
        <f>AV41-Contabilização!AU112</f>
        <v>0</v>
      </c>
      <c r="AW43" s="41">
        <f>AW41-Contabilização!AV112</f>
        <v>0</v>
      </c>
      <c r="AX43" s="41">
        <f>AX41-Contabilização!AW112</f>
        <v>0</v>
      </c>
      <c r="AY43" s="41">
        <f>AY41-Contabilização!AX112</f>
        <v>-9.3132257461547852E-10</v>
      </c>
      <c r="AZ43" s="41">
        <f>AZ41-Contabilização!AY112</f>
        <v>-1.0477378964424133E-9</v>
      </c>
      <c r="BA43" s="41">
        <f>BA41-Contabilização!AZ112</f>
        <v>-1.1641532182693481E-9</v>
      </c>
      <c r="BB43" s="41">
        <f>BB41-Contabilização!BA112</f>
        <v>-1.280568540096283E-9</v>
      </c>
      <c r="BC43" s="41">
        <f>BC41-Contabilização!BB112</f>
        <v>-1.3969838619232178E-9</v>
      </c>
      <c r="BD43" s="41">
        <f>BD41-Contabilização!BC112</f>
        <v>-1.57160684466362E-9</v>
      </c>
      <c r="BE43" s="41">
        <f>BE41-Contabilização!BD112</f>
        <v>-1.6298145055770874E-9</v>
      </c>
      <c r="BF43" s="41">
        <f>BF41-Contabilização!BE112</f>
        <v>-1.7462298274040222E-9</v>
      </c>
      <c r="BG43" s="41">
        <f>BG41-Contabilização!BF112</f>
        <v>-1.862645149230957E-9</v>
      </c>
      <c r="BH43" s="41">
        <f>BH41-Contabilização!BG112</f>
        <v>-1.9790604710578918E-9</v>
      </c>
      <c r="BI43" s="41">
        <f>BI41-Contabilização!BH112</f>
        <v>-2.0954757928848267E-9</v>
      </c>
      <c r="BJ43" s="41">
        <f>BJ41-Contabilização!BI112</f>
        <v>-2.2191670723259449E-9</v>
      </c>
      <c r="BK43" s="41">
        <f>BK41-Contabilização!BJ112</f>
        <v>-1.4333636499941349E-9</v>
      </c>
    </row>
    <row r="44" spans="2:63" ht="15" customHeight="1" x14ac:dyDescent="0.25">
      <c r="C44" s="41" t="s">
        <v>96</v>
      </c>
      <c r="D44" s="41">
        <f>D42-Contabilização!C160</f>
        <v>0</v>
      </c>
      <c r="E44" s="41">
        <f>E42-Contabilização!D160</f>
        <v>0</v>
      </c>
      <c r="F44" s="41">
        <f>F42-Contabilização!E160</f>
        <v>0</v>
      </c>
      <c r="G44" s="41">
        <f>G42-Contabilização!F160</f>
        <v>0</v>
      </c>
      <c r="H44" s="41">
        <f>H42-Contabilização!G160</f>
        <v>0</v>
      </c>
      <c r="I44" s="41">
        <f>I42-Contabilização!H160</f>
        <v>0</v>
      </c>
      <c r="J44" s="41">
        <f>J42-Contabilização!I160</f>
        <v>0</v>
      </c>
      <c r="K44" s="41">
        <f>K42-Contabilização!J160</f>
        <v>0</v>
      </c>
      <c r="L44" s="41">
        <f>L42-Contabilização!K160</f>
        <v>0</v>
      </c>
      <c r="M44" s="41">
        <f>M42-Contabilização!L160</f>
        <v>0</v>
      </c>
      <c r="N44" s="41">
        <f>N42-Contabilização!M160</f>
        <v>0</v>
      </c>
      <c r="O44" s="41">
        <f>O42-Contabilização!N160</f>
        <v>0</v>
      </c>
      <c r="P44" s="41">
        <f>P42-Contabilização!O160</f>
        <v>0</v>
      </c>
      <c r="Q44" s="41">
        <f>Q42-Contabilização!P160</f>
        <v>0</v>
      </c>
      <c r="R44" s="41">
        <f>R42-Contabilização!Q160</f>
        <v>0</v>
      </c>
      <c r="S44" s="41">
        <f>S42-Contabilização!R160</f>
        <v>0</v>
      </c>
      <c r="T44" s="41">
        <f>T42-Contabilização!S160</f>
        <v>0</v>
      </c>
      <c r="U44" s="41">
        <f>U42-Contabilização!T160</f>
        <v>0</v>
      </c>
      <c r="V44" s="41">
        <f>V42-Contabilização!U160</f>
        <v>0</v>
      </c>
      <c r="W44" s="41">
        <f>W42-Contabilização!V160</f>
        <v>0</v>
      </c>
      <c r="X44" s="41">
        <f>X42-Contabilização!W160</f>
        <v>0</v>
      </c>
      <c r="Y44" s="41">
        <f>Y42-Contabilização!X160</f>
        <v>0</v>
      </c>
      <c r="Z44" s="41">
        <f>Z42-Contabilização!Y160</f>
        <v>0</v>
      </c>
      <c r="AA44" s="41">
        <f>AA42-Contabilização!Z160</f>
        <v>0</v>
      </c>
      <c r="AB44" s="41">
        <f>AB42-Contabilização!AA160</f>
        <v>0</v>
      </c>
      <c r="AC44" s="41">
        <f>AC42-Contabilização!AB160</f>
        <v>0</v>
      </c>
      <c r="AD44" s="41">
        <f>AD42-Contabilização!AC160</f>
        <v>0</v>
      </c>
      <c r="AE44" s="41">
        <f>AE42-Contabilização!AD160</f>
        <v>0</v>
      </c>
      <c r="AF44" s="41">
        <f>AF42-Contabilização!AE160</f>
        <v>0</v>
      </c>
      <c r="AG44" s="41">
        <f>AG42-Contabilização!AF160</f>
        <v>0</v>
      </c>
      <c r="AH44" s="41">
        <f>AH42-Contabilização!AG160</f>
        <v>0</v>
      </c>
      <c r="AI44" s="41">
        <f>AI42-Contabilização!AH160</f>
        <v>0</v>
      </c>
      <c r="AJ44" s="41">
        <f>AJ42-Contabilização!AI160</f>
        <v>0</v>
      </c>
      <c r="AK44" s="41">
        <f>AK42-Contabilização!AJ160</f>
        <v>0</v>
      </c>
      <c r="AL44" s="41">
        <f>AL42-Contabilização!AK160</f>
        <v>0</v>
      </c>
      <c r="AM44" s="41">
        <f>AM42-Contabilização!AL160</f>
        <v>0</v>
      </c>
      <c r="AN44" s="41">
        <f>AN42-Contabilização!AM160</f>
        <v>0</v>
      </c>
      <c r="AO44" s="41">
        <f>AO42-Contabilização!AN160</f>
        <v>0</v>
      </c>
      <c r="AP44" s="41">
        <f>AP42-Contabilização!AO160</f>
        <v>0</v>
      </c>
      <c r="AQ44" s="41">
        <f>AQ42-Contabilização!AP160</f>
        <v>0</v>
      </c>
      <c r="AR44" s="41">
        <f>AR42-Contabilização!AQ160</f>
        <v>0</v>
      </c>
      <c r="AS44" s="41">
        <f>AS42-Contabilização!AR160</f>
        <v>0</v>
      </c>
      <c r="AT44" s="41">
        <f>AT42-Contabilização!AS160</f>
        <v>0</v>
      </c>
      <c r="AU44" s="41">
        <f>AU42-Contabilização!AT160</f>
        <v>0</v>
      </c>
      <c r="AV44" s="41">
        <f>AV42-Contabilização!AU160</f>
        <v>0</v>
      </c>
      <c r="AW44" s="41">
        <f>AW42-Contabilização!AV160</f>
        <v>0</v>
      </c>
      <c r="AX44" s="41">
        <f>AX42-Contabilização!AW160</f>
        <v>0</v>
      </c>
      <c r="AY44" s="41">
        <f>AY42-Contabilização!AX160</f>
        <v>0</v>
      </c>
      <c r="AZ44" s="41">
        <f>AZ42-Contabilização!AY160</f>
        <v>0</v>
      </c>
      <c r="BA44" s="41">
        <f>BA42-Contabilização!AZ160</f>
        <v>0</v>
      </c>
      <c r="BB44" s="41">
        <f>BB42-Contabilização!BA160</f>
        <v>0</v>
      </c>
      <c r="BC44" s="41">
        <f>BC42-Contabilização!BB160</f>
        <v>0</v>
      </c>
      <c r="BD44" s="41">
        <f>BD42-Contabilização!BC160</f>
        <v>-5.8207660913467407E-10</v>
      </c>
      <c r="BE44" s="41">
        <f>BE42-Contabilização!BD160</f>
        <v>-4.6566128730773926E-10</v>
      </c>
      <c r="BF44" s="41">
        <f>BF42-Contabilização!BE160</f>
        <v>0</v>
      </c>
      <c r="BG44" s="41">
        <f>BG42-Contabilização!BF160</f>
        <v>0</v>
      </c>
      <c r="BH44" s="41">
        <f>BH42-Contabilização!BG160</f>
        <v>-7.5669959187507629E-10</v>
      </c>
      <c r="BI44" s="41">
        <f>BI42-Contabilização!BH160</f>
        <v>-4.3655745685100555E-10</v>
      </c>
      <c r="BJ44" s="41">
        <f>BJ42-Contabilização!BI160</f>
        <v>-7.8580342233181E-10</v>
      </c>
      <c r="BK44" s="41">
        <f>BK42-Contabilização!BJ160</f>
        <v>-5.8207660913467407E-10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CPC 06 R2 - Árvore de Decisão</vt:lpstr>
      <vt:lpstr>Resumo Contratos</vt:lpstr>
      <vt:lpstr>Premissas</vt:lpstr>
      <vt:lpstr>Contabilização</vt:lpstr>
      <vt:lpstr>Lançamentos Contábeis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ferdinando.munhoz</dc:creator>
  <cp:lastModifiedBy>ferdinando.munhoz</cp:lastModifiedBy>
  <dcterms:created xsi:type="dcterms:W3CDTF">2015-06-05T18:19:34Z</dcterms:created>
  <dcterms:modified xsi:type="dcterms:W3CDTF">2019-09-26T16:43:37Z</dcterms:modified>
</cp:coreProperties>
</file>