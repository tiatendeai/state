
<file path=[Content_Types].xml><?xml version="1.0" encoding="utf-8"?>
<Types xmlns="http://schemas.openxmlformats.org/package/2006/content-types">
  <Default Extension="xml" ContentType="application/xml"/>
  <Default Extension="jpeg" ContentType="image/jpeg"/>
  <Default Extension="vml" ContentType="application/vnd.openxmlformats-officedocument.vmlDrawing"/>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510"/>
  <workbookPr/>
  <mc:AlternateContent xmlns:mc="http://schemas.openxmlformats.org/markup-compatibility/2006">
    <mc:Choice Requires="x15">
      <x15ac:absPath xmlns:x15ac="http://schemas.microsoft.com/office/spreadsheetml/2010/11/ac" url="/Users/vicente/Documents/Arquivos ùteis/Treinamentos/Prontos/Informativos Sevilha/11-2016 Novo Simples/"/>
    </mc:Choice>
  </mc:AlternateContent>
  <bookViews>
    <workbookView xWindow="0" yWindow="460" windowWidth="25600" windowHeight="15460" tabRatio="500"/>
  </bookViews>
  <sheets>
    <sheet name="Dados Gerais" sheetId="1" r:id="rId1"/>
    <sheet name="Tabelas da LC 155" sheetId="2" r:id="rId2"/>
  </sheets>
  <definedNames>
    <definedName name="_xlnm.Print_Area" localSheetId="0">'Dados Gerais'!$B$1:$I$46</definedName>
    <definedName name="_xlnm.Print_Area" localSheetId="1">'Tabelas da LC 155'!$C$1:$AD$44</definedName>
  </definedName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J34" i="1" l="1"/>
  <c r="J33" i="1"/>
  <c r="J32" i="1"/>
  <c r="J31" i="1"/>
  <c r="J30" i="1"/>
  <c r="J29" i="1"/>
  <c r="J28" i="1"/>
  <c r="J27" i="1"/>
  <c r="J26" i="1"/>
  <c r="J25" i="1"/>
  <c r="J24" i="1"/>
  <c r="J23" i="1"/>
  <c r="I36" i="1"/>
  <c r="I6" i="1"/>
  <c r="E34" i="1"/>
  <c r="E33" i="1"/>
  <c r="E32" i="1"/>
  <c r="E31" i="1"/>
  <c r="E30" i="1"/>
  <c r="E29" i="1"/>
  <c r="E28" i="1"/>
  <c r="E27" i="1"/>
  <c r="E26" i="1"/>
  <c r="E25" i="1"/>
  <c r="E24" i="1"/>
  <c r="E23" i="1"/>
  <c r="D36" i="1"/>
  <c r="D46" i="1"/>
  <c r="D45" i="1"/>
  <c r="D44" i="1"/>
  <c r="D43" i="1"/>
  <c r="D42" i="1"/>
  <c r="C10" i="1"/>
  <c r="H10" i="1"/>
  <c r="I10" i="1"/>
  <c r="C11" i="1"/>
  <c r="C12" i="1"/>
  <c r="C13" i="1"/>
  <c r="C14" i="1"/>
  <c r="C15" i="1"/>
  <c r="C16" i="1"/>
  <c r="C17" i="1"/>
  <c r="C18" i="1"/>
  <c r="C19" i="1"/>
  <c r="C20" i="1"/>
  <c r="C21" i="1"/>
  <c r="C22" i="1"/>
  <c r="C23" i="1"/>
  <c r="C24" i="1"/>
  <c r="C25" i="1"/>
  <c r="C26" i="1"/>
  <c r="C27" i="1"/>
  <c r="C28" i="1"/>
  <c r="C29" i="1"/>
  <c r="C30" i="1"/>
  <c r="C31" i="1"/>
  <c r="C32" i="1"/>
  <c r="C33" i="1"/>
  <c r="C34" i="1"/>
  <c r="H34" i="1"/>
  <c r="H33" i="1"/>
  <c r="H32" i="1"/>
  <c r="H31" i="1"/>
  <c r="H30" i="1"/>
  <c r="H29" i="1"/>
  <c r="H28" i="1"/>
  <c r="H27" i="1"/>
  <c r="H26" i="1"/>
  <c r="H25" i="1"/>
  <c r="H24" i="1"/>
  <c r="H23" i="1"/>
  <c r="H22" i="1"/>
  <c r="H21" i="1"/>
  <c r="H20" i="1"/>
  <c r="H19" i="1"/>
  <c r="H18" i="1"/>
  <c r="H17" i="1"/>
  <c r="H16" i="1"/>
  <c r="H15" i="1"/>
  <c r="H14" i="1"/>
  <c r="H13" i="1"/>
  <c r="H12" i="1"/>
  <c r="H11" i="1"/>
  <c r="AE11" i="2"/>
  <c r="AE12" i="2"/>
  <c r="AE13" i="2"/>
  <c r="AE9" i="2"/>
  <c r="AE10" i="2"/>
  <c r="AE8" i="2"/>
  <c r="Y11" i="2"/>
  <c r="Y12" i="2"/>
  <c r="Y13" i="2"/>
  <c r="Y9" i="2"/>
  <c r="Y10" i="2"/>
  <c r="Y8" i="2"/>
  <c r="S11" i="2"/>
  <c r="S12" i="2"/>
  <c r="S13" i="2"/>
  <c r="S9" i="2"/>
  <c r="S10" i="2"/>
  <c r="S8" i="2"/>
  <c r="M11" i="2"/>
  <c r="M12" i="2"/>
  <c r="M13" i="2"/>
  <c r="M9" i="2"/>
  <c r="M10" i="2"/>
  <c r="M8" i="2"/>
  <c r="G10" i="2"/>
  <c r="G11" i="2"/>
  <c r="G12" i="2"/>
  <c r="G13" i="2"/>
  <c r="G9" i="2"/>
  <c r="G8" i="2"/>
</calcChain>
</file>

<file path=xl/comments1.xml><?xml version="1.0" encoding="utf-8"?>
<comments xmlns="http://schemas.openxmlformats.org/spreadsheetml/2006/main">
  <authors>
    <author>Vicente Sevilha Junior</author>
  </authors>
  <commentList>
    <comment ref="D8" authorId="0">
      <text>
        <r>
          <rPr>
            <b/>
            <sz val="10"/>
            <color indexed="81"/>
            <rFont val="CenturyGothic"/>
          </rPr>
          <t>Vicente Sevilha Junior:</t>
        </r>
        <r>
          <rPr>
            <sz val="10"/>
            <color indexed="81"/>
            <rFont val="CenturyGothic"/>
          </rPr>
          <t xml:space="preserve">
Informe aqui o faturamento nos doze meses anteriores ao período de apuração se sua empresa iniciou as atividades este ano ou se não teve movimentos todos os meses.
Considere as regras de proporcionalização.
Se sua empresa já tem atividades há mais de 12 meses e teve receitas todos os meses, preencha abaixo mês a mês o total da receita bruta</t>
        </r>
      </text>
    </comment>
    <comment ref="I8" authorId="0">
      <text>
        <r>
          <rPr>
            <b/>
            <sz val="10"/>
            <color indexed="81"/>
            <rFont val="CenturyGothic"/>
          </rPr>
          <t>Vicente Sevilha Junior:</t>
        </r>
        <r>
          <rPr>
            <sz val="10"/>
            <color indexed="81"/>
            <rFont val="CenturyGothic"/>
          </rPr>
          <t xml:space="preserve">
Informe aqui o total de sua folha de pagamento em doze meses ou preencha mês a mês os campos abaixo.
Considera-se folha de salários, incluídos encargos, o montante pago, nos doze meses anteriores ao período de apuração, a título de remunerações a pessoas físicas decorrentes do trabalho, acrescido do montante efetivamente recolhido a título de contribuição patronal previdenciária e FGTS, incluídas as retiradas de pró-labore.</t>
        </r>
      </text>
    </comment>
  </commentList>
</comments>
</file>

<file path=xl/sharedStrings.xml><?xml version="1.0" encoding="utf-8"?>
<sst xmlns="http://schemas.openxmlformats.org/spreadsheetml/2006/main" count="191" uniqueCount="99">
  <si>
    <t>Nome da empresa</t>
  </si>
  <si>
    <t>Faturamentos</t>
  </si>
  <si>
    <t>ano</t>
  </si>
  <si>
    <t>janeiro</t>
  </si>
  <si>
    <t>fevereiro</t>
  </si>
  <si>
    <t>março</t>
  </si>
  <si>
    <t>abril</t>
  </si>
  <si>
    <t>maio</t>
  </si>
  <si>
    <t>junho</t>
  </si>
  <si>
    <t>julho</t>
  </si>
  <si>
    <t>agosto</t>
  </si>
  <si>
    <t>setembro</t>
  </si>
  <si>
    <t>outubro</t>
  </si>
  <si>
    <t>novembro</t>
  </si>
  <si>
    <t>dezembro</t>
  </si>
  <si>
    <t>Faturamento Acumulado em 12 meses</t>
  </si>
  <si>
    <t>ND</t>
  </si>
  <si>
    <t>Faturamento em 12 meses manual</t>
  </si>
  <si>
    <t>Folha de Salários em 12 meses manual</t>
  </si>
  <si>
    <t>Folhas de Salários</t>
  </si>
  <si>
    <t>Razão Folha / Faturamento</t>
  </si>
  <si>
    <t>Faixa</t>
  </si>
  <si>
    <t>Receita Bruta em Doze Meses até</t>
  </si>
  <si>
    <t>Aliquota</t>
  </si>
  <si>
    <t>Valor a Deduzir R$</t>
  </si>
  <si>
    <t>Anexo I - Comércio</t>
  </si>
  <si>
    <t>Anexo II - Indústria</t>
  </si>
  <si>
    <t>Anexo III - Serviços</t>
  </si>
  <si>
    <t>Anexo IV - Serviços</t>
  </si>
  <si>
    <t>Anexo V - Serviços</t>
  </si>
  <si>
    <t>- creche, pré-escola e estabelecimento de ensino fundamental, escolas técnicas, profissionais e de ensino médio, de línguas estrangeiras, de artes, cursos técnicos de pilotagem, preparatórios para concursos, gerenciais e escolas livres;</t>
  </si>
  <si>
    <t>- agência terceirizada de correios;</t>
  </si>
  <si>
    <t>- agência de viagem e turismo;</t>
  </si>
  <si>
    <t>- centro de formação de condutores de veículos automotores de transporte terrestre de passageiros e de carga;</t>
  </si>
  <si>
    <t>- agência lotérica;</t>
  </si>
  <si>
    <t>- serviços de instalação, de reparos e de manutenção em geral, bem como de usinagem, solda, tratamento e revestimento em metais;</t>
  </si>
  <si>
    <t xml:space="preserve">- transporte municipal de passageiros; </t>
  </si>
  <si>
    <t>- escritórios de serviços contábeis,</t>
  </si>
  <si>
    <t>- produções cinematográficas, audiovisuais, artísticas e culturais, sua exibição ou apresentação, inclusive no caso de música, literatura, artes cênicas, artes visuais, cinematográficas e audiovisuais.</t>
  </si>
  <si>
    <t>- corretagem de seguros. </t>
  </si>
  <si>
    <t>- atividades de prestação de serviços de comunicação e de transportes interestadual e intermunicipal de cargas, e de transportes autorizados</t>
  </si>
  <si>
    <t>- demais atividades permitidas à opção do SIMPLES e não mencionadas expressamente nas demais tabelas</t>
  </si>
  <si>
    <t>Anexo III Aplicável a:</t>
  </si>
  <si>
    <t>Anexo IV aplicável a</t>
  </si>
  <si>
    <t>- construção de imóveis e obras de engenharia em geral, inclusive sob a forma de subempreitada, execução de projetos e serviços de paisagismo, bem como decoração de interiores;</t>
  </si>
  <si>
    <t>- serviço de vigilância, limpeza ou conservação.</t>
  </si>
  <si>
    <t>- serviços advocatícios. </t>
  </si>
  <si>
    <t>- medicina veterinária;</t>
  </si>
  <si>
    <t>- serviços de comissaria, de despachantes, de tradução e de interpretação;</t>
  </si>
  <si>
    <t>- engenharia, medição, cartografia, topografia, geologia, geodésia, testes, suporte e análises técnicas e tecnológicas, pesquisa, design, desenho e agronomia;  </t>
  </si>
  <si>
    <t>- representação comercial e demais atividades de intermediação de negócios e serviços de terceiros;</t>
  </si>
  <si>
    <t>- perícia, leilão e avaliação;  </t>
  </si>
  <si>
    <t>- auditoria, economia, consultoria, gestão, organização, controle e administração; </t>
  </si>
  <si>
    <t>- jornalismo e publicidade;  </t>
  </si>
  <si>
    <t>- agenciamento, exceto de mão de obra;</t>
  </si>
  <si>
    <t>- outras atividades do setor de serviços que tenham por finalidade a prestação de serviços decorrentes do exercício de atividade intelectual, de natureza técnica, científica, desportiva, artística ou cultural, que constitua profissão regulamentada ou não, desde que não sujeitas à tributação na forma dos Anexos III ou IV</t>
  </si>
  <si>
    <r>
      <t xml:space="preserve">- medicina, inclusive laboratorial, e enfermagem; </t>
    </r>
    <r>
      <rPr>
        <sz val="11"/>
        <color rgb="FFFF0000"/>
        <rFont val="CenturyGothic"/>
        <family val="2"/>
      </rPr>
      <t>aplicar anexo V se a razão entre a folha de salários e a receita bruta for inferior a 28%</t>
    </r>
  </si>
  <si>
    <r>
      <t xml:space="preserve">- odontologia </t>
    </r>
    <r>
      <rPr>
        <sz val="11"/>
        <color rgb="FFFF0000"/>
        <rFont val="CenturyGothic"/>
        <family val="2"/>
      </rPr>
      <t>(aplicar anexo V se a razão entre a folha de salários e a receita bruta for inferior a 28%)</t>
    </r>
    <r>
      <rPr>
        <sz val="11"/>
        <color theme="1"/>
        <rFont val="CenturyGothic"/>
        <family val="2"/>
      </rPr>
      <t xml:space="preserve"> e prótese dentária;</t>
    </r>
  </si>
  <si>
    <r>
      <t xml:space="preserve">- psicologia, psicanálise, terapia ocupacional, acupuntura, podologia, fonoaudiologia, clínicas de nutrição e de vacinação e bancos de leite;  </t>
    </r>
    <r>
      <rPr>
        <sz val="11"/>
        <color rgb="FFFF0000"/>
        <rFont val="CenturyGothic"/>
        <family val="2"/>
      </rPr>
      <t>aplicar anexo V se a razão entre a folha de salários e a receita bruta for inferior a 28%</t>
    </r>
  </si>
  <si>
    <r>
      <t xml:space="preserve">Anexo V aplicável as seguintes atividades, quando a razão entre folha de salários e receita bruta for inferior à 28%.  </t>
    </r>
    <r>
      <rPr>
        <sz val="11"/>
        <color rgb="FFFF0000"/>
        <rFont val="CenturyGothic"/>
        <family val="2"/>
      </rPr>
      <t>Aplicar anexo III nos demais casos</t>
    </r>
  </si>
  <si>
    <r>
      <t xml:space="preserve">- fisioterapia;  </t>
    </r>
    <r>
      <rPr>
        <sz val="11"/>
        <color rgb="FFFF0000"/>
        <rFont val="CenturyGothic"/>
        <family val="2"/>
      </rPr>
      <t>aplicar tabela V quando a relação entre a folha de salários e a receita bruta da microempresa ou da empresa de pequeno porte for inferior a 28%</t>
    </r>
  </si>
  <si>
    <r>
      <t>- Fisioterapia -</t>
    </r>
    <r>
      <rPr>
        <sz val="11"/>
        <color rgb="FFFF0000"/>
        <rFont val="CenturyGothic"/>
        <family val="2"/>
      </rPr>
      <t xml:space="preserve"> Aplicar tabela III quando a relação entre a folha de salários e a receita bruta da microempresa ou da empresa de pequeno porte for superior a 28%</t>
    </r>
  </si>
  <si>
    <r>
      <t xml:space="preserve">- arquitetura e urbanismo; </t>
    </r>
    <r>
      <rPr>
        <sz val="11"/>
        <color rgb="FFFF0000"/>
        <rFont val="CenturyGothic"/>
        <family val="2"/>
      </rPr>
      <t>aplicar tabela V quando a relação entre a folha de salários e a receita bruta da microempresa ou da empresa de pequeno porte for inferior a 28%</t>
    </r>
  </si>
  <si>
    <r>
      <t xml:space="preserve">- arquitetura e urbanismo; </t>
    </r>
    <r>
      <rPr>
        <sz val="11"/>
        <color rgb="FFFF0000"/>
        <rFont val="CenturyGothic"/>
        <family val="2"/>
      </rPr>
      <t>aplicar tabela III quando a relação entre a folha de salários e a receita bruta da microempresa ou da empresa de pequeno porte for superior a 28%</t>
    </r>
  </si>
  <si>
    <r>
      <t>- medicina, inclusive laboratorial e enfermagem;</t>
    </r>
    <r>
      <rPr>
        <sz val="11"/>
        <color rgb="FFFF0000"/>
        <rFont val="CenturyGothic"/>
        <family val="2"/>
      </rPr>
      <t xml:space="preserve"> aplicar anexo III se a razão entre a folha de salários e a receita bruta for superior a 28%</t>
    </r>
  </si>
  <si>
    <r>
      <t xml:space="preserve">- odontologia;     </t>
    </r>
    <r>
      <rPr>
        <sz val="11"/>
        <color rgb="FFFF0000"/>
        <rFont val="CenturyGothic"/>
        <family val="2"/>
      </rPr>
      <t>aplicar anexo III se a razão entre a folha de salários e a receita bruta for superior a 28%</t>
    </r>
  </si>
  <si>
    <r>
      <t xml:space="preserve">- psicologia, psicanálise, terapia ocupacional, acupuntura, podologia, fonoaudiologia, clínicas de nutrição e de vacinação e bancos de leite;   </t>
    </r>
    <r>
      <rPr>
        <sz val="11"/>
        <color rgb="FFFF0000"/>
        <rFont val="CenturyGothic"/>
        <family val="2"/>
      </rPr>
      <t>aplicar anexo III se a razão entre a folha de salários e a receita bruta for superior a 28%</t>
    </r>
  </si>
  <si>
    <r>
      <t xml:space="preserve">- administração e locação de imóveis de terceiros; </t>
    </r>
    <r>
      <rPr>
        <sz val="11"/>
        <color rgb="FFFF0000"/>
        <rFont val="CenturyGothic"/>
        <family val="2"/>
      </rPr>
      <t>aplicar anexo V se a razão entre a folha de salários e a receita bruta for inferior a 28%</t>
    </r>
  </si>
  <si>
    <r>
      <t xml:space="preserve">- administração e locação de imóveis de terceiros; </t>
    </r>
    <r>
      <rPr>
        <sz val="11"/>
        <color rgb="FFFF0000"/>
        <rFont val="CenturyGothic"/>
        <family val="2"/>
      </rPr>
      <t>aplicar anexo III se a razão entre a folha de salários e a receita bruta for superior a 28%</t>
    </r>
  </si>
  <si>
    <r>
      <t xml:space="preserve">- academias de dança, de capoeira, de ioga e de artes marciais; </t>
    </r>
    <r>
      <rPr>
        <sz val="11"/>
        <color rgb="FFFF0000"/>
        <rFont val="CenturyGothic"/>
        <family val="2"/>
      </rPr>
      <t>aplicar anexo V se a razão entre a folha de salários e a receita bruta for inferior a 28%</t>
    </r>
  </si>
  <si>
    <r>
      <t xml:space="preserve">- academias de dança, de capoeira, de ioga e de artes marciais; </t>
    </r>
    <r>
      <rPr>
        <sz val="11"/>
        <color rgb="FFFF0000"/>
        <rFont val="CenturyGothic"/>
        <family val="2"/>
      </rPr>
      <t>aplicar anexo III se a razão entre a folha de salários e a receita bruta for superior a 28%</t>
    </r>
  </si>
  <si>
    <r>
      <t xml:space="preserve">- academias de atividades físicas, desportivas, de natação e escolas de esportes; </t>
    </r>
    <r>
      <rPr>
        <sz val="11"/>
        <color rgb="FFFF0000"/>
        <rFont val="CenturyGothic"/>
        <family val="2"/>
      </rPr>
      <t>aplicar anexo V se a razão entre a folha de salários e a receita bruta for inferior a 28%</t>
    </r>
  </si>
  <si>
    <r>
      <t xml:space="preserve">- academias de atividades físicas, desportivas, de natação e escolas de esportes; </t>
    </r>
    <r>
      <rPr>
        <sz val="11"/>
        <color rgb="FFFF0000"/>
        <rFont val="CenturyGothic"/>
        <family val="2"/>
      </rPr>
      <t>aplicar anexo III se a razão entre a folha de salários e a receita bruta for superior a 28%</t>
    </r>
  </si>
  <si>
    <r>
      <t xml:space="preserve">- elaboração de programas de computadores, inclusive jogos eletrônicos, desde que desenvolvidos em estabelecimento do optante; de natação e escolas de esportes; </t>
    </r>
    <r>
      <rPr>
        <sz val="11"/>
        <color rgb="FFFF0000"/>
        <rFont val="CenturyGothic"/>
        <family val="2"/>
      </rPr>
      <t>aplicar anexo V se a razão entre a folha de salários e a receita bruta for inferior a 28%</t>
    </r>
  </si>
  <si>
    <r>
      <t xml:space="preserve">- elaboração de programas de computadores, inclusive jogos eletrônicos, desde que desenvolvidos em estabelecimento do optante; de natação e escolas de esportes; </t>
    </r>
    <r>
      <rPr>
        <sz val="11"/>
        <color rgb="FFFF0000"/>
        <rFont val="CenturyGothic"/>
        <family val="2"/>
      </rPr>
      <t>aplicar anexo III se a razão entre a folha de salários e a receita bruta for superior a 28%</t>
    </r>
  </si>
  <si>
    <r>
      <t xml:space="preserve">- licenciamento ou cessão de direito de uso de programas de computação; </t>
    </r>
    <r>
      <rPr>
        <sz val="11"/>
        <color rgb="FFFF0000"/>
        <rFont val="CenturyGothic"/>
        <family val="2"/>
      </rPr>
      <t>aplicar anexo V se a razão entre a folha de salários e a receita bruta for inferior a 28%</t>
    </r>
  </si>
  <si>
    <r>
      <t xml:space="preserve">- licenciamento ou cessão de direito de uso de programas de computação; </t>
    </r>
    <r>
      <rPr>
        <sz val="11"/>
        <color rgb="FFFF0000"/>
        <rFont val="CenturyGothic"/>
        <family val="2"/>
      </rPr>
      <t>aplicar anexo III se a razão entre a folha de salários e a receita bruta for superior a 28%</t>
    </r>
  </si>
  <si>
    <r>
      <t xml:space="preserve">- planejamento, confecção, manutenção e atualização de páginas eletrônicas, desde que realizados em estabelecimento do optante; </t>
    </r>
    <r>
      <rPr>
        <sz val="11"/>
        <color rgb="FFFF0000"/>
        <rFont val="CenturyGothic"/>
        <family val="2"/>
      </rPr>
      <t>aplicar anexo V se a razão entre a folha de salários e a receita bruta for inferior a 28%</t>
    </r>
  </si>
  <si>
    <r>
      <t xml:space="preserve">- planejamento, confecção, manutenção e atualização de páginas eletrônicas, desde que realizados em estabelecimento do optante; </t>
    </r>
    <r>
      <rPr>
        <sz val="11"/>
        <color rgb="FFFF0000"/>
        <rFont val="CenturyGothic"/>
        <family val="2"/>
      </rPr>
      <t>aplicar anexo III se a razão entre a folha de salários e a receita bruta for superior a 28%</t>
    </r>
  </si>
  <si>
    <r>
      <t xml:space="preserve">- empresas montadoras de estandes para feiras; </t>
    </r>
    <r>
      <rPr>
        <sz val="11"/>
        <color rgb="FFFF0000"/>
        <rFont val="CenturyGothic"/>
        <family val="2"/>
      </rPr>
      <t>aplicar anexo V se a razão entre a folha de salários e a receita bruta for inferior a 28%</t>
    </r>
  </si>
  <si>
    <r>
      <t xml:space="preserve">- empresas montadoras de estandes para feiras; </t>
    </r>
    <r>
      <rPr>
        <sz val="11"/>
        <color rgb="FFFF0000"/>
        <rFont val="CenturyGothic"/>
        <family val="2"/>
      </rPr>
      <t>aplicar anexo III se a razão entre a folha de salários e a receita bruta for superior a 28%</t>
    </r>
  </si>
  <si>
    <r>
      <t xml:space="preserve">- laboratórios de análises clínicas ou de patologia clínica;  </t>
    </r>
    <r>
      <rPr>
        <sz val="11"/>
        <color rgb="FFFF0000"/>
        <rFont val="CenturyGothic"/>
        <family val="2"/>
      </rPr>
      <t>aplicar anexo V se a razão entre a folha de salários e a receita bruta for inferior a 28%</t>
    </r>
  </si>
  <si>
    <r>
      <t>- serviços de tomografia, diagnósticos médicos por imagem, registros gráficos e métodos óticos, bem como ressonância magnética;</t>
    </r>
    <r>
      <rPr>
        <sz val="11"/>
        <color rgb="FFFF0000"/>
        <rFont val="CenturyGothic"/>
        <family val="2"/>
      </rPr>
      <t xml:space="preserve"> aplicar anexo V se a razão entre a folha de salários e a receita bruta for inferior a 28%</t>
    </r>
  </si>
  <si>
    <r>
      <t>- serviços de tomografia, diagnósticos médicos por imagem, registros gráficos e métodos óticos, bem como ressonância magnética;</t>
    </r>
    <r>
      <rPr>
        <sz val="11"/>
        <color rgb="FFFF0000"/>
        <rFont val="CenturyGothic"/>
        <family val="2"/>
      </rPr>
      <t xml:space="preserve"> aplicar anexo III se a razão entre a folha de salários e a receita bruta for superior a 28%</t>
    </r>
  </si>
  <si>
    <r>
      <t xml:space="preserve">- serviços de prótese em geral. </t>
    </r>
    <r>
      <rPr>
        <sz val="11"/>
        <color rgb="FFFF0000"/>
        <rFont val="CenturyGothic"/>
        <family val="2"/>
      </rPr>
      <t xml:space="preserve"> aplicar anexo V se a razão entre a folha de salários e a receita bruta for inferior a 28%</t>
    </r>
  </si>
  <si>
    <t>Alíquotas Efetivas</t>
  </si>
  <si>
    <t>Receitas da Tabela I</t>
  </si>
  <si>
    <t>Receitas da Tabela II</t>
  </si>
  <si>
    <t>Receitas da Tabela III</t>
  </si>
  <si>
    <t>Receitas da Tabela IV</t>
  </si>
  <si>
    <t>Receitas da Tabela V</t>
  </si>
  <si>
    <t>Aliq Efetiva</t>
  </si>
  <si>
    <t>www.sevilha.com.br</t>
  </si>
  <si>
    <t>(11) 2879.6682</t>
  </si>
  <si>
    <t>SIMULAÇÃO DO SIMPLES SEGUNDO LC 155 - VIGOR EM 01/01/2018 EM DIANTE</t>
  </si>
  <si>
    <t>MERA SIMULAÇÃO - SUJEITA A ALTERAÇÃO</t>
  </si>
  <si>
    <t>Versão 1.0</t>
  </si>
  <si>
    <t>Folha de Salários Acumulado em 12 meses</t>
  </si>
  <si>
    <t xml:space="preserve">instruções de uso em http://www.sevilha.com.br/planilhalc155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</si>
</sst>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6" formatCode="&quot;R$&quot;#,##0_);[Red]\(&quot;R$&quot;#,##0\)"/>
    <numFmt numFmtId="8" formatCode="&quot;R$&quot;#,##0.00_);[Red]\(&quot;R$&quot;#,##0.00\)"/>
    <numFmt numFmtId="44" formatCode="_(&quot;R$&quot;* #,##0.00_);_(&quot;R$&quot;* \(#,##0.00\);_(&quot;R$&quot;* &quot;-&quot;??_);_(@_)"/>
    <numFmt numFmtId="164" formatCode="0.0000%"/>
  </numFmts>
  <fonts count="13" x14ac:knownFonts="1">
    <font>
      <sz val="11"/>
      <color theme="1"/>
      <name val="CenturyGothic"/>
      <family val="2"/>
    </font>
    <font>
      <sz val="11"/>
      <color theme="1"/>
      <name val="CenturyGothic"/>
      <family val="2"/>
    </font>
    <font>
      <sz val="11"/>
      <color theme="1"/>
      <name val="CenturyGothic"/>
      <family val="2"/>
    </font>
    <font>
      <sz val="11"/>
      <color rgb="FFFF0000"/>
      <name val="CenturyGothic"/>
      <family val="2"/>
    </font>
    <font>
      <b/>
      <sz val="11"/>
      <color theme="1"/>
      <name val="CenturyGothic"/>
      <family val="2"/>
    </font>
    <font>
      <sz val="11"/>
      <color theme="0"/>
      <name val="CenturyGothic"/>
      <family val="2"/>
    </font>
    <font>
      <sz val="10"/>
      <color indexed="81"/>
      <name val="CenturyGothic"/>
    </font>
    <font>
      <b/>
      <sz val="10"/>
      <color indexed="81"/>
      <name val="CenturyGothic"/>
    </font>
    <font>
      <u/>
      <sz val="11"/>
      <color theme="10"/>
      <name val="CenturyGothic"/>
      <family val="2"/>
    </font>
    <font>
      <u/>
      <sz val="11"/>
      <color theme="9" tint="-0.499984740745262"/>
      <name val="CenturyGothic"/>
      <family val="2"/>
    </font>
    <font>
      <sz val="11"/>
      <color theme="9" tint="-0.499984740745262"/>
      <name val="CenturyGothic"/>
      <family val="2"/>
    </font>
    <font>
      <sz val="8"/>
      <name val="CenturyGothic"/>
      <family val="2"/>
    </font>
    <font>
      <sz val="11"/>
      <color theme="2" tint="-9.9978637043366805E-2"/>
      <name val="CenturyGothic"/>
      <family val="2"/>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dotted">
        <color auto="1"/>
      </bottom>
      <diagonal/>
    </border>
    <border>
      <left/>
      <right/>
      <top style="thin">
        <color auto="1"/>
      </top>
      <bottom style="dotted">
        <color auto="1"/>
      </bottom>
      <diagonal/>
    </border>
    <border>
      <left/>
      <right style="thin">
        <color auto="1"/>
      </right>
      <top style="thin">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thin">
        <color auto="1"/>
      </right>
      <top style="dotted">
        <color auto="1"/>
      </top>
      <bottom style="dotted">
        <color auto="1"/>
      </bottom>
      <diagonal/>
    </border>
    <border>
      <left style="thin">
        <color auto="1"/>
      </left>
      <right/>
      <top style="dotted">
        <color auto="1"/>
      </top>
      <bottom style="thin">
        <color auto="1"/>
      </bottom>
      <diagonal/>
    </border>
    <border>
      <left/>
      <right/>
      <top style="dotted">
        <color auto="1"/>
      </top>
      <bottom style="thin">
        <color auto="1"/>
      </bottom>
      <diagonal/>
    </border>
    <border>
      <left/>
      <right style="thin">
        <color auto="1"/>
      </right>
      <top style="dotted">
        <color auto="1"/>
      </top>
      <bottom style="thin">
        <color auto="1"/>
      </bottom>
      <diagonal/>
    </border>
  </borders>
  <cellStyleXfs count="4">
    <xf numFmtId="0" fontId="0" fillId="0" borderId="0"/>
    <xf numFmtId="44" fontId="2"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cellStyleXfs>
  <cellXfs count="61">
    <xf numFmtId="0" fontId="0" fillId="0" borderId="0" xfId="0"/>
    <xf numFmtId="10" fontId="0" fillId="0" borderId="0" xfId="2" applyNumberFormat="1" applyFont="1"/>
    <xf numFmtId="0" fontId="0" fillId="0" borderId="1" xfId="0" applyBorder="1"/>
    <xf numFmtId="10" fontId="0" fillId="0" borderId="1" xfId="2" applyNumberFormat="1" applyFont="1" applyBorder="1"/>
    <xf numFmtId="8" fontId="0" fillId="0" borderId="1" xfId="0" applyNumberFormat="1" applyBorder="1"/>
    <xf numFmtId="6" fontId="0" fillId="0" borderId="1" xfId="0" applyNumberFormat="1" applyBorder="1"/>
    <xf numFmtId="0" fontId="0" fillId="0" borderId="0" xfId="0" applyBorder="1"/>
    <xf numFmtId="10" fontId="0" fillId="0" borderId="0" xfId="2" applyNumberFormat="1" applyFont="1" applyBorder="1"/>
    <xf numFmtId="8" fontId="0" fillId="0" borderId="0" xfId="0" applyNumberFormat="1" applyBorder="1"/>
    <xf numFmtId="6" fontId="0" fillId="0" borderId="0" xfId="0" applyNumberFormat="1" applyBorder="1"/>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0" xfId="0" applyBorder="1" applyAlignment="1">
      <alignment vertical="center"/>
    </xf>
    <xf numFmtId="0" fontId="0" fillId="0" borderId="0" xfId="0" applyBorder="1" applyAlignment="1">
      <alignment horizontal="center" vertical="center" wrapText="1"/>
    </xf>
    <xf numFmtId="0" fontId="0" fillId="0" borderId="0" xfId="0" quotePrefix="1" applyBorder="1" applyAlignment="1">
      <alignment horizontal="center" vertical="center" wrapText="1"/>
    </xf>
    <xf numFmtId="0" fontId="9" fillId="0" borderId="0" xfId="3" applyFont="1"/>
    <xf numFmtId="0" fontId="10" fillId="0" borderId="0" xfId="0" applyFont="1"/>
    <xf numFmtId="0" fontId="5" fillId="0" borderId="0" xfId="0" applyFont="1"/>
    <xf numFmtId="0" fontId="5" fillId="0" borderId="0" xfId="0" applyFont="1" applyFill="1" applyBorder="1"/>
    <xf numFmtId="10" fontId="5" fillId="0" borderId="0" xfId="2" applyNumberFormat="1" applyFont="1"/>
    <xf numFmtId="0" fontId="5" fillId="0" borderId="0" xfId="0" applyFont="1" applyBorder="1" applyAlignment="1">
      <alignment horizontal="center"/>
    </xf>
    <xf numFmtId="0" fontId="5" fillId="0" borderId="0" xfId="0" applyFont="1" applyBorder="1" applyAlignment="1">
      <alignment vertical="center"/>
    </xf>
    <xf numFmtId="0" fontId="0" fillId="0" borderId="0" xfId="0" applyProtection="1"/>
    <xf numFmtId="0" fontId="10" fillId="0" borderId="0" xfId="0" applyFont="1" applyProtection="1"/>
    <xf numFmtId="0" fontId="9" fillId="0" borderId="0" xfId="3" applyFont="1" applyProtection="1"/>
    <xf numFmtId="0" fontId="5" fillId="0" borderId="0" xfId="0" applyFont="1" applyProtection="1"/>
    <xf numFmtId="44" fontId="5" fillId="0" borderId="0" xfId="0" applyNumberFormat="1" applyFont="1" applyProtection="1"/>
    <xf numFmtId="0" fontId="4" fillId="0" borderId="0" xfId="0" applyFont="1" applyProtection="1"/>
    <xf numFmtId="0" fontId="0" fillId="0" borderId="1" xfId="0" applyBorder="1" applyProtection="1"/>
    <xf numFmtId="44" fontId="0" fillId="0" borderId="1" xfId="1" applyFont="1" applyBorder="1" applyAlignment="1" applyProtection="1">
      <alignment vertical="center"/>
    </xf>
    <xf numFmtId="164" fontId="0" fillId="0" borderId="1" xfId="2" applyNumberFormat="1" applyFont="1" applyBorder="1" applyAlignment="1" applyProtection="1">
      <alignment horizontal="center" vertical="center"/>
    </xf>
    <xf numFmtId="164" fontId="0" fillId="0" borderId="1" xfId="0" applyNumberFormat="1" applyBorder="1" applyAlignment="1" applyProtection="1">
      <alignment horizontal="center" vertical="center"/>
    </xf>
    <xf numFmtId="10" fontId="0" fillId="0" borderId="1" xfId="2" applyNumberFormat="1" applyFont="1" applyBorder="1" applyProtection="1"/>
    <xf numFmtId="44" fontId="0" fillId="2" borderId="1" xfId="1" applyFont="1" applyFill="1" applyBorder="1" applyProtection="1">
      <protection locked="0"/>
    </xf>
    <xf numFmtId="0" fontId="0" fillId="2" borderId="1" xfId="0" applyFill="1" applyBorder="1" applyProtection="1">
      <protection locked="0"/>
    </xf>
    <xf numFmtId="0" fontId="0" fillId="3" borderId="1" xfId="0" applyFill="1" applyBorder="1" applyProtection="1"/>
    <xf numFmtId="0" fontId="0" fillId="0" borderId="1" xfId="0" applyBorder="1" applyAlignment="1" applyProtection="1">
      <alignment horizontal="center"/>
    </xf>
    <xf numFmtId="0" fontId="0" fillId="0" borderId="1" xfId="0" applyBorder="1" applyAlignment="1" applyProtection="1">
      <alignment horizontal="center" vertical="center" wrapText="1"/>
    </xf>
    <xf numFmtId="0" fontId="12" fillId="2" borderId="1" xfId="0" applyFont="1" applyFill="1" applyBorder="1" applyAlignment="1" applyProtection="1">
      <alignment horizontal="center"/>
      <protection locked="0"/>
    </xf>
    <xf numFmtId="0" fontId="0" fillId="0" borderId="1" xfId="0" applyBorder="1" applyAlignment="1">
      <alignment horizontal="center"/>
    </xf>
    <xf numFmtId="0" fontId="0" fillId="0" borderId="0" xfId="0" applyBorder="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quotePrefix="1" applyBorder="1" applyAlignment="1">
      <alignment horizontal="center" vertical="center" wrapText="1"/>
    </xf>
    <xf numFmtId="0" fontId="0" fillId="0" borderId="9" xfId="0" quotePrefix="1" applyBorder="1" applyAlignment="1">
      <alignment horizontal="center" vertical="center" wrapText="1"/>
    </xf>
    <xf numFmtId="0" fontId="0" fillId="0" borderId="10" xfId="0" quotePrefix="1"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5" xfId="0" quotePrefix="1" applyBorder="1" applyAlignment="1">
      <alignment horizontal="center" vertical="center" wrapText="1"/>
    </xf>
    <xf numFmtId="0" fontId="0" fillId="0" borderId="6" xfId="0" quotePrefix="1" applyBorder="1" applyAlignment="1">
      <alignment horizontal="center" vertical="center" wrapText="1"/>
    </xf>
    <xf numFmtId="0" fontId="0" fillId="0" borderId="7" xfId="0" quotePrefix="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quotePrefix="1" applyBorder="1" applyAlignment="1">
      <alignment horizontal="center" wrapText="1"/>
    </xf>
    <xf numFmtId="0" fontId="0" fillId="0" borderId="6" xfId="0" quotePrefix="1" applyBorder="1" applyAlignment="1">
      <alignment horizontal="center" wrapText="1"/>
    </xf>
    <xf numFmtId="0" fontId="0" fillId="0" borderId="7" xfId="0" quotePrefix="1" applyBorder="1" applyAlignment="1">
      <alignment horizontal="center" wrapText="1"/>
    </xf>
    <xf numFmtId="0" fontId="8" fillId="0" borderId="0" xfId="3" applyProtection="1">
      <protection locked="0"/>
    </xf>
  </cellXfs>
  <cellStyles count="4">
    <cellStyle name="Hiperlink" xfId="3" builtinId="8"/>
    <cellStyle name="Moeda" xfId="1" builtinId="4"/>
    <cellStyle name="Normal" xfId="0" builtinId="0"/>
    <cellStyle name="Porcentagem" xfId="2" builtinId="5"/>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6"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2387600</xdr:colOff>
      <xdr:row>4</xdr:row>
      <xdr:rowOff>93857</xdr:rowOff>
    </xdr:to>
    <xdr:pic>
      <xdr:nvPicPr>
        <xdr:cNvPr id="2" name="Imagem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5500" y="0"/>
          <a:ext cx="2387600" cy="8050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3</xdr:col>
      <xdr:colOff>1854200</xdr:colOff>
      <xdr:row>4</xdr:row>
      <xdr:rowOff>59599</xdr:rowOff>
    </xdr:to>
    <xdr:pic>
      <xdr:nvPicPr>
        <xdr:cNvPr id="2" name="Imagem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51000" y="0"/>
          <a:ext cx="2286000" cy="770799"/>
        </a:xfrm>
        <a:prstGeom prst="rect">
          <a:avLst/>
        </a:prstGeom>
      </xdr:spPr>
    </xdr:pic>
    <xdr:clientData/>
  </xdr:twoCellAnchor>
  <xdr:twoCellAnchor editAs="oneCell">
    <xdr:from>
      <xdr:col>8</xdr:col>
      <xdr:colOff>50800</xdr:colOff>
      <xdr:row>0</xdr:row>
      <xdr:rowOff>0</xdr:rowOff>
    </xdr:from>
    <xdr:to>
      <xdr:col>9</xdr:col>
      <xdr:colOff>1905000</xdr:colOff>
      <xdr:row>4</xdr:row>
      <xdr:rowOff>59599</xdr:rowOff>
    </xdr:to>
    <xdr:pic>
      <xdr:nvPicPr>
        <xdr:cNvPr id="3" name="Imagem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97900" y="0"/>
          <a:ext cx="2286000" cy="770799"/>
        </a:xfrm>
        <a:prstGeom prst="rect">
          <a:avLst/>
        </a:prstGeom>
      </xdr:spPr>
    </xdr:pic>
    <xdr:clientData/>
  </xdr:twoCellAnchor>
  <xdr:twoCellAnchor editAs="oneCell">
    <xdr:from>
      <xdr:col>14</xdr:col>
      <xdr:colOff>63500</xdr:colOff>
      <xdr:row>0</xdr:row>
      <xdr:rowOff>50800</xdr:rowOff>
    </xdr:from>
    <xdr:to>
      <xdr:col>15</xdr:col>
      <xdr:colOff>1917700</xdr:colOff>
      <xdr:row>4</xdr:row>
      <xdr:rowOff>110399</xdr:rowOff>
    </xdr:to>
    <xdr:pic>
      <xdr:nvPicPr>
        <xdr:cNvPr id="4" name="Imagem 3"/>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062200" y="50800"/>
          <a:ext cx="2286000" cy="770799"/>
        </a:xfrm>
        <a:prstGeom prst="rect">
          <a:avLst/>
        </a:prstGeom>
      </xdr:spPr>
    </xdr:pic>
    <xdr:clientData/>
  </xdr:twoCellAnchor>
  <xdr:twoCellAnchor editAs="oneCell">
    <xdr:from>
      <xdr:col>20</xdr:col>
      <xdr:colOff>0</xdr:colOff>
      <xdr:row>0</xdr:row>
      <xdr:rowOff>0</xdr:rowOff>
    </xdr:from>
    <xdr:to>
      <xdr:col>21</xdr:col>
      <xdr:colOff>1854200</xdr:colOff>
      <xdr:row>4</xdr:row>
      <xdr:rowOff>59599</xdr:rowOff>
    </xdr:to>
    <xdr:pic>
      <xdr:nvPicPr>
        <xdr:cNvPr id="5" name="Imagem 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450300" y="0"/>
          <a:ext cx="2286000" cy="770799"/>
        </a:xfrm>
        <a:prstGeom prst="rect">
          <a:avLst/>
        </a:prstGeom>
      </xdr:spPr>
    </xdr:pic>
    <xdr:clientData/>
  </xdr:twoCellAnchor>
  <xdr:twoCellAnchor editAs="oneCell">
    <xdr:from>
      <xdr:col>26</xdr:col>
      <xdr:colOff>0</xdr:colOff>
      <xdr:row>0</xdr:row>
      <xdr:rowOff>0</xdr:rowOff>
    </xdr:from>
    <xdr:to>
      <xdr:col>27</xdr:col>
      <xdr:colOff>1587500</xdr:colOff>
      <xdr:row>4</xdr:row>
      <xdr:rowOff>59599</xdr:rowOff>
    </xdr:to>
    <xdr:pic>
      <xdr:nvPicPr>
        <xdr:cNvPr id="6" name="Imagem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901900" y="0"/>
          <a:ext cx="2286000" cy="770799"/>
        </a:xfrm>
        <a:prstGeom prst="rect">
          <a:avLst/>
        </a:prstGeom>
      </xdr:spPr>
    </xdr:pic>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4" Type="http://schemas.openxmlformats.org/officeDocument/2006/relationships/vmlDrawing" Target="../drawings/vmlDrawing1.vml"/><Relationship Id="rId5" Type="http://schemas.openxmlformats.org/officeDocument/2006/relationships/comments" Target="../comments1.xml"/><Relationship Id="rId1" Type="http://schemas.openxmlformats.org/officeDocument/2006/relationships/hyperlink" Target="http://www.sevilha.com.br/" TargetMode="External"/><Relationship Id="rId2" Type="http://schemas.openxmlformats.org/officeDocument/2006/relationships/hyperlink" Target="http://www.sevilha.com.br/planilhalc155"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sevilha.com.br/" TargetMode="External"/><Relationship Id="rId4" Type="http://schemas.openxmlformats.org/officeDocument/2006/relationships/hyperlink" Target="http://www.sevilha.com.br/" TargetMode="External"/><Relationship Id="rId5" Type="http://schemas.openxmlformats.org/officeDocument/2006/relationships/hyperlink" Target="http://www.sevilha.com.br/" TargetMode="External"/><Relationship Id="rId6" Type="http://schemas.openxmlformats.org/officeDocument/2006/relationships/drawing" Target="../drawings/drawing2.xml"/><Relationship Id="rId1" Type="http://schemas.openxmlformats.org/officeDocument/2006/relationships/hyperlink" Target="http://www.sevilha.com.br/" TargetMode="External"/><Relationship Id="rId2" Type="http://schemas.openxmlformats.org/officeDocument/2006/relationships/hyperlink" Target="http://www.sevilha.com.b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pageSetUpPr fitToPage="1"/>
  </sheetPr>
  <dimension ref="B1:J46"/>
  <sheetViews>
    <sheetView showGridLines="0" tabSelected="1" workbookViewId="0">
      <selection activeCell="C6" sqref="C6:E6"/>
    </sheetView>
  </sheetViews>
  <sheetFormatPr baseColWidth="10" defaultRowHeight="14" x14ac:dyDescent="0.15"/>
  <cols>
    <col min="1" max="1" width="10.83203125" style="23"/>
    <col min="2" max="2" width="32" style="23" bestFit="1" customWidth="1"/>
    <col min="3" max="3" width="5.1640625" style="23" bestFit="1" customWidth="1"/>
    <col min="4" max="4" width="25.1640625" style="23" customWidth="1"/>
    <col min="5" max="5" width="15.1640625" style="23" bestFit="1" customWidth="1"/>
    <col min="6" max="6" width="16.33203125" style="23" customWidth="1"/>
    <col min="7" max="7" width="33" style="23" customWidth="1"/>
    <col min="8" max="8" width="5.1640625" style="23" bestFit="1" customWidth="1"/>
    <col min="9" max="9" width="19.1640625" style="23" customWidth="1"/>
    <col min="10" max="10" width="19.5" style="23" customWidth="1"/>
    <col min="11" max="16384" width="10.83203125" style="23"/>
  </cols>
  <sheetData>
    <row r="1" spans="2:10" x14ac:dyDescent="0.15">
      <c r="D1" s="28" t="s">
        <v>94</v>
      </c>
      <c r="E1" s="28"/>
      <c r="F1" s="28"/>
      <c r="G1" s="28"/>
      <c r="H1" s="28"/>
      <c r="I1" s="28"/>
    </row>
    <row r="2" spans="2:10" x14ac:dyDescent="0.15">
      <c r="D2" s="28" t="s">
        <v>95</v>
      </c>
      <c r="E2" s="28"/>
      <c r="F2" s="28"/>
      <c r="G2" s="28"/>
      <c r="H2" s="28"/>
      <c r="I2" s="28" t="s">
        <v>96</v>
      </c>
    </row>
    <row r="3" spans="2:10" x14ac:dyDescent="0.15">
      <c r="G3" s="24" t="s">
        <v>93</v>
      </c>
    </row>
    <row r="4" spans="2:10" x14ac:dyDescent="0.15">
      <c r="D4" s="60" t="s">
        <v>98</v>
      </c>
      <c r="G4" s="25" t="s">
        <v>92</v>
      </c>
    </row>
    <row r="6" spans="2:10" x14ac:dyDescent="0.15">
      <c r="B6" s="29" t="s">
        <v>0</v>
      </c>
      <c r="C6" s="39"/>
      <c r="D6" s="39"/>
      <c r="E6" s="39"/>
      <c r="G6" s="37" t="s">
        <v>20</v>
      </c>
      <c r="H6" s="37"/>
      <c r="I6" s="33">
        <f>IF(I36&gt;0,I36/D36,0)</f>
        <v>0</v>
      </c>
    </row>
    <row r="8" spans="2:10" x14ac:dyDescent="0.15">
      <c r="B8" s="37" t="s">
        <v>17</v>
      </c>
      <c r="C8" s="37"/>
      <c r="D8" s="34">
        <v>0</v>
      </c>
      <c r="E8" s="26"/>
      <c r="G8" s="37" t="s">
        <v>18</v>
      </c>
      <c r="H8" s="37"/>
      <c r="I8" s="34">
        <v>0</v>
      </c>
    </row>
    <row r="9" spans="2:10" x14ac:dyDescent="0.15">
      <c r="B9" s="37" t="s">
        <v>1</v>
      </c>
      <c r="C9" s="37"/>
      <c r="D9" s="37"/>
      <c r="E9" s="26"/>
      <c r="G9" s="37" t="s">
        <v>19</v>
      </c>
      <c r="H9" s="37"/>
      <c r="I9" s="37"/>
      <c r="J9" s="26"/>
    </row>
    <row r="10" spans="2:10" x14ac:dyDescent="0.15">
      <c r="B10" s="29" t="s">
        <v>2</v>
      </c>
      <c r="C10" s="36">
        <f>D10</f>
        <v>2015</v>
      </c>
      <c r="D10" s="35">
        <v>2015</v>
      </c>
      <c r="E10" s="26"/>
      <c r="G10" s="29" t="s">
        <v>2</v>
      </c>
      <c r="H10" s="29">
        <f t="shared" ref="H10:H34" si="0">C10</f>
        <v>2015</v>
      </c>
      <c r="I10" s="36">
        <f>H10</f>
        <v>2015</v>
      </c>
      <c r="J10" s="26"/>
    </row>
    <row r="11" spans="2:10" x14ac:dyDescent="0.15">
      <c r="B11" s="29" t="s">
        <v>3</v>
      </c>
      <c r="C11" s="29">
        <f t="shared" ref="C11:C22" si="1">C10</f>
        <v>2015</v>
      </c>
      <c r="D11" s="34">
        <v>0</v>
      </c>
      <c r="E11" s="26" t="s">
        <v>16</v>
      </c>
      <c r="G11" s="29" t="s">
        <v>3</v>
      </c>
      <c r="H11" s="29">
        <f t="shared" si="0"/>
        <v>2015</v>
      </c>
      <c r="I11" s="34">
        <v>0</v>
      </c>
      <c r="J11" s="26" t="s">
        <v>16</v>
      </c>
    </row>
    <row r="12" spans="2:10" x14ac:dyDescent="0.15">
      <c r="B12" s="29" t="s">
        <v>4</v>
      </c>
      <c r="C12" s="29">
        <f t="shared" si="1"/>
        <v>2015</v>
      </c>
      <c r="D12" s="34">
        <v>0</v>
      </c>
      <c r="E12" s="26" t="s">
        <v>16</v>
      </c>
      <c r="G12" s="29" t="s">
        <v>4</v>
      </c>
      <c r="H12" s="29">
        <f t="shared" si="0"/>
        <v>2015</v>
      </c>
      <c r="I12" s="34">
        <v>0</v>
      </c>
      <c r="J12" s="26" t="s">
        <v>16</v>
      </c>
    </row>
    <row r="13" spans="2:10" x14ac:dyDescent="0.15">
      <c r="B13" s="29" t="s">
        <v>5</v>
      </c>
      <c r="C13" s="29">
        <f t="shared" si="1"/>
        <v>2015</v>
      </c>
      <c r="D13" s="34">
        <v>0</v>
      </c>
      <c r="E13" s="26" t="s">
        <v>16</v>
      </c>
      <c r="G13" s="29" t="s">
        <v>5</v>
      </c>
      <c r="H13" s="29">
        <f t="shared" si="0"/>
        <v>2015</v>
      </c>
      <c r="I13" s="34">
        <v>0</v>
      </c>
      <c r="J13" s="26" t="s">
        <v>16</v>
      </c>
    </row>
    <row r="14" spans="2:10" x14ac:dyDescent="0.15">
      <c r="B14" s="29" t="s">
        <v>6</v>
      </c>
      <c r="C14" s="29">
        <f t="shared" si="1"/>
        <v>2015</v>
      </c>
      <c r="D14" s="34">
        <v>0</v>
      </c>
      <c r="E14" s="26" t="s">
        <v>16</v>
      </c>
      <c r="G14" s="29" t="s">
        <v>6</v>
      </c>
      <c r="H14" s="29">
        <f t="shared" si="0"/>
        <v>2015</v>
      </c>
      <c r="I14" s="34">
        <v>0</v>
      </c>
      <c r="J14" s="26" t="s">
        <v>16</v>
      </c>
    </row>
    <row r="15" spans="2:10" x14ac:dyDescent="0.15">
      <c r="B15" s="29" t="s">
        <v>7</v>
      </c>
      <c r="C15" s="29">
        <f t="shared" si="1"/>
        <v>2015</v>
      </c>
      <c r="D15" s="34">
        <v>0</v>
      </c>
      <c r="E15" s="26" t="s">
        <v>16</v>
      </c>
      <c r="G15" s="29" t="s">
        <v>7</v>
      </c>
      <c r="H15" s="29">
        <f t="shared" si="0"/>
        <v>2015</v>
      </c>
      <c r="I15" s="34">
        <v>0</v>
      </c>
      <c r="J15" s="26" t="s">
        <v>16</v>
      </c>
    </row>
    <row r="16" spans="2:10" x14ac:dyDescent="0.15">
      <c r="B16" s="29" t="s">
        <v>8</v>
      </c>
      <c r="C16" s="29">
        <f t="shared" si="1"/>
        <v>2015</v>
      </c>
      <c r="D16" s="34">
        <v>0</v>
      </c>
      <c r="E16" s="26" t="s">
        <v>16</v>
      </c>
      <c r="G16" s="29" t="s">
        <v>8</v>
      </c>
      <c r="H16" s="29">
        <f t="shared" si="0"/>
        <v>2015</v>
      </c>
      <c r="I16" s="34">
        <v>0</v>
      </c>
      <c r="J16" s="26" t="s">
        <v>16</v>
      </c>
    </row>
    <row r="17" spans="2:10" x14ac:dyDescent="0.15">
      <c r="B17" s="29" t="s">
        <v>9</v>
      </c>
      <c r="C17" s="29">
        <f t="shared" si="1"/>
        <v>2015</v>
      </c>
      <c r="D17" s="34">
        <v>0</v>
      </c>
      <c r="E17" s="26" t="s">
        <v>16</v>
      </c>
      <c r="G17" s="29" t="s">
        <v>9</v>
      </c>
      <c r="H17" s="29">
        <f t="shared" si="0"/>
        <v>2015</v>
      </c>
      <c r="I17" s="34">
        <v>0</v>
      </c>
      <c r="J17" s="26" t="s">
        <v>16</v>
      </c>
    </row>
    <row r="18" spans="2:10" x14ac:dyDescent="0.15">
      <c r="B18" s="29" t="s">
        <v>10</v>
      </c>
      <c r="C18" s="29">
        <f t="shared" si="1"/>
        <v>2015</v>
      </c>
      <c r="D18" s="34">
        <v>0</v>
      </c>
      <c r="E18" s="26" t="s">
        <v>16</v>
      </c>
      <c r="G18" s="29" t="s">
        <v>10</v>
      </c>
      <c r="H18" s="29">
        <f t="shared" si="0"/>
        <v>2015</v>
      </c>
      <c r="I18" s="34">
        <v>0</v>
      </c>
      <c r="J18" s="26" t="s">
        <v>16</v>
      </c>
    </row>
    <row r="19" spans="2:10" x14ac:dyDescent="0.15">
      <c r="B19" s="29" t="s">
        <v>11</v>
      </c>
      <c r="C19" s="29">
        <f t="shared" si="1"/>
        <v>2015</v>
      </c>
      <c r="D19" s="34">
        <v>0</v>
      </c>
      <c r="E19" s="26" t="s">
        <v>16</v>
      </c>
      <c r="G19" s="29" t="s">
        <v>11</v>
      </c>
      <c r="H19" s="29">
        <f t="shared" si="0"/>
        <v>2015</v>
      </c>
      <c r="I19" s="34">
        <v>0</v>
      </c>
      <c r="J19" s="26" t="s">
        <v>16</v>
      </c>
    </row>
    <row r="20" spans="2:10" x14ac:dyDescent="0.15">
      <c r="B20" s="29" t="s">
        <v>12</v>
      </c>
      <c r="C20" s="29">
        <f t="shared" si="1"/>
        <v>2015</v>
      </c>
      <c r="D20" s="34">
        <v>0</v>
      </c>
      <c r="E20" s="26" t="s">
        <v>16</v>
      </c>
      <c r="G20" s="29" t="s">
        <v>12</v>
      </c>
      <c r="H20" s="29">
        <f t="shared" si="0"/>
        <v>2015</v>
      </c>
      <c r="I20" s="34">
        <v>0</v>
      </c>
      <c r="J20" s="26" t="s">
        <v>16</v>
      </c>
    </row>
    <row r="21" spans="2:10" x14ac:dyDescent="0.15">
      <c r="B21" s="29" t="s">
        <v>13</v>
      </c>
      <c r="C21" s="29">
        <f t="shared" si="1"/>
        <v>2015</v>
      </c>
      <c r="D21" s="34">
        <v>0</v>
      </c>
      <c r="E21" s="26" t="s">
        <v>16</v>
      </c>
      <c r="G21" s="29" t="s">
        <v>13</v>
      </c>
      <c r="H21" s="29">
        <f t="shared" si="0"/>
        <v>2015</v>
      </c>
      <c r="I21" s="34">
        <v>0</v>
      </c>
      <c r="J21" s="26" t="s">
        <v>16</v>
      </c>
    </row>
    <row r="22" spans="2:10" x14ac:dyDescent="0.15">
      <c r="B22" s="29" t="s">
        <v>14</v>
      </c>
      <c r="C22" s="29">
        <f t="shared" si="1"/>
        <v>2015</v>
      </c>
      <c r="D22" s="34">
        <v>0</v>
      </c>
      <c r="E22" s="26" t="s">
        <v>16</v>
      </c>
      <c r="G22" s="29" t="s">
        <v>14</v>
      </c>
      <c r="H22" s="29">
        <f t="shared" si="0"/>
        <v>2015</v>
      </c>
      <c r="I22" s="34">
        <v>0</v>
      </c>
      <c r="J22" s="26" t="s">
        <v>16</v>
      </c>
    </row>
    <row r="23" spans="2:10" x14ac:dyDescent="0.15">
      <c r="B23" s="29" t="s">
        <v>3</v>
      </c>
      <c r="C23" s="29">
        <f>C22+1</f>
        <v>2016</v>
      </c>
      <c r="D23" s="34">
        <v>0</v>
      </c>
      <c r="E23" s="27">
        <f t="shared" ref="E23:E34" si="2">IF(D23&gt;0,SUM(D11:D22),0)</f>
        <v>0</v>
      </c>
      <c r="G23" s="29" t="s">
        <v>3</v>
      </c>
      <c r="H23" s="29">
        <f t="shared" si="0"/>
        <v>2016</v>
      </c>
      <c r="I23" s="34">
        <v>0</v>
      </c>
      <c r="J23" s="27">
        <f t="shared" ref="J23:J34" si="3">IF(I23&gt;0,SUM(I11:I22),0)</f>
        <v>0</v>
      </c>
    </row>
    <row r="24" spans="2:10" x14ac:dyDescent="0.15">
      <c r="B24" s="29" t="s">
        <v>4</v>
      </c>
      <c r="C24" s="29">
        <f t="shared" ref="C24:C34" si="4">C23</f>
        <v>2016</v>
      </c>
      <c r="D24" s="34">
        <v>0</v>
      </c>
      <c r="E24" s="27">
        <f t="shared" si="2"/>
        <v>0</v>
      </c>
      <c r="G24" s="29" t="s">
        <v>4</v>
      </c>
      <c r="H24" s="29">
        <f t="shared" si="0"/>
        <v>2016</v>
      </c>
      <c r="I24" s="34">
        <v>0</v>
      </c>
      <c r="J24" s="27">
        <f t="shared" si="3"/>
        <v>0</v>
      </c>
    </row>
    <row r="25" spans="2:10" x14ac:dyDescent="0.15">
      <c r="B25" s="29" t="s">
        <v>5</v>
      </c>
      <c r="C25" s="29">
        <f t="shared" si="4"/>
        <v>2016</v>
      </c>
      <c r="D25" s="34">
        <v>0</v>
      </c>
      <c r="E25" s="27">
        <f t="shared" si="2"/>
        <v>0</v>
      </c>
      <c r="G25" s="29" t="s">
        <v>5</v>
      </c>
      <c r="H25" s="29">
        <f t="shared" si="0"/>
        <v>2016</v>
      </c>
      <c r="I25" s="34">
        <v>0</v>
      </c>
      <c r="J25" s="27">
        <f t="shared" si="3"/>
        <v>0</v>
      </c>
    </row>
    <row r="26" spans="2:10" x14ac:dyDescent="0.15">
      <c r="B26" s="29" t="s">
        <v>6</v>
      </c>
      <c r="C26" s="29">
        <f t="shared" si="4"/>
        <v>2016</v>
      </c>
      <c r="D26" s="34">
        <v>0</v>
      </c>
      <c r="E26" s="27">
        <f t="shared" si="2"/>
        <v>0</v>
      </c>
      <c r="G26" s="29" t="s">
        <v>6</v>
      </c>
      <c r="H26" s="29">
        <f t="shared" si="0"/>
        <v>2016</v>
      </c>
      <c r="I26" s="34">
        <v>0</v>
      </c>
      <c r="J26" s="27">
        <f t="shared" si="3"/>
        <v>0</v>
      </c>
    </row>
    <row r="27" spans="2:10" x14ac:dyDescent="0.15">
      <c r="B27" s="29" t="s">
        <v>7</v>
      </c>
      <c r="C27" s="29">
        <f t="shared" si="4"/>
        <v>2016</v>
      </c>
      <c r="D27" s="34">
        <v>0</v>
      </c>
      <c r="E27" s="27">
        <f t="shared" si="2"/>
        <v>0</v>
      </c>
      <c r="G27" s="29" t="s">
        <v>7</v>
      </c>
      <c r="H27" s="29">
        <f t="shared" si="0"/>
        <v>2016</v>
      </c>
      <c r="I27" s="34">
        <v>0</v>
      </c>
      <c r="J27" s="27">
        <f t="shared" si="3"/>
        <v>0</v>
      </c>
    </row>
    <row r="28" spans="2:10" x14ac:dyDescent="0.15">
      <c r="B28" s="29" t="s">
        <v>8</v>
      </c>
      <c r="C28" s="29">
        <f t="shared" si="4"/>
        <v>2016</v>
      </c>
      <c r="D28" s="34">
        <v>0</v>
      </c>
      <c r="E28" s="27">
        <f t="shared" si="2"/>
        <v>0</v>
      </c>
      <c r="G28" s="29" t="s">
        <v>8</v>
      </c>
      <c r="H28" s="29">
        <f t="shared" si="0"/>
        <v>2016</v>
      </c>
      <c r="I28" s="34">
        <v>0</v>
      </c>
      <c r="J28" s="27">
        <f t="shared" si="3"/>
        <v>0</v>
      </c>
    </row>
    <row r="29" spans="2:10" x14ac:dyDescent="0.15">
      <c r="B29" s="29" t="s">
        <v>9</v>
      </c>
      <c r="C29" s="29">
        <f t="shared" si="4"/>
        <v>2016</v>
      </c>
      <c r="D29" s="34">
        <v>0</v>
      </c>
      <c r="E29" s="27">
        <f t="shared" si="2"/>
        <v>0</v>
      </c>
      <c r="G29" s="29" t="s">
        <v>9</v>
      </c>
      <c r="H29" s="29">
        <f t="shared" si="0"/>
        <v>2016</v>
      </c>
      <c r="I29" s="34">
        <v>0</v>
      </c>
      <c r="J29" s="27">
        <f t="shared" si="3"/>
        <v>0</v>
      </c>
    </row>
    <row r="30" spans="2:10" x14ac:dyDescent="0.15">
      <c r="B30" s="29" t="s">
        <v>10</v>
      </c>
      <c r="C30" s="29">
        <f t="shared" si="4"/>
        <v>2016</v>
      </c>
      <c r="D30" s="34">
        <v>0</v>
      </c>
      <c r="E30" s="27">
        <f t="shared" si="2"/>
        <v>0</v>
      </c>
      <c r="G30" s="29" t="s">
        <v>10</v>
      </c>
      <c r="H30" s="29">
        <f t="shared" si="0"/>
        <v>2016</v>
      </c>
      <c r="I30" s="34">
        <v>0</v>
      </c>
      <c r="J30" s="27">
        <f t="shared" si="3"/>
        <v>0</v>
      </c>
    </row>
    <row r="31" spans="2:10" x14ac:dyDescent="0.15">
      <c r="B31" s="29" t="s">
        <v>11</v>
      </c>
      <c r="C31" s="29">
        <f t="shared" si="4"/>
        <v>2016</v>
      </c>
      <c r="D31" s="34">
        <v>0</v>
      </c>
      <c r="E31" s="27">
        <f t="shared" si="2"/>
        <v>0</v>
      </c>
      <c r="G31" s="29" t="s">
        <v>11</v>
      </c>
      <c r="H31" s="29">
        <f t="shared" si="0"/>
        <v>2016</v>
      </c>
      <c r="I31" s="34">
        <v>0</v>
      </c>
      <c r="J31" s="27">
        <f t="shared" si="3"/>
        <v>0</v>
      </c>
    </row>
    <row r="32" spans="2:10" x14ac:dyDescent="0.15">
      <c r="B32" s="29" t="s">
        <v>12</v>
      </c>
      <c r="C32" s="29">
        <f t="shared" si="4"/>
        <v>2016</v>
      </c>
      <c r="D32" s="34">
        <v>0</v>
      </c>
      <c r="E32" s="27">
        <f t="shared" si="2"/>
        <v>0</v>
      </c>
      <c r="G32" s="29" t="s">
        <v>12</v>
      </c>
      <c r="H32" s="29">
        <f t="shared" si="0"/>
        <v>2016</v>
      </c>
      <c r="I32" s="34">
        <v>0</v>
      </c>
      <c r="J32" s="27">
        <f t="shared" si="3"/>
        <v>0</v>
      </c>
    </row>
    <row r="33" spans="2:10" x14ac:dyDescent="0.15">
      <c r="B33" s="29" t="s">
        <v>13</v>
      </c>
      <c r="C33" s="29">
        <f t="shared" si="4"/>
        <v>2016</v>
      </c>
      <c r="D33" s="34">
        <v>0</v>
      </c>
      <c r="E33" s="27">
        <f t="shared" si="2"/>
        <v>0</v>
      </c>
      <c r="G33" s="29" t="s">
        <v>13</v>
      </c>
      <c r="H33" s="29">
        <f t="shared" si="0"/>
        <v>2016</v>
      </c>
      <c r="I33" s="34">
        <v>0</v>
      </c>
      <c r="J33" s="27">
        <f t="shared" si="3"/>
        <v>0</v>
      </c>
    </row>
    <row r="34" spans="2:10" x14ac:dyDescent="0.15">
      <c r="B34" s="29" t="s">
        <v>14</v>
      </c>
      <c r="C34" s="29">
        <f t="shared" si="4"/>
        <v>2016</v>
      </c>
      <c r="D34" s="34">
        <v>0</v>
      </c>
      <c r="E34" s="27">
        <f t="shared" si="2"/>
        <v>0</v>
      </c>
      <c r="G34" s="29" t="s">
        <v>14</v>
      </c>
      <c r="H34" s="29">
        <f t="shared" si="0"/>
        <v>2016</v>
      </c>
      <c r="I34" s="34">
        <v>0</v>
      </c>
      <c r="J34" s="27">
        <f t="shared" si="3"/>
        <v>0</v>
      </c>
    </row>
    <row r="35" spans="2:10" x14ac:dyDescent="0.15">
      <c r="E35" s="26"/>
      <c r="J35" s="26"/>
    </row>
    <row r="36" spans="2:10" ht="34" customHeight="1" x14ac:dyDescent="0.15">
      <c r="B36" s="38" t="s">
        <v>15</v>
      </c>
      <c r="C36" s="38"/>
      <c r="D36" s="30">
        <f>IF(D8&gt;0,D8,IF(E34&gt;0,E34,IF(E33&gt;0,E33,IF(E32&gt;0,E32,IF(E31&gt;0,E31,IF(E30&gt;0,E30,IF(E29&gt;0,E29,IF(E28&gt;0,E28,IF(E27&gt;0,E27,IF(E26&gt;0,E26,IF(E25&gt;0,E25,IF(E24&gt;0,E24,IF(E23&gt;0,E23,D8)))))))))))))</f>
        <v>0</v>
      </c>
      <c r="G36" s="38" t="s">
        <v>97</v>
      </c>
      <c r="H36" s="38"/>
      <c r="I36" s="30">
        <f>IF(I8&gt;0,I8,IF(J34&gt;0,J34,IF(J33&gt;0,J33,IF(J32&gt;0,J32,IF(J31&gt;0,J31,IF(J30&gt;0,J30,IF(J29&gt;0,J29,IF(J28&gt;0,J28,IF(J27&gt;0,J27,IF(J26&gt;0,J26,IF(J25&gt;0,J25,IF(J24&gt;0,J24,IF(J23&gt;0,J23,I8)))))))))))))</f>
        <v>0</v>
      </c>
    </row>
    <row r="41" spans="2:10" x14ac:dyDescent="0.15">
      <c r="B41" s="37" t="s">
        <v>85</v>
      </c>
      <c r="C41" s="37"/>
      <c r="D41" s="37"/>
    </row>
    <row r="42" spans="2:10" x14ac:dyDescent="0.15">
      <c r="B42" s="37" t="s">
        <v>86</v>
      </c>
      <c r="C42" s="37"/>
      <c r="D42" s="31">
        <f>IF(D36&gt;0,(IF(D36&gt;'Tabelas da LC 155'!D12,'Tabelas da LC 155'!G13,IF('Dados Gerais'!D36&gt;'Tabelas da LC 155'!D11,'Tabelas da LC 155'!G12,IF('Dados Gerais'!D36&gt;'Tabelas da LC 155'!D10,'Tabelas da LC 155'!G11,IF('Dados Gerais'!D36&gt;'Tabelas da LC 155'!D9,'Tabelas da LC 155'!G10,IF('Dados Gerais'!D36&gt;'Tabelas da LC 155'!D8,'Tabelas da LC 155'!G9,'Tabelas da LC 155'!G8)))))),0)</f>
        <v>0</v>
      </c>
    </row>
    <row r="43" spans="2:10" x14ac:dyDescent="0.15">
      <c r="B43" s="37" t="s">
        <v>87</v>
      </c>
      <c r="C43" s="37"/>
      <c r="D43" s="31">
        <f>IF(D36&gt;0,(IF(D36&gt;'Tabelas da LC 155'!J12,'Tabelas da LC 155'!M13,IF('Dados Gerais'!D36&gt;'Tabelas da LC 155'!J11,'Tabelas da LC 155'!M12,IF('Dados Gerais'!D36&gt;'Tabelas da LC 155'!J10,'Tabelas da LC 155'!M11,IF('Dados Gerais'!D36&gt;'Tabelas da LC 155'!J9,'Tabelas da LC 155'!M10,IF('Dados Gerais'!D36&gt;'Tabelas da LC 155'!J8,'Tabelas da LC 155'!M9,'Tabelas da LC 155'!M8)))))),0)</f>
        <v>0</v>
      </c>
    </row>
    <row r="44" spans="2:10" x14ac:dyDescent="0.15">
      <c r="B44" s="37" t="s">
        <v>88</v>
      </c>
      <c r="C44" s="37"/>
      <c r="D44" s="32">
        <f>IF(D36&gt;0,(IF(D36&gt;'Tabelas da LC 155'!P12,'Tabelas da LC 155'!S13,IF('Dados Gerais'!D36&gt;'Tabelas da LC 155'!P11,'Tabelas da LC 155'!S12,IF('Dados Gerais'!D36&gt;'Tabelas da LC 155'!P10,'Tabelas da LC 155'!S11,IF('Dados Gerais'!D36&gt;'Tabelas da LC 155'!P9,'Tabelas da LC 155'!S10,IF('Dados Gerais'!D36&gt;'Tabelas da LC 155'!P8,'Tabelas da LC 155'!S9,'Tabelas da LC 155'!S8)))))),0)</f>
        <v>0</v>
      </c>
    </row>
    <row r="45" spans="2:10" x14ac:dyDescent="0.15">
      <c r="B45" s="37" t="s">
        <v>89</v>
      </c>
      <c r="C45" s="37"/>
      <c r="D45" s="32">
        <f>IF(D36&gt;0,(IF(D36&gt;'Tabelas da LC 155'!V12,'Tabelas da LC 155'!Y13,IF('Dados Gerais'!D36&gt;'Tabelas da LC 155'!V11,'Tabelas da LC 155'!Y12,IF('Dados Gerais'!D36&gt;'Tabelas da LC 155'!V10,'Tabelas da LC 155'!Y11,IF('Dados Gerais'!D36&gt;'Tabelas da LC 155'!V9,'Tabelas da LC 155'!Y10,IF('Dados Gerais'!D36&gt;'Tabelas da LC 155'!V8,'Tabelas da LC 155'!Y9,'Tabelas da LC 155'!Y8)))))),0)</f>
        <v>0</v>
      </c>
    </row>
    <row r="46" spans="2:10" x14ac:dyDescent="0.15">
      <c r="B46" s="37" t="s">
        <v>90</v>
      </c>
      <c r="C46" s="37"/>
      <c r="D46" s="32">
        <f>IF(D36&gt;0,(IF(D36&gt;'Tabelas da LC 155'!AB12,'Tabelas da LC 155'!AE13,IF('Dados Gerais'!D36&gt;'Tabelas da LC 155'!AB11,'Tabelas da LC 155'!AE12,IF('Dados Gerais'!D36&gt;'Tabelas da LC 155'!AB10,'Tabelas da LC 155'!AE11,IF('Dados Gerais'!D36&gt;'Tabelas da LC 155'!AB9,'Tabelas da LC 155'!AE10,IF('Dados Gerais'!D36&gt;'Tabelas da LC 155'!AB8,'Tabelas da LC 155'!AE9,'Tabelas da LC 155'!AE8)))))),0)</f>
        <v>0</v>
      </c>
    </row>
  </sheetData>
  <sheetProtection password="CA52" sheet="1" objects="1" scenarios="1" selectLockedCells="1"/>
  <mergeCells count="14">
    <mergeCell ref="B42:C42"/>
    <mergeCell ref="B43:C43"/>
    <mergeCell ref="B44:C44"/>
    <mergeCell ref="B45:C45"/>
    <mergeCell ref="B46:C46"/>
    <mergeCell ref="B41:D41"/>
    <mergeCell ref="G6:H6"/>
    <mergeCell ref="G8:H8"/>
    <mergeCell ref="G9:I9"/>
    <mergeCell ref="G36:H36"/>
    <mergeCell ref="C6:E6"/>
    <mergeCell ref="B8:C8"/>
    <mergeCell ref="B9:D9"/>
    <mergeCell ref="B36:C36"/>
  </mergeCells>
  <phoneticPr fontId="11" type="noConversion"/>
  <hyperlinks>
    <hyperlink ref="G4" r:id="rId1"/>
    <hyperlink ref="D4" r:id="rId2"/>
  </hyperlinks>
  <pageMargins left="0.70000000000000007" right="0.70000000000000007" top="0.75000000000000011" bottom="0.75000000000000011" header="0.30000000000000004" footer="0.30000000000000004"/>
  <pageSetup paperSize="9" scale="73" orientation="landscape" horizontalDpi="0" verticalDpi="0"/>
  <drawing r:id="rId3"/>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C3:AF43"/>
  <sheetViews>
    <sheetView showGridLines="0" topLeftCell="C1" workbookViewId="0">
      <selection activeCell="D1" sqref="D1"/>
    </sheetView>
  </sheetViews>
  <sheetFormatPr baseColWidth="10" defaultRowHeight="14" x14ac:dyDescent="0.15"/>
  <cols>
    <col min="3" max="3" width="5.6640625" bestFit="1" customWidth="1"/>
    <col min="4" max="4" width="31.1640625" bestFit="1" customWidth="1"/>
    <col min="6" max="6" width="21.1640625" customWidth="1"/>
    <col min="9" max="9" width="5.6640625" bestFit="1" customWidth="1"/>
    <col min="10" max="10" width="31.1640625" bestFit="1" customWidth="1"/>
    <col min="11" max="11" width="8.6640625" bestFit="1" customWidth="1"/>
    <col min="12" max="12" width="17.33203125" bestFit="1" customWidth="1"/>
    <col min="13" max="13" width="11" bestFit="1" customWidth="1"/>
    <col min="15" max="15" width="5.6640625" bestFit="1" customWidth="1"/>
    <col min="16" max="16" width="31.1640625" bestFit="1" customWidth="1"/>
    <col min="17" max="17" width="8.6640625" bestFit="1" customWidth="1"/>
    <col min="18" max="18" width="17.33203125" bestFit="1" customWidth="1"/>
    <col min="19" max="19" width="11" bestFit="1" customWidth="1"/>
    <col min="21" max="21" width="5.6640625" bestFit="1" customWidth="1"/>
    <col min="22" max="22" width="31.1640625" bestFit="1" customWidth="1"/>
    <col min="23" max="23" width="8.6640625" bestFit="1" customWidth="1"/>
    <col min="24" max="24" width="17.33203125" bestFit="1" customWidth="1"/>
    <col min="25" max="25" width="11" bestFit="1" customWidth="1"/>
    <col min="27" max="27" width="9.1640625" bestFit="1" customWidth="1"/>
    <col min="28" max="28" width="31.1640625" bestFit="1" customWidth="1"/>
    <col min="29" max="29" width="8.6640625" bestFit="1" customWidth="1"/>
    <col min="30" max="30" width="17.33203125" bestFit="1" customWidth="1"/>
  </cols>
  <sheetData>
    <row r="3" spans="3:32" x14ac:dyDescent="0.15">
      <c r="E3" s="17" t="s">
        <v>93</v>
      </c>
      <c r="K3" s="17" t="s">
        <v>93</v>
      </c>
      <c r="Q3" s="17" t="s">
        <v>93</v>
      </c>
      <c r="W3" s="17" t="s">
        <v>93</v>
      </c>
      <c r="AC3" s="17" t="s">
        <v>93</v>
      </c>
    </row>
    <row r="4" spans="3:32" x14ac:dyDescent="0.15">
      <c r="E4" s="16" t="s">
        <v>92</v>
      </c>
      <c r="K4" s="16" t="s">
        <v>92</v>
      </c>
      <c r="Q4" s="16" t="s">
        <v>92</v>
      </c>
      <c r="W4" s="16" t="s">
        <v>92</v>
      </c>
      <c r="AC4" s="16" t="s">
        <v>92</v>
      </c>
    </row>
    <row r="5" spans="3:32" x14ac:dyDescent="0.15">
      <c r="M5" s="18"/>
      <c r="S5" s="18"/>
      <c r="Y5" s="18"/>
      <c r="AE5" s="18"/>
      <c r="AF5" s="18"/>
    </row>
    <row r="6" spans="3:32" x14ac:dyDescent="0.15">
      <c r="C6" s="40" t="s">
        <v>25</v>
      </c>
      <c r="D6" s="40"/>
      <c r="E6" s="40"/>
      <c r="F6" s="40"/>
      <c r="G6" s="18"/>
      <c r="I6" s="40" t="s">
        <v>26</v>
      </c>
      <c r="J6" s="40"/>
      <c r="K6" s="40"/>
      <c r="L6" s="40"/>
      <c r="M6" s="21"/>
      <c r="O6" s="40" t="s">
        <v>27</v>
      </c>
      <c r="P6" s="40"/>
      <c r="Q6" s="40"/>
      <c r="R6" s="40"/>
      <c r="S6" s="21"/>
      <c r="U6" s="40" t="s">
        <v>28</v>
      </c>
      <c r="V6" s="40"/>
      <c r="W6" s="40"/>
      <c r="X6" s="40"/>
      <c r="Y6" s="21"/>
      <c r="AA6" s="40" t="s">
        <v>29</v>
      </c>
      <c r="AB6" s="40"/>
      <c r="AC6" s="40"/>
      <c r="AD6" s="40"/>
      <c r="AE6" s="18"/>
      <c r="AF6" s="18"/>
    </row>
    <row r="7" spans="3:32" x14ac:dyDescent="0.15">
      <c r="C7" s="2" t="s">
        <v>21</v>
      </c>
      <c r="D7" s="2" t="s">
        <v>22</v>
      </c>
      <c r="E7" s="3" t="s">
        <v>23</v>
      </c>
      <c r="F7" s="2" t="s">
        <v>24</v>
      </c>
      <c r="G7" s="19" t="s">
        <v>91</v>
      </c>
      <c r="I7" s="2" t="s">
        <v>21</v>
      </c>
      <c r="J7" s="2" t="s">
        <v>22</v>
      </c>
      <c r="K7" s="3" t="s">
        <v>23</v>
      </c>
      <c r="L7" s="2" t="s">
        <v>24</v>
      </c>
      <c r="M7" s="19" t="s">
        <v>91</v>
      </c>
      <c r="O7" s="2" t="s">
        <v>21</v>
      </c>
      <c r="P7" s="2" t="s">
        <v>22</v>
      </c>
      <c r="Q7" s="3" t="s">
        <v>23</v>
      </c>
      <c r="R7" s="2" t="s">
        <v>24</v>
      </c>
      <c r="S7" s="19" t="s">
        <v>91</v>
      </c>
      <c r="U7" s="2" t="s">
        <v>21</v>
      </c>
      <c r="V7" s="2" t="s">
        <v>22</v>
      </c>
      <c r="W7" s="3" t="s">
        <v>23</v>
      </c>
      <c r="X7" s="2" t="s">
        <v>24</v>
      </c>
      <c r="Y7" s="19" t="s">
        <v>91</v>
      </c>
      <c r="AA7" s="2" t="s">
        <v>21</v>
      </c>
      <c r="AB7" s="2" t="s">
        <v>22</v>
      </c>
      <c r="AC7" s="3" t="s">
        <v>23</v>
      </c>
      <c r="AD7" s="2" t="s">
        <v>24</v>
      </c>
      <c r="AE7" s="19" t="s">
        <v>91</v>
      </c>
      <c r="AF7" s="18"/>
    </row>
    <row r="8" spans="3:32" x14ac:dyDescent="0.15">
      <c r="C8" s="2">
        <v>1</v>
      </c>
      <c r="D8" s="4">
        <v>180000</v>
      </c>
      <c r="E8" s="3">
        <v>0.04</v>
      </c>
      <c r="F8" s="5">
        <v>0</v>
      </c>
      <c r="G8" s="20" t="e">
        <f>('Dados Gerais'!$D$36*'Tabelas da LC 155'!E8-'Tabelas da LC 155'!F8)/'Dados Gerais'!$D$36</f>
        <v>#DIV/0!</v>
      </c>
      <c r="H8" s="1"/>
      <c r="I8" s="2">
        <v>1</v>
      </c>
      <c r="J8" s="4">
        <v>180000</v>
      </c>
      <c r="K8" s="3">
        <v>4.4999999999999998E-2</v>
      </c>
      <c r="L8" s="5">
        <v>0</v>
      </c>
      <c r="M8" s="20" t="e">
        <f>('Dados Gerais'!$D$36*'Tabelas da LC 155'!K8-'Tabelas da LC 155'!L8)/'Dados Gerais'!$D$36</f>
        <v>#DIV/0!</v>
      </c>
      <c r="O8" s="2">
        <v>1</v>
      </c>
      <c r="P8" s="4">
        <v>180000</v>
      </c>
      <c r="Q8" s="3">
        <v>0.06</v>
      </c>
      <c r="R8" s="5">
        <v>0</v>
      </c>
      <c r="S8" s="20" t="e">
        <f>('Dados Gerais'!$D$36*'Tabelas da LC 155'!Q8-'Tabelas da LC 155'!R8)/'Dados Gerais'!$D$36</f>
        <v>#DIV/0!</v>
      </c>
      <c r="U8" s="2">
        <v>1</v>
      </c>
      <c r="V8" s="4">
        <v>180000</v>
      </c>
      <c r="W8" s="3">
        <v>4.4999999999999998E-2</v>
      </c>
      <c r="X8" s="5">
        <v>0</v>
      </c>
      <c r="Y8" s="20" t="e">
        <f>('Dados Gerais'!$D$36*'Tabelas da LC 155'!W8-'Tabelas da LC 155'!X8)/'Dados Gerais'!$D$36</f>
        <v>#DIV/0!</v>
      </c>
      <c r="AA8" s="2">
        <v>1</v>
      </c>
      <c r="AB8" s="4">
        <v>180000</v>
      </c>
      <c r="AC8" s="3">
        <v>0.155</v>
      </c>
      <c r="AD8" s="5">
        <v>0</v>
      </c>
      <c r="AE8" s="20" t="e">
        <f>('Dados Gerais'!$D$36*'Tabelas da LC 155'!AC8-'Tabelas da LC 155'!AD8)/'Dados Gerais'!$D$36</f>
        <v>#DIV/0!</v>
      </c>
      <c r="AF8" s="18"/>
    </row>
    <row r="9" spans="3:32" x14ac:dyDescent="0.15">
      <c r="C9" s="2">
        <v>2</v>
      </c>
      <c r="D9" s="4">
        <v>360000</v>
      </c>
      <c r="E9" s="3">
        <v>7.2999999999999995E-2</v>
      </c>
      <c r="F9" s="4">
        <v>5940</v>
      </c>
      <c r="G9" s="20" t="e">
        <f>('Dados Gerais'!$D$36*'Tabelas da LC 155'!E9-'Tabelas da LC 155'!F9)/'Dados Gerais'!$D$36</f>
        <v>#DIV/0!</v>
      </c>
      <c r="H9" s="1"/>
      <c r="I9" s="2">
        <v>2</v>
      </c>
      <c r="J9" s="4">
        <v>360000</v>
      </c>
      <c r="K9" s="3">
        <v>7.8E-2</v>
      </c>
      <c r="L9" s="4">
        <v>5940</v>
      </c>
      <c r="M9" s="20" t="e">
        <f>('Dados Gerais'!$D$36*'Tabelas da LC 155'!K9-'Tabelas da LC 155'!L9)/'Dados Gerais'!$D$36</f>
        <v>#DIV/0!</v>
      </c>
      <c r="O9" s="2">
        <v>2</v>
      </c>
      <c r="P9" s="4">
        <v>360000</v>
      </c>
      <c r="Q9" s="3">
        <v>0.112</v>
      </c>
      <c r="R9" s="4">
        <v>9360</v>
      </c>
      <c r="S9" s="20" t="e">
        <f>('Dados Gerais'!$D$36*'Tabelas da LC 155'!Q9-'Tabelas da LC 155'!R9)/'Dados Gerais'!$D$36</f>
        <v>#DIV/0!</v>
      </c>
      <c r="U9" s="2">
        <v>2</v>
      </c>
      <c r="V9" s="4">
        <v>360000</v>
      </c>
      <c r="W9" s="3">
        <v>0.09</v>
      </c>
      <c r="X9" s="4">
        <v>8100</v>
      </c>
      <c r="Y9" s="20" t="e">
        <f>('Dados Gerais'!$D$36*'Tabelas da LC 155'!W9-'Tabelas da LC 155'!X9)/'Dados Gerais'!$D$36</f>
        <v>#DIV/0!</v>
      </c>
      <c r="AA9" s="2">
        <v>2</v>
      </c>
      <c r="AB9" s="4">
        <v>360000</v>
      </c>
      <c r="AC9" s="3">
        <v>0.18</v>
      </c>
      <c r="AD9" s="4">
        <v>4500</v>
      </c>
      <c r="AE9" s="20" t="e">
        <f>('Dados Gerais'!$D$36*'Tabelas da LC 155'!AC9-'Tabelas da LC 155'!AD9)/'Dados Gerais'!$D$36</f>
        <v>#DIV/0!</v>
      </c>
      <c r="AF9" s="18"/>
    </row>
    <row r="10" spans="3:32" x14ac:dyDescent="0.15">
      <c r="C10" s="2">
        <v>3</v>
      </c>
      <c r="D10" s="4">
        <v>720000</v>
      </c>
      <c r="E10" s="3">
        <v>9.5000000000000001E-2</v>
      </c>
      <c r="F10" s="4">
        <v>13860</v>
      </c>
      <c r="G10" s="20" t="e">
        <f>('Dados Gerais'!$D$36*'Tabelas da LC 155'!E10-'Tabelas da LC 155'!F10)/'Dados Gerais'!$D$36</f>
        <v>#DIV/0!</v>
      </c>
      <c r="H10" s="1"/>
      <c r="I10" s="2">
        <v>3</v>
      </c>
      <c r="J10" s="4">
        <v>720000</v>
      </c>
      <c r="K10" s="3">
        <v>0.1</v>
      </c>
      <c r="L10" s="4">
        <v>13860</v>
      </c>
      <c r="M10" s="20" t="e">
        <f>('Dados Gerais'!$D$36*'Tabelas da LC 155'!K10-'Tabelas da LC 155'!L10)/'Dados Gerais'!$D$36</f>
        <v>#DIV/0!</v>
      </c>
      <c r="O10" s="2">
        <v>3</v>
      </c>
      <c r="P10" s="4">
        <v>720000</v>
      </c>
      <c r="Q10" s="3">
        <v>0.13500000000000001</v>
      </c>
      <c r="R10" s="4">
        <v>17640</v>
      </c>
      <c r="S10" s="20" t="e">
        <f>('Dados Gerais'!$D$36*'Tabelas da LC 155'!Q10-'Tabelas da LC 155'!R10)/'Dados Gerais'!$D$36</f>
        <v>#DIV/0!</v>
      </c>
      <c r="U10" s="2">
        <v>3</v>
      </c>
      <c r="V10" s="4">
        <v>720000</v>
      </c>
      <c r="W10" s="3">
        <v>0.10199999999999999</v>
      </c>
      <c r="X10" s="4">
        <v>12420</v>
      </c>
      <c r="Y10" s="20" t="e">
        <f>('Dados Gerais'!$D$36*'Tabelas da LC 155'!W10-'Tabelas da LC 155'!X10)/'Dados Gerais'!$D$36</f>
        <v>#DIV/0!</v>
      </c>
      <c r="AA10" s="2">
        <v>3</v>
      </c>
      <c r="AB10" s="4">
        <v>720000</v>
      </c>
      <c r="AC10" s="3">
        <v>0.19500000000000001</v>
      </c>
      <c r="AD10" s="4">
        <v>9900</v>
      </c>
      <c r="AE10" s="20" t="e">
        <f>('Dados Gerais'!$D$36*'Tabelas da LC 155'!AC10-'Tabelas da LC 155'!AD10)/'Dados Gerais'!$D$36</f>
        <v>#DIV/0!</v>
      </c>
      <c r="AF10" s="18"/>
    </row>
    <row r="11" spans="3:32" x14ac:dyDescent="0.15">
      <c r="C11" s="2">
        <v>4</v>
      </c>
      <c r="D11" s="4">
        <v>1800000</v>
      </c>
      <c r="E11" s="3">
        <v>0.107</v>
      </c>
      <c r="F11" s="4">
        <v>22500</v>
      </c>
      <c r="G11" s="20" t="e">
        <f>('Dados Gerais'!$D$36*'Tabelas da LC 155'!E11-'Tabelas da LC 155'!F11)/'Dados Gerais'!$D$36</f>
        <v>#DIV/0!</v>
      </c>
      <c r="H11" s="1"/>
      <c r="I11" s="2">
        <v>4</v>
      </c>
      <c r="J11" s="4">
        <v>1800000</v>
      </c>
      <c r="K11" s="3">
        <v>0.112</v>
      </c>
      <c r="L11" s="4">
        <v>22500</v>
      </c>
      <c r="M11" s="20" t="e">
        <f>('Dados Gerais'!$D$36*'Tabelas da LC 155'!K11-'Tabelas da LC 155'!L11)/'Dados Gerais'!$D$36</f>
        <v>#DIV/0!</v>
      </c>
      <c r="O11" s="2">
        <v>4</v>
      </c>
      <c r="P11" s="4">
        <v>1800000</v>
      </c>
      <c r="Q11" s="3">
        <v>0.16</v>
      </c>
      <c r="R11" s="4">
        <v>35640</v>
      </c>
      <c r="S11" s="20" t="e">
        <f>('Dados Gerais'!$D$36*'Tabelas da LC 155'!Q11-'Tabelas da LC 155'!R11)/'Dados Gerais'!$D$36</f>
        <v>#DIV/0!</v>
      </c>
      <c r="U11" s="2">
        <v>4</v>
      </c>
      <c r="V11" s="4">
        <v>1800000</v>
      </c>
      <c r="W11" s="3">
        <v>0.14000000000000001</v>
      </c>
      <c r="X11" s="4">
        <v>39780</v>
      </c>
      <c r="Y11" s="20" t="e">
        <f>('Dados Gerais'!$D$36*'Tabelas da LC 155'!W11-'Tabelas da LC 155'!X11)/'Dados Gerais'!$D$36</f>
        <v>#DIV/0!</v>
      </c>
      <c r="AA11" s="2">
        <v>4</v>
      </c>
      <c r="AB11" s="4">
        <v>1800000</v>
      </c>
      <c r="AC11" s="3">
        <v>0.20499999999999999</v>
      </c>
      <c r="AD11" s="4">
        <v>17100</v>
      </c>
      <c r="AE11" s="20" t="e">
        <f>('Dados Gerais'!$D$36*'Tabelas da LC 155'!AC11-'Tabelas da LC 155'!AD11)/'Dados Gerais'!$D$36</f>
        <v>#DIV/0!</v>
      </c>
      <c r="AF11" s="18"/>
    </row>
    <row r="12" spans="3:32" x14ac:dyDescent="0.15">
      <c r="C12" s="2">
        <v>5</v>
      </c>
      <c r="D12" s="4">
        <v>3600000</v>
      </c>
      <c r="E12" s="3">
        <v>0.14299999999999999</v>
      </c>
      <c r="F12" s="4">
        <v>87300</v>
      </c>
      <c r="G12" s="20" t="e">
        <f>('Dados Gerais'!$D$36*'Tabelas da LC 155'!E12-'Tabelas da LC 155'!F12)/'Dados Gerais'!$D$36</f>
        <v>#DIV/0!</v>
      </c>
      <c r="H12" s="1"/>
      <c r="I12" s="2">
        <v>5</v>
      </c>
      <c r="J12" s="4">
        <v>3600000</v>
      </c>
      <c r="K12" s="3">
        <v>0.14699999999999999</v>
      </c>
      <c r="L12" s="4">
        <v>85500</v>
      </c>
      <c r="M12" s="20" t="e">
        <f>('Dados Gerais'!$D$36*'Tabelas da LC 155'!K12-'Tabelas da LC 155'!L12)/'Dados Gerais'!$D$36</f>
        <v>#DIV/0!</v>
      </c>
      <c r="O12" s="2">
        <v>5</v>
      </c>
      <c r="P12" s="4">
        <v>3600000</v>
      </c>
      <c r="Q12" s="3">
        <v>0.21</v>
      </c>
      <c r="R12" s="4">
        <v>125640</v>
      </c>
      <c r="S12" s="20" t="e">
        <f>('Dados Gerais'!$D$36*'Tabelas da LC 155'!Q12-'Tabelas da LC 155'!R12)/'Dados Gerais'!$D$36</f>
        <v>#DIV/0!</v>
      </c>
      <c r="U12" s="2">
        <v>5</v>
      </c>
      <c r="V12" s="4">
        <v>3600000</v>
      </c>
      <c r="W12" s="3">
        <v>0.22</v>
      </c>
      <c r="X12" s="4">
        <v>183780</v>
      </c>
      <c r="Y12" s="20" t="e">
        <f>('Dados Gerais'!$D$36*'Tabelas da LC 155'!W12-'Tabelas da LC 155'!X12)/'Dados Gerais'!$D$36</f>
        <v>#DIV/0!</v>
      </c>
      <c r="AA12" s="2">
        <v>5</v>
      </c>
      <c r="AB12" s="4">
        <v>3600000</v>
      </c>
      <c r="AC12" s="3">
        <v>0.23</v>
      </c>
      <c r="AD12" s="4">
        <v>62100</v>
      </c>
      <c r="AE12" s="20" t="e">
        <f>('Dados Gerais'!$D$36*'Tabelas da LC 155'!AC12-'Tabelas da LC 155'!AD12)/'Dados Gerais'!$D$36</f>
        <v>#DIV/0!</v>
      </c>
      <c r="AF12" s="18"/>
    </row>
    <row r="13" spans="3:32" x14ac:dyDescent="0.15">
      <c r="C13" s="2">
        <v>6</v>
      </c>
      <c r="D13" s="4">
        <v>4800000</v>
      </c>
      <c r="E13" s="3">
        <v>0.19</v>
      </c>
      <c r="F13" s="4">
        <v>378000</v>
      </c>
      <c r="G13" s="20" t="e">
        <f>('Dados Gerais'!$D$36*'Tabelas da LC 155'!E13-'Tabelas da LC 155'!F13)/'Dados Gerais'!$D$36</f>
        <v>#DIV/0!</v>
      </c>
      <c r="H13" s="1"/>
      <c r="I13" s="2">
        <v>6</v>
      </c>
      <c r="J13" s="4">
        <v>4800000</v>
      </c>
      <c r="K13" s="3">
        <v>0.3</v>
      </c>
      <c r="L13" s="4">
        <v>720000</v>
      </c>
      <c r="M13" s="20" t="e">
        <f>('Dados Gerais'!$D$36*'Tabelas da LC 155'!K13-'Tabelas da LC 155'!L13)/'Dados Gerais'!$D$36</f>
        <v>#DIV/0!</v>
      </c>
      <c r="O13" s="2">
        <v>6</v>
      </c>
      <c r="P13" s="4">
        <v>4800000</v>
      </c>
      <c r="Q13" s="3">
        <v>0.33</v>
      </c>
      <c r="R13" s="4">
        <v>648000</v>
      </c>
      <c r="S13" s="20" t="e">
        <f>('Dados Gerais'!$D$36*'Tabelas da LC 155'!Q13-'Tabelas da LC 155'!R13)/'Dados Gerais'!$D$36</f>
        <v>#DIV/0!</v>
      </c>
      <c r="U13" s="2">
        <v>6</v>
      </c>
      <c r="V13" s="4">
        <v>4800000</v>
      </c>
      <c r="W13" s="3">
        <v>0.33</v>
      </c>
      <c r="X13" s="4">
        <v>828000</v>
      </c>
      <c r="Y13" s="20" t="e">
        <f>('Dados Gerais'!$D$36*'Tabelas da LC 155'!W13-'Tabelas da LC 155'!X13)/'Dados Gerais'!$D$36</f>
        <v>#DIV/0!</v>
      </c>
      <c r="AA13" s="2">
        <v>6</v>
      </c>
      <c r="AB13" s="4">
        <v>4800000</v>
      </c>
      <c r="AC13" s="3">
        <v>0.30499999999999999</v>
      </c>
      <c r="AD13" s="4">
        <v>540000</v>
      </c>
      <c r="AE13" s="20" t="e">
        <f>('Dados Gerais'!$D$36*'Tabelas da LC 155'!AC13-'Tabelas da LC 155'!AD13)/'Dados Gerais'!$D$36</f>
        <v>#DIV/0!</v>
      </c>
      <c r="AF13" s="18"/>
    </row>
    <row r="14" spans="3:32" x14ac:dyDescent="0.15">
      <c r="G14" s="18"/>
      <c r="M14" s="18"/>
      <c r="S14" s="18"/>
      <c r="Y14" s="18"/>
      <c r="AE14" s="18"/>
      <c r="AF14" s="18"/>
    </row>
    <row r="15" spans="3:32" x14ac:dyDescent="0.15">
      <c r="S15" s="18"/>
      <c r="AE15" s="18"/>
      <c r="AF15" s="18"/>
    </row>
    <row r="16" spans="3:32" ht="44" customHeight="1" x14ac:dyDescent="0.15">
      <c r="O16" s="10" t="s">
        <v>42</v>
      </c>
      <c r="P16" s="11"/>
      <c r="Q16" s="11"/>
      <c r="R16" s="12"/>
      <c r="S16" s="22"/>
      <c r="U16" s="10" t="s">
        <v>43</v>
      </c>
      <c r="V16" s="11"/>
      <c r="W16" s="11"/>
      <c r="X16" s="12"/>
      <c r="Y16" s="13"/>
      <c r="AA16" s="54" t="s">
        <v>59</v>
      </c>
      <c r="AB16" s="55"/>
      <c r="AC16" s="55"/>
      <c r="AD16" s="56"/>
      <c r="AE16" s="18"/>
      <c r="AF16" s="18"/>
    </row>
    <row r="17" spans="15:30" ht="58" customHeight="1" x14ac:dyDescent="0.15">
      <c r="O17" s="42" t="s">
        <v>30</v>
      </c>
      <c r="P17" s="43"/>
      <c r="Q17" s="43"/>
      <c r="R17" s="44"/>
      <c r="S17" s="14"/>
      <c r="U17" s="42" t="s">
        <v>44</v>
      </c>
      <c r="V17" s="43"/>
      <c r="W17" s="43"/>
      <c r="X17" s="44"/>
      <c r="Y17" s="14"/>
      <c r="AA17" s="51" t="s">
        <v>64</v>
      </c>
      <c r="AB17" s="43"/>
      <c r="AC17" s="43"/>
      <c r="AD17" s="44"/>
    </row>
    <row r="18" spans="15:30" x14ac:dyDescent="0.15">
      <c r="O18" s="42" t="s">
        <v>31</v>
      </c>
      <c r="P18" s="43"/>
      <c r="Q18" s="43"/>
      <c r="R18" s="44"/>
      <c r="S18" s="14"/>
      <c r="U18" s="42" t="s">
        <v>45</v>
      </c>
      <c r="V18" s="43"/>
      <c r="W18" s="43"/>
      <c r="X18" s="44"/>
      <c r="Y18" s="14"/>
      <c r="AA18" s="42" t="s">
        <v>47</v>
      </c>
      <c r="AB18" s="43"/>
      <c r="AC18" s="43"/>
      <c r="AD18" s="44"/>
    </row>
    <row r="19" spans="15:30" x14ac:dyDescent="0.15">
      <c r="O19" s="42" t="s">
        <v>32</v>
      </c>
      <c r="P19" s="43"/>
      <c r="Q19" s="43"/>
      <c r="R19" s="44"/>
      <c r="S19" s="14"/>
      <c r="U19" s="48" t="s">
        <v>46</v>
      </c>
      <c r="V19" s="49"/>
      <c r="W19" s="49"/>
      <c r="X19" s="50"/>
      <c r="Y19" s="14"/>
      <c r="AA19" s="51" t="s">
        <v>65</v>
      </c>
      <c r="AB19" s="43"/>
      <c r="AC19" s="43"/>
      <c r="AD19" s="44"/>
    </row>
    <row r="20" spans="15:30" ht="56" customHeight="1" x14ac:dyDescent="0.15">
      <c r="O20" s="42" t="s">
        <v>33</v>
      </c>
      <c r="P20" s="43"/>
      <c r="Q20" s="43"/>
      <c r="R20" s="44"/>
      <c r="S20" s="14"/>
      <c r="AA20" s="51" t="s">
        <v>66</v>
      </c>
      <c r="AB20" s="43"/>
      <c r="AC20" s="43"/>
      <c r="AD20" s="44"/>
    </row>
    <row r="21" spans="15:30" ht="31" customHeight="1" x14ac:dyDescent="0.15">
      <c r="O21" s="42" t="s">
        <v>34</v>
      </c>
      <c r="P21" s="43"/>
      <c r="Q21" s="43"/>
      <c r="R21" s="44"/>
      <c r="S21" s="14"/>
      <c r="AA21" s="42" t="s">
        <v>48</v>
      </c>
      <c r="AB21" s="43"/>
      <c r="AC21" s="43"/>
      <c r="AD21" s="44"/>
    </row>
    <row r="22" spans="15:30" ht="50" customHeight="1" x14ac:dyDescent="0.15">
      <c r="O22" s="42" t="s">
        <v>35</v>
      </c>
      <c r="P22" s="43"/>
      <c r="Q22" s="43"/>
      <c r="R22" s="44"/>
      <c r="S22" s="14"/>
      <c r="AA22" s="42" t="s">
        <v>49</v>
      </c>
      <c r="AB22" s="43"/>
      <c r="AC22" s="43"/>
      <c r="AD22" s="44"/>
    </row>
    <row r="23" spans="15:30" ht="29" customHeight="1" x14ac:dyDescent="0.15">
      <c r="O23" s="42" t="s">
        <v>36</v>
      </c>
      <c r="P23" s="43"/>
      <c r="Q23" s="43"/>
      <c r="R23" s="44"/>
      <c r="S23" s="14"/>
      <c r="AA23" s="42" t="s">
        <v>50</v>
      </c>
      <c r="AB23" s="43"/>
      <c r="AC23" s="43"/>
      <c r="AD23" s="44"/>
    </row>
    <row r="24" spans="15:30" x14ac:dyDescent="0.15">
      <c r="O24" s="42" t="s">
        <v>37</v>
      </c>
      <c r="P24" s="43"/>
      <c r="Q24" s="43"/>
      <c r="R24" s="44"/>
      <c r="S24" s="14"/>
      <c r="AA24" s="42" t="s">
        <v>51</v>
      </c>
      <c r="AB24" s="43"/>
      <c r="AC24" s="43"/>
      <c r="AD24" s="44"/>
    </row>
    <row r="25" spans="15:30" ht="46" customHeight="1" x14ac:dyDescent="0.15">
      <c r="O25" s="42" t="s">
        <v>38</v>
      </c>
      <c r="P25" s="43"/>
      <c r="Q25" s="43"/>
      <c r="R25" s="44"/>
      <c r="S25" s="14"/>
      <c r="AA25" s="42" t="s">
        <v>52</v>
      </c>
      <c r="AB25" s="43"/>
      <c r="AC25" s="43"/>
      <c r="AD25" s="44"/>
    </row>
    <row r="26" spans="15:30" ht="50" customHeight="1" x14ac:dyDescent="0.15">
      <c r="O26" s="51" t="s">
        <v>60</v>
      </c>
      <c r="P26" s="43"/>
      <c r="Q26" s="43"/>
      <c r="R26" s="44"/>
      <c r="S26" s="14"/>
      <c r="AA26" s="42" t="s">
        <v>53</v>
      </c>
      <c r="AB26" s="43"/>
      <c r="AC26" s="43"/>
      <c r="AD26" s="44"/>
    </row>
    <row r="27" spans="15:30" x14ac:dyDescent="0.15">
      <c r="O27" s="42" t="s">
        <v>39</v>
      </c>
      <c r="P27" s="43"/>
      <c r="Q27" s="43"/>
      <c r="R27" s="44"/>
      <c r="S27" s="14"/>
      <c r="AA27" s="42" t="s">
        <v>54</v>
      </c>
      <c r="AB27" s="43"/>
      <c r="AC27" s="43"/>
      <c r="AD27" s="44"/>
    </row>
    <row r="28" spans="15:30" ht="84" customHeight="1" x14ac:dyDescent="0.15">
      <c r="O28" s="51" t="s">
        <v>62</v>
      </c>
      <c r="P28" s="43"/>
      <c r="Q28" s="43"/>
      <c r="R28" s="44"/>
      <c r="S28" s="14"/>
      <c r="AA28" s="42" t="s">
        <v>55</v>
      </c>
      <c r="AB28" s="43"/>
      <c r="AC28" s="43"/>
      <c r="AD28" s="44"/>
    </row>
    <row r="29" spans="15:30" ht="49" customHeight="1" x14ac:dyDescent="0.15">
      <c r="O29" s="51" t="s">
        <v>56</v>
      </c>
      <c r="P29" s="43"/>
      <c r="Q29" s="43"/>
      <c r="R29" s="44"/>
      <c r="S29" s="14"/>
      <c r="AA29" s="57" t="s">
        <v>61</v>
      </c>
      <c r="AB29" s="58"/>
      <c r="AC29" s="58"/>
      <c r="AD29" s="59"/>
    </row>
    <row r="30" spans="15:30" ht="43" customHeight="1" x14ac:dyDescent="0.15">
      <c r="O30" s="51" t="s">
        <v>57</v>
      </c>
      <c r="P30" s="43"/>
      <c r="Q30" s="43"/>
      <c r="R30" s="44"/>
      <c r="S30" s="14"/>
      <c r="AA30" s="51" t="s">
        <v>63</v>
      </c>
      <c r="AB30" s="43"/>
      <c r="AC30" s="43"/>
      <c r="AD30" s="44"/>
    </row>
    <row r="31" spans="15:30" ht="58" customHeight="1" x14ac:dyDescent="0.15">
      <c r="O31" s="51" t="s">
        <v>58</v>
      </c>
      <c r="P31" s="43"/>
      <c r="Q31" s="43"/>
      <c r="R31" s="44"/>
      <c r="S31" s="14"/>
      <c r="AA31" s="51" t="s">
        <v>68</v>
      </c>
      <c r="AB31" s="43"/>
      <c r="AC31" s="43"/>
      <c r="AD31" s="44"/>
    </row>
    <row r="32" spans="15:30" ht="46" customHeight="1" x14ac:dyDescent="0.15">
      <c r="O32" s="51" t="s">
        <v>67</v>
      </c>
      <c r="P32" s="43"/>
      <c r="Q32" s="43"/>
      <c r="R32" s="44"/>
      <c r="S32" s="14"/>
      <c r="AA32" s="51" t="s">
        <v>70</v>
      </c>
      <c r="AB32" s="43"/>
      <c r="AC32" s="43"/>
      <c r="AD32" s="44"/>
    </row>
    <row r="33" spans="3:30" ht="45" customHeight="1" x14ac:dyDescent="0.15">
      <c r="C33" s="41"/>
      <c r="D33" s="41"/>
      <c r="E33" s="41"/>
      <c r="F33" s="41"/>
      <c r="O33" s="51" t="s">
        <v>69</v>
      </c>
      <c r="P33" s="43"/>
      <c r="Q33" s="43"/>
      <c r="R33" s="44"/>
      <c r="S33" s="14"/>
      <c r="AA33" s="51" t="s">
        <v>72</v>
      </c>
      <c r="AB33" s="43"/>
      <c r="AC33" s="43"/>
      <c r="AD33" s="44"/>
    </row>
    <row r="34" spans="3:30" ht="65" customHeight="1" x14ac:dyDescent="0.15">
      <c r="C34" s="6"/>
      <c r="D34" s="6"/>
      <c r="E34" s="7"/>
      <c r="F34" s="6"/>
      <c r="O34" s="51" t="s">
        <v>71</v>
      </c>
      <c r="P34" s="43"/>
      <c r="Q34" s="43"/>
      <c r="R34" s="44"/>
      <c r="S34" s="14"/>
      <c r="AA34" s="51" t="s">
        <v>74</v>
      </c>
      <c r="AB34" s="43"/>
      <c r="AC34" s="43"/>
      <c r="AD34" s="44"/>
    </row>
    <row r="35" spans="3:30" ht="64" customHeight="1" x14ac:dyDescent="0.15">
      <c r="C35" s="6"/>
      <c r="D35" s="8"/>
      <c r="E35" s="7"/>
      <c r="F35" s="9"/>
      <c r="O35" s="51" t="s">
        <v>73</v>
      </c>
      <c r="P35" s="43"/>
      <c r="Q35" s="43"/>
      <c r="R35" s="44"/>
      <c r="S35" s="14"/>
      <c r="AA35" s="51" t="s">
        <v>76</v>
      </c>
      <c r="AB35" s="43"/>
      <c r="AC35" s="43"/>
      <c r="AD35" s="44"/>
    </row>
    <row r="36" spans="3:30" ht="60" customHeight="1" x14ac:dyDescent="0.15">
      <c r="C36" s="6"/>
      <c r="D36" s="8"/>
      <c r="E36" s="7"/>
      <c r="F36" s="8"/>
      <c r="O36" s="51" t="s">
        <v>75</v>
      </c>
      <c r="P36" s="43"/>
      <c r="Q36" s="43"/>
      <c r="R36" s="44"/>
      <c r="S36" s="14"/>
      <c r="AA36" s="51" t="s">
        <v>78</v>
      </c>
      <c r="AB36" s="43"/>
      <c r="AC36" s="43"/>
      <c r="AD36" s="44"/>
    </row>
    <row r="37" spans="3:30" ht="64" customHeight="1" x14ac:dyDescent="0.15">
      <c r="C37" s="6"/>
      <c r="D37" s="8"/>
      <c r="E37" s="7"/>
      <c r="F37" s="8"/>
      <c r="O37" s="51" t="s">
        <v>77</v>
      </c>
      <c r="P37" s="43"/>
      <c r="Q37" s="43"/>
      <c r="R37" s="44"/>
      <c r="S37" s="14"/>
      <c r="AA37" s="51" t="s">
        <v>80</v>
      </c>
      <c r="AB37" s="43"/>
      <c r="AC37" s="43"/>
      <c r="AD37" s="44"/>
    </row>
    <row r="38" spans="3:30" ht="53" customHeight="1" x14ac:dyDescent="0.15">
      <c r="C38" s="6"/>
      <c r="D38" s="8"/>
      <c r="E38" s="7"/>
      <c r="F38" s="8"/>
      <c r="O38" s="51" t="s">
        <v>79</v>
      </c>
      <c r="P38" s="43"/>
      <c r="Q38" s="43"/>
      <c r="R38" s="44"/>
      <c r="S38" s="14"/>
      <c r="AA38" s="51" t="s">
        <v>81</v>
      </c>
      <c r="AB38" s="43"/>
      <c r="AC38" s="43"/>
      <c r="AD38" s="44"/>
    </row>
    <row r="39" spans="3:30" ht="62" customHeight="1" x14ac:dyDescent="0.15">
      <c r="C39" s="6"/>
      <c r="D39" s="8"/>
      <c r="E39" s="7"/>
      <c r="F39" s="8"/>
      <c r="O39" s="51" t="s">
        <v>81</v>
      </c>
      <c r="P39" s="43"/>
      <c r="Q39" s="43"/>
      <c r="R39" s="44"/>
      <c r="S39" s="14"/>
      <c r="AA39" s="51" t="s">
        <v>83</v>
      </c>
      <c r="AB39" s="43"/>
      <c r="AC39" s="43"/>
      <c r="AD39" s="44"/>
    </row>
    <row r="40" spans="3:30" ht="57" customHeight="1" x14ac:dyDescent="0.15">
      <c r="C40" s="6"/>
      <c r="D40" s="8"/>
      <c r="E40" s="7"/>
      <c r="F40" s="8"/>
      <c r="O40" s="51" t="s">
        <v>82</v>
      </c>
      <c r="P40" s="43"/>
      <c r="Q40" s="43"/>
      <c r="R40" s="44"/>
      <c r="S40" s="14"/>
      <c r="AA40" s="45" t="s">
        <v>84</v>
      </c>
      <c r="AB40" s="46"/>
      <c r="AC40" s="46"/>
      <c r="AD40" s="47"/>
    </row>
    <row r="41" spans="3:30" ht="35" customHeight="1" x14ac:dyDescent="0.15">
      <c r="O41" s="51" t="s">
        <v>84</v>
      </c>
      <c r="P41" s="52"/>
      <c r="Q41" s="52"/>
      <c r="R41" s="53"/>
      <c r="S41" s="15"/>
    </row>
    <row r="42" spans="3:30" ht="45" customHeight="1" x14ac:dyDescent="0.15">
      <c r="O42" s="42" t="s">
        <v>40</v>
      </c>
      <c r="P42" s="43"/>
      <c r="Q42" s="43"/>
      <c r="R42" s="44"/>
      <c r="S42" s="14"/>
    </row>
    <row r="43" spans="3:30" ht="29" customHeight="1" x14ac:dyDescent="0.15">
      <c r="O43" s="45" t="s">
        <v>41</v>
      </c>
      <c r="P43" s="46"/>
      <c r="Q43" s="46"/>
      <c r="R43" s="47"/>
      <c r="S43" s="15"/>
    </row>
  </sheetData>
  <sheetProtection password="CA52" sheet="1" objects="1" scenarios="1" selectLockedCells="1"/>
  <mergeCells count="61">
    <mergeCell ref="AA40:AD40"/>
    <mergeCell ref="AA34:AD34"/>
    <mergeCell ref="AA35:AD35"/>
    <mergeCell ref="AA36:AD36"/>
    <mergeCell ref="AA37:AD37"/>
    <mergeCell ref="AA38:AD38"/>
    <mergeCell ref="AA39:AD39"/>
    <mergeCell ref="AA33:AD33"/>
    <mergeCell ref="AA22:AD22"/>
    <mergeCell ref="AA23:AD23"/>
    <mergeCell ref="AA24:AD24"/>
    <mergeCell ref="AA25:AD25"/>
    <mergeCell ref="AA26:AD26"/>
    <mergeCell ref="AA27:AD27"/>
    <mergeCell ref="AA28:AD28"/>
    <mergeCell ref="AA30:AD30"/>
    <mergeCell ref="AA29:AD29"/>
    <mergeCell ref="AA31:AD31"/>
    <mergeCell ref="AA32:AD32"/>
    <mergeCell ref="O39:R39"/>
    <mergeCell ref="O40:R40"/>
    <mergeCell ref="O41:R41"/>
    <mergeCell ref="O42:R42"/>
    <mergeCell ref="O21:R21"/>
    <mergeCell ref="O22:R22"/>
    <mergeCell ref="O23:R23"/>
    <mergeCell ref="O24:R24"/>
    <mergeCell ref="O25:R25"/>
    <mergeCell ref="O26:R26"/>
    <mergeCell ref="O43:R43"/>
    <mergeCell ref="U17:X17"/>
    <mergeCell ref="U18:X18"/>
    <mergeCell ref="U19:X19"/>
    <mergeCell ref="O33:R33"/>
    <mergeCell ref="O34:R34"/>
    <mergeCell ref="O35:R35"/>
    <mergeCell ref="O36:R36"/>
    <mergeCell ref="O37:R37"/>
    <mergeCell ref="O38:R38"/>
    <mergeCell ref="O27:R27"/>
    <mergeCell ref="O28:R28"/>
    <mergeCell ref="O29:R29"/>
    <mergeCell ref="O30:R30"/>
    <mergeCell ref="O31:R31"/>
    <mergeCell ref="O32:R32"/>
    <mergeCell ref="C6:F6"/>
    <mergeCell ref="I6:L6"/>
    <mergeCell ref="O6:R6"/>
    <mergeCell ref="C33:F33"/>
    <mergeCell ref="AA6:AD6"/>
    <mergeCell ref="U6:X6"/>
    <mergeCell ref="O17:R17"/>
    <mergeCell ref="O18:R18"/>
    <mergeCell ref="O19:R19"/>
    <mergeCell ref="O20:R20"/>
    <mergeCell ref="AA21:AD21"/>
    <mergeCell ref="AA16:AD16"/>
    <mergeCell ref="AA17:AD17"/>
    <mergeCell ref="AA18:AD18"/>
    <mergeCell ref="AA19:AD19"/>
    <mergeCell ref="AA20:AD20"/>
  </mergeCells>
  <phoneticPr fontId="11" type="noConversion"/>
  <hyperlinks>
    <hyperlink ref="E4" r:id="rId1"/>
    <hyperlink ref="K4" r:id="rId2"/>
    <hyperlink ref="Q4" r:id="rId3"/>
    <hyperlink ref="W4" r:id="rId4"/>
    <hyperlink ref="AC4" r:id="rId5"/>
  </hyperlinks>
  <pageMargins left="0.70000000000000007" right="0.70000000000000007" top="0.75000000000000011" bottom="0.75000000000000011" header="0.30000000000000004" footer="0.30000000000000004"/>
  <pageSetup paperSize="9" scale="30" orientation="landscape" horizontalDpi="0" verticalDpi="0"/>
  <drawing r:id="rId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2</vt:i4>
      </vt:variant>
    </vt:vector>
  </HeadingPairs>
  <TitlesOfParts>
    <vt:vector size="2" baseType="lpstr">
      <vt:lpstr>Dados Gerais</vt:lpstr>
      <vt:lpstr>Tabelas da LC 155</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Vicente Sevilha Junior</dc:creator>
  <cp:lastModifiedBy>Vicente Sevilha Junior</cp:lastModifiedBy>
  <dcterms:created xsi:type="dcterms:W3CDTF">2016-11-04T14:57:04Z</dcterms:created>
  <dcterms:modified xsi:type="dcterms:W3CDTF">2016-11-04T17:32:17Z</dcterms:modified>
</cp:coreProperties>
</file>