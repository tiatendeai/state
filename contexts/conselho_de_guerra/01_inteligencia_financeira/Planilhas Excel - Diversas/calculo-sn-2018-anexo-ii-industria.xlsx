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100\Documents\1.Contabilidade Geral\1.Empresas Clientes\1.Contare\0.Controle Contare\Planilhas Simples Nacional\"/>
    </mc:Choice>
  </mc:AlternateContent>
  <bookViews>
    <workbookView xWindow="0" yWindow="0" windowWidth="20490" windowHeight="7620" tabRatio="787" activeTab="1"/>
  </bookViews>
  <sheets>
    <sheet name="Orientações" sheetId="90" r:id="rId1"/>
    <sheet name="Anexo II Indústria" sheetId="89" r:id="rId2"/>
  </sheets>
  <calcPr calcId="162913"/>
</workbook>
</file>

<file path=xl/calcChain.xml><?xml version="1.0" encoding="utf-8"?>
<calcChain xmlns="http://schemas.openxmlformats.org/spreadsheetml/2006/main">
  <c r="D17" i="89" l="1"/>
  <c r="D16" i="89"/>
  <c r="D18" i="89" l="1"/>
  <c r="D19" i="89" l="1"/>
  <c r="D25" i="89" l="1"/>
  <c r="T15" i="89"/>
  <c r="P15" i="89"/>
  <c r="J14" i="89"/>
  <c r="S15" i="89"/>
  <c r="O15" i="89"/>
  <c r="R15" i="89"/>
  <c r="N15" i="89"/>
  <c r="Q15" i="89"/>
  <c r="J16" i="89"/>
  <c r="L19" i="89"/>
  <c r="F11" i="89"/>
  <c r="J13" i="89"/>
  <c r="J15" i="89" l="1"/>
  <c r="U15" i="89" l="1"/>
  <c r="J17" i="89"/>
  <c r="J18" i="89" s="1"/>
  <c r="I21" i="89" s="1"/>
  <c r="J21" i="89" l="1"/>
  <c r="N16" i="89"/>
  <c r="U16" i="89"/>
  <c r="T16" i="89"/>
  <c r="I22" i="89" s="1"/>
  <c r="J22" i="89" s="1"/>
  <c r="Q16" i="89"/>
  <c r="Q17" i="89" s="1"/>
  <c r="R16" i="89"/>
  <c r="P16" i="89"/>
  <c r="O16" i="89"/>
  <c r="S16" i="89"/>
  <c r="S17" i="89" s="1"/>
  <c r="R17" i="89" l="1"/>
  <c r="N17" i="89"/>
  <c r="P17" i="89"/>
  <c r="U17" i="89"/>
  <c r="O17" i="89"/>
  <c r="T17" i="89"/>
  <c r="I23" i="89"/>
  <c r="J23" i="89" s="1"/>
  <c r="I24" i="89"/>
  <c r="J24" i="89" s="1"/>
  <c r="J25" i="89" l="1"/>
</calcChain>
</file>

<file path=xl/sharedStrings.xml><?xml version="1.0" encoding="utf-8"?>
<sst xmlns="http://schemas.openxmlformats.org/spreadsheetml/2006/main" count="72" uniqueCount="62">
  <si>
    <t>Alíquota</t>
  </si>
  <si>
    <t>Valor a Deduzir (R$)</t>
  </si>
  <si>
    <t>-</t>
  </si>
  <si>
    <r>
      <t>1</t>
    </r>
    <r>
      <rPr>
        <u/>
        <vertAlign val="superscript"/>
        <sz val="14"/>
        <color rgb="FF000000"/>
        <rFont val="Arial"/>
        <family val="2"/>
      </rPr>
      <t>a</t>
    </r>
    <r>
      <rPr>
        <sz val="14"/>
        <color rgb="FF000000"/>
        <rFont val="Arial"/>
        <family val="2"/>
      </rPr>
      <t> Faixa</t>
    </r>
  </si>
  <si>
    <r>
      <t>2</t>
    </r>
    <r>
      <rPr>
        <u/>
        <vertAlign val="superscript"/>
        <sz val="14"/>
        <color rgb="FF000000"/>
        <rFont val="Arial"/>
        <family val="2"/>
      </rPr>
      <t>a</t>
    </r>
    <r>
      <rPr>
        <sz val="14"/>
        <color rgb="FF000000"/>
        <rFont val="Arial"/>
        <family val="2"/>
      </rPr>
      <t> Faixa</t>
    </r>
  </si>
  <si>
    <r>
      <t>4</t>
    </r>
    <r>
      <rPr>
        <u/>
        <vertAlign val="superscript"/>
        <sz val="14"/>
        <color rgb="FF000000"/>
        <rFont val="Arial"/>
        <family val="2"/>
      </rPr>
      <t>a</t>
    </r>
    <r>
      <rPr>
        <sz val="14"/>
        <color rgb="FF000000"/>
        <rFont val="Arial"/>
        <family val="2"/>
      </rPr>
      <t> Faixa</t>
    </r>
  </si>
  <si>
    <r>
      <t>5</t>
    </r>
    <r>
      <rPr>
        <u/>
        <vertAlign val="superscript"/>
        <sz val="14"/>
        <color rgb="FF000000"/>
        <rFont val="Arial"/>
        <family val="2"/>
      </rPr>
      <t>a</t>
    </r>
    <r>
      <rPr>
        <sz val="14"/>
        <color rgb="FF000000"/>
        <rFont val="Arial"/>
        <family val="2"/>
      </rPr>
      <t> Faixa</t>
    </r>
  </si>
  <si>
    <r>
      <t>6</t>
    </r>
    <r>
      <rPr>
        <u/>
        <vertAlign val="superscript"/>
        <sz val="14"/>
        <color rgb="FF000000"/>
        <rFont val="Arial"/>
        <family val="2"/>
      </rPr>
      <t>a</t>
    </r>
    <r>
      <rPr>
        <sz val="14"/>
        <color rgb="FF000000"/>
        <rFont val="Arial"/>
        <family val="2"/>
      </rPr>
      <t> Faixa</t>
    </r>
  </si>
  <si>
    <t>Cálculo do Simples a pagar no mês:</t>
  </si>
  <si>
    <t>Cálculo da Alíquota Efetiva:</t>
  </si>
  <si>
    <t>IRPJ</t>
  </si>
  <si>
    <t>CSLL</t>
  </si>
  <si>
    <t>Cofins</t>
  </si>
  <si>
    <t>PIS/Pasep</t>
  </si>
  <si>
    <t>CPP</t>
  </si>
  <si>
    <t>ICMS</t>
  </si>
  <si>
    <t>Total</t>
  </si>
  <si>
    <r>
      <t>3</t>
    </r>
    <r>
      <rPr>
        <u/>
        <vertAlign val="superscript"/>
        <sz val="14"/>
        <color rgb="FF000000"/>
        <rFont val="Arial"/>
        <family val="2"/>
      </rPr>
      <t>a</t>
    </r>
    <r>
      <rPr>
        <sz val="14"/>
        <color rgb="FF000000"/>
        <rFont val="Arial"/>
        <family val="2"/>
      </rPr>
      <t> Faixa</t>
    </r>
  </si>
  <si>
    <t>Percentual de Repartição dos Tributos</t>
  </si>
  <si>
    <t>Mês</t>
  </si>
  <si>
    <t>Receita</t>
  </si>
  <si>
    <t>RBT ultimos 12 meses</t>
  </si>
  <si>
    <t>Receita de Enquadramento</t>
  </si>
  <si>
    <t>Aliquota Nominal</t>
  </si>
  <si>
    <t>Valor Nominal</t>
  </si>
  <si>
    <t>Valor a Deduzir</t>
  </si>
  <si>
    <t>Valor base p/ alíquota efetiva</t>
  </si>
  <si>
    <t>Aliquota Efetiva</t>
  </si>
  <si>
    <t>Valor em R$</t>
  </si>
  <si>
    <t>Quant. meses abertura</t>
  </si>
  <si>
    <t>Média mensal</t>
  </si>
  <si>
    <t>1/0</t>
  </si>
  <si>
    <t>IPI</t>
  </si>
  <si>
    <t>Alíquotas e Partilha do Simples Nacional –  Indústria</t>
  </si>
  <si>
    <t>Percentual de Repartição dos Tributos - Anexo II - Indústria</t>
  </si>
  <si>
    <t>ATENÇÃO PRÓXIMO DO SUBLIMITE</t>
  </si>
  <si>
    <t>1)</t>
  </si>
  <si>
    <t>Preencher somente os campos na cor bege, os outros estão automatizados</t>
  </si>
  <si>
    <t>2)</t>
  </si>
  <si>
    <t>Na coluna mês informar o mês do faturamento</t>
  </si>
  <si>
    <t>3)</t>
  </si>
  <si>
    <t>Na coluna 1/0 informar 1 se a empresa estava aberta e 0 se ainda ão estava aberta (ver dat do CNPJ)</t>
  </si>
  <si>
    <t>4)</t>
  </si>
  <si>
    <t>Na coluna receita, informar a receita do mês correspondente</t>
  </si>
  <si>
    <t>isso só ocorrerá para empresas até 12 meses de abertura.</t>
  </si>
  <si>
    <t>Ex:</t>
  </si>
  <si>
    <t>Se a empresa foi aberta em Julho/2017, porém so faturou a em Novembro a situação de ve ficar assim</t>
  </si>
  <si>
    <t xml:space="preserve">OBS: </t>
  </si>
  <si>
    <t>A coluna 1/0 deve estar devidamente preenchida para permitir calculo da RBT nos casos de estimativa</t>
  </si>
  <si>
    <t>Receita Bruta em 12 Meses R$</t>
  </si>
  <si>
    <r>
      <t>Senha 123             -             ANEXO II DA LEI COMPLEMENTAR N</t>
    </r>
    <r>
      <rPr>
        <b/>
        <u/>
        <vertAlign val="superscript"/>
        <sz val="14"/>
        <rFont val="Arial"/>
        <family val="2"/>
      </rPr>
      <t>o</t>
    </r>
    <r>
      <rPr>
        <b/>
        <sz val="14"/>
        <rFont val="Arial"/>
        <family val="2"/>
      </rPr>
      <t> 123, DE 14 DE DEZEMBRO DE 2006  </t>
    </r>
  </si>
  <si>
    <t>Receita ST ICMS</t>
  </si>
  <si>
    <t>Receita Mono PIS/COFINS</t>
  </si>
  <si>
    <t>Receita ST ICMS + Mono PIS/COFINS</t>
  </si>
  <si>
    <t>Receita total mês</t>
  </si>
  <si>
    <t>Receita Normal</t>
  </si>
  <si>
    <t>Aliquota Normal</t>
  </si>
  <si>
    <t>Aliquota ST ICMS</t>
  </si>
  <si>
    <t>Aliquota Mono PIS/COFINS</t>
  </si>
  <si>
    <t>Aliquota ST ICMS + Mono PIS/COFINS</t>
  </si>
  <si>
    <t>Total a pagar</t>
  </si>
  <si>
    <t>Data de Abertura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</si>
</sst>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</font>
    <font>
      <sz val="10"/>
      <color rgb="FF000000"/>
      <name val="Arial"/>
      <family val="2"/>
    </font>
    <font>
      <sz val="14"/>
      <color rgb="FF000000"/>
      <name val="Arial"/>
      <family val="2"/>
    </font>
    <font>
      <u/>
      <vertAlign val="superscript"/>
      <sz val="14"/>
      <color rgb="FF000000"/>
      <name val="Arial"/>
      <family val="2"/>
    </font>
    <font>
      <b/>
      <sz val="14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4"/>
      <name val="Arial"/>
      <family val="2"/>
    </font>
    <font>
      <b/>
      <u/>
      <vertAlign val="superscript"/>
      <sz val="14"/>
      <name val="Arial"/>
      <family val="2"/>
    </font>
    <font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DF57D"/>
        <bgColor indexed="64"/>
      </patternFill>
    </fill>
    <fill>
      <patternFill patternType="solid">
        <fgColor rgb="FF77F577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3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3">
    <xf numFmtId="0" fontId="0" fillId="0" borderId="0" xfId="0"/>
    <xf numFmtId="0" fontId="6" fillId="0" borderId="0" xfId="0" applyFont="1" applyAlignment="1">
      <alignment horizontal="left" vertical="center" wrapText="1"/>
    </xf>
    <xf numFmtId="0" fontId="4" fillId="0" borderId="0" xfId="0" applyFont="1"/>
    <xf numFmtId="10" fontId="4" fillId="0" borderId="0" xfId="0" applyNumberFormat="1" applyFont="1"/>
    <xf numFmtId="43" fontId="4" fillId="0" borderId="0" xfId="0" applyNumberFormat="1" applyFont="1"/>
    <xf numFmtId="0" fontId="4" fillId="0" borderId="0" xfId="0" applyFont="1" applyBorder="1" applyAlignment="1">
      <alignment vertical="center"/>
    </xf>
    <xf numFmtId="0" fontId="5" fillId="0" borderId="0" xfId="0" applyFont="1"/>
    <xf numFmtId="0" fontId="4" fillId="0" borderId="0" xfId="0" applyFont="1" applyAlignment="1"/>
    <xf numFmtId="0" fontId="4" fillId="0" borderId="0" xfId="0" applyFont="1" applyProtection="1">
      <protection locked="0"/>
    </xf>
    <xf numFmtId="0" fontId="4" fillId="0" borderId="0" xfId="0" applyFont="1" applyFill="1"/>
    <xf numFmtId="43" fontId="4" fillId="0" borderId="0" xfId="4" applyFont="1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43" fontId="4" fillId="2" borderId="9" xfId="4" applyFont="1" applyFill="1" applyBorder="1" applyProtection="1">
      <protection locked="0"/>
    </xf>
    <xf numFmtId="43" fontId="2" fillId="2" borderId="13" xfId="4" applyFont="1" applyFill="1" applyBorder="1" applyProtection="1">
      <protection locked="0"/>
    </xf>
    <xf numFmtId="17" fontId="4" fillId="2" borderId="38" xfId="0" applyNumberFormat="1" applyFont="1" applyFill="1" applyBorder="1" applyAlignment="1" applyProtection="1">
      <alignment horizontal="center"/>
      <protection locked="0"/>
    </xf>
    <xf numFmtId="1" fontId="4" fillId="2" borderId="1" xfId="0" applyNumberFormat="1" applyFont="1" applyFill="1" applyBorder="1" applyAlignment="1" applyProtection="1">
      <alignment horizontal="center"/>
      <protection locked="0"/>
    </xf>
    <xf numFmtId="43" fontId="4" fillId="2" borderId="35" xfId="4" applyFont="1" applyFill="1" applyBorder="1" applyProtection="1">
      <protection locked="0"/>
    </xf>
    <xf numFmtId="43" fontId="2" fillId="4" borderId="9" xfId="4" applyFont="1" applyFill="1" applyBorder="1" applyAlignment="1">
      <alignment horizontal="center"/>
    </xf>
    <xf numFmtId="1" fontId="4" fillId="4" borderId="9" xfId="4" applyNumberFormat="1" applyFont="1" applyFill="1" applyBorder="1" applyAlignment="1">
      <alignment horizontal="center"/>
    </xf>
    <xf numFmtId="43" fontId="2" fillId="4" borderId="9" xfId="4" applyFont="1" applyFill="1" applyBorder="1"/>
    <xf numFmtId="43" fontId="2" fillId="4" borderId="11" xfId="0" applyNumberFormat="1" applyFont="1" applyFill="1" applyBorder="1"/>
    <xf numFmtId="0" fontId="4" fillId="4" borderId="8" xfId="0" applyFont="1" applyFill="1" applyBorder="1" applyAlignment="1">
      <alignment horizontal="center"/>
    </xf>
    <xf numFmtId="10" fontId="4" fillId="4" borderId="1" xfId="0" applyNumberFormat="1" applyFont="1" applyFill="1" applyBorder="1" applyAlignment="1"/>
    <xf numFmtId="0" fontId="4" fillId="4" borderId="10" xfId="0" applyFont="1" applyFill="1" applyBorder="1" applyAlignment="1">
      <alignment horizontal="center"/>
    </xf>
    <xf numFmtId="43" fontId="2" fillId="4" borderId="11" xfId="4" applyFont="1" applyFill="1" applyBorder="1"/>
    <xf numFmtId="0" fontId="4" fillId="4" borderId="25" xfId="0" applyFont="1" applyFill="1" applyBorder="1" applyAlignment="1">
      <alignment horizontal="center"/>
    </xf>
    <xf numFmtId="164" fontId="10" fillId="4" borderId="19" xfId="0" applyNumberFormat="1" applyFont="1" applyFill="1" applyBorder="1"/>
    <xf numFmtId="10" fontId="2" fillId="4" borderId="9" xfId="0" applyNumberFormat="1" applyFont="1" applyFill="1" applyBorder="1" applyAlignment="1" applyProtection="1"/>
    <xf numFmtId="43" fontId="2" fillId="4" borderId="9" xfId="0" applyNumberFormat="1" applyFont="1" applyFill="1" applyBorder="1"/>
    <xf numFmtId="43" fontId="2" fillId="4" borderId="9" xfId="4" applyFont="1" applyFill="1" applyBorder="1" applyAlignment="1" applyProtection="1"/>
    <xf numFmtId="4" fontId="2" fillId="4" borderId="9" xfId="0" applyNumberFormat="1" applyFont="1" applyFill="1" applyBorder="1"/>
    <xf numFmtId="10" fontId="2" fillId="4" borderId="11" xfId="1" applyNumberFormat="1" applyFont="1" applyFill="1" applyBorder="1"/>
    <xf numFmtId="0" fontId="14" fillId="4" borderId="27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/>
    </xf>
    <xf numFmtId="10" fontId="4" fillId="4" borderId="27" xfId="0" applyNumberFormat="1" applyFont="1" applyFill="1" applyBorder="1" applyAlignment="1" applyProtection="1"/>
    <xf numFmtId="10" fontId="11" fillId="4" borderId="27" xfId="0" applyNumberFormat="1" applyFont="1" applyFill="1" applyBorder="1" applyAlignment="1"/>
    <xf numFmtId="10" fontId="11" fillId="4" borderId="27" xfId="1" applyNumberFormat="1" applyFont="1" applyFill="1" applyBorder="1" applyAlignment="1"/>
    <xf numFmtId="43" fontId="12" fillId="4" borderId="27" xfId="0" applyNumberFormat="1" applyFont="1" applyFill="1" applyBorder="1"/>
    <xf numFmtId="0" fontId="14" fillId="4" borderId="22" xfId="0" applyFont="1" applyFill="1" applyBorder="1" applyAlignment="1">
      <alignment horizontal="center" vertical="center" wrapText="1"/>
    </xf>
    <xf numFmtId="0" fontId="8" fillId="4" borderId="31" xfId="0" applyFont="1" applyFill="1" applyBorder="1" applyAlignment="1">
      <alignment vertical="center" wrapText="1"/>
    </xf>
    <xf numFmtId="41" fontId="4" fillId="4" borderId="31" xfId="0" applyNumberFormat="1" applyFont="1" applyFill="1" applyBorder="1"/>
    <xf numFmtId="43" fontId="8" fillId="4" borderId="31" xfId="4" applyFont="1" applyFill="1" applyBorder="1" applyAlignment="1">
      <alignment vertical="center" wrapText="1"/>
    </xf>
    <xf numFmtId="10" fontId="8" fillId="4" borderId="31" xfId="0" applyNumberFormat="1" applyFont="1" applyFill="1" applyBorder="1" applyAlignment="1">
      <alignment horizontal="center" vertical="center" wrapText="1"/>
    </xf>
    <xf numFmtId="41" fontId="8" fillId="4" borderId="31" xfId="0" applyNumberFormat="1" applyFont="1" applyFill="1" applyBorder="1" applyAlignment="1">
      <alignment horizontal="center" vertical="center" wrapText="1"/>
    </xf>
    <xf numFmtId="10" fontId="7" fillId="4" borderId="31" xfId="0" applyNumberFormat="1" applyFont="1" applyFill="1" applyBorder="1" applyAlignment="1">
      <alignment horizontal="center" vertical="center" wrapText="1"/>
    </xf>
    <xf numFmtId="10" fontId="7" fillId="4" borderId="31" xfId="0" applyNumberFormat="1" applyFont="1" applyFill="1" applyBorder="1" applyAlignment="1">
      <alignment vertical="center" wrapText="1"/>
    </xf>
    <xf numFmtId="10" fontId="7" fillId="4" borderId="34" xfId="0" applyNumberFormat="1" applyFont="1" applyFill="1" applyBorder="1" applyAlignment="1">
      <alignment horizontal="center" vertical="center" wrapText="1"/>
    </xf>
    <xf numFmtId="0" fontId="8" fillId="4" borderId="32" xfId="0" applyFont="1" applyFill="1" applyBorder="1" applyAlignment="1">
      <alignment vertical="center" wrapText="1"/>
    </xf>
    <xf numFmtId="4" fontId="8" fillId="4" borderId="32" xfId="0" applyNumberFormat="1" applyFont="1" applyFill="1" applyBorder="1" applyAlignment="1">
      <alignment vertical="center" wrapText="1"/>
    </xf>
    <xf numFmtId="43" fontId="8" fillId="4" borderId="32" xfId="4" applyFont="1" applyFill="1" applyBorder="1" applyAlignment="1">
      <alignment vertical="center" wrapText="1"/>
    </xf>
    <xf numFmtId="10" fontId="8" fillId="4" borderId="32" xfId="0" applyNumberFormat="1" applyFont="1" applyFill="1" applyBorder="1" applyAlignment="1">
      <alignment horizontal="center" vertical="center" wrapText="1"/>
    </xf>
    <xf numFmtId="4" fontId="8" fillId="4" borderId="32" xfId="0" applyNumberFormat="1" applyFont="1" applyFill="1" applyBorder="1" applyAlignment="1">
      <alignment horizontal="center" vertical="center" wrapText="1"/>
    </xf>
    <xf numFmtId="10" fontId="7" fillId="4" borderId="32" xfId="0" applyNumberFormat="1" applyFont="1" applyFill="1" applyBorder="1" applyAlignment="1">
      <alignment horizontal="center" vertical="center" wrapText="1"/>
    </xf>
    <xf numFmtId="10" fontId="7" fillId="4" borderId="32" xfId="0" applyNumberFormat="1" applyFont="1" applyFill="1" applyBorder="1" applyAlignment="1">
      <alignment vertical="center" wrapText="1"/>
    </xf>
    <xf numFmtId="10" fontId="7" fillId="4" borderId="35" xfId="0" applyNumberFormat="1" applyFont="1" applyFill="1" applyBorder="1" applyAlignment="1">
      <alignment horizontal="center" vertical="center" wrapText="1"/>
    </xf>
    <xf numFmtId="0" fontId="8" fillId="4" borderId="33" xfId="0" applyFont="1" applyFill="1" applyBorder="1" applyAlignment="1">
      <alignment vertical="center" wrapText="1"/>
    </xf>
    <xf numFmtId="4" fontId="8" fillId="4" borderId="33" xfId="0" applyNumberFormat="1" applyFont="1" applyFill="1" applyBorder="1" applyAlignment="1">
      <alignment vertical="center" wrapText="1"/>
    </xf>
    <xf numFmtId="43" fontId="8" fillId="4" borderId="33" xfId="4" applyFont="1" applyFill="1" applyBorder="1" applyAlignment="1">
      <alignment vertical="center" wrapText="1"/>
    </xf>
    <xf numFmtId="10" fontId="8" fillId="4" borderId="33" xfId="0" applyNumberFormat="1" applyFont="1" applyFill="1" applyBorder="1" applyAlignment="1">
      <alignment horizontal="center" vertical="center" wrapText="1"/>
    </xf>
    <xf numFmtId="4" fontId="8" fillId="4" borderId="33" xfId="0" applyNumberFormat="1" applyFont="1" applyFill="1" applyBorder="1" applyAlignment="1">
      <alignment horizontal="center" vertical="center" wrapText="1"/>
    </xf>
    <xf numFmtId="10" fontId="7" fillId="4" borderId="33" xfId="0" applyNumberFormat="1" applyFont="1" applyFill="1" applyBorder="1" applyAlignment="1">
      <alignment horizontal="center" vertical="center" wrapText="1"/>
    </xf>
    <xf numFmtId="10" fontId="7" fillId="4" borderId="33" xfId="0" applyNumberFormat="1" applyFont="1" applyFill="1" applyBorder="1" applyAlignment="1">
      <alignment vertical="center" wrapText="1"/>
    </xf>
    <xf numFmtId="0" fontId="7" fillId="4" borderId="36" xfId="0" applyFont="1" applyFill="1" applyBorder="1" applyAlignment="1">
      <alignment horizontal="center" vertical="center" wrapText="1"/>
    </xf>
    <xf numFmtId="14" fontId="17" fillId="2" borderId="42" xfId="0" applyNumberFormat="1" applyFont="1" applyFill="1" applyBorder="1" applyProtection="1">
      <protection locked="0"/>
    </xf>
    <xf numFmtId="0" fontId="2" fillId="4" borderId="1" xfId="0" applyFont="1" applyFill="1" applyBorder="1" applyAlignment="1">
      <alignment horizontal="center"/>
    </xf>
    <xf numFmtId="43" fontId="2" fillId="4" borderId="11" xfId="4" applyFont="1" applyFill="1" applyBorder="1" applyProtection="1">
      <protection locked="0"/>
    </xf>
    <xf numFmtId="0" fontId="2" fillId="4" borderId="16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0" fontId="2" fillId="4" borderId="12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12" fillId="4" borderId="5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4" fillId="4" borderId="26" xfId="0" applyFont="1" applyFill="1" applyBorder="1" applyAlignment="1">
      <alignment horizontal="left" vertical="center" wrapText="1"/>
    </xf>
    <xf numFmtId="0" fontId="4" fillId="4" borderId="24" xfId="0" applyFont="1" applyFill="1" applyBorder="1" applyAlignment="1">
      <alignment horizontal="left" vertical="center" wrapText="1"/>
    </xf>
    <xf numFmtId="0" fontId="4" fillId="4" borderId="23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/>
    </xf>
    <xf numFmtId="0" fontId="4" fillId="4" borderId="4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0" fontId="15" fillId="4" borderId="20" xfId="0" applyFont="1" applyFill="1" applyBorder="1" applyAlignment="1">
      <alignment horizontal="center" vertical="center" wrapText="1"/>
    </xf>
    <xf numFmtId="0" fontId="15" fillId="4" borderId="0" xfId="0" applyFont="1" applyFill="1" applyBorder="1" applyAlignment="1">
      <alignment horizontal="center" vertical="center" wrapText="1"/>
    </xf>
    <xf numFmtId="0" fontId="15" fillId="4" borderId="21" xfId="0" applyFont="1" applyFill="1" applyBorder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wrapText="1"/>
    </xf>
    <xf numFmtId="0" fontId="12" fillId="4" borderId="30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/>
    </xf>
    <xf numFmtId="0" fontId="10" fillId="4" borderId="7" xfId="0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2" fillId="4" borderId="18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left"/>
    </xf>
    <xf numFmtId="0" fontId="4" fillId="4" borderId="14" xfId="0" applyFont="1" applyFill="1" applyBorder="1" applyAlignment="1">
      <alignment horizontal="left"/>
    </xf>
    <xf numFmtId="0" fontId="4" fillId="4" borderId="15" xfId="0" applyFont="1" applyFill="1" applyBorder="1" applyAlignment="1">
      <alignment horizontal="left"/>
    </xf>
    <xf numFmtId="0" fontId="2" fillId="4" borderId="39" xfId="0" applyFont="1" applyFill="1" applyBorder="1" applyAlignment="1">
      <alignment horizontal="center"/>
    </xf>
    <xf numFmtId="0" fontId="10" fillId="3" borderId="40" xfId="0" applyFont="1" applyFill="1" applyBorder="1" applyAlignment="1">
      <alignment horizontal="center"/>
    </xf>
    <xf numFmtId="0" fontId="10" fillId="3" borderId="41" xfId="0" applyFont="1" applyFill="1" applyBorder="1" applyAlignment="1">
      <alignment horizontal="center"/>
    </xf>
    <xf numFmtId="0" fontId="2" fillId="4" borderId="38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37" xfId="0" applyFont="1" applyFill="1" applyBorder="1" applyAlignment="1">
      <alignment horizontal="left"/>
    </xf>
    <xf numFmtId="0" fontId="2" fillId="4" borderId="43" xfId="0" applyFont="1" applyFill="1" applyBorder="1" applyAlignment="1">
      <alignment horizontal="left"/>
    </xf>
    <xf numFmtId="0" fontId="2" fillId="4" borderId="39" xfId="0" applyFont="1" applyFill="1" applyBorder="1" applyAlignment="1">
      <alignment horizontal="left"/>
    </xf>
    <xf numFmtId="0" fontId="2" fillId="4" borderId="15" xfId="0" applyFont="1" applyFill="1" applyBorder="1" applyAlignment="1">
      <alignment horizontal="left"/>
    </xf>
  </cellXfs>
  <cellStyles count="6">
    <cellStyle name="Normal" xfId="0" builtinId="0"/>
    <cellStyle name="Normal 2" xfId="2"/>
    <cellStyle name="Porcentagem" xfId="1" builtinId="5"/>
    <cellStyle name="Separador de milhares 2" xfId="3"/>
    <cellStyle name="Vírgula" xfId="4" builtinId="3"/>
    <cellStyle name="Vírgula 2" xfId="5"/>
  </cellStyles>
  <dxfs count="0"/>
  <tableStyles count="0" defaultTableStyle="TableStyleMedium9" defaultPivotStyle="PivotStyleLight16"/>
  <colors>
    <mruColors>
      <color rgb="FF77F577"/>
      <color rgb="FFFF6699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5</xdr:row>
      <xdr:rowOff>66675</xdr:rowOff>
    </xdr:from>
    <xdr:to>
      <xdr:col>8</xdr:col>
      <xdr:colOff>323438</xdr:colOff>
      <xdr:row>22</xdr:row>
      <xdr:rowOff>9525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6375" y="1209675"/>
          <a:ext cx="3295238" cy="3181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9"/>
  <sheetViews>
    <sheetView topLeftCell="A7" workbookViewId="0">
      <selection activeCell="O16" sqref="O16"/>
    </sheetView>
  </sheetViews>
  <sheetFormatPr defaultRowHeight="15" x14ac:dyDescent="0.25"/>
  <cols>
    <col min="2" max="2" width="9.140625" style="11"/>
  </cols>
  <sheetData>
    <row r="2" spans="2:4" x14ac:dyDescent="0.25">
      <c r="B2" t="s">
        <v>36</v>
      </c>
      <c r="C2" t="s">
        <v>37</v>
      </c>
    </row>
    <row r="3" spans="2:4" x14ac:dyDescent="0.25">
      <c r="B3" t="s">
        <v>38</v>
      </c>
      <c r="C3" t="s">
        <v>39</v>
      </c>
    </row>
    <row r="4" spans="2:4" x14ac:dyDescent="0.25">
      <c r="B4" t="s">
        <v>40</v>
      </c>
      <c r="C4" t="s">
        <v>41</v>
      </c>
    </row>
    <row r="5" spans="2:4" x14ac:dyDescent="0.25">
      <c r="B5"/>
      <c r="C5" s="12" t="s">
        <v>45</v>
      </c>
      <c r="D5" t="s">
        <v>46</v>
      </c>
    </row>
    <row r="6" spans="2:4" x14ac:dyDescent="0.25">
      <c r="B6"/>
    </row>
    <row r="7" spans="2:4" x14ac:dyDescent="0.25">
      <c r="B7"/>
    </row>
    <row r="8" spans="2:4" x14ac:dyDescent="0.25">
      <c r="B8"/>
    </row>
    <row r="9" spans="2:4" x14ac:dyDescent="0.25">
      <c r="B9"/>
    </row>
    <row r="10" spans="2:4" x14ac:dyDescent="0.25">
      <c r="B10"/>
    </row>
    <row r="11" spans="2:4" x14ac:dyDescent="0.25">
      <c r="B11"/>
    </row>
    <row r="12" spans="2:4" x14ac:dyDescent="0.25">
      <c r="B12"/>
    </row>
    <row r="13" spans="2:4" x14ac:dyDescent="0.25">
      <c r="B13"/>
    </row>
    <row r="14" spans="2:4" x14ac:dyDescent="0.25">
      <c r="B14"/>
    </row>
    <row r="15" spans="2:4" x14ac:dyDescent="0.25">
      <c r="B15"/>
    </row>
    <row r="16" spans="2:4" x14ac:dyDescent="0.25">
      <c r="B16"/>
    </row>
    <row r="17" spans="2:4" x14ac:dyDescent="0.25">
      <c r="B17"/>
    </row>
    <row r="18" spans="2:4" x14ac:dyDescent="0.25">
      <c r="B18"/>
    </row>
    <row r="19" spans="2:4" x14ac:dyDescent="0.25">
      <c r="B19"/>
    </row>
    <row r="20" spans="2:4" x14ac:dyDescent="0.25">
      <c r="B20"/>
    </row>
    <row r="21" spans="2:4" x14ac:dyDescent="0.25">
      <c r="B21"/>
    </row>
    <row r="22" spans="2:4" x14ac:dyDescent="0.25">
      <c r="B22"/>
    </row>
    <row r="23" spans="2:4" x14ac:dyDescent="0.25">
      <c r="B23"/>
    </row>
    <row r="24" spans="2:4" x14ac:dyDescent="0.25">
      <c r="B24"/>
      <c r="C24" t="s">
        <v>47</v>
      </c>
      <c r="D24" t="s">
        <v>48</v>
      </c>
    </row>
    <row r="25" spans="2:4" x14ac:dyDescent="0.25">
      <c r="B25"/>
      <c r="D25" t="s">
        <v>44</v>
      </c>
    </row>
    <row r="26" spans="2:4" x14ac:dyDescent="0.25">
      <c r="B26"/>
    </row>
    <row r="27" spans="2:4" x14ac:dyDescent="0.25">
      <c r="B27" t="s">
        <v>42</v>
      </c>
      <c r="C27" t="s">
        <v>43</v>
      </c>
    </row>
    <row r="28" spans="2:4" x14ac:dyDescent="0.25">
      <c r="B28"/>
    </row>
    <row r="29" spans="2:4" x14ac:dyDescent="0.25">
      <c r="B29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699"/>
  </sheetPr>
  <dimension ref="A1:AM25"/>
  <sheetViews>
    <sheetView showGridLines="0" tabSelected="1" zoomScale="85" zoomScaleNormal="85" workbookViewId="0">
      <selection activeCell="D3" sqref="D3"/>
    </sheetView>
  </sheetViews>
  <sheetFormatPr defaultRowHeight="18.75" x14ac:dyDescent="0.3"/>
  <cols>
    <col min="1" max="1" width="3" style="2" customWidth="1"/>
    <col min="2" max="2" width="31.5703125" style="2" customWidth="1"/>
    <col min="3" max="3" width="10.7109375" style="2" customWidth="1"/>
    <col min="4" max="4" width="23.42578125" style="2" customWidth="1"/>
    <col min="5" max="5" width="5.28515625" style="2" customWidth="1"/>
    <col min="6" max="6" width="13.42578125" style="2" customWidth="1"/>
    <col min="7" max="7" width="20.42578125" style="2" customWidth="1"/>
    <col min="8" max="8" width="22" style="2" customWidth="1"/>
    <col min="9" max="9" width="11.42578125" style="2" customWidth="1"/>
    <col min="10" max="10" width="19.42578125" style="2" bestFit="1" customWidth="1"/>
    <col min="11" max="11" width="8.5703125" style="2" customWidth="1"/>
    <col min="12" max="12" width="9.5703125" style="2" customWidth="1"/>
    <col min="13" max="14" width="11.85546875" style="2" customWidth="1"/>
    <col min="15" max="15" width="11.140625" style="2" customWidth="1"/>
    <col min="16" max="18" width="12.28515625" style="2" bestFit="1" customWidth="1"/>
    <col min="19" max="20" width="12.140625" style="2" customWidth="1"/>
    <col min="21" max="21" width="12.42578125" style="2" customWidth="1"/>
    <col min="22" max="22" width="12" style="2" customWidth="1"/>
    <col min="23" max="38" width="9.140625" style="2"/>
    <col min="39" max="39" width="18.28515625" style="2" bestFit="1" customWidth="1"/>
    <col min="40" max="16384" width="9.140625" style="2"/>
  </cols>
  <sheetData>
    <row r="1" spans="1:39" ht="19.5" thickBot="1" x14ac:dyDescent="0.35">
      <c r="A1" s="1"/>
      <c r="B1" s="1"/>
      <c r="C1" s="1"/>
      <c r="D1" s="1"/>
      <c r="E1" s="1"/>
    </row>
    <row r="2" spans="1:39" ht="19.5" customHeight="1" thickBot="1" x14ac:dyDescent="0.35">
      <c r="B2" s="105" t="s">
        <v>61</v>
      </c>
      <c r="C2" s="106"/>
      <c r="D2" s="64">
        <v>0</v>
      </c>
      <c r="F2" s="85" t="s">
        <v>50</v>
      </c>
      <c r="G2" s="86"/>
      <c r="H2" s="86"/>
      <c r="I2" s="86"/>
      <c r="J2" s="86"/>
      <c r="K2" s="86"/>
      <c r="L2" s="86"/>
      <c r="M2" s="86"/>
      <c r="N2" s="86"/>
      <c r="O2" s="86"/>
      <c r="P2" s="86"/>
      <c r="Q2" s="87"/>
      <c r="AM2" s="6" t="s">
        <v>35</v>
      </c>
    </row>
    <row r="3" spans="1:39" ht="19.5" customHeight="1" thickBot="1" x14ac:dyDescent="0.35">
      <c r="B3" s="65" t="s">
        <v>19</v>
      </c>
      <c r="C3" s="65" t="s">
        <v>31</v>
      </c>
      <c r="D3" s="65" t="s">
        <v>20</v>
      </c>
      <c r="F3" s="82" t="s">
        <v>33</v>
      </c>
      <c r="G3" s="83"/>
      <c r="H3" s="83"/>
      <c r="I3" s="83"/>
      <c r="J3" s="84"/>
      <c r="K3" s="88" t="s">
        <v>18</v>
      </c>
      <c r="L3" s="89"/>
      <c r="M3" s="89"/>
      <c r="N3" s="89"/>
      <c r="O3" s="89"/>
      <c r="P3" s="89"/>
      <c r="Q3" s="90"/>
      <c r="AM3" s="10">
        <v>3000000</v>
      </c>
    </row>
    <row r="4" spans="1:39" ht="19.5" customHeight="1" thickBot="1" x14ac:dyDescent="0.35">
      <c r="B4" s="15">
        <v>42736</v>
      </c>
      <c r="C4" s="16"/>
      <c r="D4" s="17"/>
      <c r="F4" s="91" t="s">
        <v>49</v>
      </c>
      <c r="G4" s="92"/>
      <c r="H4" s="93"/>
      <c r="I4" s="33" t="s">
        <v>0</v>
      </c>
      <c r="J4" s="39" t="s">
        <v>1</v>
      </c>
      <c r="K4" s="33" t="s">
        <v>10</v>
      </c>
      <c r="L4" s="33" t="s">
        <v>11</v>
      </c>
      <c r="M4" s="33" t="s">
        <v>12</v>
      </c>
      <c r="N4" s="33" t="s">
        <v>13</v>
      </c>
      <c r="O4" s="33" t="s">
        <v>14</v>
      </c>
      <c r="P4" s="33" t="s">
        <v>32</v>
      </c>
      <c r="Q4" s="33" t="s">
        <v>15</v>
      </c>
    </row>
    <row r="5" spans="1:39" ht="16.5" customHeight="1" x14ac:dyDescent="0.3">
      <c r="B5" s="15">
        <v>42767</v>
      </c>
      <c r="C5" s="16"/>
      <c r="D5" s="17"/>
      <c r="F5" s="40" t="s">
        <v>3</v>
      </c>
      <c r="G5" s="41">
        <v>0</v>
      </c>
      <c r="H5" s="42">
        <v>180000</v>
      </c>
      <c r="I5" s="43">
        <v>4.4999999999999998E-2</v>
      </c>
      <c r="J5" s="44">
        <v>0</v>
      </c>
      <c r="K5" s="45">
        <v>5.5E-2</v>
      </c>
      <c r="L5" s="46">
        <v>3.5000000000000003E-2</v>
      </c>
      <c r="M5" s="46">
        <v>0.11509999999999999</v>
      </c>
      <c r="N5" s="45">
        <v>2.4899999999999999E-2</v>
      </c>
      <c r="O5" s="45">
        <v>0.375</v>
      </c>
      <c r="P5" s="45">
        <v>7.4999999999999997E-2</v>
      </c>
      <c r="Q5" s="47">
        <v>0.32</v>
      </c>
    </row>
    <row r="6" spans="1:39" ht="16.5" customHeight="1" x14ac:dyDescent="0.3">
      <c r="B6" s="15">
        <v>42795</v>
      </c>
      <c r="C6" s="16"/>
      <c r="D6" s="17"/>
      <c r="F6" s="48" t="s">
        <v>4</v>
      </c>
      <c r="G6" s="49">
        <v>180000.01</v>
      </c>
      <c r="H6" s="50">
        <v>360000</v>
      </c>
      <c r="I6" s="51">
        <v>7.8E-2</v>
      </c>
      <c r="J6" s="52">
        <v>5940</v>
      </c>
      <c r="K6" s="53">
        <v>5.5E-2</v>
      </c>
      <c r="L6" s="54">
        <v>3.5000000000000003E-2</v>
      </c>
      <c r="M6" s="54">
        <v>0.11509999999999999</v>
      </c>
      <c r="N6" s="53">
        <v>2.4899999999999999E-2</v>
      </c>
      <c r="O6" s="53">
        <v>0.375</v>
      </c>
      <c r="P6" s="53">
        <v>7.4999999999999997E-2</v>
      </c>
      <c r="Q6" s="55">
        <v>0.32</v>
      </c>
    </row>
    <row r="7" spans="1:39" ht="17.25" customHeight="1" x14ac:dyDescent="0.3">
      <c r="B7" s="15">
        <v>42826</v>
      </c>
      <c r="C7" s="16"/>
      <c r="D7" s="17"/>
      <c r="F7" s="48" t="s">
        <v>17</v>
      </c>
      <c r="G7" s="49">
        <v>360000.01</v>
      </c>
      <c r="H7" s="50">
        <v>720000</v>
      </c>
      <c r="I7" s="51">
        <v>0.1</v>
      </c>
      <c r="J7" s="52">
        <v>13860</v>
      </c>
      <c r="K7" s="53">
        <v>5.5E-2</v>
      </c>
      <c r="L7" s="54">
        <v>3.5000000000000003E-2</v>
      </c>
      <c r="M7" s="54">
        <v>0.11509999999999999</v>
      </c>
      <c r="N7" s="53">
        <v>2.4899999999999999E-2</v>
      </c>
      <c r="O7" s="53">
        <v>0.375</v>
      </c>
      <c r="P7" s="53">
        <v>7.4999999999999997E-2</v>
      </c>
      <c r="Q7" s="55">
        <v>0.32</v>
      </c>
      <c r="X7" s="8"/>
    </row>
    <row r="8" spans="1:39" ht="16.5" customHeight="1" x14ac:dyDescent="0.3">
      <c r="B8" s="15">
        <v>42856</v>
      </c>
      <c r="C8" s="16"/>
      <c r="D8" s="17"/>
      <c r="F8" s="48" t="s">
        <v>5</v>
      </c>
      <c r="G8" s="49">
        <v>720000.01</v>
      </c>
      <c r="H8" s="50">
        <v>1800000</v>
      </c>
      <c r="I8" s="51">
        <v>0.112</v>
      </c>
      <c r="J8" s="52">
        <v>22500</v>
      </c>
      <c r="K8" s="53">
        <v>5.5E-2</v>
      </c>
      <c r="L8" s="54">
        <v>3.5000000000000003E-2</v>
      </c>
      <c r="M8" s="54">
        <v>0.11509999999999999</v>
      </c>
      <c r="N8" s="53">
        <v>2.4899999999999999E-2</v>
      </c>
      <c r="O8" s="53">
        <v>0.375</v>
      </c>
      <c r="P8" s="53">
        <v>7.4999999999999997E-2</v>
      </c>
      <c r="Q8" s="55">
        <v>0.32</v>
      </c>
    </row>
    <row r="9" spans="1:39" ht="18" customHeight="1" x14ac:dyDescent="0.3">
      <c r="B9" s="15">
        <v>42887</v>
      </c>
      <c r="C9" s="16"/>
      <c r="D9" s="17"/>
      <c r="F9" s="48" t="s">
        <v>6</v>
      </c>
      <c r="G9" s="49">
        <v>1800000.01</v>
      </c>
      <c r="H9" s="50">
        <v>3600000</v>
      </c>
      <c r="I9" s="51">
        <v>0.14699999999999999</v>
      </c>
      <c r="J9" s="52">
        <v>85500</v>
      </c>
      <c r="K9" s="53">
        <v>5.5E-2</v>
      </c>
      <c r="L9" s="54">
        <v>3.5000000000000003E-2</v>
      </c>
      <c r="M9" s="54">
        <v>0.11509999999999999</v>
      </c>
      <c r="N9" s="53">
        <v>2.4899999999999999E-2</v>
      </c>
      <c r="O9" s="53">
        <v>0.375</v>
      </c>
      <c r="P9" s="53">
        <v>7.4999999999999997E-2</v>
      </c>
      <c r="Q9" s="55">
        <v>0.32</v>
      </c>
    </row>
    <row r="10" spans="1:39" ht="18" customHeight="1" thickBot="1" x14ac:dyDescent="0.35">
      <c r="B10" s="15">
        <v>42917</v>
      </c>
      <c r="C10" s="16"/>
      <c r="D10" s="17"/>
      <c r="F10" s="56" t="s">
        <v>7</v>
      </c>
      <c r="G10" s="57">
        <v>3600000.01</v>
      </c>
      <c r="H10" s="58">
        <v>4800000</v>
      </c>
      <c r="I10" s="59">
        <v>0.3</v>
      </c>
      <c r="J10" s="60">
        <v>720000</v>
      </c>
      <c r="K10" s="61">
        <v>8.5000000000000006E-2</v>
      </c>
      <c r="L10" s="62">
        <v>7.4999999999999997E-2</v>
      </c>
      <c r="M10" s="62">
        <v>0.20960000000000001</v>
      </c>
      <c r="N10" s="61">
        <v>4.5400000000000003E-2</v>
      </c>
      <c r="O10" s="61">
        <v>0.23499999999999999</v>
      </c>
      <c r="P10" s="61">
        <v>0.35</v>
      </c>
      <c r="Q10" s="63" t="s">
        <v>2</v>
      </c>
    </row>
    <row r="11" spans="1:39" ht="19.5" thickBot="1" x14ac:dyDescent="0.35">
      <c r="B11" s="15">
        <v>42948</v>
      </c>
      <c r="C11" s="16"/>
      <c r="D11" s="17"/>
      <c r="F11" s="6" t="e">
        <f>IF(D19&gt;=AM3,AM2,0)</f>
        <v>#DIV/0!</v>
      </c>
    </row>
    <row r="12" spans="1:39" ht="19.5" thickBot="1" x14ac:dyDescent="0.35">
      <c r="B12" s="15">
        <v>42979</v>
      </c>
      <c r="C12" s="16"/>
      <c r="D12" s="17"/>
      <c r="F12" s="94" t="s">
        <v>9</v>
      </c>
      <c r="G12" s="95"/>
      <c r="H12" s="95"/>
      <c r="I12" s="95"/>
      <c r="J12" s="96"/>
    </row>
    <row r="13" spans="1:39" ht="18.75" customHeight="1" thickBot="1" x14ac:dyDescent="0.35">
      <c r="B13" s="15">
        <v>43009</v>
      </c>
      <c r="C13" s="16"/>
      <c r="D13" s="17"/>
      <c r="F13" s="26">
        <v>1</v>
      </c>
      <c r="G13" s="76" t="s">
        <v>22</v>
      </c>
      <c r="H13" s="77"/>
      <c r="I13" s="78"/>
      <c r="J13" s="27" t="e">
        <f>D19</f>
        <v>#DIV/0!</v>
      </c>
      <c r="L13" s="9"/>
      <c r="M13" s="9"/>
      <c r="N13" s="73" t="s">
        <v>34</v>
      </c>
      <c r="O13" s="74"/>
      <c r="P13" s="74"/>
      <c r="Q13" s="74"/>
      <c r="R13" s="74"/>
      <c r="S13" s="74"/>
      <c r="T13" s="74"/>
      <c r="U13" s="75"/>
    </row>
    <row r="14" spans="1:39" ht="17.25" customHeight="1" thickBot="1" x14ac:dyDescent="0.35">
      <c r="B14" s="15">
        <v>43040</v>
      </c>
      <c r="C14" s="16"/>
      <c r="D14" s="17"/>
      <c r="F14" s="22">
        <v>2</v>
      </c>
      <c r="G14" s="79" t="s">
        <v>23</v>
      </c>
      <c r="H14" s="80"/>
      <c r="I14" s="81"/>
      <c r="J14" s="28" t="e">
        <f>VLOOKUP(D19,G5:I10,3,TRUE)</f>
        <v>#DIV/0!</v>
      </c>
      <c r="L14" s="9"/>
      <c r="M14" s="9"/>
      <c r="N14" s="33" t="s">
        <v>10</v>
      </c>
      <c r="O14" s="33" t="s">
        <v>11</v>
      </c>
      <c r="P14" s="33" t="s">
        <v>12</v>
      </c>
      <c r="Q14" s="33" t="s">
        <v>13</v>
      </c>
      <c r="R14" s="33" t="s">
        <v>14</v>
      </c>
      <c r="S14" s="33" t="s">
        <v>32</v>
      </c>
      <c r="T14" s="33" t="s">
        <v>15</v>
      </c>
      <c r="U14" s="34" t="s">
        <v>16</v>
      </c>
    </row>
    <row r="15" spans="1:39" ht="18.75" customHeight="1" thickBot="1" x14ac:dyDescent="0.35">
      <c r="B15" s="15">
        <v>43070</v>
      </c>
      <c r="C15" s="16"/>
      <c r="D15" s="17"/>
      <c r="F15" s="22">
        <v>3</v>
      </c>
      <c r="G15" s="79" t="s">
        <v>24</v>
      </c>
      <c r="H15" s="80"/>
      <c r="I15" s="81"/>
      <c r="J15" s="29" t="e">
        <f>J13*J14</f>
        <v>#DIV/0!</v>
      </c>
      <c r="L15" s="71" t="s">
        <v>23</v>
      </c>
      <c r="M15" s="72"/>
      <c r="N15" s="35" t="e">
        <f>VLOOKUP($D$19,$G$5:$Q$10,5,TRUE)</f>
        <v>#DIV/0!</v>
      </c>
      <c r="O15" s="35" t="e">
        <f>VLOOKUP($D$19,$G$5:$Q$10,6,TRUE)</f>
        <v>#DIV/0!</v>
      </c>
      <c r="P15" s="35" t="e">
        <f>VLOOKUP($D$19,$G$5:$Q$10,7,TRUE)</f>
        <v>#DIV/0!</v>
      </c>
      <c r="Q15" s="35" t="e">
        <f>VLOOKUP($D$19,$G$5:$Q$10,8,TRUE)</f>
        <v>#DIV/0!</v>
      </c>
      <c r="R15" s="35" t="e">
        <f>VLOOKUP($D$19,$G$5:$Q$10,9,TRUE)</f>
        <v>#DIV/0!</v>
      </c>
      <c r="S15" s="35" t="e">
        <f>VLOOKUP($D$19,$G$5:$Q$10,10,TRUE)</f>
        <v>#DIV/0!</v>
      </c>
      <c r="T15" s="35" t="e">
        <f>VLOOKUP($D$19,$G$5:$Q$10,11,TRUE)</f>
        <v>#DIV/0!</v>
      </c>
      <c r="U15" s="36" t="e">
        <f>SUM(N15:T15)</f>
        <v>#DIV/0!</v>
      </c>
    </row>
    <row r="16" spans="1:39" ht="18.75" customHeight="1" thickBot="1" x14ac:dyDescent="0.35">
      <c r="B16" s="107" t="s">
        <v>16</v>
      </c>
      <c r="C16" s="108"/>
      <c r="D16" s="18">
        <f>SUM(D4:D15)</f>
        <v>0</v>
      </c>
      <c r="F16" s="22">
        <v>4</v>
      </c>
      <c r="G16" s="79" t="s">
        <v>25</v>
      </c>
      <c r="H16" s="80"/>
      <c r="I16" s="81"/>
      <c r="J16" s="30" t="e">
        <f>VLOOKUP(D19,G5:J10,4,TRUE)</f>
        <v>#DIV/0!</v>
      </c>
      <c r="L16" s="97" t="s">
        <v>27</v>
      </c>
      <c r="M16" s="98"/>
      <c r="N16" s="37" t="e">
        <f>N15*$J$18</f>
        <v>#DIV/0!</v>
      </c>
      <c r="O16" s="37" t="e">
        <f>$J$18*O15</f>
        <v>#DIV/0!</v>
      </c>
      <c r="P16" s="37" t="e">
        <f>$J$18*P15</f>
        <v>#DIV/0!</v>
      </c>
      <c r="Q16" s="37" t="e">
        <f>$J$18*Q15</f>
        <v>#DIV/0!</v>
      </c>
      <c r="R16" s="37" t="e">
        <f>$J$18*R15</f>
        <v>#DIV/0!</v>
      </c>
      <c r="S16" s="37" t="e">
        <f>S15*J18</f>
        <v>#DIV/0!</v>
      </c>
      <c r="T16" s="37" t="e">
        <f>T15*J18</f>
        <v>#DIV/0!</v>
      </c>
      <c r="U16" s="37" t="e">
        <f>J18*U15</f>
        <v>#DIV/0!</v>
      </c>
    </row>
    <row r="17" spans="2:25" ht="18.75" customHeight="1" thickBot="1" x14ac:dyDescent="0.35">
      <c r="B17" s="107" t="s">
        <v>29</v>
      </c>
      <c r="C17" s="108"/>
      <c r="D17" s="19">
        <f>SUM(C4:C15)</f>
        <v>0</v>
      </c>
      <c r="F17" s="22">
        <v>5</v>
      </c>
      <c r="G17" s="79" t="s">
        <v>26</v>
      </c>
      <c r="H17" s="80"/>
      <c r="I17" s="81"/>
      <c r="J17" s="31" t="e">
        <f>J15-J16</f>
        <v>#DIV/0!</v>
      </c>
      <c r="L17" s="99" t="s">
        <v>28</v>
      </c>
      <c r="M17" s="100"/>
      <c r="N17" s="38" t="e">
        <f t="shared" ref="N17:T17" si="0">N16*$J$21</f>
        <v>#DIV/0!</v>
      </c>
      <c r="O17" s="38" t="e">
        <f t="shared" si="0"/>
        <v>#DIV/0!</v>
      </c>
      <c r="P17" s="38" t="e">
        <f t="shared" si="0"/>
        <v>#DIV/0!</v>
      </c>
      <c r="Q17" s="38" t="e">
        <f t="shared" si="0"/>
        <v>#DIV/0!</v>
      </c>
      <c r="R17" s="38" t="e">
        <f t="shared" si="0"/>
        <v>#DIV/0!</v>
      </c>
      <c r="S17" s="38" t="e">
        <f t="shared" si="0"/>
        <v>#DIV/0!</v>
      </c>
      <c r="T17" s="38" t="e">
        <f t="shared" si="0"/>
        <v>#DIV/0!</v>
      </c>
      <c r="U17" s="38" t="e">
        <f>U16*$J$21</f>
        <v>#DIV/0!</v>
      </c>
    </row>
    <row r="18" spans="2:25" ht="18.75" customHeight="1" thickBot="1" x14ac:dyDescent="0.35">
      <c r="B18" s="107" t="s">
        <v>30</v>
      </c>
      <c r="C18" s="108"/>
      <c r="D18" s="20" t="e">
        <f>D16/D17</f>
        <v>#DIV/0!</v>
      </c>
      <c r="F18" s="24">
        <v>6</v>
      </c>
      <c r="G18" s="101" t="s">
        <v>27</v>
      </c>
      <c r="H18" s="102"/>
      <c r="I18" s="103"/>
      <c r="J18" s="32" t="e">
        <f>J17/J13</f>
        <v>#DIV/0!</v>
      </c>
      <c r="W18" s="5"/>
      <c r="X18" s="5"/>
      <c r="Y18" s="5"/>
    </row>
    <row r="19" spans="2:25" ht="19.5" thickBot="1" x14ac:dyDescent="0.35">
      <c r="B19" s="111" t="s">
        <v>21</v>
      </c>
      <c r="C19" s="112"/>
      <c r="D19" s="21" t="e">
        <f>D18*12</f>
        <v>#DIV/0!</v>
      </c>
      <c r="L19" s="6" t="e">
        <f>IF(D19&gt;=AM3,AM2,0)</f>
        <v>#DIV/0!</v>
      </c>
      <c r="W19" s="5"/>
      <c r="X19" s="5"/>
      <c r="Y19" s="5"/>
    </row>
    <row r="20" spans="2:25" ht="18.75" customHeight="1" thickBot="1" x14ac:dyDescent="0.35">
      <c r="F20" s="94" t="s">
        <v>8</v>
      </c>
      <c r="G20" s="95"/>
      <c r="H20" s="95"/>
      <c r="I20" s="95"/>
      <c r="J20" s="96"/>
      <c r="V20" s="5"/>
      <c r="W20" s="5"/>
      <c r="X20" s="5"/>
      <c r="Y20" s="5"/>
    </row>
    <row r="21" spans="2:25" ht="17.25" customHeight="1" x14ac:dyDescent="0.3">
      <c r="B21" s="109" t="s">
        <v>55</v>
      </c>
      <c r="C21" s="110"/>
      <c r="D21" s="14"/>
      <c r="F21" s="22">
        <v>7</v>
      </c>
      <c r="G21" s="70" t="s">
        <v>56</v>
      </c>
      <c r="H21" s="70"/>
      <c r="I21" s="23" t="e">
        <f>J18</f>
        <v>#DIV/0!</v>
      </c>
      <c r="J21" s="20" t="e">
        <f>D21*I21</f>
        <v>#DIV/0!</v>
      </c>
      <c r="K21" s="3"/>
      <c r="V21" s="5"/>
      <c r="W21" s="5"/>
      <c r="X21" s="5"/>
      <c r="Y21" s="5"/>
    </row>
    <row r="22" spans="2:25" x14ac:dyDescent="0.3">
      <c r="B22" s="107" t="s">
        <v>51</v>
      </c>
      <c r="C22" s="108"/>
      <c r="D22" s="13"/>
      <c r="F22" s="22">
        <v>8</v>
      </c>
      <c r="G22" s="70" t="s">
        <v>57</v>
      </c>
      <c r="H22" s="70"/>
      <c r="I22" s="23" t="e">
        <f>I21-T16</f>
        <v>#DIV/0!</v>
      </c>
      <c r="J22" s="20" t="e">
        <f>D22*I22</f>
        <v>#DIV/0!</v>
      </c>
      <c r="K22" s="3"/>
      <c r="V22" s="5"/>
      <c r="W22" s="5"/>
      <c r="X22" s="5"/>
      <c r="Y22" s="5"/>
    </row>
    <row r="23" spans="2:25" x14ac:dyDescent="0.3">
      <c r="B23" s="107" t="s">
        <v>52</v>
      </c>
      <c r="C23" s="108"/>
      <c r="D23" s="13"/>
      <c r="F23" s="22">
        <v>9</v>
      </c>
      <c r="G23" s="70" t="s">
        <v>58</v>
      </c>
      <c r="H23" s="70"/>
      <c r="I23" s="23" t="e">
        <f>I21-P16-Q16</f>
        <v>#DIV/0!</v>
      </c>
      <c r="J23" s="20" t="e">
        <f>D23*I23</f>
        <v>#DIV/0!</v>
      </c>
      <c r="Q23" s="4"/>
      <c r="S23" s="5"/>
      <c r="T23" s="5"/>
      <c r="U23" s="5"/>
      <c r="V23" s="5"/>
      <c r="W23" s="5"/>
      <c r="X23" s="5"/>
      <c r="Y23" s="5"/>
    </row>
    <row r="24" spans="2:25" x14ac:dyDescent="0.3">
      <c r="B24" s="107" t="s">
        <v>53</v>
      </c>
      <c r="C24" s="108"/>
      <c r="D24" s="13"/>
      <c r="F24" s="22">
        <v>10</v>
      </c>
      <c r="G24" s="70" t="s">
        <v>59</v>
      </c>
      <c r="H24" s="70"/>
      <c r="I24" s="23" t="e">
        <f>I21-P16-Q16-T16</f>
        <v>#DIV/0!</v>
      </c>
      <c r="J24" s="20" t="e">
        <f>D24*I24</f>
        <v>#DIV/0!</v>
      </c>
      <c r="S24" s="5"/>
      <c r="T24" s="5"/>
      <c r="U24" s="5"/>
      <c r="V24" s="5"/>
      <c r="W24" s="5"/>
      <c r="X24" s="5"/>
      <c r="Y24" s="5"/>
    </row>
    <row r="25" spans="2:25" ht="19.5" thickBot="1" x14ac:dyDescent="0.35">
      <c r="B25" s="104" t="s">
        <v>54</v>
      </c>
      <c r="C25" s="69"/>
      <c r="D25" s="66">
        <f>SUM(D21:D24)</f>
        <v>0</v>
      </c>
      <c r="F25" s="24">
        <v>11</v>
      </c>
      <c r="G25" s="67" t="s">
        <v>60</v>
      </c>
      <c r="H25" s="68"/>
      <c r="I25" s="69"/>
      <c r="J25" s="25" t="e">
        <f>SUM(J21:J24)</f>
        <v>#DIV/0!</v>
      </c>
      <c r="K25" s="7"/>
      <c r="S25" s="5"/>
      <c r="T25" s="5"/>
      <c r="U25" s="5"/>
      <c r="V25" s="5"/>
      <c r="W25" s="5"/>
      <c r="X25" s="5"/>
      <c r="Y25" s="5"/>
    </row>
  </sheetData>
  <sheetProtection algorithmName="SHA-512" hashValue="akmtIlmE/cLfsILjmjBqFtmXDgKworrwYE1xKniIfDJCHK0qB/DOX9sq9zZRhVlcpQftLpRyf6xSL0/j4aFerQ==" saltValue="bMXYd0VFQiiYaF1xMNwY/w==" spinCount="100000" sheet="1" objects="1" scenarios="1"/>
  <mergeCells count="31">
    <mergeCell ref="B2:C2"/>
    <mergeCell ref="B22:C22"/>
    <mergeCell ref="B23:C23"/>
    <mergeCell ref="B24:C24"/>
    <mergeCell ref="B21:C21"/>
    <mergeCell ref="B16:C16"/>
    <mergeCell ref="B17:C17"/>
    <mergeCell ref="B18:C18"/>
    <mergeCell ref="B19:C19"/>
    <mergeCell ref="L17:M17"/>
    <mergeCell ref="G17:I17"/>
    <mergeCell ref="G18:I18"/>
    <mergeCell ref="F20:J20"/>
    <mergeCell ref="B25:C25"/>
    <mergeCell ref="F3:J3"/>
    <mergeCell ref="F2:Q2"/>
    <mergeCell ref="K3:Q3"/>
    <mergeCell ref="F4:H4"/>
    <mergeCell ref="F12:J12"/>
    <mergeCell ref="L15:M15"/>
    <mergeCell ref="N13:U13"/>
    <mergeCell ref="G13:I13"/>
    <mergeCell ref="G16:I16"/>
    <mergeCell ref="G14:I14"/>
    <mergeCell ref="G15:I15"/>
    <mergeCell ref="L16:M16"/>
    <mergeCell ref="G25:I25"/>
    <mergeCell ref="G21:H21"/>
    <mergeCell ref="G22:H22"/>
    <mergeCell ref="G23:H23"/>
    <mergeCell ref="G24:H24"/>
  </mergeCells>
  <pageMargins left="0.31496062992125984" right="0.31496062992125984" top="0.39370078740157483" bottom="0.39370078740157483" header="0.31496062992125984" footer="0.31496062992125984"/>
  <pageSetup paperSize="9"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Orientações</vt:lpstr>
      <vt:lpstr>Anexo II Indústria</vt:lpstr>
    </vt:vector>
  </TitlesOfParts>
  <Company>mega.info@uol.com.br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leonardark@hotmail.com</dc:creator>
  <cp:lastModifiedBy>Adriano</cp:lastModifiedBy>
  <cp:lastPrinted>2011-07-28T13:40:48Z</cp:lastPrinted>
  <dcterms:created xsi:type="dcterms:W3CDTF">2011-07-28T13:16:20Z</dcterms:created>
  <dcterms:modified xsi:type="dcterms:W3CDTF">2018-02-09T14:40:08Z</dcterms:modified>
</cp:coreProperties>
</file>