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935"/>
  </bookViews>
  <sheets>
    <sheet name="Orientações" sheetId="4" r:id="rId1"/>
    <sheet name="Controle Vencimento Experiência" sheetId="1" r:id="rId2"/>
    <sheet name="Parâmetros" sheetId="3" state="hidden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5" i="1" l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2" i="1"/>
  <c r="M11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2" i="1"/>
  <c r="L11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2" i="1"/>
  <c r="K11" i="1"/>
  <c r="K9" i="1"/>
  <c r="K7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2" i="1"/>
  <c r="O11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2" i="1"/>
  <c r="N11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K10" i="1" s="1"/>
  <c r="I9" i="1"/>
  <c r="I8" i="1"/>
  <c r="K8" i="1" s="1"/>
  <c r="I7" i="1"/>
  <c r="I6" i="1"/>
  <c r="K6" i="1" l="1"/>
  <c r="K13" i="1"/>
  <c r="B4" i="3"/>
  <c r="M13" i="1" l="1"/>
  <c r="M9" i="1"/>
  <c r="O9" i="1" s="1"/>
  <c r="M7" i="1"/>
  <c r="O7" i="1" s="1"/>
  <c r="M10" i="1"/>
  <c r="O10" i="1" s="1"/>
  <c r="M8" i="1"/>
  <c r="O8" i="1" s="1"/>
  <c r="L13" i="1"/>
  <c r="N13" i="1" s="1"/>
  <c r="L9" i="1"/>
  <c r="N9" i="1" s="1"/>
  <c r="L7" i="1"/>
  <c r="N7" i="1" s="1"/>
  <c r="L10" i="1"/>
  <c r="N10" i="1" s="1"/>
  <c r="L8" i="1"/>
  <c r="N8" i="1" s="1"/>
  <c r="O13" i="1"/>
  <c r="M6" i="1"/>
  <c r="O6" i="1" s="1"/>
  <c r="L6" i="1"/>
  <c r="N6" i="1" s="1"/>
</calcChain>
</file>

<file path=xl/sharedStrings.xml><?xml version="1.0" encoding="utf-8"?>
<sst xmlns="http://schemas.openxmlformats.org/spreadsheetml/2006/main" count="57" uniqueCount="48">
  <si>
    <t>Situação</t>
  </si>
  <si>
    <t>data atual</t>
  </si>
  <si>
    <t>Nome</t>
  </si>
  <si>
    <t>Chapa</t>
  </si>
  <si>
    <t>Beltrano de Tal Jr</t>
  </si>
  <si>
    <t>Fulano de Tal</t>
  </si>
  <si>
    <t>* ORIENTAÇÕES *</t>
  </si>
  <si>
    <r>
      <t xml:space="preserve">Chapa: </t>
    </r>
    <r>
      <rPr>
        <sz val="11"/>
        <color theme="1"/>
        <rFont val="Calibri"/>
        <family val="2"/>
        <scheme val="minor"/>
      </rPr>
      <t>Digitar o número da chapa ou registro do funcionário.</t>
    </r>
  </si>
  <si>
    <t>* ATENÇÃO * - CAMPOS ABAIXO MUITO IMPORTANTES - * ANALISAR SEMPRE *</t>
  </si>
  <si>
    <t xml:space="preserve">Data de </t>
  </si>
  <si>
    <t>Admissão</t>
  </si>
  <si>
    <t>Função</t>
  </si>
  <si>
    <t>Setor</t>
  </si>
  <si>
    <t>Analista</t>
  </si>
  <si>
    <t>R.Humanos</t>
  </si>
  <si>
    <t>Total dias</t>
  </si>
  <si>
    <t>Experiência</t>
  </si>
  <si>
    <t xml:space="preserve">Dias da </t>
  </si>
  <si>
    <t>1ª fase</t>
  </si>
  <si>
    <t>Vencimento</t>
  </si>
  <si>
    <t>2ª fase</t>
  </si>
  <si>
    <t>Financeiro</t>
  </si>
  <si>
    <t>Assistente</t>
  </si>
  <si>
    <r>
      <rPr>
        <b/>
        <sz val="11"/>
        <color theme="1"/>
        <rFont val="Calibri"/>
        <family val="2"/>
        <scheme val="minor"/>
      </rPr>
      <t>Função</t>
    </r>
    <r>
      <rPr>
        <sz val="11"/>
        <color theme="1"/>
        <rFont val="Calibri"/>
        <family val="2"/>
        <scheme val="minor"/>
      </rPr>
      <t xml:space="preserve"> : Informar a função do funcionário</t>
    </r>
  </si>
  <si>
    <r>
      <rPr>
        <b/>
        <sz val="11"/>
        <color theme="1"/>
        <rFont val="Calibri"/>
        <family val="2"/>
        <scheme val="minor"/>
      </rPr>
      <t>Setor</t>
    </r>
    <r>
      <rPr>
        <sz val="11"/>
        <color theme="1"/>
        <rFont val="Calibri"/>
        <family val="2"/>
        <scheme val="minor"/>
      </rPr>
      <t xml:space="preserve"> - Informar o setor que o funcionário esta lotado.</t>
    </r>
  </si>
  <si>
    <t>Dias venc.</t>
  </si>
  <si>
    <t xml:space="preserve">* PLANILHA PARA CONTROLE VENCIMENTO DE EXPERIÊNCIA *  </t>
  </si>
  <si>
    <r>
      <rPr>
        <b/>
        <sz val="11"/>
        <color theme="1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Resolvi deixar como parâmetro 10 dias, porque assim dará tempo de verfificar com a chefia do funcionário, o que ele prentende fazer.</t>
    </r>
  </si>
  <si>
    <t>Abaixo mensagens automáticas conforme a situação da experiência, tanto na 1ª como na 2ª fase :</t>
  </si>
  <si>
    <r>
      <t>Nome :</t>
    </r>
    <r>
      <rPr>
        <sz val="11"/>
        <color theme="1"/>
        <rFont val="Calibri"/>
        <family val="2"/>
        <scheme val="minor"/>
      </rPr>
      <t xml:space="preserve"> Informar o nome do funcionário. </t>
    </r>
  </si>
  <si>
    <t>No total de dias da 2ª face, a fórmula já irá fazer a dedução dos dias da 1ª. Exemplo: Total de dias de experiência = 90, menos dias da 1ª fase = 45, então os dias</t>
  </si>
  <si>
    <t>da 2ª fase serão 45 (90 - 45 = 45)</t>
  </si>
  <si>
    <t xml:space="preserve">Menos de 0 dia </t>
  </si>
  <si>
    <t>De 1 a 10 dias</t>
  </si>
  <si>
    <t>Igual a 0 dia</t>
  </si>
  <si>
    <t>Acima de 10 dias</t>
  </si>
  <si>
    <r>
      <rPr>
        <b/>
        <sz val="11"/>
        <color theme="1"/>
        <rFont val="Calibri"/>
        <family val="2"/>
        <scheme val="minor"/>
      </rPr>
      <t>Situação da 1ª fase :</t>
    </r>
    <r>
      <rPr>
        <sz val="11"/>
        <color theme="1"/>
        <rFont val="Calibri"/>
        <family val="2"/>
        <scheme val="minor"/>
      </rPr>
      <t xml:space="preserve">  Conforme o dias de vencimento, a célula mudará de cor e dará um alerta, veja mensagens abaixo:</t>
    </r>
  </si>
  <si>
    <r>
      <t xml:space="preserve">Situação da 2ª fase : </t>
    </r>
    <r>
      <rPr>
        <sz val="11"/>
        <color theme="1"/>
        <rFont val="Calibri"/>
        <family val="2"/>
        <scheme val="minor"/>
      </rPr>
      <t>Conforme o dias de vencimento, a célula mudará de cor e dará um alerta, veja mensagens abaixo:</t>
    </r>
  </si>
  <si>
    <t>Na guia/planilha "Controle Vencimento Experiência" digitar somente nos campos informados abaixo:</t>
  </si>
  <si>
    <r>
      <rPr>
        <b/>
        <sz val="11"/>
        <color theme="1"/>
        <rFont val="Calibri"/>
        <family val="2"/>
        <scheme val="minor"/>
      </rPr>
      <t>Data de admissão</t>
    </r>
    <r>
      <rPr>
        <sz val="11"/>
        <color theme="1"/>
        <rFont val="Calibri"/>
        <family val="2"/>
        <scheme val="minor"/>
      </rPr>
      <t xml:space="preserve"> - Informar a data de admissão do funcionário. Este campo é </t>
    </r>
    <r>
      <rPr>
        <b/>
        <u/>
        <sz val="11"/>
        <color theme="1"/>
        <rFont val="Calibri"/>
        <family val="2"/>
        <scheme val="minor"/>
      </rPr>
      <t>MUITO IMPORTANTE</t>
    </r>
    <r>
      <rPr>
        <sz val="11"/>
        <color theme="1"/>
        <rFont val="Calibri"/>
        <family val="2"/>
        <scheme val="minor"/>
      </rPr>
      <t>, pois irá controlar os vencimentos</t>
    </r>
  </si>
  <si>
    <r>
      <rPr>
        <b/>
        <sz val="11"/>
        <color theme="1"/>
        <rFont val="Calibri"/>
        <family val="2"/>
        <scheme val="minor"/>
      </rPr>
      <t>Total dias de experiência</t>
    </r>
    <r>
      <rPr>
        <sz val="11"/>
        <color theme="1"/>
        <rFont val="Calibri"/>
        <family val="2"/>
        <scheme val="minor"/>
      </rPr>
      <t xml:space="preserve"> - Informar a qtde. total de dias de experiência. Lembrando que </t>
    </r>
    <r>
      <rPr>
        <b/>
        <u/>
        <sz val="11"/>
        <color theme="1"/>
        <rFont val="Calibri"/>
        <family val="2"/>
        <scheme val="minor"/>
      </rPr>
      <t>não pode ser maior que 90 dias. (artigo 445 da CLT)</t>
    </r>
  </si>
  <si>
    <r>
      <rPr>
        <b/>
        <sz val="11"/>
        <color theme="1"/>
        <rFont val="Calibri"/>
        <family val="2"/>
        <scheme val="minor"/>
      </rPr>
      <t>Dias da 1ª face</t>
    </r>
    <r>
      <rPr>
        <sz val="11"/>
        <color theme="1"/>
        <rFont val="Calibri"/>
        <family val="2"/>
        <scheme val="minor"/>
      </rPr>
      <t xml:space="preserve"> - Informar a qtde. de dias da 1ª fase da experiência.  </t>
    </r>
    <r>
      <rPr>
        <b/>
        <sz val="11"/>
        <color rgb="FFFF0000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 xml:space="preserve">: </t>
    </r>
    <r>
      <rPr>
        <b/>
        <u/>
        <sz val="11"/>
        <color theme="8" tint="-0.499984740745262"/>
        <rFont val="Calibri"/>
        <family val="2"/>
        <scheme val="minor"/>
      </rPr>
      <t>Se for fase única (sem prorrogação) informar igual coluna anterior</t>
    </r>
  </si>
  <si>
    <r>
      <t xml:space="preserve">Dias vencimento 2ª fase : </t>
    </r>
    <r>
      <rPr>
        <sz val="11"/>
        <color theme="1"/>
        <rFont val="Calibri"/>
        <family val="2"/>
        <scheme val="minor"/>
      </rPr>
      <t>Neste campo é para acompanhar quantos dias faltam para vencer a 2ª fase da experiência</t>
    </r>
  </si>
  <si>
    <r>
      <t xml:space="preserve">Dias vencimento 1ª fase : </t>
    </r>
    <r>
      <rPr>
        <sz val="11"/>
        <color theme="1"/>
        <rFont val="Calibri"/>
        <family val="2"/>
        <scheme val="minor"/>
      </rPr>
      <t>Neste campo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é para acompanhar quantos dias faltam para vencer a 1ª fase da experiência</t>
    </r>
  </si>
  <si>
    <r>
      <t>A cor de preenchimento da célula ficará vermelha, a cor da fonte amarela, e aparecerá a mensagem "</t>
    </r>
    <r>
      <rPr>
        <b/>
        <sz val="11"/>
        <color theme="1"/>
        <rFont val="Calibri"/>
        <family val="2"/>
        <scheme val="minor"/>
      </rPr>
      <t>1ª fase</t>
    </r>
    <r>
      <rPr>
        <sz val="11"/>
        <color theme="1"/>
        <rFont val="Calibri"/>
        <family val="2"/>
        <scheme val="minor"/>
      </rPr>
      <t xml:space="preserve"> v</t>
    </r>
    <r>
      <rPr>
        <b/>
        <sz val="11"/>
        <color theme="1"/>
        <rFont val="Calibri"/>
        <family val="2"/>
        <scheme val="minor"/>
      </rPr>
      <t>enceu</t>
    </r>
    <r>
      <rPr>
        <sz val="11"/>
        <color theme="1"/>
        <rFont val="Calibri"/>
        <family val="2"/>
        <scheme val="minor"/>
      </rPr>
      <t>" ou "</t>
    </r>
    <r>
      <rPr>
        <b/>
        <sz val="11"/>
        <color theme="1"/>
        <rFont val="Calibri"/>
        <family val="2"/>
        <scheme val="minor"/>
      </rPr>
      <t>2ª fase venceu</t>
    </r>
    <r>
      <rPr>
        <sz val="11"/>
        <color theme="1"/>
        <rFont val="Calibri"/>
        <family val="2"/>
        <scheme val="minor"/>
      </rPr>
      <t xml:space="preserve">" </t>
    </r>
  </si>
  <si>
    <r>
      <t xml:space="preserve">A cor de preenchimento da célula ficará amarela , a cor da fonte vermelha , e aparecerá a mensagem " </t>
    </r>
    <r>
      <rPr>
        <b/>
        <sz val="11"/>
        <color theme="1"/>
        <rFont val="Calibri"/>
        <family val="2"/>
        <scheme val="minor"/>
      </rPr>
      <t>Atenção, vence hoje</t>
    </r>
    <r>
      <rPr>
        <sz val="11"/>
        <color theme="1"/>
        <rFont val="Calibri"/>
        <family val="2"/>
        <scheme val="minor"/>
      </rPr>
      <t>"</t>
    </r>
  </si>
  <si>
    <r>
      <t xml:space="preserve">A cor de preenchimento da célula ficará azul, a cor da fonte amarela, e aparecerá a mensagem " </t>
    </r>
    <r>
      <rPr>
        <b/>
        <sz val="11"/>
        <color theme="1"/>
        <rFont val="Calibri"/>
        <family val="2"/>
        <scheme val="minor"/>
      </rPr>
      <t>Próximo do vencimento</t>
    </r>
    <r>
      <rPr>
        <sz val="11"/>
        <color theme="1"/>
        <rFont val="Calibri"/>
        <family val="2"/>
        <scheme val="minor"/>
      </rPr>
      <t>"</t>
    </r>
  </si>
  <si>
    <r>
      <t xml:space="preserve">A cor de preenchimento da célula ficará verde a cor da fonte branca, e aparecerá a mensagem " </t>
    </r>
    <r>
      <rPr>
        <b/>
        <sz val="11"/>
        <color theme="1"/>
        <rFont val="Calibri"/>
        <family val="2"/>
        <scheme val="minor"/>
      </rPr>
      <t>No prazo</t>
    </r>
    <r>
      <rPr>
        <sz val="11"/>
        <color theme="1"/>
        <rFont val="Calibri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</si>
</sst>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color rgb="FF2F2F2F"/>
      <name val="Calibri"/>
      <family val="2"/>
    </font>
    <font>
      <sz val="11"/>
      <color rgb="FFFFFF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8" tint="-0.499984740745262"/>
      <name val="Verdana"/>
      <family val="2"/>
    </font>
    <font>
      <b/>
      <sz val="11"/>
      <color theme="0"/>
      <name val="Rockwell"/>
      <family val="1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.5"/>
      <color rgb="FFFFFF00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6" borderId="0" xfId="0" applyFill="1" applyProtection="1">
      <protection hidden="1"/>
    </xf>
    <xf numFmtId="0" fontId="0" fillId="6" borderId="0" xfId="0" applyFill="1" applyAlignment="1" applyProtection="1">
      <alignment vertical="center"/>
      <protection hidden="1"/>
    </xf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6" fillId="4" borderId="14" xfId="0" applyFont="1" applyFill="1" applyBorder="1" applyAlignment="1" applyProtection="1">
      <alignment horizontal="center" vertical="center"/>
      <protection hidden="1"/>
    </xf>
    <xf numFmtId="14" fontId="1" fillId="2" borderId="15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14" fontId="0" fillId="2" borderId="0" xfId="0" applyNumberFormat="1" applyFill="1" applyProtection="1">
      <protection hidden="1"/>
    </xf>
    <xf numFmtId="0" fontId="3" fillId="6" borderId="0" xfId="0" applyFont="1" applyFill="1" applyProtection="1">
      <protection hidden="1"/>
    </xf>
    <xf numFmtId="0" fontId="9" fillId="9" borderId="10" xfId="0" applyFont="1" applyFill="1" applyBorder="1" applyAlignment="1" applyProtection="1">
      <alignment horizontal="center" vertical="center"/>
      <protection hidden="1"/>
    </xf>
    <xf numFmtId="0" fontId="9" fillId="9" borderId="9" xfId="0" applyFont="1" applyFill="1" applyBorder="1" applyAlignment="1" applyProtection="1">
      <alignment horizontal="center" vertical="center"/>
      <protection hidden="1"/>
    </xf>
    <xf numFmtId="0" fontId="9" fillId="9" borderId="19" xfId="0" applyFont="1" applyFill="1" applyBorder="1" applyAlignment="1" applyProtection="1">
      <alignment horizontal="center" vertical="center"/>
      <protection hidden="1"/>
    </xf>
    <xf numFmtId="0" fontId="9" fillId="9" borderId="6" xfId="0" applyFont="1" applyFill="1" applyBorder="1" applyAlignment="1" applyProtection="1">
      <alignment horizontal="center" vertical="center"/>
      <protection hidden="1"/>
    </xf>
    <xf numFmtId="0" fontId="9" fillId="9" borderId="12" xfId="0" applyFont="1" applyFill="1" applyBorder="1" applyAlignment="1" applyProtection="1">
      <alignment horizontal="center" vertical="center"/>
      <protection hidden="1"/>
    </xf>
    <xf numFmtId="0" fontId="9" fillId="9" borderId="23" xfId="0" applyFont="1" applyFill="1" applyBorder="1" applyAlignment="1" applyProtection="1">
      <alignment horizontal="center" vertical="center"/>
      <protection hidden="1"/>
    </xf>
    <xf numFmtId="0" fontId="9" fillId="9" borderId="7" xfId="0" applyFont="1" applyFill="1" applyBorder="1" applyAlignment="1" applyProtection="1">
      <alignment horizontal="center" vertical="center"/>
      <protection hidden="1"/>
    </xf>
    <xf numFmtId="0" fontId="9" fillId="9" borderId="20" xfId="0" applyFont="1" applyFill="1" applyBorder="1" applyAlignment="1" applyProtection="1">
      <alignment horizontal="center" vertical="center"/>
      <protection hidden="1"/>
    </xf>
    <xf numFmtId="0" fontId="0" fillId="10" borderId="17" xfId="0" applyFill="1" applyBorder="1" applyAlignment="1" applyProtection="1">
      <alignment vertical="center"/>
      <protection hidden="1"/>
    </xf>
    <xf numFmtId="0" fontId="0" fillId="10" borderId="18" xfId="0" applyFill="1" applyBorder="1" applyAlignment="1" applyProtection="1">
      <alignment vertical="center"/>
      <protection hidden="1"/>
    </xf>
    <xf numFmtId="0" fontId="0" fillId="10" borderId="0" xfId="0" applyFill="1" applyBorder="1" applyAlignment="1" applyProtection="1">
      <alignment vertical="center"/>
      <protection hidden="1"/>
    </xf>
    <xf numFmtId="0" fontId="7" fillId="10" borderId="0" xfId="0" applyFont="1" applyFill="1" applyBorder="1" applyAlignment="1" applyProtection="1">
      <alignment vertical="center"/>
      <protection hidden="1"/>
    </xf>
    <xf numFmtId="0" fontId="7" fillId="10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" fillId="10" borderId="24" xfId="0" applyFont="1" applyFill="1" applyBorder="1" applyAlignment="1" applyProtection="1">
      <alignment vertical="center"/>
      <protection hidden="1"/>
    </xf>
    <xf numFmtId="0" fontId="0" fillId="10" borderId="25" xfId="0" applyFill="1" applyBorder="1" applyAlignment="1" applyProtection="1">
      <alignment vertical="center"/>
      <protection hidden="1"/>
    </xf>
    <xf numFmtId="0" fontId="0" fillId="10" borderId="27" xfId="0" applyFill="1" applyBorder="1" applyAlignment="1" applyProtection="1">
      <alignment vertical="center"/>
      <protection hidden="1"/>
    </xf>
    <xf numFmtId="0" fontId="0" fillId="10" borderId="28" xfId="0" applyFill="1" applyBorder="1" applyAlignment="1" applyProtection="1">
      <alignment vertical="center"/>
      <protection hidden="1"/>
    </xf>
    <xf numFmtId="0" fontId="0" fillId="10" borderId="11" xfId="0" applyFill="1" applyBorder="1" applyAlignment="1" applyProtection="1">
      <alignment vertical="center"/>
      <protection hidden="1"/>
    </xf>
    <xf numFmtId="0" fontId="7" fillId="10" borderId="11" xfId="0" applyFont="1" applyFill="1" applyBorder="1" applyAlignment="1" applyProtection="1">
      <alignment vertical="center"/>
      <protection hidden="1"/>
    </xf>
    <xf numFmtId="0" fontId="0" fillId="10" borderId="28" xfId="0" applyFill="1" applyBorder="1" applyProtection="1">
      <protection hidden="1"/>
    </xf>
    <xf numFmtId="0" fontId="7" fillId="10" borderId="11" xfId="0" applyFont="1" applyFill="1" applyBorder="1" applyProtection="1">
      <protection hidden="1"/>
    </xf>
    <xf numFmtId="0" fontId="7" fillId="10" borderId="12" xfId="0" applyFont="1" applyFill="1" applyBorder="1" applyAlignment="1" applyProtection="1">
      <alignment vertical="center"/>
      <protection hidden="1"/>
    </xf>
    <xf numFmtId="0" fontId="7" fillId="10" borderId="13" xfId="0" applyFont="1" applyFill="1" applyBorder="1" applyAlignment="1" applyProtection="1">
      <alignment vertical="center"/>
      <protection hidden="1"/>
    </xf>
    <xf numFmtId="0" fontId="0" fillId="10" borderId="13" xfId="0" applyFill="1" applyBorder="1" applyAlignment="1" applyProtection="1">
      <alignment vertical="center"/>
      <protection hidden="1"/>
    </xf>
    <xf numFmtId="0" fontId="0" fillId="10" borderId="20" xfId="0" applyFill="1" applyBorder="1" applyAlignment="1" applyProtection="1">
      <alignment vertical="center"/>
      <protection hidden="1"/>
    </xf>
    <xf numFmtId="0" fontId="1" fillId="10" borderId="17" xfId="0" applyFont="1" applyFill="1" applyBorder="1" applyAlignment="1" applyProtection="1">
      <alignment vertical="center"/>
      <protection hidden="1"/>
    </xf>
    <xf numFmtId="0" fontId="0" fillId="10" borderId="24" xfId="0" applyFill="1" applyBorder="1" applyAlignment="1" applyProtection="1">
      <alignment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12" borderId="1" xfId="0" applyFont="1" applyFill="1" applyBorder="1" applyAlignment="1" applyProtection="1">
      <alignment horizontal="center" vertical="center"/>
      <protection locked="0"/>
    </xf>
    <xf numFmtId="164" fontId="11" fillId="6" borderId="2" xfId="0" applyNumberFormat="1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vertical="center"/>
      <protection locked="0"/>
    </xf>
    <xf numFmtId="14" fontId="4" fillId="6" borderId="2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14" fontId="4" fillId="3" borderId="1" xfId="0" applyNumberFormat="1" applyFont="1" applyFill="1" applyBorder="1" applyAlignment="1" applyProtection="1">
      <alignment horizontal="center"/>
      <protection locked="0"/>
    </xf>
    <xf numFmtId="164" fontId="11" fillId="12" borderId="2" xfId="0" applyNumberFormat="1" applyFont="1" applyFill="1" applyBorder="1" applyAlignment="1" applyProtection="1">
      <alignment horizontal="center" vertical="center"/>
      <protection locked="0"/>
    </xf>
    <xf numFmtId="0" fontId="1" fillId="12" borderId="1" xfId="0" applyFont="1" applyFill="1" applyBorder="1" applyAlignment="1" applyProtection="1">
      <alignment vertical="center"/>
      <protection locked="0"/>
    </xf>
    <xf numFmtId="14" fontId="4" fillId="12" borderId="1" xfId="0" applyNumberFormat="1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vertical="center"/>
      <protection locked="0"/>
    </xf>
    <xf numFmtId="14" fontId="4" fillId="6" borderId="1" xfId="0" applyNumberFormat="1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1" fontId="1" fillId="12" borderId="2" xfId="0" applyNumberFormat="1" applyFont="1" applyFill="1" applyBorder="1" applyAlignment="1" applyProtection="1">
      <alignment horizontal="center" vertical="center"/>
      <protection hidden="1"/>
    </xf>
    <xf numFmtId="14" fontId="4" fillId="12" borderId="2" xfId="0" applyNumberFormat="1" applyFont="1" applyFill="1" applyBorder="1" applyAlignment="1" applyProtection="1">
      <alignment horizontal="center" vertical="center"/>
      <protection hidden="1"/>
    </xf>
    <xf numFmtId="1" fontId="4" fillId="12" borderId="2" xfId="0" applyNumberFormat="1" applyFont="1" applyFill="1" applyBorder="1" applyAlignment="1" applyProtection="1">
      <alignment horizontal="center" vertical="center"/>
      <protection hidden="1"/>
    </xf>
    <xf numFmtId="0" fontId="0" fillId="12" borderId="2" xfId="0" applyFill="1" applyBorder="1" applyAlignment="1" applyProtection="1">
      <alignment horizontal="center" vertical="center"/>
      <protection hidden="1"/>
    </xf>
    <xf numFmtId="1" fontId="1" fillId="3" borderId="2" xfId="0" applyNumberFormat="1" applyFont="1" applyFill="1" applyBorder="1" applyAlignment="1" applyProtection="1">
      <alignment horizontal="center" vertical="center"/>
      <protection hidden="1"/>
    </xf>
    <xf numFmtId="14" fontId="4" fillId="3" borderId="2" xfId="0" applyNumberFormat="1" applyFont="1" applyFill="1" applyBorder="1" applyAlignment="1" applyProtection="1">
      <alignment horizontal="center" vertical="center"/>
      <protection hidden="1"/>
    </xf>
    <xf numFmtId="1" fontId="4" fillId="3" borderId="2" xfId="0" applyNumberFormat="1" applyFont="1" applyFill="1" applyBorder="1" applyAlignment="1" applyProtection="1">
      <alignment horizontal="center" vertical="center"/>
      <protection hidden="1"/>
    </xf>
    <xf numFmtId="0" fontId="0" fillId="3" borderId="2" xfId="0" applyFill="1" applyBorder="1" applyAlignment="1" applyProtection="1">
      <alignment horizontal="center" vertical="center"/>
      <protection hidden="1"/>
    </xf>
    <xf numFmtId="14" fontId="12" fillId="3" borderId="1" xfId="0" applyNumberFormat="1" applyFont="1" applyFill="1" applyBorder="1" applyAlignment="1" applyProtection="1">
      <alignment horizontal="center"/>
      <protection locked="0"/>
    </xf>
    <xf numFmtId="3" fontId="0" fillId="2" borderId="0" xfId="0" applyNumberFormat="1" applyFill="1" applyProtection="1">
      <protection hidden="1"/>
    </xf>
    <xf numFmtId="3" fontId="1" fillId="2" borderId="0" xfId="0" applyNumberFormat="1" applyFont="1" applyFill="1" applyProtection="1">
      <protection hidden="1"/>
    </xf>
    <xf numFmtId="3" fontId="1" fillId="2" borderId="0" xfId="0" applyNumberFormat="1" applyFont="1" applyFill="1" applyAlignment="1" applyProtection="1">
      <alignment horizontal="right" vertical="center"/>
      <protection hidden="1"/>
    </xf>
    <xf numFmtId="0" fontId="0" fillId="13" borderId="3" xfId="0" applyFill="1" applyBorder="1" applyAlignment="1" applyProtection="1">
      <alignment vertical="center"/>
      <protection hidden="1"/>
    </xf>
    <xf numFmtId="0" fontId="0" fillId="13" borderId="4" xfId="0" applyFill="1" applyBorder="1" applyAlignment="1" applyProtection="1">
      <alignment vertical="center"/>
      <protection hidden="1"/>
    </xf>
    <xf numFmtId="0" fontId="0" fillId="13" borderId="5" xfId="0" applyFill="1" applyBorder="1" applyAlignment="1" applyProtection="1">
      <alignment vertical="center"/>
      <protection hidden="1"/>
    </xf>
    <xf numFmtId="14" fontId="5" fillId="6" borderId="2" xfId="0" applyNumberFormat="1" applyFont="1" applyFill="1" applyBorder="1" applyAlignment="1" applyProtection="1">
      <alignment horizontal="center" vertical="center"/>
      <protection locked="0"/>
    </xf>
    <xf numFmtId="0" fontId="1" fillId="12" borderId="2" xfId="0" applyFont="1" applyFill="1" applyBorder="1" applyAlignment="1" applyProtection="1">
      <alignment horizontal="center" vertical="center"/>
      <protection locked="0"/>
    </xf>
    <xf numFmtId="0" fontId="1" fillId="12" borderId="2" xfId="0" applyNumberFormat="1" applyFont="1" applyFill="1" applyBorder="1" applyAlignment="1" applyProtection="1">
      <alignment horizontal="center" vertical="center"/>
      <protection locked="0"/>
    </xf>
    <xf numFmtId="14" fontId="5" fillId="3" borderId="2" xfId="0" applyNumberFormat="1" applyFont="1" applyFill="1" applyBorder="1" applyAlignment="1" applyProtection="1">
      <alignment horizontal="center" vertical="center"/>
      <protection locked="0"/>
    </xf>
    <xf numFmtId="0" fontId="1" fillId="3" borderId="2" xfId="0" applyNumberFormat="1" applyFont="1" applyFill="1" applyBorder="1" applyAlignment="1" applyProtection="1">
      <alignment horizontal="center" vertical="center"/>
      <protection locked="0"/>
    </xf>
    <xf numFmtId="14" fontId="5" fillId="12" borderId="2" xfId="0" applyNumberFormat="1" applyFont="1" applyFill="1" applyBorder="1" applyAlignment="1" applyProtection="1">
      <alignment horizontal="center" vertical="center"/>
      <protection locked="0"/>
    </xf>
    <xf numFmtId="0" fontId="1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1" fillId="6" borderId="2" xfId="0" applyNumberFormat="1" applyFont="1" applyFill="1" applyBorder="1" applyAlignment="1" applyProtection="1">
      <alignment horizontal="center" vertical="center"/>
      <protection locked="0"/>
    </xf>
    <xf numFmtId="0" fontId="13" fillId="8" borderId="3" xfId="0" applyFont="1" applyFill="1" applyBorder="1" applyAlignment="1" applyProtection="1">
      <alignment horizontal="center" vertical="center"/>
      <protection hidden="1"/>
    </xf>
    <xf numFmtId="0" fontId="13" fillId="8" borderId="4" xfId="0" applyFont="1" applyFill="1" applyBorder="1" applyAlignment="1" applyProtection="1">
      <alignment horizontal="center" vertical="center"/>
      <protection hidden="1"/>
    </xf>
    <xf numFmtId="0" fontId="13" fillId="8" borderId="5" xfId="0" applyFont="1" applyFill="1" applyBorder="1" applyAlignment="1" applyProtection="1">
      <alignment horizontal="center" vertical="center"/>
      <protection hidden="1"/>
    </xf>
    <xf numFmtId="0" fontId="2" fillId="5" borderId="3" xfId="0" applyFont="1" applyFill="1" applyBorder="1" applyAlignment="1" applyProtection="1">
      <alignment horizontal="center" vertical="center"/>
      <protection hidden="1"/>
    </xf>
    <xf numFmtId="0" fontId="2" fillId="5" borderId="4" xfId="0" applyFont="1" applyFill="1" applyBorder="1" applyAlignment="1" applyProtection="1">
      <alignment horizontal="center" vertical="center"/>
      <protection hidden="1"/>
    </xf>
    <xf numFmtId="0" fontId="2" fillId="5" borderId="5" xfId="0" applyFont="1" applyFill="1" applyBorder="1" applyAlignment="1" applyProtection="1">
      <alignment horizontal="center" vertical="center"/>
      <protection hidden="1"/>
    </xf>
    <xf numFmtId="0" fontId="2" fillId="7" borderId="16" xfId="0" applyFont="1" applyFill="1" applyBorder="1" applyAlignment="1" applyProtection="1">
      <alignment horizontal="center" vertical="center"/>
      <protection hidden="1"/>
    </xf>
    <xf numFmtId="0" fontId="2" fillId="7" borderId="22" xfId="0" applyFont="1" applyFill="1" applyBorder="1" applyAlignment="1" applyProtection="1">
      <alignment horizontal="center" vertical="center"/>
      <protection hidden="1"/>
    </xf>
    <xf numFmtId="0" fontId="2" fillId="7" borderId="8" xfId="0" applyFont="1" applyFill="1" applyBorder="1" applyAlignment="1" applyProtection="1">
      <alignment horizontal="center" vertical="center"/>
      <protection hidden="1"/>
    </xf>
    <xf numFmtId="0" fontId="0" fillId="2" borderId="12" xfId="0" applyFill="1" applyBorder="1" applyAlignment="1" applyProtection="1">
      <alignment horizontal="left" vertical="center"/>
      <protection hidden="1"/>
    </xf>
    <xf numFmtId="0" fontId="0" fillId="2" borderId="13" xfId="0" applyFill="1" applyBorder="1" applyAlignment="1" applyProtection="1">
      <alignment horizontal="left" vertical="center"/>
      <protection hidden="1"/>
    </xf>
    <xf numFmtId="0" fontId="0" fillId="2" borderId="20" xfId="0" applyFill="1" applyBorder="1" applyAlignment="1" applyProtection="1">
      <alignment horizontal="left" vertical="center"/>
      <protection hidden="1"/>
    </xf>
    <xf numFmtId="0" fontId="1" fillId="2" borderId="16" xfId="0" applyFont="1" applyFill="1" applyBorder="1" applyAlignment="1" applyProtection="1">
      <alignment horizontal="left" vertical="center"/>
      <protection hidden="1"/>
    </xf>
    <xf numFmtId="0" fontId="1" fillId="2" borderId="22" xfId="0" applyFont="1" applyFill="1" applyBorder="1" applyAlignment="1" applyProtection="1">
      <alignment horizontal="left" vertical="center"/>
      <protection hidden="1"/>
    </xf>
    <xf numFmtId="0" fontId="1" fillId="2" borderId="8" xfId="0" applyFont="1" applyFill="1" applyBorder="1" applyAlignment="1" applyProtection="1">
      <alignment horizontal="left" vertical="center"/>
      <protection hidden="1"/>
    </xf>
    <xf numFmtId="0" fontId="1" fillId="2" borderId="24" xfId="0" applyFont="1" applyFill="1" applyBorder="1" applyAlignment="1" applyProtection="1">
      <alignment horizontal="left" vertical="center"/>
      <protection hidden="1"/>
    </xf>
    <xf numFmtId="0" fontId="1" fillId="2" borderId="17" xfId="0" applyFont="1" applyFill="1" applyBorder="1" applyAlignment="1" applyProtection="1">
      <alignment horizontal="left" vertical="center"/>
      <protection hidden="1"/>
    </xf>
    <xf numFmtId="0" fontId="1" fillId="2" borderId="25" xfId="0" applyFont="1" applyFill="1" applyBorder="1" applyAlignment="1" applyProtection="1">
      <alignment horizontal="left" vertical="center"/>
      <protection hidden="1"/>
    </xf>
    <xf numFmtId="0" fontId="0" fillId="2" borderId="24" xfId="0" applyFill="1" applyBorder="1" applyAlignment="1" applyProtection="1">
      <alignment horizontal="left" vertical="center"/>
      <protection hidden="1"/>
    </xf>
    <xf numFmtId="0" fontId="0" fillId="2" borderId="17" xfId="0" applyFill="1" applyBorder="1" applyAlignment="1" applyProtection="1">
      <alignment horizontal="left" vertical="center"/>
      <protection hidden="1"/>
    </xf>
    <xf numFmtId="0" fontId="0" fillId="2" borderId="25" xfId="0" applyFill="1" applyBorder="1" applyAlignment="1" applyProtection="1">
      <alignment horizontal="left" vertical="center"/>
      <protection hidden="1"/>
    </xf>
    <xf numFmtId="0" fontId="0" fillId="2" borderId="26" xfId="0" applyFill="1" applyBorder="1" applyAlignment="1" applyProtection="1">
      <alignment horizontal="left" vertical="center"/>
      <protection hidden="1"/>
    </xf>
    <xf numFmtId="0" fontId="0" fillId="2" borderId="18" xfId="0" applyFill="1" applyBorder="1" applyAlignment="1" applyProtection="1">
      <alignment horizontal="left" vertical="center"/>
      <protection hidden="1"/>
    </xf>
    <xf numFmtId="0" fontId="0" fillId="2" borderId="27" xfId="0" applyFill="1" applyBorder="1" applyAlignment="1" applyProtection="1">
      <alignment horizontal="left" vertical="center"/>
      <protection hidden="1"/>
    </xf>
    <xf numFmtId="0" fontId="0" fillId="2" borderId="26" xfId="0" applyFont="1" applyFill="1" applyBorder="1" applyAlignment="1" applyProtection="1">
      <alignment horizontal="left" vertical="center"/>
      <protection hidden="1"/>
    </xf>
    <xf numFmtId="0" fontId="0" fillId="2" borderId="18" xfId="0" applyFont="1" applyFill="1" applyBorder="1" applyAlignment="1" applyProtection="1">
      <alignment horizontal="left" vertical="center"/>
      <protection hidden="1"/>
    </xf>
    <xf numFmtId="0" fontId="0" fillId="2" borderId="27" xfId="0" applyFont="1" applyFill="1" applyBorder="1" applyAlignment="1" applyProtection="1">
      <alignment horizontal="left" vertical="center"/>
      <protection hidden="1"/>
    </xf>
    <xf numFmtId="0" fontId="10" fillId="4" borderId="3" xfId="0" applyFont="1" applyFill="1" applyBorder="1" applyAlignment="1" applyProtection="1">
      <alignment horizontal="center" vertical="center"/>
      <protection hidden="1"/>
    </xf>
    <xf numFmtId="0" fontId="10" fillId="4" borderId="4" xfId="0" applyFont="1" applyFill="1" applyBorder="1" applyAlignment="1" applyProtection="1">
      <alignment horizontal="center" vertical="center"/>
      <protection hidden="1"/>
    </xf>
    <xf numFmtId="0" fontId="9" fillId="9" borderId="14" xfId="0" applyFont="1" applyFill="1" applyBorder="1" applyAlignment="1" applyProtection="1">
      <alignment horizontal="center" vertical="center"/>
      <protection hidden="1"/>
    </xf>
    <xf numFmtId="0" fontId="9" fillId="9" borderId="15" xfId="0" applyFont="1" applyFill="1" applyBorder="1" applyAlignment="1" applyProtection="1">
      <alignment horizontal="center" vertical="center"/>
      <protection hidden="1"/>
    </xf>
    <xf numFmtId="0" fontId="9" fillId="9" borderId="16" xfId="0" applyFont="1" applyFill="1" applyBorder="1" applyAlignment="1" applyProtection="1">
      <alignment horizontal="left" vertical="center"/>
      <protection hidden="1"/>
    </xf>
    <xf numFmtId="0" fontId="9" fillId="9" borderId="21" xfId="0" applyFont="1" applyFill="1" applyBorder="1" applyAlignment="1" applyProtection="1">
      <alignment horizontal="left" vertical="center"/>
      <protection hidden="1"/>
    </xf>
    <xf numFmtId="0" fontId="9" fillId="9" borderId="22" xfId="0" applyFont="1" applyFill="1" applyBorder="1" applyAlignment="1" applyProtection="1">
      <alignment horizontal="center" vertical="center"/>
      <protection hidden="1"/>
    </xf>
    <xf numFmtId="0" fontId="9" fillId="9" borderId="8" xfId="0" applyFont="1" applyFill="1" applyBorder="1" applyAlignment="1" applyProtection="1">
      <alignment horizontal="center" vertical="center"/>
      <protection hidden="1"/>
    </xf>
    <xf numFmtId="0" fontId="9" fillId="9" borderId="19" xfId="0" applyFont="1" applyFill="1" applyBorder="1" applyAlignment="1" applyProtection="1">
      <alignment horizontal="center" vertical="center"/>
      <protection hidden="1"/>
    </xf>
    <xf numFmtId="0" fontId="9" fillId="9" borderId="20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theme="8" tint="-0.49998474074526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theme="8" tint="-0.49998474074526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/>
        <color rgb="FFEBE600"/>
      </font>
    </dxf>
    <dxf>
      <font>
        <b/>
        <i/>
      </font>
      <fill>
        <gradientFill degree="90">
          <stop position="0">
            <color rgb="FFFF0000"/>
          </stop>
          <stop position="1">
            <color rgb="FFFFFF00"/>
          </stop>
        </gradient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gradientFill degree="90">
          <stop position="0">
            <color rgb="FFFF0000"/>
          </stop>
          <stop position="1">
            <color rgb="FFFF0000"/>
          </stop>
        </gradientFill>
      </fill>
    </dxf>
    <dxf>
      <font>
        <color theme="3" tint="-0.499984740745262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8" tint="-0.499984740745262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C1"/>
      <color rgb="FFFFFF53"/>
      <color rgb="FFEB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Controle Vencimento Experi&#234;nci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rienta&#231;&#245;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522560</xdr:colOff>
      <xdr:row>20</xdr:row>
      <xdr:rowOff>49672</xdr:rowOff>
    </xdr:from>
    <xdr:to>
      <xdr:col>3</xdr:col>
      <xdr:colOff>703499</xdr:colOff>
      <xdr:row>20</xdr:row>
      <xdr:rowOff>159878</xdr:rowOff>
    </xdr:to>
    <xdr:sp macro="" textlink="">
      <xdr:nvSpPr>
        <xdr:cNvPr id="2" name="Seta para a direita 1"/>
        <xdr:cNvSpPr/>
      </xdr:nvSpPr>
      <xdr:spPr>
        <a:xfrm>
          <a:off x="1760810" y="3783472"/>
          <a:ext cx="180939" cy="110206"/>
        </a:xfrm>
        <a:prstGeom prst="rightArrow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123824</xdr:colOff>
      <xdr:row>0</xdr:row>
      <xdr:rowOff>76199</xdr:rowOff>
    </xdr:from>
    <xdr:to>
      <xdr:col>19</xdr:col>
      <xdr:colOff>57149</xdr:colOff>
      <xdr:row>6</xdr:row>
      <xdr:rowOff>0</xdr:rowOff>
    </xdr:to>
    <xdr:sp macro="" textlink="">
      <xdr:nvSpPr>
        <xdr:cNvPr id="5" name="Bisel 4">
          <a:hlinkClick xmlns:r="http://schemas.openxmlformats.org/officeDocument/2006/relationships" r:id="rId1"/>
        </xdr:cNvPr>
        <xdr:cNvSpPr/>
      </xdr:nvSpPr>
      <xdr:spPr>
        <a:xfrm>
          <a:off x="10201274" y="76199"/>
          <a:ext cx="1152525" cy="857251"/>
        </a:xfrm>
        <a:prstGeom prst="bevel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Controle</a:t>
          </a:r>
          <a:r>
            <a:rPr lang="pt-BR" sz="1100" b="1" baseline="0">
              <a:solidFill>
                <a:srgbClr val="FFFF00"/>
              </a:solidFill>
            </a:rPr>
            <a:t> Vencimento Experiência</a:t>
          </a:r>
          <a:endParaRPr lang="pt-BR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3</xdr:col>
      <xdr:colOff>522560</xdr:colOff>
      <xdr:row>21</xdr:row>
      <xdr:rowOff>49672</xdr:rowOff>
    </xdr:from>
    <xdr:to>
      <xdr:col>3</xdr:col>
      <xdr:colOff>703499</xdr:colOff>
      <xdr:row>21</xdr:row>
      <xdr:rowOff>159878</xdr:rowOff>
    </xdr:to>
    <xdr:sp macro="" textlink="">
      <xdr:nvSpPr>
        <xdr:cNvPr id="6" name="Seta para a direita 5"/>
        <xdr:cNvSpPr/>
      </xdr:nvSpPr>
      <xdr:spPr>
        <a:xfrm>
          <a:off x="1760810" y="3973972"/>
          <a:ext cx="180939" cy="110206"/>
        </a:xfrm>
        <a:prstGeom prst="rightArrow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522560</xdr:colOff>
      <xdr:row>23</xdr:row>
      <xdr:rowOff>40147</xdr:rowOff>
    </xdr:from>
    <xdr:to>
      <xdr:col>3</xdr:col>
      <xdr:colOff>703499</xdr:colOff>
      <xdr:row>23</xdr:row>
      <xdr:rowOff>150353</xdr:rowOff>
    </xdr:to>
    <xdr:sp macro="" textlink="">
      <xdr:nvSpPr>
        <xdr:cNvPr id="8" name="Seta para a direita 7"/>
        <xdr:cNvSpPr/>
      </xdr:nvSpPr>
      <xdr:spPr>
        <a:xfrm>
          <a:off x="1760810" y="4345447"/>
          <a:ext cx="180939" cy="110206"/>
        </a:xfrm>
        <a:prstGeom prst="rightArrow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522560</xdr:colOff>
      <xdr:row>22</xdr:row>
      <xdr:rowOff>49672</xdr:rowOff>
    </xdr:from>
    <xdr:to>
      <xdr:col>3</xdr:col>
      <xdr:colOff>703499</xdr:colOff>
      <xdr:row>22</xdr:row>
      <xdr:rowOff>159878</xdr:rowOff>
    </xdr:to>
    <xdr:sp macro="" textlink="">
      <xdr:nvSpPr>
        <xdr:cNvPr id="9" name="Seta para a direita 8"/>
        <xdr:cNvSpPr/>
      </xdr:nvSpPr>
      <xdr:spPr>
        <a:xfrm>
          <a:off x="1760810" y="4164472"/>
          <a:ext cx="180939" cy="110206"/>
        </a:xfrm>
        <a:prstGeom prst="rightArrow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133349</xdr:colOff>
      <xdr:row>0</xdr:row>
      <xdr:rowOff>85726</xdr:rowOff>
    </xdr:from>
    <xdr:to>
      <xdr:col>16</xdr:col>
      <xdr:colOff>247650</xdr:colOff>
      <xdr:row>2</xdr:row>
      <xdr:rowOff>47626</xdr:rowOff>
    </xdr:to>
    <xdr:sp macro="" textlink="">
      <xdr:nvSpPr>
        <xdr:cNvPr id="2" name="Bisel 1">
          <a:hlinkClick xmlns:r="http://schemas.openxmlformats.org/officeDocument/2006/relationships" r:id="rId1"/>
        </xdr:cNvPr>
        <xdr:cNvSpPr/>
      </xdr:nvSpPr>
      <xdr:spPr>
        <a:xfrm>
          <a:off x="14516099" y="85726"/>
          <a:ext cx="1104901" cy="285750"/>
        </a:xfrm>
        <a:prstGeom prst="bevel">
          <a:avLst>
            <a:gd name="adj" fmla="val 21459"/>
          </a:avLst>
        </a:prstGeom>
        <a:solidFill>
          <a:srgbClr val="FFFF00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accent5">
                  <a:lumMod val="50000"/>
                </a:schemeClr>
              </a:solidFill>
            </a:rPr>
            <a:t>Orientações</a:t>
          </a:r>
          <a:endParaRPr lang="pt-BR" sz="11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26"/>
  <sheetViews>
    <sheetView tabSelected="1" workbookViewId="0"/>
  </sheetViews>
  <sheetFormatPr defaultRowHeight="15" x14ac:dyDescent="0.25"/>
  <cols>
    <col min="1" max="2" width="4.7109375" style="1" customWidth="1"/>
    <col min="3" max="3" width="9.140625" style="1"/>
    <col min="4" max="4" width="11.42578125" style="1" customWidth="1"/>
    <col min="5" max="16" width="9.140625" style="1"/>
    <col min="17" max="17" width="11.42578125" style="1" customWidth="1"/>
    <col min="18" max="16384" width="9.140625" style="1"/>
  </cols>
  <sheetData>
    <row r="1" spans="3:17" ht="6" customHeight="1" thickBot="1" x14ac:dyDescent="0.3"/>
    <row r="2" spans="3:17" ht="15.75" thickBot="1" x14ac:dyDescent="0.3">
      <c r="C2" s="80" t="s">
        <v>6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2"/>
    </row>
    <row r="3" spans="3:17" ht="6" customHeight="1" thickBot="1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3:17" ht="15.75" customHeight="1" thickBot="1" x14ac:dyDescent="0.3">
      <c r="C4" s="77" t="s">
        <v>38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9"/>
    </row>
    <row r="5" spans="3:17" x14ac:dyDescent="0.25">
      <c r="C5" s="89" t="s">
        <v>7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</row>
    <row r="6" spans="3:17" x14ac:dyDescent="0.25">
      <c r="C6" s="92" t="s">
        <v>29</v>
      </c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</row>
    <row r="7" spans="3:17" x14ac:dyDescent="0.25">
      <c r="C7" s="95" t="s">
        <v>39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</row>
    <row r="8" spans="3:17" x14ac:dyDescent="0.25">
      <c r="C8" s="95" t="s">
        <v>23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7"/>
    </row>
    <row r="9" spans="3:17" x14ac:dyDescent="0.25">
      <c r="C9" s="95" t="s">
        <v>24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7"/>
    </row>
    <row r="10" spans="3:17" x14ac:dyDescent="0.25">
      <c r="C10" s="95" t="s">
        <v>40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7"/>
    </row>
    <row r="11" spans="3:17" ht="15" customHeight="1" x14ac:dyDescent="0.25">
      <c r="C11" s="98" t="s">
        <v>41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00"/>
    </row>
    <row r="12" spans="3:17" x14ac:dyDescent="0.25">
      <c r="C12" s="101" t="s">
        <v>30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3"/>
    </row>
    <row r="13" spans="3:17" ht="15.75" thickBot="1" x14ac:dyDescent="0.3">
      <c r="C13" s="86" t="s">
        <v>31</v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8"/>
    </row>
    <row r="14" spans="3:17" ht="6" customHeight="1" thickBot="1" x14ac:dyDescent="0.3">
      <c r="F14" s="9"/>
      <c r="G14" s="9"/>
      <c r="H14" s="9"/>
    </row>
    <row r="15" spans="3:17" x14ac:dyDescent="0.25">
      <c r="C15" s="83" t="s">
        <v>8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5"/>
    </row>
    <row r="16" spans="3:17" x14ac:dyDescent="0.25">
      <c r="C16" s="24" t="s">
        <v>43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25"/>
    </row>
    <row r="17" spans="3:17" x14ac:dyDescent="0.25">
      <c r="C17" s="24" t="s">
        <v>42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6"/>
    </row>
    <row r="18" spans="3:17" x14ac:dyDescent="0.25">
      <c r="C18" s="37" t="s">
        <v>36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5"/>
    </row>
    <row r="19" spans="3:17" x14ac:dyDescent="0.25">
      <c r="C19" s="24" t="s">
        <v>37</v>
      </c>
      <c r="D19" s="36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25"/>
    </row>
    <row r="20" spans="3:17" x14ac:dyDescent="0.25">
      <c r="C20" s="28" t="s">
        <v>28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7"/>
    </row>
    <row r="21" spans="3:17" x14ac:dyDescent="0.25">
      <c r="C21" s="29" t="s">
        <v>32</v>
      </c>
      <c r="D21" s="21"/>
      <c r="E21" s="20" t="s">
        <v>44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7"/>
    </row>
    <row r="22" spans="3:17" ht="15" customHeight="1" x14ac:dyDescent="0.25">
      <c r="C22" s="29" t="s">
        <v>34</v>
      </c>
      <c r="D22" s="22"/>
      <c r="E22" s="20" t="s">
        <v>45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30"/>
    </row>
    <row r="23" spans="3:17" x14ac:dyDescent="0.25">
      <c r="C23" s="31" t="s">
        <v>33</v>
      </c>
      <c r="D23" s="22"/>
      <c r="E23" s="20" t="s">
        <v>46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30"/>
    </row>
    <row r="24" spans="3:17" ht="15.75" thickBot="1" x14ac:dyDescent="0.3">
      <c r="C24" s="32" t="s">
        <v>35</v>
      </c>
      <c r="D24" s="33"/>
      <c r="E24" s="34" t="s">
        <v>47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</row>
    <row r="25" spans="3:17" ht="6" customHeight="1" thickBot="1" x14ac:dyDescent="0.3"/>
    <row r="26" spans="3:17" ht="15.75" thickBot="1" x14ac:dyDescent="0.3">
      <c r="C26" s="65" t="s">
        <v>27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7"/>
    </row>
  </sheetData>
  <sheetProtection password="CFCD" sheet="1" objects="1" scenarios="1"/>
  <mergeCells count="12">
    <mergeCell ref="C4:Q4"/>
    <mergeCell ref="C2:Q2"/>
    <mergeCell ref="C15:Q15"/>
    <mergeCell ref="C13:Q13"/>
    <mergeCell ref="C5:Q5"/>
    <mergeCell ref="C6:Q6"/>
    <mergeCell ref="C7:Q7"/>
    <mergeCell ref="C8:Q8"/>
    <mergeCell ref="C9:Q9"/>
    <mergeCell ref="C10:Q10"/>
    <mergeCell ref="C11:Q11"/>
    <mergeCell ref="C12:Q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zoomScaleNormal="100" workbookViewId="0">
      <selection activeCell="G7" sqref="G7"/>
    </sheetView>
  </sheetViews>
  <sheetFormatPr defaultRowHeight="15" x14ac:dyDescent="0.25"/>
  <cols>
    <col min="1" max="1" width="1.7109375" style="3" customWidth="1"/>
    <col min="2" max="2" width="7.28515625" style="3" customWidth="1"/>
    <col min="3" max="3" width="31.85546875" style="3" customWidth="1"/>
    <col min="4" max="4" width="10.85546875" style="3" customWidth="1"/>
    <col min="5" max="5" width="18.28515625" style="3" customWidth="1"/>
    <col min="6" max="6" width="16.7109375" style="3" customWidth="1"/>
    <col min="7" max="7" width="12.28515625" style="3" bestFit="1" customWidth="1"/>
    <col min="8" max="8" width="13.140625" style="3" customWidth="1"/>
    <col min="9" max="9" width="12.7109375" style="3" bestFit="1" customWidth="1"/>
    <col min="10" max="13" width="10.85546875" style="3" customWidth="1"/>
    <col min="14" max="14" width="23.85546875" style="3" customWidth="1"/>
    <col min="15" max="15" width="23.5703125" style="3" customWidth="1"/>
    <col min="16" max="16" width="14.85546875" style="3" bestFit="1" customWidth="1"/>
    <col min="17" max="18" width="10.7109375" style="3" customWidth="1"/>
    <col min="19" max="16384" width="9.140625" style="3"/>
  </cols>
  <sheetData>
    <row r="1" spans="2:18" ht="8.1" customHeight="1" thickBot="1" x14ac:dyDescent="0.3"/>
    <row r="2" spans="2:18" ht="18" customHeight="1" thickBot="1" x14ac:dyDescent="0.3">
      <c r="B2" s="104" t="s">
        <v>26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</row>
    <row r="3" spans="2:18" ht="8.1" customHeight="1" thickBot="1" x14ac:dyDescent="0.3"/>
    <row r="4" spans="2:18" x14ac:dyDescent="0.25">
      <c r="B4" s="106" t="s">
        <v>3</v>
      </c>
      <c r="C4" s="108" t="s">
        <v>2</v>
      </c>
      <c r="D4" s="10" t="s">
        <v>9</v>
      </c>
      <c r="E4" s="112" t="s">
        <v>11</v>
      </c>
      <c r="F4" s="112" t="s">
        <v>12</v>
      </c>
      <c r="G4" s="11" t="s">
        <v>15</v>
      </c>
      <c r="H4" s="10" t="s">
        <v>17</v>
      </c>
      <c r="I4" s="10" t="s">
        <v>17</v>
      </c>
      <c r="J4" s="110" t="s">
        <v>19</v>
      </c>
      <c r="K4" s="111"/>
      <c r="L4" s="12" t="s">
        <v>25</v>
      </c>
      <c r="M4" s="12" t="s">
        <v>25</v>
      </c>
      <c r="N4" s="10" t="s">
        <v>0</v>
      </c>
      <c r="O4" s="10" t="s">
        <v>0</v>
      </c>
    </row>
    <row r="5" spans="2:18" ht="15.75" thickBot="1" x14ac:dyDescent="0.3">
      <c r="B5" s="107"/>
      <c r="C5" s="109"/>
      <c r="D5" s="13" t="s">
        <v>10</v>
      </c>
      <c r="E5" s="113"/>
      <c r="F5" s="113"/>
      <c r="G5" s="14" t="s">
        <v>16</v>
      </c>
      <c r="H5" s="13" t="s">
        <v>18</v>
      </c>
      <c r="I5" s="13" t="s">
        <v>20</v>
      </c>
      <c r="J5" s="15" t="s">
        <v>18</v>
      </c>
      <c r="K5" s="16" t="s">
        <v>20</v>
      </c>
      <c r="L5" s="17" t="s">
        <v>18</v>
      </c>
      <c r="M5" s="17" t="s">
        <v>20</v>
      </c>
      <c r="N5" s="13" t="s">
        <v>18</v>
      </c>
      <c r="O5" s="13" t="s">
        <v>20</v>
      </c>
      <c r="R5" s="8"/>
    </row>
    <row r="6" spans="2:18" x14ac:dyDescent="0.25">
      <c r="B6" s="41">
        <v>1</v>
      </c>
      <c r="C6" s="42" t="s">
        <v>4</v>
      </c>
      <c r="D6" s="43">
        <v>43222</v>
      </c>
      <c r="E6" s="68" t="s">
        <v>13</v>
      </c>
      <c r="F6" s="39" t="s">
        <v>14</v>
      </c>
      <c r="G6" s="69">
        <v>90</v>
      </c>
      <c r="H6" s="70">
        <v>36</v>
      </c>
      <c r="I6" s="53">
        <f>IF(ISBLANK(G6),"",IF(G6=H6,0,G6-H6))</f>
        <v>54</v>
      </c>
      <c r="J6" s="54">
        <f>IF(ISBLANK(D6),"",D6+H6-1)</f>
        <v>43257</v>
      </c>
      <c r="K6" s="54">
        <f>IF(OR(ISBLANK(D6),ISBLANK(G6),I6=0),"",J6+I6)</f>
        <v>43311</v>
      </c>
      <c r="L6" s="55">
        <f ca="1">IF(ISBLANK(D6),"",J6-Parâmetros!$B$4)</f>
        <v>-167</v>
      </c>
      <c r="M6" s="55">
        <f ca="1">IF(OR(ISBLANK(D6),ISBLANK(G6),I6=0),"",K6-Parâmetros!$B$4)</f>
        <v>-113</v>
      </c>
      <c r="N6" s="56" t="str">
        <f ca="1">IF(ISBLANK(D6),"",IF(L6=0,"Atenção, vence hoje",IF(L6&lt;0,"1ª fase venceu",IF(L6&gt;10,"No prazo",IF(AND(L6&gt;=1,L6&lt;=10),"Próximo do vencimento",)))))</f>
        <v>1ª fase venceu</v>
      </c>
      <c r="O6" s="56" t="str">
        <f ca="1">IF(OR(ISBLANK(D6),ISBLANK(I6),I6=0,G6=""),"",IF(M6=0,"Atenção, vence hoje",IF(M6&lt;0,"2ª fase venceu",IF(M6&gt;10,"No prazo",IF(AND(M6&gt;=1,M6&lt;=10),"Próximo do vencimento",)))))</f>
        <v>2ª fase venceu</v>
      </c>
      <c r="Q6" s="8"/>
    </row>
    <row r="7" spans="2:18" x14ac:dyDescent="0.25">
      <c r="B7" s="44">
        <v>2</v>
      </c>
      <c r="C7" s="45" t="s">
        <v>5</v>
      </c>
      <c r="D7" s="46">
        <v>43192</v>
      </c>
      <c r="E7" s="71" t="s">
        <v>22</v>
      </c>
      <c r="F7" s="38" t="s">
        <v>21</v>
      </c>
      <c r="G7" s="38">
        <v>90</v>
      </c>
      <c r="H7" s="72">
        <v>45</v>
      </c>
      <c r="I7" s="57">
        <f t="shared" ref="I7:I55" si="0">IF(ISBLANK(G7),"",IF(G7=H7,0,G7-H7))</f>
        <v>45</v>
      </c>
      <c r="J7" s="58">
        <f t="shared" ref="J7:J55" si="1">IF(ISBLANK(D7),"",D7+H7-1)</f>
        <v>43236</v>
      </c>
      <c r="K7" s="58">
        <f t="shared" ref="K7:K55" si="2">IF(OR(ISBLANK(D7),ISBLANK(G7),I7=0),"",J7+I7)</f>
        <v>43281</v>
      </c>
      <c r="L7" s="59">
        <f ca="1">IF(ISBLANK(D7),"",J7-Parâmetros!$B$4)</f>
        <v>-188</v>
      </c>
      <c r="M7" s="59">
        <f ca="1">IF(OR(ISBLANK(D7),ISBLANK(G7),I7=0),"",K7-Parâmetros!$B$4)</f>
        <v>-143</v>
      </c>
      <c r="N7" s="60" t="str">
        <f t="shared" ref="N7:N55" ca="1" si="3">IF(ISBLANK(D7),"",IF(L7=0,"Atenção, vence hoje",IF(L7&lt;0,"1ª fase venceu",IF(L7&gt;10,"No prazo",IF(AND(L7&gt;=1,L7&lt;=10),"Próximo do vencimento",)))))</f>
        <v>1ª fase venceu</v>
      </c>
      <c r="O7" s="60" t="str">
        <f t="shared" ref="O7:O55" ca="1" si="4">IF(OR(ISBLANK(D7),ISBLANK(I7),I7=0,G7=""),"",IF(M7=0,"Atenção, vence hoje",IF(M7&lt;0,"2ª fase venceu",IF(M7&gt;10,"No prazo",IF(AND(M7&gt;=1,M7&lt;=10),"Próximo do vencimento",)))))</f>
        <v>2ª fase venceu</v>
      </c>
      <c r="Q7" s="62"/>
      <c r="R7" s="62"/>
    </row>
    <row r="8" spans="2:18" x14ac:dyDescent="0.25">
      <c r="B8" s="47"/>
      <c r="C8" s="48"/>
      <c r="D8" s="49"/>
      <c r="E8" s="73"/>
      <c r="F8" s="40"/>
      <c r="G8" s="40"/>
      <c r="H8" s="70"/>
      <c r="I8" s="53" t="str">
        <f t="shared" si="0"/>
        <v/>
      </c>
      <c r="J8" s="54" t="str">
        <f t="shared" si="1"/>
        <v/>
      </c>
      <c r="K8" s="54" t="str">
        <f t="shared" si="2"/>
        <v/>
      </c>
      <c r="L8" s="55" t="str">
        <f>IF(ISBLANK(D8),"",J8-Parâmetros!$B$4)</f>
        <v/>
      </c>
      <c r="M8" s="55" t="str">
        <f>IF(OR(ISBLANK(D8),ISBLANK(G8),I8=0),"",K8-Parâmetros!$B$4)</f>
        <v/>
      </c>
      <c r="N8" s="56" t="str">
        <f t="shared" si="3"/>
        <v/>
      </c>
      <c r="O8" s="56" t="str">
        <f t="shared" si="4"/>
        <v/>
      </c>
      <c r="Q8" s="62"/>
      <c r="R8" s="62"/>
    </row>
    <row r="9" spans="2:18" x14ac:dyDescent="0.25">
      <c r="B9" s="44"/>
      <c r="C9" s="45"/>
      <c r="D9" s="46"/>
      <c r="E9" s="71"/>
      <c r="F9" s="38"/>
      <c r="G9" s="38"/>
      <c r="H9" s="74"/>
      <c r="I9" s="57" t="str">
        <f t="shared" si="0"/>
        <v/>
      </c>
      <c r="J9" s="58" t="str">
        <f t="shared" si="1"/>
        <v/>
      </c>
      <c r="K9" s="58" t="str">
        <f t="shared" si="2"/>
        <v/>
      </c>
      <c r="L9" s="59" t="str">
        <f>IF(ISBLANK(D9),"",J9-Parâmetros!$B$4)</f>
        <v/>
      </c>
      <c r="M9" s="59" t="str">
        <f>IF(OR(ISBLANK(D9),ISBLANK(G9),I9=0),"",K9-Parâmetros!$B$4)</f>
        <v/>
      </c>
      <c r="N9" s="60" t="str">
        <f t="shared" si="3"/>
        <v/>
      </c>
      <c r="O9" s="60" t="str">
        <f t="shared" si="4"/>
        <v/>
      </c>
      <c r="Q9" s="62"/>
      <c r="R9" s="62"/>
    </row>
    <row r="10" spans="2:18" x14ac:dyDescent="0.25">
      <c r="B10" s="47"/>
      <c r="C10" s="50"/>
      <c r="D10" s="49"/>
      <c r="E10" s="73"/>
      <c r="F10" s="40"/>
      <c r="G10" s="40"/>
      <c r="H10" s="70"/>
      <c r="I10" s="53" t="str">
        <f t="shared" si="0"/>
        <v/>
      </c>
      <c r="J10" s="54" t="str">
        <f t="shared" si="1"/>
        <v/>
      </c>
      <c r="K10" s="54" t="str">
        <f t="shared" si="2"/>
        <v/>
      </c>
      <c r="L10" s="55" t="str">
        <f>IF(ISBLANK(D10),"",J10-Parâmetros!$B$4)</f>
        <v/>
      </c>
      <c r="M10" s="55" t="str">
        <f>IF(OR(ISBLANK(D10),ISBLANK(G10),I10=0),"",K10-Parâmetros!$B$4)</f>
        <v/>
      </c>
      <c r="N10" s="56" t="str">
        <f t="shared" si="3"/>
        <v/>
      </c>
      <c r="O10" s="56" t="str">
        <f t="shared" si="4"/>
        <v/>
      </c>
      <c r="Q10" s="63"/>
      <c r="R10" s="62"/>
    </row>
    <row r="11" spans="2:18" x14ac:dyDescent="0.25">
      <c r="B11" s="44"/>
      <c r="C11" s="45"/>
      <c r="D11" s="46"/>
      <c r="E11" s="71"/>
      <c r="F11" s="38"/>
      <c r="G11" s="38"/>
      <c r="H11" s="74"/>
      <c r="I11" s="57" t="str">
        <f t="shared" si="0"/>
        <v/>
      </c>
      <c r="J11" s="58" t="str">
        <f t="shared" si="1"/>
        <v/>
      </c>
      <c r="K11" s="58" t="str">
        <f t="shared" si="2"/>
        <v/>
      </c>
      <c r="L11" s="59" t="str">
        <f>IF(ISBLANK(D11),"",J11-Parâmetros!$B$4)</f>
        <v/>
      </c>
      <c r="M11" s="59" t="str">
        <f>IF(OR(ISBLANK(D11),ISBLANK(G11),I11=0),"",K11-Parâmetros!$B$4)</f>
        <v/>
      </c>
      <c r="N11" s="60" t="str">
        <f t="shared" si="3"/>
        <v/>
      </c>
      <c r="O11" s="60" t="str">
        <f t="shared" si="4"/>
        <v/>
      </c>
      <c r="Q11" s="62"/>
      <c r="R11" s="64"/>
    </row>
    <row r="12" spans="2:18" x14ac:dyDescent="0.25">
      <c r="B12" s="47"/>
      <c r="C12" s="48"/>
      <c r="D12" s="49"/>
      <c r="E12" s="73"/>
      <c r="F12" s="40"/>
      <c r="G12" s="40"/>
      <c r="H12" s="70"/>
      <c r="I12" s="53" t="str">
        <f t="shared" si="0"/>
        <v/>
      </c>
      <c r="J12" s="54" t="str">
        <f t="shared" si="1"/>
        <v/>
      </c>
      <c r="K12" s="54" t="str">
        <f t="shared" si="2"/>
        <v/>
      </c>
      <c r="L12" s="55" t="str">
        <f>IF(ISBLANK(D12),"",J12-Parâmetros!$B$4)</f>
        <v/>
      </c>
      <c r="M12" s="55" t="str">
        <f>IF(OR(ISBLANK(D12),ISBLANK(G12),I12=0),"",K12-Parâmetros!$B$4)</f>
        <v/>
      </c>
      <c r="N12" s="56" t="str">
        <f t="shared" si="3"/>
        <v/>
      </c>
      <c r="O12" s="56" t="str">
        <f t="shared" si="4"/>
        <v/>
      </c>
      <c r="Q12" s="62"/>
      <c r="R12" s="62"/>
    </row>
    <row r="13" spans="2:18" x14ac:dyDescent="0.25">
      <c r="B13" s="44"/>
      <c r="C13" s="45"/>
      <c r="D13" s="46"/>
      <c r="E13" s="75"/>
      <c r="F13" s="38"/>
      <c r="G13" s="38"/>
      <c r="H13" s="74"/>
      <c r="I13" s="57" t="str">
        <f t="shared" si="0"/>
        <v/>
      </c>
      <c r="J13" s="58" t="str">
        <f t="shared" si="1"/>
        <v/>
      </c>
      <c r="K13" s="58" t="str">
        <f t="shared" si="2"/>
        <v/>
      </c>
      <c r="L13" s="59" t="str">
        <f>IF(ISBLANK(D13),"",J13-Parâmetros!$B$4)</f>
        <v/>
      </c>
      <c r="M13" s="59" t="str">
        <f>IF(OR(ISBLANK(D13),ISBLANK(G13),I13=0),"",K13-Parâmetros!$B$4)</f>
        <v/>
      </c>
      <c r="N13" s="60" t="str">
        <f t="shared" si="3"/>
        <v/>
      </c>
      <c r="O13" s="60" t="str">
        <f t="shared" si="4"/>
        <v/>
      </c>
      <c r="Q13" s="62"/>
      <c r="R13" s="62"/>
    </row>
    <row r="14" spans="2:18" x14ac:dyDescent="0.25">
      <c r="B14" s="41"/>
      <c r="C14" s="50"/>
      <c r="D14" s="51"/>
      <c r="E14" s="68"/>
      <c r="F14" s="52"/>
      <c r="G14" s="52"/>
      <c r="H14" s="76"/>
      <c r="I14" s="53" t="str">
        <f t="shared" si="0"/>
        <v/>
      </c>
      <c r="J14" s="54" t="str">
        <f t="shared" si="1"/>
        <v/>
      </c>
      <c r="K14" s="54" t="str">
        <f t="shared" si="2"/>
        <v/>
      </c>
      <c r="L14" s="55" t="str">
        <f>IF(ISBLANK(D14),"",J14-Parâmetros!$B$4)</f>
        <v/>
      </c>
      <c r="M14" s="55" t="str">
        <f>IF(OR(ISBLANK(D14),ISBLANK(G14),I14=0),"",K14-Parâmetros!$B$4)</f>
        <v/>
      </c>
      <c r="N14" s="56" t="str">
        <f t="shared" si="3"/>
        <v/>
      </c>
      <c r="O14" s="56" t="str">
        <f t="shared" si="4"/>
        <v/>
      </c>
      <c r="Q14" s="62"/>
      <c r="R14" s="8"/>
    </row>
    <row r="15" spans="2:18" x14ac:dyDescent="0.25">
      <c r="B15" s="44"/>
      <c r="C15" s="45"/>
      <c r="D15" s="46"/>
      <c r="E15" s="75"/>
      <c r="F15" s="38"/>
      <c r="G15" s="38"/>
      <c r="H15" s="74"/>
      <c r="I15" s="57" t="str">
        <f t="shared" si="0"/>
        <v/>
      </c>
      <c r="J15" s="58" t="str">
        <f t="shared" si="1"/>
        <v/>
      </c>
      <c r="K15" s="58" t="str">
        <f t="shared" si="2"/>
        <v/>
      </c>
      <c r="L15" s="59" t="str">
        <f>IF(ISBLANK(D15),"",J15-Parâmetros!$B$4)</f>
        <v/>
      </c>
      <c r="M15" s="59" t="str">
        <f>IF(OR(ISBLANK(D15),ISBLANK(G15),I15=0),"",K15-Parâmetros!$B$4)</f>
        <v/>
      </c>
      <c r="N15" s="60" t="str">
        <f t="shared" si="3"/>
        <v/>
      </c>
      <c r="O15" s="60" t="str">
        <f t="shared" si="4"/>
        <v/>
      </c>
      <c r="Q15" s="62"/>
      <c r="R15" s="62"/>
    </row>
    <row r="16" spans="2:18" x14ac:dyDescent="0.25">
      <c r="B16" s="41"/>
      <c r="C16" s="50"/>
      <c r="D16" s="51"/>
      <c r="E16" s="68"/>
      <c r="F16" s="52"/>
      <c r="G16" s="52"/>
      <c r="H16" s="76"/>
      <c r="I16" s="53" t="str">
        <f t="shared" si="0"/>
        <v/>
      </c>
      <c r="J16" s="54" t="str">
        <f t="shared" si="1"/>
        <v/>
      </c>
      <c r="K16" s="54" t="str">
        <f t="shared" si="2"/>
        <v/>
      </c>
      <c r="L16" s="55" t="str">
        <f>IF(ISBLANK(D16),"",J16-Parâmetros!$B$4)</f>
        <v/>
      </c>
      <c r="M16" s="55" t="str">
        <f>IF(OR(ISBLANK(D16),ISBLANK(G16),I16=0),"",K16-Parâmetros!$B$4)</f>
        <v/>
      </c>
      <c r="N16" s="56" t="str">
        <f t="shared" si="3"/>
        <v/>
      </c>
      <c r="O16" s="56" t="str">
        <f t="shared" si="4"/>
        <v/>
      </c>
      <c r="Q16" s="62"/>
      <c r="R16" s="8"/>
    </row>
    <row r="17" spans="2:18" x14ac:dyDescent="0.25">
      <c r="B17" s="44"/>
      <c r="C17" s="45"/>
      <c r="D17" s="46"/>
      <c r="E17" s="75"/>
      <c r="F17" s="38"/>
      <c r="G17" s="38"/>
      <c r="H17" s="74"/>
      <c r="I17" s="57" t="str">
        <f t="shared" si="0"/>
        <v/>
      </c>
      <c r="J17" s="58" t="str">
        <f t="shared" si="1"/>
        <v/>
      </c>
      <c r="K17" s="58" t="str">
        <f t="shared" si="2"/>
        <v/>
      </c>
      <c r="L17" s="59" t="str">
        <f>IF(ISBLANK(D17),"",J17-Parâmetros!$B$4)</f>
        <v/>
      </c>
      <c r="M17" s="59" t="str">
        <f>IF(OR(ISBLANK(D17),ISBLANK(G17),I17=0),"",K17-Parâmetros!$B$4)</f>
        <v/>
      </c>
      <c r="N17" s="60" t="str">
        <f t="shared" si="3"/>
        <v/>
      </c>
      <c r="O17" s="60" t="str">
        <f t="shared" si="4"/>
        <v/>
      </c>
      <c r="Q17" s="62"/>
      <c r="R17" s="8"/>
    </row>
    <row r="18" spans="2:18" x14ac:dyDescent="0.25">
      <c r="B18" s="41"/>
      <c r="C18" s="50"/>
      <c r="D18" s="51"/>
      <c r="E18" s="68"/>
      <c r="F18" s="52"/>
      <c r="G18" s="52"/>
      <c r="H18" s="76"/>
      <c r="I18" s="53" t="str">
        <f t="shared" si="0"/>
        <v/>
      </c>
      <c r="J18" s="54" t="str">
        <f t="shared" si="1"/>
        <v/>
      </c>
      <c r="K18" s="54" t="str">
        <f t="shared" si="2"/>
        <v/>
      </c>
      <c r="L18" s="55" t="str">
        <f>IF(ISBLANK(D18),"",J18-Parâmetros!$B$4)</f>
        <v/>
      </c>
      <c r="M18" s="55" t="str">
        <f>IF(OR(ISBLANK(D18),ISBLANK(G18),I18=0),"",K18-Parâmetros!$B$4)</f>
        <v/>
      </c>
      <c r="N18" s="56" t="str">
        <f t="shared" si="3"/>
        <v/>
      </c>
      <c r="O18" s="56" t="str">
        <f t="shared" si="4"/>
        <v/>
      </c>
      <c r="Q18" s="62"/>
      <c r="R18" s="8"/>
    </row>
    <row r="19" spans="2:18" x14ac:dyDescent="0.25">
      <c r="B19" s="44"/>
      <c r="C19" s="45"/>
      <c r="D19" s="46"/>
      <c r="E19" s="75"/>
      <c r="F19" s="38"/>
      <c r="G19" s="38"/>
      <c r="H19" s="74"/>
      <c r="I19" s="57" t="str">
        <f t="shared" si="0"/>
        <v/>
      </c>
      <c r="J19" s="58" t="str">
        <f t="shared" si="1"/>
        <v/>
      </c>
      <c r="K19" s="58" t="str">
        <f t="shared" si="2"/>
        <v/>
      </c>
      <c r="L19" s="59" t="str">
        <f>IF(ISBLANK(D19),"",J19-Parâmetros!$B$4)</f>
        <v/>
      </c>
      <c r="M19" s="59" t="str">
        <f>IF(OR(ISBLANK(D19),ISBLANK(G19),I19=0),"",K19-Parâmetros!$B$4)</f>
        <v/>
      </c>
      <c r="N19" s="60" t="str">
        <f t="shared" si="3"/>
        <v/>
      </c>
      <c r="O19" s="60" t="str">
        <f t="shared" si="4"/>
        <v/>
      </c>
      <c r="Q19" s="62"/>
      <c r="R19" s="62"/>
    </row>
    <row r="20" spans="2:18" x14ac:dyDescent="0.25">
      <c r="B20" s="41"/>
      <c r="C20" s="50"/>
      <c r="D20" s="51"/>
      <c r="E20" s="68"/>
      <c r="F20" s="52"/>
      <c r="G20" s="52"/>
      <c r="H20" s="76"/>
      <c r="I20" s="53" t="str">
        <f t="shared" si="0"/>
        <v/>
      </c>
      <c r="J20" s="54" t="str">
        <f t="shared" si="1"/>
        <v/>
      </c>
      <c r="K20" s="54" t="str">
        <f t="shared" si="2"/>
        <v/>
      </c>
      <c r="L20" s="55" t="str">
        <f>IF(ISBLANK(D20),"",J20-Parâmetros!$B$4)</f>
        <v/>
      </c>
      <c r="M20" s="55" t="str">
        <f>IF(OR(ISBLANK(D20),ISBLANK(G20),I20=0),"",K20-Parâmetros!$B$4)</f>
        <v/>
      </c>
      <c r="N20" s="56" t="str">
        <f t="shared" si="3"/>
        <v/>
      </c>
      <c r="O20" s="56" t="str">
        <f t="shared" si="4"/>
        <v/>
      </c>
      <c r="Q20" s="62"/>
      <c r="R20" s="62"/>
    </row>
    <row r="21" spans="2:18" x14ac:dyDescent="0.25">
      <c r="B21" s="44"/>
      <c r="C21" s="45"/>
      <c r="D21" s="46"/>
      <c r="E21" s="75"/>
      <c r="F21" s="38"/>
      <c r="G21" s="38"/>
      <c r="H21" s="74"/>
      <c r="I21" s="57" t="str">
        <f t="shared" si="0"/>
        <v/>
      </c>
      <c r="J21" s="58" t="str">
        <f t="shared" si="1"/>
        <v/>
      </c>
      <c r="K21" s="58" t="str">
        <f t="shared" si="2"/>
        <v/>
      </c>
      <c r="L21" s="59" t="str">
        <f>IF(ISBLANK(D21),"",J21-Parâmetros!$B$4)</f>
        <v/>
      </c>
      <c r="M21" s="59" t="str">
        <f>IF(OR(ISBLANK(D21),ISBLANK(G21),I21=0),"",K21-Parâmetros!$B$4)</f>
        <v/>
      </c>
      <c r="N21" s="60" t="str">
        <f t="shared" si="3"/>
        <v/>
      </c>
      <c r="O21" s="60" t="str">
        <f t="shared" si="4"/>
        <v/>
      </c>
      <c r="Q21" s="62"/>
      <c r="R21" s="8"/>
    </row>
    <row r="22" spans="2:18" x14ac:dyDescent="0.25">
      <c r="B22" s="41"/>
      <c r="C22" s="50"/>
      <c r="D22" s="51"/>
      <c r="E22" s="68"/>
      <c r="F22" s="52"/>
      <c r="G22" s="52"/>
      <c r="H22" s="76"/>
      <c r="I22" s="53" t="str">
        <f t="shared" si="0"/>
        <v/>
      </c>
      <c r="J22" s="54" t="str">
        <f t="shared" si="1"/>
        <v/>
      </c>
      <c r="K22" s="54" t="str">
        <f t="shared" si="2"/>
        <v/>
      </c>
      <c r="L22" s="55" t="str">
        <f>IF(ISBLANK(D22),"",J22-Parâmetros!$B$4)</f>
        <v/>
      </c>
      <c r="M22" s="55" t="str">
        <f>IF(OR(ISBLANK(D22),ISBLANK(G22),I22=0),"",K22-Parâmetros!$B$4)</f>
        <v/>
      </c>
      <c r="N22" s="56" t="str">
        <f t="shared" si="3"/>
        <v/>
      </c>
      <c r="O22" s="56" t="str">
        <f t="shared" si="4"/>
        <v/>
      </c>
      <c r="Q22" s="62"/>
      <c r="R22" s="8"/>
    </row>
    <row r="23" spans="2:18" x14ac:dyDescent="0.25">
      <c r="B23" s="44"/>
      <c r="C23" s="45"/>
      <c r="D23" s="46"/>
      <c r="E23" s="75"/>
      <c r="F23" s="38"/>
      <c r="G23" s="38"/>
      <c r="H23" s="74"/>
      <c r="I23" s="57" t="str">
        <f t="shared" si="0"/>
        <v/>
      </c>
      <c r="J23" s="58" t="str">
        <f t="shared" si="1"/>
        <v/>
      </c>
      <c r="K23" s="58" t="str">
        <f t="shared" si="2"/>
        <v/>
      </c>
      <c r="L23" s="59" t="str">
        <f>IF(ISBLANK(D23),"",J23-Parâmetros!$B$4)</f>
        <v/>
      </c>
      <c r="M23" s="59" t="str">
        <f>IF(OR(ISBLANK(D23),ISBLANK(G23),I23=0),"",K23-Parâmetros!$B$4)</f>
        <v/>
      </c>
      <c r="N23" s="60" t="str">
        <f t="shared" si="3"/>
        <v/>
      </c>
      <c r="O23" s="60" t="str">
        <f t="shared" si="4"/>
        <v/>
      </c>
      <c r="Q23" s="62"/>
      <c r="R23" s="62"/>
    </row>
    <row r="24" spans="2:18" x14ac:dyDescent="0.25">
      <c r="B24" s="41"/>
      <c r="C24" s="50"/>
      <c r="D24" s="51"/>
      <c r="E24" s="68"/>
      <c r="F24" s="52"/>
      <c r="G24" s="52"/>
      <c r="H24" s="76"/>
      <c r="I24" s="53" t="str">
        <f t="shared" si="0"/>
        <v/>
      </c>
      <c r="J24" s="54" t="str">
        <f t="shared" si="1"/>
        <v/>
      </c>
      <c r="K24" s="54" t="str">
        <f t="shared" si="2"/>
        <v/>
      </c>
      <c r="L24" s="55" t="str">
        <f>IF(ISBLANK(D24),"",J24-Parâmetros!$B$4)</f>
        <v/>
      </c>
      <c r="M24" s="55" t="str">
        <f>IF(OR(ISBLANK(D24),ISBLANK(G24),I24=0),"",K24-Parâmetros!$B$4)</f>
        <v/>
      </c>
      <c r="N24" s="56" t="str">
        <f t="shared" si="3"/>
        <v/>
      </c>
      <c r="O24" s="56" t="str">
        <f t="shared" si="4"/>
        <v/>
      </c>
    </row>
    <row r="25" spans="2:18" x14ac:dyDescent="0.25">
      <c r="B25" s="44"/>
      <c r="C25" s="45"/>
      <c r="D25" s="46"/>
      <c r="E25" s="75"/>
      <c r="F25" s="38"/>
      <c r="G25" s="38"/>
      <c r="H25" s="74"/>
      <c r="I25" s="57" t="str">
        <f t="shared" si="0"/>
        <v/>
      </c>
      <c r="J25" s="58" t="str">
        <f t="shared" si="1"/>
        <v/>
      </c>
      <c r="K25" s="58" t="str">
        <f t="shared" si="2"/>
        <v/>
      </c>
      <c r="L25" s="59" t="str">
        <f>IF(ISBLANK(D25),"",J25-Parâmetros!$B$4)</f>
        <v/>
      </c>
      <c r="M25" s="59" t="str">
        <f>IF(OR(ISBLANK(D25),ISBLANK(G25),I25=0),"",K25-Parâmetros!$B$4)</f>
        <v/>
      </c>
      <c r="N25" s="60" t="str">
        <f t="shared" si="3"/>
        <v/>
      </c>
      <c r="O25" s="60" t="str">
        <f t="shared" si="4"/>
        <v/>
      </c>
    </row>
    <row r="26" spans="2:18" x14ac:dyDescent="0.25">
      <c r="B26" s="41"/>
      <c r="C26" s="50"/>
      <c r="D26" s="51"/>
      <c r="E26" s="68"/>
      <c r="F26" s="52"/>
      <c r="G26" s="52"/>
      <c r="H26" s="76"/>
      <c r="I26" s="53" t="str">
        <f t="shared" si="0"/>
        <v/>
      </c>
      <c r="J26" s="54" t="str">
        <f t="shared" si="1"/>
        <v/>
      </c>
      <c r="K26" s="54" t="str">
        <f t="shared" si="2"/>
        <v/>
      </c>
      <c r="L26" s="55" t="str">
        <f>IF(ISBLANK(D26),"",J26-Parâmetros!$B$4)</f>
        <v/>
      </c>
      <c r="M26" s="55" t="str">
        <f>IF(OR(ISBLANK(D26),ISBLANK(G26),I26=0),"",K26-Parâmetros!$B$4)</f>
        <v/>
      </c>
      <c r="N26" s="56" t="str">
        <f t="shared" si="3"/>
        <v/>
      </c>
      <c r="O26" s="56" t="str">
        <f t="shared" si="4"/>
        <v/>
      </c>
    </row>
    <row r="27" spans="2:18" x14ac:dyDescent="0.25">
      <c r="B27" s="44"/>
      <c r="C27" s="45"/>
      <c r="D27" s="46"/>
      <c r="E27" s="75"/>
      <c r="F27" s="38"/>
      <c r="G27" s="38"/>
      <c r="H27" s="74"/>
      <c r="I27" s="57" t="str">
        <f t="shared" si="0"/>
        <v/>
      </c>
      <c r="J27" s="58" t="str">
        <f t="shared" si="1"/>
        <v/>
      </c>
      <c r="K27" s="58" t="str">
        <f t="shared" si="2"/>
        <v/>
      </c>
      <c r="L27" s="59" t="str">
        <f>IF(ISBLANK(D27),"",J27-Parâmetros!$B$4)</f>
        <v/>
      </c>
      <c r="M27" s="59" t="str">
        <f>IF(OR(ISBLANK(D27),ISBLANK(G27),I27=0),"",K27-Parâmetros!$B$4)</f>
        <v/>
      </c>
      <c r="N27" s="60" t="str">
        <f t="shared" si="3"/>
        <v/>
      </c>
      <c r="O27" s="60" t="str">
        <f t="shared" si="4"/>
        <v/>
      </c>
    </row>
    <row r="28" spans="2:18" x14ac:dyDescent="0.25">
      <c r="B28" s="41"/>
      <c r="C28" s="50"/>
      <c r="D28" s="51"/>
      <c r="E28" s="68"/>
      <c r="F28" s="52"/>
      <c r="G28" s="52"/>
      <c r="H28" s="76"/>
      <c r="I28" s="53" t="str">
        <f t="shared" si="0"/>
        <v/>
      </c>
      <c r="J28" s="54" t="str">
        <f t="shared" si="1"/>
        <v/>
      </c>
      <c r="K28" s="54" t="str">
        <f t="shared" si="2"/>
        <v/>
      </c>
      <c r="L28" s="55" t="str">
        <f>IF(ISBLANK(D28),"",J28-Parâmetros!$B$4)</f>
        <v/>
      </c>
      <c r="M28" s="55" t="str">
        <f>IF(OR(ISBLANK(D28),ISBLANK(G28),I28=0),"",K28-Parâmetros!$B$4)</f>
        <v/>
      </c>
      <c r="N28" s="56" t="str">
        <f t="shared" si="3"/>
        <v/>
      </c>
      <c r="O28" s="56" t="str">
        <f t="shared" si="4"/>
        <v/>
      </c>
    </row>
    <row r="29" spans="2:18" x14ac:dyDescent="0.25">
      <c r="B29" s="44"/>
      <c r="C29" s="45"/>
      <c r="D29" s="46"/>
      <c r="E29" s="75"/>
      <c r="F29" s="38"/>
      <c r="G29" s="38"/>
      <c r="H29" s="74"/>
      <c r="I29" s="57" t="str">
        <f t="shared" si="0"/>
        <v/>
      </c>
      <c r="J29" s="58" t="str">
        <f t="shared" si="1"/>
        <v/>
      </c>
      <c r="K29" s="58" t="str">
        <f t="shared" si="2"/>
        <v/>
      </c>
      <c r="L29" s="59" t="str">
        <f>IF(ISBLANK(D29),"",J29-Parâmetros!$B$4)</f>
        <v/>
      </c>
      <c r="M29" s="59" t="str">
        <f>IF(OR(ISBLANK(D29),ISBLANK(G29),I29=0),"",K29-Parâmetros!$B$4)</f>
        <v/>
      </c>
      <c r="N29" s="60" t="str">
        <f t="shared" si="3"/>
        <v/>
      </c>
      <c r="O29" s="60" t="str">
        <f t="shared" si="4"/>
        <v/>
      </c>
    </row>
    <row r="30" spans="2:18" x14ac:dyDescent="0.25">
      <c r="B30" s="41"/>
      <c r="C30" s="50"/>
      <c r="D30" s="51"/>
      <c r="E30" s="68"/>
      <c r="F30" s="52"/>
      <c r="G30" s="52"/>
      <c r="H30" s="76"/>
      <c r="I30" s="53" t="str">
        <f t="shared" si="0"/>
        <v/>
      </c>
      <c r="J30" s="54" t="str">
        <f t="shared" si="1"/>
        <v/>
      </c>
      <c r="K30" s="54" t="str">
        <f t="shared" si="2"/>
        <v/>
      </c>
      <c r="L30" s="55" t="str">
        <f>IF(ISBLANK(D30),"",J30-Parâmetros!$B$4)</f>
        <v/>
      </c>
      <c r="M30" s="55" t="str">
        <f>IF(OR(ISBLANK(D30),ISBLANK(G30),I30=0),"",K30-Parâmetros!$B$4)</f>
        <v/>
      </c>
      <c r="N30" s="56" t="str">
        <f t="shared" si="3"/>
        <v/>
      </c>
      <c r="O30" s="56" t="str">
        <f t="shared" si="4"/>
        <v/>
      </c>
    </row>
    <row r="31" spans="2:18" x14ac:dyDescent="0.25">
      <c r="B31" s="44"/>
      <c r="C31" s="45"/>
      <c r="D31" s="46"/>
      <c r="E31" s="75"/>
      <c r="F31" s="38"/>
      <c r="G31" s="38"/>
      <c r="H31" s="74"/>
      <c r="I31" s="57" t="str">
        <f t="shared" si="0"/>
        <v/>
      </c>
      <c r="J31" s="58" t="str">
        <f t="shared" si="1"/>
        <v/>
      </c>
      <c r="K31" s="58" t="str">
        <f t="shared" si="2"/>
        <v/>
      </c>
      <c r="L31" s="59" t="str">
        <f>IF(ISBLANK(D31),"",J31-Parâmetros!$B$4)</f>
        <v/>
      </c>
      <c r="M31" s="59" t="str">
        <f>IF(OR(ISBLANK(D31),ISBLANK(G31),I31=0),"",K31-Parâmetros!$B$4)</f>
        <v/>
      </c>
      <c r="N31" s="60" t="str">
        <f t="shared" si="3"/>
        <v/>
      </c>
      <c r="O31" s="60" t="str">
        <f t="shared" si="4"/>
        <v/>
      </c>
    </row>
    <row r="32" spans="2:18" x14ac:dyDescent="0.25">
      <c r="B32" s="41"/>
      <c r="C32" s="50"/>
      <c r="D32" s="51"/>
      <c r="E32" s="68"/>
      <c r="F32" s="52"/>
      <c r="G32" s="52"/>
      <c r="H32" s="76"/>
      <c r="I32" s="53" t="str">
        <f t="shared" si="0"/>
        <v/>
      </c>
      <c r="J32" s="54" t="str">
        <f t="shared" si="1"/>
        <v/>
      </c>
      <c r="K32" s="54" t="str">
        <f t="shared" si="2"/>
        <v/>
      </c>
      <c r="L32" s="55" t="str">
        <f>IF(ISBLANK(D32),"",J32-Parâmetros!$B$4)</f>
        <v/>
      </c>
      <c r="M32" s="55" t="str">
        <f>IF(OR(ISBLANK(D32),ISBLANK(G32),I32=0),"",K32-Parâmetros!$B$4)</f>
        <v/>
      </c>
      <c r="N32" s="56" t="str">
        <f t="shared" si="3"/>
        <v/>
      </c>
      <c r="O32" s="56" t="str">
        <f t="shared" si="4"/>
        <v/>
      </c>
    </row>
    <row r="33" spans="2:15" x14ac:dyDescent="0.25">
      <c r="B33" s="44"/>
      <c r="C33" s="45"/>
      <c r="D33" s="46"/>
      <c r="E33" s="75"/>
      <c r="F33" s="38"/>
      <c r="G33" s="38"/>
      <c r="H33" s="74"/>
      <c r="I33" s="57" t="str">
        <f t="shared" si="0"/>
        <v/>
      </c>
      <c r="J33" s="58" t="str">
        <f t="shared" si="1"/>
        <v/>
      </c>
      <c r="K33" s="58" t="str">
        <f t="shared" si="2"/>
        <v/>
      </c>
      <c r="L33" s="59" t="str">
        <f>IF(ISBLANK(D33),"",J33-Parâmetros!$B$4)</f>
        <v/>
      </c>
      <c r="M33" s="59" t="str">
        <f>IF(OR(ISBLANK(D33),ISBLANK(G33),I33=0),"",K33-Parâmetros!$B$4)</f>
        <v/>
      </c>
      <c r="N33" s="60" t="str">
        <f t="shared" si="3"/>
        <v/>
      </c>
      <c r="O33" s="60" t="str">
        <f t="shared" si="4"/>
        <v/>
      </c>
    </row>
    <row r="34" spans="2:15" x14ac:dyDescent="0.25">
      <c r="B34" s="41"/>
      <c r="C34" s="50"/>
      <c r="D34" s="51"/>
      <c r="E34" s="68"/>
      <c r="F34" s="52"/>
      <c r="G34" s="52"/>
      <c r="H34" s="76"/>
      <c r="I34" s="53" t="str">
        <f t="shared" si="0"/>
        <v/>
      </c>
      <c r="J34" s="54" t="str">
        <f t="shared" si="1"/>
        <v/>
      </c>
      <c r="K34" s="54" t="str">
        <f t="shared" si="2"/>
        <v/>
      </c>
      <c r="L34" s="55" t="str">
        <f>IF(ISBLANK(D34),"",J34-Parâmetros!$B$4)</f>
        <v/>
      </c>
      <c r="M34" s="55" t="str">
        <f>IF(OR(ISBLANK(D34),ISBLANK(G34),I34=0),"",K34-Parâmetros!$B$4)</f>
        <v/>
      </c>
      <c r="N34" s="56" t="str">
        <f t="shared" si="3"/>
        <v/>
      </c>
      <c r="O34" s="56" t="str">
        <f t="shared" si="4"/>
        <v/>
      </c>
    </row>
    <row r="35" spans="2:15" x14ac:dyDescent="0.25">
      <c r="B35" s="44"/>
      <c r="C35" s="45"/>
      <c r="D35" s="46"/>
      <c r="E35" s="75"/>
      <c r="F35" s="38"/>
      <c r="G35" s="38"/>
      <c r="H35" s="74"/>
      <c r="I35" s="57" t="str">
        <f t="shared" si="0"/>
        <v/>
      </c>
      <c r="J35" s="58" t="str">
        <f t="shared" si="1"/>
        <v/>
      </c>
      <c r="K35" s="58" t="str">
        <f t="shared" si="2"/>
        <v/>
      </c>
      <c r="L35" s="59" t="str">
        <f>IF(ISBLANK(D35),"",J35-Parâmetros!$B$4)</f>
        <v/>
      </c>
      <c r="M35" s="59" t="str">
        <f>IF(OR(ISBLANK(D35),ISBLANK(G35),I35=0),"",K35-Parâmetros!$B$4)</f>
        <v/>
      </c>
      <c r="N35" s="60" t="str">
        <f t="shared" si="3"/>
        <v/>
      </c>
      <c r="O35" s="60" t="str">
        <f t="shared" si="4"/>
        <v/>
      </c>
    </row>
    <row r="36" spans="2:15" x14ac:dyDescent="0.25">
      <c r="B36" s="41"/>
      <c r="C36" s="50"/>
      <c r="D36" s="51"/>
      <c r="E36" s="68"/>
      <c r="F36" s="52"/>
      <c r="G36" s="52"/>
      <c r="H36" s="76"/>
      <c r="I36" s="53" t="str">
        <f t="shared" si="0"/>
        <v/>
      </c>
      <c r="J36" s="54" t="str">
        <f t="shared" si="1"/>
        <v/>
      </c>
      <c r="K36" s="54" t="str">
        <f t="shared" si="2"/>
        <v/>
      </c>
      <c r="L36" s="55" t="str">
        <f>IF(ISBLANK(D36),"",J36-Parâmetros!$B$4)</f>
        <v/>
      </c>
      <c r="M36" s="55" t="str">
        <f>IF(OR(ISBLANK(D36),ISBLANK(G36),I36=0),"",K36-Parâmetros!$B$4)</f>
        <v/>
      </c>
      <c r="N36" s="56" t="str">
        <f t="shared" si="3"/>
        <v/>
      </c>
      <c r="O36" s="56" t="str">
        <f t="shared" si="4"/>
        <v/>
      </c>
    </row>
    <row r="37" spans="2:15" x14ac:dyDescent="0.25">
      <c r="B37" s="44"/>
      <c r="C37" s="45"/>
      <c r="D37" s="46"/>
      <c r="E37" s="75"/>
      <c r="F37" s="38"/>
      <c r="G37" s="38"/>
      <c r="H37" s="74"/>
      <c r="I37" s="57" t="str">
        <f t="shared" si="0"/>
        <v/>
      </c>
      <c r="J37" s="58" t="str">
        <f t="shared" si="1"/>
        <v/>
      </c>
      <c r="K37" s="58" t="str">
        <f t="shared" si="2"/>
        <v/>
      </c>
      <c r="L37" s="59" t="str">
        <f>IF(ISBLANK(D37),"",J37-Parâmetros!$B$4)</f>
        <v/>
      </c>
      <c r="M37" s="59" t="str">
        <f>IF(OR(ISBLANK(D37),ISBLANK(G37),I37=0),"",K37-Parâmetros!$B$4)</f>
        <v/>
      </c>
      <c r="N37" s="60" t="str">
        <f t="shared" si="3"/>
        <v/>
      </c>
      <c r="O37" s="60" t="str">
        <f t="shared" si="4"/>
        <v/>
      </c>
    </row>
    <row r="38" spans="2:15" x14ac:dyDescent="0.25">
      <c r="B38" s="41"/>
      <c r="C38" s="50"/>
      <c r="D38" s="51"/>
      <c r="E38" s="68"/>
      <c r="F38" s="52"/>
      <c r="G38" s="52"/>
      <c r="H38" s="76"/>
      <c r="I38" s="53" t="str">
        <f t="shared" si="0"/>
        <v/>
      </c>
      <c r="J38" s="54" t="str">
        <f t="shared" si="1"/>
        <v/>
      </c>
      <c r="K38" s="54" t="str">
        <f t="shared" si="2"/>
        <v/>
      </c>
      <c r="L38" s="55" t="str">
        <f>IF(ISBLANK(D38),"",J38-Parâmetros!$B$4)</f>
        <v/>
      </c>
      <c r="M38" s="55" t="str">
        <f>IF(OR(ISBLANK(D38),ISBLANK(G38),I38=0),"",K38-Parâmetros!$B$4)</f>
        <v/>
      </c>
      <c r="N38" s="56" t="str">
        <f t="shared" si="3"/>
        <v/>
      </c>
      <c r="O38" s="56" t="str">
        <f t="shared" si="4"/>
        <v/>
      </c>
    </row>
    <row r="39" spans="2:15" x14ac:dyDescent="0.25">
      <c r="B39" s="44"/>
      <c r="C39" s="45"/>
      <c r="D39" s="46"/>
      <c r="E39" s="75"/>
      <c r="F39" s="38"/>
      <c r="G39" s="38"/>
      <c r="H39" s="74"/>
      <c r="I39" s="57" t="str">
        <f t="shared" si="0"/>
        <v/>
      </c>
      <c r="J39" s="58" t="str">
        <f t="shared" si="1"/>
        <v/>
      </c>
      <c r="K39" s="58" t="str">
        <f t="shared" si="2"/>
        <v/>
      </c>
      <c r="L39" s="59" t="str">
        <f>IF(ISBLANK(D39),"",J39-Parâmetros!$B$4)</f>
        <v/>
      </c>
      <c r="M39" s="59" t="str">
        <f>IF(OR(ISBLANK(D39),ISBLANK(G39),I39=0),"",K39-Parâmetros!$B$4)</f>
        <v/>
      </c>
      <c r="N39" s="60" t="str">
        <f t="shared" si="3"/>
        <v/>
      </c>
      <c r="O39" s="60" t="str">
        <f t="shared" si="4"/>
        <v/>
      </c>
    </row>
    <row r="40" spans="2:15" x14ac:dyDescent="0.25">
      <c r="B40" s="41"/>
      <c r="C40" s="50"/>
      <c r="D40" s="51"/>
      <c r="E40" s="68"/>
      <c r="F40" s="52"/>
      <c r="G40" s="52"/>
      <c r="H40" s="76"/>
      <c r="I40" s="53" t="str">
        <f t="shared" si="0"/>
        <v/>
      </c>
      <c r="J40" s="54" t="str">
        <f t="shared" si="1"/>
        <v/>
      </c>
      <c r="K40" s="54" t="str">
        <f t="shared" si="2"/>
        <v/>
      </c>
      <c r="L40" s="55" t="str">
        <f>IF(ISBLANK(D40),"",J40-Parâmetros!$B$4)</f>
        <v/>
      </c>
      <c r="M40" s="55" t="str">
        <f>IF(OR(ISBLANK(D40),ISBLANK(G40),I40=0),"",K40-Parâmetros!$B$4)</f>
        <v/>
      </c>
      <c r="N40" s="56" t="str">
        <f t="shared" si="3"/>
        <v/>
      </c>
      <c r="O40" s="56" t="str">
        <f t="shared" si="4"/>
        <v/>
      </c>
    </row>
    <row r="41" spans="2:15" x14ac:dyDescent="0.25">
      <c r="B41" s="44"/>
      <c r="C41" s="45"/>
      <c r="D41" s="46"/>
      <c r="E41" s="75"/>
      <c r="F41" s="38"/>
      <c r="G41" s="38"/>
      <c r="H41" s="74"/>
      <c r="I41" s="57" t="str">
        <f t="shared" si="0"/>
        <v/>
      </c>
      <c r="J41" s="58" t="str">
        <f t="shared" si="1"/>
        <v/>
      </c>
      <c r="K41" s="58" t="str">
        <f t="shared" si="2"/>
        <v/>
      </c>
      <c r="L41" s="59" t="str">
        <f>IF(ISBLANK(D41),"",J41-Parâmetros!$B$4)</f>
        <v/>
      </c>
      <c r="M41" s="59" t="str">
        <f>IF(OR(ISBLANK(D41),ISBLANK(G41),I41=0),"",K41-Parâmetros!$B$4)</f>
        <v/>
      </c>
      <c r="N41" s="60" t="str">
        <f t="shared" si="3"/>
        <v/>
      </c>
      <c r="O41" s="60" t="str">
        <f t="shared" si="4"/>
        <v/>
      </c>
    </row>
    <row r="42" spans="2:15" x14ac:dyDescent="0.25">
      <c r="B42" s="41"/>
      <c r="C42" s="50"/>
      <c r="D42" s="51"/>
      <c r="E42" s="68"/>
      <c r="F42" s="52"/>
      <c r="G42" s="52"/>
      <c r="H42" s="76"/>
      <c r="I42" s="53" t="str">
        <f t="shared" si="0"/>
        <v/>
      </c>
      <c r="J42" s="54" t="str">
        <f t="shared" si="1"/>
        <v/>
      </c>
      <c r="K42" s="54" t="str">
        <f t="shared" si="2"/>
        <v/>
      </c>
      <c r="L42" s="55" t="str">
        <f>IF(ISBLANK(D42),"",J42-Parâmetros!$B$4)</f>
        <v/>
      </c>
      <c r="M42" s="55" t="str">
        <f>IF(OR(ISBLANK(D42),ISBLANK(G42),I42=0),"",K42-Parâmetros!$B$4)</f>
        <v/>
      </c>
      <c r="N42" s="56" t="str">
        <f t="shared" si="3"/>
        <v/>
      </c>
      <c r="O42" s="56" t="str">
        <f t="shared" si="4"/>
        <v/>
      </c>
    </row>
    <row r="43" spans="2:15" x14ac:dyDescent="0.25">
      <c r="B43" s="44"/>
      <c r="C43" s="45"/>
      <c r="D43" s="46"/>
      <c r="E43" s="75"/>
      <c r="F43" s="38"/>
      <c r="G43" s="38"/>
      <c r="H43" s="74"/>
      <c r="I43" s="57" t="str">
        <f t="shared" si="0"/>
        <v/>
      </c>
      <c r="J43" s="58" t="str">
        <f t="shared" si="1"/>
        <v/>
      </c>
      <c r="K43" s="58" t="str">
        <f t="shared" si="2"/>
        <v/>
      </c>
      <c r="L43" s="59" t="str">
        <f>IF(ISBLANK(D43),"",J43-Parâmetros!$B$4)</f>
        <v/>
      </c>
      <c r="M43" s="59" t="str">
        <f>IF(OR(ISBLANK(D43),ISBLANK(G43),I43=0),"",K43-Parâmetros!$B$4)</f>
        <v/>
      </c>
      <c r="N43" s="60" t="str">
        <f t="shared" si="3"/>
        <v/>
      </c>
      <c r="O43" s="60" t="str">
        <f t="shared" si="4"/>
        <v/>
      </c>
    </row>
    <row r="44" spans="2:15" x14ac:dyDescent="0.25">
      <c r="B44" s="41"/>
      <c r="C44" s="50"/>
      <c r="D44" s="51"/>
      <c r="E44" s="68"/>
      <c r="F44" s="52"/>
      <c r="G44" s="52"/>
      <c r="H44" s="76"/>
      <c r="I44" s="53" t="str">
        <f t="shared" si="0"/>
        <v/>
      </c>
      <c r="J44" s="54" t="str">
        <f t="shared" si="1"/>
        <v/>
      </c>
      <c r="K44" s="54" t="str">
        <f t="shared" si="2"/>
        <v/>
      </c>
      <c r="L44" s="55" t="str">
        <f>IF(ISBLANK(D44),"",J44-Parâmetros!$B$4)</f>
        <v/>
      </c>
      <c r="M44" s="55" t="str">
        <f>IF(OR(ISBLANK(D44),ISBLANK(G44),I44=0),"",K44-Parâmetros!$B$4)</f>
        <v/>
      </c>
      <c r="N44" s="56" t="str">
        <f t="shared" si="3"/>
        <v/>
      </c>
      <c r="O44" s="56" t="str">
        <f t="shared" si="4"/>
        <v/>
      </c>
    </row>
    <row r="45" spans="2:15" x14ac:dyDescent="0.25">
      <c r="B45" s="44"/>
      <c r="C45" s="45"/>
      <c r="D45" s="46"/>
      <c r="E45" s="75"/>
      <c r="F45" s="38"/>
      <c r="G45" s="38"/>
      <c r="H45" s="74"/>
      <c r="I45" s="57" t="str">
        <f t="shared" si="0"/>
        <v/>
      </c>
      <c r="J45" s="58" t="str">
        <f t="shared" si="1"/>
        <v/>
      </c>
      <c r="K45" s="58" t="str">
        <f t="shared" si="2"/>
        <v/>
      </c>
      <c r="L45" s="59" t="str">
        <f>IF(ISBLANK(D45),"",J45-Parâmetros!$B$4)</f>
        <v/>
      </c>
      <c r="M45" s="59" t="str">
        <f>IF(OR(ISBLANK(D45),ISBLANK(G45),I45=0),"",K45-Parâmetros!$B$4)</f>
        <v/>
      </c>
      <c r="N45" s="60" t="str">
        <f t="shared" si="3"/>
        <v/>
      </c>
      <c r="O45" s="60" t="str">
        <f t="shared" si="4"/>
        <v/>
      </c>
    </row>
    <row r="46" spans="2:15" x14ac:dyDescent="0.25">
      <c r="B46" s="41"/>
      <c r="C46" s="50"/>
      <c r="D46" s="51"/>
      <c r="E46" s="68"/>
      <c r="F46" s="52"/>
      <c r="G46" s="52"/>
      <c r="H46" s="76"/>
      <c r="I46" s="53" t="str">
        <f t="shared" si="0"/>
        <v/>
      </c>
      <c r="J46" s="54" t="str">
        <f t="shared" si="1"/>
        <v/>
      </c>
      <c r="K46" s="54" t="str">
        <f t="shared" si="2"/>
        <v/>
      </c>
      <c r="L46" s="55" t="str">
        <f>IF(ISBLANK(D46),"",J46-Parâmetros!$B$4)</f>
        <v/>
      </c>
      <c r="M46" s="55" t="str">
        <f>IF(OR(ISBLANK(D46),ISBLANK(G46),I46=0),"",K46-Parâmetros!$B$4)</f>
        <v/>
      </c>
      <c r="N46" s="56" t="str">
        <f t="shared" si="3"/>
        <v/>
      </c>
      <c r="O46" s="56" t="str">
        <f t="shared" si="4"/>
        <v/>
      </c>
    </row>
    <row r="47" spans="2:15" x14ac:dyDescent="0.25">
      <c r="B47" s="44"/>
      <c r="C47" s="45"/>
      <c r="D47" s="46"/>
      <c r="E47" s="75"/>
      <c r="F47" s="38"/>
      <c r="G47" s="38"/>
      <c r="H47" s="74"/>
      <c r="I47" s="57" t="str">
        <f t="shared" si="0"/>
        <v/>
      </c>
      <c r="J47" s="58" t="str">
        <f t="shared" si="1"/>
        <v/>
      </c>
      <c r="K47" s="58" t="str">
        <f t="shared" si="2"/>
        <v/>
      </c>
      <c r="L47" s="59" t="str">
        <f>IF(ISBLANK(D47),"",J47-Parâmetros!$B$4)</f>
        <v/>
      </c>
      <c r="M47" s="59" t="str">
        <f>IF(OR(ISBLANK(D47),ISBLANK(G47),I47=0),"",K47-Parâmetros!$B$4)</f>
        <v/>
      </c>
      <c r="N47" s="60" t="str">
        <f t="shared" si="3"/>
        <v/>
      </c>
      <c r="O47" s="60" t="str">
        <f t="shared" si="4"/>
        <v/>
      </c>
    </row>
    <row r="48" spans="2:15" x14ac:dyDescent="0.25">
      <c r="B48" s="41"/>
      <c r="C48" s="50"/>
      <c r="D48" s="51"/>
      <c r="E48" s="68"/>
      <c r="F48" s="52"/>
      <c r="G48" s="52"/>
      <c r="H48" s="76"/>
      <c r="I48" s="53" t="str">
        <f t="shared" si="0"/>
        <v/>
      </c>
      <c r="J48" s="54" t="str">
        <f t="shared" si="1"/>
        <v/>
      </c>
      <c r="K48" s="54" t="str">
        <f t="shared" si="2"/>
        <v/>
      </c>
      <c r="L48" s="55" t="str">
        <f>IF(ISBLANK(D48),"",J48-Parâmetros!$B$4)</f>
        <v/>
      </c>
      <c r="M48" s="55" t="str">
        <f>IF(OR(ISBLANK(D48),ISBLANK(G48),I48=0),"",K48-Parâmetros!$B$4)</f>
        <v/>
      </c>
      <c r="N48" s="56" t="str">
        <f t="shared" si="3"/>
        <v/>
      </c>
      <c r="O48" s="56" t="str">
        <f t="shared" si="4"/>
        <v/>
      </c>
    </row>
    <row r="49" spans="2:15" x14ac:dyDescent="0.25">
      <c r="B49" s="44"/>
      <c r="C49" s="45"/>
      <c r="D49" s="46"/>
      <c r="E49" s="75"/>
      <c r="F49" s="38"/>
      <c r="G49" s="38"/>
      <c r="H49" s="74"/>
      <c r="I49" s="57" t="str">
        <f t="shared" si="0"/>
        <v/>
      </c>
      <c r="J49" s="58" t="str">
        <f t="shared" si="1"/>
        <v/>
      </c>
      <c r="K49" s="58" t="str">
        <f t="shared" si="2"/>
        <v/>
      </c>
      <c r="L49" s="59" t="str">
        <f>IF(ISBLANK(D49),"",J49-Parâmetros!$B$4)</f>
        <v/>
      </c>
      <c r="M49" s="59" t="str">
        <f>IF(OR(ISBLANK(D49),ISBLANK(G49),I49=0),"",K49-Parâmetros!$B$4)</f>
        <v/>
      </c>
      <c r="N49" s="60" t="str">
        <f t="shared" si="3"/>
        <v/>
      </c>
      <c r="O49" s="60" t="str">
        <f t="shared" si="4"/>
        <v/>
      </c>
    </row>
    <row r="50" spans="2:15" x14ac:dyDescent="0.25">
      <c r="B50" s="41"/>
      <c r="C50" s="50"/>
      <c r="D50" s="51"/>
      <c r="E50" s="68"/>
      <c r="F50" s="52"/>
      <c r="G50" s="52"/>
      <c r="H50" s="76"/>
      <c r="I50" s="53" t="str">
        <f t="shared" si="0"/>
        <v/>
      </c>
      <c r="J50" s="54" t="str">
        <f t="shared" si="1"/>
        <v/>
      </c>
      <c r="K50" s="54" t="str">
        <f t="shared" si="2"/>
        <v/>
      </c>
      <c r="L50" s="55" t="str">
        <f>IF(ISBLANK(D50),"",J50-Parâmetros!$B$4)</f>
        <v/>
      </c>
      <c r="M50" s="55" t="str">
        <f>IF(OR(ISBLANK(D50),ISBLANK(G50),I50=0),"",K50-Parâmetros!$B$4)</f>
        <v/>
      </c>
      <c r="N50" s="56" t="str">
        <f t="shared" si="3"/>
        <v/>
      </c>
      <c r="O50" s="56" t="str">
        <f t="shared" si="4"/>
        <v/>
      </c>
    </row>
    <row r="51" spans="2:15" x14ac:dyDescent="0.25">
      <c r="B51" s="44"/>
      <c r="C51" s="45"/>
      <c r="D51" s="46"/>
      <c r="E51" s="75"/>
      <c r="F51" s="38"/>
      <c r="G51" s="38"/>
      <c r="H51" s="74"/>
      <c r="I51" s="57" t="str">
        <f t="shared" si="0"/>
        <v/>
      </c>
      <c r="J51" s="58" t="str">
        <f t="shared" si="1"/>
        <v/>
      </c>
      <c r="K51" s="58" t="str">
        <f t="shared" si="2"/>
        <v/>
      </c>
      <c r="L51" s="59" t="str">
        <f>IF(ISBLANK(D51),"",J51-Parâmetros!$B$4)</f>
        <v/>
      </c>
      <c r="M51" s="59" t="str">
        <f>IF(OR(ISBLANK(D51),ISBLANK(G51),I51=0),"",K51-Parâmetros!$B$4)</f>
        <v/>
      </c>
      <c r="N51" s="60" t="str">
        <f t="shared" si="3"/>
        <v/>
      </c>
      <c r="O51" s="60" t="str">
        <f t="shared" si="4"/>
        <v/>
      </c>
    </row>
    <row r="52" spans="2:15" x14ac:dyDescent="0.25">
      <c r="B52" s="41"/>
      <c r="C52" s="50"/>
      <c r="D52" s="51"/>
      <c r="E52" s="68"/>
      <c r="F52" s="52"/>
      <c r="G52" s="52"/>
      <c r="H52" s="76"/>
      <c r="I52" s="53" t="str">
        <f t="shared" si="0"/>
        <v/>
      </c>
      <c r="J52" s="54" t="str">
        <f t="shared" si="1"/>
        <v/>
      </c>
      <c r="K52" s="54" t="str">
        <f t="shared" si="2"/>
        <v/>
      </c>
      <c r="L52" s="55" t="str">
        <f>IF(ISBLANK(D52),"",J52-Parâmetros!$B$4)</f>
        <v/>
      </c>
      <c r="M52" s="55" t="str">
        <f>IF(OR(ISBLANK(D52),ISBLANK(G52),I52=0),"",K52-Parâmetros!$B$4)</f>
        <v/>
      </c>
      <c r="N52" s="56" t="str">
        <f t="shared" si="3"/>
        <v/>
      </c>
      <c r="O52" s="56" t="str">
        <f t="shared" si="4"/>
        <v/>
      </c>
    </row>
    <row r="53" spans="2:15" x14ac:dyDescent="0.25">
      <c r="B53" s="44"/>
      <c r="C53" s="45"/>
      <c r="D53" s="46"/>
      <c r="E53" s="75"/>
      <c r="F53" s="38"/>
      <c r="G53" s="38"/>
      <c r="H53" s="74"/>
      <c r="I53" s="57" t="str">
        <f t="shared" si="0"/>
        <v/>
      </c>
      <c r="J53" s="58" t="str">
        <f t="shared" si="1"/>
        <v/>
      </c>
      <c r="K53" s="58" t="str">
        <f t="shared" si="2"/>
        <v/>
      </c>
      <c r="L53" s="59" t="str">
        <f>IF(ISBLANK(D53),"",J53-Parâmetros!$B$4)</f>
        <v/>
      </c>
      <c r="M53" s="59" t="str">
        <f>IF(OR(ISBLANK(D53),ISBLANK(G53),I53=0),"",K53-Parâmetros!$B$4)</f>
        <v/>
      </c>
      <c r="N53" s="60" t="str">
        <f t="shared" si="3"/>
        <v/>
      </c>
      <c r="O53" s="60" t="str">
        <f t="shared" si="4"/>
        <v/>
      </c>
    </row>
    <row r="54" spans="2:15" x14ac:dyDescent="0.25">
      <c r="B54" s="41"/>
      <c r="C54" s="50"/>
      <c r="D54" s="51"/>
      <c r="E54" s="68"/>
      <c r="F54" s="52"/>
      <c r="G54" s="52"/>
      <c r="H54" s="76"/>
      <c r="I54" s="53" t="str">
        <f t="shared" si="0"/>
        <v/>
      </c>
      <c r="J54" s="54" t="str">
        <f t="shared" si="1"/>
        <v/>
      </c>
      <c r="K54" s="54" t="str">
        <f t="shared" si="2"/>
        <v/>
      </c>
      <c r="L54" s="55" t="str">
        <f>IF(ISBLANK(D54),"",J54-Parâmetros!$B$4)</f>
        <v/>
      </c>
      <c r="M54" s="55" t="str">
        <f>IF(OR(ISBLANK(D54),ISBLANK(G54),I54=0),"",K54-Parâmetros!$B$4)</f>
        <v/>
      </c>
      <c r="N54" s="56" t="str">
        <f t="shared" si="3"/>
        <v/>
      </c>
      <c r="O54" s="56" t="str">
        <f t="shared" si="4"/>
        <v/>
      </c>
    </row>
    <row r="55" spans="2:15" x14ac:dyDescent="0.25">
      <c r="B55" s="44"/>
      <c r="C55" s="45"/>
      <c r="D55" s="61"/>
      <c r="E55" s="75"/>
      <c r="F55" s="38"/>
      <c r="G55" s="38"/>
      <c r="H55" s="74"/>
      <c r="I55" s="57" t="str">
        <f t="shared" si="0"/>
        <v/>
      </c>
      <c r="J55" s="58" t="str">
        <f t="shared" si="1"/>
        <v/>
      </c>
      <c r="K55" s="58" t="str">
        <f t="shared" si="2"/>
        <v/>
      </c>
      <c r="L55" s="59" t="str">
        <f>IF(ISBLANK(D55),"",J55-Parâmetros!$B$4)</f>
        <v/>
      </c>
      <c r="M55" s="59" t="str">
        <f>IF(OR(ISBLANK(D55),ISBLANK(G55),I55=0),"",K55-Parâmetros!$B$4)</f>
        <v/>
      </c>
      <c r="N55" s="60" t="str">
        <f t="shared" si="3"/>
        <v/>
      </c>
      <c r="O55" s="60" t="str">
        <f t="shared" si="4"/>
        <v/>
      </c>
    </row>
  </sheetData>
  <sheetProtection password="CFCD" sheet="1" objects="1" scenarios="1"/>
  <mergeCells count="6">
    <mergeCell ref="B2:O2"/>
    <mergeCell ref="B4:B5"/>
    <mergeCell ref="C4:C5"/>
    <mergeCell ref="J4:K4"/>
    <mergeCell ref="E4:E5"/>
    <mergeCell ref="F4:F5"/>
  </mergeCells>
  <conditionalFormatting sqref="H6">
    <cfRule type="cellIs" dxfId="20" priority="56" operator="equal">
      <formula>"Não vencidas"</formula>
    </cfRule>
    <cfRule type="cellIs" dxfId="19" priority="57" operator="equal">
      <formula>"Vencidas"</formula>
    </cfRule>
  </conditionalFormatting>
  <conditionalFormatting sqref="R11">
    <cfRule type="cellIs" dxfId="18" priority="30" operator="equal">
      <formula>"ALERTA"</formula>
    </cfRule>
    <cfRule type="cellIs" dxfId="17" priority="31" operator="equal">
      <formula>"ALERTA"</formula>
    </cfRule>
    <cfRule type="cellIs" dxfId="16" priority="32" operator="equal">
      <formula>"ALERTA"</formula>
    </cfRule>
    <cfRule type="cellIs" dxfId="15" priority="33" operator="equal">
      <formula>"ALERTA"</formula>
    </cfRule>
    <cfRule type="cellIs" dxfId="14" priority="34" operator="equal">
      <formula>"ALERTA"</formula>
    </cfRule>
  </conditionalFormatting>
  <conditionalFormatting sqref="N6:N55">
    <cfRule type="cellIs" dxfId="13" priority="8" operator="equal">
      <formula>"No prazo"</formula>
    </cfRule>
    <cfRule type="cellIs" dxfId="12" priority="9" stopIfTrue="1" operator="equal">
      <formula>"1ª fase venceu"</formula>
    </cfRule>
    <cfRule type="cellIs" dxfId="11" priority="13" operator="equal">
      <formula>"Próximo do vencimento"</formula>
    </cfRule>
    <cfRule type="cellIs" dxfId="10" priority="16" operator="equal">
      <formula>"Atenção, vence hoje"</formula>
    </cfRule>
  </conditionalFormatting>
  <conditionalFormatting sqref="O6:O55">
    <cfRule type="cellIs" dxfId="9" priority="7" operator="equal">
      <formula>"Próximo do vencimento"</formula>
    </cfRule>
    <cfRule type="cellIs" dxfId="8" priority="10" stopIfTrue="1" operator="equal">
      <formula>"2ª fase venceu"</formula>
    </cfRule>
    <cfRule type="cellIs" dxfId="7" priority="11" operator="equal">
      <formula>"Atenção, vence hoje"</formula>
    </cfRule>
    <cfRule type="cellIs" dxfId="6" priority="12" stopIfTrue="1" operator="equal">
      <formula>"No prazo"</formula>
    </cfRule>
  </conditionalFormatting>
  <conditionalFormatting sqref="H7:H55">
    <cfRule type="cellIs" dxfId="5" priority="5" operator="equal">
      <formula>"Não vencidas"</formula>
    </cfRule>
    <cfRule type="cellIs" dxfId="4" priority="6" operator="equal">
      <formula>"Vencidas"</formula>
    </cfRule>
  </conditionalFormatting>
  <conditionalFormatting sqref="L6">
    <cfRule type="cellIs" dxfId="3" priority="4" operator="lessThan">
      <formula>0</formula>
    </cfRule>
  </conditionalFormatting>
  <conditionalFormatting sqref="L7:L55">
    <cfRule type="cellIs" dxfId="2" priority="3" operator="lessThan">
      <formula>0</formula>
    </cfRule>
  </conditionalFormatting>
  <conditionalFormatting sqref="M6">
    <cfRule type="cellIs" dxfId="1" priority="2" operator="lessThan">
      <formula>0</formula>
    </cfRule>
  </conditionalFormatting>
  <conditionalFormatting sqref="M7:M5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J6:J36 J54:J55 J44:J53 J37:J39 J40:J42 J43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workbookViewId="0"/>
  </sheetViews>
  <sheetFormatPr defaultRowHeight="15" x14ac:dyDescent="0.25"/>
  <cols>
    <col min="1" max="1" width="5.7109375" style="4" customWidth="1"/>
    <col min="2" max="2" width="17.85546875" style="4" bestFit="1" customWidth="1"/>
    <col min="3" max="3" width="10.28515625" style="4" customWidth="1"/>
    <col min="4" max="4" width="4.85546875" style="4" customWidth="1"/>
    <col min="5" max="6" width="9.140625" style="4"/>
    <col min="7" max="7" width="5.7109375" style="4" customWidth="1"/>
    <col min="8" max="16384" width="9.140625" style="4"/>
  </cols>
  <sheetData>
    <row r="1" spans="1:26" ht="9.949999999999999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1" customHeight="1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1" customHeight="1" x14ac:dyDescent="0.25">
      <c r="A3" s="3"/>
      <c r="B3" s="5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1" customHeight="1" thickBot="1" x14ac:dyDescent="0.3">
      <c r="A4" s="3"/>
      <c r="B4" s="6">
        <f ca="1">TODAY()</f>
        <v>43424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1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1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1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1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1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1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1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1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1" customHeight="1" x14ac:dyDescent="0.25">
      <c r="A17" s="3"/>
      <c r="B17" s="3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1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1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1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1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1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1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1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1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</row>
  </sheetData>
  <sheetProtection password="CFCD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Orientações</vt:lpstr>
      <vt:lpstr>Controle Vencimento Experiência</vt:lpstr>
      <vt:lpstr>Parâmetros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Nei</cp:lastModifiedBy>
  <dcterms:created xsi:type="dcterms:W3CDTF">2018-03-29T17:50:59Z</dcterms:created>
  <dcterms:modified xsi:type="dcterms:W3CDTF">2018-11-20T17:40:34Z</dcterms:modified>
</cp:coreProperties>
</file>