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f24\AC\Temp\"/>
    </mc:Choice>
  </mc:AlternateContent>
  <xr:revisionPtr revIDLastSave="0" documentId="8_{F6D87282-3572-9D45-B064-7D4C676FB9E8}" xr6:coauthVersionLast="32" xr6:coauthVersionMax="32" xr10:uidLastSave="{00000000-0000-0000-0000-000000000000}"/>
  <bookViews>
    <workbookView xWindow="360" yWindow="60" windowWidth="9420" windowHeight="6030" activeTab="2" xr2:uid="{00000000-000D-0000-FFFF-FFFF00000000}"/>
  </bookViews>
  <sheets>
    <sheet name="AJUDA" sheetId="7" r:id="rId1"/>
    <sheet name="NF COM RETENÇÃO" sheetId="8" state="hidden" r:id="rId2"/>
    <sheet name="APURAÇÃO LUCRO PRESUMIDO" sheetId="6" r:id="rId3"/>
  </sheets>
  <calcPr calcId="179016" fullPrecision="0"/>
</workbook>
</file>

<file path=xl/calcChain.xml><?xml version="1.0" encoding="utf-8"?>
<calcChain xmlns="http://schemas.openxmlformats.org/spreadsheetml/2006/main">
  <c r="E28" i="6" l="1"/>
  <c r="D22" i="6"/>
  <c r="L22" i="6"/>
  <c r="D21" i="6"/>
  <c r="D20" i="6"/>
  <c r="T26" i="6"/>
  <c r="W26" i="6"/>
  <c r="X26" i="6"/>
  <c r="T25" i="6"/>
  <c r="K25" i="6"/>
  <c r="W25" i="6"/>
  <c r="T24" i="6"/>
  <c r="K24" i="6"/>
  <c r="W24" i="6"/>
  <c r="T28" i="6"/>
  <c r="K58" i="6"/>
  <c r="L58" i="6"/>
  <c r="E58" i="6"/>
  <c r="E52" i="6"/>
  <c r="E51" i="6"/>
  <c r="E21" i="6"/>
  <c r="H21" i="6"/>
  <c r="E50" i="6"/>
  <c r="E20" i="6"/>
  <c r="H20" i="6"/>
  <c r="E49" i="6"/>
  <c r="H19" i="6"/>
  <c r="E48" i="6"/>
  <c r="E47" i="6"/>
  <c r="T22" i="6"/>
  <c r="T21" i="6"/>
  <c r="T20" i="6"/>
  <c r="T19" i="6"/>
  <c r="G19" i="6"/>
  <c r="D19" i="6"/>
  <c r="F19" i="6"/>
  <c r="L28" i="6"/>
  <c r="W22" i="6"/>
  <c r="X22" i="6"/>
  <c r="E55" i="6"/>
  <c r="K55" i="6"/>
  <c r="E56" i="6"/>
  <c r="K56" i="6"/>
  <c r="L56" i="6"/>
  <c r="E54" i="6"/>
  <c r="K54" i="6"/>
  <c r="K52" i="6"/>
  <c r="L52" i="6"/>
  <c r="K19" i="6"/>
  <c r="K49" i="6"/>
  <c r="L49" i="6"/>
  <c r="W28" i="6"/>
  <c r="X28" i="6"/>
  <c r="T18" i="6"/>
  <c r="T17" i="6"/>
  <c r="L19" i="6"/>
  <c r="D25" i="6"/>
  <c r="L25" i="6"/>
  <c r="D24" i="6"/>
  <c r="L24" i="6"/>
  <c r="E18" i="6"/>
  <c r="L18" i="6"/>
  <c r="T49" i="6"/>
  <c r="T51" i="6"/>
  <c r="E17" i="6"/>
  <c r="L17" i="6"/>
  <c r="S49" i="6"/>
  <c r="S51" i="6"/>
  <c r="D26" i="6"/>
  <c r="L26" i="6"/>
  <c r="T4" i="6"/>
  <c r="E34" i="6"/>
  <c r="D4" i="8"/>
  <c r="F4" i="8"/>
  <c r="G4" i="8"/>
  <c r="E4" i="8"/>
  <c r="H4" i="8"/>
  <c r="C4" i="8"/>
  <c r="K20" i="6"/>
  <c r="K21" i="6"/>
  <c r="Y38" i="6"/>
  <c r="B60" i="6"/>
  <c r="I59" i="6"/>
  <c r="S34" i="6"/>
  <c r="D33" i="6"/>
  <c r="S3" i="6"/>
  <c r="K42" i="6"/>
  <c r="K41" i="6"/>
  <c r="W12" i="6"/>
  <c r="W11" i="6"/>
  <c r="Y47" i="6"/>
  <c r="X47" i="6"/>
  <c r="T47" i="6"/>
  <c r="S47" i="6"/>
  <c r="Y27" i="6"/>
  <c r="Y23" i="6"/>
  <c r="Y18" i="6"/>
  <c r="Y17" i="6"/>
  <c r="M57" i="6"/>
  <c r="M53" i="6"/>
  <c r="M48" i="6"/>
  <c r="M47" i="6"/>
  <c r="W18" i="6"/>
  <c r="X18" i="6"/>
  <c r="T53" i="6"/>
  <c r="T55" i="6"/>
  <c r="K48" i="6"/>
  <c r="L48" i="6"/>
  <c r="T57" i="6"/>
  <c r="T59" i="6"/>
  <c r="W17" i="6"/>
  <c r="X17" i="6"/>
  <c r="S53" i="6"/>
  <c r="S55" i="6"/>
  <c r="K47" i="6"/>
  <c r="L47" i="6"/>
  <c r="S57" i="6"/>
  <c r="S59" i="6"/>
  <c r="Q49" i="6"/>
  <c r="Q39" i="6"/>
  <c r="Q38" i="6"/>
  <c r="T33" i="6"/>
  <c r="L54" i="6"/>
  <c r="X24" i="6"/>
  <c r="X25" i="6"/>
  <c r="X27" i="6"/>
  <c r="Y53" i="6"/>
  <c r="Y55" i="6"/>
  <c r="L55" i="6"/>
  <c r="W21" i="6"/>
  <c r="X21" i="6"/>
  <c r="L21" i="6"/>
  <c r="K51" i="6"/>
  <c r="L51" i="6"/>
  <c r="X33" i="6"/>
  <c r="Q57" i="6"/>
  <c r="Q40" i="6"/>
  <c r="S61" i="6"/>
  <c r="L27" i="6"/>
  <c r="Y49" i="6"/>
  <c r="Y51" i="6"/>
  <c r="R40" i="6"/>
  <c r="L20" i="6"/>
  <c r="L23" i="6"/>
  <c r="X49" i="6"/>
  <c r="X51" i="6"/>
  <c r="W20" i="6"/>
  <c r="X20" i="6"/>
  <c r="K50" i="6"/>
  <c r="L50" i="6"/>
  <c r="T61" i="6"/>
  <c r="L53" i="6"/>
  <c r="X57" i="6"/>
  <c r="X59" i="6"/>
  <c r="F20" i="6"/>
  <c r="G20" i="6"/>
  <c r="G21" i="6"/>
  <c r="Q53" i="6"/>
  <c r="W19" i="6"/>
  <c r="X19" i="6"/>
  <c r="X23" i="6"/>
  <c r="X53" i="6"/>
  <c r="X55" i="6"/>
  <c r="F21" i="6"/>
  <c r="L57" i="6"/>
  <c r="Y57" i="6"/>
  <c r="Y59" i="6"/>
  <c r="Y61" i="6"/>
  <c r="R38" i="6"/>
  <c r="R39" i="6"/>
  <c r="X61" i="6"/>
  <c r="R41" i="6"/>
  <c r="Y39" i="6"/>
  <c r="X41" i="6"/>
</calcChain>
</file>

<file path=xl/sharedStrings.xml><?xml version="1.0" encoding="utf-8"?>
<sst xmlns="http://schemas.openxmlformats.org/spreadsheetml/2006/main" count="157" uniqueCount="88">
  <si>
    <t>JUROS ATIVOS</t>
  </si>
  <si>
    <t>IRPJ</t>
  </si>
  <si>
    <t xml:space="preserve">I S S </t>
  </si>
  <si>
    <t>BASE DE CALCULO</t>
  </si>
  <si>
    <t xml:space="preserve">        </t>
  </si>
  <si>
    <t>GANHO DE CAPITAL</t>
  </si>
  <si>
    <t>OUTRAS RECEITAS</t>
  </si>
  <si>
    <t>TRIBUTO</t>
  </si>
  <si>
    <t>%</t>
  </si>
  <si>
    <t xml:space="preserve">EMPRESA: </t>
  </si>
  <si>
    <t>(-) DEVOLUÇÃO DE MERCADORIA</t>
  </si>
  <si>
    <t>DESCONTOS OBTIDOS</t>
  </si>
  <si>
    <t>RENDIMENTOS DIVERSOS RECEBIDOS</t>
  </si>
  <si>
    <t>CÁLCULOS FEDERAIS E MUNICIPAIS - OPÇÃO LUCRO PRESUMIDO</t>
  </si>
  <si>
    <t>COMPETÊNCIA</t>
  </si>
  <si>
    <t>X</t>
  </si>
  <si>
    <t>VENDAS OU REVENDA DE MERCADORIAS</t>
  </si>
  <si>
    <t>CSLL</t>
  </si>
  <si>
    <t>CÓD DARF</t>
  </si>
  <si>
    <t>PLANILHA PROTEGIDA POR SENHA - DÊ MANUTENÇÃO SOMENTE NAS CÉLULAS BRANCAS</t>
  </si>
  <si>
    <t>VALOR DO IMPOSTO</t>
  </si>
  <si>
    <t>INFORME O PRIMEIRO MÊS DO TRIMESTRE</t>
  </si>
  <si>
    <t>CÁLCULO DO ADICIONAL DE 10% SOBRE O IRPJ</t>
  </si>
  <si>
    <t>A</t>
  </si>
  <si>
    <t>TRIMESTRE DE APURAÇÃO</t>
  </si>
  <si>
    <t>MÊS</t>
  </si>
  <si>
    <t>BASE DE CÁLCULO</t>
  </si>
  <si>
    <t>SOMA</t>
  </si>
  <si>
    <t>LIMITE DE ISENÇÃO MENSAL</t>
  </si>
  <si>
    <t>ACUMULADO NO TRIMESTRE</t>
  </si>
  <si>
    <t>RECOLHIMENTO</t>
  </si>
  <si>
    <t>PERCENTUAL</t>
  </si>
  <si>
    <t>TOTAL DO IRPJ (RECOLHER TRIMESTRAL)</t>
  </si>
  <si>
    <t>TOTAL DA CSLL (RECOLHER TRIMESTRAL)</t>
  </si>
  <si>
    <t>PIS (MENSAL)</t>
  </si>
  <si>
    <t>CÓD. DARF</t>
  </si>
  <si>
    <t>COFINS (MENSAL)</t>
  </si>
  <si>
    <t>IRPJ (TRIMESTRAL)</t>
  </si>
  <si>
    <t>CSLL(TRIMESTRAL)</t>
  </si>
  <si>
    <t>2° mês do trimestre</t>
  </si>
  <si>
    <t>3° mês do trimestre</t>
  </si>
  <si>
    <t xml:space="preserve">PRESTAÇÃO DE SERVIÇOS - BASE DE CÁLCULO </t>
  </si>
  <si>
    <t>PRESTAÇÃO DE SERVIÇOS - BASE DE CÁLCULO</t>
  </si>
  <si>
    <r>
      <t xml:space="preserve">Para limpar coluna com </t>
    </r>
    <r>
      <rPr>
        <b/>
        <sz val="10"/>
        <color indexed="9"/>
        <rFont val="Arial"/>
      </rPr>
      <t>VALORES ou QUANTIDADE,</t>
    </r>
    <r>
      <rPr>
        <sz val="10"/>
        <color indexed="9"/>
        <rFont val="Arial"/>
      </rPr>
      <t xml:space="preserve"> use sempre a tecla </t>
    </r>
    <r>
      <rPr>
        <b/>
        <u/>
        <sz val="10"/>
        <color indexed="9"/>
        <rFont val="Arial"/>
      </rPr>
      <t>(ZERO) ou (DELETE)</t>
    </r>
    <r>
      <rPr>
        <sz val="10"/>
        <color indexed="9"/>
        <rFont val="Arial"/>
      </rPr>
      <t xml:space="preserve"> e nunca </t>
    </r>
    <r>
      <rPr>
        <b/>
        <u/>
        <sz val="10"/>
        <color indexed="9"/>
        <rFont val="Arial"/>
      </rPr>
      <t>(BARRA DE ESPAÇO)</t>
    </r>
    <r>
      <rPr>
        <b/>
        <sz val="10"/>
        <color indexed="9"/>
        <rFont val="Arial"/>
      </rPr>
      <t>.</t>
    </r>
  </si>
  <si>
    <r>
      <t>"AJ" (AJUDA)</t>
    </r>
    <r>
      <rPr>
        <sz val="12"/>
        <color indexed="9"/>
        <rFont val="Arial"/>
        <family val="2"/>
      </rPr>
      <t xml:space="preserve"> - Facilita o entendimento do usuário após leitura</t>
    </r>
  </si>
  <si>
    <t>ANGELO ADALBERTO TONON</t>
  </si>
  <si>
    <t>PEDAGOGO  - TÉCNICO EM CONTABILIDADE - TÉCNICO EM SEG. NO TRABALHO</t>
  </si>
  <si>
    <t>PRES.PRUDENTE/SP</t>
  </si>
  <si>
    <t>Você está utilizando algum programa?</t>
  </si>
  <si>
    <t>Passe seu e-mail, informando qual programa que utiliza!</t>
  </si>
  <si>
    <t>Você será cadastrado como usuário, e passará a receber todas as atualizações efetuadas no programa.</t>
  </si>
  <si>
    <t>Você quer ajudar? É só mandar sua sugestão.</t>
  </si>
  <si>
    <t>AJUDA AO PROGRAMA CÁLCULO DO LUCRO PRESUMIDO</t>
  </si>
  <si>
    <r>
      <t xml:space="preserve">"APURAÇÃO LUCRO PRESUMIDO" - </t>
    </r>
    <r>
      <rPr>
        <sz val="12"/>
        <color indexed="9"/>
        <rFont val="Arial"/>
        <family val="2"/>
      </rPr>
      <t>Elaborado para fechamento trimestral.</t>
    </r>
  </si>
  <si>
    <r>
      <t xml:space="preserve">Versão 1.2 </t>
    </r>
    <r>
      <rPr>
        <b/>
        <sz val="10"/>
        <color indexed="9"/>
        <rFont val="Arial"/>
        <family val="2"/>
      </rPr>
      <t xml:space="preserve">-    </t>
    </r>
    <r>
      <rPr>
        <b/>
        <sz val="10"/>
        <color indexed="10"/>
        <rFont val="Arial"/>
        <family val="2"/>
      </rPr>
      <t>1)</t>
    </r>
    <r>
      <rPr>
        <b/>
        <sz val="10"/>
        <color indexed="9"/>
        <rFont val="Arial"/>
        <family val="2"/>
      </rPr>
      <t xml:space="preserve">- Agradecimento ao Sr. </t>
    </r>
    <r>
      <rPr>
        <b/>
        <sz val="10"/>
        <color indexed="10"/>
        <rFont val="Arial"/>
        <family val="2"/>
      </rPr>
      <t xml:space="preserve">Elio (Depto Contábil "Nova Era Assessoria Contábil")Santo André/SP </t>
    </r>
    <r>
      <rPr>
        <b/>
        <sz val="10"/>
        <color indexed="9"/>
        <rFont val="Arial"/>
        <family val="2"/>
      </rPr>
      <t xml:space="preserve">- que comunicou um erro no cálculo do ISS da versão anterior, quando o usuário digitava o percentual na célula K28, o sistema não assumia o percentual e sim 2%. (problema solucionada).                                                                                                                                                                    </t>
    </r>
    <r>
      <rPr>
        <b/>
        <sz val="10"/>
        <color indexed="10"/>
        <rFont val="Arial"/>
        <family val="2"/>
      </rPr>
      <t xml:space="preserve">                                    </t>
    </r>
    <r>
      <rPr>
        <sz val="10"/>
        <color indexed="9"/>
        <rFont val="Arial"/>
        <family val="2"/>
      </rPr>
      <t/>
    </r>
  </si>
  <si>
    <r>
      <t xml:space="preserve"> 2)</t>
    </r>
    <r>
      <rPr>
        <b/>
        <sz val="10"/>
        <color indexed="9"/>
        <rFont val="Arial"/>
        <family val="2"/>
      </rPr>
      <t xml:space="preserve">- Parte inicial da planilha, você coloca o nome da empresa e escolhe o primeiro mês do trimestre o sistema coloca os meses seguinte automaticamente.                                                                                         </t>
    </r>
  </si>
  <si>
    <r>
      <t xml:space="preserve">Para usar o programa, utilize sempre a tecla </t>
    </r>
    <r>
      <rPr>
        <b/>
        <sz val="10"/>
        <color indexed="9"/>
        <rFont val="Arial"/>
      </rPr>
      <t xml:space="preserve">"TAB" -'ENTER" ou "SETA" </t>
    </r>
    <r>
      <rPr>
        <sz val="10"/>
        <color indexed="9"/>
        <rFont val="Arial"/>
      </rPr>
      <t>do seu teclado, pois como os programas estão com trava de segurança, devido aos cálculos, estas teclas irão conduzir você somente pelas células que realmente necessitam de manutenção....</t>
    </r>
  </si>
  <si>
    <r>
      <t xml:space="preserve">Todas as planilhas deste programa, estão protegidas com senha de segurança </t>
    </r>
    <r>
      <rPr>
        <b/>
        <sz val="10"/>
        <color indexed="9"/>
        <rFont val="Arial"/>
      </rPr>
      <t>(proteção dos cálculos) -</t>
    </r>
    <r>
      <rPr>
        <b/>
        <u/>
        <sz val="10"/>
        <color indexed="9"/>
        <rFont val="Arial"/>
      </rPr>
      <t>Você não precisa de senha</t>
    </r>
    <r>
      <rPr>
        <b/>
        <sz val="10"/>
        <color indexed="9"/>
        <rFont val="Arial"/>
      </rPr>
      <t xml:space="preserve">. </t>
    </r>
    <r>
      <rPr>
        <b/>
        <sz val="10"/>
        <color indexed="50"/>
        <rFont val="Arial"/>
        <family val="2"/>
      </rPr>
      <t>A senha</t>
    </r>
    <r>
      <rPr>
        <b/>
        <sz val="10"/>
        <color indexed="9"/>
        <rFont val="Arial"/>
      </rPr>
      <t xml:space="preserve"> </t>
    </r>
    <r>
      <rPr>
        <sz val="10"/>
        <color indexed="9"/>
        <rFont val="Arial"/>
      </rPr>
      <t>é uma segurança para não eliminar as formulas de cálculos existentes nas planilhas.</t>
    </r>
  </si>
  <si>
    <r>
      <t xml:space="preserve"> 3)-</t>
    </r>
    <r>
      <rPr>
        <b/>
        <sz val="10"/>
        <color indexed="9"/>
        <rFont val="Arial"/>
        <family val="2"/>
      </rPr>
      <t xml:space="preserve"> Os percentuais que podem ser alterados pelos usuários estão todos em letra </t>
    </r>
    <r>
      <rPr>
        <b/>
        <sz val="10"/>
        <color indexed="10"/>
        <rFont val="Arial"/>
        <family val="2"/>
      </rPr>
      <t>vermelha</t>
    </r>
    <r>
      <rPr>
        <b/>
        <sz val="10"/>
        <color indexed="9"/>
        <rFont val="Arial"/>
        <family val="2"/>
      </rPr>
      <t xml:space="preserve"> dentro das células em branco.</t>
    </r>
  </si>
  <si>
    <r>
      <t xml:space="preserve"> 4)-</t>
    </r>
    <r>
      <rPr>
        <b/>
        <sz val="10"/>
        <color indexed="9"/>
        <rFont val="Arial"/>
        <family val="2"/>
      </rPr>
      <t xml:space="preserve"> Quando sua planilha aparecer</t>
    </r>
    <r>
      <rPr>
        <b/>
        <sz val="10"/>
        <color indexed="10"/>
        <rFont val="Arial"/>
        <family val="2"/>
      </rPr>
      <t xml:space="preserve"> </t>
    </r>
    <r>
      <rPr>
        <b/>
        <sz val="10"/>
        <color indexed="9"/>
        <rFont val="Arial"/>
        <family val="2"/>
      </rPr>
      <t>este erro</t>
    </r>
    <r>
      <rPr>
        <b/>
        <sz val="10"/>
        <color indexed="10"/>
        <rFont val="Arial"/>
        <family val="2"/>
      </rPr>
      <t xml:space="preserve"> #VALOR!, </t>
    </r>
    <r>
      <rPr>
        <b/>
        <sz val="10"/>
        <color indexed="9"/>
        <rFont val="Arial"/>
        <family val="2"/>
      </rPr>
      <t xml:space="preserve">significa que você ao limpar valores de um célula qualquer, você usou a tecla de </t>
    </r>
    <r>
      <rPr>
        <b/>
        <sz val="10"/>
        <color indexed="47"/>
        <rFont val="Arial"/>
        <family val="2"/>
      </rPr>
      <t>barra de espaço</t>
    </r>
    <r>
      <rPr>
        <b/>
        <sz val="10"/>
        <color indexed="9"/>
        <rFont val="Arial"/>
        <family val="2"/>
      </rPr>
      <t>, volte no campo que você fez isso e aperte "zero".</t>
    </r>
  </si>
  <si>
    <t xml:space="preserve">BASE DE CÁLCULO - R$ </t>
  </si>
  <si>
    <t xml:space="preserve">OBS:- "ISENTO" SIGNIFICA QUE NÃO TEM ADICIONAL A RECOLHER </t>
  </si>
  <si>
    <r>
      <t xml:space="preserve">5)- </t>
    </r>
    <r>
      <rPr>
        <b/>
        <sz val="10"/>
        <color indexed="9"/>
        <rFont val="Arial"/>
        <family val="2"/>
      </rPr>
      <t>Apuração do adicional do IRPJ - somente manutenção no limite de isenção mensal e no percentual do referido adicional.</t>
    </r>
  </si>
  <si>
    <t>Colaboradores:- Sr. Elio (Depto Contábil "Nova Era Assessoria Contábil")Santo André/SP</t>
  </si>
  <si>
    <r>
      <t xml:space="preserve">Planilha protegida por senha, só dê manutenção nas células brancas. Agora a planilha conta com três meses para fechamento do trimestre. Também foi criado a apuração do adicional sobre o imposto de renda pessoa juridica. </t>
    </r>
    <r>
      <rPr>
        <b/>
        <sz val="10"/>
        <color indexed="10"/>
        <rFont val="Arial"/>
        <family val="2"/>
      </rPr>
      <t xml:space="preserve">(sua sugestão é muito importante para melhoria da planilha) - </t>
    </r>
    <r>
      <rPr>
        <b/>
        <sz val="10"/>
        <color indexed="57"/>
        <rFont val="Arial"/>
        <family val="2"/>
      </rPr>
      <t>sua sugestão será registrada na planilha ajuda do programa.</t>
    </r>
  </si>
  <si>
    <t>COFINS (Recolher Mensal)</t>
  </si>
  <si>
    <t>PIS (Recolher Mensal)</t>
  </si>
  <si>
    <t>PIS</t>
  </si>
  <si>
    <t>COFINS</t>
  </si>
  <si>
    <t xml:space="preserve">IRRF </t>
  </si>
  <si>
    <t>PIS/COFINS/CSLL</t>
  </si>
  <si>
    <t>NOTA-FISCAL</t>
  </si>
  <si>
    <t>A COMPENSAR</t>
  </si>
  <si>
    <t>A RECOLHER</t>
  </si>
  <si>
    <t>SOMA(TRIMESTRE)</t>
  </si>
  <si>
    <t>Nesta versão foi incluido campo a compensar no valor do imposto a recolher - sugestão data pelo usuário Sr. Luiz Carlos Monte.</t>
  </si>
  <si>
    <t>Versão V01.E02 - CÁLCULO DO LUCRO PRESUMIDO - MODELO I</t>
  </si>
  <si>
    <t>Versão V01.E03 - LUCRO PRESUMIDO - MODELO I - AT.01/02/2009</t>
  </si>
  <si>
    <t>Versão V01.E04 - LUCRO PRESUMIDO - MODELO I - AT.08/02/2009</t>
  </si>
  <si>
    <t>Nesta versão foi incluido campo a compensar no valor do ISS, para usuários que tem retenção de ISS na nota fiscal de prestação de serviço.</t>
  </si>
  <si>
    <t>Versão V01.E05 - LUCRO PRESUMIDO - MODELO I - AT.24/03/2009</t>
  </si>
  <si>
    <t>Versão V01.E06 - LUCRO PRESUMIDO - MODELO I - AT.01/06/2009</t>
  </si>
  <si>
    <r>
      <t xml:space="preserve">Nesta versão foi corrigido um erro de soma no fechamento do trimestre de todos os códigos. Agradecimento ao </t>
    </r>
    <r>
      <rPr>
        <b/>
        <sz val="10"/>
        <color indexed="10"/>
        <rFont val="Arial"/>
        <family val="2"/>
      </rPr>
      <t>Sr. ALEXANDRE ZIMPECK</t>
    </r>
    <r>
      <rPr>
        <b/>
        <sz val="10"/>
        <color indexed="9"/>
        <rFont val="Arial"/>
        <family val="2"/>
      </rPr>
      <t xml:space="preserve">, que nos enviou e-mail mencionando o erro no referido programa, </t>
    </r>
  </si>
  <si>
    <r>
      <t xml:space="preserve">Na versão anterior alguns percentuais estavam fixo dentro do programa, mesmo que o usuário removesse o percentual da célula, os cálculos eram executados normalmente, isso estava acontecendo com a CSLL. Agradeço o </t>
    </r>
    <r>
      <rPr>
        <b/>
        <u/>
        <sz val="10"/>
        <color indexed="10"/>
        <rFont val="Arial"/>
        <family val="2"/>
      </rPr>
      <t>Sr. Ronaldo do Amaral</t>
    </r>
    <r>
      <rPr>
        <b/>
        <sz val="10"/>
        <color indexed="9"/>
        <rFont val="Arial"/>
        <family val="2"/>
      </rPr>
      <t>, que mandou e-mail pedindo alteração no programa.</t>
    </r>
  </si>
  <si>
    <t>Versão V01.E07 - LUCRO PRESUMIDO - MODELO I - AT.24/02/2011</t>
  </si>
  <si>
    <t>angelo.tonon@ig.com.br</t>
  </si>
  <si>
    <t xml:space="preserve">(LUCRO PRESUMIDO - MODELO I - VERSÃO. V01.E07- at.24/02/2011) </t>
  </si>
  <si>
    <r>
      <t xml:space="preserve">Na versão anterior a base de cálculo do ISS na planilha do primeiro trimestre estava saindo um valor Fixo de R$ 1.000,00. Isso foi corrigido pra sair o valor real da base de cálculo que gerará o ISS. Agradeço a contadora Srtª </t>
    </r>
    <r>
      <rPr>
        <b/>
        <u/>
        <sz val="10"/>
        <color indexed="10"/>
        <rFont val="Arial"/>
        <family val="2"/>
      </rPr>
      <t>Aparecida Takita</t>
    </r>
    <r>
      <rPr>
        <b/>
        <sz val="10"/>
        <color indexed="9"/>
        <rFont val="Arial"/>
        <family val="2"/>
      </rPr>
      <t>, que mandou e-mail solicitando alteração no programa.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</si>
</sst>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0.0%"/>
    <numFmt numFmtId="167" formatCode="mm/yyyy"/>
    <numFmt numFmtId="168" formatCode="0.00000000"/>
  </numFmts>
  <fonts count="45" x14ac:knownFonts="1">
    <font>
      <sz val="10"/>
      <name val="Arial"/>
    </font>
    <font>
      <sz val="10"/>
      <name val="Arial"/>
    </font>
    <font>
      <sz val="14"/>
      <name val="Arial"/>
    </font>
    <font>
      <sz val="20"/>
      <name val="Arial"/>
    </font>
    <font>
      <sz val="14"/>
      <name val="Arial"/>
      <family val="2"/>
    </font>
    <font>
      <sz val="24"/>
      <color indexed="8"/>
      <name val="Arial"/>
      <family val="2"/>
    </font>
    <font>
      <u/>
      <sz val="10"/>
      <color indexed="12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Arial"/>
    </font>
    <font>
      <sz val="10"/>
      <name val="Arial"/>
    </font>
    <font>
      <sz val="10"/>
      <name val="Arial"/>
      <family val="2"/>
    </font>
    <font>
      <b/>
      <u/>
      <sz val="12"/>
      <name val="Arial"/>
      <family val="2"/>
    </font>
    <font>
      <b/>
      <sz val="10"/>
      <color indexed="10"/>
      <name val="Arial"/>
      <family val="2"/>
    </font>
    <font>
      <sz val="11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sz val="8"/>
      <color indexed="10"/>
      <name val="Arial"/>
      <family val="2"/>
    </font>
    <font>
      <b/>
      <sz val="10"/>
      <name val="Century"/>
      <family val="1"/>
    </font>
    <font>
      <sz val="8"/>
      <name val="Arial"/>
    </font>
    <font>
      <b/>
      <u/>
      <sz val="18"/>
      <color indexed="10"/>
      <name val="Arial"/>
      <family val="2"/>
    </font>
    <font>
      <sz val="10"/>
      <color indexed="9"/>
      <name val="Arial"/>
    </font>
    <font>
      <b/>
      <sz val="10"/>
      <color indexed="9"/>
      <name val="Arial"/>
    </font>
    <font>
      <b/>
      <u/>
      <sz val="10"/>
      <color indexed="9"/>
      <name val="Arial"/>
    </font>
    <font>
      <b/>
      <u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0"/>
      <color indexed="9"/>
      <name val="Arial"/>
      <family val="2"/>
    </font>
    <font>
      <b/>
      <sz val="10"/>
      <color indexed="13"/>
      <name val="Arial"/>
      <family val="2"/>
    </font>
    <font>
      <sz val="12"/>
      <name val="Arial"/>
    </font>
    <font>
      <b/>
      <sz val="12"/>
      <color indexed="9"/>
      <name val="Arial"/>
    </font>
    <font>
      <b/>
      <sz val="10"/>
      <color indexed="9"/>
      <name val="Arial"/>
      <family val="2"/>
    </font>
    <font>
      <b/>
      <u/>
      <sz val="12"/>
      <color indexed="53"/>
      <name val="Arial"/>
    </font>
    <font>
      <sz val="10"/>
      <color indexed="53"/>
      <name val="Arial"/>
    </font>
    <font>
      <b/>
      <sz val="10"/>
      <color indexed="50"/>
      <name val="Arial"/>
      <family val="2"/>
    </font>
    <font>
      <b/>
      <sz val="10"/>
      <color indexed="47"/>
      <name val="Arial"/>
      <family val="2"/>
    </font>
    <font>
      <b/>
      <sz val="10"/>
      <color indexed="12"/>
      <name val="Arial"/>
      <family val="2"/>
    </font>
    <font>
      <b/>
      <sz val="14"/>
      <color indexed="10"/>
      <name val="Century"/>
      <family val="1"/>
    </font>
    <font>
      <b/>
      <sz val="10"/>
      <color indexed="57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10"/>
      <color indexed="10"/>
      <name val="Arial"/>
      <family val="2"/>
    </font>
    <font>
      <sz val="12"/>
      <color indexed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0" fontId="29" fillId="0" borderId="0"/>
    <xf numFmtId="164" fontId="1" fillId="0" borderId="0" applyFont="0" applyFill="0" applyBorder="0" applyAlignment="0" applyProtection="0"/>
  </cellStyleXfs>
  <cellXfs count="331">
    <xf numFmtId="0" fontId="0" fillId="0" borderId="0" xfId="0"/>
    <xf numFmtId="0" fontId="0" fillId="0" borderId="0" xfId="0" applyBorder="1"/>
    <xf numFmtId="0" fontId="0" fillId="2" borderId="0" xfId="0" applyFill="1" applyBorder="1"/>
    <xf numFmtId="0" fontId="3" fillId="2" borderId="0" xfId="0" applyFont="1" applyFill="1" applyBorder="1"/>
    <xf numFmtId="0" fontId="7" fillId="2" borderId="1" xfId="0" applyFont="1" applyFill="1" applyBorder="1" applyAlignment="1">
      <alignment horizontal="center"/>
    </xf>
    <xf numFmtId="0" fontId="2" fillId="2" borderId="2" xfId="0" applyFont="1" applyFill="1" applyBorder="1"/>
    <xf numFmtId="165" fontId="2" fillId="2" borderId="2" xfId="2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5" fillId="2" borderId="6" xfId="0" applyFont="1" applyFill="1" applyBorder="1"/>
    <xf numFmtId="0" fontId="0" fillId="2" borderId="7" xfId="0" applyFill="1" applyBorder="1"/>
    <xf numFmtId="0" fontId="0" fillId="2" borderId="6" xfId="0" applyFill="1" applyBorder="1"/>
    <xf numFmtId="0" fontId="2" fillId="2" borderId="6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165" fontId="11" fillId="2" borderId="11" xfId="2" applyNumberFormat="1" applyFont="1" applyFill="1" applyBorder="1" applyAlignment="1">
      <alignment horizontal="left" shrinkToFit="1"/>
    </xf>
    <xf numFmtId="165" fontId="11" fillId="2" borderId="12" xfId="2" applyFont="1" applyFill="1" applyBorder="1" applyAlignment="1">
      <alignment horizontal="left" shrinkToFit="1"/>
    </xf>
    <xf numFmtId="165" fontId="11" fillId="2" borderId="13" xfId="2" applyNumberFormat="1" applyFont="1" applyFill="1" applyBorder="1" applyAlignment="1">
      <alignment horizontal="left" shrinkToFit="1"/>
    </xf>
    <xf numFmtId="165" fontId="11" fillId="2" borderId="14" xfId="2" applyNumberFormat="1" applyFont="1" applyFill="1" applyBorder="1" applyAlignment="1">
      <alignment horizontal="left" shrinkToFit="1"/>
    </xf>
    <xf numFmtId="166" fontId="11" fillId="2" borderId="15" xfId="2" applyNumberFormat="1" applyFont="1" applyFill="1" applyBorder="1" applyAlignment="1">
      <alignment horizontal="center" shrinkToFit="1"/>
    </xf>
    <xf numFmtId="166" fontId="11" fillId="2" borderId="11" xfId="2" applyNumberFormat="1" applyFont="1" applyFill="1" applyBorder="1" applyAlignment="1">
      <alignment horizontal="center" shrinkToFit="1"/>
    </xf>
    <xf numFmtId="166" fontId="11" fillId="2" borderId="16" xfId="2" applyNumberFormat="1" applyFont="1" applyFill="1" applyBorder="1" applyAlignment="1">
      <alignment horizontal="center" shrinkToFit="1"/>
    </xf>
    <xf numFmtId="165" fontId="1" fillId="2" borderId="11" xfId="0" applyNumberFormat="1" applyFont="1" applyFill="1" applyBorder="1" applyAlignment="1">
      <alignment shrinkToFit="1"/>
    </xf>
    <xf numFmtId="165" fontId="1" fillId="2" borderId="11" xfId="2" applyFont="1" applyFill="1" applyBorder="1" applyAlignment="1">
      <alignment shrinkToFit="1"/>
    </xf>
    <xf numFmtId="165" fontId="1" fillId="3" borderId="11" xfId="2" applyFont="1" applyFill="1" applyBorder="1" applyAlignment="1">
      <alignment shrinkToFit="1"/>
    </xf>
    <xf numFmtId="165" fontId="1" fillId="3" borderId="17" xfId="2" applyFont="1" applyFill="1" applyBorder="1" applyAlignment="1">
      <alignment shrinkToFit="1"/>
    </xf>
    <xf numFmtId="0" fontId="6" fillId="2" borderId="0" xfId="1" applyFont="1" applyFill="1" applyBorder="1" applyAlignment="1" applyProtection="1"/>
    <xf numFmtId="165" fontId="8" fillId="4" borderId="11" xfId="2" applyFont="1" applyFill="1" applyBorder="1" applyAlignment="1" applyProtection="1">
      <alignment shrinkToFit="1"/>
      <protection locked="0"/>
    </xf>
    <xf numFmtId="10" fontId="13" fillId="4" borderId="18" xfId="0" applyNumberFormat="1" applyFont="1" applyFill="1" applyBorder="1" applyAlignment="1" applyProtection="1">
      <alignment horizontal="center" shrinkToFit="1"/>
      <protection locked="0"/>
    </xf>
    <xf numFmtId="10" fontId="13" fillId="4" borderId="19" xfId="0" applyNumberFormat="1" applyFont="1" applyFill="1" applyBorder="1" applyAlignment="1" applyProtection="1">
      <alignment horizontal="center" shrinkToFit="1"/>
      <protection locked="0"/>
    </xf>
    <xf numFmtId="165" fontId="14" fillId="2" borderId="13" xfId="2" applyNumberFormat="1" applyFont="1" applyFill="1" applyBorder="1" applyAlignment="1">
      <alignment horizontal="left" shrinkToFit="1"/>
    </xf>
    <xf numFmtId="0" fontId="7" fillId="2" borderId="1" xfId="0" applyFont="1" applyFill="1" applyBorder="1" applyAlignment="1">
      <alignment horizontal="center" shrinkToFit="1"/>
    </xf>
    <xf numFmtId="167" fontId="0" fillId="0" borderId="0" xfId="0" applyNumberFormat="1"/>
    <xf numFmtId="167" fontId="0" fillId="4" borderId="0" xfId="0" applyNumberFormat="1" applyFill="1"/>
    <xf numFmtId="167" fontId="0" fillId="5" borderId="0" xfId="0" applyNumberFormat="1" applyFill="1"/>
    <xf numFmtId="165" fontId="1" fillId="2" borderId="11" xfId="0" applyNumberFormat="1" applyFont="1" applyFill="1" applyBorder="1" applyAlignment="1" applyProtection="1">
      <alignment shrinkToFit="1"/>
      <protection hidden="1"/>
    </xf>
    <xf numFmtId="165" fontId="1" fillId="2" borderId="11" xfId="2" applyFont="1" applyFill="1" applyBorder="1" applyAlignment="1" applyProtection="1">
      <alignment shrinkToFit="1"/>
      <protection hidden="1"/>
    </xf>
    <xf numFmtId="165" fontId="1" fillId="3" borderId="11" xfId="2" applyFont="1" applyFill="1" applyBorder="1" applyAlignment="1" applyProtection="1">
      <alignment shrinkToFit="1"/>
      <protection hidden="1"/>
    </xf>
    <xf numFmtId="165" fontId="1" fillId="3" borderId="17" xfId="2" applyFont="1" applyFill="1" applyBorder="1" applyAlignment="1" applyProtection="1">
      <alignment shrinkToFit="1"/>
      <protection hidden="1"/>
    </xf>
    <xf numFmtId="10" fontId="8" fillId="2" borderId="13" xfId="0" applyNumberFormat="1" applyFont="1" applyFill="1" applyBorder="1" applyAlignment="1">
      <alignment horizontal="center" shrinkToFit="1"/>
    </xf>
    <xf numFmtId="166" fontId="13" fillId="4" borderId="15" xfId="2" applyNumberFormat="1" applyFont="1" applyFill="1" applyBorder="1" applyAlignment="1" applyProtection="1">
      <alignment horizontal="center" shrinkToFit="1"/>
      <protection locked="0"/>
    </xf>
    <xf numFmtId="166" fontId="13" fillId="4" borderId="11" xfId="2" applyNumberFormat="1" applyFont="1" applyFill="1" applyBorder="1" applyAlignment="1" applyProtection="1">
      <alignment horizontal="center" shrinkToFit="1"/>
      <protection locked="0"/>
    </xf>
    <xf numFmtId="166" fontId="13" fillId="4" borderId="16" xfId="2" applyNumberFormat="1" applyFont="1" applyFill="1" applyBorder="1" applyAlignment="1" applyProtection="1">
      <alignment horizontal="center" shrinkToFit="1"/>
      <protection locked="0"/>
    </xf>
    <xf numFmtId="166" fontId="13" fillId="4" borderId="1" xfId="2" applyNumberFormat="1" applyFont="1" applyFill="1" applyBorder="1" applyAlignment="1" applyProtection="1">
      <alignment horizontal="center" shrinkToFit="1"/>
      <protection locked="0"/>
    </xf>
    <xf numFmtId="166" fontId="13" fillId="4" borderId="13" xfId="2" applyNumberFormat="1" applyFont="1" applyFill="1" applyBorder="1" applyAlignment="1" applyProtection="1">
      <alignment horizontal="center" shrinkToFit="1"/>
      <protection locked="0"/>
    </xf>
    <xf numFmtId="10" fontId="8" fillId="2" borderId="18" xfId="0" applyNumberFormat="1" applyFont="1" applyFill="1" applyBorder="1" applyAlignment="1" applyProtection="1">
      <alignment horizontal="center" shrinkToFit="1"/>
      <protection hidden="1"/>
    </xf>
    <xf numFmtId="10" fontId="8" fillId="2" borderId="19" xfId="0" applyNumberFormat="1" applyFont="1" applyFill="1" applyBorder="1" applyAlignment="1" applyProtection="1">
      <alignment horizontal="center" shrinkToFit="1"/>
      <protection hidden="1"/>
    </xf>
    <xf numFmtId="10" fontId="8" fillId="2" borderId="13" xfId="0" applyNumberFormat="1" applyFont="1" applyFill="1" applyBorder="1" applyAlignment="1" applyProtection="1">
      <alignment horizontal="center" shrinkToFit="1"/>
      <protection hidden="1"/>
    </xf>
    <xf numFmtId="167" fontId="8" fillId="3" borderId="0" xfId="0" applyNumberFormat="1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20" xfId="0" applyFill="1" applyBorder="1"/>
    <xf numFmtId="0" fontId="16" fillId="3" borderId="15" xfId="0" applyFont="1" applyFill="1" applyBorder="1" applyAlignment="1">
      <alignment vertical="center"/>
    </xf>
    <xf numFmtId="0" fontId="16" fillId="3" borderId="18" xfId="0" applyFont="1" applyFill="1" applyBorder="1" applyAlignment="1">
      <alignment vertical="center"/>
    </xf>
    <xf numFmtId="165" fontId="13" fillId="4" borderId="15" xfId="2" applyNumberFormat="1" applyFont="1" applyFill="1" applyBorder="1" applyAlignment="1" applyProtection="1">
      <alignment horizontal="center" shrinkToFit="1"/>
      <protection locked="0"/>
    </xf>
    <xf numFmtId="4" fontId="17" fillId="4" borderId="15" xfId="2" applyNumberFormat="1" applyFont="1" applyFill="1" applyBorder="1" applyAlignment="1" applyProtection="1">
      <alignment horizontal="center" shrinkToFit="1"/>
      <protection locked="0"/>
    </xf>
    <xf numFmtId="0" fontId="0" fillId="3" borderId="17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0" xfId="0" applyFill="1" applyBorder="1"/>
    <xf numFmtId="0" fontId="0" fillId="3" borderId="18" xfId="0" applyFill="1" applyBorder="1"/>
    <xf numFmtId="0" fontId="0" fillId="3" borderId="3" xfId="0" applyFill="1" applyBorder="1"/>
    <xf numFmtId="0" fontId="16" fillId="3" borderId="4" xfId="0" applyFont="1" applyFill="1" applyBorder="1" applyAlignment="1" applyProtection="1">
      <alignment vertical="center"/>
      <protection hidden="1"/>
    </xf>
    <xf numFmtId="0" fontId="16" fillId="3" borderId="5" xfId="0" applyFont="1" applyFill="1" applyBorder="1" applyAlignment="1" applyProtection="1">
      <alignment vertical="center"/>
      <protection hidden="1"/>
    </xf>
    <xf numFmtId="0" fontId="16" fillId="3" borderId="6" xfId="0" applyFont="1" applyFill="1" applyBorder="1" applyAlignment="1" applyProtection="1">
      <alignment vertical="center"/>
      <protection hidden="1"/>
    </xf>
    <xf numFmtId="0" fontId="16" fillId="3" borderId="7" xfId="0" applyFont="1" applyFill="1" applyBorder="1" applyAlignment="1" applyProtection="1">
      <alignment vertical="center"/>
      <protection hidden="1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3" xfId="0" applyFill="1" applyBorder="1" applyAlignment="1">
      <alignment horizontal="center"/>
    </xf>
    <xf numFmtId="0" fontId="0" fillId="3" borderId="11" xfId="0" applyFill="1" applyBorder="1"/>
    <xf numFmtId="0" fontId="0" fillId="3" borderId="2" xfId="0" applyFill="1" applyBorder="1"/>
    <xf numFmtId="4" fontId="0" fillId="3" borderId="19" xfId="0" applyNumberFormat="1" applyFill="1" applyBorder="1"/>
    <xf numFmtId="0" fontId="0" fillId="4" borderId="1" xfId="0" applyFill="1" applyBorder="1" applyProtection="1">
      <protection locked="0"/>
    </xf>
    <xf numFmtId="164" fontId="8" fillId="3" borderId="1" xfId="0" applyNumberFormat="1" applyFont="1" applyFill="1" applyBorder="1" applyAlignment="1">
      <alignment horizontal="center"/>
    </xf>
    <xf numFmtId="0" fontId="7" fillId="2" borderId="13" xfId="0" applyFont="1" applyFill="1" applyBorder="1" applyAlignment="1" applyProtection="1">
      <alignment horizontal="center"/>
      <protection hidden="1"/>
    </xf>
    <xf numFmtId="0" fontId="7" fillId="3" borderId="13" xfId="0" applyFont="1" applyFill="1" applyBorder="1" applyAlignment="1" applyProtection="1">
      <alignment horizontal="center"/>
      <protection hidden="1"/>
    </xf>
    <xf numFmtId="0" fontId="8" fillId="3" borderId="13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 shrinkToFit="1"/>
    </xf>
    <xf numFmtId="0" fontId="0" fillId="0" borderId="0" xfId="0" applyProtection="1">
      <protection hidden="1"/>
    </xf>
    <xf numFmtId="0" fontId="8" fillId="0" borderId="0" xfId="0" applyFont="1" applyBorder="1" applyAlignment="1" applyProtection="1">
      <alignment vertical="center"/>
      <protection hidden="1"/>
    </xf>
    <xf numFmtId="166" fontId="1" fillId="2" borderId="19" xfId="0" applyNumberFormat="1" applyFont="1" applyFill="1" applyBorder="1" applyAlignment="1">
      <alignment shrinkToFit="1"/>
    </xf>
    <xf numFmtId="166" fontId="13" fillId="4" borderId="13" xfId="0" applyNumberFormat="1" applyFont="1" applyFill="1" applyBorder="1" applyAlignment="1" applyProtection="1">
      <alignment shrinkToFit="1"/>
      <protection locked="0"/>
    </xf>
    <xf numFmtId="165" fontId="8" fillId="4" borderId="2" xfId="2" applyFont="1" applyFill="1" applyBorder="1" applyAlignment="1" applyProtection="1">
      <alignment shrinkToFit="1"/>
      <protection locked="0"/>
    </xf>
    <xf numFmtId="166" fontId="11" fillId="2" borderId="19" xfId="0" applyNumberFormat="1" applyFont="1" applyFill="1" applyBorder="1" applyAlignment="1" applyProtection="1">
      <alignment shrinkToFit="1"/>
      <protection hidden="1"/>
    </xf>
    <xf numFmtId="166" fontId="11" fillId="2" borderId="22" xfId="0" applyNumberFormat="1" applyFont="1" applyFill="1" applyBorder="1" applyAlignment="1" applyProtection="1">
      <alignment shrinkToFit="1"/>
      <protection hidden="1"/>
    </xf>
    <xf numFmtId="166" fontId="1" fillId="2" borderId="19" xfId="0" applyNumberFormat="1" applyFont="1" applyFill="1" applyBorder="1" applyAlignment="1" applyProtection="1">
      <alignment shrinkToFit="1"/>
      <protection hidden="1"/>
    </xf>
    <xf numFmtId="166" fontId="8" fillId="2" borderId="11" xfId="2" applyNumberFormat="1" applyFont="1" applyFill="1" applyBorder="1" applyAlignment="1" applyProtection="1">
      <alignment horizontal="center" shrinkToFit="1"/>
      <protection hidden="1"/>
    </xf>
    <xf numFmtId="166" fontId="8" fillId="2" borderId="16" xfId="2" applyNumberFormat="1" applyFont="1" applyFill="1" applyBorder="1" applyAlignment="1" applyProtection="1">
      <alignment horizontal="center" shrinkToFit="1"/>
      <protection hidden="1"/>
    </xf>
    <xf numFmtId="0" fontId="0" fillId="5" borderId="0" xfId="0" applyFill="1"/>
    <xf numFmtId="0" fontId="21" fillId="6" borderId="0" xfId="0" applyFont="1" applyFill="1"/>
    <xf numFmtId="0" fontId="21" fillId="6" borderId="0" xfId="0" applyFont="1" applyFill="1" applyBorder="1"/>
    <xf numFmtId="0" fontId="24" fillId="6" borderId="0" xfId="0" applyFont="1" applyFill="1" applyBorder="1" applyAlignment="1">
      <alignment horizontal="center" vertical="center"/>
    </xf>
    <xf numFmtId="0" fontId="21" fillId="6" borderId="0" xfId="0" applyFont="1" applyFill="1" applyBorder="1" applyAlignment="1">
      <alignment vertical="center"/>
    </xf>
    <xf numFmtId="0" fontId="30" fillId="6" borderId="0" xfId="3" applyFont="1" applyFill="1" applyAlignment="1">
      <alignment horizontal="left"/>
    </xf>
    <xf numFmtId="0" fontId="22" fillId="6" borderId="0" xfId="0" applyFont="1" applyFill="1"/>
    <xf numFmtId="0" fontId="22" fillId="6" borderId="0" xfId="3" applyFont="1" applyFill="1"/>
    <xf numFmtId="0" fontId="0" fillId="4" borderId="0" xfId="0" applyFill="1"/>
    <xf numFmtId="0" fontId="8" fillId="2" borderId="0" xfId="0" applyFont="1" applyFill="1" applyBorder="1"/>
    <xf numFmtId="0" fontId="32" fillId="6" borderId="0" xfId="3" applyFont="1" applyFill="1" applyAlignment="1">
      <alignment horizontal="left"/>
    </xf>
    <xf numFmtId="0" fontId="33" fillId="6" borderId="0" xfId="0" applyFont="1" applyFill="1" applyBorder="1" applyAlignment="1">
      <alignment vertical="center"/>
    </xf>
    <xf numFmtId="4" fontId="13" fillId="4" borderId="19" xfId="0" applyNumberFormat="1" applyFont="1" applyFill="1" applyBorder="1" applyProtection="1">
      <protection locked="0"/>
    </xf>
    <xf numFmtId="0" fontId="28" fillId="6" borderId="0" xfId="0" applyFont="1" applyFill="1"/>
    <xf numFmtId="0" fontId="7" fillId="3" borderId="1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shrinkToFit="1"/>
    </xf>
    <xf numFmtId="0" fontId="0" fillId="0" borderId="0" xfId="0" applyAlignment="1">
      <alignment horizontal="center"/>
    </xf>
    <xf numFmtId="164" fontId="0" fillId="0" borderId="0" xfId="4" applyFont="1" applyAlignment="1">
      <alignment horizontal="center"/>
    </xf>
    <xf numFmtId="164" fontId="0" fillId="0" borderId="0" xfId="0" applyNumberFormat="1"/>
    <xf numFmtId="10" fontId="0" fillId="0" borderId="0" xfId="4" applyNumberFormat="1" applyFont="1"/>
    <xf numFmtId="10" fontId="0" fillId="0" borderId="0" xfId="0" applyNumberFormat="1"/>
    <xf numFmtId="10" fontId="0" fillId="0" borderId="0" xfId="4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8" fontId="0" fillId="0" borderId="0" xfId="0" applyNumberFormat="1"/>
    <xf numFmtId="165" fontId="8" fillId="3" borderId="13" xfId="0" applyNumberFormat="1" applyFont="1" applyFill="1" applyBorder="1"/>
    <xf numFmtId="165" fontId="8" fillId="3" borderId="0" xfId="0" applyNumberFormat="1" applyFont="1" applyFill="1" applyBorder="1"/>
    <xf numFmtId="165" fontId="13" fillId="3" borderId="13" xfId="0" applyNumberFormat="1" applyFont="1" applyFill="1" applyBorder="1"/>
    <xf numFmtId="0" fontId="8" fillId="3" borderId="1" xfId="0" applyFont="1" applyFill="1" applyBorder="1"/>
    <xf numFmtId="0" fontId="8" fillId="3" borderId="1" xfId="0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vertical="center" shrinkToFit="1"/>
    </xf>
    <xf numFmtId="0" fontId="13" fillId="3" borderId="12" xfId="0" applyFont="1" applyFill="1" applyBorder="1" applyAlignment="1" applyProtection="1">
      <alignment horizontal="center" vertical="center"/>
      <protection hidden="1"/>
    </xf>
    <xf numFmtId="0" fontId="13" fillId="3" borderId="12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/>
    <xf numFmtId="0" fontId="8" fillId="3" borderId="23" xfId="0" applyFont="1" applyFill="1" applyBorder="1" applyAlignment="1">
      <alignment horizontal="center"/>
    </xf>
    <xf numFmtId="0" fontId="0" fillId="3" borderId="5" xfId="0" applyFill="1" applyBorder="1"/>
    <xf numFmtId="165" fontId="8" fillId="3" borderId="24" xfId="0" applyNumberFormat="1" applyFont="1" applyFill="1" applyBorder="1"/>
    <xf numFmtId="0" fontId="39" fillId="4" borderId="13" xfId="0" applyFont="1" applyFill="1" applyBorder="1" applyAlignment="1" applyProtection="1">
      <alignment horizontal="center"/>
      <protection locked="0"/>
    </xf>
    <xf numFmtId="165" fontId="13" fillId="4" borderId="13" xfId="0" applyNumberFormat="1" applyFont="1" applyFill="1" applyBorder="1" applyProtection="1">
      <protection locked="0"/>
    </xf>
    <xf numFmtId="164" fontId="13" fillId="4" borderId="13" xfId="4" applyFont="1" applyFill="1" applyBorder="1" applyAlignment="1" applyProtection="1">
      <alignment shrinkToFit="1"/>
      <protection locked="0"/>
    </xf>
    <xf numFmtId="165" fontId="13" fillId="2" borderId="13" xfId="2" applyFont="1" applyFill="1" applyBorder="1" applyAlignment="1" applyProtection="1">
      <alignment shrinkToFit="1"/>
      <protection hidden="1"/>
    </xf>
    <xf numFmtId="165" fontId="13" fillId="2" borderId="13" xfId="2" applyFont="1" applyFill="1" applyBorder="1" applyAlignment="1">
      <alignment shrinkToFit="1"/>
    </xf>
    <xf numFmtId="0" fontId="24" fillId="6" borderId="0" xfId="0" applyFont="1" applyFill="1" applyBorder="1" applyAlignment="1">
      <alignment horizontal="center" vertical="center" shrinkToFit="1"/>
    </xf>
    <xf numFmtId="167" fontId="8" fillId="3" borderId="13" xfId="0" applyNumberFormat="1" applyFont="1" applyFill="1" applyBorder="1" applyAlignment="1">
      <alignment horizontal="center"/>
    </xf>
    <xf numFmtId="0" fontId="36" fillId="3" borderId="11" xfId="0" applyFont="1" applyFill="1" applyBorder="1"/>
    <xf numFmtId="0" fontId="36" fillId="3" borderId="2" xfId="0" applyFont="1" applyFill="1" applyBorder="1"/>
    <xf numFmtId="4" fontId="36" fillId="3" borderId="19" xfId="0" applyNumberFormat="1" applyFont="1" applyFill="1" applyBorder="1"/>
    <xf numFmtId="0" fontId="31" fillId="6" borderId="0" xfId="0" applyFont="1" applyFill="1" applyAlignment="1">
      <alignment horizontal="left" vertical="justify" wrapText="1" shrinkToFit="1"/>
    </xf>
    <xf numFmtId="0" fontId="6" fillId="5" borderId="0" xfId="1" applyFill="1" applyAlignment="1" applyProtection="1"/>
    <xf numFmtId="0" fontId="21" fillId="7" borderId="0" xfId="0" applyFont="1" applyFill="1"/>
    <xf numFmtId="0" fontId="44" fillId="7" borderId="0" xfId="0" applyFont="1" applyFill="1"/>
    <xf numFmtId="0" fontId="24" fillId="6" borderId="0" xfId="0" applyFont="1" applyFill="1" applyBorder="1" applyAlignment="1">
      <alignment horizontal="center" vertical="center" shrinkToFit="1"/>
    </xf>
    <xf numFmtId="0" fontId="31" fillId="6" borderId="0" xfId="0" applyFont="1" applyFill="1" applyAlignment="1">
      <alignment horizontal="left" vertical="justify" wrapText="1" shrinkToFit="1"/>
    </xf>
    <xf numFmtId="0" fontId="31" fillId="6" borderId="0" xfId="0" applyFont="1" applyFill="1" applyAlignment="1">
      <alignment horizontal="justify" vertical="justify" wrapText="1" shrinkToFit="1"/>
    </xf>
    <xf numFmtId="0" fontId="7" fillId="5" borderId="11" xfId="0" applyFont="1" applyFill="1" applyBorder="1" applyAlignment="1" applyProtection="1">
      <alignment horizontal="center" vertical="center" wrapText="1"/>
      <protection hidden="1"/>
    </xf>
    <xf numFmtId="0" fontId="7" fillId="5" borderId="2" xfId="0" applyFont="1" applyFill="1" applyBorder="1" applyAlignment="1" applyProtection="1">
      <alignment horizontal="center" vertical="center" wrapText="1"/>
      <protection hidden="1"/>
    </xf>
    <xf numFmtId="0" fontId="7" fillId="5" borderId="19" xfId="0" applyFont="1" applyFill="1" applyBorder="1" applyAlignment="1" applyProtection="1">
      <alignment horizontal="center" vertical="center" wrapText="1"/>
      <protection hidden="1"/>
    </xf>
    <xf numFmtId="0" fontId="20" fillId="3" borderId="11" xfId="0" applyFont="1" applyFill="1" applyBorder="1" applyAlignment="1" applyProtection="1">
      <alignment horizontal="center" vertical="center" wrapText="1"/>
      <protection hidden="1"/>
    </xf>
    <xf numFmtId="0" fontId="20" fillId="3" borderId="2" xfId="0" applyFont="1" applyFill="1" applyBorder="1" applyAlignment="1" applyProtection="1">
      <alignment horizontal="center" vertical="center" wrapText="1"/>
      <protection hidden="1"/>
    </xf>
    <xf numFmtId="0" fontId="20" fillId="3" borderId="19" xfId="0" applyFont="1" applyFill="1" applyBorder="1" applyAlignment="1" applyProtection="1">
      <alignment horizontal="center" vertical="center" wrapText="1"/>
      <protection hidden="1"/>
    </xf>
    <xf numFmtId="0" fontId="21" fillId="6" borderId="0" xfId="0" applyFont="1" applyFill="1" applyBorder="1" applyAlignment="1" applyProtection="1">
      <alignment horizontal="justify" vertical="center" wrapText="1"/>
      <protection hidden="1"/>
    </xf>
    <xf numFmtId="0" fontId="21" fillId="6" borderId="0" xfId="0" applyFont="1" applyFill="1" applyBorder="1" applyAlignment="1">
      <alignment horizontal="justify" vertical="center" wrapText="1"/>
    </xf>
    <xf numFmtId="0" fontId="13" fillId="6" borderId="0" xfId="0" applyFont="1" applyFill="1" applyAlignment="1">
      <alignment horizontal="left" vertical="justify" wrapText="1" shrinkToFit="1"/>
    </xf>
    <xf numFmtId="0" fontId="24" fillId="6" borderId="0" xfId="0" applyFont="1" applyFill="1" applyBorder="1" applyAlignment="1">
      <alignment horizontal="center" vertical="center"/>
    </xf>
    <xf numFmtId="0" fontId="21" fillId="6" borderId="0" xfId="0" applyFont="1" applyFill="1" applyBorder="1" applyAlignment="1">
      <alignment horizontal="justify" wrapText="1"/>
    </xf>
    <xf numFmtId="0" fontId="21" fillId="6" borderId="0" xfId="0" applyFont="1" applyFill="1" applyBorder="1" applyAlignment="1" applyProtection="1">
      <alignment horizontal="left" wrapText="1"/>
      <protection hidden="1"/>
    </xf>
    <xf numFmtId="0" fontId="25" fillId="6" borderId="0" xfId="0" applyFont="1" applyFill="1" applyBorder="1" applyAlignment="1">
      <alignment horizontal="left" vertical="center"/>
    </xf>
    <xf numFmtId="0" fontId="28" fillId="6" borderId="0" xfId="0" applyFont="1" applyFill="1" applyAlignment="1">
      <alignment horizontal="left" vertical="justify" wrapText="1" shrinkToFit="1"/>
    </xf>
    <xf numFmtId="165" fontId="11" fillId="2" borderId="11" xfId="2" applyNumberFormat="1" applyFont="1" applyFill="1" applyBorder="1" applyAlignment="1" applyProtection="1">
      <alignment horizontal="center" shrinkToFit="1"/>
      <protection hidden="1"/>
    </xf>
    <xf numFmtId="165" fontId="11" fillId="2" borderId="2" xfId="2" applyNumberFormat="1" applyFont="1" applyFill="1" applyBorder="1" applyAlignment="1" applyProtection="1">
      <alignment horizontal="center" shrinkToFit="1"/>
      <protection hidden="1"/>
    </xf>
    <xf numFmtId="165" fontId="11" fillId="2" borderId="19" xfId="2" applyNumberFormat="1" applyFont="1" applyFill="1" applyBorder="1" applyAlignment="1" applyProtection="1">
      <alignment horizontal="center" shrinkToFit="1"/>
      <protection hidden="1"/>
    </xf>
    <xf numFmtId="0" fontId="7" fillId="3" borderId="11" xfId="0" applyFont="1" applyFill="1" applyBorder="1" applyAlignment="1" applyProtection="1">
      <alignment horizontal="left" shrinkToFit="1"/>
      <protection hidden="1"/>
    </xf>
    <xf numFmtId="0" fontId="7" fillId="3" borderId="2" xfId="0" applyFont="1" applyFill="1" applyBorder="1" applyAlignment="1" applyProtection="1">
      <alignment horizontal="left" shrinkToFit="1"/>
      <protection hidden="1"/>
    </xf>
    <xf numFmtId="0" fontId="7" fillId="3" borderId="19" xfId="0" applyFont="1" applyFill="1" applyBorder="1" applyAlignment="1" applyProtection="1">
      <alignment horizontal="left" shrinkToFit="1"/>
      <protection hidden="1"/>
    </xf>
    <xf numFmtId="0" fontId="7" fillId="3" borderId="11" xfId="0" applyFont="1" applyFill="1" applyBorder="1" applyAlignment="1">
      <alignment horizontal="left" shrinkToFit="1"/>
    </xf>
    <xf numFmtId="0" fontId="7" fillId="3" borderId="2" xfId="0" applyFont="1" applyFill="1" applyBorder="1" applyAlignment="1">
      <alignment horizontal="left" shrinkToFit="1"/>
    </xf>
    <xf numFmtId="0" fontId="40" fillId="3" borderId="17" xfId="0" applyFont="1" applyFill="1" applyBorder="1" applyAlignment="1" applyProtection="1">
      <alignment horizontal="left" vertical="center" shrinkToFit="1"/>
      <protection hidden="1"/>
    </xf>
    <xf numFmtId="0" fontId="40" fillId="3" borderId="21" xfId="0" applyFont="1" applyFill="1" applyBorder="1" applyAlignment="1" applyProtection="1">
      <alignment horizontal="left" vertical="center" shrinkToFit="1"/>
      <protection hidden="1"/>
    </xf>
    <xf numFmtId="0" fontId="40" fillId="3" borderId="22" xfId="0" applyFont="1" applyFill="1" applyBorder="1" applyAlignment="1" applyProtection="1">
      <alignment horizontal="left" vertical="center" shrinkToFit="1"/>
      <protection hidden="1"/>
    </xf>
    <xf numFmtId="0" fontId="40" fillId="3" borderId="16" xfId="0" applyFont="1" applyFill="1" applyBorder="1" applyAlignment="1" applyProtection="1">
      <alignment horizontal="left" vertical="center" shrinkToFit="1"/>
      <protection hidden="1"/>
    </xf>
    <xf numFmtId="0" fontId="40" fillId="3" borderId="0" xfId="0" applyFont="1" applyFill="1" applyBorder="1" applyAlignment="1" applyProtection="1">
      <alignment horizontal="left" vertical="center" shrinkToFit="1"/>
      <protection hidden="1"/>
    </xf>
    <xf numFmtId="0" fontId="40" fillId="3" borderId="20" xfId="0" applyFont="1" applyFill="1" applyBorder="1" applyAlignment="1" applyProtection="1">
      <alignment horizontal="left" vertical="center" shrinkToFit="1"/>
      <protection hidden="1"/>
    </xf>
    <xf numFmtId="0" fontId="40" fillId="3" borderId="15" xfId="0" applyFont="1" applyFill="1" applyBorder="1" applyAlignment="1" applyProtection="1">
      <alignment horizontal="left" vertical="center" shrinkToFit="1"/>
      <protection hidden="1"/>
    </xf>
    <xf numFmtId="0" fontId="40" fillId="3" borderId="18" xfId="0" applyFont="1" applyFill="1" applyBorder="1" applyAlignment="1" applyProtection="1">
      <alignment horizontal="left" vertical="center" shrinkToFit="1"/>
      <protection hidden="1"/>
    </xf>
    <xf numFmtId="0" fontId="40" fillId="3" borderId="25" xfId="0" applyFont="1" applyFill="1" applyBorder="1" applyAlignment="1" applyProtection="1">
      <alignment horizontal="left" vertical="center" shrinkToFit="1"/>
      <protection hidden="1"/>
    </xf>
    <xf numFmtId="4" fontId="0" fillId="3" borderId="13" xfId="0" applyNumberForma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8" fillId="3" borderId="26" xfId="0" applyFont="1" applyFill="1" applyBorder="1" applyAlignment="1">
      <alignment horizontal="center" shrinkToFit="1"/>
    </xf>
    <xf numFmtId="0" fontId="8" fillId="3" borderId="27" xfId="0" applyFont="1" applyFill="1" applyBorder="1" applyAlignment="1">
      <alignment horizontal="center" shrinkToFit="1"/>
    </xf>
    <xf numFmtId="165" fontId="8" fillId="3" borderId="26" xfId="0" applyNumberFormat="1" applyFont="1" applyFill="1" applyBorder="1" applyAlignment="1">
      <alignment horizontal="center"/>
    </xf>
    <xf numFmtId="0" fontId="8" fillId="3" borderId="28" xfId="0" applyFont="1" applyFill="1" applyBorder="1" applyAlignment="1">
      <alignment horizontal="center"/>
    </xf>
    <xf numFmtId="0" fontId="8" fillId="3" borderId="27" xfId="0" applyFont="1" applyFill="1" applyBorder="1" applyAlignment="1">
      <alignment horizontal="center"/>
    </xf>
    <xf numFmtId="167" fontId="8" fillId="3" borderId="13" xfId="0" applyNumberFormat="1" applyFont="1" applyFill="1" applyBorder="1" applyAlignment="1">
      <alignment horizontal="center"/>
    </xf>
    <xf numFmtId="165" fontId="13" fillId="4" borderId="13" xfId="0" applyNumberFormat="1" applyFont="1" applyFill="1" applyBorder="1" applyAlignment="1" applyProtection="1">
      <alignment horizontal="center"/>
      <protection locked="0"/>
    </xf>
    <xf numFmtId="0" fontId="13" fillId="4" borderId="13" xfId="0" applyFont="1" applyFill="1" applyBorder="1" applyAlignment="1" applyProtection="1">
      <alignment horizontal="center"/>
      <protection locked="0"/>
    </xf>
    <xf numFmtId="0" fontId="7" fillId="3" borderId="15" xfId="0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left" shrinkToFit="1"/>
    </xf>
    <xf numFmtId="0" fontId="7" fillId="3" borderId="11" xfId="0" applyFont="1" applyFill="1" applyBorder="1" applyAlignment="1">
      <alignment horizontal="center" shrinkToFit="1"/>
    </xf>
    <xf numFmtId="0" fontId="7" fillId="3" borderId="2" xfId="0" applyFont="1" applyFill="1" applyBorder="1" applyAlignment="1">
      <alignment horizontal="center" shrinkToFit="1"/>
    </xf>
    <xf numFmtId="0" fontId="7" fillId="3" borderId="19" xfId="0" applyFont="1" applyFill="1" applyBorder="1" applyAlignment="1">
      <alignment horizontal="center" shrinkToFit="1"/>
    </xf>
    <xf numFmtId="165" fontId="13" fillId="3" borderId="11" xfId="0" applyNumberFormat="1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167" fontId="8" fillId="3" borderId="11" xfId="0" applyNumberFormat="1" applyFont="1" applyFill="1" applyBorder="1" applyAlignment="1">
      <alignment horizontal="center"/>
    </xf>
    <xf numFmtId="167" fontId="8" fillId="3" borderId="19" xfId="0" applyNumberFormat="1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8" borderId="17" xfId="0" applyFill="1" applyBorder="1" applyAlignment="1">
      <alignment horizontal="center" vertical="center" wrapText="1"/>
    </xf>
    <xf numFmtId="0" fontId="0" fillId="8" borderId="21" xfId="0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 vertical="center" wrapText="1"/>
    </xf>
    <xf numFmtId="0" fontId="8" fillId="3" borderId="11" xfId="0" applyFont="1" applyFill="1" applyBorder="1" applyAlignment="1" applyProtection="1">
      <alignment horizontal="center" shrinkToFit="1"/>
      <protection hidden="1"/>
    </xf>
    <xf numFmtId="0" fontId="8" fillId="3" borderId="19" xfId="0" applyFont="1" applyFill="1" applyBorder="1" applyAlignment="1" applyProtection="1">
      <alignment horizontal="center" shrinkToFit="1"/>
      <protection hidden="1"/>
    </xf>
    <xf numFmtId="9" fontId="13" fillId="4" borderId="15" xfId="0" applyNumberFormat="1" applyFont="1" applyFill="1" applyBorder="1" applyAlignment="1" applyProtection="1">
      <alignment horizontal="center"/>
      <protection locked="0"/>
    </xf>
    <xf numFmtId="9" fontId="13" fillId="4" borderId="25" xfId="0" applyNumberFormat="1" applyFont="1" applyFill="1" applyBorder="1" applyAlignment="1" applyProtection="1">
      <alignment horizontal="center"/>
      <protection locked="0"/>
    </xf>
    <xf numFmtId="0" fontId="13" fillId="3" borderId="11" xfId="0" applyFont="1" applyFill="1" applyBorder="1" applyAlignment="1">
      <alignment horizontal="center"/>
    </xf>
    <xf numFmtId="0" fontId="8" fillId="3" borderId="29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30" xfId="0" applyFont="1" applyFill="1" applyBorder="1" applyAlignment="1">
      <alignment horizontal="center"/>
    </xf>
    <xf numFmtId="0" fontId="13" fillId="3" borderId="16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0" fillId="2" borderId="21" xfId="0" applyFill="1" applyBorder="1" applyAlignment="1">
      <alignment horizontal="center" shrinkToFit="1"/>
    </xf>
    <xf numFmtId="165" fontId="13" fillId="4" borderId="11" xfId="0" applyNumberFormat="1" applyFont="1" applyFill="1" applyBorder="1" applyAlignment="1" applyProtection="1">
      <alignment horizontal="center"/>
      <protection locked="0"/>
    </xf>
    <xf numFmtId="0" fontId="13" fillId="4" borderId="2" xfId="0" applyFont="1" applyFill="1" applyBorder="1" applyAlignment="1" applyProtection="1">
      <alignment horizontal="center"/>
      <protection locked="0"/>
    </xf>
    <xf numFmtId="0" fontId="13" fillId="4" borderId="19" xfId="0" applyFont="1" applyFill="1" applyBorder="1" applyAlignment="1" applyProtection="1">
      <alignment horizontal="center"/>
      <protection locked="0"/>
    </xf>
    <xf numFmtId="0" fontId="8" fillId="3" borderId="3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165" fontId="8" fillId="3" borderId="11" xfId="0" applyNumberFormat="1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41" fillId="2" borderId="14" xfId="0" applyFont="1" applyFill="1" applyBorder="1" applyAlignment="1">
      <alignment horizontal="center" vertical="center" textRotation="90" wrapText="1"/>
    </xf>
    <xf numFmtId="0" fontId="41" fillId="2" borderId="12" xfId="0" applyFont="1" applyFill="1" applyBorder="1" applyAlignment="1">
      <alignment horizontal="center" vertical="center" textRotation="90" wrapText="1"/>
    </xf>
    <xf numFmtId="0" fontId="41" fillId="2" borderId="1" xfId="0" applyFont="1" applyFill="1" applyBorder="1" applyAlignment="1">
      <alignment horizontal="center" vertical="center" textRotation="90" wrapText="1"/>
    </xf>
    <xf numFmtId="0" fontId="16" fillId="2" borderId="16" xfId="0" applyFont="1" applyFill="1" applyBorder="1" applyAlignment="1">
      <alignment horizontal="left" vertical="center"/>
    </xf>
    <xf numFmtId="0" fontId="16" fillId="2" borderId="20" xfId="0" applyFont="1" applyFill="1" applyBorder="1" applyAlignment="1">
      <alignment horizontal="left" vertical="center"/>
    </xf>
    <xf numFmtId="0" fontId="18" fillId="4" borderId="11" xfId="0" applyFont="1" applyFill="1" applyBorder="1" applyAlignment="1" applyProtection="1">
      <alignment horizontal="left" vertical="center" shrinkToFit="1"/>
      <protection locked="0"/>
    </xf>
    <xf numFmtId="0" fontId="18" fillId="4" borderId="2" xfId="0" applyFont="1" applyFill="1" applyBorder="1" applyAlignment="1" applyProtection="1">
      <alignment horizontal="left" vertical="center" shrinkToFit="1"/>
      <protection locked="0"/>
    </xf>
    <xf numFmtId="0" fontId="9" fillId="4" borderId="2" xfId="0" applyFont="1" applyFill="1" applyBorder="1" applyAlignment="1" applyProtection="1">
      <alignment horizontal="left" vertical="center" shrinkToFit="1"/>
      <protection locked="0"/>
    </xf>
    <xf numFmtId="0" fontId="9" fillId="4" borderId="19" xfId="0" applyFont="1" applyFill="1" applyBorder="1" applyAlignment="1" applyProtection="1">
      <alignment horizontal="left" vertical="center" shrinkToFit="1"/>
      <protection locked="0"/>
    </xf>
    <xf numFmtId="0" fontId="0" fillId="2" borderId="14" xfId="0" applyFill="1" applyBorder="1" applyAlignment="1" applyProtection="1">
      <alignment horizontal="center"/>
      <protection hidden="1"/>
    </xf>
    <xf numFmtId="0" fontId="0" fillId="2" borderId="12" xfId="0" applyFill="1" applyBorder="1" applyAlignment="1" applyProtection="1">
      <alignment horizontal="center"/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7" fillId="3" borderId="18" xfId="0" applyFont="1" applyFill="1" applyBorder="1" applyAlignment="1" applyProtection="1">
      <alignment horizontal="left" shrinkToFit="1"/>
      <protection hidden="1"/>
    </xf>
    <xf numFmtId="0" fontId="1" fillId="2" borderId="1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 shrinkToFit="1"/>
    </xf>
    <xf numFmtId="0" fontId="1" fillId="2" borderId="2" xfId="0" applyFont="1" applyFill="1" applyBorder="1" applyAlignment="1">
      <alignment horizontal="left" shrinkToFit="1"/>
    </xf>
    <xf numFmtId="0" fontId="40" fillId="3" borderId="16" xfId="0" applyFont="1" applyFill="1" applyBorder="1" applyAlignment="1">
      <alignment horizontal="left" vertical="center" shrinkToFit="1"/>
    </xf>
    <xf numFmtId="0" fontId="40" fillId="3" borderId="20" xfId="0" applyFont="1" applyFill="1" applyBorder="1" applyAlignment="1">
      <alignment horizontal="left" vertical="center" shrinkToFit="1"/>
    </xf>
    <xf numFmtId="0" fontId="40" fillId="3" borderId="15" xfId="0" applyFont="1" applyFill="1" applyBorder="1" applyAlignment="1">
      <alignment horizontal="left" vertical="center" shrinkToFit="1"/>
    </xf>
    <xf numFmtId="0" fontId="40" fillId="3" borderId="18" xfId="0" applyFont="1" applyFill="1" applyBorder="1" applyAlignment="1">
      <alignment horizontal="left" vertical="center" shrinkToFit="1"/>
    </xf>
    <xf numFmtId="0" fontId="7" fillId="3" borderId="18" xfId="0" applyFont="1" applyFill="1" applyBorder="1" applyAlignment="1">
      <alignment horizontal="left" shrinkToFit="1"/>
    </xf>
    <xf numFmtId="165" fontId="11" fillId="2" borderId="11" xfId="2" applyNumberFormat="1" applyFont="1" applyFill="1" applyBorder="1" applyAlignment="1">
      <alignment horizontal="center" shrinkToFit="1"/>
    </xf>
    <xf numFmtId="165" fontId="11" fillId="2" borderId="2" xfId="2" applyNumberFormat="1" applyFont="1" applyFill="1" applyBorder="1" applyAlignment="1">
      <alignment horizontal="center" shrinkToFit="1"/>
    </xf>
    <xf numFmtId="165" fontId="11" fillId="2" borderId="19" xfId="2" applyNumberFormat="1" applyFont="1" applyFill="1" applyBorder="1" applyAlignment="1">
      <alignment horizontal="center" shrinkToFit="1"/>
    </xf>
    <xf numFmtId="0" fontId="15" fillId="9" borderId="11" xfId="0" applyFont="1" applyFill="1" applyBorder="1" applyAlignment="1">
      <alignment horizontal="center" vertical="center" shrinkToFit="1"/>
    </xf>
    <xf numFmtId="0" fontId="15" fillId="9" borderId="19" xfId="0" applyFont="1" applyFill="1" applyBorder="1" applyAlignment="1">
      <alignment horizontal="center" vertical="center" shrinkToFit="1"/>
    </xf>
    <xf numFmtId="0" fontId="1" fillId="2" borderId="17" xfId="0" applyFont="1" applyFill="1" applyBorder="1" applyAlignment="1" applyProtection="1">
      <alignment horizontal="left" shrinkToFit="1"/>
      <protection hidden="1"/>
    </xf>
    <xf numFmtId="0" fontId="1" fillId="2" borderId="21" xfId="0" applyFont="1" applyFill="1" applyBorder="1" applyAlignment="1" applyProtection="1">
      <alignment horizontal="left" shrinkToFit="1"/>
      <protection hidden="1"/>
    </xf>
    <xf numFmtId="0" fontId="1" fillId="2" borderId="11" xfId="0" applyFont="1" applyFill="1" applyBorder="1" applyAlignment="1" applyProtection="1">
      <alignment horizontal="left" shrinkToFit="1"/>
      <protection hidden="1"/>
    </xf>
    <xf numFmtId="0" fontId="1" fillId="2" borderId="2" xfId="0" applyFont="1" applyFill="1" applyBorder="1" applyAlignment="1" applyProtection="1">
      <alignment horizontal="left" shrinkToFit="1"/>
      <protection hidden="1"/>
    </xf>
    <xf numFmtId="167" fontId="37" fillId="4" borderId="11" xfId="0" applyNumberFormat="1" applyFont="1" applyFill="1" applyBorder="1" applyAlignment="1" applyProtection="1">
      <alignment horizontal="center"/>
      <protection locked="0"/>
    </xf>
    <xf numFmtId="167" fontId="37" fillId="4" borderId="2" xfId="0" applyNumberFormat="1" applyFont="1" applyFill="1" applyBorder="1" applyAlignment="1" applyProtection="1">
      <alignment horizontal="center"/>
      <protection locked="0"/>
    </xf>
    <xf numFmtId="167" fontId="37" fillId="4" borderId="19" xfId="0" applyNumberFormat="1" applyFont="1" applyFill="1" applyBorder="1" applyAlignment="1" applyProtection="1">
      <alignment horizontal="center"/>
      <protection locked="0"/>
    </xf>
    <xf numFmtId="0" fontId="42" fillId="0" borderId="12" xfId="0" applyFont="1" applyBorder="1" applyAlignment="1">
      <alignment wrapText="1"/>
    </xf>
    <xf numFmtId="0" fontId="42" fillId="0" borderId="1" xfId="0" applyFont="1" applyBorder="1" applyAlignment="1">
      <alignment wrapText="1"/>
    </xf>
    <xf numFmtId="0" fontId="16" fillId="2" borderId="15" xfId="0" applyFont="1" applyFill="1" applyBorder="1" applyAlignment="1">
      <alignment horizontal="left"/>
    </xf>
    <xf numFmtId="0" fontId="16" fillId="2" borderId="18" xfId="0" applyFont="1" applyFill="1" applyBorder="1" applyAlignment="1">
      <alignment horizontal="left"/>
    </xf>
    <xf numFmtId="0" fontId="16" fillId="2" borderId="25" xfId="0" applyFont="1" applyFill="1" applyBorder="1" applyAlignment="1">
      <alignment horizontal="left"/>
    </xf>
    <xf numFmtId="0" fontId="12" fillId="2" borderId="17" xfId="0" applyFont="1" applyFill="1" applyBorder="1" applyAlignment="1">
      <alignment horizontal="center" shrinkToFit="1"/>
    </xf>
    <xf numFmtId="0" fontId="12" fillId="2" borderId="21" xfId="0" applyFont="1" applyFill="1" applyBorder="1" applyAlignment="1">
      <alignment horizontal="center" shrinkToFit="1"/>
    </xf>
    <xf numFmtId="0" fontId="12" fillId="2" borderId="22" xfId="0" applyFont="1" applyFill="1" applyBorder="1" applyAlignment="1">
      <alignment horizontal="center" shrinkToFit="1"/>
    </xf>
    <xf numFmtId="0" fontId="7" fillId="2" borderId="16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 applyProtection="1">
      <alignment horizontal="left" vertical="center" shrinkToFit="1"/>
      <protection hidden="1"/>
    </xf>
    <xf numFmtId="0" fontId="9" fillId="2" borderId="0" xfId="0" applyFont="1" applyFill="1" applyBorder="1" applyAlignment="1" applyProtection="1">
      <alignment horizontal="left" vertical="center" shrinkToFit="1"/>
      <protection hidden="1"/>
    </xf>
    <xf numFmtId="0" fontId="9" fillId="2" borderId="20" xfId="0" applyFont="1" applyFill="1" applyBorder="1" applyAlignment="1" applyProtection="1">
      <alignment horizontal="left" vertical="center" shrinkToFit="1"/>
      <protection hidden="1"/>
    </xf>
    <xf numFmtId="0" fontId="7" fillId="2" borderId="13" xfId="0" applyFont="1" applyFill="1" applyBorder="1" applyAlignment="1">
      <alignment horizontal="left"/>
    </xf>
    <xf numFmtId="167" fontId="37" fillId="10" borderId="13" xfId="0" applyNumberFormat="1" applyFont="1" applyFill="1" applyBorder="1" applyAlignment="1" applyProtection="1">
      <alignment horizontal="center"/>
      <protection hidden="1"/>
    </xf>
    <xf numFmtId="0" fontId="7" fillId="3" borderId="11" xfId="0" applyFont="1" applyFill="1" applyBorder="1" applyAlignment="1" applyProtection="1">
      <alignment horizontal="center" shrinkToFit="1"/>
      <protection hidden="1"/>
    </xf>
    <xf numFmtId="0" fontId="7" fillId="3" borderId="2" xfId="0" applyFont="1" applyFill="1" applyBorder="1" applyAlignment="1" applyProtection="1">
      <alignment horizontal="center" shrinkToFit="1"/>
      <protection hidden="1"/>
    </xf>
    <xf numFmtId="0" fontId="7" fillId="3" borderId="19" xfId="0" applyFont="1" applyFill="1" applyBorder="1" applyAlignment="1" applyProtection="1">
      <alignment horizontal="center" shrinkToFit="1"/>
      <protection hidden="1"/>
    </xf>
    <xf numFmtId="165" fontId="11" fillId="2" borderId="11" xfId="2" applyFont="1" applyFill="1" applyBorder="1" applyAlignment="1" applyProtection="1">
      <alignment horizontal="center" shrinkToFit="1"/>
      <protection hidden="1"/>
    </xf>
    <xf numFmtId="165" fontId="11" fillId="2" borderId="2" xfId="2" applyFont="1" applyFill="1" applyBorder="1" applyAlignment="1" applyProtection="1">
      <alignment horizontal="center" shrinkToFit="1"/>
      <protection hidden="1"/>
    </xf>
    <xf numFmtId="165" fontId="11" fillId="2" borderId="19" xfId="2" applyFont="1" applyFill="1" applyBorder="1" applyAlignment="1" applyProtection="1">
      <alignment horizontal="center" shrinkToFit="1"/>
      <protection hidden="1"/>
    </xf>
    <xf numFmtId="0" fontId="1" fillId="2" borderId="15" xfId="0" applyFont="1" applyFill="1" applyBorder="1" applyAlignment="1">
      <alignment horizontal="left"/>
    </xf>
    <xf numFmtId="0" fontId="1" fillId="2" borderId="18" xfId="0" applyFont="1" applyFill="1" applyBorder="1" applyAlignment="1">
      <alignment horizontal="left"/>
    </xf>
    <xf numFmtId="0" fontId="1" fillId="2" borderId="25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7" fillId="3" borderId="0" xfId="0" applyFont="1" applyFill="1" applyBorder="1" applyAlignment="1" applyProtection="1">
      <alignment horizontal="left" shrinkToFit="1"/>
      <protection hidden="1"/>
    </xf>
    <xf numFmtId="165" fontId="14" fillId="2" borderId="11" xfId="2" applyNumberFormat="1" applyFont="1" applyFill="1" applyBorder="1" applyAlignment="1" applyProtection="1">
      <alignment horizontal="center" shrinkToFit="1"/>
      <protection hidden="1"/>
    </xf>
    <xf numFmtId="165" fontId="14" fillId="2" borderId="2" xfId="2" applyNumberFormat="1" applyFont="1" applyFill="1" applyBorder="1" applyAlignment="1" applyProtection="1">
      <alignment horizontal="center" shrinkToFit="1"/>
      <protection hidden="1"/>
    </xf>
    <xf numFmtId="165" fontId="14" fillId="2" borderId="19" xfId="2" applyNumberFormat="1" applyFont="1" applyFill="1" applyBorder="1" applyAlignment="1" applyProtection="1">
      <alignment horizontal="center" shrinkToFit="1"/>
      <protection hidden="1"/>
    </xf>
    <xf numFmtId="0" fontId="10" fillId="2" borderId="11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10" fillId="2" borderId="19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shrinkToFit="1"/>
    </xf>
    <xf numFmtId="165" fontId="4" fillId="2" borderId="2" xfId="2" applyNumberFormat="1" applyFont="1" applyFill="1" applyBorder="1" applyAlignment="1">
      <alignment horizontal="center" shrinkToFit="1"/>
    </xf>
    <xf numFmtId="165" fontId="4" fillId="2" borderId="19" xfId="2" applyNumberFormat="1" applyFont="1" applyFill="1" applyBorder="1" applyAlignment="1">
      <alignment horizontal="center" shrinkToFit="1"/>
    </xf>
    <xf numFmtId="0" fontId="40" fillId="3" borderId="17" xfId="0" applyFont="1" applyFill="1" applyBorder="1" applyAlignment="1">
      <alignment horizontal="left" vertical="center" shrinkToFit="1"/>
    </xf>
    <xf numFmtId="0" fontId="40" fillId="3" borderId="22" xfId="0" applyFont="1" applyFill="1" applyBorder="1" applyAlignment="1">
      <alignment horizontal="left" vertical="center" shrinkToFit="1"/>
    </xf>
    <xf numFmtId="0" fontId="8" fillId="2" borderId="14" xfId="0" applyFont="1" applyFill="1" applyBorder="1" applyAlignment="1">
      <alignment horizontal="center" vertical="center" textRotation="90" wrapText="1"/>
    </xf>
    <xf numFmtId="0" fontId="8" fillId="2" borderId="12" xfId="0" applyFont="1" applyFill="1" applyBorder="1" applyAlignment="1">
      <alignment horizontal="center" vertical="center" textRotation="90" wrapText="1"/>
    </xf>
    <xf numFmtId="0" fontId="8" fillId="2" borderId="1" xfId="0" applyFont="1" applyFill="1" applyBorder="1" applyAlignment="1">
      <alignment horizontal="center" vertical="center" textRotation="90" wrapText="1"/>
    </xf>
    <xf numFmtId="0" fontId="18" fillId="3" borderId="18" xfId="0" applyFont="1" applyFill="1" applyBorder="1" applyAlignment="1" applyProtection="1">
      <alignment horizontal="left" vertical="center" shrinkToFit="1"/>
      <protection hidden="1"/>
    </xf>
    <xf numFmtId="0" fontId="9" fillId="3" borderId="18" xfId="0" applyFont="1" applyFill="1" applyBorder="1" applyAlignment="1" applyProtection="1">
      <alignment horizontal="left" vertical="center" shrinkToFit="1"/>
      <protection hidden="1"/>
    </xf>
    <xf numFmtId="0" fontId="9" fillId="3" borderId="25" xfId="0" applyFont="1" applyFill="1" applyBorder="1" applyAlignment="1" applyProtection="1">
      <alignment horizontal="left" vertical="center" shrinkToFit="1"/>
      <protection hidden="1"/>
    </xf>
    <xf numFmtId="167" fontId="37" fillId="10" borderId="11" xfId="0" applyNumberFormat="1" applyFont="1" applyFill="1" applyBorder="1" applyAlignment="1" applyProtection="1">
      <alignment horizontal="center" vertical="center"/>
      <protection hidden="1"/>
    </xf>
    <xf numFmtId="167" fontId="37" fillId="10" borderId="2" xfId="0" applyNumberFormat="1" applyFont="1" applyFill="1" applyBorder="1" applyAlignment="1" applyProtection="1">
      <alignment horizontal="center" vertical="center"/>
      <protection hidden="1"/>
    </xf>
    <xf numFmtId="167" fontId="37" fillId="10" borderId="19" xfId="0" applyNumberFormat="1" applyFont="1" applyFill="1" applyBorder="1" applyAlignment="1" applyProtection="1">
      <alignment horizontal="center" vertical="center"/>
      <protection hidden="1"/>
    </xf>
    <xf numFmtId="0" fontId="15" fillId="9" borderId="11" xfId="0" applyFont="1" applyFill="1" applyBorder="1" applyAlignment="1">
      <alignment horizontal="center" shrinkToFit="1"/>
    </xf>
    <xf numFmtId="0" fontId="15" fillId="9" borderId="19" xfId="0" applyFont="1" applyFill="1" applyBorder="1" applyAlignment="1">
      <alignment horizontal="center" shrinkToFit="1"/>
    </xf>
    <xf numFmtId="0" fontId="16" fillId="3" borderId="17" xfId="0" applyFont="1" applyFill="1" applyBorder="1" applyAlignment="1" applyProtection="1">
      <alignment horizontal="center" vertical="center"/>
      <protection hidden="1"/>
    </xf>
    <xf numFmtId="0" fontId="16" fillId="3" borderId="21" xfId="0" applyFont="1" applyFill="1" applyBorder="1" applyAlignment="1" applyProtection="1">
      <alignment horizontal="center" vertical="center"/>
      <protection hidden="1"/>
    </xf>
    <xf numFmtId="0" fontId="16" fillId="3" borderId="22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167" fontId="8" fillId="3" borderId="0" xfId="0" applyNumberFormat="1" applyFont="1" applyFill="1" applyBorder="1" applyAlignment="1">
      <alignment horizontal="center"/>
    </xf>
    <xf numFmtId="0" fontId="16" fillId="2" borderId="0" xfId="0" applyFont="1" applyFill="1" applyBorder="1" applyAlignment="1">
      <alignment horizontal="left" vertical="center"/>
    </xf>
    <xf numFmtId="0" fontId="16" fillId="2" borderId="11" xfId="0" applyFont="1" applyFill="1" applyBorder="1" applyAlignment="1">
      <alignment horizontal="left"/>
    </xf>
    <xf numFmtId="0" fontId="16" fillId="2" borderId="2" xfId="0" applyFont="1" applyFill="1" applyBorder="1" applyAlignment="1">
      <alignment horizontal="left"/>
    </xf>
    <xf numFmtId="0" fontId="16" fillId="2" borderId="19" xfId="0" applyFont="1" applyFill="1" applyBorder="1" applyAlignment="1">
      <alignment horizontal="left"/>
    </xf>
    <xf numFmtId="165" fontId="8" fillId="3" borderId="0" xfId="0" applyNumberFormat="1" applyFont="1" applyFill="1" applyBorder="1" applyAlignment="1">
      <alignment horizontal="center"/>
    </xf>
    <xf numFmtId="165" fontId="8" fillId="3" borderId="13" xfId="0" applyNumberFormat="1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</cellXfs>
  <cellStyles count="5">
    <cellStyle name="Hiperlink" xfId="1" builtinId="8"/>
    <cellStyle name="Moeda" xfId="2" builtinId="4"/>
    <cellStyle name="Normal" xfId="0" builtinId="0"/>
    <cellStyle name="Normal_ajuda" xfId="3" xr:uid="{00000000-0005-0000-0000-000004000000}"/>
    <cellStyle name="Vírgula" xfId="4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mailto:angelo.tonon@ig.com.br" TargetMode="Externa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workbookViewId="0" xr3:uid="{AEA406A1-0E4B-5B11-9CD5-51D6E497D94C}">
      <pane xSplit="12" ySplit="2" topLeftCell="M20" activePane="bottomRight" state="frozen"/>
      <selection pane="bottomLeft" activeCell="A3" sqref="A3"/>
      <selection pane="topRight" activeCell="M1" sqref="M1"/>
      <selection pane="bottomRight" activeCell="G32" sqref="G32"/>
    </sheetView>
  </sheetViews>
  <sheetFormatPr defaultRowHeight="12.75" x14ac:dyDescent="0.15"/>
  <cols>
    <col min="1" max="1" width="3.91015625" customWidth="1"/>
  </cols>
  <sheetData>
    <row r="1" spans="1:12" ht="18.75" customHeight="1" x14ac:dyDescent="0.15">
      <c r="A1" s="147" t="s">
        <v>86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9"/>
    </row>
    <row r="2" spans="1:12" x14ac:dyDescent="0.15">
      <c r="A2" s="93"/>
      <c r="B2" s="141" t="s">
        <v>85</v>
      </c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1:12" ht="22.5" x14ac:dyDescent="0.15">
      <c r="A3" s="150" t="s">
        <v>52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2"/>
    </row>
    <row r="4" spans="1:12" x14ac:dyDescent="0.15">
      <c r="A4" s="94"/>
      <c r="B4" s="153" t="s">
        <v>57</v>
      </c>
      <c r="C4" s="154"/>
      <c r="D4" s="154"/>
      <c r="E4" s="154"/>
      <c r="F4" s="154"/>
      <c r="G4" s="154"/>
      <c r="H4" s="154"/>
      <c r="I4" s="154"/>
      <c r="J4" s="154"/>
      <c r="K4" s="154"/>
      <c r="L4" s="154"/>
    </row>
    <row r="5" spans="1:12" x14ac:dyDescent="0.15">
      <c r="A5" s="94"/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</row>
    <row r="6" spans="1:12" ht="22.5" customHeight="1" x14ac:dyDescent="0.15">
      <c r="A6" s="94"/>
      <c r="B6" s="157" t="s">
        <v>56</v>
      </c>
      <c r="C6" s="157"/>
      <c r="D6" s="157"/>
      <c r="E6" s="157"/>
      <c r="F6" s="157"/>
      <c r="G6" s="157"/>
      <c r="H6" s="157"/>
      <c r="I6" s="157"/>
      <c r="J6" s="157"/>
      <c r="K6" s="157"/>
      <c r="L6" s="157"/>
    </row>
    <row r="7" spans="1:12" ht="20.25" customHeight="1" x14ac:dyDescent="0.15">
      <c r="A7" s="94"/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</row>
    <row r="8" spans="1:12" ht="26.25" customHeight="1" x14ac:dyDescent="0.15">
      <c r="A8" s="94"/>
      <c r="B8" s="158" t="s">
        <v>43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</row>
    <row r="9" spans="1:12" ht="18" x14ac:dyDescent="0.15">
      <c r="A9" s="156" t="s">
        <v>76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</row>
    <row r="10" spans="1:12" ht="18" x14ac:dyDescent="0.15">
      <c r="A10" s="96"/>
      <c r="B10" s="159" t="s">
        <v>44</v>
      </c>
      <c r="C10" s="159"/>
      <c r="D10" s="159"/>
      <c r="E10" s="159"/>
      <c r="F10" s="159"/>
      <c r="G10" s="159"/>
      <c r="H10" s="159"/>
      <c r="I10" s="159"/>
      <c r="J10" s="159"/>
      <c r="K10" s="159"/>
      <c r="L10" s="159"/>
    </row>
    <row r="11" spans="1:12" ht="18" x14ac:dyDescent="0.15">
      <c r="A11" s="96"/>
      <c r="B11" s="159" t="s">
        <v>53</v>
      </c>
      <c r="C11" s="159"/>
      <c r="D11" s="159"/>
      <c r="E11" s="159"/>
      <c r="F11" s="159"/>
      <c r="G11" s="159"/>
      <c r="H11" s="159"/>
      <c r="I11" s="159"/>
      <c r="J11" s="159"/>
      <c r="K11" s="159"/>
      <c r="L11" s="159"/>
    </row>
    <row r="12" spans="1:12" ht="40.5" customHeight="1" x14ac:dyDescent="0.15">
      <c r="A12" s="95"/>
      <c r="B12" s="160" t="s">
        <v>54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5"/>
    </row>
    <row r="13" spans="1:12" ht="28.5" customHeight="1" x14ac:dyDescent="0.15">
      <c r="A13" s="95"/>
      <c r="B13" s="155" t="s">
        <v>55</v>
      </c>
      <c r="C13" s="145"/>
      <c r="D13" s="145"/>
      <c r="E13" s="145"/>
      <c r="F13" s="145"/>
      <c r="G13" s="145"/>
      <c r="H13" s="145"/>
      <c r="I13" s="145"/>
      <c r="J13" s="145"/>
      <c r="K13" s="145"/>
      <c r="L13" s="145"/>
    </row>
    <row r="14" spans="1:12" ht="27.75" customHeight="1" x14ac:dyDescent="0.15">
      <c r="A14" s="95"/>
      <c r="B14" s="155" t="s">
        <v>58</v>
      </c>
      <c r="C14" s="145"/>
      <c r="D14" s="145"/>
      <c r="E14" s="145"/>
      <c r="F14" s="145"/>
      <c r="G14" s="145"/>
      <c r="H14" s="145"/>
      <c r="I14" s="145"/>
      <c r="J14" s="145"/>
      <c r="K14" s="145"/>
      <c r="L14" s="145"/>
    </row>
    <row r="15" spans="1:12" ht="30" customHeight="1" x14ac:dyDescent="0.15">
      <c r="A15" s="95"/>
      <c r="B15" s="155" t="s">
        <v>59</v>
      </c>
      <c r="C15" s="145"/>
      <c r="D15" s="145"/>
      <c r="E15" s="145"/>
      <c r="F15" s="145"/>
      <c r="G15" s="145"/>
      <c r="H15" s="145"/>
      <c r="I15" s="145"/>
      <c r="J15" s="145"/>
      <c r="K15" s="145"/>
      <c r="L15" s="145"/>
    </row>
    <row r="16" spans="1:12" ht="26.25" customHeight="1" x14ac:dyDescent="0.15">
      <c r="A16" s="95"/>
      <c r="B16" s="155" t="s">
        <v>62</v>
      </c>
      <c r="C16" s="155"/>
      <c r="D16" s="155"/>
      <c r="E16" s="155"/>
      <c r="F16" s="155"/>
      <c r="G16" s="155"/>
      <c r="H16" s="155"/>
      <c r="I16" s="155"/>
      <c r="J16" s="155"/>
      <c r="K16" s="155"/>
      <c r="L16" s="155"/>
    </row>
    <row r="17" spans="1:12" ht="26.25" customHeight="1" x14ac:dyDescent="0.15">
      <c r="A17" s="144" t="s">
        <v>77</v>
      </c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</row>
    <row r="18" spans="1:12" ht="26.25" customHeight="1" x14ac:dyDescent="0.15">
      <c r="A18" s="95"/>
      <c r="B18" s="145" t="s">
        <v>75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</row>
    <row r="19" spans="1:12" ht="26.25" customHeight="1" x14ac:dyDescent="0.15">
      <c r="A19" s="144" t="s">
        <v>78</v>
      </c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</row>
    <row r="20" spans="1:12" ht="26.25" customHeight="1" x14ac:dyDescent="0.15">
      <c r="A20" s="135"/>
      <c r="B20" s="145" t="s">
        <v>79</v>
      </c>
      <c r="C20" s="145"/>
      <c r="D20" s="145"/>
      <c r="E20" s="145"/>
      <c r="F20" s="145"/>
      <c r="G20" s="145"/>
      <c r="H20" s="145"/>
      <c r="I20" s="145"/>
      <c r="J20" s="145"/>
      <c r="K20" s="145"/>
      <c r="L20" s="145"/>
    </row>
    <row r="21" spans="1:12" ht="26.25" customHeight="1" x14ac:dyDescent="0.15">
      <c r="A21" s="144" t="s">
        <v>80</v>
      </c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</row>
    <row r="22" spans="1:12" ht="26.25" customHeight="1" x14ac:dyDescent="0.15">
      <c r="A22" s="135"/>
      <c r="B22" s="145" t="s">
        <v>82</v>
      </c>
      <c r="C22" s="145"/>
      <c r="D22" s="145"/>
      <c r="E22" s="145"/>
      <c r="F22" s="145"/>
      <c r="G22" s="145"/>
      <c r="H22" s="145"/>
      <c r="I22" s="145"/>
      <c r="J22" s="145"/>
      <c r="K22" s="145"/>
      <c r="L22" s="145"/>
    </row>
    <row r="23" spans="1:12" ht="26.25" customHeight="1" x14ac:dyDescent="0.15">
      <c r="A23" s="144" t="s">
        <v>81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</row>
    <row r="24" spans="1:12" ht="38.25" customHeight="1" x14ac:dyDescent="0.15">
      <c r="A24" s="135"/>
      <c r="B24" s="145" t="s">
        <v>83</v>
      </c>
      <c r="C24" s="145"/>
      <c r="D24" s="145"/>
      <c r="E24" s="145"/>
      <c r="F24" s="145"/>
      <c r="G24" s="145"/>
      <c r="H24" s="145"/>
      <c r="I24" s="145"/>
      <c r="J24" s="145"/>
      <c r="K24" s="145"/>
      <c r="L24" s="145"/>
    </row>
    <row r="25" spans="1:12" ht="38.25" customHeight="1" x14ac:dyDescent="0.15">
      <c r="A25" s="144" t="s">
        <v>84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</row>
    <row r="26" spans="1:12" ht="38.25" customHeight="1" x14ac:dyDescent="0.15">
      <c r="A26" s="135"/>
      <c r="B26" s="146" t="s">
        <v>87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</row>
    <row r="27" spans="1:12" ht="14.25" customHeight="1" x14ac:dyDescent="0.15">
      <c r="A27" s="135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</row>
    <row r="28" spans="1:12" ht="14.25" x14ac:dyDescent="0.15">
      <c r="A28" s="95"/>
      <c r="B28" s="103" t="s">
        <v>45</v>
      </c>
      <c r="C28" s="104"/>
      <c r="D28" s="104"/>
      <c r="E28" s="104"/>
      <c r="F28" s="97"/>
      <c r="G28" s="97"/>
      <c r="H28" s="97"/>
      <c r="I28" s="97"/>
      <c r="J28" s="97"/>
      <c r="K28" s="97"/>
      <c r="L28" s="97"/>
    </row>
    <row r="29" spans="1:12" ht="14.25" x14ac:dyDescent="0.15">
      <c r="A29" s="94"/>
      <c r="B29" s="98" t="s">
        <v>46</v>
      </c>
      <c r="C29" s="94"/>
      <c r="D29" s="94"/>
      <c r="E29" s="94"/>
      <c r="F29" s="94"/>
      <c r="G29" s="94"/>
      <c r="H29" s="94"/>
      <c r="I29" s="94"/>
      <c r="J29" s="94"/>
      <c r="K29" s="94"/>
      <c r="L29" s="94"/>
    </row>
    <row r="30" spans="1:12" ht="14.25" x14ac:dyDescent="0.15">
      <c r="A30" s="94"/>
      <c r="B30" s="98" t="s">
        <v>47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</row>
    <row r="31" spans="1:12" ht="14.25" x14ac:dyDescent="0.15">
      <c r="A31" s="94"/>
      <c r="B31" s="143" t="s">
        <v>85</v>
      </c>
      <c r="C31" s="142"/>
      <c r="D31" s="142"/>
      <c r="E31" s="142"/>
      <c r="F31" s="94"/>
      <c r="G31" s="94"/>
      <c r="H31" s="94"/>
      <c r="I31" s="94"/>
      <c r="J31" s="94"/>
      <c r="K31" s="94"/>
      <c r="L31" s="94"/>
    </row>
    <row r="32" spans="1:12" x14ac:dyDescent="0.1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</row>
    <row r="33" spans="1:12" x14ac:dyDescent="0.15">
      <c r="A33" s="94"/>
      <c r="B33" s="99" t="s">
        <v>48</v>
      </c>
      <c r="C33" s="94"/>
      <c r="D33" s="94"/>
      <c r="E33" s="94"/>
      <c r="F33" s="94"/>
      <c r="G33" s="94"/>
      <c r="H33" s="94"/>
      <c r="I33" s="94"/>
      <c r="J33" s="94"/>
      <c r="K33" s="94"/>
      <c r="L33" s="94"/>
    </row>
    <row r="34" spans="1:12" x14ac:dyDescent="0.15">
      <c r="A34" s="94"/>
      <c r="B34" s="99" t="s">
        <v>49</v>
      </c>
      <c r="C34" s="94"/>
      <c r="D34" s="94"/>
      <c r="E34" s="94"/>
      <c r="F34" s="94"/>
      <c r="G34" s="94"/>
      <c r="H34" s="94"/>
      <c r="I34" s="94"/>
      <c r="J34" s="94"/>
      <c r="K34" s="94"/>
      <c r="L34" s="94"/>
    </row>
    <row r="35" spans="1:12" x14ac:dyDescent="0.15">
      <c r="A35" s="94"/>
      <c r="B35" s="99" t="s">
        <v>50</v>
      </c>
      <c r="C35" s="94"/>
      <c r="D35" s="94"/>
      <c r="E35" s="94"/>
      <c r="F35" s="94"/>
      <c r="G35" s="94"/>
      <c r="H35" s="94"/>
      <c r="I35" s="94"/>
      <c r="J35" s="94"/>
      <c r="K35" s="94"/>
      <c r="L35" s="94"/>
    </row>
    <row r="36" spans="1:12" x14ac:dyDescent="0.15">
      <c r="A36" s="94"/>
      <c r="B36" s="100" t="s">
        <v>51</v>
      </c>
      <c r="C36" s="94"/>
      <c r="D36" s="94"/>
      <c r="E36" s="94"/>
      <c r="F36" s="94"/>
      <c r="G36" s="94"/>
      <c r="H36" s="94"/>
      <c r="I36" s="94"/>
      <c r="J36" s="94"/>
      <c r="K36" s="94"/>
      <c r="L36" s="94"/>
    </row>
    <row r="37" spans="1:12" x14ac:dyDescent="0.15">
      <c r="A37" s="94"/>
      <c r="B37" s="106" t="s">
        <v>63</v>
      </c>
      <c r="C37" s="106"/>
      <c r="D37" s="106"/>
      <c r="E37" s="106"/>
      <c r="F37" s="106"/>
      <c r="G37" s="106"/>
      <c r="H37" s="106"/>
      <c r="I37" s="106"/>
      <c r="J37" s="106"/>
      <c r="K37" s="94"/>
      <c r="L37" s="94"/>
    </row>
    <row r="38" spans="1:12" x14ac:dyDescent="0.15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</row>
    <row r="39" spans="1:12" x14ac:dyDescent="0.15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</row>
    <row r="40" spans="1:12" x14ac:dyDescent="0.15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</row>
    <row r="41" spans="1:12" x14ac:dyDescent="0.15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</row>
    <row r="42" spans="1:12" x14ac:dyDescent="0.15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</row>
    <row r="43" spans="1:12" x14ac:dyDescent="0.15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</row>
    <row r="44" spans="1:12" x14ac:dyDescent="0.15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</row>
    <row r="45" spans="1:12" x14ac:dyDescent="0.15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</row>
    <row r="46" spans="1:12" x14ac:dyDescent="0.15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</row>
    <row r="47" spans="1:12" x14ac:dyDescent="0.15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</row>
    <row r="48" spans="1:12" x14ac:dyDescent="0.15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</row>
    <row r="49" spans="1:12" x14ac:dyDescent="0.15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</row>
    <row r="50" spans="1:12" x14ac:dyDescent="0.15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</row>
    <row r="51" spans="1:12" x14ac:dyDescent="0.15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</row>
    <row r="52" spans="1:12" x14ac:dyDescent="0.15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</row>
    <row r="53" spans="1:12" x14ac:dyDescent="0.15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</row>
    <row r="54" spans="1:12" x14ac:dyDescent="0.15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</row>
    <row r="55" spans="1:12" x14ac:dyDescent="0.15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</row>
    <row r="56" spans="1:12" x14ac:dyDescent="0.15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</row>
    <row r="57" spans="1:12" x14ac:dyDescent="0.15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</row>
    <row r="58" spans="1:12" x14ac:dyDescent="0.15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</row>
    <row r="59" spans="1:12" x14ac:dyDescent="0.15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</row>
    <row r="60" spans="1:12" x14ac:dyDescent="0.15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</row>
    <row r="61" spans="1:12" x14ac:dyDescent="0.15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</row>
    <row r="62" spans="1:12" x14ac:dyDescent="0.15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</row>
    <row r="63" spans="1:12" x14ac:dyDescent="0.15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</row>
  </sheetData>
  <sheetProtection password="CA4F" sheet="1" objects="1" scenarios="1" formatCells="0" formatColumns="0" selectLockedCells="1"/>
  <mergeCells count="23">
    <mergeCell ref="B14:L14"/>
    <mergeCell ref="B15:L15"/>
    <mergeCell ref="A17:L17"/>
    <mergeCell ref="B18:L18"/>
    <mergeCell ref="A25:L25"/>
    <mergeCell ref="B26:L26"/>
    <mergeCell ref="A1:L1"/>
    <mergeCell ref="A3:L3"/>
    <mergeCell ref="B4:L5"/>
    <mergeCell ref="B16:L16"/>
    <mergeCell ref="A9:L9"/>
    <mergeCell ref="B6:L7"/>
    <mergeCell ref="B8:L8"/>
    <mergeCell ref="B11:L11"/>
    <mergeCell ref="B12:L12"/>
    <mergeCell ref="B10:L10"/>
    <mergeCell ref="A19:L19"/>
    <mergeCell ref="B13:L13"/>
    <mergeCell ref="A23:L23"/>
    <mergeCell ref="B24:L24"/>
    <mergeCell ref="A21:L21"/>
    <mergeCell ref="B22:L22"/>
    <mergeCell ref="B20:L20"/>
  </mergeCells>
  <phoneticPr fontId="19" type="noConversion"/>
  <hyperlinks>
    <hyperlink ref="B2" r:id="rId1" xr:uid="{00000000-0004-0000-0000-000000000000}"/>
  </hyperlinks>
  <pageMargins left="0.75" right="0.75" top="1" bottom="1" header="0.49212598499999999" footer="0.49212598499999999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8"/>
  <sheetViews>
    <sheetView workbookViewId="0" xr3:uid="{958C4451-9541-5A59-BF78-D2F731DF1C81}">
      <selection activeCell="B4" sqref="B4"/>
    </sheetView>
  </sheetViews>
  <sheetFormatPr defaultRowHeight="12.75" x14ac:dyDescent="0.15"/>
  <cols>
    <col min="1" max="1" width="13.88671875" customWidth="1"/>
    <col min="2" max="2" width="14.96875" bestFit="1" customWidth="1"/>
    <col min="3" max="3" width="10.24609375" customWidth="1"/>
    <col min="4" max="4" width="15.640625" customWidth="1"/>
    <col min="5" max="5" width="11.59375" customWidth="1"/>
    <col min="6" max="6" width="12.40625" customWidth="1"/>
    <col min="7" max="7" width="11.73046875" customWidth="1"/>
    <col min="8" max="8" width="12.67578125" customWidth="1"/>
  </cols>
  <sheetData>
    <row r="2" spans="1:8" x14ac:dyDescent="0.15">
      <c r="C2" t="s">
        <v>69</v>
      </c>
      <c r="D2" t="s">
        <v>70</v>
      </c>
      <c r="E2" s="109" t="s">
        <v>67</v>
      </c>
      <c r="F2" s="109" t="s">
        <v>68</v>
      </c>
      <c r="G2" s="109" t="s">
        <v>17</v>
      </c>
    </row>
    <row r="3" spans="1:8" x14ac:dyDescent="0.15">
      <c r="C3" s="112">
        <v>1.4999999999999999E-2</v>
      </c>
      <c r="D3" s="114">
        <v>4.65E-2</v>
      </c>
      <c r="E3" s="113">
        <v>6.4999999999999997E-3</v>
      </c>
      <c r="F3" s="113">
        <v>0.03</v>
      </c>
      <c r="G3" s="113">
        <v>0.01</v>
      </c>
    </row>
    <row r="4" spans="1:8" x14ac:dyDescent="0.15">
      <c r="A4" t="s">
        <v>71</v>
      </c>
      <c r="B4" s="110">
        <v>51325.5</v>
      </c>
      <c r="C4" s="111">
        <f>B4*C3</f>
        <v>769.88</v>
      </c>
      <c r="D4" s="115">
        <f>B4*D3</f>
        <v>2386.64</v>
      </c>
      <c r="E4" s="111">
        <f>D4-F4-G4</f>
        <v>333.61</v>
      </c>
      <c r="F4" s="111">
        <f>B4*F3</f>
        <v>1539.77</v>
      </c>
      <c r="G4" s="111">
        <f>B4*G3</f>
        <v>513.26</v>
      </c>
      <c r="H4" s="111">
        <f>SUM(E4:G4)</f>
        <v>2386.64</v>
      </c>
    </row>
    <row r="7" spans="1:8" x14ac:dyDescent="0.15">
      <c r="E7" s="116"/>
      <c r="F7" s="116"/>
      <c r="G7" s="116"/>
    </row>
    <row r="8" spans="1:8" x14ac:dyDescent="0.15">
      <c r="E8" s="111"/>
      <c r="F8" s="111"/>
      <c r="G8" s="111"/>
      <c r="H8" s="111"/>
    </row>
  </sheetData>
  <phoneticPr fontId="19" type="noConversion"/>
  <pageMargins left="0.75" right="0.75" top="1" bottom="1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4"/>
  <sheetViews>
    <sheetView tabSelected="1" zoomScaleNormal="100" zoomScaleSheetLayoutView="100" workbookViewId="0" xr3:uid="{842E5F09-E766-5B8D-85AF-A39847EA96FD}">
      <selection activeCell="S50" sqref="S50"/>
    </sheetView>
  </sheetViews>
  <sheetFormatPr defaultRowHeight="12.75" x14ac:dyDescent="0.15"/>
  <cols>
    <col min="1" max="1" width="1.6171875" customWidth="1"/>
    <col min="2" max="2" width="9.9765625" customWidth="1"/>
    <col min="3" max="3" width="4.3125" customWidth="1"/>
    <col min="4" max="4" width="13.34765625" customWidth="1"/>
    <col min="5" max="5" width="4.71875" customWidth="1"/>
    <col min="6" max="7" width="5.66015625" hidden="1" customWidth="1"/>
    <col min="8" max="8" width="5.52734375" hidden="1" customWidth="1"/>
    <col min="9" max="9" width="2.2890625" customWidth="1"/>
    <col min="10" max="10" width="5.390625" customWidth="1"/>
    <col min="11" max="11" width="7.01171875" customWidth="1"/>
    <col min="12" max="12" width="14.96875" customWidth="1"/>
    <col min="13" max="13" width="12.67578125" customWidth="1"/>
    <col min="14" max="14" width="2.2890625" customWidth="1"/>
    <col min="15" max="15" width="1.078125" customWidth="1"/>
    <col min="16" max="16" width="1.6171875" customWidth="1"/>
    <col min="18" max="18" width="6.3359375" customWidth="1"/>
    <col min="19" max="19" width="14.0234375" customWidth="1"/>
    <col min="20" max="20" width="3.50390625" customWidth="1"/>
    <col min="21" max="21" width="2.42578125" customWidth="1"/>
    <col min="22" max="22" width="5.93359375" customWidth="1"/>
    <col min="23" max="23" width="6.203125" customWidth="1"/>
    <col min="24" max="24" width="14.96875" customWidth="1"/>
    <col min="25" max="25" width="12.9453125" customWidth="1"/>
    <col min="26" max="26" width="1.6171875" customWidth="1"/>
    <col min="28" max="28" width="9.03515625" customWidth="1"/>
    <col min="29" max="29" width="9.16796875" hidden="1" customWidth="1"/>
  </cols>
  <sheetData>
    <row r="1" spans="1:29" ht="6.75" customHeight="1" x14ac:dyDescent="0.15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0"/>
      <c r="P1" s="8"/>
      <c r="Q1" s="9"/>
      <c r="R1" s="9"/>
      <c r="S1" s="9"/>
      <c r="T1" s="9"/>
      <c r="U1" s="9"/>
      <c r="V1" s="9"/>
      <c r="W1" s="9"/>
      <c r="X1" s="9"/>
      <c r="Y1" s="9"/>
      <c r="Z1" s="10"/>
    </row>
    <row r="2" spans="1:29" ht="16.5" customHeight="1" x14ac:dyDescent="0.35">
      <c r="A2" s="11" t="s">
        <v>4</v>
      </c>
      <c r="B2" s="273" t="s">
        <v>13</v>
      </c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5"/>
      <c r="N2" s="12"/>
      <c r="P2" s="11" t="s">
        <v>4</v>
      </c>
      <c r="Q2" s="273" t="s">
        <v>13</v>
      </c>
      <c r="R2" s="274"/>
      <c r="S2" s="274"/>
      <c r="T2" s="274"/>
      <c r="U2" s="274"/>
      <c r="V2" s="274"/>
      <c r="W2" s="274"/>
      <c r="X2" s="274"/>
      <c r="Y2" s="275"/>
      <c r="Z2" s="12"/>
    </row>
    <row r="3" spans="1:29" s="1" customFormat="1" ht="16.5" customHeight="1" x14ac:dyDescent="0.15">
      <c r="A3" s="13"/>
      <c r="B3" s="236" t="s">
        <v>9</v>
      </c>
      <c r="C3" s="237"/>
      <c r="D3" s="238"/>
      <c r="E3" s="239"/>
      <c r="F3" s="239"/>
      <c r="G3" s="239"/>
      <c r="H3" s="239"/>
      <c r="I3" s="239"/>
      <c r="J3" s="240"/>
      <c r="K3" s="240"/>
      <c r="L3" s="240"/>
      <c r="M3" s="241"/>
      <c r="N3" s="12"/>
      <c r="P3" s="13"/>
      <c r="Q3" s="276" t="s">
        <v>9</v>
      </c>
      <c r="R3" s="277"/>
      <c r="S3" s="278" t="str">
        <f>IF(D3=0," ",IF(D3&gt;0,D3))</f>
        <v xml:space="preserve"> </v>
      </c>
      <c r="T3" s="278"/>
      <c r="U3" s="278"/>
      <c r="V3" s="279"/>
      <c r="W3" s="279"/>
      <c r="X3" s="279"/>
      <c r="Y3" s="280"/>
      <c r="Z3" s="12"/>
    </row>
    <row r="4" spans="1:29" ht="16.5" customHeight="1" x14ac:dyDescent="0.2">
      <c r="A4" s="14"/>
      <c r="B4" s="270" t="s">
        <v>14</v>
      </c>
      <c r="C4" s="271"/>
      <c r="D4" s="272"/>
      <c r="E4" s="265">
        <v>40544</v>
      </c>
      <c r="F4" s="266"/>
      <c r="G4" s="266"/>
      <c r="H4" s="266"/>
      <c r="I4" s="266"/>
      <c r="J4" s="266"/>
      <c r="K4" s="267"/>
      <c r="L4" s="259" t="s">
        <v>21</v>
      </c>
      <c r="M4" s="260"/>
      <c r="N4" s="12"/>
      <c r="P4" s="14"/>
      <c r="Q4" s="281" t="s">
        <v>14</v>
      </c>
      <c r="R4" s="281"/>
      <c r="S4" s="281"/>
      <c r="T4" s="282">
        <f>E4+31</f>
        <v>40575</v>
      </c>
      <c r="U4" s="282"/>
      <c r="V4" s="282"/>
      <c r="W4" s="282"/>
      <c r="X4" s="259" t="s">
        <v>39</v>
      </c>
      <c r="Y4" s="260"/>
      <c r="Z4" s="12"/>
    </row>
    <row r="5" spans="1:29" ht="5.25" customHeight="1" x14ac:dyDescent="0.3">
      <c r="A5" s="1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2"/>
      <c r="P5" s="14"/>
      <c r="Q5" s="3"/>
      <c r="R5" s="3"/>
      <c r="S5" s="3"/>
      <c r="T5" s="3"/>
      <c r="U5" s="3"/>
      <c r="V5" s="3"/>
      <c r="W5" s="3"/>
      <c r="X5" s="3"/>
      <c r="Y5" s="2"/>
      <c r="Z5" s="12"/>
    </row>
    <row r="6" spans="1:29" ht="12.75" customHeight="1" x14ac:dyDescent="0.15">
      <c r="A6" s="13"/>
      <c r="B6" s="246" t="s">
        <v>16</v>
      </c>
      <c r="C6" s="247"/>
      <c r="D6" s="247"/>
      <c r="E6" s="247"/>
      <c r="F6" s="247"/>
      <c r="G6" s="247"/>
      <c r="H6" s="247"/>
      <c r="I6" s="247"/>
      <c r="J6" s="247"/>
      <c r="K6" s="248"/>
      <c r="L6" s="30">
        <v>0</v>
      </c>
      <c r="M6" s="233" t="s">
        <v>19</v>
      </c>
      <c r="N6" s="12"/>
      <c r="P6" s="13"/>
      <c r="Q6" s="246" t="s">
        <v>16</v>
      </c>
      <c r="R6" s="247"/>
      <c r="S6" s="247"/>
      <c r="T6" s="247"/>
      <c r="U6" s="247"/>
      <c r="V6" s="247"/>
      <c r="W6" s="248"/>
      <c r="X6" s="30">
        <v>0</v>
      </c>
      <c r="Y6" s="233" t="s">
        <v>19</v>
      </c>
      <c r="Z6" s="12"/>
      <c r="AC6" s="37">
        <v>39083</v>
      </c>
    </row>
    <row r="7" spans="1:29" x14ac:dyDescent="0.15">
      <c r="A7" s="13"/>
      <c r="B7" s="246" t="s">
        <v>10</v>
      </c>
      <c r="C7" s="247"/>
      <c r="D7" s="247"/>
      <c r="E7" s="247"/>
      <c r="F7" s="247"/>
      <c r="G7" s="247"/>
      <c r="H7" s="247"/>
      <c r="I7" s="247"/>
      <c r="J7" s="247"/>
      <c r="K7" s="248"/>
      <c r="L7" s="30">
        <v>0</v>
      </c>
      <c r="M7" s="268"/>
      <c r="N7" s="12"/>
      <c r="P7" s="13"/>
      <c r="Q7" s="246" t="s">
        <v>10</v>
      </c>
      <c r="R7" s="247"/>
      <c r="S7" s="247"/>
      <c r="T7" s="247"/>
      <c r="U7" s="247"/>
      <c r="V7" s="247"/>
      <c r="W7" s="248"/>
      <c r="X7" s="30">
        <v>0</v>
      </c>
      <c r="Y7" s="234"/>
      <c r="Z7" s="12"/>
      <c r="AC7" s="36">
        <v>39173</v>
      </c>
    </row>
    <row r="8" spans="1:29" x14ac:dyDescent="0.15">
      <c r="A8" s="13"/>
      <c r="B8" s="246" t="s">
        <v>0</v>
      </c>
      <c r="C8" s="247"/>
      <c r="D8" s="247"/>
      <c r="E8" s="247"/>
      <c r="F8" s="247"/>
      <c r="G8" s="247"/>
      <c r="H8" s="247"/>
      <c r="I8" s="247"/>
      <c r="J8" s="247"/>
      <c r="K8" s="248"/>
      <c r="L8" s="30">
        <v>0</v>
      </c>
      <c r="M8" s="268"/>
      <c r="N8" s="12"/>
      <c r="P8" s="13"/>
      <c r="Q8" s="246" t="s">
        <v>0</v>
      </c>
      <c r="R8" s="247"/>
      <c r="S8" s="247"/>
      <c r="T8" s="247"/>
      <c r="U8" s="247"/>
      <c r="V8" s="247"/>
      <c r="W8" s="248"/>
      <c r="X8" s="30">
        <v>0</v>
      </c>
      <c r="Y8" s="234"/>
      <c r="Z8" s="12"/>
      <c r="AC8" s="37">
        <v>39264</v>
      </c>
    </row>
    <row r="9" spans="1:29" x14ac:dyDescent="0.15">
      <c r="A9" s="13"/>
      <c r="B9" s="246" t="s">
        <v>11</v>
      </c>
      <c r="C9" s="247"/>
      <c r="D9" s="247"/>
      <c r="E9" s="247"/>
      <c r="F9" s="247"/>
      <c r="G9" s="247"/>
      <c r="H9" s="247"/>
      <c r="I9" s="247"/>
      <c r="J9" s="247"/>
      <c r="K9" s="248"/>
      <c r="L9" s="30">
        <v>0</v>
      </c>
      <c r="M9" s="268"/>
      <c r="N9" s="12"/>
      <c r="P9" s="13"/>
      <c r="Q9" s="246" t="s">
        <v>11</v>
      </c>
      <c r="R9" s="247"/>
      <c r="S9" s="247"/>
      <c r="T9" s="247"/>
      <c r="U9" s="247"/>
      <c r="V9" s="247"/>
      <c r="W9" s="248"/>
      <c r="X9" s="30">
        <v>0</v>
      </c>
      <c r="Y9" s="234"/>
      <c r="Z9" s="12"/>
      <c r="AC9" s="36">
        <v>39356</v>
      </c>
    </row>
    <row r="10" spans="1:29" x14ac:dyDescent="0.15">
      <c r="A10" s="13"/>
      <c r="B10" s="246" t="s">
        <v>12</v>
      </c>
      <c r="C10" s="247"/>
      <c r="D10" s="247"/>
      <c r="E10" s="247"/>
      <c r="F10" s="247"/>
      <c r="G10" s="247"/>
      <c r="H10" s="247"/>
      <c r="I10" s="247"/>
      <c r="J10" s="247"/>
      <c r="K10" s="248"/>
      <c r="L10" s="30">
        <v>0</v>
      </c>
      <c r="M10" s="268"/>
      <c r="N10" s="12"/>
      <c r="P10" s="13"/>
      <c r="Q10" s="292" t="s">
        <v>12</v>
      </c>
      <c r="R10" s="293"/>
      <c r="S10" s="293"/>
      <c r="T10" s="293"/>
      <c r="U10" s="293"/>
      <c r="V10" s="293"/>
      <c r="W10" s="294"/>
      <c r="X10" s="30">
        <v>0</v>
      </c>
      <c r="Y10" s="234"/>
      <c r="Z10" s="12"/>
      <c r="AC10" s="37">
        <v>39448</v>
      </c>
    </row>
    <row r="11" spans="1:29" ht="14.25" customHeight="1" x14ac:dyDescent="0.15">
      <c r="A11" s="13"/>
      <c r="B11" s="249" t="s">
        <v>42</v>
      </c>
      <c r="C11" s="250"/>
      <c r="D11" s="250"/>
      <c r="E11" s="250"/>
      <c r="F11" s="250"/>
      <c r="G11" s="250"/>
      <c r="H11" s="250"/>
      <c r="I11" s="250"/>
      <c r="J11" s="250"/>
      <c r="K11" s="86">
        <v>0.16</v>
      </c>
      <c r="L11" s="87">
        <v>0</v>
      </c>
      <c r="M11" s="268"/>
      <c r="N11" s="12"/>
      <c r="P11" s="13"/>
      <c r="Q11" s="261" t="s">
        <v>41</v>
      </c>
      <c r="R11" s="262"/>
      <c r="S11" s="262"/>
      <c r="T11" s="262"/>
      <c r="U11" s="262"/>
      <c r="V11" s="262"/>
      <c r="W11" s="89">
        <f>K11</f>
        <v>0.16</v>
      </c>
      <c r="X11" s="87">
        <v>0</v>
      </c>
      <c r="Y11" s="234"/>
      <c r="Z11" s="12"/>
      <c r="AC11" s="36">
        <v>39539</v>
      </c>
    </row>
    <row r="12" spans="1:29" ht="14.25" customHeight="1" x14ac:dyDescent="0.15">
      <c r="A12" s="13"/>
      <c r="B12" s="249" t="s">
        <v>41</v>
      </c>
      <c r="C12" s="250"/>
      <c r="D12" s="250"/>
      <c r="E12" s="250"/>
      <c r="F12" s="250"/>
      <c r="G12" s="250"/>
      <c r="H12" s="250"/>
      <c r="I12" s="250"/>
      <c r="J12" s="250"/>
      <c r="K12" s="86">
        <v>0.32</v>
      </c>
      <c r="L12" s="87">
        <v>0</v>
      </c>
      <c r="M12" s="268"/>
      <c r="N12" s="12"/>
      <c r="P12" s="13"/>
      <c r="Q12" s="263" t="s">
        <v>41</v>
      </c>
      <c r="R12" s="264"/>
      <c r="S12" s="264"/>
      <c r="T12" s="264"/>
      <c r="U12" s="264"/>
      <c r="V12" s="264"/>
      <c r="W12" s="88">
        <f>K12</f>
        <v>0.32</v>
      </c>
      <c r="X12" s="87">
        <v>0</v>
      </c>
      <c r="Y12" s="234"/>
      <c r="Z12" s="12"/>
      <c r="AC12" s="37">
        <v>39630</v>
      </c>
    </row>
    <row r="13" spans="1:29" x14ac:dyDescent="0.15">
      <c r="A13" s="13"/>
      <c r="B13" s="246" t="s">
        <v>5</v>
      </c>
      <c r="C13" s="247"/>
      <c r="D13" s="247"/>
      <c r="E13" s="247"/>
      <c r="F13" s="247"/>
      <c r="G13" s="247"/>
      <c r="H13" s="247"/>
      <c r="I13" s="247"/>
      <c r="J13" s="247"/>
      <c r="K13" s="248"/>
      <c r="L13" s="30">
        <v>0</v>
      </c>
      <c r="M13" s="268"/>
      <c r="N13" s="12"/>
      <c r="P13" s="13"/>
      <c r="Q13" s="289" t="s">
        <v>5</v>
      </c>
      <c r="R13" s="290"/>
      <c r="S13" s="290"/>
      <c r="T13" s="290"/>
      <c r="U13" s="290"/>
      <c r="V13" s="290"/>
      <c r="W13" s="291"/>
      <c r="X13" s="30">
        <v>0</v>
      </c>
      <c r="Y13" s="234"/>
      <c r="Z13" s="12"/>
      <c r="AC13" s="36">
        <v>39722</v>
      </c>
    </row>
    <row r="14" spans="1:29" x14ac:dyDescent="0.15">
      <c r="A14" s="13"/>
      <c r="B14" s="299" t="s">
        <v>6</v>
      </c>
      <c r="C14" s="300"/>
      <c r="D14" s="300"/>
      <c r="E14" s="300"/>
      <c r="F14" s="300"/>
      <c r="G14" s="300"/>
      <c r="H14" s="300"/>
      <c r="I14" s="300"/>
      <c r="J14" s="300"/>
      <c r="K14" s="301"/>
      <c r="L14" s="30">
        <v>0</v>
      </c>
      <c r="M14" s="269"/>
      <c r="N14" s="12"/>
      <c r="P14" s="13"/>
      <c r="Q14" s="246" t="s">
        <v>6</v>
      </c>
      <c r="R14" s="247"/>
      <c r="S14" s="247"/>
      <c r="T14" s="247"/>
      <c r="U14" s="247"/>
      <c r="V14" s="247"/>
      <c r="W14" s="248"/>
      <c r="X14" s="30">
        <v>0</v>
      </c>
      <c r="Y14" s="235"/>
      <c r="Z14" s="12"/>
      <c r="AC14" s="37">
        <v>39814</v>
      </c>
    </row>
    <row r="15" spans="1:29" ht="7.5" customHeight="1" x14ac:dyDescent="0.2">
      <c r="A15" s="13"/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  <c r="M15" s="7"/>
      <c r="N15" s="12"/>
      <c r="P15" s="13"/>
      <c r="Q15" s="5"/>
      <c r="R15" s="5"/>
      <c r="S15" s="5"/>
      <c r="T15" s="5"/>
      <c r="U15" s="5"/>
      <c r="V15" s="5"/>
      <c r="W15" s="5"/>
      <c r="X15" s="6"/>
      <c r="Y15" s="7"/>
      <c r="Z15" s="12"/>
      <c r="AC15" s="36">
        <v>39904</v>
      </c>
    </row>
    <row r="16" spans="1:29" ht="14.25" x14ac:dyDescent="0.15">
      <c r="A16" s="13"/>
      <c r="B16" s="188" t="s">
        <v>7</v>
      </c>
      <c r="C16" s="189"/>
      <c r="D16" s="188" t="s">
        <v>3</v>
      </c>
      <c r="E16" s="190"/>
      <c r="F16" s="190"/>
      <c r="G16" s="190"/>
      <c r="H16" s="190"/>
      <c r="I16" s="190"/>
      <c r="J16" s="189"/>
      <c r="K16" s="107" t="s">
        <v>8</v>
      </c>
      <c r="L16" s="108" t="s">
        <v>20</v>
      </c>
      <c r="M16" s="4" t="s">
        <v>18</v>
      </c>
      <c r="N16" s="12"/>
      <c r="P16" s="13"/>
      <c r="Q16" s="188" t="s">
        <v>7</v>
      </c>
      <c r="R16" s="189"/>
      <c r="S16" s="222" t="s">
        <v>3</v>
      </c>
      <c r="T16" s="223"/>
      <c r="U16" s="223"/>
      <c r="V16" s="224"/>
      <c r="W16" s="107" t="s">
        <v>8</v>
      </c>
      <c r="X16" s="108" t="s">
        <v>20</v>
      </c>
      <c r="Y16" s="34" t="s">
        <v>18</v>
      </c>
      <c r="Z16" s="12"/>
      <c r="AC16" s="37">
        <v>39995</v>
      </c>
    </row>
    <row r="17" spans="1:29" ht="14.45" customHeight="1" x14ac:dyDescent="0.15">
      <c r="A17" s="13"/>
      <c r="B17" s="167" t="s">
        <v>66</v>
      </c>
      <c r="C17" s="168"/>
      <c r="D17" s="191"/>
      <c r="E17" s="256">
        <f>(L6+L8+L9+L10+L11+L12+L13+L14)-(L7)</f>
        <v>0</v>
      </c>
      <c r="F17" s="257"/>
      <c r="G17" s="257"/>
      <c r="H17" s="257"/>
      <c r="I17" s="257"/>
      <c r="J17" s="258"/>
      <c r="K17" s="31">
        <v>6.4999999999999997E-3</v>
      </c>
      <c r="L17" s="25">
        <f>E17*K17</f>
        <v>0</v>
      </c>
      <c r="M17" s="130">
        <v>8109</v>
      </c>
      <c r="N17" s="12"/>
      <c r="P17" s="13"/>
      <c r="Q17" s="164" t="s">
        <v>66</v>
      </c>
      <c r="R17" s="165"/>
      <c r="S17" s="166"/>
      <c r="T17" s="161">
        <f>(X6+X8+X9+X10+X11+X12+X13+X14)-(X7)</f>
        <v>0</v>
      </c>
      <c r="U17" s="162"/>
      <c r="V17" s="163"/>
      <c r="W17" s="48">
        <f t="shared" ref="W17:W22" si="0">K17</f>
        <v>6.4999999999999997E-3</v>
      </c>
      <c r="X17" s="38">
        <f t="shared" ref="X17:X22" si="1">T17*W17</f>
        <v>0</v>
      </c>
      <c r="Y17" s="79">
        <f>M17</f>
        <v>8109</v>
      </c>
      <c r="Z17" s="12"/>
      <c r="AC17" s="36">
        <v>40087</v>
      </c>
    </row>
    <row r="18" spans="1:29" ht="14.45" customHeight="1" x14ac:dyDescent="0.15">
      <c r="A18" s="13"/>
      <c r="B18" s="192" t="s">
        <v>65</v>
      </c>
      <c r="C18" s="193"/>
      <c r="D18" s="194"/>
      <c r="E18" s="256">
        <f>(L6+L8+L9+L10+L11+L12+L13+L14)-(L7)</f>
        <v>0</v>
      </c>
      <c r="F18" s="257"/>
      <c r="G18" s="257"/>
      <c r="H18" s="257"/>
      <c r="I18" s="257"/>
      <c r="J18" s="258"/>
      <c r="K18" s="31">
        <v>0.03</v>
      </c>
      <c r="L18" s="25">
        <f>E18*K18</f>
        <v>0</v>
      </c>
      <c r="M18" s="130">
        <v>2172</v>
      </c>
      <c r="N18" s="12"/>
      <c r="P18" s="13"/>
      <c r="Q18" s="283" t="s">
        <v>65</v>
      </c>
      <c r="R18" s="284"/>
      <c r="S18" s="285"/>
      <c r="T18" s="161">
        <f>(X6+X8+X9+X10+X11+X12+X13+X14)-(X7)</f>
        <v>0</v>
      </c>
      <c r="U18" s="162"/>
      <c r="V18" s="163"/>
      <c r="W18" s="48">
        <f t="shared" si="0"/>
        <v>0.03</v>
      </c>
      <c r="X18" s="38">
        <f t="shared" si="1"/>
        <v>0</v>
      </c>
      <c r="Y18" s="79">
        <f>M18</f>
        <v>2172</v>
      </c>
      <c r="Z18" s="12"/>
      <c r="AC18" s="37">
        <v>40179</v>
      </c>
    </row>
    <row r="19" spans="1:29" ht="14.45" customHeight="1" x14ac:dyDescent="0.15">
      <c r="A19" s="13"/>
      <c r="B19" s="251" t="s">
        <v>1</v>
      </c>
      <c r="C19" s="252"/>
      <c r="D19" s="19">
        <f>L6-L7</f>
        <v>0</v>
      </c>
      <c r="E19" s="43">
        <v>0.08</v>
      </c>
      <c r="F19" s="57">
        <f>(D19*E19)</f>
        <v>0</v>
      </c>
      <c r="G19" s="57">
        <f>(T19*E19)</f>
        <v>0</v>
      </c>
      <c r="H19" s="57">
        <f>SUM(E49*E19)</f>
        <v>0</v>
      </c>
      <c r="I19" s="22" t="s">
        <v>15</v>
      </c>
      <c r="J19" s="46">
        <v>0.15</v>
      </c>
      <c r="K19" s="42">
        <f>E19*J19</f>
        <v>1.2E-2</v>
      </c>
      <c r="L19" s="26">
        <f>D19*K19</f>
        <v>0</v>
      </c>
      <c r="M19" s="202"/>
      <c r="N19" s="12"/>
      <c r="P19" s="13"/>
      <c r="Q19" s="169" t="s">
        <v>1</v>
      </c>
      <c r="R19" s="170"/>
      <c r="S19" s="171"/>
      <c r="T19" s="286">
        <f>$X$6-$X$7</f>
        <v>0</v>
      </c>
      <c r="U19" s="287"/>
      <c r="V19" s="288"/>
      <c r="W19" s="49">
        <f t="shared" si="0"/>
        <v>1.2E-2</v>
      </c>
      <c r="X19" s="39">
        <f t="shared" si="1"/>
        <v>0</v>
      </c>
      <c r="Y19" s="242"/>
      <c r="Z19" s="12"/>
      <c r="AC19" s="35">
        <v>40269</v>
      </c>
    </row>
    <row r="20" spans="1:29" ht="14.45" customHeight="1" x14ac:dyDescent="0.15">
      <c r="A20" s="13"/>
      <c r="B20" s="251"/>
      <c r="C20" s="252"/>
      <c r="D20" s="20">
        <f>L11</f>
        <v>0</v>
      </c>
      <c r="E20" s="91">
        <f>K11</f>
        <v>0.16</v>
      </c>
      <c r="F20" s="57">
        <f>(D20*E20)</f>
        <v>0</v>
      </c>
      <c r="G20" s="57">
        <f>(T20*E20)</f>
        <v>0</v>
      </c>
      <c r="H20" s="57">
        <f>(E50*E20)</f>
        <v>0</v>
      </c>
      <c r="I20" s="23" t="s">
        <v>15</v>
      </c>
      <c r="J20" s="47">
        <v>0.15</v>
      </c>
      <c r="K20" s="42">
        <f>E20*J20</f>
        <v>2.4E-2</v>
      </c>
      <c r="L20" s="26">
        <f>D20*K20</f>
        <v>0</v>
      </c>
      <c r="M20" s="203"/>
      <c r="N20" s="12"/>
      <c r="P20" s="13"/>
      <c r="Q20" s="172"/>
      <c r="R20" s="173"/>
      <c r="S20" s="174"/>
      <c r="T20" s="161">
        <f>$X$11</f>
        <v>0</v>
      </c>
      <c r="U20" s="162"/>
      <c r="V20" s="163"/>
      <c r="W20" s="50">
        <f t="shared" si="0"/>
        <v>2.4E-2</v>
      </c>
      <c r="X20" s="39">
        <f t="shared" si="1"/>
        <v>0</v>
      </c>
      <c r="Y20" s="243"/>
      <c r="Z20" s="12"/>
      <c r="AC20" s="37">
        <v>40360</v>
      </c>
    </row>
    <row r="21" spans="1:29" ht="14.45" customHeight="1" x14ac:dyDescent="0.15">
      <c r="A21" s="13"/>
      <c r="B21" s="251"/>
      <c r="C21" s="252"/>
      <c r="D21" s="21">
        <f>L12</f>
        <v>0</v>
      </c>
      <c r="E21" s="92">
        <f>K12</f>
        <v>0.32</v>
      </c>
      <c r="F21" s="57">
        <f>(D21*E21)</f>
        <v>0</v>
      </c>
      <c r="G21" s="57">
        <f>(T21*E21)</f>
        <v>0</v>
      </c>
      <c r="H21" s="57">
        <f>(E51*E21)</f>
        <v>0</v>
      </c>
      <c r="I21" s="24" t="s">
        <v>15</v>
      </c>
      <c r="J21" s="45">
        <v>0.15</v>
      </c>
      <c r="K21" s="42">
        <f>E21*J21</f>
        <v>4.8000000000000001E-2</v>
      </c>
      <c r="L21" s="26">
        <f>D21*K21</f>
        <v>0</v>
      </c>
      <c r="M21" s="203"/>
      <c r="N21" s="12"/>
      <c r="P21" s="13"/>
      <c r="Q21" s="172"/>
      <c r="R21" s="173"/>
      <c r="S21" s="174"/>
      <c r="T21" s="161">
        <f>$X$12</f>
        <v>0</v>
      </c>
      <c r="U21" s="162"/>
      <c r="V21" s="163"/>
      <c r="W21" s="50">
        <f t="shared" si="0"/>
        <v>4.8000000000000001E-2</v>
      </c>
      <c r="X21" s="39">
        <f t="shared" si="1"/>
        <v>0</v>
      </c>
      <c r="Y21" s="243"/>
      <c r="Z21" s="12"/>
      <c r="AC21" s="35">
        <v>40452</v>
      </c>
    </row>
    <row r="22" spans="1:29" ht="14.45" customHeight="1" x14ac:dyDescent="0.2">
      <c r="A22" s="13"/>
      <c r="B22" s="253"/>
      <c r="C22" s="254"/>
      <c r="D22" s="18">
        <f>L8+L9+L10+L13+L14</f>
        <v>0</v>
      </c>
      <c r="E22" s="303"/>
      <c r="F22" s="303"/>
      <c r="G22" s="303"/>
      <c r="H22" s="303"/>
      <c r="I22" s="303"/>
      <c r="J22" s="304"/>
      <c r="K22" s="31">
        <v>0.15</v>
      </c>
      <c r="L22" s="26">
        <f>D22*K22</f>
        <v>0</v>
      </c>
      <c r="M22" s="204"/>
      <c r="N22" s="12"/>
      <c r="P22" s="13"/>
      <c r="Q22" s="175"/>
      <c r="R22" s="176"/>
      <c r="S22" s="177"/>
      <c r="T22" s="161">
        <f>$X$8+$X$9+$X$10+$X$13+$X$14</f>
        <v>0</v>
      </c>
      <c r="U22" s="162"/>
      <c r="V22" s="163"/>
      <c r="W22" s="48">
        <f t="shared" si="0"/>
        <v>0.15</v>
      </c>
      <c r="X22" s="39">
        <f t="shared" si="1"/>
        <v>0</v>
      </c>
      <c r="Y22" s="244"/>
      <c r="Z22" s="12"/>
      <c r="AC22" s="37">
        <v>40544</v>
      </c>
    </row>
    <row r="23" spans="1:29" ht="14.45" customHeight="1" x14ac:dyDescent="0.15">
      <c r="A23" s="13"/>
      <c r="B23" s="167" t="s">
        <v>32</v>
      </c>
      <c r="C23" s="168"/>
      <c r="D23" s="255"/>
      <c r="E23" s="255"/>
      <c r="F23" s="255"/>
      <c r="G23" s="255"/>
      <c r="H23" s="255"/>
      <c r="I23" s="255"/>
      <c r="J23" s="255"/>
      <c r="K23" s="191"/>
      <c r="L23" s="27">
        <f>L19+L20+L21+L22</f>
        <v>0</v>
      </c>
      <c r="M23" s="130">
        <v>2089</v>
      </c>
      <c r="N23" s="12"/>
      <c r="P23" s="13"/>
      <c r="Q23" s="164" t="s">
        <v>32</v>
      </c>
      <c r="R23" s="165"/>
      <c r="S23" s="245"/>
      <c r="T23" s="245"/>
      <c r="U23" s="245"/>
      <c r="V23" s="245"/>
      <c r="W23" s="166"/>
      <c r="X23" s="40">
        <f>X19+X20+X21+X22</f>
        <v>0</v>
      </c>
      <c r="Y23" s="80">
        <f>M23</f>
        <v>2089</v>
      </c>
      <c r="Z23" s="12"/>
      <c r="AC23" s="35">
        <v>40634</v>
      </c>
    </row>
    <row r="24" spans="1:29" ht="14.45" customHeight="1" x14ac:dyDescent="0.15">
      <c r="A24" s="13"/>
      <c r="B24" s="305" t="s">
        <v>17</v>
      </c>
      <c r="C24" s="306"/>
      <c r="D24" s="33">
        <f>(L6)-(L7)</f>
        <v>0</v>
      </c>
      <c r="E24" s="44">
        <v>0.12</v>
      </c>
      <c r="F24" s="43"/>
      <c r="G24" s="43"/>
      <c r="H24" s="56"/>
      <c r="I24" s="23" t="s">
        <v>15</v>
      </c>
      <c r="J24" s="47">
        <v>0.15</v>
      </c>
      <c r="K24" s="42">
        <f>E24*J24</f>
        <v>1.7999999999999999E-2</v>
      </c>
      <c r="L24" s="26">
        <f>D24*K24</f>
        <v>0</v>
      </c>
      <c r="M24" s="202"/>
      <c r="N24" s="12"/>
      <c r="P24" s="13"/>
      <c r="Q24" s="169" t="s">
        <v>17</v>
      </c>
      <c r="R24" s="170"/>
      <c r="S24" s="171"/>
      <c r="T24" s="296">
        <f>($X$6)-($X$7)</f>
        <v>0</v>
      </c>
      <c r="U24" s="297"/>
      <c r="V24" s="298"/>
      <c r="W24" s="50">
        <f>K24</f>
        <v>1.7999999999999999E-2</v>
      </c>
      <c r="X24" s="39">
        <f>T24*W24</f>
        <v>0</v>
      </c>
      <c r="Y24" s="242"/>
      <c r="Z24" s="12"/>
      <c r="AC24" s="37">
        <v>40725</v>
      </c>
    </row>
    <row r="25" spans="1:29" ht="14.45" customHeight="1" x14ac:dyDescent="0.15">
      <c r="A25" s="13"/>
      <c r="B25" s="251"/>
      <c r="C25" s="252"/>
      <c r="D25" s="21">
        <f>L11+L12</f>
        <v>0</v>
      </c>
      <c r="E25" s="45">
        <v>0.32</v>
      </c>
      <c r="F25" s="45"/>
      <c r="G25" s="45"/>
      <c r="H25" s="56"/>
      <c r="I25" s="24" t="s">
        <v>15</v>
      </c>
      <c r="J25" s="45">
        <v>0.15</v>
      </c>
      <c r="K25" s="42">
        <f>E25*J25</f>
        <v>4.8000000000000001E-2</v>
      </c>
      <c r="L25" s="26">
        <f>D25*K25</f>
        <v>0</v>
      </c>
      <c r="M25" s="203"/>
      <c r="N25" s="12"/>
      <c r="P25" s="13"/>
      <c r="Q25" s="172"/>
      <c r="R25" s="173"/>
      <c r="S25" s="174"/>
      <c r="T25" s="161">
        <f>$X$11+$X$12</f>
        <v>0</v>
      </c>
      <c r="U25" s="162"/>
      <c r="V25" s="163"/>
      <c r="W25" s="50">
        <f>K25</f>
        <v>4.8000000000000001E-2</v>
      </c>
      <c r="X25" s="39">
        <f>T25*W25</f>
        <v>0</v>
      </c>
      <c r="Y25" s="243"/>
      <c r="Z25" s="12"/>
      <c r="AC25" s="35">
        <v>40817</v>
      </c>
    </row>
    <row r="26" spans="1:29" ht="14.45" customHeight="1" x14ac:dyDescent="0.15">
      <c r="A26" s="13"/>
      <c r="B26" s="253"/>
      <c r="C26" s="254"/>
      <c r="D26" s="18">
        <f>(L8+L9+L10+L13+L14)</f>
        <v>0</v>
      </c>
      <c r="E26" s="257"/>
      <c r="F26" s="257"/>
      <c r="G26" s="257"/>
      <c r="H26" s="257"/>
      <c r="I26" s="257"/>
      <c r="J26" s="258"/>
      <c r="K26" s="32">
        <v>0.09</v>
      </c>
      <c r="L26" s="26">
        <f>D26*9%</f>
        <v>0</v>
      </c>
      <c r="M26" s="204"/>
      <c r="N26" s="12"/>
      <c r="P26" s="13"/>
      <c r="Q26" s="175"/>
      <c r="R26" s="176"/>
      <c r="S26" s="177"/>
      <c r="T26" s="161">
        <f>($X$8+$X$9+$X$10+$X$13+$X$14)</f>
        <v>0</v>
      </c>
      <c r="U26" s="162"/>
      <c r="V26" s="163"/>
      <c r="W26" s="49">
        <f>K26</f>
        <v>0.09</v>
      </c>
      <c r="X26" s="39">
        <f>T26*W26</f>
        <v>0</v>
      </c>
      <c r="Y26" s="244"/>
      <c r="Z26" s="12"/>
      <c r="AC26" s="37">
        <v>40909</v>
      </c>
    </row>
    <row r="27" spans="1:29" ht="14.45" customHeight="1" x14ac:dyDescent="0.15">
      <c r="A27" s="13"/>
      <c r="B27" s="167" t="s">
        <v>33</v>
      </c>
      <c r="C27" s="168"/>
      <c r="D27" s="302"/>
      <c r="E27" s="302"/>
      <c r="F27" s="302"/>
      <c r="G27" s="302"/>
      <c r="H27" s="302"/>
      <c r="I27" s="302"/>
      <c r="J27" s="302"/>
      <c r="K27" s="191"/>
      <c r="L27" s="28">
        <f>L24+L25+L26</f>
        <v>0</v>
      </c>
      <c r="M27" s="130">
        <v>2372</v>
      </c>
      <c r="N27" s="12"/>
      <c r="P27" s="13"/>
      <c r="Q27" s="164" t="s">
        <v>33</v>
      </c>
      <c r="R27" s="165"/>
      <c r="S27" s="295"/>
      <c r="T27" s="295"/>
      <c r="U27" s="295"/>
      <c r="V27" s="295"/>
      <c r="W27" s="166"/>
      <c r="X27" s="41">
        <f>X24+X25+X26</f>
        <v>0</v>
      </c>
      <c r="Y27" s="80">
        <f>M27</f>
        <v>2372</v>
      </c>
      <c r="Z27" s="12"/>
      <c r="AC27" s="35">
        <v>41000</v>
      </c>
    </row>
    <row r="28" spans="1:29" ht="14.45" customHeight="1" x14ac:dyDescent="0.15">
      <c r="A28" s="13"/>
      <c r="B28" s="167" t="s">
        <v>2</v>
      </c>
      <c r="C28" s="168"/>
      <c r="D28" s="168"/>
      <c r="E28" s="257">
        <f>L11+L12</f>
        <v>0</v>
      </c>
      <c r="F28" s="257"/>
      <c r="G28" s="257"/>
      <c r="H28" s="257"/>
      <c r="I28" s="257"/>
      <c r="J28" s="258"/>
      <c r="K28" s="32">
        <v>0.05</v>
      </c>
      <c r="L28" s="134">
        <f>(L11+L12)*K28-M28</f>
        <v>0</v>
      </c>
      <c r="M28" s="132">
        <v>0</v>
      </c>
      <c r="N28" s="12"/>
      <c r="P28" s="13"/>
      <c r="Q28" s="164" t="s">
        <v>2</v>
      </c>
      <c r="R28" s="165"/>
      <c r="S28" s="166"/>
      <c r="T28" s="161">
        <f>($X$11+$X$12)</f>
        <v>0</v>
      </c>
      <c r="U28" s="162"/>
      <c r="V28" s="163"/>
      <c r="W28" s="49">
        <f>K28</f>
        <v>0.05</v>
      </c>
      <c r="X28" s="133">
        <f>(X11+X12)*K28-Y28</f>
        <v>0</v>
      </c>
      <c r="Y28" s="132">
        <v>0</v>
      </c>
      <c r="Z28" s="12"/>
      <c r="AC28" s="37">
        <v>41091</v>
      </c>
    </row>
    <row r="29" spans="1:29" ht="8.25" customHeight="1" thickBot="1" x14ac:dyDescent="0.2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7"/>
      <c r="P29" s="15"/>
      <c r="Q29" s="16"/>
      <c r="R29" s="16"/>
      <c r="S29" s="16"/>
      <c r="T29" s="16"/>
      <c r="U29" s="16"/>
      <c r="V29" s="16"/>
      <c r="W29" s="16"/>
      <c r="X29" s="16"/>
      <c r="Y29" s="16"/>
      <c r="Z29" s="17"/>
      <c r="AC29" s="35">
        <v>41183</v>
      </c>
    </row>
    <row r="30" spans="1:29" ht="8.25" customHeight="1" thickBot="1" x14ac:dyDescent="0.2"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C30" s="37">
        <v>41275</v>
      </c>
    </row>
    <row r="31" spans="1:29" ht="6" customHeight="1" x14ac:dyDescent="0.1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10"/>
      <c r="P31" s="63"/>
      <c r="Q31" s="64"/>
      <c r="R31" s="64"/>
      <c r="S31" s="64"/>
      <c r="T31" s="64"/>
      <c r="U31" s="64"/>
      <c r="V31" s="64"/>
      <c r="W31" s="64"/>
      <c r="X31" s="64"/>
      <c r="Y31" s="64"/>
      <c r="Z31" s="65"/>
      <c r="AC31" s="35">
        <v>41365</v>
      </c>
    </row>
    <row r="32" spans="1:29" ht="15.75" customHeight="1" x14ac:dyDescent="0.35">
      <c r="A32" s="11" t="s">
        <v>4</v>
      </c>
      <c r="B32" s="273" t="s">
        <v>13</v>
      </c>
      <c r="C32" s="274"/>
      <c r="D32" s="274"/>
      <c r="E32" s="274"/>
      <c r="F32" s="274"/>
      <c r="G32" s="274"/>
      <c r="H32" s="274"/>
      <c r="I32" s="274"/>
      <c r="J32" s="274"/>
      <c r="K32" s="274"/>
      <c r="L32" s="274"/>
      <c r="M32" s="275"/>
      <c r="N32" s="12"/>
      <c r="P32" s="66"/>
      <c r="Q32" s="318" t="s">
        <v>22</v>
      </c>
      <c r="R32" s="319"/>
      <c r="S32" s="319"/>
      <c r="T32" s="319"/>
      <c r="U32" s="319"/>
      <c r="V32" s="319"/>
      <c r="W32" s="319"/>
      <c r="X32" s="319"/>
      <c r="Y32" s="320"/>
      <c r="Z32" s="67"/>
      <c r="AC32" s="37">
        <v>41456</v>
      </c>
    </row>
    <row r="33" spans="1:29" ht="13.5" x14ac:dyDescent="0.15">
      <c r="A33" s="13"/>
      <c r="B33" s="236" t="s">
        <v>9</v>
      </c>
      <c r="C33" s="324"/>
      <c r="D33" s="278" t="str">
        <f>IF(D3=0," ",IF(D3&gt;0,D3))</f>
        <v xml:space="preserve"> </v>
      </c>
      <c r="E33" s="278"/>
      <c r="F33" s="278"/>
      <c r="G33" s="278"/>
      <c r="H33" s="278"/>
      <c r="I33" s="278"/>
      <c r="J33" s="279"/>
      <c r="K33" s="279"/>
      <c r="L33" s="279"/>
      <c r="M33" s="280"/>
      <c r="N33" s="12"/>
      <c r="P33" s="68"/>
      <c r="Q33" s="321" t="s">
        <v>24</v>
      </c>
      <c r="R33" s="322"/>
      <c r="S33" s="322"/>
      <c r="T33" s="323">
        <f>E4</f>
        <v>40544</v>
      </c>
      <c r="U33" s="323"/>
      <c r="V33" s="323"/>
      <c r="W33" s="52" t="s">
        <v>23</v>
      </c>
      <c r="X33" s="51">
        <f>E34</f>
        <v>40606</v>
      </c>
      <c r="Y33" s="53"/>
      <c r="Z33" s="69"/>
      <c r="AC33" s="35">
        <v>41548</v>
      </c>
    </row>
    <row r="34" spans="1:29" ht="12.75" customHeight="1" x14ac:dyDescent="0.2">
      <c r="A34" s="14"/>
      <c r="B34" s="325" t="s">
        <v>14</v>
      </c>
      <c r="C34" s="326"/>
      <c r="D34" s="327"/>
      <c r="E34" s="313">
        <f>T4+31</f>
        <v>40606</v>
      </c>
      <c r="F34" s="314"/>
      <c r="G34" s="314"/>
      <c r="H34" s="314"/>
      <c r="I34" s="314"/>
      <c r="J34" s="314"/>
      <c r="K34" s="315"/>
      <c r="L34" s="316" t="s">
        <v>40</v>
      </c>
      <c r="M34" s="317"/>
      <c r="N34" s="12"/>
      <c r="P34" s="68"/>
      <c r="Q34" s="54" t="s">
        <v>9</v>
      </c>
      <c r="R34" s="55"/>
      <c r="S34" s="310" t="str">
        <f>IF(D3=0," ",IF(D3&gt;0,D3))</f>
        <v xml:space="preserve"> </v>
      </c>
      <c r="T34" s="310"/>
      <c r="U34" s="310"/>
      <c r="V34" s="311"/>
      <c r="W34" s="311"/>
      <c r="X34" s="311"/>
      <c r="Y34" s="312"/>
      <c r="Z34" s="69"/>
    </row>
    <row r="35" spans="1:29" ht="6.75" customHeight="1" x14ac:dyDescent="0.3">
      <c r="A35" s="1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2"/>
      <c r="N35" s="12"/>
      <c r="P35" s="68"/>
      <c r="Q35" s="61"/>
      <c r="R35" s="61"/>
      <c r="S35" s="61"/>
      <c r="T35" s="61"/>
      <c r="U35" s="61"/>
      <c r="V35" s="61"/>
      <c r="W35" s="61"/>
      <c r="X35" s="61"/>
      <c r="Y35" s="61"/>
      <c r="Z35" s="69"/>
    </row>
    <row r="36" spans="1:29" ht="14.45" customHeight="1" x14ac:dyDescent="0.15">
      <c r="A36" s="13"/>
      <c r="B36" s="246" t="s">
        <v>16</v>
      </c>
      <c r="C36" s="247"/>
      <c r="D36" s="247"/>
      <c r="E36" s="247"/>
      <c r="F36" s="247"/>
      <c r="G36" s="247"/>
      <c r="H36" s="247"/>
      <c r="I36" s="247"/>
      <c r="J36" s="247"/>
      <c r="K36" s="248"/>
      <c r="L36" s="30">
        <v>0</v>
      </c>
      <c r="M36" s="307" t="s">
        <v>19</v>
      </c>
      <c r="N36" s="12"/>
      <c r="P36" s="68"/>
      <c r="Q36" s="58"/>
      <c r="R36" s="59"/>
      <c r="S36" s="59"/>
      <c r="T36" s="59"/>
      <c r="U36" s="59"/>
      <c r="V36" s="59"/>
      <c r="W36" s="59"/>
      <c r="X36" s="59"/>
      <c r="Y36" s="60"/>
      <c r="Z36" s="69"/>
    </row>
    <row r="37" spans="1:29" ht="14.45" customHeight="1" x14ac:dyDescent="0.15">
      <c r="A37" s="13"/>
      <c r="B37" s="246" t="s">
        <v>10</v>
      </c>
      <c r="C37" s="247"/>
      <c r="D37" s="247"/>
      <c r="E37" s="247"/>
      <c r="F37" s="247"/>
      <c r="G37" s="247"/>
      <c r="H37" s="247"/>
      <c r="I37" s="247"/>
      <c r="J37" s="247"/>
      <c r="K37" s="248"/>
      <c r="L37" s="30">
        <v>0</v>
      </c>
      <c r="M37" s="308"/>
      <c r="N37" s="12"/>
      <c r="P37" s="68"/>
      <c r="Q37" s="73" t="s">
        <v>25</v>
      </c>
      <c r="R37" s="179" t="s">
        <v>26</v>
      </c>
      <c r="S37" s="179"/>
      <c r="T37" s="179"/>
      <c r="U37" s="61"/>
      <c r="V37" s="74" t="s">
        <v>28</v>
      </c>
      <c r="W37" s="75"/>
      <c r="X37" s="75"/>
      <c r="Y37" s="105">
        <v>20000</v>
      </c>
      <c r="Z37" s="69"/>
    </row>
    <row r="38" spans="1:29" ht="14.45" customHeight="1" x14ac:dyDescent="0.15">
      <c r="A38" s="13"/>
      <c r="B38" s="246" t="s">
        <v>0</v>
      </c>
      <c r="C38" s="247"/>
      <c r="D38" s="247"/>
      <c r="E38" s="247"/>
      <c r="F38" s="247"/>
      <c r="G38" s="247"/>
      <c r="H38" s="247"/>
      <c r="I38" s="247"/>
      <c r="J38" s="247"/>
      <c r="K38" s="248"/>
      <c r="L38" s="30">
        <v>0</v>
      </c>
      <c r="M38" s="308"/>
      <c r="N38" s="12"/>
      <c r="P38" s="68"/>
      <c r="Q38" s="136">
        <f>$E$4</f>
        <v>40544</v>
      </c>
      <c r="R38" s="178">
        <f>SUM(F19:F21)+D22</f>
        <v>0</v>
      </c>
      <c r="S38" s="178"/>
      <c r="T38" s="178"/>
      <c r="U38" s="61"/>
      <c r="V38" s="74" t="s">
        <v>29</v>
      </c>
      <c r="W38" s="75"/>
      <c r="X38" s="75"/>
      <c r="Y38" s="76">
        <f>Y37*3</f>
        <v>60000</v>
      </c>
      <c r="Z38" s="69"/>
    </row>
    <row r="39" spans="1:29" ht="14.45" customHeight="1" x14ac:dyDescent="0.15">
      <c r="A39" s="13"/>
      <c r="B39" s="246" t="s">
        <v>11</v>
      </c>
      <c r="C39" s="247"/>
      <c r="D39" s="247"/>
      <c r="E39" s="247"/>
      <c r="F39" s="247"/>
      <c r="G39" s="247"/>
      <c r="H39" s="247"/>
      <c r="I39" s="247"/>
      <c r="J39" s="247"/>
      <c r="K39" s="248"/>
      <c r="L39" s="30">
        <v>0</v>
      </c>
      <c r="M39" s="308"/>
      <c r="N39" s="12"/>
      <c r="P39" s="68"/>
      <c r="Q39" s="136">
        <f>$T$4</f>
        <v>40575</v>
      </c>
      <c r="R39" s="178">
        <f>SUM(G19:G21)+T22</f>
        <v>0</v>
      </c>
      <c r="S39" s="178"/>
      <c r="T39" s="178"/>
      <c r="U39" s="61"/>
      <c r="V39" s="137" t="s">
        <v>60</v>
      </c>
      <c r="W39" s="138"/>
      <c r="X39" s="138"/>
      <c r="Y39" s="139">
        <f>R41-Y38</f>
        <v>-60000</v>
      </c>
      <c r="Z39" s="69"/>
    </row>
    <row r="40" spans="1:29" ht="14.45" customHeight="1" x14ac:dyDescent="0.15">
      <c r="A40" s="13"/>
      <c r="B40" s="246" t="s">
        <v>12</v>
      </c>
      <c r="C40" s="247"/>
      <c r="D40" s="247"/>
      <c r="E40" s="247"/>
      <c r="F40" s="247"/>
      <c r="G40" s="247"/>
      <c r="H40" s="247"/>
      <c r="I40" s="247"/>
      <c r="J40" s="247"/>
      <c r="K40" s="248"/>
      <c r="L40" s="30">
        <v>0</v>
      </c>
      <c r="M40" s="308"/>
      <c r="N40" s="12"/>
      <c r="P40" s="68"/>
      <c r="Q40" s="136">
        <f>$E$34</f>
        <v>40606</v>
      </c>
      <c r="R40" s="178">
        <f>SUM(H19:H21)+E52</f>
        <v>0</v>
      </c>
      <c r="S40" s="178"/>
      <c r="T40" s="178"/>
      <c r="U40" s="61"/>
      <c r="V40" s="211" t="s">
        <v>31</v>
      </c>
      <c r="W40" s="212"/>
      <c r="X40" s="82" t="s">
        <v>30</v>
      </c>
      <c r="Y40" s="81" t="s">
        <v>18</v>
      </c>
      <c r="Z40" s="69"/>
    </row>
    <row r="41" spans="1:29" ht="14.45" customHeight="1" x14ac:dyDescent="0.15">
      <c r="A41" s="13"/>
      <c r="B41" s="249" t="s">
        <v>41</v>
      </c>
      <c r="C41" s="250"/>
      <c r="D41" s="250"/>
      <c r="E41" s="250"/>
      <c r="F41" s="250"/>
      <c r="G41" s="250"/>
      <c r="H41" s="250"/>
      <c r="I41" s="250"/>
      <c r="J41" s="250"/>
      <c r="K41" s="90">
        <f>K11</f>
        <v>0.16</v>
      </c>
      <c r="L41" s="87">
        <v>0</v>
      </c>
      <c r="M41" s="308"/>
      <c r="N41" s="12"/>
      <c r="P41" s="68"/>
      <c r="Q41" s="73" t="s">
        <v>27</v>
      </c>
      <c r="R41" s="178">
        <f>SUM(R38:T40)</f>
        <v>0</v>
      </c>
      <c r="S41" s="178"/>
      <c r="T41" s="178"/>
      <c r="U41" s="62"/>
      <c r="V41" s="213">
        <v>0.1</v>
      </c>
      <c r="W41" s="214"/>
      <c r="X41" s="78" t="str">
        <f>IF(R41&lt;Y38,"ISENTO",IF(R41&gt;Y38,(R41-Y38)*V41))</f>
        <v>ISENTO</v>
      </c>
      <c r="Y41" s="77"/>
      <c r="Z41" s="69"/>
    </row>
    <row r="42" spans="1:29" ht="14.45" customHeight="1" x14ac:dyDescent="0.15">
      <c r="A42" s="13"/>
      <c r="B42" s="249" t="s">
        <v>41</v>
      </c>
      <c r="C42" s="250"/>
      <c r="D42" s="250"/>
      <c r="E42" s="250"/>
      <c r="F42" s="250"/>
      <c r="G42" s="250"/>
      <c r="H42" s="250"/>
      <c r="I42" s="250"/>
      <c r="J42" s="250"/>
      <c r="K42" s="85">
        <f>K12</f>
        <v>0.32</v>
      </c>
      <c r="L42" s="87">
        <v>0</v>
      </c>
      <c r="M42" s="308"/>
      <c r="N42" s="12"/>
      <c r="P42" s="68"/>
      <c r="Q42" s="61"/>
      <c r="R42" s="61"/>
      <c r="S42" s="61"/>
      <c r="T42" s="61"/>
      <c r="U42" s="61"/>
      <c r="V42" s="61"/>
      <c r="W42" s="61"/>
      <c r="X42" s="61"/>
      <c r="Y42" s="61"/>
      <c r="Z42" s="69"/>
    </row>
    <row r="43" spans="1:29" ht="14.45" customHeight="1" x14ac:dyDescent="0.15">
      <c r="A43" s="13"/>
      <c r="B43" s="246" t="s">
        <v>5</v>
      </c>
      <c r="C43" s="247"/>
      <c r="D43" s="247"/>
      <c r="E43" s="247"/>
      <c r="F43" s="247"/>
      <c r="G43" s="247"/>
      <c r="H43" s="247"/>
      <c r="I43" s="247"/>
      <c r="J43" s="247"/>
      <c r="K43" s="248"/>
      <c r="L43" s="30">
        <v>0</v>
      </c>
      <c r="M43" s="308"/>
      <c r="N43" s="12"/>
      <c r="P43" s="68"/>
      <c r="Q43" s="215" t="s">
        <v>61</v>
      </c>
      <c r="R43" s="196"/>
      <c r="S43" s="196"/>
      <c r="T43" s="196"/>
      <c r="U43" s="196"/>
      <c r="V43" s="196"/>
      <c r="W43" s="196"/>
      <c r="X43" s="196"/>
      <c r="Y43" s="197"/>
      <c r="Z43" s="69"/>
      <c r="AA43" s="1"/>
    </row>
    <row r="44" spans="1:29" ht="14.45" customHeight="1" thickBot="1" x14ac:dyDescent="0.2">
      <c r="A44" s="13"/>
      <c r="B44" s="299" t="s">
        <v>6</v>
      </c>
      <c r="C44" s="300"/>
      <c r="D44" s="300"/>
      <c r="E44" s="300"/>
      <c r="F44" s="300"/>
      <c r="G44" s="300"/>
      <c r="H44" s="300"/>
      <c r="I44" s="300"/>
      <c r="J44" s="300"/>
      <c r="K44" s="301"/>
      <c r="L44" s="30">
        <v>0</v>
      </c>
      <c r="M44" s="309"/>
      <c r="N44" s="12"/>
      <c r="P44" s="70"/>
      <c r="Q44" s="71"/>
      <c r="R44" s="71"/>
      <c r="S44" s="71"/>
      <c r="T44" s="71"/>
      <c r="U44" s="71"/>
      <c r="V44" s="71"/>
      <c r="W44" s="71"/>
      <c r="X44" s="71"/>
      <c r="Y44" s="71"/>
      <c r="Z44" s="72"/>
    </row>
    <row r="45" spans="1:29" ht="6" customHeight="1" thickBot="1" x14ac:dyDescent="0.25">
      <c r="A45" s="13"/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  <c r="M45" s="7"/>
      <c r="N45" s="12"/>
      <c r="S45" s="84"/>
    </row>
    <row r="46" spans="1:29" ht="14.25" x14ac:dyDescent="0.15">
      <c r="A46" s="13"/>
      <c r="B46" s="188" t="s">
        <v>7</v>
      </c>
      <c r="C46" s="189"/>
      <c r="D46" s="188" t="s">
        <v>3</v>
      </c>
      <c r="E46" s="190"/>
      <c r="F46" s="190"/>
      <c r="G46" s="190"/>
      <c r="H46" s="190"/>
      <c r="I46" s="190"/>
      <c r="J46" s="189"/>
      <c r="K46" s="107" t="s">
        <v>8</v>
      </c>
      <c r="L46" s="108" t="s">
        <v>20</v>
      </c>
      <c r="M46" s="4" t="s">
        <v>18</v>
      </c>
      <c r="N46" s="12"/>
      <c r="P46" s="63"/>
      <c r="Q46" s="229" t="s">
        <v>25</v>
      </c>
      <c r="R46" s="229"/>
      <c r="S46" s="127" t="s">
        <v>35</v>
      </c>
      <c r="T46" s="216" t="s">
        <v>35</v>
      </c>
      <c r="U46" s="217"/>
      <c r="V46" s="217"/>
      <c r="W46" s="218"/>
      <c r="X46" s="127" t="s">
        <v>35</v>
      </c>
      <c r="Y46" s="127" t="s">
        <v>35</v>
      </c>
      <c r="Z46" s="128"/>
    </row>
    <row r="47" spans="1:29" ht="14.45" customHeight="1" x14ac:dyDescent="0.15">
      <c r="A47" s="13"/>
      <c r="B47" s="167" t="s">
        <v>66</v>
      </c>
      <c r="C47" s="168"/>
      <c r="D47" s="191"/>
      <c r="E47" s="161">
        <f>($L$36+$L$38+$L$39+$L$40+$L$41+$L$42+$L$43+$L$44)-($L$37)</f>
        <v>0</v>
      </c>
      <c r="F47" s="162"/>
      <c r="G47" s="162"/>
      <c r="H47" s="162"/>
      <c r="I47" s="162"/>
      <c r="J47" s="163"/>
      <c r="K47" s="48">
        <f t="shared" ref="K47:K52" si="2">K17</f>
        <v>6.4999999999999997E-3</v>
      </c>
      <c r="L47" s="38">
        <f t="shared" ref="L47:L52" si="3">E47*K47</f>
        <v>0</v>
      </c>
      <c r="M47" s="79">
        <f>M17</f>
        <v>8109</v>
      </c>
      <c r="N47" s="12"/>
      <c r="P47" s="68"/>
      <c r="Q47" s="230"/>
      <c r="R47" s="230"/>
      <c r="S47" s="123">
        <f>M17</f>
        <v>8109</v>
      </c>
      <c r="T47" s="219">
        <f>M18</f>
        <v>2172</v>
      </c>
      <c r="U47" s="220"/>
      <c r="V47" s="220"/>
      <c r="W47" s="221"/>
      <c r="X47" s="124">
        <f>M23</f>
        <v>2089</v>
      </c>
      <c r="Y47" s="124">
        <f>M27</f>
        <v>2372</v>
      </c>
      <c r="Z47" s="69"/>
    </row>
    <row r="48" spans="1:29" ht="14.45" customHeight="1" x14ac:dyDescent="0.15">
      <c r="A48" s="13"/>
      <c r="B48" s="192" t="s">
        <v>65</v>
      </c>
      <c r="C48" s="193"/>
      <c r="D48" s="194"/>
      <c r="E48" s="161">
        <f>($L$36+$L$38+$L$39+$L$40+$L$41+$L$42+$L$43+$L$44)-($L$37)</f>
        <v>0</v>
      </c>
      <c r="F48" s="162"/>
      <c r="G48" s="162"/>
      <c r="H48" s="162"/>
      <c r="I48" s="162"/>
      <c r="J48" s="163"/>
      <c r="K48" s="48">
        <f t="shared" si="2"/>
        <v>0.03</v>
      </c>
      <c r="L48" s="38">
        <f t="shared" si="3"/>
        <v>0</v>
      </c>
      <c r="M48" s="79">
        <f>M18</f>
        <v>2172</v>
      </c>
      <c r="N48" s="12"/>
      <c r="P48" s="68"/>
      <c r="Q48" s="230"/>
      <c r="R48" s="230"/>
      <c r="S48" s="120" t="s">
        <v>34</v>
      </c>
      <c r="T48" s="222" t="s">
        <v>36</v>
      </c>
      <c r="U48" s="223"/>
      <c r="V48" s="223"/>
      <c r="W48" s="224"/>
      <c r="X48" s="121" t="s">
        <v>37</v>
      </c>
      <c r="Y48" s="122" t="s">
        <v>38</v>
      </c>
      <c r="Z48" s="69"/>
    </row>
    <row r="49" spans="1:27" ht="14.45" customHeight="1" x14ac:dyDescent="0.15">
      <c r="A49" s="13"/>
      <c r="B49" s="169" t="s">
        <v>1</v>
      </c>
      <c r="C49" s="170"/>
      <c r="D49" s="171"/>
      <c r="E49" s="286">
        <f>$L$36-$L$37</f>
        <v>0</v>
      </c>
      <c r="F49" s="287"/>
      <c r="G49" s="287"/>
      <c r="H49" s="287"/>
      <c r="I49" s="287"/>
      <c r="J49" s="288"/>
      <c r="K49" s="48">
        <f t="shared" si="2"/>
        <v>1.2E-2</v>
      </c>
      <c r="L49" s="39">
        <f t="shared" si="3"/>
        <v>0</v>
      </c>
      <c r="M49" s="202"/>
      <c r="N49" s="12"/>
      <c r="P49" s="68"/>
      <c r="Q49" s="198">
        <f>$E$4</f>
        <v>40544</v>
      </c>
      <c r="R49" s="199"/>
      <c r="S49" s="117">
        <f>$L$17</f>
        <v>0</v>
      </c>
      <c r="T49" s="231">
        <f>$L$18</f>
        <v>0</v>
      </c>
      <c r="U49" s="232"/>
      <c r="V49" s="232"/>
      <c r="W49" s="201"/>
      <c r="X49" s="117">
        <f>$L$23</f>
        <v>0</v>
      </c>
      <c r="Y49" s="117">
        <f>$L$27</f>
        <v>0</v>
      </c>
      <c r="Z49" s="69"/>
    </row>
    <row r="50" spans="1:27" ht="14.45" customHeight="1" x14ac:dyDescent="0.15">
      <c r="A50" s="13"/>
      <c r="B50" s="172"/>
      <c r="C50" s="173"/>
      <c r="D50" s="174"/>
      <c r="E50" s="161">
        <f>$L$41</f>
        <v>0</v>
      </c>
      <c r="F50" s="162"/>
      <c r="G50" s="162"/>
      <c r="H50" s="162"/>
      <c r="I50" s="162"/>
      <c r="J50" s="163"/>
      <c r="K50" s="48">
        <f t="shared" si="2"/>
        <v>2.4E-2</v>
      </c>
      <c r="L50" s="39">
        <f t="shared" si="3"/>
        <v>0</v>
      </c>
      <c r="M50" s="203"/>
      <c r="N50" s="12"/>
      <c r="P50" s="68"/>
      <c r="Q50" s="198" t="s">
        <v>72</v>
      </c>
      <c r="R50" s="199"/>
      <c r="S50" s="131">
        <v>0</v>
      </c>
      <c r="T50" s="226">
        <v>0</v>
      </c>
      <c r="U50" s="227"/>
      <c r="V50" s="227"/>
      <c r="W50" s="228"/>
      <c r="X50" s="131">
        <v>0</v>
      </c>
      <c r="Y50" s="131">
        <v>0</v>
      </c>
      <c r="Z50" s="69"/>
    </row>
    <row r="51" spans="1:27" ht="14.45" customHeight="1" x14ac:dyDescent="0.15">
      <c r="A51" s="13"/>
      <c r="B51" s="172"/>
      <c r="C51" s="173"/>
      <c r="D51" s="174"/>
      <c r="E51" s="161">
        <f>$L$42</f>
        <v>0</v>
      </c>
      <c r="F51" s="162"/>
      <c r="G51" s="162"/>
      <c r="H51" s="162"/>
      <c r="I51" s="162"/>
      <c r="J51" s="163"/>
      <c r="K51" s="48">
        <f t="shared" si="2"/>
        <v>4.8000000000000001E-2</v>
      </c>
      <c r="L51" s="39">
        <f t="shared" si="3"/>
        <v>0</v>
      </c>
      <c r="M51" s="203"/>
      <c r="N51" s="12"/>
      <c r="P51" s="68"/>
      <c r="Q51" s="200" t="s">
        <v>73</v>
      </c>
      <c r="R51" s="201"/>
      <c r="S51" s="119">
        <f>S49-S50</f>
        <v>0</v>
      </c>
      <c r="T51" s="195">
        <f>T49-T50</f>
        <v>0</v>
      </c>
      <c r="U51" s="196"/>
      <c r="V51" s="196"/>
      <c r="W51" s="197"/>
      <c r="X51" s="119">
        <f>X49-X50</f>
        <v>0</v>
      </c>
      <c r="Y51" s="119">
        <f>Y49-Y50</f>
        <v>0</v>
      </c>
      <c r="Z51" s="69"/>
    </row>
    <row r="52" spans="1:27" ht="14.45" customHeight="1" x14ac:dyDescent="0.15">
      <c r="A52" s="13"/>
      <c r="B52" s="175"/>
      <c r="C52" s="176"/>
      <c r="D52" s="177"/>
      <c r="E52" s="161">
        <f>$L$38+$L$39+$L$40+$L$43+$L$44</f>
        <v>0</v>
      </c>
      <c r="F52" s="162"/>
      <c r="G52" s="162"/>
      <c r="H52" s="162"/>
      <c r="I52" s="162"/>
      <c r="J52" s="163"/>
      <c r="K52" s="48">
        <f t="shared" si="2"/>
        <v>0.15</v>
      </c>
      <c r="L52" s="39">
        <f t="shared" si="3"/>
        <v>0</v>
      </c>
      <c r="M52" s="204"/>
      <c r="N52" s="12"/>
      <c r="P52" s="68"/>
      <c r="Q52" s="61"/>
      <c r="R52" s="61"/>
      <c r="S52" s="61"/>
      <c r="T52" s="61"/>
      <c r="U52" s="61"/>
      <c r="V52" s="61"/>
      <c r="W52" s="61"/>
      <c r="X52" s="61"/>
      <c r="Y52" s="61"/>
      <c r="Z52" s="69"/>
    </row>
    <row r="53" spans="1:27" ht="14.45" customHeight="1" x14ac:dyDescent="0.15">
      <c r="A53" s="13"/>
      <c r="B53" s="164" t="s">
        <v>32</v>
      </c>
      <c r="C53" s="165"/>
      <c r="D53" s="245"/>
      <c r="E53" s="245"/>
      <c r="F53" s="245"/>
      <c r="G53" s="245"/>
      <c r="H53" s="245"/>
      <c r="I53" s="245"/>
      <c r="J53" s="245"/>
      <c r="K53" s="166"/>
      <c r="L53" s="40">
        <f>L49+L50+L51+L52</f>
        <v>0</v>
      </c>
      <c r="M53" s="80">
        <f>M23</f>
        <v>2089</v>
      </c>
      <c r="N53" s="12"/>
      <c r="P53" s="68"/>
      <c r="Q53" s="185">
        <f>$T$4</f>
        <v>40575</v>
      </c>
      <c r="R53" s="185"/>
      <c r="S53" s="117">
        <f>$X$17</f>
        <v>0</v>
      </c>
      <c r="T53" s="329">
        <f>$X$18</f>
        <v>0</v>
      </c>
      <c r="U53" s="330"/>
      <c r="V53" s="330"/>
      <c r="W53" s="330"/>
      <c r="X53" s="117">
        <f>$X$23</f>
        <v>0</v>
      </c>
      <c r="Y53" s="117">
        <f>$X$27</f>
        <v>0</v>
      </c>
      <c r="Z53" s="69"/>
    </row>
    <row r="54" spans="1:27" ht="14.45" customHeight="1" x14ac:dyDescent="0.15">
      <c r="A54" s="13"/>
      <c r="B54" s="169" t="s">
        <v>17</v>
      </c>
      <c r="C54" s="170"/>
      <c r="D54" s="171"/>
      <c r="E54" s="161">
        <f>($L$36)-($L$37)</f>
        <v>0</v>
      </c>
      <c r="F54" s="162"/>
      <c r="G54" s="162"/>
      <c r="H54" s="162"/>
      <c r="I54" s="162"/>
      <c r="J54" s="163"/>
      <c r="K54" s="50">
        <f>K24</f>
        <v>1.7999999999999999E-2</v>
      </c>
      <c r="L54" s="39">
        <f>E54*K54</f>
        <v>0</v>
      </c>
      <c r="M54" s="202"/>
      <c r="N54" s="12"/>
      <c r="P54" s="68"/>
      <c r="Q54" s="185" t="s">
        <v>72</v>
      </c>
      <c r="R54" s="185"/>
      <c r="S54" s="131">
        <v>0</v>
      </c>
      <c r="T54" s="186">
        <v>0</v>
      </c>
      <c r="U54" s="187"/>
      <c r="V54" s="187"/>
      <c r="W54" s="187"/>
      <c r="X54" s="131">
        <v>0</v>
      </c>
      <c r="Y54" s="131">
        <v>0</v>
      </c>
      <c r="Z54" s="69"/>
    </row>
    <row r="55" spans="1:27" ht="14.45" customHeight="1" x14ac:dyDescent="0.15">
      <c r="A55" s="13"/>
      <c r="B55" s="172"/>
      <c r="C55" s="173"/>
      <c r="D55" s="174"/>
      <c r="E55" s="161">
        <f>$L$41+$L$42</f>
        <v>0</v>
      </c>
      <c r="F55" s="162"/>
      <c r="G55" s="162"/>
      <c r="H55" s="162"/>
      <c r="I55" s="162"/>
      <c r="J55" s="163"/>
      <c r="K55" s="50">
        <f>K25</f>
        <v>4.8000000000000001E-2</v>
      </c>
      <c r="L55" s="39">
        <f>E55*K55</f>
        <v>0</v>
      </c>
      <c r="M55" s="203"/>
      <c r="N55" s="12"/>
      <c r="P55" s="68"/>
      <c r="Q55" s="200" t="s">
        <v>73</v>
      </c>
      <c r="R55" s="201"/>
      <c r="S55" s="119">
        <f>S53-S54</f>
        <v>0</v>
      </c>
      <c r="T55" s="195">
        <f>T53-T54</f>
        <v>0</v>
      </c>
      <c r="U55" s="196"/>
      <c r="V55" s="196"/>
      <c r="W55" s="197"/>
      <c r="X55" s="119">
        <f>X53-X54</f>
        <v>0</v>
      </c>
      <c r="Y55" s="119">
        <f>Y53-Y54</f>
        <v>0</v>
      </c>
      <c r="Z55" s="69"/>
    </row>
    <row r="56" spans="1:27" ht="14.45" customHeight="1" x14ac:dyDescent="0.15">
      <c r="A56" s="13"/>
      <c r="B56" s="175"/>
      <c r="C56" s="176"/>
      <c r="D56" s="177"/>
      <c r="E56" s="161">
        <f>($L$38+$L$39+$L$40+$L$43+$L$44)</f>
        <v>0</v>
      </c>
      <c r="F56" s="162"/>
      <c r="G56" s="162"/>
      <c r="H56" s="162"/>
      <c r="I56" s="162"/>
      <c r="J56" s="163"/>
      <c r="K56" s="50">
        <f>K26</f>
        <v>0.09</v>
      </c>
      <c r="L56" s="39">
        <f>E56*K56</f>
        <v>0</v>
      </c>
      <c r="M56" s="204"/>
      <c r="N56" s="12"/>
      <c r="P56" s="68"/>
      <c r="Q56" s="323"/>
      <c r="R56" s="323"/>
      <c r="S56" s="118"/>
      <c r="T56" s="328"/>
      <c r="U56" s="322"/>
      <c r="V56" s="322"/>
      <c r="W56" s="322"/>
      <c r="X56" s="118"/>
      <c r="Y56" s="118"/>
      <c r="Z56" s="69"/>
    </row>
    <row r="57" spans="1:27" ht="14.45" customHeight="1" x14ac:dyDescent="0.15">
      <c r="A57" s="13"/>
      <c r="B57" s="164" t="s">
        <v>33</v>
      </c>
      <c r="C57" s="165"/>
      <c r="D57" s="295"/>
      <c r="E57" s="295"/>
      <c r="F57" s="295"/>
      <c r="G57" s="295"/>
      <c r="H57" s="295"/>
      <c r="I57" s="295"/>
      <c r="J57" s="295"/>
      <c r="K57" s="166"/>
      <c r="L57" s="41">
        <f>L54+L55+L56</f>
        <v>0</v>
      </c>
      <c r="M57" s="80">
        <f>M27</f>
        <v>2372</v>
      </c>
      <c r="N57" s="12"/>
      <c r="P57" s="68"/>
      <c r="Q57" s="185">
        <f>$E$34</f>
        <v>40606</v>
      </c>
      <c r="R57" s="185"/>
      <c r="S57" s="117">
        <f>$L$47</f>
        <v>0</v>
      </c>
      <c r="T57" s="329">
        <f>$L$48</f>
        <v>0</v>
      </c>
      <c r="U57" s="330"/>
      <c r="V57" s="330"/>
      <c r="W57" s="330"/>
      <c r="X57" s="117">
        <f>$L$53</f>
        <v>0</v>
      </c>
      <c r="Y57" s="117">
        <f>$L$57</f>
        <v>0</v>
      </c>
      <c r="Z57" s="69"/>
    </row>
    <row r="58" spans="1:27" ht="14.45" customHeight="1" x14ac:dyDescent="0.15">
      <c r="A58" s="13"/>
      <c r="B58" s="164" t="s">
        <v>2</v>
      </c>
      <c r="C58" s="165"/>
      <c r="D58" s="166"/>
      <c r="E58" s="161">
        <f>($L$41+$L$42)</f>
        <v>0</v>
      </c>
      <c r="F58" s="162"/>
      <c r="G58" s="162"/>
      <c r="H58" s="162"/>
      <c r="I58" s="162"/>
      <c r="J58" s="163"/>
      <c r="K58" s="49">
        <f>K28</f>
        <v>0.05</v>
      </c>
      <c r="L58" s="133">
        <f>(L41+L42)*K58-M58</f>
        <v>0</v>
      </c>
      <c r="M58" s="132">
        <v>0</v>
      </c>
      <c r="N58" s="12"/>
      <c r="P58" s="68"/>
      <c r="Q58" s="185" t="s">
        <v>72</v>
      </c>
      <c r="R58" s="185"/>
      <c r="S58" s="131">
        <v>0</v>
      </c>
      <c r="T58" s="186">
        <v>0</v>
      </c>
      <c r="U58" s="187"/>
      <c r="V58" s="187"/>
      <c r="W58" s="187"/>
      <c r="X58" s="131">
        <v>0</v>
      </c>
      <c r="Y58" s="131">
        <v>0</v>
      </c>
      <c r="Z58" s="69"/>
    </row>
    <row r="59" spans="1:27" x14ac:dyDescent="0.15">
      <c r="A59" s="13"/>
      <c r="B59" s="102" t="s">
        <v>45</v>
      </c>
      <c r="C59" s="2"/>
      <c r="D59" s="2"/>
      <c r="E59" s="2"/>
      <c r="F59" s="2"/>
      <c r="G59" s="2"/>
      <c r="H59" s="2"/>
      <c r="I59" s="225" t="str">
        <f>AJUDA!A1</f>
        <v xml:space="preserve">(LUCRO PRESUMIDO - MODELO I - VERSÃO. V01.E07- at.24/02/2011) </v>
      </c>
      <c r="J59" s="225"/>
      <c r="K59" s="225"/>
      <c r="L59" s="225"/>
      <c r="M59" s="225"/>
      <c r="N59" s="12"/>
      <c r="P59" s="68"/>
      <c r="Q59" s="200" t="s">
        <v>73</v>
      </c>
      <c r="R59" s="201"/>
      <c r="S59" s="119">
        <f>S57-S58</f>
        <v>0</v>
      </c>
      <c r="T59" s="195">
        <f>T57-T58</f>
        <v>0</v>
      </c>
      <c r="U59" s="196"/>
      <c r="V59" s="196"/>
      <c r="W59" s="197"/>
      <c r="X59" s="119">
        <f>X57-X58</f>
        <v>0</v>
      </c>
      <c r="Y59" s="119">
        <f>Y57-Y58</f>
        <v>0</v>
      </c>
      <c r="Z59" s="69"/>
    </row>
    <row r="60" spans="1:27" x14ac:dyDescent="0.15">
      <c r="A60" s="13"/>
      <c r="B60" s="29" t="str">
        <f>AJUDA!B2</f>
        <v>angelo.tonon@ig.com.br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12"/>
      <c r="P60" s="68"/>
      <c r="Q60" s="61"/>
      <c r="R60" s="61"/>
      <c r="S60" s="61"/>
      <c r="T60" s="61"/>
      <c r="U60" s="61"/>
      <c r="V60" s="61"/>
      <c r="W60" s="61"/>
      <c r="X60" s="61"/>
      <c r="Y60" s="61"/>
      <c r="Z60" s="69"/>
    </row>
    <row r="61" spans="1:27" ht="13.5" thickBot="1" x14ac:dyDescent="0.2">
      <c r="A61" s="15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7"/>
      <c r="P61" s="70"/>
      <c r="Q61" s="180" t="s">
        <v>74</v>
      </c>
      <c r="R61" s="181"/>
      <c r="S61" s="129">
        <f>SUM(S51+S55+S59)</f>
        <v>0</v>
      </c>
      <c r="T61" s="182">
        <f>SUM(T51+T55+T59)</f>
        <v>0</v>
      </c>
      <c r="U61" s="183"/>
      <c r="V61" s="183"/>
      <c r="W61" s="184"/>
      <c r="X61" s="129">
        <f>SUM(X51+X55+X59)</f>
        <v>0</v>
      </c>
      <c r="Y61" s="129">
        <f>SUM(Y51+Y55+Y59)</f>
        <v>0</v>
      </c>
      <c r="Z61" s="72"/>
    </row>
    <row r="62" spans="1:27" x14ac:dyDescent="0.15">
      <c r="P62" s="125"/>
      <c r="Q62" s="126"/>
      <c r="R62" s="126"/>
      <c r="S62" s="126"/>
      <c r="T62" s="126"/>
      <c r="U62" s="126"/>
      <c r="V62" s="126"/>
      <c r="W62" s="126"/>
      <c r="X62" s="126"/>
      <c r="Y62" s="126"/>
      <c r="Z62" s="125"/>
    </row>
    <row r="63" spans="1:27" ht="12.75" customHeight="1" x14ac:dyDescent="0.15">
      <c r="B63" s="205" t="s">
        <v>64</v>
      </c>
      <c r="C63" s="206"/>
      <c r="D63" s="206"/>
      <c r="E63" s="206"/>
      <c r="F63" s="206"/>
      <c r="G63" s="206"/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7"/>
      <c r="Z63" s="125"/>
      <c r="AA63" s="1"/>
    </row>
    <row r="64" spans="1:27" x14ac:dyDescent="0.15">
      <c r="B64" s="208"/>
      <c r="C64" s="209"/>
      <c r="D64" s="209"/>
      <c r="E64" s="209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10"/>
      <c r="Z64" s="125"/>
      <c r="AA64" s="1"/>
    </row>
  </sheetData>
  <sheetProtection password="CA4F" sheet="1" objects="1" scenarios="1" formatCells="0" formatColumns="0" formatRows="0" selectLockedCells="1"/>
  <mergeCells count="146">
    <mergeCell ref="Q33:S33"/>
    <mergeCell ref="T33:V33"/>
    <mergeCell ref="B32:M32"/>
    <mergeCell ref="B33:C33"/>
    <mergeCell ref="D33:M33"/>
    <mergeCell ref="B34:D34"/>
    <mergeCell ref="T51:W51"/>
    <mergeCell ref="Q56:R56"/>
    <mergeCell ref="Q57:R57"/>
    <mergeCell ref="T56:W56"/>
    <mergeCell ref="Q53:R53"/>
    <mergeCell ref="T53:W53"/>
    <mergeCell ref="Q54:R54"/>
    <mergeCell ref="T54:W54"/>
    <mergeCell ref="T57:W57"/>
    <mergeCell ref="Q51:R51"/>
    <mergeCell ref="Y24:Y26"/>
    <mergeCell ref="Q27:W27"/>
    <mergeCell ref="T28:V28"/>
    <mergeCell ref="T24:V24"/>
    <mergeCell ref="T25:V25"/>
    <mergeCell ref="T26:V26"/>
    <mergeCell ref="E28:J28"/>
    <mergeCell ref="E26:J26"/>
    <mergeCell ref="B14:K14"/>
    <mergeCell ref="B16:C16"/>
    <mergeCell ref="E17:J17"/>
    <mergeCell ref="B27:K27"/>
    <mergeCell ref="E22:J22"/>
    <mergeCell ref="B24:C26"/>
    <mergeCell ref="B18:D18"/>
    <mergeCell ref="Q2:Y2"/>
    <mergeCell ref="Q3:R3"/>
    <mergeCell ref="S3:Y3"/>
    <mergeCell ref="Q4:S4"/>
    <mergeCell ref="T4:W4"/>
    <mergeCell ref="X4:Y4"/>
    <mergeCell ref="B2:M2"/>
    <mergeCell ref="B6:K6"/>
    <mergeCell ref="Q18:S18"/>
    <mergeCell ref="Q6:W6"/>
    <mergeCell ref="Q13:W13"/>
    <mergeCell ref="Q8:W8"/>
    <mergeCell ref="Q9:W9"/>
    <mergeCell ref="Q10:W10"/>
    <mergeCell ref="B13:K13"/>
    <mergeCell ref="M24:M26"/>
    <mergeCell ref="D16:J16"/>
    <mergeCell ref="T22:V22"/>
    <mergeCell ref="T20:V20"/>
    <mergeCell ref="T21:V21"/>
    <mergeCell ref="Q19:S22"/>
    <mergeCell ref="Q23:W23"/>
    <mergeCell ref="Q24:S26"/>
    <mergeCell ref="B8:K8"/>
    <mergeCell ref="B9:K9"/>
    <mergeCell ref="B11:J11"/>
    <mergeCell ref="B12:J12"/>
    <mergeCell ref="B19:C22"/>
    <mergeCell ref="B23:K23"/>
    <mergeCell ref="B17:D17"/>
    <mergeCell ref="E18:J18"/>
    <mergeCell ref="B10:K10"/>
    <mergeCell ref="Q14:W14"/>
    <mergeCell ref="Q11:V11"/>
    <mergeCell ref="Q12:V12"/>
    <mergeCell ref="M6:M14"/>
    <mergeCell ref="B7:K7"/>
    <mergeCell ref="T19:V19"/>
    <mergeCell ref="Y6:Y14"/>
    <mergeCell ref="B3:C3"/>
    <mergeCell ref="D3:M3"/>
    <mergeCell ref="M19:M22"/>
    <mergeCell ref="Y19:Y22"/>
    <mergeCell ref="Q16:R16"/>
    <mergeCell ref="S16:V16"/>
    <mergeCell ref="T17:V17"/>
    <mergeCell ref="Q17:S17"/>
    <mergeCell ref="T18:V18"/>
    <mergeCell ref="L4:M4"/>
    <mergeCell ref="Q7:W7"/>
    <mergeCell ref="E4:K4"/>
    <mergeCell ref="B4:D4"/>
    <mergeCell ref="B63:Y64"/>
    <mergeCell ref="V40:W40"/>
    <mergeCell ref="V41:W41"/>
    <mergeCell ref="Q49:R49"/>
    <mergeCell ref="Q43:Y43"/>
    <mergeCell ref="T46:W46"/>
    <mergeCell ref="T47:W47"/>
    <mergeCell ref="T48:W48"/>
    <mergeCell ref="I59:M59"/>
    <mergeCell ref="T50:W50"/>
    <mergeCell ref="Q46:R48"/>
    <mergeCell ref="T49:W49"/>
    <mergeCell ref="B57:K57"/>
    <mergeCell ref="M49:M52"/>
    <mergeCell ref="E49:J49"/>
    <mergeCell ref="E50:J50"/>
    <mergeCell ref="E51:J51"/>
    <mergeCell ref="E52:J52"/>
    <mergeCell ref="B54:D56"/>
    <mergeCell ref="B53:K53"/>
    <mergeCell ref="B41:J41"/>
    <mergeCell ref="M36:M44"/>
    <mergeCell ref="B37:K37"/>
    <mergeCell ref="B38:K38"/>
    <mergeCell ref="Q61:R61"/>
    <mergeCell ref="T61:W61"/>
    <mergeCell ref="Q58:R58"/>
    <mergeCell ref="T58:W58"/>
    <mergeCell ref="B46:C46"/>
    <mergeCell ref="D46:J46"/>
    <mergeCell ref="E48:J48"/>
    <mergeCell ref="B47:D47"/>
    <mergeCell ref="B48:D48"/>
    <mergeCell ref="T55:W55"/>
    <mergeCell ref="T59:W59"/>
    <mergeCell ref="Q50:R50"/>
    <mergeCell ref="Q55:R55"/>
    <mergeCell ref="Q59:R59"/>
    <mergeCell ref="M54:M56"/>
    <mergeCell ref="E58:J58"/>
    <mergeCell ref="B58:D58"/>
    <mergeCell ref="B28:D28"/>
    <mergeCell ref="Q28:S28"/>
    <mergeCell ref="B49:D52"/>
    <mergeCell ref="E54:J54"/>
    <mergeCell ref="E55:J55"/>
    <mergeCell ref="E56:J56"/>
    <mergeCell ref="R40:T40"/>
    <mergeCell ref="E47:J47"/>
    <mergeCell ref="R37:T37"/>
    <mergeCell ref="R38:T38"/>
    <mergeCell ref="R39:T39"/>
    <mergeCell ref="R41:T41"/>
    <mergeCell ref="B36:K36"/>
    <mergeCell ref="B39:K39"/>
    <mergeCell ref="B42:J42"/>
    <mergeCell ref="B44:K44"/>
    <mergeCell ref="B43:K43"/>
    <mergeCell ref="B40:K40"/>
    <mergeCell ref="S34:Y34"/>
    <mergeCell ref="E34:K34"/>
    <mergeCell ref="L34:M34"/>
    <mergeCell ref="Q32:Y32"/>
  </mergeCells>
  <phoneticPr fontId="0" type="noConversion"/>
  <dataValidations count="2">
    <dataValidation type="list" allowBlank="1" showInputMessage="1" showErrorMessage="1" sqref="E4:K4" xr:uid="{00000000-0002-0000-0200-000000000000}">
      <formula1>$AC$6:$AC$33</formula1>
    </dataValidation>
    <dataValidation allowBlank="1" showInputMessage="1" showErrorMessage="1" promptTitle="ISS A COMPENSAR" prompt="INFORME OS ISS RETIDOS NAS NOTAS-FISCIAS._x000a__x000a_COMPENSADO NO ISS CÁLCULADO AO LADO ESQUERDO DA PLANILHA." sqref="M58 M28 Y28" xr:uid="{00000000-0002-0000-0200-000001000000}"/>
  </dataValidations>
  <printOptions horizontalCentered="1" verticalCentered="1"/>
  <pageMargins left="0.78740157480314965" right="0.78740157480314965" top="0.19685039370078741" bottom="0.19685039370078741" header="0.51181102362204722" footer="0.51181102362204722"/>
  <pageSetup paperSize="9" scale="67" orientation="landscape" blackAndWhite="1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AJUDA</vt:lpstr>
      <vt:lpstr>NF COM RETENÇÃO</vt:lpstr>
      <vt:lpstr>APURAÇÃO LUCRO PRESUMIDO</vt:lpstr>
    </vt:vector>
  </TitlesOfParts>
  <Company>ANGELO ADALBERTO TONON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ANGELO ADALBERTO TONON</dc:title>
  <dc:subject>CÁLCULO LUCRO PRESUMIDO</dc:subject>
  <dc:creator>ANGELO ADALBERTO TONON</dc:creator>
  <cp:keywords>CÁLCULO LUCRO PRESUMIDO</cp:keywords>
  <dc:description>ELABORADO A PEDIDO DE ALGUNS USUÁRIOS DA CLASSE CONTABIL</dc:description>
  <cp:lastModifiedBy>X</cp:lastModifiedBy>
  <cp:lastPrinted>2009-06-01T19:37:19Z</cp:lastPrinted>
  <dcterms:created xsi:type="dcterms:W3CDTF">2004-05-21T01:24:20Z</dcterms:created>
  <dcterms:modified xsi:type="dcterms:W3CDTF">2018-04-19T12:26:45Z</dcterms:modified>
  <cp:category>CÁLCULO LUCRO PRESUMIDO</cp:category>
</cp:coreProperties>
</file>