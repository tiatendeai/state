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c0b\AC\Temp\"/>
    </mc:Choice>
  </mc:AlternateContent>
  <xr:revisionPtr revIDLastSave="0" documentId="8_{0F530D88-D6B1-864D-AF1A-C8DF3CD90B65}" xr6:coauthVersionLast="34" xr6:coauthVersionMax="34" xr10:uidLastSave="{00000000-0000-0000-0000-000000000000}"/>
  <bookViews>
    <workbookView xWindow="360" yWindow="60" windowWidth="18135" windowHeight="8415" xr2:uid="{00000000-000D-0000-FFFF-FFFF00000000}"/>
  </bookViews>
  <sheets>
    <sheet name="Tabela com SELIC" sheetId="3" r:id="rId1"/>
  </sheets>
  <calcPr calcId="179020"/>
</workbook>
</file>

<file path=xl/calcChain.xml><?xml version="1.0" encoding="utf-8"?>
<calcChain xmlns="http://schemas.openxmlformats.org/spreadsheetml/2006/main">
  <c r="H12" i="3" l="1"/>
  <c r="C14" i="3"/>
  <c r="D11" i="3"/>
  <c r="E10" i="3"/>
  <c r="E11" i="3"/>
  <c r="C87" i="3"/>
  <c r="E85" i="3"/>
  <c r="D85" i="3"/>
  <c r="E84" i="3"/>
  <c r="D84" i="3"/>
  <c r="E82" i="3"/>
  <c r="D82" i="3"/>
  <c r="D87" i="3"/>
  <c r="D90" i="3"/>
  <c r="C69" i="3"/>
  <c r="E67" i="3"/>
  <c r="D67" i="3"/>
  <c r="E66" i="3"/>
  <c r="D66" i="3"/>
  <c r="E65" i="3"/>
  <c r="E64" i="3"/>
  <c r="D64" i="3"/>
  <c r="D69" i="3"/>
  <c r="C51" i="3"/>
  <c r="E49" i="3"/>
  <c r="D49" i="3"/>
  <c r="E48" i="3"/>
  <c r="D48" i="3"/>
  <c r="E47" i="3"/>
  <c r="E46" i="3"/>
  <c r="D46" i="3"/>
  <c r="D51" i="3"/>
  <c r="D52" i="3"/>
  <c r="D53" i="3"/>
  <c r="C32" i="3"/>
  <c r="E30" i="3"/>
  <c r="D30" i="3"/>
  <c r="E29" i="3"/>
  <c r="D29" i="3"/>
  <c r="E28" i="3"/>
  <c r="E27" i="3"/>
  <c r="D27" i="3"/>
  <c r="G12" i="3"/>
  <c r="E12" i="3"/>
  <c r="H11" i="3"/>
  <c r="G11" i="3"/>
  <c r="F11" i="3"/>
  <c r="H10" i="3"/>
  <c r="G10" i="3"/>
  <c r="F10" i="3"/>
  <c r="F9" i="3"/>
  <c r="G9" i="3"/>
  <c r="E9" i="3"/>
  <c r="D9" i="3"/>
  <c r="E69" i="3"/>
  <c r="E72" i="3"/>
  <c r="D12" i="3"/>
  <c r="F12" i="3"/>
  <c r="E51" i="3"/>
  <c r="E54" i="3"/>
  <c r="D32" i="3"/>
  <c r="D33" i="3"/>
  <c r="D34" i="3"/>
  <c r="E32" i="3"/>
  <c r="E35" i="3"/>
  <c r="E14" i="3"/>
  <c r="E17" i="3"/>
  <c r="E18" i="3"/>
  <c r="D70" i="3"/>
  <c r="D71" i="3"/>
  <c r="D72" i="3"/>
  <c r="D54" i="3"/>
  <c r="F14" i="3"/>
  <c r="F17" i="3"/>
  <c r="F18" i="3"/>
  <c r="E70" i="3"/>
  <c r="E71" i="3"/>
  <c r="E87" i="3"/>
  <c r="E88" i="3"/>
  <c r="E89" i="3"/>
  <c r="D88" i="3"/>
  <c r="D89" i="3"/>
  <c r="H9" i="3"/>
  <c r="H14" i="3"/>
  <c r="H17" i="3"/>
  <c r="H18" i="3"/>
  <c r="G14" i="3"/>
  <c r="G17" i="3"/>
  <c r="G18" i="3"/>
  <c r="D14" i="3"/>
  <c r="D17" i="3"/>
  <c r="D18" i="3"/>
  <c r="E52" i="3"/>
  <c r="E53" i="3"/>
  <c r="D35" i="3"/>
  <c r="E33" i="3"/>
  <c r="E34" i="3"/>
  <c r="E15" i="3"/>
  <c r="E16" i="3"/>
  <c r="F15" i="3"/>
  <c r="F16" i="3"/>
  <c r="E90" i="3"/>
  <c r="G15" i="3"/>
  <c r="G16" i="3"/>
  <c r="D15" i="3"/>
  <c r="D16" i="3"/>
  <c r="H15" i="3"/>
  <c r="H16" i="3"/>
</calcChain>
</file>

<file path=xl/sharedStrings.xml><?xml version="1.0" encoding="utf-8"?>
<sst xmlns="http://schemas.openxmlformats.org/spreadsheetml/2006/main" count="87" uniqueCount="29">
  <si>
    <t>Valor ATUAL</t>
  </si>
  <si>
    <t>A VISTA</t>
  </si>
  <si>
    <t>Multa de mora/ofício</t>
  </si>
  <si>
    <t>Multa isolada</t>
  </si>
  <si>
    <t>Juros de Mora</t>
  </si>
  <si>
    <t>Encargos Legais</t>
  </si>
  <si>
    <t>TOTAL</t>
  </si>
  <si>
    <t>REFIS DA CRISE - SIMULADOR DE PARCELAMENTOS</t>
  </si>
  <si>
    <t>VALOR DA PARCELA</t>
  </si>
  <si>
    <t>-</t>
  </si>
  <si>
    <t>DISCRIMINAÇÃO DO DÉBITO</t>
  </si>
  <si>
    <t>REDUÇÃO</t>
  </si>
  <si>
    <t>% Reduzido</t>
  </si>
  <si>
    <r>
      <t xml:space="preserve">ATÉ 30x                              </t>
    </r>
    <r>
      <rPr>
        <b/>
        <sz val="10"/>
        <color indexed="8"/>
        <rFont val="Calibri"/>
        <family val="2"/>
      </rPr>
      <t>(2 anos 6 meses)</t>
    </r>
  </si>
  <si>
    <r>
      <t xml:space="preserve">ATÉ 60x                             </t>
    </r>
    <r>
      <rPr>
        <b/>
        <sz val="10"/>
        <color indexed="8"/>
        <rFont val="Calibri"/>
        <family val="2"/>
      </rPr>
      <t>(5 anos)</t>
    </r>
  </si>
  <si>
    <r>
      <t xml:space="preserve">ATÉ 120x                                 </t>
    </r>
    <r>
      <rPr>
        <b/>
        <sz val="10"/>
        <color indexed="8"/>
        <rFont val="Calibri"/>
        <family val="2"/>
      </rPr>
      <t>(10 anos)</t>
    </r>
  </si>
  <si>
    <r>
      <t xml:space="preserve">ATÉ 180x                              </t>
    </r>
    <r>
      <rPr>
        <b/>
        <sz val="10"/>
        <color indexed="8"/>
        <rFont val="Calibri"/>
        <family val="2"/>
      </rPr>
      <t>(15 anos)</t>
    </r>
  </si>
  <si>
    <r>
      <rPr>
        <b/>
        <i/>
        <sz val="9"/>
        <color indexed="18"/>
        <rFont val="Calibri"/>
        <family val="2"/>
      </rPr>
      <t>*Observação:</t>
    </r>
    <r>
      <rPr>
        <b/>
        <i/>
        <sz val="9"/>
        <color indexed="8"/>
        <rFont val="Calibri"/>
        <family val="2"/>
      </rPr>
      <t xml:space="preserve"> Respeitar parcela mínima de Pessoa Física (</t>
    </r>
    <r>
      <rPr>
        <b/>
        <i/>
        <sz val="9"/>
        <color indexed="10"/>
        <rFont val="Calibri"/>
        <family val="2"/>
      </rPr>
      <t>R$ 50,00</t>
    </r>
    <r>
      <rPr>
        <b/>
        <i/>
        <sz val="9"/>
        <color indexed="8"/>
        <rFont val="Calibri"/>
        <family val="2"/>
      </rPr>
      <t>) e Pessoa Jurídica (</t>
    </r>
    <r>
      <rPr>
        <b/>
        <i/>
        <sz val="9"/>
        <color indexed="10"/>
        <rFont val="Calibri"/>
        <family val="2"/>
      </rPr>
      <t>R$ 100,00</t>
    </r>
    <r>
      <rPr>
        <b/>
        <i/>
        <sz val="9"/>
        <color indexed="8"/>
        <rFont val="Calibri"/>
        <family val="2"/>
      </rPr>
      <t>)</t>
    </r>
  </si>
  <si>
    <t>Saldo remanescente do REFIS</t>
  </si>
  <si>
    <t>Valor Principal</t>
  </si>
  <si>
    <t>Saldo remanescente do PAES</t>
  </si>
  <si>
    <t>Saldo remanescente do PAEX</t>
  </si>
  <si>
    <t>Saldo remanescente de Parcelamento Ordinário</t>
  </si>
  <si>
    <t>Débitos não parcelados anteriormente ("virgens")</t>
  </si>
  <si>
    <r>
      <rPr>
        <b/>
        <i/>
        <sz val="9"/>
        <color indexed="18"/>
        <rFont val="Calibri"/>
        <family val="2"/>
      </rPr>
      <t>*Observação:</t>
    </r>
    <r>
      <rPr>
        <b/>
        <i/>
        <sz val="9"/>
        <color indexed="8"/>
        <rFont val="Calibri"/>
        <family val="2"/>
      </rPr>
      <t xml:space="preserve"> Respeitar parcela mínima de Pessoa Física (</t>
    </r>
    <r>
      <rPr>
        <b/>
        <i/>
        <sz val="9"/>
        <color indexed="10"/>
        <rFont val="Calibri"/>
        <family val="2"/>
      </rPr>
      <t>R$ 50,00</t>
    </r>
    <r>
      <rPr>
        <b/>
        <i/>
        <sz val="9"/>
        <color indexed="8"/>
        <rFont val="Calibri"/>
        <family val="2"/>
      </rPr>
      <t>) e Pessoa Jurídica (</t>
    </r>
    <r>
      <rPr>
        <b/>
        <i/>
        <sz val="9"/>
        <color indexed="10"/>
        <rFont val="Calibri"/>
        <family val="2"/>
      </rPr>
      <t>R$ 100,00</t>
    </r>
    <r>
      <rPr>
        <b/>
        <i/>
        <sz val="9"/>
        <color indexed="8"/>
        <rFont val="Calibri"/>
        <family val="2"/>
      </rPr>
      <t>). Em caso de parcelamento ativo, a parcela será de pelo menos 85% da última parcela devida em 11/2008. Em caso de exclusão/rescisão, apenas deve respeitar a parcela mínima.</t>
    </r>
  </si>
  <si>
    <r>
      <rPr>
        <b/>
        <i/>
        <sz val="9"/>
        <color indexed="18"/>
        <rFont val="Calibri"/>
        <family val="2"/>
      </rPr>
      <t>*Observação:</t>
    </r>
    <r>
      <rPr>
        <b/>
        <i/>
        <sz val="9"/>
        <color indexed="8"/>
        <rFont val="Calibri"/>
        <family val="2"/>
      </rPr>
      <t xml:space="preserve"> Respeitar parcela mínima de Pessoa Física (</t>
    </r>
    <r>
      <rPr>
        <b/>
        <i/>
        <sz val="9"/>
        <color indexed="10"/>
        <rFont val="Calibri"/>
        <family val="2"/>
      </rPr>
      <t>R$ 50,00</t>
    </r>
    <r>
      <rPr>
        <b/>
        <i/>
        <sz val="9"/>
        <color indexed="8"/>
        <rFont val="Calibri"/>
        <family val="2"/>
      </rPr>
      <t>) e Pessoa Jurídica (</t>
    </r>
    <r>
      <rPr>
        <b/>
        <i/>
        <sz val="9"/>
        <color indexed="10"/>
        <rFont val="Calibri"/>
        <family val="2"/>
      </rPr>
      <t>R$ 100,00</t>
    </r>
    <r>
      <rPr>
        <b/>
        <i/>
        <sz val="9"/>
        <color indexed="8"/>
        <rFont val="Calibri"/>
        <family val="2"/>
      </rPr>
      <t>). Em caso de parcelamento ativo em 11/2008, a parcela será de pelo menos 85% da última parcela devida naquela data. Em caso de exclusão/rescisão, apenas deve respeitar a parcela mínima.</t>
    </r>
  </si>
  <si>
    <t>VALOR FINAL (Selic)</t>
  </si>
  <si>
    <t>www.refisdacrise.com.br</t>
  </si>
  <si>
    <r>
      <rPr>
        <b/>
        <i/>
        <sz val="9"/>
        <color indexed="18"/>
        <rFont val="Calibri"/>
        <family val="2"/>
      </rPr>
      <t>*Observação:</t>
    </r>
    <r>
      <rPr>
        <b/>
        <i/>
        <sz val="9"/>
        <color indexed="8"/>
        <rFont val="Calibri"/>
        <family val="2"/>
      </rPr>
      <t xml:space="preserve"> Respeitar parcela mínima de Pessoa Física (</t>
    </r>
    <r>
      <rPr>
        <b/>
        <i/>
        <sz val="9"/>
        <color indexed="10"/>
        <rFont val="Calibri"/>
        <family val="2"/>
      </rPr>
      <t>R$ 50,00</t>
    </r>
    <r>
      <rPr>
        <b/>
        <i/>
        <sz val="9"/>
        <color indexed="8"/>
        <rFont val="Calibri"/>
        <family val="2"/>
      </rPr>
      <t>) e Pessoa Jurídica (</t>
    </r>
    <r>
      <rPr>
        <b/>
        <i/>
        <sz val="9"/>
        <color indexed="10"/>
        <rFont val="Calibri"/>
        <family val="2"/>
      </rPr>
      <t>R$ 100,00</t>
    </r>
    <r>
      <rPr>
        <b/>
        <i/>
        <sz val="9"/>
        <color indexed="8"/>
        <rFont val="Calibri"/>
        <family val="2"/>
      </rPr>
      <t xml:space="preserve">). Se houve recisão/exclusão do REFIS no período entre 12/2007 e 11/2008, a parcela terá valor de pelo menos 85% da média das últimas parcelas pagas (entre 12/2007 e 11/2008). Se o REFIS estava ativo em 11/2008, a parcela será de pelo menos 85% da média do período de 12/2007 e 11/2008. Em caso de exclusão/rescisão anterior à 12/2007, apenas deve respeitar </t>
    </r>
    <r>
      <rPr>
        <b/>
        <i/>
        <u/>
        <sz val="9"/>
        <color indexed="8"/>
        <rFont val="Calibri"/>
        <family val="2"/>
      </rPr>
      <t>a parcela mínima.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</si>
</sst>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24" x14ac:knownFonts="1">
    <font>
      <sz val="11"/>
      <color theme="1"/>
      <name val="Calibri"/>
      <family val="2"/>
      <scheme val="minor"/>
    </font>
    <font>
      <b/>
      <sz val="10"/>
      <color indexed="8"/>
      <name val="Calibri"/>
      <family val="2"/>
    </font>
    <font>
      <b/>
      <i/>
      <sz val="9"/>
      <color indexed="18"/>
      <name val="Calibri"/>
      <family val="2"/>
    </font>
    <font>
      <b/>
      <i/>
      <sz val="9"/>
      <color indexed="8"/>
      <name val="Calibri"/>
      <family val="2"/>
    </font>
    <font>
      <b/>
      <i/>
      <sz val="9"/>
      <color indexed="10"/>
      <name val="Calibri"/>
      <family val="2"/>
    </font>
    <font>
      <b/>
      <i/>
      <u/>
      <sz val="9"/>
      <color indexed="8"/>
      <name val="Calibri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theme="1"/>
      <name val="Calibri"/>
      <family val="2"/>
      <scheme val="minor"/>
    </font>
    <font>
      <i/>
      <u/>
      <sz val="12"/>
      <color theme="1"/>
      <name val="Calibri"/>
      <family val="2"/>
    </font>
    <font>
      <u/>
      <sz val="12"/>
      <color theme="1"/>
      <name val="Cooper Black"/>
      <family val="1"/>
    </font>
    <font>
      <b/>
      <i/>
      <sz val="10"/>
      <color theme="1"/>
      <name val="Agency FB"/>
      <family val="2"/>
    </font>
    <font>
      <b/>
      <sz val="10"/>
      <color theme="1"/>
      <name val="Calibri"/>
      <family val="2"/>
      <scheme val="minor"/>
    </font>
    <font>
      <b/>
      <sz val="10"/>
      <color theme="1"/>
      <name val="Agency FB"/>
      <family val="2"/>
    </font>
    <font>
      <sz val="10"/>
      <color theme="1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0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i/>
      <u/>
      <sz val="12"/>
      <color theme="1"/>
      <name val="Calibri"/>
      <family val="2"/>
      <scheme val="minor"/>
    </font>
    <font>
      <b/>
      <i/>
      <sz val="9"/>
      <color theme="1"/>
      <name val="Calibri"/>
      <family val="2"/>
    </font>
    <font>
      <b/>
      <i/>
      <sz val="10"/>
      <color rgb="FFC00000"/>
      <name val="Calibri"/>
      <family val="2"/>
      <scheme val="minor"/>
    </font>
    <font>
      <b/>
      <u/>
      <sz val="12"/>
      <color theme="0"/>
      <name val="Aharoni"/>
      <charset val="177"/>
    </font>
    <font>
      <b/>
      <u/>
      <sz val="11"/>
      <color rgb="FF003208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theme="7" tint="0.79998168889431442"/>
        <bgColor indexed="64"/>
      </patternFill>
    </fill>
    <fill>
      <gradientFill degree="90">
        <stop position="0">
          <color rgb="FF003208"/>
        </stop>
        <stop position="0.5">
          <color theme="6" tint="-0.49803155613879818"/>
        </stop>
        <stop position="1">
          <color rgb="FF003208"/>
        </stop>
      </gradientFill>
    </fill>
    <fill>
      <patternFill patternType="solid">
        <fgColor theme="6" tint="0.7999816888943144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</cellStyleXfs>
  <cellXfs count="78">
    <xf numFmtId="0" fontId="0" fillId="0" borderId="0" xfId="0"/>
    <xf numFmtId="0" fontId="0" fillId="2" borderId="0" xfId="0" applyFill="1" applyProtection="1">
      <protection hidden="1"/>
    </xf>
    <xf numFmtId="0" fontId="0" fillId="2" borderId="0" xfId="0" applyFont="1" applyFill="1" applyProtection="1">
      <protection hidden="1"/>
    </xf>
    <xf numFmtId="0" fontId="8" fillId="2" borderId="0" xfId="0" applyFont="1" applyFill="1" applyAlignment="1" applyProtection="1">
      <alignment horizontal="center" vertical="center"/>
      <protection hidden="1"/>
    </xf>
    <xf numFmtId="0" fontId="9" fillId="2" borderId="0" xfId="0" applyFont="1" applyFill="1" applyAlignment="1" applyProtection="1">
      <alignment horizontal="left" vertical="center"/>
      <protection hidden="1"/>
    </xf>
    <xf numFmtId="0" fontId="10" fillId="2" borderId="0" xfId="0" applyFont="1" applyFill="1" applyAlignment="1" applyProtection="1">
      <alignment horizontal="center" vertical="center"/>
      <protection hidden="1"/>
    </xf>
    <xf numFmtId="0" fontId="11" fillId="3" borderId="1" xfId="0" applyFont="1" applyFill="1" applyBorder="1" applyAlignment="1" applyProtection="1">
      <alignment horizontal="center" vertical="center"/>
      <protection hidden="1"/>
    </xf>
    <xf numFmtId="0" fontId="12" fillId="4" borderId="1" xfId="0" applyFont="1" applyFill="1" applyBorder="1" applyAlignment="1" applyProtection="1">
      <alignment horizontal="center" vertical="center" wrapText="1"/>
      <protection hidden="1"/>
    </xf>
    <xf numFmtId="0" fontId="12" fillId="4" borderId="2" xfId="0" applyFont="1" applyFill="1" applyBorder="1" applyAlignment="1" applyProtection="1">
      <alignment horizontal="center" vertical="center" wrapText="1"/>
      <protection hidden="1"/>
    </xf>
    <xf numFmtId="0" fontId="12" fillId="4" borderId="3" xfId="0" applyFont="1" applyFill="1" applyBorder="1" applyAlignment="1" applyProtection="1">
      <alignment horizontal="center" vertical="center" wrapText="1"/>
      <protection hidden="1"/>
    </xf>
    <xf numFmtId="0" fontId="12" fillId="4" borderId="4" xfId="0" applyFont="1" applyFill="1" applyBorder="1" applyAlignment="1" applyProtection="1">
      <alignment horizontal="center" vertical="center" wrapText="1"/>
      <protection hidden="1"/>
    </xf>
    <xf numFmtId="0" fontId="13" fillId="5" borderId="5" xfId="0" applyFont="1" applyFill="1" applyBorder="1" applyAlignment="1" applyProtection="1">
      <alignment horizontal="center"/>
      <protection hidden="1"/>
    </xf>
    <xf numFmtId="164" fontId="14" fillId="6" borderId="6" xfId="0" applyNumberFormat="1" applyFont="1" applyFill="1" applyBorder="1" applyProtection="1">
      <protection hidden="1"/>
    </xf>
    <xf numFmtId="164" fontId="14" fillId="0" borderId="7" xfId="0" applyNumberFormat="1" applyFont="1" applyBorder="1" applyProtection="1">
      <protection hidden="1"/>
    </xf>
    <xf numFmtId="164" fontId="14" fillId="0" borderId="8" xfId="0" applyNumberFormat="1" applyFont="1" applyBorder="1" applyProtection="1">
      <protection hidden="1"/>
    </xf>
    <xf numFmtId="0" fontId="13" fillId="5" borderId="9" xfId="0" applyFont="1" applyFill="1" applyBorder="1" applyAlignment="1" applyProtection="1">
      <alignment horizontal="center"/>
      <protection hidden="1"/>
    </xf>
    <xf numFmtId="164" fontId="14" fillId="6" borderId="10" xfId="0" applyNumberFormat="1" applyFont="1" applyFill="1" applyBorder="1" applyProtection="1">
      <protection hidden="1"/>
    </xf>
    <xf numFmtId="164" fontId="14" fillId="0" borderId="11" xfId="0" applyNumberFormat="1" applyFont="1" applyBorder="1" applyProtection="1">
      <protection hidden="1"/>
    </xf>
    <xf numFmtId="164" fontId="14" fillId="0" borderId="12" xfId="0" applyNumberFormat="1" applyFont="1" applyBorder="1" applyProtection="1">
      <protection hidden="1"/>
    </xf>
    <xf numFmtId="0" fontId="13" fillId="5" borderId="13" xfId="0" applyFont="1" applyFill="1" applyBorder="1" applyAlignment="1" applyProtection="1">
      <alignment horizontal="center"/>
      <protection hidden="1"/>
    </xf>
    <xf numFmtId="164" fontId="14" fillId="6" borderId="14" xfId="0" applyNumberFormat="1" applyFont="1" applyFill="1" applyBorder="1" applyProtection="1">
      <protection hidden="1"/>
    </xf>
    <xf numFmtId="164" fontId="14" fillId="0" borderId="15" xfId="0" applyNumberFormat="1" applyFont="1" applyBorder="1" applyProtection="1">
      <protection hidden="1"/>
    </xf>
    <xf numFmtId="164" fontId="14" fillId="0" borderId="16" xfId="0" applyNumberFormat="1" applyFont="1" applyBorder="1" applyProtection="1">
      <protection hidden="1"/>
    </xf>
    <xf numFmtId="0" fontId="13" fillId="7" borderId="1" xfId="0" applyFont="1" applyFill="1" applyBorder="1" applyAlignment="1" applyProtection="1">
      <alignment horizontal="center"/>
      <protection hidden="1"/>
    </xf>
    <xf numFmtId="164" fontId="15" fillId="7" borderId="1" xfId="0" applyNumberFormat="1" applyFont="1" applyFill="1" applyBorder="1" applyProtection="1">
      <protection hidden="1"/>
    </xf>
    <xf numFmtId="164" fontId="12" fillId="7" borderId="2" xfId="0" applyNumberFormat="1" applyFont="1" applyFill="1" applyBorder="1" applyProtection="1">
      <protection hidden="1"/>
    </xf>
    <xf numFmtId="164" fontId="12" fillId="7" borderId="3" xfId="0" applyNumberFormat="1" applyFont="1" applyFill="1" applyBorder="1" applyProtection="1">
      <protection hidden="1"/>
    </xf>
    <xf numFmtId="164" fontId="12" fillId="7" borderId="4" xfId="0" applyNumberFormat="1" applyFont="1" applyFill="1" applyBorder="1" applyProtection="1">
      <protection hidden="1"/>
    </xf>
    <xf numFmtId="0" fontId="13" fillId="8" borderId="17" xfId="0" applyFont="1" applyFill="1" applyBorder="1" applyAlignment="1" applyProtection="1">
      <alignment horizontal="center"/>
      <protection hidden="1"/>
    </xf>
    <xf numFmtId="164" fontId="14" fillId="8" borderId="17" xfId="0" applyNumberFormat="1" applyFont="1" applyFill="1" applyBorder="1" applyProtection="1">
      <protection hidden="1"/>
    </xf>
    <xf numFmtId="164" fontId="14" fillId="8" borderId="6" xfId="0" applyNumberFormat="1" applyFont="1" applyFill="1" applyBorder="1" applyProtection="1">
      <protection hidden="1"/>
    </xf>
    <xf numFmtId="164" fontId="14" fillId="8" borderId="7" xfId="0" applyNumberFormat="1" applyFont="1" applyFill="1" applyBorder="1" applyProtection="1">
      <protection hidden="1"/>
    </xf>
    <xf numFmtId="164" fontId="14" fillId="8" borderId="8" xfId="0" applyNumberFormat="1" applyFont="1" applyFill="1" applyBorder="1" applyProtection="1">
      <protection hidden="1"/>
    </xf>
    <xf numFmtId="0" fontId="13" fillId="8" borderId="13" xfId="0" applyFont="1" applyFill="1" applyBorder="1" applyAlignment="1" applyProtection="1">
      <alignment horizontal="center"/>
      <protection hidden="1"/>
    </xf>
    <xf numFmtId="164" fontId="16" fillId="8" borderId="13" xfId="0" applyNumberFormat="1" applyFont="1" applyFill="1" applyBorder="1" applyProtection="1">
      <protection hidden="1"/>
    </xf>
    <xf numFmtId="10" fontId="17" fillId="8" borderId="14" xfId="2" applyNumberFormat="1" applyFont="1" applyFill="1" applyBorder="1" applyProtection="1">
      <protection hidden="1"/>
    </xf>
    <xf numFmtId="10" fontId="17" fillId="8" borderId="15" xfId="2" applyNumberFormat="1" applyFont="1" applyFill="1" applyBorder="1" applyProtection="1">
      <protection hidden="1"/>
    </xf>
    <xf numFmtId="10" fontId="17" fillId="8" borderId="16" xfId="2" applyNumberFormat="1" applyFont="1" applyFill="1" applyBorder="1" applyProtection="1">
      <protection hidden="1"/>
    </xf>
    <xf numFmtId="0" fontId="13" fillId="9" borderId="1" xfId="0" applyFont="1" applyFill="1" applyBorder="1" applyAlignment="1" applyProtection="1">
      <alignment horizontal="center"/>
      <protection hidden="1"/>
    </xf>
    <xf numFmtId="164" fontId="12" fillId="9" borderId="1" xfId="0" applyNumberFormat="1" applyFont="1" applyFill="1" applyBorder="1" applyAlignment="1" applyProtection="1">
      <alignment horizontal="center"/>
      <protection hidden="1"/>
    </xf>
    <xf numFmtId="164" fontId="12" fillId="9" borderId="2" xfId="0" applyNumberFormat="1" applyFont="1" applyFill="1" applyBorder="1" applyProtection="1">
      <protection hidden="1"/>
    </xf>
    <xf numFmtId="164" fontId="12" fillId="9" borderId="3" xfId="0" applyNumberFormat="1" applyFont="1" applyFill="1" applyBorder="1" applyProtection="1">
      <protection hidden="1"/>
    </xf>
    <xf numFmtId="164" fontId="12" fillId="9" borderId="4" xfId="0" applyNumberFormat="1" applyFont="1" applyFill="1" applyBorder="1" applyProtection="1">
      <protection hidden="1"/>
    </xf>
    <xf numFmtId="0" fontId="13" fillId="10" borderId="1" xfId="0" applyFont="1" applyFill="1" applyBorder="1" applyAlignment="1" applyProtection="1">
      <alignment horizontal="center"/>
      <protection hidden="1"/>
    </xf>
    <xf numFmtId="164" fontId="15" fillId="10" borderId="1" xfId="0" applyNumberFormat="1" applyFont="1" applyFill="1" applyBorder="1" applyAlignment="1" applyProtection="1">
      <alignment horizontal="center"/>
      <protection hidden="1"/>
    </xf>
    <xf numFmtId="164" fontId="15" fillId="10" borderId="2" xfId="0" applyNumberFormat="1" applyFont="1" applyFill="1" applyBorder="1" applyProtection="1">
      <protection hidden="1"/>
    </xf>
    <xf numFmtId="164" fontId="15" fillId="10" borderId="3" xfId="0" applyNumberFormat="1" applyFont="1" applyFill="1" applyBorder="1" applyProtection="1">
      <protection hidden="1"/>
    </xf>
    <xf numFmtId="164" fontId="15" fillId="10" borderId="4" xfId="0" applyNumberFormat="1" applyFont="1" applyFill="1" applyBorder="1" applyProtection="1">
      <protection hidden="1"/>
    </xf>
    <xf numFmtId="0" fontId="18" fillId="2" borderId="0" xfId="0" applyFont="1" applyFill="1" applyProtection="1">
      <protection hidden="1"/>
    </xf>
    <xf numFmtId="0" fontId="19" fillId="2" borderId="0" xfId="0" applyFont="1" applyFill="1" applyAlignment="1" applyProtection="1">
      <alignment horizontal="left" vertical="center"/>
      <protection hidden="1"/>
    </xf>
    <xf numFmtId="0" fontId="13" fillId="7" borderId="9" xfId="0" applyFont="1" applyFill="1" applyBorder="1" applyAlignment="1" applyProtection="1">
      <alignment horizontal="center"/>
      <protection hidden="1"/>
    </xf>
    <xf numFmtId="164" fontId="12" fillId="7" borderId="10" xfId="0" applyNumberFormat="1" applyFont="1" applyFill="1" applyBorder="1" applyProtection="1">
      <protection hidden="1"/>
    </xf>
    <xf numFmtId="164" fontId="12" fillId="7" borderId="12" xfId="0" applyNumberFormat="1" applyFont="1" applyFill="1" applyBorder="1" applyProtection="1">
      <protection hidden="1"/>
    </xf>
    <xf numFmtId="0" fontId="13" fillId="8" borderId="9" xfId="0" applyFont="1" applyFill="1" applyBorder="1" applyAlignment="1" applyProtection="1">
      <alignment horizontal="center"/>
      <protection hidden="1"/>
    </xf>
    <xf numFmtId="164" fontId="14" fillId="8" borderId="10" xfId="0" applyNumberFormat="1" applyFont="1" applyFill="1" applyBorder="1" applyProtection="1">
      <protection hidden="1"/>
    </xf>
    <xf numFmtId="164" fontId="14" fillId="8" borderId="12" xfId="0" applyNumberFormat="1" applyFont="1" applyFill="1" applyBorder="1" applyProtection="1">
      <protection hidden="1"/>
    </xf>
    <xf numFmtId="164" fontId="16" fillId="8" borderId="9" xfId="0" applyNumberFormat="1" applyFont="1" applyFill="1" applyBorder="1" applyProtection="1">
      <protection hidden="1"/>
    </xf>
    <xf numFmtId="10" fontId="17" fillId="8" borderId="10" xfId="2" applyNumberFormat="1" applyFont="1" applyFill="1" applyBorder="1" applyProtection="1">
      <protection hidden="1"/>
    </xf>
    <xf numFmtId="10" fontId="17" fillId="8" borderId="12" xfId="2" applyNumberFormat="1" applyFont="1" applyFill="1" applyBorder="1" applyProtection="1">
      <protection hidden="1"/>
    </xf>
    <xf numFmtId="0" fontId="13" fillId="9" borderId="18" xfId="0" applyFont="1" applyFill="1" applyBorder="1" applyAlignment="1" applyProtection="1">
      <alignment horizontal="center"/>
      <protection hidden="1"/>
    </xf>
    <xf numFmtId="164" fontId="12" fillId="9" borderId="18" xfId="0" applyNumberFormat="1" applyFont="1" applyFill="1" applyBorder="1" applyProtection="1">
      <protection hidden="1"/>
    </xf>
    <xf numFmtId="164" fontId="12" fillId="9" borderId="19" xfId="0" applyNumberFormat="1" applyFont="1" applyFill="1" applyBorder="1" applyProtection="1">
      <protection hidden="1"/>
    </xf>
    <xf numFmtId="164" fontId="12" fillId="9" borderId="20" xfId="0" applyNumberFormat="1" applyFont="1" applyFill="1" applyBorder="1" applyProtection="1">
      <protection hidden="1"/>
    </xf>
    <xf numFmtId="0" fontId="20" fillId="2" borderId="0" xfId="0" applyFont="1" applyFill="1" applyAlignment="1" applyProtection="1">
      <alignment vertical="center"/>
      <protection hidden="1"/>
    </xf>
    <xf numFmtId="0" fontId="20" fillId="2" borderId="0" xfId="0" applyFont="1" applyFill="1" applyAlignment="1" applyProtection="1">
      <alignment horizontal="justify" vertical="center" wrapText="1"/>
      <protection hidden="1"/>
    </xf>
    <xf numFmtId="164" fontId="21" fillId="11" borderId="17" xfId="0" applyNumberFormat="1" applyFont="1" applyFill="1" applyBorder="1" applyProtection="1">
      <protection locked="0" hidden="1"/>
    </xf>
    <xf numFmtId="164" fontId="21" fillId="11" borderId="9" xfId="0" applyNumberFormat="1" applyFont="1" applyFill="1" applyBorder="1" applyProtection="1">
      <protection locked="0" hidden="1"/>
    </xf>
    <xf numFmtId="164" fontId="21" fillId="12" borderId="13" xfId="0" applyNumberFormat="1" applyFont="1" applyFill="1" applyBorder="1" applyProtection="1">
      <protection locked="0" hidden="1"/>
    </xf>
    <xf numFmtId="0" fontId="22" fillId="2" borderId="0" xfId="0" applyFont="1" applyFill="1" applyAlignment="1" applyProtection="1">
      <alignment horizontal="center" vertical="center"/>
      <protection hidden="1"/>
    </xf>
    <xf numFmtId="164" fontId="21" fillId="11" borderId="13" xfId="0" applyNumberFormat="1" applyFont="1" applyFill="1" applyBorder="1" applyProtection="1">
      <protection locked="0" hidden="1"/>
    </xf>
    <xf numFmtId="0" fontId="0" fillId="0" borderId="0" xfId="0" applyFill="1" applyProtection="1">
      <protection hidden="1"/>
    </xf>
    <xf numFmtId="0" fontId="0" fillId="0" borderId="0" xfId="0" applyFont="1" applyFill="1" applyProtection="1">
      <protection hidden="1"/>
    </xf>
    <xf numFmtId="0" fontId="22" fillId="13" borderId="0" xfId="0" applyFont="1" applyFill="1" applyAlignment="1" applyProtection="1">
      <alignment horizontal="center" vertical="center"/>
      <protection hidden="1"/>
    </xf>
    <xf numFmtId="0" fontId="18" fillId="14" borderId="0" xfId="0" applyFont="1" applyFill="1" applyBorder="1" applyAlignment="1" applyProtection="1">
      <alignment horizontal="left" vertical="center"/>
      <protection hidden="1"/>
    </xf>
    <xf numFmtId="0" fontId="20" fillId="14" borderId="21" xfId="0" applyFont="1" applyFill="1" applyBorder="1" applyAlignment="1" applyProtection="1">
      <alignment horizontal="justify" vertical="center" wrapText="1"/>
      <protection hidden="1"/>
    </xf>
    <xf numFmtId="0" fontId="20" fillId="14" borderId="0" xfId="0" applyFont="1" applyFill="1" applyAlignment="1" applyProtection="1">
      <alignment horizontal="justify" vertical="center" wrapText="1"/>
      <protection hidden="1"/>
    </xf>
    <xf numFmtId="0" fontId="20" fillId="14" borderId="0" xfId="0" applyFont="1" applyFill="1" applyBorder="1" applyAlignment="1" applyProtection="1">
      <alignment horizontal="justify" vertical="center" wrapText="1"/>
      <protection hidden="1"/>
    </xf>
    <xf numFmtId="0" fontId="23" fillId="2" borderId="0" xfId="1" applyFont="1" applyFill="1" applyAlignment="1" applyProtection="1">
      <alignment horizontal="right" vertical="center"/>
      <protection hidden="1"/>
    </xf>
  </cellXfs>
  <cellStyles count="3">
    <cellStyle name="Hiperlink" xfId="1" builtinId="8"/>
    <cellStyle name="Normal" xfId="0" builtinId="0"/>
    <cellStyle name="Porcentagem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 /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209550</xdr:colOff>
      <xdr:row>2</xdr:row>
      <xdr:rowOff>9525</xdr:rowOff>
    </xdr:from>
    <xdr:to>
      <xdr:col>8</xdr:col>
      <xdr:colOff>95250</xdr:colOff>
      <xdr:row>6</xdr:row>
      <xdr:rowOff>180975</xdr:rowOff>
    </xdr:to>
    <xdr:pic>
      <xdr:nvPicPr>
        <xdr:cNvPr id="1038" name="Imagem 1" descr="logo.jpg">
          <a:extLst>
            <a:ext uri="{FF2B5EF4-FFF2-40B4-BE49-F238E27FC236}">
              <a16:creationId xmlns:a16="http://schemas.microsoft.com/office/drawing/2014/main" id="{022C6704-DC22-41C2-A3A4-FE305083BF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81025"/>
          <a:ext cx="79057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276225</xdr:colOff>
      <xdr:row>24</xdr:row>
      <xdr:rowOff>114300</xdr:rowOff>
    </xdr:from>
    <xdr:to>
      <xdr:col>6</xdr:col>
      <xdr:colOff>161925</xdr:colOff>
      <xdr:row>27</xdr:row>
      <xdr:rowOff>85725</xdr:rowOff>
    </xdr:to>
    <xdr:pic>
      <xdr:nvPicPr>
        <xdr:cNvPr id="1039" name="Imagem 2" descr="logo.jpg">
          <a:extLst>
            <a:ext uri="{FF2B5EF4-FFF2-40B4-BE49-F238E27FC236}">
              <a16:creationId xmlns:a16="http://schemas.microsoft.com/office/drawing/2014/main" id="{65124764-7664-4608-8EFA-0F9D319934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62525" y="5038725"/>
          <a:ext cx="79057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257175</xdr:colOff>
      <xdr:row>43</xdr:row>
      <xdr:rowOff>133350</xdr:rowOff>
    </xdr:from>
    <xdr:to>
      <xdr:col>6</xdr:col>
      <xdr:colOff>142875</xdr:colOff>
      <xdr:row>46</xdr:row>
      <xdr:rowOff>104775</xdr:rowOff>
    </xdr:to>
    <xdr:pic>
      <xdr:nvPicPr>
        <xdr:cNvPr id="1040" name="Imagem 3" descr="logo.jpg">
          <a:extLst>
            <a:ext uri="{FF2B5EF4-FFF2-40B4-BE49-F238E27FC236}">
              <a16:creationId xmlns:a16="http://schemas.microsoft.com/office/drawing/2014/main" id="{02519DAB-C44E-4DB4-8999-C647A3E631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43475" y="8963025"/>
          <a:ext cx="79057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171450</xdr:colOff>
      <xdr:row>61</xdr:row>
      <xdr:rowOff>133350</xdr:rowOff>
    </xdr:from>
    <xdr:to>
      <xdr:col>6</xdr:col>
      <xdr:colOff>57150</xdr:colOff>
      <xdr:row>64</xdr:row>
      <xdr:rowOff>104775</xdr:rowOff>
    </xdr:to>
    <xdr:pic>
      <xdr:nvPicPr>
        <xdr:cNvPr id="1041" name="Imagem 4" descr="logo.jpg">
          <a:extLst>
            <a:ext uri="{FF2B5EF4-FFF2-40B4-BE49-F238E27FC236}">
              <a16:creationId xmlns:a16="http://schemas.microsoft.com/office/drawing/2014/main" id="{A481F619-69F1-4F4C-8377-55ACFF9FF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0" y="12677775"/>
          <a:ext cx="79057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 /><Relationship Id="rId2" Type="http://schemas.openxmlformats.org/officeDocument/2006/relationships/printerSettings" Target="../printerSettings/printerSettings1.bin" /><Relationship Id="rId1" Type="http://schemas.openxmlformats.org/officeDocument/2006/relationships/hyperlink" Target="http://www.refisdacrise.com.br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5"/>
  <sheetViews>
    <sheetView tabSelected="1" zoomScale="120" zoomScaleNormal="120" workbookViewId="0" xr3:uid="{AEA406A1-0E4B-5B11-9CD5-51D6E497D94C}">
      <selection activeCell="C82" sqref="C82:C86"/>
    </sheetView>
  </sheetViews>
  <sheetFormatPr defaultColWidth="9.14453125" defaultRowHeight="15" x14ac:dyDescent="0.2"/>
  <cols>
    <col min="1" max="1" width="5.91796875" style="70" customWidth="1"/>
    <col min="2" max="2" width="22.59765625" style="70" customWidth="1"/>
    <col min="3" max="3" width="14.125" style="70" bestFit="1" customWidth="1"/>
    <col min="4" max="4" width="13.5859375" style="70" bestFit="1" customWidth="1"/>
    <col min="5" max="5" width="14.125" style="70" bestFit="1" customWidth="1"/>
    <col min="6" max="8" width="13.5859375" style="70" bestFit="1" customWidth="1"/>
    <col min="9" max="16384" width="9.14453125" style="70"/>
  </cols>
  <sheetData>
    <row r="1" spans="1:14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30" customHeight="1" x14ac:dyDescent="0.2">
      <c r="A2" s="1"/>
      <c r="B2" s="72" t="s">
        <v>7</v>
      </c>
      <c r="C2" s="72"/>
      <c r="D2" s="72"/>
      <c r="E2" s="72"/>
      <c r="F2" s="72"/>
      <c r="G2" s="72"/>
      <c r="H2" s="72"/>
      <c r="I2" s="1"/>
      <c r="J2" s="1"/>
      <c r="K2" s="1"/>
      <c r="L2" s="1"/>
      <c r="M2" s="1"/>
      <c r="N2" s="1"/>
    </row>
    <row r="3" spans="1:14" ht="9" customHeight="1" x14ac:dyDescent="0.2">
      <c r="A3" s="1"/>
      <c r="B3" s="68"/>
      <c r="C3" s="68"/>
      <c r="D3" s="68"/>
      <c r="E3" s="68"/>
      <c r="F3" s="68"/>
      <c r="G3" s="68"/>
      <c r="H3" s="68"/>
      <c r="I3" s="1"/>
      <c r="J3" s="1"/>
      <c r="K3" s="1"/>
      <c r="L3" s="1"/>
      <c r="M3" s="1"/>
      <c r="N3" s="1"/>
    </row>
    <row r="4" spans="1:14" ht="18" customHeight="1" x14ac:dyDescent="0.2">
      <c r="A4" s="1"/>
      <c r="B4" s="68"/>
      <c r="C4" s="68"/>
      <c r="D4" s="68"/>
      <c r="E4" s="68"/>
      <c r="F4" s="77" t="s">
        <v>27</v>
      </c>
      <c r="G4" s="77"/>
      <c r="H4" s="68"/>
      <c r="I4" s="1"/>
      <c r="J4" s="1"/>
      <c r="K4" s="1"/>
      <c r="L4" s="1"/>
      <c r="M4" s="1"/>
      <c r="N4" s="1"/>
    </row>
    <row r="5" spans="1:14" s="71" customFormat="1" ht="5.25" customHeight="1" x14ac:dyDescent="0.2">
      <c r="A5" s="2"/>
      <c r="B5" s="3"/>
      <c r="C5" s="3"/>
      <c r="D5" s="3"/>
      <c r="E5" s="3"/>
      <c r="F5" s="3"/>
      <c r="G5" s="3"/>
      <c r="H5" s="3"/>
      <c r="I5" s="2"/>
      <c r="J5" s="2"/>
      <c r="K5" s="2"/>
      <c r="L5" s="2"/>
      <c r="M5" s="2"/>
      <c r="N5" s="2"/>
    </row>
    <row r="6" spans="1:14" ht="16.5" customHeight="1" x14ac:dyDescent="0.2">
      <c r="A6" s="1"/>
      <c r="B6" s="4" t="s">
        <v>23</v>
      </c>
      <c r="C6" s="5"/>
      <c r="D6" s="5"/>
      <c r="E6" s="5"/>
      <c r="F6" s="5"/>
      <c r="G6" s="5"/>
      <c r="H6" s="5"/>
      <c r="I6" s="1"/>
      <c r="J6" s="1"/>
      <c r="K6" s="1"/>
      <c r="L6" s="1"/>
      <c r="M6" s="1"/>
      <c r="N6" s="1"/>
    </row>
    <row r="7" spans="1:14" ht="15.75" thickBo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33.75" customHeight="1" thickBot="1" x14ac:dyDescent="0.25">
      <c r="A8" s="1"/>
      <c r="B8" s="6" t="s">
        <v>10</v>
      </c>
      <c r="C8" s="7" t="s">
        <v>0</v>
      </c>
      <c r="D8" s="8" t="s">
        <v>1</v>
      </c>
      <c r="E8" s="9" t="s">
        <v>13</v>
      </c>
      <c r="F8" s="9" t="s">
        <v>14</v>
      </c>
      <c r="G8" s="9" t="s">
        <v>15</v>
      </c>
      <c r="H8" s="10" t="s">
        <v>16</v>
      </c>
      <c r="I8" s="1"/>
      <c r="J8" s="1"/>
      <c r="K8" s="1"/>
      <c r="L8" s="1"/>
      <c r="M8" s="1"/>
      <c r="N8" s="1"/>
    </row>
    <row r="9" spans="1:14" x14ac:dyDescent="0.2">
      <c r="A9" s="1"/>
      <c r="B9" s="11" t="s">
        <v>19</v>
      </c>
      <c r="C9" s="65"/>
      <c r="D9" s="12">
        <f>C9</f>
        <v>0</v>
      </c>
      <c r="E9" s="13">
        <f>C9</f>
        <v>0</v>
      </c>
      <c r="F9" s="13">
        <f>C9</f>
        <v>0</v>
      </c>
      <c r="G9" s="13">
        <f>F9</f>
        <v>0</v>
      </c>
      <c r="H9" s="14">
        <f>F9</f>
        <v>0</v>
      </c>
      <c r="I9" s="1"/>
      <c r="J9" s="1"/>
      <c r="K9" s="1"/>
      <c r="L9" s="1"/>
      <c r="M9" s="1"/>
      <c r="N9" s="1"/>
    </row>
    <row r="10" spans="1:14" x14ac:dyDescent="0.2">
      <c r="A10" s="1"/>
      <c r="B10" s="15" t="s">
        <v>2</v>
      </c>
      <c r="C10" s="66"/>
      <c r="D10" s="16">
        <v>0</v>
      </c>
      <c r="E10" s="17">
        <f>0.1*C10</f>
        <v>0</v>
      </c>
      <c r="F10" s="17">
        <f>C10*0.2</f>
        <v>0</v>
      </c>
      <c r="G10" s="17">
        <f>C10*0.3</f>
        <v>0</v>
      </c>
      <c r="H10" s="18">
        <f>C10*0.4</f>
        <v>0</v>
      </c>
      <c r="I10" s="1"/>
      <c r="J10" s="1"/>
      <c r="K10" s="1"/>
      <c r="L10" s="1"/>
      <c r="M10" s="1"/>
      <c r="N10" s="1"/>
    </row>
    <row r="11" spans="1:14" x14ac:dyDescent="0.2">
      <c r="A11" s="1"/>
      <c r="B11" s="15" t="s">
        <v>3</v>
      </c>
      <c r="C11" s="66"/>
      <c r="D11" s="16">
        <f>C11*0.6</f>
        <v>0</v>
      </c>
      <c r="E11" s="17">
        <f>C11*0.65</f>
        <v>0</v>
      </c>
      <c r="F11" s="17">
        <f>C11*0.7</f>
        <v>0</v>
      </c>
      <c r="G11" s="17">
        <f>C11*0.75</f>
        <v>0</v>
      </c>
      <c r="H11" s="18">
        <f>C11*0.8</f>
        <v>0</v>
      </c>
      <c r="I11" s="1"/>
      <c r="J11" s="1"/>
      <c r="K11" s="1"/>
      <c r="L11" s="1"/>
      <c r="M11" s="1"/>
      <c r="N11" s="1"/>
    </row>
    <row r="12" spans="1:14" x14ac:dyDescent="0.2">
      <c r="A12" s="1"/>
      <c r="B12" s="15" t="s">
        <v>4</v>
      </c>
      <c r="C12" s="66"/>
      <c r="D12" s="16">
        <f>C12*0.55</f>
        <v>0</v>
      </c>
      <c r="E12" s="17">
        <f>C12*0.6</f>
        <v>0</v>
      </c>
      <c r="F12" s="17">
        <f>C12*0.65</f>
        <v>0</v>
      </c>
      <c r="G12" s="17">
        <f>C12*0.7</f>
        <v>0</v>
      </c>
      <c r="H12" s="18">
        <f>C12*0.75</f>
        <v>0</v>
      </c>
      <c r="I12" s="1"/>
      <c r="J12" s="1"/>
      <c r="K12" s="1"/>
      <c r="L12" s="1"/>
      <c r="M12" s="1"/>
      <c r="N12" s="1"/>
    </row>
    <row r="13" spans="1:14" ht="15.75" thickBot="1" x14ac:dyDescent="0.25">
      <c r="A13" s="1"/>
      <c r="B13" s="19" t="s">
        <v>5</v>
      </c>
      <c r="C13" s="67"/>
      <c r="D13" s="20">
        <v>0</v>
      </c>
      <c r="E13" s="21">
        <v>0</v>
      </c>
      <c r="F13" s="21">
        <v>0</v>
      </c>
      <c r="G13" s="21">
        <v>0</v>
      </c>
      <c r="H13" s="22">
        <v>0</v>
      </c>
      <c r="I13" s="1"/>
      <c r="J13" s="1"/>
      <c r="K13" s="1"/>
      <c r="L13" s="1"/>
      <c r="M13" s="1"/>
      <c r="N13" s="1"/>
    </row>
    <row r="14" spans="1:14" ht="15.75" thickBot="1" x14ac:dyDescent="0.25">
      <c r="A14" s="1"/>
      <c r="B14" s="23" t="s">
        <v>6</v>
      </c>
      <c r="C14" s="24">
        <f t="shared" ref="C14:H14" si="0">SUM(C9:C13)</f>
        <v>0</v>
      </c>
      <c r="D14" s="25">
        <f t="shared" si="0"/>
        <v>0</v>
      </c>
      <c r="E14" s="26">
        <f t="shared" si="0"/>
        <v>0</v>
      </c>
      <c r="F14" s="26">
        <f t="shared" si="0"/>
        <v>0</v>
      </c>
      <c r="G14" s="26">
        <f t="shared" si="0"/>
        <v>0</v>
      </c>
      <c r="H14" s="27">
        <f t="shared" si="0"/>
        <v>0</v>
      </c>
      <c r="I14" s="1"/>
      <c r="J14" s="1"/>
      <c r="K14" s="1"/>
      <c r="L14" s="1"/>
      <c r="M14" s="1"/>
      <c r="N14" s="1"/>
    </row>
    <row r="15" spans="1:14" x14ac:dyDescent="0.2">
      <c r="A15" s="1"/>
      <c r="B15" s="28" t="s">
        <v>11</v>
      </c>
      <c r="C15" s="29"/>
      <c r="D15" s="30">
        <f>C14-D14</f>
        <v>0</v>
      </c>
      <c r="E15" s="31">
        <f>C14-E14</f>
        <v>0</v>
      </c>
      <c r="F15" s="31">
        <f>C14-F14</f>
        <v>0</v>
      </c>
      <c r="G15" s="31">
        <f>C14-G14</f>
        <v>0</v>
      </c>
      <c r="H15" s="32">
        <f>C14-H14</f>
        <v>0</v>
      </c>
      <c r="I15" s="1"/>
      <c r="J15" s="1"/>
      <c r="K15" s="1"/>
      <c r="L15" s="1"/>
      <c r="M15" s="1"/>
      <c r="N15" s="1"/>
    </row>
    <row r="16" spans="1:14" ht="15.75" thickBot="1" x14ac:dyDescent="0.25">
      <c r="A16" s="1"/>
      <c r="B16" s="33" t="s">
        <v>12</v>
      </c>
      <c r="C16" s="34"/>
      <c r="D16" s="35" t="e">
        <f>D15/C14</f>
        <v>#DIV/0!</v>
      </c>
      <c r="E16" s="36" t="e">
        <f>E15/C14</f>
        <v>#DIV/0!</v>
      </c>
      <c r="F16" s="36" t="e">
        <f>F15/C14</f>
        <v>#DIV/0!</v>
      </c>
      <c r="G16" s="36" t="e">
        <f>G15/C14</f>
        <v>#DIV/0!</v>
      </c>
      <c r="H16" s="37" t="e">
        <f>H15/C14</f>
        <v>#DIV/0!</v>
      </c>
      <c r="I16" s="1"/>
      <c r="J16" s="1"/>
      <c r="K16" s="1"/>
      <c r="L16" s="1"/>
      <c r="M16" s="1"/>
      <c r="N16" s="1"/>
    </row>
    <row r="17" spans="1:14" ht="15.75" thickBot="1" x14ac:dyDescent="0.25">
      <c r="A17" s="1"/>
      <c r="B17" s="38" t="s">
        <v>8</v>
      </c>
      <c r="C17" s="39" t="s">
        <v>9</v>
      </c>
      <c r="D17" s="40">
        <f>D14</f>
        <v>0</v>
      </c>
      <c r="E17" s="41">
        <f>E14/30</f>
        <v>0</v>
      </c>
      <c r="F17" s="41">
        <f>F14/60</f>
        <v>0</v>
      </c>
      <c r="G17" s="41">
        <f>G14/120</f>
        <v>0</v>
      </c>
      <c r="H17" s="42">
        <f>H14/180</f>
        <v>0</v>
      </c>
      <c r="I17" s="1"/>
      <c r="J17" s="1"/>
      <c r="K17" s="1"/>
      <c r="L17" s="1"/>
      <c r="M17" s="1"/>
      <c r="N17" s="1"/>
    </row>
    <row r="18" spans="1:14" ht="15.75" thickBot="1" x14ac:dyDescent="0.25">
      <c r="A18" s="1"/>
      <c r="B18" s="43" t="s">
        <v>26</v>
      </c>
      <c r="C18" s="44" t="s">
        <v>9</v>
      </c>
      <c r="D18" s="45">
        <f>D17</f>
        <v>0</v>
      </c>
      <c r="E18" s="46">
        <f>E17*30+(398.46%*E17)</f>
        <v>0</v>
      </c>
      <c r="F18" s="46">
        <f>F17*60+(1621.32%*F17)</f>
        <v>0</v>
      </c>
      <c r="G18" s="46">
        <f>G17*120+(6540.24%*G17)</f>
        <v>0</v>
      </c>
      <c r="H18" s="47">
        <f>H17*180+(14756.76%*H17)</f>
        <v>0</v>
      </c>
      <c r="I18" s="1"/>
      <c r="J18" s="1"/>
      <c r="K18" s="1"/>
      <c r="L18" s="1"/>
      <c r="M18" s="1"/>
      <c r="N18" s="1"/>
    </row>
    <row r="19" spans="1:14" x14ac:dyDescent="0.2">
      <c r="A19" s="1"/>
      <c r="B19" s="73" t="s">
        <v>17</v>
      </c>
      <c r="C19" s="73"/>
      <c r="D19" s="73"/>
      <c r="E19" s="73"/>
      <c r="F19" s="73"/>
      <c r="G19" s="73"/>
      <c r="H19" s="73"/>
      <c r="I19" s="1"/>
      <c r="J19" s="1"/>
      <c r="K19" s="1"/>
      <c r="L19" s="1"/>
      <c r="M19" s="1"/>
      <c r="N19" s="1"/>
    </row>
    <row r="20" spans="1:14" x14ac:dyDescent="0.2">
      <c r="A20" s="1"/>
      <c r="B20" s="73"/>
      <c r="C20" s="73"/>
      <c r="D20" s="73"/>
      <c r="E20" s="73"/>
      <c r="F20" s="73"/>
      <c r="G20" s="73"/>
      <c r="H20" s="73"/>
      <c r="I20" s="1"/>
      <c r="J20" s="1"/>
      <c r="K20" s="1"/>
      <c r="L20" s="1"/>
      <c r="M20" s="1"/>
      <c r="N20" s="1"/>
    </row>
    <row r="21" spans="1:14" x14ac:dyDescent="0.2">
      <c r="A21" s="1"/>
      <c r="B21" s="73"/>
      <c r="C21" s="73"/>
      <c r="D21" s="73"/>
      <c r="E21" s="73"/>
      <c r="F21" s="73"/>
      <c r="G21" s="73"/>
      <c r="H21" s="73"/>
      <c r="I21" s="1"/>
      <c r="J21" s="1"/>
      <c r="K21" s="1"/>
      <c r="L21" s="1"/>
      <c r="M21" s="1"/>
      <c r="N21" s="1"/>
    </row>
    <row r="22" spans="1:14" x14ac:dyDescent="0.2">
      <c r="A22" s="1"/>
      <c r="B22" s="48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x14ac:dyDescent="0.2">
      <c r="A23" s="1"/>
      <c r="B23" s="48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x14ac:dyDescent="0.2">
      <c r="A24" s="1"/>
      <c r="B24" s="49" t="s">
        <v>18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ht="15.75" thickBo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ht="33.75" customHeight="1" thickBot="1" x14ac:dyDescent="0.25">
      <c r="A26" s="1"/>
      <c r="B26" s="6" t="s">
        <v>10</v>
      </c>
      <c r="C26" s="7" t="s">
        <v>0</v>
      </c>
      <c r="D26" s="8" t="s">
        <v>1</v>
      </c>
      <c r="E26" s="10" t="s">
        <v>16</v>
      </c>
      <c r="F26" s="1"/>
      <c r="G26" s="1"/>
      <c r="H26" s="1"/>
      <c r="I26" s="1"/>
      <c r="J26" s="1"/>
      <c r="K26" s="1"/>
      <c r="L26" s="1"/>
      <c r="M26" s="1"/>
      <c r="N26" s="1"/>
    </row>
    <row r="27" spans="1:14" x14ac:dyDescent="0.2">
      <c r="A27" s="1"/>
      <c r="B27" s="11" t="s">
        <v>19</v>
      </c>
      <c r="C27" s="65"/>
      <c r="D27" s="12">
        <f>C27</f>
        <v>0</v>
      </c>
      <c r="E27" s="14">
        <f>C27</f>
        <v>0</v>
      </c>
      <c r="F27" s="1"/>
      <c r="G27" s="1"/>
      <c r="H27" s="1"/>
      <c r="I27" s="1"/>
      <c r="J27" s="1"/>
      <c r="K27" s="1"/>
      <c r="L27" s="1"/>
      <c r="M27" s="1"/>
      <c r="N27" s="1"/>
    </row>
    <row r="28" spans="1:14" x14ac:dyDescent="0.2">
      <c r="A28" s="1"/>
      <c r="B28" s="15" t="s">
        <v>2</v>
      </c>
      <c r="C28" s="66"/>
      <c r="D28" s="16">
        <v>0</v>
      </c>
      <c r="E28" s="18">
        <f>0.6*C28</f>
        <v>0</v>
      </c>
      <c r="F28" s="1"/>
      <c r="G28" s="1"/>
      <c r="H28" s="1"/>
      <c r="I28" s="1"/>
      <c r="J28" s="1"/>
      <c r="K28" s="1"/>
      <c r="L28" s="1"/>
      <c r="M28" s="1"/>
      <c r="N28" s="1"/>
    </row>
    <row r="29" spans="1:14" x14ac:dyDescent="0.2">
      <c r="A29" s="1"/>
      <c r="B29" s="15" t="s">
        <v>3</v>
      </c>
      <c r="C29" s="66"/>
      <c r="D29" s="16">
        <f>C29*0.6</f>
        <v>0</v>
      </c>
      <c r="E29" s="18">
        <f>C29*0.6</f>
        <v>0</v>
      </c>
      <c r="F29" s="1"/>
      <c r="G29" s="1"/>
      <c r="H29" s="1"/>
      <c r="I29" s="1"/>
      <c r="J29" s="1"/>
      <c r="K29" s="1"/>
      <c r="L29" s="1"/>
      <c r="M29" s="1"/>
      <c r="N29" s="1"/>
    </row>
    <row r="30" spans="1:14" x14ac:dyDescent="0.2">
      <c r="A30" s="1"/>
      <c r="B30" s="15" t="s">
        <v>4</v>
      </c>
      <c r="C30" s="66"/>
      <c r="D30" s="16">
        <f>C30*0.55</f>
        <v>0</v>
      </c>
      <c r="E30" s="18">
        <f>C30*0.75</f>
        <v>0</v>
      </c>
      <c r="F30" s="1"/>
      <c r="G30" s="1"/>
      <c r="H30" s="1"/>
      <c r="I30" s="1"/>
      <c r="J30" s="1"/>
      <c r="K30" s="1"/>
      <c r="L30" s="1"/>
      <c r="M30" s="1"/>
      <c r="N30" s="1"/>
    </row>
    <row r="31" spans="1:14" ht="15.75" thickBot="1" x14ac:dyDescent="0.25">
      <c r="A31" s="1"/>
      <c r="B31" s="15" t="s">
        <v>5</v>
      </c>
      <c r="C31" s="69"/>
      <c r="D31" s="16">
        <v>0</v>
      </c>
      <c r="E31" s="18">
        <v>0</v>
      </c>
      <c r="F31" s="1"/>
      <c r="G31" s="1"/>
      <c r="H31" s="1"/>
      <c r="I31" s="1"/>
      <c r="J31" s="1"/>
      <c r="K31" s="1"/>
      <c r="L31" s="1"/>
      <c r="M31" s="1"/>
      <c r="N31" s="1"/>
    </row>
    <row r="32" spans="1:14" ht="15.75" thickBot="1" x14ac:dyDescent="0.25">
      <c r="A32" s="1"/>
      <c r="B32" s="50" t="s">
        <v>6</v>
      </c>
      <c r="C32" s="24">
        <f>SUM(C27:C31)</f>
        <v>0</v>
      </c>
      <c r="D32" s="51">
        <f>SUM(D27:D31)</f>
        <v>0</v>
      </c>
      <c r="E32" s="52">
        <f>SUM(E27:E31)</f>
        <v>0</v>
      </c>
      <c r="F32" s="1"/>
      <c r="G32" s="1"/>
      <c r="H32" s="1"/>
      <c r="I32" s="1"/>
      <c r="J32" s="1"/>
      <c r="K32" s="1"/>
      <c r="L32" s="1"/>
      <c r="M32" s="1"/>
      <c r="N32" s="1"/>
    </row>
    <row r="33" spans="1:14" x14ac:dyDescent="0.2">
      <c r="A33" s="1"/>
      <c r="B33" s="53" t="s">
        <v>11</v>
      </c>
      <c r="C33" s="29"/>
      <c r="D33" s="54">
        <f>C32-D32</f>
        <v>0</v>
      </c>
      <c r="E33" s="55">
        <f>C32-E32</f>
        <v>0</v>
      </c>
      <c r="F33" s="1"/>
      <c r="G33" s="1"/>
      <c r="H33" s="1"/>
      <c r="I33" s="1"/>
      <c r="J33" s="1"/>
      <c r="K33" s="1"/>
      <c r="L33" s="1"/>
      <c r="M33" s="1"/>
      <c r="N33" s="1"/>
    </row>
    <row r="34" spans="1:14" x14ac:dyDescent="0.2">
      <c r="A34" s="1"/>
      <c r="B34" s="53" t="s">
        <v>12</v>
      </c>
      <c r="C34" s="56"/>
      <c r="D34" s="57" t="e">
        <f>D33/C32</f>
        <v>#DIV/0!</v>
      </c>
      <c r="E34" s="58" t="e">
        <f>E33/C32</f>
        <v>#DIV/0!</v>
      </c>
      <c r="F34" s="1"/>
      <c r="G34" s="1"/>
      <c r="H34" s="1"/>
      <c r="I34" s="1"/>
      <c r="J34" s="1"/>
      <c r="K34" s="1"/>
      <c r="L34" s="1"/>
      <c r="M34" s="1"/>
      <c r="N34" s="1"/>
    </row>
    <row r="35" spans="1:14" ht="15.75" thickBot="1" x14ac:dyDescent="0.25">
      <c r="A35" s="1"/>
      <c r="B35" s="59" t="s">
        <v>8</v>
      </c>
      <c r="C35" s="60" t="s">
        <v>9</v>
      </c>
      <c r="D35" s="61">
        <f>D32</f>
        <v>0</v>
      </c>
      <c r="E35" s="62">
        <f>E32/180</f>
        <v>0</v>
      </c>
      <c r="F35" s="1"/>
      <c r="G35" s="1"/>
      <c r="H35" s="1"/>
      <c r="I35" s="1"/>
      <c r="J35" s="1"/>
      <c r="K35" s="1"/>
      <c r="L35" s="1"/>
      <c r="M35" s="1"/>
      <c r="N35" s="1"/>
    </row>
    <row r="36" spans="1:14" x14ac:dyDescent="0.2">
      <c r="A36" s="1"/>
      <c r="B36" s="74" t="s">
        <v>28</v>
      </c>
      <c r="C36" s="74"/>
      <c r="D36" s="74"/>
      <c r="E36" s="74"/>
      <c r="F36" s="1"/>
      <c r="G36" s="1"/>
      <c r="H36" s="1"/>
      <c r="I36" s="1"/>
      <c r="J36" s="1"/>
      <c r="K36" s="1"/>
      <c r="L36" s="1"/>
      <c r="M36" s="1"/>
      <c r="N36" s="1"/>
    </row>
    <row r="37" spans="1:14" ht="15" customHeight="1" x14ac:dyDescent="0.2">
      <c r="A37" s="1"/>
      <c r="B37" s="75"/>
      <c r="C37" s="75"/>
      <c r="D37" s="75"/>
      <c r="E37" s="75"/>
      <c r="F37" s="1"/>
      <c r="G37" s="1"/>
      <c r="H37" s="1"/>
      <c r="I37" s="1"/>
      <c r="J37" s="1"/>
      <c r="K37" s="1"/>
      <c r="L37" s="1"/>
      <c r="M37" s="1"/>
      <c r="N37" s="1"/>
    </row>
    <row r="38" spans="1:14" x14ac:dyDescent="0.2">
      <c r="A38" s="1"/>
      <c r="B38" s="75"/>
      <c r="C38" s="75"/>
      <c r="D38" s="75"/>
      <c r="E38" s="75"/>
      <c r="F38" s="1"/>
      <c r="G38" s="1"/>
      <c r="H38" s="1"/>
      <c r="I38" s="1"/>
      <c r="J38" s="1"/>
      <c r="K38" s="1"/>
      <c r="L38" s="1"/>
      <c r="M38" s="1"/>
      <c r="N38" s="1"/>
    </row>
    <row r="39" spans="1:14" x14ac:dyDescent="0.2">
      <c r="A39" s="1"/>
      <c r="B39" s="75"/>
      <c r="C39" s="75"/>
      <c r="D39" s="75"/>
      <c r="E39" s="75"/>
      <c r="F39" s="1"/>
      <c r="G39" s="1"/>
      <c r="H39" s="1"/>
      <c r="I39" s="1"/>
      <c r="J39" s="1"/>
      <c r="K39" s="1"/>
      <c r="L39" s="1"/>
      <c r="M39" s="1"/>
      <c r="N39" s="1"/>
    </row>
    <row r="40" spans="1:14" x14ac:dyDescent="0.2">
      <c r="A40" s="1"/>
      <c r="B40" s="75"/>
      <c r="C40" s="75"/>
      <c r="D40" s="75"/>
      <c r="E40" s="75"/>
      <c r="F40" s="1"/>
      <c r="G40" s="1"/>
      <c r="H40" s="1"/>
      <c r="I40" s="1"/>
      <c r="J40" s="1"/>
      <c r="K40" s="1"/>
      <c r="L40" s="1"/>
      <c r="M40" s="1"/>
      <c r="N40" s="1"/>
    </row>
    <row r="41" spans="1:14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x14ac:dyDescent="0.2">
      <c r="A43" s="1"/>
      <c r="B43" s="49" t="s">
        <v>20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.75" thickBo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33.75" customHeight="1" thickBot="1" x14ac:dyDescent="0.25">
      <c r="A45" s="1"/>
      <c r="B45" s="6" t="s">
        <v>10</v>
      </c>
      <c r="C45" s="7" t="s">
        <v>0</v>
      </c>
      <c r="D45" s="8" t="s">
        <v>1</v>
      </c>
      <c r="E45" s="10" t="s">
        <v>16</v>
      </c>
      <c r="F45" s="1"/>
      <c r="G45" s="1"/>
      <c r="H45" s="1"/>
      <c r="I45" s="1"/>
      <c r="J45" s="1"/>
      <c r="K45" s="1"/>
      <c r="L45" s="1"/>
      <c r="M45" s="1"/>
      <c r="N45" s="1"/>
    </row>
    <row r="46" spans="1:14" x14ac:dyDescent="0.2">
      <c r="A46" s="1"/>
      <c r="B46" s="11" t="s">
        <v>19</v>
      </c>
      <c r="C46" s="65"/>
      <c r="D46" s="12">
        <f>C46</f>
        <v>0</v>
      </c>
      <c r="E46" s="14">
        <f>C46</f>
        <v>0</v>
      </c>
      <c r="F46" s="1"/>
      <c r="G46" s="1"/>
      <c r="H46" s="1"/>
      <c r="I46" s="1"/>
      <c r="J46" s="1"/>
      <c r="K46" s="1"/>
      <c r="L46" s="1"/>
      <c r="M46" s="1"/>
      <c r="N46" s="1"/>
    </row>
    <row r="47" spans="1:14" x14ac:dyDescent="0.2">
      <c r="A47" s="1"/>
      <c r="B47" s="15" t="s">
        <v>2</v>
      </c>
      <c r="C47" s="66"/>
      <c r="D47" s="16">
        <v>0</v>
      </c>
      <c r="E47" s="18">
        <f>0.3*C47</f>
        <v>0</v>
      </c>
      <c r="F47" s="1"/>
      <c r="G47" s="1"/>
      <c r="H47" s="1"/>
      <c r="I47" s="1"/>
      <c r="J47" s="1"/>
      <c r="K47" s="1"/>
      <c r="L47" s="1"/>
      <c r="M47" s="1"/>
      <c r="N47" s="1"/>
    </row>
    <row r="48" spans="1:14" x14ac:dyDescent="0.2">
      <c r="A48" s="1"/>
      <c r="B48" s="15" t="s">
        <v>3</v>
      </c>
      <c r="C48" s="66"/>
      <c r="D48" s="16">
        <f>C48*0.6</f>
        <v>0</v>
      </c>
      <c r="E48" s="18">
        <f>C48*0.6</f>
        <v>0</v>
      </c>
      <c r="F48" s="1"/>
      <c r="G48" s="1"/>
      <c r="H48" s="1"/>
      <c r="I48" s="1"/>
      <c r="J48" s="1"/>
      <c r="K48" s="1"/>
      <c r="L48" s="1"/>
      <c r="M48" s="1"/>
      <c r="N48" s="1"/>
    </row>
    <row r="49" spans="1:14" x14ac:dyDescent="0.2">
      <c r="A49" s="1"/>
      <c r="B49" s="15" t="s">
        <v>4</v>
      </c>
      <c r="C49" s="66"/>
      <c r="D49" s="16">
        <f>C49*0.55</f>
        <v>0</v>
      </c>
      <c r="E49" s="18">
        <f>C49*0.7</f>
        <v>0</v>
      </c>
      <c r="F49" s="1"/>
      <c r="G49" s="1"/>
      <c r="H49" s="1"/>
      <c r="I49" s="1"/>
      <c r="J49" s="1"/>
      <c r="K49" s="1"/>
      <c r="L49" s="1"/>
      <c r="M49" s="1"/>
      <c r="N49" s="1"/>
    </row>
    <row r="50" spans="1:14" ht="15.75" thickBot="1" x14ac:dyDescent="0.25">
      <c r="A50" s="1"/>
      <c r="B50" s="15" t="s">
        <v>5</v>
      </c>
      <c r="C50" s="69"/>
      <c r="D50" s="16">
        <v>0</v>
      </c>
      <c r="E50" s="18">
        <v>0</v>
      </c>
      <c r="F50" s="1"/>
      <c r="G50" s="1"/>
      <c r="H50" s="1"/>
      <c r="I50" s="1"/>
      <c r="J50" s="1"/>
      <c r="K50" s="1"/>
      <c r="L50" s="1"/>
      <c r="M50" s="1"/>
      <c r="N50" s="1"/>
    </row>
    <row r="51" spans="1:14" ht="15.75" thickBot="1" x14ac:dyDescent="0.25">
      <c r="A51" s="1"/>
      <c r="B51" s="50" t="s">
        <v>6</v>
      </c>
      <c r="C51" s="24">
        <f>SUM(C46:C50)</f>
        <v>0</v>
      </c>
      <c r="D51" s="51">
        <f>SUM(D46:D50)</f>
        <v>0</v>
      </c>
      <c r="E51" s="52">
        <f>SUM(E46:E50)</f>
        <v>0</v>
      </c>
      <c r="F51" s="1"/>
      <c r="G51" s="1"/>
      <c r="H51" s="1"/>
      <c r="I51" s="1"/>
      <c r="J51" s="1"/>
      <c r="K51" s="1"/>
      <c r="L51" s="1"/>
      <c r="M51" s="1"/>
      <c r="N51" s="1"/>
    </row>
    <row r="52" spans="1:14" x14ac:dyDescent="0.2">
      <c r="A52" s="1"/>
      <c r="B52" s="53" t="s">
        <v>11</v>
      </c>
      <c r="C52" s="29"/>
      <c r="D52" s="54">
        <f>C51-D51</f>
        <v>0</v>
      </c>
      <c r="E52" s="55">
        <f>C51-E51</f>
        <v>0</v>
      </c>
      <c r="F52" s="1"/>
      <c r="G52" s="1"/>
      <c r="H52" s="1"/>
      <c r="I52" s="1"/>
      <c r="J52" s="1"/>
      <c r="K52" s="1"/>
      <c r="L52" s="1"/>
      <c r="M52" s="1"/>
      <c r="N52" s="1"/>
    </row>
    <row r="53" spans="1:14" x14ac:dyDescent="0.2">
      <c r="A53" s="1"/>
      <c r="B53" s="53" t="s">
        <v>12</v>
      </c>
      <c r="C53" s="56"/>
      <c r="D53" s="57" t="e">
        <f>D52/C51</f>
        <v>#DIV/0!</v>
      </c>
      <c r="E53" s="58" t="e">
        <f>E52/C51</f>
        <v>#DIV/0!</v>
      </c>
      <c r="F53" s="1"/>
      <c r="G53" s="1"/>
      <c r="H53" s="1"/>
      <c r="I53" s="1"/>
      <c r="J53" s="1"/>
      <c r="K53" s="1"/>
      <c r="L53" s="1"/>
      <c r="M53" s="1"/>
      <c r="N53" s="1"/>
    </row>
    <row r="54" spans="1:14" ht="15.75" thickBot="1" x14ac:dyDescent="0.25">
      <c r="A54" s="1"/>
      <c r="B54" s="59" t="s">
        <v>8</v>
      </c>
      <c r="C54" s="60" t="s">
        <v>9</v>
      </c>
      <c r="D54" s="61">
        <f>D51</f>
        <v>0</v>
      </c>
      <c r="E54" s="62">
        <f>E51/180</f>
        <v>0</v>
      </c>
      <c r="F54" s="1"/>
      <c r="G54" s="1"/>
      <c r="H54" s="1"/>
      <c r="I54" s="1"/>
      <c r="J54" s="1"/>
      <c r="K54" s="1"/>
      <c r="L54" s="1"/>
      <c r="M54" s="1"/>
      <c r="N54" s="1"/>
    </row>
    <row r="55" spans="1:14" ht="15" customHeight="1" x14ac:dyDescent="0.2">
      <c r="A55" s="1"/>
      <c r="B55" s="74" t="s">
        <v>25</v>
      </c>
      <c r="C55" s="74"/>
      <c r="D55" s="74"/>
      <c r="E55" s="74"/>
      <c r="F55" s="1"/>
      <c r="G55" s="1"/>
      <c r="H55" s="1"/>
      <c r="I55" s="1"/>
      <c r="J55" s="1"/>
      <c r="K55" s="1"/>
      <c r="L55" s="1"/>
      <c r="M55" s="1"/>
      <c r="N55" s="1"/>
    </row>
    <row r="56" spans="1:14" ht="15" customHeight="1" x14ac:dyDescent="0.2">
      <c r="A56" s="1"/>
      <c r="B56" s="76"/>
      <c r="C56" s="76"/>
      <c r="D56" s="76"/>
      <c r="E56" s="76"/>
      <c r="F56" s="1"/>
      <c r="G56" s="1"/>
      <c r="H56" s="1"/>
      <c r="I56" s="1"/>
      <c r="J56" s="1"/>
      <c r="K56" s="1"/>
      <c r="L56" s="1"/>
      <c r="M56" s="1"/>
      <c r="N56" s="1"/>
    </row>
    <row r="57" spans="1:14" x14ac:dyDescent="0.2">
      <c r="A57" s="1"/>
      <c r="B57" s="76"/>
      <c r="C57" s="76"/>
      <c r="D57" s="76"/>
      <c r="E57" s="76"/>
      <c r="F57" s="1"/>
      <c r="G57" s="1"/>
      <c r="H57" s="1"/>
      <c r="I57" s="1"/>
      <c r="J57" s="1"/>
      <c r="K57" s="1"/>
      <c r="L57" s="1"/>
      <c r="M57" s="1"/>
      <c r="N57" s="1"/>
    </row>
    <row r="58" spans="1:14" x14ac:dyDescent="0.2">
      <c r="A58" s="1"/>
      <c r="B58" s="76"/>
      <c r="C58" s="76"/>
      <c r="D58" s="76"/>
      <c r="E58" s="76"/>
      <c r="F58" s="1"/>
      <c r="G58" s="1"/>
      <c r="H58" s="1"/>
      <c r="I58" s="1"/>
      <c r="J58" s="1"/>
      <c r="K58" s="1"/>
      <c r="L58" s="1"/>
      <c r="M58" s="1"/>
      <c r="N58" s="1"/>
    </row>
    <row r="59" spans="1:14" x14ac:dyDescent="0.2">
      <c r="A59" s="1"/>
      <c r="B59" s="63"/>
      <c r="C59" s="63"/>
      <c r="D59" s="63"/>
      <c r="E59" s="63"/>
      <c r="F59" s="1"/>
      <c r="G59" s="1"/>
      <c r="H59" s="1"/>
      <c r="I59" s="1"/>
      <c r="J59" s="1"/>
      <c r="K59" s="1"/>
      <c r="L59" s="1"/>
      <c r="M59" s="1"/>
      <c r="N59" s="1"/>
    </row>
    <row r="60" spans="1:14" x14ac:dyDescent="0.2">
      <c r="A60" s="1"/>
      <c r="B60" s="63"/>
      <c r="C60" s="63"/>
      <c r="D60" s="63"/>
      <c r="E60" s="63"/>
      <c r="F60" s="1"/>
      <c r="G60" s="1"/>
      <c r="H60" s="1"/>
      <c r="I60" s="1"/>
      <c r="J60" s="1"/>
      <c r="K60" s="1"/>
      <c r="L60" s="1"/>
      <c r="M60" s="1"/>
      <c r="N60" s="1"/>
    </row>
    <row r="61" spans="1:14" x14ac:dyDescent="0.2">
      <c r="A61" s="1"/>
      <c r="B61" s="49" t="s">
        <v>21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.75" thickBo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33.75" customHeight="1" thickBot="1" x14ac:dyDescent="0.25">
      <c r="A63" s="1"/>
      <c r="B63" s="6" t="s">
        <v>10</v>
      </c>
      <c r="C63" s="7" t="s">
        <v>0</v>
      </c>
      <c r="D63" s="8" t="s">
        <v>1</v>
      </c>
      <c r="E63" s="10" t="s">
        <v>16</v>
      </c>
      <c r="F63" s="1"/>
      <c r="G63" s="1"/>
      <c r="H63" s="1"/>
      <c r="I63" s="1"/>
      <c r="J63" s="1"/>
      <c r="K63" s="1"/>
      <c r="L63" s="1"/>
      <c r="M63" s="1"/>
      <c r="N63" s="1"/>
    </row>
    <row r="64" spans="1:14" x14ac:dyDescent="0.2">
      <c r="A64" s="1"/>
      <c r="B64" s="11" t="s">
        <v>19</v>
      </c>
      <c r="C64" s="65"/>
      <c r="D64" s="12">
        <f>C64</f>
        <v>0</v>
      </c>
      <c r="E64" s="14">
        <f>C64</f>
        <v>0</v>
      </c>
      <c r="F64" s="1"/>
      <c r="G64" s="1"/>
      <c r="H64" s="1"/>
      <c r="I64" s="1"/>
      <c r="J64" s="1"/>
      <c r="K64" s="1"/>
      <c r="L64" s="1"/>
      <c r="M64" s="1"/>
      <c r="N64" s="1"/>
    </row>
    <row r="65" spans="1:14" x14ac:dyDescent="0.2">
      <c r="A65" s="1"/>
      <c r="B65" s="15" t="s">
        <v>2</v>
      </c>
      <c r="C65" s="66"/>
      <c r="D65" s="16">
        <v>0</v>
      </c>
      <c r="E65" s="18">
        <f>0.2*C65</f>
        <v>0</v>
      </c>
      <c r="F65" s="1"/>
      <c r="G65" s="1"/>
      <c r="H65" s="1"/>
      <c r="I65" s="1"/>
      <c r="J65" s="1"/>
      <c r="K65" s="1"/>
      <c r="L65" s="1"/>
      <c r="M65" s="1"/>
      <c r="N65" s="1"/>
    </row>
    <row r="66" spans="1:14" x14ac:dyDescent="0.2">
      <c r="A66" s="1"/>
      <c r="B66" s="15" t="s">
        <v>3</v>
      </c>
      <c r="C66" s="66"/>
      <c r="D66" s="16">
        <f>C66*0.6</f>
        <v>0</v>
      </c>
      <c r="E66" s="18">
        <f>C66*0.6</f>
        <v>0</v>
      </c>
      <c r="F66" s="1"/>
      <c r="G66" s="1"/>
      <c r="H66" s="1"/>
      <c r="I66" s="1"/>
      <c r="J66" s="1"/>
      <c r="K66" s="1"/>
      <c r="L66" s="1"/>
      <c r="M66" s="1"/>
      <c r="N66" s="1"/>
    </row>
    <row r="67" spans="1:14" x14ac:dyDescent="0.2">
      <c r="A67" s="1"/>
      <c r="B67" s="15" t="s">
        <v>4</v>
      </c>
      <c r="C67" s="66"/>
      <c r="D67" s="16">
        <f>C67*0.55</f>
        <v>0</v>
      </c>
      <c r="E67" s="18">
        <f>C67*0.65</f>
        <v>0</v>
      </c>
      <c r="F67" s="1"/>
      <c r="G67" s="1"/>
      <c r="H67" s="1"/>
      <c r="I67" s="1"/>
      <c r="J67" s="1"/>
      <c r="K67" s="1"/>
      <c r="L67" s="1"/>
      <c r="M67" s="1"/>
      <c r="N67" s="1"/>
    </row>
    <row r="68" spans="1:14" ht="15.75" thickBot="1" x14ac:dyDescent="0.25">
      <c r="A68" s="1"/>
      <c r="B68" s="15" t="s">
        <v>5</v>
      </c>
      <c r="C68" s="69"/>
      <c r="D68" s="16">
        <v>0</v>
      </c>
      <c r="E68" s="18">
        <v>0</v>
      </c>
      <c r="F68" s="1"/>
      <c r="G68" s="1"/>
      <c r="H68" s="1"/>
      <c r="I68" s="1"/>
      <c r="J68" s="1"/>
      <c r="K68" s="1"/>
      <c r="L68" s="1"/>
      <c r="M68" s="1"/>
      <c r="N68" s="1"/>
    </row>
    <row r="69" spans="1:14" ht="15.75" thickBot="1" x14ac:dyDescent="0.25">
      <c r="A69" s="1"/>
      <c r="B69" s="50" t="s">
        <v>6</v>
      </c>
      <c r="C69" s="24">
        <f>SUM(C64:C68)</f>
        <v>0</v>
      </c>
      <c r="D69" s="51">
        <f>SUM(D64:D68)</f>
        <v>0</v>
      </c>
      <c r="E69" s="52">
        <f>SUM(E64:E68)</f>
        <v>0</v>
      </c>
      <c r="F69" s="1"/>
      <c r="G69" s="1"/>
      <c r="H69" s="1"/>
      <c r="I69" s="1"/>
      <c r="J69" s="1"/>
      <c r="K69" s="1"/>
      <c r="L69" s="1"/>
      <c r="M69" s="1"/>
      <c r="N69" s="1"/>
    </row>
    <row r="70" spans="1:14" x14ac:dyDescent="0.2">
      <c r="A70" s="1"/>
      <c r="B70" s="53" t="s">
        <v>11</v>
      </c>
      <c r="C70" s="29"/>
      <c r="D70" s="54">
        <f>C69-D69</f>
        <v>0</v>
      </c>
      <c r="E70" s="55">
        <f>C69-E69</f>
        <v>0</v>
      </c>
      <c r="F70" s="1"/>
      <c r="G70" s="1"/>
      <c r="H70" s="1"/>
      <c r="I70" s="1"/>
      <c r="J70" s="1"/>
      <c r="K70" s="1"/>
      <c r="L70" s="1"/>
      <c r="M70" s="1"/>
      <c r="N70" s="1"/>
    </row>
    <row r="71" spans="1:14" x14ac:dyDescent="0.2">
      <c r="A71" s="1"/>
      <c r="B71" s="53" t="s">
        <v>12</v>
      </c>
      <c r="C71" s="56"/>
      <c r="D71" s="57" t="e">
        <f>D70/C69</f>
        <v>#DIV/0!</v>
      </c>
      <c r="E71" s="58" t="e">
        <f>E70/C69</f>
        <v>#DIV/0!</v>
      </c>
      <c r="F71" s="1"/>
      <c r="G71" s="1"/>
      <c r="H71" s="1"/>
      <c r="I71" s="1"/>
      <c r="J71" s="1"/>
      <c r="K71" s="1"/>
      <c r="L71" s="1"/>
      <c r="M71" s="1"/>
      <c r="N71" s="1"/>
    </row>
    <row r="72" spans="1:14" ht="15.75" thickBot="1" x14ac:dyDescent="0.25">
      <c r="A72" s="1"/>
      <c r="B72" s="59" t="s">
        <v>8</v>
      </c>
      <c r="C72" s="60" t="s">
        <v>9</v>
      </c>
      <c r="D72" s="61">
        <f>D69</f>
        <v>0</v>
      </c>
      <c r="E72" s="62">
        <f>E69/180</f>
        <v>0</v>
      </c>
      <c r="F72" s="1"/>
      <c r="G72" s="1"/>
      <c r="H72" s="1"/>
      <c r="I72" s="1"/>
      <c r="J72" s="1"/>
      <c r="K72" s="1"/>
      <c r="L72" s="1"/>
      <c r="M72" s="1"/>
      <c r="N72" s="1"/>
    </row>
    <row r="73" spans="1:14" ht="15" customHeight="1" x14ac:dyDescent="0.2">
      <c r="A73" s="1"/>
      <c r="B73" s="74" t="s">
        <v>24</v>
      </c>
      <c r="C73" s="74"/>
      <c r="D73" s="74"/>
      <c r="E73" s="74"/>
      <c r="F73" s="1"/>
      <c r="G73" s="1"/>
      <c r="H73" s="1"/>
      <c r="I73" s="1"/>
      <c r="J73" s="1"/>
      <c r="K73" s="1"/>
      <c r="L73" s="1"/>
      <c r="M73" s="1"/>
      <c r="N73" s="1"/>
    </row>
    <row r="74" spans="1:14" x14ac:dyDescent="0.2">
      <c r="A74" s="1"/>
      <c r="B74" s="76"/>
      <c r="C74" s="76"/>
      <c r="D74" s="76"/>
      <c r="E74" s="76"/>
      <c r="F74" s="1"/>
      <c r="G74" s="1"/>
      <c r="H74" s="1"/>
      <c r="I74" s="1"/>
      <c r="J74" s="1"/>
      <c r="K74" s="1"/>
      <c r="L74" s="1"/>
      <c r="M74" s="1"/>
      <c r="N74" s="1"/>
    </row>
    <row r="75" spans="1:14" x14ac:dyDescent="0.2">
      <c r="A75" s="1"/>
      <c r="B75" s="76"/>
      <c r="C75" s="76"/>
      <c r="D75" s="76"/>
      <c r="E75" s="76"/>
      <c r="F75" s="1"/>
      <c r="G75" s="1"/>
      <c r="H75" s="1"/>
      <c r="I75" s="1"/>
      <c r="J75" s="1"/>
      <c r="K75" s="1"/>
      <c r="L75" s="1"/>
      <c r="M75" s="1"/>
      <c r="N75" s="1"/>
    </row>
    <row r="76" spans="1:14" x14ac:dyDescent="0.2">
      <c r="A76" s="1"/>
      <c r="B76" s="76"/>
      <c r="C76" s="76"/>
      <c r="D76" s="76"/>
      <c r="E76" s="76"/>
      <c r="F76" s="1"/>
      <c r="G76" s="1"/>
      <c r="H76" s="1"/>
      <c r="I76" s="1"/>
      <c r="J76" s="1"/>
      <c r="K76" s="1"/>
      <c r="L76" s="1"/>
      <c r="M76" s="1"/>
      <c r="N76" s="1"/>
    </row>
    <row r="77" spans="1:14" x14ac:dyDescent="0.2">
      <c r="A77" s="1"/>
      <c r="B77" s="64"/>
      <c r="C77" s="64"/>
      <c r="D77" s="64"/>
      <c r="E77" s="64"/>
      <c r="F77" s="1"/>
      <c r="G77" s="1"/>
      <c r="H77" s="1"/>
      <c r="I77" s="1"/>
      <c r="J77" s="1"/>
      <c r="K77" s="1"/>
      <c r="L77" s="1"/>
      <c r="M77" s="1"/>
      <c r="N77" s="1"/>
    </row>
    <row r="78" spans="1:14" x14ac:dyDescent="0.2">
      <c r="A78" s="1"/>
      <c r="B78" s="64"/>
      <c r="C78" s="64"/>
      <c r="D78" s="64"/>
      <c r="E78" s="64"/>
      <c r="F78" s="1"/>
      <c r="G78" s="1"/>
      <c r="H78" s="1"/>
      <c r="I78" s="1"/>
      <c r="J78" s="1"/>
      <c r="K78" s="1"/>
      <c r="L78" s="1"/>
      <c r="M78" s="1"/>
      <c r="N78" s="1"/>
    </row>
    <row r="79" spans="1:14" x14ac:dyDescent="0.2">
      <c r="A79" s="1"/>
      <c r="B79" s="49" t="s">
        <v>22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15.75" thickBo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33.75" customHeight="1" thickBot="1" x14ac:dyDescent="0.25">
      <c r="A81" s="1"/>
      <c r="B81" s="6" t="s">
        <v>10</v>
      </c>
      <c r="C81" s="7" t="s">
        <v>0</v>
      </c>
      <c r="D81" s="8" t="s">
        <v>1</v>
      </c>
      <c r="E81" s="10" t="s">
        <v>16</v>
      </c>
      <c r="F81" s="1"/>
      <c r="G81" s="1"/>
      <c r="H81" s="1"/>
      <c r="I81" s="1"/>
      <c r="J81" s="1"/>
      <c r="K81" s="1"/>
      <c r="L81" s="1"/>
      <c r="M81" s="1"/>
      <c r="N81" s="1"/>
    </row>
    <row r="82" spans="1:14" x14ac:dyDescent="0.2">
      <c r="A82" s="1"/>
      <c r="B82" s="11" t="s">
        <v>19</v>
      </c>
      <c r="C82" s="65"/>
      <c r="D82" s="12">
        <f>C82</f>
        <v>0</v>
      </c>
      <c r="E82" s="14">
        <f>C82</f>
        <v>0</v>
      </c>
      <c r="F82" s="1"/>
      <c r="G82" s="1"/>
      <c r="H82" s="1"/>
      <c r="I82" s="1"/>
      <c r="J82" s="1"/>
      <c r="K82" s="1"/>
      <c r="L82" s="1"/>
      <c r="M82" s="1"/>
      <c r="N82" s="1"/>
    </row>
    <row r="83" spans="1:14" x14ac:dyDescent="0.2">
      <c r="A83" s="1"/>
      <c r="B83" s="15" t="s">
        <v>2</v>
      </c>
      <c r="C83" s="66"/>
      <c r="D83" s="16">
        <v>0</v>
      </c>
      <c r="E83" s="18">
        <v>0</v>
      </c>
      <c r="F83" s="1"/>
      <c r="G83" s="1"/>
      <c r="H83" s="1"/>
      <c r="I83" s="1"/>
      <c r="J83" s="1"/>
      <c r="K83" s="1"/>
      <c r="L83" s="1"/>
      <c r="M83" s="1"/>
      <c r="N83" s="1"/>
    </row>
    <row r="84" spans="1:14" x14ac:dyDescent="0.2">
      <c r="A84" s="1"/>
      <c r="B84" s="15" t="s">
        <v>3</v>
      </c>
      <c r="C84" s="66"/>
      <c r="D84" s="16">
        <f>C84*0.6</f>
        <v>0</v>
      </c>
      <c r="E84" s="18">
        <f>C84*0.6</f>
        <v>0</v>
      </c>
      <c r="F84" s="1"/>
      <c r="G84" s="1"/>
      <c r="H84" s="1"/>
      <c r="I84" s="1"/>
      <c r="J84" s="1"/>
      <c r="K84" s="1"/>
      <c r="L84" s="1"/>
      <c r="M84" s="1"/>
      <c r="N84" s="1"/>
    </row>
    <row r="85" spans="1:14" x14ac:dyDescent="0.2">
      <c r="A85" s="1"/>
      <c r="B85" s="15" t="s">
        <v>4</v>
      </c>
      <c r="C85" s="66"/>
      <c r="D85" s="16">
        <f>C85*0.55</f>
        <v>0</v>
      </c>
      <c r="E85" s="18">
        <f>C85*0.6</f>
        <v>0</v>
      </c>
      <c r="F85" s="1"/>
      <c r="G85" s="1"/>
      <c r="H85" s="1"/>
      <c r="I85" s="1"/>
      <c r="J85" s="1"/>
      <c r="K85" s="1"/>
      <c r="L85" s="1"/>
      <c r="M85" s="1"/>
      <c r="N85" s="1"/>
    </row>
    <row r="86" spans="1:14" ht="15.75" thickBot="1" x14ac:dyDescent="0.25">
      <c r="A86" s="1"/>
      <c r="B86" s="15" t="s">
        <v>5</v>
      </c>
      <c r="C86" s="69"/>
      <c r="D86" s="16">
        <v>0</v>
      </c>
      <c r="E86" s="18">
        <v>0</v>
      </c>
      <c r="F86" s="1"/>
      <c r="G86" s="1"/>
      <c r="H86" s="1"/>
      <c r="I86" s="1"/>
      <c r="J86" s="1"/>
      <c r="K86" s="1"/>
      <c r="L86" s="1"/>
      <c r="M86" s="1"/>
      <c r="N86" s="1"/>
    </row>
    <row r="87" spans="1:14" ht="15.75" thickBot="1" x14ac:dyDescent="0.25">
      <c r="A87" s="1"/>
      <c r="B87" s="50" t="s">
        <v>6</v>
      </c>
      <c r="C87" s="24">
        <f>SUM(C82:C86)</f>
        <v>0</v>
      </c>
      <c r="D87" s="51">
        <f>SUM(D82:D86)</f>
        <v>0</v>
      </c>
      <c r="E87" s="52">
        <f>SUM(E82:E86)</f>
        <v>0</v>
      </c>
      <c r="F87" s="1"/>
      <c r="G87" s="1"/>
      <c r="H87" s="1"/>
      <c r="I87" s="1"/>
      <c r="J87" s="1"/>
      <c r="K87" s="1"/>
      <c r="L87" s="1"/>
      <c r="M87" s="1"/>
      <c r="N87" s="1"/>
    </row>
    <row r="88" spans="1:14" x14ac:dyDescent="0.2">
      <c r="A88" s="1"/>
      <c r="B88" s="53" t="s">
        <v>11</v>
      </c>
      <c r="C88" s="29"/>
      <c r="D88" s="54">
        <f>C87-D87</f>
        <v>0</v>
      </c>
      <c r="E88" s="55">
        <f>C87-E87</f>
        <v>0</v>
      </c>
      <c r="F88" s="1"/>
      <c r="G88" s="1"/>
      <c r="H88" s="1"/>
      <c r="I88" s="1"/>
      <c r="J88" s="1"/>
      <c r="K88" s="1"/>
      <c r="L88" s="1"/>
      <c r="M88" s="1"/>
      <c r="N88" s="1"/>
    </row>
    <row r="89" spans="1:14" x14ac:dyDescent="0.2">
      <c r="A89" s="1"/>
      <c r="B89" s="53" t="s">
        <v>12</v>
      </c>
      <c r="C89" s="56"/>
      <c r="D89" s="57" t="e">
        <f>D88/C87</f>
        <v>#DIV/0!</v>
      </c>
      <c r="E89" s="58" t="e">
        <f>E88/C87</f>
        <v>#DIV/0!</v>
      </c>
      <c r="F89" s="1"/>
      <c r="G89" s="1"/>
      <c r="H89" s="1"/>
      <c r="I89" s="1"/>
      <c r="J89" s="1"/>
      <c r="K89" s="1"/>
      <c r="L89" s="1"/>
      <c r="M89" s="1"/>
      <c r="N89" s="1"/>
    </row>
    <row r="90" spans="1:14" ht="15.75" thickBot="1" x14ac:dyDescent="0.25">
      <c r="A90" s="1"/>
      <c r="B90" s="59" t="s">
        <v>8</v>
      </c>
      <c r="C90" s="60" t="s">
        <v>9</v>
      </c>
      <c r="D90" s="61">
        <f>D87</f>
        <v>0</v>
      </c>
      <c r="E90" s="62">
        <f>E87/180</f>
        <v>0</v>
      </c>
      <c r="F90" s="1"/>
      <c r="G90" s="1"/>
      <c r="H90" s="1"/>
      <c r="I90" s="1"/>
      <c r="J90" s="1"/>
      <c r="K90" s="1"/>
      <c r="L90" s="1"/>
      <c r="M90" s="1"/>
      <c r="N90" s="1"/>
    </row>
    <row r="91" spans="1:14" ht="15" customHeight="1" x14ac:dyDescent="0.2">
      <c r="A91" s="1"/>
      <c r="B91" s="74" t="s">
        <v>24</v>
      </c>
      <c r="C91" s="74"/>
      <c r="D91" s="74"/>
      <c r="E91" s="74"/>
      <c r="F91" s="1"/>
      <c r="G91" s="1"/>
      <c r="H91" s="1"/>
      <c r="I91" s="1"/>
      <c r="J91" s="1"/>
      <c r="K91" s="1"/>
      <c r="L91" s="1"/>
      <c r="M91" s="1"/>
      <c r="N91" s="1"/>
    </row>
    <row r="92" spans="1:14" ht="15" customHeight="1" x14ac:dyDescent="0.2">
      <c r="A92" s="1"/>
      <c r="B92" s="76"/>
      <c r="C92" s="76"/>
      <c r="D92" s="76"/>
      <c r="E92" s="76"/>
      <c r="F92" s="1"/>
      <c r="G92" s="1"/>
      <c r="H92" s="1"/>
      <c r="I92" s="1"/>
      <c r="J92" s="1"/>
      <c r="K92" s="1"/>
      <c r="L92" s="1"/>
      <c r="M92" s="1"/>
      <c r="N92" s="1"/>
    </row>
    <row r="93" spans="1:14" x14ac:dyDescent="0.2">
      <c r="A93" s="1"/>
      <c r="B93" s="76"/>
      <c r="C93" s="76"/>
      <c r="D93" s="76"/>
      <c r="E93" s="76"/>
      <c r="F93" s="1"/>
      <c r="G93" s="1"/>
      <c r="H93" s="1"/>
      <c r="I93" s="1"/>
      <c r="J93" s="1"/>
      <c r="K93" s="1"/>
      <c r="L93" s="1"/>
      <c r="M93" s="1"/>
      <c r="N93" s="1"/>
    </row>
    <row r="94" spans="1:14" x14ac:dyDescent="0.2">
      <c r="A94" s="1"/>
      <c r="B94" s="76"/>
      <c r="C94" s="76"/>
      <c r="D94" s="76"/>
      <c r="E94" s="76"/>
      <c r="F94" s="1"/>
      <c r="G94" s="1"/>
      <c r="H94" s="1"/>
      <c r="I94" s="1"/>
      <c r="J94" s="1"/>
      <c r="K94" s="1"/>
      <c r="L94" s="1"/>
      <c r="M94" s="1"/>
      <c r="N94" s="1"/>
    </row>
    <row r="95" spans="1:14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</sheetData>
  <sheetProtection password="D980" sheet="1" objects="1" scenarios="1" selectLockedCells="1"/>
  <mergeCells count="7">
    <mergeCell ref="B91:E94"/>
    <mergeCell ref="F4:G4"/>
    <mergeCell ref="B2:H2"/>
    <mergeCell ref="B19:H21"/>
    <mergeCell ref="B36:E40"/>
    <mergeCell ref="B55:E58"/>
    <mergeCell ref="B73:E76"/>
  </mergeCells>
  <hyperlinks>
    <hyperlink ref="F4" r:id="rId1" xr:uid="{00000000-0004-0000-0000-000000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 com SELIC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Adalberto</dc:creator>
  <cp:lastModifiedBy>X</cp:lastModifiedBy>
  <dcterms:created xsi:type="dcterms:W3CDTF">2009-06-30T12:30:40Z</dcterms:created>
  <dcterms:modified xsi:type="dcterms:W3CDTF">2018-08-03T18:46:56Z</dcterms:modified>
</cp:coreProperties>
</file>