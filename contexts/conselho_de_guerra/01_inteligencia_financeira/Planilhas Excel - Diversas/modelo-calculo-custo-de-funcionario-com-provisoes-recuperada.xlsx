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6 - CONTROLE DEPTO PESSOAL\5 - MODELOS\"/>
    </mc:Choice>
  </mc:AlternateContent>
  <xr:revisionPtr revIDLastSave="0" documentId="10_ncr:8100000_{24576E8F-79D9-418A-8523-CBC8C020E01C}" xr6:coauthVersionLast="34" xr6:coauthVersionMax="34" xr10:uidLastSave="{00000000-0000-0000-0000-000000000000}"/>
  <bookViews>
    <workbookView xWindow="600" yWindow="390" windowWidth="20610" windowHeight="10110" xr2:uid="{00000000-000D-0000-FFFF-FFFF00000000}"/>
  </bookViews>
  <sheets>
    <sheet name="Tabelas" sheetId="4" r:id="rId1"/>
    <sheet name=" Func. Condominio" sheetId="3" r:id="rId2"/>
    <sheet name="MEI" sheetId="5" r:id="rId3"/>
    <sheet name="Domestico" sheetId="6" r:id="rId4"/>
    <sheet name="Simples Anexo I,II,III,V,VI" sheetId="7" r:id="rId5"/>
    <sheet name="Simples Anexo IV," sheetId="9" r:id="rId6"/>
    <sheet name="Autonomo ou Liberal" sheetId="8" r:id="rId7"/>
  </sheets>
  <calcPr calcId="162913"/>
</workbook>
</file>

<file path=xl/calcChain.xml><?xml version="1.0" encoding="utf-8"?>
<calcChain xmlns="http://schemas.openxmlformats.org/spreadsheetml/2006/main">
  <c r="C7" i="8" l="1"/>
  <c r="C8" i="8" s="1"/>
  <c r="C7" i="9"/>
  <c r="C23" i="9" s="1"/>
  <c r="C24" i="9" s="1"/>
  <c r="C9" i="9" l="1"/>
  <c r="C8" i="9"/>
  <c r="C19" i="8"/>
  <c r="C22" i="8"/>
  <c r="C23" i="8" s="1"/>
  <c r="C17" i="8"/>
  <c r="C18" i="9"/>
  <c r="C20" i="9"/>
  <c r="C7" i="7"/>
  <c r="C23" i="7" s="1"/>
  <c r="C24" i="7" s="1"/>
  <c r="C7" i="6"/>
  <c r="C7" i="5"/>
  <c r="C19" i="9" l="1"/>
  <c r="C24" i="6"/>
  <c r="C25" i="6" s="1"/>
  <c r="C9" i="6"/>
  <c r="C20" i="8"/>
  <c r="C21" i="8" s="1"/>
  <c r="C18" i="8"/>
  <c r="C21" i="9"/>
  <c r="C22" i="9" s="1"/>
  <c r="C25" i="9" s="1"/>
  <c r="C8" i="7"/>
  <c r="C22" i="5"/>
  <c r="C23" i="5" s="1"/>
  <c r="C9" i="5"/>
  <c r="C8" i="6"/>
  <c r="C11" i="6" s="1"/>
  <c r="C8" i="5"/>
  <c r="C18" i="7"/>
  <c r="C20" i="7"/>
  <c r="C18" i="6"/>
  <c r="C19" i="6" s="1"/>
  <c r="C20" i="6"/>
  <c r="C17" i="5"/>
  <c r="C19" i="5"/>
  <c r="S6" i="4"/>
  <c r="C9" i="8" s="1"/>
  <c r="C7" i="3"/>
  <c r="D3" i="4"/>
  <c r="C26" i="9" l="1"/>
  <c r="C27" i="9" s="1"/>
  <c r="C25" i="8"/>
  <c r="C10" i="9"/>
  <c r="C10" i="8"/>
  <c r="C24" i="8"/>
  <c r="C12" i="3"/>
  <c r="C9" i="3"/>
  <c r="E3" i="4"/>
  <c r="C10" i="5"/>
  <c r="C10" i="6"/>
  <c r="C10" i="7"/>
  <c r="C21" i="7"/>
  <c r="C19" i="7"/>
  <c r="C21" i="6"/>
  <c r="C23" i="6" s="1"/>
  <c r="C20" i="5"/>
  <c r="C25" i="5" s="1"/>
  <c r="C18" i="5"/>
  <c r="C10" i="3"/>
  <c r="C24" i="3"/>
  <c r="C11" i="8" l="1"/>
  <c r="C12" i="8" s="1"/>
  <c r="C12" i="6"/>
  <c r="C13" i="6" s="1"/>
  <c r="C26" i="8"/>
  <c r="G3" i="4"/>
  <c r="C11" i="9"/>
  <c r="C11" i="3"/>
  <c r="C13" i="3" s="1"/>
  <c r="C21" i="5"/>
  <c r="C24" i="5" s="1"/>
  <c r="C22" i="7"/>
  <c r="C25" i="7" s="1"/>
  <c r="C11" i="7"/>
  <c r="C13" i="7" s="1"/>
  <c r="C15" i="7" s="1"/>
  <c r="E15" i="7" s="1"/>
  <c r="C11" i="5"/>
  <c r="C25" i="3"/>
  <c r="C26" i="3" s="1"/>
  <c r="C20" i="3"/>
  <c r="C8" i="3"/>
  <c r="C18" i="3"/>
  <c r="C28" i="3"/>
  <c r="C29" i="3" s="1"/>
  <c r="C13" i="9" l="1"/>
  <c r="C14" i="8"/>
  <c r="C28" i="8" s="1"/>
  <c r="C27" i="3"/>
  <c r="C12" i="5"/>
  <c r="C14" i="5" s="1"/>
  <c r="C15" i="6"/>
  <c r="C31" i="3"/>
  <c r="C19" i="3"/>
  <c r="C22" i="3"/>
  <c r="C21" i="3"/>
  <c r="C23" i="3"/>
  <c r="C15" i="3"/>
  <c r="C15" i="9" l="1"/>
  <c r="C29" i="9" s="1"/>
  <c r="C28" i="6"/>
  <c r="C30" i="3"/>
  <c r="C32" i="3" s="1"/>
  <c r="C34" i="3" s="1"/>
  <c r="C27" i="7"/>
  <c r="C26" i="5"/>
  <c r="C28" i="5" s="1"/>
  <c r="E15" i="9" l="1"/>
</calcChain>
</file>

<file path=xl/sharedStrings.xml><?xml version="1.0" encoding="utf-8"?>
<sst xmlns="http://schemas.openxmlformats.org/spreadsheetml/2006/main" count="227" uniqueCount="65">
  <si>
    <t>FGTS - 8,0%</t>
  </si>
  <si>
    <t>(Pode alterar)</t>
  </si>
  <si>
    <t>Total</t>
  </si>
  <si>
    <t>Aviso Previo Indenizado</t>
  </si>
  <si>
    <t xml:space="preserve">FGTS s/ Aviso Indenizado </t>
  </si>
  <si>
    <t>a empresa a fazer uma provisão e depositar mensalmente em uma poupança no Banco.</t>
  </si>
  <si>
    <t>Salário Bruto</t>
  </si>
  <si>
    <t>FGTS S/ 13º Salário - 8,0%</t>
  </si>
  <si>
    <t>Férias - 01/12 Avos</t>
  </si>
  <si>
    <t>1/3 De Férias</t>
  </si>
  <si>
    <t>FGTS S/ Férias - 8,0%</t>
  </si>
  <si>
    <t xml:space="preserve">Multa FGTS - 50% </t>
  </si>
  <si>
    <t>Poupança Mensal</t>
  </si>
  <si>
    <t>Despesa Mensal</t>
  </si>
  <si>
    <t xml:space="preserve">Ajuda de Custo ( Combustivel, alimentação etc) </t>
  </si>
  <si>
    <t>Calculo Mensal Funcionário</t>
  </si>
  <si>
    <t>Salário Substituição de Férias - 01/12 Avos</t>
  </si>
  <si>
    <t xml:space="preserve">FGTS S/ Substituição de Férias </t>
  </si>
  <si>
    <t>SALÁRIO LÍQUIDO</t>
  </si>
  <si>
    <t>IRRF</t>
  </si>
  <si>
    <t>INSS</t>
  </si>
  <si>
    <t>Nº DEP</t>
  </si>
  <si>
    <t>SALÁRIO</t>
  </si>
  <si>
    <t>IR</t>
  </si>
  <si>
    <t>FAIXA SALARIAL</t>
  </si>
  <si>
    <t>ALÍQUOTA</t>
  </si>
  <si>
    <t>PARCELA A DEDUZIR</t>
  </si>
  <si>
    <t>DEPENDENTE</t>
  </si>
  <si>
    <t>Salário líquido pago ao funcionário</t>
  </si>
  <si>
    <t>13º Salário - 01/12 Avos</t>
  </si>
  <si>
    <t>INSS Descontado do funcionário</t>
  </si>
  <si>
    <t>INSS Patronal</t>
  </si>
  <si>
    <t>RAT x FAP</t>
  </si>
  <si>
    <t>Outras Entidades</t>
  </si>
  <si>
    <t xml:space="preserve">INSS Patronal </t>
  </si>
  <si>
    <r>
      <rPr>
        <b/>
        <sz val="10"/>
        <rFont val="Arial"/>
        <family val="2"/>
      </rPr>
      <t>Obs.:</t>
    </r>
    <r>
      <rPr>
        <sz val="10"/>
        <rFont val="Arial"/>
        <family val="2"/>
      </rPr>
      <t xml:space="preserve"> O quadro da </t>
    </r>
    <r>
      <rPr>
        <b/>
        <sz val="10"/>
        <rFont val="Arial"/>
        <family val="2"/>
      </rPr>
      <t>Despensa Mensal</t>
    </r>
    <r>
      <rPr>
        <sz val="10"/>
        <rFont val="Arial"/>
        <family val="2"/>
      </rPr>
      <t xml:space="preserve"> serão os custos mensais desembolsados pela empresa. </t>
    </r>
  </si>
  <si>
    <r>
      <t xml:space="preserve">O quadro de </t>
    </r>
    <r>
      <rPr>
        <b/>
        <sz val="10"/>
        <rFont val="Arial"/>
        <family val="2"/>
      </rPr>
      <t>Poupança Mensal</t>
    </r>
    <r>
      <rPr>
        <sz val="10"/>
        <rFont val="Arial"/>
        <family val="2"/>
      </rPr>
      <t xml:space="preserve"> são as despesas que incorrem todos os meses na qual orientamos</t>
    </r>
  </si>
  <si>
    <t>EMPRESA / FUNCIONÁRIO</t>
  </si>
  <si>
    <t>PIS</t>
  </si>
  <si>
    <t>PIS S/ 13º Salário</t>
  </si>
  <si>
    <t>PIS S/ Substituição de Férias</t>
  </si>
  <si>
    <t>PIS S/ Férias</t>
  </si>
  <si>
    <t xml:space="preserve">Total Geral </t>
  </si>
  <si>
    <t>Total Geral</t>
  </si>
  <si>
    <t xml:space="preserve">Simples nacional </t>
  </si>
  <si>
    <t xml:space="preserve">Tabelas </t>
  </si>
  <si>
    <t xml:space="preserve">Anexos </t>
  </si>
  <si>
    <t xml:space="preserve">Industria </t>
  </si>
  <si>
    <t xml:space="preserve">comercio </t>
  </si>
  <si>
    <t>serviços simplificiados</t>
  </si>
  <si>
    <t>I</t>
  </si>
  <si>
    <t>II</t>
  </si>
  <si>
    <t>III</t>
  </si>
  <si>
    <t xml:space="preserve">Mão de obra </t>
  </si>
  <si>
    <t>IV</t>
  </si>
  <si>
    <t>Serviços profisioanis</t>
  </si>
  <si>
    <t>Serviços profissionais</t>
  </si>
  <si>
    <t>VI</t>
  </si>
  <si>
    <t>V</t>
  </si>
  <si>
    <t>Cód. 2208</t>
  </si>
  <si>
    <t>20% empresa</t>
  </si>
  <si>
    <t>5,8% Outras Entidades</t>
  </si>
  <si>
    <t>RAT de 1% a 3%</t>
  </si>
  <si>
    <t>RAT + MULTA FGTS</t>
  </si>
  <si>
    <t xml:space="preserve">TOTAL MENSAL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</si>
</sst>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(&quot;R$ &quot;* #,##0.00_);_(&quot;R$ &quot;* \(#,##0.00\);_(&quot;R$ &quot;* &quot;-&quot;??_);_(@_)"/>
    <numFmt numFmtId="166" formatCode="0.0%"/>
  </numFmts>
  <fonts count="2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11"/>
      <name val="Calibri"/>
      <family val="2"/>
    </font>
    <font>
      <b/>
      <sz val="16"/>
      <name val="Arial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indexed="9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Border="1"/>
    <xf numFmtId="0" fontId="0" fillId="2" borderId="0" xfId="0" applyFill="1"/>
    <xf numFmtId="0" fontId="0" fillId="2" borderId="0" xfId="0" applyFill="1" applyBorder="1"/>
    <xf numFmtId="0" fontId="2" fillId="2" borderId="0" xfId="0" applyFont="1" applyFill="1" applyBorder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  <xf numFmtId="4" fontId="2" fillId="2" borderId="0" xfId="0" applyNumberFormat="1" applyFont="1" applyFill="1"/>
    <xf numFmtId="4" fontId="2" fillId="2" borderId="0" xfId="0" applyNumberFormat="1" applyFont="1" applyFill="1" applyBorder="1"/>
    <xf numFmtId="0" fontId="4" fillId="2" borderId="0" xfId="0" applyFont="1" applyFill="1"/>
    <xf numFmtId="43" fontId="0" fillId="2" borderId="0" xfId="0" applyNumberFormat="1" applyFill="1"/>
    <xf numFmtId="9" fontId="7" fillId="2" borderId="0" xfId="0" applyNumberFormat="1" applyFont="1" applyFill="1"/>
    <xf numFmtId="0" fontId="10" fillId="0" borderId="0" xfId="0" applyFont="1"/>
    <xf numFmtId="0" fontId="9" fillId="0" borderId="0" xfId="3" applyFont="1"/>
    <xf numFmtId="0" fontId="11" fillId="0" borderId="0" xfId="3" applyFont="1" applyBorder="1" applyAlignment="1"/>
    <xf numFmtId="0" fontId="9" fillId="0" borderId="0" xfId="3" applyFont="1" applyBorder="1"/>
    <xf numFmtId="0" fontId="10" fillId="0" borderId="15" xfId="0" applyFont="1" applyFill="1" applyBorder="1"/>
    <xf numFmtId="0" fontId="9" fillId="0" borderId="0" xfId="4" applyFont="1"/>
    <xf numFmtId="165" fontId="9" fillId="3" borderId="15" xfId="5" applyNumberFormat="1" applyFont="1" applyFill="1" applyBorder="1"/>
    <xf numFmtId="165" fontId="9" fillId="3" borderId="4" xfId="5" applyNumberFormat="1" applyFont="1" applyFill="1" applyBorder="1"/>
    <xf numFmtId="166" fontId="9" fillId="3" borderId="4" xfId="3" applyNumberFormat="1" applyFont="1" applyFill="1" applyBorder="1"/>
    <xf numFmtId="165" fontId="9" fillId="3" borderId="16" xfId="5" applyNumberFormat="1" applyFont="1" applyFill="1" applyBorder="1"/>
    <xf numFmtId="165" fontId="9" fillId="3" borderId="17" xfId="5" applyNumberFormat="1" applyFont="1" applyFill="1" applyBorder="1"/>
    <xf numFmtId="165" fontId="9" fillId="3" borderId="18" xfId="5" applyNumberFormat="1" applyFont="1" applyFill="1" applyBorder="1"/>
    <xf numFmtId="10" fontId="9" fillId="3" borderId="19" xfId="3" applyNumberFormat="1" applyFont="1" applyFill="1" applyBorder="1"/>
    <xf numFmtId="165" fontId="9" fillId="3" borderId="20" xfId="5" applyNumberFormat="1" applyFont="1" applyFill="1" applyBorder="1"/>
    <xf numFmtId="165" fontId="9" fillId="3" borderId="1" xfId="5" applyNumberFormat="1" applyFont="1" applyFill="1" applyBorder="1"/>
    <xf numFmtId="166" fontId="9" fillId="3" borderId="1" xfId="3" applyNumberFormat="1" applyFont="1" applyFill="1" applyBorder="1"/>
    <xf numFmtId="165" fontId="9" fillId="3" borderId="21" xfId="5" applyNumberFormat="1" applyFont="1" applyFill="1" applyBorder="1"/>
    <xf numFmtId="10" fontId="9" fillId="3" borderId="21" xfId="5" applyNumberFormat="1" applyFont="1" applyFill="1" applyBorder="1"/>
    <xf numFmtId="165" fontId="9" fillId="3" borderId="22" xfId="5" applyNumberFormat="1" applyFont="1" applyFill="1" applyBorder="1"/>
    <xf numFmtId="165" fontId="1" fillId="3" borderId="23" xfId="5" applyNumberFormat="1" applyFont="1" applyFill="1" applyBorder="1"/>
    <xf numFmtId="10" fontId="1" fillId="3" borderId="24" xfId="3" applyNumberFormat="1" applyFont="1" applyFill="1" applyBorder="1"/>
    <xf numFmtId="165" fontId="9" fillId="3" borderId="23" xfId="5" applyNumberFormat="1" applyFont="1" applyFill="1" applyBorder="1" applyAlignment="1">
      <alignment horizontal="center"/>
    </xf>
    <xf numFmtId="166" fontId="9" fillId="3" borderId="23" xfId="3" applyNumberFormat="1" applyFont="1" applyFill="1" applyBorder="1"/>
    <xf numFmtId="165" fontId="9" fillId="3" borderId="24" xfId="5" applyNumberFormat="1" applyFont="1" applyFill="1" applyBorder="1"/>
    <xf numFmtId="165" fontId="1" fillId="3" borderId="9" xfId="5" applyNumberFormat="1" applyFont="1" applyFill="1" applyBorder="1"/>
    <xf numFmtId="0" fontId="12" fillId="0" borderId="0" xfId="0" applyFont="1"/>
    <xf numFmtId="43" fontId="10" fillId="0" borderId="0" xfId="0" applyNumberFormat="1" applyFont="1"/>
    <xf numFmtId="0" fontId="13" fillId="0" borderId="0" xfId="0" applyFont="1"/>
    <xf numFmtId="0" fontId="10" fillId="0" borderId="25" xfId="0" applyFont="1" applyFill="1" applyBorder="1"/>
    <xf numFmtId="0" fontId="10" fillId="0" borderId="26" xfId="0" applyFont="1" applyFill="1" applyBorder="1"/>
    <xf numFmtId="0" fontId="10" fillId="0" borderId="0" xfId="0" applyFont="1" applyFill="1" applyBorder="1" applyAlignment="1">
      <alignment horizontal="center"/>
    </xf>
    <xf numFmtId="165" fontId="10" fillId="0" borderId="0" xfId="2" applyNumberFormat="1" applyFont="1" applyFill="1" applyBorder="1"/>
    <xf numFmtId="165" fontId="10" fillId="0" borderId="0" xfId="2" applyNumberFormat="1" applyFont="1" applyBorder="1"/>
    <xf numFmtId="165" fontId="10" fillId="0" borderId="18" xfId="2" applyNumberFormat="1" applyFont="1" applyBorder="1"/>
    <xf numFmtId="165" fontId="10" fillId="0" borderId="27" xfId="2" applyNumberFormat="1" applyFont="1" applyBorder="1"/>
    <xf numFmtId="165" fontId="10" fillId="0" borderId="19" xfId="2" applyNumberFormat="1" applyFont="1" applyFill="1" applyBorder="1"/>
    <xf numFmtId="0" fontId="7" fillId="0" borderId="0" xfId="0" applyFont="1" applyBorder="1" applyAlignment="1">
      <alignment horizontal="center" vertical="center"/>
    </xf>
    <xf numFmtId="2" fontId="7" fillId="0" borderId="0" xfId="2" applyNumberFormat="1" applyFont="1" applyBorder="1" applyAlignment="1">
      <alignment horizontal="center" vertical="center"/>
    </xf>
    <xf numFmtId="164" fontId="7" fillId="0" borderId="0" xfId="2" applyNumberFormat="1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16" fillId="2" borderId="0" xfId="3" applyFont="1" applyFill="1"/>
    <xf numFmtId="0" fontId="17" fillId="2" borderId="10" xfId="3" applyFont="1" applyFill="1" applyBorder="1" applyAlignment="1">
      <alignment horizontal="center" vertical="center" wrapText="1"/>
    </xf>
    <xf numFmtId="0" fontId="17" fillId="2" borderId="11" xfId="3" applyFont="1" applyFill="1" applyBorder="1" applyAlignment="1">
      <alignment horizontal="center" vertical="center" wrapText="1"/>
    </xf>
    <xf numFmtId="0" fontId="17" fillId="2" borderId="12" xfId="3" applyFont="1" applyFill="1" applyBorder="1" applyAlignment="1">
      <alignment horizontal="center" vertical="center" wrapText="1"/>
    </xf>
    <xf numFmtId="0" fontId="17" fillId="2" borderId="13" xfId="3" applyFont="1" applyFill="1" applyBorder="1" applyAlignment="1">
      <alignment horizontal="center" vertical="center" wrapText="1"/>
    </xf>
    <xf numFmtId="2" fontId="10" fillId="0" borderId="0" xfId="2" applyNumberFormat="1" applyFont="1" applyFill="1" applyBorder="1"/>
    <xf numFmtId="0" fontId="10" fillId="0" borderId="30" xfId="0" applyFont="1" applyBorder="1"/>
    <xf numFmtId="0" fontId="9" fillId="0" borderId="28" xfId="0" applyFont="1" applyBorder="1"/>
    <xf numFmtId="165" fontId="9" fillId="0" borderId="17" xfId="2" applyNumberFormat="1" applyFont="1" applyFill="1" applyBorder="1"/>
    <xf numFmtId="10" fontId="9" fillId="0" borderId="19" xfId="0" applyNumberFormat="1" applyFont="1" applyBorder="1"/>
    <xf numFmtId="165" fontId="9" fillId="0" borderId="20" xfId="2" applyNumberFormat="1" applyFont="1" applyFill="1" applyBorder="1"/>
    <xf numFmtId="10" fontId="9" fillId="0" borderId="21" xfId="0" applyNumberFormat="1" applyFont="1" applyBorder="1"/>
    <xf numFmtId="165" fontId="9" fillId="0" borderId="22" xfId="2" applyNumberFormat="1" applyFont="1" applyFill="1" applyBorder="1"/>
    <xf numFmtId="10" fontId="9" fillId="0" borderId="24" xfId="0" applyNumberFormat="1" applyFont="1" applyBorder="1"/>
    <xf numFmtId="10" fontId="9" fillId="0" borderId="31" xfId="6" applyNumberFormat="1" applyFont="1" applyBorder="1"/>
    <xf numFmtId="0" fontId="1" fillId="2" borderId="1" xfId="0" applyFont="1" applyFill="1" applyBorder="1"/>
    <xf numFmtId="4" fontId="17" fillId="2" borderId="1" xfId="0" applyNumberFormat="1" applyFont="1" applyFill="1" applyBorder="1"/>
    <xf numFmtId="4" fontId="1" fillId="2" borderId="1" xfId="0" applyNumberFormat="1" applyFont="1" applyFill="1" applyBorder="1"/>
    <xf numFmtId="0" fontId="1" fillId="2" borderId="4" xfId="0" applyFont="1" applyFill="1" applyBorder="1"/>
    <xf numFmtId="0" fontId="1" fillId="3" borderId="4" xfId="0" applyFont="1" applyFill="1" applyBorder="1"/>
    <xf numFmtId="4" fontId="1" fillId="4" borderId="1" xfId="0" applyNumberFormat="1" applyFont="1" applyFill="1" applyBorder="1"/>
    <xf numFmtId="0" fontId="18" fillId="5" borderId="1" xfId="0" applyFont="1" applyFill="1" applyBorder="1" applyAlignment="1">
      <alignment vertical="center"/>
    </xf>
    <xf numFmtId="43" fontId="18" fillId="5" borderId="1" xfId="1" applyFont="1" applyFill="1" applyBorder="1" applyAlignment="1"/>
    <xf numFmtId="43" fontId="18" fillId="5" borderId="1" xfId="1" applyFont="1" applyFill="1" applyBorder="1" applyAlignment="1">
      <alignment vertical="center"/>
    </xf>
    <xf numFmtId="0" fontId="18" fillId="5" borderId="6" xfId="0" applyFont="1" applyFill="1" applyBorder="1" applyAlignment="1">
      <alignment vertical="center"/>
    </xf>
    <xf numFmtId="0" fontId="9" fillId="2" borderId="0" xfId="0" applyFont="1" applyFill="1"/>
    <xf numFmtId="0" fontId="19" fillId="2" borderId="0" xfId="0" applyFont="1" applyFill="1"/>
    <xf numFmtId="0" fontId="1" fillId="0" borderId="13" xfId="0" applyFont="1" applyBorder="1" applyAlignment="1">
      <alignment vertical="center"/>
    </xf>
    <xf numFmtId="9" fontId="10" fillId="0" borderId="31" xfId="0" applyNumberFormat="1" applyFont="1" applyBorder="1"/>
    <xf numFmtId="0" fontId="11" fillId="0" borderId="32" xfId="0" applyFont="1" applyBorder="1" applyAlignment="1">
      <alignment horizontal="center"/>
    </xf>
    <xf numFmtId="0" fontId="1" fillId="0" borderId="32" xfId="0" applyFont="1" applyBorder="1" applyAlignment="1">
      <alignment vertical="center"/>
    </xf>
    <xf numFmtId="165" fontId="10" fillId="4" borderId="18" xfId="2" applyNumberFormat="1" applyFont="1" applyFill="1" applyBorder="1"/>
    <xf numFmtId="0" fontId="10" fillId="4" borderId="18" xfId="0" applyFont="1" applyFill="1" applyBorder="1" applyAlignment="1">
      <alignment horizontal="center"/>
    </xf>
    <xf numFmtId="9" fontId="0" fillId="2" borderId="0" xfId="0" applyNumberFormat="1" applyFill="1"/>
    <xf numFmtId="0" fontId="19" fillId="2" borderId="0" xfId="0" applyFont="1" applyFill="1" applyBorder="1"/>
    <xf numFmtId="0" fontId="1" fillId="2" borderId="0" xfId="0" applyFont="1" applyFill="1" applyBorder="1"/>
    <xf numFmtId="4" fontId="1" fillId="2" borderId="0" xfId="0" applyNumberFormat="1" applyFont="1" applyFill="1"/>
    <xf numFmtId="0" fontId="20" fillId="5" borderId="1" xfId="0" applyFont="1" applyFill="1" applyBorder="1" applyAlignment="1">
      <alignment vertical="center"/>
    </xf>
    <xf numFmtId="43" fontId="20" fillId="5" borderId="1" xfId="1" applyFont="1" applyFill="1" applyBorder="1" applyAlignment="1">
      <alignment vertical="center"/>
    </xf>
    <xf numFmtId="4" fontId="1" fillId="2" borderId="0" xfId="0" applyNumberFormat="1" applyFont="1" applyFill="1" applyBorder="1"/>
    <xf numFmtId="0" fontId="20" fillId="5" borderId="6" xfId="0" applyFont="1" applyFill="1" applyBorder="1" applyAlignment="1">
      <alignment vertical="center"/>
    </xf>
    <xf numFmtId="43" fontId="20" fillId="5" borderId="1" xfId="1" applyFont="1" applyFill="1" applyBorder="1" applyAlignment="1"/>
    <xf numFmtId="4" fontId="17" fillId="2" borderId="2" xfId="0" applyNumberFormat="1" applyFont="1" applyFill="1" applyBorder="1"/>
    <xf numFmtId="4" fontId="1" fillId="2" borderId="2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9" fillId="2" borderId="1" xfId="0" applyFont="1" applyFill="1" applyBorder="1" applyAlignment="1">
      <alignment horizontal="center"/>
    </xf>
    <xf numFmtId="4" fontId="9" fillId="2" borderId="1" xfId="0" applyNumberFormat="1" applyFont="1" applyFill="1" applyBorder="1" applyAlignment="1">
      <alignment horizontal="center"/>
    </xf>
    <xf numFmtId="0" fontId="21" fillId="5" borderId="1" xfId="0" applyFont="1" applyFill="1" applyBorder="1"/>
    <xf numFmtId="43" fontId="21" fillId="5" borderId="1" xfId="0" applyNumberFormat="1" applyFont="1" applyFill="1" applyBorder="1"/>
    <xf numFmtId="0" fontId="6" fillId="2" borderId="7" xfId="3" applyFont="1" applyFill="1" applyBorder="1" applyAlignment="1">
      <alignment horizontal="center" vertical="center" wrapText="1"/>
    </xf>
    <xf numFmtId="0" fontId="6" fillId="2" borderId="8" xfId="3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horizontal="center" vertical="center" wrapText="1"/>
    </xf>
    <xf numFmtId="0" fontId="11" fillId="0" borderId="28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4" fillId="2" borderId="7" xfId="3" applyFont="1" applyFill="1" applyBorder="1" applyAlignment="1">
      <alignment horizontal="center" vertical="center"/>
    </xf>
    <xf numFmtId="0" fontId="14" fillId="2" borderId="8" xfId="3" applyFont="1" applyFill="1" applyBorder="1" applyAlignment="1">
      <alignment horizontal="center" vertical="center"/>
    </xf>
    <xf numFmtId="0" fontId="14" fillId="2" borderId="9" xfId="3" applyFont="1" applyFill="1" applyBorder="1" applyAlignment="1">
      <alignment horizontal="center" vertical="center"/>
    </xf>
    <xf numFmtId="0" fontId="17" fillId="2" borderId="7" xfId="3" applyFont="1" applyFill="1" applyBorder="1" applyAlignment="1">
      <alignment horizontal="center" vertical="center" wrapText="1"/>
    </xf>
    <xf numFmtId="0" fontId="17" fillId="2" borderId="14" xfId="3" applyFont="1" applyFill="1" applyBorder="1" applyAlignment="1">
      <alignment horizontal="center" vertical="center" wrapText="1"/>
    </xf>
    <xf numFmtId="0" fontId="18" fillId="5" borderId="0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8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/>
    </xf>
    <xf numFmtId="0" fontId="18" fillId="5" borderId="33" xfId="0" applyFont="1" applyFill="1" applyBorder="1" applyAlignment="1">
      <alignment horizontal="center" vertical="center"/>
    </xf>
  </cellXfs>
  <cellStyles count="7">
    <cellStyle name="Moeda" xfId="2" builtinId="4"/>
    <cellStyle name="Moeda 3" xfId="5" xr:uid="{00000000-0005-0000-0000-000001000000}"/>
    <cellStyle name="Normal" xfId="0" builtinId="0"/>
    <cellStyle name="Normal 3" xfId="3" xr:uid="{00000000-0005-0000-0000-000003000000}"/>
    <cellStyle name="Normal 6" xfId="4" xr:uid="{00000000-0005-0000-0000-000004000000}"/>
    <cellStyle name="Porcentagem" xfId="6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topLeftCell="B1" workbookViewId="0">
      <selection activeCell="O6" sqref="O6"/>
    </sheetView>
  </sheetViews>
  <sheetFormatPr defaultRowHeight="15" x14ac:dyDescent="0.25"/>
  <cols>
    <col min="1" max="1" width="18.7109375" style="13" hidden="1" customWidth="1"/>
    <col min="2" max="2" width="7.28515625" style="13" bestFit="1" customWidth="1"/>
    <col min="3" max="3" width="12.140625" style="13" bestFit="1" customWidth="1"/>
    <col min="4" max="4" width="12.140625" style="13" customWidth="1"/>
    <col min="5" max="5" width="13.28515625" style="13" customWidth="1"/>
    <col min="6" max="6" width="13.28515625" style="13" hidden="1" customWidth="1"/>
    <col min="7" max="7" width="12.42578125" style="13" customWidth="1"/>
    <col min="8" max="8" width="2.140625" style="13" customWidth="1"/>
    <col min="9" max="10" width="12.140625" style="13" bestFit="1" customWidth="1"/>
    <col min="11" max="11" width="11.7109375" style="13" customWidth="1"/>
    <col min="12" max="12" width="10.5703125" style="13" bestFit="1" customWidth="1"/>
    <col min="13" max="13" width="1.7109375" style="13" customWidth="1"/>
    <col min="14" max="15" width="12.140625" style="13" bestFit="1" customWidth="1"/>
    <col min="16" max="16" width="11.42578125" style="13" customWidth="1"/>
    <col min="17" max="17" width="1.7109375" style="13" customWidth="1"/>
    <col min="18" max="18" width="17.7109375" style="13" bestFit="1" customWidth="1"/>
    <col min="19" max="19" width="10.5703125" style="13" bestFit="1" customWidth="1"/>
    <col min="20" max="20" width="1.7109375" style="13" customWidth="1"/>
    <col min="21" max="21" width="10.5703125" style="13" bestFit="1" customWidth="1"/>
    <col min="22" max="16384" width="9.140625" style="13"/>
  </cols>
  <sheetData>
    <row r="1" spans="1:21" ht="21" thickBot="1" x14ac:dyDescent="0.35">
      <c r="A1" s="110" t="s">
        <v>18</v>
      </c>
      <c r="B1" s="111"/>
      <c r="C1" s="111"/>
      <c r="D1" s="111"/>
      <c r="E1" s="111"/>
      <c r="F1" s="111"/>
      <c r="G1" s="112"/>
      <c r="H1" s="54"/>
      <c r="I1" s="110" t="s">
        <v>19</v>
      </c>
      <c r="J1" s="111"/>
      <c r="K1" s="111"/>
      <c r="L1" s="112"/>
      <c r="M1" s="55"/>
      <c r="N1" s="110" t="s">
        <v>20</v>
      </c>
      <c r="O1" s="111"/>
      <c r="P1" s="112"/>
      <c r="Q1" s="15"/>
      <c r="R1" s="108" t="s">
        <v>31</v>
      </c>
      <c r="S1" s="109"/>
      <c r="U1" s="84" t="s">
        <v>38</v>
      </c>
    </row>
    <row r="2" spans="1:21" ht="39" thickBot="1" x14ac:dyDescent="0.3">
      <c r="A2" s="56"/>
      <c r="B2" s="57" t="s">
        <v>21</v>
      </c>
      <c r="C2" s="57" t="s">
        <v>22</v>
      </c>
      <c r="D2" s="57" t="s">
        <v>20</v>
      </c>
      <c r="E2" s="57" t="s">
        <v>23</v>
      </c>
      <c r="F2" s="58"/>
      <c r="G2" s="59" t="s">
        <v>18</v>
      </c>
      <c r="H2" s="54"/>
      <c r="I2" s="113" t="s">
        <v>24</v>
      </c>
      <c r="J2" s="114"/>
      <c r="K2" s="57" t="s">
        <v>25</v>
      </c>
      <c r="L2" s="59" t="s">
        <v>26</v>
      </c>
      <c r="M2" s="55"/>
      <c r="N2" s="113" t="s">
        <v>24</v>
      </c>
      <c r="O2" s="114"/>
      <c r="P2" s="59" t="s">
        <v>25</v>
      </c>
      <c r="Q2" s="16"/>
      <c r="R2" s="62"/>
      <c r="S2" s="82" t="s">
        <v>25</v>
      </c>
      <c r="U2" s="85" t="s">
        <v>25</v>
      </c>
    </row>
    <row r="3" spans="1:21" ht="15.75" thickBot="1" x14ac:dyDescent="0.3">
      <c r="A3" s="17"/>
      <c r="B3" s="87">
        <v>1</v>
      </c>
      <c r="C3" s="86">
        <v>1271</v>
      </c>
      <c r="D3" s="46">
        <f t="shared" ref="D3" si="0">IF(C3&gt;=$O$5,$O$5*$P$5,C3*VLOOKUP(C3,$N$3:$P$5,3))</f>
        <v>101.68</v>
      </c>
      <c r="E3" s="46">
        <f t="shared" ref="E3" si="1">IF((C3-D3-B3*$L$8)&lt;=0,0,(C3-D3-B3*$L$8)*VLOOKUP((C3-D3-B3*$L$8),$I$3:$L$7,3)-VLOOKUP((C3-D3-B3*$L$8),$I$3:$L$7,4))</f>
        <v>0</v>
      </c>
      <c r="F3" s="47"/>
      <c r="G3" s="48">
        <f t="shared" ref="G3" si="2">SUM(C3-D3-E3-F3)</f>
        <v>1169.32</v>
      </c>
      <c r="H3" s="18"/>
      <c r="I3" s="19">
        <v>0</v>
      </c>
      <c r="J3" s="20">
        <v>1903.98</v>
      </c>
      <c r="K3" s="21">
        <v>0</v>
      </c>
      <c r="L3" s="22">
        <v>0</v>
      </c>
      <c r="M3" s="14"/>
      <c r="N3" s="23">
        <v>0</v>
      </c>
      <c r="O3" s="24">
        <v>1693.72</v>
      </c>
      <c r="P3" s="25">
        <v>0.08</v>
      </c>
      <c r="Q3" s="14"/>
      <c r="R3" s="63" t="s">
        <v>31</v>
      </c>
      <c r="S3" s="64">
        <v>0</v>
      </c>
      <c r="U3" s="83">
        <v>0</v>
      </c>
    </row>
    <row r="4" spans="1:21" ht="13.5" customHeight="1" x14ac:dyDescent="0.25">
      <c r="A4" s="41"/>
      <c r="B4" s="43"/>
      <c r="C4" s="44"/>
      <c r="D4" s="45"/>
      <c r="E4" s="45"/>
      <c r="F4" s="45"/>
      <c r="G4" s="44"/>
      <c r="I4" s="26">
        <v>1903.99</v>
      </c>
      <c r="J4" s="27">
        <v>2826.65</v>
      </c>
      <c r="K4" s="28">
        <v>7.4999999999999997E-2</v>
      </c>
      <c r="L4" s="29">
        <v>142.80000000000001</v>
      </c>
      <c r="M4" s="14"/>
      <c r="N4" s="26">
        <v>1693.73</v>
      </c>
      <c r="O4" s="27">
        <v>2822.9</v>
      </c>
      <c r="P4" s="30">
        <v>0.09</v>
      </c>
      <c r="Q4" s="14"/>
      <c r="R4" s="65" t="s">
        <v>32</v>
      </c>
      <c r="S4" s="66">
        <v>0</v>
      </c>
    </row>
    <row r="5" spans="1:21" ht="15.75" thickBot="1" x14ac:dyDescent="0.3">
      <c r="A5" s="41"/>
      <c r="B5" s="43"/>
      <c r="C5" s="44"/>
      <c r="D5" s="45"/>
      <c r="E5" s="45"/>
      <c r="F5" s="45"/>
      <c r="G5" s="44"/>
      <c r="I5" s="26">
        <v>2826.66</v>
      </c>
      <c r="J5" s="27">
        <v>3751.05</v>
      </c>
      <c r="K5" s="28">
        <v>0.15</v>
      </c>
      <c r="L5" s="29">
        <v>354.8</v>
      </c>
      <c r="M5" s="14"/>
      <c r="N5" s="31">
        <v>2822.91</v>
      </c>
      <c r="O5" s="32">
        <v>5645.8</v>
      </c>
      <c r="P5" s="33">
        <v>0.11</v>
      </c>
      <c r="Q5" s="14"/>
      <c r="R5" s="67" t="s">
        <v>33</v>
      </c>
      <c r="S5" s="68">
        <v>0</v>
      </c>
    </row>
    <row r="6" spans="1:21" ht="15.75" thickBot="1" x14ac:dyDescent="0.3">
      <c r="A6" s="41"/>
      <c r="B6" s="43"/>
      <c r="C6" s="44"/>
      <c r="D6" s="45"/>
      <c r="E6" s="45"/>
      <c r="F6" s="45"/>
      <c r="G6" s="44"/>
      <c r="I6" s="26">
        <v>3751.06</v>
      </c>
      <c r="J6" s="27">
        <v>4664.68</v>
      </c>
      <c r="K6" s="28">
        <v>0.22500000000000001</v>
      </c>
      <c r="L6" s="29">
        <v>636.13</v>
      </c>
      <c r="M6" s="14"/>
      <c r="N6" s="14"/>
      <c r="O6" s="14"/>
      <c r="P6" s="14"/>
      <c r="Q6" s="14"/>
      <c r="R6" s="61"/>
      <c r="S6" s="69">
        <f>SUM(S3:S5)</f>
        <v>0</v>
      </c>
    </row>
    <row r="7" spans="1:21" ht="15.75" thickBot="1" x14ac:dyDescent="0.3">
      <c r="A7" s="41"/>
      <c r="B7" s="43"/>
      <c r="C7" s="44"/>
      <c r="D7" s="45"/>
      <c r="E7" s="45"/>
      <c r="F7" s="45"/>
      <c r="G7" s="44"/>
      <c r="I7" s="31">
        <v>4664.6899999999996</v>
      </c>
      <c r="J7" s="34"/>
      <c r="K7" s="35">
        <v>0.27500000000000002</v>
      </c>
      <c r="L7" s="36">
        <v>869.36</v>
      </c>
      <c r="M7" s="14"/>
      <c r="N7" s="14"/>
      <c r="O7" s="14"/>
      <c r="P7" s="14"/>
      <c r="Q7" s="14"/>
    </row>
    <row r="8" spans="1:21" ht="15.75" thickBot="1" x14ac:dyDescent="0.3">
      <c r="A8" s="41"/>
      <c r="B8" s="43"/>
      <c r="C8" s="44"/>
      <c r="D8" s="45"/>
      <c r="E8" s="45"/>
      <c r="F8" s="45"/>
      <c r="G8" s="44"/>
      <c r="I8" s="105" t="s">
        <v>27</v>
      </c>
      <c r="J8" s="106"/>
      <c r="K8" s="107"/>
      <c r="L8" s="37">
        <v>189.59</v>
      </c>
      <c r="M8" s="14"/>
      <c r="N8" s="14"/>
      <c r="O8" s="14"/>
      <c r="P8" s="14"/>
      <c r="Q8" s="14"/>
    </row>
    <row r="9" spans="1:21" x14ac:dyDescent="0.25">
      <c r="A9" s="41"/>
      <c r="B9" s="43"/>
      <c r="C9" s="44"/>
      <c r="D9" s="45"/>
      <c r="E9" s="45"/>
      <c r="F9" s="45"/>
      <c r="G9" s="44"/>
      <c r="I9" s="38"/>
    </row>
    <row r="10" spans="1:21" x14ac:dyDescent="0.25">
      <c r="A10" s="41"/>
      <c r="B10" s="43"/>
      <c r="C10" s="44"/>
      <c r="D10" s="45"/>
      <c r="E10" s="45"/>
      <c r="F10" s="45"/>
      <c r="G10" s="44"/>
    </row>
    <row r="11" spans="1:21" x14ac:dyDescent="0.25">
      <c r="A11" s="41"/>
      <c r="B11" s="43"/>
      <c r="C11" s="44"/>
      <c r="D11" s="45"/>
      <c r="E11" s="45"/>
      <c r="F11" s="45"/>
      <c r="G11" s="44"/>
    </row>
    <row r="12" spans="1:21" x14ac:dyDescent="0.25">
      <c r="A12" s="41"/>
      <c r="B12" s="43"/>
      <c r="D12" s="45"/>
      <c r="E12" s="45"/>
      <c r="F12" s="45"/>
      <c r="G12" s="44"/>
      <c r="I12" s="39"/>
    </row>
    <row r="13" spans="1:21" x14ac:dyDescent="0.25">
      <c r="A13" s="41"/>
      <c r="B13" s="43"/>
      <c r="D13" s="45"/>
      <c r="E13" s="45"/>
      <c r="F13" s="45"/>
      <c r="G13" s="44"/>
    </row>
    <row r="14" spans="1:21" x14ac:dyDescent="0.25">
      <c r="A14" s="41"/>
      <c r="B14" s="43"/>
      <c r="D14" s="45"/>
      <c r="E14" s="45"/>
      <c r="F14" s="45"/>
      <c r="G14" s="44"/>
    </row>
    <row r="15" spans="1:21" x14ac:dyDescent="0.25">
      <c r="A15" s="41"/>
      <c r="B15" s="43"/>
      <c r="C15" s="44"/>
      <c r="D15" s="45"/>
      <c r="E15" s="45"/>
      <c r="F15" s="45"/>
      <c r="G15" s="44"/>
    </row>
    <row r="16" spans="1:21" x14ac:dyDescent="0.25">
      <c r="A16" s="41"/>
      <c r="B16" s="43"/>
      <c r="C16" s="44"/>
      <c r="D16" s="45"/>
      <c r="E16" s="45"/>
      <c r="F16" s="45"/>
      <c r="G16" s="44"/>
    </row>
    <row r="17" spans="1:7" ht="15.75" thickBot="1" x14ac:dyDescent="0.3">
      <c r="A17" s="42"/>
      <c r="B17" s="43"/>
      <c r="C17" s="60"/>
      <c r="D17" s="45"/>
      <c r="E17" s="45"/>
      <c r="F17" s="45"/>
      <c r="G17" s="44"/>
    </row>
    <row r="20" spans="1:7" ht="15.75" x14ac:dyDescent="0.25">
      <c r="A20" s="40"/>
    </row>
  </sheetData>
  <protectedRanges>
    <protectedRange sqref="R3:R5 A19:L23 I9 A3:B17 C3:C11 C15:C17" name="Intervalo1"/>
  </protectedRanges>
  <mergeCells count="7">
    <mergeCell ref="I8:K8"/>
    <mergeCell ref="R1:S1"/>
    <mergeCell ref="A1:G1"/>
    <mergeCell ref="I1:L1"/>
    <mergeCell ref="N1:P1"/>
    <mergeCell ref="I2:J2"/>
    <mergeCell ref="N2:O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04"/>
  <sheetViews>
    <sheetView showGridLines="0" workbookViewId="0">
      <selection activeCell="C11" sqref="C11"/>
    </sheetView>
  </sheetViews>
  <sheetFormatPr defaultRowHeight="15" x14ac:dyDescent="0.25"/>
  <cols>
    <col min="1" max="1" width="9.140625" style="2"/>
    <col min="2" max="2" width="62.7109375" customWidth="1"/>
    <col min="3" max="3" width="16.5703125" customWidth="1"/>
    <col min="4" max="4" width="14" style="2" customWidth="1"/>
    <col min="5" max="6" width="9.140625" style="2"/>
    <col min="7" max="7" width="16.42578125" style="2" bestFit="1" customWidth="1"/>
    <col min="8" max="8" width="19.7109375" style="2" bestFit="1" customWidth="1"/>
    <col min="9" max="36" width="9.140625" style="2"/>
    <col min="258" max="258" width="62.7109375" customWidth="1"/>
    <col min="259" max="259" width="16.5703125" customWidth="1"/>
    <col min="260" max="260" width="14" customWidth="1"/>
    <col min="514" max="514" width="62.7109375" customWidth="1"/>
    <col min="515" max="515" width="16.5703125" customWidth="1"/>
    <col min="516" max="516" width="14" customWidth="1"/>
    <col min="770" max="770" width="62.7109375" customWidth="1"/>
    <col min="771" max="771" width="16.5703125" customWidth="1"/>
    <col min="772" max="772" width="14" customWidth="1"/>
    <col min="1026" max="1026" width="62.7109375" customWidth="1"/>
    <col min="1027" max="1027" width="16.5703125" customWidth="1"/>
    <col min="1028" max="1028" width="14" customWidth="1"/>
    <col min="1282" max="1282" width="62.7109375" customWidth="1"/>
    <col min="1283" max="1283" width="16.5703125" customWidth="1"/>
    <col min="1284" max="1284" width="14" customWidth="1"/>
    <col min="1538" max="1538" width="62.7109375" customWidth="1"/>
    <col min="1539" max="1539" width="16.5703125" customWidth="1"/>
    <col min="1540" max="1540" width="14" customWidth="1"/>
    <col min="1794" max="1794" width="62.7109375" customWidth="1"/>
    <col min="1795" max="1795" width="16.5703125" customWidth="1"/>
    <col min="1796" max="1796" width="14" customWidth="1"/>
    <col min="2050" max="2050" width="62.7109375" customWidth="1"/>
    <col min="2051" max="2051" width="16.5703125" customWidth="1"/>
    <col min="2052" max="2052" width="14" customWidth="1"/>
    <col min="2306" max="2306" width="62.7109375" customWidth="1"/>
    <col min="2307" max="2307" width="16.5703125" customWidth="1"/>
    <col min="2308" max="2308" width="14" customWidth="1"/>
    <col min="2562" max="2562" width="62.7109375" customWidth="1"/>
    <col min="2563" max="2563" width="16.5703125" customWidth="1"/>
    <col min="2564" max="2564" width="14" customWidth="1"/>
    <col min="2818" max="2818" width="62.7109375" customWidth="1"/>
    <col min="2819" max="2819" width="16.5703125" customWidth="1"/>
    <col min="2820" max="2820" width="14" customWidth="1"/>
    <col min="3074" max="3074" width="62.7109375" customWidth="1"/>
    <col min="3075" max="3075" width="16.5703125" customWidth="1"/>
    <col min="3076" max="3076" width="14" customWidth="1"/>
    <col min="3330" max="3330" width="62.7109375" customWidth="1"/>
    <col min="3331" max="3331" width="16.5703125" customWidth="1"/>
    <col min="3332" max="3332" width="14" customWidth="1"/>
    <col min="3586" max="3586" width="62.7109375" customWidth="1"/>
    <col min="3587" max="3587" width="16.5703125" customWidth="1"/>
    <col min="3588" max="3588" width="14" customWidth="1"/>
    <col min="3842" max="3842" width="62.7109375" customWidth="1"/>
    <col min="3843" max="3843" width="16.5703125" customWidth="1"/>
    <col min="3844" max="3844" width="14" customWidth="1"/>
    <col min="4098" max="4098" width="62.7109375" customWidth="1"/>
    <col min="4099" max="4099" width="16.5703125" customWidth="1"/>
    <col min="4100" max="4100" width="14" customWidth="1"/>
    <col min="4354" max="4354" width="62.7109375" customWidth="1"/>
    <col min="4355" max="4355" width="16.5703125" customWidth="1"/>
    <col min="4356" max="4356" width="14" customWidth="1"/>
    <col min="4610" max="4610" width="62.7109375" customWidth="1"/>
    <col min="4611" max="4611" width="16.5703125" customWidth="1"/>
    <col min="4612" max="4612" width="14" customWidth="1"/>
    <col min="4866" max="4866" width="62.7109375" customWidth="1"/>
    <col min="4867" max="4867" width="16.5703125" customWidth="1"/>
    <col min="4868" max="4868" width="14" customWidth="1"/>
    <col min="5122" max="5122" width="62.7109375" customWidth="1"/>
    <col min="5123" max="5123" width="16.5703125" customWidth="1"/>
    <col min="5124" max="5124" width="14" customWidth="1"/>
    <col min="5378" max="5378" width="62.7109375" customWidth="1"/>
    <col min="5379" max="5379" width="16.5703125" customWidth="1"/>
    <col min="5380" max="5380" width="14" customWidth="1"/>
    <col min="5634" max="5634" width="62.7109375" customWidth="1"/>
    <col min="5635" max="5635" width="16.5703125" customWidth="1"/>
    <col min="5636" max="5636" width="14" customWidth="1"/>
    <col min="5890" max="5890" width="62.7109375" customWidth="1"/>
    <col min="5891" max="5891" width="16.5703125" customWidth="1"/>
    <col min="5892" max="5892" width="14" customWidth="1"/>
    <col min="6146" max="6146" width="62.7109375" customWidth="1"/>
    <col min="6147" max="6147" width="16.5703125" customWidth="1"/>
    <col min="6148" max="6148" width="14" customWidth="1"/>
    <col min="6402" max="6402" width="62.7109375" customWidth="1"/>
    <col min="6403" max="6403" width="16.5703125" customWidth="1"/>
    <col min="6404" max="6404" width="14" customWidth="1"/>
    <col min="6658" max="6658" width="62.7109375" customWidth="1"/>
    <col min="6659" max="6659" width="16.5703125" customWidth="1"/>
    <col min="6660" max="6660" width="14" customWidth="1"/>
    <col min="6914" max="6914" width="62.7109375" customWidth="1"/>
    <col min="6915" max="6915" width="16.5703125" customWidth="1"/>
    <col min="6916" max="6916" width="14" customWidth="1"/>
    <col min="7170" max="7170" width="62.7109375" customWidth="1"/>
    <col min="7171" max="7171" width="16.5703125" customWidth="1"/>
    <col min="7172" max="7172" width="14" customWidth="1"/>
    <col min="7426" max="7426" width="62.7109375" customWidth="1"/>
    <col min="7427" max="7427" width="16.5703125" customWidth="1"/>
    <col min="7428" max="7428" width="14" customWidth="1"/>
    <col min="7682" max="7682" width="62.7109375" customWidth="1"/>
    <col min="7683" max="7683" width="16.5703125" customWidth="1"/>
    <col min="7684" max="7684" width="14" customWidth="1"/>
    <col min="7938" max="7938" width="62.7109375" customWidth="1"/>
    <col min="7939" max="7939" width="16.5703125" customWidth="1"/>
    <col min="7940" max="7940" width="14" customWidth="1"/>
    <col min="8194" max="8194" width="62.7109375" customWidth="1"/>
    <col min="8195" max="8195" width="16.5703125" customWidth="1"/>
    <col min="8196" max="8196" width="14" customWidth="1"/>
    <col min="8450" max="8450" width="62.7109375" customWidth="1"/>
    <col min="8451" max="8451" width="16.5703125" customWidth="1"/>
    <col min="8452" max="8452" width="14" customWidth="1"/>
    <col min="8706" max="8706" width="62.7109375" customWidth="1"/>
    <col min="8707" max="8707" width="16.5703125" customWidth="1"/>
    <col min="8708" max="8708" width="14" customWidth="1"/>
    <col min="8962" max="8962" width="62.7109375" customWidth="1"/>
    <col min="8963" max="8963" width="16.5703125" customWidth="1"/>
    <col min="8964" max="8964" width="14" customWidth="1"/>
    <col min="9218" max="9218" width="62.7109375" customWidth="1"/>
    <col min="9219" max="9219" width="16.5703125" customWidth="1"/>
    <col min="9220" max="9220" width="14" customWidth="1"/>
    <col min="9474" max="9474" width="62.7109375" customWidth="1"/>
    <col min="9475" max="9475" width="16.5703125" customWidth="1"/>
    <col min="9476" max="9476" width="14" customWidth="1"/>
    <col min="9730" max="9730" width="62.7109375" customWidth="1"/>
    <col min="9731" max="9731" width="16.5703125" customWidth="1"/>
    <col min="9732" max="9732" width="14" customWidth="1"/>
    <col min="9986" max="9986" width="62.7109375" customWidth="1"/>
    <col min="9987" max="9987" width="16.5703125" customWidth="1"/>
    <col min="9988" max="9988" width="14" customWidth="1"/>
    <col min="10242" max="10242" width="62.7109375" customWidth="1"/>
    <col min="10243" max="10243" width="16.5703125" customWidth="1"/>
    <col min="10244" max="10244" width="14" customWidth="1"/>
    <col min="10498" max="10498" width="62.7109375" customWidth="1"/>
    <col min="10499" max="10499" width="16.5703125" customWidth="1"/>
    <col min="10500" max="10500" width="14" customWidth="1"/>
    <col min="10754" max="10754" width="62.7109375" customWidth="1"/>
    <col min="10755" max="10755" width="16.5703125" customWidth="1"/>
    <col min="10756" max="10756" width="14" customWidth="1"/>
    <col min="11010" max="11010" width="62.7109375" customWidth="1"/>
    <col min="11011" max="11011" width="16.5703125" customWidth="1"/>
    <col min="11012" max="11012" width="14" customWidth="1"/>
    <col min="11266" max="11266" width="62.7109375" customWidth="1"/>
    <col min="11267" max="11267" width="16.5703125" customWidth="1"/>
    <col min="11268" max="11268" width="14" customWidth="1"/>
    <col min="11522" max="11522" width="62.7109375" customWidth="1"/>
    <col min="11523" max="11523" width="16.5703125" customWidth="1"/>
    <col min="11524" max="11524" width="14" customWidth="1"/>
    <col min="11778" max="11778" width="62.7109375" customWidth="1"/>
    <col min="11779" max="11779" width="16.5703125" customWidth="1"/>
    <col min="11780" max="11780" width="14" customWidth="1"/>
    <col min="12034" max="12034" width="62.7109375" customWidth="1"/>
    <col min="12035" max="12035" width="16.5703125" customWidth="1"/>
    <col min="12036" max="12036" width="14" customWidth="1"/>
    <col min="12290" max="12290" width="62.7109375" customWidth="1"/>
    <col min="12291" max="12291" width="16.5703125" customWidth="1"/>
    <col min="12292" max="12292" width="14" customWidth="1"/>
    <col min="12546" max="12546" width="62.7109375" customWidth="1"/>
    <col min="12547" max="12547" width="16.5703125" customWidth="1"/>
    <col min="12548" max="12548" width="14" customWidth="1"/>
    <col min="12802" max="12802" width="62.7109375" customWidth="1"/>
    <col min="12803" max="12803" width="16.5703125" customWidth="1"/>
    <col min="12804" max="12804" width="14" customWidth="1"/>
    <col min="13058" max="13058" width="62.7109375" customWidth="1"/>
    <col min="13059" max="13059" width="16.5703125" customWidth="1"/>
    <col min="13060" max="13060" width="14" customWidth="1"/>
    <col min="13314" max="13314" width="62.7109375" customWidth="1"/>
    <col min="13315" max="13315" width="16.5703125" customWidth="1"/>
    <col min="13316" max="13316" width="14" customWidth="1"/>
    <col min="13570" max="13570" width="62.7109375" customWidth="1"/>
    <col min="13571" max="13571" width="16.5703125" customWidth="1"/>
    <col min="13572" max="13572" width="14" customWidth="1"/>
    <col min="13826" max="13826" width="62.7109375" customWidth="1"/>
    <col min="13827" max="13827" width="16.5703125" customWidth="1"/>
    <col min="13828" max="13828" width="14" customWidth="1"/>
    <col min="14082" max="14082" width="62.7109375" customWidth="1"/>
    <col min="14083" max="14083" width="16.5703125" customWidth="1"/>
    <col min="14084" max="14084" width="14" customWidth="1"/>
    <col min="14338" max="14338" width="62.7109375" customWidth="1"/>
    <col min="14339" max="14339" width="16.5703125" customWidth="1"/>
    <col min="14340" max="14340" width="14" customWidth="1"/>
    <col min="14594" max="14594" width="62.7109375" customWidth="1"/>
    <col min="14595" max="14595" width="16.5703125" customWidth="1"/>
    <col min="14596" max="14596" width="14" customWidth="1"/>
    <col min="14850" max="14850" width="62.7109375" customWidth="1"/>
    <col min="14851" max="14851" width="16.5703125" customWidth="1"/>
    <col min="14852" max="14852" width="14" customWidth="1"/>
    <col min="15106" max="15106" width="62.7109375" customWidth="1"/>
    <col min="15107" max="15107" width="16.5703125" customWidth="1"/>
    <col min="15108" max="15108" width="14" customWidth="1"/>
    <col min="15362" max="15362" width="62.7109375" customWidth="1"/>
    <col min="15363" max="15363" width="16.5703125" customWidth="1"/>
    <col min="15364" max="15364" width="14" customWidth="1"/>
    <col min="15618" max="15618" width="62.7109375" customWidth="1"/>
    <col min="15619" max="15619" width="16.5703125" customWidth="1"/>
    <col min="15620" max="15620" width="14" customWidth="1"/>
    <col min="15874" max="15874" width="62.7109375" customWidth="1"/>
    <col min="15875" max="15875" width="16.5703125" customWidth="1"/>
    <col min="15876" max="15876" width="14" customWidth="1"/>
    <col min="16130" max="16130" width="62.7109375" customWidth="1"/>
    <col min="16131" max="16131" width="16.5703125" customWidth="1"/>
    <col min="16132" max="16132" width="14" customWidth="1"/>
  </cols>
  <sheetData>
    <row r="1" spans="1:36" s="2" customFormat="1" x14ac:dyDescent="0.25"/>
    <row r="2" spans="1:36" ht="31.5" customHeight="1" x14ac:dyDescent="0.25">
      <c r="B2" s="115" t="s">
        <v>15</v>
      </c>
      <c r="C2" s="116"/>
      <c r="D2" s="3"/>
    </row>
    <row r="3" spans="1:36" s="1" customFormat="1" ht="15.75" x14ac:dyDescent="0.25">
      <c r="A3" s="3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1" customFormat="1" ht="15.75" x14ac:dyDescent="0.25">
      <c r="A4" s="3"/>
      <c r="B4" s="117" t="s">
        <v>37</v>
      </c>
      <c r="C4" s="118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5.75" x14ac:dyDescent="0.25">
      <c r="B5" s="5"/>
      <c r="C5" s="5"/>
      <c r="D5" s="5"/>
      <c r="E5" s="6"/>
      <c r="G5" s="3"/>
      <c r="H5" s="3"/>
    </row>
    <row r="6" spans="1:36" ht="24.75" customHeight="1" x14ac:dyDescent="0.25">
      <c r="B6" s="119" t="s">
        <v>13</v>
      </c>
      <c r="C6" s="120"/>
      <c r="D6" s="5"/>
      <c r="G6" s="121"/>
      <c r="H6" s="121"/>
    </row>
    <row r="7" spans="1:36" ht="15.75" x14ac:dyDescent="0.25">
      <c r="B7" s="70" t="s">
        <v>6</v>
      </c>
      <c r="C7" s="71">
        <f>Tabelas!C3</f>
        <v>1271</v>
      </c>
      <c r="D7" s="7"/>
      <c r="G7" s="49"/>
      <c r="H7" s="50"/>
      <c r="I7" s="12"/>
    </row>
    <row r="8" spans="1:36" ht="15.75" x14ac:dyDescent="0.25">
      <c r="B8" s="70" t="s">
        <v>0</v>
      </c>
      <c r="C8" s="72">
        <f>C7*8%</f>
        <v>101.68</v>
      </c>
      <c r="D8" s="8"/>
      <c r="G8" s="49"/>
      <c r="H8" s="51"/>
      <c r="I8" s="12"/>
    </row>
    <row r="9" spans="1:36" ht="15.75" x14ac:dyDescent="0.25">
      <c r="B9" s="73" t="s">
        <v>31</v>
      </c>
      <c r="C9" s="72">
        <f>Tabelas!S6*' Func. Condominio'!C7</f>
        <v>0</v>
      </c>
      <c r="D9" s="8"/>
      <c r="G9" s="52"/>
      <c r="H9" s="53"/>
      <c r="I9" s="12"/>
    </row>
    <row r="10" spans="1:36" ht="15.75" x14ac:dyDescent="0.25">
      <c r="B10" s="73" t="s">
        <v>30</v>
      </c>
      <c r="C10" s="72">
        <f>Tabelas!D3</f>
        <v>101.68</v>
      </c>
      <c r="D10" s="8"/>
    </row>
    <row r="11" spans="1:36" ht="15.75" x14ac:dyDescent="0.25">
      <c r="B11" s="73" t="s">
        <v>19</v>
      </c>
      <c r="C11" s="72">
        <f>Tabelas!E3</f>
        <v>0</v>
      </c>
      <c r="D11" s="8"/>
    </row>
    <row r="12" spans="1:36" ht="15.75" x14ac:dyDescent="0.25">
      <c r="B12" s="73" t="s">
        <v>38</v>
      </c>
      <c r="C12" s="72">
        <f>Tabelas!U3*' Func. Condominio'!C7</f>
        <v>0</v>
      </c>
      <c r="D12" s="8"/>
    </row>
    <row r="13" spans="1:36" ht="15.75" x14ac:dyDescent="0.25">
      <c r="B13" s="73" t="s">
        <v>28</v>
      </c>
      <c r="C13" s="72">
        <f>C7-C10-C11+C14</f>
        <v>1169.32</v>
      </c>
      <c r="D13" s="8"/>
    </row>
    <row r="14" spans="1:36" x14ac:dyDescent="0.25">
      <c r="B14" s="74" t="s">
        <v>14</v>
      </c>
      <c r="C14" s="75"/>
      <c r="D14" s="7" t="s">
        <v>1</v>
      </c>
    </row>
    <row r="15" spans="1:36" ht="23.25" customHeight="1" x14ac:dyDescent="0.25">
      <c r="B15" s="76" t="s">
        <v>2</v>
      </c>
      <c r="C15" s="78">
        <f>SUM(C8:C14)</f>
        <v>1372.6799999999998</v>
      </c>
      <c r="D15" s="8"/>
    </row>
    <row r="16" spans="1:36" ht="15.75" x14ac:dyDescent="0.25">
      <c r="B16" s="4"/>
      <c r="C16" s="9"/>
      <c r="D16" s="9"/>
    </row>
    <row r="17" spans="2:8" ht="21" customHeight="1" x14ac:dyDescent="0.25">
      <c r="B17" s="119" t="s">
        <v>12</v>
      </c>
      <c r="C17" s="120"/>
      <c r="D17" s="8"/>
    </row>
    <row r="18" spans="2:8" ht="15.75" x14ac:dyDescent="0.25">
      <c r="B18" s="70" t="s">
        <v>29</v>
      </c>
      <c r="C18" s="72">
        <f>C7/12</f>
        <v>105.91666666666667</v>
      </c>
      <c r="D18" s="8"/>
    </row>
    <row r="19" spans="2:8" ht="15.75" x14ac:dyDescent="0.25">
      <c r="B19" s="70" t="s">
        <v>39</v>
      </c>
      <c r="C19" s="72">
        <f>Tabelas!U3*' Func. Condominio'!C18</f>
        <v>0</v>
      </c>
      <c r="D19" s="8"/>
    </row>
    <row r="20" spans="2:8" ht="15.75" x14ac:dyDescent="0.25">
      <c r="B20" s="70" t="s">
        <v>16</v>
      </c>
      <c r="C20" s="72">
        <f>C7/12</f>
        <v>105.91666666666667</v>
      </c>
      <c r="D20" s="8"/>
    </row>
    <row r="21" spans="2:8" ht="15.75" x14ac:dyDescent="0.25">
      <c r="B21" s="70" t="s">
        <v>40</v>
      </c>
      <c r="C21" s="72">
        <f>Tabelas!U3*' Func. Condominio'!C20</f>
        <v>0</v>
      </c>
      <c r="D21" s="8"/>
    </row>
    <row r="22" spans="2:8" ht="15.75" x14ac:dyDescent="0.25">
      <c r="B22" s="70" t="s">
        <v>17</v>
      </c>
      <c r="C22" s="72">
        <f>C20*8%</f>
        <v>8.4733333333333345</v>
      </c>
      <c r="D22" s="8"/>
    </row>
    <row r="23" spans="2:8" ht="15.75" x14ac:dyDescent="0.25">
      <c r="B23" s="70" t="s">
        <v>7</v>
      </c>
      <c r="C23" s="72">
        <f>C18*8%</f>
        <v>8.4733333333333345</v>
      </c>
      <c r="D23" s="8"/>
    </row>
    <row r="24" spans="2:8" ht="15.75" x14ac:dyDescent="0.25">
      <c r="B24" s="70" t="s">
        <v>8</v>
      </c>
      <c r="C24" s="72">
        <f>C7/12</f>
        <v>105.91666666666667</v>
      </c>
      <c r="D24" s="8"/>
    </row>
    <row r="25" spans="2:8" ht="15.75" x14ac:dyDescent="0.25">
      <c r="B25" s="70" t="s">
        <v>9</v>
      </c>
      <c r="C25" s="72">
        <f>C24/3</f>
        <v>35.305555555555557</v>
      </c>
      <c r="D25" s="8"/>
    </row>
    <row r="26" spans="2:8" ht="15.75" x14ac:dyDescent="0.25">
      <c r="B26" s="70" t="s">
        <v>41</v>
      </c>
      <c r="C26" s="72">
        <f>(C24+C25)*Tabelas!U3</f>
        <v>0</v>
      </c>
      <c r="D26" s="8"/>
    </row>
    <row r="27" spans="2:8" ht="15.75" x14ac:dyDescent="0.25">
      <c r="B27" s="70" t="s">
        <v>10</v>
      </c>
      <c r="C27" s="72">
        <f>(C24+C25)*8%</f>
        <v>11.297777777777778</v>
      </c>
      <c r="D27" s="8"/>
    </row>
    <row r="28" spans="2:8" ht="15.75" x14ac:dyDescent="0.25">
      <c r="B28" s="70" t="s">
        <v>3</v>
      </c>
      <c r="C28" s="72">
        <f>C7/12</f>
        <v>105.91666666666667</v>
      </c>
      <c r="D28" s="8"/>
    </row>
    <row r="29" spans="2:8" ht="15.75" x14ac:dyDescent="0.25">
      <c r="B29" s="70" t="s">
        <v>4</v>
      </c>
      <c r="C29" s="72">
        <f>C28*8%</f>
        <v>8.4733333333333345</v>
      </c>
      <c r="D29" s="8"/>
      <c r="H29" s="11"/>
    </row>
    <row r="30" spans="2:8" ht="15.75" x14ac:dyDescent="0.25">
      <c r="B30" s="70" t="s">
        <v>11</v>
      </c>
      <c r="C30" s="72">
        <f>(C8+C22+C27+C29+C23)*50%</f>
        <v>69.198888888888888</v>
      </c>
      <c r="D30" s="8"/>
    </row>
    <row r="31" spans="2:8" ht="15.75" x14ac:dyDescent="0.25">
      <c r="B31" s="70" t="s">
        <v>34</v>
      </c>
      <c r="C31" s="72">
        <f>(C18+C20+C24+C25)*Tabelas!S6</f>
        <v>0</v>
      </c>
      <c r="D31" s="8"/>
    </row>
    <row r="32" spans="2:8" ht="18" customHeight="1" x14ac:dyDescent="0.25">
      <c r="B32" s="79" t="s">
        <v>2</v>
      </c>
      <c r="C32" s="77">
        <f>SUM(C18:C31)</f>
        <v>564.88888888888891</v>
      </c>
    </row>
    <row r="33" spans="2:5" s="2" customFormat="1" x14ac:dyDescent="0.25"/>
    <row r="34" spans="2:5" s="2" customFormat="1" ht="18" x14ac:dyDescent="0.25">
      <c r="B34" s="79" t="s">
        <v>42</v>
      </c>
      <c r="C34" s="77">
        <f>C15+C32</f>
        <v>1937.5688888888888</v>
      </c>
    </row>
    <row r="35" spans="2:5" s="2" customFormat="1" ht="15.75" x14ac:dyDescent="0.25">
      <c r="B35" s="10"/>
      <c r="C35" s="10"/>
    </row>
    <row r="36" spans="2:5" s="2" customFormat="1" x14ac:dyDescent="0.25">
      <c r="B36" s="80" t="s">
        <v>35</v>
      </c>
      <c r="C36" s="80"/>
      <c r="D36" s="81"/>
      <c r="E36" s="81"/>
    </row>
    <row r="37" spans="2:5" s="2" customFormat="1" x14ac:dyDescent="0.25">
      <c r="B37" s="80" t="s">
        <v>36</v>
      </c>
      <c r="C37" s="80"/>
      <c r="D37" s="81"/>
      <c r="E37" s="81"/>
    </row>
    <row r="38" spans="2:5" s="2" customFormat="1" x14ac:dyDescent="0.25">
      <c r="B38" s="80" t="s">
        <v>5</v>
      </c>
      <c r="C38" s="80"/>
      <c r="D38" s="81"/>
      <c r="E38" s="81"/>
    </row>
    <row r="39" spans="2:5" s="2" customFormat="1" ht="15.75" x14ac:dyDescent="0.25">
      <c r="B39" s="10"/>
      <c r="C39" s="10"/>
    </row>
    <row r="40" spans="2:5" s="2" customFormat="1" ht="15.75" x14ac:dyDescent="0.25">
      <c r="B40" s="10"/>
      <c r="C40" s="10"/>
    </row>
    <row r="41" spans="2:5" s="2" customFormat="1" ht="15.75" x14ac:dyDescent="0.25">
      <c r="B41" s="10"/>
      <c r="C41" s="10"/>
    </row>
    <row r="42" spans="2:5" s="2" customFormat="1" ht="15.75" x14ac:dyDescent="0.25">
      <c r="B42" s="10"/>
      <c r="C42" s="10"/>
    </row>
    <row r="43" spans="2:5" s="2" customFormat="1" ht="15.75" x14ac:dyDescent="0.25">
      <c r="B43" s="10"/>
      <c r="C43" s="10"/>
    </row>
    <row r="44" spans="2:5" s="2" customFormat="1" ht="15.75" x14ac:dyDescent="0.25">
      <c r="B44" s="10"/>
      <c r="C44" s="10"/>
    </row>
    <row r="45" spans="2:5" s="2" customFormat="1" ht="15.75" x14ac:dyDescent="0.25">
      <c r="B45" s="10"/>
      <c r="C45" s="10"/>
    </row>
    <row r="46" spans="2:5" s="2" customFormat="1" ht="15.75" x14ac:dyDescent="0.25">
      <c r="B46" s="10"/>
      <c r="C46" s="10"/>
    </row>
    <row r="47" spans="2:5" s="2" customFormat="1" ht="15.75" x14ac:dyDescent="0.25">
      <c r="B47" s="10"/>
      <c r="C47" s="10"/>
    </row>
    <row r="48" spans="2:5" s="2" customFormat="1" ht="15.75" x14ac:dyDescent="0.25">
      <c r="B48" s="10"/>
      <c r="C48" s="10"/>
    </row>
    <row r="49" spans="2:3" s="2" customFormat="1" ht="15.75" x14ac:dyDescent="0.25">
      <c r="B49" s="10"/>
      <c r="C49" s="10"/>
    </row>
    <row r="50" spans="2:3" s="2" customFormat="1" ht="15.75" x14ac:dyDescent="0.25">
      <c r="B50" s="10"/>
      <c r="C50" s="10"/>
    </row>
    <row r="51" spans="2:3" s="2" customFormat="1" ht="15.75" x14ac:dyDescent="0.25">
      <c r="B51" s="10"/>
      <c r="C51" s="10"/>
    </row>
    <row r="52" spans="2:3" s="2" customFormat="1" x14ac:dyDescent="0.25"/>
    <row r="53" spans="2:3" s="2" customFormat="1" x14ac:dyDescent="0.25"/>
    <row r="54" spans="2:3" s="2" customFormat="1" x14ac:dyDescent="0.25"/>
    <row r="55" spans="2:3" s="2" customFormat="1" x14ac:dyDescent="0.25"/>
    <row r="56" spans="2:3" s="2" customFormat="1" x14ac:dyDescent="0.25"/>
    <row r="57" spans="2:3" s="2" customFormat="1" x14ac:dyDescent="0.25"/>
    <row r="58" spans="2:3" s="2" customFormat="1" x14ac:dyDescent="0.25"/>
    <row r="59" spans="2:3" s="2" customFormat="1" x14ac:dyDescent="0.25"/>
    <row r="60" spans="2:3" s="2" customFormat="1" x14ac:dyDescent="0.25"/>
    <row r="61" spans="2:3" s="2" customFormat="1" x14ac:dyDescent="0.25"/>
    <row r="62" spans="2:3" s="2" customFormat="1" x14ac:dyDescent="0.25"/>
    <row r="63" spans="2:3" s="2" customFormat="1" x14ac:dyDescent="0.25"/>
    <row r="64" spans="2:3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</sheetData>
  <mergeCells count="5">
    <mergeCell ref="B2:C2"/>
    <mergeCell ref="B4:C4"/>
    <mergeCell ref="B6:C6"/>
    <mergeCell ref="G6:H6"/>
    <mergeCell ref="B17:C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98"/>
  <sheetViews>
    <sheetView workbookViewId="0">
      <selection activeCell="C11" sqref="C11"/>
    </sheetView>
  </sheetViews>
  <sheetFormatPr defaultRowHeight="15" x14ac:dyDescent="0.25"/>
  <cols>
    <col min="1" max="1" width="9.140625" style="2"/>
    <col min="2" max="2" width="62.7109375" customWidth="1"/>
    <col min="3" max="3" width="16.5703125" customWidth="1"/>
    <col min="4" max="4" width="14" style="2" customWidth="1"/>
    <col min="5" max="6" width="9.140625" style="2"/>
    <col min="7" max="7" width="16.42578125" style="2" bestFit="1" customWidth="1"/>
    <col min="8" max="8" width="19.7109375" style="2" bestFit="1" customWidth="1"/>
    <col min="9" max="36" width="9.140625" style="2"/>
    <col min="258" max="258" width="62.7109375" customWidth="1"/>
    <col min="259" max="259" width="16.5703125" customWidth="1"/>
    <col min="260" max="260" width="14" customWidth="1"/>
    <col min="514" max="514" width="62.7109375" customWidth="1"/>
    <col min="515" max="515" width="16.5703125" customWidth="1"/>
    <col min="516" max="516" width="14" customWidth="1"/>
    <col min="770" max="770" width="62.7109375" customWidth="1"/>
    <col min="771" max="771" width="16.5703125" customWidth="1"/>
    <col min="772" max="772" width="14" customWidth="1"/>
    <col min="1026" max="1026" width="62.7109375" customWidth="1"/>
    <col min="1027" max="1027" width="16.5703125" customWidth="1"/>
    <col min="1028" max="1028" width="14" customWidth="1"/>
    <col min="1282" max="1282" width="62.7109375" customWidth="1"/>
    <col min="1283" max="1283" width="16.5703125" customWidth="1"/>
    <col min="1284" max="1284" width="14" customWidth="1"/>
    <col min="1538" max="1538" width="62.7109375" customWidth="1"/>
    <col min="1539" max="1539" width="16.5703125" customWidth="1"/>
    <col min="1540" max="1540" width="14" customWidth="1"/>
    <col min="1794" max="1794" width="62.7109375" customWidth="1"/>
    <col min="1795" max="1795" width="16.5703125" customWidth="1"/>
    <col min="1796" max="1796" width="14" customWidth="1"/>
    <col min="2050" max="2050" width="62.7109375" customWidth="1"/>
    <col min="2051" max="2051" width="16.5703125" customWidth="1"/>
    <col min="2052" max="2052" width="14" customWidth="1"/>
    <col min="2306" max="2306" width="62.7109375" customWidth="1"/>
    <col min="2307" max="2307" width="16.5703125" customWidth="1"/>
    <col min="2308" max="2308" width="14" customWidth="1"/>
    <col min="2562" max="2562" width="62.7109375" customWidth="1"/>
    <col min="2563" max="2563" width="16.5703125" customWidth="1"/>
    <col min="2564" max="2564" width="14" customWidth="1"/>
    <col min="2818" max="2818" width="62.7109375" customWidth="1"/>
    <col min="2819" max="2819" width="16.5703125" customWidth="1"/>
    <col min="2820" max="2820" width="14" customWidth="1"/>
    <col min="3074" max="3074" width="62.7109375" customWidth="1"/>
    <col min="3075" max="3075" width="16.5703125" customWidth="1"/>
    <col min="3076" max="3076" width="14" customWidth="1"/>
    <col min="3330" max="3330" width="62.7109375" customWidth="1"/>
    <col min="3331" max="3331" width="16.5703125" customWidth="1"/>
    <col min="3332" max="3332" width="14" customWidth="1"/>
    <col min="3586" max="3586" width="62.7109375" customWidth="1"/>
    <col min="3587" max="3587" width="16.5703125" customWidth="1"/>
    <col min="3588" max="3588" width="14" customWidth="1"/>
    <col min="3842" max="3842" width="62.7109375" customWidth="1"/>
    <col min="3843" max="3843" width="16.5703125" customWidth="1"/>
    <col min="3844" max="3844" width="14" customWidth="1"/>
    <col min="4098" max="4098" width="62.7109375" customWidth="1"/>
    <col min="4099" max="4099" width="16.5703125" customWidth="1"/>
    <col min="4100" max="4100" width="14" customWidth="1"/>
    <col min="4354" max="4354" width="62.7109375" customWidth="1"/>
    <col min="4355" max="4355" width="16.5703125" customWidth="1"/>
    <col min="4356" max="4356" width="14" customWidth="1"/>
    <col min="4610" max="4610" width="62.7109375" customWidth="1"/>
    <col min="4611" max="4611" width="16.5703125" customWidth="1"/>
    <col min="4612" max="4612" width="14" customWidth="1"/>
    <col min="4866" max="4866" width="62.7109375" customWidth="1"/>
    <col min="4867" max="4867" width="16.5703125" customWidth="1"/>
    <col min="4868" max="4868" width="14" customWidth="1"/>
    <col min="5122" max="5122" width="62.7109375" customWidth="1"/>
    <col min="5123" max="5123" width="16.5703125" customWidth="1"/>
    <col min="5124" max="5124" width="14" customWidth="1"/>
    <col min="5378" max="5378" width="62.7109375" customWidth="1"/>
    <col min="5379" max="5379" width="16.5703125" customWidth="1"/>
    <col min="5380" max="5380" width="14" customWidth="1"/>
    <col min="5634" max="5634" width="62.7109375" customWidth="1"/>
    <col min="5635" max="5635" width="16.5703125" customWidth="1"/>
    <col min="5636" max="5636" width="14" customWidth="1"/>
    <col min="5890" max="5890" width="62.7109375" customWidth="1"/>
    <col min="5891" max="5891" width="16.5703125" customWidth="1"/>
    <col min="5892" max="5892" width="14" customWidth="1"/>
    <col min="6146" max="6146" width="62.7109375" customWidth="1"/>
    <col min="6147" max="6147" width="16.5703125" customWidth="1"/>
    <col min="6148" max="6148" width="14" customWidth="1"/>
    <col min="6402" max="6402" width="62.7109375" customWidth="1"/>
    <col min="6403" max="6403" width="16.5703125" customWidth="1"/>
    <col min="6404" max="6404" width="14" customWidth="1"/>
    <col min="6658" max="6658" width="62.7109375" customWidth="1"/>
    <col min="6659" max="6659" width="16.5703125" customWidth="1"/>
    <col min="6660" max="6660" width="14" customWidth="1"/>
    <col min="6914" max="6914" width="62.7109375" customWidth="1"/>
    <col min="6915" max="6915" width="16.5703125" customWidth="1"/>
    <col min="6916" max="6916" width="14" customWidth="1"/>
    <col min="7170" max="7170" width="62.7109375" customWidth="1"/>
    <col min="7171" max="7171" width="16.5703125" customWidth="1"/>
    <col min="7172" max="7172" width="14" customWidth="1"/>
    <col min="7426" max="7426" width="62.7109375" customWidth="1"/>
    <col min="7427" max="7427" width="16.5703125" customWidth="1"/>
    <col min="7428" max="7428" width="14" customWidth="1"/>
    <col min="7682" max="7682" width="62.7109375" customWidth="1"/>
    <col min="7683" max="7683" width="16.5703125" customWidth="1"/>
    <col min="7684" max="7684" width="14" customWidth="1"/>
    <col min="7938" max="7938" width="62.7109375" customWidth="1"/>
    <col min="7939" max="7939" width="16.5703125" customWidth="1"/>
    <col min="7940" max="7940" width="14" customWidth="1"/>
    <col min="8194" max="8194" width="62.7109375" customWidth="1"/>
    <col min="8195" max="8195" width="16.5703125" customWidth="1"/>
    <col min="8196" max="8196" width="14" customWidth="1"/>
    <col min="8450" max="8450" width="62.7109375" customWidth="1"/>
    <col min="8451" max="8451" width="16.5703125" customWidth="1"/>
    <col min="8452" max="8452" width="14" customWidth="1"/>
    <col min="8706" max="8706" width="62.7109375" customWidth="1"/>
    <col min="8707" max="8707" width="16.5703125" customWidth="1"/>
    <col min="8708" max="8708" width="14" customWidth="1"/>
    <col min="8962" max="8962" width="62.7109375" customWidth="1"/>
    <col min="8963" max="8963" width="16.5703125" customWidth="1"/>
    <col min="8964" max="8964" width="14" customWidth="1"/>
    <col min="9218" max="9218" width="62.7109375" customWidth="1"/>
    <col min="9219" max="9219" width="16.5703125" customWidth="1"/>
    <col min="9220" max="9220" width="14" customWidth="1"/>
    <col min="9474" max="9474" width="62.7109375" customWidth="1"/>
    <col min="9475" max="9475" width="16.5703125" customWidth="1"/>
    <col min="9476" max="9476" width="14" customWidth="1"/>
    <col min="9730" max="9730" width="62.7109375" customWidth="1"/>
    <col min="9731" max="9731" width="16.5703125" customWidth="1"/>
    <col min="9732" max="9732" width="14" customWidth="1"/>
    <col min="9986" max="9986" width="62.7109375" customWidth="1"/>
    <col min="9987" max="9987" width="16.5703125" customWidth="1"/>
    <col min="9988" max="9988" width="14" customWidth="1"/>
    <col min="10242" max="10242" width="62.7109375" customWidth="1"/>
    <col min="10243" max="10243" width="16.5703125" customWidth="1"/>
    <col min="10244" max="10244" width="14" customWidth="1"/>
    <col min="10498" max="10498" width="62.7109375" customWidth="1"/>
    <col min="10499" max="10499" width="16.5703125" customWidth="1"/>
    <col min="10500" max="10500" width="14" customWidth="1"/>
    <col min="10754" max="10754" width="62.7109375" customWidth="1"/>
    <col min="10755" max="10755" width="16.5703125" customWidth="1"/>
    <col min="10756" max="10756" width="14" customWidth="1"/>
    <col min="11010" max="11010" width="62.7109375" customWidth="1"/>
    <col min="11011" max="11011" width="16.5703125" customWidth="1"/>
    <col min="11012" max="11012" width="14" customWidth="1"/>
    <col min="11266" max="11266" width="62.7109375" customWidth="1"/>
    <col min="11267" max="11267" width="16.5703125" customWidth="1"/>
    <col min="11268" max="11268" width="14" customWidth="1"/>
    <col min="11522" max="11522" width="62.7109375" customWidth="1"/>
    <col min="11523" max="11523" width="16.5703125" customWidth="1"/>
    <col min="11524" max="11524" width="14" customWidth="1"/>
    <col min="11778" max="11778" width="62.7109375" customWidth="1"/>
    <col min="11779" max="11779" width="16.5703125" customWidth="1"/>
    <col min="11780" max="11780" width="14" customWidth="1"/>
    <col min="12034" max="12034" width="62.7109375" customWidth="1"/>
    <col min="12035" max="12035" width="16.5703125" customWidth="1"/>
    <col min="12036" max="12036" width="14" customWidth="1"/>
    <col min="12290" max="12290" width="62.7109375" customWidth="1"/>
    <col min="12291" max="12291" width="16.5703125" customWidth="1"/>
    <col min="12292" max="12292" width="14" customWidth="1"/>
    <col min="12546" max="12546" width="62.7109375" customWidth="1"/>
    <col min="12547" max="12547" width="16.5703125" customWidth="1"/>
    <col min="12548" max="12548" width="14" customWidth="1"/>
    <col min="12802" max="12802" width="62.7109375" customWidth="1"/>
    <col min="12803" max="12803" width="16.5703125" customWidth="1"/>
    <col min="12804" max="12804" width="14" customWidth="1"/>
    <col min="13058" max="13058" width="62.7109375" customWidth="1"/>
    <col min="13059" max="13059" width="16.5703125" customWidth="1"/>
    <col min="13060" max="13060" width="14" customWidth="1"/>
    <col min="13314" max="13314" width="62.7109375" customWidth="1"/>
    <col min="13315" max="13315" width="16.5703125" customWidth="1"/>
    <col min="13316" max="13316" width="14" customWidth="1"/>
    <col min="13570" max="13570" width="62.7109375" customWidth="1"/>
    <col min="13571" max="13571" width="16.5703125" customWidth="1"/>
    <col min="13572" max="13572" width="14" customWidth="1"/>
    <col min="13826" max="13826" width="62.7109375" customWidth="1"/>
    <col min="13827" max="13827" width="16.5703125" customWidth="1"/>
    <col min="13828" max="13828" width="14" customWidth="1"/>
    <col min="14082" max="14082" width="62.7109375" customWidth="1"/>
    <col min="14083" max="14083" width="16.5703125" customWidth="1"/>
    <col min="14084" max="14084" width="14" customWidth="1"/>
    <col min="14338" max="14338" width="62.7109375" customWidth="1"/>
    <col min="14339" max="14339" width="16.5703125" customWidth="1"/>
    <col min="14340" max="14340" width="14" customWidth="1"/>
    <col min="14594" max="14594" width="62.7109375" customWidth="1"/>
    <col min="14595" max="14595" width="16.5703125" customWidth="1"/>
    <col min="14596" max="14596" width="14" customWidth="1"/>
    <col min="14850" max="14850" width="62.7109375" customWidth="1"/>
    <col min="14851" max="14851" width="16.5703125" customWidth="1"/>
    <col min="14852" max="14852" width="14" customWidth="1"/>
    <col min="15106" max="15106" width="62.7109375" customWidth="1"/>
    <col min="15107" max="15107" width="16.5703125" customWidth="1"/>
    <col min="15108" max="15108" width="14" customWidth="1"/>
    <col min="15362" max="15362" width="62.7109375" customWidth="1"/>
    <col min="15363" max="15363" width="16.5703125" customWidth="1"/>
    <col min="15364" max="15364" width="14" customWidth="1"/>
    <col min="15618" max="15618" width="62.7109375" customWidth="1"/>
    <col min="15619" max="15619" width="16.5703125" customWidth="1"/>
    <col min="15620" max="15620" width="14" customWidth="1"/>
    <col min="15874" max="15874" width="62.7109375" customWidth="1"/>
    <col min="15875" max="15875" width="16.5703125" customWidth="1"/>
    <col min="15876" max="15876" width="14" customWidth="1"/>
    <col min="16130" max="16130" width="62.7109375" customWidth="1"/>
    <col min="16131" max="16131" width="16.5703125" customWidth="1"/>
    <col min="16132" max="16132" width="14" customWidth="1"/>
  </cols>
  <sheetData>
    <row r="1" spans="1:36" s="2" customFormat="1" x14ac:dyDescent="0.25"/>
    <row r="2" spans="1:36" ht="31.5" customHeight="1" x14ac:dyDescent="0.25">
      <c r="B2" s="115" t="s">
        <v>15</v>
      </c>
      <c r="C2" s="116"/>
      <c r="D2" s="3"/>
    </row>
    <row r="3" spans="1:36" s="1" customFormat="1" ht="15.75" x14ac:dyDescent="0.25">
      <c r="A3" s="3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1" customFormat="1" ht="15.75" x14ac:dyDescent="0.25">
      <c r="A4" s="3"/>
      <c r="B4" s="117" t="s">
        <v>37</v>
      </c>
      <c r="C4" s="118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5.75" x14ac:dyDescent="0.25">
      <c r="B5" s="5"/>
      <c r="C5" s="5"/>
      <c r="D5" s="5"/>
      <c r="E5" s="6"/>
      <c r="G5" s="3"/>
      <c r="H5" s="3"/>
    </row>
    <row r="6" spans="1:36" ht="24.75" customHeight="1" x14ac:dyDescent="0.25">
      <c r="B6" s="119" t="s">
        <v>13</v>
      </c>
      <c r="C6" s="120"/>
      <c r="D6" s="5"/>
      <c r="G6" s="121"/>
      <c r="H6" s="121"/>
    </row>
    <row r="7" spans="1:36" ht="15.75" x14ac:dyDescent="0.25">
      <c r="B7" s="70" t="s">
        <v>6</v>
      </c>
      <c r="C7" s="71">
        <f>Tabelas!C3</f>
        <v>1271</v>
      </c>
      <c r="D7" s="7"/>
      <c r="G7" s="49"/>
      <c r="H7" s="50"/>
      <c r="I7" s="12"/>
    </row>
    <row r="8" spans="1:36" ht="15.75" x14ac:dyDescent="0.25">
      <c r="B8" s="70" t="s">
        <v>0</v>
      </c>
      <c r="C8" s="72">
        <f>C7*8%</f>
        <v>101.68</v>
      </c>
      <c r="D8" s="8"/>
      <c r="G8" s="49"/>
      <c r="H8" s="51"/>
      <c r="I8" s="12"/>
    </row>
    <row r="9" spans="1:36" ht="15.75" x14ac:dyDescent="0.25">
      <c r="B9" s="73" t="s">
        <v>31</v>
      </c>
      <c r="C9" s="72">
        <f>C7*3%</f>
        <v>38.129999999999995</v>
      </c>
      <c r="D9" s="8"/>
      <c r="G9" s="52"/>
      <c r="H9" s="53"/>
      <c r="I9" s="12"/>
    </row>
    <row r="10" spans="1:36" ht="15.75" x14ac:dyDescent="0.25">
      <c r="B10" s="73" t="s">
        <v>30</v>
      </c>
      <c r="C10" s="72">
        <f>Tabelas!D3</f>
        <v>101.68</v>
      </c>
      <c r="D10" s="8"/>
    </row>
    <row r="11" spans="1:36" ht="15.75" x14ac:dyDescent="0.25">
      <c r="B11" s="73" t="s">
        <v>19</v>
      </c>
      <c r="C11" s="72">
        <f>Tabelas!E3</f>
        <v>0</v>
      </c>
      <c r="D11" s="8"/>
    </row>
    <row r="12" spans="1:36" ht="15.75" x14ac:dyDescent="0.25">
      <c r="B12" s="73" t="s">
        <v>28</v>
      </c>
      <c r="C12" s="72">
        <f>C7-C10-C11+C13</f>
        <v>1169.32</v>
      </c>
      <c r="D12" s="8"/>
    </row>
    <row r="13" spans="1:36" x14ac:dyDescent="0.25">
      <c r="B13" s="74" t="s">
        <v>14</v>
      </c>
      <c r="C13" s="75"/>
      <c r="D13" s="7" t="s">
        <v>1</v>
      </c>
    </row>
    <row r="14" spans="1:36" ht="23.25" customHeight="1" x14ac:dyDescent="0.25">
      <c r="B14" s="76" t="s">
        <v>2</v>
      </c>
      <c r="C14" s="78">
        <f>SUM(C8:C13)</f>
        <v>1410.81</v>
      </c>
      <c r="D14" s="8"/>
    </row>
    <row r="15" spans="1:36" ht="15.75" x14ac:dyDescent="0.25">
      <c r="B15" s="4"/>
      <c r="C15" s="9"/>
      <c r="D15" s="9"/>
    </row>
    <row r="16" spans="1:36" ht="21" customHeight="1" x14ac:dyDescent="0.25">
      <c r="B16" s="119" t="s">
        <v>12</v>
      </c>
      <c r="C16" s="120"/>
      <c r="D16" s="8"/>
    </row>
    <row r="17" spans="2:8" ht="15.75" x14ac:dyDescent="0.25">
      <c r="B17" s="70" t="s">
        <v>29</v>
      </c>
      <c r="C17" s="72">
        <f>C7/12</f>
        <v>105.91666666666667</v>
      </c>
      <c r="D17" s="8"/>
    </row>
    <row r="18" spans="2:8" ht="15.75" x14ac:dyDescent="0.25">
      <c r="B18" s="70" t="s">
        <v>7</v>
      </c>
      <c r="C18" s="72">
        <f>C17*8%</f>
        <v>8.4733333333333345</v>
      </c>
      <c r="D18" s="8"/>
    </row>
    <row r="19" spans="2:8" ht="15.75" x14ac:dyDescent="0.25">
      <c r="B19" s="70" t="s">
        <v>8</v>
      </c>
      <c r="C19" s="72">
        <f>C7/12</f>
        <v>105.91666666666667</v>
      </c>
      <c r="D19" s="8"/>
    </row>
    <row r="20" spans="2:8" ht="15.75" x14ac:dyDescent="0.25">
      <c r="B20" s="70" t="s">
        <v>9</v>
      </c>
      <c r="C20" s="72">
        <f>C19/3</f>
        <v>35.305555555555557</v>
      </c>
      <c r="D20" s="8"/>
    </row>
    <row r="21" spans="2:8" ht="15.75" x14ac:dyDescent="0.25">
      <c r="B21" s="70" t="s">
        <v>10</v>
      </c>
      <c r="C21" s="72">
        <f>(C19+C20)*8%</f>
        <v>11.297777777777778</v>
      </c>
      <c r="D21" s="8"/>
    </row>
    <row r="22" spans="2:8" ht="15.75" x14ac:dyDescent="0.25">
      <c r="B22" s="70" t="s">
        <v>3</v>
      </c>
      <c r="C22" s="72">
        <f>C7/12</f>
        <v>105.91666666666667</v>
      </c>
      <c r="D22" s="8"/>
    </row>
    <row r="23" spans="2:8" ht="15.75" x14ac:dyDescent="0.25">
      <c r="B23" s="70" t="s">
        <v>4</v>
      </c>
      <c r="C23" s="72">
        <f>C22*8%</f>
        <v>8.4733333333333345</v>
      </c>
      <c r="D23" s="8"/>
      <c r="H23" s="11"/>
    </row>
    <row r="24" spans="2:8" ht="15.75" x14ac:dyDescent="0.25">
      <c r="B24" s="70" t="s">
        <v>11</v>
      </c>
      <c r="C24" s="72">
        <f>(C8+C21+C23+C18)*50%</f>
        <v>64.962222222222223</v>
      </c>
      <c r="D24" s="8"/>
    </row>
    <row r="25" spans="2:8" ht="15.75" x14ac:dyDescent="0.25">
      <c r="B25" s="70" t="s">
        <v>34</v>
      </c>
      <c r="C25" s="72">
        <f>(C17+C19+C20)*Tabelas!S6</f>
        <v>0</v>
      </c>
      <c r="D25" s="8"/>
    </row>
    <row r="26" spans="2:8" ht="18" customHeight="1" x14ac:dyDescent="0.25">
      <c r="B26" s="79" t="s">
        <v>2</v>
      </c>
      <c r="C26" s="77">
        <f>SUM(C17:C25)</f>
        <v>446.26222222222225</v>
      </c>
    </row>
    <row r="27" spans="2:8" s="2" customFormat="1" x14ac:dyDescent="0.25"/>
    <row r="28" spans="2:8" s="2" customFormat="1" ht="18" x14ac:dyDescent="0.25">
      <c r="B28" s="79" t="s">
        <v>43</v>
      </c>
      <c r="C28" s="77">
        <f>C14+C26</f>
        <v>1857.0722222222221</v>
      </c>
    </row>
    <row r="29" spans="2:8" s="2" customFormat="1" ht="15.75" x14ac:dyDescent="0.25">
      <c r="B29" s="10"/>
      <c r="C29" s="10"/>
    </row>
    <row r="30" spans="2:8" s="2" customFormat="1" x14ac:dyDescent="0.25">
      <c r="B30" s="80" t="s">
        <v>35</v>
      </c>
      <c r="C30" s="80"/>
      <c r="D30" s="81"/>
      <c r="E30" s="81"/>
    </row>
    <row r="31" spans="2:8" s="2" customFormat="1" x14ac:dyDescent="0.25">
      <c r="B31" s="80" t="s">
        <v>36</v>
      </c>
      <c r="C31" s="80"/>
      <c r="D31" s="81"/>
      <c r="E31" s="81"/>
    </row>
    <row r="32" spans="2:8" s="2" customFormat="1" x14ac:dyDescent="0.25">
      <c r="B32" s="80" t="s">
        <v>5</v>
      </c>
      <c r="C32" s="80"/>
      <c r="D32" s="81"/>
      <c r="E32" s="81"/>
    </row>
    <row r="33" spans="2:3" s="2" customFormat="1" ht="15.75" x14ac:dyDescent="0.25">
      <c r="B33" s="10"/>
      <c r="C33" s="10"/>
    </row>
    <row r="34" spans="2:3" s="2" customFormat="1" ht="15.75" x14ac:dyDescent="0.25">
      <c r="B34" s="10"/>
      <c r="C34" s="10"/>
    </row>
    <row r="35" spans="2:3" s="2" customFormat="1" ht="15.75" x14ac:dyDescent="0.25">
      <c r="B35" s="10"/>
      <c r="C35" s="10"/>
    </row>
    <row r="36" spans="2:3" s="2" customFormat="1" ht="15.75" x14ac:dyDescent="0.25">
      <c r="B36" s="10"/>
      <c r="C36" s="10"/>
    </row>
    <row r="37" spans="2:3" s="2" customFormat="1" ht="15.75" x14ac:dyDescent="0.25">
      <c r="B37" s="10"/>
      <c r="C37" s="10"/>
    </row>
    <row r="38" spans="2:3" s="2" customFormat="1" ht="15.75" x14ac:dyDescent="0.25">
      <c r="B38" s="10"/>
      <c r="C38" s="10"/>
    </row>
    <row r="39" spans="2:3" s="2" customFormat="1" ht="15.75" x14ac:dyDescent="0.25">
      <c r="B39" s="10"/>
      <c r="C39" s="10"/>
    </row>
    <row r="40" spans="2:3" s="2" customFormat="1" ht="15.75" x14ac:dyDescent="0.25">
      <c r="B40" s="10"/>
      <c r="C40" s="10"/>
    </row>
    <row r="41" spans="2:3" s="2" customFormat="1" ht="15.75" x14ac:dyDescent="0.25">
      <c r="B41" s="10"/>
      <c r="C41" s="10"/>
    </row>
    <row r="42" spans="2:3" s="2" customFormat="1" ht="15.75" x14ac:dyDescent="0.25">
      <c r="B42" s="10"/>
      <c r="C42" s="10"/>
    </row>
    <row r="43" spans="2:3" s="2" customFormat="1" ht="15.75" x14ac:dyDescent="0.25">
      <c r="B43" s="10"/>
      <c r="C43" s="10"/>
    </row>
    <row r="44" spans="2:3" s="2" customFormat="1" ht="15.75" x14ac:dyDescent="0.25">
      <c r="B44" s="10"/>
      <c r="C44" s="10"/>
    </row>
    <row r="45" spans="2:3" s="2" customFormat="1" ht="15.75" x14ac:dyDescent="0.25">
      <c r="B45" s="10"/>
      <c r="C45" s="10"/>
    </row>
    <row r="46" spans="2:3" s="2" customFormat="1" x14ac:dyDescent="0.25"/>
    <row r="47" spans="2:3" s="2" customFormat="1" x14ac:dyDescent="0.25"/>
    <row r="48" spans="2:3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</sheetData>
  <mergeCells count="5">
    <mergeCell ref="B2:C2"/>
    <mergeCell ref="B4:C4"/>
    <mergeCell ref="B6:C6"/>
    <mergeCell ref="G6:H6"/>
    <mergeCell ref="B16:C1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00"/>
  <sheetViews>
    <sheetView workbookViewId="0">
      <selection activeCell="C15" sqref="C15"/>
    </sheetView>
  </sheetViews>
  <sheetFormatPr defaultRowHeight="15" x14ac:dyDescent="0.25"/>
  <cols>
    <col min="1" max="1" width="9.140625" style="2"/>
    <col min="2" max="2" width="62.7109375" customWidth="1"/>
    <col min="3" max="3" width="16.5703125" customWidth="1"/>
    <col min="4" max="4" width="14" style="2" customWidth="1"/>
    <col min="5" max="6" width="9.140625" style="2"/>
    <col min="7" max="7" width="16.42578125" style="2" bestFit="1" customWidth="1"/>
    <col min="8" max="8" width="19.7109375" style="2" bestFit="1" customWidth="1"/>
    <col min="9" max="36" width="9.140625" style="2"/>
    <col min="258" max="258" width="62.7109375" customWidth="1"/>
    <col min="259" max="259" width="16.5703125" customWidth="1"/>
    <col min="260" max="260" width="14" customWidth="1"/>
    <col min="514" max="514" width="62.7109375" customWidth="1"/>
    <col min="515" max="515" width="16.5703125" customWidth="1"/>
    <col min="516" max="516" width="14" customWidth="1"/>
    <col min="770" max="770" width="62.7109375" customWidth="1"/>
    <col min="771" max="771" width="16.5703125" customWidth="1"/>
    <col min="772" max="772" width="14" customWidth="1"/>
    <col min="1026" max="1026" width="62.7109375" customWidth="1"/>
    <col min="1027" max="1027" width="16.5703125" customWidth="1"/>
    <col min="1028" max="1028" width="14" customWidth="1"/>
    <col min="1282" max="1282" width="62.7109375" customWidth="1"/>
    <col min="1283" max="1283" width="16.5703125" customWidth="1"/>
    <col min="1284" max="1284" width="14" customWidth="1"/>
    <col min="1538" max="1538" width="62.7109375" customWidth="1"/>
    <col min="1539" max="1539" width="16.5703125" customWidth="1"/>
    <col min="1540" max="1540" width="14" customWidth="1"/>
    <col min="1794" max="1794" width="62.7109375" customWidth="1"/>
    <col min="1795" max="1795" width="16.5703125" customWidth="1"/>
    <col min="1796" max="1796" width="14" customWidth="1"/>
    <col min="2050" max="2050" width="62.7109375" customWidth="1"/>
    <col min="2051" max="2051" width="16.5703125" customWidth="1"/>
    <col min="2052" max="2052" width="14" customWidth="1"/>
    <col min="2306" max="2306" width="62.7109375" customWidth="1"/>
    <col min="2307" max="2307" width="16.5703125" customWidth="1"/>
    <col min="2308" max="2308" width="14" customWidth="1"/>
    <col min="2562" max="2562" width="62.7109375" customWidth="1"/>
    <col min="2563" max="2563" width="16.5703125" customWidth="1"/>
    <col min="2564" max="2564" width="14" customWidth="1"/>
    <col min="2818" max="2818" width="62.7109375" customWidth="1"/>
    <col min="2819" max="2819" width="16.5703125" customWidth="1"/>
    <col min="2820" max="2820" width="14" customWidth="1"/>
    <col min="3074" max="3074" width="62.7109375" customWidth="1"/>
    <col min="3075" max="3075" width="16.5703125" customWidth="1"/>
    <col min="3076" max="3076" width="14" customWidth="1"/>
    <col min="3330" max="3330" width="62.7109375" customWidth="1"/>
    <col min="3331" max="3331" width="16.5703125" customWidth="1"/>
    <col min="3332" max="3332" width="14" customWidth="1"/>
    <col min="3586" max="3586" width="62.7109375" customWidth="1"/>
    <col min="3587" max="3587" width="16.5703125" customWidth="1"/>
    <col min="3588" max="3588" width="14" customWidth="1"/>
    <col min="3842" max="3842" width="62.7109375" customWidth="1"/>
    <col min="3843" max="3843" width="16.5703125" customWidth="1"/>
    <col min="3844" max="3844" width="14" customWidth="1"/>
    <col min="4098" max="4098" width="62.7109375" customWidth="1"/>
    <col min="4099" max="4099" width="16.5703125" customWidth="1"/>
    <col min="4100" max="4100" width="14" customWidth="1"/>
    <col min="4354" max="4354" width="62.7109375" customWidth="1"/>
    <col min="4355" max="4355" width="16.5703125" customWidth="1"/>
    <col min="4356" max="4356" width="14" customWidth="1"/>
    <col min="4610" max="4610" width="62.7109375" customWidth="1"/>
    <col min="4611" max="4611" width="16.5703125" customWidth="1"/>
    <col min="4612" max="4612" width="14" customWidth="1"/>
    <col min="4866" max="4866" width="62.7109375" customWidth="1"/>
    <col min="4867" max="4867" width="16.5703125" customWidth="1"/>
    <col min="4868" max="4868" width="14" customWidth="1"/>
    <col min="5122" max="5122" width="62.7109375" customWidth="1"/>
    <col min="5123" max="5123" width="16.5703125" customWidth="1"/>
    <col min="5124" max="5124" width="14" customWidth="1"/>
    <col min="5378" max="5378" width="62.7109375" customWidth="1"/>
    <col min="5379" max="5379" width="16.5703125" customWidth="1"/>
    <col min="5380" max="5380" width="14" customWidth="1"/>
    <col min="5634" max="5634" width="62.7109375" customWidth="1"/>
    <col min="5635" max="5635" width="16.5703125" customWidth="1"/>
    <col min="5636" max="5636" width="14" customWidth="1"/>
    <col min="5890" max="5890" width="62.7109375" customWidth="1"/>
    <col min="5891" max="5891" width="16.5703125" customWidth="1"/>
    <col min="5892" max="5892" width="14" customWidth="1"/>
    <col min="6146" max="6146" width="62.7109375" customWidth="1"/>
    <col min="6147" max="6147" width="16.5703125" customWidth="1"/>
    <col min="6148" max="6148" width="14" customWidth="1"/>
    <col min="6402" max="6402" width="62.7109375" customWidth="1"/>
    <col min="6403" max="6403" width="16.5703125" customWidth="1"/>
    <col min="6404" max="6404" width="14" customWidth="1"/>
    <col min="6658" max="6658" width="62.7109375" customWidth="1"/>
    <col min="6659" max="6659" width="16.5703125" customWidth="1"/>
    <col min="6660" max="6660" width="14" customWidth="1"/>
    <col min="6914" max="6914" width="62.7109375" customWidth="1"/>
    <col min="6915" max="6915" width="16.5703125" customWidth="1"/>
    <col min="6916" max="6916" width="14" customWidth="1"/>
    <col min="7170" max="7170" width="62.7109375" customWidth="1"/>
    <col min="7171" max="7171" width="16.5703125" customWidth="1"/>
    <col min="7172" max="7172" width="14" customWidth="1"/>
    <col min="7426" max="7426" width="62.7109375" customWidth="1"/>
    <col min="7427" max="7427" width="16.5703125" customWidth="1"/>
    <col min="7428" max="7428" width="14" customWidth="1"/>
    <col min="7682" max="7682" width="62.7109375" customWidth="1"/>
    <col min="7683" max="7683" width="16.5703125" customWidth="1"/>
    <col min="7684" max="7684" width="14" customWidth="1"/>
    <col min="7938" max="7938" width="62.7109375" customWidth="1"/>
    <col min="7939" max="7939" width="16.5703125" customWidth="1"/>
    <col min="7940" max="7940" width="14" customWidth="1"/>
    <col min="8194" max="8194" width="62.7109375" customWidth="1"/>
    <col min="8195" max="8195" width="16.5703125" customWidth="1"/>
    <col min="8196" max="8196" width="14" customWidth="1"/>
    <col min="8450" max="8450" width="62.7109375" customWidth="1"/>
    <col min="8451" max="8451" width="16.5703125" customWidth="1"/>
    <col min="8452" max="8452" width="14" customWidth="1"/>
    <col min="8706" max="8706" width="62.7109375" customWidth="1"/>
    <col min="8707" max="8707" width="16.5703125" customWidth="1"/>
    <col min="8708" max="8708" width="14" customWidth="1"/>
    <col min="8962" max="8962" width="62.7109375" customWidth="1"/>
    <col min="8963" max="8963" width="16.5703125" customWidth="1"/>
    <col min="8964" max="8964" width="14" customWidth="1"/>
    <col min="9218" max="9218" width="62.7109375" customWidth="1"/>
    <col min="9219" max="9219" width="16.5703125" customWidth="1"/>
    <col min="9220" max="9220" width="14" customWidth="1"/>
    <col min="9474" max="9474" width="62.7109375" customWidth="1"/>
    <col min="9475" max="9475" width="16.5703125" customWidth="1"/>
    <col min="9476" max="9476" width="14" customWidth="1"/>
    <col min="9730" max="9730" width="62.7109375" customWidth="1"/>
    <col min="9731" max="9731" width="16.5703125" customWidth="1"/>
    <col min="9732" max="9732" width="14" customWidth="1"/>
    <col min="9986" max="9986" width="62.7109375" customWidth="1"/>
    <col min="9987" max="9987" width="16.5703125" customWidth="1"/>
    <col min="9988" max="9988" width="14" customWidth="1"/>
    <col min="10242" max="10242" width="62.7109375" customWidth="1"/>
    <col min="10243" max="10243" width="16.5703125" customWidth="1"/>
    <col min="10244" max="10244" width="14" customWidth="1"/>
    <col min="10498" max="10498" width="62.7109375" customWidth="1"/>
    <col min="10499" max="10499" width="16.5703125" customWidth="1"/>
    <col min="10500" max="10500" width="14" customWidth="1"/>
    <col min="10754" max="10754" width="62.7109375" customWidth="1"/>
    <col min="10755" max="10755" width="16.5703125" customWidth="1"/>
    <col min="10756" max="10756" width="14" customWidth="1"/>
    <col min="11010" max="11010" width="62.7109375" customWidth="1"/>
    <col min="11011" max="11011" width="16.5703125" customWidth="1"/>
    <col min="11012" max="11012" width="14" customWidth="1"/>
    <col min="11266" max="11266" width="62.7109375" customWidth="1"/>
    <col min="11267" max="11267" width="16.5703125" customWidth="1"/>
    <col min="11268" max="11268" width="14" customWidth="1"/>
    <col min="11522" max="11522" width="62.7109375" customWidth="1"/>
    <col min="11523" max="11523" width="16.5703125" customWidth="1"/>
    <col min="11524" max="11524" width="14" customWidth="1"/>
    <col min="11778" max="11778" width="62.7109375" customWidth="1"/>
    <col min="11779" max="11779" width="16.5703125" customWidth="1"/>
    <col min="11780" max="11780" width="14" customWidth="1"/>
    <col min="12034" max="12034" width="62.7109375" customWidth="1"/>
    <col min="12035" max="12035" width="16.5703125" customWidth="1"/>
    <col min="12036" max="12036" width="14" customWidth="1"/>
    <col min="12290" max="12290" width="62.7109375" customWidth="1"/>
    <col min="12291" max="12291" width="16.5703125" customWidth="1"/>
    <col min="12292" max="12292" width="14" customWidth="1"/>
    <col min="12546" max="12546" width="62.7109375" customWidth="1"/>
    <col min="12547" max="12547" width="16.5703125" customWidth="1"/>
    <col min="12548" max="12548" width="14" customWidth="1"/>
    <col min="12802" max="12802" width="62.7109375" customWidth="1"/>
    <col min="12803" max="12803" width="16.5703125" customWidth="1"/>
    <col min="12804" max="12804" width="14" customWidth="1"/>
    <col min="13058" max="13058" width="62.7109375" customWidth="1"/>
    <col min="13059" max="13059" width="16.5703125" customWidth="1"/>
    <col min="13060" max="13060" width="14" customWidth="1"/>
    <col min="13314" max="13314" width="62.7109375" customWidth="1"/>
    <col min="13315" max="13315" width="16.5703125" customWidth="1"/>
    <col min="13316" max="13316" width="14" customWidth="1"/>
    <col min="13570" max="13570" width="62.7109375" customWidth="1"/>
    <col min="13571" max="13571" width="16.5703125" customWidth="1"/>
    <col min="13572" max="13572" width="14" customWidth="1"/>
    <col min="13826" max="13826" width="62.7109375" customWidth="1"/>
    <col min="13827" max="13827" width="16.5703125" customWidth="1"/>
    <col min="13828" max="13828" width="14" customWidth="1"/>
    <col min="14082" max="14082" width="62.7109375" customWidth="1"/>
    <col min="14083" max="14083" width="16.5703125" customWidth="1"/>
    <col min="14084" max="14084" width="14" customWidth="1"/>
    <col min="14338" max="14338" width="62.7109375" customWidth="1"/>
    <col min="14339" max="14339" width="16.5703125" customWidth="1"/>
    <col min="14340" max="14340" width="14" customWidth="1"/>
    <col min="14594" max="14594" width="62.7109375" customWidth="1"/>
    <col min="14595" max="14595" width="16.5703125" customWidth="1"/>
    <col min="14596" max="14596" width="14" customWidth="1"/>
    <col min="14850" max="14850" width="62.7109375" customWidth="1"/>
    <col min="14851" max="14851" width="16.5703125" customWidth="1"/>
    <col min="14852" max="14852" width="14" customWidth="1"/>
    <col min="15106" max="15106" width="62.7109375" customWidth="1"/>
    <col min="15107" max="15107" width="16.5703125" customWidth="1"/>
    <col min="15108" max="15108" width="14" customWidth="1"/>
    <col min="15362" max="15362" width="62.7109375" customWidth="1"/>
    <col min="15363" max="15363" width="16.5703125" customWidth="1"/>
    <col min="15364" max="15364" width="14" customWidth="1"/>
    <col min="15618" max="15618" width="62.7109375" customWidth="1"/>
    <col min="15619" max="15619" width="16.5703125" customWidth="1"/>
    <col min="15620" max="15620" width="14" customWidth="1"/>
    <col min="15874" max="15874" width="62.7109375" customWidth="1"/>
    <col min="15875" max="15875" width="16.5703125" customWidth="1"/>
    <col min="15876" max="15876" width="14" customWidth="1"/>
    <col min="16130" max="16130" width="62.7109375" customWidth="1"/>
    <col min="16131" max="16131" width="16.5703125" customWidth="1"/>
    <col min="16132" max="16132" width="14" customWidth="1"/>
  </cols>
  <sheetData>
    <row r="1" spans="1:36" s="2" customFormat="1" x14ac:dyDescent="0.25"/>
    <row r="2" spans="1:36" ht="31.5" customHeight="1" x14ac:dyDescent="0.25">
      <c r="B2" s="115" t="s">
        <v>15</v>
      </c>
      <c r="C2" s="116"/>
      <c r="D2" s="3"/>
    </row>
    <row r="3" spans="1:36" s="1" customFormat="1" ht="15.75" x14ac:dyDescent="0.25">
      <c r="A3" s="3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1" customFormat="1" ht="15.75" x14ac:dyDescent="0.25">
      <c r="A4" s="3"/>
      <c r="B4" s="117" t="s">
        <v>37</v>
      </c>
      <c r="C4" s="118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5.75" x14ac:dyDescent="0.25">
      <c r="B5" s="5"/>
      <c r="C5" s="5"/>
      <c r="D5" s="5"/>
      <c r="E5" s="6"/>
      <c r="G5" s="3"/>
      <c r="H5" s="3"/>
    </row>
    <row r="6" spans="1:36" ht="24.75" customHeight="1" x14ac:dyDescent="0.25">
      <c r="B6" s="119" t="s">
        <v>13</v>
      </c>
      <c r="C6" s="120"/>
      <c r="D6" s="5"/>
      <c r="G6" s="121"/>
      <c r="H6" s="121"/>
    </row>
    <row r="7" spans="1:36" ht="15.75" x14ac:dyDescent="0.25">
      <c r="B7" s="70" t="s">
        <v>6</v>
      </c>
      <c r="C7" s="71">
        <f>Tabelas!C3</f>
        <v>1271</v>
      </c>
      <c r="D7" s="7"/>
      <c r="G7" s="49"/>
      <c r="H7" s="50"/>
      <c r="I7" s="12"/>
    </row>
    <row r="8" spans="1:36" ht="15.75" x14ac:dyDescent="0.25">
      <c r="B8" s="70" t="s">
        <v>0</v>
      </c>
      <c r="C8" s="72">
        <f>C7*8%</f>
        <v>101.68</v>
      </c>
      <c r="D8" s="8"/>
      <c r="G8" s="49"/>
      <c r="H8" s="51"/>
      <c r="I8" s="12"/>
    </row>
    <row r="9" spans="1:36" ht="15.75" x14ac:dyDescent="0.25">
      <c r="B9" s="73" t="s">
        <v>31</v>
      </c>
      <c r="C9" s="72">
        <f>C7*8%</f>
        <v>101.68</v>
      </c>
      <c r="D9" s="8"/>
      <c r="G9" s="52"/>
      <c r="H9" s="53"/>
      <c r="I9" s="12"/>
    </row>
    <row r="10" spans="1:36" ht="15.75" x14ac:dyDescent="0.25">
      <c r="B10" s="73" t="s">
        <v>30</v>
      </c>
      <c r="C10" s="72">
        <f>Tabelas!D3</f>
        <v>101.68</v>
      </c>
      <c r="D10" s="8"/>
    </row>
    <row r="11" spans="1:36" ht="15.75" x14ac:dyDescent="0.25">
      <c r="B11" s="73" t="s">
        <v>63</v>
      </c>
      <c r="C11" s="72">
        <f>C8*4%</f>
        <v>4.0672000000000006</v>
      </c>
      <c r="D11" s="8"/>
    </row>
    <row r="12" spans="1:36" ht="15.75" x14ac:dyDescent="0.25">
      <c r="B12" s="73" t="s">
        <v>23</v>
      </c>
      <c r="C12" s="72">
        <f>Tabelas!E3</f>
        <v>0</v>
      </c>
      <c r="D12" s="8"/>
    </row>
    <row r="13" spans="1:36" ht="15.75" x14ac:dyDescent="0.25">
      <c r="B13" s="73" t="s">
        <v>28</v>
      </c>
      <c r="C13" s="72">
        <f>C7-C10-C12</f>
        <v>1169.32</v>
      </c>
      <c r="D13" s="8"/>
    </row>
    <row r="14" spans="1:36" x14ac:dyDescent="0.25">
      <c r="B14" s="74" t="s">
        <v>14</v>
      </c>
      <c r="C14" s="75">
        <v>400</v>
      </c>
      <c r="D14" s="7" t="s">
        <v>1</v>
      </c>
    </row>
    <row r="15" spans="1:36" ht="23.25" customHeight="1" x14ac:dyDescent="0.25">
      <c r="B15" s="76" t="s">
        <v>2</v>
      </c>
      <c r="C15" s="78">
        <f>SUM(C8:C14)</f>
        <v>1878.4272000000001</v>
      </c>
      <c r="D15" s="8"/>
    </row>
    <row r="16" spans="1:36" ht="15.75" x14ac:dyDescent="0.25">
      <c r="B16" s="4"/>
      <c r="C16" s="9"/>
      <c r="D16" s="9"/>
    </row>
    <row r="17" spans="2:8" ht="21" customHeight="1" x14ac:dyDescent="0.25">
      <c r="B17" s="119" t="s">
        <v>12</v>
      </c>
      <c r="C17" s="120"/>
      <c r="D17" s="8"/>
    </row>
    <row r="18" spans="2:8" ht="15.75" x14ac:dyDescent="0.25">
      <c r="B18" s="70" t="s">
        <v>29</v>
      </c>
      <c r="C18" s="72">
        <f>C7/12</f>
        <v>105.91666666666667</v>
      </c>
      <c r="D18" s="8"/>
    </row>
    <row r="19" spans="2:8" ht="15.75" x14ac:dyDescent="0.25">
      <c r="B19" s="70" t="s">
        <v>7</v>
      </c>
      <c r="C19" s="72">
        <f>C18*20%</f>
        <v>21.183333333333337</v>
      </c>
      <c r="D19" s="8"/>
    </row>
    <row r="20" spans="2:8" ht="15.75" x14ac:dyDescent="0.25">
      <c r="B20" s="70" t="s">
        <v>8</v>
      </c>
      <c r="C20" s="72">
        <f>C7/12</f>
        <v>105.91666666666667</v>
      </c>
      <c r="D20" s="8"/>
    </row>
    <row r="21" spans="2:8" ht="15.75" x14ac:dyDescent="0.25">
      <c r="B21" s="70" t="s">
        <v>9</v>
      </c>
      <c r="C21" s="72">
        <f>C20/3</f>
        <v>35.305555555555557</v>
      </c>
      <c r="D21" s="8"/>
    </row>
    <row r="22" spans="2:8" ht="15.75" x14ac:dyDescent="0.25">
      <c r="B22" s="70" t="s">
        <v>41</v>
      </c>
      <c r="C22" s="72">
        <v>0</v>
      </c>
      <c r="D22" s="8"/>
    </row>
    <row r="23" spans="2:8" ht="15.75" x14ac:dyDescent="0.25">
      <c r="B23" s="70" t="s">
        <v>10</v>
      </c>
      <c r="C23" s="72">
        <f>(C20+C21)*20%</f>
        <v>28.244444444444447</v>
      </c>
      <c r="D23" s="8"/>
    </row>
    <row r="24" spans="2:8" ht="15.75" x14ac:dyDescent="0.25">
      <c r="B24" s="70" t="s">
        <v>3</v>
      </c>
      <c r="C24" s="72">
        <f>C7/12</f>
        <v>105.91666666666667</v>
      </c>
      <c r="D24" s="8"/>
    </row>
    <row r="25" spans="2:8" ht="15.75" x14ac:dyDescent="0.25">
      <c r="B25" s="70" t="s">
        <v>4</v>
      </c>
      <c r="C25" s="72">
        <f>C24*20%</f>
        <v>21.183333333333337</v>
      </c>
      <c r="D25" s="8"/>
      <c r="H25" s="11"/>
    </row>
    <row r="26" spans="2:8" ht="15.75" x14ac:dyDescent="0.25">
      <c r="B26" s="70" t="s">
        <v>11</v>
      </c>
      <c r="C26" s="72">
        <v>0</v>
      </c>
      <c r="D26" s="8"/>
    </row>
    <row r="27" spans="2:8" ht="15.75" x14ac:dyDescent="0.25">
      <c r="B27" s="70" t="s">
        <v>34</v>
      </c>
      <c r="C27" s="72">
        <v>0</v>
      </c>
      <c r="D27" s="8"/>
    </row>
    <row r="28" spans="2:8" ht="18" customHeight="1" x14ac:dyDescent="0.25">
      <c r="B28" s="79" t="s">
        <v>2</v>
      </c>
      <c r="C28" s="77">
        <f>SUM(C18:C27)</f>
        <v>423.66666666666674</v>
      </c>
    </row>
    <row r="29" spans="2:8" s="2" customFormat="1" x14ac:dyDescent="0.25"/>
    <row r="30" spans="2:8" s="2" customFormat="1" x14ac:dyDescent="0.25"/>
    <row r="31" spans="2:8" s="2" customFormat="1" ht="15.75" x14ac:dyDescent="0.25">
      <c r="B31" s="10"/>
      <c r="C31" s="10"/>
    </row>
    <row r="32" spans="2:8" s="2" customFormat="1" x14ac:dyDescent="0.25">
      <c r="B32" s="80" t="s">
        <v>35</v>
      </c>
      <c r="C32" s="80"/>
      <c r="D32" s="81"/>
      <c r="E32" s="81"/>
    </row>
    <row r="33" spans="2:5" s="2" customFormat="1" x14ac:dyDescent="0.25">
      <c r="B33" s="80" t="s">
        <v>36</v>
      </c>
      <c r="C33" s="80"/>
      <c r="D33" s="81"/>
      <c r="E33" s="81"/>
    </row>
    <row r="34" spans="2:5" s="2" customFormat="1" x14ac:dyDescent="0.25">
      <c r="B34" s="80" t="s">
        <v>5</v>
      </c>
      <c r="C34" s="80"/>
      <c r="D34" s="81"/>
      <c r="E34" s="81"/>
    </row>
    <row r="35" spans="2:5" s="2" customFormat="1" ht="15.75" x14ac:dyDescent="0.25">
      <c r="B35" s="10"/>
      <c r="C35" s="10"/>
    </row>
    <row r="36" spans="2:5" s="2" customFormat="1" ht="15.75" x14ac:dyDescent="0.25">
      <c r="B36" s="10"/>
      <c r="C36" s="10"/>
    </row>
    <row r="37" spans="2:5" s="2" customFormat="1" ht="15.75" x14ac:dyDescent="0.25">
      <c r="B37" s="10"/>
      <c r="C37" s="10"/>
    </row>
    <row r="38" spans="2:5" s="2" customFormat="1" ht="15.75" x14ac:dyDescent="0.25">
      <c r="B38" s="10"/>
      <c r="C38" s="10"/>
    </row>
    <row r="39" spans="2:5" s="2" customFormat="1" ht="15.75" x14ac:dyDescent="0.25">
      <c r="B39" s="10"/>
      <c r="C39" s="10"/>
    </row>
    <row r="40" spans="2:5" s="2" customFormat="1" ht="15.75" x14ac:dyDescent="0.25">
      <c r="B40" s="10"/>
      <c r="C40" s="10"/>
    </row>
    <row r="41" spans="2:5" s="2" customFormat="1" ht="15.75" x14ac:dyDescent="0.25">
      <c r="B41" s="10"/>
      <c r="C41" s="10"/>
    </row>
    <row r="42" spans="2:5" s="2" customFormat="1" ht="15.75" x14ac:dyDescent="0.25">
      <c r="B42" s="10"/>
      <c r="C42" s="10"/>
    </row>
    <row r="43" spans="2:5" s="2" customFormat="1" ht="15.75" x14ac:dyDescent="0.25">
      <c r="B43" s="10"/>
      <c r="C43" s="10"/>
    </row>
    <row r="44" spans="2:5" s="2" customFormat="1" ht="15.75" x14ac:dyDescent="0.25">
      <c r="B44" s="10"/>
      <c r="C44" s="10"/>
    </row>
    <row r="45" spans="2:5" s="2" customFormat="1" ht="15.75" x14ac:dyDescent="0.25">
      <c r="B45" s="10"/>
      <c r="C45" s="10"/>
    </row>
    <row r="46" spans="2:5" s="2" customFormat="1" ht="15.75" x14ac:dyDescent="0.25">
      <c r="B46" s="10"/>
      <c r="C46" s="10"/>
    </row>
    <row r="47" spans="2:5" s="2" customFormat="1" ht="15.75" x14ac:dyDescent="0.25">
      <c r="B47" s="10"/>
      <c r="C47" s="10"/>
    </row>
    <row r="48" spans="2:5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</sheetData>
  <mergeCells count="5">
    <mergeCell ref="B2:C2"/>
    <mergeCell ref="B4:C4"/>
    <mergeCell ref="B6:C6"/>
    <mergeCell ref="G6:H6"/>
    <mergeCell ref="B17:C1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99"/>
  <sheetViews>
    <sheetView zoomScaleNormal="100" workbookViewId="0">
      <selection activeCell="C7" sqref="C7"/>
    </sheetView>
  </sheetViews>
  <sheetFormatPr defaultRowHeight="15" x14ac:dyDescent="0.25"/>
  <cols>
    <col min="1" max="1" width="6.5703125" style="2" customWidth="1"/>
    <col min="2" max="2" width="62.7109375" customWidth="1"/>
    <col min="3" max="3" width="16.5703125" customWidth="1"/>
    <col min="4" max="4" width="14" style="2" customWidth="1"/>
    <col min="5" max="5" width="11.7109375" style="2" customWidth="1"/>
    <col min="6" max="6" width="9.140625" style="2"/>
    <col min="7" max="7" width="16.42578125" style="2" bestFit="1" customWidth="1"/>
    <col min="8" max="8" width="19.7109375" style="2" bestFit="1" customWidth="1"/>
    <col min="9" max="36" width="9.140625" style="2"/>
    <col min="258" max="258" width="62.7109375" customWidth="1"/>
    <col min="259" max="259" width="16.5703125" customWidth="1"/>
    <col min="260" max="260" width="14" customWidth="1"/>
    <col min="514" max="514" width="62.7109375" customWidth="1"/>
    <col min="515" max="515" width="16.5703125" customWidth="1"/>
    <col min="516" max="516" width="14" customWidth="1"/>
    <col min="770" max="770" width="62.7109375" customWidth="1"/>
    <col min="771" max="771" width="16.5703125" customWidth="1"/>
    <col min="772" max="772" width="14" customWidth="1"/>
    <col min="1026" max="1026" width="62.7109375" customWidth="1"/>
    <col min="1027" max="1027" width="16.5703125" customWidth="1"/>
    <col min="1028" max="1028" width="14" customWidth="1"/>
    <col min="1282" max="1282" width="62.7109375" customWidth="1"/>
    <col min="1283" max="1283" width="16.5703125" customWidth="1"/>
    <col min="1284" max="1284" width="14" customWidth="1"/>
    <col min="1538" max="1538" width="62.7109375" customWidth="1"/>
    <col min="1539" max="1539" width="16.5703125" customWidth="1"/>
    <col min="1540" max="1540" width="14" customWidth="1"/>
    <col min="1794" max="1794" width="62.7109375" customWidth="1"/>
    <col min="1795" max="1795" width="16.5703125" customWidth="1"/>
    <col min="1796" max="1796" width="14" customWidth="1"/>
    <col min="2050" max="2050" width="62.7109375" customWidth="1"/>
    <col min="2051" max="2051" width="16.5703125" customWidth="1"/>
    <col min="2052" max="2052" width="14" customWidth="1"/>
    <col min="2306" max="2306" width="62.7109375" customWidth="1"/>
    <col min="2307" max="2307" width="16.5703125" customWidth="1"/>
    <col min="2308" max="2308" width="14" customWidth="1"/>
    <col min="2562" max="2562" width="62.7109375" customWidth="1"/>
    <col min="2563" max="2563" width="16.5703125" customWidth="1"/>
    <col min="2564" max="2564" width="14" customWidth="1"/>
    <col min="2818" max="2818" width="62.7109375" customWidth="1"/>
    <col min="2819" max="2819" width="16.5703125" customWidth="1"/>
    <col min="2820" max="2820" width="14" customWidth="1"/>
    <col min="3074" max="3074" width="62.7109375" customWidth="1"/>
    <col min="3075" max="3075" width="16.5703125" customWidth="1"/>
    <col min="3076" max="3076" width="14" customWidth="1"/>
    <col min="3330" max="3330" width="62.7109375" customWidth="1"/>
    <col min="3331" max="3331" width="16.5703125" customWidth="1"/>
    <col min="3332" max="3332" width="14" customWidth="1"/>
    <col min="3586" max="3586" width="62.7109375" customWidth="1"/>
    <col min="3587" max="3587" width="16.5703125" customWidth="1"/>
    <col min="3588" max="3588" width="14" customWidth="1"/>
    <col min="3842" max="3842" width="62.7109375" customWidth="1"/>
    <col min="3843" max="3843" width="16.5703125" customWidth="1"/>
    <col min="3844" max="3844" width="14" customWidth="1"/>
    <col min="4098" max="4098" width="62.7109375" customWidth="1"/>
    <col min="4099" max="4099" width="16.5703125" customWidth="1"/>
    <col min="4100" max="4100" width="14" customWidth="1"/>
    <col min="4354" max="4354" width="62.7109375" customWidth="1"/>
    <col min="4355" max="4355" width="16.5703125" customWidth="1"/>
    <col min="4356" max="4356" width="14" customWidth="1"/>
    <col min="4610" max="4610" width="62.7109375" customWidth="1"/>
    <col min="4611" max="4611" width="16.5703125" customWidth="1"/>
    <col min="4612" max="4612" width="14" customWidth="1"/>
    <col min="4866" max="4866" width="62.7109375" customWidth="1"/>
    <col min="4867" max="4867" width="16.5703125" customWidth="1"/>
    <col min="4868" max="4868" width="14" customWidth="1"/>
    <col min="5122" max="5122" width="62.7109375" customWidth="1"/>
    <col min="5123" max="5123" width="16.5703125" customWidth="1"/>
    <col min="5124" max="5124" width="14" customWidth="1"/>
    <col min="5378" max="5378" width="62.7109375" customWidth="1"/>
    <col min="5379" max="5379" width="16.5703125" customWidth="1"/>
    <col min="5380" max="5380" width="14" customWidth="1"/>
    <col min="5634" max="5634" width="62.7109375" customWidth="1"/>
    <col min="5635" max="5635" width="16.5703125" customWidth="1"/>
    <col min="5636" max="5636" width="14" customWidth="1"/>
    <col min="5890" max="5890" width="62.7109375" customWidth="1"/>
    <col min="5891" max="5891" width="16.5703125" customWidth="1"/>
    <col min="5892" max="5892" width="14" customWidth="1"/>
    <col min="6146" max="6146" width="62.7109375" customWidth="1"/>
    <col min="6147" max="6147" width="16.5703125" customWidth="1"/>
    <col min="6148" max="6148" width="14" customWidth="1"/>
    <col min="6402" max="6402" width="62.7109375" customWidth="1"/>
    <col min="6403" max="6403" width="16.5703125" customWidth="1"/>
    <col min="6404" max="6404" width="14" customWidth="1"/>
    <col min="6658" max="6658" width="62.7109375" customWidth="1"/>
    <col min="6659" max="6659" width="16.5703125" customWidth="1"/>
    <col min="6660" max="6660" width="14" customWidth="1"/>
    <col min="6914" max="6914" width="62.7109375" customWidth="1"/>
    <col min="6915" max="6915" width="16.5703125" customWidth="1"/>
    <col min="6916" max="6916" width="14" customWidth="1"/>
    <col min="7170" max="7170" width="62.7109375" customWidth="1"/>
    <col min="7171" max="7171" width="16.5703125" customWidth="1"/>
    <col min="7172" max="7172" width="14" customWidth="1"/>
    <col min="7426" max="7426" width="62.7109375" customWidth="1"/>
    <col min="7427" max="7427" width="16.5703125" customWidth="1"/>
    <col min="7428" max="7428" width="14" customWidth="1"/>
    <col min="7682" max="7682" width="62.7109375" customWidth="1"/>
    <col min="7683" max="7683" width="16.5703125" customWidth="1"/>
    <col min="7684" max="7684" width="14" customWidth="1"/>
    <col min="7938" max="7938" width="62.7109375" customWidth="1"/>
    <col min="7939" max="7939" width="16.5703125" customWidth="1"/>
    <col min="7940" max="7940" width="14" customWidth="1"/>
    <col min="8194" max="8194" width="62.7109375" customWidth="1"/>
    <col min="8195" max="8195" width="16.5703125" customWidth="1"/>
    <col min="8196" max="8196" width="14" customWidth="1"/>
    <col min="8450" max="8450" width="62.7109375" customWidth="1"/>
    <col min="8451" max="8451" width="16.5703125" customWidth="1"/>
    <col min="8452" max="8452" width="14" customWidth="1"/>
    <col min="8706" max="8706" width="62.7109375" customWidth="1"/>
    <col min="8707" max="8707" width="16.5703125" customWidth="1"/>
    <col min="8708" max="8708" width="14" customWidth="1"/>
    <col min="8962" max="8962" width="62.7109375" customWidth="1"/>
    <col min="8963" max="8963" width="16.5703125" customWidth="1"/>
    <col min="8964" max="8964" width="14" customWidth="1"/>
    <col min="9218" max="9218" width="62.7109375" customWidth="1"/>
    <col min="9219" max="9219" width="16.5703125" customWidth="1"/>
    <col min="9220" max="9220" width="14" customWidth="1"/>
    <col min="9474" max="9474" width="62.7109375" customWidth="1"/>
    <col min="9475" max="9475" width="16.5703125" customWidth="1"/>
    <col min="9476" max="9476" width="14" customWidth="1"/>
    <col min="9730" max="9730" width="62.7109375" customWidth="1"/>
    <col min="9731" max="9731" width="16.5703125" customWidth="1"/>
    <col min="9732" max="9732" width="14" customWidth="1"/>
    <col min="9986" max="9986" width="62.7109375" customWidth="1"/>
    <col min="9987" max="9987" width="16.5703125" customWidth="1"/>
    <col min="9988" max="9988" width="14" customWidth="1"/>
    <col min="10242" max="10242" width="62.7109375" customWidth="1"/>
    <col min="10243" max="10243" width="16.5703125" customWidth="1"/>
    <col min="10244" max="10244" width="14" customWidth="1"/>
    <col min="10498" max="10498" width="62.7109375" customWidth="1"/>
    <col min="10499" max="10499" width="16.5703125" customWidth="1"/>
    <col min="10500" max="10500" width="14" customWidth="1"/>
    <col min="10754" max="10754" width="62.7109375" customWidth="1"/>
    <col min="10755" max="10755" width="16.5703125" customWidth="1"/>
    <col min="10756" max="10756" width="14" customWidth="1"/>
    <col min="11010" max="11010" width="62.7109375" customWidth="1"/>
    <col min="11011" max="11011" width="16.5703125" customWidth="1"/>
    <col min="11012" max="11012" width="14" customWidth="1"/>
    <col min="11266" max="11266" width="62.7109375" customWidth="1"/>
    <col min="11267" max="11267" width="16.5703125" customWidth="1"/>
    <col min="11268" max="11268" width="14" customWidth="1"/>
    <col min="11522" max="11522" width="62.7109375" customWidth="1"/>
    <col min="11523" max="11523" width="16.5703125" customWidth="1"/>
    <col min="11524" max="11524" width="14" customWidth="1"/>
    <col min="11778" max="11778" width="62.7109375" customWidth="1"/>
    <col min="11779" max="11779" width="16.5703125" customWidth="1"/>
    <col min="11780" max="11780" width="14" customWidth="1"/>
    <col min="12034" max="12034" width="62.7109375" customWidth="1"/>
    <col min="12035" max="12035" width="16.5703125" customWidth="1"/>
    <col min="12036" max="12036" width="14" customWidth="1"/>
    <col min="12290" max="12290" width="62.7109375" customWidth="1"/>
    <col min="12291" max="12291" width="16.5703125" customWidth="1"/>
    <col min="12292" max="12292" width="14" customWidth="1"/>
    <col min="12546" max="12546" width="62.7109375" customWidth="1"/>
    <col min="12547" max="12547" width="16.5703125" customWidth="1"/>
    <col min="12548" max="12548" width="14" customWidth="1"/>
    <col min="12802" max="12802" width="62.7109375" customWidth="1"/>
    <col min="12803" max="12803" width="16.5703125" customWidth="1"/>
    <col min="12804" max="12804" width="14" customWidth="1"/>
    <col min="13058" max="13058" width="62.7109375" customWidth="1"/>
    <col min="13059" max="13059" width="16.5703125" customWidth="1"/>
    <col min="13060" max="13060" width="14" customWidth="1"/>
    <col min="13314" max="13314" width="62.7109375" customWidth="1"/>
    <col min="13315" max="13315" width="16.5703125" customWidth="1"/>
    <col min="13316" max="13316" width="14" customWidth="1"/>
    <col min="13570" max="13570" width="62.7109375" customWidth="1"/>
    <col min="13571" max="13571" width="16.5703125" customWidth="1"/>
    <col min="13572" max="13572" width="14" customWidth="1"/>
    <col min="13826" max="13826" width="62.7109375" customWidth="1"/>
    <col min="13827" max="13827" width="16.5703125" customWidth="1"/>
    <col min="13828" max="13828" width="14" customWidth="1"/>
    <col min="14082" max="14082" width="62.7109375" customWidth="1"/>
    <col min="14083" max="14083" width="16.5703125" customWidth="1"/>
    <col min="14084" max="14084" width="14" customWidth="1"/>
    <col min="14338" max="14338" width="62.7109375" customWidth="1"/>
    <col min="14339" max="14339" width="16.5703125" customWidth="1"/>
    <col min="14340" max="14340" width="14" customWidth="1"/>
    <col min="14594" max="14594" width="62.7109375" customWidth="1"/>
    <col min="14595" max="14595" width="16.5703125" customWidth="1"/>
    <col min="14596" max="14596" width="14" customWidth="1"/>
    <col min="14850" max="14850" width="62.7109375" customWidth="1"/>
    <col min="14851" max="14851" width="16.5703125" customWidth="1"/>
    <col min="14852" max="14852" width="14" customWidth="1"/>
    <col min="15106" max="15106" width="62.7109375" customWidth="1"/>
    <col min="15107" max="15107" width="16.5703125" customWidth="1"/>
    <col min="15108" max="15108" width="14" customWidth="1"/>
    <col min="15362" max="15362" width="62.7109375" customWidth="1"/>
    <col min="15363" max="15363" width="16.5703125" customWidth="1"/>
    <col min="15364" max="15364" width="14" customWidth="1"/>
    <col min="15618" max="15618" width="62.7109375" customWidth="1"/>
    <col min="15619" max="15619" width="16.5703125" customWidth="1"/>
    <col min="15620" max="15620" width="14" customWidth="1"/>
    <col min="15874" max="15874" width="62.7109375" customWidth="1"/>
    <col min="15875" max="15875" width="16.5703125" customWidth="1"/>
    <col min="15876" max="15876" width="14" customWidth="1"/>
    <col min="16130" max="16130" width="62.7109375" customWidth="1"/>
    <col min="16131" max="16131" width="16.5703125" customWidth="1"/>
    <col min="16132" max="16132" width="14" customWidth="1"/>
  </cols>
  <sheetData>
    <row r="1" spans="1:36" s="2" customFormat="1" x14ac:dyDescent="0.25">
      <c r="A1" s="81"/>
      <c r="B1" s="81"/>
      <c r="C1" s="81"/>
      <c r="D1" s="81"/>
    </row>
    <row r="2" spans="1:36" ht="13.5" customHeight="1" x14ac:dyDescent="0.25">
      <c r="A2" s="81"/>
      <c r="B2" s="122" t="s">
        <v>15</v>
      </c>
      <c r="C2" s="123"/>
      <c r="D2" s="89"/>
    </row>
    <row r="3" spans="1:36" s="1" customFormat="1" ht="8.25" customHeight="1" x14ac:dyDescent="0.25">
      <c r="A3" s="89"/>
      <c r="B3" s="90"/>
      <c r="C3" s="90"/>
      <c r="D3" s="9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1" customFormat="1" ht="12" customHeight="1" x14ac:dyDescent="0.25">
      <c r="A4" s="89"/>
      <c r="B4" s="124" t="s">
        <v>37</v>
      </c>
      <c r="C4" s="125"/>
      <c r="D4" s="9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6.75" customHeight="1" x14ac:dyDescent="0.25">
      <c r="A5" s="81"/>
      <c r="B5" s="7"/>
      <c r="C5" s="7"/>
      <c r="D5" s="7"/>
      <c r="E5" s="6"/>
      <c r="G5" s="3"/>
      <c r="H5" s="3"/>
    </row>
    <row r="6" spans="1:36" ht="13.5" customHeight="1" x14ac:dyDescent="0.25">
      <c r="A6" s="81"/>
      <c r="B6" s="126" t="s">
        <v>13</v>
      </c>
      <c r="C6" s="127"/>
      <c r="D6" s="7"/>
      <c r="G6" s="121"/>
      <c r="H6" s="121"/>
    </row>
    <row r="7" spans="1:36" ht="15.75" customHeight="1" x14ac:dyDescent="0.25">
      <c r="A7" s="81"/>
      <c r="B7" s="70" t="s">
        <v>6</v>
      </c>
      <c r="C7" s="71">
        <f>Tabelas!C3</f>
        <v>1271</v>
      </c>
      <c r="D7" s="7"/>
      <c r="G7" s="49"/>
      <c r="H7" s="50"/>
      <c r="I7" s="12"/>
    </row>
    <row r="8" spans="1:36" ht="13.5" customHeight="1" x14ac:dyDescent="0.25">
      <c r="A8" s="81"/>
      <c r="B8" s="70" t="s">
        <v>0</v>
      </c>
      <c r="C8" s="72">
        <f>C7*8%</f>
        <v>101.68</v>
      </c>
      <c r="D8" s="91"/>
      <c r="G8" s="49"/>
      <c r="H8" s="51"/>
      <c r="I8" s="12"/>
    </row>
    <row r="9" spans="1:36" ht="15.75" x14ac:dyDescent="0.25">
      <c r="A9" s="81"/>
      <c r="B9" s="73" t="s">
        <v>31</v>
      </c>
      <c r="C9" s="72">
        <v>0</v>
      </c>
      <c r="D9" s="91"/>
      <c r="G9" s="52"/>
      <c r="H9" s="53"/>
      <c r="I9" s="12"/>
    </row>
    <row r="10" spans="1:36" x14ac:dyDescent="0.25">
      <c r="A10" s="81"/>
      <c r="B10" s="73" t="s">
        <v>30</v>
      </c>
      <c r="C10" s="72">
        <f>Tabelas!D3</f>
        <v>101.68</v>
      </c>
      <c r="D10" s="91"/>
      <c r="G10" s="2" t="s">
        <v>44</v>
      </c>
    </row>
    <row r="11" spans="1:36" x14ac:dyDescent="0.25">
      <c r="A11" s="81"/>
      <c r="B11" s="73" t="s">
        <v>19</v>
      </c>
      <c r="C11" s="72">
        <f>Tabelas!E3</f>
        <v>0</v>
      </c>
      <c r="D11" s="91"/>
      <c r="G11" s="2" t="s">
        <v>45</v>
      </c>
    </row>
    <row r="12" spans="1:36" x14ac:dyDescent="0.25">
      <c r="A12" s="81"/>
      <c r="B12" s="73" t="s">
        <v>38</v>
      </c>
      <c r="C12" s="72"/>
      <c r="D12" s="91"/>
      <c r="G12" s="2" t="s">
        <v>46</v>
      </c>
      <c r="I12" s="2" t="s">
        <v>31</v>
      </c>
    </row>
    <row r="13" spans="1:36" x14ac:dyDescent="0.25">
      <c r="A13" s="81"/>
      <c r="B13" s="73" t="s">
        <v>28</v>
      </c>
      <c r="C13" s="72">
        <f>C7-C10-C11+C14</f>
        <v>1169.32</v>
      </c>
      <c r="D13" s="91"/>
      <c r="G13" s="2" t="s">
        <v>47</v>
      </c>
      <c r="H13" s="2" t="s">
        <v>50</v>
      </c>
      <c r="I13" s="2">
        <v>0</v>
      </c>
    </row>
    <row r="14" spans="1:36" x14ac:dyDescent="0.25">
      <c r="A14" s="81"/>
      <c r="B14" s="74" t="s">
        <v>14</v>
      </c>
      <c r="C14" s="75"/>
      <c r="D14" s="7" t="s">
        <v>1</v>
      </c>
      <c r="G14" s="2" t="s">
        <v>48</v>
      </c>
      <c r="H14" s="2" t="s">
        <v>51</v>
      </c>
      <c r="I14" s="2">
        <v>0</v>
      </c>
    </row>
    <row r="15" spans="1:36" ht="23.25" customHeight="1" x14ac:dyDescent="0.25">
      <c r="A15" s="81"/>
      <c r="B15" s="92" t="s">
        <v>2</v>
      </c>
      <c r="C15" s="93">
        <f>SUM(C8:C14)</f>
        <v>1372.6799999999998</v>
      </c>
      <c r="D15" s="91">
        <v>4190.3999999999996</v>
      </c>
      <c r="E15" s="11">
        <f>D15-C15</f>
        <v>2817.72</v>
      </c>
      <c r="G15" s="2" t="s">
        <v>49</v>
      </c>
      <c r="H15" s="2" t="s">
        <v>52</v>
      </c>
      <c r="I15" s="2">
        <v>0</v>
      </c>
    </row>
    <row r="16" spans="1:36" x14ac:dyDescent="0.25">
      <c r="A16" s="81"/>
      <c r="B16" s="90"/>
      <c r="C16" s="94"/>
      <c r="D16" s="94"/>
      <c r="G16" s="2" t="s">
        <v>53</v>
      </c>
      <c r="H16" s="2" t="s">
        <v>54</v>
      </c>
      <c r="I16" s="88">
        <v>0.2</v>
      </c>
    </row>
    <row r="17" spans="1:9" ht="21" customHeight="1" x14ac:dyDescent="0.25">
      <c r="A17" s="81"/>
      <c r="B17" s="126" t="s">
        <v>12</v>
      </c>
      <c r="C17" s="127"/>
      <c r="D17" s="91"/>
      <c r="G17" s="2" t="s">
        <v>55</v>
      </c>
      <c r="H17" s="2" t="s">
        <v>58</v>
      </c>
      <c r="I17" s="2">
        <v>0</v>
      </c>
    </row>
    <row r="18" spans="1:9" x14ac:dyDescent="0.25">
      <c r="A18" s="81"/>
      <c r="B18" s="70" t="s">
        <v>29</v>
      </c>
      <c r="C18" s="72">
        <f>C7/12</f>
        <v>105.91666666666667</v>
      </c>
      <c r="D18" s="91"/>
      <c r="G18" s="2" t="s">
        <v>56</v>
      </c>
      <c r="H18" s="2" t="s">
        <v>57</v>
      </c>
    </row>
    <row r="19" spans="1:9" x14ac:dyDescent="0.25">
      <c r="A19" s="81"/>
      <c r="B19" s="70" t="s">
        <v>7</v>
      </c>
      <c r="C19" s="72">
        <f>C18*8%</f>
        <v>8.4733333333333345</v>
      </c>
      <c r="D19" s="91"/>
    </row>
    <row r="20" spans="1:9" x14ac:dyDescent="0.25">
      <c r="A20" s="81"/>
      <c r="B20" s="70" t="s">
        <v>8</v>
      </c>
      <c r="C20" s="72">
        <f>C7/12</f>
        <v>105.91666666666667</v>
      </c>
      <c r="D20" s="91"/>
    </row>
    <row r="21" spans="1:9" x14ac:dyDescent="0.25">
      <c r="A21" s="81"/>
      <c r="B21" s="70" t="s">
        <v>9</v>
      </c>
      <c r="C21" s="72">
        <f>C20/3</f>
        <v>35.305555555555557</v>
      </c>
      <c r="D21" s="91"/>
    </row>
    <row r="22" spans="1:9" x14ac:dyDescent="0.25">
      <c r="A22" s="81"/>
      <c r="B22" s="70" t="s">
        <v>10</v>
      </c>
      <c r="C22" s="72">
        <f>(C20+C21)*8%</f>
        <v>11.297777777777778</v>
      </c>
      <c r="D22" s="91"/>
    </row>
    <row r="23" spans="1:9" x14ac:dyDescent="0.25">
      <c r="A23" s="81"/>
      <c r="B23" s="70" t="s">
        <v>3</v>
      </c>
      <c r="C23" s="72">
        <f>C7/12</f>
        <v>105.91666666666667</v>
      </c>
      <c r="D23" s="91"/>
    </row>
    <row r="24" spans="1:9" x14ac:dyDescent="0.25">
      <c r="A24" s="81"/>
      <c r="B24" s="70" t="s">
        <v>4</v>
      </c>
      <c r="C24" s="72">
        <f>C23*8%</f>
        <v>8.4733333333333345</v>
      </c>
      <c r="D24" s="91"/>
      <c r="H24" s="11"/>
    </row>
    <row r="25" spans="1:9" x14ac:dyDescent="0.25">
      <c r="A25" s="81"/>
      <c r="B25" s="70" t="s">
        <v>11</v>
      </c>
      <c r="C25" s="72">
        <f>(C8+C22+C24+C19)*50%</f>
        <v>64.962222222222223</v>
      </c>
      <c r="D25" s="91"/>
    </row>
    <row r="26" spans="1:9" x14ac:dyDescent="0.25">
      <c r="A26" s="81"/>
      <c r="B26" s="70" t="s">
        <v>34</v>
      </c>
      <c r="C26" s="72"/>
      <c r="D26" s="91"/>
    </row>
    <row r="27" spans="1:9" ht="18" customHeight="1" x14ac:dyDescent="0.25">
      <c r="A27" s="81"/>
      <c r="B27" s="95" t="s">
        <v>2</v>
      </c>
      <c r="C27" s="96">
        <f>SUM(C18:C26)</f>
        <v>446.26222222222225</v>
      </c>
      <c r="D27" s="81"/>
    </row>
    <row r="28" spans="1:9" s="2" customFormat="1" x14ac:dyDescent="0.25">
      <c r="A28" s="81"/>
      <c r="B28" s="81"/>
      <c r="C28" s="81"/>
      <c r="D28" s="81"/>
    </row>
    <row r="29" spans="1:9" s="2" customFormat="1" x14ac:dyDescent="0.25">
      <c r="A29" s="81"/>
      <c r="B29" s="81"/>
      <c r="C29" s="81"/>
      <c r="D29" s="81"/>
    </row>
    <row r="30" spans="1:9" s="2" customFormat="1" x14ac:dyDescent="0.25">
      <c r="A30" s="81"/>
      <c r="B30" s="80"/>
      <c r="C30" s="80"/>
      <c r="D30" s="81"/>
    </row>
    <row r="31" spans="1:9" s="2" customFormat="1" x14ac:dyDescent="0.25">
      <c r="A31" s="81"/>
      <c r="B31" s="80" t="s">
        <v>35</v>
      </c>
      <c r="C31" s="80"/>
      <c r="D31" s="81"/>
      <c r="E31" s="81"/>
    </row>
    <row r="32" spans="1:9" s="2" customFormat="1" x14ac:dyDescent="0.25">
      <c r="A32" s="81"/>
      <c r="B32" s="80" t="s">
        <v>36</v>
      </c>
      <c r="C32" s="80"/>
      <c r="D32" s="81"/>
      <c r="E32" s="81"/>
    </row>
    <row r="33" spans="1:5" s="2" customFormat="1" x14ac:dyDescent="0.25">
      <c r="A33" s="81"/>
      <c r="B33" s="80" t="s">
        <v>5</v>
      </c>
      <c r="C33" s="80"/>
      <c r="D33" s="81"/>
      <c r="E33" s="81"/>
    </row>
    <row r="34" spans="1:5" s="2" customFormat="1" x14ac:dyDescent="0.25">
      <c r="A34" s="81"/>
      <c r="B34" s="80"/>
      <c r="C34" s="80"/>
      <c r="D34" s="81"/>
    </row>
    <row r="35" spans="1:5" s="2" customFormat="1" ht="15.75" x14ac:dyDescent="0.25">
      <c r="B35" s="10"/>
      <c r="C35" s="10"/>
    </row>
    <row r="36" spans="1:5" s="2" customFormat="1" ht="15.75" x14ac:dyDescent="0.25">
      <c r="B36" s="10"/>
      <c r="C36" s="10"/>
    </row>
    <row r="37" spans="1:5" s="2" customFormat="1" ht="15.75" x14ac:dyDescent="0.25">
      <c r="B37" s="10"/>
      <c r="C37" s="10"/>
    </row>
    <row r="38" spans="1:5" s="2" customFormat="1" ht="15.75" x14ac:dyDescent="0.25">
      <c r="B38" s="10"/>
      <c r="C38" s="10"/>
    </row>
    <row r="39" spans="1:5" s="2" customFormat="1" ht="15.75" x14ac:dyDescent="0.25">
      <c r="B39" s="10"/>
      <c r="C39" s="10"/>
    </row>
    <row r="40" spans="1:5" s="2" customFormat="1" ht="15.75" x14ac:dyDescent="0.25">
      <c r="B40" s="10"/>
      <c r="C40" s="10"/>
    </row>
    <row r="41" spans="1:5" s="2" customFormat="1" ht="15.75" x14ac:dyDescent="0.25">
      <c r="B41" s="10"/>
      <c r="C41" s="10"/>
    </row>
    <row r="42" spans="1:5" s="2" customFormat="1" ht="15.75" x14ac:dyDescent="0.25">
      <c r="B42" s="10"/>
      <c r="C42" s="10"/>
    </row>
    <row r="43" spans="1:5" s="2" customFormat="1" ht="15.75" x14ac:dyDescent="0.25">
      <c r="B43" s="10"/>
      <c r="C43" s="10"/>
    </row>
    <row r="44" spans="1:5" s="2" customFormat="1" ht="15.75" x14ac:dyDescent="0.25">
      <c r="B44" s="10"/>
      <c r="C44" s="10"/>
    </row>
    <row r="45" spans="1:5" s="2" customFormat="1" ht="15.75" x14ac:dyDescent="0.25">
      <c r="B45" s="10"/>
      <c r="C45" s="10"/>
    </row>
    <row r="46" spans="1:5" s="2" customFormat="1" ht="15.75" x14ac:dyDescent="0.25">
      <c r="B46" s="10"/>
      <c r="C46" s="10"/>
    </row>
    <row r="47" spans="1:5" s="2" customFormat="1" x14ac:dyDescent="0.25"/>
    <row r="48" spans="1:5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</sheetData>
  <mergeCells count="5">
    <mergeCell ref="B2:C2"/>
    <mergeCell ref="B4:C4"/>
    <mergeCell ref="B6:C6"/>
    <mergeCell ref="G6:H6"/>
    <mergeCell ref="B17:C1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zoomScale="130" zoomScaleNormal="130" workbookViewId="0">
      <selection activeCell="C9" sqref="C9"/>
    </sheetView>
  </sheetViews>
  <sheetFormatPr defaultRowHeight="15" x14ac:dyDescent="0.25"/>
  <cols>
    <col min="1" max="1" width="2.85546875" customWidth="1"/>
    <col min="2" max="2" width="43.85546875" customWidth="1"/>
    <col min="3" max="3" width="43.5703125" customWidth="1"/>
  </cols>
  <sheetData>
    <row r="1" spans="1:10" x14ac:dyDescent="0.25">
      <c r="A1" s="81"/>
      <c r="B1" s="81"/>
      <c r="C1" s="81"/>
      <c r="D1" s="81"/>
      <c r="E1" s="2"/>
      <c r="F1" s="2"/>
      <c r="G1" s="2"/>
      <c r="H1" s="2"/>
      <c r="I1" s="2"/>
      <c r="J1" s="2"/>
    </row>
    <row r="2" spans="1:10" x14ac:dyDescent="0.25">
      <c r="A2" s="81"/>
      <c r="B2" s="122" t="s">
        <v>15</v>
      </c>
      <c r="C2" s="123"/>
      <c r="D2" s="89"/>
      <c r="E2" s="2"/>
      <c r="F2" s="2"/>
      <c r="G2" s="2"/>
      <c r="H2" s="2"/>
      <c r="I2" s="2"/>
      <c r="J2" s="2"/>
    </row>
    <row r="3" spans="1:10" x14ac:dyDescent="0.25">
      <c r="A3" s="89"/>
      <c r="B3" s="90"/>
      <c r="C3" s="90"/>
      <c r="D3" s="90"/>
      <c r="E3" s="3"/>
      <c r="F3" s="3"/>
      <c r="G3" s="3"/>
      <c r="H3" s="3"/>
      <c r="I3" s="3"/>
      <c r="J3" s="3"/>
    </row>
    <row r="4" spans="1:10" x14ac:dyDescent="0.25">
      <c r="A4" s="89"/>
      <c r="B4" s="124" t="s">
        <v>37</v>
      </c>
      <c r="C4" s="125"/>
      <c r="D4" s="90"/>
      <c r="E4" s="3"/>
      <c r="F4" s="3"/>
      <c r="G4" s="3"/>
      <c r="H4" s="3"/>
      <c r="I4" s="3"/>
      <c r="J4" s="3"/>
    </row>
    <row r="5" spans="1:10" x14ac:dyDescent="0.25">
      <c r="A5" s="81"/>
      <c r="B5" s="7"/>
      <c r="C5" s="7"/>
      <c r="D5" s="7"/>
      <c r="E5" s="6"/>
      <c r="F5" s="2"/>
      <c r="G5" s="3"/>
      <c r="H5" s="3"/>
      <c r="I5" s="2"/>
      <c r="J5" s="2"/>
    </row>
    <row r="6" spans="1:10" x14ac:dyDescent="0.25">
      <c r="A6" s="81"/>
      <c r="B6" s="126" t="s">
        <v>13</v>
      </c>
      <c r="C6" s="127"/>
      <c r="D6" s="7"/>
      <c r="E6" s="2"/>
      <c r="F6" s="2"/>
      <c r="G6" s="121"/>
      <c r="H6" s="121"/>
      <c r="I6" s="2"/>
      <c r="J6" s="2"/>
    </row>
    <row r="7" spans="1:10" ht="15.75" x14ac:dyDescent="0.25">
      <c r="A7" s="81"/>
      <c r="B7" s="70" t="s">
        <v>6</v>
      </c>
      <c r="C7" s="71">
        <f>Tabelas!C3</f>
        <v>1271</v>
      </c>
      <c r="D7" s="7"/>
      <c r="E7" s="2"/>
      <c r="F7" s="2"/>
      <c r="G7" s="49"/>
      <c r="H7" s="50"/>
      <c r="I7" s="12"/>
      <c r="J7" s="2"/>
    </row>
    <row r="8" spans="1:10" ht="15.75" x14ac:dyDescent="0.25">
      <c r="A8" s="81"/>
      <c r="B8" s="70" t="s">
        <v>0</v>
      </c>
      <c r="C8" s="72">
        <f>C7*8%</f>
        <v>101.68</v>
      </c>
      <c r="D8" s="91"/>
      <c r="E8" s="2"/>
      <c r="F8" s="2"/>
      <c r="G8" s="49"/>
      <c r="H8" s="51"/>
      <c r="I8" s="12"/>
      <c r="J8" s="2"/>
    </row>
    <row r="9" spans="1:10" ht="15.75" x14ac:dyDescent="0.25">
      <c r="A9" s="81"/>
      <c r="B9" s="73" t="s">
        <v>31</v>
      </c>
      <c r="C9" s="72">
        <f>C7*21%</f>
        <v>266.90999999999997</v>
      </c>
      <c r="D9" s="91"/>
      <c r="E9" s="2"/>
      <c r="F9" s="2"/>
      <c r="G9" s="52"/>
      <c r="H9" s="53"/>
      <c r="I9" s="12"/>
      <c r="J9" s="2"/>
    </row>
    <row r="10" spans="1:10" x14ac:dyDescent="0.25">
      <c r="A10" s="81"/>
      <c r="B10" s="73" t="s">
        <v>30</v>
      </c>
      <c r="C10" s="72">
        <f>Tabelas!D3</f>
        <v>101.68</v>
      </c>
      <c r="D10" s="91"/>
      <c r="E10" s="2"/>
      <c r="F10" s="2"/>
      <c r="G10" s="2" t="s">
        <v>44</v>
      </c>
      <c r="H10" s="2"/>
      <c r="I10" s="2"/>
      <c r="J10" s="2"/>
    </row>
    <row r="11" spans="1:10" x14ac:dyDescent="0.25">
      <c r="A11" s="81"/>
      <c r="B11" s="73" t="s">
        <v>19</v>
      </c>
      <c r="C11" s="72">
        <f>Tabelas!E3</f>
        <v>0</v>
      </c>
      <c r="D11" s="91"/>
      <c r="E11" s="2"/>
      <c r="F11" s="2"/>
      <c r="G11" s="2" t="s">
        <v>45</v>
      </c>
      <c r="H11" s="2"/>
      <c r="I11" s="2"/>
      <c r="J11" s="2"/>
    </row>
    <row r="12" spans="1:10" x14ac:dyDescent="0.25">
      <c r="A12" s="81"/>
      <c r="B12" s="73" t="s">
        <v>38</v>
      </c>
      <c r="C12" s="72"/>
      <c r="D12" s="91"/>
      <c r="E12" s="2"/>
      <c r="F12" s="2"/>
      <c r="G12" s="2" t="s">
        <v>46</v>
      </c>
      <c r="H12" s="2"/>
      <c r="I12" s="2" t="s">
        <v>31</v>
      </c>
      <c r="J12" s="2"/>
    </row>
    <row r="13" spans="1:10" x14ac:dyDescent="0.25">
      <c r="A13" s="81"/>
      <c r="B13" s="73" t="s">
        <v>28</v>
      </c>
      <c r="C13" s="72">
        <f>C7-C10-C11+C14</f>
        <v>1169.32</v>
      </c>
      <c r="D13" s="91"/>
      <c r="E13" s="2"/>
      <c r="F13" s="2"/>
      <c r="G13" s="2" t="s">
        <v>47</v>
      </c>
      <c r="H13" s="2" t="s">
        <v>50</v>
      </c>
      <c r="I13" s="2">
        <v>0</v>
      </c>
      <c r="J13" s="2"/>
    </row>
    <row r="14" spans="1:10" x14ac:dyDescent="0.25">
      <c r="A14" s="81"/>
      <c r="B14" s="74" t="s">
        <v>14</v>
      </c>
      <c r="C14" s="75"/>
      <c r="D14" s="7" t="s">
        <v>1</v>
      </c>
      <c r="E14" s="2"/>
      <c r="F14" s="2"/>
      <c r="G14" s="2" t="s">
        <v>48</v>
      </c>
      <c r="H14" s="2" t="s">
        <v>51</v>
      </c>
      <c r="I14" s="2">
        <v>0</v>
      </c>
      <c r="J14" s="2"/>
    </row>
    <row r="15" spans="1:10" x14ac:dyDescent="0.25">
      <c r="A15" s="81"/>
      <c r="B15" s="92" t="s">
        <v>2</v>
      </c>
      <c r="C15" s="93">
        <f>SUM(C8:C14)</f>
        <v>1639.59</v>
      </c>
      <c r="D15" s="91">
        <v>4190.3999999999996</v>
      </c>
      <c r="E15" s="11">
        <f>D15-C15</f>
        <v>2550.8099999999995</v>
      </c>
      <c r="F15" s="2"/>
      <c r="G15" s="2" t="s">
        <v>49</v>
      </c>
      <c r="H15" s="2" t="s">
        <v>52</v>
      </c>
      <c r="I15" s="2">
        <v>0</v>
      </c>
      <c r="J15" s="2"/>
    </row>
    <row r="16" spans="1:10" x14ac:dyDescent="0.25">
      <c r="A16" s="81"/>
      <c r="B16" s="90"/>
      <c r="C16" s="94"/>
      <c r="D16" s="94"/>
      <c r="E16" s="2"/>
      <c r="F16" s="2"/>
      <c r="G16" s="2" t="s">
        <v>53</v>
      </c>
      <c r="H16" s="2" t="s">
        <v>54</v>
      </c>
      <c r="I16" s="88">
        <v>0.2</v>
      </c>
      <c r="J16" s="2"/>
    </row>
    <row r="17" spans="1:10" x14ac:dyDescent="0.25">
      <c r="A17" s="81"/>
      <c r="B17" s="126" t="s">
        <v>12</v>
      </c>
      <c r="C17" s="127"/>
      <c r="D17" s="91"/>
      <c r="E17" s="2"/>
      <c r="F17" s="2"/>
      <c r="G17" s="2" t="s">
        <v>55</v>
      </c>
      <c r="H17" s="2" t="s">
        <v>58</v>
      </c>
      <c r="I17" s="2">
        <v>0</v>
      </c>
      <c r="J17" s="2"/>
    </row>
    <row r="18" spans="1:10" x14ac:dyDescent="0.25">
      <c r="A18" s="81"/>
      <c r="B18" s="70" t="s">
        <v>29</v>
      </c>
      <c r="C18" s="72">
        <f>C7/12</f>
        <v>105.91666666666667</v>
      </c>
      <c r="D18" s="91"/>
      <c r="E18" s="2"/>
      <c r="F18" s="2"/>
      <c r="G18" s="2" t="s">
        <v>56</v>
      </c>
      <c r="H18" s="2" t="s">
        <v>57</v>
      </c>
      <c r="I18" s="2"/>
      <c r="J18" s="2"/>
    </row>
    <row r="19" spans="1:10" x14ac:dyDescent="0.25">
      <c r="A19" s="81"/>
      <c r="B19" s="70" t="s">
        <v>7</v>
      </c>
      <c r="C19" s="72">
        <f>C18*8%</f>
        <v>8.4733333333333345</v>
      </c>
      <c r="D19" s="91"/>
      <c r="E19" s="2"/>
      <c r="F19" s="2"/>
      <c r="G19" s="2"/>
      <c r="H19" s="2"/>
      <c r="I19" s="2"/>
      <c r="J19" s="2"/>
    </row>
    <row r="20" spans="1:10" x14ac:dyDescent="0.25">
      <c r="A20" s="81"/>
      <c r="B20" s="70" t="s">
        <v>8</v>
      </c>
      <c r="C20" s="72">
        <f>C7/12</f>
        <v>105.91666666666667</v>
      </c>
      <c r="D20" s="91"/>
      <c r="E20" s="2"/>
      <c r="F20" s="2"/>
      <c r="G20" s="2"/>
      <c r="H20" s="2"/>
      <c r="I20" s="2"/>
      <c r="J20" s="2"/>
    </row>
    <row r="21" spans="1:10" x14ac:dyDescent="0.25">
      <c r="A21" s="81"/>
      <c r="B21" s="70" t="s">
        <v>9</v>
      </c>
      <c r="C21" s="72">
        <f>C20/3</f>
        <v>35.305555555555557</v>
      </c>
      <c r="D21" s="91"/>
      <c r="E21" s="2"/>
      <c r="F21" s="2"/>
      <c r="G21" s="2"/>
      <c r="H21" s="2"/>
      <c r="I21" s="2"/>
      <c r="J21" s="2"/>
    </row>
    <row r="22" spans="1:10" x14ac:dyDescent="0.25">
      <c r="A22" s="81"/>
      <c r="B22" s="70" t="s">
        <v>10</v>
      </c>
      <c r="C22" s="72">
        <f>(C20+C21)*8%</f>
        <v>11.297777777777778</v>
      </c>
      <c r="D22" s="91"/>
      <c r="E22" s="2"/>
      <c r="F22" s="2"/>
      <c r="G22" s="2"/>
      <c r="H22" s="2"/>
      <c r="I22" s="2"/>
      <c r="J22" s="2"/>
    </row>
    <row r="23" spans="1:10" x14ac:dyDescent="0.25">
      <c r="A23" s="81"/>
      <c r="B23" s="70" t="s">
        <v>3</v>
      </c>
      <c r="C23" s="72">
        <f>C7/12</f>
        <v>105.91666666666667</v>
      </c>
      <c r="D23" s="91"/>
      <c r="E23" s="2"/>
      <c r="F23" s="2"/>
      <c r="G23" s="2"/>
      <c r="H23" s="2"/>
      <c r="I23" s="2"/>
      <c r="J23" s="2"/>
    </row>
    <row r="24" spans="1:10" x14ac:dyDescent="0.25">
      <c r="A24" s="81"/>
      <c r="B24" s="70" t="s">
        <v>4</v>
      </c>
      <c r="C24" s="72">
        <f>C23*8%</f>
        <v>8.4733333333333345</v>
      </c>
      <c r="D24" s="91"/>
      <c r="E24" s="2"/>
      <c r="F24" s="2"/>
      <c r="G24" s="2"/>
      <c r="H24" s="11"/>
      <c r="I24" s="2"/>
      <c r="J24" s="2"/>
    </row>
    <row r="25" spans="1:10" x14ac:dyDescent="0.25">
      <c r="A25" s="81"/>
      <c r="B25" s="70" t="s">
        <v>11</v>
      </c>
      <c r="C25" s="72">
        <f>(C8+C22+C24+C19)*50%</f>
        <v>64.962222222222223</v>
      </c>
      <c r="D25" s="91"/>
      <c r="E25" s="2"/>
      <c r="F25" s="2"/>
      <c r="G25" s="2"/>
      <c r="H25" s="2"/>
      <c r="I25" s="2"/>
      <c r="J25" s="2"/>
    </row>
    <row r="26" spans="1:10" x14ac:dyDescent="0.25">
      <c r="A26" s="81"/>
      <c r="B26" s="70" t="s">
        <v>34</v>
      </c>
      <c r="C26" s="72">
        <f>(C18+C20+C21+C23)*21%</f>
        <v>74.14166666666668</v>
      </c>
      <c r="D26" s="91"/>
      <c r="E26" s="2"/>
      <c r="F26" s="2"/>
      <c r="G26" s="2"/>
      <c r="H26" s="2"/>
      <c r="I26" s="2"/>
      <c r="J26" s="2"/>
    </row>
    <row r="27" spans="1:10" x14ac:dyDescent="0.25">
      <c r="A27" s="81"/>
      <c r="B27" s="95" t="s">
        <v>2</v>
      </c>
      <c r="C27" s="96">
        <f>SUM(C18:C26)</f>
        <v>520.4038888888889</v>
      </c>
      <c r="D27" s="81"/>
      <c r="E27" s="2"/>
      <c r="F27" s="2"/>
      <c r="G27" s="2"/>
      <c r="H27" s="2"/>
      <c r="I27" s="2"/>
      <c r="J27" s="2"/>
    </row>
    <row r="28" spans="1:10" x14ac:dyDescent="0.25">
      <c r="A28" s="81"/>
      <c r="B28" s="81"/>
      <c r="C28" s="81"/>
      <c r="D28" s="81"/>
      <c r="E28" s="2"/>
      <c r="F28" s="2"/>
      <c r="G28" s="2"/>
      <c r="H28" s="2"/>
      <c r="I28" s="2"/>
      <c r="J28" s="2"/>
    </row>
    <row r="29" spans="1:10" ht="26.25" customHeight="1" x14ac:dyDescent="0.25">
      <c r="A29" s="81"/>
      <c r="B29" s="103" t="s">
        <v>64</v>
      </c>
      <c r="C29" s="104">
        <f>C15+C27</f>
        <v>2159.9938888888887</v>
      </c>
      <c r="D29" s="81"/>
      <c r="E29" s="2"/>
      <c r="F29" s="2"/>
      <c r="G29" s="2"/>
      <c r="H29" s="2"/>
      <c r="I29" s="2"/>
      <c r="J29" s="2"/>
    </row>
    <row r="30" spans="1:10" x14ac:dyDescent="0.25">
      <c r="A30" s="81"/>
      <c r="B30" s="80"/>
      <c r="C30" s="80"/>
      <c r="D30" s="81"/>
      <c r="E30" s="2"/>
      <c r="F30" s="2"/>
      <c r="G30" s="2"/>
      <c r="H30" s="2"/>
      <c r="I30" s="2"/>
      <c r="J30" s="2"/>
    </row>
    <row r="31" spans="1:10" x14ac:dyDescent="0.25">
      <c r="A31" s="81"/>
      <c r="B31" s="80" t="s">
        <v>35</v>
      </c>
      <c r="C31" s="80"/>
      <c r="D31" s="81"/>
      <c r="E31" s="81"/>
      <c r="F31" s="2"/>
      <c r="G31" s="2"/>
      <c r="H31" s="2"/>
      <c r="I31" s="2"/>
      <c r="J31" s="2"/>
    </row>
    <row r="32" spans="1:10" x14ac:dyDescent="0.25">
      <c r="A32" s="81"/>
      <c r="B32" s="80" t="s">
        <v>36</v>
      </c>
      <c r="C32" s="80"/>
      <c r="D32" s="81"/>
      <c r="E32" s="81"/>
      <c r="F32" s="2"/>
      <c r="G32" s="2"/>
      <c r="H32" s="2"/>
      <c r="I32" s="2"/>
      <c r="J32" s="2"/>
    </row>
    <row r="33" spans="1:10" x14ac:dyDescent="0.25">
      <c r="A33" s="81"/>
      <c r="B33" s="80" t="s">
        <v>5</v>
      </c>
      <c r="C33" s="80"/>
      <c r="D33" s="81"/>
      <c r="E33" s="81"/>
      <c r="F33" s="2"/>
      <c r="G33" s="2"/>
      <c r="H33" s="2"/>
      <c r="I33" s="2"/>
      <c r="J33" s="2"/>
    </row>
    <row r="34" spans="1:10" x14ac:dyDescent="0.25">
      <c r="A34" s="81"/>
      <c r="B34" s="80"/>
      <c r="C34" s="80"/>
      <c r="D34" s="81"/>
      <c r="E34" s="2"/>
      <c r="F34" s="2"/>
      <c r="G34" s="2"/>
      <c r="H34" s="2"/>
      <c r="I34" s="2"/>
      <c r="J34" s="2"/>
    </row>
  </sheetData>
  <mergeCells count="5">
    <mergeCell ref="B2:C2"/>
    <mergeCell ref="B4:C4"/>
    <mergeCell ref="B6:C6"/>
    <mergeCell ref="G6:H6"/>
    <mergeCell ref="B17:C1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8"/>
  <sheetViews>
    <sheetView workbookViewId="0">
      <selection activeCell="C24" sqref="C24"/>
    </sheetView>
  </sheetViews>
  <sheetFormatPr defaultRowHeight="15" x14ac:dyDescent="0.25"/>
  <cols>
    <col min="1" max="1" width="4.140625" customWidth="1"/>
    <col min="2" max="2" width="43.85546875" customWidth="1"/>
    <col min="3" max="3" width="39.85546875" customWidth="1"/>
    <col min="4" max="4" width="24.140625" customWidth="1"/>
  </cols>
  <sheetData>
    <row r="1" spans="1:5" x14ac:dyDescent="0.25">
      <c r="A1" s="2"/>
      <c r="B1" s="2"/>
      <c r="C1" s="2"/>
      <c r="D1" s="2"/>
      <c r="E1" s="2"/>
    </row>
    <row r="2" spans="1:5" ht="18" x14ac:dyDescent="0.25">
      <c r="A2" s="2"/>
      <c r="B2" s="115" t="s">
        <v>15</v>
      </c>
      <c r="C2" s="116"/>
      <c r="D2" s="3"/>
      <c r="E2" s="2"/>
    </row>
    <row r="3" spans="1:5" ht="15.75" x14ac:dyDescent="0.25">
      <c r="A3" s="3"/>
      <c r="B3" s="4"/>
      <c r="C3" s="4"/>
      <c r="D3" s="4"/>
      <c r="E3" s="3"/>
    </row>
    <row r="4" spans="1:5" ht="15.75" x14ac:dyDescent="0.25">
      <c r="A4" s="3"/>
      <c r="B4" s="117" t="s">
        <v>37</v>
      </c>
      <c r="C4" s="128"/>
      <c r="D4" s="99" t="s">
        <v>59</v>
      </c>
      <c r="E4" s="3"/>
    </row>
    <row r="5" spans="1:5" ht="15.75" x14ac:dyDescent="0.25">
      <c r="A5" s="2"/>
      <c r="B5" s="5"/>
      <c r="C5" s="5"/>
      <c r="D5" s="100"/>
      <c r="E5" s="6"/>
    </row>
    <row r="6" spans="1:5" ht="18" x14ac:dyDescent="0.25">
      <c r="A6" s="2"/>
      <c r="B6" s="119" t="s">
        <v>13</v>
      </c>
      <c r="C6" s="129"/>
      <c r="D6" s="101" t="s">
        <v>60</v>
      </c>
      <c r="E6" s="2"/>
    </row>
    <row r="7" spans="1:5" x14ac:dyDescent="0.25">
      <c r="A7" s="2"/>
      <c r="B7" s="70" t="s">
        <v>6</v>
      </c>
      <c r="C7" s="97">
        <f>Tabelas!C3</f>
        <v>1271</v>
      </c>
      <c r="D7" s="101" t="s">
        <v>61</v>
      </c>
      <c r="E7" s="2"/>
    </row>
    <row r="8" spans="1:5" x14ac:dyDescent="0.25">
      <c r="A8" s="2"/>
      <c r="B8" s="70" t="s">
        <v>0</v>
      </c>
      <c r="C8" s="98">
        <f>C7*8%</f>
        <v>101.68</v>
      </c>
      <c r="D8" s="102" t="s">
        <v>62</v>
      </c>
      <c r="E8" s="2"/>
    </row>
    <row r="9" spans="1:5" ht="15.75" x14ac:dyDescent="0.25">
      <c r="A9" s="2"/>
      <c r="B9" s="73" t="s">
        <v>31</v>
      </c>
      <c r="C9" s="72">
        <f>Tabelas!S6*C7</f>
        <v>0</v>
      </c>
      <c r="D9" s="8"/>
      <c r="E9" s="2"/>
    </row>
    <row r="10" spans="1:5" ht="15.75" x14ac:dyDescent="0.25">
      <c r="A10" s="2"/>
      <c r="B10" s="73" t="s">
        <v>30</v>
      </c>
      <c r="C10" s="72">
        <f>Tabelas!D3</f>
        <v>101.68</v>
      </c>
      <c r="D10" s="8"/>
      <c r="E10" s="2"/>
    </row>
    <row r="11" spans="1:5" ht="15.75" x14ac:dyDescent="0.25">
      <c r="A11" s="2"/>
      <c r="B11" s="73" t="s">
        <v>19</v>
      </c>
      <c r="C11" s="72">
        <f>Tabelas!E3</f>
        <v>0</v>
      </c>
      <c r="D11" s="8"/>
      <c r="E11" s="2"/>
    </row>
    <row r="12" spans="1:5" ht="15.75" x14ac:dyDescent="0.25">
      <c r="A12" s="2"/>
      <c r="B12" s="73" t="s">
        <v>28</v>
      </c>
      <c r="C12" s="72">
        <f>C7-C10-C11+C13</f>
        <v>1169.32</v>
      </c>
      <c r="D12" s="8"/>
      <c r="E12" s="2"/>
    </row>
    <row r="13" spans="1:5" x14ac:dyDescent="0.25">
      <c r="A13" s="2"/>
      <c r="B13" s="74" t="s">
        <v>14</v>
      </c>
      <c r="C13" s="75"/>
      <c r="D13" s="7" t="s">
        <v>1</v>
      </c>
      <c r="E13" s="2"/>
    </row>
    <row r="14" spans="1:5" ht="18" x14ac:dyDescent="0.25">
      <c r="A14" s="2"/>
      <c r="B14" s="76" t="s">
        <v>2</v>
      </c>
      <c r="C14" s="78">
        <f>SUM(C8:C13)</f>
        <v>1372.6799999999998</v>
      </c>
      <c r="D14" s="8"/>
      <c r="E14" s="2"/>
    </row>
    <row r="15" spans="1:5" ht="15.75" x14ac:dyDescent="0.25">
      <c r="A15" s="2"/>
      <c r="B15" s="4"/>
      <c r="C15" s="9"/>
      <c r="D15" s="9"/>
      <c r="E15" s="2"/>
    </row>
    <row r="16" spans="1:5" ht="18" x14ac:dyDescent="0.25">
      <c r="A16" s="2"/>
      <c r="B16" s="119" t="s">
        <v>12</v>
      </c>
      <c r="C16" s="120"/>
      <c r="D16" s="8"/>
      <c r="E16" s="2"/>
    </row>
    <row r="17" spans="1:5" ht="15.75" x14ac:dyDescent="0.25">
      <c r="A17" s="2"/>
      <c r="B17" s="70" t="s">
        <v>29</v>
      </c>
      <c r="C17" s="72">
        <f>C7/12</f>
        <v>105.91666666666667</v>
      </c>
      <c r="D17" s="8"/>
      <c r="E17" s="2"/>
    </row>
    <row r="18" spans="1:5" ht="15.75" x14ac:dyDescent="0.25">
      <c r="A18" s="2"/>
      <c r="B18" s="70" t="s">
        <v>7</v>
      </c>
      <c r="C18" s="72">
        <f>C17*8%</f>
        <v>8.4733333333333345</v>
      </c>
      <c r="D18" s="8"/>
      <c r="E18" s="2"/>
    </row>
    <row r="19" spans="1:5" ht="15.75" x14ac:dyDescent="0.25">
      <c r="A19" s="2"/>
      <c r="B19" s="70" t="s">
        <v>8</v>
      </c>
      <c r="C19" s="72">
        <f>C7/12</f>
        <v>105.91666666666667</v>
      </c>
      <c r="D19" s="8"/>
      <c r="E19" s="2"/>
    </row>
    <row r="20" spans="1:5" ht="15.75" x14ac:dyDescent="0.25">
      <c r="A20" s="2"/>
      <c r="B20" s="70" t="s">
        <v>9</v>
      </c>
      <c r="C20" s="72">
        <f>C19/3</f>
        <v>35.305555555555557</v>
      </c>
      <c r="D20" s="8"/>
      <c r="E20" s="2"/>
    </row>
    <row r="21" spans="1:5" ht="15.75" x14ac:dyDescent="0.25">
      <c r="A21" s="2"/>
      <c r="B21" s="70" t="s">
        <v>10</v>
      </c>
      <c r="C21" s="72">
        <f>(C19+C20)*8%</f>
        <v>11.297777777777778</v>
      </c>
      <c r="D21" s="8"/>
      <c r="E21" s="2"/>
    </row>
    <row r="22" spans="1:5" ht="15.75" x14ac:dyDescent="0.25">
      <c r="A22" s="2"/>
      <c r="B22" s="70" t="s">
        <v>3</v>
      </c>
      <c r="C22" s="72">
        <f>C7/12</f>
        <v>105.91666666666667</v>
      </c>
      <c r="D22" s="8"/>
      <c r="E22" s="2"/>
    </row>
    <row r="23" spans="1:5" ht="15.75" x14ac:dyDescent="0.25">
      <c r="A23" s="2"/>
      <c r="B23" s="70" t="s">
        <v>4</v>
      </c>
      <c r="C23" s="72">
        <f>C22*8%</f>
        <v>8.4733333333333345</v>
      </c>
      <c r="D23" s="8"/>
      <c r="E23" s="2"/>
    </row>
    <row r="24" spans="1:5" ht="15.75" x14ac:dyDescent="0.25">
      <c r="A24" s="2"/>
      <c r="B24" s="70" t="s">
        <v>11</v>
      </c>
      <c r="C24" s="72">
        <f>(C8+C21+C23+C18)*50%</f>
        <v>64.962222222222223</v>
      </c>
      <c r="D24" s="8"/>
      <c r="E24" s="2"/>
    </row>
    <row r="25" spans="1:5" ht="15.75" x14ac:dyDescent="0.25">
      <c r="A25" s="2"/>
      <c r="B25" s="70" t="s">
        <v>34</v>
      </c>
      <c r="C25" s="72">
        <f>(C17+C19+C20)*Tabelas!S6</f>
        <v>0</v>
      </c>
      <c r="D25" s="8"/>
      <c r="E25" s="2"/>
    </row>
    <row r="26" spans="1:5" ht="18" x14ac:dyDescent="0.25">
      <c r="A26" s="2"/>
      <c r="B26" s="79" t="s">
        <v>2</v>
      </c>
      <c r="C26" s="77">
        <f>SUM(C17:C25)</f>
        <v>446.26222222222225</v>
      </c>
      <c r="D26" s="2"/>
      <c r="E26" s="2"/>
    </row>
    <row r="27" spans="1:5" x14ac:dyDescent="0.25">
      <c r="A27" s="2"/>
      <c r="B27" s="2"/>
      <c r="C27" s="2"/>
      <c r="D27" s="2"/>
      <c r="E27" s="2"/>
    </row>
    <row r="28" spans="1:5" ht="18" x14ac:dyDescent="0.25">
      <c r="A28" s="2"/>
      <c r="B28" s="79" t="s">
        <v>43</v>
      </c>
      <c r="C28" s="77">
        <f>C14+C26</f>
        <v>1818.942222222222</v>
      </c>
      <c r="D28" s="2"/>
      <c r="E28" s="2"/>
    </row>
    <row r="29" spans="1:5" ht="15.75" x14ac:dyDescent="0.25">
      <c r="A29" s="2"/>
      <c r="B29" s="10"/>
      <c r="C29" s="10"/>
      <c r="D29" s="2"/>
      <c r="E29" s="2"/>
    </row>
    <row r="30" spans="1:5" x14ac:dyDescent="0.25">
      <c r="A30" s="2"/>
      <c r="B30" s="80" t="s">
        <v>35</v>
      </c>
      <c r="C30" s="80"/>
      <c r="D30" s="81"/>
      <c r="E30" s="81"/>
    </row>
    <row r="31" spans="1:5" x14ac:dyDescent="0.25">
      <c r="A31" s="2"/>
      <c r="B31" s="80" t="s">
        <v>36</v>
      </c>
      <c r="C31" s="80"/>
      <c r="D31" s="81"/>
      <c r="E31" s="81"/>
    </row>
    <row r="32" spans="1:5" x14ac:dyDescent="0.25">
      <c r="A32" s="2"/>
      <c r="B32" s="80" t="s">
        <v>5</v>
      </c>
      <c r="C32" s="80"/>
      <c r="D32" s="81"/>
      <c r="E32" s="81"/>
    </row>
    <row r="33" spans="1:5" ht="15.75" x14ac:dyDescent="0.25">
      <c r="A33" s="2"/>
      <c r="B33" s="10"/>
      <c r="C33" s="10"/>
      <c r="D33" s="2"/>
      <c r="E33" s="2"/>
    </row>
    <row r="34" spans="1:5" ht="15.75" x14ac:dyDescent="0.25">
      <c r="A34" s="2"/>
      <c r="B34" s="10"/>
      <c r="C34" s="10"/>
      <c r="D34" s="2"/>
      <c r="E34" s="2"/>
    </row>
    <row r="35" spans="1:5" ht="15.75" x14ac:dyDescent="0.25">
      <c r="A35" s="2"/>
      <c r="B35" s="10"/>
      <c r="C35" s="10"/>
      <c r="D35" s="2"/>
      <c r="E35" s="2"/>
    </row>
    <row r="36" spans="1:5" ht="15.75" x14ac:dyDescent="0.25">
      <c r="A36" s="2"/>
      <c r="B36" s="10"/>
      <c r="C36" s="10"/>
      <c r="D36" s="2"/>
      <c r="E36" s="2"/>
    </row>
    <row r="37" spans="1:5" ht="15.75" x14ac:dyDescent="0.25">
      <c r="A37" s="2"/>
      <c r="B37" s="10"/>
      <c r="C37" s="10"/>
      <c r="D37" s="2"/>
      <c r="E37" s="2"/>
    </row>
    <row r="38" spans="1:5" ht="15.75" x14ac:dyDescent="0.25">
      <c r="A38" s="2"/>
      <c r="B38" s="10"/>
      <c r="C38" s="10"/>
      <c r="D38" s="2"/>
      <c r="E38" s="2"/>
    </row>
  </sheetData>
  <mergeCells count="4">
    <mergeCell ref="B2:C2"/>
    <mergeCell ref="B4:C4"/>
    <mergeCell ref="B6:C6"/>
    <mergeCell ref="B16:C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Tabelas</vt:lpstr>
      <vt:lpstr> Func. Condominio</vt:lpstr>
      <vt:lpstr>MEI</vt:lpstr>
      <vt:lpstr>Domestico</vt:lpstr>
      <vt:lpstr>Simples Anexo I,II,III,V,VI</vt:lpstr>
      <vt:lpstr>Simples Anexo IV,</vt:lpstr>
      <vt:lpstr>Autonomo ou Liberal</vt:lpstr>
    </vt:vector>
  </TitlesOfParts>
  <Company>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</dc:creator>
  <cp:lastModifiedBy>Usuario</cp:lastModifiedBy>
  <cp:lastPrinted>2017-01-18T12:41:01Z</cp:lastPrinted>
  <dcterms:created xsi:type="dcterms:W3CDTF">2010-08-22T16:03:47Z</dcterms:created>
  <dcterms:modified xsi:type="dcterms:W3CDTF">2018-07-06T12:07:26Z</dcterms:modified>
</cp:coreProperties>
</file>