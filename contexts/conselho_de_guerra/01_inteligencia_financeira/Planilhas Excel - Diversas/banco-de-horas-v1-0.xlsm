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worksheets/sheet1.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styles.xml" ContentType="application/vnd.openxmlformats-officedocument.spreadsheetml.styles+xml"/>
  <Override PartName="/xl/sharedStrings.xml" ContentType="application/vnd.openxmlformats-officedocument.spreadsheetml.sharedStrings+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theme/theme1.xml" ContentType="application/vnd.openxmlformats-officedocument.theme+xml"/>
  <Override PartName="/xl/comments1.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alcChain.xml" ContentType="application/vnd.openxmlformats-officedocument.spreadsheetml.calcChain+xml"/>
  <Override PartName="/xl/ctrlProps/ctrlProp2.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ctrlProps/ctrlProp4.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trlProps/ctrlProp6.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00000000-0000-0000-0000-000000000000}"/>
  <workbookPr codeName="EstaPastaDeTrabalho"/>
  <mc:AlternateContent xmlns:mc="http://schemas.openxmlformats.org/markup-compatibility/2006">
    <mc:Choice Requires="x15">
      <x15ac:absPath xmlns:x15ac="http://schemas.microsoft.com/office/spreadsheetml/2010/11/ac" url="C:\Users\Gilberto\Downloads\Blog Caltrab\Planilhas blog Caltrab\"/>
    </mc:Choice>
  </mc:AlternateContent>
  <xr:revisionPtr revIDLastSave="0" documentId="13_ncr:1000001_{E794C3D9-A6E9-3149-A8F8-B6727A118F11}" xr6:coauthVersionLast="32" xr6:coauthVersionMax="32" xr10:uidLastSave="{00000000-0000-0000-0000-000000000000}"/>
  <bookViews>
    <workbookView xWindow="0" yWindow="0" windowWidth="25125" windowHeight="11445" xr2:uid="{00000000-000D-0000-FFFF-FFFF00000000}"/>
  </bookViews>
  <sheets>
    <sheet name="fevereiro" sheetId="7" r:id="rId1"/>
    <sheet name="março" sheetId="8" r:id="rId2"/>
    <sheet name="abril" sheetId="9" r:id="rId3"/>
    <sheet name="maio" sheetId="10" r:id="rId4"/>
    <sheet name="junho" sheetId="11" r:id="rId5"/>
    <sheet name="julho" sheetId="12" r:id="rId6"/>
    <sheet name="Feriados" sheetId="3" r:id="rId7"/>
  </sheets>
  <definedNames>
    <definedName name="ano_p" localSheetId="2">abril!$V$22</definedName>
    <definedName name="ano_p" localSheetId="5">julho!$V$22</definedName>
    <definedName name="ano_p" localSheetId="4">junho!$V$22</definedName>
    <definedName name="ano_p" localSheetId="3">maio!$V$22</definedName>
    <definedName name="ano_p" localSheetId="1">março!$V$22</definedName>
    <definedName name="ano_p">fevereiro!$V$22</definedName>
    <definedName name="dia_f" localSheetId="2">abril!$V$21</definedName>
    <definedName name="dia_f" localSheetId="5">julho!$V$21</definedName>
    <definedName name="dia_f" localSheetId="4">junho!$V$21</definedName>
    <definedName name="dia_f" localSheetId="3">maio!$V$21</definedName>
    <definedName name="dia_f" localSheetId="1">março!$V$21</definedName>
    <definedName name="dia_f">fevereiro!$V$21</definedName>
    <definedName name="fer">Feriados!$D$5:$F$19</definedName>
    <definedName name="feriados_todos">Feriados!$A$1:$L$19</definedName>
    <definedName name="fim" localSheetId="2">abril!$U$117</definedName>
    <definedName name="fim" localSheetId="5">julho!$U$117</definedName>
    <definedName name="fim" localSheetId="4">junho!$U$117</definedName>
    <definedName name="fim" localSheetId="3">maio!$U$117</definedName>
    <definedName name="fim" localSheetId="1">março!$U$117</definedName>
    <definedName name="fim">fevereiro!$U$117</definedName>
    <definedName name="FIMNOT" localSheetId="2">abril!$V$19</definedName>
    <definedName name="FIMNOT" localSheetId="5">julho!$V$19</definedName>
    <definedName name="FIMNOT" localSheetId="4">junho!$V$19</definedName>
    <definedName name="FIMNOT" localSheetId="3">maio!$V$19</definedName>
    <definedName name="FIMNOT" localSheetId="1">março!$V$19</definedName>
    <definedName name="FIMNOT">fevereiro!$V$19</definedName>
    <definedName name="folgas_jornormal" localSheetId="2">abril!$B$6:$N$38</definedName>
    <definedName name="folgas_jornormal" localSheetId="5">julho!$B$6:$N$38</definedName>
    <definedName name="folgas_jornormal" localSheetId="4">junho!$B$6:$N$38</definedName>
    <definedName name="folgas_jornormal" localSheetId="3">maio!$B$6:$N$38</definedName>
    <definedName name="folgas_jornormal" localSheetId="1">março!$B$6:$N$38</definedName>
    <definedName name="folgas_jornormal">fevereiro!$B$6:$N$38</definedName>
    <definedName name="inicio" localSheetId="2">abril!$U$116</definedName>
    <definedName name="inicio" localSheetId="5">julho!$U$116</definedName>
    <definedName name="inicio" localSheetId="4">junho!$U$116</definedName>
    <definedName name="inicio" localSheetId="3">maio!$U$116</definedName>
    <definedName name="inicio" localSheetId="1">março!$U$116</definedName>
    <definedName name="inicio">fevereiro!$U$116</definedName>
    <definedName name="ININOT" localSheetId="2">abril!$V$18</definedName>
    <definedName name="ININOT" localSheetId="5">julho!$V$18</definedName>
    <definedName name="ININOT" localSheetId="4">junho!$V$18</definedName>
    <definedName name="ININOT" localSheetId="3">maio!$V$18</definedName>
    <definedName name="ININOT" localSheetId="1">março!$V$18</definedName>
    <definedName name="ININOT">fevereiro!$V$18</definedName>
    <definedName name="intramax" localSheetId="2">abril!$AA$14</definedName>
    <definedName name="intramax" localSheetId="5">julho!$AA$14</definedName>
    <definedName name="intramax" localSheetId="4">junho!$AA$14</definedName>
    <definedName name="intramax" localSheetId="3">maio!$AA$14</definedName>
    <definedName name="intramax" localSheetId="1">março!$AA$14</definedName>
    <definedName name="intramax">fevereiro!$AA$14</definedName>
    <definedName name="intramin" localSheetId="2">abril!$AA$13</definedName>
    <definedName name="intramin" localSheetId="5">julho!$AA$13</definedName>
    <definedName name="intramin" localSheetId="4">junho!$AA$13</definedName>
    <definedName name="intramin" localSheetId="3">maio!$AA$13</definedName>
    <definedName name="intramin" localSheetId="1">março!$AA$13</definedName>
    <definedName name="intramin">fevereiro!$AA$13</definedName>
    <definedName name="jor_contratual" localSheetId="2">abril!$U$7:$V$23</definedName>
    <definedName name="jor_contratual" localSheetId="5">julho!$U$7:$V$23</definedName>
    <definedName name="jor_contratual" localSheetId="4">junho!$U$7:$V$23</definedName>
    <definedName name="jor_contratual" localSheetId="3">maio!$U$7:$V$23</definedName>
    <definedName name="jor_contratual" localSheetId="1">março!$U$7:$V$23</definedName>
    <definedName name="jor_contratual">fevereiro!$U$7:$V$23</definedName>
    <definedName name="jor_diária" localSheetId="2">abril!$U$7:$V$16</definedName>
    <definedName name="jor_diária" localSheetId="5">julho!$U$7:$V$16</definedName>
    <definedName name="jor_diária" localSheetId="4">junho!$U$7:$V$16</definedName>
    <definedName name="jor_diária" localSheetId="3">maio!$U$7:$V$16</definedName>
    <definedName name="jor_diária" localSheetId="1">março!$U$7:$V$16</definedName>
    <definedName name="jor_diária">fevereiro!$U$7:$V$16</definedName>
    <definedName name="jor_noturno" localSheetId="2">abril!$U$17:$V$23</definedName>
    <definedName name="jor_noturno" localSheetId="5">julho!$U$17:$V$23</definedName>
    <definedName name="jor_noturno" localSheetId="4">junho!$U$17:$V$23</definedName>
    <definedName name="jor_noturno" localSheetId="3">maio!$U$17:$V$23</definedName>
    <definedName name="jor_noturno" localSheetId="1">março!$U$17:$V$23</definedName>
    <definedName name="jor_noturno">fevereiro!$U$17:$V$23</definedName>
    <definedName name="jornada" localSheetId="2">abril!$T$8:$V$15</definedName>
    <definedName name="jornada" localSheetId="5">julho!$T$8:$V$15</definedName>
    <definedName name="jornada" localSheetId="4">junho!$T$8:$V$15</definedName>
    <definedName name="jornada" localSheetId="3">maio!$T$8:$V$15</definedName>
    <definedName name="jornada" localSheetId="1">março!$T$8:$V$15</definedName>
    <definedName name="jornada">fevereiro!$T$8:$V$15</definedName>
    <definedName name="limmax" localSheetId="2">abril!$F$122</definedName>
    <definedName name="limmax" localSheetId="5">julho!$F$122</definedName>
    <definedName name="limmax" localSheetId="4">junho!$F$122</definedName>
    <definedName name="limmax" localSheetId="3">maio!$F$122</definedName>
    <definedName name="limmax" localSheetId="1">março!$F$122</definedName>
    <definedName name="limmax">fevereiro!$F$122</definedName>
    <definedName name="limmin" localSheetId="2">abril!$F$121</definedName>
    <definedName name="limmin" localSheetId="5">julho!$F$121</definedName>
    <definedName name="limmin" localSheetId="4">junho!$F$121</definedName>
    <definedName name="limmin" localSheetId="3">maio!$F$121</definedName>
    <definedName name="limmin" localSheetId="1">março!$F$121</definedName>
    <definedName name="limmin">fevereiro!$F$121</definedName>
    <definedName name="mês_p" localSheetId="2">abril!$V$23</definedName>
    <definedName name="mês_p" localSheetId="5">julho!$V$23</definedName>
    <definedName name="mês_p" localSheetId="4">junho!$V$23</definedName>
    <definedName name="mês_p" localSheetId="3">maio!$V$23</definedName>
    <definedName name="mês_p" localSheetId="1">março!$V$23</definedName>
    <definedName name="mês_p">fevereiro!$V$23</definedName>
    <definedName name="páscoa">Feriados!$C$2</definedName>
    <definedName name="quadro_horário" localSheetId="2">abril!$D$8:$H$38</definedName>
    <definedName name="quadro_horário" localSheetId="5">julho!$D$8:$H$38</definedName>
    <definedName name="quadro_horário" localSheetId="4">junho!$D$8:$H$38</definedName>
    <definedName name="quadro_horário" localSheetId="3">maio!$D$8:$H$38</definedName>
    <definedName name="quadro_horário" localSheetId="1">março!$D$8:$H$38</definedName>
    <definedName name="quadro_horário">fevereiro!$D$8:$H$38</definedName>
  </definedNames>
  <calcPr calcId="179016"/>
</workbook>
</file>

<file path=xl/calcChain.xml><?xml version="1.0" encoding="utf-8"?>
<calcChain xmlns="http://schemas.openxmlformats.org/spreadsheetml/2006/main">
  <c r="U117" i="12" l="1"/>
  <c r="U116" i="12"/>
  <c r="C41" i="12"/>
  <c r="B41" i="12"/>
  <c r="B8" i="12"/>
  <c r="B9" i="12"/>
  <c r="U117" i="11"/>
  <c r="U116" i="11"/>
  <c r="B8" i="11"/>
  <c r="C41" i="11"/>
  <c r="B41" i="11"/>
  <c r="Q42" i="11"/>
  <c r="U117" i="10"/>
  <c r="U116" i="10"/>
  <c r="B8" i="10"/>
  <c r="C41" i="10"/>
  <c r="B41" i="10"/>
  <c r="R42" i="10"/>
  <c r="U117" i="9"/>
  <c r="U116" i="9"/>
  <c r="B8" i="9"/>
  <c r="C41" i="9"/>
  <c r="B41" i="9"/>
  <c r="U117" i="8"/>
  <c r="U116" i="8"/>
  <c r="B8" i="8"/>
  <c r="B40" i="8"/>
  <c r="C41" i="8"/>
  <c r="B41" i="8"/>
  <c r="Y8" i="12"/>
  <c r="Z8" i="12"/>
  <c r="AA8" i="12"/>
  <c r="B2" i="3"/>
  <c r="D5" i="3"/>
  <c r="E5" i="3"/>
  <c r="F5" i="3"/>
  <c r="D6" i="3"/>
  <c r="E6" i="3"/>
  <c r="F6" i="3"/>
  <c r="D7" i="3"/>
  <c r="E7" i="3"/>
  <c r="F7" i="3"/>
  <c r="D8" i="3"/>
  <c r="E8" i="3"/>
  <c r="F8" i="3"/>
  <c r="D9" i="3"/>
  <c r="E9" i="3"/>
  <c r="F9" i="3"/>
  <c r="D10" i="3"/>
  <c r="E10" i="3"/>
  <c r="F10" i="3"/>
  <c r="D11" i="3"/>
  <c r="E11" i="3"/>
  <c r="F11" i="3"/>
  <c r="D12" i="3"/>
  <c r="E12" i="3"/>
  <c r="F12" i="3"/>
  <c r="G5" i="3"/>
  <c r="D13" i="3"/>
  <c r="C2" i="3"/>
  <c r="E13" i="3"/>
  <c r="G6" i="3"/>
  <c r="F13" i="3"/>
  <c r="D14" i="3"/>
  <c r="E14" i="3"/>
  <c r="F14" i="3"/>
  <c r="D15" i="3"/>
  <c r="E15" i="3"/>
  <c r="F15" i="3"/>
  <c r="D16" i="3"/>
  <c r="E16" i="3"/>
  <c r="F16" i="3"/>
  <c r="D17" i="3"/>
  <c r="E17" i="3"/>
  <c r="F17" i="3"/>
  <c r="D18" i="3"/>
  <c r="E18" i="3"/>
  <c r="F18" i="3"/>
  <c r="D19" i="3"/>
  <c r="E19" i="3"/>
  <c r="F19" i="3"/>
  <c r="C8" i="12"/>
  <c r="A8" i="12"/>
  <c r="N8" i="12"/>
  <c r="X8" i="12"/>
  <c r="J8" i="12"/>
  <c r="K8" i="12"/>
  <c r="M8" i="12"/>
  <c r="Q8" i="12"/>
  <c r="AA9" i="12"/>
  <c r="Z9" i="12"/>
  <c r="B10" i="12"/>
  <c r="Y9" i="12"/>
  <c r="C8" i="11"/>
  <c r="A8" i="11"/>
  <c r="N8" i="11"/>
  <c r="AA8" i="11"/>
  <c r="X8" i="11"/>
  <c r="X9" i="12"/>
  <c r="J9" i="12"/>
  <c r="M42" i="12"/>
  <c r="J41" i="12"/>
  <c r="F41" i="12"/>
  <c r="L42" i="12"/>
  <c r="I41" i="12"/>
  <c r="E41" i="12"/>
  <c r="R42" i="12"/>
  <c r="K42" i="12"/>
  <c r="H41" i="12"/>
  <c r="Q42" i="12"/>
  <c r="Q42" i="10"/>
  <c r="B40" i="12"/>
  <c r="G41" i="12"/>
  <c r="B40" i="11"/>
  <c r="Z8" i="11"/>
  <c r="Y8" i="11"/>
  <c r="J8" i="11"/>
  <c r="K8" i="11"/>
  <c r="M8" i="11"/>
  <c r="Q8" i="11"/>
  <c r="B9" i="11"/>
  <c r="H41" i="9"/>
  <c r="K42" i="9"/>
  <c r="H41" i="10"/>
  <c r="G41" i="10"/>
  <c r="X8" i="10"/>
  <c r="AA8" i="10"/>
  <c r="M42" i="11"/>
  <c r="J41" i="11"/>
  <c r="F41" i="11"/>
  <c r="L42" i="11"/>
  <c r="I41" i="11"/>
  <c r="E41" i="11"/>
  <c r="R42" i="11"/>
  <c r="K42" i="11"/>
  <c r="H41" i="11"/>
  <c r="G41" i="11"/>
  <c r="Q42" i="9"/>
  <c r="N8" i="10"/>
  <c r="Q8" i="10"/>
  <c r="B40" i="10"/>
  <c r="B9" i="10"/>
  <c r="Y8" i="10"/>
  <c r="G41" i="9"/>
  <c r="Z8" i="10"/>
  <c r="M42" i="10"/>
  <c r="J41" i="10"/>
  <c r="F41" i="10"/>
  <c r="L42" i="10"/>
  <c r="I41" i="10"/>
  <c r="E41" i="10"/>
  <c r="K42" i="10"/>
  <c r="E41" i="8"/>
  <c r="G41" i="8"/>
  <c r="B40" i="9"/>
  <c r="AA8" i="9"/>
  <c r="N8" i="9"/>
  <c r="Q8" i="9"/>
  <c r="Z8" i="9"/>
  <c r="Y8" i="9"/>
  <c r="B9" i="9"/>
  <c r="X8" i="9"/>
  <c r="K42" i="8"/>
  <c r="Z8" i="8"/>
  <c r="M42" i="9"/>
  <c r="J41" i="9"/>
  <c r="F41" i="9"/>
  <c r="L42" i="9"/>
  <c r="I41" i="9"/>
  <c r="E41" i="9"/>
  <c r="R42" i="9"/>
  <c r="AA8" i="8"/>
  <c r="C8" i="8"/>
  <c r="A8" i="8"/>
  <c r="N8" i="8"/>
  <c r="Y8" i="8"/>
  <c r="X8" i="8"/>
  <c r="J8" i="8"/>
  <c r="K8" i="8"/>
  <c r="M8" i="8"/>
  <c r="Q8" i="8"/>
  <c r="B9" i="8"/>
  <c r="M42" i="8"/>
  <c r="C41" i="7"/>
  <c r="B41" i="7"/>
  <c r="G41" i="7"/>
  <c r="E3" i="3"/>
  <c r="U116" i="7"/>
  <c r="B8" i="7"/>
  <c r="U117" i="7"/>
  <c r="E2" i="3"/>
  <c r="X5" i="3"/>
  <c r="M42" i="7"/>
  <c r="F41" i="7"/>
  <c r="H41" i="8"/>
  <c r="F41" i="8"/>
  <c r="I41" i="8"/>
  <c r="J41" i="8"/>
  <c r="K9" i="12"/>
  <c r="L9" i="12"/>
  <c r="M9" i="12"/>
  <c r="Z10" i="12"/>
  <c r="Y10" i="12"/>
  <c r="B11" i="12"/>
  <c r="X10" i="12"/>
  <c r="AA10" i="12"/>
  <c r="J10" i="12"/>
  <c r="K10" i="12"/>
  <c r="M10" i="12"/>
  <c r="B10" i="11"/>
  <c r="Y9" i="11"/>
  <c r="X9" i="11"/>
  <c r="AA9" i="11"/>
  <c r="Z9" i="11"/>
  <c r="J9" i="11"/>
  <c r="L8" i="11"/>
  <c r="J8" i="10"/>
  <c r="X9" i="10"/>
  <c r="Y9" i="10"/>
  <c r="AA9" i="10"/>
  <c r="Z9" i="10"/>
  <c r="B10" i="10"/>
  <c r="Z9" i="9"/>
  <c r="Y9" i="9"/>
  <c r="B10" i="9"/>
  <c r="X9" i="9"/>
  <c r="AA9" i="9"/>
  <c r="J8" i="9"/>
  <c r="E41" i="7"/>
  <c r="Z9" i="8"/>
  <c r="B10" i="8"/>
  <c r="X9" i="8"/>
  <c r="AA9" i="8"/>
  <c r="Y9" i="8"/>
  <c r="B9" i="7"/>
  <c r="X9" i="7"/>
  <c r="X8" i="7"/>
  <c r="Z8" i="7"/>
  <c r="B40" i="7"/>
  <c r="N8" i="7"/>
  <c r="K42" i="7"/>
  <c r="Y8" i="7"/>
  <c r="I41" i="7"/>
  <c r="AA8" i="7"/>
  <c r="H41" i="7"/>
  <c r="J9" i="10"/>
  <c r="K9" i="10"/>
  <c r="M9" i="10"/>
  <c r="I8" i="11"/>
  <c r="R8" i="11"/>
  <c r="P8" i="12"/>
  <c r="R8" i="12"/>
  <c r="O8" i="12"/>
  <c r="O8" i="11"/>
  <c r="L8" i="12"/>
  <c r="B12" i="12"/>
  <c r="Y11" i="12"/>
  <c r="X11" i="12"/>
  <c r="AA11" i="12"/>
  <c r="Z11" i="12"/>
  <c r="J11" i="12"/>
  <c r="P8" i="11"/>
  <c r="L10" i="12"/>
  <c r="I10" i="12"/>
  <c r="I9" i="12"/>
  <c r="K9" i="11"/>
  <c r="M9" i="11"/>
  <c r="X10" i="11"/>
  <c r="AA10" i="11"/>
  <c r="B11" i="11"/>
  <c r="Z10" i="11"/>
  <c r="Y10" i="11"/>
  <c r="J10" i="11"/>
  <c r="J9" i="9"/>
  <c r="K9" i="9"/>
  <c r="M9" i="9"/>
  <c r="P9" i="9"/>
  <c r="K8" i="10"/>
  <c r="M8" i="10"/>
  <c r="AA10" i="10"/>
  <c r="B11" i="10"/>
  <c r="X10" i="10"/>
  <c r="Y10" i="10"/>
  <c r="Z10" i="10"/>
  <c r="L8" i="8"/>
  <c r="I8" i="8"/>
  <c r="K8" i="9"/>
  <c r="M8" i="9"/>
  <c r="J9" i="8"/>
  <c r="K9" i="8"/>
  <c r="B11" i="9"/>
  <c r="Y10" i="9"/>
  <c r="X10" i="9"/>
  <c r="AA10" i="9"/>
  <c r="Z10" i="9"/>
  <c r="P8" i="8"/>
  <c r="O8" i="8"/>
  <c r="R8" i="8"/>
  <c r="B11" i="8"/>
  <c r="Y10" i="8"/>
  <c r="AA10" i="8"/>
  <c r="Z10" i="8"/>
  <c r="X10" i="8"/>
  <c r="J41" i="7"/>
  <c r="J8" i="7"/>
  <c r="K8" i="7"/>
  <c r="M8" i="7"/>
  <c r="P8" i="7"/>
  <c r="AA9" i="7"/>
  <c r="B10" i="7"/>
  <c r="Y10" i="7"/>
  <c r="Z9" i="7"/>
  <c r="Y9" i="7"/>
  <c r="Q8" i="7"/>
  <c r="C10" i="12"/>
  <c r="A10" i="12"/>
  <c r="N10" i="12"/>
  <c r="P10" i="12"/>
  <c r="J9" i="7"/>
  <c r="K9" i="7"/>
  <c r="M9" i="7"/>
  <c r="C9" i="7"/>
  <c r="A9" i="7"/>
  <c r="N9" i="7"/>
  <c r="R9" i="7"/>
  <c r="K11" i="12"/>
  <c r="L11" i="12"/>
  <c r="M11" i="12"/>
  <c r="I8" i="12"/>
  <c r="C9" i="11"/>
  <c r="A9" i="11"/>
  <c r="N9" i="11"/>
  <c r="R9" i="11"/>
  <c r="J10" i="10"/>
  <c r="L8" i="10"/>
  <c r="C11" i="12"/>
  <c r="A11" i="12"/>
  <c r="N11" i="12"/>
  <c r="X12" i="12"/>
  <c r="AA12" i="12"/>
  <c r="Z12" i="12"/>
  <c r="Y12" i="12"/>
  <c r="J12" i="12"/>
  <c r="B13" i="12"/>
  <c r="C12" i="12"/>
  <c r="A12" i="12"/>
  <c r="N12" i="12"/>
  <c r="C9" i="12"/>
  <c r="A9" i="12"/>
  <c r="N9" i="12"/>
  <c r="P9" i="12"/>
  <c r="K10" i="11"/>
  <c r="L10" i="11"/>
  <c r="C10" i="11"/>
  <c r="A10" i="11"/>
  <c r="N10" i="11"/>
  <c r="C9" i="8"/>
  <c r="A9" i="8"/>
  <c r="N9" i="8"/>
  <c r="M9" i="8"/>
  <c r="O9" i="8"/>
  <c r="L8" i="9"/>
  <c r="P9" i="11"/>
  <c r="L9" i="9"/>
  <c r="I9" i="9"/>
  <c r="AA11" i="11"/>
  <c r="Z11" i="11"/>
  <c r="B12" i="11"/>
  <c r="C11" i="11"/>
  <c r="Y11" i="11"/>
  <c r="X11" i="11"/>
  <c r="J11" i="11"/>
  <c r="L9" i="11"/>
  <c r="L9" i="8"/>
  <c r="I9" i="8"/>
  <c r="C8" i="10"/>
  <c r="J10" i="9"/>
  <c r="K10" i="9"/>
  <c r="L10" i="9"/>
  <c r="L9" i="10"/>
  <c r="I9" i="10"/>
  <c r="AA11" i="10"/>
  <c r="Z11" i="10"/>
  <c r="Y11" i="10"/>
  <c r="B12" i="10"/>
  <c r="C11" i="10"/>
  <c r="A11" i="10"/>
  <c r="N11" i="10"/>
  <c r="X11" i="10"/>
  <c r="P8" i="10"/>
  <c r="R8" i="10"/>
  <c r="I8" i="10"/>
  <c r="O8" i="10"/>
  <c r="C10" i="10"/>
  <c r="A10" i="10"/>
  <c r="N10" i="10"/>
  <c r="C9" i="10"/>
  <c r="A9" i="10"/>
  <c r="N9" i="10"/>
  <c r="P9" i="10"/>
  <c r="J10" i="8"/>
  <c r="K10" i="8"/>
  <c r="L10" i="8"/>
  <c r="C10" i="9"/>
  <c r="A10" i="9"/>
  <c r="N10" i="9"/>
  <c r="B12" i="9"/>
  <c r="Y11" i="9"/>
  <c r="X11" i="9"/>
  <c r="Z11" i="9"/>
  <c r="C11" i="9"/>
  <c r="A11" i="9"/>
  <c r="N11" i="9"/>
  <c r="AA11" i="9"/>
  <c r="P8" i="9"/>
  <c r="I8" i="9"/>
  <c r="R8" i="9"/>
  <c r="O8" i="9"/>
  <c r="C8" i="9"/>
  <c r="C9" i="9"/>
  <c r="A9" i="9"/>
  <c r="N9" i="9"/>
  <c r="C10" i="8"/>
  <c r="A10" i="8"/>
  <c r="N10" i="8"/>
  <c r="X11" i="8"/>
  <c r="AA11" i="8"/>
  <c r="Z11" i="8"/>
  <c r="Y11" i="8"/>
  <c r="B12" i="8"/>
  <c r="C11" i="8"/>
  <c r="A11" i="8"/>
  <c r="N11" i="8"/>
  <c r="Z10" i="7"/>
  <c r="C10" i="7"/>
  <c r="A10" i="7"/>
  <c r="N10" i="7"/>
  <c r="R10" i="7"/>
  <c r="C8" i="7"/>
  <c r="A8" i="7"/>
  <c r="AA10" i="7"/>
  <c r="X10" i="7"/>
  <c r="O8" i="7"/>
  <c r="B11" i="7"/>
  <c r="C11" i="7"/>
  <c r="L8" i="7"/>
  <c r="I8" i="7"/>
  <c r="R8" i="7"/>
  <c r="P9" i="7"/>
  <c r="Q10" i="12"/>
  <c r="R10" i="12"/>
  <c r="O10" i="12"/>
  <c r="P9" i="8"/>
  <c r="Q9" i="11"/>
  <c r="O9" i="11"/>
  <c r="K10" i="10"/>
  <c r="M10" i="10"/>
  <c r="P10" i="10"/>
  <c r="Q9" i="8"/>
  <c r="R12" i="12"/>
  <c r="I11" i="12"/>
  <c r="P11" i="12"/>
  <c r="K12" i="12"/>
  <c r="M12" i="12"/>
  <c r="R9" i="8"/>
  <c r="R9" i="12"/>
  <c r="Q9" i="12"/>
  <c r="O9" i="12"/>
  <c r="M10" i="11"/>
  <c r="I10" i="11"/>
  <c r="AA13" i="12"/>
  <c r="Z13" i="12"/>
  <c r="B14" i="12"/>
  <c r="Y13" i="12"/>
  <c r="C13" i="12"/>
  <c r="A13" i="12"/>
  <c r="N13" i="12"/>
  <c r="X13" i="12"/>
  <c r="R11" i="12"/>
  <c r="Q11" i="12"/>
  <c r="O11" i="12"/>
  <c r="K11" i="11"/>
  <c r="L11" i="11"/>
  <c r="A11" i="11"/>
  <c r="N11" i="11"/>
  <c r="Z12" i="11"/>
  <c r="B13" i="11"/>
  <c r="Y12" i="11"/>
  <c r="C12" i="11"/>
  <c r="A12" i="11"/>
  <c r="N12" i="11"/>
  <c r="AA12" i="11"/>
  <c r="X12" i="11"/>
  <c r="M11" i="11"/>
  <c r="M10" i="9"/>
  <c r="P10" i="9"/>
  <c r="I9" i="11"/>
  <c r="R10" i="11"/>
  <c r="Q10" i="11"/>
  <c r="R11" i="10"/>
  <c r="Q9" i="10"/>
  <c r="R9" i="10"/>
  <c r="O9" i="10"/>
  <c r="A8" i="10"/>
  <c r="M10" i="8"/>
  <c r="Q10" i="8"/>
  <c r="J11" i="9"/>
  <c r="K11" i="9"/>
  <c r="R10" i="10"/>
  <c r="J11" i="10"/>
  <c r="Z12" i="10"/>
  <c r="B13" i="10"/>
  <c r="Y12" i="10"/>
  <c r="C12" i="10"/>
  <c r="X12" i="10"/>
  <c r="AA12" i="10"/>
  <c r="I10" i="9"/>
  <c r="R9" i="9"/>
  <c r="Q9" i="9"/>
  <c r="O9" i="9"/>
  <c r="R11" i="9"/>
  <c r="X12" i="9"/>
  <c r="AA12" i="9"/>
  <c r="Y12" i="9"/>
  <c r="B13" i="9"/>
  <c r="C12" i="9"/>
  <c r="A12" i="9"/>
  <c r="N12" i="9"/>
  <c r="Z12" i="9"/>
  <c r="A8" i="9"/>
  <c r="O10" i="9"/>
  <c r="R10" i="9"/>
  <c r="J11" i="8"/>
  <c r="K11" i="8"/>
  <c r="M11" i="8"/>
  <c r="R11" i="8"/>
  <c r="AA12" i="8"/>
  <c r="Z12" i="8"/>
  <c r="Y12" i="8"/>
  <c r="B13" i="8"/>
  <c r="X12" i="8"/>
  <c r="C12" i="8"/>
  <c r="A12" i="8"/>
  <c r="N12" i="8"/>
  <c r="R10" i="8"/>
  <c r="J10" i="7"/>
  <c r="K10" i="7"/>
  <c r="M10" i="7"/>
  <c r="P10" i="7"/>
  <c r="Z11" i="7"/>
  <c r="Y11" i="7"/>
  <c r="B12" i="7"/>
  <c r="B13" i="7"/>
  <c r="X11" i="7"/>
  <c r="AA11" i="7"/>
  <c r="O9" i="7"/>
  <c r="L9" i="7"/>
  <c r="I9" i="7"/>
  <c r="Q9" i="7"/>
  <c r="A11" i="7"/>
  <c r="N11" i="7"/>
  <c r="O10" i="11"/>
  <c r="P10" i="8"/>
  <c r="Q10" i="10"/>
  <c r="O10" i="10"/>
  <c r="J13" i="12"/>
  <c r="P10" i="11"/>
  <c r="L10" i="10"/>
  <c r="I10" i="10"/>
  <c r="K13" i="12"/>
  <c r="M13" i="12"/>
  <c r="R13" i="12"/>
  <c r="P12" i="12"/>
  <c r="L12" i="12"/>
  <c r="I12" i="12"/>
  <c r="Q12" i="12"/>
  <c r="J12" i="8"/>
  <c r="K12" i="8"/>
  <c r="M12" i="8"/>
  <c r="P12" i="8"/>
  <c r="Q10" i="9"/>
  <c r="O12" i="12"/>
  <c r="Z14" i="12"/>
  <c r="B15" i="12"/>
  <c r="Y14" i="12"/>
  <c r="X14" i="12"/>
  <c r="AA14" i="12"/>
  <c r="J14" i="12"/>
  <c r="C14" i="12"/>
  <c r="A14" i="12"/>
  <c r="N14" i="12"/>
  <c r="R12" i="11"/>
  <c r="I11" i="11"/>
  <c r="P11" i="11"/>
  <c r="O10" i="8"/>
  <c r="I10" i="8"/>
  <c r="J12" i="11"/>
  <c r="B14" i="11"/>
  <c r="Y13" i="11"/>
  <c r="C13" i="11"/>
  <c r="A13" i="11"/>
  <c r="N13" i="11"/>
  <c r="X13" i="11"/>
  <c r="Z13" i="11"/>
  <c r="AA13" i="11"/>
  <c r="R11" i="11"/>
  <c r="O11" i="11"/>
  <c r="Q11" i="11"/>
  <c r="J12" i="10"/>
  <c r="K12" i="10"/>
  <c r="M12" i="10"/>
  <c r="M11" i="9"/>
  <c r="Q11" i="9"/>
  <c r="L11" i="9"/>
  <c r="K11" i="10"/>
  <c r="M11" i="10"/>
  <c r="A12" i="10"/>
  <c r="N12" i="10"/>
  <c r="J12" i="9"/>
  <c r="B14" i="10"/>
  <c r="Y13" i="10"/>
  <c r="C13" i="10"/>
  <c r="A13" i="10"/>
  <c r="N13" i="10"/>
  <c r="X13" i="10"/>
  <c r="AA13" i="10"/>
  <c r="Z13" i="10"/>
  <c r="R12" i="9"/>
  <c r="AA13" i="9"/>
  <c r="Z13" i="9"/>
  <c r="X13" i="9"/>
  <c r="B14" i="9"/>
  <c r="C13" i="9"/>
  <c r="Y13" i="9"/>
  <c r="R12" i="8"/>
  <c r="Z13" i="8"/>
  <c r="Y13" i="8"/>
  <c r="B14" i="8"/>
  <c r="X13" i="8"/>
  <c r="C13" i="8"/>
  <c r="A13" i="8"/>
  <c r="N13" i="8"/>
  <c r="AA13" i="8"/>
  <c r="J11" i="7"/>
  <c r="K11" i="7"/>
  <c r="M11" i="7"/>
  <c r="P11" i="7"/>
  <c r="Q10" i="7"/>
  <c r="L10" i="7"/>
  <c r="I10" i="7"/>
  <c r="O10" i="7"/>
  <c r="C12" i="7"/>
  <c r="A12" i="7"/>
  <c r="N12" i="7"/>
  <c r="R12" i="7"/>
  <c r="Z12" i="7"/>
  <c r="Y12" i="7"/>
  <c r="AA12" i="7"/>
  <c r="X12" i="7"/>
  <c r="AA13" i="7"/>
  <c r="B14" i="7"/>
  <c r="C13" i="7"/>
  <c r="A13" i="7"/>
  <c r="N13" i="7"/>
  <c r="X13" i="7"/>
  <c r="Z13" i="7"/>
  <c r="Y13" i="7"/>
  <c r="R11" i="7"/>
  <c r="L11" i="7"/>
  <c r="O13" i="12"/>
  <c r="J13" i="11"/>
  <c r="K13" i="11"/>
  <c r="M13" i="11"/>
  <c r="R14" i="12"/>
  <c r="J13" i="9"/>
  <c r="K13" i="9"/>
  <c r="L13" i="9"/>
  <c r="B16" i="12"/>
  <c r="Y15" i="12"/>
  <c r="C15" i="12"/>
  <c r="A15" i="12"/>
  <c r="X15" i="12"/>
  <c r="AA15" i="12"/>
  <c r="N15" i="12"/>
  <c r="Q15" i="12"/>
  <c r="Z15" i="12"/>
  <c r="P13" i="12"/>
  <c r="J13" i="10"/>
  <c r="K13" i="10"/>
  <c r="L13" i="10"/>
  <c r="K14" i="12"/>
  <c r="L14" i="12"/>
  <c r="K12" i="9"/>
  <c r="M12" i="9"/>
  <c r="O12" i="9"/>
  <c r="R13" i="11"/>
  <c r="X14" i="11"/>
  <c r="AA14" i="11"/>
  <c r="Y14" i="11"/>
  <c r="B15" i="11"/>
  <c r="C14" i="11"/>
  <c r="Z14" i="11"/>
  <c r="J13" i="8"/>
  <c r="K13" i="8"/>
  <c r="M13" i="8"/>
  <c r="O13" i="8"/>
  <c r="K12" i="11"/>
  <c r="M12" i="11"/>
  <c r="P11" i="9"/>
  <c r="O11" i="9"/>
  <c r="M13" i="10"/>
  <c r="R13" i="10"/>
  <c r="X14" i="10"/>
  <c r="AA14" i="10"/>
  <c r="Z14" i="10"/>
  <c r="Y14" i="10"/>
  <c r="B15" i="10"/>
  <c r="C14" i="10"/>
  <c r="A14" i="10"/>
  <c r="N14" i="10"/>
  <c r="L11" i="10"/>
  <c r="I11" i="10"/>
  <c r="Q12" i="8"/>
  <c r="P12" i="10"/>
  <c r="P11" i="10"/>
  <c r="O11" i="10"/>
  <c r="Q11" i="10"/>
  <c r="O11" i="7"/>
  <c r="I11" i="9"/>
  <c r="O12" i="8"/>
  <c r="O12" i="10"/>
  <c r="Q12" i="10"/>
  <c r="R12" i="10"/>
  <c r="L12" i="10"/>
  <c r="I12" i="10"/>
  <c r="L11" i="8"/>
  <c r="I11" i="8"/>
  <c r="Q11" i="7"/>
  <c r="A13" i="9"/>
  <c r="N13" i="9"/>
  <c r="Z14" i="9"/>
  <c r="B15" i="9"/>
  <c r="Y14" i="9"/>
  <c r="C14" i="9"/>
  <c r="A14" i="9"/>
  <c r="N14" i="9"/>
  <c r="AA14" i="9"/>
  <c r="X14" i="9"/>
  <c r="L12" i="8"/>
  <c r="I12" i="8"/>
  <c r="R13" i="8"/>
  <c r="P11" i="8"/>
  <c r="Q11" i="8"/>
  <c r="O11" i="8"/>
  <c r="B15" i="8"/>
  <c r="Y14" i="8"/>
  <c r="C14" i="8"/>
  <c r="A14" i="8"/>
  <c r="N14" i="8"/>
  <c r="X14" i="8"/>
  <c r="AA14" i="8"/>
  <c r="Z14" i="8"/>
  <c r="J12" i="7"/>
  <c r="K12" i="7"/>
  <c r="M12" i="7"/>
  <c r="P12" i="7"/>
  <c r="J13" i="7"/>
  <c r="K13" i="7"/>
  <c r="M13" i="7"/>
  <c r="P13" i="7"/>
  <c r="R13" i="7"/>
  <c r="I11" i="7"/>
  <c r="Y14" i="7"/>
  <c r="Z14" i="7"/>
  <c r="X14" i="7"/>
  <c r="C14" i="7"/>
  <c r="A14" i="7"/>
  <c r="N14" i="7"/>
  <c r="R14" i="7"/>
  <c r="B15" i="7"/>
  <c r="AA14" i="7"/>
  <c r="Q13" i="12"/>
  <c r="L12" i="11"/>
  <c r="Q13" i="8"/>
  <c r="M14" i="12"/>
  <c r="Q14" i="12"/>
  <c r="L13" i="12"/>
  <c r="I13" i="12"/>
  <c r="L13" i="8"/>
  <c r="I13" i="8"/>
  <c r="P13" i="8"/>
  <c r="L12" i="9"/>
  <c r="I12" i="9"/>
  <c r="X16" i="12"/>
  <c r="AA16" i="12"/>
  <c r="Z16" i="12"/>
  <c r="B17" i="12"/>
  <c r="C16" i="12"/>
  <c r="A16" i="12"/>
  <c r="N16" i="12"/>
  <c r="Y16" i="12"/>
  <c r="P12" i="9"/>
  <c r="J15" i="12"/>
  <c r="Q12" i="9"/>
  <c r="P13" i="11"/>
  <c r="O13" i="11"/>
  <c r="Q13" i="11"/>
  <c r="AA15" i="11"/>
  <c r="N15" i="11"/>
  <c r="Q15" i="11"/>
  <c r="Z15" i="11"/>
  <c r="X15" i="11"/>
  <c r="Y15" i="11"/>
  <c r="B16" i="11"/>
  <c r="C15" i="11"/>
  <c r="A15" i="11"/>
  <c r="J14" i="11"/>
  <c r="L13" i="11"/>
  <c r="I13" i="11"/>
  <c r="A14" i="11"/>
  <c r="N14" i="11"/>
  <c r="M13" i="9"/>
  <c r="O13" i="9"/>
  <c r="J14" i="10"/>
  <c r="K14" i="10"/>
  <c r="M14" i="10"/>
  <c r="P12" i="11"/>
  <c r="I12" i="11"/>
  <c r="O12" i="11"/>
  <c r="Q12" i="11"/>
  <c r="R14" i="10"/>
  <c r="J14" i="9"/>
  <c r="K14" i="9"/>
  <c r="AA15" i="10"/>
  <c r="C15" i="10"/>
  <c r="A15" i="10"/>
  <c r="N15" i="10"/>
  <c r="Y15" i="10"/>
  <c r="X15" i="10"/>
  <c r="Z15" i="10"/>
  <c r="J15" i="10"/>
  <c r="K15" i="10"/>
  <c r="M15" i="10"/>
  <c r="Q15" i="10"/>
  <c r="B16" i="10"/>
  <c r="R14" i="9"/>
  <c r="B16" i="9"/>
  <c r="Y15" i="9"/>
  <c r="C15" i="9"/>
  <c r="A15" i="9"/>
  <c r="X15" i="9"/>
  <c r="AA15" i="9"/>
  <c r="N15" i="9"/>
  <c r="Q15" i="9"/>
  <c r="Z15" i="9"/>
  <c r="J14" i="8"/>
  <c r="K14" i="8"/>
  <c r="M14" i="8"/>
  <c r="Q13" i="9"/>
  <c r="R13" i="9"/>
  <c r="R14" i="8"/>
  <c r="X15" i="8"/>
  <c r="B16" i="8"/>
  <c r="C15" i="8"/>
  <c r="A15" i="8"/>
  <c r="AA15" i="8"/>
  <c r="Z15" i="8"/>
  <c r="Y15" i="8"/>
  <c r="N15" i="8"/>
  <c r="Q15" i="8"/>
  <c r="Q12" i="7"/>
  <c r="L12" i="7"/>
  <c r="I12" i="7"/>
  <c r="O12" i="7"/>
  <c r="O13" i="7"/>
  <c r="J14" i="7"/>
  <c r="Q13" i="7"/>
  <c r="L13" i="7"/>
  <c r="X15" i="7"/>
  <c r="C15" i="7"/>
  <c r="A15" i="7"/>
  <c r="Y15" i="7"/>
  <c r="Z15" i="7"/>
  <c r="B16" i="7"/>
  <c r="AA15" i="7"/>
  <c r="N15" i="7"/>
  <c r="J16" i="12"/>
  <c r="K16" i="12"/>
  <c r="O14" i="12"/>
  <c r="P13" i="9"/>
  <c r="I14" i="12"/>
  <c r="P14" i="12"/>
  <c r="O14" i="10"/>
  <c r="Q14" i="10"/>
  <c r="R16" i="12"/>
  <c r="K15" i="12"/>
  <c r="M15" i="12"/>
  <c r="I13" i="9"/>
  <c r="J15" i="11"/>
  <c r="K15" i="11"/>
  <c r="L15" i="11"/>
  <c r="AA17" i="12"/>
  <c r="Z17" i="12"/>
  <c r="B18" i="12"/>
  <c r="Y17" i="12"/>
  <c r="C17" i="12"/>
  <c r="A17" i="12"/>
  <c r="N17" i="12"/>
  <c r="X17" i="12"/>
  <c r="L14" i="10"/>
  <c r="R14" i="11"/>
  <c r="Z16" i="11"/>
  <c r="B17" i="11"/>
  <c r="Y16" i="11"/>
  <c r="C16" i="11"/>
  <c r="A16" i="11"/>
  <c r="N16" i="11"/>
  <c r="AA16" i="11"/>
  <c r="X16" i="11"/>
  <c r="J15" i="9"/>
  <c r="K15" i="9"/>
  <c r="M15" i="9"/>
  <c r="K14" i="11"/>
  <c r="M14" i="11"/>
  <c r="O14" i="11"/>
  <c r="L14" i="9"/>
  <c r="M14" i="9"/>
  <c r="O14" i="9"/>
  <c r="P13" i="10"/>
  <c r="I13" i="10"/>
  <c r="O13" i="10"/>
  <c r="Q13" i="10"/>
  <c r="Z16" i="10"/>
  <c r="B17" i="10"/>
  <c r="Y16" i="10"/>
  <c r="C16" i="10"/>
  <c r="A16" i="10"/>
  <c r="N16" i="10"/>
  <c r="X16" i="10"/>
  <c r="AA16" i="10"/>
  <c r="I14" i="10"/>
  <c r="P14" i="10"/>
  <c r="X16" i="9"/>
  <c r="AA16" i="9"/>
  <c r="B17" i="9"/>
  <c r="C16" i="9"/>
  <c r="A16" i="9"/>
  <c r="N16" i="9"/>
  <c r="Z16" i="9"/>
  <c r="Y16" i="9"/>
  <c r="P14" i="8"/>
  <c r="O14" i="8"/>
  <c r="Q14" i="8"/>
  <c r="AA16" i="8"/>
  <c r="Z16" i="8"/>
  <c r="Y16" i="8"/>
  <c r="B17" i="8"/>
  <c r="X16" i="8"/>
  <c r="C16" i="8"/>
  <c r="A16" i="8"/>
  <c r="N16" i="8"/>
  <c r="L14" i="8"/>
  <c r="I14" i="8"/>
  <c r="J15" i="8"/>
  <c r="J15" i="7"/>
  <c r="K15" i="7"/>
  <c r="L15" i="7"/>
  <c r="K14" i="7"/>
  <c r="M14" i="7"/>
  <c r="X16" i="7"/>
  <c r="B17" i="7"/>
  <c r="AA16" i="7"/>
  <c r="Z16" i="7"/>
  <c r="Y16" i="7"/>
  <c r="C16" i="7"/>
  <c r="A16" i="7"/>
  <c r="N16" i="7"/>
  <c r="I13" i="7"/>
  <c r="L16" i="12"/>
  <c r="M16" i="12"/>
  <c r="O16" i="12"/>
  <c r="I14" i="9"/>
  <c r="J17" i="12"/>
  <c r="J16" i="11"/>
  <c r="K16" i="11"/>
  <c r="M16" i="11"/>
  <c r="O16" i="11"/>
  <c r="J16" i="10"/>
  <c r="K16" i="10"/>
  <c r="M16" i="10"/>
  <c r="Q16" i="10"/>
  <c r="R17" i="12"/>
  <c r="M15" i="11"/>
  <c r="O15" i="11"/>
  <c r="Z18" i="12"/>
  <c r="B19" i="12"/>
  <c r="Y18" i="12"/>
  <c r="C18" i="12"/>
  <c r="A18" i="12"/>
  <c r="N18" i="12"/>
  <c r="X18" i="12"/>
  <c r="AA18" i="12"/>
  <c r="P15" i="12"/>
  <c r="O15" i="12"/>
  <c r="R15" i="12"/>
  <c r="L15" i="12"/>
  <c r="I15" i="12"/>
  <c r="I16" i="12"/>
  <c r="P16" i="12"/>
  <c r="R16" i="11"/>
  <c r="P14" i="9"/>
  <c r="P15" i="11"/>
  <c r="P14" i="11"/>
  <c r="B18" i="11"/>
  <c r="Y17" i="11"/>
  <c r="C17" i="11"/>
  <c r="A17" i="11"/>
  <c r="N17" i="11"/>
  <c r="X17" i="11"/>
  <c r="Z17" i="11"/>
  <c r="AA17" i="11"/>
  <c r="Q14" i="9"/>
  <c r="L15" i="10"/>
  <c r="L14" i="11"/>
  <c r="I14" i="11"/>
  <c r="Q14" i="11"/>
  <c r="R16" i="10"/>
  <c r="I15" i="10"/>
  <c r="O15" i="10"/>
  <c r="P15" i="10"/>
  <c r="B18" i="10"/>
  <c r="Y17" i="10"/>
  <c r="C17" i="10"/>
  <c r="A17" i="10"/>
  <c r="N17" i="10"/>
  <c r="X17" i="10"/>
  <c r="AA17" i="10"/>
  <c r="Z17" i="10"/>
  <c r="J16" i="9"/>
  <c r="K16" i="9"/>
  <c r="R15" i="10"/>
  <c r="R16" i="9"/>
  <c r="AA17" i="9"/>
  <c r="Z17" i="9"/>
  <c r="Y17" i="9"/>
  <c r="X17" i="9"/>
  <c r="B18" i="9"/>
  <c r="C17" i="9"/>
  <c r="A17" i="9"/>
  <c r="N17" i="9"/>
  <c r="R15" i="9"/>
  <c r="P15" i="9"/>
  <c r="O15" i="9"/>
  <c r="J16" i="8"/>
  <c r="K16" i="8"/>
  <c r="L15" i="9"/>
  <c r="I15" i="9"/>
  <c r="R16" i="8"/>
  <c r="K15" i="8"/>
  <c r="M15" i="8"/>
  <c r="Z17" i="8"/>
  <c r="AA17" i="8"/>
  <c r="Y17" i="8"/>
  <c r="B18" i="8"/>
  <c r="X17" i="8"/>
  <c r="C17" i="8"/>
  <c r="A17" i="8"/>
  <c r="N17" i="8"/>
  <c r="P14" i="7"/>
  <c r="O14" i="7"/>
  <c r="J16" i="7"/>
  <c r="K16" i="7"/>
  <c r="L16" i="7"/>
  <c r="M15" i="7"/>
  <c r="Q14" i="7"/>
  <c r="L14" i="7"/>
  <c r="I14" i="7"/>
  <c r="X17" i="7"/>
  <c r="AA17" i="7"/>
  <c r="Z17" i="7"/>
  <c r="B18" i="7"/>
  <c r="Y17" i="7"/>
  <c r="C17" i="7"/>
  <c r="A17" i="7"/>
  <c r="N17" i="7"/>
  <c r="R17" i="7"/>
  <c r="R16" i="7"/>
  <c r="I15" i="7"/>
  <c r="Q15" i="7"/>
  <c r="Q16" i="12"/>
  <c r="R15" i="11"/>
  <c r="I15" i="11"/>
  <c r="K17" i="12"/>
  <c r="M17" i="12"/>
  <c r="Q17" i="12"/>
  <c r="L16" i="10"/>
  <c r="P16" i="10"/>
  <c r="R18" i="12"/>
  <c r="J18" i="12"/>
  <c r="B20" i="12"/>
  <c r="Y19" i="12"/>
  <c r="C19" i="12"/>
  <c r="A19" i="12"/>
  <c r="X19" i="12"/>
  <c r="AA19" i="12"/>
  <c r="N19" i="12"/>
  <c r="Q19" i="12"/>
  <c r="Z19" i="12"/>
  <c r="O16" i="10"/>
  <c r="J17" i="10"/>
  <c r="K17" i="10"/>
  <c r="I16" i="10"/>
  <c r="P17" i="12"/>
  <c r="O17" i="12"/>
  <c r="R17" i="11"/>
  <c r="J17" i="11"/>
  <c r="X18" i="11"/>
  <c r="AA18" i="11"/>
  <c r="B19" i="11"/>
  <c r="C18" i="11"/>
  <c r="A18" i="11"/>
  <c r="N18" i="11"/>
  <c r="Y18" i="11"/>
  <c r="Z18" i="11"/>
  <c r="J18" i="11"/>
  <c r="P16" i="11"/>
  <c r="Q16" i="11"/>
  <c r="L16" i="11"/>
  <c r="I16" i="11"/>
  <c r="M16" i="9"/>
  <c r="L16" i="9"/>
  <c r="R17" i="10"/>
  <c r="J17" i="8"/>
  <c r="K17" i="8"/>
  <c r="M17" i="8"/>
  <c r="J17" i="9"/>
  <c r="K17" i="9"/>
  <c r="X18" i="10"/>
  <c r="AA18" i="10"/>
  <c r="Z18" i="10"/>
  <c r="B19" i="10"/>
  <c r="C18" i="10"/>
  <c r="A18" i="10"/>
  <c r="N18" i="10"/>
  <c r="Y18" i="10"/>
  <c r="R17" i="9"/>
  <c r="L16" i="8"/>
  <c r="M16" i="8"/>
  <c r="P16" i="8"/>
  <c r="Z18" i="9"/>
  <c r="B19" i="9"/>
  <c r="Y18" i="9"/>
  <c r="C18" i="9"/>
  <c r="A18" i="9"/>
  <c r="N18" i="9"/>
  <c r="AA18" i="9"/>
  <c r="X18" i="9"/>
  <c r="P16" i="9"/>
  <c r="R17" i="8"/>
  <c r="B19" i="8"/>
  <c r="Y18" i="8"/>
  <c r="C18" i="8"/>
  <c r="A18" i="8"/>
  <c r="N18" i="8"/>
  <c r="R18" i="8"/>
  <c r="Z18" i="8"/>
  <c r="X18" i="8"/>
  <c r="AA18" i="8"/>
  <c r="R15" i="8"/>
  <c r="P15" i="8"/>
  <c r="O15" i="8"/>
  <c r="L15" i="8"/>
  <c r="I15" i="8"/>
  <c r="P15" i="7"/>
  <c r="O15" i="7"/>
  <c r="M16" i="7"/>
  <c r="R15" i="7"/>
  <c r="J17" i="7"/>
  <c r="K17" i="7"/>
  <c r="L17" i="7"/>
  <c r="AA18" i="7"/>
  <c r="X18" i="7"/>
  <c r="B19" i="7"/>
  <c r="Y18" i="7"/>
  <c r="C18" i="7"/>
  <c r="A18" i="7"/>
  <c r="N18" i="7"/>
  <c r="R18" i="7"/>
  <c r="Z18" i="7"/>
  <c r="J19" i="12"/>
  <c r="K19" i="12"/>
  <c r="I16" i="9"/>
  <c r="L17" i="12"/>
  <c r="I17" i="12"/>
  <c r="L17" i="10"/>
  <c r="M17" i="10"/>
  <c r="X20" i="12"/>
  <c r="AA20" i="12"/>
  <c r="Z20" i="12"/>
  <c r="B21" i="12"/>
  <c r="C20" i="12"/>
  <c r="A20" i="12"/>
  <c r="N20" i="12"/>
  <c r="Y20" i="12"/>
  <c r="J20" i="12"/>
  <c r="J18" i="10"/>
  <c r="K18" i="10"/>
  <c r="L18" i="10"/>
  <c r="K18" i="12"/>
  <c r="M18" i="12"/>
  <c r="R18" i="11"/>
  <c r="K18" i="11"/>
  <c r="M18" i="11"/>
  <c r="Q18" i="11"/>
  <c r="AA19" i="11"/>
  <c r="N19" i="11"/>
  <c r="Q19" i="11"/>
  <c r="Z19" i="11"/>
  <c r="Y19" i="11"/>
  <c r="X19" i="11"/>
  <c r="J19" i="11"/>
  <c r="B20" i="11"/>
  <c r="C19" i="11"/>
  <c r="A19" i="11"/>
  <c r="K17" i="11"/>
  <c r="M17" i="11"/>
  <c r="R18" i="10"/>
  <c r="L17" i="9"/>
  <c r="M17" i="9"/>
  <c r="O17" i="9"/>
  <c r="O16" i="8"/>
  <c r="I16" i="8"/>
  <c r="J18" i="9"/>
  <c r="K18" i="9"/>
  <c r="M18" i="9"/>
  <c r="Q18" i="9"/>
  <c r="Q16" i="8"/>
  <c r="AA19" i="10"/>
  <c r="N19" i="10"/>
  <c r="Q19" i="10"/>
  <c r="Z19" i="10"/>
  <c r="Y19" i="10"/>
  <c r="C19" i="10"/>
  <c r="A19" i="10"/>
  <c r="X19" i="10"/>
  <c r="J19" i="10"/>
  <c r="B20" i="10"/>
  <c r="O16" i="9"/>
  <c r="Q16" i="9"/>
  <c r="R18" i="9"/>
  <c r="J18" i="8"/>
  <c r="B20" i="9"/>
  <c r="Y19" i="9"/>
  <c r="C19" i="9"/>
  <c r="A19" i="9"/>
  <c r="X19" i="9"/>
  <c r="Z19" i="9"/>
  <c r="AA19" i="9"/>
  <c r="N19" i="9"/>
  <c r="Q19" i="9"/>
  <c r="P17" i="8"/>
  <c r="L17" i="8"/>
  <c r="I17" i="8"/>
  <c r="O17" i="8"/>
  <c r="X19" i="8"/>
  <c r="Y19" i="8"/>
  <c r="N19" i="8"/>
  <c r="Q19" i="8"/>
  <c r="B20" i="8"/>
  <c r="C19" i="8"/>
  <c r="A19" i="8"/>
  <c r="AA19" i="8"/>
  <c r="Z19" i="8"/>
  <c r="Q17" i="8"/>
  <c r="P16" i="7"/>
  <c r="O16" i="7"/>
  <c r="I16" i="7"/>
  <c r="Q16" i="7"/>
  <c r="J18" i="7"/>
  <c r="K18" i="7"/>
  <c r="M18" i="7"/>
  <c r="P18" i="7"/>
  <c r="AA19" i="7"/>
  <c r="Z19" i="7"/>
  <c r="N19" i="7"/>
  <c r="Y19" i="7"/>
  <c r="B20" i="7"/>
  <c r="X19" i="7"/>
  <c r="C19" i="7"/>
  <c r="A19" i="7"/>
  <c r="M17" i="7"/>
  <c r="L19" i="12"/>
  <c r="M19" i="12"/>
  <c r="O19" i="12"/>
  <c r="I17" i="10"/>
  <c r="R20" i="12"/>
  <c r="K20" i="12"/>
  <c r="L20" i="12"/>
  <c r="Q17" i="10"/>
  <c r="P18" i="12"/>
  <c r="O18" i="12"/>
  <c r="Q18" i="12"/>
  <c r="AA21" i="12"/>
  <c r="B22" i="12"/>
  <c r="Y21" i="12"/>
  <c r="Z21" i="12"/>
  <c r="C21" i="12"/>
  <c r="A21" i="12"/>
  <c r="N21" i="12"/>
  <c r="X21" i="12"/>
  <c r="P17" i="10"/>
  <c r="L18" i="11"/>
  <c r="L18" i="12"/>
  <c r="I18" i="12"/>
  <c r="J19" i="9"/>
  <c r="K19" i="9"/>
  <c r="L19" i="9"/>
  <c r="O17" i="10"/>
  <c r="O18" i="11"/>
  <c r="I19" i="12"/>
  <c r="P19" i="12"/>
  <c r="M20" i="12"/>
  <c r="O20" i="12"/>
  <c r="R19" i="12"/>
  <c r="K19" i="11"/>
  <c r="L19" i="11"/>
  <c r="P17" i="11"/>
  <c r="O17" i="11"/>
  <c r="Q17" i="11"/>
  <c r="Q17" i="9"/>
  <c r="L17" i="11"/>
  <c r="I17" i="11"/>
  <c r="P17" i="9"/>
  <c r="M18" i="10"/>
  <c r="O18" i="10"/>
  <c r="I17" i="9"/>
  <c r="Z20" i="11"/>
  <c r="B21" i="11"/>
  <c r="Y20" i="11"/>
  <c r="C20" i="11"/>
  <c r="A20" i="11"/>
  <c r="N20" i="11"/>
  <c r="AA20" i="11"/>
  <c r="X20" i="11"/>
  <c r="M19" i="11"/>
  <c r="I18" i="11"/>
  <c r="P18" i="11"/>
  <c r="K19" i="10"/>
  <c r="M19" i="10"/>
  <c r="R19" i="10"/>
  <c r="P18" i="10"/>
  <c r="L18" i="9"/>
  <c r="Z20" i="10"/>
  <c r="B21" i="10"/>
  <c r="Y20" i="10"/>
  <c r="C20" i="10"/>
  <c r="A20" i="10"/>
  <c r="N20" i="10"/>
  <c r="X20" i="10"/>
  <c r="AA20" i="10"/>
  <c r="K18" i="8"/>
  <c r="M18" i="8"/>
  <c r="P18" i="9"/>
  <c r="I18" i="9"/>
  <c r="O18" i="9"/>
  <c r="X20" i="9"/>
  <c r="AA20" i="9"/>
  <c r="Y20" i="9"/>
  <c r="B21" i="9"/>
  <c r="C20" i="9"/>
  <c r="A20" i="9"/>
  <c r="N20" i="9"/>
  <c r="Z20" i="9"/>
  <c r="AA20" i="8"/>
  <c r="B21" i="8"/>
  <c r="X20" i="8"/>
  <c r="C20" i="8"/>
  <c r="A20" i="8"/>
  <c r="N20" i="8"/>
  <c r="Z20" i="8"/>
  <c r="Y20" i="8"/>
  <c r="J19" i="8"/>
  <c r="P17" i="7"/>
  <c r="O17" i="7"/>
  <c r="O18" i="7"/>
  <c r="L18" i="7"/>
  <c r="I18" i="7"/>
  <c r="Q18" i="7"/>
  <c r="J19" i="7"/>
  <c r="Z20" i="7"/>
  <c r="X20" i="7"/>
  <c r="B21" i="7"/>
  <c r="Y20" i="7"/>
  <c r="AA20" i="7"/>
  <c r="C20" i="7"/>
  <c r="A20" i="7"/>
  <c r="N20" i="7"/>
  <c r="R20" i="7"/>
  <c r="I17" i="7"/>
  <c r="Q17" i="7"/>
  <c r="J21" i="12"/>
  <c r="K21" i="12"/>
  <c r="M21" i="12"/>
  <c r="Q21" i="12"/>
  <c r="J20" i="11"/>
  <c r="K20" i="11"/>
  <c r="L20" i="11"/>
  <c r="J20" i="10"/>
  <c r="K20" i="10"/>
  <c r="M20" i="10"/>
  <c r="R21" i="12"/>
  <c r="Q20" i="12"/>
  <c r="Z22" i="12"/>
  <c r="B23" i="12"/>
  <c r="Y22" i="12"/>
  <c r="C22" i="12"/>
  <c r="A22" i="12"/>
  <c r="N22" i="12"/>
  <c r="X22" i="12"/>
  <c r="AA22" i="12"/>
  <c r="I20" i="12"/>
  <c r="P20" i="12"/>
  <c r="R20" i="11"/>
  <c r="Q18" i="10"/>
  <c r="I18" i="10"/>
  <c r="P19" i="11"/>
  <c r="I19" i="11"/>
  <c r="AA21" i="11"/>
  <c r="Z21" i="11"/>
  <c r="B22" i="11"/>
  <c r="Y21" i="11"/>
  <c r="C21" i="11"/>
  <c r="A21" i="11"/>
  <c r="N21" i="11"/>
  <c r="X21" i="11"/>
  <c r="O19" i="11"/>
  <c r="R19" i="11"/>
  <c r="R20" i="10"/>
  <c r="L18" i="8"/>
  <c r="P19" i="10"/>
  <c r="J20" i="9"/>
  <c r="K20" i="9"/>
  <c r="M20" i="9"/>
  <c r="O19" i="10"/>
  <c r="Z21" i="10"/>
  <c r="C21" i="10"/>
  <c r="A21" i="10"/>
  <c r="N21" i="10"/>
  <c r="AA21" i="10"/>
  <c r="Y21" i="10"/>
  <c r="B22" i="10"/>
  <c r="X21" i="10"/>
  <c r="L19" i="10"/>
  <c r="I19" i="10"/>
  <c r="R20" i="9"/>
  <c r="Z21" i="9"/>
  <c r="Y21" i="9"/>
  <c r="B22" i="9"/>
  <c r="X21" i="9"/>
  <c r="AA21" i="9"/>
  <c r="C21" i="9"/>
  <c r="A21" i="9"/>
  <c r="N21" i="9"/>
  <c r="M19" i="9"/>
  <c r="J20" i="8"/>
  <c r="K20" i="8"/>
  <c r="L20" i="8"/>
  <c r="P18" i="8"/>
  <c r="Q18" i="8"/>
  <c r="O18" i="8"/>
  <c r="I18" i="8"/>
  <c r="R20" i="8"/>
  <c r="K19" i="8"/>
  <c r="M19" i="8"/>
  <c r="AA21" i="8"/>
  <c r="B22" i="8"/>
  <c r="X21" i="8"/>
  <c r="Y21" i="8"/>
  <c r="Z21" i="8"/>
  <c r="C21" i="8"/>
  <c r="A21" i="8"/>
  <c r="N21" i="8"/>
  <c r="J20" i="7"/>
  <c r="K20" i="7"/>
  <c r="M20" i="7"/>
  <c r="P20" i="7"/>
  <c r="K19" i="7"/>
  <c r="M19" i="7"/>
  <c r="Q19" i="7"/>
  <c r="Z21" i="7"/>
  <c r="Y21" i="7"/>
  <c r="AA21" i="7"/>
  <c r="C21" i="7"/>
  <c r="A21" i="7"/>
  <c r="N21" i="7"/>
  <c r="X21" i="7"/>
  <c r="B22" i="7"/>
  <c r="L21" i="12"/>
  <c r="J21" i="11"/>
  <c r="K21" i="11"/>
  <c r="M21" i="11"/>
  <c r="Q21" i="11"/>
  <c r="L20" i="10"/>
  <c r="R22" i="12"/>
  <c r="J22" i="12"/>
  <c r="B24" i="12"/>
  <c r="Y23" i="12"/>
  <c r="C23" i="12"/>
  <c r="A23" i="12"/>
  <c r="N23" i="12"/>
  <c r="X23" i="12"/>
  <c r="AA23" i="12"/>
  <c r="Z23" i="12"/>
  <c r="M20" i="11"/>
  <c r="Q20" i="11"/>
  <c r="P21" i="12"/>
  <c r="I21" i="12"/>
  <c r="O21" i="12"/>
  <c r="R21" i="11"/>
  <c r="Z22" i="11"/>
  <c r="B23" i="11"/>
  <c r="Y22" i="11"/>
  <c r="X22" i="11"/>
  <c r="AA22" i="11"/>
  <c r="J22" i="11"/>
  <c r="C22" i="11"/>
  <c r="A22" i="11"/>
  <c r="N22" i="11"/>
  <c r="J21" i="9"/>
  <c r="K21" i="9"/>
  <c r="M21" i="9"/>
  <c r="O21" i="9"/>
  <c r="R21" i="10"/>
  <c r="P20" i="10"/>
  <c r="I20" i="10"/>
  <c r="Z22" i="10"/>
  <c r="B23" i="10"/>
  <c r="Y22" i="10"/>
  <c r="X22" i="10"/>
  <c r="AA22" i="10"/>
  <c r="J22" i="10"/>
  <c r="C22" i="10"/>
  <c r="A22" i="10"/>
  <c r="N22" i="10"/>
  <c r="O20" i="10"/>
  <c r="J21" i="10"/>
  <c r="Q20" i="10"/>
  <c r="R21" i="9"/>
  <c r="P20" i="9"/>
  <c r="I19" i="9"/>
  <c r="P19" i="9"/>
  <c r="R19" i="9"/>
  <c r="O19" i="9"/>
  <c r="O20" i="9"/>
  <c r="B23" i="9"/>
  <c r="Y22" i="9"/>
  <c r="C22" i="9"/>
  <c r="A22" i="9"/>
  <c r="N22" i="9"/>
  <c r="X22" i="9"/>
  <c r="AA22" i="9"/>
  <c r="Z22" i="9"/>
  <c r="L20" i="9"/>
  <c r="I20" i="9"/>
  <c r="Q20" i="9"/>
  <c r="R21" i="8"/>
  <c r="Z22" i="8"/>
  <c r="B23" i="8"/>
  <c r="AA22" i="8"/>
  <c r="C22" i="8"/>
  <c r="A22" i="8"/>
  <c r="N22" i="8"/>
  <c r="Y22" i="8"/>
  <c r="X22" i="8"/>
  <c r="O19" i="8"/>
  <c r="R19" i="8"/>
  <c r="P19" i="8"/>
  <c r="L19" i="8"/>
  <c r="I19" i="8"/>
  <c r="M20" i="8"/>
  <c r="J21" i="8"/>
  <c r="J21" i="7"/>
  <c r="K21" i="7"/>
  <c r="M21" i="7"/>
  <c r="O21" i="7"/>
  <c r="P19" i="7"/>
  <c r="O19" i="7"/>
  <c r="O20" i="7"/>
  <c r="Q20" i="7"/>
  <c r="R19" i="7"/>
  <c r="R21" i="7"/>
  <c r="X22" i="7"/>
  <c r="Y22" i="7"/>
  <c r="AA22" i="7"/>
  <c r="B23" i="7"/>
  <c r="Z22" i="7"/>
  <c r="C22" i="7"/>
  <c r="A22" i="7"/>
  <c r="N22" i="7"/>
  <c r="R22" i="7"/>
  <c r="L19" i="7"/>
  <c r="I19" i="7"/>
  <c r="L20" i="7"/>
  <c r="I20" i="7"/>
  <c r="J22" i="9"/>
  <c r="K22" i="9"/>
  <c r="M22" i="9"/>
  <c r="L21" i="11"/>
  <c r="J23" i="12"/>
  <c r="O21" i="11"/>
  <c r="O20" i="11"/>
  <c r="P20" i="11"/>
  <c r="I20" i="11"/>
  <c r="L21" i="9"/>
  <c r="I21" i="9"/>
  <c r="R23" i="12"/>
  <c r="Q21" i="9"/>
  <c r="X24" i="12"/>
  <c r="AA24" i="12"/>
  <c r="Z24" i="12"/>
  <c r="B25" i="12"/>
  <c r="C24" i="12"/>
  <c r="A24" i="12"/>
  <c r="N24" i="12"/>
  <c r="Y24" i="12"/>
  <c r="J24" i="12"/>
  <c r="P21" i="9"/>
  <c r="K22" i="12"/>
  <c r="M22" i="12"/>
  <c r="R22" i="11"/>
  <c r="K22" i="10"/>
  <c r="L22" i="10"/>
  <c r="B24" i="11"/>
  <c r="Y23" i="11"/>
  <c r="C23" i="11"/>
  <c r="A23" i="11"/>
  <c r="N23" i="11"/>
  <c r="X23" i="11"/>
  <c r="AA23" i="11"/>
  <c r="Z23" i="11"/>
  <c r="J23" i="11"/>
  <c r="K22" i="11"/>
  <c r="M22" i="11"/>
  <c r="Q22" i="11"/>
  <c r="P21" i="11"/>
  <c r="I21" i="11"/>
  <c r="R22" i="10"/>
  <c r="B24" i="10"/>
  <c r="Y23" i="10"/>
  <c r="C23" i="10"/>
  <c r="A23" i="10"/>
  <c r="N23" i="10"/>
  <c r="X23" i="10"/>
  <c r="AA23" i="10"/>
  <c r="Z23" i="10"/>
  <c r="K21" i="10"/>
  <c r="M21" i="10"/>
  <c r="R22" i="9"/>
  <c r="J22" i="8"/>
  <c r="K22" i="8"/>
  <c r="M22" i="8"/>
  <c r="B24" i="9"/>
  <c r="Y23" i="9"/>
  <c r="C23" i="9"/>
  <c r="A23" i="9"/>
  <c r="N23" i="9"/>
  <c r="X23" i="9"/>
  <c r="AA23" i="9"/>
  <c r="Z23" i="9"/>
  <c r="R22" i="8"/>
  <c r="K21" i="8"/>
  <c r="M21" i="8"/>
  <c r="P20" i="8"/>
  <c r="I20" i="8"/>
  <c r="O20" i="8"/>
  <c r="Q20" i="8"/>
  <c r="B24" i="8"/>
  <c r="Y23" i="8"/>
  <c r="C23" i="8"/>
  <c r="A23" i="8"/>
  <c r="N23" i="8"/>
  <c r="R23" i="8"/>
  <c r="AA23" i="8"/>
  <c r="Z23" i="8"/>
  <c r="X23" i="8"/>
  <c r="Q21" i="7"/>
  <c r="L21" i="7"/>
  <c r="I21" i="7"/>
  <c r="P21" i="7"/>
  <c r="J22" i="7"/>
  <c r="K22" i="7"/>
  <c r="M22" i="7"/>
  <c r="P22" i="7"/>
  <c r="X23" i="7"/>
  <c r="C23" i="7"/>
  <c r="A23" i="7"/>
  <c r="N23" i="7"/>
  <c r="R23" i="7"/>
  <c r="Y23" i="7"/>
  <c r="Z23" i="7"/>
  <c r="B24" i="7"/>
  <c r="AA23" i="7"/>
  <c r="K23" i="12"/>
  <c r="M23" i="12"/>
  <c r="K24" i="12"/>
  <c r="L24" i="12"/>
  <c r="R24" i="12"/>
  <c r="P22" i="12"/>
  <c r="O22" i="12"/>
  <c r="Q22" i="12"/>
  <c r="P23" i="12"/>
  <c r="L22" i="12"/>
  <c r="I22" i="12"/>
  <c r="Q23" i="12"/>
  <c r="O22" i="11"/>
  <c r="AA25" i="12"/>
  <c r="Z25" i="12"/>
  <c r="B26" i="12"/>
  <c r="Y25" i="12"/>
  <c r="C25" i="12"/>
  <c r="A25" i="12"/>
  <c r="N25" i="12"/>
  <c r="X25" i="12"/>
  <c r="O23" i="12"/>
  <c r="K23" i="11"/>
  <c r="L23" i="11"/>
  <c r="R23" i="11"/>
  <c r="J23" i="8"/>
  <c r="K23" i="8"/>
  <c r="M23" i="8"/>
  <c r="L22" i="8"/>
  <c r="M23" i="11"/>
  <c r="O23" i="11"/>
  <c r="M22" i="10"/>
  <c r="X24" i="11"/>
  <c r="AA24" i="11"/>
  <c r="Z24" i="11"/>
  <c r="B25" i="11"/>
  <c r="C24" i="11"/>
  <c r="A24" i="11"/>
  <c r="N24" i="11"/>
  <c r="Y24" i="11"/>
  <c r="P22" i="11"/>
  <c r="L22" i="11"/>
  <c r="I22" i="11"/>
  <c r="R23" i="10"/>
  <c r="P21" i="10"/>
  <c r="O21" i="10"/>
  <c r="Q21" i="10"/>
  <c r="L21" i="10"/>
  <c r="I21" i="10"/>
  <c r="J23" i="10"/>
  <c r="L22" i="9"/>
  <c r="X24" i="10"/>
  <c r="AA24" i="10"/>
  <c r="B25" i="10"/>
  <c r="C24" i="10"/>
  <c r="A24" i="10"/>
  <c r="N24" i="10"/>
  <c r="Z24" i="10"/>
  <c r="Y24" i="10"/>
  <c r="J23" i="9"/>
  <c r="I22" i="9"/>
  <c r="P22" i="9"/>
  <c r="O22" i="9"/>
  <c r="Q22" i="9"/>
  <c r="R23" i="9"/>
  <c r="X24" i="9"/>
  <c r="AA24" i="9"/>
  <c r="B25" i="9"/>
  <c r="C24" i="9"/>
  <c r="A24" i="9"/>
  <c r="N24" i="9"/>
  <c r="Z24" i="9"/>
  <c r="Y24" i="9"/>
  <c r="L21" i="8"/>
  <c r="I21" i="8"/>
  <c r="I22" i="8"/>
  <c r="P22" i="8"/>
  <c r="Q22" i="8"/>
  <c r="O22" i="8"/>
  <c r="P21" i="8"/>
  <c r="Q21" i="8"/>
  <c r="O21" i="8"/>
  <c r="X24" i="8"/>
  <c r="Z24" i="8"/>
  <c r="B25" i="8"/>
  <c r="AA24" i="8"/>
  <c r="C24" i="8"/>
  <c r="A24" i="8"/>
  <c r="N24" i="8"/>
  <c r="Y24" i="8"/>
  <c r="O22" i="7"/>
  <c r="Q22" i="7"/>
  <c r="Y24" i="7"/>
  <c r="X24" i="7"/>
  <c r="C24" i="7"/>
  <c r="A24" i="7"/>
  <c r="N24" i="7"/>
  <c r="R24" i="7"/>
  <c r="AA24" i="7"/>
  <c r="B25" i="7"/>
  <c r="Z24" i="7"/>
  <c r="J23" i="7"/>
  <c r="L22" i="7"/>
  <c r="I22" i="7"/>
  <c r="J25" i="12"/>
  <c r="K25" i="12"/>
  <c r="J24" i="11"/>
  <c r="L23" i="12"/>
  <c r="I23" i="12"/>
  <c r="R25" i="12"/>
  <c r="B27" i="12"/>
  <c r="Y26" i="12"/>
  <c r="X26" i="12"/>
  <c r="C26" i="12"/>
  <c r="A26" i="12"/>
  <c r="AA26" i="12"/>
  <c r="Z26" i="12"/>
  <c r="N26" i="12"/>
  <c r="Q26" i="12"/>
  <c r="M24" i="12"/>
  <c r="R24" i="11"/>
  <c r="I23" i="11"/>
  <c r="P23" i="11"/>
  <c r="K23" i="9"/>
  <c r="M23" i="9"/>
  <c r="Q23" i="9"/>
  <c r="AA25" i="11"/>
  <c r="Z25" i="11"/>
  <c r="B26" i="11"/>
  <c r="Y25" i="11"/>
  <c r="C25" i="11"/>
  <c r="A25" i="11"/>
  <c r="N25" i="11"/>
  <c r="X25" i="11"/>
  <c r="K24" i="11"/>
  <c r="L24" i="11"/>
  <c r="O22" i="10"/>
  <c r="Q22" i="10"/>
  <c r="P22" i="10"/>
  <c r="I22" i="10"/>
  <c r="Q23" i="11"/>
  <c r="R24" i="10"/>
  <c r="AA25" i="10"/>
  <c r="Z25" i="10"/>
  <c r="B26" i="10"/>
  <c r="C25" i="10"/>
  <c r="A25" i="10"/>
  <c r="N25" i="10"/>
  <c r="X25" i="10"/>
  <c r="Y25" i="10"/>
  <c r="J25" i="10"/>
  <c r="K25" i="10"/>
  <c r="M25" i="10"/>
  <c r="J24" i="10"/>
  <c r="K23" i="10"/>
  <c r="M23" i="10"/>
  <c r="R24" i="9"/>
  <c r="J24" i="9"/>
  <c r="J24" i="8"/>
  <c r="K24" i="8"/>
  <c r="AA25" i="9"/>
  <c r="Z25" i="9"/>
  <c r="Y25" i="9"/>
  <c r="B26" i="9"/>
  <c r="C25" i="9"/>
  <c r="A25" i="9"/>
  <c r="N25" i="9"/>
  <c r="X25" i="9"/>
  <c r="P23" i="9"/>
  <c r="O23" i="9"/>
  <c r="R24" i="8"/>
  <c r="P23" i="8"/>
  <c r="O23" i="8"/>
  <c r="Q23" i="8"/>
  <c r="L23" i="8"/>
  <c r="I23" i="8"/>
  <c r="AA25" i="8"/>
  <c r="Y25" i="8"/>
  <c r="B26" i="8"/>
  <c r="X25" i="8"/>
  <c r="C25" i="8"/>
  <c r="A25" i="8"/>
  <c r="N25" i="8"/>
  <c r="Z25" i="8"/>
  <c r="X25" i="7"/>
  <c r="B26" i="7"/>
  <c r="Y25" i="7"/>
  <c r="C25" i="7"/>
  <c r="A25" i="7"/>
  <c r="N25" i="7"/>
  <c r="AA25" i="7"/>
  <c r="Z25" i="7"/>
  <c r="J24" i="7"/>
  <c r="K23" i="7"/>
  <c r="M23" i="7"/>
  <c r="L25" i="12"/>
  <c r="M25" i="12"/>
  <c r="Q25" i="12"/>
  <c r="I24" i="12"/>
  <c r="P24" i="12"/>
  <c r="Q24" i="12"/>
  <c r="O24" i="12"/>
  <c r="J26" i="12"/>
  <c r="AA27" i="12"/>
  <c r="Z27" i="12"/>
  <c r="B28" i="12"/>
  <c r="Y27" i="12"/>
  <c r="X27" i="12"/>
  <c r="J27" i="12"/>
  <c r="C27" i="12"/>
  <c r="A27" i="12"/>
  <c r="N27" i="12"/>
  <c r="M24" i="11"/>
  <c r="I24" i="11"/>
  <c r="P25" i="12"/>
  <c r="I25" i="12"/>
  <c r="J25" i="11"/>
  <c r="K25" i="11"/>
  <c r="L25" i="11"/>
  <c r="O25" i="12"/>
  <c r="R25" i="11"/>
  <c r="B27" i="11"/>
  <c r="Y26" i="11"/>
  <c r="X26" i="11"/>
  <c r="AA26" i="11"/>
  <c r="Z26" i="11"/>
  <c r="J26" i="11"/>
  <c r="C26" i="11"/>
  <c r="A26" i="11"/>
  <c r="N26" i="11"/>
  <c r="Q26" i="11"/>
  <c r="L23" i="9"/>
  <c r="I23" i="9"/>
  <c r="O25" i="10"/>
  <c r="R25" i="10"/>
  <c r="Q25" i="10"/>
  <c r="P25" i="10"/>
  <c r="L23" i="10"/>
  <c r="I23" i="10"/>
  <c r="K24" i="10"/>
  <c r="M24" i="10"/>
  <c r="L25" i="10"/>
  <c r="I25" i="10"/>
  <c r="B27" i="10"/>
  <c r="Y26" i="10"/>
  <c r="X26" i="10"/>
  <c r="C26" i="10"/>
  <c r="A26" i="10"/>
  <c r="AA26" i="10"/>
  <c r="Z26" i="10"/>
  <c r="N26" i="10"/>
  <c r="Q26" i="10"/>
  <c r="P23" i="10"/>
  <c r="Q23" i="10"/>
  <c r="O23" i="10"/>
  <c r="J25" i="9"/>
  <c r="K25" i="9"/>
  <c r="R25" i="9"/>
  <c r="M24" i="8"/>
  <c r="L24" i="8"/>
  <c r="B27" i="9"/>
  <c r="Y26" i="9"/>
  <c r="X26" i="9"/>
  <c r="C26" i="9"/>
  <c r="A26" i="9"/>
  <c r="Z26" i="9"/>
  <c r="N26" i="9"/>
  <c r="Q26" i="9"/>
  <c r="AA26" i="9"/>
  <c r="K24" i="9"/>
  <c r="M24" i="9"/>
  <c r="R25" i="8"/>
  <c r="B27" i="8"/>
  <c r="Y26" i="8"/>
  <c r="N26" i="8"/>
  <c r="Q26" i="8"/>
  <c r="C26" i="8"/>
  <c r="A26" i="8"/>
  <c r="AA26" i="8"/>
  <c r="Z26" i="8"/>
  <c r="X26" i="8"/>
  <c r="J25" i="8"/>
  <c r="P23" i="7"/>
  <c r="O23" i="7"/>
  <c r="J25" i="7"/>
  <c r="Q23" i="7"/>
  <c r="Z26" i="7"/>
  <c r="C26" i="7"/>
  <c r="A26" i="7"/>
  <c r="AA26" i="7"/>
  <c r="N26" i="7"/>
  <c r="X26" i="7"/>
  <c r="B27" i="7"/>
  <c r="Y26" i="7"/>
  <c r="L23" i="7"/>
  <c r="I23" i="7"/>
  <c r="K24" i="7"/>
  <c r="M24" i="7"/>
  <c r="R25" i="7"/>
  <c r="O24" i="11"/>
  <c r="R27" i="12"/>
  <c r="K27" i="12"/>
  <c r="L27" i="12"/>
  <c r="Q24" i="11"/>
  <c r="B29" i="12"/>
  <c r="Y28" i="12"/>
  <c r="X28" i="12"/>
  <c r="C28" i="12"/>
  <c r="A28" i="12"/>
  <c r="N28" i="12"/>
  <c r="AA28" i="12"/>
  <c r="Z28" i="12"/>
  <c r="P24" i="11"/>
  <c r="K26" i="12"/>
  <c r="M26" i="12"/>
  <c r="J26" i="10"/>
  <c r="K26" i="10"/>
  <c r="M26" i="10"/>
  <c r="L24" i="10"/>
  <c r="L25" i="9"/>
  <c r="M25" i="9"/>
  <c r="I25" i="9"/>
  <c r="AA27" i="11"/>
  <c r="Z27" i="11"/>
  <c r="B28" i="11"/>
  <c r="Y27" i="11"/>
  <c r="X27" i="11"/>
  <c r="J27" i="11"/>
  <c r="C27" i="11"/>
  <c r="A27" i="11"/>
  <c r="N27" i="11"/>
  <c r="J26" i="9"/>
  <c r="K26" i="9"/>
  <c r="M26" i="9"/>
  <c r="M25" i="11"/>
  <c r="K26" i="11"/>
  <c r="L26" i="11"/>
  <c r="I24" i="10"/>
  <c r="P24" i="10"/>
  <c r="O24" i="10"/>
  <c r="Q24" i="10"/>
  <c r="AA27" i="10"/>
  <c r="Z27" i="10"/>
  <c r="Y27" i="10"/>
  <c r="X27" i="10"/>
  <c r="B28" i="10"/>
  <c r="C27" i="10"/>
  <c r="A27" i="10"/>
  <c r="N27" i="10"/>
  <c r="P25" i="9"/>
  <c r="O24" i="8"/>
  <c r="Q24" i="8"/>
  <c r="I24" i="8"/>
  <c r="P24" i="9"/>
  <c r="Q24" i="9"/>
  <c r="O24" i="9"/>
  <c r="O25" i="9"/>
  <c r="P24" i="8"/>
  <c r="J26" i="8"/>
  <c r="K26" i="8"/>
  <c r="L24" i="9"/>
  <c r="I24" i="9"/>
  <c r="AA27" i="9"/>
  <c r="Z27" i="9"/>
  <c r="X27" i="9"/>
  <c r="B28" i="9"/>
  <c r="Y27" i="9"/>
  <c r="C27" i="9"/>
  <c r="A27" i="9"/>
  <c r="N27" i="9"/>
  <c r="K25" i="8"/>
  <c r="M25" i="8"/>
  <c r="AA27" i="8"/>
  <c r="Z27" i="8"/>
  <c r="Y27" i="8"/>
  <c r="C27" i="8"/>
  <c r="A27" i="8"/>
  <c r="N27" i="8"/>
  <c r="B28" i="8"/>
  <c r="X27" i="8"/>
  <c r="J26" i="7"/>
  <c r="K26" i="7"/>
  <c r="L26" i="7"/>
  <c r="P24" i="7"/>
  <c r="O24" i="7"/>
  <c r="Z27" i="7"/>
  <c r="C27" i="7"/>
  <c r="A27" i="7"/>
  <c r="N27" i="7"/>
  <c r="R27" i="7"/>
  <c r="B28" i="7"/>
  <c r="AA27" i="7"/>
  <c r="X27" i="7"/>
  <c r="Y27" i="7"/>
  <c r="K25" i="7"/>
  <c r="M25" i="7"/>
  <c r="Q24" i="7"/>
  <c r="L24" i="7"/>
  <c r="I24" i="7"/>
  <c r="J28" i="12"/>
  <c r="R28" i="12"/>
  <c r="P26" i="12"/>
  <c r="O26" i="12"/>
  <c r="R26" i="12"/>
  <c r="AA29" i="12"/>
  <c r="Z29" i="12"/>
  <c r="B30" i="12"/>
  <c r="Y29" i="12"/>
  <c r="X29" i="12"/>
  <c r="J29" i="12"/>
  <c r="C29" i="12"/>
  <c r="A29" i="12"/>
  <c r="N29" i="12"/>
  <c r="Q25" i="9"/>
  <c r="L26" i="12"/>
  <c r="I26" i="12"/>
  <c r="M27" i="12"/>
  <c r="K27" i="11"/>
  <c r="L27" i="11"/>
  <c r="R27" i="11"/>
  <c r="R26" i="10"/>
  <c r="O26" i="10"/>
  <c r="P26" i="10"/>
  <c r="B29" i="11"/>
  <c r="Y28" i="11"/>
  <c r="X28" i="11"/>
  <c r="C28" i="11"/>
  <c r="A28" i="11"/>
  <c r="N28" i="11"/>
  <c r="AA28" i="11"/>
  <c r="Z28" i="11"/>
  <c r="L26" i="10"/>
  <c r="I26" i="10"/>
  <c r="L26" i="9"/>
  <c r="I26" i="9"/>
  <c r="P25" i="11"/>
  <c r="I25" i="11"/>
  <c r="O25" i="11"/>
  <c r="Q25" i="11"/>
  <c r="M27" i="11"/>
  <c r="Q27" i="11"/>
  <c r="M26" i="11"/>
  <c r="J27" i="8"/>
  <c r="K27" i="8"/>
  <c r="M27" i="8"/>
  <c r="Q27" i="8"/>
  <c r="L26" i="8"/>
  <c r="M26" i="8"/>
  <c r="O26" i="8"/>
  <c r="R27" i="10"/>
  <c r="J27" i="10"/>
  <c r="J27" i="9"/>
  <c r="B29" i="10"/>
  <c r="Y28" i="10"/>
  <c r="X28" i="10"/>
  <c r="C28" i="10"/>
  <c r="A28" i="10"/>
  <c r="N28" i="10"/>
  <c r="AA28" i="10"/>
  <c r="Z28" i="10"/>
  <c r="R27" i="9"/>
  <c r="B29" i="9"/>
  <c r="Y28" i="9"/>
  <c r="X28" i="9"/>
  <c r="C28" i="9"/>
  <c r="A28" i="9"/>
  <c r="N28" i="9"/>
  <c r="AA28" i="9"/>
  <c r="Z28" i="9"/>
  <c r="P26" i="9"/>
  <c r="R26" i="9"/>
  <c r="O26" i="9"/>
  <c r="R27" i="8"/>
  <c r="B29" i="8"/>
  <c r="Y28" i="8"/>
  <c r="X28" i="8"/>
  <c r="C28" i="8"/>
  <c r="A28" i="8"/>
  <c r="N28" i="8"/>
  <c r="Z28" i="8"/>
  <c r="AA28" i="8"/>
  <c r="P25" i="8"/>
  <c r="O25" i="8"/>
  <c r="Q25" i="8"/>
  <c r="L25" i="8"/>
  <c r="I25" i="8"/>
  <c r="P25" i="7"/>
  <c r="O25" i="7"/>
  <c r="M26" i="7"/>
  <c r="Z28" i="7"/>
  <c r="C28" i="7"/>
  <c r="A28" i="7"/>
  <c r="N28" i="7"/>
  <c r="R28" i="7"/>
  <c r="AA28" i="7"/>
  <c r="B29" i="7"/>
  <c r="X28" i="7"/>
  <c r="Y28" i="7"/>
  <c r="L25" i="7"/>
  <c r="I25" i="7"/>
  <c r="J27" i="7"/>
  <c r="Q25" i="7"/>
  <c r="O26" i="7"/>
  <c r="Q26" i="7"/>
  <c r="K28" i="12"/>
  <c r="M28" i="12"/>
  <c r="O28" i="12"/>
  <c r="P26" i="8"/>
  <c r="I26" i="8"/>
  <c r="R26" i="8"/>
  <c r="L27" i="8"/>
  <c r="R29" i="12"/>
  <c r="K29" i="12"/>
  <c r="L29" i="12"/>
  <c r="J28" i="10"/>
  <c r="K28" i="10"/>
  <c r="L28" i="10"/>
  <c r="J28" i="11"/>
  <c r="K28" i="11"/>
  <c r="P27" i="12"/>
  <c r="I27" i="12"/>
  <c r="Q27" i="12"/>
  <c r="O27" i="12"/>
  <c r="B31" i="12"/>
  <c r="Y30" i="12"/>
  <c r="X30" i="12"/>
  <c r="C30" i="12"/>
  <c r="A30" i="12"/>
  <c r="N30" i="12"/>
  <c r="AA30" i="12"/>
  <c r="Z30" i="12"/>
  <c r="P28" i="12"/>
  <c r="Q28" i="12"/>
  <c r="R28" i="11"/>
  <c r="K27" i="9"/>
  <c r="M27" i="9"/>
  <c r="P27" i="9"/>
  <c r="P26" i="11"/>
  <c r="I26" i="11"/>
  <c r="O26" i="11"/>
  <c r="R26" i="11"/>
  <c r="AA29" i="11"/>
  <c r="Z29" i="11"/>
  <c r="B30" i="11"/>
  <c r="Y29" i="11"/>
  <c r="X29" i="11"/>
  <c r="C29" i="11"/>
  <c r="A29" i="11"/>
  <c r="N29" i="11"/>
  <c r="P27" i="11"/>
  <c r="I27" i="11"/>
  <c r="O27" i="11"/>
  <c r="R28" i="10"/>
  <c r="J28" i="9"/>
  <c r="K28" i="9"/>
  <c r="M28" i="9"/>
  <c r="K27" i="10"/>
  <c r="M27" i="10"/>
  <c r="AA29" i="10"/>
  <c r="Z29" i="10"/>
  <c r="B30" i="10"/>
  <c r="C29" i="10"/>
  <c r="A29" i="10"/>
  <c r="N29" i="10"/>
  <c r="Y29" i="10"/>
  <c r="X29" i="10"/>
  <c r="O27" i="8"/>
  <c r="AA29" i="9"/>
  <c r="Z29" i="9"/>
  <c r="C29" i="9"/>
  <c r="A29" i="9"/>
  <c r="N29" i="9"/>
  <c r="Y29" i="9"/>
  <c r="B30" i="9"/>
  <c r="X29" i="9"/>
  <c r="R28" i="9"/>
  <c r="R28" i="8"/>
  <c r="J28" i="8"/>
  <c r="AA29" i="8"/>
  <c r="C29" i="8"/>
  <c r="A29" i="8"/>
  <c r="N29" i="8"/>
  <c r="Z29" i="8"/>
  <c r="B30" i="8"/>
  <c r="Y29" i="8"/>
  <c r="X29" i="8"/>
  <c r="P27" i="8"/>
  <c r="I27" i="8"/>
  <c r="I26" i="7"/>
  <c r="P26" i="7"/>
  <c r="R26" i="7"/>
  <c r="K27" i="7"/>
  <c r="M27" i="7"/>
  <c r="AA29" i="7"/>
  <c r="B30" i="7"/>
  <c r="C29" i="7"/>
  <c r="A29" i="7"/>
  <c r="N29" i="7"/>
  <c r="R29" i="7"/>
  <c r="Z29" i="7"/>
  <c r="X29" i="7"/>
  <c r="Y29" i="7"/>
  <c r="J28" i="7"/>
  <c r="J30" i="12"/>
  <c r="K30" i="12"/>
  <c r="M30" i="12"/>
  <c r="Q30" i="12"/>
  <c r="M29" i="12"/>
  <c r="O29" i="12"/>
  <c r="L28" i="12"/>
  <c r="I28" i="12"/>
  <c r="R30" i="12"/>
  <c r="L28" i="11"/>
  <c r="M28" i="11"/>
  <c r="P28" i="11"/>
  <c r="I29" i="12"/>
  <c r="P29" i="12"/>
  <c r="L28" i="9"/>
  <c r="L27" i="10"/>
  <c r="I27" i="10"/>
  <c r="Q29" i="12"/>
  <c r="J29" i="10"/>
  <c r="K29" i="10"/>
  <c r="M29" i="10"/>
  <c r="O29" i="10"/>
  <c r="X31" i="12"/>
  <c r="AA31" i="12"/>
  <c r="Z31" i="12"/>
  <c r="B32" i="12"/>
  <c r="C31" i="12"/>
  <c r="A31" i="12"/>
  <c r="N31" i="12"/>
  <c r="Y31" i="12"/>
  <c r="R29" i="11"/>
  <c r="O27" i="9"/>
  <c r="J29" i="11"/>
  <c r="L27" i="9"/>
  <c r="I27" i="9"/>
  <c r="O28" i="11"/>
  <c r="Q27" i="9"/>
  <c r="B31" i="11"/>
  <c r="Y30" i="11"/>
  <c r="X30" i="11"/>
  <c r="C30" i="11"/>
  <c r="A30" i="11"/>
  <c r="N30" i="11"/>
  <c r="AA30" i="11"/>
  <c r="Z30" i="11"/>
  <c r="Q28" i="11"/>
  <c r="R29" i="10"/>
  <c r="P27" i="10"/>
  <c r="Q27" i="10"/>
  <c r="O27" i="10"/>
  <c r="B31" i="10"/>
  <c r="Y30" i="10"/>
  <c r="X30" i="10"/>
  <c r="C30" i="10"/>
  <c r="A30" i="10"/>
  <c r="N30" i="10"/>
  <c r="AA30" i="10"/>
  <c r="Z30" i="10"/>
  <c r="M28" i="10"/>
  <c r="R29" i="9"/>
  <c r="P28" i="9"/>
  <c r="I28" i="9"/>
  <c r="B31" i="9"/>
  <c r="Y30" i="9"/>
  <c r="X30" i="9"/>
  <c r="C30" i="9"/>
  <c r="A30" i="9"/>
  <c r="N30" i="9"/>
  <c r="Z30" i="9"/>
  <c r="AA30" i="9"/>
  <c r="J29" i="9"/>
  <c r="Q28" i="9"/>
  <c r="J29" i="8"/>
  <c r="K29" i="8"/>
  <c r="M29" i="8"/>
  <c r="O28" i="9"/>
  <c r="R29" i="8"/>
  <c r="B31" i="8"/>
  <c r="Y30" i="8"/>
  <c r="Z30" i="8"/>
  <c r="X30" i="8"/>
  <c r="AA30" i="8"/>
  <c r="C30" i="8"/>
  <c r="A30" i="8"/>
  <c r="N30" i="8"/>
  <c r="K28" i="8"/>
  <c r="M28" i="8"/>
  <c r="L27" i="7"/>
  <c r="I27" i="7"/>
  <c r="P27" i="7"/>
  <c r="O27" i="7"/>
  <c r="J29" i="7"/>
  <c r="K29" i="7"/>
  <c r="L29" i="7"/>
  <c r="Z30" i="7"/>
  <c r="X30" i="7"/>
  <c r="Y30" i="7"/>
  <c r="B31" i="7"/>
  <c r="AA30" i="7"/>
  <c r="C30" i="7"/>
  <c r="A30" i="7"/>
  <c r="N30" i="7"/>
  <c r="R30" i="7"/>
  <c r="Q27" i="7"/>
  <c r="K28" i="7"/>
  <c r="M28" i="7"/>
  <c r="J31" i="12"/>
  <c r="K31" i="12"/>
  <c r="I28" i="11"/>
  <c r="L28" i="8"/>
  <c r="I28" i="8"/>
  <c r="R31" i="12"/>
  <c r="B33" i="12"/>
  <c r="Y32" i="12"/>
  <c r="N32" i="12"/>
  <c r="Q32" i="12"/>
  <c r="X32" i="12"/>
  <c r="AA32" i="12"/>
  <c r="C32" i="12"/>
  <c r="A32" i="12"/>
  <c r="Z32" i="12"/>
  <c r="J30" i="11"/>
  <c r="K30" i="11"/>
  <c r="M30" i="11"/>
  <c r="P30" i="12"/>
  <c r="Q29" i="10"/>
  <c r="O30" i="12"/>
  <c r="L30" i="12"/>
  <c r="I30" i="12"/>
  <c r="R30" i="11"/>
  <c r="K29" i="11"/>
  <c r="M29" i="11"/>
  <c r="J30" i="9"/>
  <c r="K30" i="9"/>
  <c r="L29" i="10"/>
  <c r="X31" i="11"/>
  <c r="AA31" i="11"/>
  <c r="Z31" i="11"/>
  <c r="B32" i="11"/>
  <c r="C31" i="11"/>
  <c r="A31" i="11"/>
  <c r="N31" i="11"/>
  <c r="Y31" i="11"/>
  <c r="J31" i="11"/>
  <c r="R30" i="10"/>
  <c r="I28" i="10"/>
  <c r="P28" i="10"/>
  <c r="O28" i="10"/>
  <c r="Q28" i="10"/>
  <c r="X31" i="10"/>
  <c r="AA31" i="10"/>
  <c r="Z31" i="10"/>
  <c r="Y31" i="10"/>
  <c r="B32" i="10"/>
  <c r="C31" i="10"/>
  <c r="A31" i="10"/>
  <c r="N31" i="10"/>
  <c r="J30" i="10"/>
  <c r="P29" i="10"/>
  <c r="I29" i="10"/>
  <c r="R30" i="9"/>
  <c r="K29" i="9"/>
  <c r="M29" i="9"/>
  <c r="X31" i="9"/>
  <c r="AA31" i="9"/>
  <c r="Y31" i="9"/>
  <c r="Z31" i="9"/>
  <c r="J31" i="9"/>
  <c r="B32" i="9"/>
  <c r="C31" i="9"/>
  <c r="A31" i="9"/>
  <c r="N31" i="9"/>
  <c r="R30" i="8"/>
  <c r="P29" i="8"/>
  <c r="Q29" i="8"/>
  <c r="O29" i="8"/>
  <c r="X31" i="8"/>
  <c r="Y31" i="8"/>
  <c r="B32" i="8"/>
  <c r="C31" i="8"/>
  <c r="A31" i="8"/>
  <c r="N31" i="8"/>
  <c r="Z31" i="8"/>
  <c r="AA31" i="8"/>
  <c r="J30" i="8"/>
  <c r="P28" i="8"/>
  <c r="Q28" i="8"/>
  <c r="O28" i="8"/>
  <c r="L29" i="8"/>
  <c r="I29" i="8"/>
  <c r="J30" i="7"/>
  <c r="K30" i="7"/>
  <c r="L30" i="7"/>
  <c r="P28" i="7"/>
  <c r="O28" i="7"/>
  <c r="L28" i="7"/>
  <c r="I28" i="7"/>
  <c r="M29" i="7"/>
  <c r="O29" i="7"/>
  <c r="Z31" i="7"/>
  <c r="B32" i="7"/>
  <c r="Y31" i="7"/>
  <c r="AA31" i="7"/>
  <c r="C31" i="7"/>
  <c r="A31" i="7"/>
  <c r="N31" i="7"/>
  <c r="R31" i="7"/>
  <c r="X31" i="7"/>
  <c r="Q28" i="7"/>
  <c r="L31" i="12"/>
  <c r="M31" i="12"/>
  <c r="O31" i="12"/>
  <c r="J32" i="12"/>
  <c r="K32" i="12"/>
  <c r="M32" i="12"/>
  <c r="L29" i="11"/>
  <c r="O30" i="11"/>
  <c r="Q30" i="11"/>
  <c r="I31" i="12"/>
  <c r="X33" i="12"/>
  <c r="AA33" i="12"/>
  <c r="Z33" i="12"/>
  <c r="B34" i="12"/>
  <c r="C33" i="12"/>
  <c r="A33" i="12"/>
  <c r="N33" i="12"/>
  <c r="Y33" i="12"/>
  <c r="J33" i="12"/>
  <c r="Q31" i="12"/>
  <c r="L30" i="9"/>
  <c r="M30" i="9"/>
  <c r="O30" i="9"/>
  <c r="R31" i="11"/>
  <c r="B33" i="11"/>
  <c r="Y32" i="11"/>
  <c r="N32" i="11"/>
  <c r="Q32" i="11"/>
  <c r="X32" i="11"/>
  <c r="AA32" i="11"/>
  <c r="C32" i="11"/>
  <c r="A32" i="11"/>
  <c r="Z32" i="11"/>
  <c r="K31" i="11"/>
  <c r="M31" i="11"/>
  <c r="Q31" i="11"/>
  <c r="I29" i="11"/>
  <c r="P29" i="11"/>
  <c r="O29" i="11"/>
  <c r="Q29" i="11"/>
  <c r="P30" i="11"/>
  <c r="L30" i="11"/>
  <c r="I30" i="11"/>
  <c r="R31" i="10"/>
  <c r="J31" i="10"/>
  <c r="K30" i="10"/>
  <c r="M30" i="10"/>
  <c r="B33" i="10"/>
  <c r="Y32" i="10"/>
  <c r="X32" i="10"/>
  <c r="AA32" i="10"/>
  <c r="Z32" i="10"/>
  <c r="J32" i="10"/>
  <c r="N32" i="10"/>
  <c r="Q32" i="10"/>
  <c r="C32" i="10"/>
  <c r="A32" i="10"/>
  <c r="J31" i="8"/>
  <c r="K31" i="8"/>
  <c r="L31" i="8"/>
  <c r="K31" i="9"/>
  <c r="L31" i="9"/>
  <c r="R31" i="9"/>
  <c r="P29" i="9"/>
  <c r="Q29" i="9"/>
  <c r="O29" i="9"/>
  <c r="L29" i="9"/>
  <c r="I29" i="9"/>
  <c r="B33" i="9"/>
  <c r="Y32" i="9"/>
  <c r="N32" i="9"/>
  <c r="Q32" i="9"/>
  <c r="X32" i="9"/>
  <c r="AA32" i="9"/>
  <c r="C32" i="9"/>
  <c r="A32" i="9"/>
  <c r="Z32" i="9"/>
  <c r="R31" i="8"/>
  <c r="B33" i="8"/>
  <c r="Y32" i="8"/>
  <c r="N32" i="8"/>
  <c r="AA32" i="8"/>
  <c r="C32" i="8"/>
  <c r="A32" i="8"/>
  <c r="Z32" i="8"/>
  <c r="X32" i="8"/>
  <c r="K30" i="8"/>
  <c r="M30" i="8"/>
  <c r="Q29" i="7"/>
  <c r="P29" i="7"/>
  <c r="J31" i="7"/>
  <c r="K31" i="7"/>
  <c r="L31" i="7"/>
  <c r="I29" i="7"/>
  <c r="M30" i="7"/>
  <c r="Z32" i="7"/>
  <c r="Y32" i="7"/>
  <c r="B33" i="7"/>
  <c r="AA32" i="7"/>
  <c r="C32" i="7"/>
  <c r="A32" i="7"/>
  <c r="X32" i="7"/>
  <c r="N32" i="7"/>
  <c r="I30" i="7"/>
  <c r="P31" i="12"/>
  <c r="P30" i="9"/>
  <c r="Q30" i="9"/>
  <c r="I30" i="9"/>
  <c r="K33" i="12"/>
  <c r="L33" i="12"/>
  <c r="R33" i="12"/>
  <c r="P32" i="12"/>
  <c r="O32" i="12"/>
  <c r="R32" i="12"/>
  <c r="J32" i="11"/>
  <c r="L32" i="12"/>
  <c r="I32" i="12"/>
  <c r="AA34" i="12"/>
  <c r="Z34" i="12"/>
  <c r="B35" i="12"/>
  <c r="Y34" i="12"/>
  <c r="X34" i="12"/>
  <c r="J34" i="12"/>
  <c r="C34" i="12"/>
  <c r="A34" i="12"/>
  <c r="N34" i="12"/>
  <c r="M31" i="9"/>
  <c r="O31" i="9"/>
  <c r="X33" i="11"/>
  <c r="AA33" i="11"/>
  <c r="Z33" i="11"/>
  <c r="B34" i="11"/>
  <c r="C33" i="11"/>
  <c r="A33" i="11"/>
  <c r="N33" i="11"/>
  <c r="Y33" i="11"/>
  <c r="P31" i="11"/>
  <c r="O31" i="11"/>
  <c r="L31" i="11"/>
  <c r="I31" i="11"/>
  <c r="X33" i="10"/>
  <c r="AA33" i="10"/>
  <c r="B34" i="10"/>
  <c r="C33" i="10"/>
  <c r="A33" i="10"/>
  <c r="N33" i="10"/>
  <c r="Z33" i="10"/>
  <c r="Y33" i="10"/>
  <c r="J33" i="10"/>
  <c r="M31" i="8"/>
  <c r="Q31" i="8"/>
  <c r="K32" i="10"/>
  <c r="M32" i="10"/>
  <c r="P30" i="10"/>
  <c r="Q30" i="10"/>
  <c r="O30" i="10"/>
  <c r="L30" i="10"/>
  <c r="I30" i="10"/>
  <c r="J32" i="9"/>
  <c r="K31" i="10"/>
  <c r="M31" i="10"/>
  <c r="X33" i="9"/>
  <c r="AA33" i="9"/>
  <c r="B34" i="9"/>
  <c r="C33" i="9"/>
  <c r="A33" i="9"/>
  <c r="N33" i="9"/>
  <c r="Z33" i="9"/>
  <c r="Y33" i="9"/>
  <c r="I31" i="9"/>
  <c r="P31" i="9"/>
  <c r="P30" i="8"/>
  <c r="Q30" i="8"/>
  <c r="O30" i="8"/>
  <c r="J32" i="8"/>
  <c r="X33" i="8"/>
  <c r="Z33" i="8"/>
  <c r="Y33" i="8"/>
  <c r="B34" i="8"/>
  <c r="AA33" i="8"/>
  <c r="C33" i="8"/>
  <c r="A33" i="8"/>
  <c r="N33" i="8"/>
  <c r="L30" i="8"/>
  <c r="I30" i="8"/>
  <c r="Q32" i="8"/>
  <c r="P30" i="7"/>
  <c r="O30" i="7"/>
  <c r="M31" i="7"/>
  <c r="J32" i="7"/>
  <c r="K32" i="7"/>
  <c r="Q30" i="7"/>
  <c r="Y33" i="7"/>
  <c r="Z33" i="7"/>
  <c r="X33" i="7"/>
  <c r="C33" i="7"/>
  <c r="A33" i="7"/>
  <c r="N33" i="7"/>
  <c r="B34" i="7"/>
  <c r="AA33" i="7"/>
  <c r="Q31" i="9"/>
  <c r="M33" i="12"/>
  <c r="Q33" i="12"/>
  <c r="J33" i="11"/>
  <c r="K32" i="11"/>
  <c r="M32" i="11"/>
  <c r="O32" i="11"/>
  <c r="R34" i="12"/>
  <c r="I33" i="12"/>
  <c r="Z35" i="12"/>
  <c r="B36" i="12"/>
  <c r="Y35" i="12"/>
  <c r="C35" i="12"/>
  <c r="A35" i="12"/>
  <c r="N35" i="12"/>
  <c r="X35" i="12"/>
  <c r="AA35" i="12"/>
  <c r="J35" i="12"/>
  <c r="K34" i="12"/>
  <c r="M34" i="12"/>
  <c r="Q34" i="12"/>
  <c r="R33" i="11"/>
  <c r="AA34" i="11"/>
  <c r="Z34" i="11"/>
  <c r="B35" i="11"/>
  <c r="Y34" i="11"/>
  <c r="C34" i="11"/>
  <c r="A34" i="11"/>
  <c r="N34" i="11"/>
  <c r="X34" i="11"/>
  <c r="K33" i="10"/>
  <c r="M33" i="10"/>
  <c r="O33" i="10"/>
  <c r="R33" i="10"/>
  <c r="P31" i="8"/>
  <c r="K32" i="9"/>
  <c r="M32" i="9"/>
  <c r="R32" i="9"/>
  <c r="I31" i="8"/>
  <c r="J33" i="8"/>
  <c r="K33" i="8"/>
  <c r="M33" i="8"/>
  <c r="O33" i="8"/>
  <c r="P31" i="10"/>
  <c r="Q31" i="10"/>
  <c r="O31" i="10"/>
  <c r="O32" i="10"/>
  <c r="P32" i="10"/>
  <c r="R32" i="10"/>
  <c r="O31" i="8"/>
  <c r="L31" i="10"/>
  <c r="I31" i="10"/>
  <c r="AA34" i="10"/>
  <c r="Z34" i="10"/>
  <c r="B35" i="10"/>
  <c r="C34" i="10"/>
  <c r="A34" i="10"/>
  <c r="N34" i="10"/>
  <c r="Y34" i="10"/>
  <c r="X34" i="10"/>
  <c r="L32" i="10"/>
  <c r="I32" i="10"/>
  <c r="R33" i="9"/>
  <c r="J33" i="9"/>
  <c r="AA34" i="9"/>
  <c r="Z34" i="9"/>
  <c r="Y34" i="9"/>
  <c r="B35" i="9"/>
  <c r="C34" i="9"/>
  <c r="A34" i="9"/>
  <c r="N34" i="9"/>
  <c r="X34" i="9"/>
  <c r="R33" i="8"/>
  <c r="AA34" i="8"/>
  <c r="Y34" i="8"/>
  <c r="B35" i="8"/>
  <c r="X34" i="8"/>
  <c r="C34" i="8"/>
  <c r="A34" i="8"/>
  <c r="N34" i="8"/>
  <c r="R34" i="8"/>
  <c r="Z34" i="8"/>
  <c r="K32" i="8"/>
  <c r="M32" i="8"/>
  <c r="P31" i="7"/>
  <c r="O31" i="7"/>
  <c r="Q31" i="7"/>
  <c r="J33" i="7"/>
  <c r="K33" i="7"/>
  <c r="M33" i="7"/>
  <c r="P33" i="7"/>
  <c r="I31" i="7"/>
  <c r="L32" i="7"/>
  <c r="M32" i="7"/>
  <c r="Q32" i="7"/>
  <c r="R33" i="7"/>
  <c r="AA34" i="7"/>
  <c r="C34" i="7"/>
  <c r="A34" i="7"/>
  <c r="N34" i="7"/>
  <c r="X34" i="7"/>
  <c r="Z34" i="7"/>
  <c r="Y34" i="7"/>
  <c r="B35" i="7"/>
  <c r="J34" i="11"/>
  <c r="K34" i="11"/>
  <c r="R32" i="11"/>
  <c r="O33" i="12"/>
  <c r="P33" i="12"/>
  <c r="L34" i="12"/>
  <c r="P32" i="11"/>
  <c r="K33" i="11"/>
  <c r="M33" i="11"/>
  <c r="O33" i="11"/>
  <c r="L32" i="11"/>
  <c r="I32" i="11"/>
  <c r="L33" i="8"/>
  <c r="R35" i="12"/>
  <c r="B37" i="12"/>
  <c r="Y36" i="12"/>
  <c r="X36" i="12"/>
  <c r="AA36" i="12"/>
  <c r="Z36" i="12"/>
  <c r="J36" i="12"/>
  <c r="C36" i="12"/>
  <c r="A36" i="12"/>
  <c r="N36" i="12"/>
  <c r="R36" i="12"/>
  <c r="Q33" i="11"/>
  <c r="K35" i="12"/>
  <c r="L35" i="12"/>
  <c r="O34" i="12"/>
  <c r="J34" i="9"/>
  <c r="K34" i="9"/>
  <c r="L34" i="9"/>
  <c r="I34" i="12"/>
  <c r="P34" i="12"/>
  <c r="R34" i="11"/>
  <c r="Q33" i="10"/>
  <c r="Z35" i="11"/>
  <c r="B36" i="11"/>
  <c r="Y35" i="11"/>
  <c r="C35" i="11"/>
  <c r="A35" i="11"/>
  <c r="N35" i="11"/>
  <c r="X35" i="11"/>
  <c r="AA35" i="11"/>
  <c r="J34" i="10"/>
  <c r="K34" i="10"/>
  <c r="L34" i="10"/>
  <c r="P33" i="11"/>
  <c r="R34" i="10"/>
  <c r="O32" i="9"/>
  <c r="P32" i="9"/>
  <c r="Z35" i="10"/>
  <c r="B36" i="10"/>
  <c r="Y35" i="10"/>
  <c r="C35" i="10"/>
  <c r="A35" i="10"/>
  <c r="N35" i="10"/>
  <c r="R35" i="10"/>
  <c r="AA35" i="10"/>
  <c r="X35" i="10"/>
  <c r="L32" i="9"/>
  <c r="I32" i="9"/>
  <c r="L33" i="10"/>
  <c r="I33" i="10"/>
  <c r="P33" i="10"/>
  <c r="R34" i="9"/>
  <c r="J34" i="8"/>
  <c r="K34" i="8"/>
  <c r="M34" i="8"/>
  <c r="Q33" i="8"/>
  <c r="Z35" i="9"/>
  <c r="B36" i="9"/>
  <c r="Y35" i="9"/>
  <c r="C35" i="9"/>
  <c r="A35" i="9"/>
  <c r="N35" i="9"/>
  <c r="AA35" i="9"/>
  <c r="X35" i="9"/>
  <c r="J35" i="9"/>
  <c r="K35" i="9"/>
  <c r="L32" i="8"/>
  <c r="I32" i="8"/>
  <c r="K33" i="9"/>
  <c r="M33" i="9"/>
  <c r="O32" i="8"/>
  <c r="P32" i="8"/>
  <c r="R32" i="8"/>
  <c r="Z35" i="8"/>
  <c r="B36" i="8"/>
  <c r="X35" i="8"/>
  <c r="C35" i="8"/>
  <c r="A35" i="8"/>
  <c r="N35" i="8"/>
  <c r="AA35" i="8"/>
  <c r="Y35" i="8"/>
  <c r="P33" i="8"/>
  <c r="I33" i="8"/>
  <c r="P32" i="7"/>
  <c r="O32" i="7"/>
  <c r="O33" i="7"/>
  <c r="I32" i="7"/>
  <c r="J34" i="7"/>
  <c r="K34" i="7"/>
  <c r="M34" i="7"/>
  <c r="Q33" i="7"/>
  <c r="R32" i="7"/>
  <c r="L33" i="7"/>
  <c r="Y35" i="7"/>
  <c r="X35" i="7"/>
  <c r="Z35" i="7"/>
  <c r="B36" i="7"/>
  <c r="C35" i="7"/>
  <c r="A35" i="7"/>
  <c r="N35" i="7"/>
  <c r="R35" i="7"/>
  <c r="AA35" i="7"/>
  <c r="R34" i="7"/>
  <c r="I33" i="7"/>
  <c r="L34" i="11"/>
  <c r="M34" i="11"/>
  <c r="O34" i="11"/>
  <c r="L33" i="11"/>
  <c r="I33" i="11"/>
  <c r="K36" i="12"/>
  <c r="L36" i="12"/>
  <c r="X37" i="12"/>
  <c r="AA37" i="12"/>
  <c r="N37" i="12"/>
  <c r="Q37" i="12"/>
  <c r="Z37" i="12"/>
  <c r="Y37" i="12"/>
  <c r="J37" i="12"/>
  <c r="B38" i="12"/>
  <c r="C37" i="12"/>
  <c r="A37" i="12"/>
  <c r="M35" i="12"/>
  <c r="J35" i="10"/>
  <c r="K35" i="10"/>
  <c r="L35" i="10"/>
  <c r="R35" i="11"/>
  <c r="J35" i="11"/>
  <c r="B37" i="11"/>
  <c r="Y36" i="11"/>
  <c r="C36" i="11"/>
  <c r="A36" i="11"/>
  <c r="N36" i="11"/>
  <c r="X36" i="11"/>
  <c r="AA36" i="11"/>
  <c r="Z36" i="11"/>
  <c r="P34" i="11"/>
  <c r="I34" i="11"/>
  <c r="M34" i="9"/>
  <c r="O34" i="9"/>
  <c r="M34" i="10"/>
  <c r="B37" i="10"/>
  <c r="Y36" i="10"/>
  <c r="C36" i="10"/>
  <c r="A36" i="10"/>
  <c r="N36" i="10"/>
  <c r="X36" i="10"/>
  <c r="AA36" i="10"/>
  <c r="Z36" i="10"/>
  <c r="M35" i="9"/>
  <c r="Q35" i="9"/>
  <c r="R35" i="9"/>
  <c r="B37" i="9"/>
  <c r="Y36" i="9"/>
  <c r="C36" i="9"/>
  <c r="A36" i="9"/>
  <c r="N36" i="9"/>
  <c r="X36" i="9"/>
  <c r="Z36" i="9"/>
  <c r="AA36" i="9"/>
  <c r="L33" i="9"/>
  <c r="I33" i="9"/>
  <c r="L35" i="9"/>
  <c r="P33" i="9"/>
  <c r="O33" i="9"/>
  <c r="Q33" i="9"/>
  <c r="R35" i="8"/>
  <c r="B37" i="8"/>
  <c r="Y36" i="8"/>
  <c r="C36" i="8"/>
  <c r="A36" i="8"/>
  <c r="N36" i="8"/>
  <c r="AA36" i="8"/>
  <c r="X36" i="8"/>
  <c r="Z36" i="8"/>
  <c r="P34" i="8"/>
  <c r="O34" i="8"/>
  <c r="Q34" i="8"/>
  <c r="J35" i="8"/>
  <c r="L34" i="8"/>
  <c r="I34" i="8"/>
  <c r="P34" i="7"/>
  <c r="O34" i="7"/>
  <c r="J35" i="7"/>
  <c r="K35" i="7"/>
  <c r="L35" i="7"/>
  <c r="L34" i="7"/>
  <c r="I34" i="7"/>
  <c r="Q34" i="7"/>
  <c r="AA36" i="7"/>
  <c r="C36" i="7"/>
  <c r="A36" i="7"/>
  <c r="N36" i="7"/>
  <c r="X36" i="7"/>
  <c r="Y36" i="7"/>
  <c r="B37" i="7"/>
  <c r="Z36" i="7"/>
  <c r="Q34" i="11"/>
  <c r="M36" i="12"/>
  <c r="I36" i="12"/>
  <c r="J36" i="11"/>
  <c r="K36" i="11"/>
  <c r="J36" i="10"/>
  <c r="K36" i="10"/>
  <c r="M36" i="10"/>
  <c r="K37" i="12"/>
  <c r="L37" i="12"/>
  <c r="P36" i="12"/>
  <c r="Q36" i="12"/>
  <c r="AA38" i="12"/>
  <c r="Z38" i="12"/>
  <c r="Y38" i="12"/>
  <c r="C38" i="12"/>
  <c r="E40" i="12"/>
  <c r="X38" i="12"/>
  <c r="J38" i="12"/>
  <c r="K38" i="12"/>
  <c r="C40" i="12"/>
  <c r="O36" i="12"/>
  <c r="J36" i="9"/>
  <c r="K36" i="9"/>
  <c r="L36" i="9"/>
  <c r="M35" i="10"/>
  <c r="P35" i="12"/>
  <c r="I35" i="12"/>
  <c r="Q35" i="12"/>
  <c r="O35" i="12"/>
  <c r="R36" i="11"/>
  <c r="X37" i="11"/>
  <c r="AA37" i="11"/>
  <c r="N37" i="11"/>
  <c r="Q37" i="11"/>
  <c r="Z37" i="11"/>
  <c r="Y37" i="11"/>
  <c r="C37" i="11"/>
  <c r="A37" i="11"/>
  <c r="B38" i="11"/>
  <c r="K35" i="11"/>
  <c r="M35" i="11"/>
  <c r="R36" i="10"/>
  <c r="Q34" i="9"/>
  <c r="O35" i="9"/>
  <c r="X37" i="10"/>
  <c r="AA37" i="10"/>
  <c r="N37" i="10"/>
  <c r="Q37" i="10"/>
  <c r="Z37" i="10"/>
  <c r="Y37" i="10"/>
  <c r="B38" i="10"/>
  <c r="C37" i="10"/>
  <c r="A37" i="10"/>
  <c r="I34" i="9"/>
  <c r="I34" i="10"/>
  <c r="P34" i="10"/>
  <c r="O34" i="10"/>
  <c r="Q34" i="10"/>
  <c r="P34" i="9"/>
  <c r="R36" i="9"/>
  <c r="X37" i="9"/>
  <c r="AA37" i="9"/>
  <c r="N37" i="9"/>
  <c r="Q37" i="9"/>
  <c r="Y37" i="9"/>
  <c r="Z37" i="9"/>
  <c r="B38" i="9"/>
  <c r="C37" i="9"/>
  <c r="A37" i="9"/>
  <c r="P35" i="9"/>
  <c r="I35" i="9"/>
  <c r="R36" i="8"/>
  <c r="K35" i="8"/>
  <c r="M35" i="8"/>
  <c r="J36" i="8"/>
  <c r="X37" i="8"/>
  <c r="AA37" i="8"/>
  <c r="Z37" i="8"/>
  <c r="B38" i="8"/>
  <c r="Y37" i="8"/>
  <c r="C37" i="8"/>
  <c r="A37" i="8"/>
  <c r="N37" i="8"/>
  <c r="Q37" i="8"/>
  <c r="M35" i="7"/>
  <c r="J36" i="7"/>
  <c r="R36" i="7"/>
  <c r="Z37" i="7"/>
  <c r="B38" i="7"/>
  <c r="Y37" i="7"/>
  <c r="C37" i="7"/>
  <c r="A37" i="7"/>
  <c r="AA37" i="7"/>
  <c r="N37" i="7"/>
  <c r="Q37" i="7"/>
  <c r="X37" i="7"/>
  <c r="M38" i="12"/>
  <c r="M37" i="12"/>
  <c r="M39" i="12"/>
  <c r="O37" i="12"/>
  <c r="A38" i="12"/>
  <c r="N38" i="12"/>
  <c r="L38" i="12"/>
  <c r="L39" i="12"/>
  <c r="L36" i="11"/>
  <c r="M36" i="11"/>
  <c r="I36" i="11"/>
  <c r="J37" i="11"/>
  <c r="K37" i="11"/>
  <c r="M37" i="11"/>
  <c r="R37" i="11"/>
  <c r="I35" i="10"/>
  <c r="P35" i="10"/>
  <c r="O35" i="10"/>
  <c r="Q35" i="10"/>
  <c r="G40" i="12"/>
  <c r="J37" i="9"/>
  <c r="K37" i="9"/>
  <c r="L37" i="9"/>
  <c r="L35" i="11"/>
  <c r="I35" i="11"/>
  <c r="P37" i="12"/>
  <c r="R37" i="12"/>
  <c r="I37" i="12"/>
  <c r="AA38" i="11"/>
  <c r="R38" i="11"/>
  <c r="N38" i="11"/>
  <c r="J38" i="11"/>
  <c r="A38" i="11"/>
  <c r="Z38" i="11"/>
  <c r="Q38" i="11"/>
  <c r="M38" i="11"/>
  <c r="I38" i="11"/>
  <c r="Y38" i="11"/>
  <c r="P38" i="11"/>
  <c r="L38" i="11"/>
  <c r="C38" i="11"/>
  <c r="E40" i="11"/>
  <c r="X38" i="11"/>
  <c r="O38" i="11"/>
  <c r="K38" i="11"/>
  <c r="C40" i="11"/>
  <c r="L35" i="8"/>
  <c r="I35" i="8"/>
  <c r="P35" i="11"/>
  <c r="O35" i="11"/>
  <c r="Q35" i="11"/>
  <c r="P36" i="10"/>
  <c r="Q36" i="10"/>
  <c r="O36" i="10"/>
  <c r="AA38" i="10"/>
  <c r="Y38" i="10"/>
  <c r="X38" i="10"/>
  <c r="Z38" i="10"/>
  <c r="J38" i="10"/>
  <c r="K38" i="10"/>
  <c r="C38" i="10"/>
  <c r="E40" i="10"/>
  <c r="C40" i="10"/>
  <c r="J37" i="10"/>
  <c r="L36" i="10"/>
  <c r="I36" i="10"/>
  <c r="M36" i="9"/>
  <c r="P36" i="9"/>
  <c r="J37" i="8"/>
  <c r="K37" i="8"/>
  <c r="M37" i="8"/>
  <c r="AA38" i="9"/>
  <c r="R38" i="9"/>
  <c r="N38" i="9"/>
  <c r="J38" i="9"/>
  <c r="A38" i="9"/>
  <c r="Z38" i="9"/>
  <c r="Q38" i="9"/>
  <c r="M38" i="9"/>
  <c r="I38" i="9"/>
  <c r="X38" i="9"/>
  <c r="K38" i="9"/>
  <c r="P38" i="9"/>
  <c r="C38" i="9"/>
  <c r="E40" i="9"/>
  <c r="Y38" i="9"/>
  <c r="O38" i="9"/>
  <c r="L38" i="9"/>
  <c r="C40" i="9"/>
  <c r="K36" i="8"/>
  <c r="M36" i="8"/>
  <c r="AA38" i="8"/>
  <c r="Z38" i="8"/>
  <c r="Y38" i="8"/>
  <c r="X38" i="8"/>
  <c r="J38" i="8"/>
  <c r="C38" i="8"/>
  <c r="E40" i="8"/>
  <c r="C40" i="8"/>
  <c r="P35" i="8"/>
  <c r="O35" i="8"/>
  <c r="Q35" i="8"/>
  <c r="P35" i="7"/>
  <c r="O35" i="7"/>
  <c r="J37" i="7"/>
  <c r="K37" i="7"/>
  <c r="L37" i="7"/>
  <c r="I35" i="7"/>
  <c r="Q35" i="7"/>
  <c r="K36" i="7"/>
  <c r="M36" i="7"/>
  <c r="AA38" i="7"/>
  <c r="Z38" i="7"/>
  <c r="Y38" i="7"/>
  <c r="C38" i="7"/>
  <c r="E40" i="7"/>
  <c r="J38" i="7"/>
  <c r="X38" i="7"/>
  <c r="C40" i="7"/>
  <c r="F40" i="12"/>
  <c r="F40" i="7"/>
  <c r="L40" i="12"/>
  <c r="V25" i="12"/>
  <c r="L37" i="11"/>
  <c r="I37" i="11"/>
  <c r="P37" i="11"/>
  <c r="I36" i="9"/>
  <c r="M39" i="11"/>
  <c r="O36" i="11"/>
  <c r="P36" i="11"/>
  <c r="Q36" i="11"/>
  <c r="L38" i="10"/>
  <c r="M38" i="10"/>
  <c r="I38" i="10"/>
  <c r="K38" i="8"/>
  <c r="L38" i="8"/>
  <c r="M38" i="8"/>
  <c r="I38" i="8"/>
  <c r="R38" i="12"/>
  <c r="Q38" i="12"/>
  <c r="O38" i="12"/>
  <c r="O39" i="12"/>
  <c r="V27" i="12"/>
  <c r="I38" i="12"/>
  <c r="R39" i="12"/>
  <c r="R40" i="12"/>
  <c r="P38" i="12"/>
  <c r="O37" i="11"/>
  <c r="R39" i="11"/>
  <c r="R40" i="11"/>
  <c r="A38" i="10"/>
  <c r="N38" i="10"/>
  <c r="A38" i="8"/>
  <c r="N38" i="8"/>
  <c r="I40" i="12"/>
  <c r="H40" i="12"/>
  <c r="M37" i="9"/>
  <c r="O37" i="9"/>
  <c r="M40" i="12"/>
  <c r="V26" i="12"/>
  <c r="M40" i="11"/>
  <c r="V26" i="11"/>
  <c r="G40" i="11"/>
  <c r="K37" i="10"/>
  <c r="M37" i="10"/>
  <c r="M39" i="10"/>
  <c r="G40" i="10"/>
  <c r="L39" i="9"/>
  <c r="O36" i="9"/>
  <c r="Q36" i="9"/>
  <c r="P37" i="9"/>
  <c r="G40" i="9"/>
  <c r="P36" i="8"/>
  <c r="Q36" i="8"/>
  <c r="O36" i="8"/>
  <c r="L36" i="8"/>
  <c r="P37" i="8"/>
  <c r="O37" i="8"/>
  <c r="R37" i="8"/>
  <c r="G40" i="8"/>
  <c r="L37" i="8"/>
  <c r="I37" i="8"/>
  <c r="A38" i="7"/>
  <c r="N38" i="7"/>
  <c r="K38" i="7"/>
  <c r="L38" i="7"/>
  <c r="P36" i="7"/>
  <c r="O36" i="7"/>
  <c r="Q36" i="7"/>
  <c r="M37" i="7"/>
  <c r="O37" i="7"/>
  <c r="I40" i="7"/>
  <c r="G40" i="7"/>
  <c r="L36" i="7"/>
  <c r="I36" i="7"/>
  <c r="F40" i="10"/>
  <c r="F40" i="9"/>
  <c r="F40" i="8"/>
  <c r="F40" i="11"/>
  <c r="O39" i="11"/>
  <c r="O40" i="11"/>
  <c r="L39" i="11"/>
  <c r="L40" i="9"/>
  <c r="V25" i="9"/>
  <c r="M39" i="8"/>
  <c r="O40" i="12"/>
  <c r="V30" i="12"/>
  <c r="V30" i="11"/>
  <c r="Q38" i="10"/>
  <c r="O38" i="10"/>
  <c r="R38" i="10"/>
  <c r="P38" i="10"/>
  <c r="R38" i="8"/>
  <c r="R39" i="8"/>
  <c r="V30" i="8"/>
  <c r="O38" i="8"/>
  <c r="Q38" i="8"/>
  <c r="P38" i="8"/>
  <c r="I37" i="9"/>
  <c r="O39" i="9"/>
  <c r="V27" i="9"/>
  <c r="M39" i="9"/>
  <c r="J40" i="12"/>
  <c r="L41" i="12"/>
  <c r="R37" i="9"/>
  <c r="R39" i="9"/>
  <c r="R40" i="9"/>
  <c r="I40" i="11"/>
  <c r="H40" i="11"/>
  <c r="O39" i="8"/>
  <c r="V27" i="8"/>
  <c r="V27" i="11"/>
  <c r="L37" i="10"/>
  <c r="L39" i="10"/>
  <c r="I40" i="10"/>
  <c r="H40" i="10"/>
  <c r="J40" i="10"/>
  <c r="O40" i="9"/>
  <c r="M40" i="10"/>
  <c r="V26" i="10"/>
  <c r="P37" i="10"/>
  <c r="R37" i="10"/>
  <c r="R39" i="10"/>
  <c r="O37" i="10"/>
  <c r="I40" i="9"/>
  <c r="H40" i="9"/>
  <c r="V30" i="9"/>
  <c r="L39" i="8"/>
  <c r="I40" i="8"/>
  <c r="H40" i="8"/>
  <c r="J40" i="8"/>
  <c r="M40" i="8"/>
  <c r="V26" i="8"/>
  <c r="I36" i="8"/>
  <c r="M38" i="7"/>
  <c r="M39" i="7"/>
  <c r="O38" i="7"/>
  <c r="O39" i="7"/>
  <c r="Q38" i="7"/>
  <c r="R38" i="7"/>
  <c r="P38" i="7"/>
  <c r="I38" i="7"/>
  <c r="P37" i="7"/>
  <c r="H40" i="7"/>
  <c r="J40" i="7"/>
  <c r="L39" i="7"/>
  <c r="I37" i="7"/>
  <c r="R37" i="7"/>
  <c r="O39" i="10"/>
  <c r="L40" i="11"/>
  <c r="V25" i="11"/>
  <c r="L40" i="10"/>
  <c r="L41" i="10"/>
  <c r="V25" i="10"/>
  <c r="L40" i="8"/>
  <c r="L42" i="8"/>
  <c r="V25" i="8"/>
  <c r="L40" i="7"/>
  <c r="L42" i="7"/>
  <c r="V25" i="7"/>
  <c r="R40" i="8"/>
  <c r="R42" i="8"/>
  <c r="M40" i="9"/>
  <c r="V26" i="9"/>
  <c r="O40" i="8"/>
  <c r="J40" i="11"/>
  <c r="L41" i="11"/>
  <c r="I37" i="10"/>
  <c r="R40" i="10"/>
  <c r="V30" i="10"/>
  <c r="V27" i="10"/>
  <c r="O40" i="10"/>
  <c r="J40" i="9"/>
  <c r="L41" i="9"/>
  <c r="R39" i="7"/>
  <c r="R40" i="7"/>
  <c r="R42" i="7"/>
  <c r="P39" i="7"/>
  <c r="V28" i="7"/>
  <c r="L41" i="8"/>
  <c r="Q39" i="7"/>
  <c r="V29" i="7"/>
  <c r="M40" i="7"/>
  <c r="V26" i="7"/>
  <c r="O40" i="7"/>
  <c r="V27" i="7"/>
  <c r="V30" i="7"/>
  <c r="L41" i="7"/>
  <c r="U32" i="7"/>
  <c r="P40" i="7"/>
  <c r="Q40" i="7"/>
  <c r="Q42" i="7"/>
  <c r="V32" i="7"/>
  <c r="P7" i="8"/>
  <c r="P39" i="8"/>
  <c r="Q7" i="8"/>
  <c r="Q39" i="8"/>
  <c r="Q40" i="8"/>
  <c r="Q42" i="8"/>
  <c r="V29" i="8"/>
  <c r="V28" i="8"/>
  <c r="P40" i="8"/>
  <c r="U32" i="8"/>
  <c r="V32" i="8"/>
  <c r="P7" i="9"/>
  <c r="P39" i="9"/>
  <c r="Q7" i="9"/>
  <c r="Q39" i="9"/>
  <c r="Q40" i="9"/>
  <c r="V29" i="9"/>
  <c r="P40" i="9"/>
  <c r="V28" i="9"/>
  <c r="V32" i="9"/>
  <c r="U32" i="9"/>
  <c r="P7" i="10"/>
  <c r="P39" i="10"/>
  <c r="Q7" i="10"/>
  <c r="Q39" i="10"/>
  <c r="V29" i="10"/>
  <c r="Q40" i="10"/>
  <c r="P40" i="10"/>
  <c r="V28" i="10"/>
  <c r="V32" i="10"/>
  <c r="U32" i="10"/>
  <c r="P7" i="11"/>
  <c r="P39" i="11"/>
  <c r="Q7" i="11"/>
  <c r="Q39" i="11"/>
  <c r="V29" i="11"/>
  <c r="Q40" i="11"/>
  <c r="P40" i="11"/>
  <c r="V28" i="11"/>
  <c r="U32" i="11"/>
  <c r="V32" i="11"/>
  <c r="P7" i="12"/>
  <c r="P39" i="12"/>
  <c r="Q7" i="12"/>
  <c r="Q39" i="12"/>
  <c r="V29" i="12"/>
  <c r="Q40" i="12"/>
  <c r="P40" i="12"/>
  <c r="V28" i="12"/>
  <c r="U32" i="12"/>
  <c r="V3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Gilberto</author>
  </authors>
  <commentList>
    <comment ref="V21" authorId="0" shapeId="0" xr:uid="{00000000-0006-0000-0000-000001000000}">
      <text>
        <r>
          <rPr>
            <b/>
            <u/>
            <sz val="9"/>
            <color indexed="81"/>
            <rFont val="Segoe UI"/>
            <family val="2"/>
          </rPr>
          <t>ATENÇÃO!!!</t>
        </r>
        <r>
          <rPr>
            <sz val="9"/>
            <color indexed="81"/>
            <rFont val="Segoe UI"/>
            <family val="2"/>
          </rPr>
          <t xml:space="preserve">
Para fechamento do ponto do dia 01 ao último dia do mês, deixe essa célula em branco. Se desejar apurar as horas extras, por exemplo,  do dia 26 de um mês ao dia 25 do mês seguinte, digite 25 nessa célula. As datas na coluna B serão ajustadas automaticamente de acordo com o período de fechamento do ponto escolhido.
</t>
        </r>
      </text>
    </comment>
    <comment ref="V22" authorId="0" shapeId="0" xr:uid="{00000000-0006-0000-0000-000002000000}">
      <text>
        <r>
          <rPr>
            <b/>
            <sz val="9"/>
            <color indexed="81"/>
            <rFont val="Segoe UI"/>
            <family val="2"/>
          </rPr>
          <t>Gilberto:</t>
        </r>
        <r>
          <rPr>
            <sz val="9"/>
            <color indexed="81"/>
            <rFont val="Segoe UI"/>
            <family val="2"/>
          </rPr>
          <t xml:space="preserve">
Selecionar o ano</t>
        </r>
      </text>
    </comment>
    <comment ref="V23" authorId="0" shapeId="0" xr:uid="{00000000-0006-0000-0000-000003000000}">
      <text>
        <r>
          <rPr>
            <b/>
            <sz val="9"/>
            <color indexed="81"/>
            <rFont val="Segoe UI"/>
            <family val="2"/>
          </rPr>
          <t>Gilberto:</t>
        </r>
        <r>
          <rPr>
            <sz val="9"/>
            <color indexed="81"/>
            <rFont val="Segoe UI"/>
            <family val="2"/>
          </rPr>
          <t xml:space="preserve">
Selecionar o mês.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Gilberto</author>
  </authors>
  <commentList>
    <comment ref="V21" authorId="0" shapeId="0" xr:uid="{00000000-0006-0000-0100-000001000000}">
      <text>
        <r>
          <rPr>
            <b/>
            <u/>
            <sz val="9"/>
            <color indexed="81"/>
            <rFont val="Segoe UI"/>
            <family val="2"/>
          </rPr>
          <t>ATENÇÃO!!!</t>
        </r>
        <r>
          <rPr>
            <sz val="9"/>
            <color indexed="81"/>
            <rFont val="Segoe UI"/>
            <family val="2"/>
          </rPr>
          <t xml:space="preserve">
Para fechamento do ponto do dia 01 ao último dia do mês, deixe essa célula em branco. Se desejar apurar as horas extras, por exemplo,  do dia 26 de um mês ao dia 25 do mês seguinte, digite 25 nessa célula. As datas na coluna B serão ajustadas automaticamente de acordo com o período de fechamento do ponto escolhido.
</t>
        </r>
      </text>
    </comment>
    <comment ref="V22" authorId="0" shapeId="0" xr:uid="{00000000-0006-0000-0100-000002000000}">
      <text>
        <r>
          <rPr>
            <b/>
            <sz val="9"/>
            <color indexed="81"/>
            <rFont val="Segoe UI"/>
            <family val="2"/>
          </rPr>
          <t>Gilberto:</t>
        </r>
        <r>
          <rPr>
            <sz val="9"/>
            <color indexed="81"/>
            <rFont val="Segoe UI"/>
            <family val="2"/>
          </rPr>
          <t xml:space="preserve">
Selecionar o ano</t>
        </r>
      </text>
    </comment>
    <comment ref="V23" authorId="0" shapeId="0" xr:uid="{00000000-0006-0000-0100-000003000000}">
      <text>
        <r>
          <rPr>
            <b/>
            <sz val="9"/>
            <color indexed="81"/>
            <rFont val="Segoe UI"/>
            <family val="2"/>
          </rPr>
          <t>Gilberto:</t>
        </r>
        <r>
          <rPr>
            <sz val="9"/>
            <color indexed="81"/>
            <rFont val="Segoe UI"/>
            <family val="2"/>
          </rPr>
          <t xml:space="preserve">
Selecionar o mês.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Gilberto</author>
  </authors>
  <commentList>
    <comment ref="V21" authorId="0" shapeId="0" xr:uid="{00000000-0006-0000-0200-000001000000}">
      <text>
        <r>
          <rPr>
            <b/>
            <u/>
            <sz val="9"/>
            <color indexed="81"/>
            <rFont val="Segoe UI"/>
            <family val="2"/>
          </rPr>
          <t>ATENÇÃO!!!</t>
        </r>
        <r>
          <rPr>
            <sz val="9"/>
            <color indexed="81"/>
            <rFont val="Segoe UI"/>
            <family val="2"/>
          </rPr>
          <t xml:space="preserve">
Para fechamento do ponto do dia 01 ao último dia do mês, deixe essa célula em branco. Se desejar apurar as horas extras, por exemplo,  do dia 26 de um mês ao dia 25 do mês seguinte, digite 25 nessa célula. As datas na coluna B serão ajustadas automaticamente de acordo com o período de fechamento do ponto escolhido.
</t>
        </r>
      </text>
    </comment>
    <comment ref="V22" authorId="0" shapeId="0" xr:uid="{00000000-0006-0000-0200-000002000000}">
      <text>
        <r>
          <rPr>
            <b/>
            <sz val="9"/>
            <color indexed="81"/>
            <rFont val="Segoe UI"/>
            <family val="2"/>
          </rPr>
          <t>Gilberto:</t>
        </r>
        <r>
          <rPr>
            <sz val="9"/>
            <color indexed="81"/>
            <rFont val="Segoe UI"/>
            <family val="2"/>
          </rPr>
          <t xml:space="preserve">
Selecionar o ano</t>
        </r>
      </text>
    </comment>
    <comment ref="V23" authorId="0" shapeId="0" xr:uid="{00000000-0006-0000-0200-000003000000}">
      <text>
        <r>
          <rPr>
            <b/>
            <sz val="9"/>
            <color indexed="81"/>
            <rFont val="Segoe UI"/>
            <family val="2"/>
          </rPr>
          <t>Gilberto:</t>
        </r>
        <r>
          <rPr>
            <sz val="9"/>
            <color indexed="81"/>
            <rFont val="Segoe UI"/>
            <family val="2"/>
          </rPr>
          <t xml:space="preserve">
Selecionar o mês.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Gilberto</author>
  </authors>
  <commentList>
    <comment ref="V21" authorId="0" shapeId="0" xr:uid="{00000000-0006-0000-0300-000001000000}">
      <text>
        <r>
          <rPr>
            <b/>
            <u/>
            <sz val="9"/>
            <color indexed="81"/>
            <rFont val="Segoe UI"/>
            <family val="2"/>
          </rPr>
          <t>ATENÇÃO!!!</t>
        </r>
        <r>
          <rPr>
            <sz val="9"/>
            <color indexed="81"/>
            <rFont val="Segoe UI"/>
            <family val="2"/>
          </rPr>
          <t xml:space="preserve">
Para fechamento do ponto do dia 01 ao último dia do mês, deixe essa célula em branco. Se desejar apurar as horas extras, por exemplo,  do dia 26 de um mês ao dia 25 do mês seguinte, digite 25 nessa célula. As datas na coluna B serão ajustadas automaticamente de acordo com o período de fechamento do ponto escolhido.
</t>
        </r>
      </text>
    </comment>
    <comment ref="V22" authorId="0" shapeId="0" xr:uid="{00000000-0006-0000-0300-000002000000}">
      <text>
        <r>
          <rPr>
            <b/>
            <sz val="9"/>
            <color indexed="81"/>
            <rFont val="Segoe UI"/>
            <family val="2"/>
          </rPr>
          <t>Gilberto:</t>
        </r>
        <r>
          <rPr>
            <sz val="9"/>
            <color indexed="81"/>
            <rFont val="Segoe UI"/>
            <family val="2"/>
          </rPr>
          <t xml:space="preserve">
Selecionar o ano</t>
        </r>
      </text>
    </comment>
    <comment ref="V23" authorId="0" shapeId="0" xr:uid="{00000000-0006-0000-0300-000003000000}">
      <text>
        <r>
          <rPr>
            <b/>
            <sz val="9"/>
            <color indexed="81"/>
            <rFont val="Segoe UI"/>
            <family val="2"/>
          </rPr>
          <t>Gilberto:</t>
        </r>
        <r>
          <rPr>
            <sz val="9"/>
            <color indexed="81"/>
            <rFont val="Segoe UI"/>
            <family val="2"/>
          </rPr>
          <t xml:space="preserve">
Selecionar o mês.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Gilberto</author>
  </authors>
  <commentList>
    <comment ref="V21" authorId="0" shapeId="0" xr:uid="{00000000-0006-0000-0400-000001000000}">
      <text>
        <r>
          <rPr>
            <b/>
            <u/>
            <sz val="9"/>
            <color indexed="81"/>
            <rFont val="Segoe UI"/>
            <family val="2"/>
          </rPr>
          <t>ATENÇÃO!!!</t>
        </r>
        <r>
          <rPr>
            <sz val="9"/>
            <color indexed="81"/>
            <rFont val="Segoe UI"/>
            <family val="2"/>
          </rPr>
          <t xml:space="preserve">
Para fechamento do ponto do dia 01 ao último dia do mês, deixe essa célula em branco. Se desejar apurar as horas extras, por exemplo,  do dia 26 de um mês ao dia 25 do mês seguinte, digite 25 nessa célula. As datas na coluna B serão ajustadas automaticamente de acordo com o período de fechamento do ponto escolhido.
</t>
        </r>
      </text>
    </comment>
    <comment ref="V22" authorId="0" shapeId="0" xr:uid="{00000000-0006-0000-0400-000002000000}">
      <text>
        <r>
          <rPr>
            <b/>
            <sz val="9"/>
            <color indexed="81"/>
            <rFont val="Segoe UI"/>
            <family val="2"/>
          </rPr>
          <t>Gilberto:</t>
        </r>
        <r>
          <rPr>
            <sz val="9"/>
            <color indexed="81"/>
            <rFont val="Segoe UI"/>
            <family val="2"/>
          </rPr>
          <t xml:space="preserve">
Selecionar o ano</t>
        </r>
      </text>
    </comment>
    <comment ref="V23" authorId="0" shapeId="0" xr:uid="{00000000-0006-0000-0400-000003000000}">
      <text>
        <r>
          <rPr>
            <b/>
            <sz val="9"/>
            <color indexed="81"/>
            <rFont val="Segoe UI"/>
            <family val="2"/>
          </rPr>
          <t>Gilberto:</t>
        </r>
        <r>
          <rPr>
            <sz val="9"/>
            <color indexed="81"/>
            <rFont val="Segoe UI"/>
            <family val="2"/>
          </rPr>
          <t xml:space="preserve">
Selecionar o mês.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Gilberto</author>
  </authors>
  <commentList>
    <comment ref="V21" authorId="0" shapeId="0" xr:uid="{00000000-0006-0000-0500-000001000000}">
      <text>
        <r>
          <rPr>
            <b/>
            <u/>
            <sz val="9"/>
            <color indexed="81"/>
            <rFont val="Segoe UI"/>
            <family val="2"/>
          </rPr>
          <t>ATENÇÃO!!!</t>
        </r>
        <r>
          <rPr>
            <sz val="9"/>
            <color indexed="81"/>
            <rFont val="Segoe UI"/>
            <family val="2"/>
          </rPr>
          <t xml:space="preserve">
Para fechamento do ponto do dia 01 ao último dia do mês, deixe essa célula em branco. Se desejar apurar as horas extras, por exemplo,  do dia 26 de um mês ao dia 25 do mês seguinte, digite 25 nessa célula. As datas na coluna B serão ajustadas automaticamente de acordo com o período de fechamento do ponto escolhido.
</t>
        </r>
      </text>
    </comment>
    <comment ref="V22" authorId="0" shapeId="0" xr:uid="{00000000-0006-0000-0500-000002000000}">
      <text>
        <r>
          <rPr>
            <b/>
            <sz val="9"/>
            <color indexed="81"/>
            <rFont val="Segoe UI"/>
            <family val="2"/>
          </rPr>
          <t>Gilberto:</t>
        </r>
        <r>
          <rPr>
            <sz val="9"/>
            <color indexed="81"/>
            <rFont val="Segoe UI"/>
            <family val="2"/>
          </rPr>
          <t xml:space="preserve">
Selecionar o ano</t>
        </r>
      </text>
    </comment>
    <comment ref="V23" authorId="0" shapeId="0" xr:uid="{00000000-0006-0000-0500-000003000000}">
      <text>
        <r>
          <rPr>
            <b/>
            <sz val="9"/>
            <color indexed="81"/>
            <rFont val="Segoe UI"/>
            <family val="2"/>
          </rPr>
          <t>Gilberto:</t>
        </r>
        <r>
          <rPr>
            <sz val="9"/>
            <color indexed="81"/>
            <rFont val="Segoe UI"/>
            <family val="2"/>
          </rPr>
          <t xml:space="preserve">
Selecionar o mês.</t>
        </r>
      </text>
    </comment>
  </commentList>
</comments>
</file>

<file path=xl/sharedStrings.xml><?xml version="1.0" encoding="utf-8"?>
<sst xmlns="http://schemas.openxmlformats.org/spreadsheetml/2006/main" count="471" uniqueCount="89">
  <si>
    <t>CARTÃO PONTO ESPELHO</t>
  </si>
  <si>
    <t xml:space="preserve">Data </t>
  </si>
  <si>
    <t>Dia Semana</t>
  </si>
  <si>
    <t>Folgas</t>
  </si>
  <si>
    <t>Entrada</t>
  </si>
  <si>
    <t>Saída</t>
  </si>
  <si>
    <t>Horas Diurnas</t>
  </si>
  <si>
    <t>H. Not. s/ red.</t>
  </si>
  <si>
    <t>Hora Ficta</t>
  </si>
  <si>
    <t>Horas Noturnas</t>
  </si>
  <si>
    <t>H. Trab.</t>
  </si>
  <si>
    <t>H. Normais</t>
  </si>
  <si>
    <t>H. Extras</t>
  </si>
  <si>
    <t>HE 100%</t>
  </si>
  <si>
    <t>JORNADA CONTRATUAL</t>
  </si>
  <si>
    <t>F</t>
  </si>
  <si>
    <t>domingo</t>
  </si>
  <si>
    <t>Segunda-feira</t>
  </si>
  <si>
    <t>Terça-feira</t>
  </si>
  <si>
    <t>Quarta-feira</t>
  </si>
  <si>
    <t>Quinta-feira</t>
  </si>
  <si>
    <t>Sexta-feira</t>
  </si>
  <si>
    <t>Sábado</t>
  </si>
  <si>
    <t>Feriados</t>
  </si>
  <si>
    <t>HORÁRIO NOTURNO</t>
  </si>
  <si>
    <t>Início</t>
  </si>
  <si>
    <t>Término</t>
  </si>
  <si>
    <t>FECHAMENTO DO PONTO</t>
  </si>
  <si>
    <t>Dia do fechamento do ponto:</t>
  </si>
  <si>
    <t>Selecione o ano :</t>
  </si>
  <si>
    <t>Selecione o mês :</t>
  </si>
  <si>
    <t>fer</t>
  </si>
  <si>
    <t>dom</t>
  </si>
  <si>
    <t>mês</t>
  </si>
  <si>
    <t>dias úteis</t>
  </si>
  <si>
    <t>repousos</t>
  </si>
  <si>
    <t>dsr</t>
  </si>
  <si>
    <t>Total:</t>
  </si>
  <si>
    <t>Decimal:</t>
  </si>
  <si>
    <t>Dsr:</t>
  </si>
  <si>
    <t>Data de início:</t>
  </si>
  <si>
    <t>Data final:</t>
  </si>
  <si>
    <t>Meses</t>
  </si>
  <si>
    <t>Anos</t>
  </si>
  <si>
    <t>Ano</t>
  </si>
  <si>
    <t>Páscoa</t>
  </si>
  <si>
    <t>Horário Noturno</t>
  </si>
  <si>
    <t>Início:</t>
  </si>
  <si>
    <t>Fim:</t>
  </si>
  <si>
    <t>Feriados Nacionais, Municipais e Estadual</t>
  </si>
  <si>
    <t>Feriados Nacionais</t>
  </si>
  <si>
    <t>x</t>
  </si>
  <si>
    <t>Ano Novo</t>
  </si>
  <si>
    <t>Tiradentes</t>
  </si>
  <si>
    <t>Dia do Trabalho</t>
  </si>
  <si>
    <t>Independência</t>
  </si>
  <si>
    <t>Padroeira do Brasil</t>
  </si>
  <si>
    <t>Finados</t>
  </si>
  <si>
    <t>Proclamação da República</t>
  </si>
  <si>
    <t>Natal</t>
  </si>
  <si>
    <t>Móveis</t>
  </si>
  <si>
    <t>Sexta-Feira Santa</t>
  </si>
  <si>
    <t>Corpus Christi</t>
  </si>
  <si>
    <t>Terça-Feira de Carnaval</t>
  </si>
  <si>
    <t>DIA</t>
  </si>
  <si>
    <t>MÊS</t>
  </si>
  <si>
    <t>Fixos</t>
  </si>
  <si>
    <t>Feriado 1</t>
  </si>
  <si>
    <t>Feriado 2</t>
  </si>
  <si>
    <t>Feriado 3</t>
  </si>
  <si>
    <t>Feriado 4</t>
  </si>
  <si>
    <t>Compen-sadas</t>
  </si>
  <si>
    <t>Ausências In-justificadas</t>
  </si>
  <si>
    <t>A</t>
  </si>
  <si>
    <t>Saldo anterior</t>
  </si>
  <si>
    <t>março</t>
  </si>
  <si>
    <t>abril</t>
  </si>
  <si>
    <t>maio</t>
  </si>
  <si>
    <t>junho</t>
  </si>
  <si>
    <t>fevereiro</t>
  </si>
  <si>
    <t>Horas Trabalhadas:</t>
  </si>
  <si>
    <t>Ausências Injustificadas:</t>
  </si>
  <si>
    <t>Horas Compensadas:</t>
  </si>
  <si>
    <t>Horas Extras:</t>
  </si>
  <si>
    <t>Folgas Trabalhadas:</t>
  </si>
  <si>
    <t>julho</t>
  </si>
  <si>
    <t>Adicional Noturno:</t>
  </si>
  <si>
    <t>Ajuste o nome da aba</t>
  </si>
  <si>
    <t>na célula 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</si>
</sst>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dd"/>
    <numFmt numFmtId="165" formatCode="[hh]:mm"/>
    <numFmt numFmtId="166" formatCode="00&quot;:&quot;00"/>
    <numFmt numFmtId="167" formatCode="mmmm"/>
  </numFmts>
  <fonts count="31">
    <font>
      <sz val="10"/>
      <name val="Arial"/>
    </font>
    <font>
      <sz val="11"/>
      <color theme="1"/>
      <name val="Calibri"/>
      <family val="2"/>
      <scheme val="minor"/>
    </font>
    <font>
      <sz val="11"/>
      <color theme="1"/>
      <name val="Calibri"/>
      <family val="2"/>
      <scheme val="minor"/>
    </font>
    <font>
      <b/>
      <sz val="10"/>
      <name val="Arial"/>
      <family val="2"/>
    </font>
    <font>
      <sz val="8"/>
      <name val="Arial"/>
      <family val="2"/>
    </font>
    <font>
      <b/>
      <sz val="14"/>
      <name val="Calibri"/>
      <family val="2"/>
    </font>
    <font>
      <sz val="10"/>
      <name val="Arial"/>
      <family val="2"/>
    </font>
    <font>
      <sz val="10"/>
      <color indexed="10"/>
      <name val="Arial"/>
      <family val="2"/>
    </font>
    <font>
      <sz val="8"/>
      <name val="Arial"/>
      <family val="2"/>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sz val="10"/>
      <color theme="0"/>
      <name val="Arial"/>
      <family val="2"/>
    </font>
    <font>
      <sz val="10"/>
      <name val="Calibri"/>
      <family val="2"/>
    </font>
    <font>
      <sz val="10"/>
      <name val="Calibri"/>
      <family val="2"/>
      <scheme val="minor"/>
    </font>
    <font>
      <b/>
      <sz val="11"/>
      <color theme="0"/>
      <name val="Calibri"/>
      <family val="2"/>
      <scheme val="minor"/>
    </font>
    <font>
      <b/>
      <sz val="10"/>
      <name val="Calibri"/>
      <family val="2"/>
      <scheme val="minor"/>
    </font>
    <font>
      <b/>
      <i/>
      <u/>
      <sz val="14"/>
      <name val="Calibri"/>
      <family val="2"/>
      <scheme val="minor"/>
    </font>
    <font>
      <b/>
      <sz val="14"/>
      <color theme="5"/>
      <name val="Arial"/>
      <family val="2"/>
    </font>
    <font>
      <b/>
      <sz val="11"/>
      <color rgb="FFFF0000"/>
      <name val="Calibri"/>
      <family val="2"/>
      <scheme val="minor"/>
    </font>
    <font>
      <b/>
      <sz val="10"/>
      <color rgb="FFFF0000"/>
      <name val="Arial"/>
      <family val="2"/>
    </font>
    <font>
      <b/>
      <sz val="10"/>
      <name val="Calibri"/>
      <family val="2"/>
    </font>
    <font>
      <b/>
      <sz val="12"/>
      <name val="Calibri"/>
      <family val="2"/>
      <scheme val="minor"/>
    </font>
    <font>
      <sz val="9"/>
      <color indexed="81"/>
      <name val="Segoe UI"/>
      <family val="2"/>
    </font>
    <font>
      <b/>
      <sz val="9"/>
      <color indexed="81"/>
      <name val="Segoe UI"/>
      <family val="2"/>
    </font>
    <font>
      <b/>
      <sz val="10"/>
      <color rgb="FFFF0000"/>
      <name val="Calibri"/>
      <family val="2"/>
    </font>
    <font>
      <b/>
      <sz val="12"/>
      <color theme="1"/>
      <name val="Calibri"/>
      <family val="2"/>
      <scheme val="minor"/>
    </font>
    <font>
      <b/>
      <u/>
      <sz val="10"/>
      <name val="Calibri"/>
      <family val="2"/>
      <scheme val="minor"/>
    </font>
    <font>
      <b/>
      <u/>
      <sz val="9"/>
      <color indexed="81"/>
      <name val="Segoe UI"/>
      <family val="2"/>
    </font>
    <font>
      <sz val="9"/>
      <color rgb="FFFF0000"/>
      <name val="Calibri"/>
      <family val="2"/>
      <scheme val="minor"/>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8"/>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patternFill>
    </fill>
    <fill>
      <patternFill patternType="solid">
        <fgColor theme="0" tint="-0.249977111117893"/>
        <bgColor indexed="64"/>
      </patternFill>
    </fill>
    <fill>
      <patternFill patternType="solid">
        <fgColor theme="0"/>
        <bgColor indexed="64"/>
      </patternFill>
    </fill>
  </fills>
  <borders count="26">
    <border>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top style="thin">
        <color indexed="64"/>
      </top>
      <bottom/>
      <diagonal/>
    </border>
    <border>
      <left/>
      <right style="thin">
        <color indexed="64"/>
      </right>
      <top/>
      <bottom style="thin">
        <color indexed="64"/>
      </bottom>
      <diagonal/>
    </border>
    <border>
      <left/>
      <right/>
      <top style="hair">
        <color indexed="64"/>
      </top>
      <bottom style="thin">
        <color indexed="64"/>
      </bottom>
      <diagonal/>
    </border>
    <border>
      <left style="thin">
        <color indexed="64"/>
      </left>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s>
  <cellStyleXfs count="6">
    <xf numFmtId="0" fontId="0" fillId="0" borderId="0"/>
    <xf numFmtId="0" fontId="10"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0" fillId="7" borderId="0" applyNumberFormat="0" applyBorder="0" applyAlignment="0" applyProtection="0"/>
    <xf numFmtId="0" fontId="10" fillId="14" borderId="0" applyNumberFormat="0" applyBorder="0" applyAlignment="0" applyProtection="0"/>
  </cellStyleXfs>
  <cellXfs count="223">
    <xf numFmtId="0" fontId="0" fillId="0" borderId="0" xfId="0"/>
    <xf numFmtId="0" fontId="5" fillId="0" borderId="0" xfId="0" quotePrefix="1" applyFont="1" applyAlignment="1">
      <alignment vertical="center"/>
    </xf>
    <xf numFmtId="0" fontId="0" fillId="2" borderId="0" xfId="0" applyFill="1"/>
    <xf numFmtId="0" fontId="6" fillId="2" borderId="0" xfId="0" applyFont="1" applyFill="1"/>
    <xf numFmtId="0" fontId="7" fillId="0" borderId="0" xfId="0" quotePrefix="1" applyFont="1"/>
    <xf numFmtId="0" fontId="3" fillId="0" borderId="0" xfId="0" applyFont="1" applyAlignment="1">
      <alignment horizontal="right" indent="1"/>
    </xf>
    <xf numFmtId="0" fontId="0" fillId="0" borderId="0" xfId="0" applyFill="1" applyBorder="1" applyAlignment="1">
      <alignment horizontal="left" indent="1"/>
    </xf>
    <xf numFmtId="0" fontId="0" fillId="0" borderId="0" xfId="0" applyFill="1" applyBorder="1" applyAlignment="1">
      <alignment horizontal="center"/>
    </xf>
    <xf numFmtId="14" fontId="6" fillId="0" borderId="0" xfId="0" quotePrefix="1" applyNumberFormat="1" applyFont="1" applyFill="1" applyBorder="1" applyAlignment="1">
      <alignment horizontal="left" indent="1"/>
    </xf>
    <xf numFmtId="0" fontId="6" fillId="0" borderId="0" xfId="0" applyFont="1" applyFill="1" applyBorder="1" applyAlignment="1">
      <alignment horizontal="left" indent="1"/>
    </xf>
    <xf numFmtId="0" fontId="0" fillId="0" borderId="0" xfId="0" applyBorder="1" applyAlignment="1">
      <alignment horizontal="left" indent="1"/>
    </xf>
    <xf numFmtId="0" fontId="0" fillId="0" borderId="17" xfId="0" applyFill="1" applyBorder="1" applyAlignment="1">
      <alignment horizontal="center"/>
    </xf>
    <xf numFmtId="0" fontId="2" fillId="5" borderId="2" xfId="2" applyBorder="1" applyAlignment="1">
      <alignment horizontal="left" indent="1"/>
    </xf>
    <xf numFmtId="0" fontId="2" fillId="6" borderId="1" xfId="3" applyBorder="1" applyAlignment="1">
      <alignment horizontal="left" indent="1"/>
    </xf>
    <xf numFmtId="0" fontId="2" fillId="6" borderId="2" xfId="3" applyBorder="1" applyAlignment="1">
      <alignment horizontal="left" indent="1"/>
    </xf>
    <xf numFmtId="0" fontId="12" fillId="7" borderId="1" xfId="4" applyFont="1" applyBorder="1" applyAlignment="1">
      <alignment horizontal="left" indent="1"/>
    </xf>
    <xf numFmtId="0" fontId="12" fillId="7" borderId="2" xfId="4" applyFont="1" applyBorder="1" applyAlignment="1">
      <alignment horizontal="left" indent="1"/>
    </xf>
    <xf numFmtId="14" fontId="12" fillId="7" borderId="2" xfId="4" applyNumberFormat="1" applyFont="1" applyBorder="1"/>
    <xf numFmtId="0" fontId="12" fillId="7" borderId="1" xfId="4" applyFont="1" applyBorder="1" applyAlignment="1">
      <alignment horizontal="center"/>
    </xf>
    <xf numFmtId="0" fontId="12" fillId="7" borderId="2" xfId="4" applyFont="1" applyBorder="1" applyAlignment="1">
      <alignment horizontal="center"/>
    </xf>
    <xf numFmtId="0" fontId="2" fillId="5" borderId="2" xfId="2" applyBorder="1" applyAlignment="1">
      <alignment horizontal="center"/>
    </xf>
    <xf numFmtId="0" fontId="2" fillId="6" borderId="2" xfId="3" applyBorder="1" applyAlignment="1">
      <alignment horizontal="center" vertical="center"/>
    </xf>
    <xf numFmtId="0" fontId="12" fillId="7" borderId="4" xfId="4" applyFont="1" applyBorder="1" applyAlignment="1">
      <alignment horizontal="center"/>
    </xf>
    <xf numFmtId="0" fontId="12" fillId="7" borderId="4" xfId="4" applyFont="1" applyBorder="1" applyAlignment="1">
      <alignment horizontal="left" indent="1"/>
    </xf>
    <xf numFmtId="14" fontId="12" fillId="7" borderId="4" xfId="4" applyNumberFormat="1" applyFont="1" applyBorder="1"/>
    <xf numFmtId="0" fontId="2" fillId="6" borderId="1" xfId="3" applyBorder="1" applyAlignment="1">
      <alignment horizontal="center"/>
    </xf>
    <xf numFmtId="0" fontId="2" fillId="6" borderId="4" xfId="3" applyBorder="1" applyAlignment="1">
      <alignment horizontal="center"/>
    </xf>
    <xf numFmtId="0" fontId="2" fillId="6" borderId="4" xfId="3" applyBorder="1" applyAlignment="1">
      <alignment horizontal="left" indent="1"/>
    </xf>
    <xf numFmtId="0" fontId="2" fillId="5" borderId="12" xfId="2" applyBorder="1" applyAlignment="1">
      <alignment horizontal="center"/>
    </xf>
    <xf numFmtId="0" fontId="2" fillId="5" borderId="12" xfId="2" applyBorder="1" applyAlignment="1">
      <alignment horizontal="left" indent="1"/>
    </xf>
    <xf numFmtId="0" fontId="2" fillId="5" borderId="8" xfId="2" applyBorder="1" applyAlignment="1">
      <alignment horizontal="center"/>
    </xf>
    <xf numFmtId="0" fontId="2" fillId="5" borderId="9" xfId="2" applyBorder="1" applyAlignment="1">
      <alignment horizontal="center"/>
    </xf>
    <xf numFmtId="0" fontId="2" fillId="5" borderId="4" xfId="2" applyBorder="1" applyAlignment="1">
      <alignment horizontal="left" indent="1"/>
    </xf>
    <xf numFmtId="0" fontId="2" fillId="5" borderId="10" xfId="2" applyBorder="1" applyAlignment="1">
      <alignment horizontal="center"/>
    </xf>
    <xf numFmtId="0" fontId="12" fillId="7" borderId="3" xfId="4" applyFont="1" applyBorder="1" applyAlignment="1">
      <alignment horizontal="center" vertical="center"/>
    </xf>
    <xf numFmtId="0" fontId="9" fillId="5" borderId="16" xfId="2" applyFont="1" applyBorder="1" applyAlignment="1">
      <alignment horizontal="centerContinuous"/>
    </xf>
    <xf numFmtId="0" fontId="9" fillId="5" borderId="14" xfId="2" applyFont="1" applyBorder="1"/>
    <xf numFmtId="0" fontId="13" fillId="0" borderId="0" xfId="0" applyFont="1"/>
    <xf numFmtId="14" fontId="13" fillId="0" borderId="0" xfId="0" applyNumberFormat="1" applyFont="1"/>
    <xf numFmtId="14" fontId="14" fillId="0" borderId="1" xfId="0" applyNumberFormat="1" applyFont="1" applyBorder="1"/>
    <xf numFmtId="164" fontId="14" fillId="0" borderId="1" xfId="0" applyNumberFormat="1" applyFont="1" applyBorder="1" applyAlignment="1">
      <alignment horizontal="right"/>
    </xf>
    <xf numFmtId="14" fontId="14" fillId="0" borderId="2" xfId="0" applyNumberFormat="1" applyFont="1" applyBorder="1"/>
    <xf numFmtId="164" fontId="14" fillId="0" borderId="2" xfId="0" applyNumberFormat="1" applyFont="1" applyBorder="1" applyAlignment="1">
      <alignment horizontal="right"/>
    </xf>
    <xf numFmtId="20" fontId="14" fillId="0" borderId="2" xfId="0" applyNumberFormat="1" applyFont="1" applyFill="1" applyBorder="1"/>
    <xf numFmtId="20" fontId="14" fillId="0" borderId="2" xfId="0" quotePrefix="1" applyNumberFormat="1" applyFont="1" applyBorder="1" applyAlignment="1">
      <alignment horizontal="center"/>
    </xf>
    <xf numFmtId="20" fontId="14" fillId="0" borderId="2" xfId="0" applyNumberFormat="1" applyFont="1" applyBorder="1" applyAlignment="1">
      <alignment horizontal="center"/>
    </xf>
    <xf numFmtId="14" fontId="14" fillId="0" borderId="2" xfId="0" applyNumberFormat="1" applyFont="1" applyFill="1" applyBorder="1"/>
    <xf numFmtId="14" fontId="14" fillId="0" borderId="4" xfId="0" applyNumberFormat="1" applyFont="1" applyFill="1" applyBorder="1"/>
    <xf numFmtId="164" fontId="14" fillId="0" borderId="4" xfId="0" applyNumberFormat="1" applyFont="1" applyBorder="1" applyAlignment="1">
      <alignment horizontal="right"/>
    </xf>
    <xf numFmtId="20" fontId="14" fillId="0" borderId="4" xfId="0" applyNumberFormat="1" applyFont="1" applyFill="1" applyBorder="1"/>
    <xf numFmtId="20" fontId="14" fillId="0" borderId="4" xfId="0" quotePrefix="1" applyNumberFormat="1" applyFont="1" applyBorder="1" applyAlignment="1">
      <alignment horizontal="center"/>
    </xf>
    <xf numFmtId="20" fontId="14" fillId="0" borderId="4" xfId="0" applyNumberFormat="1" applyFont="1" applyBorder="1" applyAlignment="1">
      <alignment horizontal="center"/>
    </xf>
    <xf numFmtId="0" fontId="16" fillId="10" borderId="1" xfId="4" applyFont="1" applyFill="1" applyBorder="1" applyAlignment="1">
      <alignment horizontal="right" vertical="center" indent="1"/>
    </xf>
    <xf numFmtId="0" fontId="0" fillId="11" borderId="21" xfId="0" applyFill="1" applyBorder="1"/>
    <xf numFmtId="0" fontId="0" fillId="11" borderId="22" xfId="0" applyFill="1" applyBorder="1"/>
    <xf numFmtId="0" fontId="0" fillId="11" borderId="18" xfId="0" applyFill="1" applyBorder="1"/>
    <xf numFmtId="0" fontId="11" fillId="11" borderId="2" xfId="0" applyFont="1" applyFill="1" applyBorder="1" applyAlignment="1">
      <alignment horizontal="right" vertical="center" indent="1"/>
    </xf>
    <xf numFmtId="0" fontId="11" fillId="11" borderId="4" xfId="0" applyFont="1" applyFill="1" applyBorder="1" applyAlignment="1">
      <alignment horizontal="right" vertical="center" indent="1"/>
    </xf>
    <xf numFmtId="20" fontId="11" fillId="11" borderId="2" xfId="0" applyNumberFormat="1" applyFont="1" applyFill="1" applyBorder="1" applyAlignment="1">
      <alignment horizontal="right" vertical="center" indent="1"/>
    </xf>
    <xf numFmtId="20" fontId="11" fillId="11" borderId="4" xfId="0" applyNumberFormat="1" applyFont="1" applyFill="1" applyBorder="1" applyAlignment="1">
      <alignment horizontal="right" vertical="center" indent="1"/>
    </xf>
    <xf numFmtId="0" fontId="15" fillId="9" borderId="3" xfId="0" applyFont="1" applyFill="1" applyBorder="1" applyAlignment="1">
      <alignment horizontal="center"/>
    </xf>
    <xf numFmtId="14" fontId="15" fillId="8" borderId="3" xfId="0" applyNumberFormat="1" applyFont="1" applyFill="1" applyBorder="1"/>
    <xf numFmtId="0" fontId="15" fillId="0" borderId="3" xfId="0" quotePrefix="1" applyFont="1" applyBorder="1"/>
    <xf numFmtId="0" fontId="15" fillId="0" borderId="3" xfId="0" applyFont="1" applyBorder="1"/>
    <xf numFmtId="2" fontId="17" fillId="0" borderId="3" xfId="0" applyNumberFormat="1" applyFont="1" applyBorder="1"/>
    <xf numFmtId="0" fontId="15" fillId="9" borderId="3" xfId="0" applyFont="1" applyFill="1" applyBorder="1" applyAlignment="1">
      <alignment horizontal="right"/>
    </xf>
    <xf numFmtId="0" fontId="15" fillId="0" borderId="6" xfId="0" applyFont="1" applyBorder="1"/>
    <xf numFmtId="0" fontId="15" fillId="9" borderId="6" xfId="0" applyFont="1" applyFill="1" applyBorder="1" applyAlignment="1">
      <alignment horizontal="center"/>
    </xf>
    <xf numFmtId="0" fontId="15" fillId="9" borderId="5" xfId="0" applyFont="1" applyFill="1" applyBorder="1" applyAlignment="1">
      <alignment horizontal="center"/>
    </xf>
    <xf numFmtId="0" fontId="15" fillId="9" borderId="15" xfId="0" applyFont="1" applyFill="1" applyBorder="1" applyAlignment="1">
      <alignment horizontal="right"/>
    </xf>
    <xf numFmtId="165" fontId="17" fillId="0" borderId="3" xfId="0" applyNumberFormat="1" applyFont="1" applyBorder="1"/>
    <xf numFmtId="20" fontId="15" fillId="0" borderId="3" xfId="0" applyNumberFormat="1" applyFont="1" applyFill="1" applyBorder="1" applyAlignment="1">
      <alignment horizontal="center"/>
    </xf>
    <xf numFmtId="0" fontId="15" fillId="9" borderId="20" xfId="0" applyFont="1" applyFill="1" applyBorder="1" applyAlignment="1">
      <alignment horizontal="right"/>
    </xf>
    <xf numFmtId="0" fontId="15" fillId="9" borderId="19" xfId="0" applyFont="1" applyFill="1" applyBorder="1" applyAlignment="1">
      <alignment horizontal="right"/>
    </xf>
    <xf numFmtId="20" fontId="14" fillId="0" borderId="2" xfId="0" quotePrefix="1" applyNumberFormat="1" applyFont="1" applyFill="1" applyBorder="1"/>
    <xf numFmtId="0" fontId="6" fillId="0" borderId="0" xfId="0" applyFont="1"/>
    <xf numFmtId="14" fontId="0" fillId="0" borderId="0" xfId="0" applyNumberFormat="1"/>
    <xf numFmtId="0" fontId="3" fillId="0" borderId="0" xfId="0" applyFont="1" applyFill="1" applyBorder="1" applyAlignment="1">
      <alignment vertical="center"/>
    </xf>
    <xf numFmtId="0" fontId="0" fillId="0" borderId="0" xfId="0" applyBorder="1"/>
    <xf numFmtId="0" fontId="15" fillId="0" borderId="0" xfId="0" applyFont="1"/>
    <xf numFmtId="0" fontId="3" fillId="0" borderId="0" xfId="0" applyFont="1" applyBorder="1" applyAlignment="1">
      <alignment horizontal="center"/>
    </xf>
    <xf numFmtId="0" fontId="20" fillId="0" borderId="0" xfId="0" quotePrefix="1" applyFont="1" applyFill="1" applyBorder="1" applyAlignment="1">
      <alignment vertical="center"/>
    </xf>
    <xf numFmtId="14" fontId="21" fillId="0" borderId="0" xfId="0" applyNumberFormat="1" applyFont="1"/>
    <xf numFmtId="0" fontId="17" fillId="0" borderId="0" xfId="0" applyFont="1" applyAlignment="1">
      <alignment horizontal="center"/>
    </xf>
    <xf numFmtId="0" fontId="17" fillId="3" borderId="3" xfId="0" applyFont="1" applyFill="1" applyBorder="1" applyAlignment="1" applyProtection="1">
      <alignment horizontal="center" vertical="center" wrapText="1"/>
      <protection locked="0"/>
    </xf>
    <xf numFmtId="20" fontId="14" fillId="0" borderId="4" xfId="0" quotePrefix="1" applyNumberFormat="1" applyFont="1" applyFill="1" applyBorder="1"/>
    <xf numFmtId="14" fontId="12" fillId="7" borderId="1" xfId="4" quotePrefix="1" applyNumberFormat="1" applyFont="1" applyBorder="1"/>
    <xf numFmtId="14" fontId="9" fillId="5" borderId="4" xfId="2" quotePrefix="1" applyNumberFormat="1" applyFont="1" applyBorder="1" applyAlignment="1">
      <alignment horizontal="right" indent="1"/>
    </xf>
    <xf numFmtId="14" fontId="1" fillId="6" borderId="1" xfId="3" quotePrefix="1" applyNumberFormat="1" applyFont="1" applyBorder="1"/>
    <xf numFmtId="14" fontId="1" fillId="6" borderId="2" xfId="3" quotePrefix="1" applyNumberFormat="1" applyFont="1" applyBorder="1"/>
    <xf numFmtId="14" fontId="1" fillId="6" borderId="4" xfId="3" quotePrefix="1" applyNumberFormat="1" applyFont="1" applyBorder="1"/>
    <xf numFmtId="14" fontId="1" fillId="5" borderId="12" xfId="2" quotePrefix="1" applyNumberFormat="1" applyFont="1" applyBorder="1"/>
    <xf numFmtId="14" fontId="1" fillId="5" borderId="2" xfId="2" quotePrefix="1" applyNumberFormat="1" applyFont="1" applyBorder="1"/>
    <xf numFmtId="14" fontId="1" fillId="5" borderId="14" xfId="2" quotePrefix="1" applyNumberFormat="1" applyFont="1" applyBorder="1"/>
    <xf numFmtId="0" fontId="0" fillId="0" borderId="0" xfId="0" applyBorder="1" applyAlignment="1">
      <alignment vertical="center"/>
    </xf>
    <xf numFmtId="0" fontId="12" fillId="7" borderId="7" xfId="4" applyFont="1" applyBorder="1" applyAlignment="1">
      <alignment horizontal="center" vertical="center"/>
    </xf>
    <xf numFmtId="14" fontId="12" fillId="7" borderId="2" xfId="4" quotePrefix="1" applyNumberFormat="1" applyFont="1" applyBorder="1"/>
    <xf numFmtId="14" fontId="12" fillId="7" borderId="4" xfId="4" quotePrefix="1" applyNumberFormat="1" applyFont="1" applyBorder="1"/>
    <xf numFmtId="14" fontId="1" fillId="5" borderId="10" xfId="2" quotePrefix="1" applyNumberFormat="1" applyFont="1" applyBorder="1"/>
    <xf numFmtId="14" fontId="13" fillId="0" borderId="0" xfId="0" applyNumberFormat="1" applyFont="1" applyBorder="1" applyAlignment="1">
      <alignment horizontal="left" indent="1"/>
    </xf>
    <xf numFmtId="20" fontId="14" fillId="0" borderId="0" xfId="0" applyNumberFormat="1" applyFont="1" applyBorder="1" applyAlignment="1">
      <alignment horizontal="center"/>
    </xf>
    <xf numFmtId="165" fontId="17" fillId="0" borderId="0" xfId="0" applyNumberFormat="1" applyFont="1" applyBorder="1"/>
    <xf numFmtId="2" fontId="17" fillId="0" borderId="0" xfId="0" applyNumberFormat="1" applyFont="1" applyBorder="1"/>
    <xf numFmtId="0" fontId="17" fillId="0" borderId="5" xfId="0" applyFont="1" applyFill="1" applyBorder="1" applyAlignment="1" applyProtection="1">
      <alignment horizontal="center" vertical="center" wrapText="1"/>
      <protection locked="0"/>
    </xf>
    <xf numFmtId="20" fontId="14" fillId="0" borderId="3" xfId="0" applyNumberFormat="1" applyFont="1" applyBorder="1" applyAlignment="1">
      <alignment horizontal="center"/>
    </xf>
    <xf numFmtId="20" fontId="14" fillId="8" borderId="1" xfId="0" applyNumberFormat="1" applyFont="1" applyFill="1" applyBorder="1" applyAlignment="1">
      <alignment horizontal="left" vertical="center" indent="1"/>
    </xf>
    <xf numFmtId="20" fontId="14" fillId="8" borderId="2" xfId="0" applyNumberFormat="1" applyFont="1" applyFill="1" applyBorder="1" applyAlignment="1">
      <alignment horizontal="left" vertical="center" indent="1"/>
    </xf>
    <xf numFmtId="20" fontId="14" fillId="8" borderId="4" xfId="0" applyNumberFormat="1" applyFont="1" applyFill="1" applyBorder="1" applyAlignment="1">
      <alignment horizontal="left" vertical="center" indent="1"/>
    </xf>
    <xf numFmtId="20" fontId="14" fillId="12" borderId="3" xfId="0" applyNumberFormat="1" applyFont="1" applyFill="1" applyBorder="1" applyAlignment="1">
      <alignment horizontal="center"/>
    </xf>
    <xf numFmtId="20" fontId="14" fillId="11" borderId="1" xfId="0" applyNumberFormat="1" applyFont="1" applyFill="1" applyBorder="1" applyAlignment="1">
      <alignment horizontal="center"/>
    </xf>
    <xf numFmtId="20" fontId="14" fillId="11" borderId="2" xfId="0" applyNumberFormat="1" applyFont="1" applyFill="1" applyBorder="1" applyAlignment="1">
      <alignment horizontal="center"/>
    </xf>
    <xf numFmtId="20" fontId="14" fillId="11" borderId="4" xfId="0" applyNumberFormat="1" applyFont="1" applyFill="1" applyBorder="1" applyAlignment="1">
      <alignment horizontal="center"/>
    </xf>
    <xf numFmtId="164" fontId="14" fillId="8" borderId="2" xfId="0" applyNumberFormat="1" applyFont="1" applyFill="1" applyBorder="1" applyAlignment="1">
      <alignment horizontal="left" vertical="center" indent="1"/>
    </xf>
    <xf numFmtId="164" fontId="14" fillId="8" borderId="13" xfId="0" applyNumberFormat="1" applyFont="1" applyFill="1" applyBorder="1" applyAlignment="1">
      <alignment horizontal="left" vertical="center" indent="1"/>
    </xf>
    <xf numFmtId="20" fontId="14" fillId="0" borderId="5" xfId="0" applyNumberFormat="1" applyFont="1" applyBorder="1" applyAlignment="1">
      <alignment horizontal="center"/>
    </xf>
    <xf numFmtId="0" fontId="22" fillId="13" borderId="2" xfId="0" applyNumberFormat="1" applyFont="1" applyFill="1" applyBorder="1" applyAlignment="1">
      <alignment horizontal="center" vertical="center"/>
    </xf>
    <xf numFmtId="0" fontId="22" fillId="13" borderId="4" xfId="0" applyNumberFormat="1" applyFont="1" applyFill="1" applyBorder="1" applyAlignment="1">
      <alignment horizontal="center" vertical="center"/>
    </xf>
    <xf numFmtId="0" fontId="15" fillId="0" borderId="11" xfId="0" applyFont="1" applyBorder="1" applyAlignment="1"/>
    <xf numFmtId="0" fontId="14" fillId="0" borderId="23" xfId="0" applyNumberFormat="1" applyFont="1" applyBorder="1" applyAlignment="1">
      <alignment horizontal="center"/>
    </xf>
    <xf numFmtId="0" fontId="14" fillId="0" borderId="0" xfId="0" applyNumberFormat="1" applyFont="1" applyBorder="1" applyAlignment="1">
      <alignment horizontal="center"/>
    </xf>
    <xf numFmtId="0" fontId="15" fillId="0" borderId="0" xfId="0" applyFont="1" applyFill="1" applyProtection="1">
      <protection locked="0"/>
    </xf>
    <xf numFmtId="0" fontId="19" fillId="0" borderId="0" xfId="0" applyFont="1" applyBorder="1" applyAlignment="1">
      <alignment horizontal="center" vertical="center"/>
    </xf>
    <xf numFmtId="20" fontId="14" fillId="8" borderId="1" xfId="0" applyNumberFormat="1" applyFont="1" applyFill="1" applyBorder="1" applyAlignment="1">
      <alignment horizontal="right" vertical="center" indent="1"/>
    </xf>
    <xf numFmtId="20" fontId="14" fillId="8" borderId="4" xfId="0" applyNumberFormat="1" applyFont="1" applyFill="1" applyBorder="1" applyAlignment="1">
      <alignment horizontal="right" vertical="center" indent="1"/>
    </xf>
    <xf numFmtId="20" fontId="14" fillId="8" borderId="3" xfId="0" applyNumberFormat="1" applyFont="1" applyFill="1" applyBorder="1" applyAlignment="1">
      <alignment horizontal="center"/>
    </xf>
    <xf numFmtId="14" fontId="15" fillId="12" borderId="3" xfId="0" applyNumberFormat="1" applyFont="1" applyFill="1" applyBorder="1" applyAlignment="1">
      <alignment horizontal="right"/>
    </xf>
    <xf numFmtId="14" fontId="15" fillId="12" borderId="7" xfId="0" applyNumberFormat="1" applyFont="1" applyFill="1" applyBorder="1" applyAlignment="1"/>
    <xf numFmtId="0" fontId="17" fillId="0" borderId="0" xfId="0" applyFont="1" applyBorder="1" applyAlignment="1">
      <alignment vertical="center"/>
    </xf>
    <xf numFmtId="0" fontId="15" fillId="0" borderId="11" xfId="0" applyFont="1" applyFill="1" applyBorder="1" applyAlignment="1"/>
    <xf numFmtId="0" fontId="15" fillId="0" borderId="0" xfId="0" applyFont="1" applyAlignment="1">
      <alignment horizontal="right"/>
    </xf>
    <xf numFmtId="0" fontId="17" fillId="0" borderId="0" xfId="0" applyNumberFormat="1" applyFont="1" applyBorder="1" applyAlignment="1">
      <alignment horizontal="center" vertical="center"/>
    </xf>
    <xf numFmtId="0" fontId="17" fillId="0" borderId="0" xfId="0" applyNumberFormat="1" applyFont="1" applyAlignment="1">
      <alignment horizontal="center" vertical="center"/>
    </xf>
    <xf numFmtId="0" fontId="17" fillId="0" borderId="0" xfId="0" applyFont="1" applyBorder="1" applyAlignment="1"/>
    <xf numFmtId="0" fontId="3" fillId="0" borderId="0" xfId="0" applyFont="1"/>
    <xf numFmtId="0" fontId="3" fillId="0" borderId="0" xfId="0" applyNumberFormat="1" applyFont="1"/>
    <xf numFmtId="0" fontId="6" fillId="2" borderId="0" xfId="0" applyFont="1" applyFill="1" applyAlignment="1">
      <alignment horizontal="right" indent="1"/>
    </xf>
    <xf numFmtId="166" fontId="14" fillId="12" borderId="2" xfId="0" applyNumberFormat="1" applyFont="1" applyFill="1" applyBorder="1" applyProtection="1">
      <protection locked="0"/>
    </xf>
    <xf numFmtId="166" fontId="14" fillId="12" borderId="4" xfId="0" applyNumberFormat="1" applyFont="1" applyFill="1" applyBorder="1" applyProtection="1">
      <protection locked="0"/>
    </xf>
    <xf numFmtId="20" fontId="15" fillId="0" borderId="1" xfId="0" applyNumberFormat="1" applyFont="1" applyBorder="1"/>
    <xf numFmtId="20" fontId="15" fillId="0" borderId="1" xfId="0" quotePrefix="1" applyNumberFormat="1" applyFont="1" applyBorder="1"/>
    <xf numFmtId="20" fontId="15" fillId="0" borderId="3" xfId="0" applyNumberFormat="1" applyFont="1" applyBorder="1"/>
    <xf numFmtId="20" fontId="15" fillId="0" borderId="3" xfId="0" quotePrefix="1" applyNumberFormat="1" applyFont="1" applyBorder="1"/>
    <xf numFmtId="20" fontId="14" fillId="0" borderId="4" xfId="0" quotePrefix="1" applyNumberFormat="1" applyFont="1" applyBorder="1" applyAlignment="1">
      <alignment horizontal="center" vertical="center"/>
    </xf>
    <xf numFmtId="20" fontId="14" fillId="0" borderId="2" xfId="0" quotePrefix="1" applyNumberFormat="1" applyFont="1" applyBorder="1" applyAlignment="1">
      <alignment horizontal="center" vertical="center"/>
    </xf>
    <xf numFmtId="20" fontId="14" fillId="8" borderId="3" xfId="0" applyNumberFormat="1" applyFont="1" applyFill="1" applyBorder="1" applyAlignment="1">
      <alignment horizontal="right" indent="1"/>
    </xf>
    <xf numFmtId="0" fontId="3" fillId="0" borderId="0" xfId="0" applyFont="1" applyFill="1" applyBorder="1" applyAlignment="1">
      <alignment horizontal="center" vertical="center" wrapText="1"/>
    </xf>
    <xf numFmtId="0" fontId="26" fillId="0" borderId="8" xfId="0" applyNumberFormat="1" applyFont="1" applyBorder="1" applyAlignment="1">
      <alignment horizontal="center"/>
    </xf>
    <xf numFmtId="0" fontId="27" fillId="11" borderId="18" xfId="5" applyFont="1" applyFill="1" applyBorder="1" applyProtection="1">
      <protection locked="0"/>
    </xf>
    <xf numFmtId="0" fontId="27" fillId="11" borderId="3" xfId="5" applyFont="1" applyFill="1" applyBorder="1" applyProtection="1">
      <protection locked="0"/>
    </xf>
    <xf numFmtId="0" fontId="1" fillId="5" borderId="2" xfId="2" applyFont="1" applyBorder="1" applyAlignment="1">
      <alignment horizontal="center"/>
    </xf>
    <xf numFmtId="0" fontId="1" fillId="5" borderId="13" xfId="2" applyFon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1"/>
    </xf>
    <xf numFmtId="20" fontId="14" fillId="0" borderId="12" xfId="0" quotePrefix="1" applyNumberFormat="1" applyFont="1" applyBorder="1" applyAlignment="1">
      <alignment horizontal="center" vertical="center"/>
    </xf>
    <xf numFmtId="0" fontId="6" fillId="0" borderId="0" xfId="0" quotePrefix="1" applyFont="1"/>
    <xf numFmtId="0" fontId="0" fillId="0" borderId="0" xfId="0" quotePrefix="1"/>
    <xf numFmtId="0" fontId="18" fillId="0" borderId="0" xfId="0" applyFont="1" applyBorder="1" applyAlignment="1">
      <alignment vertical="center"/>
    </xf>
    <xf numFmtId="0" fontId="22" fillId="13" borderId="12" xfId="0" applyNumberFormat="1" applyFont="1" applyFill="1" applyBorder="1" applyAlignment="1">
      <alignment horizontal="center" vertical="center"/>
    </xf>
    <xf numFmtId="166" fontId="14" fillId="12" borderId="12" xfId="0" applyNumberFormat="1" applyFont="1" applyFill="1" applyBorder="1" applyProtection="1">
      <protection locked="0"/>
    </xf>
    <xf numFmtId="20" fontId="14" fillId="0" borderId="12" xfId="0" quotePrefix="1" applyNumberFormat="1" applyFont="1" applyFill="1" applyBorder="1"/>
    <xf numFmtId="20" fontId="14" fillId="0" borderId="12" xfId="0" applyNumberFormat="1" applyFont="1" applyFill="1" applyBorder="1"/>
    <xf numFmtId="20" fontId="14" fillId="0" borderId="12" xfId="0" quotePrefix="1" applyNumberFormat="1" applyFont="1" applyBorder="1" applyAlignment="1">
      <alignment horizontal="center"/>
    </xf>
    <xf numFmtId="0" fontId="0" fillId="12" borderId="6" xfId="0" applyFill="1" applyBorder="1"/>
    <xf numFmtId="0" fontId="0" fillId="12" borderId="11" xfId="0" applyFill="1" applyBorder="1"/>
    <xf numFmtId="0" fontId="0" fillId="12" borderId="7" xfId="0" applyFill="1" applyBorder="1"/>
    <xf numFmtId="0" fontId="0" fillId="0" borderId="0" xfId="0" applyFill="1" applyBorder="1"/>
    <xf numFmtId="0" fontId="17" fillId="0" borderId="0" xfId="0" quotePrefix="1" applyFont="1" applyFill="1" applyBorder="1" applyAlignment="1">
      <alignment vertical="center"/>
    </xf>
    <xf numFmtId="0" fontId="17" fillId="0" borderId="22" xfId="0" quotePrefix="1" applyFont="1" applyFill="1" applyBorder="1" applyAlignment="1">
      <alignment vertical="center"/>
    </xf>
    <xf numFmtId="0" fontId="17" fillId="0" borderId="0" xfId="0" applyFont="1" applyFill="1" applyBorder="1" applyAlignment="1" applyProtection="1">
      <alignment horizontal="center" vertical="center" wrapText="1"/>
      <protection locked="0"/>
    </xf>
    <xf numFmtId="20" fontId="14" fillId="0" borderId="12" xfId="0" applyNumberFormat="1" applyFont="1" applyBorder="1" applyAlignment="1">
      <alignment horizontal="center"/>
    </xf>
    <xf numFmtId="165" fontId="15" fillId="0" borderId="3" xfId="0" applyNumberFormat="1" applyFont="1" applyBorder="1" applyAlignment="1">
      <alignment horizontal="center"/>
    </xf>
    <xf numFmtId="14" fontId="14" fillId="0" borderId="0" xfId="0" applyNumberFormat="1" applyFont="1" applyBorder="1" applyAlignment="1">
      <alignment horizontal="center"/>
    </xf>
    <xf numFmtId="0" fontId="0" fillId="0" borderId="0" xfId="0" applyBorder="1" applyAlignment="1">
      <alignment horizontal="right"/>
    </xf>
    <xf numFmtId="0" fontId="15" fillId="0" borderId="24" xfId="0" applyFont="1" applyFill="1" applyBorder="1" applyAlignment="1">
      <alignment horizontal="right"/>
    </xf>
    <xf numFmtId="0" fontId="15" fillId="0" borderId="17" xfId="0" applyFont="1" applyFill="1" applyBorder="1" applyAlignment="1">
      <alignment horizontal="right"/>
    </xf>
    <xf numFmtId="2" fontId="17" fillId="0" borderId="17" xfId="0" applyNumberFormat="1" applyFont="1" applyFill="1" applyBorder="1"/>
    <xf numFmtId="165" fontId="0" fillId="0" borderId="0" xfId="0" applyNumberFormat="1"/>
    <xf numFmtId="165" fontId="15" fillId="0" borderId="3" xfId="0" quotePrefix="1" applyNumberFormat="1" applyFont="1" applyBorder="1" applyAlignment="1">
      <alignment horizontal="center"/>
    </xf>
    <xf numFmtId="20" fontId="14" fillId="12" borderId="2" xfId="0" applyNumberFormat="1" applyFont="1" applyFill="1" applyBorder="1" applyAlignment="1">
      <alignment horizontal="left" indent="1"/>
    </xf>
    <xf numFmtId="165" fontId="14" fillId="12" borderId="2" xfId="0" applyNumberFormat="1" applyFont="1" applyFill="1" applyBorder="1" applyAlignment="1">
      <alignment horizontal="center"/>
    </xf>
    <xf numFmtId="20" fontId="22" fillId="12" borderId="3" xfId="0" applyNumberFormat="1" applyFont="1" applyFill="1" applyBorder="1" applyAlignment="1">
      <alignment horizontal="center"/>
    </xf>
    <xf numFmtId="167" fontId="6" fillId="0" borderId="3" xfId="0" quotePrefix="1" applyNumberFormat="1" applyFont="1" applyBorder="1" applyAlignment="1">
      <alignment horizontal="center"/>
    </xf>
    <xf numFmtId="165" fontId="14" fillId="12" borderId="3" xfId="0" applyNumberFormat="1" applyFont="1" applyFill="1" applyBorder="1" applyAlignment="1">
      <alignment horizontal="center"/>
    </xf>
    <xf numFmtId="20" fontId="14" fillId="16" borderId="1" xfId="0" applyNumberFormat="1" applyFont="1" applyFill="1" applyBorder="1" applyAlignment="1">
      <alignment horizontal="left" indent="1"/>
    </xf>
    <xf numFmtId="165" fontId="14" fillId="16" borderId="1" xfId="0" applyNumberFormat="1" applyFont="1" applyFill="1" applyBorder="1" applyAlignment="1">
      <alignment horizontal="center"/>
    </xf>
    <xf numFmtId="20" fontId="14" fillId="0" borderId="2" xfId="0" applyNumberFormat="1" applyFont="1" applyFill="1" applyBorder="1" applyAlignment="1">
      <alignment horizontal="left" indent="1"/>
    </xf>
    <xf numFmtId="165" fontId="14" fillId="0" borderId="2" xfId="0" applyNumberFormat="1" applyFont="1" applyFill="1" applyBorder="1" applyAlignment="1">
      <alignment horizontal="center"/>
    </xf>
    <xf numFmtId="20" fontId="14" fillId="0" borderId="4" xfId="0" applyNumberFormat="1" applyFont="1" applyFill="1" applyBorder="1" applyAlignment="1">
      <alignment horizontal="left" indent="1"/>
    </xf>
    <xf numFmtId="165" fontId="14" fillId="0" borderId="4" xfId="0" applyNumberFormat="1" applyFont="1" applyFill="1" applyBorder="1" applyAlignment="1">
      <alignment horizontal="center"/>
    </xf>
    <xf numFmtId="20" fontId="14" fillId="12" borderId="3" xfId="0" applyNumberFormat="1" applyFont="1" applyFill="1" applyBorder="1" applyAlignment="1">
      <alignment horizontal="left" vertical="center" indent="1"/>
    </xf>
    <xf numFmtId="165" fontId="22" fillId="12" borderId="3" xfId="0" applyNumberFormat="1" applyFont="1" applyFill="1" applyBorder="1" applyAlignment="1">
      <alignment horizontal="center"/>
    </xf>
    <xf numFmtId="20" fontId="14" fillId="12" borderId="3" xfId="0" applyNumberFormat="1" applyFont="1" applyFill="1" applyBorder="1" applyAlignment="1">
      <alignment horizontal="left" indent="1"/>
    </xf>
    <xf numFmtId="20" fontId="14" fillId="0" borderId="1" xfId="0" applyNumberFormat="1" applyFont="1" applyFill="1" applyBorder="1" applyAlignment="1">
      <alignment horizontal="left" indent="1"/>
    </xf>
    <xf numFmtId="165" fontId="14" fillId="0" borderId="1" xfId="0" applyNumberFormat="1" applyFont="1" applyFill="1" applyBorder="1" applyAlignment="1">
      <alignment horizontal="center"/>
    </xf>
    <xf numFmtId="0" fontId="30" fillId="0" borderId="0" xfId="0" applyFont="1"/>
    <xf numFmtId="0" fontId="17" fillId="15" borderId="6" xfId="0" quotePrefix="1" applyFont="1" applyFill="1" applyBorder="1" applyAlignment="1">
      <alignment horizontal="center" vertical="center"/>
    </xf>
    <xf numFmtId="0" fontId="17" fillId="15" borderId="11" xfId="0" quotePrefix="1" applyFont="1" applyFill="1" applyBorder="1" applyAlignment="1">
      <alignment horizontal="center" vertical="center"/>
    </xf>
    <xf numFmtId="0" fontId="17" fillId="15" borderId="7" xfId="0" quotePrefix="1" applyFont="1" applyFill="1" applyBorder="1" applyAlignment="1">
      <alignment horizontal="center" vertical="center"/>
    </xf>
    <xf numFmtId="0" fontId="17" fillId="3" borderId="24" xfId="0" applyFont="1" applyFill="1" applyBorder="1" applyAlignment="1" applyProtection="1">
      <alignment horizontal="center" vertical="center" wrapText="1"/>
      <protection locked="0"/>
    </xf>
    <xf numFmtId="0" fontId="17" fillId="3" borderId="25" xfId="0" applyFont="1" applyFill="1" applyBorder="1" applyAlignment="1" applyProtection="1">
      <alignment horizontal="center" vertical="center" wrapText="1"/>
      <protection locked="0"/>
    </xf>
    <xf numFmtId="0" fontId="17" fillId="3" borderId="21" xfId="0" applyFont="1" applyFill="1" applyBorder="1" applyAlignment="1" applyProtection="1">
      <alignment horizontal="center" vertical="center" wrapText="1"/>
      <protection locked="0"/>
    </xf>
    <xf numFmtId="0" fontId="17" fillId="3" borderId="18" xfId="0" applyFont="1" applyFill="1" applyBorder="1" applyAlignment="1" applyProtection="1">
      <alignment horizontal="center" vertical="center" wrapText="1"/>
      <protection locked="0"/>
    </xf>
    <xf numFmtId="0" fontId="6" fillId="2" borderId="0" xfId="0" applyFont="1" applyFill="1" applyAlignment="1">
      <alignment horizontal="center" vertical="center" wrapText="1"/>
    </xf>
    <xf numFmtId="0" fontId="0" fillId="0" borderId="0" xfId="0" applyAlignment="1">
      <alignment horizontal="center" vertical="center" wrapText="1"/>
    </xf>
    <xf numFmtId="0" fontId="23" fillId="0" borderId="0" xfId="0" applyFont="1" applyBorder="1" applyAlignment="1">
      <alignment horizontal="center" vertical="center"/>
    </xf>
    <xf numFmtId="0" fontId="0" fillId="0" borderId="0" xfId="0" applyBorder="1" applyAlignment="1">
      <alignment horizontal="right"/>
    </xf>
    <xf numFmtId="0" fontId="0" fillId="0" borderId="0" xfId="0" applyAlignment="1">
      <alignment horizontal="left" vertical="center" indent="1"/>
    </xf>
    <xf numFmtId="0" fontId="17" fillId="3" borderId="6" xfId="0" applyFont="1" applyFill="1" applyBorder="1" applyAlignment="1" applyProtection="1">
      <alignment horizontal="center" vertical="center" wrapText="1"/>
      <protection locked="0"/>
    </xf>
    <xf numFmtId="0" fontId="0" fillId="0" borderId="7" xfId="0" applyBorder="1" applyAlignment="1">
      <alignment horizontal="center" vertical="center" wrapText="1"/>
    </xf>
    <xf numFmtId="0" fontId="28" fillId="0" borderId="6" xfId="0" applyFont="1" applyBorder="1" applyAlignment="1">
      <alignment horizontal="center" vertical="center"/>
    </xf>
    <xf numFmtId="0" fontId="28" fillId="0" borderId="7" xfId="0" applyFont="1" applyBorder="1" applyAlignment="1">
      <alignment horizontal="center" vertical="center"/>
    </xf>
    <xf numFmtId="0" fontId="23" fillId="0" borderId="0" xfId="0" applyFont="1" applyBorder="1" applyAlignment="1">
      <alignment vertical="center"/>
    </xf>
    <xf numFmtId="0" fontId="11" fillId="7" borderId="1" xfId="4" applyFont="1" applyBorder="1" applyAlignment="1">
      <alignment horizontal="center" vertical="center" textRotation="90"/>
    </xf>
    <xf numFmtId="0" fontId="11" fillId="7" borderId="2" xfId="4" applyFont="1" applyBorder="1" applyAlignment="1">
      <alignment horizontal="center" vertical="center" textRotation="90"/>
    </xf>
    <xf numFmtId="0" fontId="11" fillId="7" borderId="4" xfId="4" applyFont="1" applyBorder="1" applyAlignment="1">
      <alignment horizontal="center" vertical="center" textRotation="90"/>
    </xf>
    <xf numFmtId="0" fontId="11" fillId="6" borderId="1" xfId="3" applyFont="1" applyBorder="1" applyAlignment="1">
      <alignment horizontal="center" vertical="center" textRotation="90"/>
    </xf>
    <xf numFmtId="0" fontId="11" fillId="6" borderId="2" xfId="3" applyFont="1" applyBorder="1" applyAlignment="1">
      <alignment horizontal="center" vertical="center" textRotation="90"/>
    </xf>
    <xf numFmtId="0" fontId="11" fillId="6" borderId="4" xfId="3" applyFont="1" applyBorder="1" applyAlignment="1">
      <alignment horizontal="center" vertical="center" textRotation="90"/>
    </xf>
    <xf numFmtId="0" fontId="9" fillId="5" borderId="10" xfId="2" applyFont="1" applyBorder="1" applyAlignment="1">
      <alignment horizontal="center" vertical="center" textRotation="90"/>
    </xf>
    <xf numFmtId="0" fontId="9" fillId="5" borderId="3" xfId="2" applyFont="1" applyBorder="1" applyAlignment="1">
      <alignment horizontal="center" vertical="center" textRotation="90"/>
    </xf>
    <xf numFmtId="0" fontId="16" fillId="4" borderId="1" xfId="1" applyFont="1" applyBorder="1" applyAlignment="1">
      <alignment horizontal="center" vertical="center"/>
    </xf>
    <xf numFmtId="0" fontId="10" fillId="4" borderId="5" xfId="1" applyBorder="1" applyAlignment="1">
      <alignment horizontal="center" vertical="center"/>
    </xf>
    <xf numFmtId="0" fontId="10" fillId="4" borderId="0" xfId="1" applyBorder="1" applyAlignment="1">
      <alignment horizontal="center" vertical="center"/>
    </xf>
  </cellXfs>
  <cellStyles count="6">
    <cellStyle name="20% - Ênfase5" xfId="2" builtinId="46"/>
    <cellStyle name="40% - Ênfase5" xfId="3" builtinId="47"/>
    <cellStyle name="60% - Ênfase5" xfId="4" builtinId="48"/>
    <cellStyle name="Ênfase1" xfId="5" builtinId="29"/>
    <cellStyle name="Ênfase5" xfId="1" builtinId="45"/>
    <cellStyle name="Normal" xfId="0" builtinId="0"/>
  </cellStyles>
  <dxfs count="71">
    <dxf>
      <font>
        <color theme="0"/>
      </font>
    </dxf>
    <dxf>
      <font>
        <color theme="0"/>
      </font>
    </dxf>
    <dxf>
      <font>
        <color theme="0"/>
      </font>
    </dxf>
    <dxf>
      <font>
        <color theme="0"/>
      </font>
    </dxf>
    <dxf>
      <font>
        <b/>
        <i val="0"/>
        <color theme="5"/>
      </font>
      <border>
        <left style="thin">
          <color auto="1"/>
        </left>
        <right style="thin">
          <color auto="1"/>
        </right>
        <top style="thin">
          <color auto="1"/>
        </top>
        <bottom style="thin">
          <color auto="1"/>
        </bottom>
        <vertical/>
        <horizontal/>
      </border>
    </dxf>
    <dxf>
      <font>
        <b/>
        <i val="0"/>
        <color theme="5"/>
      </font>
    </dxf>
    <dxf>
      <font>
        <b/>
        <i val="0"/>
        <color theme="5"/>
      </font>
    </dxf>
    <dxf>
      <font>
        <b/>
        <i val="0"/>
        <color theme="5"/>
      </font>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patternType="none">
          <bgColor auto="1"/>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4"/>
        </patternFill>
      </fill>
      <border>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5"/>
      </font>
      <border>
        <left style="thin">
          <color auto="1"/>
        </left>
        <right style="thin">
          <color auto="1"/>
        </right>
        <top style="thin">
          <color auto="1"/>
        </top>
        <bottom style="thin">
          <color auto="1"/>
        </bottom>
        <vertical/>
        <horizontal/>
      </border>
    </dxf>
    <dxf>
      <font>
        <b/>
        <i val="0"/>
        <color theme="5"/>
      </font>
    </dxf>
    <dxf>
      <font>
        <b/>
        <i val="0"/>
        <color theme="5"/>
      </font>
    </dxf>
    <dxf>
      <font>
        <b/>
        <i val="0"/>
        <color theme="5"/>
      </font>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patternType="none">
          <bgColor auto="1"/>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4"/>
        </patternFill>
      </fill>
      <border>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5"/>
      </font>
      <border>
        <left style="thin">
          <color auto="1"/>
        </left>
        <right style="thin">
          <color auto="1"/>
        </right>
        <top style="thin">
          <color auto="1"/>
        </top>
        <bottom style="thin">
          <color auto="1"/>
        </bottom>
        <vertical/>
        <horizontal/>
      </border>
    </dxf>
    <dxf>
      <font>
        <b/>
        <i val="0"/>
        <color theme="5"/>
      </font>
    </dxf>
    <dxf>
      <font>
        <b/>
        <i val="0"/>
        <color theme="5"/>
      </font>
    </dxf>
    <dxf>
      <font>
        <b/>
        <i val="0"/>
        <color theme="5"/>
      </font>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patternType="none">
          <bgColor auto="1"/>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4"/>
        </patternFill>
      </fill>
      <border>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5"/>
      </font>
      <border>
        <left style="thin">
          <color auto="1"/>
        </left>
        <right style="thin">
          <color auto="1"/>
        </right>
        <top style="thin">
          <color auto="1"/>
        </top>
        <bottom style="thin">
          <color auto="1"/>
        </bottom>
        <vertical/>
        <horizontal/>
      </border>
    </dxf>
    <dxf>
      <font>
        <b/>
        <i val="0"/>
        <color theme="5"/>
      </font>
    </dxf>
    <dxf>
      <font>
        <b/>
        <i val="0"/>
        <color theme="5"/>
      </font>
    </dxf>
    <dxf>
      <font>
        <b/>
        <i val="0"/>
        <color theme="5"/>
      </font>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patternType="none">
          <bgColor auto="1"/>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4"/>
        </patternFill>
      </fill>
      <border>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5"/>
      </font>
      <border>
        <left style="thin">
          <color auto="1"/>
        </left>
        <right style="thin">
          <color auto="1"/>
        </right>
        <top style="thin">
          <color auto="1"/>
        </top>
        <bottom style="thin">
          <color auto="1"/>
        </bottom>
        <vertical/>
        <horizontal/>
      </border>
    </dxf>
    <dxf>
      <font>
        <b/>
        <i val="0"/>
        <color theme="5"/>
      </font>
    </dxf>
    <dxf>
      <font>
        <b/>
        <i val="0"/>
        <color theme="5"/>
      </font>
    </dxf>
    <dxf>
      <font>
        <b/>
        <i val="0"/>
        <color theme="5"/>
      </font>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patternType="none">
          <bgColor auto="1"/>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4"/>
        </patternFill>
      </fill>
      <border>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5"/>
      </font>
      <border>
        <left style="thin">
          <color auto="1"/>
        </left>
        <right style="thin">
          <color auto="1"/>
        </right>
        <top style="thin">
          <color auto="1"/>
        </top>
        <bottom style="thin">
          <color auto="1"/>
        </bottom>
        <vertical/>
        <horizontal/>
      </border>
    </dxf>
    <dxf>
      <fill>
        <patternFill>
          <bgColor theme="4"/>
        </patternFill>
      </fill>
      <border>
        <top style="thin">
          <color auto="1"/>
        </top>
        <bottom style="thin">
          <color auto="1"/>
        </bottom>
        <vertical/>
        <horizontal/>
      </border>
    </dxf>
    <dxf>
      <font>
        <b/>
        <i val="0"/>
        <color theme="5"/>
      </font>
    </dxf>
    <dxf>
      <font>
        <b/>
        <i val="0"/>
        <color theme="5"/>
      </font>
    </dxf>
    <dxf>
      <font>
        <b/>
        <i val="0"/>
        <color theme="5"/>
      </font>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patternType="none">
          <bgColor auto="1"/>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4"/>
        </patternFill>
      </fill>
      <border>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
      <font>
        <b/>
        <i val="0"/>
        <color theme="0"/>
      </font>
      <fill>
        <patternFill>
          <bgColor theme="4"/>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 /><Relationship Id="rId3" Type="http://schemas.openxmlformats.org/officeDocument/2006/relationships/worksheet" Target="worksheets/sheet3.xml" /><Relationship Id="rId7" Type="http://schemas.openxmlformats.org/officeDocument/2006/relationships/worksheet" Target="worksheets/sheet7.xml" /><Relationship Id="rId12" Type="http://schemas.microsoft.com/office/2006/relationships/vbaProject" Target="vbaProject.bin"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calcChain" Target="calcChain.xml" /><Relationship Id="rId5" Type="http://schemas.openxmlformats.org/officeDocument/2006/relationships/worksheet" Target="worksheets/sheet5.xml" /><Relationship Id="rId10" Type="http://schemas.openxmlformats.org/officeDocument/2006/relationships/sharedStrings" Target="sharedStrings.xml" /><Relationship Id="rId4" Type="http://schemas.openxmlformats.org/officeDocument/2006/relationships/worksheet" Target="worksheets/sheet4.xml" /><Relationship Id="rId9" Type="http://schemas.openxmlformats.org/officeDocument/2006/relationships/styles" Target="styles.xml"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 /><Relationship Id="rId1" Type="http://schemas.openxmlformats.org/officeDocument/2006/relationships/hyperlink" Target="http://www.caltrab.com/" TargetMode="External" /></Relationships>
</file>

<file path=xl/drawings/_rels/drawing2.xml.rels><?xml version="1.0" encoding="UTF-8" standalone="yes"?>
<Relationships xmlns="http://schemas.openxmlformats.org/package/2006/relationships"><Relationship Id="rId2" Type="http://schemas.openxmlformats.org/officeDocument/2006/relationships/image" Target="../media/image1.png" /><Relationship Id="rId1" Type="http://schemas.openxmlformats.org/officeDocument/2006/relationships/hyperlink" Target="http://www.caltrab.com/" TargetMode="External" /></Relationships>
</file>

<file path=xl/drawings/_rels/drawing3.xml.rels><?xml version="1.0" encoding="UTF-8" standalone="yes"?>
<Relationships xmlns="http://schemas.openxmlformats.org/package/2006/relationships"><Relationship Id="rId2" Type="http://schemas.openxmlformats.org/officeDocument/2006/relationships/image" Target="../media/image1.png" /><Relationship Id="rId1" Type="http://schemas.openxmlformats.org/officeDocument/2006/relationships/hyperlink" Target="http://www.caltrab.com/" TargetMode="External" /></Relationships>
</file>

<file path=xl/drawings/_rels/drawing4.xml.rels><?xml version="1.0" encoding="UTF-8" standalone="yes"?>
<Relationships xmlns="http://schemas.openxmlformats.org/package/2006/relationships"><Relationship Id="rId2" Type="http://schemas.openxmlformats.org/officeDocument/2006/relationships/image" Target="../media/image1.png" /><Relationship Id="rId1" Type="http://schemas.openxmlformats.org/officeDocument/2006/relationships/hyperlink" Target="http://www.caltrab.com/" TargetMode="External" /></Relationships>
</file>

<file path=xl/drawings/_rels/drawing5.xml.rels><?xml version="1.0" encoding="UTF-8" standalone="yes"?>
<Relationships xmlns="http://schemas.openxmlformats.org/package/2006/relationships"><Relationship Id="rId2" Type="http://schemas.openxmlformats.org/officeDocument/2006/relationships/image" Target="../media/image1.png" /><Relationship Id="rId1" Type="http://schemas.openxmlformats.org/officeDocument/2006/relationships/hyperlink" Target="http://www.caltrab.com/" TargetMode="External" /></Relationships>
</file>

<file path=xl/drawings/_rels/drawing6.xml.rels><?xml version="1.0" encoding="UTF-8" standalone="yes"?>
<Relationships xmlns="http://schemas.openxmlformats.org/package/2006/relationships"><Relationship Id="rId2" Type="http://schemas.openxmlformats.org/officeDocument/2006/relationships/image" Target="../media/image1.png" /><Relationship Id="rId1" Type="http://schemas.openxmlformats.org/officeDocument/2006/relationships/hyperlink" Target="http://www.caltrab.com/" TargetMode="External" /></Relationships>
</file>

<file path=xl/drawings/drawing1.xml><?xml version="1.0" encoding="utf-8"?>
<xdr:wsDr xmlns:xdr="http://schemas.openxmlformats.org/drawingml/2006/spreadsheetDrawing" xmlns:a="http://schemas.openxmlformats.org/drawingml/2006/main">
  <xdr:twoCellAnchor>
    <xdr:from>
      <xdr:col>0</xdr:col>
      <xdr:colOff>9530</xdr:colOff>
      <xdr:row>0</xdr:row>
      <xdr:rowOff>19050</xdr:rowOff>
    </xdr:from>
    <xdr:to>
      <xdr:col>2</xdr:col>
      <xdr:colOff>504832</xdr:colOff>
      <xdr:row>4</xdr:row>
      <xdr:rowOff>47627</xdr:rowOff>
    </xdr:to>
    <xdr:sp macro="" textlink="">
      <xdr:nvSpPr>
        <xdr:cNvPr id="2" name="Pentágono 1">
          <a:extLst>
            <a:ext uri="{FF2B5EF4-FFF2-40B4-BE49-F238E27FC236}">
              <a16:creationId xmlns:a16="http://schemas.microsoft.com/office/drawing/2014/main" id="{00000000-0008-0000-0000-000002000000}"/>
            </a:ext>
          </a:extLst>
        </xdr:cNvPr>
        <xdr:cNvSpPr/>
      </xdr:nvSpPr>
      <xdr:spPr>
        <a:xfrm rot="5400000">
          <a:off x="404817" y="-376237"/>
          <a:ext cx="695327" cy="1485902"/>
        </a:xfrm>
        <a:prstGeom prst="homePlate">
          <a:avLst>
            <a:gd name="adj" fmla="val 21582"/>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endParaRPr lang="pt-BR"/>
        </a:p>
      </xdr:txBody>
    </xdr:sp>
    <xdr:clientData/>
  </xdr:twoCellAnchor>
  <xdr:twoCellAnchor editAs="oneCell">
    <xdr:from>
      <xdr:col>0</xdr:col>
      <xdr:colOff>28575</xdr:colOff>
      <xdr:row>0</xdr:row>
      <xdr:rowOff>47625</xdr:rowOff>
    </xdr:from>
    <xdr:to>
      <xdr:col>2</xdr:col>
      <xdr:colOff>466725</xdr:colOff>
      <xdr:row>2</xdr:row>
      <xdr:rowOff>180975</xdr:rowOff>
    </xdr:to>
    <xdr:pic>
      <xdr:nvPicPr>
        <xdr:cNvPr id="2050" name="Imagem 5">
          <a:hlinkClick xmlns:r="http://schemas.openxmlformats.org/officeDocument/2006/relationships" r:id="rId1"/>
          <a:extLst>
            <a:ext uri="{FF2B5EF4-FFF2-40B4-BE49-F238E27FC236}">
              <a16:creationId xmlns:a16="http://schemas.microsoft.com/office/drawing/2014/main" id="{00000000-0008-0000-0000-000002080000}"/>
            </a:ext>
          </a:extLst>
        </xdr:cNvPr>
        <xdr:cNvPicPr>
          <a:picLocks noChangeAspect="1"/>
        </xdr:cNvPicPr>
      </xdr:nvPicPr>
      <xdr:blipFill>
        <a:blip xmlns:r="http://schemas.openxmlformats.org/officeDocument/2006/relationships" r:embed="rId2" cstate="print"/>
        <a:srcRect/>
        <a:stretch>
          <a:fillRect/>
        </a:stretch>
      </xdr:blipFill>
      <xdr:spPr bwMode="auto">
        <a:xfrm>
          <a:off x="28575" y="47625"/>
          <a:ext cx="142875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76200</xdr:colOff>
          <xdr:row>33</xdr:row>
          <xdr:rowOff>38100</xdr:rowOff>
        </xdr:from>
        <xdr:to>
          <xdr:col>21</xdr:col>
          <xdr:colOff>438150</xdr:colOff>
          <xdr:row>35</xdr:row>
          <xdr:rowOff>123825</xdr:rowOff>
        </xdr:to>
        <xdr:sp macro="" textlink="">
          <xdr:nvSpPr>
            <xdr:cNvPr id="1031" name="Botão 7" hidden="1">
              <a:extLst>
                <a:ext uri="{63B3BB69-23CF-44E3-9099-C40C66FF867C}">
                  <a14:compatExt spid="_x0000_s1031"/>
                </a:ext>
                <a:ext uri="{FF2B5EF4-FFF2-40B4-BE49-F238E27FC236}">
                  <a16:creationId xmlns:a16="http://schemas.microsoft.com/office/drawing/2014/main" id="{84672EC1-5957-4708-8DFD-F07A22002D7C}"/>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Calibri"/>
                  <a:cs typeface="Calibri"/>
                </a:rPr>
                <a:t>LIMPAR QUADRO DE HORÁRIOS</a:t>
              </a:r>
            </a:p>
          </xdr:txBody>
        </xdr:sp>
        <xdr:clientData fPrintsWithSheet="0"/>
      </xdr:twoCellAnchor>
    </mc:Choice>
    <mc:Fallback/>
  </mc:AlternateContent>
  <xdr:twoCellAnchor>
    <xdr:from>
      <xdr:col>5</xdr:col>
      <xdr:colOff>47625</xdr:colOff>
      <xdr:row>0</xdr:row>
      <xdr:rowOff>9525</xdr:rowOff>
    </xdr:from>
    <xdr:to>
      <xdr:col>5</xdr:col>
      <xdr:colOff>600075</xdr:colOff>
      <xdr:row>1</xdr:row>
      <xdr:rowOff>28575</xdr:rowOff>
    </xdr:to>
    <xdr:sp macro="" textlink="">
      <xdr:nvSpPr>
        <xdr:cNvPr id="3" name="Seta: para a Esquerda 2">
          <a:extLst>
            <a:ext uri="{FF2B5EF4-FFF2-40B4-BE49-F238E27FC236}">
              <a16:creationId xmlns:a16="http://schemas.microsoft.com/office/drawing/2014/main" id="{56BDE846-9173-4A3E-A6FC-02D3C4DA9BB9}"/>
            </a:ext>
          </a:extLst>
        </xdr:cNvPr>
        <xdr:cNvSpPr/>
      </xdr:nvSpPr>
      <xdr:spPr>
        <a:xfrm>
          <a:off x="2952750" y="9525"/>
          <a:ext cx="552450" cy="18097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9530</xdr:colOff>
      <xdr:row>0</xdr:row>
      <xdr:rowOff>19050</xdr:rowOff>
    </xdr:from>
    <xdr:to>
      <xdr:col>2</xdr:col>
      <xdr:colOff>504832</xdr:colOff>
      <xdr:row>4</xdr:row>
      <xdr:rowOff>47627</xdr:rowOff>
    </xdr:to>
    <xdr:sp macro="" textlink="">
      <xdr:nvSpPr>
        <xdr:cNvPr id="2" name="Pentágono 1">
          <a:extLst>
            <a:ext uri="{FF2B5EF4-FFF2-40B4-BE49-F238E27FC236}">
              <a16:creationId xmlns:a16="http://schemas.microsoft.com/office/drawing/2014/main" id="{94D0420E-FF13-463E-B5FC-9D8ACF16C3D1}"/>
            </a:ext>
          </a:extLst>
        </xdr:cNvPr>
        <xdr:cNvSpPr/>
      </xdr:nvSpPr>
      <xdr:spPr>
        <a:xfrm rot="5400000">
          <a:off x="371480" y="-342900"/>
          <a:ext cx="762002" cy="1485902"/>
        </a:xfrm>
        <a:prstGeom prst="homePlate">
          <a:avLst>
            <a:gd name="adj" fmla="val 21582"/>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endParaRPr lang="pt-BR"/>
        </a:p>
      </xdr:txBody>
    </xdr:sp>
    <xdr:clientData/>
  </xdr:twoCellAnchor>
  <xdr:twoCellAnchor editAs="oneCell">
    <xdr:from>
      <xdr:col>0</xdr:col>
      <xdr:colOff>28575</xdr:colOff>
      <xdr:row>0</xdr:row>
      <xdr:rowOff>47625</xdr:rowOff>
    </xdr:from>
    <xdr:to>
      <xdr:col>2</xdr:col>
      <xdr:colOff>466725</xdr:colOff>
      <xdr:row>2</xdr:row>
      <xdr:rowOff>180975</xdr:rowOff>
    </xdr:to>
    <xdr:pic>
      <xdr:nvPicPr>
        <xdr:cNvPr id="3" name="Imagem 5">
          <a:hlinkClick xmlns:r="http://schemas.openxmlformats.org/officeDocument/2006/relationships" r:id="rId1"/>
          <a:extLst>
            <a:ext uri="{FF2B5EF4-FFF2-40B4-BE49-F238E27FC236}">
              <a16:creationId xmlns:a16="http://schemas.microsoft.com/office/drawing/2014/main" id="{74A59A62-DFB5-4EA5-BC4E-2A15E4639265}"/>
            </a:ext>
          </a:extLst>
        </xdr:cNvPr>
        <xdr:cNvPicPr>
          <a:picLocks noChangeAspect="1"/>
        </xdr:cNvPicPr>
      </xdr:nvPicPr>
      <xdr:blipFill>
        <a:blip xmlns:r="http://schemas.openxmlformats.org/officeDocument/2006/relationships" r:embed="rId2" cstate="print"/>
        <a:srcRect/>
        <a:stretch>
          <a:fillRect/>
        </a:stretch>
      </xdr:blipFill>
      <xdr:spPr bwMode="auto">
        <a:xfrm>
          <a:off x="28575" y="47625"/>
          <a:ext cx="142875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133350</xdr:colOff>
          <xdr:row>33</xdr:row>
          <xdr:rowOff>28575</xdr:rowOff>
        </xdr:from>
        <xdr:to>
          <xdr:col>21</xdr:col>
          <xdr:colOff>495300</xdr:colOff>
          <xdr:row>35</xdr:row>
          <xdr:rowOff>114300</xdr:rowOff>
        </xdr:to>
        <xdr:sp macro="" textlink="">
          <xdr:nvSpPr>
            <xdr:cNvPr id="3076" name="Botão 4" hidden="1">
              <a:extLst>
                <a:ext uri="{63B3BB69-23CF-44E3-9099-C40C66FF867C}">
                  <a14:compatExt spid="_x0000_s3076"/>
                </a:ext>
                <a:ext uri="{FF2B5EF4-FFF2-40B4-BE49-F238E27FC236}">
                  <a16:creationId xmlns:a16="http://schemas.microsoft.com/office/drawing/2014/main" id="{1FDDFB90-ADC6-427A-99E6-50840EB8E053}"/>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Calibri"/>
                  <a:cs typeface="Calibri"/>
                </a:rPr>
                <a:t>LIMPAR QUADRO DE HORÁRIOS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9530</xdr:colOff>
      <xdr:row>0</xdr:row>
      <xdr:rowOff>19050</xdr:rowOff>
    </xdr:from>
    <xdr:to>
      <xdr:col>2</xdr:col>
      <xdr:colOff>504832</xdr:colOff>
      <xdr:row>4</xdr:row>
      <xdr:rowOff>47627</xdr:rowOff>
    </xdr:to>
    <xdr:sp macro="" textlink="">
      <xdr:nvSpPr>
        <xdr:cNvPr id="2" name="Pentágono 1">
          <a:extLst>
            <a:ext uri="{FF2B5EF4-FFF2-40B4-BE49-F238E27FC236}">
              <a16:creationId xmlns:a16="http://schemas.microsoft.com/office/drawing/2014/main" id="{41E90ADA-AF9F-4D79-938C-6B93511B8E18}"/>
            </a:ext>
          </a:extLst>
        </xdr:cNvPr>
        <xdr:cNvSpPr/>
      </xdr:nvSpPr>
      <xdr:spPr>
        <a:xfrm rot="5400000">
          <a:off x="371480" y="-342900"/>
          <a:ext cx="762002" cy="1485902"/>
        </a:xfrm>
        <a:prstGeom prst="homePlate">
          <a:avLst>
            <a:gd name="adj" fmla="val 21582"/>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endParaRPr lang="pt-BR"/>
        </a:p>
      </xdr:txBody>
    </xdr:sp>
    <xdr:clientData/>
  </xdr:twoCellAnchor>
  <xdr:twoCellAnchor editAs="oneCell">
    <xdr:from>
      <xdr:col>0</xdr:col>
      <xdr:colOff>28575</xdr:colOff>
      <xdr:row>0</xdr:row>
      <xdr:rowOff>47625</xdr:rowOff>
    </xdr:from>
    <xdr:to>
      <xdr:col>2</xdr:col>
      <xdr:colOff>466725</xdr:colOff>
      <xdr:row>2</xdr:row>
      <xdr:rowOff>180975</xdr:rowOff>
    </xdr:to>
    <xdr:pic>
      <xdr:nvPicPr>
        <xdr:cNvPr id="3" name="Imagem 5">
          <a:hlinkClick xmlns:r="http://schemas.openxmlformats.org/officeDocument/2006/relationships" r:id="rId1"/>
          <a:extLst>
            <a:ext uri="{FF2B5EF4-FFF2-40B4-BE49-F238E27FC236}">
              <a16:creationId xmlns:a16="http://schemas.microsoft.com/office/drawing/2014/main" id="{EA075ED2-9917-4CE4-9695-FADBFCC7CA38}"/>
            </a:ext>
          </a:extLst>
        </xdr:cNvPr>
        <xdr:cNvPicPr>
          <a:picLocks noChangeAspect="1"/>
        </xdr:cNvPicPr>
      </xdr:nvPicPr>
      <xdr:blipFill>
        <a:blip xmlns:r="http://schemas.openxmlformats.org/officeDocument/2006/relationships" r:embed="rId2" cstate="print"/>
        <a:srcRect/>
        <a:stretch>
          <a:fillRect/>
        </a:stretch>
      </xdr:blipFill>
      <xdr:spPr bwMode="auto">
        <a:xfrm>
          <a:off x="28575" y="47625"/>
          <a:ext cx="142875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85725</xdr:colOff>
          <xdr:row>32</xdr:row>
          <xdr:rowOff>142875</xdr:rowOff>
        </xdr:from>
        <xdr:to>
          <xdr:col>21</xdr:col>
          <xdr:colOff>447675</xdr:colOff>
          <xdr:row>35</xdr:row>
          <xdr:rowOff>66675</xdr:rowOff>
        </xdr:to>
        <xdr:sp macro="" textlink="">
          <xdr:nvSpPr>
            <xdr:cNvPr id="4100" name="Botão 4" hidden="1">
              <a:extLst>
                <a:ext uri="{63B3BB69-23CF-44E3-9099-C40C66FF867C}">
                  <a14:compatExt spid="_x0000_s4100"/>
                </a:ext>
                <a:ext uri="{FF2B5EF4-FFF2-40B4-BE49-F238E27FC236}">
                  <a16:creationId xmlns:a16="http://schemas.microsoft.com/office/drawing/2014/main" id="{E8D3D5F9-9841-4001-89DA-70C1B2D9B05A}"/>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Calibri"/>
                  <a:cs typeface="Calibri"/>
                </a:rPr>
                <a:t>LIMPAR QUADRO DE HORÁRIOS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9530</xdr:colOff>
      <xdr:row>0</xdr:row>
      <xdr:rowOff>19050</xdr:rowOff>
    </xdr:from>
    <xdr:to>
      <xdr:col>2</xdr:col>
      <xdr:colOff>504832</xdr:colOff>
      <xdr:row>4</xdr:row>
      <xdr:rowOff>47627</xdr:rowOff>
    </xdr:to>
    <xdr:sp macro="" textlink="">
      <xdr:nvSpPr>
        <xdr:cNvPr id="2" name="Pentágono 1">
          <a:extLst>
            <a:ext uri="{FF2B5EF4-FFF2-40B4-BE49-F238E27FC236}">
              <a16:creationId xmlns:a16="http://schemas.microsoft.com/office/drawing/2014/main" id="{96E0EAA3-74C3-4B6B-B7A7-FC4D307E7980}"/>
            </a:ext>
          </a:extLst>
        </xdr:cNvPr>
        <xdr:cNvSpPr/>
      </xdr:nvSpPr>
      <xdr:spPr>
        <a:xfrm rot="5400000">
          <a:off x="371480" y="-342900"/>
          <a:ext cx="762002" cy="1485902"/>
        </a:xfrm>
        <a:prstGeom prst="homePlate">
          <a:avLst>
            <a:gd name="adj" fmla="val 21582"/>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endParaRPr lang="pt-BR"/>
        </a:p>
      </xdr:txBody>
    </xdr:sp>
    <xdr:clientData/>
  </xdr:twoCellAnchor>
  <xdr:twoCellAnchor editAs="oneCell">
    <xdr:from>
      <xdr:col>0</xdr:col>
      <xdr:colOff>28575</xdr:colOff>
      <xdr:row>0</xdr:row>
      <xdr:rowOff>47625</xdr:rowOff>
    </xdr:from>
    <xdr:to>
      <xdr:col>2</xdr:col>
      <xdr:colOff>466725</xdr:colOff>
      <xdr:row>2</xdr:row>
      <xdr:rowOff>180975</xdr:rowOff>
    </xdr:to>
    <xdr:pic>
      <xdr:nvPicPr>
        <xdr:cNvPr id="3" name="Imagem 5">
          <a:hlinkClick xmlns:r="http://schemas.openxmlformats.org/officeDocument/2006/relationships" r:id="rId1"/>
          <a:extLst>
            <a:ext uri="{FF2B5EF4-FFF2-40B4-BE49-F238E27FC236}">
              <a16:creationId xmlns:a16="http://schemas.microsoft.com/office/drawing/2014/main" id="{8ACFD450-FCD4-4713-98DC-96EBC2D3827F}"/>
            </a:ext>
          </a:extLst>
        </xdr:cNvPr>
        <xdr:cNvPicPr>
          <a:picLocks noChangeAspect="1"/>
        </xdr:cNvPicPr>
      </xdr:nvPicPr>
      <xdr:blipFill>
        <a:blip xmlns:r="http://schemas.openxmlformats.org/officeDocument/2006/relationships" r:embed="rId2" cstate="print"/>
        <a:srcRect/>
        <a:stretch>
          <a:fillRect/>
        </a:stretch>
      </xdr:blipFill>
      <xdr:spPr bwMode="auto">
        <a:xfrm>
          <a:off x="28575" y="47625"/>
          <a:ext cx="142875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133350</xdr:colOff>
          <xdr:row>33</xdr:row>
          <xdr:rowOff>28575</xdr:rowOff>
        </xdr:from>
        <xdr:to>
          <xdr:col>21</xdr:col>
          <xdr:colOff>495300</xdr:colOff>
          <xdr:row>35</xdr:row>
          <xdr:rowOff>114300</xdr:rowOff>
        </xdr:to>
        <xdr:sp macro="" textlink="">
          <xdr:nvSpPr>
            <xdr:cNvPr id="5124" name="Botão 4" hidden="1">
              <a:extLst>
                <a:ext uri="{63B3BB69-23CF-44E3-9099-C40C66FF867C}">
                  <a14:compatExt spid="_x0000_s5124"/>
                </a:ext>
                <a:ext uri="{FF2B5EF4-FFF2-40B4-BE49-F238E27FC236}">
                  <a16:creationId xmlns:a16="http://schemas.microsoft.com/office/drawing/2014/main" id="{90A97AFE-2E5B-457E-9F05-E40047995A01}"/>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Calibri"/>
                  <a:cs typeface="Calibri"/>
                </a:rPr>
                <a:t>LIMPAR QUADRO DE HORÁRIOS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9530</xdr:colOff>
      <xdr:row>0</xdr:row>
      <xdr:rowOff>19050</xdr:rowOff>
    </xdr:from>
    <xdr:to>
      <xdr:col>2</xdr:col>
      <xdr:colOff>504832</xdr:colOff>
      <xdr:row>4</xdr:row>
      <xdr:rowOff>47627</xdr:rowOff>
    </xdr:to>
    <xdr:sp macro="" textlink="">
      <xdr:nvSpPr>
        <xdr:cNvPr id="2" name="Pentágono 1">
          <a:extLst>
            <a:ext uri="{FF2B5EF4-FFF2-40B4-BE49-F238E27FC236}">
              <a16:creationId xmlns:a16="http://schemas.microsoft.com/office/drawing/2014/main" id="{A3056348-46A5-4E05-A728-B7C7ED770204}"/>
            </a:ext>
          </a:extLst>
        </xdr:cNvPr>
        <xdr:cNvSpPr/>
      </xdr:nvSpPr>
      <xdr:spPr>
        <a:xfrm rot="5400000">
          <a:off x="371480" y="-342900"/>
          <a:ext cx="762002" cy="1485902"/>
        </a:xfrm>
        <a:prstGeom prst="homePlate">
          <a:avLst>
            <a:gd name="adj" fmla="val 21582"/>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endParaRPr lang="pt-BR"/>
        </a:p>
      </xdr:txBody>
    </xdr:sp>
    <xdr:clientData/>
  </xdr:twoCellAnchor>
  <xdr:twoCellAnchor editAs="oneCell">
    <xdr:from>
      <xdr:col>0</xdr:col>
      <xdr:colOff>28575</xdr:colOff>
      <xdr:row>0</xdr:row>
      <xdr:rowOff>47625</xdr:rowOff>
    </xdr:from>
    <xdr:to>
      <xdr:col>2</xdr:col>
      <xdr:colOff>466725</xdr:colOff>
      <xdr:row>2</xdr:row>
      <xdr:rowOff>180975</xdr:rowOff>
    </xdr:to>
    <xdr:pic>
      <xdr:nvPicPr>
        <xdr:cNvPr id="3" name="Imagem 5">
          <a:hlinkClick xmlns:r="http://schemas.openxmlformats.org/officeDocument/2006/relationships" r:id="rId1"/>
          <a:extLst>
            <a:ext uri="{FF2B5EF4-FFF2-40B4-BE49-F238E27FC236}">
              <a16:creationId xmlns:a16="http://schemas.microsoft.com/office/drawing/2014/main" id="{C91E57D6-F277-458C-A4C0-F4A084CA7580}"/>
            </a:ext>
          </a:extLst>
        </xdr:cNvPr>
        <xdr:cNvPicPr>
          <a:picLocks noChangeAspect="1"/>
        </xdr:cNvPicPr>
      </xdr:nvPicPr>
      <xdr:blipFill>
        <a:blip xmlns:r="http://schemas.openxmlformats.org/officeDocument/2006/relationships" r:embed="rId2" cstate="print"/>
        <a:srcRect/>
        <a:stretch>
          <a:fillRect/>
        </a:stretch>
      </xdr:blipFill>
      <xdr:spPr bwMode="auto">
        <a:xfrm>
          <a:off x="28575" y="47625"/>
          <a:ext cx="142875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133350</xdr:colOff>
          <xdr:row>33</xdr:row>
          <xdr:rowOff>28575</xdr:rowOff>
        </xdr:from>
        <xdr:to>
          <xdr:col>21</xdr:col>
          <xdr:colOff>495300</xdr:colOff>
          <xdr:row>35</xdr:row>
          <xdr:rowOff>114300</xdr:rowOff>
        </xdr:to>
        <xdr:sp macro="" textlink="">
          <xdr:nvSpPr>
            <xdr:cNvPr id="6148" name="Botão 4" hidden="1">
              <a:extLst>
                <a:ext uri="{63B3BB69-23CF-44E3-9099-C40C66FF867C}">
                  <a14:compatExt spid="_x0000_s6148"/>
                </a:ext>
                <a:ext uri="{FF2B5EF4-FFF2-40B4-BE49-F238E27FC236}">
                  <a16:creationId xmlns:a16="http://schemas.microsoft.com/office/drawing/2014/main" id="{6DA9E777-D924-48F0-8A55-4530584C2ED3}"/>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Calibri"/>
                  <a:cs typeface="Calibri"/>
                </a:rPr>
                <a:t>LIMPAR QUADRO DE HORÁRIOS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9530</xdr:colOff>
      <xdr:row>0</xdr:row>
      <xdr:rowOff>19050</xdr:rowOff>
    </xdr:from>
    <xdr:to>
      <xdr:col>2</xdr:col>
      <xdr:colOff>504832</xdr:colOff>
      <xdr:row>4</xdr:row>
      <xdr:rowOff>47627</xdr:rowOff>
    </xdr:to>
    <xdr:sp macro="" textlink="">
      <xdr:nvSpPr>
        <xdr:cNvPr id="2" name="Pentágono 1">
          <a:extLst>
            <a:ext uri="{FF2B5EF4-FFF2-40B4-BE49-F238E27FC236}">
              <a16:creationId xmlns:a16="http://schemas.microsoft.com/office/drawing/2014/main" id="{7C36CFE0-93F4-4A8B-A269-6C78C4F25092}"/>
            </a:ext>
          </a:extLst>
        </xdr:cNvPr>
        <xdr:cNvSpPr/>
      </xdr:nvSpPr>
      <xdr:spPr>
        <a:xfrm rot="5400000">
          <a:off x="371480" y="-342900"/>
          <a:ext cx="762002" cy="1485902"/>
        </a:xfrm>
        <a:prstGeom prst="homePlate">
          <a:avLst>
            <a:gd name="adj" fmla="val 21582"/>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endParaRPr lang="pt-BR"/>
        </a:p>
      </xdr:txBody>
    </xdr:sp>
    <xdr:clientData/>
  </xdr:twoCellAnchor>
  <xdr:twoCellAnchor editAs="oneCell">
    <xdr:from>
      <xdr:col>0</xdr:col>
      <xdr:colOff>28575</xdr:colOff>
      <xdr:row>0</xdr:row>
      <xdr:rowOff>47625</xdr:rowOff>
    </xdr:from>
    <xdr:to>
      <xdr:col>2</xdr:col>
      <xdr:colOff>466725</xdr:colOff>
      <xdr:row>2</xdr:row>
      <xdr:rowOff>180975</xdr:rowOff>
    </xdr:to>
    <xdr:pic>
      <xdr:nvPicPr>
        <xdr:cNvPr id="3" name="Imagem 5">
          <a:hlinkClick xmlns:r="http://schemas.openxmlformats.org/officeDocument/2006/relationships" r:id="rId1"/>
          <a:extLst>
            <a:ext uri="{FF2B5EF4-FFF2-40B4-BE49-F238E27FC236}">
              <a16:creationId xmlns:a16="http://schemas.microsoft.com/office/drawing/2014/main" id="{C9661EE6-E6B1-460E-84BD-79BC5184D43F}"/>
            </a:ext>
          </a:extLst>
        </xdr:cNvPr>
        <xdr:cNvPicPr>
          <a:picLocks noChangeAspect="1"/>
        </xdr:cNvPicPr>
      </xdr:nvPicPr>
      <xdr:blipFill>
        <a:blip xmlns:r="http://schemas.openxmlformats.org/officeDocument/2006/relationships" r:embed="rId2" cstate="print"/>
        <a:srcRect/>
        <a:stretch>
          <a:fillRect/>
        </a:stretch>
      </xdr:blipFill>
      <xdr:spPr bwMode="auto">
        <a:xfrm>
          <a:off x="28575" y="47625"/>
          <a:ext cx="142875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133350</xdr:colOff>
          <xdr:row>33</xdr:row>
          <xdr:rowOff>28575</xdr:rowOff>
        </xdr:from>
        <xdr:to>
          <xdr:col>21</xdr:col>
          <xdr:colOff>495300</xdr:colOff>
          <xdr:row>35</xdr:row>
          <xdr:rowOff>114300</xdr:rowOff>
        </xdr:to>
        <xdr:sp macro="" textlink="">
          <xdr:nvSpPr>
            <xdr:cNvPr id="7172" name="Botão 4" hidden="1">
              <a:extLst>
                <a:ext uri="{63B3BB69-23CF-44E3-9099-C40C66FF867C}">
                  <a14:compatExt spid="_x0000_s7172"/>
                </a:ext>
                <a:ext uri="{FF2B5EF4-FFF2-40B4-BE49-F238E27FC236}">
                  <a16:creationId xmlns:a16="http://schemas.microsoft.com/office/drawing/2014/main" id="{FAB5E777-B725-4119-952F-33FB468621AD}"/>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Calibri"/>
                  <a:cs typeface="Calibri"/>
                </a:rPr>
                <a:t>LIMPAR QUADRO DE HORÁRIOS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9525</xdr:colOff>
      <xdr:row>3</xdr:row>
      <xdr:rowOff>0</xdr:rowOff>
    </xdr:from>
    <xdr:to>
      <xdr:col>11</xdr:col>
      <xdr:colOff>133350</xdr:colOff>
      <xdr:row>10</xdr:row>
      <xdr:rowOff>123825</xdr:rowOff>
    </xdr:to>
    <xdr:sp macro="" textlink="">
      <xdr:nvSpPr>
        <xdr:cNvPr id="2" name="Texto explicativo retangular 1">
          <a:extLst>
            <a:ext uri="{FF2B5EF4-FFF2-40B4-BE49-F238E27FC236}">
              <a16:creationId xmlns:a16="http://schemas.microsoft.com/office/drawing/2014/main" id="{00000000-0008-0000-0100-000002000000}"/>
            </a:ext>
          </a:extLst>
        </xdr:cNvPr>
        <xdr:cNvSpPr/>
      </xdr:nvSpPr>
      <xdr:spPr>
        <a:xfrm>
          <a:off x="4829175" y="742950"/>
          <a:ext cx="3390900" cy="1685925"/>
        </a:xfrm>
        <a:prstGeom prst="wedgeRectCallout">
          <a:avLst>
            <a:gd name="adj1" fmla="val -24326"/>
            <a:gd name="adj2" fmla="val 8735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Para que</a:t>
          </a:r>
          <a:r>
            <a:rPr lang="pt-BR" sz="1100" baseline="0"/>
            <a:t> a planilha não considere o feriado, basta deletar o "X"  na célula correspondente da coluna B.</a:t>
          </a:r>
        </a:p>
        <a:p>
          <a:pPr algn="l"/>
          <a:endParaRPr lang="pt-BR" sz="1100" baseline="0"/>
        </a:p>
        <a:p>
          <a:pPr algn="l"/>
          <a:r>
            <a:rPr lang="pt-BR" sz="1100" baseline="0"/>
            <a:t>Quanto aos feriados fixos municipais e estadual, digite x na coluna B , informe o dia na coluna E e o mês na coluna F. Caso o "x" não esteja marcado, os valores selecionados em E16, E17, E18, E19, F16, F17, F18 e F19 não irão interferir no cálculo dos feriados.</a:t>
          </a:r>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1.xml" /><Relationship Id="rId1" Type="http://schemas.openxmlformats.org/officeDocument/2006/relationships/printerSettings" Target="../printerSettings/printerSettings1.bin" /><Relationship Id="rId5" Type="http://schemas.openxmlformats.org/officeDocument/2006/relationships/comments" Target="../comments1.xml" /><Relationship Id="rId4" Type="http://schemas.openxmlformats.org/officeDocument/2006/relationships/ctrlProp" Target="../ctrlProps/ctrlProp1.xml" /></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 /><Relationship Id="rId2" Type="http://schemas.openxmlformats.org/officeDocument/2006/relationships/drawing" Target="../drawings/drawing2.xml" /><Relationship Id="rId1" Type="http://schemas.openxmlformats.org/officeDocument/2006/relationships/printerSettings" Target="../printerSettings/printerSettings2.bin" /><Relationship Id="rId5" Type="http://schemas.openxmlformats.org/officeDocument/2006/relationships/comments" Target="../comments2.xml" /><Relationship Id="rId4" Type="http://schemas.openxmlformats.org/officeDocument/2006/relationships/ctrlProp" Target="../ctrlProps/ctrlProp2.xml" /></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 /><Relationship Id="rId2" Type="http://schemas.openxmlformats.org/officeDocument/2006/relationships/drawing" Target="../drawings/drawing3.xml" /><Relationship Id="rId1" Type="http://schemas.openxmlformats.org/officeDocument/2006/relationships/printerSettings" Target="../printerSettings/printerSettings3.bin" /><Relationship Id="rId5" Type="http://schemas.openxmlformats.org/officeDocument/2006/relationships/comments" Target="../comments3.xml" /><Relationship Id="rId4" Type="http://schemas.openxmlformats.org/officeDocument/2006/relationships/ctrlProp" Target="../ctrlProps/ctrlProp3.xml" /></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 /><Relationship Id="rId2" Type="http://schemas.openxmlformats.org/officeDocument/2006/relationships/drawing" Target="../drawings/drawing4.xml" /><Relationship Id="rId1" Type="http://schemas.openxmlformats.org/officeDocument/2006/relationships/printerSettings" Target="../printerSettings/printerSettings4.bin" /><Relationship Id="rId5" Type="http://schemas.openxmlformats.org/officeDocument/2006/relationships/comments" Target="../comments4.xml" /><Relationship Id="rId4" Type="http://schemas.openxmlformats.org/officeDocument/2006/relationships/ctrlProp" Target="../ctrlProps/ctrlProp4.xml" /></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 /><Relationship Id="rId2" Type="http://schemas.openxmlformats.org/officeDocument/2006/relationships/drawing" Target="../drawings/drawing5.xml" /><Relationship Id="rId1" Type="http://schemas.openxmlformats.org/officeDocument/2006/relationships/printerSettings" Target="../printerSettings/printerSettings5.bin" /><Relationship Id="rId5" Type="http://schemas.openxmlformats.org/officeDocument/2006/relationships/comments" Target="../comments5.xml" /><Relationship Id="rId4" Type="http://schemas.openxmlformats.org/officeDocument/2006/relationships/ctrlProp" Target="../ctrlProps/ctrlProp5.xml" /></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 /><Relationship Id="rId2" Type="http://schemas.openxmlformats.org/officeDocument/2006/relationships/drawing" Target="../drawings/drawing6.xml" /><Relationship Id="rId1" Type="http://schemas.openxmlformats.org/officeDocument/2006/relationships/printerSettings" Target="../printerSettings/printerSettings6.bin" /><Relationship Id="rId5" Type="http://schemas.openxmlformats.org/officeDocument/2006/relationships/comments" Target="../comments6.xml" /><Relationship Id="rId4" Type="http://schemas.openxmlformats.org/officeDocument/2006/relationships/ctrlProp" Target="../ctrlProps/ctrlProp6.xml" /></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 /><Relationship Id="rId1" Type="http://schemas.openxmlformats.org/officeDocument/2006/relationships/printerSettings" Target="../printerSettings/printerSettings7.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theme="6"/>
  </sheetPr>
  <dimension ref="A1:AD151"/>
  <sheetViews>
    <sheetView showGridLines="0" tabSelected="1" topLeftCell="J1" zoomScaleNormal="100" workbookViewId="0" xr3:uid="{AEA406A1-0E4B-5B11-9CD5-51D6E497D94C}">
      <selection activeCell="U39" sqref="U39"/>
    </sheetView>
  </sheetViews>
  <sheetFormatPr defaultRowHeight="12.75"/>
  <cols>
    <col min="1" max="1" width="2.6953125" customWidth="1"/>
    <col min="2" max="2" width="12.13671875" customWidth="1"/>
    <col min="3" max="3" width="12.40625" customWidth="1"/>
    <col min="4" max="4" width="6.875" customWidth="1"/>
    <col min="5" max="5" width="9.4375" customWidth="1"/>
    <col min="6" max="8" width="9.4375" bestFit="1" customWidth="1"/>
    <col min="9" max="12" width="9.4375" customWidth="1"/>
    <col min="13" max="15" width="11.32421875" customWidth="1"/>
    <col min="16" max="16" width="9.3046875" customWidth="1"/>
    <col min="17" max="17" width="11.32421875" customWidth="1"/>
    <col min="19" max="20" width="0.80859375" customWidth="1"/>
    <col min="21" max="21" width="24.00390625" customWidth="1"/>
    <col min="22" max="22" width="8.359375" customWidth="1"/>
    <col min="23" max="23" width="6.7421875" customWidth="1"/>
    <col min="24" max="27" width="9.4375" customWidth="1"/>
    <col min="29" max="29" width="12" customWidth="1"/>
    <col min="30" max="30" width="26.8359375" customWidth="1"/>
  </cols>
  <sheetData>
    <row r="1" spans="1:30">
      <c r="E1" s="181" t="s">
        <v>79</v>
      </c>
      <c r="F1" s="75"/>
    </row>
    <row r="2" spans="1:30" ht="15.95" customHeight="1">
      <c r="D2" s="120"/>
      <c r="E2" s="135"/>
      <c r="F2" s="194" t="s">
        <v>87</v>
      </c>
      <c r="H2" s="202"/>
      <c r="J2" s="2"/>
      <c r="Q2" s="204"/>
      <c r="X2" s="156"/>
      <c r="Y2" s="94"/>
      <c r="Z2" s="94"/>
      <c r="AA2" s="94"/>
      <c r="AB2" s="94"/>
    </row>
    <row r="3" spans="1:30" ht="15.95" customHeight="1">
      <c r="D3" s="120"/>
      <c r="E3" s="135"/>
      <c r="F3" s="194" t="s">
        <v>88</v>
      </c>
      <c r="H3" s="203"/>
      <c r="J3" s="3"/>
      <c r="K3" s="81"/>
      <c r="Q3" s="204"/>
      <c r="X3" s="94"/>
      <c r="Y3" s="94"/>
      <c r="Z3" s="94"/>
      <c r="AA3" s="94"/>
      <c r="AB3" s="94"/>
    </row>
    <row r="4" spans="1:30" ht="13.5" customHeight="1">
      <c r="Q4" s="204"/>
      <c r="X4" s="165"/>
      <c r="Y4" s="166"/>
      <c r="Z4" s="166"/>
      <c r="AA4" s="166"/>
      <c r="AB4" s="94"/>
    </row>
    <row r="5" spans="1:30" ht="14.25">
      <c r="B5" s="206"/>
      <c r="C5" s="206"/>
      <c r="D5" s="151"/>
      <c r="E5" s="80"/>
      <c r="F5" s="75"/>
      <c r="X5" s="167"/>
      <c r="Y5" s="167"/>
      <c r="Z5" s="167"/>
      <c r="AA5" s="167"/>
    </row>
    <row r="6" spans="1:30" ht="25.5" customHeight="1">
      <c r="B6" s="84" t="s">
        <v>1</v>
      </c>
      <c r="C6" s="84" t="s">
        <v>2</v>
      </c>
      <c r="D6" s="84" t="s">
        <v>3</v>
      </c>
      <c r="E6" s="84" t="s">
        <v>4</v>
      </c>
      <c r="F6" s="84" t="s">
        <v>5</v>
      </c>
      <c r="G6" s="84" t="s">
        <v>4</v>
      </c>
      <c r="H6" s="84" t="s">
        <v>5</v>
      </c>
      <c r="I6" s="84" t="s">
        <v>6</v>
      </c>
      <c r="J6" s="84" t="s">
        <v>7</v>
      </c>
      <c r="K6" s="84" t="s">
        <v>8</v>
      </c>
      <c r="L6" s="84" t="s">
        <v>9</v>
      </c>
      <c r="M6" s="84" t="s">
        <v>10</v>
      </c>
      <c r="N6" s="84" t="s">
        <v>11</v>
      </c>
      <c r="O6" s="84" t="s">
        <v>72</v>
      </c>
      <c r="P6" s="84" t="s">
        <v>71</v>
      </c>
      <c r="Q6" s="84" t="s">
        <v>12</v>
      </c>
      <c r="R6" s="84" t="s">
        <v>13</v>
      </c>
      <c r="U6" s="198" t="s">
        <v>14</v>
      </c>
      <c r="V6" s="199"/>
      <c r="X6" s="195" t="s">
        <v>0</v>
      </c>
      <c r="Y6" s="196"/>
      <c r="Z6" s="196"/>
      <c r="AA6" s="197"/>
      <c r="AC6" s="83"/>
    </row>
    <row r="7" spans="1:30" ht="15" customHeight="1">
      <c r="B7" s="209" t="s">
        <v>74</v>
      </c>
      <c r="C7" s="210"/>
      <c r="D7" s="162"/>
      <c r="E7" s="163"/>
      <c r="F7" s="163"/>
      <c r="G7" s="163"/>
      <c r="H7" s="163"/>
      <c r="I7" s="163"/>
      <c r="J7" s="163"/>
      <c r="K7" s="163"/>
      <c r="L7" s="163"/>
      <c r="M7" s="163"/>
      <c r="N7" s="163"/>
      <c r="O7" s="164"/>
      <c r="P7" s="63"/>
      <c r="Q7" s="170"/>
      <c r="R7" s="63"/>
      <c r="S7" s="103"/>
      <c r="T7" s="168"/>
      <c r="U7" s="200"/>
      <c r="V7" s="201"/>
      <c r="W7" s="145"/>
      <c r="X7" s="84" t="s">
        <v>4</v>
      </c>
      <c r="Y7" s="84" t="s">
        <v>5</v>
      </c>
      <c r="Z7" s="84" t="s">
        <v>4</v>
      </c>
      <c r="AA7" s="84" t="s">
        <v>5</v>
      </c>
      <c r="AB7" s="78"/>
      <c r="AC7" s="121"/>
      <c r="AD7" s="77"/>
    </row>
    <row r="8" spans="1:30" ht="12.75" customHeight="1">
      <c r="A8" s="37">
        <f>IF(B8="","",IF(C8&lt;&gt;"feriado",WEEKDAY(B8),8))</f>
        <v>5</v>
      </c>
      <c r="B8" s="39">
        <f>inicio</f>
        <v>43132</v>
      </c>
      <c r="C8" s="40">
        <f>IF(B8="","",IF(COUNTIF(fer,B8)&gt;0,"feriado",B8))</f>
        <v>43132</v>
      </c>
      <c r="D8" s="157" t="s">
        <v>15</v>
      </c>
      <c r="E8" s="158">
        <v>800</v>
      </c>
      <c r="F8" s="158">
        <v>1200</v>
      </c>
      <c r="G8" s="158">
        <v>1300</v>
      </c>
      <c r="H8" s="158">
        <v>1800</v>
      </c>
      <c r="I8" s="159">
        <f>IF(B8="","",ROUND(M8-L8,5))</f>
        <v>0.375</v>
      </c>
      <c r="J8" s="159">
        <f t="shared" ref="J8:J38" si="0">IF(B8="","",IF(AND(E8="",F8="",G8="",H8=""),0,IF(AND(G8="",H8=""),MAX(ININOT,MIN(FIMNOT+1,Y8+(X8&gt;Y8)))-MAX(ININOT,X8)+(MIN(FIMNOT,Y8+(X8&gt;Y8))-MIN(FIMNOT,X8)),MAX(ININOT,MIN(FIMNOT+1,Y8+(X8&gt;Y8)))-MAX(ININOT,X8)+(MIN(FIMNOT,Y8+(X8&gt;Y8))-MIN(FIMNOT,X8))+MAX(ININOT,MIN(FIMNOT+1,AA8+(Z8&gt;AA8)))-MAX(ININOT,Z8)+(MIN(FIMNOT,AA8+(Z8&gt;AA8))-MIN(FIMNOT,Z8)))))</f>
        <v>0</v>
      </c>
      <c r="K8" s="160">
        <f>IF(B8="","",(J8/7*8)-J8)</f>
        <v>0</v>
      </c>
      <c r="L8" s="160">
        <f>IF(B8="","",J8+K8)</f>
        <v>0</v>
      </c>
      <c r="M8" s="161">
        <f>IF(B8="","",MOD((Y8-X8)+(AA8-Z8),1)+K8)</f>
        <v>0.37500000000000006</v>
      </c>
      <c r="N8" s="153">
        <f t="shared" ref="N8:N38" si="1">IF(B8="","",IF(D8="F",$V$16,VLOOKUP(A8,jornada,3)))</f>
        <v>0</v>
      </c>
      <c r="O8" s="153" t="str">
        <f>IF(B8="","",IF(AND(D8="A",N8&gt;M8),N8-M8,""))</f>
        <v/>
      </c>
      <c r="P8" s="153" t="str">
        <f>IF(B8="","",IF(AND(M8&gt;0,D8="F"),"",IF(D8="A","",IF(M8&lt;N8,N8-M8,""))))</f>
        <v/>
      </c>
      <c r="Q8" s="161">
        <f>IF(B8="","",IF(N8=0,0,MAX(0,M8-N8)))</f>
        <v>0</v>
      </c>
      <c r="R8" s="169">
        <f t="shared" ref="R8:R38" si="2">IF(B8="","",IF(N8=0,M8,0))</f>
        <v>0.37500000000000006</v>
      </c>
      <c r="S8" s="114"/>
      <c r="T8" s="118">
        <v>1</v>
      </c>
      <c r="U8" s="105" t="s">
        <v>16</v>
      </c>
      <c r="V8" s="109">
        <v>0.30555555555555552</v>
      </c>
      <c r="X8" s="138">
        <f>IF(B8="","",IF($E8="",0,TIME(INT(E8/100),MOD(E8,100),0)))</f>
        <v>0.33333333333333331</v>
      </c>
      <c r="Y8" s="139">
        <f>IF(B8="","",IF($F8="",0,TIME(INT(F8/100),MOD(F8,100),0)))</f>
        <v>0.5</v>
      </c>
      <c r="Z8" s="138">
        <f>IF(B8="","",IF($G8="",0,TIME(INT(G8/100),MOD(G8,100),0)))</f>
        <v>0.54166666666666663</v>
      </c>
      <c r="AA8" s="138">
        <f>IF(B8="","",IF($H8="",0,TIME(INT(H8/100),MOD(H8,100),0)))</f>
        <v>0.75</v>
      </c>
      <c r="AC8" s="8"/>
      <c r="AD8" s="6"/>
    </row>
    <row r="9" spans="1:30" ht="12.75" customHeight="1">
      <c r="A9" s="37">
        <f t="shared" ref="A9:A38" si="3">IF(B9="","",IF(C9&lt;&gt;"feriado",WEEKDAY(B9),8))</f>
        <v>6</v>
      </c>
      <c r="B9" s="41">
        <f>B8+1</f>
        <v>43133</v>
      </c>
      <c r="C9" s="42">
        <f t="shared" ref="C9:C38" si="4">IF(B9="","",IF(COUNTIF(fer,B9)&gt;0,"feriado",B9))</f>
        <v>43133</v>
      </c>
      <c r="D9" s="115" t="s">
        <v>73</v>
      </c>
      <c r="E9" s="136">
        <v>0</v>
      </c>
      <c r="F9" s="136">
        <v>0</v>
      </c>
      <c r="G9" s="136">
        <v>0</v>
      </c>
      <c r="H9" s="136">
        <v>0</v>
      </c>
      <c r="I9" s="74">
        <f t="shared" ref="I9:I38" si="5">IF(B9="","",ROUND(M9-L9,5))</f>
        <v>0</v>
      </c>
      <c r="J9" s="74">
        <f t="shared" si="0"/>
        <v>0</v>
      </c>
      <c r="K9" s="43">
        <f t="shared" ref="K9:K38" si="6">IF(B9="","",(J9/7*8)-J9)</f>
        <v>0</v>
      </c>
      <c r="L9" s="43">
        <f t="shared" ref="L9:L38" si="7">IF(B9="","",J9+K9)</f>
        <v>0</v>
      </c>
      <c r="M9" s="44">
        <f t="shared" ref="M9:M38" si="8">IF(B9="","",MOD((Y9-X9)+(AA9-Z9),1)+K9)</f>
        <v>0</v>
      </c>
      <c r="N9" s="143">
        <f t="shared" si="1"/>
        <v>0.30555555555555552</v>
      </c>
      <c r="O9" s="153">
        <f t="shared" ref="O9:O38" si="9">IF(B9="","",IF(AND(D9="A",N9&gt;M9),N9-M9,""))</f>
        <v>0.30555555555555552</v>
      </c>
      <c r="P9" s="143" t="str">
        <f t="shared" ref="P9:P38" si="10">IF(B9="","",IF(AND(M9&gt;0,D9="F"),"",IF(D9="A","",IF(M9&lt;N9,N9-M9,""))))</f>
        <v/>
      </c>
      <c r="Q9" s="44">
        <f t="shared" ref="Q9:Q38" si="11">IF(B9="","",IF(N9=0,0,MAX(0,M9-N9)))</f>
        <v>0</v>
      </c>
      <c r="R9" s="45">
        <f t="shared" si="2"/>
        <v>0</v>
      </c>
      <c r="S9" s="100"/>
      <c r="T9" s="119">
        <v>2</v>
      </c>
      <c r="U9" s="112" t="s">
        <v>17</v>
      </c>
      <c r="V9" s="110">
        <v>0.30555555555555552</v>
      </c>
      <c r="X9" s="138">
        <f t="shared" ref="X9:X38" si="12">IF(B9="","",IF($E9="",0,TIME(INT(E9/100),MOD(E9,100),0)))</f>
        <v>0</v>
      </c>
      <c r="Y9" s="139">
        <f t="shared" ref="Y9:Y38" si="13">IF(B9="","",IF($F9="",0,TIME(INT(F9/100),MOD(F9,100),0)))</f>
        <v>0</v>
      </c>
      <c r="Z9" s="138">
        <f t="shared" ref="Z9:Z38" si="14">IF(B9="","",IF($G9="",0,TIME(INT(G9/100),MOD(G9,100),0)))</f>
        <v>0</v>
      </c>
      <c r="AA9" s="138">
        <f t="shared" ref="AA9:AA38" si="15">IF(B9="","",IF($H9="",0,TIME(INT(H9/100),MOD(H9,100),0)))</f>
        <v>0</v>
      </c>
      <c r="AC9" s="8"/>
      <c r="AD9" s="6"/>
    </row>
    <row r="10" spans="1:30" ht="14.25">
      <c r="A10" s="37">
        <f t="shared" si="3"/>
        <v>7</v>
      </c>
      <c r="B10" s="41">
        <f>B9+1</f>
        <v>43134</v>
      </c>
      <c r="C10" s="42">
        <f t="shared" si="4"/>
        <v>43134</v>
      </c>
      <c r="D10" s="115" t="s">
        <v>73</v>
      </c>
      <c r="E10" s="136">
        <v>800</v>
      </c>
      <c r="F10" s="136">
        <v>1200</v>
      </c>
      <c r="G10" s="136">
        <v>0</v>
      </c>
      <c r="H10" s="136">
        <v>0</v>
      </c>
      <c r="I10" s="74">
        <f t="shared" si="5"/>
        <v>0.16667000000000001</v>
      </c>
      <c r="J10" s="74">
        <f t="shared" si="0"/>
        <v>0</v>
      </c>
      <c r="K10" s="43">
        <f t="shared" si="6"/>
        <v>0</v>
      </c>
      <c r="L10" s="43">
        <f t="shared" si="7"/>
        <v>0</v>
      </c>
      <c r="M10" s="44">
        <f t="shared" si="8"/>
        <v>0.16666666666666669</v>
      </c>
      <c r="N10" s="143">
        <f t="shared" si="1"/>
        <v>0.30555555555555552</v>
      </c>
      <c r="O10" s="153">
        <f t="shared" si="9"/>
        <v>0.13888888888888884</v>
      </c>
      <c r="P10" s="143" t="str">
        <f t="shared" si="10"/>
        <v/>
      </c>
      <c r="Q10" s="44">
        <f t="shared" si="11"/>
        <v>0</v>
      </c>
      <c r="R10" s="45">
        <f t="shared" si="2"/>
        <v>0</v>
      </c>
      <c r="S10" s="100"/>
      <c r="T10" s="119">
        <v>3</v>
      </c>
      <c r="U10" s="106" t="s">
        <v>18</v>
      </c>
      <c r="V10" s="110">
        <v>0.30555555555555552</v>
      </c>
      <c r="X10" s="138">
        <f t="shared" si="12"/>
        <v>0.33333333333333331</v>
      </c>
      <c r="Y10" s="139">
        <f t="shared" si="13"/>
        <v>0.5</v>
      </c>
      <c r="Z10" s="138">
        <f t="shared" si="14"/>
        <v>0</v>
      </c>
      <c r="AA10" s="138">
        <f t="shared" si="15"/>
        <v>0</v>
      </c>
      <c r="AC10" s="8"/>
      <c r="AD10" s="6"/>
    </row>
    <row r="11" spans="1:30" ht="14.25">
      <c r="A11" s="37">
        <f t="shared" si="3"/>
        <v>1</v>
      </c>
      <c r="B11" s="41">
        <f>B10+1</f>
        <v>43135</v>
      </c>
      <c r="C11" s="42">
        <f t="shared" si="4"/>
        <v>43135</v>
      </c>
      <c r="D11" s="115"/>
      <c r="E11" s="136">
        <v>900</v>
      </c>
      <c r="F11" s="136">
        <v>1200</v>
      </c>
      <c r="G11" s="136">
        <v>1300</v>
      </c>
      <c r="H11" s="136">
        <v>1800</v>
      </c>
      <c r="I11" s="74">
        <f t="shared" si="5"/>
        <v>0.33333000000000002</v>
      </c>
      <c r="J11" s="74">
        <f t="shared" si="0"/>
        <v>0</v>
      </c>
      <c r="K11" s="43">
        <f t="shared" si="6"/>
        <v>0</v>
      </c>
      <c r="L11" s="43">
        <f t="shared" si="7"/>
        <v>0</v>
      </c>
      <c r="M11" s="44">
        <f t="shared" si="8"/>
        <v>0.33333333333333337</v>
      </c>
      <c r="N11" s="143">
        <f t="shared" si="1"/>
        <v>0.30555555555555552</v>
      </c>
      <c r="O11" s="153" t="str">
        <f t="shared" si="9"/>
        <v/>
      </c>
      <c r="P11" s="143" t="str">
        <f t="shared" si="10"/>
        <v/>
      </c>
      <c r="Q11" s="44">
        <f t="shared" si="11"/>
        <v>2.7777777777777846E-2</v>
      </c>
      <c r="R11" s="45">
        <f t="shared" si="2"/>
        <v>0</v>
      </c>
      <c r="S11" s="100"/>
      <c r="T11" s="119">
        <v>4</v>
      </c>
      <c r="U11" s="106" t="s">
        <v>19</v>
      </c>
      <c r="V11" s="110">
        <v>0.30555555555555552</v>
      </c>
      <c r="X11" s="138">
        <f t="shared" si="12"/>
        <v>0.375</v>
      </c>
      <c r="Y11" s="139">
        <f t="shared" si="13"/>
        <v>0.5</v>
      </c>
      <c r="Z11" s="138">
        <f t="shared" si="14"/>
        <v>0.54166666666666663</v>
      </c>
      <c r="AA11" s="138">
        <f t="shared" si="15"/>
        <v>0.75</v>
      </c>
      <c r="AC11" s="8"/>
      <c r="AD11" s="6"/>
    </row>
    <row r="12" spans="1:30" ht="14.25">
      <c r="A12" s="37">
        <f t="shared" si="3"/>
        <v>2</v>
      </c>
      <c r="B12" s="41">
        <f>B11+1</f>
        <v>43136</v>
      </c>
      <c r="C12" s="42">
        <f t="shared" si="4"/>
        <v>43136</v>
      </c>
      <c r="D12" s="115"/>
      <c r="E12" s="136">
        <v>900</v>
      </c>
      <c r="F12" s="136">
        <v>1300</v>
      </c>
      <c r="G12" s="136">
        <v>1330</v>
      </c>
      <c r="H12" s="136">
        <v>1600</v>
      </c>
      <c r="I12" s="74">
        <f t="shared" si="5"/>
        <v>0.27083000000000002</v>
      </c>
      <c r="J12" s="74">
        <f t="shared" si="0"/>
        <v>0</v>
      </c>
      <c r="K12" s="43">
        <f t="shared" si="6"/>
        <v>0</v>
      </c>
      <c r="L12" s="43">
        <f t="shared" si="7"/>
        <v>0</v>
      </c>
      <c r="M12" s="44">
        <f t="shared" si="8"/>
        <v>0.27083333333333326</v>
      </c>
      <c r="N12" s="143">
        <f t="shared" si="1"/>
        <v>0.30555555555555552</v>
      </c>
      <c r="O12" s="153" t="str">
        <f t="shared" si="9"/>
        <v/>
      </c>
      <c r="P12" s="143">
        <f t="shared" si="10"/>
        <v>3.4722222222222265E-2</v>
      </c>
      <c r="Q12" s="44">
        <f t="shared" si="11"/>
        <v>0</v>
      </c>
      <c r="R12" s="45">
        <f t="shared" si="2"/>
        <v>0</v>
      </c>
      <c r="S12" s="100"/>
      <c r="T12" s="119">
        <v>5</v>
      </c>
      <c r="U12" s="106" t="s">
        <v>20</v>
      </c>
      <c r="V12" s="110">
        <v>0.30555555555555552</v>
      </c>
      <c r="X12" s="138">
        <f t="shared" si="12"/>
        <v>0.375</v>
      </c>
      <c r="Y12" s="139">
        <f t="shared" si="13"/>
        <v>0.54166666666666663</v>
      </c>
      <c r="Z12" s="138">
        <f t="shared" si="14"/>
        <v>0.5625</v>
      </c>
      <c r="AA12" s="138">
        <f t="shared" si="15"/>
        <v>0.66666666666666663</v>
      </c>
      <c r="AC12" s="8"/>
      <c r="AD12" s="6"/>
    </row>
    <row r="13" spans="1:30" ht="14.25">
      <c r="A13" s="37">
        <f t="shared" si="3"/>
        <v>3</v>
      </c>
      <c r="B13" s="41">
        <f t="shared" ref="B13:B35" si="16">B12+1</f>
        <v>43137</v>
      </c>
      <c r="C13" s="42">
        <f t="shared" si="4"/>
        <v>43137</v>
      </c>
      <c r="D13" s="115"/>
      <c r="E13" s="136">
        <v>1000</v>
      </c>
      <c r="F13" s="136">
        <v>1400</v>
      </c>
      <c r="G13" s="136">
        <v>1530</v>
      </c>
      <c r="H13" s="136">
        <v>2000</v>
      </c>
      <c r="I13" s="74">
        <f t="shared" si="5"/>
        <v>0.35416999999999998</v>
      </c>
      <c r="J13" s="74">
        <f t="shared" si="0"/>
        <v>0</v>
      </c>
      <c r="K13" s="43">
        <f t="shared" si="6"/>
        <v>0</v>
      </c>
      <c r="L13" s="43">
        <f t="shared" si="7"/>
        <v>0</v>
      </c>
      <c r="M13" s="44">
        <f t="shared" si="8"/>
        <v>0.35416666666666669</v>
      </c>
      <c r="N13" s="143">
        <f t="shared" si="1"/>
        <v>0.30555555555555552</v>
      </c>
      <c r="O13" s="153" t="str">
        <f t="shared" si="9"/>
        <v/>
      </c>
      <c r="P13" s="143" t="str">
        <f t="shared" si="10"/>
        <v/>
      </c>
      <c r="Q13" s="44">
        <f t="shared" si="11"/>
        <v>4.861111111111116E-2</v>
      </c>
      <c r="R13" s="45">
        <f t="shared" si="2"/>
        <v>0</v>
      </c>
      <c r="S13" s="100"/>
      <c r="T13" s="119">
        <v>6</v>
      </c>
      <c r="U13" s="106" t="s">
        <v>21</v>
      </c>
      <c r="V13" s="110">
        <v>0.30555555555555552</v>
      </c>
      <c r="X13" s="138">
        <f t="shared" si="12"/>
        <v>0.41666666666666669</v>
      </c>
      <c r="Y13" s="139">
        <f t="shared" si="13"/>
        <v>0.58333333333333337</v>
      </c>
      <c r="Z13" s="138">
        <f t="shared" si="14"/>
        <v>0.64583333333333337</v>
      </c>
      <c r="AA13" s="138">
        <f t="shared" si="15"/>
        <v>0.83333333333333337</v>
      </c>
      <c r="AC13" s="8"/>
      <c r="AD13" s="6"/>
    </row>
    <row r="14" spans="1:30" ht="14.25">
      <c r="A14" s="37">
        <f t="shared" si="3"/>
        <v>4</v>
      </c>
      <c r="B14" s="41">
        <f t="shared" si="16"/>
        <v>43138</v>
      </c>
      <c r="C14" s="42">
        <f t="shared" si="4"/>
        <v>43138</v>
      </c>
      <c r="D14" s="115"/>
      <c r="E14" s="136">
        <v>1200</v>
      </c>
      <c r="F14" s="136">
        <v>1600</v>
      </c>
      <c r="G14" s="136">
        <v>1700</v>
      </c>
      <c r="H14" s="136">
        <v>2215</v>
      </c>
      <c r="I14" s="74">
        <f t="shared" si="5"/>
        <v>0.375</v>
      </c>
      <c r="J14" s="74">
        <f t="shared" si="0"/>
        <v>1.0416666666666741E-2</v>
      </c>
      <c r="K14" s="43">
        <f t="shared" si="6"/>
        <v>1.4880952380952484E-3</v>
      </c>
      <c r="L14" s="43">
        <f t="shared" si="7"/>
        <v>1.1904761904761989E-2</v>
      </c>
      <c r="M14" s="44">
        <f t="shared" si="8"/>
        <v>0.38690476190476186</v>
      </c>
      <c r="N14" s="143">
        <f t="shared" si="1"/>
        <v>0.30555555555555552</v>
      </c>
      <c r="O14" s="153" t="str">
        <f t="shared" si="9"/>
        <v/>
      </c>
      <c r="P14" s="143" t="str">
        <f t="shared" si="10"/>
        <v/>
      </c>
      <c r="Q14" s="44">
        <f t="shared" si="11"/>
        <v>8.1349206349206338E-2</v>
      </c>
      <c r="R14" s="45">
        <f t="shared" si="2"/>
        <v>0</v>
      </c>
      <c r="S14" s="100"/>
      <c r="T14" s="119">
        <v>7</v>
      </c>
      <c r="U14" s="113" t="s">
        <v>22</v>
      </c>
      <c r="V14" s="110">
        <v>0.30555555555555552</v>
      </c>
      <c r="X14" s="138">
        <f t="shared" si="12"/>
        <v>0.5</v>
      </c>
      <c r="Y14" s="139">
        <f t="shared" si="13"/>
        <v>0.66666666666666663</v>
      </c>
      <c r="Z14" s="138">
        <f t="shared" si="14"/>
        <v>0.70833333333333337</v>
      </c>
      <c r="AA14" s="138">
        <f t="shared" si="15"/>
        <v>0.92708333333333337</v>
      </c>
      <c r="AC14" s="8"/>
      <c r="AD14" s="6"/>
    </row>
    <row r="15" spans="1:30" ht="14.25">
      <c r="A15" s="37">
        <f t="shared" si="3"/>
        <v>5</v>
      </c>
      <c r="B15" s="41">
        <f t="shared" si="16"/>
        <v>43139</v>
      </c>
      <c r="C15" s="42">
        <f t="shared" si="4"/>
        <v>43139</v>
      </c>
      <c r="D15" s="115" t="s">
        <v>15</v>
      </c>
      <c r="E15" s="136">
        <v>0</v>
      </c>
      <c r="F15" s="136">
        <v>0</v>
      </c>
      <c r="G15" s="136">
        <v>0</v>
      </c>
      <c r="H15" s="136">
        <v>0</v>
      </c>
      <c r="I15" s="74">
        <f t="shared" si="5"/>
        <v>0</v>
      </c>
      <c r="J15" s="74">
        <f t="shared" si="0"/>
        <v>0</v>
      </c>
      <c r="K15" s="43">
        <f t="shared" si="6"/>
        <v>0</v>
      </c>
      <c r="L15" s="43">
        <f t="shared" si="7"/>
        <v>0</v>
      </c>
      <c r="M15" s="44">
        <f t="shared" si="8"/>
        <v>0</v>
      </c>
      <c r="N15" s="143">
        <f t="shared" si="1"/>
        <v>0</v>
      </c>
      <c r="O15" s="153" t="str">
        <f t="shared" si="9"/>
        <v/>
      </c>
      <c r="P15" s="143" t="str">
        <f t="shared" si="10"/>
        <v/>
      </c>
      <c r="Q15" s="44">
        <f t="shared" si="11"/>
        <v>0</v>
      </c>
      <c r="R15" s="45">
        <f t="shared" si="2"/>
        <v>0</v>
      </c>
      <c r="S15" s="100"/>
      <c r="T15" s="119">
        <v>8</v>
      </c>
      <c r="U15" s="107" t="s">
        <v>23</v>
      </c>
      <c r="V15" s="111">
        <v>0.30555555555555552</v>
      </c>
      <c r="X15" s="138">
        <f t="shared" si="12"/>
        <v>0</v>
      </c>
      <c r="Y15" s="139">
        <f t="shared" si="13"/>
        <v>0</v>
      </c>
      <c r="Z15" s="138">
        <f t="shared" si="14"/>
        <v>0</v>
      </c>
      <c r="AA15" s="138">
        <f t="shared" si="15"/>
        <v>0</v>
      </c>
      <c r="AC15" s="8"/>
      <c r="AD15" s="6"/>
    </row>
    <row r="16" spans="1:30" ht="14.25">
      <c r="A16" s="37">
        <f t="shared" si="3"/>
        <v>6</v>
      </c>
      <c r="B16" s="41">
        <f t="shared" si="16"/>
        <v>43140</v>
      </c>
      <c r="C16" s="42">
        <f t="shared" si="4"/>
        <v>43140</v>
      </c>
      <c r="D16" s="115"/>
      <c r="E16" s="136">
        <v>1000</v>
      </c>
      <c r="F16" s="136">
        <v>1400</v>
      </c>
      <c r="G16" s="136">
        <v>1445</v>
      </c>
      <c r="H16" s="136">
        <v>1730</v>
      </c>
      <c r="I16" s="74">
        <f t="shared" si="5"/>
        <v>0.28125</v>
      </c>
      <c r="J16" s="74">
        <f t="shared" si="0"/>
        <v>0</v>
      </c>
      <c r="K16" s="43">
        <f t="shared" si="6"/>
        <v>0</v>
      </c>
      <c r="L16" s="43">
        <f t="shared" si="7"/>
        <v>0</v>
      </c>
      <c r="M16" s="44">
        <f t="shared" si="8"/>
        <v>0.28124999999999994</v>
      </c>
      <c r="N16" s="143">
        <f t="shared" si="1"/>
        <v>0.30555555555555552</v>
      </c>
      <c r="O16" s="153" t="str">
        <f t="shared" si="9"/>
        <v/>
      </c>
      <c r="P16" s="143">
        <f t="shared" si="10"/>
        <v>2.430555555555558E-2</v>
      </c>
      <c r="Q16" s="44">
        <f t="shared" si="11"/>
        <v>0</v>
      </c>
      <c r="R16" s="45">
        <f t="shared" si="2"/>
        <v>0</v>
      </c>
      <c r="S16" s="100"/>
      <c r="T16" s="100"/>
      <c r="U16" s="108" t="s">
        <v>3</v>
      </c>
      <c r="V16" s="104">
        <v>0</v>
      </c>
      <c r="X16" s="138">
        <f t="shared" si="12"/>
        <v>0.41666666666666669</v>
      </c>
      <c r="Y16" s="139">
        <f t="shared" si="13"/>
        <v>0.58333333333333337</v>
      </c>
      <c r="Z16" s="138">
        <f t="shared" si="14"/>
        <v>0.61458333333333337</v>
      </c>
      <c r="AA16" s="138">
        <f t="shared" si="15"/>
        <v>0.72916666666666663</v>
      </c>
      <c r="AC16" s="8"/>
      <c r="AD16" s="6"/>
    </row>
    <row r="17" spans="1:30" ht="14.25">
      <c r="A17" s="37">
        <f t="shared" si="3"/>
        <v>7</v>
      </c>
      <c r="B17" s="41">
        <f t="shared" si="16"/>
        <v>43141</v>
      </c>
      <c r="C17" s="42">
        <f t="shared" si="4"/>
        <v>43141</v>
      </c>
      <c r="D17" s="115"/>
      <c r="E17" s="136">
        <v>1100</v>
      </c>
      <c r="F17" s="136">
        <v>1600</v>
      </c>
      <c r="G17" s="136">
        <v>1700</v>
      </c>
      <c r="H17" s="136">
        <v>2000</v>
      </c>
      <c r="I17" s="74">
        <f t="shared" si="5"/>
        <v>0.33333000000000002</v>
      </c>
      <c r="J17" s="74">
        <f t="shared" si="0"/>
        <v>0</v>
      </c>
      <c r="K17" s="43">
        <f t="shared" si="6"/>
        <v>0</v>
      </c>
      <c r="L17" s="43">
        <f t="shared" si="7"/>
        <v>0</v>
      </c>
      <c r="M17" s="44">
        <f t="shared" si="8"/>
        <v>0.33333333333333331</v>
      </c>
      <c r="N17" s="143">
        <f t="shared" si="1"/>
        <v>0.30555555555555552</v>
      </c>
      <c r="O17" s="153" t="str">
        <f t="shared" si="9"/>
        <v/>
      </c>
      <c r="P17" s="143" t="str">
        <f t="shared" si="10"/>
        <v/>
      </c>
      <c r="Q17" s="44">
        <f t="shared" si="11"/>
        <v>2.777777777777779E-2</v>
      </c>
      <c r="R17" s="45">
        <f t="shared" si="2"/>
        <v>0</v>
      </c>
      <c r="S17" s="100"/>
      <c r="T17" s="100"/>
      <c r="U17" s="207" t="s">
        <v>24</v>
      </c>
      <c r="V17" s="208"/>
      <c r="X17" s="138">
        <f t="shared" si="12"/>
        <v>0.45833333333333331</v>
      </c>
      <c r="Y17" s="139">
        <f t="shared" si="13"/>
        <v>0.66666666666666663</v>
      </c>
      <c r="Z17" s="138">
        <f t="shared" si="14"/>
        <v>0.70833333333333337</v>
      </c>
      <c r="AA17" s="138">
        <f t="shared" si="15"/>
        <v>0.83333333333333337</v>
      </c>
      <c r="AC17" s="8"/>
      <c r="AD17" s="6"/>
    </row>
    <row r="18" spans="1:30" ht="14.25">
      <c r="A18" s="37">
        <f t="shared" si="3"/>
        <v>1</v>
      </c>
      <c r="B18" s="41">
        <f t="shared" si="16"/>
        <v>43142</v>
      </c>
      <c r="C18" s="42">
        <f t="shared" si="4"/>
        <v>43142</v>
      </c>
      <c r="D18" s="115"/>
      <c r="E18" s="136">
        <v>1900</v>
      </c>
      <c r="F18" s="136">
        <v>2100</v>
      </c>
      <c r="G18" s="136">
        <v>2200</v>
      </c>
      <c r="H18" s="136">
        <v>500</v>
      </c>
      <c r="I18" s="74">
        <f t="shared" si="5"/>
        <v>8.3330000000000001E-2</v>
      </c>
      <c r="J18" s="74">
        <f t="shared" si="0"/>
        <v>0.29166666666666663</v>
      </c>
      <c r="K18" s="43">
        <f t="shared" si="6"/>
        <v>4.1666666666666685E-2</v>
      </c>
      <c r="L18" s="43">
        <f t="shared" si="7"/>
        <v>0.33333333333333331</v>
      </c>
      <c r="M18" s="44">
        <f t="shared" si="8"/>
        <v>0.4166666666666668</v>
      </c>
      <c r="N18" s="143">
        <f t="shared" si="1"/>
        <v>0.30555555555555552</v>
      </c>
      <c r="O18" s="153" t="str">
        <f t="shared" si="9"/>
        <v/>
      </c>
      <c r="P18" s="143" t="str">
        <f t="shared" si="10"/>
        <v/>
      </c>
      <c r="Q18" s="44">
        <f t="shared" si="11"/>
        <v>0.11111111111111127</v>
      </c>
      <c r="R18" s="45">
        <f t="shared" si="2"/>
        <v>0</v>
      </c>
      <c r="S18" s="100"/>
      <c r="T18" s="100"/>
      <c r="U18" s="122" t="s">
        <v>25</v>
      </c>
      <c r="V18" s="109">
        <v>0.91666666666666663</v>
      </c>
      <c r="X18" s="138">
        <f t="shared" si="12"/>
        <v>0.79166666666666663</v>
      </c>
      <c r="Y18" s="139">
        <f t="shared" si="13"/>
        <v>0.875</v>
      </c>
      <c r="Z18" s="138">
        <f t="shared" si="14"/>
        <v>0.91666666666666663</v>
      </c>
      <c r="AA18" s="138">
        <f t="shared" si="15"/>
        <v>0.20833333333333334</v>
      </c>
      <c r="AC18" s="8"/>
      <c r="AD18" s="6"/>
    </row>
    <row r="19" spans="1:30" ht="14.25">
      <c r="A19" s="37">
        <f t="shared" si="3"/>
        <v>2</v>
      </c>
      <c r="B19" s="41">
        <f t="shared" si="16"/>
        <v>43143</v>
      </c>
      <c r="C19" s="42">
        <f t="shared" si="4"/>
        <v>43143</v>
      </c>
      <c r="D19" s="115" t="s">
        <v>15</v>
      </c>
      <c r="E19" s="136">
        <v>0</v>
      </c>
      <c r="F19" s="136">
        <v>0</v>
      </c>
      <c r="G19" s="136">
        <v>0</v>
      </c>
      <c r="H19" s="136">
        <v>0</v>
      </c>
      <c r="I19" s="74">
        <f t="shared" si="5"/>
        <v>0</v>
      </c>
      <c r="J19" s="74">
        <f t="shared" si="0"/>
        <v>0</v>
      </c>
      <c r="K19" s="43">
        <f t="shared" si="6"/>
        <v>0</v>
      </c>
      <c r="L19" s="43">
        <f t="shared" si="7"/>
        <v>0</v>
      </c>
      <c r="M19" s="44">
        <f t="shared" si="8"/>
        <v>0</v>
      </c>
      <c r="N19" s="143">
        <f t="shared" si="1"/>
        <v>0</v>
      </c>
      <c r="O19" s="153" t="str">
        <f t="shared" si="9"/>
        <v/>
      </c>
      <c r="P19" s="143" t="str">
        <f t="shared" si="10"/>
        <v/>
      </c>
      <c r="Q19" s="44">
        <f t="shared" si="11"/>
        <v>0</v>
      </c>
      <c r="R19" s="45">
        <f t="shared" si="2"/>
        <v>0</v>
      </c>
      <c r="S19" s="100"/>
      <c r="T19" s="100"/>
      <c r="U19" s="123" t="s">
        <v>26</v>
      </c>
      <c r="V19" s="111">
        <v>0.20833333333333334</v>
      </c>
      <c r="X19" s="138">
        <f t="shared" si="12"/>
        <v>0</v>
      </c>
      <c r="Y19" s="139">
        <f t="shared" si="13"/>
        <v>0</v>
      </c>
      <c r="Z19" s="138">
        <f t="shared" si="14"/>
        <v>0</v>
      </c>
      <c r="AA19" s="138">
        <f t="shared" si="15"/>
        <v>0</v>
      </c>
      <c r="AC19" s="8"/>
      <c r="AD19" s="9"/>
    </row>
    <row r="20" spans="1:30" ht="14.25">
      <c r="A20" s="37">
        <f t="shared" si="3"/>
        <v>8</v>
      </c>
      <c r="B20" s="41">
        <f t="shared" si="16"/>
        <v>43144</v>
      </c>
      <c r="C20" s="42" t="str">
        <f t="shared" si="4"/>
        <v>feriado</v>
      </c>
      <c r="D20" s="115"/>
      <c r="E20" s="136">
        <v>500</v>
      </c>
      <c r="F20" s="136">
        <v>800</v>
      </c>
      <c r="G20" s="136">
        <v>900</v>
      </c>
      <c r="H20" s="136">
        <v>1200</v>
      </c>
      <c r="I20" s="74">
        <f t="shared" si="5"/>
        <v>0.25</v>
      </c>
      <c r="J20" s="74">
        <f t="shared" si="0"/>
        <v>0</v>
      </c>
      <c r="K20" s="43">
        <f t="shared" si="6"/>
        <v>0</v>
      </c>
      <c r="L20" s="43">
        <f t="shared" si="7"/>
        <v>0</v>
      </c>
      <c r="M20" s="44">
        <f t="shared" si="8"/>
        <v>0.24999999999999997</v>
      </c>
      <c r="N20" s="143">
        <f t="shared" si="1"/>
        <v>0.30555555555555552</v>
      </c>
      <c r="O20" s="153" t="str">
        <f t="shared" si="9"/>
        <v/>
      </c>
      <c r="P20" s="143">
        <f t="shared" si="10"/>
        <v>5.5555555555555552E-2</v>
      </c>
      <c r="Q20" s="44">
        <f t="shared" si="11"/>
        <v>0</v>
      </c>
      <c r="R20" s="45">
        <f t="shared" si="2"/>
        <v>0</v>
      </c>
      <c r="S20" s="100"/>
      <c r="T20" s="100"/>
      <c r="U20" s="207" t="s">
        <v>27</v>
      </c>
      <c r="V20" s="208"/>
      <c r="X20" s="138">
        <f t="shared" si="12"/>
        <v>0.20833333333333334</v>
      </c>
      <c r="Y20" s="139">
        <f t="shared" si="13"/>
        <v>0.33333333333333331</v>
      </c>
      <c r="Z20" s="138">
        <f t="shared" si="14"/>
        <v>0.375</v>
      </c>
      <c r="AA20" s="138">
        <f t="shared" si="15"/>
        <v>0.5</v>
      </c>
      <c r="AC20" s="8"/>
      <c r="AD20" s="6"/>
    </row>
    <row r="21" spans="1:30" ht="14.25">
      <c r="A21" s="37">
        <f t="shared" si="3"/>
        <v>4</v>
      </c>
      <c r="B21" s="41">
        <f t="shared" si="16"/>
        <v>43145</v>
      </c>
      <c r="C21" s="42">
        <f t="shared" si="4"/>
        <v>43145</v>
      </c>
      <c r="D21" s="115"/>
      <c r="E21" s="136">
        <v>2000</v>
      </c>
      <c r="F21" s="136">
        <v>2200</v>
      </c>
      <c r="G21" s="136">
        <v>2300</v>
      </c>
      <c r="H21" s="136">
        <v>500</v>
      </c>
      <c r="I21" s="74">
        <f t="shared" si="5"/>
        <v>8.3330000000000001E-2</v>
      </c>
      <c r="J21" s="74">
        <f t="shared" si="0"/>
        <v>0.24999999999999989</v>
      </c>
      <c r="K21" s="43">
        <f t="shared" si="6"/>
        <v>3.5714285714285698E-2</v>
      </c>
      <c r="L21" s="43">
        <f t="shared" si="7"/>
        <v>0.28571428571428559</v>
      </c>
      <c r="M21" s="44">
        <f t="shared" si="8"/>
        <v>0.36904761904761896</v>
      </c>
      <c r="N21" s="143">
        <f t="shared" si="1"/>
        <v>0.30555555555555552</v>
      </c>
      <c r="O21" s="153" t="str">
        <f t="shared" si="9"/>
        <v/>
      </c>
      <c r="P21" s="143" t="str">
        <f t="shared" si="10"/>
        <v/>
      </c>
      <c r="Q21" s="44">
        <f t="shared" si="11"/>
        <v>6.3492063492063433E-2</v>
      </c>
      <c r="R21" s="45">
        <f t="shared" si="2"/>
        <v>0</v>
      </c>
      <c r="S21" s="100"/>
      <c r="T21" s="100"/>
      <c r="U21" s="124" t="s">
        <v>28</v>
      </c>
      <c r="V21" s="146"/>
      <c r="X21" s="138">
        <f t="shared" si="12"/>
        <v>0.83333333333333337</v>
      </c>
      <c r="Y21" s="139">
        <f t="shared" si="13"/>
        <v>0.91666666666666663</v>
      </c>
      <c r="Z21" s="138">
        <f t="shared" si="14"/>
        <v>0.95833333333333337</v>
      </c>
      <c r="AA21" s="138">
        <f t="shared" si="15"/>
        <v>0.20833333333333334</v>
      </c>
    </row>
    <row r="22" spans="1:30" ht="15">
      <c r="A22" s="37">
        <f t="shared" si="3"/>
        <v>5</v>
      </c>
      <c r="B22" s="41">
        <f t="shared" si="16"/>
        <v>43146</v>
      </c>
      <c r="C22" s="42">
        <f t="shared" si="4"/>
        <v>43146</v>
      </c>
      <c r="D22" s="115"/>
      <c r="E22" s="136">
        <v>1500</v>
      </c>
      <c r="F22" s="136">
        <v>1900</v>
      </c>
      <c r="G22" s="136">
        <v>2000</v>
      </c>
      <c r="H22" s="136">
        <v>2400</v>
      </c>
      <c r="I22" s="74">
        <f t="shared" si="5"/>
        <v>0.25</v>
      </c>
      <c r="J22" s="74">
        <f t="shared" si="0"/>
        <v>8.333333333333337E-2</v>
      </c>
      <c r="K22" s="43">
        <f t="shared" si="6"/>
        <v>1.1904761904761904E-2</v>
      </c>
      <c r="L22" s="43">
        <f t="shared" si="7"/>
        <v>9.5238095238095274E-2</v>
      </c>
      <c r="M22" s="44">
        <f t="shared" si="8"/>
        <v>0.34523809523809518</v>
      </c>
      <c r="N22" s="143">
        <f t="shared" si="1"/>
        <v>0.30555555555555552</v>
      </c>
      <c r="O22" s="153" t="str">
        <f t="shared" si="9"/>
        <v/>
      </c>
      <c r="P22" s="143" t="str">
        <f t="shared" si="10"/>
        <v/>
      </c>
      <c r="Q22" s="44">
        <f t="shared" si="11"/>
        <v>3.9682539682539653E-2</v>
      </c>
      <c r="R22" s="45">
        <f t="shared" si="2"/>
        <v>0</v>
      </c>
      <c r="S22" s="100"/>
      <c r="T22" s="100"/>
      <c r="U22" s="144" t="s">
        <v>29</v>
      </c>
      <c r="V22" s="148">
        <v>2018</v>
      </c>
      <c r="X22" s="138">
        <f t="shared" si="12"/>
        <v>0.625</v>
      </c>
      <c r="Y22" s="139">
        <f t="shared" si="13"/>
        <v>0.79166666666666663</v>
      </c>
      <c r="Z22" s="138">
        <f t="shared" si="14"/>
        <v>0.83333333333333337</v>
      </c>
      <c r="AA22" s="138">
        <f t="shared" si="15"/>
        <v>0</v>
      </c>
    </row>
    <row r="23" spans="1:30" ht="15">
      <c r="A23" s="37">
        <f t="shared" si="3"/>
        <v>6</v>
      </c>
      <c r="B23" s="41">
        <f t="shared" si="16"/>
        <v>43147</v>
      </c>
      <c r="C23" s="42">
        <f t="shared" si="4"/>
        <v>43147</v>
      </c>
      <c r="D23" s="115"/>
      <c r="E23" s="136">
        <v>1500</v>
      </c>
      <c r="F23" s="136">
        <v>1900</v>
      </c>
      <c r="G23" s="136">
        <v>2000</v>
      </c>
      <c r="H23" s="136">
        <v>100</v>
      </c>
      <c r="I23" s="74">
        <f t="shared" si="5"/>
        <v>0.25</v>
      </c>
      <c r="J23" s="74">
        <f t="shared" si="0"/>
        <v>0.12500000000000011</v>
      </c>
      <c r="K23" s="43">
        <f t="shared" si="6"/>
        <v>1.7857142857142877E-2</v>
      </c>
      <c r="L23" s="43">
        <f t="shared" si="7"/>
        <v>0.14285714285714299</v>
      </c>
      <c r="M23" s="44">
        <f t="shared" si="8"/>
        <v>0.39285714285714279</v>
      </c>
      <c r="N23" s="143">
        <f t="shared" si="1"/>
        <v>0.30555555555555552</v>
      </c>
      <c r="O23" s="153" t="str">
        <f t="shared" si="9"/>
        <v/>
      </c>
      <c r="P23" s="143" t="str">
        <f t="shared" si="10"/>
        <v/>
      </c>
      <c r="Q23" s="44">
        <f t="shared" si="11"/>
        <v>8.7301587301587269E-2</v>
      </c>
      <c r="R23" s="45">
        <f t="shared" si="2"/>
        <v>0</v>
      </c>
      <c r="S23" s="100"/>
      <c r="T23" s="100"/>
      <c r="U23" s="144" t="s">
        <v>30</v>
      </c>
      <c r="V23" s="147">
        <v>2</v>
      </c>
      <c r="X23" s="138">
        <f t="shared" si="12"/>
        <v>0.625</v>
      </c>
      <c r="Y23" s="139">
        <f t="shared" si="13"/>
        <v>0.79166666666666663</v>
      </c>
      <c r="Z23" s="138">
        <f t="shared" si="14"/>
        <v>0.83333333333333337</v>
      </c>
      <c r="AA23" s="138">
        <f t="shared" si="15"/>
        <v>4.1666666666666664E-2</v>
      </c>
      <c r="AC23" s="5"/>
      <c r="AD23" s="4"/>
    </row>
    <row r="24" spans="1:30" ht="14.25">
      <c r="A24" s="37">
        <f t="shared" si="3"/>
        <v>7</v>
      </c>
      <c r="B24" s="41">
        <f t="shared" si="16"/>
        <v>43148</v>
      </c>
      <c r="C24" s="42">
        <f t="shared" si="4"/>
        <v>43148</v>
      </c>
      <c r="D24" s="115"/>
      <c r="E24" s="136">
        <v>0</v>
      </c>
      <c r="F24" s="136">
        <v>0</v>
      </c>
      <c r="G24" s="136">
        <v>0</v>
      </c>
      <c r="H24" s="136">
        <v>0</v>
      </c>
      <c r="I24" s="74">
        <f t="shared" si="5"/>
        <v>0</v>
      </c>
      <c r="J24" s="74">
        <f t="shared" si="0"/>
        <v>0</v>
      </c>
      <c r="K24" s="43">
        <f t="shared" si="6"/>
        <v>0</v>
      </c>
      <c r="L24" s="43">
        <f t="shared" si="7"/>
        <v>0</v>
      </c>
      <c r="M24" s="44">
        <f t="shared" si="8"/>
        <v>0</v>
      </c>
      <c r="N24" s="143">
        <f t="shared" si="1"/>
        <v>0.30555555555555552</v>
      </c>
      <c r="O24" s="153" t="str">
        <f t="shared" si="9"/>
        <v/>
      </c>
      <c r="P24" s="143">
        <f t="shared" si="10"/>
        <v>0.30555555555555552</v>
      </c>
      <c r="Q24" s="44">
        <f t="shared" si="11"/>
        <v>0</v>
      </c>
      <c r="R24" s="45">
        <f t="shared" si="2"/>
        <v>0</v>
      </c>
      <c r="S24" s="100"/>
      <c r="T24" s="100"/>
      <c r="U24" s="171"/>
      <c r="V24" s="100"/>
      <c r="X24" s="138">
        <f t="shared" si="12"/>
        <v>0</v>
      </c>
      <c r="Y24" s="139">
        <f t="shared" si="13"/>
        <v>0</v>
      </c>
      <c r="Z24" s="138">
        <f t="shared" si="14"/>
        <v>0</v>
      </c>
      <c r="AA24" s="138">
        <f t="shared" si="15"/>
        <v>0</v>
      </c>
    </row>
    <row r="25" spans="1:30" ht="14.25">
      <c r="A25" s="37">
        <f t="shared" si="3"/>
        <v>1</v>
      </c>
      <c r="B25" s="41">
        <f t="shared" si="16"/>
        <v>43149</v>
      </c>
      <c r="C25" s="42">
        <f t="shared" si="4"/>
        <v>43149</v>
      </c>
      <c r="D25" s="115"/>
      <c r="E25" s="136">
        <v>1600</v>
      </c>
      <c r="F25" s="136">
        <v>1900</v>
      </c>
      <c r="G25" s="136">
        <v>2000</v>
      </c>
      <c r="H25" s="136">
        <v>300</v>
      </c>
      <c r="I25" s="74">
        <f t="shared" si="5"/>
        <v>0.20832999999999999</v>
      </c>
      <c r="J25" s="74">
        <f t="shared" si="0"/>
        <v>0.20833333333333337</v>
      </c>
      <c r="K25" s="43">
        <f t="shared" si="6"/>
        <v>2.9761904761904767E-2</v>
      </c>
      <c r="L25" s="43">
        <f t="shared" si="7"/>
        <v>0.23809523809523814</v>
      </c>
      <c r="M25" s="44">
        <f t="shared" si="8"/>
        <v>0.4464285714285714</v>
      </c>
      <c r="N25" s="143">
        <f t="shared" si="1"/>
        <v>0.30555555555555552</v>
      </c>
      <c r="O25" s="153" t="str">
        <f t="shared" si="9"/>
        <v/>
      </c>
      <c r="P25" s="143" t="str">
        <f t="shared" si="10"/>
        <v/>
      </c>
      <c r="Q25" s="44">
        <f t="shared" si="11"/>
        <v>0.14087301587301587</v>
      </c>
      <c r="R25" s="45">
        <f t="shared" si="2"/>
        <v>0</v>
      </c>
      <c r="S25" s="100"/>
      <c r="T25" s="100"/>
      <c r="U25" s="189" t="s">
        <v>86</v>
      </c>
      <c r="V25" s="182">
        <f>L39</f>
        <v>2.3928571428571432</v>
      </c>
      <c r="X25" s="138">
        <f t="shared" si="12"/>
        <v>0.66666666666666663</v>
      </c>
      <c r="Y25" s="139">
        <f t="shared" si="13"/>
        <v>0.79166666666666663</v>
      </c>
      <c r="Z25" s="138">
        <f t="shared" si="14"/>
        <v>0.83333333333333337</v>
      </c>
      <c r="AA25" s="138">
        <f t="shared" si="15"/>
        <v>0.125</v>
      </c>
    </row>
    <row r="26" spans="1:30" ht="14.25">
      <c r="A26" s="37">
        <f t="shared" si="3"/>
        <v>2</v>
      </c>
      <c r="B26" s="41">
        <f t="shared" si="16"/>
        <v>43150</v>
      </c>
      <c r="C26" s="42">
        <f t="shared" si="4"/>
        <v>43150</v>
      </c>
      <c r="D26" s="115" t="s">
        <v>15</v>
      </c>
      <c r="E26" s="136">
        <v>1600</v>
      </c>
      <c r="F26" s="136">
        <v>1900</v>
      </c>
      <c r="G26" s="136">
        <v>2000</v>
      </c>
      <c r="H26" s="136">
        <v>400</v>
      </c>
      <c r="I26" s="74">
        <f t="shared" si="5"/>
        <v>0.20832999999999999</v>
      </c>
      <c r="J26" s="74">
        <f t="shared" si="0"/>
        <v>0.25000000000000011</v>
      </c>
      <c r="K26" s="43">
        <f t="shared" si="6"/>
        <v>3.5714285714285754E-2</v>
      </c>
      <c r="L26" s="43">
        <f t="shared" si="7"/>
        <v>0.28571428571428586</v>
      </c>
      <c r="M26" s="44">
        <f t="shared" si="8"/>
        <v>0.49404761904761901</v>
      </c>
      <c r="N26" s="143">
        <f t="shared" si="1"/>
        <v>0</v>
      </c>
      <c r="O26" s="153" t="str">
        <f t="shared" si="9"/>
        <v/>
      </c>
      <c r="P26" s="143" t="str">
        <f t="shared" si="10"/>
        <v/>
      </c>
      <c r="Q26" s="44">
        <f t="shared" si="11"/>
        <v>0</v>
      </c>
      <c r="R26" s="45">
        <f t="shared" si="2"/>
        <v>0.49404761904761901</v>
      </c>
      <c r="S26" s="100"/>
      <c r="T26" s="100"/>
      <c r="U26" s="183" t="s">
        <v>80</v>
      </c>
      <c r="V26" s="184">
        <f>M39</f>
        <v>7.5491071428571415</v>
      </c>
      <c r="X26" s="138">
        <f t="shared" si="12"/>
        <v>0.66666666666666663</v>
      </c>
      <c r="Y26" s="139">
        <f t="shared" si="13"/>
        <v>0.79166666666666663</v>
      </c>
      <c r="Z26" s="138">
        <f t="shared" si="14"/>
        <v>0.83333333333333337</v>
      </c>
      <c r="AA26" s="138">
        <f t="shared" si="15"/>
        <v>0.16666666666666666</v>
      </c>
    </row>
    <row r="27" spans="1:30" ht="14.25">
      <c r="A27" s="37">
        <f t="shared" si="3"/>
        <v>3</v>
      </c>
      <c r="B27" s="41">
        <f t="shared" si="16"/>
        <v>43151</v>
      </c>
      <c r="C27" s="42">
        <f t="shared" si="4"/>
        <v>43151</v>
      </c>
      <c r="D27" s="115"/>
      <c r="E27" s="136">
        <v>1600</v>
      </c>
      <c r="F27" s="136">
        <v>1900</v>
      </c>
      <c r="G27" s="136">
        <v>2000</v>
      </c>
      <c r="H27" s="136">
        <v>2200</v>
      </c>
      <c r="I27" s="74">
        <f t="shared" si="5"/>
        <v>0.20832999999999999</v>
      </c>
      <c r="J27" s="74">
        <f t="shared" si="0"/>
        <v>0</v>
      </c>
      <c r="K27" s="43">
        <f t="shared" si="6"/>
        <v>0</v>
      </c>
      <c r="L27" s="43">
        <f t="shared" si="7"/>
        <v>0</v>
      </c>
      <c r="M27" s="44">
        <f t="shared" si="8"/>
        <v>0.20833333333333326</v>
      </c>
      <c r="N27" s="143">
        <f t="shared" si="1"/>
        <v>0.30555555555555552</v>
      </c>
      <c r="O27" s="153" t="str">
        <f t="shared" si="9"/>
        <v/>
      </c>
      <c r="P27" s="143">
        <f t="shared" si="10"/>
        <v>9.7222222222222265E-2</v>
      </c>
      <c r="Q27" s="44">
        <f t="shared" si="11"/>
        <v>0</v>
      </c>
      <c r="R27" s="45">
        <f t="shared" si="2"/>
        <v>0</v>
      </c>
      <c r="S27" s="100"/>
      <c r="T27" s="100"/>
      <c r="U27" s="178" t="s">
        <v>81</v>
      </c>
      <c r="V27" s="179">
        <f>O39</f>
        <v>0.48809523809523808</v>
      </c>
      <c r="X27" s="138">
        <f t="shared" si="12"/>
        <v>0.66666666666666663</v>
      </c>
      <c r="Y27" s="139">
        <f t="shared" si="13"/>
        <v>0.79166666666666663</v>
      </c>
      <c r="Z27" s="138">
        <f t="shared" si="14"/>
        <v>0.83333333333333337</v>
      </c>
      <c r="AA27" s="138">
        <f t="shared" si="15"/>
        <v>0.91666666666666663</v>
      </c>
    </row>
    <row r="28" spans="1:30" ht="14.25">
      <c r="A28" s="37">
        <f t="shared" si="3"/>
        <v>4</v>
      </c>
      <c r="B28" s="41">
        <f t="shared" si="16"/>
        <v>43152</v>
      </c>
      <c r="C28" s="42">
        <f t="shared" si="4"/>
        <v>43152</v>
      </c>
      <c r="D28" s="115"/>
      <c r="E28" s="136">
        <v>1700</v>
      </c>
      <c r="F28" s="136">
        <v>2000</v>
      </c>
      <c r="G28" s="136">
        <v>2400</v>
      </c>
      <c r="H28" s="136">
        <v>500</v>
      </c>
      <c r="I28" s="74">
        <f t="shared" si="5"/>
        <v>0.125</v>
      </c>
      <c r="J28" s="74">
        <f t="shared" si="0"/>
        <v>0.20833333333333334</v>
      </c>
      <c r="K28" s="43">
        <f t="shared" si="6"/>
        <v>2.9761904761904767E-2</v>
      </c>
      <c r="L28" s="43">
        <f t="shared" si="7"/>
        <v>0.23809523809523811</v>
      </c>
      <c r="M28" s="44">
        <f t="shared" si="8"/>
        <v>0.36309523809523814</v>
      </c>
      <c r="N28" s="143">
        <f t="shared" si="1"/>
        <v>0.30555555555555552</v>
      </c>
      <c r="O28" s="153" t="str">
        <f t="shared" si="9"/>
        <v/>
      </c>
      <c r="P28" s="143" t="str">
        <f t="shared" si="10"/>
        <v/>
      </c>
      <c r="Q28" s="44">
        <f t="shared" si="11"/>
        <v>5.7539682539682613E-2</v>
      </c>
      <c r="R28" s="45">
        <f t="shared" si="2"/>
        <v>0</v>
      </c>
      <c r="S28" s="100"/>
      <c r="T28" s="100"/>
      <c r="U28" s="185" t="s">
        <v>82</v>
      </c>
      <c r="V28" s="186">
        <f>P39</f>
        <v>1.441964285714286</v>
      </c>
      <c r="X28" s="138">
        <f t="shared" si="12"/>
        <v>0.70833333333333337</v>
      </c>
      <c r="Y28" s="139">
        <f t="shared" si="13"/>
        <v>0.83333333333333337</v>
      </c>
      <c r="Z28" s="138">
        <f t="shared" si="14"/>
        <v>0</v>
      </c>
      <c r="AA28" s="138">
        <f t="shared" si="15"/>
        <v>0.20833333333333334</v>
      </c>
    </row>
    <row r="29" spans="1:30" ht="14.25">
      <c r="A29" s="37">
        <f t="shared" si="3"/>
        <v>5</v>
      </c>
      <c r="B29" s="41">
        <f t="shared" si="16"/>
        <v>43153</v>
      </c>
      <c r="C29" s="42">
        <f t="shared" si="4"/>
        <v>43153</v>
      </c>
      <c r="D29" s="115"/>
      <c r="E29" s="136">
        <v>1700</v>
      </c>
      <c r="F29" s="136">
        <v>1900</v>
      </c>
      <c r="G29" s="136">
        <v>0</v>
      </c>
      <c r="H29" s="136">
        <v>0</v>
      </c>
      <c r="I29" s="74">
        <f t="shared" si="5"/>
        <v>8.3330000000000001E-2</v>
      </c>
      <c r="J29" s="74">
        <f t="shared" si="0"/>
        <v>0</v>
      </c>
      <c r="K29" s="43">
        <f t="shared" si="6"/>
        <v>0</v>
      </c>
      <c r="L29" s="43">
        <f t="shared" si="7"/>
        <v>0</v>
      </c>
      <c r="M29" s="44">
        <f t="shared" si="8"/>
        <v>8.3333333333333259E-2</v>
      </c>
      <c r="N29" s="143">
        <f t="shared" si="1"/>
        <v>0.30555555555555552</v>
      </c>
      <c r="O29" s="153" t="str">
        <f t="shared" si="9"/>
        <v/>
      </c>
      <c r="P29" s="143">
        <f t="shared" si="10"/>
        <v>0.22222222222222227</v>
      </c>
      <c r="Q29" s="44">
        <f t="shared" si="11"/>
        <v>0</v>
      </c>
      <c r="R29" s="45">
        <f t="shared" si="2"/>
        <v>0</v>
      </c>
      <c r="S29" s="100"/>
      <c r="T29" s="100"/>
      <c r="U29" s="178" t="s">
        <v>83</v>
      </c>
      <c r="V29" s="179">
        <f>Q39</f>
        <v>0.99900793650793673</v>
      </c>
      <c r="X29" s="138">
        <f t="shared" si="12"/>
        <v>0.70833333333333337</v>
      </c>
      <c r="Y29" s="139">
        <f t="shared" si="13"/>
        <v>0.79166666666666663</v>
      </c>
      <c r="Z29" s="138">
        <f t="shared" si="14"/>
        <v>0</v>
      </c>
      <c r="AA29" s="138">
        <f t="shared" si="15"/>
        <v>0</v>
      </c>
    </row>
    <row r="30" spans="1:30" ht="14.25">
      <c r="A30" s="37">
        <f t="shared" si="3"/>
        <v>6</v>
      </c>
      <c r="B30" s="41">
        <f t="shared" si="16"/>
        <v>43154</v>
      </c>
      <c r="C30" s="42">
        <f t="shared" si="4"/>
        <v>43154</v>
      </c>
      <c r="D30" s="115"/>
      <c r="E30" s="136">
        <v>0</v>
      </c>
      <c r="F30" s="136">
        <v>0</v>
      </c>
      <c r="G30" s="136">
        <v>0</v>
      </c>
      <c r="H30" s="136">
        <v>0</v>
      </c>
      <c r="I30" s="74">
        <f t="shared" si="5"/>
        <v>0</v>
      </c>
      <c r="J30" s="74">
        <f t="shared" si="0"/>
        <v>0</v>
      </c>
      <c r="K30" s="43">
        <f t="shared" si="6"/>
        <v>0</v>
      </c>
      <c r="L30" s="43">
        <f t="shared" si="7"/>
        <v>0</v>
      </c>
      <c r="M30" s="44">
        <f t="shared" si="8"/>
        <v>0</v>
      </c>
      <c r="N30" s="143">
        <f t="shared" si="1"/>
        <v>0.30555555555555552</v>
      </c>
      <c r="O30" s="153" t="str">
        <f t="shared" si="9"/>
        <v/>
      </c>
      <c r="P30" s="143">
        <f t="shared" si="10"/>
        <v>0.30555555555555552</v>
      </c>
      <c r="Q30" s="44">
        <f t="shared" si="11"/>
        <v>0</v>
      </c>
      <c r="R30" s="45">
        <f t="shared" si="2"/>
        <v>0</v>
      </c>
      <c r="S30" s="100"/>
      <c r="T30" s="100"/>
      <c r="U30" s="187" t="s">
        <v>84</v>
      </c>
      <c r="V30" s="188">
        <f>R39</f>
        <v>1.4523809523809523</v>
      </c>
      <c r="X30" s="138">
        <f t="shared" si="12"/>
        <v>0</v>
      </c>
      <c r="Y30" s="139">
        <f t="shared" si="13"/>
        <v>0</v>
      </c>
      <c r="Z30" s="138">
        <f t="shared" si="14"/>
        <v>0</v>
      </c>
      <c r="AA30" s="138">
        <f t="shared" si="15"/>
        <v>0</v>
      </c>
    </row>
    <row r="31" spans="1:30" ht="14.25">
      <c r="A31" s="37">
        <f t="shared" si="3"/>
        <v>7</v>
      </c>
      <c r="B31" s="41">
        <f t="shared" si="16"/>
        <v>43155</v>
      </c>
      <c r="C31" s="42">
        <f>IF(B31="","",IF(COUNTIF(fer,B31)&gt;0,"feriado",B31))</f>
        <v>43155</v>
      </c>
      <c r="D31" s="115"/>
      <c r="E31" s="136">
        <v>1700</v>
      </c>
      <c r="F31" s="136">
        <v>1900</v>
      </c>
      <c r="G31" s="136">
        <v>2000</v>
      </c>
      <c r="H31" s="136">
        <v>2300</v>
      </c>
      <c r="I31" s="74">
        <f t="shared" si="5"/>
        <v>0.16667000000000001</v>
      </c>
      <c r="J31" s="74">
        <f t="shared" si="0"/>
        <v>4.1666666666666741E-2</v>
      </c>
      <c r="K31" s="43">
        <f t="shared" si="6"/>
        <v>5.9523809523809659E-3</v>
      </c>
      <c r="L31" s="43">
        <f t="shared" si="7"/>
        <v>4.7619047619047707E-2</v>
      </c>
      <c r="M31" s="44">
        <f t="shared" si="8"/>
        <v>0.21428571428571422</v>
      </c>
      <c r="N31" s="143">
        <f t="shared" si="1"/>
        <v>0.30555555555555552</v>
      </c>
      <c r="O31" s="153" t="str">
        <f t="shared" si="9"/>
        <v/>
      </c>
      <c r="P31" s="143">
        <f t="shared" si="10"/>
        <v>9.1269841269841306E-2</v>
      </c>
      <c r="Q31" s="44">
        <f t="shared" si="11"/>
        <v>0</v>
      </c>
      <c r="R31" s="45">
        <f t="shared" si="2"/>
        <v>0</v>
      </c>
      <c r="S31" s="100"/>
      <c r="T31" s="100"/>
      <c r="U31" s="100"/>
      <c r="V31" s="100"/>
      <c r="X31" s="138">
        <f t="shared" si="12"/>
        <v>0.70833333333333337</v>
      </c>
      <c r="Y31" s="139">
        <f t="shared" si="13"/>
        <v>0.79166666666666663</v>
      </c>
      <c r="Z31" s="138">
        <f t="shared" si="14"/>
        <v>0.83333333333333337</v>
      </c>
      <c r="AA31" s="138">
        <f t="shared" si="15"/>
        <v>0.95833333333333337</v>
      </c>
    </row>
    <row r="32" spans="1:30" ht="14.25">
      <c r="A32" s="37">
        <f t="shared" si="3"/>
        <v>1</v>
      </c>
      <c r="B32" s="41">
        <f t="shared" si="16"/>
        <v>43156</v>
      </c>
      <c r="C32" s="42">
        <f t="shared" si="4"/>
        <v>43156</v>
      </c>
      <c r="D32" s="115" t="s">
        <v>15</v>
      </c>
      <c r="E32" s="136">
        <v>1700</v>
      </c>
      <c r="F32" s="136">
        <v>1900</v>
      </c>
      <c r="G32" s="136">
        <v>2000</v>
      </c>
      <c r="H32" s="136">
        <v>700</v>
      </c>
      <c r="I32" s="74">
        <f t="shared" si="5"/>
        <v>0.25</v>
      </c>
      <c r="J32" s="74">
        <f t="shared" si="0"/>
        <v>0.29166666666666663</v>
      </c>
      <c r="K32" s="43">
        <f t="shared" si="6"/>
        <v>4.1666666666666685E-2</v>
      </c>
      <c r="L32" s="43">
        <f t="shared" si="7"/>
        <v>0.33333333333333331</v>
      </c>
      <c r="M32" s="44">
        <f t="shared" si="8"/>
        <v>0.58333333333333326</v>
      </c>
      <c r="N32" s="143">
        <f t="shared" si="1"/>
        <v>0</v>
      </c>
      <c r="O32" s="153" t="str">
        <f t="shared" si="9"/>
        <v/>
      </c>
      <c r="P32" s="143" t="str">
        <f t="shared" si="10"/>
        <v/>
      </c>
      <c r="Q32" s="44">
        <f t="shared" si="11"/>
        <v>0</v>
      </c>
      <c r="R32" s="45">
        <f t="shared" si="2"/>
        <v>0.58333333333333326</v>
      </c>
      <c r="S32" s="100"/>
      <c r="T32" s="100"/>
      <c r="U32" s="180" t="str">
        <f>IF(V28-V29=0,0,(IF(V28-V29&lt;0,"Horas Extras","Horas Compensadas")))</f>
        <v>Horas Compensadas</v>
      </c>
      <c r="V32" s="190">
        <f>IF(V28-V29&lt;0,(V28*-1)-(V29*-1),V28-V29)</f>
        <v>0.4429563492063493</v>
      </c>
      <c r="X32" s="138">
        <f t="shared" si="12"/>
        <v>0.70833333333333337</v>
      </c>
      <c r="Y32" s="139">
        <f t="shared" si="13"/>
        <v>0.79166666666666663</v>
      </c>
      <c r="Z32" s="138">
        <f t="shared" si="14"/>
        <v>0.83333333333333337</v>
      </c>
      <c r="AA32" s="138">
        <f t="shared" si="15"/>
        <v>0.29166666666666669</v>
      </c>
    </row>
    <row r="33" spans="1:27" ht="14.25">
      <c r="A33" s="37">
        <f t="shared" si="3"/>
        <v>2</v>
      </c>
      <c r="B33" s="41">
        <f t="shared" si="16"/>
        <v>43157</v>
      </c>
      <c r="C33" s="42">
        <f t="shared" si="4"/>
        <v>43157</v>
      </c>
      <c r="D33" s="115"/>
      <c r="E33" s="136">
        <v>0</v>
      </c>
      <c r="F33" s="136">
        <v>0</v>
      </c>
      <c r="G33" s="136">
        <v>0</v>
      </c>
      <c r="H33" s="136">
        <v>0</v>
      </c>
      <c r="I33" s="74">
        <f t="shared" si="5"/>
        <v>0</v>
      </c>
      <c r="J33" s="74">
        <f t="shared" si="0"/>
        <v>0</v>
      </c>
      <c r="K33" s="43">
        <f t="shared" si="6"/>
        <v>0</v>
      </c>
      <c r="L33" s="43">
        <f t="shared" si="7"/>
        <v>0</v>
      </c>
      <c r="M33" s="44">
        <f t="shared" si="8"/>
        <v>0</v>
      </c>
      <c r="N33" s="143">
        <f t="shared" si="1"/>
        <v>0.30555555555555552</v>
      </c>
      <c r="O33" s="153" t="str">
        <f t="shared" si="9"/>
        <v/>
      </c>
      <c r="P33" s="143">
        <f t="shared" si="10"/>
        <v>0.30555555555555552</v>
      </c>
      <c r="Q33" s="44">
        <f t="shared" si="11"/>
        <v>0</v>
      </c>
      <c r="R33" s="45">
        <f t="shared" si="2"/>
        <v>0</v>
      </c>
      <c r="S33" s="100"/>
      <c r="T33" s="100"/>
      <c r="U33" s="100"/>
      <c r="V33" s="100"/>
      <c r="X33" s="138">
        <f t="shared" si="12"/>
        <v>0</v>
      </c>
      <c r="Y33" s="139">
        <f t="shared" si="13"/>
        <v>0</v>
      </c>
      <c r="Z33" s="138">
        <f t="shared" si="14"/>
        <v>0</v>
      </c>
      <c r="AA33" s="138">
        <f t="shared" si="15"/>
        <v>0</v>
      </c>
    </row>
    <row r="34" spans="1:27" ht="14.25">
      <c r="A34" s="37">
        <f t="shared" si="3"/>
        <v>3</v>
      </c>
      <c r="B34" s="41">
        <f t="shared" si="16"/>
        <v>43158</v>
      </c>
      <c r="C34" s="42">
        <f t="shared" si="4"/>
        <v>43158</v>
      </c>
      <c r="D34" s="115" t="s">
        <v>73</v>
      </c>
      <c r="E34" s="136">
        <v>1800</v>
      </c>
      <c r="F34" s="136">
        <v>2200</v>
      </c>
      <c r="G34" s="136">
        <v>2300</v>
      </c>
      <c r="H34" s="136">
        <v>100</v>
      </c>
      <c r="I34" s="74">
        <f t="shared" si="5"/>
        <v>0.16667000000000001</v>
      </c>
      <c r="J34" s="74">
        <f t="shared" si="0"/>
        <v>8.333333333333337E-2</v>
      </c>
      <c r="K34" s="43">
        <f t="shared" si="6"/>
        <v>1.1904761904761904E-2</v>
      </c>
      <c r="L34" s="43">
        <f t="shared" si="7"/>
        <v>9.5238095238095274E-2</v>
      </c>
      <c r="M34" s="44">
        <f t="shared" si="8"/>
        <v>0.26190476190476181</v>
      </c>
      <c r="N34" s="143">
        <f t="shared" si="1"/>
        <v>0.30555555555555552</v>
      </c>
      <c r="O34" s="153">
        <f t="shared" si="9"/>
        <v>4.3650793650793718E-2</v>
      </c>
      <c r="P34" s="143" t="str">
        <f t="shared" si="10"/>
        <v/>
      </c>
      <c r="Q34" s="44">
        <f t="shared" si="11"/>
        <v>0</v>
      </c>
      <c r="R34" s="45">
        <f t="shared" si="2"/>
        <v>0</v>
      </c>
      <c r="S34" s="100"/>
      <c r="T34" s="100"/>
      <c r="U34" s="100"/>
      <c r="V34" s="100"/>
      <c r="X34" s="138">
        <f t="shared" si="12"/>
        <v>0.75</v>
      </c>
      <c r="Y34" s="139">
        <f t="shared" si="13"/>
        <v>0.91666666666666663</v>
      </c>
      <c r="Z34" s="138">
        <f t="shared" si="14"/>
        <v>0.95833333333333337</v>
      </c>
      <c r="AA34" s="138">
        <f t="shared" si="15"/>
        <v>4.1666666666666664E-2</v>
      </c>
    </row>
    <row r="35" spans="1:27" ht="14.25">
      <c r="A35" s="37">
        <f t="shared" si="3"/>
        <v>4</v>
      </c>
      <c r="B35" s="41">
        <f t="shared" si="16"/>
        <v>43159</v>
      </c>
      <c r="C35" s="42">
        <f t="shared" si="4"/>
        <v>43159</v>
      </c>
      <c r="D35" s="115"/>
      <c r="E35" s="136">
        <v>1800</v>
      </c>
      <c r="F35" s="136">
        <v>2200</v>
      </c>
      <c r="G35" s="136">
        <v>2300</v>
      </c>
      <c r="H35" s="136">
        <v>900</v>
      </c>
      <c r="I35" s="74">
        <f t="shared" si="5"/>
        <v>0.33333000000000002</v>
      </c>
      <c r="J35" s="74">
        <f t="shared" si="0"/>
        <v>0.24999999999999989</v>
      </c>
      <c r="K35" s="43">
        <f t="shared" si="6"/>
        <v>3.5714285714285698E-2</v>
      </c>
      <c r="L35" s="43">
        <f t="shared" si="7"/>
        <v>0.28571428571428559</v>
      </c>
      <c r="M35" s="44">
        <f t="shared" si="8"/>
        <v>0.61904761904761896</v>
      </c>
      <c r="N35" s="143">
        <f t="shared" si="1"/>
        <v>0.30555555555555552</v>
      </c>
      <c r="O35" s="153" t="str">
        <f t="shared" si="9"/>
        <v/>
      </c>
      <c r="P35" s="143" t="str">
        <f t="shared" si="10"/>
        <v/>
      </c>
      <c r="Q35" s="44">
        <f t="shared" si="11"/>
        <v>0.31349206349206343</v>
      </c>
      <c r="R35" s="45">
        <f t="shared" si="2"/>
        <v>0</v>
      </c>
      <c r="S35" s="100"/>
      <c r="T35" s="100"/>
      <c r="U35" s="100"/>
      <c r="V35" s="100"/>
      <c r="X35" s="138">
        <f t="shared" si="12"/>
        <v>0.75</v>
      </c>
      <c r="Y35" s="139">
        <f t="shared" si="13"/>
        <v>0.91666666666666663</v>
      </c>
      <c r="Z35" s="138">
        <f t="shared" si="14"/>
        <v>0.95833333333333337</v>
      </c>
      <c r="AA35" s="138">
        <f t="shared" si="15"/>
        <v>0.375</v>
      </c>
    </row>
    <row r="36" spans="1:27" ht="14.25">
      <c r="A36" s="37" t="str">
        <f t="shared" si="3"/>
        <v/>
      </c>
      <c r="B36" s="46" t="str">
        <f>IF(B35="","",IF(B35&gt;=fim,"",B35+1))</f>
        <v/>
      </c>
      <c r="C36" s="42" t="str">
        <f t="shared" si="4"/>
        <v/>
      </c>
      <c r="D36" s="115"/>
      <c r="E36" s="136"/>
      <c r="F36" s="136"/>
      <c r="G36" s="136"/>
      <c r="H36" s="136"/>
      <c r="I36" s="74" t="str">
        <f t="shared" si="5"/>
        <v/>
      </c>
      <c r="J36" s="74" t="str">
        <f t="shared" si="0"/>
        <v/>
      </c>
      <c r="K36" s="43" t="str">
        <f t="shared" si="6"/>
        <v/>
      </c>
      <c r="L36" s="43" t="str">
        <f t="shared" si="7"/>
        <v/>
      </c>
      <c r="M36" s="44" t="str">
        <f t="shared" si="8"/>
        <v/>
      </c>
      <c r="N36" s="143" t="str">
        <f t="shared" si="1"/>
        <v/>
      </c>
      <c r="O36" s="153" t="str">
        <f t="shared" si="9"/>
        <v/>
      </c>
      <c r="P36" s="143" t="str">
        <f t="shared" si="10"/>
        <v/>
      </c>
      <c r="Q36" s="44" t="str">
        <f t="shared" si="11"/>
        <v/>
      </c>
      <c r="R36" s="45" t="str">
        <f t="shared" si="2"/>
        <v/>
      </c>
      <c r="S36" s="100"/>
      <c r="T36" s="100"/>
      <c r="U36" s="100"/>
      <c r="V36" s="100"/>
      <c r="X36" s="138" t="str">
        <f t="shared" si="12"/>
        <v/>
      </c>
      <c r="Y36" s="139" t="str">
        <f t="shared" si="13"/>
        <v/>
      </c>
      <c r="Z36" s="138" t="str">
        <f t="shared" si="14"/>
        <v/>
      </c>
      <c r="AA36" s="138" t="str">
        <f t="shared" si="15"/>
        <v/>
      </c>
    </row>
    <row r="37" spans="1:27" ht="14.25">
      <c r="A37" s="37" t="str">
        <f t="shared" si="3"/>
        <v/>
      </c>
      <c r="B37" s="46" t="str">
        <f>IF(B36="","",IF(B36&gt;=fim,"",B36+1))</f>
        <v/>
      </c>
      <c r="C37" s="42" t="str">
        <f t="shared" si="4"/>
        <v/>
      </c>
      <c r="D37" s="115"/>
      <c r="E37" s="136"/>
      <c r="F37" s="136"/>
      <c r="G37" s="136"/>
      <c r="H37" s="136"/>
      <c r="I37" s="74" t="str">
        <f t="shared" si="5"/>
        <v/>
      </c>
      <c r="J37" s="74" t="str">
        <f t="shared" si="0"/>
        <v/>
      </c>
      <c r="K37" s="43" t="str">
        <f t="shared" si="6"/>
        <v/>
      </c>
      <c r="L37" s="43" t="str">
        <f t="shared" si="7"/>
        <v/>
      </c>
      <c r="M37" s="44" t="str">
        <f t="shared" si="8"/>
        <v/>
      </c>
      <c r="N37" s="143" t="str">
        <f t="shared" si="1"/>
        <v/>
      </c>
      <c r="O37" s="153" t="str">
        <f t="shared" si="9"/>
        <v/>
      </c>
      <c r="P37" s="143" t="str">
        <f t="shared" si="10"/>
        <v/>
      </c>
      <c r="Q37" s="44" t="str">
        <f t="shared" si="11"/>
        <v/>
      </c>
      <c r="R37" s="45" t="str">
        <f t="shared" si="2"/>
        <v/>
      </c>
      <c r="S37" s="100"/>
      <c r="T37" s="100"/>
      <c r="U37" s="100"/>
      <c r="V37" s="100"/>
      <c r="X37" s="138" t="str">
        <f t="shared" si="12"/>
        <v/>
      </c>
      <c r="Y37" s="139" t="str">
        <f t="shared" si="13"/>
        <v/>
      </c>
      <c r="Z37" s="138" t="str">
        <f t="shared" si="14"/>
        <v/>
      </c>
      <c r="AA37" s="138" t="str">
        <f t="shared" si="15"/>
        <v/>
      </c>
    </row>
    <row r="38" spans="1:27" ht="14.25">
      <c r="A38" s="37" t="str">
        <f t="shared" si="3"/>
        <v/>
      </c>
      <c r="B38" s="47" t="str">
        <f>IF(B37="","",IF(B37&gt;=fim,"",B37+1))</f>
        <v/>
      </c>
      <c r="C38" s="48" t="str">
        <f t="shared" si="4"/>
        <v/>
      </c>
      <c r="D38" s="116"/>
      <c r="E38" s="137"/>
      <c r="F38" s="136"/>
      <c r="G38" s="136"/>
      <c r="H38" s="137"/>
      <c r="I38" s="85" t="str">
        <f t="shared" si="5"/>
        <v/>
      </c>
      <c r="J38" s="85" t="str">
        <f t="shared" si="0"/>
        <v/>
      </c>
      <c r="K38" s="49" t="str">
        <f t="shared" si="6"/>
        <v/>
      </c>
      <c r="L38" s="49" t="str">
        <f t="shared" si="7"/>
        <v/>
      </c>
      <c r="M38" s="50" t="str">
        <f t="shared" si="8"/>
        <v/>
      </c>
      <c r="N38" s="142" t="str">
        <f t="shared" si="1"/>
        <v/>
      </c>
      <c r="O38" s="153" t="str">
        <f t="shared" si="9"/>
        <v/>
      </c>
      <c r="P38" s="143" t="str">
        <f t="shared" si="10"/>
        <v/>
      </c>
      <c r="Q38" s="50" t="str">
        <f t="shared" si="11"/>
        <v/>
      </c>
      <c r="R38" s="51" t="str">
        <f t="shared" si="2"/>
        <v/>
      </c>
      <c r="S38" s="100"/>
      <c r="T38" s="100"/>
      <c r="U38" s="100"/>
      <c r="V38" s="100"/>
      <c r="X38" s="140" t="str">
        <f t="shared" si="12"/>
        <v/>
      </c>
      <c r="Y38" s="141" t="str">
        <f t="shared" si="13"/>
        <v/>
      </c>
      <c r="Z38" s="140" t="str">
        <f t="shared" si="14"/>
        <v/>
      </c>
      <c r="AA38" s="140" t="str">
        <f t="shared" si="15"/>
        <v/>
      </c>
    </row>
    <row r="39" spans="1:27" ht="14.25">
      <c r="B39" s="60" t="s">
        <v>25</v>
      </c>
      <c r="C39" s="60" t="s">
        <v>26</v>
      </c>
      <c r="D39" s="60"/>
      <c r="E39" s="60" t="s">
        <v>31</v>
      </c>
      <c r="F39" s="60" t="s">
        <v>32</v>
      </c>
      <c r="G39" s="60" t="s">
        <v>33</v>
      </c>
      <c r="H39" s="60" t="s">
        <v>34</v>
      </c>
      <c r="I39" s="67" t="s">
        <v>35</v>
      </c>
      <c r="J39" s="68" t="s">
        <v>36</v>
      </c>
      <c r="K39" s="69" t="s">
        <v>37</v>
      </c>
      <c r="L39" s="70">
        <f>SUM(L8:L38)</f>
        <v>2.3928571428571432</v>
      </c>
      <c r="M39" s="70">
        <f>SUM(M8:M38)</f>
        <v>7.5491071428571415</v>
      </c>
      <c r="N39" s="65" t="s">
        <v>37</v>
      </c>
      <c r="O39" s="70">
        <f>SUM(O8:O38)</f>
        <v>0.48809523809523808</v>
      </c>
      <c r="P39" s="70">
        <f>SUM(P7:P38)</f>
        <v>1.441964285714286</v>
      </c>
      <c r="Q39" s="70">
        <f>SUM(Q7:Q38)</f>
        <v>0.99900793650793673</v>
      </c>
      <c r="R39" s="70">
        <f>SUM(R8:R38)</f>
        <v>1.4523809523809523</v>
      </c>
      <c r="S39" s="101"/>
      <c r="T39" s="101"/>
      <c r="U39" s="101"/>
      <c r="V39" s="101"/>
    </row>
    <row r="40" spans="1:27" ht="14.25">
      <c r="B40" s="61">
        <f>B8</f>
        <v>43132</v>
      </c>
      <c r="C40" s="61">
        <f>MAX(B8:B38)</f>
        <v>43159</v>
      </c>
      <c r="D40" s="61"/>
      <c r="E40" s="62">
        <f>COUNTIF(C8:C38,"feriado")</f>
        <v>1</v>
      </c>
      <c r="F40" s="63">
        <f ca="1">SUMPRODUCT((WEEKDAY(ROW(INDIRECT($B40&amp;":"&amp;$C40)))=1)*(COUNTIF(fer,ROW(INDIRECT($B40&amp;":"&amp;$C40)))=0))</f>
        <v>4</v>
      </c>
      <c r="G40" s="63">
        <f>C40-B40+1</f>
        <v>28</v>
      </c>
      <c r="H40" s="63">
        <f ca="1">G40-I40</f>
        <v>23</v>
      </c>
      <c r="I40" s="66">
        <f ca="1">E40+F40</f>
        <v>5</v>
      </c>
      <c r="J40" s="71" t="str">
        <f ca="1">H40&amp;"/"&amp;I40</f>
        <v>23/5</v>
      </c>
      <c r="K40" s="72" t="s">
        <v>38</v>
      </c>
      <c r="L40" s="64">
        <f>L39*24</f>
        <v>57.428571428571438</v>
      </c>
      <c r="M40" s="64">
        <f>M39*24</f>
        <v>181.17857142857139</v>
      </c>
      <c r="N40" s="65" t="s">
        <v>38</v>
      </c>
      <c r="O40" s="64">
        <f t="shared" ref="O40:P40" si="17">O39*24</f>
        <v>11.714285714285714</v>
      </c>
      <c r="P40" s="64">
        <f t="shared" si="17"/>
        <v>34.607142857142861</v>
      </c>
      <c r="Q40" s="64">
        <f>Q39*24</f>
        <v>23.976190476190482</v>
      </c>
      <c r="R40" s="64">
        <f>R39*24</f>
        <v>34.857142857142854</v>
      </c>
      <c r="S40" s="102"/>
      <c r="T40" s="102"/>
      <c r="U40" s="102"/>
      <c r="V40" s="102"/>
    </row>
    <row r="41" spans="1:27" ht="14.25">
      <c r="B41" s="125" t="str">
        <f>IF(dia_f="","",DATE(ano_p,mês_p,1))</f>
        <v/>
      </c>
      <c r="C41" s="126" t="str">
        <f>IF(dia_f="","",DATE(ano_p,mês_p+1,0))</f>
        <v/>
      </c>
      <c r="D41" s="73"/>
      <c r="E41" s="62" t="str">
        <f>IF(B41="","",SUMPRODUCT(((WEEKDAY(fer)&gt;1))*(fer&gt;=B41)*(fer&lt;=C41)))</f>
        <v/>
      </c>
      <c r="F41" s="63" t="str">
        <f ca="1">IF(B41="","",SUMPRODUCT((WEEKDAY(ROW(INDIRECT($B41&amp;":"&amp;$C41)))=1)*1))</f>
        <v/>
      </c>
      <c r="G41" s="128" t="str">
        <f>IF(B41="","",DAY(C41))</f>
        <v/>
      </c>
      <c r="H41" s="117" t="str">
        <f ca="1">IF(B41="","",SUMPRODUCT((WEEKDAY(ROW(INDIRECT(B41&amp;":"&amp;C41)))&gt;1)*(COUNTIF(fer,ROW(INDIRECT(B41&amp;":"&amp;C41)))=0)))</f>
        <v/>
      </c>
      <c r="I41" s="66" t="str">
        <f>IF(B41="","",E41+F41)</f>
        <v/>
      </c>
      <c r="J41" s="71" t="str">
        <f>IF(B41="","",H41&amp;"/"&amp;I41)</f>
        <v/>
      </c>
      <c r="K41" s="73" t="s">
        <v>39</v>
      </c>
      <c r="L41" s="64">
        <f ca="1">L40/$H$40*$I$40</f>
        <v>12.484472049689444</v>
      </c>
      <c r="M41" s="173"/>
      <c r="N41" s="174"/>
      <c r="O41" s="174"/>
      <c r="P41" s="174"/>
      <c r="Q41" s="175"/>
      <c r="R41" s="175"/>
      <c r="S41" s="102"/>
      <c r="T41" s="102"/>
      <c r="U41" s="102"/>
      <c r="V41" s="102"/>
    </row>
    <row r="42" spans="1:27" ht="14.25">
      <c r="K42" s="129" t="str">
        <f>IF(B41="","","Dsr mês:")</f>
        <v/>
      </c>
      <c r="L42" s="79" t="str">
        <f>IF(B41="","",L40/H41*I41)</f>
        <v/>
      </c>
      <c r="M42" s="205" t="str">
        <f>IF(B41="","","Dsr mês:")</f>
        <v/>
      </c>
      <c r="N42" s="205"/>
      <c r="O42" s="172"/>
      <c r="P42" s="172"/>
      <c r="Q42" s="102" t="str">
        <f>IF(B41="","",Q40/$H$41*$I$41)</f>
        <v/>
      </c>
      <c r="R42" s="102" t="str">
        <f>IF(B41="","",R40/$H$41*$I$41)</f>
        <v/>
      </c>
    </row>
    <row r="44" spans="1:27" ht="18.75">
      <c r="C44" s="76"/>
      <c r="D44" s="133"/>
      <c r="H44" s="1"/>
      <c r="I44" s="1"/>
      <c r="J44" s="1"/>
      <c r="K44" s="1"/>
      <c r="L44" s="1"/>
    </row>
    <row r="45" spans="1:27">
      <c r="D45" s="154"/>
    </row>
    <row r="47" spans="1:27">
      <c r="D47" s="155"/>
    </row>
    <row r="48" spans="1:27">
      <c r="D48" s="155"/>
    </row>
    <row r="116" spans="4:22">
      <c r="U116" s="82">
        <f>IF(dia_f="",DATE(ano_p,mês_p,1),DATE(ano_p,mês_p-1,dia_f+1))</f>
        <v>43132</v>
      </c>
      <c r="V116" s="75" t="s">
        <v>40</v>
      </c>
    </row>
    <row r="117" spans="4:22">
      <c r="U117" s="82">
        <f>IF(dia_f="",DATE(ano_p,mês_p+1,0),(DATE($V$22,mês_p,dia_f)))</f>
        <v>43159</v>
      </c>
      <c r="V117" s="75" t="s">
        <v>41</v>
      </c>
    </row>
    <row r="119" spans="4:22">
      <c r="D119" s="75" t="s">
        <v>42</v>
      </c>
      <c r="F119" s="75" t="s">
        <v>43</v>
      </c>
    </row>
    <row r="120" spans="4:22" ht="14.25">
      <c r="D120" s="127">
        <v>1</v>
      </c>
      <c r="F120" s="130">
        <v>2012</v>
      </c>
    </row>
    <row r="121" spans="4:22" ht="14.25">
      <c r="D121" s="132">
        <v>2</v>
      </c>
      <c r="F121" s="130">
        <v>2013</v>
      </c>
    </row>
    <row r="122" spans="4:22" ht="14.25">
      <c r="D122" s="132">
        <v>3</v>
      </c>
      <c r="F122" s="130">
        <v>2014</v>
      </c>
    </row>
    <row r="123" spans="4:22" ht="14.25">
      <c r="D123" s="133">
        <v>4</v>
      </c>
      <c r="F123" s="131">
        <v>2015</v>
      </c>
    </row>
    <row r="124" spans="4:22" ht="14.25">
      <c r="D124" s="133">
        <v>5</v>
      </c>
      <c r="F124" s="131">
        <v>2016</v>
      </c>
    </row>
    <row r="125" spans="4:22" ht="14.25">
      <c r="D125" s="133">
        <v>6</v>
      </c>
      <c r="F125" s="131">
        <v>2017</v>
      </c>
    </row>
    <row r="126" spans="4:22" ht="14.25">
      <c r="D126" s="133">
        <v>7</v>
      </c>
      <c r="F126" s="131">
        <v>2018</v>
      </c>
    </row>
    <row r="127" spans="4:22" ht="14.25">
      <c r="D127" s="133">
        <v>8</v>
      </c>
      <c r="F127" s="131">
        <v>2019</v>
      </c>
    </row>
    <row r="128" spans="4:22" ht="14.25">
      <c r="D128" s="134">
        <v>9</v>
      </c>
      <c r="F128" s="131">
        <v>2020</v>
      </c>
    </row>
    <row r="129" spans="4:6" ht="14.25">
      <c r="D129" s="133">
        <v>10</v>
      </c>
      <c r="F129" s="131">
        <v>2021</v>
      </c>
    </row>
    <row r="130" spans="4:6" ht="14.25">
      <c r="D130" s="133">
        <v>11</v>
      </c>
      <c r="F130" s="131">
        <v>2022</v>
      </c>
    </row>
    <row r="131" spans="4:6" ht="14.25">
      <c r="D131" s="133">
        <v>12</v>
      </c>
      <c r="F131" s="131">
        <v>2023</v>
      </c>
    </row>
    <row r="150" spans="2:4">
      <c r="B150" s="75"/>
      <c r="C150" s="76"/>
      <c r="D150" s="76"/>
    </row>
    <row r="151" spans="2:4">
      <c r="B151" s="75"/>
      <c r="C151" s="76"/>
      <c r="D151" s="76"/>
    </row>
  </sheetData>
  <mergeCells count="9">
    <mergeCell ref="B5:C5"/>
    <mergeCell ref="U17:V17"/>
    <mergeCell ref="U20:V20"/>
    <mergeCell ref="B7:C7"/>
    <mergeCell ref="X6:AA6"/>
    <mergeCell ref="U6:V7"/>
    <mergeCell ref="H2:H3"/>
    <mergeCell ref="Q2:Q4"/>
    <mergeCell ref="M42:N42"/>
  </mergeCells>
  <phoneticPr fontId="8" type="noConversion"/>
  <conditionalFormatting sqref="B8:C38">
    <cfRule type="expression" dxfId="70" priority="19">
      <formula>WEEKDAY($B8,2)=7</formula>
    </cfRule>
    <cfRule type="expression" dxfId="69" priority="20">
      <formula>COUNTIF(fer,$B8)&gt;0</formula>
    </cfRule>
  </conditionalFormatting>
  <conditionalFormatting sqref="D36:D38">
    <cfRule type="cellIs" dxfId="68" priority="14" operator="equal">
      <formula>"F"</formula>
    </cfRule>
  </conditionalFormatting>
  <conditionalFormatting sqref="K42">
    <cfRule type="expression" dxfId="67" priority="13">
      <formula>$B$41&lt;&gt;""</formula>
    </cfRule>
  </conditionalFormatting>
  <conditionalFormatting sqref="L42">
    <cfRule type="expression" dxfId="66" priority="12">
      <formula>$B$41&lt;&gt;""</formula>
    </cfRule>
  </conditionalFormatting>
  <conditionalFormatting sqref="M42:P42">
    <cfRule type="expression" dxfId="65" priority="11">
      <formula>$B$41&lt;&gt;""</formula>
    </cfRule>
  </conditionalFormatting>
  <conditionalFormatting sqref="Q42:R42">
    <cfRule type="expression" dxfId="64" priority="9">
      <formula>$B$41&lt;&gt;""</formula>
    </cfRule>
  </conditionalFormatting>
  <conditionalFormatting sqref="E36:R38 I8:R35">
    <cfRule type="expression" dxfId="63" priority="6">
      <formula>$D8="F"</formula>
    </cfRule>
  </conditionalFormatting>
  <conditionalFormatting sqref="O8:O38">
    <cfRule type="expression" dxfId="62" priority="5">
      <formula>O8&gt;0</formula>
    </cfRule>
  </conditionalFormatting>
  <conditionalFormatting sqref="P7:P38">
    <cfRule type="expression" dxfId="61" priority="4">
      <formula>P7&gt;0</formula>
    </cfRule>
  </conditionalFormatting>
  <conditionalFormatting sqref="D8:D35">
    <cfRule type="cellIs" dxfId="60" priority="2" operator="equal">
      <formula>"F"</formula>
    </cfRule>
  </conditionalFormatting>
  <conditionalFormatting sqref="E8:H35">
    <cfRule type="expression" dxfId="59" priority="1">
      <formula>$D8="F"</formula>
    </cfRule>
  </conditionalFormatting>
  <dataValidations count="3">
    <dataValidation type="list" allowBlank="1" showInputMessage="1" showErrorMessage="1" sqref="V23" xr:uid="{00000000-0002-0000-0000-000000000000}">
      <formula1>$D$120:$D$131</formula1>
    </dataValidation>
    <dataValidation type="list" allowBlank="1" showInputMessage="1" showErrorMessage="1" sqref="V22" xr:uid="{00000000-0002-0000-0000-000001000000}">
      <formula1>$F$120:$F$131</formula1>
    </dataValidation>
    <dataValidation type="custom" allowBlank="1" showInputMessage="1" showErrorMessage="1" sqref="E8:H38" xr:uid="{00000000-0002-0000-0000-000002000000}">
      <formula1>OR(E8=2400,TEXT(E8,"00\:00")=TEXT(X8,"hh:mm"))</formula1>
    </dataValidation>
  </dataValidations>
  <pageMargins left="0.75" right="0.75" top="1" bottom="1" header="0.49212598499999999" footer="0.49212598499999999"/>
  <pageSetup paperSize="9" scale="83" orientation="landscape" r:id="rId1"/>
  <headerFooter alignWithMargins="0"/>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31" r:id="rId4" name="Botão 7">
              <controlPr defaultSize="0" print="0" autoFill="0" autoPict="0" macro="[0]!Limpar_Click">
                <anchor moveWithCells="1" sizeWithCells="1">
                  <from>
                    <xdr:col>20</xdr:col>
                    <xdr:colOff>76200</xdr:colOff>
                    <xdr:row>33</xdr:row>
                    <xdr:rowOff>38100</xdr:rowOff>
                  </from>
                  <to>
                    <xdr:col>21</xdr:col>
                    <xdr:colOff>438150</xdr:colOff>
                    <xdr:row>35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3">
    <tabColor theme="6"/>
  </sheetPr>
  <dimension ref="A1:AD151"/>
  <sheetViews>
    <sheetView showGridLines="0" topLeftCell="A4" zoomScaleNormal="100" workbookViewId="0" xr3:uid="{958C4451-9541-5A59-BF78-D2F731DF1C81}">
      <selection activeCell="D13" sqref="D13"/>
    </sheetView>
  </sheetViews>
  <sheetFormatPr defaultRowHeight="12.75"/>
  <cols>
    <col min="1" max="1" width="2.6953125" customWidth="1"/>
    <col min="2" max="2" width="12.13671875" customWidth="1"/>
    <col min="3" max="3" width="12.40625" customWidth="1"/>
    <col min="4" max="4" width="6.875" customWidth="1"/>
    <col min="5" max="5" width="9.4375" customWidth="1"/>
    <col min="6" max="8" width="9.4375" bestFit="1" customWidth="1"/>
    <col min="9" max="12" width="9.4375" customWidth="1"/>
    <col min="13" max="15" width="11.32421875" customWidth="1"/>
    <col min="16" max="16" width="9.3046875" customWidth="1"/>
    <col min="17" max="17" width="11.32421875" customWidth="1"/>
    <col min="19" max="20" width="0.80859375" customWidth="1"/>
    <col min="21" max="21" width="24.00390625" customWidth="1"/>
    <col min="22" max="22" width="8.359375" customWidth="1"/>
    <col min="23" max="23" width="6.7421875" customWidth="1"/>
    <col min="24" max="27" width="9.4375" customWidth="1"/>
    <col min="29" max="29" width="12" customWidth="1"/>
    <col min="30" max="30" width="26.8359375" customWidth="1"/>
  </cols>
  <sheetData>
    <row r="1" spans="1:30">
      <c r="E1" s="181" t="s">
        <v>75</v>
      </c>
      <c r="F1" s="75"/>
    </row>
    <row r="2" spans="1:30" ht="15.95" customHeight="1">
      <c r="D2" s="120"/>
      <c r="E2" s="135"/>
      <c r="H2" s="202"/>
      <c r="J2" s="2"/>
      <c r="Q2" s="211"/>
      <c r="X2" s="156"/>
      <c r="Y2" s="94"/>
      <c r="Z2" s="94"/>
      <c r="AA2" s="94"/>
      <c r="AB2" s="94"/>
    </row>
    <row r="3" spans="1:30" ht="15.95" customHeight="1">
      <c r="D3" s="120"/>
      <c r="E3" s="135"/>
      <c r="H3" s="203"/>
      <c r="J3" s="3"/>
      <c r="K3" s="81"/>
      <c r="Q3" s="211"/>
      <c r="X3" s="94"/>
      <c r="Y3" s="94"/>
      <c r="Z3" s="94"/>
      <c r="AA3" s="94"/>
      <c r="AB3" s="94"/>
    </row>
    <row r="4" spans="1:30" ht="13.5" customHeight="1">
      <c r="Q4" s="211"/>
      <c r="X4" s="165"/>
      <c r="Y4" s="166"/>
      <c r="Z4" s="166"/>
      <c r="AA4" s="166"/>
      <c r="AB4" s="94"/>
    </row>
    <row r="5" spans="1:30" ht="14.25">
      <c r="B5" s="206"/>
      <c r="C5" s="206"/>
      <c r="D5" s="152"/>
      <c r="E5" s="80"/>
      <c r="F5" s="75"/>
      <c r="X5" s="167"/>
      <c r="Y5" s="167"/>
      <c r="Z5" s="167"/>
      <c r="AA5" s="167"/>
    </row>
    <row r="6" spans="1:30" ht="25.5" customHeight="1">
      <c r="B6" s="84" t="s">
        <v>1</v>
      </c>
      <c r="C6" s="84" t="s">
        <v>2</v>
      </c>
      <c r="D6" s="84" t="s">
        <v>3</v>
      </c>
      <c r="E6" s="84" t="s">
        <v>4</v>
      </c>
      <c r="F6" s="84" t="s">
        <v>5</v>
      </c>
      <c r="G6" s="84" t="s">
        <v>4</v>
      </c>
      <c r="H6" s="84" t="s">
        <v>5</v>
      </c>
      <c r="I6" s="84" t="s">
        <v>6</v>
      </c>
      <c r="J6" s="84" t="s">
        <v>7</v>
      </c>
      <c r="K6" s="84" t="s">
        <v>8</v>
      </c>
      <c r="L6" s="84" t="s">
        <v>9</v>
      </c>
      <c r="M6" s="84" t="s">
        <v>10</v>
      </c>
      <c r="N6" s="84" t="s">
        <v>11</v>
      </c>
      <c r="O6" s="84" t="s">
        <v>72</v>
      </c>
      <c r="P6" s="84" t="s">
        <v>71</v>
      </c>
      <c r="Q6" s="84" t="s">
        <v>12</v>
      </c>
      <c r="R6" s="84" t="s">
        <v>13</v>
      </c>
      <c r="U6" s="198" t="s">
        <v>14</v>
      </c>
      <c r="V6" s="199"/>
      <c r="X6" s="195" t="s">
        <v>0</v>
      </c>
      <c r="Y6" s="196"/>
      <c r="Z6" s="196"/>
      <c r="AA6" s="197"/>
      <c r="AC6" s="83"/>
    </row>
    <row r="7" spans="1:30" ht="15" customHeight="1">
      <c r="B7" s="209" t="s">
        <v>74</v>
      </c>
      <c r="C7" s="210"/>
      <c r="D7" s="162"/>
      <c r="E7" s="163"/>
      <c r="F7" s="163"/>
      <c r="G7" s="163"/>
      <c r="H7" s="163"/>
      <c r="I7" s="163"/>
      <c r="J7" s="163"/>
      <c r="K7" s="163"/>
      <c r="L7" s="163"/>
      <c r="M7" s="163"/>
      <c r="N7" s="163"/>
      <c r="O7" s="164"/>
      <c r="P7" s="177">
        <f>IF(fevereiro!U32="Horas Compensadas",fevereiro!V32,0)</f>
        <v>0.4429563492063493</v>
      </c>
      <c r="Q7" s="170">
        <f>IF(fevereiro!U32="Horas Extras",fevereiro!V32,0)</f>
        <v>0</v>
      </c>
      <c r="R7" s="170"/>
      <c r="S7" s="103"/>
      <c r="T7" s="168"/>
      <c r="U7" s="200"/>
      <c r="V7" s="201"/>
      <c r="W7" s="145"/>
      <c r="X7" s="84" t="s">
        <v>4</v>
      </c>
      <c r="Y7" s="84" t="s">
        <v>5</v>
      </c>
      <c r="Z7" s="84" t="s">
        <v>4</v>
      </c>
      <c r="AA7" s="84" t="s">
        <v>5</v>
      </c>
      <c r="AB7" s="78"/>
      <c r="AC7" s="121"/>
      <c r="AD7" s="77"/>
    </row>
    <row r="8" spans="1:30" ht="12.75" customHeight="1">
      <c r="A8" s="37">
        <f>IF(B8="","",IF(C8&lt;&gt;"feriado",WEEKDAY(B8),8))</f>
        <v>5</v>
      </c>
      <c r="B8" s="39">
        <f>inicio</f>
        <v>43160</v>
      </c>
      <c r="C8" s="40">
        <f>IF(B8="","",IF(COUNTIF(fer,B8)&gt;0,"feriado",B8))</f>
        <v>43160</v>
      </c>
      <c r="D8" s="157"/>
      <c r="E8" s="158">
        <v>800</v>
      </c>
      <c r="F8" s="158">
        <v>1200</v>
      </c>
      <c r="G8" s="158">
        <v>1300</v>
      </c>
      <c r="H8" s="158">
        <v>1800</v>
      </c>
      <c r="I8" s="159">
        <f>IF(B8="","",ROUND(M8-L8,5))</f>
        <v>0.375</v>
      </c>
      <c r="J8" s="159">
        <f t="shared" ref="J8:J38" si="0">IF(B8="","",IF(AND(E8="",F8="",G8="",H8=""),0,IF(AND(G8="",H8=""),MAX(ININOT,MIN(FIMNOT+1,Y8+(X8&gt;Y8)))-MAX(ININOT,X8)+(MIN(FIMNOT,Y8+(X8&gt;Y8))-MIN(FIMNOT,X8)),MAX(ININOT,MIN(FIMNOT+1,Y8+(X8&gt;Y8)))-MAX(ININOT,X8)+(MIN(FIMNOT,Y8+(X8&gt;Y8))-MIN(FIMNOT,X8))+MAX(ININOT,MIN(FIMNOT+1,AA8+(Z8&gt;AA8)))-MAX(ININOT,Z8)+(MIN(FIMNOT,AA8+(Z8&gt;AA8))-MIN(FIMNOT,Z8)))))</f>
        <v>0</v>
      </c>
      <c r="K8" s="160">
        <f>IF(B8="","",(J8/7*8)-J8)</f>
        <v>0</v>
      </c>
      <c r="L8" s="160">
        <f>IF(B8="","",J8+K8)</f>
        <v>0</v>
      </c>
      <c r="M8" s="161">
        <f>IF(B8="","",MOD((Y8-X8)+(AA8-Z8),1)+K8)</f>
        <v>0.37500000000000006</v>
      </c>
      <c r="N8" s="153">
        <f t="shared" ref="N8:N38" si="1">IF(B8="","",IF(D8="F",$V$16,VLOOKUP(A8,jornada,3)))</f>
        <v>0.30555555555555552</v>
      </c>
      <c r="O8" s="153" t="str">
        <f>IF(B8="","",IF(AND(D8="A",N8&gt;M8),N8-M8,""))</f>
        <v/>
      </c>
      <c r="P8" s="153" t="str">
        <f>IF(B8="","",IF(AND(M8&gt;0,D8="F"),"",IF(D8="A","",IF(M8&lt;N8,N8-M8,""))))</f>
        <v/>
      </c>
      <c r="Q8" s="161">
        <f>IF(B8="","",IF(N8=0,0,MAX(0,M8-N8)))</f>
        <v>6.9444444444444531E-2</v>
      </c>
      <c r="R8" s="169">
        <f t="shared" ref="R8:R38" si="2">IF(B8="","",IF(N8=0,M8,0))</f>
        <v>0</v>
      </c>
      <c r="S8" s="114"/>
      <c r="T8" s="118">
        <v>1</v>
      </c>
      <c r="U8" s="105" t="s">
        <v>16</v>
      </c>
      <c r="V8" s="109">
        <v>0.30555555555555552</v>
      </c>
      <c r="X8" s="138">
        <f>IF(B8="","",IF($E8="",0,TIME(INT(E8/100),MOD(E8,100),0)))</f>
        <v>0.33333333333333331</v>
      </c>
      <c r="Y8" s="139">
        <f>IF(B8="","",IF($F8="",0,TIME(INT(F8/100),MOD(F8,100),0)))</f>
        <v>0.5</v>
      </c>
      <c r="Z8" s="138">
        <f>IF(B8="","",IF($G8="",0,TIME(INT(G8/100),MOD(G8,100),0)))</f>
        <v>0.54166666666666663</v>
      </c>
      <c r="AA8" s="138">
        <f>IF(B8="","",IF($H8="",0,TIME(INT(H8/100),MOD(H8,100),0)))</f>
        <v>0.75</v>
      </c>
      <c r="AC8" s="8"/>
      <c r="AD8" s="6"/>
    </row>
    <row r="9" spans="1:30" ht="12.75" customHeight="1">
      <c r="A9" s="37">
        <f t="shared" ref="A9:A38" si="3">IF(B9="","",IF(C9&lt;&gt;"feriado",WEEKDAY(B9),8))</f>
        <v>6</v>
      </c>
      <c r="B9" s="41">
        <f>B8+1</f>
        <v>43161</v>
      </c>
      <c r="C9" s="42">
        <f t="shared" ref="C9:C38" si="4">IF(B9="","",IF(COUNTIF(fer,B9)&gt;0,"feriado",B9))</f>
        <v>43161</v>
      </c>
      <c r="D9" s="115"/>
      <c r="E9" s="136">
        <v>0</v>
      </c>
      <c r="F9" s="136">
        <v>0</v>
      </c>
      <c r="G9" s="136">
        <v>0</v>
      </c>
      <c r="H9" s="136">
        <v>0</v>
      </c>
      <c r="I9" s="74">
        <f t="shared" ref="I9:I38" si="5">IF(B9="","",ROUND(M9-L9,5))</f>
        <v>0</v>
      </c>
      <c r="J9" s="74">
        <f t="shared" si="0"/>
        <v>0</v>
      </c>
      <c r="K9" s="43">
        <f t="shared" ref="K9:K38" si="6">IF(B9="","",(J9/7*8)-J9)</f>
        <v>0</v>
      </c>
      <c r="L9" s="43">
        <f t="shared" ref="L9:L38" si="7">IF(B9="","",J9+K9)</f>
        <v>0</v>
      </c>
      <c r="M9" s="44">
        <f t="shared" ref="M9:M38" si="8">IF(B9="","",MOD((Y9-X9)+(AA9-Z9),1)+K9)</f>
        <v>0</v>
      </c>
      <c r="N9" s="143">
        <f t="shared" si="1"/>
        <v>0.30555555555555552</v>
      </c>
      <c r="O9" s="153" t="str">
        <f t="shared" ref="O9:O38" si="9">IF(B9="","",IF(AND(D9="A",N9&gt;M9),N9-M9,""))</f>
        <v/>
      </c>
      <c r="P9" s="143">
        <f t="shared" ref="P9:P38" si="10">IF(B9="","",IF(AND(M9&gt;0,D9="F"),"",IF(D9="A","",IF(M9&lt;N9,N9-M9,""))))</f>
        <v>0.30555555555555552</v>
      </c>
      <c r="Q9" s="44">
        <f t="shared" ref="Q9:Q38" si="11">IF(B9="","",IF(N9=0,0,MAX(0,M9-N9)))</f>
        <v>0</v>
      </c>
      <c r="R9" s="45">
        <f t="shared" si="2"/>
        <v>0</v>
      </c>
      <c r="S9" s="100"/>
      <c r="T9" s="119">
        <v>2</v>
      </c>
      <c r="U9" s="112" t="s">
        <v>17</v>
      </c>
      <c r="V9" s="110">
        <v>0.30555555555555552</v>
      </c>
      <c r="X9" s="138">
        <f t="shared" ref="X9:X38" si="12">IF(B9="","",IF($E9="",0,TIME(INT(E9/100),MOD(E9,100),0)))</f>
        <v>0</v>
      </c>
      <c r="Y9" s="139">
        <f t="shared" ref="Y9:Y38" si="13">IF(B9="","",IF($F9="",0,TIME(INT(F9/100),MOD(F9,100),0)))</f>
        <v>0</v>
      </c>
      <c r="Z9" s="138">
        <f t="shared" ref="Z9:Z38" si="14">IF(B9="","",IF($G9="",0,TIME(INT(G9/100),MOD(G9,100),0)))</f>
        <v>0</v>
      </c>
      <c r="AA9" s="138">
        <f t="shared" ref="AA9:AA38" si="15">IF(B9="","",IF($H9="",0,TIME(INT(H9/100),MOD(H9,100),0)))</f>
        <v>0</v>
      </c>
      <c r="AC9" s="8"/>
      <c r="AD9" s="6"/>
    </row>
    <row r="10" spans="1:30" ht="14.25">
      <c r="A10" s="37">
        <f t="shared" si="3"/>
        <v>7</v>
      </c>
      <c r="B10" s="41">
        <f>B9+1</f>
        <v>43162</v>
      </c>
      <c r="C10" s="42">
        <f t="shared" si="4"/>
        <v>43162</v>
      </c>
      <c r="D10" s="115"/>
      <c r="E10" s="136">
        <v>800</v>
      </c>
      <c r="F10" s="136">
        <v>1200</v>
      </c>
      <c r="G10" s="136">
        <v>0</v>
      </c>
      <c r="H10" s="136">
        <v>0</v>
      </c>
      <c r="I10" s="74">
        <f t="shared" si="5"/>
        <v>0.16667000000000001</v>
      </c>
      <c r="J10" s="74">
        <f t="shared" si="0"/>
        <v>0</v>
      </c>
      <c r="K10" s="43">
        <f t="shared" si="6"/>
        <v>0</v>
      </c>
      <c r="L10" s="43">
        <f t="shared" si="7"/>
        <v>0</v>
      </c>
      <c r="M10" s="44">
        <f t="shared" si="8"/>
        <v>0.16666666666666669</v>
      </c>
      <c r="N10" s="143">
        <f t="shared" si="1"/>
        <v>0.30555555555555552</v>
      </c>
      <c r="O10" s="153" t="str">
        <f t="shared" si="9"/>
        <v/>
      </c>
      <c r="P10" s="143">
        <f t="shared" si="10"/>
        <v>0.13888888888888884</v>
      </c>
      <c r="Q10" s="44">
        <f t="shared" si="11"/>
        <v>0</v>
      </c>
      <c r="R10" s="45">
        <f t="shared" si="2"/>
        <v>0</v>
      </c>
      <c r="S10" s="100"/>
      <c r="T10" s="119">
        <v>3</v>
      </c>
      <c r="U10" s="106" t="s">
        <v>18</v>
      </c>
      <c r="V10" s="110">
        <v>0.30555555555555552</v>
      </c>
      <c r="X10" s="138">
        <f t="shared" si="12"/>
        <v>0.33333333333333331</v>
      </c>
      <c r="Y10" s="139">
        <f t="shared" si="13"/>
        <v>0.5</v>
      </c>
      <c r="Z10" s="138">
        <f t="shared" si="14"/>
        <v>0</v>
      </c>
      <c r="AA10" s="138">
        <f t="shared" si="15"/>
        <v>0</v>
      </c>
      <c r="AC10" s="8"/>
      <c r="AD10" s="6"/>
    </row>
    <row r="11" spans="1:30" ht="14.25">
      <c r="A11" s="37">
        <f t="shared" si="3"/>
        <v>1</v>
      </c>
      <c r="B11" s="41">
        <f>B10+1</f>
        <v>43163</v>
      </c>
      <c r="C11" s="42">
        <f t="shared" si="4"/>
        <v>43163</v>
      </c>
      <c r="D11" s="115" t="s">
        <v>15</v>
      </c>
      <c r="E11" s="136">
        <v>900</v>
      </c>
      <c r="F11" s="136">
        <v>1200</v>
      </c>
      <c r="G11" s="136">
        <v>1300</v>
      </c>
      <c r="H11" s="136">
        <v>1800</v>
      </c>
      <c r="I11" s="74">
        <f t="shared" si="5"/>
        <v>0.33333000000000002</v>
      </c>
      <c r="J11" s="74">
        <f t="shared" si="0"/>
        <v>0</v>
      </c>
      <c r="K11" s="43">
        <f t="shared" si="6"/>
        <v>0</v>
      </c>
      <c r="L11" s="43">
        <f t="shared" si="7"/>
        <v>0</v>
      </c>
      <c r="M11" s="44">
        <f t="shared" si="8"/>
        <v>0.33333333333333337</v>
      </c>
      <c r="N11" s="143">
        <f t="shared" si="1"/>
        <v>0</v>
      </c>
      <c r="O11" s="153" t="str">
        <f t="shared" si="9"/>
        <v/>
      </c>
      <c r="P11" s="143" t="str">
        <f t="shared" si="10"/>
        <v/>
      </c>
      <c r="Q11" s="44">
        <f t="shared" si="11"/>
        <v>0</v>
      </c>
      <c r="R11" s="45">
        <f t="shared" si="2"/>
        <v>0.33333333333333337</v>
      </c>
      <c r="S11" s="100"/>
      <c r="T11" s="119">
        <v>4</v>
      </c>
      <c r="U11" s="106" t="s">
        <v>19</v>
      </c>
      <c r="V11" s="110">
        <v>0.30555555555555552</v>
      </c>
      <c r="X11" s="138">
        <f t="shared" si="12"/>
        <v>0.375</v>
      </c>
      <c r="Y11" s="139">
        <f t="shared" si="13"/>
        <v>0.5</v>
      </c>
      <c r="Z11" s="138">
        <f t="shared" si="14"/>
        <v>0.54166666666666663</v>
      </c>
      <c r="AA11" s="138">
        <f t="shared" si="15"/>
        <v>0.75</v>
      </c>
      <c r="AC11" s="8"/>
      <c r="AD11" s="6"/>
    </row>
    <row r="12" spans="1:30" ht="14.25">
      <c r="A12" s="37">
        <f t="shared" si="3"/>
        <v>2</v>
      </c>
      <c r="B12" s="41">
        <f>B11+1</f>
        <v>43164</v>
      </c>
      <c r="C12" s="42">
        <f t="shared" si="4"/>
        <v>43164</v>
      </c>
      <c r="D12" s="115"/>
      <c r="E12" s="136">
        <v>900</v>
      </c>
      <c r="F12" s="136">
        <v>1300</v>
      </c>
      <c r="G12" s="136">
        <v>1330</v>
      </c>
      <c r="H12" s="136">
        <v>1600</v>
      </c>
      <c r="I12" s="74">
        <f t="shared" si="5"/>
        <v>0.27083000000000002</v>
      </c>
      <c r="J12" s="74">
        <f t="shared" si="0"/>
        <v>0</v>
      </c>
      <c r="K12" s="43">
        <f t="shared" si="6"/>
        <v>0</v>
      </c>
      <c r="L12" s="43">
        <f t="shared" si="7"/>
        <v>0</v>
      </c>
      <c r="M12" s="44">
        <f t="shared" si="8"/>
        <v>0.27083333333333326</v>
      </c>
      <c r="N12" s="143">
        <f t="shared" si="1"/>
        <v>0.30555555555555552</v>
      </c>
      <c r="O12" s="153" t="str">
        <f t="shared" si="9"/>
        <v/>
      </c>
      <c r="P12" s="143">
        <f t="shared" si="10"/>
        <v>3.4722222222222265E-2</v>
      </c>
      <c r="Q12" s="44">
        <f t="shared" si="11"/>
        <v>0</v>
      </c>
      <c r="R12" s="45">
        <f t="shared" si="2"/>
        <v>0</v>
      </c>
      <c r="S12" s="100"/>
      <c r="T12" s="119">
        <v>5</v>
      </c>
      <c r="U12" s="106" t="s">
        <v>20</v>
      </c>
      <c r="V12" s="110">
        <v>0.30555555555555552</v>
      </c>
      <c r="X12" s="138">
        <f t="shared" si="12"/>
        <v>0.375</v>
      </c>
      <c r="Y12" s="139">
        <f t="shared" si="13"/>
        <v>0.54166666666666663</v>
      </c>
      <c r="Z12" s="138">
        <f t="shared" si="14"/>
        <v>0.5625</v>
      </c>
      <c r="AA12" s="138">
        <f t="shared" si="15"/>
        <v>0.66666666666666663</v>
      </c>
      <c r="AC12" s="8"/>
      <c r="AD12" s="6"/>
    </row>
    <row r="13" spans="1:30" ht="14.25">
      <c r="A13" s="37">
        <f t="shared" si="3"/>
        <v>3</v>
      </c>
      <c r="B13" s="41">
        <f t="shared" ref="B13:B35" si="16">B12+1</f>
        <v>43165</v>
      </c>
      <c r="C13" s="42">
        <f t="shared" si="4"/>
        <v>43165</v>
      </c>
      <c r="D13" s="115"/>
      <c r="E13" s="136">
        <v>1000</v>
      </c>
      <c r="F13" s="136">
        <v>1400</v>
      </c>
      <c r="G13" s="136">
        <v>1530</v>
      </c>
      <c r="H13" s="136">
        <v>2000</v>
      </c>
      <c r="I13" s="74">
        <f t="shared" si="5"/>
        <v>0.35416999999999998</v>
      </c>
      <c r="J13" s="74">
        <f t="shared" si="0"/>
        <v>0</v>
      </c>
      <c r="K13" s="43">
        <f t="shared" si="6"/>
        <v>0</v>
      </c>
      <c r="L13" s="43">
        <f t="shared" si="7"/>
        <v>0</v>
      </c>
      <c r="M13" s="44">
        <f t="shared" si="8"/>
        <v>0.35416666666666669</v>
      </c>
      <c r="N13" s="143">
        <f t="shared" si="1"/>
        <v>0.30555555555555552</v>
      </c>
      <c r="O13" s="153" t="str">
        <f t="shared" si="9"/>
        <v/>
      </c>
      <c r="P13" s="143" t="str">
        <f t="shared" si="10"/>
        <v/>
      </c>
      <c r="Q13" s="44">
        <f t="shared" si="11"/>
        <v>4.861111111111116E-2</v>
      </c>
      <c r="R13" s="45">
        <f t="shared" si="2"/>
        <v>0</v>
      </c>
      <c r="S13" s="100"/>
      <c r="T13" s="119">
        <v>6</v>
      </c>
      <c r="U13" s="106" t="s">
        <v>21</v>
      </c>
      <c r="V13" s="110">
        <v>0.30555555555555552</v>
      </c>
      <c r="X13" s="138">
        <f t="shared" si="12"/>
        <v>0.41666666666666669</v>
      </c>
      <c r="Y13" s="139">
        <f t="shared" si="13"/>
        <v>0.58333333333333337</v>
      </c>
      <c r="Z13" s="138">
        <f t="shared" si="14"/>
        <v>0.64583333333333337</v>
      </c>
      <c r="AA13" s="138">
        <f t="shared" si="15"/>
        <v>0.83333333333333337</v>
      </c>
      <c r="AC13" s="8"/>
      <c r="AD13" s="6"/>
    </row>
    <row r="14" spans="1:30" ht="14.25">
      <c r="A14" s="37">
        <f t="shared" si="3"/>
        <v>4</v>
      </c>
      <c r="B14" s="41">
        <f t="shared" si="16"/>
        <v>43166</v>
      </c>
      <c r="C14" s="42">
        <f t="shared" si="4"/>
        <v>43166</v>
      </c>
      <c r="D14" s="115"/>
      <c r="E14" s="136">
        <v>1200</v>
      </c>
      <c r="F14" s="136">
        <v>1600</v>
      </c>
      <c r="G14" s="136">
        <v>1700</v>
      </c>
      <c r="H14" s="136">
        <v>2215</v>
      </c>
      <c r="I14" s="74">
        <f t="shared" si="5"/>
        <v>0.375</v>
      </c>
      <c r="J14" s="74">
        <f t="shared" si="0"/>
        <v>1.0416666666666741E-2</v>
      </c>
      <c r="K14" s="43">
        <f t="shared" si="6"/>
        <v>1.4880952380952484E-3</v>
      </c>
      <c r="L14" s="43">
        <f t="shared" si="7"/>
        <v>1.1904761904761989E-2</v>
      </c>
      <c r="M14" s="44">
        <f t="shared" si="8"/>
        <v>0.38690476190476186</v>
      </c>
      <c r="N14" s="143">
        <f t="shared" si="1"/>
        <v>0.30555555555555552</v>
      </c>
      <c r="O14" s="153" t="str">
        <f t="shared" si="9"/>
        <v/>
      </c>
      <c r="P14" s="143" t="str">
        <f t="shared" si="10"/>
        <v/>
      </c>
      <c r="Q14" s="44">
        <f t="shared" si="11"/>
        <v>8.1349206349206338E-2</v>
      </c>
      <c r="R14" s="45">
        <f t="shared" si="2"/>
        <v>0</v>
      </c>
      <c r="S14" s="100"/>
      <c r="T14" s="119">
        <v>7</v>
      </c>
      <c r="U14" s="113" t="s">
        <v>22</v>
      </c>
      <c r="V14" s="110">
        <v>0.30555555555555552</v>
      </c>
      <c r="X14" s="138">
        <f t="shared" si="12"/>
        <v>0.5</v>
      </c>
      <c r="Y14" s="139">
        <f t="shared" si="13"/>
        <v>0.66666666666666663</v>
      </c>
      <c r="Z14" s="138">
        <f t="shared" si="14"/>
        <v>0.70833333333333337</v>
      </c>
      <c r="AA14" s="138">
        <f t="shared" si="15"/>
        <v>0.92708333333333337</v>
      </c>
      <c r="AC14" s="8"/>
      <c r="AD14" s="6"/>
    </row>
    <row r="15" spans="1:30" ht="14.25">
      <c r="A15" s="37">
        <f t="shared" si="3"/>
        <v>5</v>
      </c>
      <c r="B15" s="41">
        <f t="shared" si="16"/>
        <v>43167</v>
      </c>
      <c r="C15" s="42">
        <f t="shared" si="4"/>
        <v>43167</v>
      </c>
      <c r="D15" s="115" t="s">
        <v>15</v>
      </c>
      <c r="E15" s="136">
        <v>0</v>
      </c>
      <c r="F15" s="136">
        <v>0</v>
      </c>
      <c r="G15" s="136">
        <v>0</v>
      </c>
      <c r="H15" s="136">
        <v>0</v>
      </c>
      <c r="I15" s="74">
        <f t="shared" si="5"/>
        <v>0</v>
      </c>
      <c r="J15" s="74">
        <f t="shared" si="0"/>
        <v>0</v>
      </c>
      <c r="K15" s="43">
        <f t="shared" si="6"/>
        <v>0</v>
      </c>
      <c r="L15" s="43">
        <f t="shared" si="7"/>
        <v>0</v>
      </c>
      <c r="M15" s="44">
        <f t="shared" si="8"/>
        <v>0</v>
      </c>
      <c r="N15" s="143">
        <f t="shared" si="1"/>
        <v>0</v>
      </c>
      <c r="O15" s="153" t="str">
        <f t="shared" si="9"/>
        <v/>
      </c>
      <c r="P15" s="143" t="str">
        <f t="shared" si="10"/>
        <v/>
      </c>
      <c r="Q15" s="44">
        <f t="shared" si="11"/>
        <v>0</v>
      </c>
      <c r="R15" s="45">
        <f t="shared" si="2"/>
        <v>0</v>
      </c>
      <c r="S15" s="100"/>
      <c r="T15" s="119">
        <v>8</v>
      </c>
      <c r="U15" s="107" t="s">
        <v>23</v>
      </c>
      <c r="V15" s="111">
        <v>0.30555555555555552</v>
      </c>
      <c r="X15" s="138">
        <f t="shared" si="12"/>
        <v>0</v>
      </c>
      <c r="Y15" s="139">
        <f t="shared" si="13"/>
        <v>0</v>
      </c>
      <c r="Z15" s="138">
        <f t="shared" si="14"/>
        <v>0</v>
      </c>
      <c r="AA15" s="138">
        <f t="shared" si="15"/>
        <v>0</v>
      </c>
      <c r="AC15" s="8"/>
      <c r="AD15" s="6"/>
    </row>
    <row r="16" spans="1:30" ht="14.25">
      <c r="A16" s="37">
        <f t="shared" si="3"/>
        <v>6</v>
      </c>
      <c r="B16" s="41">
        <f t="shared" si="16"/>
        <v>43168</v>
      </c>
      <c r="C16" s="42">
        <f t="shared" si="4"/>
        <v>43168</v>
      </c>
      <c r="D16" s="115"/>
      <c r="E16" s="136">
        <v>1000</v>
      </c>
      <c r="F16" s="136">
        <v>1400</v>
      </c>
      <c r="G16" s="136">
        <v>1445</v>
      </c>
      <c r="H16" s="136">
        <v>1730</v>
      </c>
      <c r="I16" s="74">
        <f t="shared" si="5"/>
        <v>0.28125</v>
      </c>
      <c r="J16" s="74">
        <f t="shared" si="0"/>
        <v>0</v>
      </c>
      <c r="K16" s="43">
        <f t="shared" si="6"/>
        <v>0</v>
      </c>
      <c r="L16" s="43">
        <f t="shared" si="7"/>
        <v>0</v>
      </c>
      <c r="M16" s="44">
        <f t="shared" si="8"/>
        <v>0.28124999999999994</v>
      </c>
      <c r="N16" s="143">
        <f t="shared" si="1"/>
        <v>0.30555555555555552</v>
      </c>
      <c r="O16" s="153" t="str">
        <f t="shared" si="9"/>
        <v/>
      </c>
      <c r="P16" s="143">
        <f t="shared" si="10"/>
        <v>2.430555555555558E-2</v>
      </c>
      <c r="Q16" s="44">
        <f t="shared" si="11"/>
        <v>0</v>
      </c>
      <c r="R16" s="45">
        <f t="shared" si="2"/>
        <v>0</v>
      </c>
      <c r="S16" s="100"/>
      <c r="T16" s="100"/>
      <c r="U16" s="108" t="s">
        <v>3</v>
      </c>
      <c r="V16" s="104">
        <v>0</v>
      </c>
      <c r="X16" s="138">
        <f t="shared" si="12"/>
        <v>0.41666666666666669</v>
      </c>
      <c r="Y16" s="139">
        <f t="shared" si="13"/>
        <v>0.58333333333333337</v>
      </c>
      <c r="Z16" s="138">
        <f t="shared" si="14"/>
        <v>0.61458333333333337</v>
      </c>
      <c r="AA16" s="138">
        <f t="shared" si="15"/>
        <v>0.72916666666666663</v>
      </c>
      <c r="AC16" s="8"/>
      <c r="AD16" s="6"/>
    </row>
    <row r="17" spans="1:30" ht="14.25">
      <c r="A17" s="37">
        <f t="shared" si="3"/>
        <v>7</v>
      </c>
      <c r="B17" s="41">
        <f t="shared" si="16"/>
        <v>43169</v>
      </c>
      <c r="C17" s="42">
        <f t="shared" si="4"/>
        <v>43169</v>
      </c>
      <c r="D17" s="115"/>
      <c r="E17" s="136">
        <v>1100</v>
      </c>
      <c r="F17" s="136">
        <v>1600</v>
      </c>
      <c r="G17" s="136">
        <v>1700</v>
      </c>
      <c r="H17" s="136">
        <v>2000</v>
      </c>
      <c r="I17" s="74">
        <f t="shared" si="5"/>
        <v>0.33333000000000002</v>
      </c>
      <c r="J17" s="74">
        <f t="shared" si="0"/>
        <v>0</v>
      </c>
      <c r="K17" s="43">
        <f t="shared" si="6"/>
        <v>0</v>
      </c>
      <c r="L17" s="43">
        <f t="shared" si="7"/>
        <v>0</v>
      </c>
      <c r="M17" s="44">
        <f t="shared" si="8"/>
        <v>0.33333333333333331</v>
      </c>
      <c r="N17" s="143">
        <f t="shared" si="1"/>
        <v>0.30555555555555552</v>
      </c>
      <c r="O17" s="153" t="str">
        <f t="shared" si="9"/>
        <v/>
      </c>
      <c r="P17" s="143" t="str">
        <f t="shared" si="10"/>
        <v/>
      </c>
      <c r="Q17" s="44">
        <f t="shared" si="11"/>
        <v>2.777777777777779E-2</v>
      </c>
      <c r="R17" s="45">
        <f t="shared" si="2"/>
        <v>0</v>
      </c>
      <c r="S17" s="100"/>
      <c r="T17" s="100"/>
      <c r="U17" s="207" t="s">
        <v>24</v>
      </c>
      <c r="V17" s="208"/>
      <c r="X17" s="138">
        <f t="shared" si="12"/>
        <v>0.45833333333333331</v>
      </c>
      <c r="Y17" s="139">
        <f t="shared" si="13"/>
        <v>0.66666666666666663</v>
      </c>
      <c r="Z17" s="138">
        <f t="shared" si="14"/>
        <v>0.70833333333333337</v>
      </c>
      <c r="AA17" s="138">
        <f t="shared" si="15"/>
        <v>0.83333333333333337</v>
      </c>
      <c r="AC17" s="8"/>
      <c r="AD17" s="6"/>
    </row>
    <row r="18" spans="1:30" ht="14.25">
      <c r="A18" s="37">
        <f t="shared" si="3"/>
        <v>1</v>
      </c>
      <c r="B18" s="41">
        <f t="shared" si="16"/>
        <v>43170</v>
      </c>
      <c r="C18" s="42">
        <f t="shared" si="4"/>
        <v>43170</v>
      </c>
      <c r="D18" s="115"/>
      <c r="E18" s="136">
        <v>1900</v>
      </c>
      <c r="F18" s="136">
        <v>2100</v>
      </c>
      <c r="G18" s="136">
        <v>2200</v>
      </c>
      <c r="H18" s="136">
        <v>500</v>
      </c>
      <c r="I18" s="74">
        <f t="shared" si="5"/>
        <v>8.3330000000000001E-2</v>
      </c>
      <c r="J18" s="74">
        <f t="shared" si="0"/>
        <v>0.29166666666666663</v>
      </c>
      <c r="K18" s="43">
        <f t="shared" si="6"/>
        <v>4.1666666666666685E-2</v>
      </c>
      <c r="L18" s="43">
        <f t="shared" si="7"/>
        <v>0.33333333333333331</v>
      </c>
      <c r="M18" s="44">
        <f t="shared" si="8"/>
        <v>0.4166666666666668</v>
      </c>
      <c r="N18" s="143">
        <f t="shared" si="1"/>
        <v>0.30555555555555552</v>
      </c>
      <c r="O18" s="153" t="str">
        <f t="shared" si="9"/>
        <v/>
      </c>
      <c r="P18" s="143" t="str">
        <f t="shared" si="10"/>
        <v/>
      </c>
      <c r="Q18" s="44">
        <f t="shared" si="11"/>
        <v>0.11111111111111127</v>
      </c>
      <c r="R18" s="45">
        <f t="shared" si="2"/>
        <v>0</v>
      </c>
      <c r="S18" s="100"/>
      <c r="T18" s="100"/>
      <c r="U18" s="122" t="s">
        <v>25</v>
      </c>
      <c r="V18" s="109">
        <v>0.91666666666666663</v>
      </c>
      <c r="X18" s="138">
        <f t="shared" si="12"/>
        <v>0.79166666666666663</v>
      </c>
      <c r="Y18" s="139">
        <f t="shared" si="13"/>
        <v>0.875</v>
      </c>
      <c r="Z18" s="138">
        <f t="shared" si="14"/>
        <v>0.91666666666666663</v>
      </c>
      <c r="AA18" s="138">
        <f t="shared" si="15"/>
        <v>0.20833333333333334</v>
      </c>
      <c r="AC18" s="8"/>
      <c r="AD18" s="6"/>
    </row>
    <row r="19" spans="1:30" ht="14.25">
      <c r="A19" s="37">
        <f t="shared" si="3"/>
        <v>2</v>
      </c>
      <c r="B19" s="41">
        <f t="shared" si="16"/>
        <v>43171</v>
      </c>
      <c r="C19" s="42">
        <f t="shared" si="4"/>
        <v>43171</v>
      </c>
      <c r="D19" s="115" t="s">
        <v>15</v>
      </c>
      <c r="E19" s="136">
        <v>0</v>
      </c>
      <c r="F19" s="136">
        <v>0</v>
      </c>
      <c r="G19" s="136">
        <v>0</v>
      </c>
      <c r="H19" s="136">
        <v>0</v>
      </c>
      <c r="I19" s="74">
        <f t="shared" si="5"/>
        <v>0</v>
      </c>
      <c r="J19" s="74">
        <f t="shared" si="0"/>
        <v>0</v>
      </c>
      <c r="K19" s="43">
        <f t="shared" si="6"/>
        <v>0</v>
      </c>
      <c r="L19" s="43">
        <f t="shared" si="7"/>
        <v>0</v>
      </c>
      <c r="M19" s="44">
        <f t="shared" si="8"/>
        <v>0</v>
      </c>
      <c r="N19" s="143">
        <f t="shared" si="1"/>
        <v>0</v>
      </c>
      <c r="O19" s="153" t="str">
        <f t="shared" si="9"/>
        <v/>
      </c>
      <c r="P19" s="143" t="str">
        <f t="shared" si="10"/>
        <v/>
      </c>
      <c r="Q19" s="44">
        <f t="shared" si="11"/>
        <v>0</v>
      </c>
      <c r="R19" s="45">
        <f t="shared" si="2"/>
        <v>0</v>
      </c>
      <c r="S19" s="100"/>
      <c r="T19" s="100"/>
      <c r="U19" s="123" t="s">
        <v>26</v>
      </c>
      <c r="V19" s="111">
        <v>0.20833333333333334</v>
      </c>
      <c r="X19" s="138">
        <f t="shared" si="12"/>
        <v>0</v>
      </c>
      <c r="Y19" s="139">
        <f t="shared" si="13"/>
        <v>0</v>
      </c>
      <c r="Z19" s="138">
        <f t="shared" si="14"/>
        <v>0</v>
      </c>
      <c r="AA19" s="138">
        <f t="shared" si="15"/>
        <v>0</v>
      </c>
      <c r="AC19" s="8"/>
      <c r="AD19" s="9"/>
    </row>
    <row r="20" spans="1:30" ht="14.25">
      <c r="A20" s="37">
        <f t="shared" si="3"/>
        <v>3</v>
      </c>
      <c r="B20" s="41">
        <f t="shared" si="16"/>
        <v>43172</v>
      </c>
      <c r="C20" s="42">
        <f t="shared" si="4"/>
        <v>43172</v>
      </c>
      <c r="D20" s="115"/>
      <c r="E20" s="136">
        <v>500</v>
      </c>
      <c r="F20" s="136">
        <v>800</v>
      </c>
      <c r="G20" s="136">
        <v>900</v>
      </c>
      <c r="H20" s="136">
        <v>1200</v>
      </c>
      <c r="I20" s="74">
        <f t="shared" si="5"/>
        <v>0.25</v>
      </c>
      <c r="J20" s="74">
        <f t="shared" si="0"/>
        <v>0</v>
      </c>
      <c r="K20" s="43">
        <f t="shared" si="6"/>
        <v>0</v>
      </c>
      <c r="L20" s="43">
        <f t="shared" si="7"/>
        <v>0</v>
      </c>
      <c r="M20" s="44">
        <f t="shared" si="8"/>
        <v>0.24999999999999997</v>
      </c>
      <c r="N20" s="143">
        <f t="shared" si="1"/>
        <v>0.30555555555555552</v>
      </c>
      <c r="O20" s="153" t="str">
        <f t="shared" si="9"/>
        <v/>
      </c>
      <c r="P20" s="143">
        <f t="shared" si="10"/>
        <v>5.5555555555555552E-2</v>
      </c>
      <c r="Q20" s="44">
        <f t="shared" si="11"/>
        <v>0</v>
      </c>
      <c r="R20" s="45">
        <f t="shared" si="2"/>
        <v>0</v>
      </c>
      <c r="S20" s="100"/>
      <c r="T20" s="100"/>
      <c r="U20" s="207" t="s">
        <v>27</v>
      </c>
      <c r="V20" s="208"/>
      <c r="X20" s="138">
        <f t="shared" si="12"/>
        <v>0.20833333333333334</v>
      </c>
      <c r="Y20" s="139">
        <f t="shared" si="13"/>
        <v>0.33333333333333331</v>
      </c>
      <c r="Z20" s="138">
        <f t="shared" si="14"/>
        <v>0.375</v>
      </c>
      <c r="AA20" s="138">
        <f t="shared" si="15"/>
        <v>0.5</v>
      </c>
      <c r="AC20" s="8"/>
      <c r="AD20" s="6"/>
    </row>
    <row r="21" spans="1:30" ht="14.25">
      <c r="A21" s="37">
        <f t="shared" si="3"/>
        <v>4</v>
      </c>
      <c r="B21" s="41">
        <f t="shared" si="16"/>
        <v>43173</v>
      </c>
      <c r="C21" s="42">
        <f t="shared" si="4"/>
        <v>43173</v>
      </c>
      <c r="D21" s="115"/>
      <c r="E21" s="136">
        <v>2000</v>
      </c>
      <c r="F21" s="136">
        <v>2200</v>
      </c>
      <c r="G21" s="136">
        <v>2300</v>
      </c>
      <c r="H21" s="136">
        <v>500</v>
      </c>
      <c r="I21" s="74">
        <f t="shared" si="5"/>
        <v>8.3330000000000001E-2</v>
      </c>
      <c r="J21" s="74">
        <f t="shared" si="0"/>
        <v>0.24999999999999989</v>
      </c>
      <c r="K21" s="43">
        <f t="shared" si="6"/>
        <v>3.5714285714285698E-2</v>
      </c>
      <c r="L21" s="43">
        <f t="shared" si="7"/>
        <v>0.28571428571428559</v>
      </c>
      <c r="M21" s="44">
        <f t="shared" si="8"/>
        <v>0.36904761904761896</v>
      </c>
      <c r="N21" s="143">
        <f t="shared" si="1"/>
        <v>0.30555555555555552</v>
      </c>
      <c r="O21" s="153" t="str">
        <f t="shared" si="9"/>
        <v/>
      </c>
      <c r="P21" s="143" t="str">
        <f t="shared" si="10"/>
        <v/>
      </c>
      <c r="Q21" s="44">
        <f t="shared" si="11"/>
        <v>6.3492063492063433E-2</v>
      </c>
      <c r="R21" s="45">
        <f t="shared" si="2"/>
        <v>0</v>
      </c>
      <c r="S21" s="100"/>
      <c r="T21" s="100"/>
      <c r="U21" s="124" t="s">
        <v>28</v>
      </c>
      <c r="V21" s="146"/>
      <c r="X21" s="138">
        <f t="shared" si="12"/>
        <v>0.83333333333333337</v>
      </c>
      <c r="Y21" s="139">
        <f t="shared" si="13"/>
        <v>0.91666666666666663</v>
      </c>
      <c r="Z21" s="138">
        <f t="shared" si="14"/>
        <v>0.95833333333333337</v>
      </c>
      <c r="AA21" s="138">
        <f t="shared" si="15"/>
        <v>0.20833333333333334</v>
      </c>
    </row>
    <row r="22" spans="1:30" ht="15">
      <c r="A22" s="37">
        <f t="shared" si="3"/>
        <v>5</v>
      </c>
      <c r="B22" s="41">
        <f t="shared" si="16"/>
        <v>43174</v>
      </c>
      <c r="C22" s="42">
        <f t="shared" si="4"/>
        <v>43174</v>
      </c>
      <c r="D22" s="115"/>
      <c r="E22" s="136">
        <v>1500</v>
      </c>
      <c r="F22" s="136">
        <v>1900</v>
      </c>
      <c r="G22" s="136">
        <v>2000</v>
      </c>
      <c r="H22" s="136">
        <v>2400</v>
      </c>
      <c r="I22" s="74">
        <f t="shared" si="5"/>
        <v>0.25</v>
      </c>
      <c r="J22" s="74">
        <f t="shared" si="0"/>
        <v>8.333333333333337E-2</v>
      </c>
      <c r="K22" s="43">
        <f t="shared" si="6"/>
        <v>1.1904761904761904E-2</v>
      </c>
      <c r="L22" s="43">
        <f t="shared" si="7"/>
        <v>9.5238095238095274E-2</v>
      </c>
      <c r="M22" s="44">
        <f t="shared" si="8"/>
        <v>0.34523809523809518</v>
      </c>
      <c r="N22" s="143">
        <f t="shared" si="1"/>
        <v>0.30555555555555552</v>
      </c>
      <c r="O22" s="153" t="str">
        <f t="shared" si="9"/>
        <v/>
      </c>
      <c r="P22" s="143" t="str">
        <f t="shared" si="10"/>
        <v/>
      </c>
      <c r="Q22" s="44">
        <f t="shared" si="11"/>
        <v>3.9682539682539653E-2</v>
      </c>
      <c r="R22" s="45">
        <f t="shared" si="2"/>
        <v>0</v>
      </c>
      <c r="S22" s="100"/>
      <c r="T22" s="100"/>
      <c r="U22" s="144" t="s">
        <v>29</v>
      </c>
      <c r="V22" s="148">
        <v>2018</v>
      </c>
      <c r="X22" s="138">
        <f t="shared" si="12"/>
        <v>0.625</v>
      </c>
      <c r="Y22" s="139">
        <f t="shared" si="13"/>
        <v>0.79166666666666663</v>
      </c>
      <c r="Z22" s="138">
        <f t="shared" si="14"/>
        <v>0.83333333333333337</v>
      </c>
      <c r="AA22" s="138">
        <f t="shared" si="15"/>
        <v>0</v>
      </c>
    </row>
    <row r="23" spans="1:30" ht="15">
      <c r="A23" s="37">
        <f t="shared" si="3"/>
        <v>6</v>
      </c>
      <c r="B23" s="41">
        <f t="shared" si="16"/>
        <v>43175</v>
      </c>
      <c r="C23" s="42">
        <f t="shared" si="4"/>
        <v>43175</v>
      </c>
      <c r="D23" s="115"/>
      <c r="E23" s="136">
        <v>1500</v>
      </c>
      <c r="F23" s="136">
        <v>1900</v>
      </c>
      <c r="G23" s="136">
        <v>2000</v>
      </c>
      <c r="H23" s="136">
        <v>100</v>
      </c>
      <c r="I23" s="74">
        <f t="shared" si="5"/>
        <v>0.25</v>
      </c>
      <c r="J23" s="74">
        <f t="shared" si="0"/>
        <v>0.12500000000000011</v>
      </c>
      <c r="K23" s="43">
        <f t="shared" si="6"/>
        <v>1.7857142857142877E-2</v>
      </c>
      <c r="L23" s="43">
        <f t="shared" si="7"/>
        <v>0.14285714285714299</v>
      </c>
      <c r="M23" s="44">
        <f t="shared" si="8"/>
        <v>0.39285714285714279</v>
      </c>
      <c r="N23" s="143">
        <f t="shared" si="1"/>
        <v>0.30555555555555552</v>
      </c>
      <c r="O23" s="153" t="str">
        <f t="shared" si="9"/>
        <v/>
      </c>
      <c r="P23" s="143" t="str">
        <f t="shared" si="10"/>
        <v/>
      </c>
      <c r="Q23" s="44">
        <f t="shared" si="11"/>
        <v>8.7301587301587269E-2</v>
      </c>
      <c r="R23" s="45">
        <f t="shared" si="2"/>
        <v>0</v>
      </c>
      <c r="S23" s="100"/>
      <c r="T23" s="100"/>
      <c r="U23" s="144" t="s">
        <v>30</v>
      </c>
      <c r="V23" s="147">
        <v>3</v>
      </c>
      <c r="X23" s="138">
        <f t="shared" si="12"/>
        <v>0.625</v>
      </c>
      <c r="Y23" s="139">
        <f t="shared" si="13"/>
        <v>0.79166666666666663</v>
      </c>
      <c r="Z23" s="138">
        <f t="shared" si="14"/>
        <v>0.83333333333333337</v>
      </c>
      <c r="AA23" s="138">
        <f t="shared" si="15"/>
        <v>4.1666666666666664E-2</v>
      </c>
      <c r="AC23" s="5"/>
      <c r="AD23" s="4"/>
    </row>
    <row r="24" spans="1:30" ht="14.25">
      <c r="A24" s="37">
        <f t="shared" si="3"/>
        <v>7</v>
      </c>
      <c r="B24" s="41">
        <f t="shared" si="16"/>
        <v>43176</v>
      </c>
      <c r="C24" s="42">
        <f t="shared" si="4"/>
        <v>43176</v>
      </c>
      <c r="D24" s="115"/>
      <c r="E24" s="136">
        <v>1500</v>
      </c>
      <c r="F24" s="136">
        <v>1900</v>
      </c>
      <c r="G24" s="136">
        <v>2000</v>
      </c>
      <c r="H24" s="136">
        <v>300</v>
      </c>
      <c r="I24" s="74">
        <f t="shared" si="5"/>
        <v>0.25</v>
      </c>
      <c r="J24" s="74">
        <f t="shared" si="0"/>
        <v>0.20833333333333337</v>
      </c>
      <c r="K24" s="43">
        <f t="shared" si="6"/>
        <v>2.9761904761904767E-2</v>
      </c>
      <c r="L24" s="43">
        <f t="shared" si="7"/>
        <v>0.23809523809523814</v>
      </c>
      <c r="M24" s="44">
        <f t="shared" si="8"/>
        <v>0.48809523809523803</v>
      </c>
      <c r="N24" s="143">
        <f t="shared" si="1"/>
        <v>0.30555555555555552</v>
      </c>
      <c r="O24" s="153" t="str">
        <f t="shared" si="9"/>
        <v/>
      </c>
      <c r="P24" s="143" t="str">
        <f t="shared" si="10"/>
        <v/>
      </c>
      <c r="Q24" s="44">
        <f t="shared" si="11"/>
        <v>0.1825396825396825</v>
      </c>
      <c r="R24" s="45">
        <f t="shared" si="2"/>
        <v>0</v>
      </c>
      <c r="S24" s="100"/>
      <c r="T24" s="100"/>
      <c r="U24" s="171"/>
      <c r="V24" s="100"/>
      <c r="X24" s="138">
        <f t="shared" si="12"/>
        <v>0.625</v>
      </c>
      <c r="Y24" s="139">
        <f t="shared" si="13"/>
        <v>0.79166666666666663</v>
      </c>
      <c r="Z24" s="138">
        <f t="shared" si="14"/>
        <v>0.83333333333333337</v>
      </c>
      <c r="AA24" s="138">
        <f t="shared" si="15"/>
        <v>0.125</v>
      </c>
    </row>
    <row r="25" spans="1:30" ht="14.25">
      <c r="A25" s="37">
        <f t="shared" si="3"/>
        <v>1</v>
      </c>
      <c r="B25" s="41">
        <f t="shared" si="16"/>
        <v>43177</v>
      </c>
      <c r="C25" s="42">
        <f t="shared" si="4"/>
        <v>43177</v>
      </c>
      <c r="D25" s="115"/>
      <c r="E25" s="136">
        <v>1600</v>
      </c>
      <c r="F25" s="136">
        <v>1900</v>
      </c>
      <c r="G25" s="136">
        <v>2000</v>
      </c>
      <c r="H25" s="136">
        <v>300</v>
      </c>
      <c r="I25" s="74">
        <f t="shared" si="5"/>
        <v>0.20832999999999999</v>
      </c>
      <c r="J25" s="74">
        <f t="shared" si="0"/>
        <v>0.20833333333333337</v>
      </c>
      <c r="K25" s="43">
        <f t="shared" si="6"/>
        <v>2.9761904761904767E-2</v>
      </c>
      <c r="L25" s="43">
        <f t="shared" si="7"/>
        <v>0.23809523809523814</v>
      </c>
      <c r="M25" s="44">
        <f t="shared" si="8"/>
        <v>0.4464285714285714</v>
      </c>
      <c r="N25" s="143">
        <f t="shared" si="1"/>
        <v>0.30555555555555552</v>
      </c>
      <c r="O25" s="153" t="str">
        <f t="shared" si="9"/>
        <v/>
      </c>
      <c r="P25" s="143" t="str">
        <f t="shared" si="10"/>
        <v/>
      </c>
      <c r="Q25" s="44">
        <f t="shared" si="11"/>
        <v>0.14087301587301587</v>
      </c>
      <c r="R25" s="45">
        <f t="shared" si="2"/>
        <v>0</v>
      </c>
      <c r="S25" s="100"/>
      <c r="T25" s="100"/>
      <c r="U25" s="191" t="s">
        <v>86</v>
      </c>
      <c r="V25" s="108">
        <f>L39</f>
        <v>3.8095238095238098</v>
      </c>
      <c r="X25" s="138">
        <f t="shared" si="12"/>
        <v>0.66666666666666663</v>
      </c>
      <c r="Y25" s="139">
        <f t="shared" si="13"/>
        <v>0.79166666666666663</v>
      </c>
      <c r="Z25" s="138">
        <f t="shared" si="14"/>
        <v>0.83333333333333337</v>
      </c>
      <c r="AA25" s="138">
        <f t="shared" si="15"/>
        <v>0.125</v>
      </c>
    </row>
    <row r="26" spans="1:30" ht="14.25">
      <c r="A26" s="37">
        <f t="shared" si="3"/>
        <v>2</v>
      </c>
      <c r="B26" s="41">
        <f t="shared" si="16"/>
        <v>43178</v>
      </c>
      <c r="C26" s="42">
        <f t="shared" si="4"/>
        <v>43178</v>
      </c>
      <c r="D26" s="115" t="s">
        <v>15</v>
      </c>
      <c r="E26" s="136">
        <v>1600</v>
      </c>
      <c r="F26" s="136">
        <v>1900</v>
      </c>
      <c r="G26" s="136">
        <v>2000</v>
      </c>
      <c r="H26" s="136">
        <v>400</v>
      </c>
      <c r="I26" s="74">
        <f t="shared" si="5"/>
        <v>0.20832999999999999</v>
      </c>
      <c r="J26" s="74">
        <f t="shared" si="0"/>
        <v>0.25000000000000011</v>
      </c>
      <c r="K26" s="43">
        <f t="shared" si="6"/>
        <v>3.5714285714285754E-2</v>
      </c>
      <c r="L26" s="43">
        <f t="shared" si="7"/>
        <v>0.28571428571428586</v>
      </c>
      <c r="M26" s="44">
        <f t="shared" si="8"/>
        <v>0.49404761904761901</v>
      </c>
      <c r="N26" s="143">
        <f t="shared" si="1"/>
        <v>0</v>
      </c>
      <c r="O26" s="153" t="str">
        <f t="shared" si="9"/>
        <v/>
      </c>
      <c r="P26" s="143" t="str">
        <f t="shared" si="10"/>
        <v/>
      </c>
      <c r="Q26" s="44">
        <f t="shared" si="11"/>
        <v>0</v>
      </c>
      <c r="R26" s="45">
        <f t="shared" si="2"/>
        <v>0.49404761904761901</v>
      </c>
      <c r="S26" s="100"/>
      <c r="T26" s="100"/>
      <c r="U26" s="192" t="s">
        <v>80</v>
      </c>
      <c r="V26" s="193">
        <f>M39</f>
        <v>10.278273809523807</v>
      </c>
      <c r="X26" s="138">
        <f t="shared" si="12"/>
        <v>0.66666666666666663</v>
      </c>
      <c r="Y26" s="139">
        <f t="shared" si="13"/>
        <v>0.79166666666666663</v>
      </c>
      <c r="Z26" s="138">
        <f t="shared" si="14"/>
        <v>0.83333333333333337</v>
      </c>
      <c r="AA26" s="138">
        <f t="shared" si="15"/>
        <v>0.16666666666666666</v>
      </c>
    </row>
    <row r="27" spans="1:30" ht="14.25">
      <c r="A27" s="37">
        <f t="shared" si="3"/>
        <v>3</v>
      </c>
      <c r="B27" s="41">
        <f t="shared" si="16"/>
        <v>43179</v>
      </c>
      <c r="C27" s="42">
        <f t="shared" si="4"/>
        <v>43179</v>
      </c>
      <c r="D27" s="115"/>
      <c r="E27" s="136">
        <v>1600</v>
      </c>
      <c r="F27" s="136">
        <v>1900</v>
      </c>
      <c r="G27" s="136">
        <v>2000</v>
      </c>
      <c r="H27" s="136">
        <v>2200</v>
      </c>
      <c r="I27" s="74">
        <f t="shared" si="5"/>
        <v>0.20832999999999999</v>
      </c>
      <c r="J27" s="74">
        <f t="shared" si="0"/>
        <v>0</v>
      </c>
      <c r="K27" s="43">
        <f t="shared" si="6"/>
        <v>0</v>
      </c>
      <c r="L27" s="43">
        <f t="shared" si="7"/>
        <v>0</v>
      </c>
      <c r="M27" s="44">
        <f t="shared" si="8"/>
        <v>0.20833333333333326</v>
      </c>
      <c r="N27" s="143">
        <f t="shared" si="1"/>
        <v>0.30555555555555552</v>
      </c>
      <c r="O27" s="153" t="str">
        <f t="shared" si="9"/>
        <v/>
      </c>
      <c r="P27" s="143">
        <f t="shared" si="10"/>
        <v>9.7222222222222265E-2</v>
      </c>
      <c r="Q27" s="44">
        <f t="shared" si="11"/>
        <v>0</v>
      </c>
      <c r="R27" s="45">
        <f t="shared" si="2"/>
        <v>0</v>
      </c>
      <c r="S27" s="100"/>
      <c r="T27" s="100"/>
      <c r="U27" s="178" t="s">
        <v>81</v>
      </c>
      <c r="V27" s="179">
        <f>O39</f>
        <v>0</v>
      </c>
      <c r="X27" s="138">
        <f t="shared" si="12"/>
        <v>0.66666666666666663</v>
      </c>
      <c r="Y27" s="139">
        <f t="shared" si="13"/>
        <v>0.79166666666666663</v>
      </c>
      <c r="Z27" s="138">
        <f t="shared" si="14"/>
        <v>0.83333333333333337</v>
      </c>
      <c r="AA27" s="138">
        <f t="shared" si="15"/>
        <v>0.91666666666666663</v>
      </c>
    </row>
    <row r="28" spans="1:30" ht="14.25">
      <c r="A28" s="37">
        <f t="shared" si="3"/>
        <v>4</v>
      </c>
      <c r="B28" s="41">
        <f t="shared" si="16"/>
        <v>43180</v>
      </c>
      <c r="C28" s="42">
        <f t="shared" si="4"/>
        <v>43180</v>
      </c>
      <c r="D28" s="115"/>
      <c r="E28" s="136">
        <v>1700</v>
      </c>
      <c r="F28" s="136">
        <v>2000</v>
      </c>
      <c r="G28" s="136">
        <v>2400</v>
      </c>
      <c r="H28" s="136">
        <v>500</v>
      </c>
      <c r="I28" s="74">
        <f t="shared" si="5"/>
        <v>0.125</v>
      </c>
      <c r="J28" s="74">
        <f t="shared" si="0"/>
        <v>0.20833333333333334</v>
      </c>
      <c r="K28" s="43">
        <f t="shared" si="6"/>
        <v>2.9761904761904767E-2</v>
      </c>
      <c r="L28" s="43">
        <f t="shared" si="7"/>
        <v>0.23809523809523811</v>
      </c>
      <c r="M28" s="44">
        <f t="shared" si="8"/>
        <v>0.36309523809523814</v>
      </c>
      <c r="N28" s="143">
        <f t="shared" si="1"/>
        <v>0.30555555555555552</v>
      </c>
      <c r="O28" s="153" t="str">
        <f t="shared" si="9"/>
        <v/>
      </c>
      <c r="P28" s="143" t="str">
        <f t="shared" si="10"/>
        <v/>
      </c>
      <c r="Q28" s="44">
        <f t="shared" si="11"/>
        <v>5.7539682539682613E-2</v>
      </c>
      <c r="R28" s="45">
        <f t="shared" si="2"/>
        <v>0</v>
      </c>
      <c r="S28" s="100"/>
      <c r="T28" s="100"/>
      <c r="U28" s="185" t="s">
        <v>82</v>
      </c>
      <c r="V28" s="186">
        <f>P39</f>
        <v>1.4563492063492069</v>
      </c>
      <c r="X28" s="138">
        <f t="shared" si="12"/>
        <v>0.70833333333333337</v>
      </c>
      <c r="Y28" s="139">
        <f t="shared" si="13"/>
        <v>0.83333333333333337</v>
      </c>
      <c r="Z28" s="138">
        <f t="shared" si="14"/>
        <v>0</v>
      </c>
      <c r="AA28" s="138">
        <f t="shared" si="15"/>
        <v>0.20833333333333334</v>
      </c>
    </row>
    <row r="29" spans="1:30" ht="14.25">
      <c r="A29" s="37">
        <f t="shared" si="3"/>
        <v>5</v>
      </c>
      <c r="B29" s="41">
        <f t="shared" si="16"/>
        <v>43181</v>
      </c>
      <c r="C29" s="42">
        <f t="shared" si="4"/>
        <v>43181</v>
      </c>
      <c r="D29" s="115"/>
      <c r="E29" s="136">
        <v>1700</v>
      </c>
      <c r="F29" s="136">
        <v>1900</v>
      </c>
      <c r="G29" s="136">
        <v>0</v>
      </c>
      <c r="H29" s="136">
        <v>0</v>
      </c>
      <c r="I29" s="74">
        <f t="shared" si="5"/>
        <v>8.3330000000000001E-2</v>
      </c>
      <c r="J29" s="74">
        <f t="shared" si="0"/>
        <v>0</v>
      </c>
      <c r="K29" s="43">
        <f t="shared" si="6"/>
        <v>0</v>
      </c>
      <c r="L29" s="43">
        <f t="shared" si="7"/>
        <v>0</v>
      </c>
      <c r="M29" s="44">
        <f t="shared" si="8"/>
        <v>8.3333333333333259E-2</v>
      </c>
      <c r="N29" s="143">
        <f t="shared" si="1"/>
        <v>0.30555555555555552</v>
      </c>
      <c r="O29" s="153" t="str">
        <f t="shared" si="9"/>
        <v/>
      </c>
      <c r="P29" s="143">
        <f t="shared" si="10"/>
        <v>0.22222222222222227</v>
      </c>
      <c r="Q29" s="44">
        <f t="shared" si="11"/>
        <v>0</v>
      </c>
      <c r="R29" s="45">
        <f t="shared" si="2"/>
        <v>0</v>
      </c>
      <c r="S29" s="100"/>
      <c r="T29" s="100"/>
      <c r="U29" s="178" t="s">
        <v>83</v>
      </c>
      <c r="V29" s="179">
        <f>Q39</f>
        <v>1.6170634920634921</v>
      </c>
      <c r="X29" s="138">
        <f t="shared" si="12"/>
        <v>0.70833333333333337</v>
      </c>
      <c r="Y29" s="139">
        <f t="shared" si="13"/>
        <v>0.79166666666666663</v>
      </c>
      <c r="Z29" s="138">
        <f t="shared" si="14"/>
        <v>0</v>
      </c>
      <c r="AA29" s="138">
        <f t="shared" si="15"/>
        <v>0</v>
      </c>
    </row>
    <row r="30" spans="1:30" ht="14.25">
      <c r="A30" s="37">
        <f t="shared" si="3"/>
        <v>6</v>
      </c>
      <c r="B30" s="41">
        <f t="shared" si="16"/>
        <v>43182</v>
      </c>
      <c r="C30" s="42">
        <f t="shared" si="4"/>
        <v>43182</v>
      </c>
      <c r="D30" s="115"/>
      <c r="E30" s="136">
        <v>1730</v>
      </c>
      <c r="F30" s="136">
        <v>1900</v>
      </c>
      <c r="G30" s="136">
        <v>2000</v>
      </c>
      <c r="H30" s="136">
        <v>200</v>
      </c>
      <c r="I30" s="74">
        <f t="shared" si="5"/>
        <v>0.14582999999999999</v>
      </c>
      <c r="J30" s="74">
        <f t="shared" si="0"/>
        <v>0.16666666666666663</v>
      </c>
      <c r="K30" s="43">
        <f t="shared" si="6"/>
        <v>2.3809523809523808E-2</v>
      </c>
      <c r="L30" s="43">
        <f t="shared" si="7"/>
        <v>0.19047619047619044</v>
      </c>
      <c r="M30" s="44">
        <f t="shared" si="8"/>
        <v>0.33630952380952384</v>
      </c>
      <c r="N30" s="143">
        <f t="shared" si="1"/>
        <v>0.30555555555555552</v>
      </c>
      <c r="O30" s="153" t="str">
        <f t="shared" si="9"/>
        <v/>
      </c>
      <c r="P30" s="143" t="str">
        <f t="shared" si="10"/>
        <v/>
      </c>
      <c r="Q30" s="44">
        <f t="shared" si="11"/>
        <v>3.0753968253968311E-2</v>
      </c>
      <c r="R30" s="45">
        <f t="shared" si="2"/>
        <v>0</v>
      </c>
      <c r="S30" s="100"/>
      <c r="T30" s="100"/>
      <c r="U30" s="187" t="s">
        <v>84</v>
      </c>
      <c r="V30" s="188">
        <f>R39</f>
        <v>2.0357142857142856</v>
      </c>
      <c r="X30" s="138">
        <f t="shared" si="12"/>
        <v>0.72916666666666663</v>
      </c>
      <c r="Y30" s="139">
        <f t="shared" si="13"/>
        <v>0.79166666666666663</v>
      </c>
      <c r="Z30" s="138">
        <f t="shared" si="14"/>
        <v>0.83333333333333337</v>
      </c>
      <c r="AA30" s="138">
        <f t="shared" si="15"/>
        <v>8.3333333333333329E-2</v>
      </c>
    </row>
    <row r="31" spans="1:30" ht="14.25">
      <c r="A31" s="37">
        <f t="shared" si="3"/>
        <v>7</v>
      </c>
      <c r="B31" s="41">
        <f t="shared" si="16"/>
        <v>43183</v>
      </c>
      <c r="C31" s="42">
        <f>IF(B31="","",IF(COUNTIF(fer,B31)&gt;0,"feriado",B31))</f>
        <v>43183</v>
      </c>
      <c r="D31" s="115"/>
      <c r="E31" s="136">
        <v>1700</v>
      </c>
      <c r="F31" s="136">
        <v>1900</v>
      </c>
      <c r="G31" s="136">
        <v>2000</v>
      </c>
      <c r="H31" s="136">
        <v>2300</v>
      </c>
      <c r="I31" s="74">
        <f t="shared" si="5"/>
        <v>0.16667000000000001</v>
      </c>
      <c r="J31" s="74">
        <f t="shared" si="0"/>
        <v>4.1666666666666741E-2</v>
      </c>
      <c r="K31" s="43">
        <f t="shared" si="6"/>
        <v>5.9523809523809659E-3</v>
      </c>
      <c r="L31" s="43">
        <f t="shared" si="7"/>
        <v>4.7619047619047707E-2</v>
      </c>
      <c r="M31" s="44">
        <f t="shared" si="8"/>
        <v>0.21428571428571422</v>
      </c>
      <c r="N31" s="143">
        <f t="shared" si="1"/>
        <v>0.30555555555555552</v>
      </c>
      <c r="O31" s="153" t="str">
        <f t="shared" si="9"/>
        <v/>
      </c>
      <c r="P31" s="143">
        <f t="shared" si="10"/>
        <v>9.1269841269841306E-2</v>
      </c>
      <c r="Q31" s="44">
        <f t="shared" si="11"/>
        <v>0</v>
      </c>
      <c r="R31" s="45">
        <f t="shared" si="2"/>
        <v>0</v>
      </c>
      <c r="S31" s="100"/>
      <c r="T31" s="100"/>
      <c r="U31" s="100"/>
      <c r="V31" s="100"/>
      <c r="X31" s="138">
        <f t="shared" si="12"/>
        <v>0.70833333333333337</v>
      </c>
      <c r="Y31" s="139">
        <f t="shared" si="13"/>
        <v>0.79166666666666663</v>
      </c>
      <c r="Z31" s="138">
        <f t="shared" si="14"/>
        <v>0.83333333333333337</v>
      </c>
      <c r="AA31" s="138">
        <f t="shared" si="15"/>
        <v>0.95833333333333337</v>
      </c>
    </row>
    <row r="32" spans="1:30" ht="14.25">
      <c r="A32" s="37">
        <f t="shared" si="3"/>
        <v>1</v>
      </c>
      <c r="B32" s="41">
        <f t="shared" si="16"/>
        <v>43184</v>
      </c>
      <c r="C32" s="42">
        <f t="shared" si="4"/>
        <v>43184</v>
      </c>
      <c r="D32" s="115" t="s">
        <v>15</v>
      </c>
      <c r="E32" s="136">
        <v>1700</v>
      </c>
      <c r="F32" s="136">
        <v>1900</v>
      </c>
      <c r="G32" s="136">
        <v>2000</v>
      </c>
      <c r="H32" s="136">
        <v>700</v>
      </c>
      <c r="I32" s="74">
        <f t="shared" si="5"/>
        <v>0.25</v>
      </c>
      <c r="J32" s="74">
        <f t="shared" si="0"/>
        <v>0.29166666666666663</v>
      </c>
      <c r="K32" s="43">
        <f t="shared" si="6"/>
        <v>4.1666666666666685E-2</v>
      </c>
      <c r="L32" s="43">
        <f t="shared" si="7"/>
        <v>0.33333333333333331</v>
      </c>
      <c r="M32" s="44">
        <f t="shared" si="8"/>
        <v>0.58333333333333326</v>
      </c>
      <c r="N32" s="143">
        <f t="shared" si="1"/>
        <v>0</v>
      </c>
      <c r="O32" s="153" t="str">
        <f t="shared" si="9"/>
        <v/>
      </c>
      <c r="P32" s="143" t="str">
        <f t="shared" si="10"/>
        <v/>
      </c>
      <c r="Q32" s="44">
        <f t="shared" si="11"/>
        <v>0</v>
      </c>
      <c r="R32" s="45">
        <f t="shared" si="2"/>
        <v>0.58333333333333326</v>
      </c>
      <c r="S32" s="100"/>
      <c r="T32" s="100"/>
      <c r="U32" s="180" t="str">
        <f>IF(V28-V29=0,0,(IF(V28-V29&lt;0,"Horas Extras","Horas Compensadas")))</f>
        <v>Horas Extras</v>
      </c>
      <c r="V32" s="190">
        <f>IF(V28-V29&lt;0,(V28*-1)-(V29*-1),V28-V29)</f>
        <v>0.16071428571428514</v>
      </c>
      <c r="X32" s="138">
        <f t="shared" si="12"/>
        <v>0.70833333333333337</v>
      </c>
      <c r="Y32" s="139">
        <f t="shared" si="13"/>
        <v>0.79166666666666663</v>
      </c>
      <c r="Z32" s="138">
        <f t="shared" si="14"/>
        <v>0.83333333333333337</v>
      </c>
      <c r="AA32" s="138">
        <f t="shared" si="15"/>
        <v>0.29166666666666669</v>
      </c>
    </row>
    <row r="33" spans="1:27" ht="14.25">
      <c r="A33" s="37">
        <f t="shared" si="3"/>
        <v>2</v>
      </c>
      <c r="B33" s="41">
        <f t="shared" si="16"/>
        <v>43185</v>
      </c>
      <c r="C33" s="42">
        <f t="shared" si="4"/>
        <v>43185</v>
      </c>
      <c r="D33" s="115"/>
      <c r="E33" s="136">
        <v>1500</v>
      </c>
      <c r="F33" s="136">
        <v>1900</v>
      </c>
      <c r="G33" s="136">
        <v>2000</v>
      </c>
      <c r="H33" s="136">
        <v>100</v>
      </c>
      <c r="I33" s="74">
        <f t="shared" si="5"/>
        <v>0.25</v>
      </c>
      <c r="J33" s="74">
        <f t="shared" si="0"/>
        <v>0.12500000000000011</v>
      </c>
      <c r="K33" s="43">
        <f t="shared" si="6"/>
        <v>1.7857142857142877E-2</v>
      </c>
      <c r="L33" s="43">
        <f t="shared" si="7"/>
        <v>0.14285714285714299</v>
      </c>
      <c r="M33" s="44">
        <f t="shared" si="8"/>
        <v>0.39285714285714279</v>
      </c>
      <c r="N33" s="143">
        <f t="shared" si="1"/>
        <v>0.30555555555555552</v>
      </c>
      <c r="O33" s="153" t="str">
        <f t="shared" si="9"/>
        <v/>
      </c>
      <c r="P33" s="143" t="str">
        <f t="shared" si="10"/>
        <v/>
      </c>
      <c r="Q33" s="44">
        <f t="shared" si="11"/>
        <v>8.7301587301587269E-2</v>
      </c>
      <c r="R33" s="45">
        <f t="shared" si="2"/>
        <v>0</v>
      </c>
      <c r="S33" s="100"/>
      <c r="T33" s="100"/>
      <c r="U33" s="100"/>
      <c r="V33" s="100"/>
      <c r="X33" s="138">
        <f t="shared" si="12"/>
        <v>0.625</v>
      </c>
      <c r="Y33" s="139">
        <f t="shared" si="13"/>
        <v>0.79166666666666663</v>
      </c>
      <c r="Z33" s="138">
        <f t="shared" si="14"/>
        <v>0.83333333333333337</v>
      </c>
      <c r="AA33" s="138">
        <f t="shared" si="15"/>
        <v>4.1666666666666664E-2</v>
      </c>
    </row>
    <row r="34" spans="1:27" ht="14.25">
      <c r="A34" s="37">
        <f t="shared" si="3"/>
        <v>3</v>
      </c>
      <c r="B34" s="41">
        <f t="shared" si="16"/>
        <v>43186</v>
      </c>
      <c r="C34" s="42">
        <f t="shared" si="4"/>
        <v>43186</v>
      </c>
      <c r="D34" s="115"/>
      <c r="E34" s="136">
        <v>1800</v>
      </c>
      <c r="F34" s="136">
        <v>2200</v>
      </c>
      <c r="G34" s="136">
        <v>2300</v>
      </c>
      <c r="H34" s="136">
        <v>100</v>
      </c>
      <c r="I34" s="74">
        <f t="shared" si="5"/>
        <v>0.16667000000000001</v>
      </c>
      <c r="J34" s="74">
        <f t="shared" si="0"/>
        <v>8.333333333333337E-2</v>
      </c>
      <c r="K34" s="43">
        <f t="shared" si="6"/>
        <v>1.1904761904761904E-2</v>
      </c>
      <c r="L34" s="43">
        <f t="shared" si="7"/>
        <v>9.5238095238095274E-2</v>
      </c>
      <c r="M34" s="44">
        <f t="shared" si="8"/>
        <v>0.26190476190476181</v>
      </c>
      <c r="N34" s="143">
        <f t="shared" si="1"/>
        <v>0.30555555555555552</v>
      </c>
      <c r="O34" s="153" t="str">
        <f t="shared" si="9"/>
        <v/>
      </c>
      <c r="P34" s="143">
        <f t="shared" si="10"/>
        <v>4.3650793650793718E-2</v>
      </c>
      <c r="Q34" s="44">
        <f t="shared" si="11"/>
        <v>0</v>
      </c>
      <c r="R34" s="45">
        <f t="shared" si="2"/>
        <v>0</v>
      </c>
      <c r="S34" s="100"/>
      <c r="T34" s="100"/>
      <c r="U34" s="100"/>
      <c r="V34" s="100"/>
      <c r="X34" s="138">
        <f t="shared" si="12"/>
        <v>0.75</v>
      </c>
      <c r="Y34" s="139">
        <f t="shared" si="13"/>
        <v>0.91666666666666663</v>
      </c>
      <c r="Z34" s="138">
        <f t="shared" si="14"/>
        <v>0.95833333333333337</v>
      </c>
      <c r="AA34" s="138">
        <f t="shared" si="15"/>
        <v>4.1666666666666664E-2</v>
      </c>
    </row>
    <row r="35" spans="1:27" ht="14.25">
      <c r="A35" s="37">
        <f t="shared" si="3"/>
        <v>4</v>
      </c>
      <c r="B35" s="41">
        <f t="shared" si="16"/>
        <v>43187</v>
      </c>
      <c r="C35" s="42">
        <f t="shared" si="4"/>
        <v>43187</v>
      </c>
      <c r="D35" s="115"/>
      <c r="E35" s="136">
        <v>1800</v>
      </c>
      <c r="F35" s="136">
        <v>2200</v>
      </c>
      <c r="G35" s="136">
        <v>2300</v>
      </c>
      <c r="H35" s="136">
        <v>700</v>
      </c>
      <c r="I35" s="74">
        <f t="shared" si="5"/>
        <v>0.25</v>
      </c>
      <c r="J35" s="74">
        <f t="shared" si="0"/>
        <v>0.24999999999999989</v>
      </c>
      <c r="K35" s="43">
        <f t="shared" si="6"/>
        <v>3.5714285714285698E-2</v>
      </c>
      <c r="L35" s="43">
        <f t="shared" si="7"/>
        <v>0.28571428571428559</v>
      </c>
      <c r="M35" s="44">
        <f t="shared" si="8"/>
        <v>0.53571428571428559</v>
      </c>
      <c r="N35" s="143">
        <f t="shared" si="1"/>
        <v>0.30555555555555552</v>
      </c>
      <c r="O35" s="153" t="str">
        <f t="shared" si="9"/>
        <v/>
      </c>
      <c r="P35" s="143" t="str">
        <f t="shared" si="10"/>
        <v/>
      </c>
      <c r="Q35" s="44">
        <f t="shared" si="11"/>
        <v>0.23015873015873006</v>
      </c>
      <c r="R35" s="45">
        <f t="shared" si="2"/>
        <v>0</v>
      </c>
      <c r="S35" s="100"/>
      <c r="T35" s="100"/>
      <c r="U35" s="100"/>
      <c r="V35" s="100"/>
      <c r="X35" s="138">
        <f t="shared" si="12"/>
        <v>0.75</v>
      </c>
      <c r="Y35" s="139">
        <f t="shared" si="13"/>
        <v>0.91666666666666663</v>
      </c>
      <c r="Z35" s="138">
        <f t="shared" si="14"/>
        <v>0.95833333333333337</v>
      </c>
      <c r="AA35" s="138">
        <f t="shared" si="15"/>
        <v>0.29166666666666669</v>
      </c>
    </row>
    <row r="36" spans="1:27" ht="14.25">
      <c r="A36" s="37">
        <f t="shared" si="3"/>
        <v>5</v>
      </c>
      <c r="B36" s="46">
        <f>IF(B35="","",IF(B35&gt;=fim,"",B35+1))</f>
        <v>43188</v>
      </c>
      <c r="C36" s="42">
        <f t="shared" si="4"/>
        <v>43188</v>
      </c>
      <c r="D36" s="115"/>
      <c r="E36" s="136">
        <v>1800</v>
      </c>
      <c r="F36" s="136">
        <v>2200</v>
      </c>
      <c r="G36" s="136">
        <v>2215</v>
      </c>
      <c r="H36" s="136">
        <v>800</v>
      </c>
      <c r="I36" s="74">
        <f t="shared" si="5"/>
        <v>0.29166999999999998</v>
      </c>
      <c r="J36" s="74">
        <f t="shared" si="0"/>
        <v>0.28124999999999989</v>
      </c>
      <c r="K36" s="43">
        <f t="shared" si="6"/>
        <v>4.0178571428571397E-2</v>
      </c>
      <c r="L36" s="43">
        <f t="shared" si="7"/>
        <v>0.32142857142857129</v>
      </c>
      <c r="M36" s="44">
        <f t="shared" si="8"/>
        <v>0.61309523809523803</v>
      </c>
      <c r="N36" s="143">
        <f t="shared" si="1"/>
        <v>0.30555555555555552</v>
      </c>
      <c r="O36" s="153" t="str">
        <f t="shared" si="9"/>
        <v/>
      </c>
      <c r="P36" s="143" t="str">
        <f t="shared" si="10"/>
        <v/>
      </c>
      <c r="Q36" s="44">
        <f t="shared" si="11"/>
        <v>0.3075396825396825</v>
      </c>
      <c r="R36" s="45">
        <f t="shared" si="2"/>
        <v>0</v>
      </c>
      <c r="S36" s="100"/>
      <c r="T36" s="100"/>
      <c r="U36" s="100"/>
      <c r="V36" s="100"/>
      <c r="X36" s="138">
        <f t="shared" si="12"/>
        <v>0.75</v>
      </c>
      <c r="Y36" s="139">
        <f t="shared" si="13"/>
        <v>0.91666666666666663</v>
      </c>
      <c r="Z36" s="138">
        <f t="shared" si="14"/>
        <v>0.92708333333333337</v>
      </c>
      <c r="AA36" s="138">
        <f t="shared" si="15"/>
        <v>0.33333333333333331</v>
      </c>
    </row>
    <row r="37" spans="1:27" ht="14.25">
      <c r="A37" s="37">
        <f t="shared" si="3"/>
        <v>8</v>
      </c>
      <c r="B37" s="46">
        <f>IF(B36="","",IF(B36&gt;=fim,"",B36+1))</f>
        <v>43189</v>
      </c>
      <c r="C37" s="42" t="str">
        <f t="shared" si="4"/>
        <v>feriado</v>
      </c>
      <c r="D37" s="115" t="s">
        <v>15</v>
      </c>
      <c r="E37" s="136">
        <v>1800</v>
      </c>
      <c r="F37" s="136">
        <v>2200</v>
      </c>
      <c r="G37" s="136">
        <v>2200</v>
      </c>
      <c r="H37" s="136">
        <v>800</v>
      </c>
      <c r="I37" s="74">
        <f t="shared" si="5"/>
        <v>0.29166999999999998</v>
      </c>
      <c r="J37" s="74">
        <f t="shared" si="0"/>
        <v>0.29166666666666663</v>
      </c>
      <c r="K37" s="43">
        <f t="shared" si="6"/>
        <v>4.1666666666666685E-2</v>
      </c>
      <c r="L37" s="43">
        <f t="shared" si="7"/>
        <v>0.33333333333333331</v>
      </c>
      <c r="M37" s="44">
        <f t="shared" si="8"/>
        <v>0.625</v>
      </c>
      <c r="N37" s="143">
        <f t="shared" si="1"/>
        <v>0</v>
      </c>
      <c r="O37" s="153" t="str">
        <f t="shared" si="9"/>
        <v/>
      </c>
      <c r="P37" s="143" t="str">
        <f t="shared" si="10"/>
        <v/>
      </c>
      <c r="Q37" s="44">
        <f t="shared" si="11"/>
        <v>0</v>
      </c>
      <c r="R37" s="45">
        <f t="shared" si="2"/>
        <v>0.625</v>
      </c>
      <c r="S37" s="100"/>
      <c r="T37" s="100"/>
      <c r="U37" s="100"/>
      <c r="V37" s="100"/>
      <c r="X37" s="138">
        <f t="shared" si="12"/>
        <v>0.75</v>
      </c>
      <c r="Y37" s="139">
        <f t="shared" si="13"/>
        <v>0.91666666666666663</v>
      </c>
      <c r="Z37" s="138">
        <f t="shared" si="14"/>
        <v>0.91666666666666663</v>
      </c>
      <c r="AA37" s="138">
        <f t="shared" si="15"/>
        <v>0.33333333333333331</v>
      </c>
    </row>
    <row r="38" spans="1:27" ht="14.25">
      <c r="A38" s="37">
        <f t="shared" si="3"/>
        <v>7</v>
      </c>
      <c r="B38" s="47">
        <f>IF(B37="","",IF(B37&gt;=fim,"",B37+1))</f>
        <v>43190</v>
      </c>
      <c r="C38" s="48">
        <f t="shared" si="4"/>
        <v>43190</v>
      </c>
      <c r="D38" s="116"/>
      <c r="E38" s="137">
        <v>1700</v>
      </c>
      <c r="F38" s="136">
        <v>2000</v>
      </c>
      <c r="G38" s="136">
        <v>2100</v>
      </c>
      <c r="H38" s="137">
        <v>200</v>
      </c>
      <c r="I38" s="85">
        <f t="shared" si="5"/>
        <v>0.16667000000000001</v>
      </c>
      <c r="J38" s="85">
        <f t="shared" si="0"/>
        <v>0.16666666666666663</v>
      </c>
      <c r="K38" s="49">
        <f t="shared" si="6"/>
        <v>2.3809523809523808E-2</v>
      </c>
      <c r="L38" s="49">
        <f t="shared" si="7"/>
        <v>0.19047619047619044</v>
      </c>
      <c r="M38" s="50">
        <f t="shared" si="8"/>
        <v>0.35714285714285721</v>
      </c>
      <c r="N38" s="142">
        <f t="shared" si="1"/>
        <v>0.30555555555555552</v>
      </c>
      <c r="O38" s="153" t="str">
        <f t="shared" si="9"/>
        <v/>
      </c>
      <c r="P38" s="143" t="str">
        <f t="shared" si="10"/>
        <v/>
      </c>
      <c r="Q38" s="50">
        <f t="shared" si="11"/>
        <v>5.1587301587301682E-2</v>
      </c>
      <c r="R38" s="51">
        <f t="shared" si="2"/>
        <v>0</v>
      </c>
      <c r="S38" s="100"/>
      <c r="T38" s="100"/>
      <c r="U38" s="100"/>
      <c r="V38" s="100"/>
      <c r="X38" s="140">
        <f t="shared" si="12"/>
        <v>0.70833333333333337</v>
      </c>
      <c r="Y38" s="141">
        <f t="shared" si="13"/>
        <v>0.83333333333333337</v>
      </c>
      <c r="Z38" s="140">
        <f t="shared" si="14"/>
        <v>0.875</v>
      </c>
      <c r="AA38" s="140">
        <f t="shared" si="15"/>
        <v>8.3333333333333329E-2</v>
      </c>
    </row>
    <row r="39" spans="1:27" ht="14.25">
      <c r="B39" s="60" t="s">
        <v>25</v>
      </c>
      <c r="C39" s="60" t="s">
        <v>26</v>
      </c>
      <c r="D39" s="60"/>
      <c r="E39" s="60" t="s">
        <v>31</v>
      </c>
      <c r="F39" s="60" t="s">
        <v>32</v>
      </c>
      <c r="G39" s="60" t="s">
        <v>33</v>
      </c>
      <c r="H39" s="60" t="s">
        <v>34</v>
      </c>
      <c r="I39" s="67" t="s">
        <v>35</v>
      </c>
      <c r="J39" s="68" t="s">
        <v>36</v>
      </c>
      <c r="K39" s="69" t="s">
        <v>37</v>
      </c>
      <c r="L39" s="70">
        <f>SUM(L8:L38)</f>
        <v>3.8095238095238098</v>
      </c>
      <c r="M39" s="70">
        <f>SUM(M8:M38)</f>
        <v>10.278273809523807</v>
      </c>
      <c r="N39" s="65" t="s">
        <v>37</v>
      </c>
      <c r="O39" s="70">
        <f>SUM(O8:O38)</f>
        <v>0</v>
      </c>
      <c r="P39" s="70">
        <f>SUM(P7:P38)</f>
        <v>1.4563492063492069</v>
      </c>
      <c r="Q39" s="70">
        <f>SUM(Q7:Q38)</f>
        <v>1.6170634920634921</v>
      </c>
      <c r="R39" s="70">
        <f>SUM(R8:R38)</f>
        <v>2.0357142857142856</v>
      </c>
      <c r="S39" s="101"/>
      <c r="T39" s="101"/>
      <c r="U39" s="101"/>
      <c r="V39" s="101"/>
    </row>
    <row r="40" spans="1:27" ht="14.25">
      <c r="B40" s="61">
        <f>B8</f>
        <v>43160</v>
      </c>
      <c r="C40" s="61">
        <f>MAX(B8:B38)</f>
        <v>43190</v>
      </c>
      <c r="D40" s="61"/>
      <c r="E40" s="62">
        <f>COUNTIF(C8:C38,"feriado")</f>
        <v>1</v>
      </c>
      <c r="F40" s="63">
        <f ca="1">SUMPRODUCT((WEEKDAY(ROW(INDIRECT($B40&amp;":"&amp;$C40)))=1)*(COUNTIF(fer,ROW(INDIRECT($B40&amp;":"&amp;$C40)))=0))</f>
        <v>4</v>
      </c>
      <c r="G40" s="63">
        <f>C40-B40+1</f>
        <v>31</v>
      </c>
      <c r="H40" s="63">
        <f ca="1">G40-I40</f>
        <v>26</v>
      </c>
      <c r="I40" s="66">
        <f ca="1">E40+F40</f>
        <v>5</v>
      </c>
      <c r="J40" s="71" t="str">
        <f ca="1">H40&amp;"/"&amp;I40</f>
        <v>26/5</v>
      </c>
      <c r="K40" s="72" t="s">
        <v>38</v>
      </c>
      <c r="L40" s="64">
        <f>L39*24</f>
        <v>91.428571428571431</v>
      </c>
      <c r="M40" s="64">
        <f>M39*24</f>
        <v>246.67857142857136</v>
      </c>
      <c r="N40" s="65" t="s">
        <v>38</v>
      </c>
      <c r="O40" s="64">
        <f t="shared" ref="O40:P40" si="17">O39*24</f>
        <v>0</v>
      </c>
      <c r="P40" s="64">
        <f t="shared" si="17"/>
        <v>34.952380952380963</v>
      </c>
      <c r="Q40" s="64">
        <f>Q39*24</f>
        <v>38.80952380952381</v>
      </c>
      <c r="R40" s="64">
        <f>R39*24</f>
        <v>48.857142857142854</v>
      </c>
      <c r="S40" s="102"/>
      <c r="T40" s="102"/>
      <c r="U40" s="102"/>
      <c r="V40" s="102"/>
    </row>
    <row r="41" spans="1:27" ht="14.25">
      <c r="B41" s="125" t="str">
        <f>IF(dia_f="","",DATE(ano_p,mês_p,1))</f>
        <v/>
      </c>
      <c r="C41" s="126" t="str">
        <f>IF(dia_f="","",DATE(ano_p,mês_p+1,0))</f>
        <v/>
      </c>
      <c r="D41" s="73"/>
      <c r="E41" s="62" t="str">
        <f>IF(B41="","",SUMPRODUCT(((WEEKDAY(fer)&gt;1))*(fer&gt;=B41)*(fer&lt;=C41)))</f>
        <v/>
      </c>
      <c r="F41" s="63" t="str">
        <f ca="1">IF(B41="","",SUMPRODUCT((WEEKDAY(ROW(INDIRECT($B41&amp;":"&amp;$C41)))=1)*1))</f>
        <v/>
      </c>
      <c r="G41" s="128" t="str">
        <f>IF(B41="","",DAY(C41))</f>
        <v/>
      </c>
      <c r="H41" s="117" t="str">
        <f ca="1">IF(B41="","",SUMPRODUCT((WEEKDAY(ROW(INDIRECT(B41&amp;":"&amp;C41)))&gt;1)*(COUNTIF(fer,ROW(INDIRECT(B41&amp;":"&amp;C41)))=0)))</f>
        <v/>
      </c>
      <c r="I41" s="66" t="str">
        <f>IF(B41="","",E41+F41)</f>
        <v/>
      </c>
      <c r="J41" s="71" t="str">
        <f>IF(B41="","",H41&amp;"/"&amp;I41)</f>
        <v/>
      </c>
      <c r="K41" s="73" t="s">
        <v>39</v>
      </c>
      <c r="L41" s="64">
        <f ca="1">L40/$H$40*$I$40</f>
        <v>17.582417582417584</v>
      </c>
      <c r="M41" s="173"/>
      <c r="N41" s="174"/>
      <c r="O41" s="174"/>
      <c r="P41" s="174"/>
      <c r="Q41" s="175"/>
      <c r="R41" s="175"/>
      <c r="S41" s="102"/>
      <c r="T41" s="102"/>
      <c r="U41" s="102"/>
      <c r="V41" s="102"/>
    </row>
    <row r="42" spans="1:27" ht="14.25">
      <c r="K42" s="129" t="str">
        <f>IF(B41="","","Dsr mês:")</f>
        <v/>
      </c>
      <c r="L42" s="79" t="str">
        <f>IF(B41="","",L40/H41*I41)</f>
        <v/>
      </c>
      <c r="M42" s="205" t="str">
        <f>IF(B41="","","Dsr mês:")</f>
        <v/>
      </c>
      <c r="N42" s="205"/>
      <c r="O42" s="172"/>
      <c r="P42" s="172"/>
      <c r="Q42" s="102" t="str">
        <f>IF(B41="","",Q40/$H$41*$I$41)</f>
        <v/>
      </c>
      <c r="R42" s="102" t="str">
        <f>IF(B41="","",R40/$H$41*$I$41)</f>
        <v/>
      </c>
    </row>
    <row r="43" spans="1:27">
      <c r="Q43" s="176"/>
    </row>
    <row r="44" spans="1:27" ht="18.75">
      <c r="C44" s="76"/>
      <c r="D44" s="133"/>
      <c r="H44" s="1"/>
      <c r="I44" s="1"/>
      <c r="J44" s="1"/>
      <c r="K44" s="1"/>
      <c r="L44" s="1"/>
    </row>
    <row r="45" spans="1:27">
      <c r="D45" s="154"/>
    </row>
    <row r="47" spans="1:27">
      <c r="D47" s="155"/>
    </row>
    <row r="48" spans="1:27">
      <c r="D48" s="155"/>
    </row>
    <row r="116" spans="4:22">
      <c r="U116" s="82">
        <f>IF(dia_f="",DATE(ano_p,mês_p,1),DATE(ano_p,mês_p-1,dia_f+1))</f>
        <v>43160</v>
      </c>
      <c r="V116" s="75" t="s">
        <v>40</v>
      </c>
    </row>
    <row r="117" spans="4:22">
      <c r="U117" s="82">
        <f>IF(dia_f="",DATE(ano_p,mês_p+1,0),(DATE($V$22,mês_p,dia_f)))</f>
        <v>43190</v>
      </c>
      <c r="V117" s="75" t="s">
        <v>41</v>
      </c>
    </row>
    <row r="119" spans="4:22">
      <c r="D119" s="75" t="s">
        <v>42</v>
      </c>
      <c r="F119" s="75" t="s">
        <v>43</v>
      </c>
    </row>
    <row r="120" spans="4:22" ht="14.25">
      <c r="D120" s="127">
        <v>1</v>
      </c>
      <c r="F120" s="130">
        <v>2012</v>
      </c>
    </row>
    <row r="121" spans="4:22" ht="14.25">
      <c r="D121" s="132">
        <v>2</v>
      </c>
      <c r="F121" s="130">
        <v>2013</v>
      </c>
    </row>
    <row r="122" spans="4:22" ht="14.25">
      <c r="D122" s="132">
        <v>3</v>
      </c>
      <c r="F122" s="130">
        <v>2014</v>
      </c>
    </row>
    <row r="123" spans="4:22" ht="14.25">
      <c r="D123" s="133">
        <v>4</v>
      </c>
      <c r="F123" s="131">
        <v>2015</v>
      </c>
    </row>
    <row r="124" spans="4:22" ht="14.25">
      <c r="D124" s="133">
        <v>5</v>
      </c>
      <c r="F124" s="131">
        <v>2016</v>
      </c>
    </row>
    <row r="125" spans="4:22" ht="14.25">
      <c r="D125" s="133">
        <v>6</v>
      </c>
      <c r="F125" s="131">
        <v>2017</v>
      </c>
    </row>
    <row r="126" spans="4:22" ht="14.25">
      <c r="D126" s="133">
        <v>7</v>
      </c>
      <c r="F126" s="131">
        <v>2018</v>
      </c>
    </row>
    <row r="127" spans="4:22" ht="14.25">
      <c r="D127" s="133">
        <v>8</v>
      </c>
      <c r="F127" s="131">
        <v>2019</v>
      </c>
    </row>
    <row r="128" spans="4:22" ht="14.25">
      <c r="D128" s="134">
        <v>9</v>
      </c>
      <c r="F128" s="131">
        <v>2020</v>
      </c>
    </row>
    <row r="129" spans="4:6" ht="14.25">
      <c r="D129" s="133">
        <v>10</v>
      </c>
      <c r="F129" s="131">
        <v>2021</v>
      </c>
    </row>
    <row r="130" spans="4:6" ht="14.25">
      <c r="D130" s="133">
        <v>11</v>
      </c>
      <c r="F130" s="131">
        <v>2022</v>
      </c>
    </row>
    <row r="131" spans="4:6" ht="14.25">
      <c r="D131" s="133">
        <v>12</v>
      </c>
      <c r="F131" s="131">
        <v>2023</v>
      </c>
    </row>
    <row r="150" spans="2:4">
      <c r="B150" s="75"/>
      <c r="C150" s="76"/>
      <c r="D150" s="76"/>
    </row>
    <row r="151" spans="2:4">
      <c r="B151" s="75"/>
      <c r="C151" s="76"/>
      <c r="D151" s="76"/>
    </row>
  </sheetData>
  <mergeCells count="9">
    <mergeCell ref="U20:V20"/>
    <mergeCell ref="M42:N42"/>
    <mergeCell ref="H2:H3"/>
    <mergeCell ref="Q2:Q4"/>
    <mergeCell ref="B5:C5"/>
    <mergeCell ref="U6:V7"/>
    <mergeCell ref="X6:AA6"/>
    <mergeCell ref="B7:C7"/>
    <mergeCell ref="U17:V17"/>
  </mergeCells>
  <conditionalFormatting sqref="B8:C38">
    <cfRule type="expression" dxfId="58" priority="11">
      <formula>WEEKDAY($B8,2)=7</formula>
    </cfRule>
    <cfRule type="expression" dxfId="57" priority="12">
      <formula>COUNTIF(fer,$B8)&gt;0</formula>
    </cfRule>
  </conditionalFormatting>
  <conditionalFormatting sqref="D8:D38">
    <cfRule type="cellIs" dxfId="56" priority="10" operator="equal">
      <formula>"F"</formula>
    </cfRule>
  </conditionalFormatting>
  <conditionalFormatting sqref="K42">
    <cfRule type="expression" dxfId="55" priority="9">
      <formula>$B$41&lt;&gt;""</formula>
    </cfRule>
  </conditionalFormatting>
  <conditionalFormatting sqref="L42">
    <cfRule type="expression" dxfId="54" priority="8">
      <formula>$B$41&lt;&gt;""</formula>
    </cfRule>
  </conditionalFormatting>
  <conditionalFormatting sqref="M42:P42">
    <cfRule type="expression" dxfId="53" priority="7">
      <formula>$B$41&lt;&gt;""</formula>
    </cfRule>
  </conditionalFormatting>
  <conditionalFormatting sqref="Q42:R42">
    <cfRule type="expression" dxfId="52" priority="6">
      <formula>$B$41&lt;&gt;""</formula>
    </cfRule>
  </conditionalFormatting>
  <conditionalFormatting sqref="I8:R38">
    <cfRule type="expression" dxfId="51" priority="5">
      <formula>$D8="F"</formula>
    </cfRule>
  </conditionalFormatting>
  <conditionalFormatting sqref="O8:O38">
    <cfRule type="expression" dxfId="50" priority="4">
      <formula>O8&gt;0</formula>
    </cfRule>
  </conditionalFormatting>
  <conditionalFormatting sqref="P7:P38">
    <cfRule type="expression" dxfId="49" priority="3">
      <formula>P7&gt;0</formula>
    </cfRule>
  </conditionalFormatting>
  <conditionalFormatting sqref="E8:H38">
    <cfRule type="expression" dxfId="48" priority="1">
      <formula>$D8="F"</formula>
    </cfRule>
  </conditionalFormatting>
  <dataValidations count="3">
    <dataValidation type="custom" allowBlank="1" showInputMessage="1" showErrorMessage="1" sqref="E8:H38" xr:uid="{00000000-0002-0000-0100-000000000000}">
      <formula1>OR(E8=2400,TEXT(E8,"00\:00")=TEXT(X8,"hh:mm"))</formula1>
    </dataValidation>
    <dataValidation type="list" allowBlank="1" showInputMessage="1" showErrorMessage="1" sqref="V22" xr:uid="{00000000-0002-0000-0100-000001000000}">
      <formula1>$F$120:$F$131</formula1>
    </dataValidation>
    <dataValidation type="list" allowBlank="1" showInputMessage="1" showErrorMessage="1" sqref="V23" xr:uid="{00000000-0002-0000-0100-000002000000}">
      <formula1>$D$120:$D$131</formula1>
    </dataValidation>
  </dataValidations>
  <pageMargins left="0.75" right="0.75" top="1" bottom="1" header="0.49212598499999999" footer="0.49212598499999999"/>
  <pageSetup paperSize="9" scale="83" orientation="landscape" r:id="rId1"/>
  <headerFooter alignWithMargins="0"/>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6" r:id="rId4" name="Botão 4">
              <controlPr defaultSize="0" print="0" autoFill="0" autoPict="0" macro="[0]!Limpar_Click">
                <anchor moveWithCells="1" sizeWithCells="1">
                  <from>
                    <xdr:col>20</xdr:col>
                    <xdr:colOff>133350</xdr:colOff>
                    <xdr:row>33</xdr:row>
                    <xdr:rowOff>28575</xdr:rowOff>
                  </from>
                  <to>
                    <xdr:col>21</xdr:col>
                    <xdr:colOff>495300</xdr:colOff>
                    <xdr:row>35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4">
    <tabColor theme="6"/>
  </sheetPr>
  <dimension ref="A1:AD151"/>
  <sheetViews>
    <sheetView showGridLines="0" zoomScaleNormal="100" workbookViewId="0" xr3:uid="{842E5F09-E766-5B8D-85AF-A39847EA96FD}">
      <selection activeCell="E1" sqref="E1"/>
    </sheetView>
  </sheetViews>
  <sheetFormatPr defaultRowHeight="12.75"/>
  <cols>
    <col min="1" max="1" width="2.6953125" customWidth="1"/>
    <col min="2" max="2" width="12.13671875" customWidth="1"/>
    <col min="3" max="3" width="12.40625" customWidth="1"/>
    <col min="4" max="4" width="6.875" customWidth="1"/>
    <col min="5" max="5" width="9.4375" customWidth="1"/>
    <col min="6" max="8" width="9.4375" bestFit="1" customWidth="1"/>
    <col min="9" max="12" width="9.4375" customWidth="1"/>
    <col min="13" max="15" width="11.32421875" customWidth="1"/>
    <col min="16" max="16" width="9.3046875" customWidth="1"/>
    <col min="17" max="17" width="11.32421875" customWidth="1"/>
    <col min="19" max="20" width="0.80859375" customWidth="1"/>
    <col min="21" max="21" width="24.00390625" customWidth="1"/>
    <col min="22" max="22" width="8.359375" customWidth="1"/>
    <col min="23" max="23" width="6.7421875" customWidth="1"/>
    <col min="24" max="27" width="9.4375" customWidth="1"/>
    <col min="29" max="29" width="12" customWidth="1"/>
    <col min="30" max="30" width="26.8359375" customWidth="1"/>
  </cols>
  <sheetData>
    <row r="1" spans="1:30">
      <c r="E1" s="181" t="s">
        <v>76</v>
      </c>
      <c r="F1" s="75"/>
    </row>
    <row r="2" spans="1:30" ht="15.95" customHeight="1">
      <c r="D2" s="120"/>
      <c r="E2" s="135"/>
      <c r="H2" s="202"/>
      <c r="J2" s="2"/>
      <c r="Q2" s="211"/>
      <c r="X2" s="156"/>
      <c r="Y2" s="94"/>
      <c r="Z2" s="94"/>
      <c r="AA2" s="94"/>
      <c r="AB2" s="94"/>
    </row>
    <row r="3" spans="1:30" ht="15.95" customHeight="1">
      <c r="D3" s="120"/>
      <c r="E3" s="135"/>
      <c r="H3" s="203"/>
      <c r="J3" s="3"/>
      <c r="K3" s="81"/>
      <c r="Q3" s="211"/>
      <c r="X3" s="94"/>
      <c r="Y3" s="94"/>
      <c r="Z3" s="94"/>
      <c r="AA3" s="94"/>
      <c r="AB3" s="94"/>
    </row>
    <row r="4" spans="1:30" ht="13.5" customHeight="1">
      <c r="Q4" s="211"/>
      <c r="X4" s="165"/>
      <c r="Y4" s="166"/>
      <c r="Z4" s="166"/>
      <c r="AA4" s="166"/>
      <c r="AB4" s="94"/>
    </row>
    <row r="5" spans="1:30" ht="14.25">
      <c r="B5" s="206"/>
      <c r="C5" s="206"/>
      <c r="D5" s="152"/>
      <c r="E5" s="80"/>
      <c r="F5" s="75"/>
      <c r="X5" s="167"/>
      <c r="Y5" s="167"/>
      <c r="Z5" s="167"/>
      <c r="AA5" s="167"/>
    </row>
    <row r="6" spans="1:30" ht="25.5" customHeight="1">
      <c r="B6" s="84" t="s">
        <v>1</v>
      </c>
      <c r="C6" s="84" t="s">
        <v>2</v>
      </c>
      <c r="D6" s="84" t="s">
        <v>3</v>
      </c>
      <c r="E6" s="84" t="s">
        <v>4</v>
      </c>
      <c r="F6" s="84" t="s">
        <v>5</v>
      </c>
      <c r="G6" s="84" t="s">
        <v>4</v>
      </c>
      <c r="H6" s="84" t="s">
        <v>5</v>
      </c>
      <c r="I6" s="84" t="s">
        <v>6</v>
      </c>
      <c r="J6" s="84" t="s">
        <v>7</v>
      </c>
      <c r="K6" s="84" t="s">
        <v>8</v>
      </c>
      <c r="L6" s="84" t="s">
        <v>9</v>
      </c>
      <c r="M6" s="84" t="s">
        <v>10</v>
      </c>
      <c r="N6" s="84" t="s">
        <v>11</v>
      </c>
      <c r="O6" s="84" t="s">
        <v>72</v>
      </c>
      <c r="P6" s="84" t="s">
        <v>71</v>
      </c>
      <c r="Q6" s="84" t="s">
        <v>12</v>
      </c>
      <c r="R6" s="84" t="s">
        <v>13</v>
      </c>
      <c r="U6" s="198" t="s">
        <v>14</v>
      </c>
      <c r="V6" s="199"/>
      <c r="X6" s="195" t="s">
        <v>0</v>
      </c>
      <c r="Y6" s="196"/>
      <c r="Z6" s="196"/>
      <c r="AA6" s="197"/>
      <c r="AC6" s="83"/>
    </row>
    <row r="7" spans="1:30" ht="15" customHeight="1">
      <c r="B7" s="209" t="s">
        <v>74</v>
      </c>
      <c r="C7" s="210"/>
      <c r="D7" s="162"/>
      <c r="E7" s="163"/>
      <c r="F7" s="163"/>
      <c r="G7" s="163"/>
      <c r="H7" s="163"/>
      <c r="I7" s="163"/>
      <c r="J7" s="163"/>
      <c r="K7" s="163"/>
      <c r="L7" s="163"/>
      <c r="M7" s="163"/>
      <c r="N7" s="163"/>
      <c r="O7" s="164"/>
      <c r="P7" s="177">
        <f>IF(março!U32="Horas Compensadas",março!V32,0)</f>
        <v>0</v>
      </c>
      <c r="Q7" s="170">
        <f>IF(março!U32="Horas Extras",março!V32,0)</f>
        <v>0.16071428571428514</v>
      </c>
      <c r="R7" s="170"/>
      <c r="S7" s="103"/>
      <c r="T7" s="168"/>
      <c r="U7" s="200"/>
      <c r="V7" s="201"/>
      <c r="W7" s="145"/>
      <c r="X7" s="84" t="s">
        <v>4</v>
      </c>
      <c r="Y7" s="84" t="s">
        <v>5</v>
      </c>
      <c r="Z7" s="84" t="s">
        <v>4</v>
      </c>
      <c r="AA7" s="84" t="s">
        <v>5</v>
      </c>
      <c r="AB7" s="78"/>
      <c r="AC7" s="121"/>
      <c r="AD7" s="77"/>
    </row>
    <row r="8" spans="1:30" ht="12.75" customHeight="1">
      <c r="A8" s="37">
        <f>IF(B8="","",IF(C8&lt;&gt;"feriado",WEEKDAY(B8),8))</f>
        <v>1</v>
      </c>
      <c r="B8" s="39">
        <f>inicio</f>
        <v>43191</v>
      </c>
      <c r="C8" s="40">
        <f>IF(B8="","",IF(COUNTIF(fer,B8)&gt;0,"feriado",B8))</f>
        <v>43191</v>
      </c>
      <c r="D8" s="157" t="s">
        <v>15</v>
      </c>
      <c r="E8" s="158">
        <v>800</v>
      </c>
      <c r="F8" s="158">
        <v>1200</v>
      </c>
      <c r="G8" s="158">
        <v>1300</v>
      </c>
      <c r="H8" s="158">
        <v>1800</v>
      </c>
      <c r="I8" s="159">
        <f>IF(B8="","",ROUND(M8-L8,5))</f>
        <v>0.375</v>
      </c>
      <c r="J8" s="159">
        <f t="shared" ref="J8:J38" si="0">IF(B8="","",IF(AND(E8="",F8="",G8="",H8=""),0,IF(AND(G8="",H8=""),MAX(ININOT,MIN(FIMNOT+1,Y8+(X8&gt;Y8)))-MAX(ININOT,X8)+(MIN(FIMNOT,Y8+(X8&gt;Y8))-MIN(FIMNOT,X8)),MAX(ININOT,MIN(FIMNOT+1,Y8+(X8&gt;Y8)))-MAX(ININOT,X8)+(MIN(FIMNOT,Y8+(X8&gt;Y8))-MIN(FIMNOT,X8))+MAX(ININOT,MIN(FIMNOT+1,AA8+(Z8&gt;AA8)))-MAX(ININOT,Z8)+(MIN(FIMNOT,AA8+(Z8&gt;AA8))-MIN(FIMNOT,Z8)))))</f>
        <v>0</v>
      </c>
      <c r="K8" s="160">
        <f>IF(B8="","",(J8/7*8)-J8)</f>
        <v>0</v>
      </c>
      <c r="L8" s="160">
        <f>IF(B8="","",J8+K8)</f>
        <v>0</v>
      </c>
      <c r="M8" s="161">
        <f>IF(B8="","",MOD((Y8-X8)+(AA8-Z8),1)+K8)</f>
        <v>0.37500000000000006</v>
      </c>
      <c r="N8" s="153">
        <f t="shared" ref="N8:N38" si="1">IF(B8="","",IF(D8="F",$V$16,VLOOKUP(A8,jornada,3)))</f>
        <v>0</v>
      </c>
      <c r="O8" s="153" t="str">
        <f>IF(B8="","",IF(AND(D8="A",N8&gt;M8),N8-M8,""))</f>
        <v/>
      </c>
      <c r="P8" s="153" t="str">
        <f>IF(B8="","",IF(AND(M8&gt;0,D8="F"),"",IF(D8="A","",IF(M8&lt;N8,N8-M8,""))))</f>
        <v/>
      </c>
      <c r="Q8" s="161">
        <f>IF(B8="","",IF(N8=0,0,MAX(0,M8-N8)))</f>
        <v>0</v>
      </c>
      <c r="R8" s="169">
        <f t="shared" ref="R8:R38" si="2">IF(B8="","",IF(N8=0,M8,0))</f>
        <v>0.37500000000000006</v>
      </c>
      <c r="S8" s="114"/>
      <c r="T8" s="118">
        <v>1</v>
      </c>
      <c r="U8" s="105" t="s">
        <v>16</v>
      </c>
      <c r="V8" s="109">
        <v>0.30555555555555552</v>
      </c>
      <c r="X8" s="138">
        <f>IF(B8="","",IF($E8="",0,TIME(INT(E8/100),MOD(E8,100),0)))</f>
        <v>0.33333333333333331</v>
      </c>
      <c r="Y8" s="139">
        <f>IF(B8="","",IF($F8="",0,TIME(INT(F8/100),MOD(F8,100),0)))</f>
        <v>0.5</v>
      </c>
      <c r="Z8" s="138">
        <f>IF(B8="","",IF($G8="",0,TIME(INT(G8/100),MOD(G8,100),0)))</f>
        <v>0.54166666666666663</v>
      </c>
      <c r="AA8" s="138">
        <f>IF(B8="","",IF($H8="",0,TIME(INT(H8/100),MOD(H8,100),0)))</f>
        <v>0.75</v>
      </c>
      <c r="AC8" s="8"/>
      <c r="AD8" s="6"/>
    </row>
    <row r="9" spans="1:30" ht="12.75" customHeight="1">
      <c r="A9" s="37">
        <f t="shared" ref="A9:A38" si="3">IF(B9="","",IF(C9&lt;&gt;"feriado",WEEKDAY(B9),8))</f>
        <v>2</v>
      </c>
      <c r="B9" s="41">
        <f>B8+1</f>
        <v>43192</v>
      </c>
      <c r="C9" s="42">
        <f t="shared" ref="C9:C38" si="4">IF(B9="","",IF(COUNTIF(fer,B9)&gt;0,"feriado",B9))</f>
        <v>43192</v>
      </c>
      <c r="D9" s="115" t="s">
        <v>73</v>
      </c>
      <c r="E9" s="136">
        <v>0</v>
      </c>
      <c r="F9" s="136">
        <v>0</v>
      </c>
      <c r="G9" s="136">
        <v>0</v>
      </c>
      <c r="H9" s="136">
        <v>0</v>
      </c>
      <c r="I9" s="74">
        <f t="shared" ref="I9:I38" si="5">IF(B9="","",ROUND(M9-L9,5))</f>
        <v>0</v>
      </c>
      <c r="J9" s="74">
        <f t="shared" si="0"/>
        <v>0</v>
      </c>
      <c r="K9" s="43">
        <f t="shared" ref="K9:K38" si="6">IF(B9="","",(J9/7*8)-J9)</f>
        <v>0</v>
      </c>
      <c r="L9" s="43">
        <f t="shared" ref="L9:L38" si="7">IF(B9="","",J9+K9)</f>
        <v>0</v>
      </c>
      <c r="M9" s="44">
        <f t="shared" ref="M9:M38" si="8">IF(B9="","",MOD((Y9-X9)+(AA9-Z9),1)+K9)</f>
        <v>0</v>
      </c>
      <c r="N9" s="143">
        <f t="shared" si="1"/>
        <v>0.30555555555555552</v>
      </c>
      <c r="O9" s="153">
        <f t="shared" ref="O9:O38" si="9">IF(B9="","",IF(AND(D9="A",N9&gt;M9),N9-M9,""))</f>
        <v>0.30555555555555552</v>
      </c>
      <c r="P9" s="143" t="str">
        <f t="shared" ref="P9:P38" si="10">IF(B9="","",IF(AND(M9&gt;0,D9="F"),"",IF(D9="A","",IF(M9&lt;N9,N9-M9,""))))</f>
        <v/>
      </c>
      <c r="Q9" s="44">
        <f t="shared" ref="Q9:Q38" si="11">IF(B9="","",IF(N9=0,0,MAX(0,M9-N9)))</f>
        <v>0</v>
      </c>
      <c r="R9" s="45">
        <f t="shared" si="2"/>
        <v>0</v>
      </c>
      <c r="S9" s="100"/>
      <c r="T9" s="119">
        <v>2</v>
      </c>
      <c r="U9" s="112" t="s">
        <v>17</v>
      </c>
      <c r="V9" s="110">
        <v>0.30555555555555552</v>
      </c>
      <c r="X9" s="138">
        <f t="shared" ref="X9:X38" si="12">IF(B9="","",IF($E9="",0,TIME(INT(E9/100),MOD(E9,100),0)))</f>
        <v>0</v>
      </c>
      <c r="Y9" s="139">
        <f t="shared" ref="Y9:Y38" si="13">IF(B9="","",IF($F9="",0,TIME(INT(F9/100),MOD(F9,100),0)))</f>
        <v>0</v>
      </c>
      <c r="Z9" s="138">
        <f t="shared" ref="Z9:Z38" si="14">IF(B9="","",IF($G9="",0,TIME(INT(G9/100),MOD(G9,100),0)))</f>
        <v>0</v>
      </c>
      <c r="AA9" s="138">
        <f t="shared" ref="AA9:AA38" si="15">IF(B9="","",IF($H9="",0,TIME(INT(H9/100),MOD(H9,100),0)))</f>
        <v>0</v>
      </c>
      <c r="AC9" s="8"/>
      <c r="AD9" s="6"/>
    </row>
    <row r="10" spans="1:30" ht="14.25">
      <c r="A10" s="37">
        <f t="shared" si="3"/>
        <v>3</v>
      </c>
      <c r="B10" s="41">
        <f>B9+1</f>
        <v>43193</v>
      </c>
      <c r="C10" s="42">
        <f t="shared" si="4"/>
        <v>43193</v>
      </c>
      <c r="D10" s="115"/>
      <c r="E10" s="136">
        <v>800</v>
      </c>
      <c r="F10" s="136">
        <v>1200</v>
      </c>
      <c r="G10" s="136">
        <v>0</v>
      </c>
      <c r="H10" s="136">
        <v>0</v>
      </c>
      <c r="I10" s="74">
        <f t="shared" si="5"/>
        <v>0.16667000000000001</v>
      </c>
      <c r="J10" s="74">
        <f t="shared" si="0"/>
        <v>0</v>
      </c>
      <c r="K10" s="43">
        <f t="shared" si="6"/>
        <v>0</v>
      </c>
      <c r="L10" s="43">
        <f t="shared" si="7"/>
        <v>0</v>
      </c>
      <c r="M10" s="44">
        <f t="shared" si="8"/>
        <v>0.16666666666666669</v>
      </c>
      <c r="N10" s="143">
        <f t="shared" si="1"/>
        <v>0.30555555555555552</v>
      </c>
      <c r="O10" s="153" t="str">
        <f t="shared" si="9"/>
        <v/>
      </c>
      <c r="P10" s="143">
        <f t="shared" si="10"/>
        <v>0.13888888888888884</v>
      </c>
      <c r="Q10" s="44">
        <f t="shared" si="11"/>
        <v>0</v>
      </c>
      <c r="R10" s="45">
        <f t="shared" si="2"/>
        <v>0</v>
      </c>
      <c r="S10" s="100"/>
      <c r="T10" s="119">
        <v>3</v>
      </c>
      <c r="U10" s="106" t="s">
        <v>18</v>
      </c>
      <c r="V10" s="110">
        <v>0.30555555555555552</v>
      </c>
      <c r="X10" s="138">
        <f t="shared" si="12"/>
        <v>0.33333333333333331</v>
      </c>
      <c r="Y10" s="139">
        <f t="shared" si="13"/>
        <v>0.5</v>
      </c>
      <c r="Z10" s="138">
        <f t="shared" si="14"/>
        <v>0</v>
      </c>
      <c r="AA10" s="138">
        <f t="shared" si="15"/>
        <v>0</v>
      </c>
      <c r="AC10" s="8"/>
      <c r="AD10" s="6"/>
    </row>
    <row r="11" spans="1:30" ht="14.25">
      <c r="A11" s="37">
        <f t="shared" si="3"/>
        <v>4</v>
      </c>
      <c r="B11" s="41">
        <f>B10+1</f>
        <v>43194</v>
      </c>
      <c r="C11" s="42">
        <f t="shared" si="4"/>
        <v>43194</v>
      </c>
      <c r="D11" s="115"/>
      <c r="E11" s="136">
        <v>900</v>
      </c>
      <c r="F11" s="136">
        <v>1200</v>
      </c>
      <c r="G11" s="136">
        <v>1300</v>
      </c>
      <c r="H11" s="136">
        <v>1800</v>
      </c>
      <c r="I11" s="74">
        <f t="shared" si="5"/>
        <v>0.33333000000000002</v>
      </c>
      <c r="J11" s="74">
        <f t="shared" si="0"/>
        <v>0</v>
      </c>
      <c r="K11" s="43">
        <f t="shared" si="6"/>
        <v>0</v>
      </c>
      <c r="L11" s="43">
        <f t="shared" si="7"/>
        <v>0</v>
      </c>
      <c r="M11" s="44">
        <f t="shared" si="8"/>
        <v>0.33333333333333337</v>
      </c>
      <c r="N11" s="143">
        <f t="shared" si="1"/>
        <v>0.30555555555555552</v>
      </c>
      <c r="O11" s="153" t="str">
        <f t="shared" si="9"/>
        <v/>
      </c>
      <c r="P11" s="143" t="str">
        <f t="shared" si="10"/>
        <v/>
      </c>
      <c r="Q11" s="44">
        <f t="shared" si="11"/>
        <v>2.7777777777777846E-2</v>
      </c>
      <c r="R11" s="45">
        <f t="shared" si="2"/>
        <v>0</v>
      </c>
      <c r="S11" s="100"/>
      <c r="T11" s="119">
        <v>4</v>
      </c>
      <c r="U11" s="106" t="s">
        <v>19</v>
      </c>
      <c r="V11" s="110">
        <v>0.30555555555555552</v>
      </c>
      <c r="X11" s="138">
        <f t="shared" si="12"/>
        <v>0.375</v>
      </c>
      <c r="Y11" s="139">
        <f t="shared" si="13"/>
        <v>0.5</v>
      </c>
      <c r="Z11" s="138">
        <f t="shared" si="14"/>
        <v>0.54166666666666663</v>
      </c>
      <c r="AA11" s="138">
        <f t="shared" si="15"/>
        <v>0.75</v>
      </c>
      <c r="AC11" s="8"/>
      <c r="AD11" s="6"/>
    </row>
    <row r="12" spans="1:30" ht="14.25">
      <c r="A12" s="37">
        <f t="shared" si="3"/>
        <v>5</v>
      </c>
      <c r="B12" s="41">
        <f>B11+1</f>
        <v>43195</v>
      </c>
      <c r="C12" s="42">
        <f t="shared" si="4"/>
        <v>43195</v>
      </c>
      <c r="D12" s="115"/>
      <c r="E12" s="136">
        <v>900</v>
      </c>
      <c r="F12" s="136">
        <v>1300</v>
      </c>
      <c r="G12" s="136">
        <v>1330</v>
      </c>
      <c r="H12" s="136">
        <v>1600</v>
      </c>
      <c r="I12" s="74">
        <f t="shared" si="5"/>
        <v>0.27083000000000002</v>
      </c>
      <c r="J12" s="74">
        <f t="shared" si="0"/>
        <v>0</v>
      </c>
      <c r="K12" s="43">
        <f t="shared" si="6"/>
        <v>0</v>
      </c>
      <c r="L12" s="43">
        <f t="shared" si="7"/>
        <v>0</v>
      </c>
      <c r="M12" s="44">
        <f t="shared" si="8"/>
        <v>0.27083333333333326</v>
      </c>
      <c r="N12" s="143">
        <f t="shared" si="1"/>
        <v>0.30555555555555552</v>
      </c>
      <c r="O12" s="153" t="str">
        <f t="shared" si="9"/>
        <v/>
      </c>
      <c r="P12" s="143">
        <f t="shared" si="10"/>
        <v>3.4722222222222265E-2</v>
      </c>
      <c r="Q12" s="44">
        <f t="shared" si="11"/>
        <v>0</v>
      </c>
      <c r="R12" s="45">
        <f t="shared" si="2"/>
        <v>0</v>
      </c>
      <c r="S12" s="100"/>
      <c r="T12" s="119">
        <v>5</v>
      </c>
      <c r="U12" s="106" t="s">
        <v>20</v>
      </c>
      <c r="V12" s="110">
        <v>0.30555555555555552</v>
      </c>
      <c r="X12" s="138">
        <f t="shared" si="12"/>
        <v>0.375</v>
      </c>
      <c r="Y12" s="139">
        <f t="shared" si="13"/>
        <v>0.54166666666666663</v>
      </c>
      <c r="Z12" s="138">
        <f t="shared" si="14"/>
        <v>0.5625</v>
      </c>
      <c r="AA12" s="138">
        <f t="shared" si="15"/>
        <v>0.66666666666666663</v>
      </c>
      <c r="AC12" s="8"/>
      <c r="AD12" s="6"/>
    </row>
    <row r="13" spans="1:30" ht="14.25">
      <c r="A13" s="37">
        <f t="shared" si="3"/>
        <v>6</v>
      </c>
      <c r="B13" s="41">
        <f t="shared" ref="B13:B35" si="16">B12+1</f>
        <v>43196</v>
      </c>
      <c r="C13" s="42">
        <f t="shared" si="4"/>
        <v>43196</v>
      </c>
      <c r="D13" s="115"/>
      <c r="E13" s="136">
        <v>1000</v>
      </c>
      <c r="F13" s="136">
        <v>1400</v>
      </c>
      <c r="G13" s="136">
        <v>1530</v>
      </c>
      <c r="H13" s="136">
        <v>2000</v>
      </c>
      <c r="I13" s="74">
        <f t="shared" si="5"/>
        <v>0.35416999999999998</v>
      </c>
      <c r="J13" s="74">
        <f t="shared" si="0"/>
        <v>0</v>
      </c>
      <c r="K13" s="43">
        <f t="shared" si="6"/>
        <v>0</v>
      </c>
      <c r="L13" s="43">
        <f t="shared" si="7"/>
        <v>0</v>
      </c>
      <c r="M13" s="44">
        <f t="shared" si="8"/>
        <v>0.35416666666666669</v>
      </c>
      <c r="N13" s="143">
        <f t="shared" si="1"/>
        <v>0.30555555555555552</v>
      </c>
      <c r="O13" s="153" t="str">
        <f t="shared" si="9"/>
        <v/>
      </c>
      <c r="P13" s="143" t="str">
        <f t="shared" si="10"/>
        <v/>
      </c>
      <c r="Q13" s="44">
        <f t="shared" si="11"/>
        <v>4.861111111111116E-2</v>
      </c>
      <c r="R13" s="45">
        <f t="shared" si="2"/>
        <v>0</v>
      </c>
      <c r="S13" s="100"/>
      <c r="T13" s="119">
        <v>6</v>
      </c>
      <c r="U13" s="106" t="s">
        <v>21</v>
      </c>
      <c r="V13" s="110">
        <v>0.30555555555555552</v>
      </c>
      <c r="X13" s="138">
        <f t="shared" si="12"/>
        <v>0.41666666666666669</v>
      </c>
      <c r="Y13" s="139">
        <f t="shared" si="13"/>
        <v>0.58333333333333337</v>
      </c>
      <c r="Z13" s="138">
        <f t="shared" si="14"/>
        <v>0.64583333333333337</v>
      </c>
      <c r="AA13" s="138">
        <f t="shared" si="15"/>
        <v>0.83333333333333337</v>
      </c>
      <c r="AC13" s="8"/>
      <c r="AD13" s="6"/>
    </row>
    <row r="14" spans="1:30" ht="14.25">
      <c r="A14" s="37">
        <f t="shared" si="3"/>
        <v>7</v>
      </c>
      <c r="B14" s="41">
        <f t="shared" si="16"/>
        <v>43197</v>
      </c>
      <c r="C14" s="42">
        <f t="shared" si="4"/>
        <v>43197</v>
      </c>
      <c r="D14" s="115"/>
      <c r="E14" s="136">
        <v>1200</v>
      </c>
      <c r="F14" s="136">
        <v>1600</v>
      </c>
      <c r="G14" s="136">
        <v>1700</v>
      </c>
      <c r="H14" s="136">
        <v>2215</v>
      </c>
      <c r="I14" s="74">
        <f t="shared" si="5"/>
        <v>0.375</v>
      </c>
      <c r="J14" s="74">
        <f t="shared" si="0"/>
        <v>1.0416666666666741E-2</v>
      </c>
      <c r="K14" s="43">
        <f t="shared" si="6"/>
        <v>1.4880952380952484E-3</v>
      </c>
      <c r="L14" s="43">
        <f t="shared" si="7"/>
        <v>1.1904761904761989E-2</v>
      </c>
      <c r="M14" s="44">
        <f t="shared" si="8"/>
        <v>0.38690476190476186</v>
      </c>
      <c r="N14" s="143">
        <f t="shared" si="1"/>
        <v>0.30555555555555552</v>
      </c>
      <c r="O14" s="153" t="str">
        <f t="shared" si="9"/>
        <v/>
      </c>
      <c r="P14" s="143" t="str">
        <f t="shared" si="10"/>
        <v/>
      </c>
      <c r="Q14" s="44">
        <f t="shared" si="11"/>
        <v>8.1349206349206338E-2</v>
      </c>
      <c r="R14" s="45">
        <f t="shared" si="2"/>
        <v>0</v>
      </c>
      <c r="S14" s="100"/>
      <c r="T14" s="119">
        <v>7</v>
      </c>
      <c r="U14" s="113" t="s">
        <v>22</v>
      </c>
      <c r="V14" s="110">
        <v>0.30555555555555552</v>
      </c>
      <c r="X14" s="138">
        <f t="shared" si="12"/>
        <v>0.5</v>
      </c>
      <c r="Y14" s="139">
        <f t="shared" si="13"/>
        <v>0.66666666666666663</v>
      </c>
      <c r="Z14" s="138">
        <f t="shared" si="14"/>
        <v>0.70833333333333337</v>
      </c>
      <c r="AA14" s="138">
        <f t="shared" si="15"/>
        <v>0.92708333333333337</v>
      </c>
      <c r="AC14" s="8"/>
      <c r="AD14" s="6"/>
    </row>
    <row r="15" spans="1:30" ht="14.25">
      <c r="A15" s="37">
        <f t="shared" si="3"/>
        <v>1</v>
      </c>
      <c r="B15" s="41">
        <f t="shared" si="16"/>
        <v>43198</v>
      </c>
      <c r="C15" s="42">
        <f t="shared" si="4"/>
        <v>43198</v>
      </c>
      <c r="D15" s="115" t="s">
        <v>15</v>
      </c>
      <c r="E15" s="136">
        <v>0</v>
      </c>
      <c r="F15" s="136">
        <v>0</v>
      </c>
      <c r="G15" s="136">
        <v>0</v>
      </c>
      <c r="H15" s="136">
        <v>0</v>
      </c>
      <c r="I15" s="74">
        <f t="shared" si="5"/>
        <v>0</v>
      </c>
      <c r="J15" s="74">
        <f t="shared" si="0"/>
        <v>0</v>
      </c>
      <c r="K15" s="43">
        <f t="shared" si="6"/>
        <v>0</v>
      </c>
      <c r="L15" s="43">
        <f t="shared" si="7"/>
        <v>0</v>
      </c>
      <c r="M15" s="44">
        <f t="shared" si="8"/>
        <v>0</v>
      </c>
      <c r="N15" s="143">
        <f t="shared" si="1"/>
        <v>0</v>
      </c>
      <c r="O15" s="153" t="str">
        <f t="shared" si="9"/>
        <v/>
      </c>
      <c r="P15" s="143" t="str">
        <f t="shared" si="10"/>
        <v/>
      </c>
      <c r="Q15" s="44">
        <f t="shared" si="11"/>
        <v>0</v>
      </c>
      <c r="R15" s="45">
        <f t="shared" si="2"/>
        <v>0</v>
      </c>
      <c r="S15" s="100"/>
      <c r="T15" s="119">
        <v>8</v>
      </c>
      <c r="U15" s="107" t="s">
        <v>23</v>
      </c>
      <c r="V15" s="111">
        <v>0.30555555555555552</v>
      </c>
      <c r="X15" s="138">
        <f t="shared" si="12"/>
        <v>0</v>
      </c>
      <c r="Y15" s="139">
        <f t="shared" si="13"/>
        <v>0</v>
      </c>
      <c r="Z15" s="138">
        <f t="shared" si="14"/>
        <v>0</v>
      </c>
      <c r="AA15" s="138">
        <f t="shared" si="15"/>
        <v>0</v>
      </c>
      <c r="AC15" s="8"/>
      <c r="AD15" s="6"/>
    </row>
    <row r="16" spans="1:30" ht="14.25">
      <c r="A16" s="37">
        <f t="shared" si="3"/>
        <v>2</v>
      </c>
      <c r="B16" s="41">
        <f t="shared" si="16"/>
        <v>43199</v>
      </c>
      <c r="C16" s="42">
        <f t="shared" si="4"/>
        <v>43199</v>
      </c>
      <c r="D16" s="115"/>
      <c r="E16" s="136">
        <v>1000</v>
      </c>
      <c r="F16" s="136">
        <v>1400</v>
      </c>
      <c r="G16" s="136">
        <v>1445</v>
      </c>
      <c r="H16" s="136">
        <v>1730</v>
      </c>
      <c r="I16" s="74">
        <f t="shared" si="5"/>
        <v>0.28125</v>
      </c>
      <c r="J16" s="74">
        <f t="shared" si="0"/>
        <v>0</v>
      </c>
      <c r="K16" s="43">
        <f t="shared" si="6"/>
        <v>0</v>
      </c>
      <c r="L16" s="43">
        <f t="shared" si="7"/>
        <v>0</v>
      </c>
      <c r="M16" s="44">
        <f t="shared" si="8"/>
        <v>0.28124999999999994</v>
      </c>
      <c r="N16" s="143">
        <f t="shared" si="1"/>
        <v>0.30555555555555552</v>
      </c>
      <c r="O16" s="153" t="str">
        <f t="shared" si="9"/>
        <v/>
      </c>
      <c r="P16" s="143">
        <f t="shared" si="10"/>
        <v>2.430555555555558E-2</v>
      </c>
      <c r="Q16" s="44">
        <f t="shared" si="11"/>
        <v>0</v>
      </c>
      <c r="R16" s="45">
        <f t="shared" si="2"/>
        <v>0</v>
      </c>
      <c r="S16" s="100"/>
      <c r="T16" s="100"/>
      <c r="U16" s="108" t="s">
        <v>3</v>
      </c>
      <c r="V16" s="104">
        <v>0</v>
      </c>
      <c r="X16" s="138">
        <f t="shared" si="12"/>
        <v>0.41666666666666669</v>
      </c>
      <c r="Y16" s="139">
        <f t="shared" si="13"/>
        <v>0.58333333333333337</v>
      </c>
      <c r="Z16" s="138">
        <f t="shared" si="14"/>
        <v>0.61458333333333337</v>
      </c>
      <c r="AA16" s="138">
        <f t="shared" si="15"/>
        <v>0.72916666666666663</v>
      </c>
      <c r="AC16" s="8"/>
      <c r="AD16" s="6"/>
    </row>
    <row r="17" spans="1:30" ht="14.25">
      <c r="A17" s="37">
        <f t="shared" si="3"/>
        <v>3</v>
      </c>
      <c r="B17" s="41">
        <f t="shared" si="16"/>
        <v>43200</v>
      </c>
      <c r="C17" s="42">
        <f t="shared" si="4"/>
        <v>43200</v>
      </c>
      <c r="D17" s="115"/>
      <c r="E17" s="136">
        <v>1100</v>
      </c>
      <c r="F17" s="136">
        <v>1600</v>
      </c>
      <c r="G17" s="136">
        <v>1700</v>
      </c>
      <c r="H17" s="136">
        <v>2000</v>
      </c>
      <c r="I17" s="74">
        <f t="shared" si="5"/>
        <v>0.33333000000000002</v>
      </c>
      <c r="J17" s="74">
        <f t="shared" si="0"/>
        <v>0</v>
      </c>
      <c r="K17" s="43">
        <f t="shared" si="6"/>
        <v>0</v>
      </c>
      <c r="L17" s="43">
        <f t="shared" si="7"/>
        <v>0</v>
      </c>
      <c r="M17" s="44">
        <f t="shared" si="8"/>
        <v>0.33333333333333331</v>
      </c>
      <c r="N17" s="143">
        <f t="shared" si="1"/>
        <v>0.30555555555555552</v>
      </c>
      <c r="O17" s="153" t="str">
        <f t="shared" si="9"/>
        <v/>
      </c>
      <c r="P17" s="143" t="str">
        <f t="shared" si="10"/>
        <v/>
      </c>
      <c r="Q17" s="44">
        <f t="shared" si="11"/>
        <v>2.777777777777779E-2</v>
      </c>
      <c r="R17" s="45">
        <f t="shared" si="2"/>
        <v>0</v>
      </c>
      <c r="S17" s="100"/>
      <c r="T17" s="100"/>
      <c r="U17" s="207" t="s">
        <v>24</v>
      </c>
      <c r="V17" s="208"/>
      <c r="X17" s="138">
        <f t="shared" si="12"/>
        <v>0.45833333333333331</v>
      </c>
      <c r="Y17" s="139">
        <f t="shared" si="13"/>
        <v>0.66666666666666663</v>
      </c>
      <c r="Z17" s="138">
        <f t="shared" si="14"/>
        <v>0.70833333333333337</v>
      </c>
      <c r="AA17" s="138">
        <f t="shared" si="15"/>
        <v>0.83333333333333337</v>
      </c>
      <c r="AC17" s="8"/>
      <c r="AD17" s="6"/>
    </row>
    <row r="18" spans="1:30" ht="14.25">
      <c r="A18" s="37">
        <f t="shared" si="3"/>
        <v>4</v>
      </c>
      <c r="B18" s="41">
        <f t="shared" si="16"/>
        <v>43201</v>
      </c>
      <c r="C18" s="42">
        <f t="shared" si="4"/>
        <v>43201</v>
      </c>
      <c r="D18" s="115"/>
      <c r="E18" s="136">
        <v>1900</v>
      </c>
      <c r="F18" s="136">
        <v>2100</v>
      </c>
      <c r="G18" s="136">
        <v>2200</v>
      </c>
      <c r="H18" s="136">
        <v>500</v>
      </c>
      <c r="I18" s="74">
        <f t="shared" si="5"/>
        <v>8.3330000000000001E-2</v>
      </c>
      <c r="J18" s="74">
        <f t="shared" si="0"/>
        <v>0.29166666666666663</v>
      </c>
      <c r="K18" s="43">
        <f t="shared" si="6"/>
        <v>4.1666666666666685E-2</v>
      </c>
      <c r="L18" s="43">
        <f t="shared" si="7"/>
        <v>0.33333333333333331</v>
      </c>
      <c r="M18" s="44">
        <f t="shared" si="8"/>
        <v>0.4166666666666668</v>
      </c>
      <c r="N18" s="143">
        <f t="shared" si="1"/>
        <v>0.30555555555555552</v>
      </c>
      <c r="O18" s="153" t="str">
        <f t="shared" si="9"/>
        <v/>
      </c>
      <c r="P18" s="143" t="str">
        <f t="shared" si="10"/>
        <v/>
      </c>
      <c r="Q18" s="44">
        <f t="shared" si="11"/>
        <v>0.11111111111111127</v>
      </c>
      <c r="R18" s="45">
        <f t="shared" si="2"/>
        <v>0</v>
      </c>
      <c r="S18" s="100"/>
      <c r="T18" s="100"/>
      <c r="U18" s="122" t="s">
        <v>25</v>
      </c>
      <c r="V18" s="109">
        <v>0.91666666666666663</v>
      </c>
      <c r="X18" s="138">
        <f t="shared" si="12"/>
        <v>0.79166666666666663</v>
      </c>
      <c r="Y18" s="139">
        <f t="shared" si="13"/>
        <v>0.875</v>
      </c>
      <c r="Z18" s="138">
        <f t="shared" si="14"/>
        <v>0.91666666666666663</v>
      </c>
      <c r="AA18" s="138">
        <f t="shared" si="15"/>
        <v>0.20833333333333334</v>
      </c>
      <c r="AC18" s="8"/>
      <c r="AD18" s="6"/>
    </row>
    <row r="19" spans="1:30" ht="14.25">
      <c r="A19" s="37">
        <f t="shared" si="3"/>
        <v>5</v>
      </c>
      <c r="B19" s="41">
        <f t="shared" si="16"/>
        <v>43202</v>
      </c>
      <c r="C19" s="42">
        <f t="shared" si="4"/>
        <v>43202</v>
      </c>
      <c r="D19" s="115" t="s">
        <v>15</v>
      </c>
      <c r="E19" s="136">
        <v>0</v>
      </c>
      <c r="F19" s="136">
        <v>0</v>
      </c>
      <c r="G19" s="136">
        <v>0</v>
      </c>
      <c r="H19" s="136">
        <v>0</v>
      </c>
      <c r="I19" s="74">
        <f t="shared" si="5"/>
        <v>0</v>
      </c>
      <c r="J19" s="74">
        <f t="shared" si="0"/>
        <v>0</v>
      </c>
      <c r="K19" s="43">
        <f t="shared" si="6"/>
        <v>0</v>
      </c>
      <c r="L19" s="43">
        <f t="shared" si="7"/>
        <v>0</v>
      </c>
      <c r="M19" s="44">
        <f t="shared" si="8"/>
        <v>0</v>
      </c>
      <c r="N19" s="143">
        <f t="shared" si="1"/>
        <v>0</v>
      </c>
      <c r="O19" s="153" t="str">
        <f t="shared" si="9"/>
        <v/>
      </c>
      <c r="P19" s="143" t="str">
        <f t="shared" si="10"/>
        <v/>
      </c>
      <c r="Q19" s="44">
        <f t="shared" si="11"/>
        <v>0</v>
      </c>
      <c r="R19" s="45">
        <f t="shared" si="2"/>
        <v>0</v>
      </c>
      <c r="S19" s="100"/>
      <c r="T19" s="100"/>
      <c r="U19" s="123" t="s">
        <v>26</v>
      </c>
      <c r="V19" s="111">
        <v>0.20833333333333334</v>
      </c>
      <c r="X19" s="138">
        <f t="shared" si="12"/>
        <v>0</v>
      </c>
      <c r="Y19" s="139">
        <f t="shared" si="13"/>
        <v>0</v>
      </c>
      <c r="Z19" s="138">
        <f t="shared" si="14"/>
        <v>0</v>
      </c>
      <c r="AA19" s="138">
        <f t="shared" si="15"/>
        <v>0</v>
      </c>
      <c r="AC19" s="8"/>
      <c r="AD19" s="9"/>
    </row>
    <row r="20" spans="1:30" ht="14.25">
      <c r="A20" s="37">
        <f t="shared" si="3"/>
        <v>6</v>
      </c>
      <c r="B20" s="41">
        <f t="shared" si="16"/>
        <v>43203</v>
      </c>
      <c r="C20" s="42">
        <f t="shared" si="4"/>
        <v>43203</v>
      </c>
      <c r="D20" s="115"/>
      <c r="E20" s="136">
        <v>500</v>
      </c>
      <c r="F20" s="136">
        <v>800</v>
      </c>
      <c r="G20" s="136">
        <v>900</v>
      </c>
      <c r="H20" s="136">
        <v>1200</v>
      </c>
      <c r="I20" s="74">
        <f t="shared" si="5"/>
        <v>0.25</v>
      </c>
      <c r="J20" s="74">
        <f t="shared" si="0"/>
        <v>0</v>
      </c>
      <c r="K20" s="43">
        <f t="shared" si="6"/>
        <v>0</v>
      </c>
      <c r="L20" s="43">
        <f t="shared" si="7"/>
        <v>0</v>
      </c>
      <c r="M20" s="44">
        <f t="shared" si="8"/>
        <v>0.24999999999999997</v>
      </c>
      <c r="N20" s="143">
        <f t="shared" si="1"/>
        <v>0.30555555555555552</v>
      </c>
      <c r="O20" s="153" t="str">
        <f t="shared" si="9"/>
        <v/>
      </c>
      <c r="P20" s="143">
        <f t="shared" si="10"/>
        <v>5.5555555555555552E-2</v>
      </c>
      <c r="Q20" s="44">
        <f t="shared" si="11"/>
        <v>0</v>
      </c>
      <c r="R20" s="45">
        <f t="shared" si="2"/>
        <v>0</v>
      </c>
      <c r="S20" s="100"/>
      <c r="T20" s="100"/>
      <c r="U20" s="207" t="s">
        <v>27</v>
      </c>
      <c r="V20" s="208"/>
      <c r="X20" s="138">
        <f t="shared" si="12"/>
        <v>0.20833333333333334</v>
      </c>
      <c r="Y20" s="139">
        <f t="shared" si="13"/>
        <v>0.33333333333333331</v>
      </c>
      <c r="Z20" s="138">
        <f t="shared" si="14"/>
        <v>0.375</v>
      </c>
      <c r="AA20" s="138">
        <f t="shared" si="15"/>
        <v>0.5</v>
      </c>
      <c r="AC20" s="8"/>
      <c r="AD20" s="6"/>
    </row>
    <row r="21" spans="1:30" ht="14.25">
      <c r="A21" s="37">
        <f t="shared" si="3"/>
        <v>7</v>
      </c>
      <c r="B21" s="41">
        <f t="shared" si="16"/>
        <v>43204</v>
      </c>
      <c r="C21" s="42">
        <f t="shared" si="4"/>
        <v>43204</v>
      </c>
      <c r="D21" s="115"/>
      <c r="E21" s="136">
        <v>2000</v>
      </c>
      <c r="F21" s="136">
        <v>2200</v>
      </c>
      <c r="G21" s="136">
        <v>2300</v>
      </c>
      <c r="H21" s="136">
        <v>500</v>
      </c>
      <c r="I21" s="74">
        <f t="shared" si="5"/>
        <v>8.3330000000000001E-2</v>
      </c>
      <c r="J21" s="74">
        <f t="shared" si="0"/>
        <v>0.24999999999999989</v>
      </c>
      <c r="K21" s="43">
        <f t="shared" si="6"/>
        <v>3.5714285714285698E-2</v>
      </c>
      <c r="L21" s="43">
        <f t="shared" si="7"/>
        <v>0.28571428571428559</v>
      </c>
      <c r="M21" s="44">
        <f t="shared" si="8"/>
        <v>0.36904761904761896</v>
      </c>
      <c r="N21" s="143">
        <f t="shared" si="1"/>
        <v>0.30555555555555552</v>
      </c>
      <c r="O21" s="153" t="str">
        <f t="shared" si="9"/>
        <v/>
      </c>
      <c r="P21" s="143" t="str">
        <f t="shared" si="10"/>
        <v/>
      </c>
      <c r="Q21" s="44">
        <f t="shared" si="11"/>
        <v>6.3492063492063433E-2</v>
      </c>
      <c r="R21" s="45">
        <f t="shared" si="2"/>
        <v>0</v>
      </c>
      <c r="S21" s="100"/>
      <c r="T21" s="100"/>
      <c r="U21" s="124" t="s">
        <v>28</v>
      </c>
      <c r="V21" s="146"/>
      <c r="X21" s="138">
        <f t="shared" si="12"/>
        <v>0.83333333333333337</v>
      </c>
      <c r="Y21" s="139">
        <f t="shared" si="13"/>
        <v>0.91666666666666663</v>
      </c>
      <c r="Z21" s="138">
        <f t="shared" si="14"/>
        <v>0.95833333333333337</v>
      </c>
      <c r="AA21" s="138">
        <f t="shared" si="15"/>
        <v>0.20833333333333334</v>
      </c>
    </row>
    <row r="22" spans="1:30" ht="15">
      <c r="A22" s="37">
        <f t="shared" si="3"/>
        <v>1</v>
      </c>
      <c r="B22" s="41">
        <f t="shared" si="16"/>
        <v>43205</v>
      </c>
      <c r="C22" s="42">
        <f t="shared" si="4"/>
        <v>43205</v>
      </c>
      <c r="D22" s="115"/>
      <c r="E22" s="136">
        <v>1500</v>
      </c>
      <c r="F22" s="136">
        <v>1900</v>
      </c>
      <c r="G22" s="136">
        <v>2000</v>
      </c>
      <c r="H22" s="136">
        <v>2400</v>
      </c>
      <c r="I22" s="74">
        <f t="shared" si="5"/>
        <v>0.25</v>
      </c>
      <c r="J22" s="74">
        <f t="shared" si="0"/>
        <v>8.333333333333337E-2</v>
      </c>
      <c r="K22" s="43">
        <f t="shared" si="6"/>
        <v>1.1904761904761904E-2</v>
      </c>
      <c r="L22" s="43">
        <f t="shared" si="7"/>
        <v>9.5238095238095274E-2</v>
      </c>
      <c r="M22" s="44">
        <f t="shared" si="8"/>
        <v>0.34523809523809518</v>
      </c>
      <c r="N22" s="143">
        <f t="shared" si="1"/>
        <v>0.30555555555555552</v>
      </c>
      <c r="O22" s="153" t="str">
        <f t="shared" si="9"/>
        <v/>
      </c>
      <c r="P22" s="143" t="str">
        <f t="shared" si="10"/>
        <v/>
      </c>
      <c r="Q22" s="44">
        <f t="shared" si="11"/>
        <v>3.9682539682539653E-2</v>
      </c>
      <c r="R22" s="45">
        <f t="shared" si="2"/>
        <v>0</v>
      </c>
      <c r="S22" s="100"/>
      <c r="T22" s="100"/>
      <c r="U22" s="144" t="s">
        <v>29</v>
      </c>
      <c r="V22" s="148">
        <v>2018</v>
      </c>
      <c r="X22" s="138">
        <f t="shared" si="12"/>
        <v>0.625</v>
      </c>
      <c r="Y22" s="139">
        <f t="shared" si="13"/>
        <v>0.79166666666666663</v>
      </c>
      <c r="Z22" s="138">
        <f t="shared" si="14"/>
        <v>0.83333333333333337</v>
      </c>
      <c r="AA22" s="138">
        <f t="shared" si="15"/>
        <v>0</v>
      </c>
    </row>
    <row r="23" spans="1:30" ht="15">
      <c r="A23" s="37">
        <f t="shared" si="3"/>
        <v>2</v>
      </c>
      <c r="B23" s="41">
        <f t="shared" si="16"/>
        <v>43206</v>
      </c>
      <c r="C23" s="42">
        <f t="shared" si="4"/>
        <v>43206</v>
      </c>
      <c r="D23" s="115"/>
      <c r="E23" s="136">
        <v>1500</v>
      </c>
      <c r="F23" s="136">
        <v>1900</v>
      </c>
      <c r="G23" s="136">
        <v>2000</v>
      </c>
      <c r="H23" s="136">
        <v>100</v>
      </c>
      <c r="I23" s="74">
        <f t="shared" si="5"/>
        <v>0.25</v>
      </c>
      <c r="J23" s="74">
        <f t="shared" si="0"/>
        <v>0.12500000000000011</v>
      </c>
      <c r="K23" s="43">
        <f t="shared" si="6"/>
        <v>1.7857142857142877E-2</v>
      </c>
      <c r="L23" s="43">
        <f t="shared" si="7"/>
        <v>0.14285714285714299</v>
      </c>
      <c r="M23" s="44">
        <f t="shared" si="8"/>
        <v>0.39285714285714279</v>
      </c>
      <c r="N23" s="143">
        <f t="shared" si="1"/>
        <v>0.30555555555555552</v>
      </c>
      <c r="O23" s="153" t="str">
        <f t="shared" si="9"/>
        <v/>
      </c>
      <c r="P23" s="143" t="str">
        <f t="shared" si="10"/>
        <v/>
      </c>
      <c r="Q23" s="44">
        <f t="shared" si="11"/>
        <v>8.7301587301587269E-2</v>
      </c>
      <c r="R23" s="45">
        <f t="shared" si="2"/>
        <v>0</v>
      </c>
      <c r="S23" s="100"/>
      <c r="T23" s="100"/>
      <c r="U23" s="144" t="s">
        <v>30</v>
      </c>
      <c r="V23" s="147">
        <v>4</v>
      </c>
      <c r="X23" s="138">
        <f t="shared" si="12"/>
        <v>0.625</v>
      </c>
      <c r="Y23" s="139">
        <f t="shared" si="13"/>
        <v>0.79166666666666663</v>
      </c>
      <c r="Z23" s="138">
        <f t="shared" si="14"/>
        <v>0.83333333333333337</v>
      </c>
      <c r="AA23" s="138">
        <f t="shared" si="15"/>
        <v>4.1666666666666664E-2</v>
      </c>
      <c r="AC23" s="5"/>
      <c r="AD23" s="4"/>
    </row>
    <row r="24" spans="1:30" ht="14.25">
      <c r="A24" s="37">
        <f t="shared" si="3"/>
        <v>3</v>
      </c>
      <c r="B24" s="41">
        <f t="shared" si="16"/>
        <v>43207</v>
      </c>
      <c r="C24" s="42">
        <f t="shared" si="4"/>
        <v>43207</v>
      </c>
      <c r="D24" s="115"/>
      <c r="E24" s="136">
        <v>0</v>
      </c>
      <c r="F24" s="136">
        <v>0</v>
      </c>
      <c r="G24" s="136">
        <v>0</v>
      </c>
      <c r="H24" s="136">
        <v>0</v>
      </c>
      <c r="I24" s="74">
        <f t="shared" si="5"/>
        <v>0</v>
      </c>
      <c r="J24" s="74">
        <f t="shared" si="0"/>
        <v>0</v>
      </c>
      <c r="K24" s="43">
        <f t="shared" si="6"/>
        <v>0</v>
      </c>
      <c r="L24" s="43">
        <f t="shared" si="7"/>
        <v>0</v>
      </c>
      <c r="M24" s="44">
        <f t="shared" si="8"/>
        <v>0</v>
      </c>
      <c r="N24" s="143">
        <f t="shared" si="1"/>
        <v>0.30555555555555552</v>
      </c>
      <c r="O24" s="153" t="str">
        <f t="shared" si="9"/>
        <v/>
      </c>
      <c r="P24" s="143">
        <f t="shared" si="10"/>
        <v>0.30555555555555552</v>
      </c>
      <c r="Q24" s="44">
        <f t="shared" si="11"/>
        <v>0</v>
      </c>
      <c r="R24" s="45">
        <f t="shared" si="2"/>
        <v>0</v>
      </c>
      <c r="S24" s="100"/>
      <c r="T24" s="100"/>
      <c r="U24" s="171"/>
      <c r="V24" s="100"/>
      <c r="X24" s="138">
        <f t="shared" si="12"/>
        <v>0</v>
      </c>
      <c r="Y24" s="139">
        <f t="shared" si="13"/>
        <v>0</v>
      </c>
      <c r="Z24" s="138">
        <f t="shared" si="14"/>
        <v>0</v>
      </c>
      <c r="AA24" s="138">
        <f t="shared" si="15"/>
        <v>0</v>
      </c>
    </row>
    <row r="25" spans="1:30" ht="14.25">
      <c r="A25" s="37">
        <f t="shared" si="3"/>
        <v>4</v>
      </c>
      <c r="B25" s="41">
        <f t="shared" si="16"/>
        <v>43208</v>
      </c>
      <c r="C25" s="42">
        <f t="shared" si="4"/>
        <v>43208</v>
      </c>
      <c r="D25" s="115"/>
      <c r="E25" s="136">
        <v>1600</v>
      </c>
      <c r="F25" s="136">
        <v>1900</v>
      </c>
      <c r="G25" s="136">
        <v>2000</v>
      </c>
      <c r="H25" s="136">
        <v>300</v>
      </c>
      <c r="I25" s="74">
        <f t="shared" si="5"/>
        <v>0.20832999999999999</v>
      </c>
      <c r="J25" s="74">
        <f t="shared" si="0"/>
        <v>0.20833333333333337</v>
      </c>
      <c r="K25" s="43">
        <f t="shared" si="6"/>
        <v>2.9761904761904767E-2</v>
      </c>
      <c r="L25" s="43">
        <f t="shared" si="7"/>
        <v>0.23809523809523814</v>
      </c>
      <c r="M25" s="44">
        <f t="shared" si="8"/>
        <v>0.4464285714285714</v>
      </c>
      <c r="N25" s="143">
        <f t="shared" si="1"/>
        <v>0.30555555555555552</v>
      </c>
      <c r="O25" s="153" t="str">
        <f t="shared" si="9"/>
        <v/>
      </c>
      <c r="P25" s="143" t="str">
        <f t="shared" si="10"/>
        <v/>
      </c>
      <c r="Q25" s="44">
        <f t="shared" si="11"/>
        <v>0.14087301587301587</v>
      </c>
      <c r="R25" s="45">
        <f t="shared" si="2"/>
        <v>0</v>
      </c>
      <c r="S25" s="100"/>
      <c r="T25" s="100"/>
      <c r="U25" s="191" t="s">
        <v>86</v>
      </c>
      <c r="V25" s="108">
        <f>L39</f>
        <v>3.2380952380952386</v>
      </c>
      <c r="X25" s="138">
        <f t="shared" si="12"/>
        <v>0.66666666666666663</v>
      </c>
      <c r="Y25" s="139">
        <f t="shared" si="13"/>
        <v>0.79166666666666663</v>
      </c>
      <c r="Z25" s="138">
        <f t="shared" si="14"/>
        <v>0.83333333333333337</v>
      </c>
      <c r="AA25" s="138">
        <f t="shared" si="15"/>
        <v>0.125</v>
      </c>
    </row>
    <row r="26" spans="1:30" ht="14.25">
      <c r="A26" s="37">
        <f t="shared" si="3"/>
        <v>5</v>
      </c>
      <c r="B26" s="41">
        <f t="shared" si="16"/>
        <v>43209</v>
      </c>
      <c r="C26" s="42">
        <f t="shared" si="4"/>
        <v>43209</v>
      </c>
      <c r="D26" s="115" t="s">
        <v>15</v>
      </c>
      <c r="E26" s="136">
        <v>1600</v>
      </c>
      <c r="F26" s="136">
        <v>1900</v>
      </c>
      <c r="G26" s="136">
        <v>2000</v>
      </c>
      <c r="H26" s="136">
        <v>400</v>
      </c>
      <c r="I26" s="74">
        <f t="shared" si="5"/>
        <v>0.20832999999999999</v>
      </c>
      <c r="J26" s="74">
        <f t="shared" si="0"/>
        <v>0.25000000000000011</v>
      </c>
      <c r="K26" s="43">
        <f t="shared" si="6"/>
        <v>3.5714285714285754E-2</v>
      </c>
      <c r="L26" s="43">
        <f t="shared" si="7"/>
        <v>0.28571428571428586</v>
      </c>
      <c r="M26" s="44">
        <f t="shared" si="8"/>
        <v>0.49404761904761901</v>
      </c>
      <c r="N26" s="143">
        <f t="shared" si="1"/>
        <v>0</v>
      </c>
      <c r="O26" s="153" t="str">
        <f t="shared" si="9"/>
        <v/>
      </c>
      <c r="P26" s="143" t="str">
        <f t="shared" si="10"/>
        <v/>
      </c>
      <c r="Q26" s="44">
        <f t="shared" si="11"/>
        <v>0</v>
      </c>
      <c r="R26" s="45">
        <f t="shared" si="2"/>
        <v>0.49404761904761901</v>
      </c>
      <c r="S26" s="100"/>
      <c r="T26" s="100"/>
      <c r="U26" s="192" t="s">
        <v>80</v>
      </c>
      <c r="V26" s="193">
        <f>M39</f>
        <v>9.1860119047619033</v>
      </c>
      <c r="X26" s="138">
        <f t="shared" si="12"/>
        <v>0.66666666666666663</v>
      </c>
      <c r="Y26" s="139">
        <f t="shared" si="13"/>
        <v>0.79166666666666663</v>
      </c>
      <c r="Z26" s="138">
        <f t="shared" si="14"/>
        <v>0.83333333333333337</v>
      </c>
      <c r="AA26" s="138">
        <f t="shared" si="15"/>
        <v>0.16666666666666666</v>
      </c>
    </row>
    <row r="27" spans="1:30" ht="14.25">
      <c r="A27" s="37">
        <f t="shared" si="3"/>
        <v>6</v>
      </c>
      <c r="B27" s="41">
        <f t="shared" si="16"/>
        <v>43210</v>
      </c>
      <c r="C27" s="42">
        <f t="shared" si="4"/>
        <v>43210</v>
      </c>
      <c r="D27" s="115"/>
      <c r="E27" s="136">
        <v>1600</v>
      </c>
      <c r="F27" s="136">
        <v>1900</v>
      </c>
      <c r="G27" s="136">
        <v>2000</v>
      </c>
      <c r="H27" s="136">
        <v>2300</v>
      </c>
      <c r="I27" s="74">
        <f t="shared" si="5"/>
        <v>0.20832999999999999</v>
      </c>
      <c r="J27" s="74">
        <f t="shared" si="0"/>
        <v>4.1666666666666741E-2</v>
      </c>
      <c r="K27" s="43">
        <f t="shared" si="6"/>
        <v>5.9523809523809659E-3</v>
      </c>
      <c r="L27" s="43">
        <f t="shared" si="7"/>
        <v>4.7619047619047707E-2</v>
      </c>
      <c r="M27" s="44">
        <f t="shared" si="8"/>
        <v>0.25595238095238099</v>
      </c>
      <c r="N27" s="143">
        <f t="shared" si="1"/>
        <v>0.30555555555555552</v>
      </c>
      <c r="O27" s="153" t="str">
        <f t="shared" si="9"/>
        <v/>
      </c>
      <c r="P27" s="143">
        <f t="shared" si="10"/>
        <v>4.9603174603174538E-2</v>
      </c>
      <c r="Q27" s="44">
        <f t="shared" si="11"/>
        <v>0</v>
      </c>
      <c r="R27" s="45">
        <f t="shared" si="2"/>
        <v>0</v>
      </c>
      <c r="S27" s="100"/>
      <c r="T27" s="100"/>
      <c r="U27" s="178" t="s">
        <v>81</v>
      </c>
      <c r="V27" s="179">
        <f>O39</f>
        <v>0.30555555555555552</v>
      </c>
      <c r="X27" s="138">
        <f t="shared" si="12"/>
        <v>0.66666666666666663</v>
      </c>
      <c r="Y27" s="139">
        <f t="shared" si="13"/>
        <v>0.79166666666666663</v>
      </c>
      <c r="Z27" s="138">
        <f t="shared" si="14"/>
        <v>0.83333333333333337</v>
      </c>
      <c r="AA27" s="138">
        <f t="shared" si="15"/>
        <v>0.95833333333333337</v>
      </c>
    </row>
    <row r="28" spans="1:30" ht="14.25">
      <c r="A28" s="37">
        <f t="shared" si="3"/>
        <v>8</v>
      </c>
      <c r="B28" s="41">
        <f t="shared" si="16"/>
        <v>43211</v>
      </c>
      <c r="C28" s="42" t="str">
        <f t="shared" si="4"/>
        <v>feriado</v>
      </c>
      <c r="D28" s="115"/>
      <c r="E28" s="136">
        <v>1700</v>
      </c>
      <c r="F28" s="136">
        <v>2000</v>
      </c>
      <c r="G28" s="136">
        <v>2400</v>
      </c>
      <c r="H28" s="136">
        <v>500</v>
      </c>
      <c r="I28" s="74">
        <f t="shared" si="5"/>
        <v>0.125</v>
      </c>
      <c r="J28" s="74">
        <f t="shared" si="0"/>
        <v>0.20833333333333334</v>
      </c>
      <c r="K28" s="43">
        <f t="shared" si="6"/>
        <v>2.9761904761904767E-2</v>
      </c>
      <c r="L28" s="43">
        <f t="shared" si="7"/>
        <v>0.23809523809523811</v>
      </c>
      <c r="M28" s="44">
        <f t="shared" si="8"/>
        <v>0.36309523809523814</v>
      </c>
      <c r="N28" s="143">
        <f t="shared" si="1"/>
        <v>0.30555555555555552</v>
      </c>
      <c r="O28" s="153" t="str">
        <f t="shared" si="9"/>
        <v/>
      </c>
      <c r="P28" s="143" t="str">
        <f t="shared" si="10"/>
        <v/>
      </c>
      <c r="Q28" s="44">
        <f t="shared" si="11"/>
        <v>5.7539682539682613E-2</v>
      </c>
      <c r="R28" s="45">
        <f t="shared" si="2"/>
        <v>0</v>
      </c>
      <c r="S28" s="100"/>
      <c r="T28" s="100"/>
      <c r="U28" s="185" t="s">
        <v>82</v>
      </c>
      <c r="V28" s="186">
        <f>P39</f>
        <v>1.2713293650793649</v>
      </c>
      <c r="X28" s="138">
        <f t="shared" si="12"/>
        <v>0.70833333333333337</v>
      </c>
      <c r="Y28" s="139">
        <f t="shared" si="13"/>
        <v>0.83333333333333337</v>
      </c>
      <c r="Z28" s="138">
        <f t="shared" si="14"/>
        <v>0</v>
      </c>
      <c r="AA28" s="138">
        <f t="shared" si="15"/>
        <v>0.20833333333333334</v>
      </c>
    </row>
    <row r="29" spans="1:30" ht="14.25">
      <c r="A29" s="37">
        <f t="shared" si="3"/>
        <v>1</v>
      </c>
      <c r="B29" s="41">
        <f t="shared" si="16"/>
        <v>43212</v>
      </c>
      <c r="C29" s="42">
        <f t="shared" si="4"/>
        <v>43212</v>
      </c>
      <c r="D29" s="115"/>
      <c r="E29" s="136">
        <v>1700</v>
      </c>
      <c r="F29" s="136">
        <v>1900</v>
      </c>
      <c r="G29" s="136">
        <v>0</v>
      </c>
      <c r="H29" s="136">
        <v>0</v>
      </c>
      <c r="I29" s="74">
        <f t="shared" si="5"/>
        <v>8.3330000000000001E-2</v>
      </c>
      <c r="J29" s="74">
        <f t="shared" si="0"/>
        <v>0</v>
      </c>
      <c r="K29" s="43">
        <f t="shared" si="6"/>
        <v>0</v>
      </c>
      <c r="L29" s="43">
        <f t="shared" si="7"/>
        <v>0</v>
      </c>
      <c r="M29" s="44">
        <f t="shared" si="8"/>
        <v>8.3333333333333259E-2</v>
      </c>
      <c r="N29" s="143">
        <f t="shared" si="1"/>
        <v>0.30555555555555552</v>
      </c>
      <c r="O29" s="153" t="str">
        <f t="shared" si="9"/>
        <v/>
      </c>
      <c r="P29" s="143">
        <f t="shared" si="10"/>
        <v>0.22222222222222227</v>
      </c>
      <c r="Q29" s="44">
        <f t="shared" si="11"/>
        <v>0</v>
      </c>
      <c r="R29" s="45">
        <f t="shared" si="2"/>
        <v>0</v>
      </c>
      <c r="S29" s="100"/>
      <c r="T29" s="100"/>
      <c r="U29" s="178" t="s">
        <v>83</v>
      </c>
      <c r="V29" s="179">
        <f>Q39</f>
        <v>1.5128968253968251</v>
      </c>
      <c r="X29" s="138">
        <f t="shared" si="12"/>
        <v>0.70833333333333337</v>
      </c>
      <c r="Y29" s="139">
        <f t="shared" si="13"/>
        <v>0.79166666666666663</v>
      </c>
      <c r="Z29" s="138">
        <f t="shared" si="14"/>
        <v>0</v>
      </c>
      <c r="AA29" s="138">
        <f t="shared" si="15"/>
        <v>0</v>
      </c>
    </row>
    <row r="30" spans="1:30" ht="14.25">
      <c r="A30" s="37">
        <f t="shared" si="3"/>
        <v>2</v>
      </c>
      <c r="B30" s="41">
        <f t="shared" si="16"/>
        <v>43213</v>
      </c>
      <c r="C30" s="42">
        <f t="shared" si="4"/>
        <v>43213</v>
      </c>
      <c r="D30" s="115"/>
      <c r="E30" s="136">
        <v>1600</v>
      </c>
      <c r="F30" s="136">
        <v>1900</v>
      </c>
      <c r="G30" s="136">
        <v>2000</v>
      </c>
      <c r="H30" s="136">
        <v>100</v>
      </c>
      <c r="I30" s="74">
        <f t="shared" si="5"/>
        <v>0.20832999999999999</v>
      </c>
      <c r="J30" s="74">
        <f t="shared" si="0"/>
        <v>0.12500000000000011</v>
      </c>
      <c r="K30" s="43">
        <f t="shared" si="6"/>
        <v>1.7857142857142877E-2</v>
      </c>
      <c r="L30" s="43">
        <f t="shared" si="7"/>
        <v>0.14285714285714299</v>
      </c>
      <c r="M30" s="44">
        <f t="shared" si="8"/>
        <v>0.35119047619047616</v>
      </c>
      <c r="N30" s="143">
        <f t="shared" si="1"/>
        <v>0.30555555555555552</v>
      </c>
      <c r="O30" s="153" t="str">
        <f t="shared" si="9"/>
        <v/>
      </c>
      <c r="P30" s="143" t="str">
        <f t="shared" si="10"/>
        <v/>
      </c>
      <c r="Q30" s="44">
        <f t="shared" si="11"/>
        <v>4.5634920634920639E-2</v>
      </c>
      <c r="R30" s="45">
        <f t="shared" si="2"/>
        <v>0</v>
      </c>
      <c r="S30" s="100"/>
      <c r="T30" s="100"/>
      <c r="U30" s="187" t="s">
        <v>84</v>
      </c>
      <c r="V30" s="188">
        <f>R39</f>
        <v>2.0773809523809526</v>
      </c>
      <c r="X30" s="138">
        <f t="shared" si="12"/>
        <v>0.66666666666666663</v>
      </c>
      <c r="Y30" s="139">
        <f t="shared" si="13"/>
        <v>0.79166666666666663</v>
      </c>
      <c r="Z30" s="138">
        <f t="shared" si="14"/>
        <v>0.83333333333333337</v>
      </c>
      <c r="AA30" s="138">
        <f t="shared" si="15"/>
        <v>4.1666666666666664E-2</v>
      </c>
    </row>
    <row r="31" spans="1:30" ht="14.25">
      <c r="A31" s="37">
        <f t="shared" si="3"/>
        <v>3</v>
      </c>
      <c r="B31" s="41">
        <f t="shared" si="16"/>
        <v>43214</v>
      </c>
      <c r="C31" s="42">
        <f>IF(B31="","",IF(COUNTIF(fer,B31)&gt;0,"feriado",B31))</f>
        <v>43214</v>
      </c>
      <c r="D31" s="115"/>
      <c r="E31" s="136">
        <v>1700</v>
      </c>
      <c r="F31" s="136">
        <v>1900</v>
      </c>
      <c r="G31" s="136">
        <v>2000</v>
      </c>
      <c r="H31" s="136">
        <v>2300</v>
      </c>
      <c r="I31" s="74">
        <f t="shared" si="5"/>
        <v>0.16667000000000001</v>
      </c>
      <c r="J31" s="74">
        <f t="shared" si="0"/>
        <v>4.1666666666666741E-2</v>
      </c>
      <c r="K31" s="43">
        <f t="shared" si="6"/>
        <v>5.9523809523809659E-3</v>
      </c>
      <c r="L31" s="43">
        <f t="shared" si="7"/>
        <v>4.7619047619047707E-2</v>
      </c>
      <c r="M31" s="44">
        <f t="shared" si="8"/>
        <v>0.21428571428571422</v>
      </c>
      <c r="N31" s="143">
        <f t="shared" si="1"/>
        <v>0.30555555555555552</v>
      </c>
      <c r="O31" s="153" t="str">
        <f t="shared" si="9"/>
        <v/>
      </c>
      <c r="P31" s="143">
        <f t="shared" si="10"/>
        <v>9.1269841269841306E-2</v>
      </c>
      <c r="Q31" s="44">
        <f t="shared" si="11"/>
        <v>0</v>
      </c>
      <c r="R31" s="45">
        <f t="shared" si="2"/>
        <v>0</v>
      </c>
      <c r="S31" s="100"/>
      <c r="T31" s="100"/>
      <c r="U31" s="100"/>
      <c r="V31" s="100"/>
      <c r="X31" s="138">
        <f t="shared" si="12"/>
        <v>0.70833333333333337</v>
      </c>
      <c r="Y31" s="139">
        <f t="shared" si="13"/>
        <v>0.79166666666666663</v>
      </c>
      <c r="Z31" s="138">
        <f t="shared" si="14"/>
        <v>0.83333333333333337</v>
      </c>
      <c r="AA31" s="138">
        <f t="shared" si="15"/>
        <v>0.95833333333333337</v>
      </c>
    </row>
    <row r="32" spans="1:30" ht="14.25">
      <c r="A32" s="37">
        <f t="shared" si="3"/>
        <v>4</v>
      </c>
      <c r="B32" s="41">
        <f t="shared" si="16"/>
        <v>43215</v>
      </c>
      <c r="C32" s="42">
        <f t="shared" si="4"/>
        <v>43215</v>
      </c>
      <c r="D32" s="115" t="s">
        <v>15</v>
      </c>
      <c r="E32" s="136">
        <v>1700</v>
      </c>
      <c r="F32" s="136">
        <v>1900</v>
      </c>
      <c r="G32" s="136">
        <v>2000</v>
      </c>
      <c r="H32" s="136">
        <v>700</v>
      </c>
      <c r="I32" s="74">
        <f t="shared" si="5"/>
        <v>0.25</v>
      </c>
      <c r="J32" s="74">
        <f t="shared" si="0"/>
        <v>0.29166666666666663</v>
      </c>
      <c r="K32" s="43">
        <f t="shared" si="6"/>
        <v>4.1666666666666685E-2</v>
      </c>
      <c r="L32" s="43">
        <f t="shared" si="7"/>
        <v>0.33333333333333331</v>
      </c>
      <c r="M32" s="44">
        <f t="shared" si="8"/>
        <v>0.58333333333333326</v>
      </c>
      <c r="N32" s="143">
        <f t="shared" si="1"/>
        <v>0</v>
      </c>
      <c r="O32" s="153" t="str">
        <f t="shared" si="9"/>
        <v/>
      </c>
      <c r="P32" s="143" t="str">
        <f t="shared" si="10"/>
        <v/>
      </c>
      <c r="Q32" s="44">
        <f t="shared" si="11"/>
        <v>0</v>
      </c>
      <c r="R32" s="45">
        <f t="shared" si="2"/>
        <v>0.58333333333333326</v>
      </c>
      <c r="S32" s="100"/>
      <c r="T32" s="100"/>
      <c r="U32" s="180" t="str">
        <f>IF(V28-V29=0,0,(IF(V28-V29&lt;0,"Horas Extras","Horas Compensadas")))</f>
        <v>Horas Extras</v>
      </c>
      <c r="V32" s="190">
        <f>IF(V28-V29&lt;0,(V28*-1)-(V29*-1),V28-V29)</f>
        <v>0.24156746031746024</v>
      </c>
      <c r="X32" s="138">
        <f t="shared" si="12"/>
        <v>0.70833333333333337</v>
      </c>
      <c r="Y32" s="139">
        <f t="shared" si="13"/>
        <v>0.79166666666666663</v>
      </c>
      <c r="Z32" s="138">
        <f t="shared" si="14"/>
        <v>0.83333333333333337</v>
      </c>
      <c r="AA32" s="138">
        <f t="shared" si="15"/>
        <v>0.29166666666666669</v>
      </c>
    </row>
    <row r="33" spans="1:27" ht="14.25">
      <c r="A33" s="37">
        <f t="shared" si="3"/>
        <v>5</v>
      </c>
      <c r="B33" s="41">
        <f t="shared" si="16"/>
        <v>43216</v>
      </c>
      <c r="C33" s="42">
        <f t="shared" si="4"/>
        <v>43216</v>
      </c>
      <c r="D33" s="115"/>
      <c r="E33" s="136">
        <v>0</v>
      </c>
      <c r="F33" s="136">
        <v>0</v>
      </c>
      <c r="G33" s="136">
        <v>0</v>
      </c>
      <c r="H33" s="136">
        <v>0</v>
      </c>
      <c r="I33" s="74">
        <f t="shared" si="5"/>
        <v>0</v>
      </c>
      <c r="J33" s="74">
        <f t="shared" si="0"/>
        <v>0</v>
      </c>
      <c r="K33" s="43">
        <f t="shared" si="6"/>
        <v>0</v>
      </c>
      <c r="L33" s="43">
        <f t="shared" si="7"/>
        <v>0</v>
      </c>
      <c r="M33" s="44">
        <f t="shared" si="8"/>
        <v>0</v>
      </c>
      <c r="N33" s="143">
        <f t="shared" si="1"/>
        <v>0.30555555555555552</v>
      </c>
      <c r="O33" s="153" t="str">
        <f t="shared" si="9"/>
        <v/>
      </c>
      <c r="P33" s="143">
        <f t="shared" si="10"/>
        <v>0.30555555555555552</v>
      </c>
      <c r="Q33" s="44">
        <f t="shared" si="11"/>
        <v>0</v>
      </c>
      <c r="R33" s="45">
        <f t="shared" si="2"/>
        <v>0</v>
      </c>
      <c r="S33" s="100"/>
      <c r="T33" s="100"/>
      <c r="U33" s="100"/>
      <c r="V33" s="100"/>
      <c r="X33" s="138">
        <f t="shared" si="12"/>
        <v>0</v>
      </c>
      <c r="Y33" s="139">
        <f t="shared" si="13"/>
        <v>0</v>
      </c>
      <c r="Z33" s="138">
        <f t="shared" si="14"/>
        <v>0</v>
      </c>
      <c r="AA33" s="138">
        <f t="shared" si="15"/>
        <v>0</v>
      </c>
    </row>
    <row r="34" spans="1:27" ht="14.25">
      <c r="A34" s="37">
        <f t="shared" si="3"/>
        <v>6</v>
      </c>
      <c r="B34" s="41">
        <f t="shared" si="16"/>
        <v>43217</v>
      </c>
      <c r="C34" s="42">
        <f t="shared" si="4"/>
        <v>43217</v>
      </c>
      <c r="D34" s="115"/>
      <c r="E34" s="136">
        <v>1800</v>
      </c>
      <c r="F34" s="136">
        <v>2200</v>
      </c>
      <c r="G34" s="136">
        <v>2300</v>
      </c>
      <c r="H34" s="136">
        <v>100</v>
      </c>
      <c r="I34" s="74">
        <f t="shared" si="5"/>
        <v>0.16667000000000001</v>
      </c>
      <c r="J34" s="74">
        <f t="shared" si="0"/>
        <v>8.333333333333337E-2</v>
      </c>
      <c r="K34" s="43">
        <f t="shared" si="6"/>
        <v>1.1904761904761904E-2</v>
      </c>
      <c r="L34" s="43">
        <f t="shared" si="7"/>
        <v>9.5238095238095274E-2</v>
      </c>
      <c r="M34" s="44">
        <f t="shared" si="8"/>
        <v>0.26190476190476181</v>
      </c>
      <c r="N34" s="143">
        <f t="shared" si="1"/>
        <v>0.30555555555555552</v>
      </c>
      <c r="O34" s="153" t="str">
        <f t="shared" si="9"/>
        <v/>
      </c>
      <c r="P34" s="143">
        <f t="shared" si="10"/>
        <v>4.3650793650793718E-2</v>
      </c>
      <c r="Q34" s="44">
        <f t="shared" si="11"/>
        <v>0</v>
      </c>
      <c r="R34" s="45">
        <f t="shared" si="2"/>
        <v>0</v>
      </c>
      <c r="S34" s="100"/>
      <c r="T34" s="100"/>
      <c r="U34" s="100"/>
      <c r="V34" s="100"/>
      <c r="X34" s="138">
        <f t="shared" si="12"/>
        <v>0.75</v>
      </c>
      <c r="Y34" s="139">
        <f t="shared" si="13"/>
        <v>0.91666666666666663</v>
      </c>
      <c r="Z34" s="138">
        <f t="shared" si="14"/>
        <v>0.95833333333333337</v>
      </c>
      <c r="AA34" s="138">
        <f t="shared" si="15"/>
        <v>4.1666666666666664E-2</v>
      </c>
    </row>
    <row r="35" spans="1:27" ht="14.25">
      <c r="A35" s="37">
        <f t="shared" si="3"/>
        <v>7</v>
      </c>
      <c r="B35" s="41">
        <f t="shared" si="16"/>
        <v>43218</v>
      </c>
      <c r="C35" s="42">
        <f t="shared" si="4"/>
        <v>43218</v>
      </c>
      <c r="D35" s="115"/>
      <c r="E35" s="136">
        <v>1800</v>
      </c>
      <c r="F35" s="136">
        <v>2200</v>
      </c>
      <c r="G35" s="136">
        <v>2300</v>
      </c>
      <c r="H35" s="136">
        <v>900</v>
      </c>
      <c r="I35" s="74">
        <f t="shared" si="5"/>
        <v>0.33333000000000002</v>
      </c>
      <c r="J35" s="74">
        <f t="shared" si="0"/>
        <v>0.24999999999999989</v>
      </c>
      <c r="K35" s="43">
        <f t="shared" si="6"/>
        <v>3.5714285714285698E-2</v>
      </c>
      <c r="L35" s="43">
        <f t="shared" si="7"/>
        <v>0.28571428571428559</v>
      </c>
      <c r="M35" s="44">
        <f t="shared" si="8"/>
        <v>0.61904761904761896</v>
      </c>
      <c r="N35" s="143">
        <f t="shared" si="1"/>
        <v>0.30555555555555552</v>
      </c>
      <c r="O35" s="153" t="str">
        <f t="shared" si="9"/>
        <v/>
      </c>
      <c r="P35" s="143" t="str">
        <f t="shared" si="10"/>
        <v/>
      </c>
      <c r="Q35" s="44">
        <f t="shared" si="11"/>
        <v>0.31349206349206343</v>
      </c>
      <c r="R35" s="45">
        <f t="shared" si="2"/>
        <v>0</v>
      </c>
      <c r="S35" s="100"/>
      <c r="T35" s="100"/>
      <c r="U35" s="100"/>
      <c r="V35" s="100"/>
      <c r="X35" s="138">
        <f t="shared" si="12"/>
        <v>0.75</v>
      </c>
      <c r="Y35" s="139">
        <f t="shared" si="13"/>
        <v>0.91666666666666663</v>
      </c>
      <c r="Z35" s="138">
        <f t="shared" si="14"/>
        <v>0.95833333333333337</v>
      </c>
      <c r="AA35" s="138">
        <f t="shared" si="15"/>
        <v>0.375</v>
      </c>
    </row>
    <row r="36" spans="1:27" ht="14.25">
      <c r="A36" s="37">
        <f t="shared" si="3"/>
        <v>1</v>
      </c>
      <c r="B36" s="46">
        <f>IF(B35="","",IF(B35&gt;=fim,"",B35+1))</f>
        <v>43219</v>
      </c>
      <c r="C36" s="42">
        <f t="shared" si="4"/>
        <v>43219</v>
      </c>
      <c r="D36" s="115"/>
      <c r="E36" s="136">
        <v>1800</v>
      </c>
      <c r="F36" s="136">
        <v>2200</v>
      </c>
      <c r="G36" s="136">
        <v>2215</v>
      </c>
      <c r="H36" s="136">
        <v>800</v>
      </c>
      <c r="I36" s="74">
        <f t="shared" si="5"/>
        <v>0.29166999999999998</v>
      </c>
      <c r="J36" s="74">
        <f t="shared" si="0"/>
        <v>0.28124999999999989</v>
      </c>
      <c r="K36" s="43">
        <f t="shared" si="6"/>
        <v>4.0178571428571397E-2</v>
      </c>
      <c r="L36" s="43">
        <f t="shared" si="7"/>
        <v>0.32142857142857129</v>
      </c>
      <c r="M36" s="44">
        <f t="shared" si="8"/>
        <v>0.61309523809523803</v>
      </c>
      <c r="N36" s="143">
        <f t="shared" si="1"/>
        <v>0.30555555555555552</v>
      </c>
      <c r="O36" s="153" t="str">
        <f t="shared" si="9"/>
        <v/>
      </c>
      <c r="P36" s="143" t="str">
        <f t="shared" si="10"/>
        <v/>
      </c>
      <c r="Q36" s="44">
        <f t="shared" si="11"/>
        <v>0.3075396825396825</v>
      </c>
      <c r="R36" s="45">
        <f t="shared" si="2"/>
        <v>0</v>
      </c>
      <c r="S36" s="100"/>
      <c r="T36" s="100"/>
      <c r="U36" s="100"/>
      <c r="V36" s="100"/>
      <c r="X36" s="138">
        <f t="shared" si="12"/>
        <v>0.75</v>
      </c>
      <c r="Y36" s="139">
        <f t="shared" si="13"/>
        <v>0.91666666666666663</v>
      </c>
      <c r="Z36" s="138">
        <f t="shared" si="14"/>
        <v>0.92708333333333337</v>
      </c>
      <c r="AA36" s="138">
        <f t="shared" si="15"/>
        <v>0.33333333333333331</v>
      </c>
    </row>
    <row r="37" spans="1:27" ht="14.25">
      <c r="A37" s="37">
        <f t="shared" si="3"/>
        <v>2</v>
      </c>
      <c r="B37" s="46">
        <f>IF(B36="","",IF(B36&gt;=fim,"",B36+1))</f>
        <v>43220</v>
      </c>
      <c r="C37" s="42">
        <f t="shared" si="4"/>
        <v>43220</v>
      </c>
      <c r="D37" s="115" t="s">
        <v>15</v>
      </c>
      <c r="E37" s="136">
        <v>1800</v>
      </c>
      <c r="F37" s="136">
        <v>2200</v>
      </c>
      <c r="G37" s="136">
        <v>2200</v>
      </c>
      <c r="H37" s="136">
        <v>800</v>
      </c>
      <c r="I37" s="74">
        <f t="shared" si="5"/>
        <v>0.29166999999999998</v>
      </c>
      <c r="J37" s="74">
        <f t="shared" si="0"/>
        <v>0.29166666666666663</v>
      </c>
      <c r="K37" s="43">
        <f t="shared" si="6"/>
        <v>4.1666666666666685E-2</v>
      </c>
      <c r="L37" s="43">
        <f t="shared" si="7"/>
        <v>0.33333333333333331</v>
      </c>
      <c r="M37" s="44">
        <f t="shared" si="8"/>
        <v>0.625</v>
      </c>
      <c r="N37" s="143">
        <f t="shared" si="1"/>
        <v>0</v>
      </c>
      <c r="O37" s="153" t="str">
        <f t="shared" si="9"/>
        <v/>
      </c>
      <c r="P37" s="143" t="str">
        <f t="shared" si="10"/>
        <v/>
      </c>
      <c r="Q37" s="44">
        <f t="shared" si="11"/>
        <v>0</v>
      </c>
      <c r="R37" s="45">
        <f t="shared" si="2"/>
        <v>0.625</v>
      </c>
      <c r="S37" s="100"/>
      <c r="T37" s="100"/>
      <c r="U37" s="100"/>
      <c r="V37" s="100"/>
      <c r="X37" s="138">
        <f t="shared" si="12"/>
        <v>0.75</v>
      </c>
      <c r="Y37" s="139">
        <f t="shared" si="13"/>
        <v>0.91666666666666663</v>
      </c>
      <c r="Z37" s="138">
        <f t="shared" si="14"/>
        <v>0.91666666666666663</v>
      </c>
      <c r="AA37" s="138">
        <f t="shared" si="15"/>
        <v>0.33333333333333331</v>
      </c>
    </row>
    <row r="38" spans="1:27" ht="14.25">
      <c r="A38" s="37" t="str">
        <f t="shared" si="3"/>
        <v/>
      </c>
      <c r="B38" s="47" t="str">
        <f>IF(B37="","",IF(B37&gt;=fim,"",B37+1))</f>
        <v/>
      </c>
      <c r="C38" s="48" t="str">
        <f t="shared" si="4"/>
        <v/>
      </c>
      <c r="D38" s="116"/>
      <c r="E38" s="137"/>
      <c r="F38" s="136"/>
      <c r="G38" s="136"/>
      <c r="H38" s="137"/>
      <c r="I38" s="85" t="str">
        <f t="shared" si="5"/>
        <v/>
      </c>
      <c r="J38" s="85" t="str">
        <f t="shared" si="0"/>
        <v/>
      </c>
      <c r="K38" s="49" t="str">
        <f t="shared" si="6"/>
        <v/>
      </c>
      <c r="L38" s="49" t="str">
        <f t="shared" si="7"/>
        <v/>
      </c>
      <c r="M38" s="50" t="str">
        <f t="shared" si="8"/>
        <v/>
      </c>
      <c r="N38" s="142" t="str">
        <f t="shared" si="1"/>
        <v/>
      </c>
      <c r="O38" s="153" t="str">
        <f t="shared" si="9"/>
        <v/>
      </c>
      <c r="P38" s="143" t="str">
        <f t="shared" si="10"/>
        <v/>
      </c>
      <c r="Q38" s="50" t="str">
        <f t="shared" si="11"/>
        <v/>
      </c>
      <c r="R38" s="51" t="str">
        <f t="shared" si="2"/>
        <v/>
      </c>
      <c r="S38" s="100"/>
      <c r="T38" s="100"/>
      <c r="U38" s="100"/>
      <c r="V38" s="100"/>
      <c r="X38" s="140" t="str">
        <f t="shared" si="12"/>
        <v/>
      </c>
      <c r="Y38" s="141" t="str">
        <f t="shared" si="13"/>
        <v/>
      </c>
      <c r="Z38" s="140" t="str">
        <f t="shared" si="14"/>
        <v/>
      </c>
      <c r="AA38" s="140" t="str">
        <f t="shared" si="15"/>
        <v/>
      </c>
    </row>
    <row r="39" spans="1:27" ht="14.25">
      <c r="B39" s="60" t="s">
        <v>25</v>
      </c>
      <c r="C39" s="60" t="s">
        <v>26</v>
      </c>
      <c r="D39" s="60"/>
      <c r="E39" s="60" t="s">
        <v>31</v>
      </c>
      <c r="F39" s="60" t="s">
        <v>32</v>
      </c>
      <c r="G39" s="60" t="s">
        <v>33</v>
      </c>
      <c r="H39" s="60" t="s">
        <v>34</v>
      </c>
      <c r="I39" s="67" t="s">
        <v>35</v>
      </c>
      <c r="J39" s="68" t="s">
        <v>36</v>
      </c>
      <c r="K39" s="69" t="s">
        <v>37</v>
      </c>
      <c r="L39" s="70">
        <f>SUM(L8:L38)</f>
        <v>3.2380952380952386</v>
      </c>
      <c r="M39" s="70">
        <f>SUM(M8:M38)</f>
        <v>9.1860119047619033</v>
      </c>
      <c r="N39" s="65" t="s">
        <v>37</v>
      </c>
      <c r="O39" s="70">
        <f>SUM(O8:O38)</f>
        <v>0.30555555555555552</v>
      </c>
      <c r="P39" s="70">
        <f>SUM(P7:P38)</f>
        <v>1.2713293650793649</v>
      </c>
      <c r="Q39" s="70">
        <f>SUM(Q7:Q38)</f>
        <v>1.5128968253968251</v>
      </c>
      <c r="R39" s="70">
        <f>SUM(R8:R38)</f>
        <v>2.0773809523809526</v>
      </c>
      <c r="S39" s="101"/>
      <c r="T39" s="101"/>
      <c r="U39" s="101"/>
      <c r="V39" s="101"/>
    </row>
    <row r="40" spans="1:27" ht="14.25">
      <c r="B40" s="61">
        <f>B8</f>
        <v>43191</v>
      </c>
      <c r="C40" s="61">
        <f>MAX(B8:B38)</f>
        <v>43220</v>
      </c>
      <c r="D40" s="61"/>
      <c r="E40" s="62">
        <f>COUNTIF(C8:C38,"feriado")</f>
        <v>1</v>
      </c>
      <c r="F40" s="63">
        <f ca="1">SUMPRODUCT((WEEKDAY(ROW(INDIRECT($B40&amp;":"&amp;$C40)))=1)*(COUNTIF(fer,ROW(INDIRECT($B40&amp;":"&amp;$C40)))=0))</f>
        <v>5</v>
      </c>
      <c r="G40" s="63">
        <f>C40-B40+1</f>
        <v>30</v>
      </c>
      <c r="H40" s="63">
        <f ca="1">G40-I40</f>
        <v>24</v>
      </c>
      <c r="I40" s="66">
        <f ca="1">E40+F40</f>
        <v>6</v>
      </c>
      <c r="J40" s="71" t="str">
        <f ca="1">H40&amp;"/"&amp;I40</f>
        <v>24/6</v>
      </c>
      <c r="K40" s="72" t="s">
        <v>38</v>
      </c>
      <c r="L40" s="64">
        <f>L39*24</f>
        <v>77.714285714285722</v>
      </c>
      <c r="M40" s="64">
        <f>M39*24</f>
        <v>220.46428571428567</v>
      </c>
      <c r="N40" s="65" t="s">
        <v>38</v>
      </c>
      <c r="O40" s="64">
        <f t="shared" ref="O40:P40" si="17">O39*24</f>
        <v>7.3333333333333321</v>
      </c>
      <c r="P40" s="64">
        <f t="shared" si="17"/>
        <v>30.511904761904759</v>
      </c>
      <c r="Q40" s="64">
        <f>Q39*24</f>
        <v>36.309523809523803</v>
      </c>
      <c r="R40" s="64">
        <f>R39*24</f>
        <v>49.857142857142861</v>
      </c>
      <c r="S40" s="102"/>
      <c r="T40" s="102"/>
      <c r="U40" s="102"/>
      <c r="V40" s="102"/>
    </row>
    <row r="41" spans="1:27" ht="14.25">
      <c r="B41" s="125" t="str">
        <f>IF(dia_f="","",DATE(ano_p,mês_p,1))</f>
        <v/>
      </c>
      <c r="C41" s="126" t="str">
        <f>IF(dia_f="","",DATE(ano_p,mês_p+1,0))</f>
        <v/>
      </c>
      <c r="D41" s="73"/>
      <c r="E41" s="62" t="str">
        <f>IF(B41="","",SUMPRODUCT(((WEEKDAY(fer)&gt;1))*(fer&gt;=B41)*(fer&lt;=C41)))</f>
        <v/>
      </c>
      <c r="F41" s="63" t="str">
        <f ca="1">IF(B41="","",SUMPRODUCT((WEEKDAY(ROW(INDIRECT($B41&amp;":"&amp;$C41)))=1)*1))</f>
        <v/>
      </c>
      <c r="G41" s="128" t="str">
        <f>IF(B41="","",DAY(C41))</f>
        <v/>
      </c>
      <c r="H41" s="117" t="str">
        <f ca="1">IF(B41="","",SUMPRODUCT((WEEKDAY(ROW(INDIRECT(B41&amp;":"&amp;C41)))&gt;1)*(COUNTIF(fer,ROW(INDIRECT(B41&amp;":"&amp;C41)))=0)))</f>
        <v/>
      </c>
      <c r="I41" s="66" t="str">
        <f>IF(B41="","",E41+F41)</f>
        <v/>
      </c>
      <c r="J41" s="71" t="str">
        <f>IF(B41="","",H41&amp;"/"&amp;I41)</f>
        <v/>
      </c>
      <c r="K41" s="73" t="s">
        <v>39</v>
      </c>
      <c r="L41" s="64">
        <f ca="1">L40/$H$40*$I$40</f>
        <v>19.428571428571431</v>
      </c>
      <c r="M41" s="173"/>
      <c r="N41" s="174"/>
      <c r="O41" s="174"/>
      <c r="P41" s="174"/>
      <c r="Q41" s="175"/>
      <c r="R41" s="175"/>
      <c r="S41" s="102"/>
      <c r="T41" s="102"/>
      <c r="U41" s="102"/>
      <c r="V41" s="102"/>
    </row>
    <row r="42" spans="1:27" ht="14.25">
      <c r="K42" s="129" t="str">
        <f>IF(B41="","","Dsr mês:")</f>
        <v/>
      </c>
      <c r="L42" s="79" t="str">
        <f>IF(B41="","",L40/H41*I41)</f>
        <v/>
      </c>
      <c r="M42" s="205" t="str">
        <f>IF(B41="","","Dsr mês:")</f>
        <v/>
      </c>
      <c r="N42" s="205"/>
      <c r="O42" s="172"/>
      <c r="P42" s="172"/>
      <c r="Q42" s="102" t="str">
        <f>IF(B41="","",Q40/$H$41*$I$41)</f>
        <v/>
      </c>
      <c r="R42" s="102" t="str">
        <f>IF(B41="","",R40/$H$41*$I$41)</f>
        <v/>
      </c>
    </row>
    <row r="44" spans="1:27" ht="18.75">
      <c r="C44" s="76"/>
      <c r="D44" s="133"/>
      <c r="H44" s="1"/>
      <c r="I44" s="1"/>
      <c r="J44" s="1"/>
      <c r="K44" s="1"/>
      <c r="L44" s="1"/>
    </row>
    <row r="45" spans="1:27">
      <c r="D45" s="154"/>
    </row>
    <row r="47" spans="1:27">
      <c r="D47" s="155"/>
    </row>
    <row r="48" spans="1:27">
      <c r="D48" s="155"/>
    </row>
    <row r="116" spans="4:22">
      <c r="U116" s="82">
        <f>IF(dia_f="",DATE(ano_p,mês_p,1),DATE(ano_p,mês_p-1,dia_f+1))</f>
        <v>43191</v>
      </c>
      <c r="V116" s="75" t="s">
        <v>40</v>
      </c>
    </row>
    <row r="117" spans="4:22">
      <c r="U117" s="82">
        <f>IF(dia_f="",DATE(ano_p,mês_p+1,0),(DATE($V$22,mês_p,dia_f)))</f>
        <v>43220</v>
      </c>
      <c r="V117" s="75" t="s">
        <v>41</v>
      </c>
    </row>
    <row r="119" spans="4:22">
      <c r="D119" s="75" t="s">
        <v>42</v>
      </c>
      <c r="F119" s="75" t="s">
        <v>43</v>
      </c>
    </row>
    <row r="120" spans="4:22" ht="14.25">
      <c r="D120" s="127">
        <v>1</v>
      </c>
      <c r="F120" s="130">
        <v>2012</v>
      </c>
    </row>
    <row r="121" spans="4:22" ht="14.25">
      <c r="D121" s="132">
        <v>2</v>
      </c>
      <c r="F121" s="130">
        <v>2013</v>
      </c>
    </row>
    <row r="122" spans="4:22" ht="14.25">
      <c r="D122" s="132">
        <v>3</v>
      </c>
      <c r="F122" s="130">
        <v>2014</v>
      </c>
    </row>
    <row r="123" spans="4:22" ht="14.25">
      <c r="D123" s="133">
        <v>4</v>
      </c>
      <c r="F123" s="131">
        <v>2015</v>
      </c>
    </row>
    <row r="124" spans="4:22" ht="14.25">
      <c r="D124" s="133">
        <v>5</v>
      </c>
      <c r="F124" s="131">
        <v>2016</v>
      </c>
    </row>
    <row r="125" spans="4:22" ht="14.25">
      <c r="D125" s="133">
        <v>6</v>
      </c>
      <c r="F125" s="131">
        <v>2017</v>
      </c>
    </row>
    <row r="126" spans="4:22" ht="14.25">
      <c r="D126" s="133">
        <v>7</v>
      </c>
      <c r="F126" s="131">
        <v>2018</v>
      </c>
    </row>
    <row r="127" spans="4:22" ht="14.25">
      <c r="D127" s="133">
        <v>8</v>
      </c>
      <c r="F127" s="131">
        <v>2019</v>
      </c>
    </row>
    <row r="128" spans="4:22" ht="14.25">
      <c r="D128" s="134">
        <v>9</v>
      </c>
      <c r="F128" s="131">
        <v>2020</v>
      </c>
    </row>
    <row r="129" spans="4:6" ht="14.25">
      <c r="D129" s="133">
        <v>10</v>
      </c>
      <c r="F129" s="131">
        <v>2021</v>
      </c>
    </row>
    <row r="130" spans="4:6" ht="14.25">
      <c r="D130" s="133">
        <v>11</v>
      </c>
      <c r="F130" s="131">
        <v>2022</v>
      </c>
    </row>
    <row r="131" spans="4:6" ht="14.25">
      <c r="D131" s="133">
        <v>12</v>
      </c>
      <c r="F131" s="131">
        <v>2023</v>
      </c>
    </row>
    <row r="150" spans="2:4">
      <c r="B150" s="75"/>
      <c r="C150" s="76"/>
      <c r="D150" s="76"/>
    </row>
    <row r="151" spans="2:4">
      <c r="B151" s="75"/>
      <c r="C151" s="76"/>
      <c r="D151" s="76"/>
    </row>
  </sheetData>
  <mergeCells count="9">
    <mergeCell ref="U20:V20"/>
    <mergeCell ref="M42:N42"/>
    <mergeCell ref="H2:H3"/>
    <mergeCell ref="Q2:Q4"/>
    <mergeCell ref="B5:C5"/>
    <mergeCell ref="U6:V7"/>
    <mergeCell ref="X6:AA6"/>
    <mergeCell ref="B7:C7"/>
    <mergeCell ref="U17:V17"/>
  </mergeCells>
  <conditionalFormatting sqref="B8:C38">
    <cfRule type="expression" dxfId="47" priority="10">
      <formula>WEEKDAY($B8,2)=7</formula>
    </cfRule>
    <cfRule type="expression" dxfId="46" priority="11">
      <formula>COUNTIF(fer,$B8)&gt;0</formula>
    </cfRule>
  </conditionalFormatting>
  <conditionalFormatting sqref="D8:D38">
    <cfRule type="cellIs" dxfId="45" priority="9" operator="equal">
      <formula>"F"</formula>
    </cfRule>
  </conditionalFormatting>
  <conditionalFormatting sqref="K42">
    <cfRule type="expression" dxfId="44" priority="8">
      <formula>$B$41&lt;&gt;""</formula>
    </cfRule>
  </conditionalFormatting>
  <conditionalFormatting sqref="L42">
    <cfRule type="expression" dxfId="43" priority="7">
      <formula>$B$41&lt;&gt;""</formula>
    </cfRule>
  </conditionalFormatting>
  <conditionalFormatting sqref="M42:P42">
    <cfRule type="expression" dxfId="42" priority="6">
      <formula>$B$41&lt;&gt;""</formula>
    </cfRule>
  </conditionalFormatting>
  <conditionalFormatting sqref="Q42:R42">
    <cfRule type="expression" dxfId="41" priority="5">
      <formula>$B$41&lt;&gt;""</formula>
    </cfRule>
  </conditionalFormatting>
  <conditionalFormatting sqref="E38:R38 I8:R37">
    <cfRule type="expression" dxfId="40" priority="4">
      <formula>$D8="F"</formula>
    </cfRule>
  </conditionalFormatting>
  <conditionalFormatting sqref="O8:O38">
    <cfRule type="expression" dxfId="39" priority="3">
      <formula>O8&gt;0</formula>
    </cfRule>
  </conditionalFormatting>
  <conditionalFormatting sqref="P7:P38">
    <cfRule type="expression" dxfId="38" priority="2">
      <formula>P7&gt;0</formula>
    </cfRule>
  </conditionalFormatting>
  <conditionalFormatting sqref="E8:H37">
    <cfRule type="expression" dxfId="37" priority="1">
      <formula>$D8="F"</formula>
    </cfRule>
  </conditionalFormatting>
  <dataValidations count="3">
    <dataValidation type="list" allowBlank="1" showInputMessage="1" showErrorMessage="1" sqref="V23" xr:uid="{00000000-0002-0000-0200-000000000000}">
      <formula1>$D$120:$D$131</formula1>
    </dataValidation>
    <dataValidation type="list" allowBlank="1" showInputMessage="1" showErrorMessage="1" sqref="V22" xr:uid="{00000000-0002-0000-0200-000001000000}">
      <formula1>$F$120:$F$131</formula1>
    </dataValidation>
    <dataValidation type="custom" allowBlank="1" showInputMessage="1" showErrorMessage="1" sqref="E8:H38" xr:uid="{00000000-0002-0000-0200-000002000000}">
      <formula1>OR(E8=2400,TEXT(E8,"00\:00")=TEXT(X8,"hh:mm"))</formula1>
    </dataValidation>
  </dataValidations>
  <pageMargins left="0.75" right="0.75" top="1" bottom="1" header="0.49212598499999999" footer="0.49212598499999999"/>
  <pageSetup paperSize="9" scale="83" orientation="landscape" r:id="rId1"/>
  <headerFooter alignWithMargins="0"/>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otão 4">
              <controlPr defaultSize="0" print="0" autoFill="0" autoPict="0" macro="[0]!Limpar_Click">
                <anchor moveWithCells="1" sizeWithCells="1">
                  <from>
                    <xdr:col>20</xdr:col>
                    <xdr:colOff>85725</xdr:colOff>
                    <xdr:row>32</xdr:row>
                    <xdr:rowOff>142875</xdr:rowOff>
                  </from>
                  <to>
                    <xdr:col>21</xdr:col>
                    <xdr:colOff>447675</xdr:colOff>
                    <xdr:row>35</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
    <tabColor theme="6"/>
  </sheetPr>
  <dimension ref="A1:AD151"/>
  <sheetViews>
    <sheetView showGridLines="0" zoomScaleNormal="100" workbookViewId="0" xr3:uid="{51F8DEE0-4D01-5F28-A812-FC0BD7CAC4A5}">
      <selection activeCell="D16" sqref="D16"/>
    </sheetView>
  </sheetViews>
  <sheetFormatPr defaultRowHeight="12.75"/>
  <cols>
    <col min="1" max="1" width="2.6953125" customWidth="1"/>
    <col min="2" max="2" width="12.13671875" customWidth="1"/>
    <col min="3" max="3" width="12.40625" customWidth="1"/>
    <col min="4" max="4" width="6.875" customWidth="1"/>
    <col min="5" max="5" width="9.4375" customWidth="1"/>
    <col min="6" max="8" width="9.4375" bestFit="1" customWidth="1"/>
    <col min="9" max="12" width="9.4375" customWidth="1"/>
    <col min="13" max="15" width="11.32421875" customWidth="1"/>
    <col min="16" max="16" width="9.3046875" customWidth="1"/>
    <col min="17" max="17" width="11.32421875" customWidth="1"/>
    <col min="19" max="20" width="0.80859375" customWidth="1"/>
    <col min="21" max="21" width="24.00390625" customWidth="1"/>
    <col min="22" max="22" width="8.359375" customWidth="1"/>
    <col min="23" max="23" width="6.7421875" customWidth="1"/>
    <col min="24" max="27" width="9.4375" customWidth="1"/>
    <col min="29" max="29" width="12" customWidth="1"/>
    <col min="30" max="30" width="26.8359375" customWidth="1"/>
  </cols>
  <sheetData>
    <row r="1" spans="1:30">
      <c r="E1" s="181" t="s">
        <v>77</v>
      </c>
      <c r="F1" s="75"/>
    </row>
    <row r="2" spans="1:30" ht="15.95" customHeight="1">
      <c r="D2" s="120"/>
      <c r="E2" s="135"/>
      <c r="H2" s="202"/>
      <c r="J2" s="2"/>
      <c r="Q2" s="211"/>
      <c r="X2" s="156"/>
      <c r="Y2" s="94"/>
      <c r="Z2" s="94"/>
      <c r="AA2" s="94"/>
      <c r="AB2" s="94"/>
    </row>
    <row r="3" spans="1:30" ht="15.95" customHeight="1">
      <c r="D3" s="120"/>
      <c r="E3" s="135"/>
      <c r="H3" s="203"/>
      <c r="J3" s="3"/>
      <c r="K3" s="81"/>
      <c r="Q3" s="211"/>
      <c r="X3" s="94"/>
      <c r="Y3" s="94"/>
      <c r="Z3" s="94"/>
      <c r="AA3" s="94"/>
      <c r="AB3" s="94"/>
    </row>
    <row r="4" spans="1:30" ht="13.5" customHeight="1">
      <c r="Q4" s="211"/>
      <c r="X4" s="165"/>
      <c r="Y4" s="166"/>
      <c r="Z4" s="166"/>
      <c r="AA4" s="166"/>
      <c r="AB4" s="94"/>
    </row>
    <row r="5" spans="1:30" ht="14.25">
      <c r="B5" s="206"/>
      <c r="C5" s="206"/>
      <c r="D5" s="152"/>
      <c r="E5" s="80"/>
      <c r="F5" s="75"/>
      <c r="X5" s="167"/>
      <c r="Y5" s="167"/>
      <c r="Z5" s="167"/>
      <c r="AA5" s="167"/>
    </row>
    <row r="6" spans="1:30" ht="25.5" customHeight="1">
      <c r="B6" s="84" t="s">
        <v>1</v>
      </c>
      <c r="C6" s="84" t="s">
        <v>2</v>
      </c>
      <c r="D6" s="84" t="s">
        <v>3</v>
      </c>
      <c r="E6" s="84" t="s">
        <v>4</v>
      </c>
      <c r="F6" s="84" t="s">
        <v>5</v>
      </c>
      <c r="G6" s="84" t="s">
        <v>4</v>
      </c>
      <c r="H6" s="84" t="s">
        <v>5</v>
      </c>
      <c r="I6" s="84" t="s">
        <v>6</v>
      </c>
      <c r="J6" s="84" t="s">
        <v>7</v>
      </c>
      <c r="K6" s="84" t="s">
        <v>8</v>
      </c>
      <c r="L6" s="84" t="s">
        <v>9</v>
      </c>
      <c r="M6" s="84" t="s">
        <v>10</v>
      </c>
      <c r="N6" s="84" t="s">
        <v>11</v>
      </c>
      <c r="O6" s="84" t="s">
        <v>72</v>
      </c>
      <c r="P6" s="84" t="s">
        <v>71</v>
      </c>
      <c r="Q6" s="84" t="s">
        <v>12</v>
      </c>
      <c r="R6" s="84" t="s">
        <v>13</v>
      </c>
      <c r="U6" s="198" t="s">
        <v>14</v>
      </c>
      <c r="V6" s="199"/>
      <c r="X6" s="195" t="s">
        <v>0</v>
      </c>
      <c r="Y6" s="196"/>
      <c r="Z6" s="196"/>
      <c r="AA6" s="197"/>
      <c r="AC6" s="83"/>
    </row>
    <row r="7" spans="1:30" ht="15" customHeight="1">
      <c r="B7" s="209" t="s">
        <v>74</v>
      </c>
      <c r="C7" s="210"/>
      <c r="D7" s="162"/>
      <c r="E7" s="163"/>
      <c r="F7" s="163"/>
      <c r="G7" s="163"/>
      <c r="H7" s="163"/>
      <c r="I7" s="163"/>
      <c r="J7" s="163"/>
      <c r="K7" s="163"/>
      <c r="L7" s="163"/>
      <c r="M7" s="163"/>
      <c r="N7" s="163"/>
      <c r="O7" s="164"/>
      <c r="P7" s="177">
        <f>IF(abril!U32="Horas Compensadas",abril!V32,0)</f>
        <v>0</v>
      </c>
      <c r="Q7" s="170">
        <f>IF(abril!U32="Horas Extras",abril!V32,0)</f>
        <v>0.24156746031746024</v>
      </c>
      <c r="R7" s="170"/>
      <c r="S7" s="103"/>
      <c r="T7" s="168"/>
      <c r="U7" s="200"/>
      <c r="V7" s="201"/>
      <c r="W7" s="145"/>
      <c r="X7" s="84" t="s">
        <v>4</v>
      </c>
      <c r="Y7" s="84" t="s">
        <v>5</v>
      </c>
      <c r="Z7" s="84" t="s">
        <v>4</v>
      </c>
      <c r="AA7" s="84" t="s">
        <v>5</v>
      </c>
      <c r="AB7" s="78"/>
      <c r="AC7" s="121"/>
      <c r="AD7" s="77"/>
    </row>
    <row r="8" spans="1:30" ht="12.75" customHeight="1">
      <c r="A8" s="37">
        <f>IF(B8="","",IF(C8&lt;&gt;"feriado",WEEKDAY(B8),8))</f>
        <v>8</v>
      </c>
      <c r="B8" s="39">
        <f>inicio</f>
        <v>43221</v>
      </c>
      <c r="C8" s="40" t="str">
        <f>IF(B8="","",IF(COUNTIF(fer,B8)&gt;0,"feriado",B8))</f>
        <v>feriado</v>
      </c>
      <c r="D8" s="157" t="s">
        <v>15</v>
      </c>
      <c r="E8" s="158">
        <v>800</v>
      </c>
      <c r="F8" s="158">
        <v>1200</v>
      </c>
      <c r="G8" s="158">
        <v>1300</v>
      </c>
      <c r="H8" s="158">
        <v>1800</v>
      </c>
      <c r="I8" s="159">
        <f>IF(B8="","",ROUND(M8-L8,5))</f>
        <v>0.375</v>
      </c>
      <c r="J8" s="159">
        <f t="shared" ref="J8:J38" si="0">IF(B8="","",IF(AND(E8="",F8="",G8="",H8=""),0,IF(AND(G8="",H8=""),MAX(ININOT,MIN(FIMNOT+1,Y8+(X8&gt;Y8)))-MAX(ININOT,X8)+(MIN(FIMNOT,Y8+(X8&gt;Y8))-MIN(FIMNOT,X8)),MAX(ININOT,MIN(FIMNOT+1,Y8+(X8&gt;Y8)))-MAX(ININOT,X8)+(MIN(FIMNOT,Y8+(X8&gt;Y8))-MIN(FIMNOT,X8))+MAX(ININOT,MIN(FIMNOT+1,AA8+(Z8&gt;AA8)))-MAX(ININOT,Z8)+(MIN(FIMNOT,AA8+(Z8&gt;AA8))-MIN(FIMNOT,Z8)))))</f>
        <v>0</v>
      </c>
      <c r="K8" s="160">
        <f>IF(B8="","",(J8/7*8)-J8)</f>
        <v>0</v>
      </c>
      <c r="L8" s="160">
        <f>IF(B8="","",J8+K8)</f>
        <v>0</v>
      </c>
      <c r="M8" s="161">
        <f>IF(B8="","",MOD((Y8-X8)+(AA8-Z8),1)+K8)</f>
        <v>0.37500000000000006</v>
      </c>
      <c r="N8" s="153">
        <f t="shared" ref="N8:N38" si="1">IF(B8="","",IF(D8="F",$V$16,VLOOKUP(A8,jornada,3)))</f>
        <v>0</v>
      </c>
      <c r="O8" s="153" t="str">
        <f>IF(B8="","",IF(AND(D8="A",N8&gt;M8),N8-M8,""))</f>
        <v/>
      </c>
      <c r="P8" s="153" t="str">
        <f>IF(B8="","",IF(AND(M8&gt;0,D8="F"),"",IF(D8="A","",IF(M8&lt;N8,N8-M8,""))))</f>
        <v/>
      </c>
      <c r="Q8" s="161">
        <f>IF(B8="","",IF(N8=0,0,MAX(0,M8-N8)))</f>
        <v>0</v>
      </c>
      <c r="R8" s="169">
        <f t="shared" ref="R8:R38" si="2">IF(B8="","",IF(N8=0,M8,0))</f>
        <v>0.37500000000000006</v>
      </c>
      <c r="S8" s="114"/>
      <c r="T8" s="118">
        <v>1</v>
      </c>
      <c r="U8" s="105" t="s">
        <v>16</v>
      </c>
      <c r="V8" s="109">
        <v>0.30555555555555552</v>
      </c>
      <c r="X8" s="138">
        <f>IF(B8="","",IF($E8="",0,TIME(INT(E8/100),MOD(E8,100),0)))</f>
        <v>0.33333333333333331</v>
      </c>
      <c r="Y8" s="139">
        <f>IF(B8="","",IF($F8="",0,TIME(INT(F8/100),MOD(F8,100),0)))</f>
        <v>0.5</v>
      </c>
      <c r="Z8" s="138">
        <f>IF(B8="","",IF($G8="",0,TIME(INT(G8/100),MOD(G8,100),0)))</f>
        <v>0.54166666666666663</v>
      </c>
      <c r="AA8" s="138">
        <f>IF(B8="","",IF($H8="",0,TIME(INT(H8/100),MOD(H8,100),0)))</f>
        <v>0.75</v>
      </c>
      <c r="AC8" s="8"/>
      <c r="AD8" s="6"/>
    </row>
    <row r="9" spans="1:30" ht="12.75" customHeight="1">
      <c r="A9" s="37">
        <f t="shared" ref="A9:A38" si="3">IF(B9="","",IF(C9&lt;&gt;"feriado",WEEKDAY(B9),8))</f>
        <v>4</v>
      </c>
      <c r="B9" s="41">
        <f>B8+1</f>
        <v>43222</v>
      </c>
      <c r="C9" s="42">
        <f t="shared" ref="C9:C38" si="4">IF(B9="","",IF(COUNTIF(fer,B9)&gt;0,"feriado",B9))</f>
        <v>43222</v>
      </c>
      <c r="D9" s="115"/>
      <c r="E9" s="136">
        <v>800</v>
      </c>
      <c r="F9" s="136">
        <v>1200</v>
      </c>
      <c r="G9" s="136">
        <v>1300</v>
      </c>
      <c r="H9" s="136">
        <v>2000</v>
      </c>
      <c r="I9" s="74">
        <f t="shared" ref="I9:I38" si="5">IF(B9="","",ROUND(M9-L9,5))</f>
        <v>0.45833000000000002</v>
      </c>
      <c r="J9" s="74">
        <f t="shared" si="0"/>
        <v>0</v>
      </c>
      <c r="K9" s="43">
        <f t="shared" ref="K9:K38" si="6">IF(B9="","",(J9/7*8)-J9)</f>
        <v>0</v>
      </c>
      <c r="L9" s="43">
        <f t="shared" ref="L9:L38" si="7">IF(B9="","",J9+K9)</f>
        <v>0</v>
      </c>
      <c r="M9" s="44">
        <f t="shared" ref="M9:M38" si="8">IF(B9="","",MOD((Y9-X9)+(AA9-Z9),1)+K9)</f>
        <v>0.45833333333333343</v>
      </c>
      <c r="N9" s="143">
        <f t="shared" si="1"/>
        <v>0.30555555555555552</v>
      </c>
      <c r="O9" s="153" t="str">
        <f t="shared" ref="O9:O38" si="9">IF(B9="","",IF(AND(D9="A",N9&gt;M9),N9-M9,""))</f>
        <v/>
      </c>
      <c r="P9" s="143" t="str">
        <f t="shared" ref="P9:P38" si="10">IF(B9="","",IF(AND(M9&gt;0,D9="F"),"",IF(D9="A","",IF(M9&lt;N9,N9-M9,""))))</f>
        <v/>
      </c>
      <c r="Q9" s="44">
        <f t="shared" ref="Q9:Q38" si="11">IF(B9="","",IF(N9=0,0,MAX(0,M9-N9)))</f>
        <v>0.1527777777777779</v>
      </c>
      <c r="R9" s="45">
        <f t="shared" si="2"/>
        <v>0</v>
      </c>
      <c r="S9" s="100"/>
      <c r="T9" s="119">
        <v>2</v>
      </c>
      <c r="U9" s="112" t="s">
        <v>17</v>
      </c>
      <c r="V9" s="110">
        <v>0.30555555555555552</v>
      </c>
      <c r="X9" s="138">
        <f t="shared" ref="X9:X38" si="12">IF(B9="","",IF($E9="",0,TIME(INT(E9/100),MOD(E9,100),0)))</f>
        <v>0.33333333333333331</v>
      </c>
      <c r="Y9" s="139">
        <f t="shared" ref="Y9:Y38" si="13">IF(B9="","",IF($F9="",0,TIME(INT(F9/100),MOD(F9,100),0)))</f>
        <v>0.5</v>
      </c>
      <c r="Z9" s="138">
        <f t="shared" ref="Z9:Z38" si="14">IF(B9="","",IF($G9="",0,TIME(INT(G9/100),MOD(G9,100),0)))</f>
        <v>0.54166666666666663</v>
      </c>
      <c r="AA9" s="138">
        <f t="shared" ref="AA9:AA38" si="15">IF(B9="","",IF($H9="",0,TIME(INT(H9/100),MOD(H9,100),0)))</f>
        <v>0.83333333333333337</v>
      </c>
      <c r="AC9" s="8"/>
      <c r="AD9" s="6"/>
    </row>
    <row r="10" spans="1:30" ht="14.25">
      <c r="A10" s="37">
        <f t="shared" si="3"/>
        <v>5</v>
      </c>
      <c r="B10" s="41">
        <f>B9+1</f>
        <v>43223</v>
      </c>
      <c r="C10" s="42">
        <f t="shared" si="4"/>
        <v>43223</v>
      </c>
      <c r="D10" s="115"/>
      <c r="E10" s="136">
        <v>800</v>
      </c>
      <c r="F10" s="136">
        <v>1200</v>
      </c>
      <c r="G10" s="136">
        <v>1300</v>
      </c>
      <c r="H10" s="136">
        <v>1930</v>
      </c>
      <c r="I10" s="74">
        <f t="shared" si="5"/>
        <v>0.4375</v>
      </c>
      <c r="J10" s="74">
        <f t="shared" si="0"/>
        <v>0</v>
      </c>
      <c r="K10" s="43">
        <f t="shared" si="6"/>
        <v>0</v>
      </c>
      <c r="L10" s="43">
        <f t="shared" si="7"/>
        <v>0</v>
      </c>
      <c r="M10" s="44">
        <f t="shared" si="8"/>
        <v>0.43750000000000006</v>
      </c>
      <c r="N10" s="143">
        <f t="shared" si="1"/>
        <v>0.30555555555555552</v>
      </c>
      <c r="O10" s="153" t="str">
        <f t="shared" si="9"/>
        <v/>
      </c>
      <c r="P10" s="143" t="str">
        <f t="shared" si="10"/>
        <v/>
      </c>
      <c r="Q10" s="44">
        <f t="shared" si="11"/>
        <v>0.13194444444444453</v>
      </c>
      <c r="R10" s="45">
        <f t="shared" si="2"/>
        <v>0</v>
      </c>
      <c r="S10" s="100"/>
      <c r="T10" s="119">
        <v>3</v>
      </c>
      <c r="U10" s="106" t="s">
        <v>18</v>
      </c>
      <c r="V10" s="110">
        <v>0.30555555555555552</v>
      </c>
      <c r="X10" s="138">
        <f t="shared" si="12"/>
        <v>0.33333333333333331</v>
      </c>
      <c r="Y10" s="139">
        <f t="shared" si="13"/>
        <v>0.5</v>
      </c>
      <c r="Z10" s="138">
        <f t="shared" si="14"/>
        <v>0.54166666666666663</v>
      </c>
      <c r="AA10" s="138">
        <f t="shared" si="15"/>
        <v>0.8125</v>
      </c>
      <c r="AC10" s="8"/>
      <c r="AD10" s="6"/>
    </row>
    <row r="11" spans="1:30" ht="14.25">
      <c r="A11" s="37">
        <f t="shared" si="3"/>
        <v>6</v>
      </c>
      <c r="B11" s="41">
        <f>B10+1</f>
        <v>43224</v>
      </c>
      <c r="C11" s="42">
        <f t="shared" si="4"/>
        <v>43224</v>
      </c>
      <c r="D11" s="115"/>
      <c r="E11" s="136">
        <v>900</v>
      </c>
      <c r="F11" s="136">
        <v>1200</v>
      </c>
      <c r="G11" s="136">
        <v>1300</v>
      </c>
      <c r="H11" s="136">
        <v>1800</v>
      </c>
      <c r="I11" s="74">
        <f t="shared" si="5"/>
        <v>0.33333000000000002</v>
      </c>
      <c r="J11" s="74">
        <f t="shared" si="0"/>
        <v>0</v>
      </c>
      <c r="K11" s="43">
        <f t="shared" si="6"/>
        <v>0</v>
      </c>
      <c r="L11" s="43">
        <f t="shared" si="7"/>
        <v>0</v>
      </c>
      <c r="M11" s="44">
        <f t="shared" si="8"/>
        <v>0.33333333333333337</v>
      </c>
      <c r="N11" s="143">
        <f t="shared" si="1"/>
        <v>0.30555555555555552</v>
      </c>
      <c r="O11" s="153" t="str">
        <f t="shared" si="9"/>
        <v/>
      </c>
      <c r="P11" s="143" t="str">
        <f t="shared" si="10"/>
        <v/>
      </c>
      <c r="Q11" s="44">
        <f t="shared" si="11"/>
        <v>2.7777777777777846E-2</v>
      </c>
      <c r="R11" s="45">
        <f t="shared" si="2"/>
        <v>0</v>
      </c>
      <c r="S11" s="100"/>
      <c r="T11" s="119">
        <v>4</v>
      </c>
      <c r="U11" s="106" t="s">
        <v>19</v>
      </c>
      <c r="V11" s="110">
        <v>0.30555555555555552</v>
      </c>
      <c r="X11" s="138">
        <f t="shared" si="12"/>
        <v>0.375</v>
      </c>
      <c r="Y11" s="139">
        <f t="shared" si="13"/>
        <v>0.5</v>
      </c>
      <c r="Z11" s="138">
        <f t="shared" si="14"/>
        <v>0.54166666666666663</v>
      </c>
      <c r="AA11" s="138">
        <f t="shared" si="15"/>
        <v>0.75</v>
      </c>
      <c r="AC11" s="8"/>
      <c r="AD11" s="6"/>
    </row>
    <row r="12" spans="1:30" ht="14.25">
      <c r="A12" s="37">
        <f t="shared" si="3"/>
        <v>7</v>
      </c>
      <c r="B12" s="41">
        <f>B11+1</f>
        <v>43225</v>
      </c>
      <c r="C12" s="42">
        <f t="shared" si="4"/>
        <v>43225</v>
      </c>
      <c r="D12" s="115"/>
      <c r="E12" s="136">
        <v>900</v>
      </c>
      <c r="F12" s="136">
        <v>1300</v>
      </c>
      <c r="G12" s="136">
        <v>1330</v>
      </c>
      <c r="H12" s="136">
        <v>1600</v>
      </c>
      <c r="I12" s="74">
        <f t="shared" si="5"/>
        <v>0.27083000000000002</v>
      </c>
      <c r="J12" s="74">
        <f t="shared" si="0"/>
        <v>0</v>
      </c>
      <c r="K12" s="43">
        <f t="shared" si="6"/>
        <v>0</v>
      </c>
      <c r="L12" s="43">
        <f t="shared" si="7"/>
        <v>0</v>
      </c>
      <c r="M12" s="44">
        <f t="shared" si="8"/>
        <v>0.27083333333333326</v>
      </c>
      <c r="N12" s="143">
        <f t="shared" si="1"/>
        <v>0.30555555555555552</v>
      </c>
      <c r="O12" s="153" t="str">
        <f t="shared" si="9"/>
        <v/>
      </c>
      <c r="P12" s="143">
        <f t="shared" si="10"/>
        <v>3.4722222222222265E-2</v>
      </c>
      <c r="Q12" s="44">
        <f t="shared" si="11"/>
        <v>0</v>
      </c>
      <c r="R12" s="45">
        <f t="shared" si="2"/>
        <v>0</v>
      </c>
      <c r="S12" s="100"/>
      <c r="T12" s="119">
        <v>5</v>
      </c>
      <c r="U12" s="106" t="s">
        <v>20</v>
      </c>
      <c r="V12" s="110">
        <v>0.30555555555555552</v>
      </c>
      <c r="X12" s="138">
        <f t="shared" si="12"/>
        <v>0.375</v>
      </c>
      <c r="Y12" s="139">
        <f t="shared" si="13"/>
        <v>0.54166666666666663</v>
      </c>
      <c r="Z12" s="138">
        <f t="shared" si="14"/>
        <v>0.5625</v>
      </c>
      <c r="AA12" s="138">
        <f t="shared" si="15"/>
        <v>0.66666666666666663</v>
      </c>
      <c r="AC12" s="8"/>
      <c r="AD12" s="6"/>
    </row>
    <row r="13" spans="1:30" ht="14.25">
      <c r="A13" s="37">
        <f t="shared" si="3"/>
        <v>1</v>
      </c>
      <c r="B13" s="41">
        <f t="shared" ref="B13:B35" si="16">B12+1</f>
        <v>43226</v>
      </c>
      <c r="C13" s="42">
        <f t="shared" si="4"/>
        <v>43226</v>
      </c>
      <c r="D13" s="115" t="s">
        <v>15</v>
      </c>
      <c r="E13" s="136">
        <v>1000</v>
      </c>
      <c r="F13" s="136">
        <v>1400</v>
      </c>
      <c r="G13" s="136">
        <v>1530</v>
      </c>
      <c r="H13" s="136">
        <v>2000</v>
      </c>
      <c r="I13" s="74">
        <f t="shared" si="5"/>
        <v>0.35416999999999998</v>
      </c>
      <c r="J13" s="74">
        <f t="shared" si="0"/>
        <v>0</v>
      </c>
      <c r="K13" s="43">
        <f t="shared" si="6"/>
        <v>0</v>
      </c>
      <c r="L13" s="43">
        <f t="shared" si="7"/>
        <v>0</v>
      </c>
      <c r="M13" s="44">
        <f t="shared" si="8"/>
        <v>0.35416666666666669</v>
      </c>
      <c r="N13" s="143">
        <f t="shared" si="1"/>
        <v>0</v>
      </c>
      <c r="O13" s="153" t="str">
        <f t="shared" si="9"/>
        <v/>
      </c>
      <c r="P13" s="143" t="str">
        <f t="shared" si="10"/>
        <v/>
      </c>
      <c r="Q13" s="44">
        <f t="shared" si="11"/>
        <v>0</v>
      </c>
      <c r="R13" s="45">
        <f t="shared" si="2"/>
        <v>0.35416666666666669</v>
      </c>
      <c r="S13" s="100"/>
      <c r="T13" s="119">
        <v>6</v>
      </c>
      <c r="U13" s="106" t="s">
        <v>21</v>
      </c>
      <c r="V13" s="110">
        <v>0.30555555555555552</v>
      </c>
      <c r="X13" s="138">
        <f t="shared" si="12"/>
        <v>0.41666666666666669</v>
      </c>
      <c r="Y13" s="139">
        <f t="shared" si="13"/>
        <v>0.58333333333333337</v>
      </c>
      <c r="Z13" s="138">
        <f t="shared" si="14"/>
        <v>0.64583333333333337</v>
      </c>
      <c r="AA13" s="138">
        <f t="shared" si="15"/>
        <v>0.83333333333333337</v>
      </c>
      <c r="AC13" s="8"/>
      <c r="AD13" s="6"/>
    </row>
    <row r="14" spans="1:30" ht="14.25">
      <c r="A14" s="37">
        <f t="shared" si="3"/>
        <v>2</v>
      </c>
      <c r="B14" s="41">
        <f t="shared" si="16"/>
        <v>43227</v>
      </c>
      <c r="C14" s="42">
        <f t="shared" si="4"/>
        <v>43227</v>
      </c>
      <c r="D14" s="115"/>
      <c r="E14" s="136">
        <v>1200</v>
      </c>
      <c r="F14" s="136">
        <v>1600</v>
      </c>
      <c r="G14" s="136">
        <v>1700</v>
      </c>
      <c r="H14" s="136">
        <v>2215</v>
      </c>
      <c r="I14" s="74">
        <f t="shared" si="5"/>
        <v>0.375</v>
      </c>
      <c r="J14" s="74">
        <f t="shared" si="0"/>
        <v>1.0416666666666741E-2</v>
      </c>
      <c r="K14" s="43">
        <f t="shared" si="6"/>
        <v>1.4880952380952484E-3</v>
      </c>
      <c r="L14" s="43">
        <f t="shared" si="7"/>
        <v>1.1904761904761989E-2</v>
      </c>
      <c r="M14" s="44">
        <f t="shared" si="8"/>
        <v>0.38690476190476186</v>
      </c>
      <c r="N14" s="143">
        <f t="shared" si="1"/>
        <v>0.30555555555555552</v>
      </c>
      <c r="O14" s="153" t="str">
        <f t="shared" si="9"/>
        <v/>
      </c>
      <c r="P14" s="143" t="str">
        <f t="shared" si="10"/>
        <v/>
      </c>
      <c r="Q14" s="44">
        <f t="shared" si="11"/>
        <v>8.1349206349206338E-2</v>
      </c>
      <c r="R14" s="45">
        <f t="shared" si="2"/>
        <v>0</v>
      </c>
      <c r="S14" s="100"/>
      <c r="T14" s="119">
        <v>7</v>
      </c>
      <c r="U14" s="113" t="s">
        <v>22</v>
      </c>
      <c r="V14" s="110">
        <v>0.30555555555555552</v>
      </c>
      <c r="X14" s="138">
        <f t="shared" si="12"/>
        <v>0.5</v>
      </c>
      <c r="Y14" s="139">
        <f t="shared" si="13"/>
        <v>0.66666666666666663</v>
      </c>
      <c r="Z14" s="138">
        <f t="shared" si="14"/>
        <v>0.70833333333333337</v>
      </c>
      <c r="AA14" s="138">
        <f t="shared" si="15"/>
        <v>0.92708333333333337</v>
      </c>
      <c r="AC14" s="8"/>
      <c r="AD14" s="6"/>
    </row>
    <row r="15" spans="1:30" ht="14.25">
      <c r="A15" s="37">
        <f t="shared" si="3"/>
        <v>3</v>
      </c>
      <c r="B15" s="41">
        <f t="shared" si="16"/>
        <v>43228</v>
      </c>
      <c r="C15" s="42">
        <f t="shared" si="4"/>
        <v>43228</v>
      </c>
      <c r="D15" s="115"/>
      <c r="E15" s="136">
        <v>0</v>
      </c>
      <c r="F15" s="136">
        <v>0</v>
      </c>
      <c r="G15" s="136">
        <v>0</v>
      </c>
      <c r="H15" s="136">
        <v>0</v>
      </c>
      <c r="I15" s="74">
        <f t="shared" si="5"/>
        <v>0</v>
      </c>
      <c r="J15" s="74">
        <f t="shared" si="0"/>
        <v>0</v>
      </c>
      <c r="K15" s="43">
        <f t="shared" si="6"/>
        <v>0</v>
      </c>
      <c r="L15" s="43">
        <f t="shared" si="7"/>
        <v>0</v>
      </c>
      <c r="M15" s="44">
        <f t="shared" si="8"/>
        <v>0</v>
      </c>
      <c r="N15" s="143">
        <f t="shared" si="1"/>
        <v>0.30555555555555552</v>
      </c>
      <c r="O15" s="153" t="str">
        <f t="shared" si="9"/>
        <v/>
      </c>
      <c r="P15" s="143">
        <f t="shared" si="10"/>
        <v>0.30555555555555552</v>
      </c>
      <c r="Q15" s="44">
        <f t="shared" si="11"/>
        <v>0</v>
      </c>
      <c r="R15" s="45">
        <f t="shared" si="2"/>
        <v>0</v>
      </c>
      <c r="S15" s="100"/>
      <c r="T15" s="119">
        <v>8</v>
      </c>
      <c r="U15" s="107" t="s">
        <v>23</v>
      </c>
      <c r="V15" s="111">
        <v>0.30555555555555552</v>
      </c>
      <c r="X15" s="138">
        <f t="shared" si="12"/>
        <v>0</v>
      </c>
      <c r="Y15" s="139">
        <f t="shared" si="13"/>
        <v>0</v>
      </c>
      <c r="Z15" s="138">
        <f t="shared" si="14"/>
        <v>0</v>
      </c>
      <c r="AA15" s="138">
        <f t="shared" si="15"/>
        <v>0</v>
      </c>
      <c r="AC15" s="8"/>
      <c r="AD15" s="6"/>
    </row>
    <row r="16" spans="1:30" ht="14.25">
      <c r="A16" s="37">
        <f t="shared" si="3"/>
        <v>4</v>
      </c>
      <c r="B16" s="41">
        <f t="shared" si="16"/>
        <v>43229</v>
      </c>
      <c r="C16" s="42">
        <f t="shared" si="4"/>
        <v>43229</v>
      </c>
      <c r="D16" s="115"/>
      <c r="E16" s="136">
        <v>1000</v>
      </c>
      <c r="F16" s="136">
        <v>1400</v>
      </c>
      <c r="G16" s="136">
        <v>1445</v>
      </c>
      <c r="H16" s="136">
        <v>1730</v>
      </c>
      <c r="I16" s="74">
        <f t="shared" si="5"/>
        <v>0.28125</v>
      </c>
      <c r="J16" s="74">
        <f t="shared" si="0"/>
        <v>0</v>
      </c>
      <c r="K16" s="43">
        <f t="shared" si="6"/>
        <v>0</v>
      </c>
      <c r="L16" s="43">
        <f t="shared" si="7"/>
        <v>0</v>
      </c>
      <c r="M16" s="44">
        <f t="shared" si="8"/>
        <v>0.28124999999999994</v>
      </c>
      <c r="N16" s="143">
        <f t="shared" si="1"/>
        <v>0.30555555555555552</v>
      </c>
      <c r="O16" s="153" t="str">
        <f t="shared" si="9"/>
        <v/>
      </c>
      <c r="P16" s="143">
        <f t="shared" si="10"/>
        <v>2.430555555555558E-2</v>
      </c>
      <c r="Q16" s="44">
        <f t="shared" si="11"/>
        <v>0</v>
      </c>
      <c r="R16" s="45">
        <f t="shared" si="2"/>
        <v>0</v>
      </c>
      <c r="S16" s="100"/>
      <c r="T16" s="100"/>
      <c r="U16" s="108" t="s">
        <v>3</v>
      </c>
      <c r="V16" s="104">
        <v>0</v>
      </c>
      <c r="X16" s="138">
        <f t="shared" si="12"/>
        <v>0.41666666666666669</v>
      </c>
      <c r="Y16" s="139">
        <f t="shared" si="13"/>
        <v>0.58333333333333337</v>
      </c>
      <c r="Z16" s="138">
        <f t="shared" si="14"/>
        <v>0.61458333333333337</v>
      </c>
      <c r="AA16" s="138">
        <f t="shared" si="15"/>
        <v>0.72916666666666663</v>
      </c>
      <c r="AC16" s="8"/>
      <c r="AD16" s="6"/>
    </row>
    <row r="17" spans="1:30" ht="14.25">
      <c r="A17" s="37">
        <f t="shared" si="3"/>
        <v>5</v>
      </c>
      <c r="B17" s="41">
        <f t="shared" si="16"/>
        <v>43230</v>
      </c>
      <c r="C17" s="42">
        <f t="shared" si="4"/>
        <v>43230</v>
      </c>
      <c r="D17" s="115"/>
      <c r="E17" s="136">
        <v>1100</v>
      </c>
      <c r="F17" s="136">
        <v>1600</v>
      </c>
      <c r="G17" s="136">
        <v>1700</v>
      </c>
      <c r="H17" s="136">
        <v>2000</v>
      </c>
      <c r="I17" s="74">
        <f t="shared" si="5"/>
        <v>0.33333000000000002</v>
      </c>
      <c r="J17" s="74">
        <f t="shared" si="0"/>
        <v>0</v>
      </c>
      <c r="K17" s="43">
        <f t="shared" si="6"/>
        <v>0</v>
      </c>
      <c r="L17" s="43">
        <f t="shared" si="7"/>
        <v>0</v>
      </c>
      <c r="M17" s="44">
        <f t="shared" si="8"/>
        <v>0.33333333333333331</v>
      </c>
      <c r="N17" s="143">
        <f t="shared" si="1"/>
        <v>0.30555555555555552</v>
      </c>
      <c r="O17" s="153" t="str">
        <f t="shared" si="9"/>
        <v/>
      </c>
      <c r="P17" s="143" t="str">
        <f t="shared" si="10"/>
        <v/>
      </c>
      <c r="Q17" s="44">
        <f t="shared" si="11"/>
        <v>2.777777777777779E-2</v>
      </c>
      <c r="R17" s="45">
        <f t="shared" si="2"/>
        <v>0</v>
      </c>
      <c r="S17" s="100"/>
      <c r="T17" s="100"/>
      <c r="U17" s="207" t="s">
        <v>24</v>
      </c>
      <c r="V17" s="208"/>
      <c r="X17" s="138">
        <f t="shared" si="12"/>
        <v>0.45833333333333331</v>
      </c>
      <c r="Y17" s="139">
        <f t="shared" si="13"/>
        <v>0.66666666666666663</v>
      </c>
      <c r="Z17" s="138">
        <f t="shared" si="14"/>
        <v>0.70833333333333337</v>
      </c>
      <c r="AA17" s="138">
        <f t="shared" si="15"/>
        <v>0.83333333333333337</v>
      </c>
      <c r="AC17" s="8"/>
      <c r="AD17" s="6"/>
    </row>
    <row r="18" spans="1:30" ht="14.25">
      <c r="A18" s="37">
        <f t="shared" si="3"/>
        <v>6</v>
      </c>
      <c r="B18" s="41">
        <f t="shared" si="16"/>
        <v>43231</v>
      </c>
      <c r="C18" s="42">
        <f t="shared" si="4"/>
        <v>43231</v>
      </c>
      <c r="D18" s="115"/>
      <c r="E18" s="136">
        <v>1900</v>
      </c>
      <c r="F18" s="136">
        <v>2100</v>
      </c>
      <c r="G18" s="136">
        <v>2200</v>
      </c>
      <c r="H18" s="136">
        <v>500</v>
      </c>
      <c r="I18" s="74">
        <f t="shared" si="5"/>
        <v>8.3330000000000001E-2</v>
      </c>
      <c r="J18" s="74">
        <f t="shared" si="0"/>
        <v>0.29166666666666663</v>
      </c>
      <c r="K18" s="43">
        <f t="shared" si="6"/>
        <v>4.1666666666666685E-2</v>
      </c>
      <c r="L18" s="43">
        <f t="shared" si="7"/>
        <v>0.33333333333333331</v>
      </c>
      <c r="M18" s="44">
        <f t="shared" si="8"/>
        <v>0.4166666666666668</v>
      </c>
      <c r="N18" s="143">
        <f t="shared" si="1"/>
        <v>0.30555555555555552</v>
      </c>
      <c r="O18" s="153" t="str">
        <f t="shared" si="9"/>
        <v/>
      </c>
      <c r="P18" s="143" t="str">
        <f t="shared" si="10"/>
        <v/>
      </c>
      <c r="Q18" s="44">
        <f t="shared" si="11"/>
        <v>0.11111111111111127</v>
      </c>
      <c r="R18" s="45">
        <f t="shared" si="2"/>
        <v>0</v>
      </c>
      <c r="S18" s="100"/>
      <c r="T18" s="100"/>
      <c r="U18" s="122" t="s">
        <v>25</v>
      </c>
      <c r="V18" s="109">
        <v>0.91666666666666663</v>
      </c>
      <c r="X18" s="138">
        <f t="shared" si="12"/>
        <v>0.79166666666666663</v>
      </c>
      <c r="Y18" s="139">
        <f t="shared" si="13"/>
        <v>0.875</v>
      </c>
      <c r="Z18" s="138">
        <f t="shared" si="14"/>
        <v>0.91666666666666663</v>
      </c>
      <c r="AA18" s="138">
        <f t="shared" si="15"/>
        <v>0.20833333333333334</v>
      </c>
      <c r="AC18" s="8"/>
      <c r="AD18" s="6"/>
    </row>
    <row r="19" spans="1:30" ht="14.25">
      <c r="A19" s="37">
        <f t="shared" si="3"/>
        <v>7</v>
      </c>
      <c r="B19" s="41">
        <f t="shared" si="16"/>
        <v>43232</v>
      </c>
      <c r="C19" s="42">
        <f t="shared" si="4"/>
        <v>43232</v>
      </c>
      <c r="D19" s="115" t="s">
        <v>15</v>
      </c>
      <c r="E19" s="136">
        <v>0</v>
      </c>
      <c r="F19" s="136">
        <v>0</v>
      </c>
      <c r="G19" s="136">
        <v>0</v>
      </c>
      <c r="H19" s="136">
        <v>0</v>
      </c>
      <c r="I19" s="74">
        <f t="shared" si="5"/>
        <v>0</v>
      </c>
      <c r="J19" s="74">
        <f t="shared" si="0"/>
        <v>0</v>
      </c>
      <c r="K19" s="43">
        <f t="shared" si="6"/>
        <v>0</v>
      </c>
      <c r="L19" s="43">
        <f t="shared" si="7"/>
        <v>0</v>
      </c>
      <c r="M19" s="44">
        <f t="shared" si="8"/>
        <v>0</v>
      </c>
      <c r="N19" s="143">
        <f t="shared" si="1"/>
        <v>0</v>
      </c>
      <c r="O19" s="153" t="str">
        <f t="shared" si="9"/>
        <v/>
      </c>
      <c r="P19" s="143" t="str">
        <f t="shared" si="10"/>
        <v/>
      </c>
      <c r="Q19" s="44">
        <f t="shared" si="11"/>
        <v>0</v>
      </c>
      <c r="R19" s="45">
        <f t="shared" si="2"/>
        <v>0</v>
      </c>
      <c r="S19" s="100"/>
      <c r="T19" s="100"/>
      <c r="U19" s="123" t="s">
        <v>26</v>
      </c>
      <c r="V19" s="111">
        <v>0.20833333333333334</v>
      </c>
      <c r="X19" s="138">
        <f t="shared" si="12"/>
        <v>0</v>
      </c>
      <c r="Y19" s="139">
        <f t="shared" si="13"/>
        <v>0</v>
      </c>
      <c r="Z19" s="138">
        <f t="shared" si="14"/>
        <v>0</v>
      </c>
      <c r="AA19" s="138">
        <f t="shared" si="15"/>
        <v>0</v>
      </c>
      <c r="AC19" s="8"/>
      <c r="AD19" s="9"/>
    </row>
    <row r="20" spans="1:30" ht="14.25">
      <c r="A20" s="37">
        <f t="shared" si="3"/>
        <v>1</v>
      </c>
      <c r="B20" s="41">
        <f t="shared" si="16"/>
        <v>43233</v>
      </c>
      <c r="C20" s="42">
        <f t="shared" si="4"/>
        <v>43233</v>
      </c>
      <c r="D20" s="115"/>
      <c r="E20" s="136">
        <v>500</v>
      </c>
      <c r="F20" s="136">
        <v>800</v>
      </c>
      <c r="G20" s="136">
        <v>900</v>
      </c>
      <c r="H20" s="136">
        <v>1200</v>
      </c>
      <c r="I20" s="74">
        <f t="shared" si="5"/>
        <v>0.25</v>
      </c>
      <c r="J20" s="74">
        <f t="shared" si="0"/>
        <v>0</v>
      </c>
      <c r="K20" s="43">
        <f t="shared" si="6"/>
        <v>0</v>
      </c>
      <c r="L20" s="43">
        <f t="shared" si="7"/>
        <v>0</v>
      </c>
      <c r="M20" s="44">
        <f t="shared" si="8"/>
        <v>0.24999999999999997</v>
      </c>
      <c r="N20" s="143">
        <f t="shared" si="1"/>
        <v>0.30555555555555552</v>
      </c>
      <c r="O20" s="153" t="str">
        <f t="shared" si="9"/>
        <v/>
      </c>
      <c r="P20" s="143">
        <f t="shared" si="10"/>
        <v>5.5555555555555552E-2</v>
      </c>
      <c r="Q20" s="44">
        <f t="shared" si="11"/>
        <v>0</v>
      </c>
      <c r="R20" s="45">
        <f t="shared" si="2"/>
        <v>0</v>
      </c>
      <c r="S20" s="100"/>
      <c r="T20" s="100"/>
      <c r="U20" s="207" t="s">
        <v>27</v>
      </c>
      <c r="V20" s="208"/>
      <c r="X20" s="138">
        <f t="shared" si="12"/>
        <v>0.20833333333333334</v>
      </c>
      <c r="Y20" s="139">
        <f t="shared" si="13"/>
        <v>0.33333333333333331</v>
      </c>
      <c r="Z20" s="138">
        <f t="shared" si="14"/>
        <v>0.375</v>
      </c>
      <c r="AA20" s="138">
        <f t="shared" si="15"/>
        <v>0.5</v>
      </c>
      <c r="AC20" s="8"/>
      <c r="AD20" s="6"/>
    </row>
    <row r="21" spans="1:30" ht="14.25">
      <c r="A21" s="37">
        <f t="shared" si="3"/>
        <v>2</v>
      </c>
      <c r="B21" s="41">
        <f t="shared" si="16"/>
        <v>43234</v>
      </c>
      <c r="C21" s="42">
        <f t="shared" si="4"/>
        <v>43234</v>
      </c>
      <c r="D21" s="115"/>
      <c r="E21" s="136">
        <v>2000</v>
      </c>
      <c r="F21" s="136">
        <v>2200</v>
      </c>
      <c r="G21" s="136">
        <v>2300</v>
      </c>
      <c r="H21" s="136">
        <v>500</v>
      </c>
      <c r="I21" s="74">
        <f t="shared" si="5"/>
        <v>8.3330000000000001E-2</v>
      </c>
      <c r="J21" s="74">
        <f t="shared" si="0"/>
        <v>0.24999999999999989</v>
      </c>
      <c r="K21" s="43">
        <f t="shared" si="6"/>
        <v>3.5714285714285698E-2</v>
      </c>
      <c r="L21" s="43">
        <f t="shared" si="7"/>
        <v>0.28571428571428559</v>
      </c>
      <c r="M21" s="44">
        <f t="shared" si="8"/>
        <v>0.36904761904761896</v>
      </c>
      <c r="N21" s="143">
        <f t="shared" si="1"/>
        <v>0.30555555555555552</v>
      </c>
      <c r="O21" s="153" t="str">
        <f t="shared" si="9"/>
        <v/>
      </c>
      <c r="P21" s="143" t="str">
        <f t="shared" si="10"/>
        <v/>
      </c>
      <c r="Q21" s="44">
        <f t="shared" si="11"/>
        <v>6.3492063492063433E-2</v>
      </c>
      <c r="R21" s="45">
        <f t="shared" si="2"/>
        <v>0</v>
      </c>
      <c r="S21" s="100"/>
      <c r="T21" s="100"/>
      <c r="U21" s="124" t="s">
        <v>28</v>
      </c>
      <c r="V21" s="146"/>
      <c r="X21" s="138">
        <f t="shared" si="12"/>
        <v>0.83333333333333337</v>
      </c>
      <c r="Y21" s="139">
        <f t="shared" si="13"/>
        <v>0.91666666666666663</v>
      </c>
      <c r="Z21" s="138">
        <f t="shared" si="14"/>
        <v>0.95833333333333337</v>
      </c>
      <c r="AA21" s="138">
        <f t="shared" si="15"/>
        <v>0.20833333333333334</v>
      </c>
    </row>
    <row r="22" spans="1:30" ht="15">
      <c r="A22" s="37">
        <f t="shared" si="3"/>
        <v>3</v>
      </c>
      <c r="B22" s="41">
        <f t="shared" si="16"/>
        <v>43235</v>
      </c>
      <c r="C22" s="42">
        <f t="shared" si="4"/>
        <v>43235</v>
      </c>
      <c r="D22" s="115"/>
      <c r="E22" s="136">
        <v>1500</v>
      </c>
      <c r="F22" s="136">
        <v>1900</v>
      </c>
      <c r="G22" s="136">
        <v>2000</v>
      </c>
      <c r="H22" s="136">
        <v>2400</v>
      </c>
      <c r="I22" s="74">
        <f t="shared" si="5"/>
        <v>0.25</v>
      </c>
      <c r="J22" s="74">
        <f t="shared" si="0"/>
        <v>8.333333333333337E-2</v>
      </c>
      <c r="K22" s="43">
        <f t="shared" si="6"/>
        <v>1.1904761904761904E-2</v>
      </c>
      <c r="L22" s="43">
        <f t="shared" si="7"/>
        <v>9.5238095238095274E-2</v>
      </c>
      <c r="M22" s="44">
        <f t="shared" si="8"/>
        <v>0.34523809523809518</v>
      </c>
      <c r="N22" s="143">
        <f t="shared" si="1"/>
        <v>0.30555555555555552</v>
      </c>
      <c r="O22" s="153" t="str">
        <f t="shared" si="9"/>
        <v/>
      </c>
      <c r="P22" s="143" t="str">
        <f t="shared" si="10"/>
        <v/>
      </c>
      <c r="Q22" s="44">
        <f t="shared" si="11"/>
        <v>3.9682539682539653E-2</v>
      </c>
      <c r="R22" s="45">
        <f t="shared" si="2"/>
        <v>0</v>
      </c>
      <c r="S22" s="100"/>
      <c r="T22" s="100"/>
      <c r="U22" s="144" t="s">
        <v>29</v>
      </c>
      <c r="V22" s="148">
        <v>2018</v>
      </c>
      <c r="X22" s="138">
        <f t="shared" si="12"/>
        <v>0.625</v>
      </c>
      <c r="Y22" s="139">
        <f t="shared" si="13"/>
        <v>0.79166666666666663</v>
      </c>
      <c r="Z22" s="138">
        <f t="shared" si="14"/>
        <v>0.83333333333333337</v>
      </c>
      <c r="AA22" s="138">
        <f t="shared" si="15"/>
        <v>0</v>
      </c>
    </row>
    <row r="23" spans="1:30" ht="15">
      <c r="A23" s="37">
        <f t="shared" si="3"/>
        <v>4</v>
      </c>
      <c r="B23" s="41">
        <f t="shared" si="16"/>
        <v>43236</v>
      </c>
      <c r="C23" s="42">
        <f t="shared" si="4"/>
        <v>43236</v>
      </c>
      <c r="D23" s="115"/>
      <c r="E23" s="136">
        <v>1500</v>
      </c>
      <c r="F23" s="136">
        <v>1900</v>
      </c>
      <c r="G23" s="136">
        <v>2000</v>
      </c>
      <c r="H23" s="136">
        <v>100</v>
      </c>
      <c r="I23" s="74">
        <f t="shared" si="5"/>
        <v>0.25</v>
      </c>
      <c r="J23" s="74">
        <f t="shared" si="0"/>
        <v>0.12500000000000011</v>
      </c>
      <c r="K23" s="43">
        <f t="shared" si="6"/>
        <v>1.7857142857142877E-2</v>
      </c>
      <c r="L23" s="43">
        <f t="shared" si="7"/>
        <v>0.14285714285714299</v>
      </c>
      <c r="M23" s="44">
        <f t="shared" si="8"/>
        <v>0.39285714285714279</v>
      </c>
      <c r="N23" s="143">
        <f t="shared" si="1"/>
        <v>0.30555555555555552</v>
      </c>
      <c r="O23" s="153" t="str">
        <f t="shared" si="9"/>
        <v/>
      </c>
      <c r="P23" s="143" t="str">
        <f t="shared" si="10"/>
        <v/>
      </c>
      <c r="Q23" s="44">
        <f t="shared" si="11"/>
        <v>8.7301587301587269E-2</v>
      </c>
      <c r="R23" s="45">
        <f t="shared" si="2"/>
        <v>0</v>
      </c>
      <c r="S23" s="100"/>
      <c r="T23" s="100"/>
      <c r="U23" s="144" t="s">
        <v>30</v>
      </c>
      <c r="V23" s="147">
        <v>5</v>
      </c>
      <c r="X23" s="138">
        <f t="shared" si="12"/>
        <v>0.625</v>
      </c>
      <c r="Y23" s="139">
        <f t="shared" si="13"/>
        <v>0.79166666666666663</v>
      </c>
      <c r="Z23" s="138">
        <f t="shared" si="14"/>
        <v>0.83333333333333337</v>
      </c>
      <c r="AA23" s="138">
        <f t="shared" si="15"/>
        <v>4.1666666666666664E-2</v>
      </c>
      <c r="AC23" s="5"/>
      <c r="AD23" s="4"/>
    </row>
    <row r="24" spans="1:30" ht="14.25">
      <c r="A24" s="37">
        <f t="shared" si="3"/>
        <v>5</v>
      </c>
      <c r="B24" s="41">
        <f t="shared" si="16"/>
        <v>43237</v>
      </c>
      <c r="C24" s="42">
        <f t="shared" si="4"/>
        <v>43237</v>
      </c>
      <c r="D24" s="115"/>
      <c r="E24" s="136">
        <v>1500</v>
      </c>
      <c r="F24" s="136">
        <v>1900</v>
      </c>
      <c r="G24" s="136">
        <v>2000</v>
      </c>
      <c r="H24" s="136">
        <v>2330</v>
      </c>
      <c r="I24" s="74">
        <f t="shared" si="5"/>
        <v>0.25</v>
      </c>
      <c r="J24" s="74">
        <f t="shared" si="0"/>
        <v>6.25E-2</v>
      </c>
      <c r="K24" s="43">
        <f t="shared" si="6"/>
        <v>8.9285714285714246E-3</v>
      </c>
      <c r="L24" s="43">
        <f t="shared" si="7"/>
        <v>7.1428571428571425E-2</v>
      </c>
      <c r="M24" s="44">
        <f t="shared" si="8"/>
        <v>0.32142857142857129</v>
      </c>
      <c r="N24" s="143">
        <f t="shared" si="1"/>
        <v>0.30555555555555552</v>
      </c>
      <c r="O24" s="153" t="str">
        <f t="shared" si="9"/>
        <v/>
      </c>
      <c r="P24" s="143" t="str">
        <f t="shared" si="10"/>
        <v/>
      </c>
      <c r="Q24" s="44">
        <f t="shared" si="11"/>
        <v>1.5873015873015761E-2</v>
      </c>
      <c r="R24" s="45">
        <f t="shared" si="2"/>
        <v>0</v>
      </c>
      <c r="S24" s="100"/>
      <c r="T24" s="100"/>
      <c r="U24" s="171"/>
      <c r="V24" s="100"/>
      <c r="X24" s="138">
        <f t="shared" si="12"/>
        <v>0.625</v>
      </c>
      <c r="Y24" s="139">
        <f t="shared" si="13"/>
        <v>0.79166666666666663</v>
      </c>
      <c r="Z24" s="138">
        <f t="shared" si="14"/>
        <v>0.83333333333333337</v>
      </c>
      <c r="AA24" s="138">
        <f t="shared" si="15"/>
        <v>0.97916666666666663</v>
      </c>
    </row>
    <row r="25" spans="1:30" ht="14.25">
      <c r="A25" s="37">
        <f t="shared" si="3"/>
        <v>6</v>
      </c>
      <c r="B25" s="41">
        <f t="shared" si="16"/>
        <v>43238</v>
      </c>
      <c r="C25" s="42">
        <f t="shared" si="4"/>
        <v>43238</v>
      </c>
      <c r="D25" s="115"/>
      <c r="E25" s="136">
        <v>1600</v>
      </c>
      <c r="F25" s="136">
        <v>1900</v>
      </c>
      <c r="G25" s="136">
        <v>2000</v>
      </c>
      <c r="H25" s="136">
        <v>300</v>
      </c>
      <c r="I25" s="74">
        <f t="shared" si="5"/>
        <v>0.20832999999999999</v>
      </c>
      <c r="J25" s="74">
        <f t="shared" si="0"/>
        <v>0.20833333333333337</v>
      </c>
      <c r="K25" s="43">
        <f t="shared" si="6"/>
        <v>2.9761904761904767E-2</v>
      </c>
      <c r="L25" s="43">
        <f t="shared" si="7"/>
        <v>0.23809523809523814</v>
      </c>
      <c r="M25" s="44">
        <f t="shared" si="8"/>
        <v>0.4464285714285714</v>
      </c>
      <c r="N25" s="143">
        <f t="shared" si="1"/>
        <v>0.30555555555555552</v>
      </c>
      <c r="O25" s="153" t="str">
        <f t="shared" si="9"/>
        <v/>
      </c>
      <c r="P25" s="143" t="str">
        <f t="shared" si="10"/>
        <v/>
      </c>
      <c r="Q25" s="44">
        <f t="shared" si="11"/>
        <v>0.14087301587301587</v>
      </c>
      <c r="R25" s="45">
        <f t="shared" si="2"/>
        <v>0</v>
      </c>
      <c r="S25" s="100"/>
      <c r="T25" s="100"/>
      <c r="U25" s="191" t="s">
        <v>86</v>
      </c>
      <c r="V25" s="108">
        <f>L39</f>
        <v>3.4047619047619055</v>
      </c>
      <c r="X25" s="138">
        <f t="shared" si="12"/>
        <v>0.66666666666666663</v>
      </c>
      <c r="Y25" s="139">
        <f t="shared" si="13"/>
        <v>0.79166666666666663</v>
      </c>
      <c r="Z25" s="138">
        <f t="shared" si="14"/>
        <v>0.83333333333333337</v>
      </c>
      <c r="AA25" s="138">
        <f t="shared" si="15"/>
        <v>0.125</v>
      </c>
    </row>
    <row r="26" spans="1:30" ht="14.25">
      <c r="A26" s="37">
        <f t="shared" si="3"/>
        <v>7</v>
      </c>
      <c r="B26" s="41">
        <f t="shared" si="16"/>
        <v>43239</v>
      </c>
      <c r="C26" s="42">
        <f t="shared" si="4"/>
        <v>43239</v>
      </c>
      <c r="D26" s="115" t="s">
        <v>15</v>
      </c>
      <c r="E26" s="136">
        <v>1600</v>
      </c>
      <c r="F26" s="136">
        <v>1900</v>
      </c>
      <c r="G26" s="136">
        <v>2000</v>
      </c>
      <c r="H26" s="136">
        <v>400</v>
      </c>
      <c r="I26" s="74">
        <f t="shared" si="5"/>
        <v>0.20832999999999999</v>
      </c>
      <c r="J26" s="74">
        <f t="shared" si="0"/>
        <v>0.25000000000000011</v>
      </c>
      <c r="K26" s="43">
        <f t="shared" si="6"/>
        <v>3.5714285714285754E-2</v>
      </c>
      <c r="L26" s="43">
        <f t="shared" si="7"/>
        <v>0.28571428571428586</v>
      </c>
      <c r="M26" s="44">
        <f t="shared" si="8"/>
        <v>0.49404761904761901</v>
      </c>
      <c r="N26" s="143">
        <f t="shared" si="1"/>
        <v>0</v>
      </c>
      <c r="O26" s="153" t="str">
        <f t="shared" si="9"/>
        <v/>
      </c>
      <c r="P26" s="143" t="str">
        <f t="shared" si="10"/>
        <v/>
      </c>
      <c r="Q26" s="44">
        <f t="shared" si="11"/>
        <v>0</v>
      </c>
      <c r="R26" s="45">
        <f t="shared" si="2"/>
        <v>0.49404761904761901</v>
      </c>
      <c r="S26" s="100"/>
      <c r="T26" s="100"/>
      <c r="U26" s="192" t="s">
        <v>80</v>
      </c>
      <c r="V26" s="193">
        <f>M39</f>
        <v>10.290178571428569</v>
      </c>
      <c r="X26" s="138">
        <f t="shared" si="12"/>
        <v>0.66666666666666663</v>
      </c>
      <c r="Y26" s="139">
        <f t="shared" si="13"/>
        <v>0.79166666666666663</v>
      </c>
      <c r="Z26" s="138">
        <f t="shared" si="14"/>
        <v>0.83333333333333337</v>
      </c>
      <c r="AA26" s="138">
        <f t="shared" si="15"/>
        <v>0.16666666666666666</v>
      </c>
    </row>
    <row r="27" spans="1:30" ht="14.25">
      <c r="A27" s="37">
        <f t="shared" si="3"/>
        <v>1</v>
      </c>
      <c r="B27" s="41">
        <f t="shared" si="16"/>
        <v>43240</v>
      </c>
      <c r="C27" s="42">
        <f t="shared" si="4"/>
        <v>43240</v>
      </c>
      <c r="D27" s="115"/>
      <c r="E27" s="136">
        <v>1600</v>
      </c>
      <c r="F27" s="136">
        <v>1900</v>
      </c>
      <c r="G27" s="136">
        <v>2000</v>
      </c>
      <c r="H27" s="136">
        <v>2200</v>
      </c>
      <c r="I27" s="74">
        <f t="shared" si="5"/>
        <v>0.20832999999999999</v>
      </c>
      <c r="J27" s="74">
        <f t="shared" si="0"/>
        <v>0</v>
      </c>
      <c r="K27" s="43">
        <f t="shared" si="6"/>
        <v>0</v>
      </c>
      <c r="L27" s="43">
        <f t="shared" si="7"/>
        <v>0</v>
      </c>
      <c r="M27" s="44">
        <f t="shared" si="8"/>
        <v>0.20833333333333326</v>
      </c>
      <c r="N27" s="143">
        <f t="shared" si="1"/>
        <v>0.30555555555555552</v>
      </c>
      <c r="O27" s="153" t="str">
        <f t="shared" si="9"/>
        <v/>
      </c>
      <c r="P27" s="143">
        <f t="shared" si="10"/>
        <v>9.7222222222222265E-2</v>
      </c>
      <c r="Q27" s="44">
        <f t="shared" si="11"/>
        <v>0</v>
      </c>
      <c r="R27" s="45">
        <f t="shared" si="2"/>
        <v>0</v>
      </c>
      <c r="S27" s="100"/>
      <c r="T27" s="100"/>
      <c r="U27" s="178" t="s">
        <v>81</v>
      </c>
      <c r="V27" s="179">
        <f>O39</f>
        <v>4.3650793650793718E-2</v>
      </c>
      <c r="X27" s="138">
        <f t="shared" si="12"/>
        <v>0.66666666666666663</v>
      </c>
      <c r="Y27" s="139">
        <f t="shared" si="13"/>
        <v>0.79166666666666663</v>
      </c>
      <c r="Z27" s="138">
        <f t="shared" si="14"/>
        <v>0.83333333333333337</v>
      </c>
      <c r="AA27" s="138">
        <f t="shared" si="15"/>
        <v>0.91666666666666663</v>
      </c>
    </row>
    <row r="28" spans="1:30" ht="14.25">
      <c r="A28" s="37">
        <f t="shared" si="3"/>
        <v>2</v>
      </c>
      <c r="B28" s="41">
        <f t="shared" si="16"/>
        <v>43241</v>
      </c>
      <c r="C28" s="42">
        <f t="shared" si="4"/>
        <v>43241</v>
      </c>
      <c r="D28" s="115"/>
      <c r="E28" s="136">
        <v>1700</v>
      </c>
      <c r="F28" s="136">
        <v>2000</v>
      </c>
      <c r="G28" s="136">
        <v>2400</v>
      </c>
      <c r="H28" s="136">
        <v>500</v>
      </c>
      <c r="I28" s="74">
        <f t="shared" si="5"/>
        <v>0.125</v>
      </c>
      <c r="J28" s="74">
        <f t="shared" si="0"/>
        <v>0.20833333333333334</v>
      </c>
      <c r="K28" s="43">
        <f t="shared" si="6"/>
        <v>2.9761904761904767E-2</v>
      </c>
      <c r="L28" s="43">
        <f t="shared" si="7"/>
        <v>0.23809523809523811</v>
      </c>
      <c r="M28" s="44">
        <f t="shared" si="8"/>
        <v>0.36309523809523814</v>
      </c>
      <c r="N28" s="143">
        <f t="shared" si="1"/>
        <v>0.30555555555555552</v>
      </c>
      <c r="O28" s="153" t="str">
        <f t="shared" si="9"/>
        <v/>
      </c>
      <c r="P28" s="143" t="str">
        <f t="shared" si="10"/>
        <v/>
      </c>
      <c r="Q28" s="44">
        <f t="shared" si="11"/>
        <v>5.7539682539682613E-2</v>
      </c>
      <c r="R28" s="45">
        <f t="shared" si="2"/>
        <v>0</v>
      </c>
      <c r="S28" s="100"/>
      <c r="T28" s="100"/>
      <c r="U28" s="185" t="s">
        <v>82</v>
      </c>
      <c r="V28" s="186">
        <f>P39</f>
        <v>1.441964285714286</v>
      </c>
      <c r="X28" s="138">
        <f t="shared" si="12"/>
        <v>0.70833333333333337</v>
      </c>
      <c r="Y28" s="139">
        <f t="shared" si="13"/>
        <v>0.83333333333333337</v>
      </c>
      <c r="Z28" s="138">
        <f t="shared" si="14"/>
        <v>0</v>
      </c>
      <c r="AA28" s="138">
        <f t="shared" si="15"/>
        <v>0.20833333333333334</v>
      </c>
    </row>
    <row r="29" spans="1:30" ht="14.25">
      <c r="A29" s="37">
        <f t="shared" si="3"/>
        <v>3</v>
      </c>
      <c r="B29" s="41">
        <f t="shared" si="16"/>
        <v>43242</v>
      </c>
      <c r="C29" s="42">
        <f t="shared" si="4"/>
        <v>43242</v>
      </c>
      <c r="D29" s="115"/>
      <c r="E29" s="136">
        <v>1700</v>
      </c>
      <c r="F29" s="136">
        <v>1900</v>
      </c>
      <c r="G29" s="136">
        <v>0</v>
      </c>
      <c r="H29" s="136">
        <v>0</v>
      </c>
      <c r="I29" s="74">
        <f t="shared" si="5"/>
        <v>8.3330000000000001E-2</v>
      </c>
      <c r="J29" s="74">
        <f t="shared" si="0"/>
        <v>0</v>
      </c>
      <c r="K29" s="43">
        <f t="shared" si="6"/>
        <v>0</v>
      </c>
      <c r="L29" s="43">
        <f t="shared" si="7"/>
        <v>0</v>
      </c>
      <c r="M29" s="44">
        <f t="shared" si="8"/>
        <v>8.3333333333333259E-2</v>
      </c>
      <c r="N29" s="143">
        <f t="shared" si="1"/>
        <v>0.30555555555555552</v>
      </c>
      <c r="O29" s="153" t="str">
        <f t="shared" si="9"/>
        <v/>
      </c>
      <c r="P29" s="143">
        <f t="shared" si="10"/>
        <v>0.22222222222222227</v>
      </c>
      <c r="Q29" s="44">
        <f t="shared" si="11"/>
        <v>0</v>
      </c>
      <c r="R29" s="45">
        <f t="shared" si="2"/>
        <v>0</v>
      </c>
      <c r="S29" s="100"/>
      <c r="T29" s="100"/>
      <c r="U29" s="178" t="s">
        <v>83</v>
      </c>
      <c r="V29" s="179">
        <f>Q39</f>
        <v>1.8000992063492065</v>
      </c>
      <c r="X29" s="138">
        <f t="shared" si="12"/>
        <v>0.70833333333333337</v>
      </c>
      <c r="Y29" s="139">
        <f t="shared" si="13"/>
        <v>0.79166666666666663</v>
      </c>
      <c r="Z29" s="138">
        <f t="shared" si="14"/>
        <v>0</v>
      </c>
      <c r="AA29" s="138">
        <f t="shared" si="15"/>
        <v>0</v>
      </c>
    </row>
    <row r="30" spans="1:30" ht="14.25">
      <c r="A30" s="37">
        <f t="shared" si="3"/>
        <v>4</v>
      </c>
      <c r="B30" s="41">
        <f t="shared" si="16"/>
        <v>43243</v>
      </c>
      <c r="C30" s="42">
        <f t="shared" si="4"/>
        <v>43243</v>
      </c>
      <c r="D30" s="115"/>
      <c r="E30" s="136">
        <v>0</v>
      </c>
      <c r="F30" s="136">
        <v>0</v>
      </c>
      <c r="G30" s="136">
        <v>0</v>
      </c>
      <c r="H30" s="136">
        <v>0</v>
      </c>
      <c r="I30" s="74">
        <f t="shared" si="5"/>
        <v>0</v>
      </c>
      <c r="J30" s="74">
        <f t="shared" si="0"/>
        <v>0</v>
      </c>
      <c r="K30" s="43">
        <f t="shared" si="6"/>
        <v>0</v>
      </c>
      <c r="L30" s="43">
        <f t="shared" si="7"/>
        <v>0</v>
      </c>
      <c r="M30" s="44">
        <f t="shared" si="8"/>
        <v>0</v>
      </c>
      <c r="N30" s="143">
        <f t="shared" si="1"/>
        <v>0.30555555555555552</v>
      </c>
      <c r="O30" s="153" t="str">
        <f t="shared" si="9"/>
        <v/>
      </c>
      <c r="P30" s="143">
        <f t="shared" si="10"/>
        <v>0.30555555555555552</v>
      </c>
      <c r="Q30" s="44">
        <f t="shared" si="11"/>
        <v>0</v>
      </c>
      <c r="R30" s="45">
        <f t="shared" si="2"/>
        <v>0</v>
      </c>
      <c r="S30" s="100"/>
      <c r="T30" s="100"/>
      <c r="U30" s="187" t="s">
        <v>84</v>
      </c>
      <c r="V30" s="188">
        <f>R39</f>
        <v>2.8839285714285716</v>
      </c>
      <c r="X30" s="138">
        <f t="shared" si="12"/>
        <v>0</v>
      </c>
      <c r="Y30" s="139">
        <f t="shared" si="13"/>
        <v>0</v>
      </c>
      <c r="Z30" s="138">
        <f t="shared" si="14"/>
        <v>0</v>
      </c>
      <c r="AA30" s="138">
        <f t="shared" si="15"/>
        <v>0</v>
      </c>
    </row>
    <row r="31" spans="1:30" ht="14.25">
      <c r="A31" s="37">
        <f t="shared" si="3"/>
        <v>5</v>
      </c>
      <c r="B31" s="41">
        <f t="shared" si="16"/>
        <v>43244</v>
      </c>
      <c r="C31" s="42">
        <f>IF(B31="","",IF(COUNTIF(fer,B31)&gt;0,"feriado",B31))</f>
        <v>43244</v>
      </c>
      <c r="D31" s="115"/>
      <c r="E31" s="136">
        <v>1700</v>
      </c>
      <c r="F31" s="136">
        <v>1900</v>
      </c>
      <c r="G31" s="136">
        <v>2000</v>
      </c>
      <c r="H31" s="136">
        <v>2300</v>
      </c>
      <c r="I31" s="74">
        <f t="shared" si="5"/>
        <v>0.16667000000000001</v>
      </c>
      <c r="J31" s="74">
        <f t="shared" si="0"/>
        <v>4.1666666666666741E-2</v>
      </c>
      <c r="K31" s="43">
        <f t="shared" si="6"/>
        <v>5.9523809523809659E-3</v>
      </c>
      <c r="L31" s="43">
        <f t="shared" si="7"/>
        <v>4.7619047619047707E-2</v>
      </c>
      <c r="M31" s="44">
        <f t="shared" si="8"/>
        <v>0.21428571428571422</v>
      </c>
      <c r="N31" s="143">
        <f t="shared" si="1"/>
        <v>0.30555555555555552</v>
      </c>
      <c r="O31" s="153" t="str">
        <f t="shared" si="9"/>
        <v/>
      </c>
      <c r="P31" s="143">
        <f t="shared" si="10"/>
        <v>9.1269841269841306E-2</v>
      </c>
      <c r="Q31" s="44">
        <f t="shared" si="11"/>
        <v>0</v>
      </c>
      <c r="R31" s="45">
        <f t="shared" si="2"/>
        <v>0</v>
      </c>
      <c r="S31" s="100"/>
      <c r="T31" s="100"/>
      <c r="U31" s="100"/>
      <c r="V31" s="100"/>
      <c r="X31" s="138">
        <f t="shared" si="12"/>
        <v>0.70833333333333337</v>
      </c>
      <c r="Y31" s="139">
        <f t="shared" si="13"/>
        <v>0.79166666666666663</v>
      </c>
      <c r="Z31" s="138">
        <f t="shared" si="14"/>
        <v>0.83333333333333337</v>
      </c>
      <c r="AA31" s="138">
        <f t="shared" si="15"/>
        <v>0.95833333333333337</v>
      </c>
    </row>
    <row r="32" spans="1:30" ht="14.25">
      <c r="A32" s="37">
        <f t="shared" si="3"/>
        <v>6</v>
      </c>
      <c r="B32" s="41">
        <f t="shared" si="16"/>
        <v>43245</v>
      </c>
      <c r="C32" s="42">
        <f t="shared" si="4"/>
        <v>43245</v>
      </c>
      <c r="D32" s="115" t="s">
        <v>15</v>
      </c>
      <c r="E32" s="136">
        <v>1700</v>
      </c>
      <c r="F32" s="136">
        <v>1900</v>
      </c>
      <c r="G32" s="136">
        <v>2000</v>
      </c>
      <c r="H32" s="136">
        <v>700</v>
      </c>
      <c r="I32" s="74">
        <f t="shared" si="5"/>
        <v>0.25</v>
      </c>
      <c r="J32" s="74">
        <f t="shared" si="0"/>
        <v>0.29166666666666663</v>
      </c>
      <c r="K32" s="43">
        <f t="shared" si="6"/>
        <v>4.1666666666666685E-2</v>
      </c>
      <c r="L32" s="43">
        <f t="shared" si="7"/>
        <v>0.33333333333333331</v>
      </c>
      <c r="M32" s="44">
        <f t="shared" si="8"/>
        <v>0.58333333333333326</v>
      </c>
      <c r="N32" s="143">
        <f t="shared" si="1"/>
        <v>0</v>
      </c>
      <c r="O32" s="153" t="str">
        <f t="shared" si="9"/>
        <v/>
      </c>
      <c r="P32" s="143" t="str">
        <f t="shared" si="10"/>
        <v/>
      </c>
      <c r="Q32" s="44">
        <f t="shared" si="11"/>
        <v>0</v>
      </c>
      <c r="R32" s="45">
        <f t="shared" si="2"/>
        <v>0.58333333333333326</v>
      </c>
      <c r="S32" s="100"/>
      <c r="T32" s="100"/>
      <c r="U32" s="180" t="str">
        <f>IF(V28-V29=0,0,(IF(V28-V29&lt;0,"Horas Extras","Horas Compensadas")))</f>
        <v>Horas Extras</v>
      </c>
      <c r="V32" s="190">
        <f>IF(V28-V29&lt;0,(V28*-1)-(V29*-1),V28-V29)</f>
        <v>0.35813492063492047</v>
      </c>
      <c r="X32" s="138">
        <f t="shared" si="12"/>
        <v>0.70833333333333337</v>
      </c>
      <c r="Y32" s="139">
        <f t="shared" si="13"/>
        <v>0.79166666666666663</v>
      </c>
      <c r="Z32" s="138">
        <f t="shared" si="14"/>
        <v>0.83333333333333337</v>
      </c>
      <c r="AA32" s="138">
        <f t="shared" si="15"/>
        <v>0.29166666666666669</v>
      </c>
    </row>
    <row r="33" spans="1:27" ht="14.25">
      <c r="A33" s="37">
        <f t="shared" si="3"/>
        <v>7</v>
      </c>
      <c r="B33" s="41">
        <f t="shared" si="16"/>
        <v>43246</v>
      </c>
      <c r="C33" s="42">
        <f t="shared" si="4"/>
        <v>43246</v>
      </c>
      <c r="D33" s="115"/>
      <c r="E33" s="136">
        <v>0</v>
      </c>
      <c r="F33" s="136">
        <v>0</v>
      </c>
      <c r="G33" s="136">
        <v>0</v>
      </c>
      <c r="H33" s="136">
        <v>0</v>
      </c>
      <c r="I33" s="74">
        <f t="shared" si="5"/>
        <v>0</v>
      </c>
      <c r="J33" s="74">
        <f t="shared" si="0"/>
        <v>0</v>
      </c>
      <c r="K33" s="43">
        <f t="shared" si="6"/>
        <v>0</v>
      </c>
      <c r="L33" s="43">
        <f t="shared" si="7"/>
        <v>0</v>
      </c>
      <c r="M33" s="44">
        <f t="shared" si="8"/>
        <v>0</v>
      </c>
      <c r="N33" s="143">
        <f t="shared" si="1"/>
        <v>0.30555555555555552</v>
      </c>
      <c r="O33" s="153" t="str">
        <f t="shared" si="9"/>
        <v/>
      </c>
      <c r="P33" s="143">
        <f t="shared" si="10"/>
        <v>0.30555555555555552</v>
      </c>
      <c r="Q33" s="44">
        <f t="shared" si="11"/>
        <v>0</v>
      </c>
      <c r="R33" s="45">
        <f t="shared" si="2"/>
        <v>0</v>
      </c>
      <c r="S33" s="100"/>
      <c r="T33" s="100"/>
      <c r="U33" s="100"/>
      <c r="V33" s="100"/>
      <c r="X33" s="138">
        <f t="shared" si="12"/>
        <v>0</v>
      </c>
      <c r="Y33" s="139">
        <f t="shared" si="13"/>
        <v>0</v>
      </c>
      <c r="Z33" s="138">
        <f t="shared" si="14"/>
        <v>0</v>
      </c>
      <c r="AA33" s="138">
        <f t="shared" si="15"/>
        <v>0</v>
      </c>
    </row>
    <row r="34" spans="1:27" ht="14.25">
      <c r="A34" s="37">
        <f t="shared" si="3"/>
        <v>1</v>
      </c>
      <c r="B34" s="41">
        <f t="shared" si="16"/>
        <v>43247</v>
      </c>
      <c r="C34" s="42">
        <f t="shared" si="4"/>
        <v>43247</v>
      </c>
      <c r="D34" s="115" t="s">
        <v>73</v>
      </c>
      <c r="E34" s="136">
        <v>1800</v>
      </c>
      <c r="F34" s="136">
        <v>2200</v>
      </c>
      <c r="G34" s="136">
        <v>2300</v>
      </c>
      <c r="H34" s="136">
        <v>100</v>
      </c>
      <c r="I34" s="74">
        <f t="shared" si="5"/>
        <v>0.16667000000000001</v>
      </c>
      <c r="J34" s="74">
        <f t="shared" si="0"/>
        <v>8.333333333333337E-2</v>
      </c>
      <c r="K34" s="43">
        <f t="shared" si="6"/>
        <v>1.1904761904761904E-2</v>
      </c>
      <c r="L34" s="43">
        <f t="shared" si="7"/>
        <v>9.5238095238095274E-2</v>
      </c>
      <c r="M34" s="44">
        <f t="shared" si="8"/>
        <v>0.26190476190476181</v>
      </c>
      <c r="N34" s="143">
        <f t="shared" si="1"/>
        <v>0.30555555555555552</v>
      </c>
      <c r="O34" s="153">
        <f t="shared" si="9"/>
        <v>4.3650793650793718E-2</v>
      </c>
      <c r="P34" s="143" t="str">
        <f t="shared" si="10"/>
        <v/>
      </c>
      <c r="Q34" s="44">
        <f t="shared" si="11"/>
        <v>0</v>
      </c>
      <c r="R34" s="45">
        <f t="shared" si="2"/>
        <v>0</v>
      </c>
      <c r="S34" s="100"/>
      <c r="T34" s="100"/>
      <c r="U34" s="100"/>
      <c r="V34" s="100"/>
      <c r="X34" s="138">
        <f t="shared" si="12"/>
        <v>0.75</v>
      </c>
      <c r="Y34" s="139">
        <f t="shared" si="13"/>
        <v>0.91666666666666663</v>
      </c>
      <c r="Z34" s="138">
        <f t="shared" si="14"/>
        <v>0.95833333333333337</v>
      </c>
      <c r="AA34" s="138">
        <f t="shared" si="15"/>
        <v>4.1666666666666664E-2</v>
      </c>
    </row>
    <row r="35" spans="1:27" ht="14.25">
      <c r="A35" s="37">
        <f t="shared" si="3"/>
        <v>2</v>
      </c>
      <c r="B35" s="41">
        <f t="shared" si="16"/>
        <v>43248</v>
      </c>
      <c r="C35" s="42">
        <f t="shared" si="4"/>
        <v>43248</v>
      </c>
      <c r="D35" s="115"/>
      <c r="E35" s="136">
        <v>1800</v>
      </c>
      <c r="F35" s="136">
        <v>2200</v>
      </c>
      <c r="G35" s="136">
        <v>2300</v>
      </c>
      <c r="H35" s="136">
        <v>900</v>
      </c>
      <c r="I35" s="74">
        <f t="shared" si="5"/>
        <v>0.33333000000000002</v>
      </c>
      <c r="J35" s="74">
        <f t="shared" si="0"/>
        <v>0.24999999999999989</v>
      </c>
      <c r="K35" s="43">
        <f t="shared" si="6"/>
        <v>3.5714285714285698E-2</v>
      </c>
      <c r="L35" s="43">
        <f t="shared" si="7"/>
        <v>0.28571428571428559</v>
      </c>
      <c r="M35" s="44">
        <f t="shared" si="8"/>
        <v>0.61904761904761896</v>
      </c>
      <c r="N35" s="143">
        <f t="shared" si="1"/>
        <v>0.30555555555555552</v>
      </c>
      <c r="O35" s="153" t="str">
        <f t="shared" si="9"/>
        <v/>
      </c>
      <c r="P35" s="143" t="str">
        <f t="shared" si="10"/>
        <v/>
      </c>
      <c r="Q35" s="44">
        <f t="shared" si="11"/>
        <v>0.31349206349206343</v>
      </c>
      <c r="R35" s="45">
        <f t="shared" si="2"/>
        <v>0</v>
      </c>
      <c r="S35" s="100"/>
      <c r="T35" s="100"/>
      <c r="U35" s="100"/>
      <c r="V35" s="100"/>
      <c r="X35" s="138">
        <f t="shared" si="12"/>
        <v>0.75</v>
      </c>
      <c r="Y35" s="139">
        <f t="shared" si="13"/>
        <v>0.91666666666666663</v>
      </c>
      <c r="Z35" s="138">
        <f t="shared" si="14"/>
        <v>0.95833333333333337</v>
      </c>
      <c r="AA35" s="138">
        <f t="shared" si="15"/>
        <v>0.375</v>
      </c>
    </row>
    <row r="36" spans="1:27" ht="14.25">
      <c r="A36" s="37">
        <f t="shared" si="3"/>
        <v>3</v>
      </c>
      <c r="B36" s="46">
        <f>IF(B35="","",IF(B35&gt;=fim,"",B35+1))</f>
        <v>43249</v>
      </c>
      <c r="C36" s="42">
        <f t="shared" si="4"/>
        <v>43249</v>
      </c>
      <c r="D36" s="115"/>
      <c r="E36" s="136">
        <v>1800</v>
      </c>
      <c r="F36" s="136">
        <v>2200</v>
      </c>
      <c r="G36" s="136">
        <v>2215</v>
      </c>
      <c r="H36" s="136">
        <v>800</v>
      </c>
      <c r="I36" s="74">
        <f t="shared" si="5"/>
        <v>0.29166999999999998</v>
      </c>
      <c r="J36" s="74">
        <f t="shared" si="0"/>
        <v>0.28124999999999989</v>
      </c>
      <c r="K36" s="43">
        <f t="shared" si="6"/>
        <v>4.0178571428571397E-2</v>
      </c>
      <c r="L36" s="43">
        <f t="shared" si="7"/>
        <v>0.32142857142857129</v>
      </c>
      <c r="M36" s="44">
        <f t="shared" si="8"/>
        <v>0.61309523809523803</v>
      </c>
      <c r="N36" s="143">
        <f t="shared" si="1"/>
        <v>0.30555555555555552</v>
      </c>
      <c r="O36" s="153" t="str">
        <f t="shared" si="9"/>
        <v/>
      </c>
      <c r="P36" s="143" t="str">
        <f t="shared" si="10"/>
        <v/>
      </c>
      <c r="Q36" s="44">
        <f t="shared" si="11"/>
        <v>0.3075396825396825</v>
      </c>
      <c r="R36" s="45">
        <f t="shared" si="2"/>
        <v>0</v>
      </c>
      <c r="S36" s="100"/>
      <c r="T36" s="100"/>
      <c r="U36" s="100"/>
      <c r="V36" s="100"/>
      <c r="X36" s="138">
        <f t="shared" si="12"/>
        <v>0.75</v>
      </c>
      <c r="Y36" s="139">
        <f t="shared" si="13"/>
        <v>0.91666666666666663</v>
      </c>
      <c r="Z36" s="138">
        <f t="shared" si="14"/>
        <v>0.92708333333333337</v>
      </c>
      <c r="AA36" s="138">
        <f t="shared" si="15"/>
        <v>0.33333333333333331</v>
      </c>
    </row>
    <row r="37" spans="1:27" ht="14.25">
      <c r="A37" s="37">
        <f t="shared" si="3"/>
        <v>4</v>
      </c>
      <c r="B37" s="46">
        <f>IF(B36="","",IF(B36&gt;=fim,"",B36+1))</f>
        <v>43250</v>
      </c>
      <c r="C37" s="42">
        <f t="shared" si="4"/>
        <v>43250</v>
      </c>
      <c r="D37" s="115" t="s">
        <v>15</v>
      </c>
      <c r="E37" s="136">
        <v>1800</v>
      </c>
      <c r="F37" s="136">
        <v>2200</v>
      </c>
      <c r="G37" s="136">
        <v>2200</v>
      </c>
      <c r="H37" s="136">
        <v>800</v>
      </c>
      <c r="I37" s="74">
        <f t="shared" si="5"/>
        <v>0.29166999999999998</v>
      </c>
      <c r="J37" s="74">
        <f t="shared" si="0"/>
        <v>0.29166666666666663</v>
      </c>
      <c r="K37" s="43">
        <f t="shared" si="6"/>
        <v>4.1666666666666685E-2</v>
      </c>
      <c r="L37" s="43">
        <f t="shared" si="7"/>
        <v>0.33333333333333331</v>
      </c>
      <c r="M37" s="44">
        <f t="shared" si="8"/>
        <v>0.625</v>
      </c>
      <c r="N37" s="143">
        <f t="shared" si="1"/>
        <v>0</v>
      </c>
      <c r="O37" s="153" t="str">
        <f t="shared" si="9"/>
        <v/>
      </c>
      <c r="P37" s="143" t="str">
        <f t="shared" si="10"/>
        <v/>
      </c>
      <c r="Q37" s="44">
        <f t="shared" si="11"/>
        <v>0</v>
      </c>
      <c r="R37" s="45">
        <f t="shared" si="2"/>
        <v>0.625</v>
      </c>
      <c r="S37" s="100"/>
      <c r="T37" s="100"/>
      <c r="U37" s="100"/>
      <c r="V37" s="100"/>
      <c r="X37" s="138">
        <f t="shared" si="12"/>
        <v>0.75</v>
      </c>
      <c r="Y37" s="139">
        <f t="shared" si="13"/>
        <v>0.91666666666666663</v>
      </c>
      <c r="Z37" s="138">
        <f t="shared" si="14"/>
        <v>0.91666666666666663</v>
      </c>
      <c r="AA37" s="138">
        <f t="shared" si="15"/>
        <v>0.33333333333333331</v>
      </c>
    </row>
    <row r="38" spans="1:27" ht="14.25">
      <c r="A38" s="37">
        <f t="shared" si="3"/>
        <v>8</v>
      </c>
      <c r="B38" s="47">
        <f>IF(B37="","",IF(B37&gt;=fim,"",B37+1))</f>
        <v>43251</v>
      </c>
      <c r="C38" s="48" t="str">
        <f t="shared" si="4"/>
        <v>feriado</v>
      </c>
      <c r="D38" s="116" t="s">
        <v>15</v>
      </c>
      <c r="E38" s="137">
        <v>1700</v>
      </c>
      <c r="F38" s="136">
        <v>2100</v>
      </c>
      <c r="G38" s="136">
        <v>2200</v>
      </c>
      <c r="H38" s="137">
        <v>400</v>
      </c>
      <c r="I38" s="85">
        <f t="shared" si="5"/>
        <v>0.16667000000000001</v>
      </c>
      <c r="J38" s="85">
        <f t="shared" si="0"/>
        <v>0.25000000000000011</v>
      </c>
      <c r="K38" s="49">
        <f t="shared" si="6"/>
        <v>3.5714285714285754E-2</v>
      </c>
      <c r="L38" s="49">
        <f t="shared" si="7"/>
        <v>0.28571428571428586</v>
      </c>
      <c r="M38" s="50">
        <f t="shared" si="8"/>
        <v>0.45238095238095238</v>
      </c>
      <c r="N38" s="142">
        <f t="shared" si="1"/>
        <v>0</v>
      </c>
      <c r="O38" s="153" t="str">
        <f t="shared" si="9"/>
        <v/>
      </c>
      <c r="P38" s="143" t="str">
        <f t="shared" si="10"/>
        <v/>
      </c>
      <c r="Q38" s="50">
        <f t="shared" si="11"/>
        <v>0</v>
      </c>
      <c r="R38" s="51">
        <f t="shared" si="2"/>
        <v>0.45238095238095238</v>
      </c>
      <c r="S38" s="100"/>
      <c r="T38" s="100"/>
      <c r="U38" s="100"/>
      <c r="V38" s="100"/>
      <c r="X38" s="140">
        <f t="shared" si="12"/>
        <v>0.70833333333333337</v>
      </c>
      <c r="Y38" s="141">
        <f t="shared" si="13"/>
        <v>0.875</v>
      </c>
      <c r="Z38" s="140">
        <f t="shared" si="14"/>
        <v>0.91666666666666663</v>
      </c>
      <c r="AA38" s="140">
        <f t="shared" si="15"/>
        <v>0.16666666666666666</v>
      </c>
    </row>
    <row r="39" spans="1:27" ht="14.25">
      <c r="B39" s="60" t="s">
        <v>25</v>
      </c>
      <c r="C39" s="60" t="s">
        <v>26</v>
      </c>
      <c r="D39" s="60"/>
      <c r="E39" s="60" t="s">
        <v>31</v>
      </c>
      <c r="F39" s="60" t="s">
        <v>32</v>
      </c>
      <c r="G39" s="60" t="s">
        <v>33</v>
      </c>
      <c r="H39" s="60" t="s">
        <v>34</v>
      </c>
      <c r="I39" s="67" t="s">
        <v>35</v>
      </c>
      <c r="J39" s="68" t="s">
        <v>36</v>
      </c>
      <c r="K39" s="69" t="s">
        <v>37</v>
      </c>
      <c r="L39" s="70">
        <f>SUM(L8:L38)</f>
        <v>3.4047619047619055</v>
      </c>
      <c r="M39" s="70">
        <f>SUM(M8:M38)</f>
        <v>10.290178571428569</v>
      </c>
      <c r="N39" s="65" t="s">
        <v>37</v>
      </c>
      <c r="O39" s="70">
        <f>SUM(O8:O38)</f>
        <v>4.3650793650793718E-2</v>
      </c>
      <c r="P39" s="70">
        <f>SUM(P7:P38)</f>
        <v>1.441964285714286</v>
      </c>
      <c r="Q39" s="70">
        <f>SUM(Q7:Q38)</f>
        <v>1.8000992063492065</v>
      </c>
      <c r="R39" s="70">
        <f>SUM(R8:R38)</f>
        <v>2.8839285714285716</v>
      </c>
      <c r="S39" s="101"/>
      <c r="T39" s="101"/>
      <c r="U39" s="101"/>
      <c r="V39" s="101"/>
    </row>
    <row r="40" spans="1:27" ht="14.25">
      <c r="B40" s="61">
        <f>B8</f>
        <v>43221</v>
      </c>
      <c r="C40" s="61">
        <f>MAX(B8:B38)</f>
        <v>43251</v>
      </c>
      <c r="D40" s="61"/>
      <c r="E40" s="62">
        <f>COUNTIF(C8:C38,"feriado")</f>
        <v>2</v>
      </c>
      <c r="F40" s="63">
        <f ca="1">SUMPRODUCT((WEEKDAY(ROW(INDIRECT($B40&amp;":"&amp;$C40)))=1)*(COUNTIF(fer,ROW(INDIRECT($B40&amp;":"&amp;$C40)))=0))</f>
        <v>4</v>
      </c>
      <c r="G40" s="63">
        <f>C40-B40+1</f>
        <v>31</v>
      </c>
      <c r="H40" s="63">
        <f ca="1">G40-I40</f>
        <v>25</v>
      </c>
      <c r="I40" s="66">
        <f ca="1">E40+F40</f>
        <v>6</v>
      </c>
      <c r="J40" s="71" t="str">
        <f ca="1">H40&amp;"/"&amp;I40</f>
        <v>25/6</v>
      </c>
      <c r="K40" s="72" t="s">
        <v>38</v>
      </c>
      <c r="L40" s="64">
        <f>L39*24</f>
        <v>81.714285714285737</v>
      </c>
      <c r="M40" s="64">
        <f>M39*24</f>
        <v>246.96428571428567</v>
      </c>
      <c r="N40" s="65" t="s">
        <v>38</v>
      </c>
      <c r="O40" s="64">
        <f t="shared" ref="O40:P40" si="17">O39*24</f>
        <v>1.0476190476190492</v>
      </c>
      <c r="P40" s="64">
        <f t="shared" si="17"/>
        <v>34.607142857142861</v>
      </c>
      <c r="Q40" s="64">
        <f>Q39*24</f>
        <v>43.202380952380956</v>
      </c>
      <c r="R40" s="64">
        <f>R39*24</f>
        <v>69.214285714285722</v>
      </c>
      <c r="S40" s="102"/>
      <c r="T40" s="102"/>
      <c r="U40" s="102"/>
      <c r="V40" s="102"/>
    </row>
    <row r="41" spans="1:27" ht="14.25">
      <c r="B41" s="125" t="str">
        <f>IF(dia_f="","",DATE(ano_p,mês_p,1))</f>
        <v/>
      </c>
      <c r="C41" s="126" t="str">
        <f>IF(dia_f="","",DATE(ano_p,mês_p+1,0))</f>
        <v/>
      </c>
      <c r="D41" s="73"/>
      <c r="E41" s="62" t="str">
        <f>IF(B41="","",SUMPRODUCT(((WEEKDAY(fer)&gt;1))*(fer&gt;=B41)*(fer&lt;=C41)))</f>
        <v/>
      </c>
      <c r="F41" s="63" t="str">
        <f ca="1">IF(B41="","",SUMPRODUCT((WEEKDAY(ROW(INDIRECT($B41&amp;":"&amp;$C41)))=1)*1))</f>
        <v/>
      </c>
      <c r="G41" s="128" t="str">
        <f>IF(B41="","",DAY(C41))</f>
        <v/>
      </c>
      <c r="H41" s="117" t="str">
        <f ca="1">IF(B41="","",SUMPRODUCT((WEEKDAY(ROW(INDIRECT(B41&amp;":"&amp;C41)))&gt;1)*(COUNTIF(fer,ROW(INDIRECT(B41&amp;":"&amp;C41)))=0)))</f>
        <v/>
      </c>
      <c r="I41" s="66" t="str">
        <f>IF(B41="","",E41+F41)</f>
        <v/>
      </c>
      <c r="J41" s="71" t="str">
        <f>IF(B41="","",H41&amp;"/"&amp;I41)</f>
        <v/>
      </c>
      <c r="K41" s="73" t="s">
        <v>39</v>
      </c>
      <c r="L41" s="64">
        <f ca="1">L40/$H$40*$I$40</f>
        <v>19.611428571428576</v>
      </c>
      <c r="M41" s="173"/>
      <c r="N41" s="174"/>
      <c r="O41" s="174"/>
      <c r="P41" s="174"/>
      <c r="Q41" s="175"/>
      <c r="R41" s="175"/>
      <c r="S41" s="102"/>
      <c r="T41" s="102"/>
      <c r="U41" s="102"/>
      <c r="V41" s="102"/>
    </row>
    <row r="42" spans="1:27" ht="14.25">
      <c r="K42" s="129" t="str">
        <f>IF(B41="","","Dsr mês:")</f>
        <v/>
      </c>
      <c r="L42" s="79" t="str">
        <f>IF(B41="","",L40/H41*I41)</f>
        <v/>
      </c>
      <c r="M42" s="205" t="str">
        <f>IF(B41="","","Dsr mês:")</f>
        <v/>
      </c>
      <c r="N42" s="205"/>
      <c r="O42" s="172"/>
      <c r="P42" s="172"/>
      <c r="Q42" s="102" t="str">
        <f>IF(B41="","",Q40/$H$41*$I$41)</f>
        <v/>
      </c>
      <c r="R42" s="102" t="str">
        <f>IF(B41="","",R40/$H$41*$I$41)</f>
        <v/>
      </c>
    </row>
    <row r="44" spans="1:27" ht="18.75">
      <c r="C44" s="76"/>
      <c r="D44" s="133"/>
      <c r="H44" s="1"/>
      <c r="I44" s="1"/>
      <c r="J44" s="1"/>
      <c r="K44" s="1"/>
      <c r="L44" s="1"/>
    </row>
    <row r="45" spans="1:27">
      <c r="D45" s="154"/>
    </row>
    <row r="47" spans="1:27">
      <c r="D47" s="155"/>
    </row>
    <row r="48" spans="1:27">
      <c r="D48" s="155"/>
    </row>
    <row r="116" spans="4:22">
      <c r="U116" s="82">
        <f>IF(dia_f="",DATE(ano_p,mês_p,1),DATE(ano_p,mês_p-1,dia_f+1))</f>
        <v>43221</v>
      </c>
      <c r="V116" s="75" t="s">
        <v>40</v>
      </c>
    </row>
    <row r="117" spans="4:22">
      <c r="U117" s="82">
        <f>IF(dia_f="",DATE(ano_p,mês_p+1,0),(DATE($V$22,mês_p,dia_f)))</f>
        <v>43251</v>
      </c>
      <c r="V117" s="75" t="s">
        <v>41</v>
      </c>
    </row>
    <row r="119" spans="4:22">
      <c r="D119" s="75" t="s">
        <v>42</v>
      </c>
      <c r="F119" s="75" t="s">
        <v>43</v>
      </c>
    </row>
    <row r="120" spans="4:22" ht="14.25">
      <c r="D120" s="127">
        <v>1</v>
      </c>
      <c r="F120" s="130">
        <v>2012</v>
      </c>
    </row>
    <row r="121" spans="4:22" ht="14.25">
      <c r="D121" s="132">
        <v>2</v>
      </c>
      <c r="F121" s="130">
        <v>2013</v>
      </c>
    </row>
    <row r="122" spans="4:22" ht="14.25">
      <c r="D122" s="132">
        <v>3</v>
      </c>
      <c r="F122" s="130">
        <v>2014</v>
      </c>
    </row>
    <row r="123" spans="4:22" ht="14.25">
      <c r="D123" s="133">
        <v>4</v>
      </c>
      <c r="F123" s="131">
        <v>2015</v>
      </c>
    </row>
    <row r="124" spans="4:22" ht="14.25">
      <c r="D124" s="133">
        <v>5</v>
      </c>
      <c r="F124" s="131">
        <v>2016</v>
      </c>
    </row>
    <row r="125" spans="4:22" ht="14.25">
      <c r="D125" s="133">
        <v>6</v>
      </c>
      <c r="F125" s="131">
        <v>2017</v>
      </c>
    </row>
    <row r="126" spans="4:22" ht="14.25">
      <c r="D126" s="133">
        <v>7</v>
      </c>
      <c r="F126" s="131">
        <v>2018</v>
      </c>
    </row>
    <row r="127" spans="4:22" ht="14.25">
      <c r="D127" s="133">
        <v>8</v>
      </c>
      <c r="F127" s="131">
        <v>2019</v>
      </c>
    </row>
    <row r="128" spans="4:22" ht="14.25">
      <c r="D128" s="134">
        <v>9</v>
      </c>
      <c r="F128" s="131">
        <v>2020</v>
      </c>
    </row>
    <row r="129" spans="4:6" ht="14.25">
      <c r="D129" s="133">
        <v>10</v>
      </c>
      <c r="F129" s="131">
        <v>2021</v>
      </c>
    </row>
    <row r="130" spans="4:6" ht="14.25">
      <c r="D130" s="133">
        <v>11</v>
      </c>
      <c r="F130" s="131">
        <v>2022</v>
      </c>
    </row>
    <row r="131" spans="4:6" ht="14.25">
      <c r="D131" s="133">
        <v>12</v>
      </c>
      <c r="F131" s="131">
        <v>2023</v>
      </c>
    </row>
    <row r="150" spans="2:4">
      <c r="B150" s="75"/>
      <c r="C150" s="76"/>
      <c r="D150" s="76"/>
    </row>
    <row r="151" spans="2:4">
      <c r="B151" s="75"/>
      <c r="C151" s="76"/>
      <c r="D151" s="76"/>
    </row>
  </sheetData>
  <mergeCells count="9">
    <mergeCell ref="U20:V20"/>
    <mergeCell ref="M42:N42"/>
    <mergeCell ref="H2:H3"/>
    <mergeCell ref="Q2:Q4"/>
    <mergeCell ref="B5:C5"/>
    <mergeCell ref="U6:V7"/>
    <mergeCell ref="X6:AA6"/>
    <mergeCell ref="B7:C7"/>
    <mergeCell ref="U17:V17"/>
  </mergeCells>
  <conditionalFormatting sqref="B8:C38">
    <cfRule type="expression" dxfId="36" priority="10">
      <formula>WEEKDAY($B8,2)=7</formula>
    </cfRule>
    <cfRule type="expression" dxfId="35" priority="11">
      <formula>COUNTIF(fer,$B8)&gt;0</formula>
    </cfRule>
  </conditionalFormatting>
  <conditionalFormatting sqref="D8:D38">
    <cfRule type="cellIs" dxfId="34" priority="9" operator="equal">
      <formula>"F"</formula>
    </cfRule>
  </conditionalFormatting>
  <conditionalFormatting sqref="K42">
    <cfRule type="expression" dxfId="33" priority="8">
      <formula>$B$41&lt;&gt;""</formula>
    </cfRule>
  </conditionalFormatting>
  <conditionalFormatting sqref="L42">
    <cfRule type="expression" dxfId="32" priority="7">
      <formula>$B$41&lt;&gt;""</formula>
    </cfRule>
  </conditionalFormatting>
  <conditionalFormatting sqref="M42:P42">
    <cfRule type="expression" dxfId="31" priority="6">
      <formula>$B$41&lt;&gt;""</formula>
    </cfRule>
  </conditionalFormatting>
  <conditionalFormatting sqref="Q42:R42">
    <cfRule type="expression" dxfId="30" priority="5">
      <formula>$B$41&lt;&gt;""</formula>
    </cfRule>
  </conditionalFormatting>
  <conditionalFormatting sqref="I8:R38">
    <cfRule type="expression" dxfId="29" priority="4">
      <formula>$D8="F"</formula>
    </cfRule>
  </conditionalFormatting>
  <conditionalFormatting sqref="O8:O38">
    <cfRule type="expression" dxfId="28" priority="3">
      <formula>O8&gt;0</formula>
    </cfRule>
  </conditionalFormatting>
  <conditionalFormatting sqref="P7:P38">
    <cfRule type="expression" dxfId="27" priority="2">
      <formula>P7&gt;0</formula>
    </cfRule>
  </conditionalFormatting>
  <conditionalFormatting sqref="E8:H38">
    <cfRule type="expression" dxfId="26" priority="1">
      <formula>$D8="F"</formula>
    </cfRule>
  </conditionalFormatting>
  <dataValidations count="3">
    <dataValidation type="custom" allowBlank="1" showInputMessage="1" showErrorMessage="1" sqref="E8:H38" xr:uid="{00000000-0002-0000-0300-000000000000}">
      <formula1>OR(E8=2400,TEXT(E8,"00\:00")=TEXT(X8,"hh:mm"))</formula1>
    </dataValidation>
    <dataValidation type="list" allowBlank="1" showInputMessage="1" showErrorMessage="1" sqref="V22" xr:uid="{00000000-0002-0000-0300-000001000000}">
      <formula1>$F$120:$F$131</formula1>
    </dataValidation>
    <dataValidation type="list" allowBlank="1" showInputMessage="1" showErrorMessage="1" sqref="V23" xr:uid="{00000000-0002-0000-0300-000002000000}">
      <formula1>$D$120:$D$131</formula1>
    </dataValidation>
  </dataValidations>
  <pageMargins left="0.75" right="0.75" top="1" bottom="1" header="0.49212598499999999" footer="0.49212598499999999"/>
  <pageSetup paperSize="9" scale="83" orientation="landscape" r:id="rId1"/>
  <headerFooter alignWithMargins="0"/>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124" r:id="rId4" name="Botão 4">
              <controlPr defaultSize="0" print="0" autoFill="0" autoPict="0" macro="[0]!Limpar_Click">
                <anchor moveWithCells="1" sizeWithCells="1">
                  <from>
                    <xdr:col>20</xdr:col>
                    <xdr:colOff>133350</xdr:colOff>
                    <xdr:row>33</xdr:row>
                    <xdr:rowOff>28575</xdr:rowOff>
                  </from>
                  <to>
                    <xdr:col>21</xdr:col>
                    <xdr:colOff>495300</xdr:colOff>
                    <xdr:row>35</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tabColor theme="6"/>
  </sheetPr>
  <dimension ref="A1:AD151"/>
  <sheetViews>
    <sheetView showGridLines="0" zoomScaleNormal="100" workbookViewId="0" xr3:uid="{F9CF3CF3-643B-5BE6-8B46-32C596A47465}">
      <selection activeCell="E1" sqref="E1"/>
    </sheetView>
  </sheetViews>
  <sheetFormatPr defaultRowHeight="12.75"/>
  <cols>
    <col min="1" max="1" width="2.6953125" customWidth="1"/>
    <col min="2" max="2" width="12.13671875" customWidth="1"/>
    <col min="3" max="3" width="12.40625" customWidth="1"/>
    <col min="4" max="4" width="6.875" customWidth="1"/>
    <col min="5" max="5" width="9.4375" customWidth="1"/>
    <col min="6" max="8" width="9.4375" bestFit="1" customWidth="1"/>
    <col min="9" max="12" width="9.4375" customWidth="1"/>
    <col min="13" max="15" width="11.32421875" customWidth="1"/>
    <col min="16" max="16" width="9.3046875" customWidth="1"/>
    <col min="17" max="17" width="11.32421875" customWidth="1"/>
    <col min="19" max="20" width="0.80859375" customWidth="1"/>
    <col min="21" max="21" width="24.00390625" customWidth="1"/>
    <col min="22" max="22" width="8.359375" customWidth="1"/>
    <col min="23" max="23" width="6.7421875" customWidth="1"/>
    <col min="24" max="27" width="9.4375" customWidth="1"/>
    <col min="29" max="29" width="12" customWidth="1"/>
    <col min="30" max="30" width="26.8359375" customWidth="1"/>
  </cols>
  <sheetData>
    <row r="1" spans="1:30">
      <c r="E1" s="181" t="s">
        <v>78</v>
      </c>
      <c r="F1" s="75"/>
    </row>
    <row r="2" spans="1:30" ht="15.95" customHeight="1">
      <c r="D2" s="120"/>
      <c r="E2" s="135"/>
      <c r="H2" s="202"/>
      <c r="J2" s="2"/>
      <c r="Q2" s="211"/>
      <c r="X2" s="156"/>
      <c r="Y2" s="94"/>
      <c r="Z2" s="94"/>
      <c r="AA2" s="94"/>
      <c r="AB2" s="94"/>
    </row>
    <row r="3" spans="1:30" ht="15.95" customHeight="1">
      <c r="D3" s="120"/>
      <c r="E3" s="135"/>
      <c r="H3" s="203"/>
      <c r="J3" s="3"/>
      <c r="K3" s="81"/>
      <c r="Q3" s="211"/>
      <c r="X3" s="94"/>
      <c r="Y3" s="94"/>
      <c r="Z3" s="94"/>
      <c r="AA3" s="94"/>
      <c r="AB3" s="94"/>
    </row>
    <row r="4" spans="1:30" ht="13.5" customHeight="1">
      <c r="Q4" s="211"/>
      <c r="X4" s="165"/>
      <c r="Y4" s="166"/>
      <c r="Z4" s="166"/>
      <c r="AA4" s="166"/>
      <c r="AB4" s="94"/>
    </row>
    <row r="5" spans="1:30" ht="14.25">
      <c r="B5" s="206"/>
      <c r="C5" s="206"/>
      <c r="D5" s="152"/>
      <c r="E5" s="80"/>
      <c r="F5" s="75"/>
      <c r="X5" s="167"/>
      <c r="Y5" s="167"/>
      <c r="Z5" s="167"/>
      <c r="AA5" s="167"/>
    </row>
    <row r="6" spans="1:30" ht="25.5" customHeight="1">
      <c r="B6" s="84" t="s">
        <v>1</v>
      </c>
      <c r="C6" s="84" t="s">
        <v>2</v>
      </c>
      <c r="D6" s="84" t="s">
        <v>3</v>
      </c>
      <c r="E6" s="84" t="s">
        <v>4</v>
      </c>
      <c r="F6" s="84" t="s">
        <v>5</v>
      </c>
      <c r="G6" s="84" t="s">
        <v>4</v>
      </c>
      <c r="H6" s="84" t="s">
        <v>5</v>
      </c>
      <c r="I6" s="84" t="s">
        <v>6</v>
      </c>
      <c r="J6" s="84" t="s">
        <v>7</v>
      </c>
      <c r="K6" s="84" t="s">
        <v>8</v>
      </c>
      <c r="L6" s="84" t="s">
        <v>9</v>
      </c>
      <c r="M6" s="84" t="s">
        <v>10</v>
      </c>
      <c r="N6" s="84" t="s">
        <v>11</v>
      </c>
      <c r="O6" s="84" t="s">
        <v>72</v>
      </c>
      <c r="P6" s="84" t="s">
        <v>71</v>
      </c>
      <c r="Q6" s="84" t="s">
        <v>12</v>
      </c>
      <c r="R6" s="84" t="s">
        <v>13</v>
      </c>
      <c r="U6" s="198" t="s">
        <v>14</v>
      </c>
      <c r="V6" s="199"/>
      <c r="X6" s="195" t="s">
        <v>0</v>
      </c>
      <c r="Y6" s="196"/>
      <c r="Z6" s="196"/>
      <c r="AA6" s="197"/>
      <c r="AC6" s="83"/>
    </row>
    <row r="7" spans="1:30" ht="15" customHeight="1">
      <c r="B7" s="209" t="s">
        <v>74</v>
      </c>
      <c r="C7" s="210"/>
      <c r="D7" s="162"/>
      <c r="E7" s="163"/>
      <c r="F7" s="163"/>
      <c r="G7" s="163"/>
      <c r="H7" s="163"/>
      <c r="I7" s="163"/>
      <c r="J7" s="163"/>
      <c r="K7" s="163"/>
      <c r="L7" s="163"/>
      <c r="M7" s="163"/>
      <c r="N7" s="163"/>
      <c r="O7" s="164"/>
      <c r="P7" s="170">
        <f>IF(maio!U32="Horas Compensadas",maio!V32,0)</f>
        <v>0</v>
      </c>
      <c r="Q7" s="170">
        <f>IF(maio!U32="Horas Extras",maio!V32,0)</f>
        <v>0.35813492063492047</v>
      </c>
      <c r="R7" s="170"/>
      <c r="S7" s="103"/>
      <c r="T7" s="168"/>
      <c r="U7" s="200"/>
      <c r="V7" s="201"/>
      <c r="W7" s="145"/>
      <c r="X7" s="84" t="s">
        <v>4</v>
      </c>
      <c r="Y7" s="84" t="s">
        <v>5</v>
      </c>
      <c r="Z7" s="84" t="s">
        <v>4</v>
      </c>
      <c r="AA7" s="84" t="s">
        <v>5</v>
      </c>
      <c r="AB7" s="78"/>
      <c r="AC7" s="121"/>
      <c r="AD7" s="77"/>
    </row>
    <row r="8" spans="1:30" ht="12.75" customHeight="1">
      <c r="A8" s="37">
        <f>IF(B8="","",IF(C8&lt;&gt;"feriado",WEEKDAY(B8),8))</f>
        <v>6</v>
      </c>
      <c r="B8" s="39">
        <f>inicio</f>
        <v>43252</v>
      </c>
      <c r="C8" s="40">
        <f>IF(B8="","",IF(COUNTIF(fer,B8)&gt;0,"feriado",B8))</f>
        <v>43252</v>
      </c>
      <c r="D8" s="157"/>
      <c r="E8" s="158">
        <v>800</v>
      </c>
      <c r="F8" s="158">
        <v>1200</v>
      </c>
      <c r="G8" s="158">
        <v>1300</v>
      </c>
      <c r="H8" s="158">
        <v>1800</v>
      </c>
      <c r="I8" s="159">
        <f>IF(B8="","",ROUND(M8-L8,5))</f>
        <v>0.375</v>
      </c>
      <c r="J8" s="159">
        <f t="shared" ref="J8:J38" si="0">IF(B8="","",IF(AND(E8="",F8="",G8="",H8=""),0,IF(AND(G8="",H8=""),MAX(ININOT,MIN(FIMNOT+1,Y8+(X8&gt;Y8)))-MAX(ININOT,X8)+(MIN(FIMNOT,Y8+(X8&gt;Y8))-MIN(FIMNOT,X8)),MAX(ININOT,MIN(FIMNOT+1,Y8+(X8&gt;Y8)))-MAX(ININOT,X8)+(MIN(FIMNOT,Y8+(X8&gt;Y8))-MIN(FIMNOT,X8))+MAX(ININOT,MIN(FIMNOT+1,AA8+(Z8&gt;AA8)))-MAX(ININOT,Z8)+(MIN(FIMNOT,AA8+(Z8&gt;AA8))-MIN(FIMNOT,Z8)))))</f>
        <v>0</v>
      </c>
      <c r="K8" s="160">
        <f>IF(B8="","",(J8/7*8)-J8)</f>
        <v>0</v>
      </c>
      <c r="L8" s="160">
        <f>IF(B8="","",J8+K8)</f>
        <v>0</v>
      </c>
      <c r="M8" s="161">
        <f>IF(B8="","",MOD((Y8-X8)+(AA8-Z8),1)+K8)</f>
        <v>0.37500000000000006</v>
      </c>
      <c r="N8" s="153">
        <f t="shared" ref="N8:N38" si="1">IF(B8="","",IF(D8="F",$V$16,VLOOKUP(A8,jornada,3)))</f>
        <v>0.30555555555555552</v>
      </c>
      <c r="O8" s="153" t="str">
        <f>IF(B8="","",IF(AND(D8="A",N8&gt;M8),N8-M8,""))</f>
        <v/>
      </c>
      <c r="P8" s="153" t="str">
        <f>IF(B8="","",IF(AND(M8&gt;0,D8="F"),"",IF(D8="A","",IF(M8&lt;N8,N8-M8,""))))</f>
        <v/>
      </c>
      <c r="Q8" s="161">
        <f>IF(B8="","",IF(N8=0,0,MAX(0,M8-N8)))</f>
        <v>6.9444444444444531E-2</v>
      </c>
      <c r="R8" s="169">
        <f t="shared" ref="R8:R38" si="2">IF(B8="","",IF(N8=0,M8,0))</f>
        <v>0</v>
      </c>
      <c r="S8" s="114"/>
      <c r="T8" s="118">
        <v>1</v>
      </c>
      <c r="U8" s="105" t="s">
        <v>16</v>
      </c>
      <c r="V8" s="109">
        <v>0.30555555555555552</v>
      </c>
      <c r="X8" s="138">
        <f>IF(B8="","",IF($E8="",0,TIME(INT(E8/100),MOD(E8,100),0)))</f>
        <v>0.33333333333333331</v>
      </c>
      <c r="Y8" s="139">
        <f>IF(B8="","",IF($F8="",0,TIME(INT(F8/100),MOD(F8,100),0)))</f>
        <v>0.5</v>
      </c>
      <c r="Z8" s="138">
        <f>IF(B8="","",IF($G8="",0,TIME(INT(G8/100),MOD(G8,100),0)))</f>
        <v>0.54166666666666663</v>
      </c>
      <c r="AA8" s="138">
        <f>IF(B8="","",IF($H8="",0,TIME(INT(H8/100),MOD(H8,100),0)))</f>
        <v>0.75</v>
      </c>
      <c r="AC8" s="8"/>
      <c r="AD8" s="6"/>
    </row>
    <row r="9" spans="1:30" ht="12.75" customHeight="1">
      <c r="A9" s="37">
        <f t="shared" ref="A9:A38" si="3">IF(B9="","",IF(C9&lt;&gt;"feriado",WEEKDAY(B9),8))</f>
        <v>7</v>
      </c>
      <c r="B9" s="41">
        <f>B8+1</f>
        <v>43253</v>
      </c>
      <c r="C9" s="42">
        <f t="shared" ref="C9:C38" si="4">IF(B9="","",IF(COUNTIF(fer,B9)&gt;0,"feriado",B9))</f>
        <v>43253</v>
      </c>
      <c r="D9" s="115"/>
      <c r="E9" s="136">
        <v>0</v>
      </c>
      <c r="F9" s="136">
        <v>0</v>
      </c>
      <c r="G9" s="136">
        <v>0</v>
      </c>
      <c r="H9" s="136">
        <v>0</v>
      </c>
      <c r="I9" s="74">
        <f t="shared" ref="I9:I38" si="5">IF(B9="","",ROUND(M9-L9,5))</f>
        <v>0</v>
      </c>
      <c r="J9" s="74">
        <f t="shared" si="0"/>
        <v>0</v>
      </c>
      <c r="K9" s="43">
        <f t="shared" ref="K9:K38" si="6">IF(B9="","",(J9/7*8)-J9)</f>
        <v>0</v>
      </c>
      <c r="L9" s="43">
        <f t="shared" ref="L9:L38" si="7">IF(B9="","",J9+K9)</f>
        <v>0</v>
      </c>
      <c r="M9" s="44">
        <f t="shared" ref="M9:M38" si="8">IF(B9="","",MOD((Y9-X9)+(AA9-Z9),1)+K9)</f>
        <v>0</v>
      </c>
      <c r="N9" s="143">
        <f t="shared" si="1"/>
        <v>0.30555555555555552</v>
      </c>
      <c r="O9" s="153" t="str">
        <f t="shared" ref="O9:O38" si="9">IF(B9="","",IF(AND(D9="A",N9&gt;M9),N9-M9,""))</f>
        <v/>
      </c>
      <c r="P9" s="143">
        <f t="shared" ref="P9:P38" si="10">IF(B9="","",IF(AND(M9&gt;0,D9="F"),"",IF(D9="A","",IF(M9&lt;N9,N9-M9,""))))</f>
        <v>0.30555555555555552</v>
      </c>
      <c r="Q9" s="44">
        <f t="shared" ref="Q9:Q38" si="11">IF(B9="","",IF(N9=0,0,MAX(0,M9-N9)))</f>
        <v>0</v>
      </c>
      <c r="R9" s="45">
        <f t="shared" si="2"/>
        <v>0</v>
      </c>
      <c r="S9" s="100"/>
      <c r="T9" s="119">
        <v>2</v>
      </c>
      <c r="U9" s="112" t="s">
        <v>17</v>
      </c>
      <c r="V9" s="110">
        <v>0.30555555555555552</v>
      </c>
      <c r="X9" s="138">
        <f t="shared" ref="X9:X38" si="12">IF(B9="","",IF($E9="",0,TIME(INT(E9/100),MOD(E9,100),0)))</f>
        <v>0</v>
      </c>
      <c r="Y9" s="139">
        <f t="shared" ref="Y9:Y38" si="13">IF(B9="","",IF($F9="",0,TIME(INT(F9/100),MOD(F9,100),0)))</f>
        <v>0</v>
      </c>
      <c r="Z9" s="138">
        <f t="shared" ref="Z9:Z38" si="14">IF(B9="","",IF($G9="",0,TIME(INT(G9/100),MOD(G9,100),0)))</f>
        <v>0</v>
      </c>
      <c r="AA9" s="138">
        <f t="shared" ref="AA9:AA38" si="15">IF(B9="","",IF($H9="",0,TIME(INT(H9/100),MOD(H9,100),0)))</f>
        <v>0</v>
      </c>
      <c r="AC9" s="8"/>
      <c r="AD9" s="6"/>
    </row>
    <row r="10" spans="1:30" ht="14.25">
      <c r="A10" s="37">
        <f t="shared" si="3"/>
        <v>1</v>
      </c>
      <c r="B10" s="41">
        <f>B9+1</f>
        <v>43254</v>
      </c>
      <c r="C10" s="42">
        <f t="shared" si="4"/>
        <v>43254</v>
      </c>
      <c r="D10" s="115" t="s">
        <v>15</v>
      </c>
      <c r="E10" s="136">
        <v>800</v>
      </c>
      <c r="F10" s="136">
        <v>1200</v>
      </c>
      <c r="G10" s="136">
        <v>0</v>
      </c>
      <c r="H10" s="136">
        <v>0</v>
      </c>
      <c r="I10" s="74">
        <f t="shared" si="5"/>
        <v>0.16667000000000001</v>
      </c>
      <c r="J10" s="74">
        <f t="shared" si="0"/>
        <v>0</v>
      </c>
      <c r="K10" s="43">
        <f t="shared" si="6"/>
        <v>0</v>
      </c>
      <c r="L10" s="43">
        <f t="shared" si="7"/>
        <v>0</v>
      </c>
      <c r="M10" s="44">
        <f t="shared" si="8"/>
        <v>0.16666666666666669</v>
      </c>
      <c r="N10" s="143">
        <f t="shared" si="1"/>
        <v>0</v>
      </c>
      <c r="O10" s="153" t="str">
        <f t="shared" si="9"/>
        <v/>
      </c>
      <c r="P10" s="143" t="str">
        <f t="shared" si="10"/>
        <v/>
      </c>
      <c r="Q10" s="44">
        <f t="shared" si="11"/>
        <v>0</v>
      </c>
      <c r="R10" s="45">
        <f t="shared" si="2"/>
        <v>0.16666666666666669</v>
      </c>
      <c r="S10" s="100"/>
      <c r="T10" s="119">
        <v>3</v>
      </c>
      <c r="U10" s="106" t="s">
        <v>18</v>
      </c>
      <c r="V10" s="110">
        <v>0.30555555555555552</v>
      </c>
      <c r="X10" s="138">
        <f t="shared" si="12"/>
        <v>0.33333333333333331</v>
      </c>
      <c r="Y10" s="139">
        <f t="shared" si="13"/>
        <v>0.5</v>
      </c>
      <c r="Z10" s="138">
        <f t="shared" si="14"/>
        <v>0</v>
      </c>
      <c r="AA10" s="138">
        <f t="shared" si="15"/>
        <v>0</v>
      </c>
      <c r="AC10" s="8"/>
      <c r="AD10" s="6"/>
    </row>
    <row r="11" spans="1:30" ht="14.25">
      <c r="A11" s="37">
        <f t="shared" si="3"/>
        <v>2</v>
      </c>
      <c r="B11" s="41">
        <f>B10+1</f>
        <v>43255</v>
      </c>
      <c r="C11" s="42">
        <f t="shared" si="4"/>
        <v>43255</v>
      </c>
      <c r="D11" s="115"/>
      <c r="E11" s="136">
        <v>900</v>
      </c>
      <c r="F11" s="136">
        <v>1200</v>
      </c>
      <c r="G11" s="136">
        <v>1300</v>
      </c>
      <c r="H11" s="136">
        <v>1800</v>
      </c>
      <c r="I11" s="74">
        <f t="shared" si="5"/>
        <v>0.33333000000000002</v>
      </c>
      <c r="J11" s="74">
        <f t="shared" si="0"/>
        <v>0</v>
      </c>
      <c r="K11" s="43">
        <f t="shared" si="6"/>
        <v>0</v>
      </c>
      <c r="L11" s="43">
        <f t="shared" si="7"/>
        <v>0</v>
      </c>
      <c r="M11" s="44">
        <f t="shared" si="8"/>
        <v>0.33333333333333337</v>
      </c>
      <c r="N11" s="143">
        <f t="shared" si="1"/>
        <v>0.30555555555555552</v>
      </c>
      <c r="O11" s="153" t="str">
        <f t="shared" si="9"/>
        <v/>
      </c>
      <c r="P11" s="143" t="str">
        <f t="shared" si="10"/>
        <v/>
      </c>
      <c r="Q11" s="44">
        <f t="shared" si="11"/>
        <v>2.7777777777777846E-2</v>
      </c>
      <c r="R11" s="45">
        <f t="shared" si="2"/>
        <v>0</v>
      </c>
      <c r="S11" s="100"/>
      <c r="T11" s="119">
        <v>4</v>
      </c>
      <c r="U11" s="106" t="s">
        <v>19</v>
      </c>
      <c r="V11" s="110">
        <v>0.30555555555555552</v>
      </c>
      <c r="X11" s="138">
        <f t="shared" si="12"/>
        <v>0.375</v>
      </c>
      <c r="Y11" s="139">
        <f t="shared" si="13"/>
        <v>0.5</v>
      </c>
      <c r="Z11" s="138">
        <f t="shared" si="14"/>
        <v>0.54166666666666663</v>
      </c>
      <c r="AA11" s="138">
        <f t="shared" si="15"/>
        <v>0.75</v>
      </c>
      <c r="AC11" s="8"/>
      <c r="AD11" s="6"/>
    </row>
    <row r="12" spans="1:30" ht="14.25">
      <c r="A12" s="37">
        <f t="shared" si="3"/>
        <v>3</v>
      </c>
      <c r="B12" s="41">
        <f>B11+1</f>
        <v>43256</v>
      </c>
      <c r="C12" s="42">
        <f t="shared" si="4"/>
        <v>43256</v>
      </c>
      <c r="D12" s="115"/>
      <c r="E12" s="136">
        <v>900</v>
      </c>
      <c r="F12" s="136">
        <v>1300</v>
      </c>
      <c r="G12" s="136">
        <v>1330</v>
      </c>
      <c r="H12" s="136">
        <v>1600</v>
      </c>
      <c r="I12" s="74">
        <f t="shared" si="5"/>
        <v>0.27083000000000002</v>
      </c>
      <c r="J12" s="74">
        <f t="shared" si="0"/>
        <v>0</v>
      </c>
      <c r="K12" s="43">
        <f t="shared" si="6"/>
        <v>0</v>
      </c>
      <c r="L12" s="43">
        <f t="shared" si="7"/>
        <v>0</v>
      </c>
      <c r="M12" s="44">
        <f t="shared" si="8"/>
        <v>0.27083333333333326</v>
      </c>
      <c r="N12" s="143">
        <f t="shared" si="1"/>
        <v>0.30555555555555552</v>
      </c>
      <c r="O12" s="153" t="str">
        <f t="shared" si="9"/>
        <v/>
      </c>
      <c r="P12" s="143">
        <f t="shared" si="10"/>
        <v>3.4722222222222265E-2</v>
      </c>
      <c r="Q12" s="44">
        <f t="shared" si="11"/>
        <v>0</v>
      </c>
      <c r="R12" s="45">
        <f t="shared" si="2"/>
        <v>0</v>
      </c>
      <c r="S12" s="100"/>
      <c r="T12" s="119">
        <v>5</v>
      </c>
      <c r="U12" s="106" t="s">
        <v>20</v>
      </c>
      <c r="V12" s="110">
        <v>0.30555555555555552</v>
      </c>
      <c r="X12" s="138">
        <f t="shared" si="12"/>
        <v>0.375</v>
      </c>
      <c r="Y12" s="139">
        <f t="shared" si="13"/>
        <v>0.54166666666666663</v>
      </c>
      <c r="Z12" s="138">
        <f t="shared" si="14"/>
        <v>0.5625</v>
      </c>
      <c r="AA12" s="138">
        <f t="shared" si="15"/>
        <v>0.66666666666666663</v>
      </c>
      <c r="AC12" s="8"/>
      <c r="AD12" s="6"/>
    </row>
    <row r="13" spans="1:30" ht="14.25">
      <c r="A13" s="37">
        <f t="shared" si="3"/>
        <v>4</v>
      </c>
      <c r="B13" s="41">
        <f t="shared" ref="B13:B35" si="16">B12+1</f>
        <v>43257</v>
      </c>
      <c r="C13" s="42">
        <f t="shared" si="4"/>
        <v>43257</v>
      </c>
      <c r="D13" s="115" t="s">
        <v>73</v>
      </c>
      <c r="E13" s="136">
        <v>1000</v>
      </c>
      <c r="F13" s="136">
        <v>1400</v>
      </c>
      <c r="G13" s="136">
        <v>0</v>
      </c>
      <c r="H13" s="136">
        <v>0</v>
      </c>
      <c r="I13" s="74">
        <f t="shared" si="5"/>
        <v>0.16667000000000001</v>
      </c>
      <c r="J13" s="74">
        <f t="shared" si="0"/>
        <v>0</v>
      </c>
      <c r="K13" s="43">
        <f t="shared" si="6"/>
        <v>0</v>
      </c>
      <c r="L13" s="43">
        <f t="shared" si="7"/>
        <v>0</v>
      </c>
      <c r="M13" s="44">
        <f t="shared" si="8"/>
        <v>0.16666666666666669</v>
      </c>
      <c r="N13" s="143">
        <f t="shared" si="1"/>
        <v>0.30555555555555552</v>
      </c>
      <c r="O13" s="153">
        <f t="shared" si="9"/>
        <v>0.13888888888888884</v>
      </c>
      <c r="P13" s="143" t="str">
        <f t="shared" si="10"/>
        <v/>
      </c>
      <c r="Q13" s="44">
        <f t="shared" si="11"/>
        <v>0</v>
      </c>
      <c r="R13" s="45">
        <f t="shared" si="2"/>
        <v>0</v>
      </c>
      <c r="S13" s="100"/>
      <c r="T13" s="119">
        <v>6</v>
      </c>
      <c r="U13" s="106" t="s">
        <v>21</v>
      </c>
      <c r="V13" s="110">
        <v>0.30555555555555552</v>
      </c>
      <c r="X13" s="138">
        <f t="shared" si="12"/>
        <v>0.41666666666666669</v>
      </c>
      <c r="Y13" s="139">
        <f t="shared" si="13"/>
        <v>0.58333333333333337</v>
      </c>
      <c r="Z13" s="138">
        <f t="shared" si="14"/>
        <v>0</v>
      </c>
      <c r="AA13" s="138">
        <f t="shared" si="15"/>
        <v>0</v>
      </c>
      <c r="AC13" s="8"/>
      <c r="AD13" s="6"/>
    </row>
    <row r="14" spans="1:30" ht="14.25">
      <c r="A14" s="37">
        <f t="shared" si="3"/>
        <v>5</v>
      </c>
      <c r="B14" s="41">
        <f t="shared" si="16"/>
        <v>43258</v>
      </c>
      <c r="C14" s="42">
        <f t="shared" si="4"/>
        <v>43258</v>
      </c>
      <c r="D14" s="115"/>
      <c r="E14" s="136">
        <v>1200</v>
      </c>
      <c r="F14" s="136">
        <v>1600</v>
      </c>
      <c r="G14" s="136">
        <v>1700</v>
      </c>
      <c r="H14" s="136">
        <v>2215</v>
      </c>
      <c r="I14" s="74">
        <f t="shared" si="5"/>
        <v>0.375</v>
      </c>
      <c r="J14" s="74">
        <f t="shared" si="0"/>
        <v>1.0416666666666741E-2</v>
      </c>
      <c r="K14" s="43">
        <f t="shared" si="6"/>
        <v>1.4880952380952484E-3</v>
      </c>
      <c r="L14" s="43">
        <f t="shared" si="7"/>
        <v>1.1904761904761989E-2</v>
      </c>
      <c r="M14" s="44">
        <f t="shared" si="8"/>
        <v>0.38690476190476186</v>
      </c>
      <c r="N14" s="143">
        <f t="shared" si="1"/>
        <v>0.30555555555555552</v>
      </c>
      <c r="O14" s="153" t="str">
        <f t="shared" si="9"/>
        <v/>
      </c>
      <c r="P14" s="143" t="str">
        <f t="shared" si="10"/>
        <v/>
      </c>
      <c r="Q14" s="44">
        <f t="shared" si="11"/>
        <v>8.1349206349206338E-2</v>
      </c>
      <c r="R14" s="45">
        <f t="shared" si="2"/>
        <v>0</v>
      </c>
      <c r="S14" s="100"/>
      <c r="T14" s="119">
        <v>7</v>
      </c>
      <c r="U14" s="113" t="s">
        <v>22</v>
      </c>
      <c r="V14" s="110">
        <v>0.30555555555555552</v>
      </c>
      <c r="X14" s="138">
        <f t="shared" si="12"/>
        <v>0.5</v>
      </c>
      <c r="Y14" s="139">
        <f t="shared" si="13"/>
        <v>0.66666666666666663</v>
      </c>
      <c r="Z14" s="138">
        <f t="shared" si="14"/>
        <v>0.70833333333333337</v>
      </c>
      <c r="AA14" s="138">
        <f t="shared" si="15"/>
        <v>0.92708333333333337</v>
      </c>
      <c r="AC14" s="8"/>
      <c r="AD14" s="6"/>
    </row>
    <row r="15" spans="1:30" ht="14.25">
      <c r="A15" s="37">
        <f t="shared" si="3"/>
        <v>6</v>
      </c>
      <c r="B15" s="41">
        <f t="shared" si="16"/>
        <v>43259</v>
      </c>
      <c r="C15" s="42">
        <f t="shared" si="4"/>
        <v>43259</v>
      </c>
      <c r="D15" s="115" t="s">
        <v>15</v>
      </c>
      <c r="E15" s="136">
        <v>0</v>
      </c>
      <c r="F15" s="136">
        <v>0</v>
      </c>
      <c r="G15" s="136">
        <v>0</v>
      </c>
      <c r="H15" s="136">
        <v>0</v>
      </c>
      <c r="I15" s="74">
        <f t="shared" si="5"/>
        <v>0</v>
      </c>
      <c r="J15" s="74">
        <f t="shared" si="0"/>
        <v>0</v>
      </c>
      <c r="K15" s="43">
        <f t="shared" si="6"/>
        <v>0</v>
      </c>
      <c r="L15" s="43">
        <f t="shared" si="7"/>
        <v>0</v>
      </c>
      <c r="M15" s="44">
        <f t="shared" si="8"/>
        <v>0</v>
      </c>
      <c r="N15" s="143">
        <f t="shared" si="1"/>
        <v>0</v>
      </c>
      <c r="O15" s="153" t="str">
        <f t="shared" si="9"/>
        <v/>
      </c>
      <c r="P15" s="143" t="str">
        <f t="shared" si="10"/>
        <v/>
      </c>
      <c r="Q15" s="44">
        <f t="shared" si="11"/>
        <v>0</v>
      </c>
      <c r="R15" s="45">
        <f t="shared" si="2"/>
        <v>0</v>
      </c>
      <c r="S15" s="100"/>
      <c r="T15" s="119">
        <v>8</v>
      </c>
      <c r="U15" s="107" t="s">
        <v>23</v>
      </c>
      <c r="V15" s="111">
        <v>0.30555555555555552</v>
      </c>
      <c r="X15" s="138">
        <f t="shared" si="12"/>
        <v>0</v>
      </c>
      <c r="Y15" s="139">
        <f t="shared" si="13"/>
        <v>0</v>
      </c>
      <c r="Z15" s="138">
        <f t="shared" si="14"/>
        <v>0</v>
      </c>
      <c r="AA15" s="138">
        <f t="shared" si="15"/>
        <v>0</v>
      </c>
      <c r="AC15" s="8"/>
      <c r="AD15" s="6"/>
    </row>
    <row r="16" spans="1:30" ht="14.25">
      <c r="A16" s="37">
        <f t="shared" si="3"/>
        <v>7</v>
      </c>
      <c r="B16" s="41">
        <f t="shared" si="16"/>
        <v>43260</v>
      </c>
      <c r="C16" s="42">
        <f t="shared" si="4"/>
        <v>43260</v>
      </c>
      <c r="D16" s="115"/>
      <c r="E16" s="136">
        <v>1000</v>
      </c>
      <c r="F16" s="136">
        <v>1400</v>
      </c>
      <c r="G16" s="136">
        <v>1445</v>
      </c>
      <c r="H16" s="136">
        <v>1730</v>
      </c>
      <c r="I16" s="74">
        <f t="shared" si="5"/>
        <v>0.28125</v>
      </c>
      <c r="J16" s="74">
        <f t="shared" si="0"/>
        <v>0</v>
      </c>
      <c r="K16" s="43">
        <f t="shared" si="6"/>
        <v>0</v>
      </c>
      <c r="L16" s="43">
        <f t="shared" si="7"/>
        <v>0</v>
      </c>
      <c r="M16" s="44">
        <f t="shared" si="8"/>
        <v>0.28124999999999994</v>
      </c>
      <c r="N16" s="143">
        <f t="shared" si="1"/>
        <v>0.30555555555555552</v>
      </c>
      <c r="O16" s="153" t="str">
        <f t="shared" si="9"/>
        <v/>
      </c>
      <c r="P16" s="143">
        <f t="shared" si="10"/>
        <v>2.430555555555558E-2</v>
      </c>
      <c r="Q16" s="44">
        <f t="shared" si="11"/>
        <v>0</v>
      </c>
      <c r="R16" s="45">
        <f t="shared" si="2"/>
        <v>0</v>
      </c>
      <c r="S16" s="100"/>
      <c r="T16" s="100"/>
      <c r="U16" s="108" t="s">
        <v>3</v>
      </c>
      <c r="V16" s="104">
        <v>0</v>
      </c>
      <c r="X16" s="138">
        <f t="shared" si="12"/>
        <v>0.41666666666666669</v>
      </c>
      <c r="Y16" s="139">
        <f t="shared" si="13"/>
        <v>0.58333333333333337</v>
      </c>
      <c r="Z16" s="138">
        <f t="shared" si="14"/>
        <v>0.61458333333333337</v>
      </c>
      <c r="AA16" s="138">
        <f t="shared" si="15"/>
        <v>0.72916666666666663</v>
      </c>
      <c r="AC16" s="8"/>
      <c r="AD16" s="6"/>
    </row>
    <row r="17" spans="1:30" ht="14.25">
      <c r="A17" s="37">
        <f t="shared" si="3"/>
        <v>8</v>
      </c>
      <c r="B17" s="41">
        <f t="shared" si="16"/>
        <v>43261</v>
      </c>
      <c r="C17" s="42" t="str">
        <f t="shared" si="4"/>
        <v>feriado</v>
      </c>
      <c r="D17" s="115"/>
      <c r="E17" s="136">
        <v>1100</v>
      </c>
      <c r="F17" s="136">
        <v>1600</v>
      </c>
      <c r="G17" s="136">
        <v>1700</v>
      </c>
      <c r="H17" s="136">
        <v>2000</v>
      </c>
      <c r="I17" s="74">
        <f t="shared" si="5"/>
        <v>0.33333000000000002</v>
      </c>
      <c r="J17" s="74">
        <f t="shared" si="0"/>
        <v>0</v>
      </c>
      <c r="K17" s="43">
        <f t="shared" si="6"/>
        <v>0</v>
      </c>
      <c r="L17" s="43">
        <f t="shared" si="7"/>
        <v>0</v>
      </c>
      <c r="M17" s="44">
        <f t="shared" si="8"/>
        <v>0.33333333333333331</v>
      </c>
      <c r="N17" s="143">
        <f t="shared" si="1"/>
        <v>0.30555555555555552</v>
      </c>
      <c r="O17" s="153" t="str">
        <f t="shared" si="9"/>
        <v/>
      </c>
      <c r="P17" s="143" t="str">
        <f t="shared" si="10"/>
        <v/>
      </c>
      <c r="Q17" s="44">
        <f t="shared" si="11"/>
        <v>2.777777777777779E-2</v>
      </c>
      <c r="R17" s="45">
        <f t="shared" si="2"/>
        <v>0</v>
      </c>
      <c r="S17" s="100"/>
      <c r="T17" s="100"/>
      <c r="U17" s="207" t="s">
        <v>24</v>
      </c>
      <c r="V17" s="208"/>
      <c r="X17" s="138">
        <f t="shared" si="12"/>
        <v>0.45833333333333331</v>
      </c>
      <c r="Y17" s="139">
        <f t="shared" si="13"/>
        <v>0.66666666666666663</v>
      </c>
      <c r="Z17" s="138">
        <f t="shared" si="14"/>
        <v>0.70833333333333337</v>
      </c>
      <c r="AA17" s="138">
        <f t="shared" si="15"/>
        <v>0.83333333333333337</v>
      </c>
      <c r="AC17" s="8"/>
      <c r="AD17" s="6"/>
    </row>
    <row r="18" spans="1:30" ht="14.25">
      <c r="A18" s="37">
        <f t="shared" si="3"/>
        <v>2</v>
      </c>
      <c r="B18" s="41">
        <f t="shared" si="16"/>
        <v>43262</v>
      </c>
      <c r="C18" s="42">
        <f t="shared" si="4"/>
        <v>43262</v>
      </c>
      <c r="D18" s="115"/>
      <c r="E18" s="136">
        <v>1900</v>
      </c>
      <c r="F18" s="136">
        <v>2100</v>
      </c>
      <c r="G18" s="136">
        <v>2200</v>
      </c>
      <c r="H18" s="136">
        <v>500</v>
      </c>
      <c r="I18" s="74">
        <f t="shared" si="5"/>
        <v>8.3330000000000001E-2</v>
      </c>
      <c r="J18" s="74">
        <f t="shared" si="0"/>
        <v>0.29166666666666663</v>
      </c>
      <c r="K18" s="43">
        <f t="shared" si="6"/>
        <v>4.1666666666666685E-2</v>
      </c>
      <c r="L18" s="43">
        <f t="shared" si="7"/>
        <v>0.33333333333333331</v>
      </c>
      <c r="M18" s="44">
        <f t="shared" si="8"/>
        <v>0.4166666666666668</v>
      </c>
      <c r="N18" s="143">
        <f t="shared" si="1"/>
        <v>0.30555555555555552</v>
      </c>
      <c r="O18" s="153" t="str">
        <f t="shared" si="9"/>
        <v/>
      </c>
      <c r="P18" s="143" t="str">
        <f t="shared" si="10"/>
        <v/>
      </c>
      <c r="Q18" s="44">
        <f t="shared" si="11"/>
        <v>0.11111111111111127</v>
      </c>
      <c r="R18" s="45">
        <f t="shared" si="2"/>
        <v>0</v>
      </c>
      <c r="S18" s="100"/>
      <c r="T18" s="100"/>
      <c r="U18" s="122" t="s">
        <v>25</v>
      </c>
      <c r="V18" s="109">
        <v>0.91666666666666663</v>
      </c>
      <c r="X18" s="138">
        <f t="shared" si="12"/>
        <v>0.79166666666666663</v>
      </c>
      <c r="Y18" s="139">
        <f t="shared" si="13"/>
        <v>0.875</v>
      </c>
      <c r="Z18" s="138">
        <f t="shared" si="14"/>
        <v>0.91666666666666663</v>
      </c>
      <c r="AA18" s="138">
        <f t="shared" si="15"/>
        <v>0.20833333333333334</v>
      </c>
      <c r="AC18" s="8"/>
      <c r="AD18" s="6"/>
    </row>
    <row r="19" spans="1:30" ht="14.25">
      <c r="A19" s="37">
        <f t="shared" si="3"/>
        <v>3</v>
      </c>
      <c r="B19" s="41">
        <f t="shared" si="16"/>
        <v>43263</v>
      </c>
      <c r="C19" s="42">
        <f t="shared" si="4"/>
        <v>43263</v>
      </c>
      <c r="D19" s="115" t="s">
        <v>15</v>
      </c>
      <c r="E19" s="136">
        <v>0</v>
      </c>
      <c r="F19" s="136">
        <v>0</v>
      </c>
      <c r="G19" s="136">
        <v>0</v>
      </c>
      <c r="H19" s="136">
        <v>0</v>
      </c>
      <c r="I19" s="74">
        <f t="shared" si="5"/>
        <v>0</v>
      </c>
      <c r="J19" s="74">
        <f t="shared" si="0"/>
        <v>0</v>
      </c>
      <c r="K19" s="43">
        <f t="shared" si="6"/>
        <v>0</v>
      </c>
      <c r="L19" s="43">
        <f t="shared" si="7"/>
        <v>0</v>
      </c>
      <c r="M19" s="44">
        <f t="shared" si="8"/>
        <v>0</v>
      </c>
      <c r="N19" s="143">
        <f t="shared" si="1"/>
        <v>0</v>
      </c>
      <c r="O19" s="153" t="str">
        <f t="shared" si="9"/>
        <v/>
      </c>
      <c r="P19" s="143" t="str">
        <f t="shared" si="10"/>
        <v/>
      </c>
      <c r="Q19" s="44">
        <f t="shared" si="11"/>
        <v>0</v>
      </c>
      <c r="R19" s="45">
        <f t="shared" si="2"/>
        <v>0</v>
      </c>
      <c r="S19" s="100"/>
      <c r="T19" s="100"/>
      <c r="U19" s="123" t="s">
        <v>26</v>
      </c>
      <c r="V19" s="111">
        <v>0.20833333333333334</v>
      </c>
      <c r="X19" s="138">
        <f t="shared" si="12"/>
        <v>0</v>
      </c>
      <c r="Y19" s="139">
        <f t="shared" si="13"/>
        <v>0</v>
      </c>
      <c r="Z19" s="138">
        <f t="shared" si="14"/>
        <v>0</v>
      </c>
      <c r="AA19" s="138">
        <f t="shared" si="15"/>
        <v>0</v>
      </c>
      <c r="AC19" s="8"/>
      <c r="AD19" s="9"/>
    </row>
    <row r="20" spans="1:30" ht="14.25">
      <c r="A20" s="37">
        <f t="shared" si="3"/>
        <v>4</v>
      </c>
      <c r="B20" s="41">
        <f t="shared" si="16"/>
        <v>43264</v>
      </c>
      <c r="C20" s="42">
        <f t="shared" si="4"/>
        <v>43264</v>
      </c>
      <c r="D20" s="115"/>
      <c r="E20" s="136">
        <v>500</v>
      </c>
      <c r="F20" s="136">
        <v>800</v>
      </c>
      <c r="G20" s="136">
        <v>900</v>
      </c>
      <c r="H20" s="136">
        <v>1200</v>
      </c>
      <c r="I20" s="74">
        <f t="shared" si="5"/>
        <v>0.25</v>
      </c>
      <c r="J20" s="74">
        <f t="shared" si="0"/>
        <v>0</v>
      </c>
      <c r="K20" s="43">
        <f t="shared" si="6"/>
        <v>0</v>
      </c>
      <c r="L20" s="43">
        <f t="shared" si="7"/>
        <v>0</v>
      </c>
      <c r="M20" s="44">
        <f t="shared" si="8"/>
        <v>0.24999999999999997</v>
      </c>
      <c r="N20" s="143">
        <f t="shared" si="1"/>
        <v>0.30555555555555552</v>
      </c>
      <c r="O20" s="153" t="str">
        <f t="shared" si="9"/>
        <v/>
      </c>
      <c r="P20" s="143">
        <f t="shared" si="10"/>
        <v>5.5555555555555552E-2</v>
      </c>
      <c r="Q20" s="44">
        <f t="shared" si="11"/>
        <v>0</v>
      </c>
      <c r="R20" s="45">
        <f t="shared" si="2"/>
        <v>0</v>
      </c>
      <c r="S20" s="100"/>
      <c r="T20" s="100"/>
      <c r="U20" s="207" t="s">
        <v>27</v>
      </c>
      <c r="V20" s="208"/>
      <c r="X20" s="138">
        <f t="shared" si="12"/>
        <v>0.20833333333333334</v>
      </c>
      <c r="Y20" s="139">
        <f t="shared" si="13"/>
        <v>0.33333333333333331</v>
      </c>
      <c r="Z20" s="138">
        <f t="shared" si="14"/>
        <v>0.375</v>
      </c>
      <c r="AA20" s="138">
        <f t="shared" si="15"/>
        <v>0.5</v>
      </c>
      <c r="AC20" s="8"/>
      <c r="AD20" s="6"/>
    </row>
    <row r="21" spans="1:30" ht="14.25">
      <c r="A21" s="37">
        <f t="shared" si="3"/>
        <v>5</v>
      </c>
      <c r="B21" s="41">
        <f t="shared" si="16"/>
        <v>43265</v>
      </c>
      <c r="C21" s="42">
        <f t="shared" si="4"/>
        <v>43265</v>
      </c>
      <c r="D21" s="115"/>
      <c r="E21" s="136">
        <v>2000</v>
      </c>
      <c r="F21" s="136">
        <v>2200</v>
      </c>
      <c r="G21" s="136">
        <v>2300</v>
      </c>
      <c r="H21" s="136">
        <v>500</v>
      </c>
      <c r="I21" s="74">
        <f t="shared" si="5"/>
        <v>8.3330000000000001E-2</v>
      </c>
      <c r="J21" s="74">
        <f t="shared" si="0"/>
        <v>0.24999999999999989</v>
      </c>
      <c r="K21" s="43">
        <f t="shared" si="6"/>
        <v>3.5714285714285698E-2</v>
      </c>
      <c r="L21" s="43">
        <f t="shared" si="7"/>
        <v>0.28571428571428559</v>
      </c>
      <c r="M21" s="44">
        <f t="shared" si="8"/>
        <v>0.36904761904761896</v>
      </c>
      <c r="N21" s="143">
        <f t="shared" si="1"/>
        <v>0.30555555555555552</v>
      </c>
      <c r="O21" s="153" t="str">
        <f t="shared" si="9"/>
        <v/>
      </c>
      <c r="P21" s="143" t="str">
        <f t="shared" si="10"/>
        <v/>
      </c>
      <c r="Q21" s="44">
        <f t="shared" si="11"/>
        <v>6.3492063492063433E-2</v>
      </c>
      <c r="R21" s="45">
        <f t="shared" si="2"/>
        <v>0</v>
      </c>
      <c r="S21" s="100"/>
      <c r="T21" s="100"/>
      <c r="U21" s="124" t="s">
        <v>28</v>
      </c>
      <c r="V21" s="146"/>
      <c r="X21" s="138">
        <f t="shared" si="12"/>
        <v>0.83333333333333337</v>
      </c>
      <c r="Y21" s="139">
        <f t="shared" si="13"/>
        <v>0.91666666666666663</v>
      </c>
      <c r="Z21" s="138">
        <f t="shared" si="14"/>
        <v>0.95833333333333337</v>
      </c>
      <c r="AA21" s="138">
        <f t="shared" si="15"/>
        <v>0.20833333333333334</v>
      </c>
    </row>
    <row r="22" spans="1:30" ht="15">
      <c r="A22" s="37">
        <f t="shared" si="3"/>
        <v>6</v>
      </c>
      <c r="B22" s="41">
        <f t="shared" si="16"/>
        <v>43266</v>
      </c>
      <c r="C22" s="42">
        <f t="shared" si="4"/>
        <v>43266</v>
      </c>
      <c r="D22" s="115" t="s">
        <v>73</v>
      </c>
      <c r="E22" s="136">
        <v>0</v>
      </c>
      <c r="F22" s="136">
        <v>0</v>
      </c>
      <c r="G22" s="136">
        <v>0</v>
      </c>
      <c r="H22" s="136">
        <v>0</v>
      </c>
      <c r="I22" s="74">
        <f t="shared" si="5"/>
        <v>0</v>
      </c>
      <c r="J22" s="74">
        <f t="shared" si="0"/>
        <v>0</v>
      </c>
      <c r="K22" s="43">
        <f t="shared" si="6"/>
        <v>0</v>
      </c>
      <c r="L22" s="43">
        <f t="shared" si="7"/>
        <v>0</v>
      </c>
      <c r="M22" s="44">
        <f t="shared" si="8"/>
        <v>0</v>
      </c>
      <c r="N22" s="143">
        <f t="shared" si="1"/>
        <v>0.30555555555555552</v>
      </c>
      <c r="O22" s="153">
        <f t="shared" si="9"/>
        <v>0.30555555555555552</v>
      </c>
      <c r="P22" s="143" t="str">
        <f t="shared" si="10"/>
        <v/>
      </c>
      <c r="Q22" s="44">
        <f t="shared" si="11"/>
        <v>0</v>
      </c>
      <c r="R22" s="45">
        <f t="shared" si="2"/>
        <v>0</v>
      </c>
      <c r="S22" s="100"/>
      <c r="T22" s="100"/>
      <c r="U22" s="144" t="s">
        <v>29</v>
      </c>
      <c r="V22" s="148">
        <v>2018</v>
      </c>
      <c r="X22" s="138">
        <f t="shared" si="12"/>
        <v>0</v>
      </c>
      <c r="Y22" s="139">
        <f t="shared" si="13"/>
        <v>0</v>
      </c>
      <c r="Z22" s="138">
        <f t="shared" si="14"/>
        <v>0</v>
      </c>
      <c r="AA22" s="138">
        <f t="shared" si="15"/>
        <v>0</v>
      </c>
    </row>
    <row r="23" spans="1:30" ht="15">
      <c r="A23" s="37">
        <f t="shared" si="3"/>
        <v>7</v>
      </c>
      <c r="B23" s="41">
        <f t="shared" si="16"/>
        <v>43267</v>
      </c>
      <c r="C23" s="42">
        <f t="shared" si="4"/>
        <v>43267</v>
      </c>
      <c r="D23" s="115"/>
      <c r="E23" s="136">
        <v>1500</v>
      </c>
      <c r="F23" s="136">
        <v>1900</v>
      </c>
      <c r="G23" s="136">
        <v>2000</v>
      </c>
      <c r="H23" s="136">
        <v>100</v>
      </c>
      <c r="I23" s="74">
        <f t="shared" si="5"/>
        <v>0.25</v>
      </c>
      <c r="J23" s="74">
        <f t="shared" si="0"/>
        <v>0.12500000000000011</v>
      </c>
      <c r="K23" s="43">
        <f t="shared" si="6"/>
        <v>1.7857142857142877E-2</v>
      </c>
      <c r="L23" s="43">
        <f t="shared" si="7"/>
        <v>0.14285714285714299</v>
      </c>
      <c r="M23" s="44">
        <f t="shared" si="8"/>
        <v>0.39285714285714279</v>
      </c>
      <c r="N23" s="143">
        <f t="shared" si="1"/>
        <v>0.30555555555555552</v>
      </c>
      <c r="O23" s="153" t="str">
        <f t="shared" si="9"/>
        <v/>
      </c>
      <c r="P23" s="143" t="str">
        <f t="shared" si="10"/>
        <v/>
      </c>
      <c r="Q23" s="44">
        <f t="shared" si="11"/>
        <v>8.7301587301587269E-2</v>
      </c>
      <c r="R23" s="45">
        <f t="shared" si="2"/>
        <v>0</v>
      </c>
      <c r="S23" s="100"/>
      <c r="T23" s="100"/>
      <c r="U23" s="144" t="s">
        <v>30</v>
      </c>
      <c r="V23" s="147">
        <v>6</v>
      </c>
      <c r="X23" s="138">
        <f t="shared" si="12"/>
        <v>0.625</v>
      </c>
      <c r="Y23" s="139">
        <f t="shared" si="13"/>
        <v>0.79166666666666663</v>
      </c>
      <c r="Z23" s="138">
        <f t="shared" si="14"/>
        <v>0.83333333333333337</v>
      </c>
      <c r="AA23" s="138">
        <f t="shared" si="15"/>
        <v>4.1666666666666664E-2</v>
      </c>
      <c r="AC23" s="5"/>
      <c r="AD23" s="4"/>
    </row>
    <row r="24" spans="1:30" ht="14.25">
      <c r="A24" s="37">
        <f t="shared" si="3"/>
        <v>1</v>
      </c>
      <c r="B24" s="41">
        <f t="shared" si="16"/>
        <v>43268</v>
      </c>
      <c r="C24" s="42">
        <f t="shared" si="4"/>
        <v>43268</v>
      </c>
      <c r="D24" s="115"/>
      <c r="E24" s="136">
        <v>0</v>
      </c>
      <c r="F24" s="136">
        <v>0</v>
      </c>
      <c r="G24" s="136">
        <v>0</v>
      </c>
      <c r="H24" s="136">
        <v>0</v>
      </c>
      <c r="I24" s="74">
        <f t="shared" si="5"/>
        <v>0</v>
      </c>
      <c r="J24" s="74">
        <f t="shared" si="0"/>
        <v>0</v>
      </c>
      <c r="K24" s="43">
        <f t="shared" si="6"/>
        <v>0</v>
      </c>
      <c r="L24" s="43">
        <f t="shared" si="7"/>
        <v>0</v>
      </c>
      <c r="M24" s="44">
        <f t="shared" si="8"/>
        <v>0</v>
      </c>
      <c r="N24" s="143">
        <f t="shared" si="1"/>
        <v>0.30555555555555552</v>
      </c>
      <c r="O24" s="153" t="str">
        <f t="shared" si="9"/>
        <v/>
      </c>
      <c r="P24" s="143">
        <f t="shared" si="10"/>
        <v>0.30555555555555552</v>
      </c>
      <c r="Q24" s="44">
        <f t="shared" si="11"/>
        <v>0</v>
      </c>
      <c r="R24" s="45">
        <f t="shared" si="2"/>
        <v>0</v>
      </c>
      <c r="S24" s="100"/>
      <c r="T24" s="100"/>
      <c r="U24" s="171"/>
      <c r="V24" s="100"/>
      <c r="X24" s="138">
        <f t="shared" si="12"/>
        <v>0</v>
      </c>
      <c r="Y24" s="139">
        <f t="shared" si="13"/>
        <v>0</v>
      </c>
      <c r="Z24" s="138">
        <f t="shared" si="14"/>
        <v>0</v>
      </c>
      <c r="AA24" s="138">
        <f t="shared" si="15"/>
        <v>0</v>
      </c>
    </row>
    <row r="25" spans="1:30" ht="14.25">
      <c r="A25" s="37">
        <f t="shared" si="3"/>
        <v>2</v>
      </c>
      <c r="B25" s="41">
        <f t="shared" si="16"/>
        <v>43269</v>
      </c>
      <c r="C25" s="42">
        <f t="shared" si="4"/>
        <v>43269</v>
      </c>
      <c r="D25" s="115"/>
      <c r="E25" s="136">
        <v>1600</v>
      </c>
      <c r="F25" s="136">
        <v>1900</v>
      </c>
      <c r="G25" s="136">
        <v>2000</v>
      </c>
      <c r="H25" s="136">
        <v>300</v>
      </c>
      <c r="I25" s="74">
        <f t="shared" si="5"/>
        <v>0.20832999999999999</v>
      </c>
      <c r="J25" s="74">
        <f t="shared" si="0"/>
        <v>0.20833333333333337</v>
      </c>
      <c r="K25" s="43">
        <f t="shared" si="6"/>
        <v>2.9761904761904767E-2</v>
      </c>
      <c r="L25" s="43">
        <f t="shared" si="7"/>
        <v>0.23809523809523814</v>
      </c>
      <c r="M25" s="44">
        <f t="shared" si="8"/>
        <v>0.4464285714285714</v>
      </c>
      <c r="N25" s="143">
        <f t="shared" si="1"/>
        <v>0.30555555555555552</v>
      </c>
      <c r="O25" s="153" t="str">
        <f t="shared" si="9"/>
        <v/>
      </c>
      <c r="P25" s="143" t="str">
        <f t="shared" si="10"/>
        <v/>
      </c>
      <c r="Q25" s="44">
        <f t="shared" si="11"/>
        <v>0.14087301587301587</v>
      </c>
      <c r="R25" s="45">
        <f t="shared" si="2"/>
        <v>0</v>
      </c>
      <c r="S25" s="100"/>
      <c r="T25" s="100"/>
      <c r="U25" s="191" t="s">
        <v>86</v>
      </c>
      <c r="V25" s="108">
        <f>L39</f>
        <v>2.9523809523809526</v>
      </c>
      <c r="X25" s="138">
        <f t="shared" si="12"/>
        <v>0.66666666666666663</v>
      </c>
      <c r="Y25" s="139">
        <f t="shared" si="13"/>
        <v>0.79166666666666663</v>
      </c>
      <c r="Z25" s="138">
        <f t="shared" si="14"/>
        <v>0.83333333333333337</v>
      </c>
      <c r="AA25" s="138">
        <f t="shared" si="15"/>
        <v>0.125</v>
      </c>
    </row>
    <row r="26" spans="1:30" ht="14.25">
      <c r="A26" s="37">
        <f t="shared" si="3"/>
        <v>3</v>
      </c>
      <c r="B26" s="41">
        <f t="shared" si="16"/>
        <v>43270</v>
      </c>
      <c r="C26" s="42">
        <f t="shared" si="4"/>
        <v>43270</v>
      </c>
      <c r="D26" s="115" t="s">
        <v>15</v>
      </c>
      <c r="E26" s="136">
        <v>1600</v>
      </c>
      <c r="F26" s="136">
        <v>1900</v>
      </c>
      <c r="G26" s="136">
        <v>2000</v>
      </c>
      <c r="H26" s="136">
        <v>400</v>
      </c>
      <c r="I26" s="74">
        <f t="shared" si="5"/>
        <v>0.20832999999999999</v>
      </c>
      <c r="J26" s="74">
        <f t="shared" si="0"/>
        <v>0.25000000000000011</v>
      </c>
      <c r="K26" s="43">
        <f t="shared" si="6"/>
        <v>3.5714285714285754E-2</v>
      </c>
      <c r="L26" s="43">
        <f t="shared" si="7"/>
        <v>0.28571428571428586</v>
      </c>
      <c r="M26" s="44">
        <f t="shared" si="8"/>
        <v>0.49404761904761901</v>
      </c>
      <c r="N26" s="143">
        <f t="shared" si="1"/>
        <v>0</v>
      </c>
      <c r="O26" s="153" t="str">
        <f t="shared" si="9"/>
        <v/>
      </c>
      <c r="P26" s="143" t="str">
        <f t="shared" si="10"/>
        <v/>
      </c>
      <c r="Q26" s="44">
        <f t="shared" si="11"/>
        <v>0</v>
      </c>
      <c r="R26" s="45">
        <f t="shared" si="2"/>
        <v>0.49404761904761901</v>
      </c>
      <c r="S26" s="100"/>
      <c r="T26" s="100"/>
      <c r="U26" s="192" t="s">
        <v>80</v>
      </c>
      <c r="V26" s="193">
        <f>M39</f>
        <v>8.2544642857142847</v>
      </c>
      <c r="X26" s="138">
        <f t="shared" si="12"/>
        <v>0.66666666666666663</v>
      </c>
      <c r="Y26" s="139">
        <f t="shared" si="13"/>
        <v>0.79166666666666663</v>
      </c>
      <c r="Z26" s="138">
        <f t="shared" si="14"/>
        <v>0.83333333333333337</v>
      </c>
      <c r="AA26" s="138">
        <f t="shared" si="15"/>
        <v>0.16666666666666666</v>
      </c>
    </row>
    <row r="27" spans="1:30" ht="14.25">
      <c r="A27" s="37">
        <f t="shared" si="3"/>
        <v>4</v>
      </c>
      <c r="B27" s="41">
        <f t="shared" si="16"/>
        <v>43271</v>
      </c>
      <c r="C27" s="42">
        <f t="shared" si="4"/>
        <v>43271</v>
      </c>
      <c r="D27" s="115"/>
      <c r="E27" s="136">
        <v>1600</v>
      </c>
      <c r="F27" s="136">
        <v>1900</v>
      </c>
      <c r="G27" s="136">
        <v>2000</v>
      </c>
      <c r="H27" s="136">
        <v>2200</v>
      </c>
      <c r="I27" s="74">
        <f t="shared" si="5"/>
        <v>0.20832999999999999</v>
      </c>
      <c r="J27" s="74">
        <f t="shared" si="0"/>
        <v>0</v>
      </c>
      <c r="K27" s="43">
        <f t="shared" si="6"/>
        <v>0</v>
      </c>
      <c r="L27" s="43">
        <f t="shared" si="7"/>
        <v>0</v>
      </c>
      <c r="M27" s="44">
        <f t="shared" si="8"/>
        <v>0.20833333333333326</v>
      </c>
      <c r="N27" s="143">
        <f t="shared" si="1"/>
        <v>0.30555555555555552</v>
      </c>
      <c r="O27" s="153" t="str">
        <f t="shared" si="9"/>
        <v/>
      </c>
      <c r="P27" s="143">
        <f t="shared" si="10"/>
        <v>9.7222222222222265E-2</v>
      </c>
      <c r="Q27" s="44">
        <f t="shared" si="11"/>
        <v>0</v>
      </c>
      <c r="R27" s="45">
        <f t="shared" si="2"/>
        <v>0</v>
      </c>
      <c r="S27" s="100"/>
      <c r="T27" s="100"/>
      <c r="U27" s="178" t="s">
        <v>81</v>
      </c>
      <c r="V27" s="179">
        <f>O39</f>
        <v>0.48809523809523808</v>
      </c>
      <c r="X27" s="138">
        <f t="shared" si="12"/>
        <v>0.66666666666666663</v>
      </c>
      <c r="Y27" s="139">
        <f t="shared" si="13"/>
        <v>0.79166666666666663</v>
      </c>
      <c r="Z27" s="138">
        <f t="shared" si="14"/>
        <v>0.83333333333333337</v>
      </c>
      <c r="AA27" s="138">
        <f t="shared" si="15"/>
        <v>0.91666666666666663</v>
      </c>
    </row>
    <row r="28" spans="1:30" ht="14.25">
      <c r="A28" s="37">
        <f t="shared" si="3"/>
        <v>5</v>
      </c>
      <c r="B28" s="41">
        <f t="shared" si="16"/>
        <v>43272</v>
      </c>
      <c r="C28" s="42">
        <f t="shared" si="4"/>
        <v>43272</v>
      </c>
      <c r="D28" s="115"/>
      <c r="E28" s="136">
        <v>1700</v>
      </c>
      <c r="F28" s="136">
        <v>2000</v>
      </c>
      <c r="G28" s="136">
        <v>2400</v>
      </c>
      <c r="H28" s="136">
        <v>500</v>
      </c>
      <c r="I28" s="74">
        <f t="shared" si="5"/>
        <v>0.125</v>
      </c>
      <c r="J28" s="74">
        <f t="shared" si="0"/>
        <v>0.20833333333333334</v>
      </c>
      <c r="K28" s="43">
        <f t="shared" si="6"/>
        <v>2.9761904761904767E-2</v>
      </c>
      <c r="L28" s="43">
        <f t="shared" si="7"/>
        <v>0.23809523809523811</v>
      </c>
      <c r="M28" s="44">
        <f t="shared" si="8"/>
        <v>0.36309523809523814</v>
      </c>
      <c r="N28" s="143">
        <f t="shared" si="1"/>
        <v>0.30555555555555552</v>
      </c>
      <c r="O28" s="153" t="str">
        <f t="shared" si="9"/>
        <v/>
      </c>
      <c r="P28" s="143" t="str">
        <f t="shared" si="10"/>
        <v/>
      </c>
      <c r="Q28" s="44">
        <f t="shared" si="11"/>
        <v>5.7539682539682613E-2</v>
      </c>
      <c r="R28" s="45">
        <f t="shared" si="2"/>
        <v>0</v>
      </c>
      <c r="S28" s="100"/>
      <c r="T28" s="100"/>
      <c r="U28" s="185" t="s">
        <v>82</v>
      </c>
      <c r="V28" s="186">
        <f>P39</f>
        <v>1.7475198412698416</v>
      </c>
      <c r="X28" s="138">
        <f t="shared" si="12"/>
        <v>0.70833333333333337</v>
      </c>
      <c r="Y28" s="139">
        <f t="shared" si="13"/>
        <v>0.83333333333333337</v>
      </c>
      <c r="Z28" s="138">
        <f t="shared" si="14"/>
        <v>0</v>
      </c>
      <c r="AA28" s="138">
        <f t="shared" si="15"/>
        <v>0.20833333333333334</v>
      </c>
    </row>
    <row r="29" spans="1:30" ht="14.25">
      <c r="A29" s="37">
        <f t="shared" si="3"/>
        <v>6</v>
      </c>
      <c r="B29" s="41">
        <f t="shared" si="16"/>
        <v>43273</v>
      </c>
      <c r="C29" s="42">
        <f t="shared" si="4"/>
        <v>43273</v>
      </c>
      <c r="D29" s="115"/>
      <c r="E29" s="136">
        <v>1700</v>
      </c>
      <c r="F29" s="136">
        <v>1900</v>
      </c>
      <c r="G29" s="136">
        <v>0</v>
      </c>
      <c r="H29" s="136">
        <v>0</v>
      </c>
      <c r="I29" s="74">
        <f t="shared" si="5"/>
        <v>8.3330000000000001E-2</v>
      </c>
      <c r="J29" s="74">
        <f t="shared" si="0"/>
        <v>0</v>
      </c>
      <c r="K29" s="43">
        <f t="shared" si="6"/>
        <v>0</v>
      </c>
      <c r="L29" s="43">
        <f t="shared" si="7"/>
        <v>0</v>
      </c>
      <c r="M29" s="44">
        <f t="shared" si="8"/>
        <v>8.3333333333333259E-2</v>
      </c>
      <c r="N29" s="143">
        <f t="shared" si="1"/>
        <v>0.30555555555555552</v>
      </c>
      <c r="O29" s="153" t="str">
        <f t="shared" si="9"/>
        <v/>
      </c>
      <c r="P29" s="143">
        <f t="shared" si="10"/>
        <v>0.22222222222222227</v>
      </c>
      <c r="Q29" s="44">
        <f t="shared" si="11"/>
        <v>0</v>
      </c>
      <c r="R29" s="45">
        <f t="shared" si="2"/>
        <v>0</v>
      </c>
      <c r="S29" s="100"/>
      <c r="T29" s="100"/>
      <c r="U29" s="178" t="s">
        <v>83</v>
      </c>
      <c r="V29" s="179">
        <f>Q39</f>
        <v>1.6458333333333333</v>
      </c>
      <c r="X29" s="138">
        <f t="shared" si="12"/>
        <v>0.70833333333333337</v>
      </c>
      <c r="Y29" s="139">
        <f t="shared" si="13"/>
        <v>0.79166666666666663</v>
      </c>
      <c r="Z29" s="138">
        <f t="shared" si="14"/>
        <v>0</v>
      </c>
      <c r="AA29" s="138">
        <f t="shared" si="15"/>
        <v>0</v>
      </c>
    </row>
    <row r="30" spans="1:30" ht="14.25">
      <c r="A30" s="37">
        <f t="shared" si="3"/>
        <v>7</v>
      </c>
      <c r="B30" s="41">
        <f t="shared" si="16"/>
        <v>43274</v>
      </c>
      <c r="C30" s="42">
        <f t="shared" si="4"/>
        <v>43274</v>
      </c>
      <c r="D30" s="115"/>
      <c r="E30" s="136">
        <v>0</v>
      </c>
      <c r="F30" s="136">
        <v>0</v>
      </c>
      <c r="G30" s="136">
        <v>0</v>
      </c>
      <c r="H30" s="136">
        <v>0</v>
      </c>
      <c r="I30" s="74">
        <f t="shared" si="5"/>
        <v>0</v>
      </c>
      <c r="J30" s="74">
        <f t="shared" si="0"/>
        <v>0</v>
      </c>
      <c r="K30" s="43">
        <f t="shared" si="6"/>
        <v>0</v>
      </c>
      <c r="L30" s="43">
        <f t="shared" si="7"/>
        <v>0</v>
      </c>
      <c r="M30" s="44">
        <f t="shared" si="8"/>
        <v>0</v>
      </c>
      <c r="N30" s="143">
        <f t="shared" si="1"/>
        <v>0.30555555555555552</v>
      </c>
      <c r="O30" s="153" t="str">
        <f t="shared" si="9"/>
        <v/>
      </c>
      <c r="P30" s="143">
        <f t="shared" si="10"/>
        <v>0.30555555555555552</v>
      </c>
      <c r="Q30" s="44">
        <f t="shared" si="11"/>
        <v>0</v>
      </c>
      <c r="R30" s="45">
        <f t="shared" si="2"/>
        <v>0</v>
      </c>
      <c r="S30" s="100"/>
      <c r="T30" s="100"/>
      <c r="U30" s="187" t="s">
        <v>84</v>
      </c>
      <c r="V30" s="188">
        <f>R39</f>
        <v>1.8690476190476191</v>
      </c>
      <c r="X30" s="138">
        <f t="shared" si="12"/>
        <v>0</v>
      </c>
      <c r="Y30" s="139">
        <f t="shared" si="13"/>
        <v>0</v>
      </c>
      <c r="Z30" s="138">
        <f t="shared" si="14"/>
        <v>0</v>
      </c>
      <c r="AA30" s="138">
        <f t="shared" si="15"/>
        <v>0</v>
      </c>
    </row>
    <row r="31" spans="1:30" ht="14.25">
      <c r="A31" s="37">
        <f t="shared" si="3"/>
        <v>8</v>
      </c>
      <c r="B31" s="41">
        <f t="shared" si="16"/>
        <v>43275</v>
      </c>
      <c r="C31" s="42" t="str">
        <f>IF(B31="","",IF(COUNTIF(fer,B31)&gt;0,"feriado",B31))</f>
        <v>feriado</v>
      </c>
      <c r="D31" s="115"/>
      <c r="E31" s="136">
        <v>1700</v>
      </c>
      <c r="F31" s="136">
        <v>1900</v>
      </c>
      <c r="G31" s="136">
        <v>2000</v>
      </c>
      <c r="H31" s="136">
        <v>2300</v>
      </c>
      <c r="I31" s="74">
        <f t="shared" si="5"/>
        <v>0.16667000000000001</v>
      </c>
      <c r="J31" s="74">
        <f t="shared" si="0"/>
        <v>4.1666666666666741E-2</v>
      </c>
      <c r="K31" s="43">
        <f t="shared" si="6"/>
        <v>5.9523809523809659E-3</v>
      </c>
      <c r="L31" s="43">
        <f t="shared" si="7"/>
        <v>4.7619047619047707E-2</v>
      </c>
      <c r="M31" s="44">
        <f t="shared" si="8"/>
        <v>0.21428571428571422</v>
      </c>
      <c r="N31" s="143">
        <f t="shared" si="1"/>
        <v>0.30555555555555552</v>
      </c>
      <c r="O31" s="153" t="str">
        <f t="shared" si="9"/>
        <v/>
      </c>
      <c r="P31" s="143">
        <f t="shared" si="10"/>
        <v>9.1269841269841306E-2</v>
      </c>
      <c r="Q31" s="44">
        <f t="shared" si="11"/>
        <v>0</v>
      </c>
      <c r="R31" s="45">
        <f t="shared" si="2"/>
        <v>0</v>
      </c>
      <c r="S31" s="100"/>
      <c r="T31" s="100"/>
      <c r="U31" s="100"/>
      <c r="V31" s="100"/>
      <c r="X31" s="138">
        <f t="shared" si="12"/>
        <v>0.70833333333333337</v>
      </c>
      <c r="Y31" s="139">
        <f t="shared" si="13"/>
        <v>0.79166666666666663</v>
      </c>
      <c r="Z31" s="138">
        <f t="shared" si="14"/>
        <v>0.83333333333333337</v>
      </c>
      <c r="AA31" s="138">
        <f t="shared" si="15"/>
        <v>0.95833333333333337</v>
      </c>
    </row>
    <row r="32" spans="1:30" ht="14.25">
      <c r="A32" s="37">
        <f t="shared" si="3"/>
        <v>2</v>
      </c>
      <c r="B32" s="41">
        <f t="shared" si="16"/>
        <v>43276</v>
      </c>
      <c r="C32" s="42">
        <f t="shared" si="4"/>
        <v>43276</v>
      </c>
      <c r="D32" s="115" t="s">
        <v>15</v>
      </c>
      <c r="E32" s="136">
        <v>1700</v>
      </c>
      <c r="F32" s="136">
        <v>1900</v>
      </c>
      <c r="G32" s="136">
        <v>2000</v>
      </c>
      <c r="H32" s="136">
        <v>700</v>
      </c>
      <c r="I32" s="74">
        <f t="shared" si="5"/>
        <v>0.25</v>
      </c>
      <c r="J32" s="74">
        <f t="shared" si="0"/>
        <v>0.29166666666666663</v>
      </c>
      <c r="K32" s="43">
        <f t="shared" si="6"/>
        <v>4.1666666666666685E-2</v>
      </c>
      <c r="L32" s="43">
        <f t="shared" si="7"/>
        <v>0.33333333333333331</v>
      </c>
      <c r="M32" s="44">
        <f t="shared" si="8"/>
        <v>0.58333333333333326</v>
      </c>
      <c r="N32" s="143">
        <f t="shared" si="1"/>
        <v>0</v>
      </c>
      <c r="O32" s="153" t="str">
        <f t="shared" si="9"/>
        <v/>
      </c>
      <c r="P32" s="143" t="str">
        <f t="shared" si="10"/>
        <v/>
      </c>
      <c r="Q32" s="44">
        <f t="shared" si="11"/>
        <v>0</v>
      </c>
      <c r="R32" s="45">
        <f t="shared" si="2"/>
        <v>0.58333333333333326</v>
      </c>
      <c r="S32" s="100"/>
      <c r="T32" s="100"/>
      <c r="U32" s="180" t="str">
        <f>IF(V28-V29=0,0,(IF(V28-V29&lt;0,"Horas Extras","Horas Compensadas")))</f>
        <v>Horas Compensadas</v>
      </c>
      <c r="V32" s="190">
        <f>IF(V28-V29&lt;0,(V28*-1)-(V29*-1),V28-V29)</f>
        <v>0.10168650793650835</v>
      </c>
      <c r="X32" s="138">
        <f t="shared" si="12"/>
        <v>0.70833333333333337</v>
      </c>
      <c r="Y32" s="139">
        <f t="shared" si="13"/>
        <v>0.79166666666666663</v>
      </c>
      <c r="Z32" s="138">
        <f t="shared" si="14"/>
        <v>0.83333333333333337</v>
      </c>
      <c r="AA32" s="138">
        <f t="shared" si="15"/>
        <v>0.29166666666666669</v>
      </c>
    </row>
    <row r="33" spans="1:27" ht="14.25">
      <c r="A33" s="37">
        <f t="shared" si="3"/>
        <v>3</v>
      </c>
      <c r="B33" s="41">
        <f t="shared" si="16"/>
        <v>43277</v>
      </c>
      <c r="C33" s="42">
        <f t="shared" si="4"/>
        <v>43277</v>
      </c>
      <c r="D33" s="115"/>
      <c r="E33" s="136">
        <v>0</v>
      </c>
      <c r="F33" s="136">
        <v>0</v>
      </c>
      <c r="G33" s="136">
        <v>0</v>
      </c>
      <c r="H33" s="136">
        <v>0</v>
      </c>
      <c r="I33" s="74">
        <f t="shared" si="5"/>
        <v>0</v>
      </c>
      <c r="J33" s="74">
        <f t="shared" si="0"/>
        <v>0</v>
      </c>
      <c r="K33" s="43">
        <f t="shared" si="6"/>
        <v>0</v>
      </c>
      <c r="L33" s="43">
        <f t="shared" si="7"/>
        <v>0</v>
      </c>
      <c r="M33" s="44">
        <f t="shared" si="8"/>
        <v>0</v>
      </c>
      <c r="N33" s="143">
        <f t="shared" si="1"/>
        <v>0.30555555555555552</v>
      </c>
      <c r="O33" s="153" t="str">
        <f t="shared" si="9"/>
        <v/>
      </c>
      <c r="P33" s="143">
        <f t="shared" si="10"/>
        <v>0.30555555555555552</v>
      </c>
      <c r="Q33" s="44">
        <f t="shared" si="11"/>
        <v>0</v>
      </c>
      <c r="R33" s="45">
        <f t="shared" si="2"/>
        <v>0</v>
      </c>
      <c r="S33" s="100"/>
      <c r="T33" s="100"/>
      <c r="U33" s="100"/>
      <c r="V33" s="100"/>
      <c r="X33" s="138">
        <f t="shared" si="12"/>
        <v>0</v>
      </c>
      <c r="Y33" s="139">
        <f t="shared" si="13"/>
        <v>0</v>
      </c>
      <c r="Z33" s="138">
        <f t="shared" si="14"/>
        <v>0</v>
      </c>
      <c r="AA33" s="138">
        <f t="shared" si="15"/>
        <v>0</v>
      </c>
    </row>
    <row r="34" spans="1:27" ht="14.25">
      <c r="A34" s="37">
        <f t="shared" si="3"/>
        <v>4</v>
      </c>
      <c r="B34" s="41">
        <f t="shared" si="16"/>
        <v>43278</v>
      </c>
      <c r="C34" s="42">
        <f t="shared" si="4"/>
        <v>43278</v>
      </c>
      <c r="D34" s="115" t="s">
        <v>73</v>
      </c>
      <c r="E34" s="136">
        <v>1800</v>
      </c>
      <c r="F34" s="136">
        <v>2200</v>
      </c>
      <c r="G34" s="136">
        <v>2300</v>
      </c>
      <c r="H34" s="136">
        <v>100</v>
      </c>
      <c r="I34" s="74">
        <f t="shared" si="5"/>
        <v>0.16667000000000001</v>
      </c>
      <c r="J34" s="74">
        <f t="shared" si="0"/>
        <v>8.333333333333337E-2</v>
      </c>
      <c r="K34" s="43">
        <f t="shared" si="6"/>
        <v>1.1904761904761904E-2</v>
      </c>
      <c r="L34" s="43">
        <f t="shared" si="7"/>
        <v>9.5238095238095274E-2</v>
      </c>
      <c r="M34" s="44">
        <f t="shared" si="8"/>
        <v>0.26190476190476181</v>
      </c>
      <c r="N34" s="143">
        <f t="shared" si="1"/>
        <v>0.30555555555555552</v>
      </c>
      <c r="O34" s="153">
        <f t="shared" si="9"/>
        <v>4.3650793650793718E-2</v>
      </c>
      <c r="P34" s="143" t="str">
        <f t="shared" si="10"/>
        <v/>
      </c>
      <c r="Q34" s="44">
        <f t="shared" si="11"/>
        <v>0</v>
      </c>
      <c r="R34" s="45">
        <f t="shared" si="2"/>
        <v>0</v>
      </c>
      <c r="S34" s="100"/>
      <c r="T34" s="100"/>
      <c r="U34" s="100"/>
      <c r="V34" s="100"/>
      <c r="X34" s="138">
        <f t="shared" si="12"/>
        <v>0.75</v>
      </c>
      <c r="Y34" s="139">
        <f t="shared" si="13"/>
        <v>0.91666666666666663</v>
      </c>
      <c r="Z34" s="138">
        <f t="shared" si="14"/>
        <v>0.95833333333333337</v>
      </c>
      <c r="AA34" s="138">
        <f t="shared" si="15"/>
        <v>4.1666666666666664E-2</v>
      </c>
    </row>
    <row r="35" spans="1:27" ht="14.25">
      <c r="A35" s="37">
        <f t="shared" si="3"/>
        <v>5</v>
      </c>
      <c r="B35" s="41">
        <f t="shared" si="16"/>
        <v>43279</v>
      </c>
      <c r="C35" s="42">
        <f t="shared" si="4"/>
        <v>43279</v>
      </c>
      <c r="D35" s="115"/>
      <c r="E35" s="136">
        <v>1800</v>
      </c>
      <c r="F35" s="136">
        <v>2200</v>
      </c>
      <c r="G35" s="136">
        <v>2300</v>
      </c>
      <c r="H35" s="136">
        <v>900</v>
      </c>
      <c r="I35" s="74">
        <f t="shared" si="5"/>
        <v>0.33333000000000002</v>
      </c>
      <c r="J35" s="74">
        <f t="shared" si="0"/>
        <v>0.24999999999999989</v>
      </c>
      <c r="K35" s="43">
        <f t="shared" si="6"/>
        <v>3.5714285714285698E-2</v>
      </c>
      <c r="L35" s="43">
        <f t="shared" si="7"/>
        <v>0.28571428571428559</v>
      </c>
      <c r="M35" s="44">
        <f t="shared" si="8"/>
        <v>0.61904761904761896</v>
      </c>
      <c r="N35" s="143">
        <f t="shared" si="1"/>
        <v>0.30555555555555552</v>
      </c>
      <c r="O35" s="153" t="str">
        <f t="shared" si="9"/>
        <v/>
      </c>
      <c r="P35" s="143" t="str">
        <f t="shared" si="10"/>
        <v/>
      </c>
      <c r="Q35" s="44">
        <f t="shared" si="11"/>
        <v>0.31349206349206343</v>
      </c>
      <c r="R35" s="45">
        <f t="shared" si="2"/>
        <v>0</v>
      </c>
      <c r="S35" s="100"/>
      <c r="T35" s="100"/>
      <c r="U35" s="100"/>
      <c r="V35" s="100"/>
      <c r="X35" s="138">
        <f t="shared" si="12"/>
        <v>0.75</v>
      </c>
      <c r="Y35" s="139">
        <f t="shared" si="13"/>
        <v>0.91666666666666663</v>
      </c>
      <c r="Z35" s="138">
        <f t="shared" si="14"/>
        <v>0.95833333333333337</v>
      </c>
      <c r="AA35" s="138">
        <f t="shared" si="15"/>
        <v>0.375</v>
      </c>
    </row>
    <row r="36" spans="1:27" ht="14.25">
      <c r="A36" s="37">
        <f t="shared" si="3"/>
        <v>6</v>
      </c>
      <c r="B36" s="46">
        <f>IF(B35="","",IF(B35&gt;=fim,"",B35+1))</f>
        <v>43280</v>
      </c>
      <c r="C36" s="42">
        <f t="shared" si="4"/>
        <v>43280</v>
      </c>
      <c r="D36" s="115"/>
      <c r="E36" s="136">
        <v>1800</v>
      </c>
      <c r="F36" s="136">
        <v>2200</v>
      </c>
      <c r="G36" s="136">
        <v>2215</v>
      </c>
      <c r="H36" s="136">
        <v>800</v>
      </c>
      <c r="I36" s="74">
        <f t="shared" si="5"/>
        <v>0.29166999999999998</v>
      </c>
      <c r="J36" s="74">
        <f t="shared" si="0"/>
        <v>0.28124999999999989</v>
      </c>
      <c r="K36" s="43">
        <f t="shared" si="6"/>
        <v>4.0178571428571397E-2</v>
      </c>
      <c r="L36" s="43">
        <f t="shared" si="7"/>
        <v>0.32142857142857129</v>
      </c>
      <c r="M36" s="44">
        <f t="shared" si="8"/>
        <v>0.61309523809523803</v>
      </c>
      <c r="N36" s="143">
        <f t="shared" si="1"/>
        <v>0.30555555555555552</v>
      </c>
      <c r="O36" s="153" t="str">
        <f t="shared" si="9"/>
        <v/>
      </c>
      <c r="P36" s="143" t="str">
        <f t="shared" si="10"/>
        <v/>
      </c>
      <c r="Q36" s="44">
        <f t="shared" si="11"/>
        <v>0.3075396825396825</v>
      </c>
      <c r="R36" s="45">
        <f t="shared" si="2"/>
        <v>0</v>
      </c>
      <c r="S36" s="100"/>
      <c r="T36" s="100"/>
      <c r="U36" s="100"/>
      <c r="V36" s="100"/>
      <c r="X36" s="138">
        <f t="shared" si="12"/>
        <v>0.75</v>
      </c>
      <c r="Y36" s="139">
        <f t="shared" si="13"/>
        <v>0.91666666666666663</v>
      </c>
      <c r="Z36" s="138">
        <f t="shared" si="14"/>
        <v>0.92708333333333337</v>
      </c>
      <c r="AA36" s="138">
        <f t="shared" si="15"/>
        <v>0.33333333333333331</v>
      </c>
    </row>
    <row r="37" spans="1:27" ht="14.25">
      <c r="A37" s="37">
        <f t="shared" si="3"/>
        <v>7</v>
      </c>
      <c r="B37" s="46">
        <f>IF(B36="","",IF(B36&gt;=fim,"",B36+1))</f>
        <v>43281</v>
      </c>
      <c r="C37" s="42">
        <f t="shared" si="4"/>
        <v>43281</v>
      </c>
      <c r="D37" s="115" t="s">
        <v>15</v>
      </c>
      <c r="E37" s="136">
        <v>1800</v>
      </c>
      <c r="F37" s="136">
        <v>2200</v>
      </c>
      <c r="G37" s="136">
        <v>2200</v>
      </c>
      <c r="H37" s="136">
        <v>800</v>
      </c>
      <c r="I37" s="74">
        <f t="shared" si="5"/>
        <v>0.29166999999999998</v>
      </c>
      <c r="J37" s="74">
        <f t="shared" si="0"/>
        <v>0.29166666666666663</v>
      </c>
      <c r="K37" s="43">
        <f t="shared" si="6"/>
        <v>4.1666666666666685E-2</v>
      </c>
      <c r="L37" s="43">
        <f t="shared" si="7"/>
        <v>0.33333333333333331</v>
      </c>
      <c r="M37" s="44">
        <f t="shared" si="8"/>
        <v>0.625</v>
      </c>
      <c r="N37" s="143">
        <f t="shared" si="1"/>
        <v>0</v>
      </c>
      <c r="O37" s="153" t="str">
        <f t="shared" si="9"/>
        <v/>
      </c>
      <c r="P37" s="143" t="str">
        <f t="shared" si="10"/>
        <v/>
      </c>
      <c r="Q37" s="44">
        <f t="shared" si="11"/>
        <v>0</v>
      </c>
      <c r="R37" s="45">
        <f t="shared" si="2"/>
        <v>0.625</v>
      </c>
      <c r="S37" s="100"/>
      <c r="T37" s="100"/>
      <c r="U37" s="100"/>
      <c r="V37" s="100"/>
      <c r="X37" s="138">
        <f t="shared" si="12"/>
        <v>0.75</v>
      </c>
      <c r="Y37" s="139">
        <f t="shared" si="13"/>
        <v>0.91666666666666663</v>
      </c>
      <c r="Z37" s="138">
        <f t="shared" si="14"/>
        <v>0.91666666666666663</v>
      </c>
      <c r="AA37" s="138">
        <f t="shared" si="15"/>
        <v>0.33333333333333331</v>
      </c>
    </row>
    <row r="38" spans="1:27" ht="14.25">
      <c r="A38" s="37" t="str">
        <f t="shared" si="3"/>
        <v/>
      </c>
      <c r="B38" s="47" t="str">
        <f>IF(B37="","",IF(B37&gt;=fim,"",B37+1))</f>
        <v/>
      </c>
      <c r="C38" s="48" t="str">
        <f t="shared" si="4"/>
        <v/>
      </c>
      <c r="D38" s="116"/>
      <c r="E38" s="137"/>
      <c r="F38" s="136"/>
      <c r="G38" s="136"/>
      <c r="H38" s="137"/>
      <c r="I38" s="85" t="str">
        <f t="shared" si="5"/>
        <v/>
      </c>
      <c r="J38" s="85" t="str">
        <f t="shared" si="0"/>
        <v/>
      </c>
      <c r="K38" s="49" t="str">
        <f t="shared" si="6"/>
        <v/>
      </c>
      <c r="L38" s="49" t="str">
        <f t="shared" si="7"/>
        <v/>
      </c>
      <c r="M38" s="50" t="str">
        <f t="shared" si="8"/>
        <v/>
      </c>
      <c r="N38" s="142" t="str">
        <f t="shared" si="1"/>
        <v/>
      </c>
      <c r="O38" s="153" t="str">
        <f t="shared" si="9"/>
        <v/>
      </c>
      <c r="P38" s="143" t="str">
        <f t="shared" si="10"/>
        <v/>
      </c>
      <c r="Q38" s="50" t="str">
        <f t="shared" si="11"/>
        <v/>
      </c>
      <c r="R38" s="51" t="str">
        <f t="shared" si="2"/>
        <v/>
      </c>
      <c r="S38" s="100"/>
      <c r="T38" s="100"/>
      <c r="U38" s="100"/>
      <c r="V38" s="100"/>
      <c r="X38" s="140" t="str">
        <f t="shared" si="12"/>
        <v/>
      </c>
      <c r="Y38" s="141" t="str">
        <f t="shared" si="13"/>
        <v/>
      </c>
      <c r="Z38" s="140" t="str">
        <f t="shared" si="14"/>
        <v/>
      </c>
      <c r="AA38" s="140" t="str">
        <f t="shared" si="15"/>
        <v/>
      </c>
    </row>
    <row r="39" spans="1:27" ht="14.25">
      <c r="B39" s="60" t="s">
        <v>25</v>
      </c>
      <c r="C39" s="60" t="s">
        <v>26</v>
      </c>
      <c r="D39" s="60"/>
      <c r="E39" s="60" t="s">
        <v>31</v>
      </c>
      <c r="F39" s="60" t="s">
        <v>32</v>
      </c>
      <c r="G39" s="60" t="s">
        <v>33</v>
      </c>
      <c r="H39" s="60" t="s">
        <v>34</v>
      </c>
      <c r="I39" s="67" t="s">
        <v>35</v>
      </c>
      <c r="J39" s="68" t="s">
        <v>36</v>
      </c>
      <c r="K39" s="69" t="s">
        <v>37</v>
      </c>
      <c r="L39" s="70">
        <f>SUM(L8:L38)</f>
        <v>2.9523809523809526</v>
      </c>
      <c r="M39" s="70">
        <f>SUM(M8:M38)</f>
        <v>8.2544642857142847</v>
      </c>
      <c r="N39" s="65" t="s">
        <v>37</v>
      </c>
      <c r="O39" s="70">
        <f>SUM(O8:O38)</f>
        <v>0.48809523809523808</v>
      </c>
      <c r="P39" s="70">
        <f>SUM(P7:P38)</f>
        <v>1.7475198412698416</v>
      </c>
      <c r="Q39" s="70">
        <f>SUM(Q7:Q38)</f>
        <v>1.6458333333333333</v>
      </c>
      <c r="R39" s="70">
        <f>SUM(R8:R38)</f>
        <v>1.8690476190476191</v>
      </c>
      <c r="S39" s="101"/>
      <c r="T39" s="101"/>
      <c r="U39" s="101"/>
      <c r="V39" s="101"/>
    </row>
    <row r="40" spans="1:27" ht="14.25">
      <c r="B40" s="61">
        <f>B8</f>
        <v>43252</v>
      </c>
      <c r="C40" s="61">
        <f>MAX(B8:B38)</f>
        <v>43281</v>
      </c>
      <c r="D40" s="61"/>
      <c r="E40" s="62">
        <f>COUNTIF(C8:C38,"feriado")</f>
        <v>2</v>
      </c>
      <c r="F40" s="63">
        <f ca="1">SUMPRODUCT((WEEKDAY(ROW(INDIRECT($B40&amp;":"&amp;$C40)))=1)*(COUNTIF(fer,ROW(INDIRECT($B40&amp;":"&amp;$C40)))=0))</f>
        <v>2</v>
      </c>
      <c r="G40" s="63">
        <f>C40-B40+1</f>
        <v>30</v>
      </c>
      <c r="H40" s="63">
        <f ca="1">G40-I40</f>
        <v>26</v>
      </c>
      <c r="I40" s="66">
        <f ca="1">E40+F40</f>
        <v>4</v>
      </c>
      <c r="J40" s="71" t="str">
        <f ca="1">H40&amp;"/"&amp;I40</f>
        <v>26/4</v>
      </c>
      <c r="K40" s="72" t="s">
        <v>38</v>
      </c>
      <c r="L40" s="64">
        <f>L39*24</f>
        <v>70.857142857142861</v>
      </c>
      <c r="M40" s="64">
        <f>M39*24</f>
        <v>198.10714285714283</v>
      </c>
      <c r="N40" s="65" t="s">
        <v>38</v>
      </c>
      <c r="O40" s="64">
        <f t="shared" ref="O40:P40" si="17">O39*24</f>
        <v>11.714285714285714</v>
      </c>
      <c r="P40" s="64">
        <f t="shared" si="17"/>
        <v>41.940476190476197</v>
      </c>
      <c r="Q40" s="64">
        <f>Q39*24</f>
        <v>39.5</v>
      </c>
      <c r="R40" s="64">
        <f>R39*24</f>
        <v>44.857142857142861</v>
      </c>
      <c r="S40" s="102"/>
      <c r="T40" s="102"/>
      <c r="U40" s="102"/>
      <c r="V40" s="102"/>
    </row>
    <row r="41" spans="1:27" ht="14.25">
      <c r="B41" s="125" t="str">
        <f>IF(dia_f="","",DATE(ano_p,mês_p,1))</f>
        <v/>
      </c>
      <c r="C41" s="126" t="str">
        <f>IF(dia_f="","",DATE(ano_p,mês_p+1,0))</f>
        <v/>
      </c>
      <c r="D41" s="73"/>
      <c r="E41" s="62" t="str">
        <f>IF(B41="","",SUMPRODUCT(((WEEKDAY(fer)&gt;1))*(fer&gt;=B41)*(fer&lt;=C41)))</f>
        <v/>
      </c>
      <c r="F41" s="63" t="str">
        <f ca="1">IF(B41="","",SUMPRODUCT((WEEKDAY(ROW(INDIRECT($B41&amp;":"&amp;$C41)))=1)*1))</f>
        <v/>
      </c>
      <c r="G41" s="128" t="str">
        <f>IF(B41="","",DAY(C41))</f>
        <v/>
      </c>
      <c r="H41" s="117" t="str">
        <f ca="1">IF(B41="","",SUMPRODUCT((WEEKDAY(ROW(INDIRECT(B41&amp;":"&amp;C41)))&gt;1)*(COUNTIF(fer,ROW(INDIRECT(B41&amp;":"&amp;C41)))=0)))</f>
        <v/>
      </c>
      <c r="I41" s="66" t="str">
        <f>IF(B41="","",E41+F41)</f>
        <v/>
      </c>
      <c r="J41" s="71" t="str">
        <f>IF(B41="","",H41&amp;"/"&amp;I41)</f>
        <v/>
      </c>
      <c r="K41" s="73" t="s">
        <v>39</v>
      </c>
      <c r="L41" s="64">
        <f ca="1">L40/$H$40*$I$40</f>
        <v>10.901098901098901</v>
      </c>
      <c r="M41" s="173"/>
      <c r="N41" s="174"/>
      <c r="O41" s="174"/>
      <c r="P41" s="174"/>
      <c r="Q41" s="175"/>
      <c r="R41" s="175"/>
      <c r="S41" s="102"/>
      <c r="T41" s="102"/>
      <c r="U41" s="102"/>
      <c r="V41" s="102"/>
    </row>
    <row r="42" spans="1:27" ht="14.25">
      <c r="K42" s="129" t="str">
        <f>IF(B41="","","Dsr mês:")</f>
        <v/>
      </c>
      <c r="L42" s="79" t="str">
        <f>IF(B41="","",L40/H41*I41)</f>
        <v/>
      </c>
      <c r="M42" s="205" t="str">
        <f>IF(B41="","","Dsr mês:")</f>
        <v/>
      </c>
      <c r="N42" s="205"/>
      <c r="O42" s="172"/>
      <c r="P42" s="172"/>
      <c r="Q42" s="102" t="str">
        <f>IF(B41="","",Q40/$H$41*$I$41)</f>
        <v/>
      </c>
      <c r="R42" s="102" t="str">
        <f>IF(B41="","",R40/$H$41*$I$41)</f>
        <v/>
      </c>
    </row>
    <row r="44" spans="1:27" ht="18.75">
      <c r="C44" s="76"/>
      <c r="D44" s="133"/>
      <c r="H44" s="1"/>
      <c r="I44" s="1"/>
      <c r="J44" s="1"/>
      <c r="K44" s="1"/>
      <c r="L44" s="1"/>
    </row>
    <row r="45" spans="1:27">
      <c r="D45" s="154"/>
    </row>
    <row r="47" spans="1:27">
      <c r="D47" s="155"/>
    </row>
    <row r="48" spans="1:27">
      <c r="D48" s="155"/>
    </row>
    <row r="116" spans="4:22">
      <c r="U116" s="82">
        <f>IF(dia_f="",DATE(ano_p,mês_p,1),DATE(ano_p,mês_p-1,dia_f+1))</f>
        <v>43252</v>
      </c>
      <c r="V116" s="75" t="s">
        <v>40</v>
      </c>
    </row>
    <row r="117" spans="4:22">
      <c r="U117" s="82">
        <f>IF(dia_f="",DATE(ano_p,mês_p+1,0),(DATE($V$22,mês_p,dia_f)))</f>
        <v>43281</v>
      </c>
      <c r="V117" s="75" t="s">
        <v>41</v>
      </c>
    </row>
    <row r="119" spans="4:22">
      <c r="D119" s="75" t="s">
        <v>42</v>
      </c>
      <c r="F119" s="75" t="s">
        <v>43</v>
      </c>
    </row>
    <row r="120" spans="4:22" ht="14.25">
      <c r="D120" s="127">
        <v>1</v>
      </c>
      <c r="F120" s="130">
        <v>2012</v>
      </c>
    </row>
    <row r="121" spans="4:22" ht="14.25">
      <c r="D121" s="132">
        <v>2</v>
      </c>
      <c r="F121" s="130">
        <v>2013</v>
      </c>
    </row>
    <row r="122" spans="4:22" ht="14.25">
      <c r="D122" s="132">
        <v>3</v>
      </c>
      <c r="F122" s="130">
        <v>2014</v>
      </c>
    </row>
    <row r="123" spans="4:22" ht="14.25">
      <c r="D123" s="133">
        <v>4</v>
      </c>
      <c r="F123" s="131">
        <v>2015</v>
      </c>
    </row>
    <row r="124" spans="4:22" ht="14.25">
      <c r="D124" s="133">
        <v>5</v>
      </c>
      <c r="F124" s="131">
        <v>2016</v>
      </c>
    </row>
    <row r="125" spans="4:22" ht="14.25">
      <c r="D125" s="133">
        <v>6</v>
      </c>
      <c r="F125" s="131">
        <v>2017</v>
      </c>
    </row>
    <row r="126" spans="4:22" ht="14.25">
      <c r="D126" s="133">
        <v>7</v>
      </c>
      <c r="F126" s="131">
        <v>2018</v>
      </c>
    </row>
    <row r="127" spans="4:22" ht="14.25">
      <c r="D127" s="133">
        <v>8</v>
      </c>
      <c r="F127" s="131">
        <v>2019</v>
      </c>
    </row>
    <row r="128" spans="4:22" ht="14.25">
      <c r="D128" s="134">
        <v>9</v>
      </c>
      <c r="F128" s="131">
        <v>2020</v>
      </c>
    </row>
    <row r="129" spans="4:6" ht="14.25">
      <c r="D129" s="133">
        <v>10</v>
      </c>
      <c r="F129" s="131">
        <v>2021</v>
      </c>
    </row>
    <row r="130" spans="4:6" ht="14.25">
      <c r="D130" s="133">
        <v>11</v>
      </c>
      <c r="F130" s="131">
        <v>2022</v>
      </c>
    </row>
    <row r="131" spans="4:6" ht="14.25">
      <c r="D131" s="133">
        <v>12</v>
      </c>
      <c r="F131" s="131">
        <v>2023</v>
      </c>
    </row>
    <row r="150" spans="2:4">
      <c r="B150" s="75"/>
      <c r="C150" s="76"/>
      <c r="D150" s="76"/>
    </row>
    <row r="151" spans="2:4">
      <c r="B151" s="75"/>
      <c r="C151" s="76"/>
      <c r="D151" s="76"/>
    </row>
  </sheetData>
  <mergeCells count="9">
    <mergeCell ref="U20:V20"/>
    <mergeCell ref="M42:N42"/>
    <mergeCell ref="H2:H3"/>
    <mergeCell ref="Q2:Q4"/>
    <mergeCell ref="B5:C5"/>
    <mergeCell ref="U6:V7"/>
    <mergeCell ref="X6:AA6"/>
    <mergeCell ref="B7:C7"/>
    <mergeCell ref="U17:V17"/>
  </mergeCells>
  <conditionalFormatting sqref="B8:C38">
    <cfRule type="expression" dxfId="25" priority="10">
      <formula>WEEKDAY($B8,2)=7</formula>
    </cfRule>
    <cfRule type="expression" dxfId="24" priority="11">
      <formula>COUNTIF(fer,$B8)&gt;0</formula>
    </cfRule>
  </conditionalFormatting>
  <conditionalFormatting sqref="D8:D38">
    <cfRule type="cellIs" dxfId="23" priority="9" operator="equal">
      <formula>"F"</formula>
    </cfRule>
  </conditionalFormatting>
  <conditionalFormatting sqref="K42">
    <cfRule type="expression" dxfId="22" priority="8">
      <formula>$B$41&lt;&gt;""</formula>
    </cfRule>
  </conditionalFormatting>
  <conditionalFormatting sqref="L42">
    <cfRule type="expression" dxfId="21" priority="7">
      <formula>$B$41&lt;&gt;""</formula>
    </cfRule>
  </conditionalFormatting>
  <conditionalFormatting sqref="M42:P42">
    <cfRule type="expression" dxfId="20" priority="6">
      <formula>$B$41&lt;&gt;""</formula>
    </cfRule>
  </conditionalFormatting>
  <conditionalFormatting sqref="Q42:R42">
    <cfRule type="expression" dxfId="19" priority="5">
      <formula>$B$41&lt;&gt;""</formula>
    </cfRule>
  </conditionalFormatting>
  <conditionalFormatting sqref="E38:R38 I8:R37">
    <cfRule type="expression" dxfId="18" priority="4">
      <formula>$D8="F"</formula>
    </cfRule>
  </conditionalFormatting>
  <conditionalFormatting sqref="O8:O38">
    <cfRule type="expression" dxfId="17" priority="3">
      <formula>O8&gt;0</formula>
    </cfRule>
  </conditionalFormatting>
  <conditionalFormatting sqref="P7:P38">
    <cfRule type="expression" dxfId="16" priority="2">
      <formula>P7&gt;0</formula>
    </cfRule>
  </conditionalFormatting>
  <conditionalFormatting sqref="E8:H37">
    <cfRule type="expression" dxfId="15" priority="1">
      <formula>$D8="F"</formula>
    </cfRule>
  </conditionalFormatting>
  <dataValidations count="3">
    <dataValidation type="list" allowBlank="1" showInputMessage="1" showErrorMessage="1" sqref="V23" xr:uid="{00000000-0002-0000-0400-000000000000}">
      <formula1>$D$120:$D$131</formula1>
    </dataValidation>
    <dataValidation type="list" allowBlank="1" showInputMessage="1" showErrorMessage="1" sqref="V22" xr:uid="{00000000-0002-0000-0400-000001000000}">
      <formula1>$F$120:$F$131</formula1>
    </dataValidation>
    <dataValidation type="custom" allowBlank="1" showInputMessage="1" showErrorMessage="1" sqref="E8:H38" xr:uid="{00000000-0002-0000-0400-000002000000}">
      <formula1>OR(E8=2400,TEXT(E8,"00\:00")=TEXT(X8,"hh:mm"))</formula1>
    </dataValidation>
  </dataValidations>
  <pageMargins left="0.75" right="0.75" top="1" bottom="1" header="0.49212598499999999" footer="0.49212598499999999"/>
  <pageSetup paperSize="9" scale="83" orientation="landscape" r:id="rId1"/>
  <headerFooter alignWithMargins="0"/>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148" r:id="rId4" name="Botão 4">
              <controlPr defaultSize="0" print="0" autoFill="0" autoPict="0" macro="[0]!Limpar_Click">
                <anchor moveWithCells="1" sizeWithCells="1">
                  <from>
                    <xdr:col>20</xdr:col>
                    <xdr:colOff>133350</xdr:colOff>
                    <xdr:row>33</xdr:row>
                    <xdr:rowOff>28575</xdr:rowOff>
                  </from>
                  <to>
                    <xdr:col>21</xdr:col>
                    <xdr:colOff>495300</xdr:colOff>
                    <xdr:row>35</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tabColor theme="6"/>
  </sheetPr>
  <dimension ref="A1:AD151"/>
  <sheetViews>
    <sheetView showGridLines="0" zoomScaleNormal="100" workbookViewId="0" xr3:uid="{78B4E459-6924-5F8B-B7BA-2DD04133E49E}">
      <selection activeCell="E1" sqref="E1"/>
    </sheetView>
  </sheetViews>
  <sheetFormatPr defaultRowHeight="12.75"/>
  <cols>
    <col min="1" max="1" width="2.6953125" customWidth="1"/>
    <col min="2" max="2" width="12.13671875" customWidth="1"/>
    <col min="3" max="3" width="12.40625" customWidth="1"/>
    <col min="4" max="4" width="6.875" customWidth="1"/>
    <col min="5" max="5" width="9.4375" customWidth="1"/>
    <col min="6" max="8" width="9.4375" bestFit="1" customWidth="1"/>
    <col min="9" max="12" width="9.4375" customWidth="1"/>
    <col min="13" max="15" width="11.32421875" customWidth="1"/>
    <col min="16" max="16" width="9.3046875" customWidth="1"/>
    <col min="17" max="17" width="11.32421875" customWidth="1"/>
    <col min="19" max="20" width="0.80859375" customWidth="1"/>
    <col min="21" max="21" width="24.00390625" customWidth="1"/>
    <col min="22" max="22" width="8.359375" customWidth="1"/>
    <col min="23" max="23" width="6.7421875" customWidth="1"/>
    <col min="24" max="27" width="9.4375" customWidth="1"/>
    <col min="29" max="29" width="12" customWidth="1"/>
    <col min="30" max="30" width="26.8359375" customWidth="1"/>
  </cols>
  <sheetData>
    <row r="1" spans="1:30">
      <c r="E1" s="181" t="s">
        <v>85</v>
      </c>
      <c r="F1" s="75"/>
    </row>
    <row r="2" spans="1:30" ht="15.95" customHeight="1">
      <c r="D2" s="120"/>
      <c r="E2" s="135"/>
      <c r="H2" s="202"/>
      <c r="J2" s="2"/>
      <c r="Q2" s="211"/>
      <c r="X2" s="156"/>
      <c r="Y2" s="94"/>
      <c r="Z2" s="94"/>
      <c r="AA2" s="94"/>
      <c r="AB2" s="94"/>
    </row>
    <row r="3" spans="1:30" ht="15.95" customHeight="1">
      <c r="D3" s="120"/>
      <c r="E3" s="135"/>
      <c r="H3" s="203"/>
      <c r="J3" s="3"/>
      <c r="K3" s="81"/>
      <c r="Q3" s="211"/>
      <c r="X3" s="94"/>
      <c r="Y3" s="94"/>
      <c r="Z3" s="94"/>
      <c r="AA3" s="94"/>
      <c r="AB3" s="94"/>
    </row>
    <row r="4" spans="1:30" ht="13.5" customHeight="1">
      <c r="Q4" s="211"/>
      <c r="X4" s="165"/>
      <c r="Y4" s="166"/>
      <c r="Z4" s="166"/>
      <c r="AA4" s="166"/>
      <c r="AB4" s="94"/>
    </row>
    <row r="5" spans="1:30" ht="14.25">
      <c r="B5" s="206"/>
      <c r="C5" s="206"/>
      <c r="D5" s="152"/>
      <c r="E5" s="80"/>
      <c r="F5" s="75"/>
      <c r="X5" s="167"/>
      <c r="Y5" s="167"/>
      <c r="Z5" s="167"/>
      <c r="AA5" s="167"/>
    </row>
    <row r="6" spans="1:30" ht="25.5" customHeight="1">
      <c r="B6" s="84" t="s">
        <v>1</v>
      </c>
      <c r="C6" s="84" t="s">
        <v>2</v>
      </c>
      <c r="D6" s="84" t="s">
        <v>3</v>
      </c>
      <c r="E6" s="84" t="s">
        <v>4</v>
      </c>
      <c r="F6" s="84" t="s">
        <v>5</v>
      </c>
      <c r="G6" s="84" t="s">
        <v>4</v>
      </c>
      <c r="H6" s="84" t="s">
        <v>5</v>
      </c>
      <c r="I6" s="84" t="s">
        <v>6</v>
      </c>
      <c r="J6" s="84" t="s">
        <v>7</v>
      </c>
      <c r="K6" s="84" t="s">
        <v>8</v>
      </c>
      <c r="L6" s="84" t="s">
        <v>9</v>
      </c>
      <c r="M6" s="84" t="s">
        <v>10</v>
      </c>
      <c r="N6" s="84" t="s">
        <v>11</v>
      </c>
      <c r="O6" s="84" t="s">
        <v>72</v>
      </c>
      <c r="P6" s="84" t="s">
        <v>71</v>
      </c>
      <c r="Q6" s="84" t="s">
        <v>12</v>
      </c>
      <c r="R6" s="84" t="s">
        <v>13</v>
      </c>
      <c r="U6" s="198" t="s">
        <v>14</v>
      </c>
      <c r="V6" s="199"/>
      <c r="X6" s="195" t="s">
        <v>0</v>
      </c>
      <c r="Y6" s="196"/>
      <c r="Z6" s="196"/>
      <c r="AA6" s="197"/>
      <c r="AC6" s="83"/>
    </row>
    <row r="7" spans="1:30" ht="15" customHeight="1">
      <c r="B7" s="209" t="s">
        <v>74</v>
      </c>
      <c r="C7" s="210"/>
      <c r="D7" s="162"/>
      <c r="E7" s="163"/>
      <c r="F7" s="163"/>
      <c r="G7" s="163"/>
      <c r="H7" s="163"/>
      <c r="I7" s="163"/>
      <c r="J7" s="163"/>
      <c r="K7" s="163"/>
      <c r="L7" s="163"/>
      <c r="M7" s="163"/>
      <c r="N7" s="163"/>
      <c r="O7" s="164"/>
      <c r="P7" s="170">
        <f>IF(junho!U32="Horas Compensadas",junho!V32,0)</f>
        <v>0.10168650793650835</v>
      </c>
      <c r="Q7" s="170">
        <f>IF(junho!U32="Horas Extras",junho!V32,0)</f>
        <v>0</v>
      </c>
      <c r="R7" s="170"/>
      <c r="S7" s="103"/>
      <c r="T7" s="168"/>
      <c r="U7" s="200"/>
      <c r="V7" s="201"/>
      <c r="W7" s="145"/>
      <c r="X7" s="84" t="s">
        <v>4</v>
      </c>
      <c r="Y7" s="84" t="s">
        <v>5</v>
      </c>
      <c r="Z7" s="84" t="s">
        <v>4</v>
      </c>
      <c r="AA7" s="84" t="s">
        <v>5</v>
      </c>
      <c r="AB7" s="78"/>
      <c r="AC7" s="121"/>
      <c r="AD7" s="77"/>
    </row>
    <row r="8" spans="1:30" ht="12.75" customHeight="1">
      <c r="A8" s="37">
        <f>IF(B8="","",IF(C8&lt;&gt;"feriado",WEEKDAY(B8),8))</f>
        <v>1</v>
      </c>
      <c r="B8" s="39">
        <f>inicio</f>
        <v>43282</v>
      </c>
      <c r="C8" s="40">
        <f>IF(B8="","",IF(COUNTIF(fer,B8)&gt;0,"feriado",B8))</f>
        <v>43282</v>
      </c>
      <c r="D8" s="157"/>
      <c r="E8" s="158">
        <v>800</v>
      </c>
      <c r="F8" s="158">
        <v>1200</v>
      </c>
      <c r="G8" s="158">
        <v>1300</v>
      </c>
      <c r="H8" s="158">
        <v>1800</v>
      </c>
      <c r="I8" s="159">
        <f>IF(B8="","",ROUND(M8-L8,5))</f>
        <v>0.375</v>
      </c>
      <c r="J8" s="159">
        <f t="shared" ref="J8:J38" si="0">IF(B8="","",IF(AND(E8="",F8="",G8="",H8=""),0,IF(AND(G8="",H8=""),MAX(ININOT,MIN(FIMNOT+1,Y8+(X8&gt;Y8)))-MAX(ININOT,X8)+(MIN(FIMNOT,Y8+(X8&gt;Y8))-MIN(FIMNOT,X8)),MAX(ININOT,MIN(FIMNOT+1,Y8+(X8&gt;Y8)))-MAX(ININOT,X8)+(MIN(FIMNOT,Y8+(X8&gt;Y8))-MIN(FIMNOT,X8))+MAX(ININOT,MIN(FIMNOT+1,AA8+(Z8&gt;AA8)))-MAX(ININOT,Z8)+(MIN(FIMNOT,AA8+(Z8&gt;AA8))-MIN(FIMNOT,Z8)))))</f>
        <v>0</v>
      </c>
      <c r="K8" s="160">
        <f>IF(B8="","",(J8/7*8)-J8)</f>
        <v>0</v>
      </c>
      <c r="L8" s="160">
        <f>IF(B8="","",J8+K8)</f>
        <v>0</v>
      </c>
      <c r="M8" s="161">
        <f>IF(B8="","",MOD((Y8-X8)+(AA8-Z8),1)+K8)</f>
        <v>0.37500000000000006</v>
      </c>
      <c r="N8" s="153">
        <f t="shared" ref="N8:N38" si="1">IF(B8="","",IF(D8="F",$V$16,VLOOKUP(A8,jornada,3)))</f>
        <v>0.30555555555555552</v>
      </c>
      <c r="O8" s="153" t="str">
        <f>IF(B8="","",IF(AND(D8="A",N8&gt;M8),N8-M8,""))</f>
        <v/>
      </c>
      <c r="P8" s="153" t="str">
        <f>IF(B8="","",IF(AND(M8&gt;0,D8="F"),"",IF(D8="A","",IF(M8&lt;N8,N8-M8,""))))</f>
        <v/>
      </c>
      <c r="Q8" s="161">
        <f>IF(B8="","",IF(N8=0,0,MAX(0,M8-N8)))</f>
        <v>6.9444444444444531E-2</v>
      </c>
      <c r="R8" s="169">
        <f t="shared" ref="R8:R38" si="2">IF(B8="","",IF(N8=0,M8,0))</f>
        <v>0</v>
      </c>
      <c r="S8" s="114"/>
      <c r="T8" s="118">
        <v>1</v>
      </c>
      <c r="U8" s="105" t="s">
        <v>16</v>
      </c>
      <c r="V8" s="109">
        <v>0.30555555555555552</v>
      </c>
      <c r="X8" s="138">
        <f>IF(B8="","",IF($E8="",0,TIME(INT(E8/100),MOD(E8,100),0)))</f>
        <v>0.33333333333333331</v>
      </c>
      <c r="Y8" s="139">
        <f>IF(B8="","",IF($F8="",0,TIME(INT(F8/100),MOD(F8,100),0)))</f>
        <v>0.5</v>
      </c>
      <c r="Z8" s="138">
        <f>IF(B8="","",IF($G8="",0,TIME(INT(G8/100),MOD(G8,100),0)))</f>
        <v>0.54166666666666663</v>
      </c>
      <c r="AA8" s="138">
        <f>IF(B8="","",IF($H8="",0,TIME(INT(H8/100),MOD(H8,100),0)))</f>
        <v>0.75</v>
      </c>
      <c r="AC8" s="8"/>
      <c r="AD8" s="6"/>
    </row>
    <row r="9" spans="1:30" ht="12.75" customHeight="1">
      <c r="A9" s="37">
        <f t="shared" ref="A9:A38" si="3">IF(B9="","",IF(C9&lt;&gt;"feriado",WEEKDAY(B9),8))</f>
        <v>2</v>
      </c>
      <c r="B9" s="41">
        <f>B8+1</f>
        <v>43283</v>
      </c>
      <c r="C9" s="42">
        <f t="shared" ref="C9:C38" si="4">IF(B9="","",IF(COUNTIF(fer,B9)&gt;0,"feriado",B9))</f>
        <v>43283</v>
      </c>
      <c r="D9" s="115"/>
      <c r="E9" s="136">
        <v>0</v>
      </c>
      <c r="F9" s="136">
        <v>0</v>
      </c>
      <c r="G9" s="136">
        <v>0</v>
      </c>
      <c r="H9" s="136">
        <v>0</v>
      </c>
      <c r="I9" s="74">
        <f t="shared" ref="I9:I38" si="5">IF(B9="","",ROUND(M9-L9,5))</f>
        <v>0</v>
      </c>
      <c r="J9" s="74">
        <f t="shared" si="0"/>
        <v>0</v>
      </c>
      <c r="K9" s="43">
        <f t="shared" ref="K9:K38" si="6">IF(B9="","",(J9/7*8)-J9)</f>
        <v>0</v>
      </c>
      <c r="L9" s="43">
        <f t="shared" ref="L9:L38" si="7">IF(B9="","",J9+K9)</f>
        <v>0</v>
      </c>
      <c r="M9" s="44">
        <f t="shared" ref="M9:M38" si="8">IF(B9="","",MOD((Y9-X9)+(AA9-Z9),1)+K9)</f>
        <v>0</v>
      </c>
      <c r="N9" s="143">
        <f t="shared" si="1"/>
        <v>0.30555555555555552</v>
      </c>
      <c r="O9" s="153" t="str">
        <f t="shared" ref="O9:O38" si="9">IF(B9="","",IF(AND(D9="A",N9&gt;M9),N9-M9,""))</f>
        <v/>
      </c>
      <c r="P9" s="143">
        <f t="shared" ref="P9:P38" si="10">IF(B9="","",IF(AND(M9&gt;0,D9="F"),"",IF(D9="A","",IF(M9&lt;N9,N9-M9,""))))</f>
        <v>0.30555555555555552</v>
      </c>
      <c r="Q9" s="44">
        <f t="shared" ref="Q9:Q38" si="11">IF(B9="","",IF(N9=0,0,MAX(0,M9-N9)))</f>
        <v>0</v>
      </c>
      <c r="R9" s="45">
        <f t="shared" si="2"/>
        <v>0</v>
      </c>
      <c r="S9" s="100"/>
      <c r="T9" s="119">
        <v>2</v>
      </c>
      <c r="U9" s="112" t="s">
        <v>17</v>
      </c>
      <c r="V9" s="110">
        <v>0.30555555555555552</v>
      </c>
      <c r="X9" s="138">
        <f t="shared" ref="X9:X38" si="12">IF(B9="","",IF($E9="",0,TIME(INT(E9/100),MOD(E9,100),0)))</f>
        <v>0</v>
      </c>
      <c r="Y9" s="139">
        <f t="shared" ref="Y9:Y38" si="13">IF(B9="","",IF($F9="",0,TIME(INT(F9/100),MOD(F9,100),0)))</f>
        <v>0</v>
      </c>
      <c r="Z9" s="138">
        <f t="shared" ref="Z9:Z38" si="14">IF(B9="","",IF($G9="",0,TIME(INT(G9/100),MOD(G9,100),0)))</f>
        <v>0</v>
      </c>
      <c r="AA9" s="138">
        <f t="shared" ref="AA9:AA38" si="15">IF(B9="","",IF($H9="",0,TIME(INT(H9/100),MOD(H9,100),0)))</f>
        <v>0</v>
      </c>
      <c r="AC9" s="8"/>
      <c r="AD9" s="6"/>
    </row>
    <row r="10" spans="1:30" ht="14.25">
      <c r="A10" s="37">
        <f t="shared" si="3"/>
        <v>3</v>
      </c>
      <c r="B10" s="41">
        <f>B9+1</f>
        <v>43284</v>
      </c>
      <c r="C10" s="42">
        <f t="shared" si="4"/>
        <v>43284</v>
      </c>
      <c r="D10" s="115"/>
      <c r="E10" s="136">
        <v>800</v>
      </c>
      <c r="F10" s="136">
        <v>1200</v>
      </c>
      <c r="G10" s="136">
        <v>0</v>
      </c>
      <c r="H10" s="136">
        <v>0</v>
      </c>
      <c r="I10" s="74">
        <f t="shared" si="5"/>
        <v>0.16667000000000001</v>
      </c>
      <c r="J10" s="74">
        <f t="shared" si="0"/>
        <v>0</v>
      </c>
      <c r="K10" s="43">
        <f t="shared" si="6"/>
        <v>0</v>
      </c>
      <c r="L10" s="43">
        <f t="shared" si="7"/>
        <v>0</v>
      </c>
      <c r="M10" s="44">
        <f t="shared" si="8"/>
        <v>0.16666666666666669</v>
      </c>
      <c r="N10" s="143">
        <f t="shared" si="1"/>
        <v>0.30555555555555552</v>
      </c>
      <c r="O10" s="153" t="str">
        <f t="shared" si="9"/>
        <v/>
      </c>
      <c r="P10" s="143">
        <f t="shared" si="10"/>
        <v>0.13888888888888884</v>
      </c>
      <c r="Q10" s="44">
        <f t="shared" si="11"/>
        <v>0</v>
      </c>
      <c r="R10" s="45">
        <f t="shared" si="2"/>
        <v>0</v>
      </c>
      <c r="S10" s="100"/>
      <c r="T10" s="119">
        <v>3</v>
      </c>
      <c r="U10" s="106" t="s">
        <v>18</v>
      </c>
      <c r="V10" s="110">
        <v>0.30555555555555552</v>
      </c>
      <c r="X10" s="138">
        <f t="shared" si="12"/>
        <v>0.33333333333333331</v>
      </c>
      <c r="Y10" s="139">
        <f t="shared" si="13"/>
        <v>0.5</v>
      </c>
      <c r="Z10" s="138">
        <f t="shared" si="14"/>
        <v>0</v>
      </c>
      <c r="AA10" s="138">
        <f t="shared" si="15"/>
        <v>0</v>
      </c>
      <c r="AC10" s="8"/>
      <c r="AD10" s="6"/>
    </row>
    <row r="11" spans="1:30" ht="14.25">
      <c r="A11" s="37">
        <f t="shared" si="3"/>
        <v>4</v>
      </c>
      <c r="B11" s="41">
        <f>B10+1</f>
        <v>43285</v>
      </c>
      <c r="C11" s="42">
        <f t="shared" si="4"/>
        <v>43285</v>
      </c>
      <c r="D11" s="115"/>
      <c r="E11" s="136">
        <v>900</v>
      </c>
      <c r="F11" s="136">
        <v>1200</v>
      </c>
      <c r="G11" s="136">
        <v>1300</v>
      </c>
      <c r="H11" s="136">
        <v>1800</v>
      </c>
      <c r="I11" s="74">
        <f t="shared" si="5"/>
        <v>0.33333000000000002</v>
      </c>
      <c r="J11" s="74">
        <f t="shared" si="0"/>
        <v>0</v>
      </c>
      <c r="K11" s="43">
        <f t="shared" si="6"/>
        <v>0</v>
      </c>
      <c r="L11" s="43">
        <f t="shared" si="7"/>
        <v>0</v>
      </c>
      <c r="M11" s="44">
        <f t="shared" si="8"/>
        <v>0.33333333333333337</v>
      </c>
      <c r="N11" s="143">
        <f t="shared" si="1"/>
        <v>0.30555555555555552</v>
      </c>
      <c r="O11" s="153" t="str">
        <f t="shared" si="9"/>
        <v/>
      </c>
      <c r="P11" s="143" t="str">
        <f t="shared" si="10"/>
        <v/>
      </c>
      <c r="Q11" s="44">
        <f t="shared" si="11"/>
        <v>2.7777777777777846E-2</v>
      </c>
      <c r="R11" s="45">
        <f t="shared" si="2"/>
        <v>0</v>
      </c>
      <c r="S11" s="100"/>
      <c r="T11" s="119">
        <v>4</v>
      </c>
      <c r="U11" s="106" t="s">
        <v>19</v>
      </c>
      <c r="V11" s="110">
        <v>0.30555555555555552</v>
      </c>
      <c r="X11" s="138">
        <f t="shared" si="12"/>
        <v>0.375</v>
      </c>
      <c r="Y11" s="139">
        <f t="shared" si="13"/>
        <v>0.5</v>
      </c>
      <c r="Z11" s="138">
        <f t="shared" si="14"/>
        <v>0.54166666666666663</v>
      </c>
      <c r="AA11" s="138">
        <f t="shared" si="15"/>
        <v>0.75</v>
      </c>
      <c r="AC11" s="8"/>
      <c r="AD11" s="6"/>
    </row>
    <row r="12" spans="1:30" ht="14.25">
      <c r="A12" s="37">
        <f t="shared" si="3"/>
        <v>5</v>
      </c>
      <c r="B12" s="41">
        <f>B11+1</f>
        <v>43286</v>
      </c>
      <c r="C12" s="42">
        <f t="shared" si="4"/>
        <v>43286</v>
      </c>
      <c r="D12" s="115"/>
      <c r="E12" s="136">
        <v>900</v>
      </c>
      <c r="F12" s="136">
        <v>1300</v>
      </c>
      <c r="G12" s="136">
        <v>1330</v>
      </c>
      <c r="H12" s="136">
        <v>1600</v>
      </c>
      <c r="I12" s="74">
        <f t="shared" si="5"/>
        <v>0.27083000000000002</v>
      </c>
      <c r="J12" s="74">
        <f t="shared" si="0"/>
        <v>0</v>
      </c>
      <c r="K12" s="43">
        <f t="shared" si="6"/>
        <v>0</v>
      </c>
      <c r="L12" s="43">
        <f t="shared" si="7"/>
        <v>0</v>
      </c>
      <c r="M12" s="44">
        <f t="shared" si="8"/>
        <v>0.27083333333333326</v>
      </c>
      <c r="N12" s="143">
        <f t="shared" si="1"/>
        <v>0.30555555555555552</v>
      </c>
      <c r="O12" s="153" t="str">
        <f t="shared" si="9"/>
        <v/>
      </c>
      <c r="P12" s="143">
        <f t="shared" si="10"/>
        <v>3.4722222222222265E-2</v>
      </c>
      <c r="Q12" s="44">
        <f t="shared" si="11"/>
        <v>0</v>
      </c>
      <c r="R12" s="45">
        <f t="shared" si="2"/>
        <v>0</v>
      </c>
      <c r="S12" s="100"/>
      <c r="T12" s="119">
        <v>5</v>
      </c>
      <c r="U12" s="106" t="s">
        <v>20</v>
      </c>
      <c r="V12" s="110">
        <v>0.30555555555555552</v>
      </c>
      <c r="X12" s="138">
        <f t="shared" si="12"/>
        <v>0.375</v>
      </c>
      <c r="Y12" s="139">
        <f t="shared" si="13"/>
        <v>0.54166666666666663</v>
      </c>
      <c r="Z12" s="138">
        <f t="shared" si="14"/>
        <v>0.5625</v>
      </c>
      <c r="AA12" s="138">
        <f t="shared" si="15"/>
        <v>0.66666666666666663</v>
      </c>
      <c r="AC12" s="8"/>
      <c r="AD12" s="6"/>
    </row>
    <row r="13" spans="1:30" ht="14.25">
      <c r="A13" s="37">
        <f t="shared" si="3"/>
        <v>6</v>
      </c>
      <c r="B13" s="41">
        <f t="shared" ref="B13:B35" si="16">B12+1</f>
        <v>43287</v>
      </c>
      <c r="C13" s="42">
        <f t="shared" si="4"/>
        <v>43287</v>
      </c>
      <c r="D13" s="115" t="s">
        <v>15</v>
      </c>
      <c r="E13" s="136">
        <v>1000</v>
      </c>
      <c r="F13" s="136">
        <v>1400</v>
      </c>
      <c r="G13" s="136">
        <v>1530</v>
      </c>
      <c r="H13" s="136">
        <v>2000</v>
      </c>
      <c r="I13" s="74">
        <f t="shared" si="5"/>
        <v>0.35416999999999998</v>
      </c>
      <c r="J13" s="74">
        <f t="shared" si="0"/>
        <v>0</v>
      </c>
      <c r="K13" s="43">
        <f t="shared" si="6"/>
        <v>0</v>
      </c>
      <c r="L13" s="43">
        <f t="shared" si="7"/>
        <v>0</v>
      </c>
      <c r="M13" s="44">
        <f t="shared" si="8"/>
        <v>0.35416666666666669</v>
      </c>
      <c r="N13" s="143">
        <f t="shared" si="1"/>
        <v>0</v>
      </c>
      <c r="O13" s="153" t="str">
        <f t="shared" si="9"/>
        <v/>
      </c>
      <c r="P13" s="143" t="str">
        <f t="shared" si="10"/>
        <v/>
      </c>
      <c r="Q13" s="44">
        <f t="shared" si="11"/>
        <v>0</v>
      </c>
      <c r="R13" s="45">
        <f t="shared" si="2"/>
        <v>0.35416666666666669</v>
      </c>
      <c r="S13" s="100"/>
      <c r="T13" s="119">
        <v>6</v>
      </c>
      <c r="U13" s="106" t="s">
        <v>21</v>
      </c>
      <c r="V13" s="110">
        <v>0.30555555555555552</v>
      </c>
      <c r="X13" s="138">
        <f t="shared" si="12"/>
        <v>0.41666666666666669</v>
      </c>
      <c r="Y13" s="139">
        <f t="shared" si="13"/>
        <v>0.58333333333333337</v>
      </c>
      <c r="Z13" s="138">
        <f t="shared" si="14"/>
        <v>0.64583333333333337</v>
      </c>
      <c r="AA13" s="138">
        <f t="shared" si="15"/>
        <v>0.83333333333333337</v>
      </c>
      <c r="AC13" s="8"/>
      <c r="AD13" s="6"/>
    </row>
    <row r="14" spans="1:30" ht="14.25">
      <c r="A14" s="37">
        <f t="shared" si="3"/>
        <v>7</v>
      </c>
      <c r="B14" s="41">
        <f t="shared" si="16"/>
        <v>43288</v>
      </c>
      <c r="C14" s="42">
        <f t="shared" si="4"/>
        <v>43288</v>
      </c>
      <c r="D14" s="115" t="s">
        <v>73</v>
      </c>
      <c r="E14" s="136">
        <v>1200</v>
      </c>
      <c r="F14" s="136">
        <v>1700</v>
      </c>
      <c r="G14" s="136">
        <v>0</v>
      </c>
      <c r="H14" s="136">
        <v>0</v>
      </c>
      <c r="I14" s="74">
        <f t="shared" si="5"/>
        <v>0.20832999999999999</v>
      </c>
      <c r="J14" s="74">
        <f t="shared" si="0"/>
        <v>0</v>
      </c>
      <c r="K14" s="43">
        <f t="shared" si="6"/>
        <v>0</v>
      </c>
      <c r="L14" s="43">
        <f t="shared" si="7"/>
        <v>0</v>
      </c>
      <c r="M14" s="44">
        <f t="shared" si="8"/>
        <v>0.20833333333333337</v>
      </c>
      <c r="N14" s="143">
        <f t="shared" si="1"/>
        <v>0.30555555555555552</v>
      </c>
      <c r="O14" s="153">
        <f t="shared" si="9"/>
        <v>9.7222222222222154E-2</v>
      </c>
      <c r="P14" s="143" t="str">
        <f t="shared" si="10"/>
        <v/>
      </c>
      <c r="Q14" s="44">
        <f t="shared" si="11"/>
        <v>0</v>
      </c>
      <c r="R14" s="45">
        <f t="shared" si="2"/>
        <v>0</v>
      </c>
      <c r="S14" s="100"/>
      <c r="T14" s="119">
        <v>7</v>
      </c>
      <c r="U14" s="113" t="s">
        <v>22</v>
      </c>
      <c r="V14" s="110">
        <v>0.30555555555555552</v>
      </c>
      <c r="X14" s="138">
        <f t="shared" si="12"/>
        <v>0.5</v>
      </c>
      <c r="Y14" s="139">
        <f t="shared" si="13"/>
        <v>0.70833333333333337</v>
      </c>
      <c r="Z14" s="138">
        <f t="shared" si="14"/>
        <v>0</v>
      </c>
      <c r="AA14" s="138">
        <f t="shared" si="15"/>
        <v>0</v>
      </c>
      <c r="AC14" s="8"/>
      <c r="AD14" s="6"/>
    </row>
    <row r="15" spans="1:30" ht="14.25">
      <c r="A15" s="37">
        <f t="shared" si="3"/>
        <v>1</v>
      </c>
      <c r="B15" s="41">
        <f t="shared" si="16"/>
        <v>43289</v>
      </c>
      <c r="C15" s="42">
        <f t="shared" si="4"/>
        <v>43289</v>
      </c>
      <c r="D15" s="115" t="s">
        <v>15</v>
      </c>
      <c r="E15" s="136">
        <v>0</v>
      </c>
      <c r="F15" s="136">
        <v>0</v>
      </c>
      <c r="G15" s="136">
        <v>0</v>
      </c>
      <c r="H15" s="136">
        <v>0</v>
      </c>
      <c r="I15" s="74">
        <f t="shared" si="5"/>
        <v>0</v>
      </c>
      <c r="J15" s="74">
        <f t="shared" si="0"/>
        <v>0</v>
      </c>
      <c r="K15" s="43">
        <f t="shared" si="6"/>
        <v>0</v>
      </c>
      <c r="L15" s="43">
        <f t="shared" si="7"/>
        <v>0</v>
      </c>
      <c r="M15" s="44">
        <f t="shared" si="8"/>
        <v>0</v>
      </c>
      <c r="N15" s="143">
        <f t="shared" si="1"/>
        <v>0</v>
      </c>
      <c r="O15" s="153" t="str">
        <f t="shared" si="9"/>
        <v/>
      </c>
      <c r="P15" s="143" t="str">
        <f t="shared" si="10"/>
        <v/>
      </c>
      <c r="Q15" s="44">
        <f t="shared" si="11"/>
        <v>0</v>
      </c>
      <c r="R15" s="45">
        <f t="shared" si="2"/>
        <v>0</v>
      </c>
      <c r="S15" s="100"/>
      <c r="T15" s="119">
        <v>8</v>
      </c>
      <c r="U15" s="107" t="s">
        <v>23</v>
      </c>
      <c r="V15" s="111">
        <v>0.30555555555555552</v>
      </c>
      <c r="X15" s="138">
        <f t="shared" si="12"/>
        <v>0</v>
      </c>
      <c r="Y15" s="139">
        <f t="shared" si="13"/>
        <v>0</v>
      </c>
      <c r="Z15" s="138">
        <f t="shared" si="14"/>
        <v>0</v>
      </c>
      <c r="AA15" s="138">
        <f t="shared" si="15"/>
        <v>0</v>
      </c>
      <c r="AC15" s="8"/>
      <c r="AD15" s="6"/>
    </row>
    <row r="16" spans="1:30" ht="14.25">
      <c r="A16" s="37">
        <f t="shared" si="3"/>
        <v>2</v>
      </c>
      <c r="B16" s="41">
        <f t="shared" si="16"/>
        <v>43290</v>
      </c>
      <c r="C16" s="42">
        <f t="shared" si="4"/>
        <v>43290</v>
      </c>
      <c r="D16" s="115"/>
      <c r="E16" s="136">
        <v>1000</v>
      </c>
      <c r="F16" s="136">
        <v>1400</v>
      </c>
      <c r="G16" s="136">
        <v>1445</v>
      </c>
      <c r="H16" s="136">
        <v>1730</v>
      </c>
      <c r="I16" s="74">
        <f t="shared" si="5"/>
        <v>0.28125</v>
      </c>
      <c r="J16" s="74">
        <f t="shared" si="0"/>
        <v>0</v>
      </c>
      <c r="K16" s="43">
        <f t="shared" si="6"/>
        <v>0</v>
      </c>
      <c r="L16" s="43">
        <f t="shared" si="7"/>
        <v>0</v>
      </c>
      <c r="M16" s="44">
        <f t="shared" si="8"/>
        <v>0.28124999999999994</v>
      </c>
      <c r="N16" s="143">
        <f t="shared" si="1"/>
        <v>0.30555555555555552</v>
      </c>
      <c r="O16" s="153" t="str">
        <f t="shared" si="9"/>
        <v/>
      </c>
      <c r="P16" s="143">
        <f t="shared" si="10"/>
        <v>2.430555555555558E-2</v>
      </c>
      <c r="Q16" s="44">
        <f t="shared" si="11"/>
        <v>0</v>
      </c>
      <c r="R16" s="45">
        <f t="shared" si="2"/>
        <v>0</v>
      </c>
      <c r="S16" s="100"/>
      <c r="T16" s="100"/>
      <c r="U16" s="108" t="s">
        <v>3</v>
      </c>
      <c r="V16" s="104">
        <v>0</v>
      </c>
      <c r="X16" s="138">
        <f t="shared" si="12"/>
        <v>0.41666666666666669</v>
      </c>
      <c r="Y16" s="139">
        <f t="shared" si="13"/>
        <v>0.58333333333333337</v>
      </c>
      <c r="Z16" s="138">
        <f t="shared" si="14"/>
        <v>0.61458333333333337</v>
      </c>
      <c r="AA16" s="138">
        <f t="shared" si="15"/>
        <v>0.72916666666666663</v>
      </c>
      <c r="AC16" s="8"/>
      <c r="AD16" s="6"/>
    </row>
    <row r="17" spans="1:30" ht="14.25">
      <c r="A17" s="37">
        <f t="shared" si="3"/>
        <v>3</v>
      </c>
      <c r="B17" s="41">
        <f t="shared" si="16"/>
        <v>43291</v>
      </c>
      <c r="C17" s="42">
        <f t="shared" si="4"/>
        <v>43291</v>
      </c>
      <c r="D17" s="115"/>
      <c r="E17" s="136">
        <v>1100</v>
      </c>
      <c r="F17" s="136">
        <v>1600</v>
      </c>
      <c r="G17" s="136">
        <v>1700</v>
      </c>
      <c r="H17" s="136">
        <v>2000</v>
      </c>
      <c r="I17" s="74">
        <f t="shared" si="5"/>
        <v>0.33333000000000002</v>
      </c>
      <c r="J17" s="74">
        <f t="shared" si="0"/>
        <v>0</v>
      </c>
      <c r="K17" s="43">
        <f t="shared" si="6"/>
        <v>0</v>
      </c>
      <c r="L17" s="43">
        <f t="shared" si="7"/>
        <v>0</v>
      </c>
      <c r="M17" s="44">
        <f t="shared" si="8"/>
        <v>0.33333333333333331</v>
      </c>
      <c r="N17" s="143">
        <f t="shared" si="1"/>
        <v>0.30555555555555552</v>
      </c>
      <c r="O17" s="153" t="str">
        <f t="shared" si="9"/>
        <v/>
      </c>
      <c r="P17" s="143" t="str">
        <f t="shared" si="10"/>
        <v/>
      </c>
      <c r="Q17" s="44">
        <f t="shared" si="11"/>
        <v>2.777777777777779E-2</v>
      </c>
      <c r="R17" s="45">
        <f t="shared" si="2"/>
        <v>0</v>
      </c>
      <c r="S17" s="100"/>
      <c r="T17" s="100"/>
      <c r="U17" s="207" t="s">
        <v>24</v>
      </c>
      <c r="V17" s="208"/>
      <c r="X17" s="138">
        <f t="shared" si="12"/>
        <v>0.45833333333333331</v>
      </c>
      <c r="Y17" s="139">
        <f t="shared" si="13"/>
        <v>0.66666666666666663</v>
      </c>
      <c r="Z17" s="138">
        <f t="shared" si="14"/>
        <v>0.70833333333333337</v>
      </c>
      <c r="AA17" s="138">
        <f t="shared" si="15"/>
        <v>0.83333333333333337</v>
      </c>
      <c r="AC17" s="8"/>
      <c r="AD17" s="6"/>
    </row>
    <row r="18" spans="1:30" ht="14.25">
      <c r="A18" s="37">
        <f t="shared" si="3"/>
        <v>4</v>
      </c>
      <c r="B18" s="41">
        <f t="shared" si="16"/>
        <v>43292</v>
      </c>
      <c r="C18" s="42">
        <f t="shared" si="4"/>
        <v>43292</v>
      </c>
      <c r="D18" s="115"/>
      <c r="E18" s="136">
        <v>1900</v>
      </c>
      <c r="F18" s="136">
        <v>2100</v>
      </c>
      <c r="G18" s="136">
        <v>2200</v>
      </c>
      <c r="H18" s="136">
        <v>500</v>
      </c>
      <c r="I18" s="74">
        <f t="shared" si="5"/>
        <v>8.3330000000000001E-2</v>
      </c>
      <c r="J18" s="74">
        <f t="shared" si="0"/>
        <v>0.29166666666666663</v>
      </c>
      <c r="K18" s="43">
        <f t="shared" si="6"/>
        <v>4.1666666666666685E-2</v>
      </c>
      <c r="L18" s="43">
        <f t="shared" si="7"/>
        <v>0.33333333333333331</v>
      </c>
      <c r="M18" s="44">
        <f t="shared" si="8"/>
        <v>0.4166666666666668</v>
      </c>
      <c r="N18" s="143">
        <f t="shared" si="1"/>
        <v>0.30555555555555552</v>
      </c>
      <c r="O18" s="153" t="str">
        <f t="shared" si="9"/>
        <v/>
      </c>
      <c r="P18" s="143" t="str">
        <f t="shared" si="10"/>
        <v/>
      </c>
      <c r="Q18" s="44">
        <f t="shared" si="11"/>
        <v>0.11111111111111127</v>
      </c>
      <c r="R18" s="45">
        <f t="shared" si="2"/>
        <v>0</v>
      </c>
      <c r="S18" s="100"/>
      <c r="T18" s="100"/>
      <c r="U18" s="122" t="s">
        <v>25</v>
      </c>
      <c r="V18" s="109">
        <v>0.91666666666666663</v>
      </c>
      <c r="X18" s="138">
        <f t="shared" si="12"/>
        <v>0.79166666666666663</v>
      </c>
      <c r="Y18" s="139">
        <f t="shared" si="13"/>
        <v>0.875</v>
      </c>
      <c r="Z18" s="138">
        <f t="shared" si="14"/>
        <v>0.91666666666666663</v>
      </c>
      <c r="AA18" s="138">
        <f t="shared" si="15"/>
        <v>0.20833333333333334</v>
      </c>
      <c r="AC18" s="8"/>
      <c r="AD18" s="6"/>
    </row>
    <row r="19" spans="1:30" ht="14.25">
      <c r="A19" s="37">
        <f t="shared" si="3"/>
        <v>5</v>
      </c>
      <c r="B19" s="41">
        <f t="shared" si="16"/>
        <v>43293</v>
      </c>
      <c r="C19" s="42">
        <f t="shared" si="4"/>
        <v>43293</v>
      </c>
      <c r="D19" s="115" t="s">
        <v>15</v>
      </c>
      <c r="E19" s="136">
        <v>0</v>
      </c>
      <c r="F19" s="136">
        <v>0</v>
      </c>
      <c r="G19" s="136">
        <v>0</v>
      </c>
      <c r="H19" s="136">
        <v>0</v>
      </c>
      <c r="I19" s="74">
        <f t="shared" si="5"/>
        <v>0</v>
      </c>
      <c r="J19" s="74">
        <f t="shared" si="0"/>
        <v>0</v>
      </c>
      <c r="K19" s="43">
        <f t="shared" si="6"/>
        <v>0</v>
      </c>
      <c r="L19" s="43">
        <f t="shared" si="7"/>
        <v>0</v>
      </c>
      <c r="M19" s="44">
        <f t="shared" si="8"/>
        <v>0</v>
      </c>
      <c r="N19" s="143">
        <f t="shared" si="1"/>
        <v>0</v>
      </c>
      <c r="O19" s="153" t="str">
        <f t="shared" si="9"/>
        <v/>
      </c>
      <c r="P19" s="143" t="str">
        <f t="shared" si="10"/>
        <v/>
      </c>
      <c r="Q19" s="44">
        <f t="shared" si="11"/>
        <v>0</v>
      </c>
      <c r="R19" s="45">
        <f t="shared" si="2"/>
        <v>0</v>
      </c>
      <c r="S19" s="100"/>
      <c r="T19" s="100"/>
      <c r="U19" s="123" t="s">
        <v>26</v>
      </c>
      <c r="V19" s="111">
        <v>0.20833333333333334</v>
      </c>
      <c r="X19" s="138">
        <f t="shared" si="12"/>
        <v>0</v>
      </c>
      <c r="Y19" s="139">
        <f t="shared" si="13"/>
        <v>0</v>
      </c>
      <c r="Z19" s="138">
        <f t="shared" si="14"/>
        <v>0</v>
      </c>
      <c r="AA19" s="138">
        <f t="shared" si="15"/>
        <v>0</v>
      </c>
      <c r="AC19" s="8"/>
      <c r="AD19" s="9"/>
    </row>
    <row r="20" spans="1:30" ht="14.25">
      <c r="A20" s="37">
        <f t="shared" si="3"/>
        <v>6</v>
      </c>
      <c r="B20" s="41">
        <f t="shared" si="16"/>
        <v>43294</v>
      </c>
      <c r="C20" s="42">
        <f t="shared" si="4"/>
        <v>43294</v>
      </c>
      <c r="D20" s="115"/>
      <c r="E20" s="136">
        <v>500</v>
      </c>
      <c r="F20" s="136">
        <v>800</v>
      </c>
      <c r="G20" s="136">
        <v>900</v>
      </c>
      <c r="H20" s="136">
        <v>1200</v>
      </c>
      <c r="I20" s="74">
        <f t="shared" si="5"/>
        <v>0.25</v>
      </c>
      <c r="J20" s="74">
        <f t="shared" si="0"/>
        <v>0</v>
      </c>
      <c r="K20" s="43">
        <f t="shared" si="6"/>
        <v>0</v>
      </c>
      <c r="L20" s="43">
        <f t="shared" si="7"/>
        <v>0</v>
      </c>
      <c r="M20" s="44">
        <f t="shared" si="8"/>
        <v>0.24999999999999997</v>
      </c>
      <c r="N20" s="143">
        <f t="shared" si="1"/>
        <v>0.30555555555555552</v>
      </c>
      <c r="O20" s="153" t="str">
        <f t="shared" si="9"/>
        <v/>
      </c>
      <c r="P20" s="143">
        <f t="shared" si="10"/>
        <v>5.5555555555555552E-2</v>
      </c>
      <c r="Q20" s="44">
        <f t="shared" si="11"/>
        <v>0</v>
      </c>
      <c r="R20" s="45">
        <f t="shared" si="2"/>
        <v>0</v>
      </c>
      <c r="S20" s="100"/>
      <c r="T20" s="100"/>
      <c r="U20" s="207" t="s">
        <v>27</v>
      </c>
      <c r="V20" s="208"/>
      <c r="X20" s="138">
        <f t="shared" si="12"/>
        <v>0.20833333333333334</v>
      </c>
      <c r="Y20" s="139">
        <f t="shared" si="13"/>
        <v>0.33333333333333331</v>
      </c>
      <c r="Z20" s="138">
        <f t="shared" si="14"/>
        <v>0.375</v>
      </c>
      <c r="AA20" s="138">
        <f t="shared" si="15"/>
        <v>0.5</v>
      </c>
      <c r="AC20" s="8"/>
      <c r="AD20" s="6"/>
    </row>
    <row r="21" spans="1:30" ht="14.25">
      <c r="A21" s="37">
        <f t="shared" si="3"/>
        <v>7</v>
      </c>
      <c r="B21" s="41">
        <f t="shared" si="16"/>
        <v>43295</v>
      </c>
      <c r="C21" s="42">
        <f t="shared" si="4"/>
        <v>43295</v>
      </c>
      <c r="D21" s="115"/>
      <c r="E21" s="136">
        <v>2000</v>
      </c>
      <c r="F21" s="136">
        <v>2200</v>
      </c>
      <c r="G21" s="136">
        <v>2300</v>
      </c>
      <c r="H21" s="136">
        <v>500</v>
      </c>
      <c r="I21" s="74">
        <f t="shared" si="5"/>
        <v>8.3330000000000001E-2</v>
      </c>
      <c r="J21" s="74">
        <f t="shared" si="0"/>
        <v>0.24999999999999989</v>
      </c>
      <c r="K21" s="43">
        <f t="shared" si="6"/>
        <v>3.5714285714285698E-2</v>
      </c>
      <c r="L21" s="43">
        <f t="shared" si="7"/>
        <v>0.28571428571428559</v>
      </c>
      <c r="M21" s="44">
        <f t="shared" si="8"/>
        <v>0.36904761904761896</v>
      </c>
      <c r="N21" s="143">
        <f t="shared" si="1"/>
        <v>0.30555555555555552</v>
      </c>
      <c r="O21" s="153" t="str">
        <f t="shared" si="9"/>
        <v/>
      </c>
      <c r="P21" s="143" t="str">
        <f t="shared" si="10"/>
        <v/>
      </c>
      <c r="Q21" s="44">
        <f t="shared" si="11"/>
        <v>6.3492063492063433E-2</v>
      </c>
      <c r="R21" s="45">
        <f t="shared" si="2"/>
        <v>0</v>
      </c>
      <c r="S21" s="100"/>
      <c r="T21" s="100"/>
      <c r="U21" s="124" t="s">
        <v>28</v>
      </c>
      <c r="V21" s="146"/>
      <c r="X21" s="138">
        <f t="shared" si="12"/>
        <v>0.83333333333333337</v>
      </c>
      <c r="Y21" s="139">
        <f t="shared" si="13"/>
        <v>0.91666666666666663</v>
      </c>
      <c r="Z21" s="138">
        <f t="shared" si="14"/>
        <v>0.95833333333333337</v>
      </c>
      <c r="AA21" s="138">
        <f t="shared" si="15"/>
        <v>0.20833333333333334</v>
      </c>
    </row>
    <row r="22" spans="1:30" ht="15">
      <c r="A22" s="37">
        <f t="shared" si="3"/>
        <v>1</v>
      </c>
      <c r="B22" s="41">
        <f t="shared" si="16"/>
        <v>43296</v>
      </c>
      <c r="C22" s="42">
        <f t="shared" si="4"/>
        <v>43296</v>
      </c>
      <c r="D22" s="115"/>
      <c r="E22" s="136">
        <v>1500</v>
      </c>
      <c r="F22" s="136">
        <v>1900</v>
      </c>
      <c r="G22" s="136">
        <v>2000</v>
      </c>
      <c r="H22" s="136">
        <v>2400</v>
      </c>
      <c r="I22" s="74">
        <f t="shared" si="5"/>
        <v>0.25</v>
      </c>
      <c r="J22" s="74">
        <f t="shared" si="0"/>
        <v>8.333333333333337E-2</v>
      </c>
      <c r="K22" s="43">
        <f t="shared" si="6"/>
        <v>1.1904761904761904E-2</v>
      </c>
      <c r="L22" s="43">
        <f t="shared" si="7"/>
        <v>9.5238095238095274E-2</v>
      </c>
      <c r="M22" s="44">
        <f t="shared" si="8"/>
        <v>0.34523809523809518</v>
      </c>
      <c r="N22" s="143">
        <f t="shared" si="1"/>
        <v>0.30555555555555552</v>
      </c>
      <c r="O22" s="153" t="str">
        <f t="shared" si="9"/>
        <v/>
      </c>
      <c r="P22" s="143" t="str">
        <f t="shared" si="10"/>
        <v/>
      </c>
      <c r="Q22" s="44">
        <f t="shared" si="11"/>
        <v>3.9682539682539653E-2</v>
      </c>
      <c r="R22" s="45">
        <f t="shared" si="2"/>
        <v>0</v>
      </c>
      <c r="S22" s="100"/>
      <c r="T22" s="100"/>
      <c r="U22" s="144" t="s">
        <v>29</v>
      </c>
      <c r="V22" s="148">
        <v>2018</v>
      </c>
      <c r="X22" s="138">
        <f t="shared" si="12"/>
        <v>0.625</v>
      </c>
      <c r="Y22" s="139">
        <f t="shared" si="13"/>
        <v>0.79166666666666663</v>
      </c>
      <c r="Z22" s="138">
        <f t="shared" si="14"/>
        <v>0.83333333333333337</v>
      </c>
      <c r="AA22" s="138">
        <f t="shared" si="15"/>
        <v>0</v>
      </c>
    </row>
    <row r="23" spans="1:30" ht="15">
      <c r="A23" s="37">
        <f t="shared" si="3"/>
        <v>2</v>
      </c>
      <c r="B23" s="41">
        <f t="shared" si="16"/>
        <v>43297</v>
      </c>
      <c r="C23" s="42">
        <f t="shared" si="4"/>
        <v>43297</v>
      </c>
      <c r="D23" s="115"/>
      <c r="E23" s="136">
        <v>1500</v>
      </c>
      <c r="F23" s="136">
        <v>1900</v>
      </c>
      <c r="G23" s="136">
        <v>2000</v>
      </c>
      <c r="H23" s="136">
        <v>100</v>
      </c>
      <c r="I23" s="74">
        <f t="shared" si="5"/>
        <v>0.25</v>
      </c>
      <c r="J23" s="74">
        <f t="shared" si="0"/>
        <v>0.12500000000000011</v>
      </c>
      <c r="K23" s="43">
        <f t="shared" si="6"/>
        <v>1.7857142857142877E-2</v>
      </c>
      <c r="L23" s="43">
        <f t="shared" si="7"/>
        <v>0.14285714285714299</v>
      </c>
      <c r="M23" s="44">
        <f t="shared" si="8"/>
        <v>0.39285714285714279</v>
      </c>
      <c r="N23" s="143">
        <f t="shared" si="1"/>
        <v>0.30555555555555552</v>
      </c>
      <c r="O23" s="153" t="str">
        <f t="shared" si="9"/>
        <v/>
      </c>
      <c r="P23" s="143" t="str">
        <f t="shared" si="10"/>
        <v/>
      </c>
      <c r="Q23" s="44">
        <f t="shared" si="11"/>
        <v>8.7301587301587269E-2</v>
      </c>
      <c r="R23" s="45">
        <f t="shared" si="2"/>
        <v>0</v>
      </c>
      <c r="S23" s="100"/>
      <c r="T23" s="100"/>
      <c r="U23" s="144" t="s">
        <v>30</v>
      </c>
      <c r="V23" s="147">
        <v>7</v>
      </c>
      <c r="X23" s="138">
        <f t="shared" si="12"/>
        <v>0.625</v>
      </c>
      <c r="Y23" s="139">
        <f t="shared" si="13"/>
        <v>0.79166666666666663</v>
      </c>
      <c r="Z23" s="138">
        <f t="shared" si="14"/>
        <v>0.83333333333333337</v>
      </c>
      <c r="AA23" s="138">
        <f t="shared" si="15"/>
        <v>4.1666666666666664E-2</v>
      </c>
      <c r="AC23" s="5"/>
      <c r="AD23" s="4"/>
    </row>
    <row r="24" spans="1:30" ht="14.25">
      <c r="A24" s="37">
        <f t="shared" si="3"/>
        <v>3</v>
      </c>
      <c r="B24" s="41">
        <f t="shared" si="16"/>
        <v>43298</v>
      </c>
      <c r="C24" s="42">
        <f t="shared" si="4"/>
        <v>43298</v>
      </c>
      <c r="D24" s="115"/>
      <c r="E24" s="136">
        <v>1400</v>
      </c>
      <c r="F24" s="136">
        <v>1800</v>
      </c>
      <c r="G24" s="136">
        <v>1830</v>
      </c>
      <c r="H24" s="136">
        <v>200</v>
      </c>
      <c r="I24" s="74">
        <f t="shared" si="5"/>
        <v>0.3125</v>
      </c>
      <c r="J24" s="74">
        <f t="shared" si="0"/>
        <v>0.16666666666666663</v>
      </c>
      <c r="K24" s="43">
        <f t="shared" si="6"/>
        <v>2.3809523809523808E-2</v>
      </c>
      <c r="L24" s="43">
        <f t="shared" si="7"/>
        <v>0.19047619047619044</v>
      </c>
      <c r="M24" s="44">
        <f t="shared" si="8"/>
        <v>0.50297619047619047</v>
      </c>
      <c r="N24" s="143">
        <f t="shared" si="1"/>
        <v>0.30555555555555552</v>
      </c>
      <c r="O24" s="153" t="str">
        <f t="shared" si="9"/>
        <v/>
      </c>
      <c r="P24" s="143" t="str">
        <f t="shared" si="10"/>
        <v/>
      </c>
      <c r="Q24" s="44">
        <f t="shared" si="11"/>
        <v>0.19742063492063494</v>
      </c>
      <c r="R24" s="45">
        <f t="shared" si="2"/>
        <v>0</v>
      </c>
      <c r="S24" s="100"/>
      <c r="T24" s="100"/>
      <c r="U24" s="171"/>
      <c r="V24" s="100"/>
      <c r="X24" s="138">
        <f t="shared" si="12"/>
        <v>0.58333333333333337</v>
      </c>
      <c r="Y24" s="139">
        <f t="shared" si="13"/>
        <v>0.75</v>
      </c>
      <c r="Z24" s="138">
        <f t="shared" si="14"/>
        <v>0.77083333333333337</v>
      </c>
      <c r="AA24" s="138">
        <f t="shared" si="15"/>
        <v>8.3333333333333329E-2</v>
      </c>
    </row>
    <row r="25" spans="1:30" ht="14.25">
      <c r="A25" s="37">
        <f t="shared" si="3"/>
        <v>4</v>
      </c>
      <c r="B25" s="41">
        <f t="shared" si="16"/>
        <v>43299</v>
      </c>
      <c r="C25" s="42">
        <f t="shared" si="4"/>
        <v>43299</v>
      </c>
      <c r="D25" s="115"/>
      <c r="E25" s="136">
        <v>1600</v>
      </c>
      <c r="F25" s="136">
        <v>1900</v>
      </c>
      <c r="G25" s="136">
        <v>2000</v>
      </c>
      <c r="H25" s="136">
        <v>300</v>
      </c>
      <c r="I25" s="74">
        <f t="shared" si="5"/>
        <v>0.20832999999999999</v>
      </c>
      <c r="J25" s="74">
        <f t="shared" si="0"/>
        <v>0.20833333333333337</v>
      </c>
      <c r="K25" s="43">
        <f t="shared" si="6"/>
        <v>2.9761904761904767E-2</v>
      </c>
      <c r="L25" s="43">
        <f t="shared" si="7"/>
        <v>0.23809523809523814</v>
      </c>
      <c r="M25" s="44">
        <f t="shared" si="8"/>
        <v>0.4464285714285714</v>
      </c>
      <c r="N25" s="143">
        <f t="shared" si="1"/>
        <v>0.30555555555555552</v>
      </c>
      <c r="O25" s="153" t="str">
        <f t="shared" si="9"/>
        <v/>
      </c>
      <c r="P25" s="143" t="str">
        <f t="shared" si="10"/>
        <v/>
      </c>
      <c r="Q25" s="44">
        <f t="shared" si="11"/>
        <v>0.14087301587301587</v>
      </c>
      <c r="R25" s="45">
        <f t="shared" si="2"/>
        <v>0</v>
      </c>
      <c r="S25" s="100"/>
      <c r="T25" s="100"/>
      <c r="U25" s="191" t="s">
        <v>86</v>
      </c>
      <c r="V25" s="108">
        <f>L39</f>
        <v>4.0357142857142865</v>
      </c>
      <c r="X25" s="138">
        <f t="shared" si="12"/>
        <v>0.66666666666666663</v>
      </c>
      <c r="Y25" s="139">
        <f t="shared" si="13"/>
        <v>0.79166666666666663</v>
      </c>
      <c r="Z25" s="138">
        <f t="shared" si="14"/>
        <v>0.83333333333333337</v>
      </c>
      <c r="AA25" s="138">
        <f t="shared" si="15"/>
        <v>0.125</v>
      </c>
    </row>
    <row r="26" spans="1:30" ht="14.25">
      <c r="A26" s="37">
        <f t="shared" si="3"/>
        <v>5</v>
      </c>
      <c r="B26" s="41">
        <f t="shared" si="16"/>
        <v>43300</v>
      </c>
      <c r="C26" s="42">
        <f t="shared" si="4"/>
        <v>43300</v>
      </c>
      <c r="D26" s="115" t="s">
        <v>15</v>
      </c>
      <c r="E26" s="136">
        <v>1600</v>
      </c>
      <c r="F26" s="136">
        <v>1900</v>
      </c>
      <c r="G26" s="136">
        <v>2000</v>
      </c>
      <c r="H26" s="136">
        <v>400</v>
      </c>
      <c r="I26" s="74">
        <f t="shared" si="5"/>
        <v>0.20832999999999999</v>
      </c>
      <c r="J26" s="74">
        <f t="shared" si="0"/>
        <v>0.25000000000000011</v>
      </c>
      <c r="K26" s="43">
        <f t="shared" si="6"/>
        <v>3.5714285714285754E-2</v>
      </c>
      <c r="L26" s="43">
        <f t="shared" si="7"/>
        <v>0.28571428571428586</v>
      </c>
      <c r="M26" s="44">
        <f t="shared" si="8"/>
        <v>0.49404761904761901</v>
      </c>
      <c r="N26" s="143">
        <f t="shared" si="1"/>
        <v>0</v>
      </c>
      <c r="O26" s="153" t="str">
        <f t="shared" si="9"/>
        <v/>
      </c>
      <c r="P26" s="143" t="str">
        <f t="shared" si="10"/>
        <v/>
      </c>
      <c r="Q26" s="44">
        <f t="shared" si="11"/>
        <v>0</v>
      </c>
      <c r="R26" s="45">
        <f t="shared" si="2"/>
        <v>0.49404761904761901</v>
      </c>
      <c r="S26" s="100"/>
      <c r="T26" s="100"/>
      <c r="U26" s="192" t="s">
        <v>80</v>
      </c>
      <c r="V26" s="193">
        <f>M39</f>
        <v>10.250992063492061</v>
      </c>
      <c r="X26" s="138">
        <f t="shared" si="12"/>
        <v>0.66666666666666663</v>
      </c>
      <c r="Y26" s="139">
        <f t="shared" si="13"/>
        <v>0.79166666666666663</v>
      </c>
      <c r="Z26" s="138">
        <f t="shared" si="14"/>
        <v>0.83333333333333337</v>
      </c>
      <c r="AA26" s="138">
        <f t="shared" si="15"/>
        <v>0.16666666666666666</v>
      </c>
    </row>
    <row r="27" spans="1:30" ht="14.25">
      <c r="A27" s="37">
        <f t="shared" si="3"/>
        <v>6</v>
      </c>
      <c r="B27" s="41">
        <f t="shared" si="16"/>
        <v>43301</v>
      </c>
      <c r="C27" s="42">
        <f t="shared" si="4"/>
        <v>43301</v>
      </c>
      <c r="D27" s="115"/>
      <c r="E27" s="136">
        <v>1600</v>
      </c>
      <c r="F27" s="136">
        <v>1900</v>
      </c>
      <c r="G27" s="136">
        <v>2000</v>
      </c>
      <c r="H27" s="136">
        <v>2200</v>
      </c>
      <c r="I27" s="74">
        <f t="shared" si="5"/>
        <v>0.20832999999999999</v>
      </c>
      <c r="J27" s="74">
        <f t="shared" si="0"/>
        <v>0</v>
      </c>
      <c r="K27" s="43">
        <f t="shared" si="6"/>
        <v>0</v>
      </c>
      <c r="L27" s="43">
        <f t="shared" si="7"/>
        <v>0</v>
      </c>
      <c r="M27" s="44">
        <f t="shared" si="8"/>
        <v>0.20833333333333326</v>
      </c>
      <c r="N27" s="143">
        <f t="shared" si="1"/>
        <v>0.30555555555555552</v>
      </c>
      <c r="O27" s="153" t="str">
        <f t="shared" si="9"/>
        <v/>
      </c>
      <c r="P27" s="143">
        <f t="shared" si="10"/>
        <v>9.7222222222222265E-2</v>
      </c>
      <c r="Q27" s="44">
        <f t="shared" si="11"/>
        <v>0</v>
      </c>
      <c r="R27" s="45">
        <f t="shared" si="2"/>
        <v>0</v>
      </c>
      <c r="S27" s="100"/>
      <c r="T27" s="100"/>
      <c r="U27" s="178" t="s">
        <v>81</v>
      </c>
      <c r="V27" s="179">
        <f>O39</f>
        <v>0.40277777777777768</v>
      </c>
      <c r="X27" s="138">
        <f t="shared" si="12"/>
        <v>0.66666666666666663</v>
      </c>
      <c r="Y27" s="139">
        <f t="shared" si="13"/>
        <v>0.79166666666666663</v>
      </c>
      <c r="Z27" s="138">
        <f t="shared" si="14"/>
        <v>0.83333333333333337</v>
      </c>
      <c r="AA27" s="138">
        <f t="shared" si="15"/>
        <v>0.91666666666666663</v>
      </c>
    </row>
    <row r="28" spans="1:30" ht="14.25">
      <c r="A28" s="37">
        <f t="shared" si="3"/>
        <v>7</v>
      </c>
      <c r="B28" s="41">
        <f t="shared" si="16"/>
        <v>43302</v>
      </c>
      <c r="C28" s="42">
        <f t="shared" si="4"/>
        <v>43302</v>
      </c>
      <c r="D28" s="115"/>
      <c r="E28" s="136">
        <v>1700</v>
      </c>
      <c r="F28" s="136">
        <v>2000</v>
      </c>
      <c r="G28" s="136">
        <v>2400</v>
      </c>
      <c r="H28" s="136">
        <v>500</v>
      </c>
      <c r="I28" s="74">
        <f t="shared" si="5"/>
        <v>0.125</v>
      </c>
      <c r="J28" s="74">
        <f t="shared" si="0"/>
        <v>0.20833333333333334</v>
      </c>
      <c r="K28" s="43">
        <f t="shared" si="6"/>
        <v>2.9761904761904767E-2</v>
      </c>
      <c r="L28" s="43">
        <f t="shared" si="7"/>
        <v>0.23809523809523811</v>
      </c>
      <c r="M28" s="44">
        <f t="shared" si="8"/>
        <v>0.36309523809523814</v>
      </c>
      <c r="N28" s="143">
        <f t="shared" si="1"/>
        <v>0.30555555555555552</v>
      </c>
      <c r="O28" s="153" t="str">
        <f t="shared" si="9"/>
        <v/>
      </c>
      <c r="P28" s="143" t="str">
        <f t="shared" si="10"/>
        <v/>
      </c>
      <c r="Q28" s="44">
        <f t="shared" si="11"/>
        <v>5.7539682539682613E-2</v>
      </c>
      <c r="R28" s="45">
        <f t="shared" si="2"/>
        <v>0</v>
      </c>
      <c r="S28" s="100"/>
      <c r="T28" s="100"/>
      <c r="U28" s="185" t="s">
        <v>82</v>
      </c>
      <c r="V28" s="186">
        <f>P39</f>
        <v>0.89285714285714357</v>
      </c>
      <c r="X28" s="138">
        <f t="shared" si="12"/>
        <v>0.70833333333333337</v>
      </c>
      <c r="Y28" s="139">
        <f t="shared" si="13"/>
        <v>0.83333333333333337</v>
      </c>
      <c r="Z28" s="138">
        <f t="shared" si="14"/>
        <v>0</v>
      </c>
      <c r="AA28" s="138">
        <f t="shared" si="15"/>
        <v>0.20833333333333334</v>
      </c>
    </row>
    <row r="29" spans="1:30" ht="14.25">
      <c r="A29" s="37">
        <f t="shared" si="3"/>
        <v>1</v>
      </c>
      <c r="B29" s="41">
        <f t="shared" si="16"/>
        <v>43303</v>
      </c>
      <c r="C29" s="42">
        <f t="shared" si="4"/>
        <v>43303</v>
      </c>
      <c r="D29" s="115"/>
      <c r="E29" s="136">
        <v>1700</v>
      </c>
      <c r="F29" s="136">
        <v>1900</v>
      </c>
      <c r="G29" s="136">
        <v>1945</v>
      </c>
      <c r="H29" s="136">
        <v>400</v>
      </c>
      <c r="I29" s="74">
        <f t="shared" si="5"/>
        <v>0.17707999999999999</v>
      </c>
      <c r="J29" s="74">
        <f t="shared" si="0"/>
        <v>0.25000000000000011</v>
      </c>
      <c r="K29" s="43">
        <f t="shared" si="6"/>
        <v>3.5714285714285754E-2</v>
      </c>
      <c r="L29" s="43">
        <f t="shared" si="7"/>
        <v>0.28571428571428586</v>
      </c>
      <c r="M29" s="44">
        <f t="shared" si="8"/>
        <v>0.46279761904761901</v>
      </c>
      <c r="N29" s="143">
        <f t="shared" si="1"/>
        <v>0.30555555555555552</v>
      </c>
      <c r="O29" s="153" t="str">
        <f t="shared" si="9"/>
        <v/>
      </c>
      <c r="P29" s="143" t="str">
        <f t="shared" si="10"/>
        <v/>
      </c>
      <c r="Q29" s="44">
        <f t="shared" si="11"/>
        <v>0.15724206349206349</v>
      </c>
      <c r="R29" s="45">
        <f t="shared" si="2"/>
        <v>0</v>
      </c>
      <c r="S29" s="100"/>
      <c r="T29" s="100"/>
      <c r="U29" s="178" t="s">
        <v>83</v>
      </c>
      <c r="V29" s="179">
        <f>Q39</f>
        <v>1.7495039682539684</v>
      </c>
      <c r="X29" s="138">
        <f t="shared" si="12"/>
        <v>0.70833333333333337</v>
      </c>
      <c r="Y29" s="139">
        <f t="shared" si="13"/>
        <v>0.79166666666666663</v>
      </c>
      <c r="Z29" s="138">
        <f t="shared" si="14"/>
        <v>0.82291666666666663</v>
      </c>
      <c r="AA29" s="138">
        <f t="shared" si="15"/>
        <v>0.16666666666666666</v>
      </c>
    </row>
    <row r="30" spans="1:30" ht="14.25">
      <c r="A30" s="37">
        <f t="shared" si="3"/>
        <v>2</v>
      </c>
      <c r="B30" s="41">
        <f t="shared" si="16"/>
        <v>43304</v>
      </c>
      <c r="C30" s="42">
        <f t="shared" si="4"/>
        <v>43304</v>
      </c>
      <c r="D30" s="115"/>
      <c r="E30" s="136">
        <v>1700</v>
      </c>
      <c r="F30" s="136">
        <v>1900</v>
      </c>
      <c r="G30" s="136">
        <v>1935</v>
      </c>
      <c r="H30" s="136">
        <v>400</v>
      </c>
      <c r="I30" s="74">
        <f t="shared" si="5"/>
        <v>0.18403</v>
      </c>
      <c r="J30" s="74">
        <f t="shared" si="0"/>
        <v>0.25000000000000011</v>
      </c>
      <c r="K30" s="43">
        <f t="shared" si="6"/>
        <v>3.5714285714285754E-2</v>
      </c>
      <c r="L30" s="43">
        <f t="shared" si="7"/>
        <v>0.28571428571428586</v>
      </c>
      <c r="M30" s="44">
        <f t="shared" si="8"/>
        <v>0.46974206349206343</v>
      </c>
      <c r="N30" s="143">
        <f t="shared" si="1"/>
        <v>0.30555555555555552</v>
      </c>
      <c r="O30" s="153" t="str">
        <f t="shared" si="9"/>
        <v/>
      </c>
      <c r="P30" s="143" t="str">
        <f t="shared" si="10"/>
        <v/>
      </c>
      <c r="Q30" s="44">
        <f t="shared" si="11"/>
        <v>0.16418650793650791</v>
      </c>
      <c r="R30" s="45">
        <f t="shared" si="2"/>
        <v>0</v>
      </c>
      <c r="S30" s="100"/>
      <c r="T30" s="100"/>
      <c r="U30" s="187" t="s">
        <v>84</v>
      </c>
      <c r="V30" s="188">
        <f>R39</f>
        <v>2.0565476190476191</v>
      </c>
      <c r="X30" s="138">
        <f t="shared" si="12"/>
        <v>0.70833333333333337</v>
      </c>
      <c r="Y30" s="139">
        <f t="shared" si="13"/>
        <v>0.79166666666666663</v>
      </c>
      <c r="Z30" s="138">
        <f t="shared" si="14"/>
        <v>0.81597222222222221</v>
      </c>
      <c r="AA30" s="138">
        <f t="shared" si="15"/>
        <v>0.16666666666666666</v>
      </c>
    </row>
    <row r="31" spans="1:30" ht="14.25">
      <c r="A31" s="37">
        <f t="shared" si="3"/>
        <v>3</v>
      </c>
      <c r="B31" s="41">
        <f t="shared" si="16"/>
        <v>43305</v>
      </c>
      <c r="C31" s="42">
        <f>IF(B31="","",IF(COUNTIF(fer,B31)&gt;0,"feriado",B31))</f>
        <v>43305</v>
      </c>
      <c r="D31" s="115"/>
      <c r="E31" s="136">
        <v>1700</v>
      </c>
      <c r="F31" s="136">
        <v>1900</v>
      </c>
      <c r="G31" s="136">
        <v>2000</v>
      </c>
      <c r="H31" s="136">
        <v>2300</v>
      </c>
      <c r="I31" s="74">
        <f t="shared" si="5"/>
        <v>0.16667000000000001</v>
      </c>
      <c r="J31" s="74">
        <f t="shared" si="0"/>
        <v>4.1666666666666741E-2</v>
      </c>
      <c r="K31" s="43">
        <f t="shared" si="6"/>
        <v>5.9523809523809659E-3</v>
      </c>
      <c r="L31" s="43">
        <f t="shared" si="7"/>
        <v>4.7619047619047707E-2</v>
      </c>
      <c r="M31" s="44">
        <f t="shared" si="8"/>
        <v>0.21428571428571422</v>
      </c>
      <c r="N31" s="143">
        <f t="shared" si="1"/>
        <v>0.30555555555555552</v>
      </c>
      <c r="O31" s="153" t="str">
        <f t="shared" si="9"/>
        <v/>
      </c>
      <c r="P31" s="143">
        <f t="shared" si="10"/>
        <v>9.1269841269841306E-2</v>
      </c>
      <c r="Q31" s="44">
        <f t="shared" si="11"/>
        <v>0</v>
      </c>
      <c r="R31" s="45">
        <f t="shared" si="2"/>
        <v>0</v>
      </c>
      <c r="S31" s="100"/>
      <c r="T31" s="100"/>
      <c r="U31" s="100"/>
      <c r="V31" s="100"/>
      <c r="X31" s="138">
        <f t="shared" si="12"/>
        <v>0.70833333333333337</v>
      </c>
      <c r="Y31" s="139">
        <f t="shared" si="13"/>
        <v>0.79166666666666663</v>
      </c>
      <c r="Z31" s="138">
        <f t="shared" si="14"/>
        <v>0.83333333333333337</v>
      </c>
      <c r="AA31" s="138">
        <f t="shared" si="15"/>
        <v>0.95833333333333337</v>
      </c>
    </row>
    <row r="32" spans="1:30" ht="14.25">
      <c r="A32" s="37">
        <f t="shared" si="3"/>
        <v>4</v>
      </c>
      <c r="B32" s="41">
        <f t="shared" si="16"/>
        <v>43306</v>
      </c>
      <c r="C32" s="42">
        <f t="shared" si="4"/>
        <v>43306</v>
      </c>
      <c r="D32" s="115" t="s">
        <v>15</v>
      </c>
      <c r="E32" s="136">
        <v>1700</v>
      </c>
      <c r="F32" s="136">
        <v>1900</v>
      </c>
      <c r="G32" s="136">
        <v>2000</v>
      </c>
      <c r="H32" s="136">
        <v>700</v>
      </c>
      <c r="I32" s="74">
        <f t="shared" si="5"/>
        <v>0.25</v>
      </c>
      <c r="J32" s="74">
        <f t="shared" si="0"/>
        <v>0.29166666666666663</v>
      </c>
      <c r="K32" s="43">
        <f t="shared" si="6"/>
        <v>4.1666666666666685E-2</v>
      </c>
      <c r="L32" s="43">
        <f t="shared" si="7"/>
        <v>0.33333333333333331</v>
      </c>
      <c r="M32" s="44">
        <f t="shared" si="8"/>
        <v>0.58333333333333326</v>
      </c>
      <c r="N32" s="143">
        <f t="shared" si="1"/>
        <v>0</v>
      </c>
      <c r="O32" s="153" t="str">
        <f t="shared" si="9"/>
        <v/>
      </c>
      <c r="P32" s="143" t="str">
        <f t="shared" si="10"/>
        <v/>
      </c>
      <c r="Q32" s="44">
        <f t="shared" si="11"/>
        <v>0</v>
      </c>
      <c r="R32" s="45">
        <f t="shared" si="2"/>
        <v>0.58333333333333326</v>
      </c>
      <c r="S32" s="100"/>
      <c r="T32" s="100"/>
      <c r="U32" s="180" t="str">
        <f>IF(V28-V29=0,0,(IF(V28-V29&lt;0,"Horas Extras","Horas Compensadas")))</f>
        <v>Horas Extras</v>
      </c>
      <c r="V32" s="190">
        <f>IF(V28-V29&lt;0,(V28*-1)-(V29*-1),V28-V29)</f>
        <v>0.8566468253968248</v>
      </c>
      <c r="X32" s="138">
        <f t="shared" si="12"/>
        <v>0.70833333333333337</v>
      </c>
      <c r="Y32" s="139">
        <f t="shared" si="13"/>
        <v>0.79166666666666663</v>
      </c>
      <c r="Z32" s="138">
        <f t="shared" si="14"/>
        <v>0.83333333333333337</v>
      </c>
      <c r="AA32" s="138">
        <f t="shared" si="15"/>
        <v>0.29166666666666669</v>
      </c>
    </row>
    <row r="33" spans="1:27" ht="14.25">
      <c r="A33" s="37">
        <f t="shared" si="3"/>
        <v>5</v>
      </c>
      <c r="B33" s="41">
        <f t="shared" si="16"/>
        <v>43307</v>
      </c>
      <c r="C33" s="42">
        <f t="shared" si="4"/>
        <v>43307</v>
      </c>
      <c r="D33" s="115"/>
      <c r="E33" s="136">
        <v>1715</v>
      </c>
      <c r="F33" s="136">
        <v>1900</v>
      </c>
      <c r="G33" s="136">
        <v>2000</v>
      </c>
      <c r="H33" s="136">
        <v>630</v>
      </c>
      <c r="I33" s="74">
        <f t="shared" si="5"/>
        <v>0.21875</v>
      </c>
      <c r="J33" s="74">
        <f t="shared" si="0"/>
        <v>0.29166666666666663</v>
      </c>
      <c r="K33" s="43">
        <f t="shared" si="6"/>
        <v>4.1666666666666685E-2</v>
      </c>
      <c r="L33" s="43">
        <f t="shared" si="7"/>
        <v>0.33333333333333331</v>
      </c>
      <c r="M33" s="44">
        <f t="shared" si="8"/>
        <v>0.55208333333333326</v>
      </c>
      <c r="N33" s="143">
        <f t="shared" si="1"/>
        <v>0.30555555555555552</v>
      </c>
      <c r="O33" s="153" t="str">
        <f t="shared" si="9"/>
        <v/>
      </c>
      <c r="P33" s="143" t="str">
        <f t="shared" si="10"/>
        <v/>
      </c>
      <c r="Q33" s="44">
        <f t="shared" si="11"/>
        <v>0.24652777777777773</v>
      </c>
      <c r="R33" s="45">
        <f t="shared" si="2"/>
        <v>0</v>
      </c>
      <c r="S33" s="100"/>
      <c r="T33" s="100"/>
      <c r="U33" s="100"/>
      <c r="V33" s="100"/>
      <c r="X33" s="138">
        <f t="shared" si="12"/>
        <v>0.71875</v>
      </c>
      <c r="Y33" s="139">
        <f t="shared" si="13"/>
        <v>0.79166666666666663</v>
      </c>
      <c r="Z33" s="138">
        <f t="shared" si="14"/>
        <v>0.83333333333333337</v>
      </c>
      <c r="AA33" s="138">
        <f t="shared" si="15"/>
        <v>0.27083333333333331</v>
      </c>
    </row>
    <row r="34" spans="1:27" ht="14.25">
      <c r="A34" s="37">
        <f t="shared" si="3"/>
        <v>6</v>
      </c>
      <c r="B34" s="41">
        <f t="shared" si="16"/>
        <v>43308</v>
      </c>
      <c r="C34" s="42">
        <f t="shared" si="4"/>
        <v>43308</v>
      </c>
      <c r="D34" s="115"/>
      <c r="E34" s="136">
        <v>1800</v>
      </c>
      <c r="F34" s="136">
        <v>2200</v>
      </c>
      <c r="G34" s="136">
        <v>2300</v>
      </c>
      <c r="H34" s="136">
        <v>100</v>
      </c>
      <c r="I34" s="74">
        <f t="shared" si="5"/>
        <v>0.16667000000000001</v>
      </c>
      <c r="J34" s="74">
        <f t="shared" si="0"/>
        <v>8.333333333333337E-2</v>
      </c>
      <c r="K34" s="43">
        <f t="shared" si="6"/>
        <v>1.1904761904761904E-2</v>
      </c>
      <c r="L34" s="43">
        <f t="shared" si="7"/>
        <v>9.5238095238095274E-2</v>
      </c>
      <c r="M34" s="44">
        <f t="shared" si="8"/>
        <v>0.26190476190476181</v>
      </c>
      <c r="N34" s="143">
        <f t="shared" si="1"/>
        <v>0.30555555555555552</v>
      </c>
      <c r="O34" s="153" t="str">
        <f t="shared" si="9"/>
        <v/>
      </c>
      <c r="P34" s="143">
        <f t="shared" si="10"/>
        <v>4.3650793650793718E-2</v>
      </c>
      <c r="Q34" s="44">
        <f t="shared" si="11"/>
        <v>0</v>
      </c>
      <c r="R34" s="45">
        <f t="shared" si="2"/>
        <v>0</v>
      </c>
      <c r="S34" s="100"/>
      <c r="T34" s="100"/>
      <c r="U34" s="100"/>
      <c r="V34" s="100"/>
      <c r="X34" s="138">
        <f t="shared" si="12"/>
        <v>0.75</v>
      </c>
      <c r="Y34" s="139">
        <f t="shared" si="13"/>
        <v>0.91666666666666663</v>
      </c>
      <c r="Z34" s="138">
        <f t="shared" si="14"/>
        <v>0.95833333333333337</v>
      </c>
      <c r="AA34" s="138">
        <f t="shared" si="15"/>
        <v>4.1666666666666664E-2</v>
      </c>
    </row>
    <row r="35" spans="1:27" ht="14.25">
      <c r="A35" s="37">
        <f t="shared" si="3"/>
        <v>7</v>
      </c>
      <c r="B35" s="41">
        <f t="shared" si="16"/>
        <v>43309</v>
      </c>
      <c r="C35" s="42">
        <f t="shared" si="4"/>
        <v>43309</v>
      </c>
      <c r="D35" s="115" t="s">
        <v>73</v>
      </c>
      <c r="E35" s="136">
        <v>0</v>
      </c>
      <c r="F35" s="136">
        <v>0</v>
      </c>
      <c r="G35" s="136">
        <v>0</v>
      </c>
      <c r="H35" s="136">
        <v>0</v>
      </c>
      <c r="I35" s="74">
        <f t="shared" si="5"/>
        <v>0</v>
      </c>
      <c r="J35" s="74">
        <f t="shared" si="0"/>
        <v>0</v>
      </c>
      <c r="K35" s="43">
        <f t="shared" si="6"/>
        <v>0</v>
      </c>
      <c r="L35" s="43">
        <f t="shared" si="7"/>
        <v>0</v>
      </c>
      <c r="M35" s="44">
        <f t="shared" si="8"/>
        <v>0</v>
      </c>
      <c r="N35" s="143">
        <f t="shared" si="1"/>
        <v>0.30555555555555552</v>
      </c>
      <c r="O35" s="153">
        <f t="shared" si="9"/>
        <v>0.30555555555555552</v>
      </c>
      <c r="P35" s="143" t="str">
        <f t="shared" si="10"/>
        <v/>
      </c>
      <c r="Q35" s="44">
        <f t="shared" si="11"/>
        <v>0</v>
      </c>
      <c r="R35" s="45">
        <f t="shared" si="2"/>
        <v>0</v>
      </c>
      <c r="S35" s="100"/>
      <c r="T35" s="100"/>
      <c r="U35" s="100"/>
      <c r="V35" s="100"/>
      <c r="X35" s="138">
        <f t="shared" si="12"/>
        <v>0</v>
      </c>
      <c r="Y35" s="139">
        <f t="shared" si="13"/>
        <v>0</v>
      </c>
      <c r="Z35" s="138">
        <f t="shared" si="14"/>
        <v>0</v>
      </c>
      <c r="AA35" s="138">
        <f t="shared" si="15"/>
        <v>0</v>
      </c>
    </row>
    <row r="36" spans="1:27" ht="14.25">
      <c r="A36" s="37">
        <f t="shared" si="3"/>
        <v>1</v>
      </c>
      <c r="B36" s="46">
        <f>IF(B35="","",IF(B35&gt;=fim,"",B35+1))</f>
        <v>43310</v>
      </c>
      <c r="C36" s="42">
        <f t="shared" si="4"/>
        <v>43310</v>
      </c>
      <c r="D36" s="115"/>
      <c r="E36" s="136">
        <v>1800</v>
      </c>
      <c r="F36" s="136">
        <v>2200</v>
      </c>
      <c r="G36" s="136">
        <v>2215</v>
      </c>
      <c r="H36" s="136">
        <v>800</v>
      </c>
      <c r="I36" s="74">
        <f t="shared" si="5"/>
        <v>0.29166999999999998</v>
      </c>
      <c r="J36" s="74">
        <f t="shared" si="0"/>
        <v>0.28124999999999989</v>
      </c>
      <c r="K36" s="43">
        <f t="shared" si="6"/>
        <v>4.0178571428571397E-2</v>
      </c>
      <c r="L36" s="43">
        <f t="shared" si="7"/>
        <v>0.32142857142857129</v>
      </c>
      <c r="M36" s="44">
        <f t="shared" si="8"/>
        <v>0.61309523809523803</v>
      </c>
      <c r="N36" s="143">
        <f t="shared" si="1"/>
        <v>0.30555555555555552</v>
      </c>
      <c r="O36" s="153" t="str">
        <f t="shared" si="9"/>
        <v/>
      </c>
      <c r="P36" s="143" t="str">
        <f t="shared" si="10"/>
        <v/>
      </c>
      <c r="Q36" s="44">
        <f t="shared" si="11"/>
        <v>0.3075396825396825</v>
      </c>
      <c r="R36" s="45">
        <f t="shared" si="2"/>
        <v>0</v>
      </c>
      <c r="S36" s="100"/>
      <c r="T36" s="100"/>
      <c r="U36" s="100"/>
      <c r="V36" s="100"/>
      <c r="X36" s="138">
        <f t="shared" si="12"/>
        <v>0.75</v>
      </c>
      <c r="Y36" s="139">
        <f t="shared" si="13"/>
        <v>0.91666666666666663</v>
      </c>
      <c r="Z36" s="138">
        <f t="shared" si="14"/>
        <v>0.92708333333333337</v>
      </c>
      <c r="AA36" s="138">
        <f t="shared" si="15"/>
        <v>0.33333333333333331</v>
      </c>
    </row>
    <row r="37" spans="1:27" ht="14.25">
      <c r="A37" s="37">
        <f t="shared" si="3"/>
        <v>2</v>
      </c>
      <c r="B37" s="46">
        <f>IF(B36="","",IF(B36&gt;=fim,"",B36+1))</f>
        <v>43311</v>
      </c>
      <c r="C37" s="42">
        <f t="shared" si="4"/>
        <v>43311</v>
      </c>
      <c r="D37" s="115" t="s">
        <v>15</v>
      </c>
      <c r="E37" s="136">
        <v>1800</v>
      </c>
      <c r="F37" s="136">
        <v>2200</v>
      </c>
      <c r="G37" s="136">
        <v>2200</v>
      </c>
      <c r="H37" s="136">
        <v>800</v>
      </c>
      <c r="I37" s="74">
        <f t="shared" si="5"/>
        <v>0.29166999999999998</v>
      </c>
      <c r="J37" s="74">
        <f t="shared" si="0"/>
        <v>0.29166666666666663</v>
      </c>
      <c r="K37" s="43">
        <f t="shared" si="6"/>
        <v>4.1666666666666685E-2</v>
      </c>
      <c r="L37" s="43">
        <f t="shared" si="7"/>
        <v>0.33333333333333331</v>
      </c>
      <c r="M37" s="44">
        <f t="shared" si="8"/>
        <v>0.625</v>
      </c>
      <c r="N37" s="143">
        <f t="shared" si="1"/>
        <v>0</v>
      </c>
      <c r="O37" s="153" t="str">
        <f t="shared" si="9"/>
        <v/>
      </c>
      <c r="P37" s="143" t="str">
        <f t="shared" si="10"/>
        <v/>
      </c>
      <c r="Q37" s="44">
        <f t="shared" si="11"/>
        <v>0</v>
      </c>
      <c r="R37" s="45">
        <f t="shared" si="2"/>
        <v>0.625</v>
      </c>
      <c r="S37" s="100"/>
      <c r="T37" s="100"/>
      <c r="U37" s="100"/>
      <c r="V37" s="100"/>
      <c r="X37" s="138">
        <f t="shared" si="12"/>
        <v>0.75</v>
      </c>
      <c r="Y37" s="139">
        <f t="shared" si="13"/>
        <v>0.91666666666666663</v>
      </c>
      <c r="Z37" s="138">
        <f t="shared" si="14"/>
        <v>0.91666666666666663</v>
      </c>
      <c r="AA37" s="138">
        <f t="shared" si="15"/>
        <v>0.33333333333333331</v>
      </c>
    </row>
    <row r="38" spans="1:27" ht="14.25">
      <c r="A38" s="37">
        <f t="shared" si="3"/>
        <v>3</v>
      </c>
      <c r="B38" s="47">
        <f>IF(B37="","",IF(B37&gt;=fim,"",B37+1))</f>
        <v>43312</v>
      </c>
      <c r="C38" s="48">
        <f t="shared" si="4"/>
        <v>43312</v>
      </c>
      <c r="D38" s="116"/>
      <c r="E38" s="137">
        <v>1700</v>
      </c>
      <c r="F38" s="136">
        <v>2000</v>
      </c>
      <c r="G38" s="136">
        <v>2100</v>
      </c>
      <c r="H38" s="137">
        <v>200</v>
      </c>
      <c r="I38" s="85">
        <f t="shared" si="5"/>
        <v>0.16667000000000001</v>
      </c>
      <c r="J38" s="85">
        <f t="shared" si="0"/>
        <v>0.16666666666666663</v>
      </c>
      <c r="K38" s="49">
        <f t="shared" si="6"/>
        <v>2.3809523809523808E-2</v>
      </c>
      <c r="L38" s="49">
        <f t="shared" si="7"/>
        <v>0.19047619047619044</v>
      </c>
      <c r="M38" s="50">
        <f t="shared" si="8"/>
        <v>0.35714285714285721</v>
      </c>
      <c r="N38" s="142">
        <f t="shared" si="1"/>
        <v>0.30555555555555552</v>
      </c>
      <c r="O38" s="153" t="str">
        <f t="shared" si="9"/>
        <v/>
      </c>
      <c r="P38" s="143" t="str">
        <f t="shared" si="10"/>
        <v/>
      </c>
      <c r="Q38" s="50">
        <f t="shared" si="11"/>
        <v>5.1587301587301682E-2</v>
      </c>
      <c r="R38" s="51">
        <f t="shared" si="2"/>
        <v>0</v>
      </c>
      <c r="S38" s="100"/>
      <c r="T38" s="100"/>
      <c r="U38" s="100"/>
      <c r="V38" s="100"/>
      <c r="X38" s="140">
        <f t="shared" si="12"/>
        <v>0.70833333333333337</v>
      </c>
      <c r="Y38" s="141">
        <f t="shared" si="13"/>
        <v>0.83333333333333337</v>
      </c>
      <c r="Z38" s="140">
        <f t="shared" si="14"/>
        <v>0.875</v>
      </c>
      <c r="AA38" s="140">
        <f t="shared" si="15"/>
        <v>8.3333333333333329E-2</v>
      </c>
    </row>
    <row r="39" spans="1:27" ht="14.25">
      <c r="B39" s="60" t="s">
        <v>25</v>
      </c>
      <c r="C39" s="60" t="s">
        <v>26</v>
      </c>
      <c r="D39" s="60"/>
      <c r="E39" s="60" t="s">
        <v>31</v>
      </c>
      <c r="F39" s="60" t="s">
        <v>32</v>
      </c>
      <c r="G39" s="60" t="s">
        <v>33</v>
      </c>
      <c r="H39" s="60" t="s">
        <v>34</v>
      </c>
      <c r="I39" s="67" t="s">
        <v>35</v>
      </c>
      <c r="J39" s="68" t="s">
        <v>36</v>
      </c>
      <c r="K39" s="69" t="s">
        <v>37</v>
      </c>
      <c r="L39" s="70">
        <f>SUM(L8:L38)</f>
        <v>4.0357142857142865</v>
      </c>
      <c r="M39" s="70">
        <f>SUM(M8:M38)</f>
        <v>10.250992063492061</v>
      </c>
      <c r="N39" s="65" t="s">
        <v>37</v>
      </c>
      <c r="O39" s="70">
        <f>SUM(O8:O38)</f>
        <v>0.40277777777777768</v>
      </c>
      <c r="P39" s="70">
        <f>SUM(P7:P38)</f>
        <v>0.89285714285714357</v>
      </c>
      <c r="Q39" s="70">
        <f>SUM(Q7:Q38)</f>
        <v>1.7495039682539684</v>
      </c>
      <c r="R39" s="70">
        <f>SUM(R8:R38)</f>
        <v>2.0565476190476191</v>
      </c>
      <c r="S39" s="101"/>
      <c r="T39" s="101"/>
      <c r="U39" s="101"/>
      <c r="V39" s="101"/>
    </row>
    <row r="40" spans="1:27" ht="14.25">
      <c r="B40" s="61">
        <f>B8</f>
        <v>43282</v>
      </c>
      <c r="C40" s="61">
        <f>MAX(B8:B38)</f>
        <v>43312</v>
      </c>
      <c r="D40" s="61"/>
      <c r="E40" s="62">
        <f>COUNTIF(C8:C38,"feriado")</f>
        <v>0</v>
      </c>
      <c r="F40" s="63">
        <f ca="1">SUMPRODUCT((WEEKDAY(ROW(INDIRECT($B40&amp;":"&amp;$C40)))=1)*(COUNTIF(fer,ROW(INDIRECT($B40&amp;":"&amp;$C40)))=0))</f>
        <v>5</v>
      </c>
      <c r="G40" s="63">
        <f>C40-B40+1</f>
        <v>31</v>
      </c>
      <c r="H40" s="63">
        <f ca="1">G40-I40</f>
        <v>26</v>
      </c>
      <c r="I40" s="66">
        <f ca="1">E40+F40</f>
        <v>5</v>
      </c>
      <c r="J40" s="71" t="str">
        <f ca="1">H40&amp;"/"&amp;I40</f>
        <v>26/5</v>
      </c>
      <c r="K40" s="72" t="s">
        <v>38</v>
      </c>
      <c r="L40" s="64">
        <f>L39*24</f>
        <v>96.857142857142875</v>
      </c>
      <c r="M40" s="64">
        <f>M39*24</f>
        <v>246.02380952380946</v>
      </c>
      <c r="N40" s="65" t="s">
        <v>38</v>
      </c>
      <c r="O40" s="64">
        <f t="shared" ref="O40:P40" si="17">O39*24</f>
        <v>9.6666666666666643</v>
      </c>
      <c r="P40" s="64">
        <f t="shared" si="17"/>
        <v>21.428571428571445</v>
      </c>
      <c r="Q40" s="64">
        <f>Q39*24</f>
        <v>41.988095238095241</v>
      </c>
      <c r="R40" s="64">
        <f>R39*24</f>
        <v>49.357142857142861</v>
      </c>
      <c r="S40" s="102"/>
      <c r="T40" s="102"/>
      <c r="U40" s="102"/>
      <c r="V40" s="102"/>
    </row>
    <row r="41" spans="1:27" ht="14.25">
      <c r="B41" s="125" t="str">
        <f>IF(dia_f="","",DATE(ano_p,mês_p,1))</f>
        <v/>
      </c>
      <c r="C41" s="126" t="str">
        <f>IF(dia_f="","",DATE(ano_p,mês_p+1,0))</f>
        <v/>
      </c>
      <c r="D41" s="73"/>
      <c r="E41" s="62" t="str">
        <f>IF(B41="","",SUMPRODUCT(((WEEKDAY(fer)&gt;1))*(fer&gt;=B41)*(fer&lt;=C41)))</f>
        <v/>
      </c>
      <c r="F41" s="63" t="str">
        <f ca="1">IF(B41="","",SUMPRODUCT((WEEKDAY(ROW(INDIRECT($B41&amp;":"&amp;$C41)))=1)*1))</f>
        <v/>
      </c>
      <c r="G41" s="128" t="str">
        <f>IF(B41="","",DAY(C41))</f>
        <v/>
      </c>
      <c r="H41" s="117" t="str">
        <f ca="1">IF(B41="","",SUMPRODUCT((WEEKDAY(ROW(INDIRECT(B41&amp;":"&amp;C41)))&gt;1)*(COUNTIF(fer,ROW(INDIRECT(B41&amp;":"&amp;C41)))=0)))</f>
        <v/>
      </c>
      <c r="I41" s="66" t="str">
        <f>IF(B41="","",E41+F41)</f>
        <v/>
      </c>
      <c r="J41" s="71" t="str">
        <f>IF(B41="","",H41&amp;"/"&amp;I41)</f>
        <v/>
      </c>
      <c r="K41" s="73" t="s">
        <v>39</v>
      </c>
      <c r="L41" s="64">
        <f ca="1">L40/$H$40*$I$40</f>
        <v>18.626373626373628</v>
      </c>
      <c r="M41" s="173"/>
      <c r="N41" s="174"/>
      <c r="O41" s="174"/>
      <c r="P41" s="174"/>
      <c r="Q41" s="175"/>
      <c r="R41" s="175"/>
      <c r="S41" s="102"/>
      <c r="T41" s="102"/>
      <c r="U41" s="102"/>
      <c r="V41" s="102"/>
    </row>
    <row r="42" spans="1:27" ht="14.25">
      <c r="K42" s="129" t="str">
        <f>IF(B41="","","Dsr mês:")</f>
        <v/>
      </c>
      <c r="L42" s="79" t="str">
        <f>IF(B41="","",L40/H41*I41)</f>
        <v/>
      </c>
      <c r="M42" s="205" t="str">
        <f>IF(B41="","","Dsr mês:")</f>
        <v/>
      </c>
      <c r="N42" s="205"/>
      <c r="O42" s="172"/>
      <c r="P42" s="172"/>
      <c r="Q42" s="102" t="str">
        <f>IF(B41="","",Q40/$H$41*$I$41)</f>
        <v/>
      </c>
      <c r="R42" s="102" t="str">
        <f>IF(B41="","",R40/$H$41*$I$41)</f>
        <v/>
      </c>
    </row>
    <row r="44" spans="1:27" ht="18.75">
      <c r="C44" s="76"/>
      <c r="D44" s="133"/>
      <c r="H44" s="1"/>
      <c r="I44" s="1"/>
      <c r="J44" s="1"/>
      <c r="K44" s="1"/>
      <c r="L44" s="1"/>
    </row>
    <row r="45" spans="1:27">
      <c r="D45" s="154"/>
    </row>
    <row r="47" spans="1:27">
      <c r="D47" s="155"/>
    </row>
    <row r="48" spans="1:27">
      <c r="D48" s="155"/>
    </row>
    <row r="116" spans="4:22">
      <c r="U116" s="82">
        <f>IF(dia_f="",DATE(ano_p,mês_p,1),DATE(ano_p,mês_p-1,dia_f+1))</f>
        <v>43282</v>
      </c>
      <c r="V116" s="75" t="s">
        <v>40</v>
      </c>
    </row>
    <row r="117" spans="4:22">
      <c r="U117" s="82">
        <f>IF(dia_f="",DATE(ano_p,mês_p+1,0),(DATE($V$22,mês_p,dia_f)))</f>
        <v>43312</v>
      </c>
      <c r="V117" s="75" t="s">
        <v>41</v>
      </c>
    </row>
    <row r="119" spans="4:22">
      <c r="D119" s="75" t="s">
        <v>42</v>
      </c>
      <c r="F119" s="75" t="s">
        <v>43</v>
      </c>
    </row>
    <row r="120" spans="4:22" ht="14.25">
      <c r="D120" s="127">
        <v>1</v>
      </c>
      <c r="F120" s="130">
        <v>2012</v>
      </c>
    </row>
    <row r="121" spans="4:22" ht="14.25">
      <c r="D121" s="132">
        <v>2</v>
      </c>
      <c r="F121" s="130">
        <v>2013</v>
      </c>
    </row>
    <row r="122" spans="4:22" ht="14.25">
      <c r="D122" s="132">
        <v>3</v>
      </c>
      <c r="F122" s="130">
        <v>2014</v>
      </c>
    </row>
    <row r="123" spans="4:22" ht="14.25">
      <c r="D123" s="133">
        <v>4</v>
      </c>
      <c r="F123" s="131">
        <v>2015</v>
      </c>
    </row>
    <row r="124" spans="4:22" ht="14.25">
      <c r="D124" s="133">
        <v>5</v>
      </c>
      <c r="F124" s="131">
        <v>2016</v>
      </c>
    </row>
    <row r="125" spans="4:22" ht="14.25">
      <c r="D125" s="133">
        <v>6</v>
      </c>
      <c r="F125" s="131">
        <v>2017</v>
      </c>
    </row>
    <row r="126" spans="4:22" ht="14.25">
      <c r="D126" s="133">
        <v>7</v>
      </c>
      <c r="F126" s="131">
        <v>2018</v>
      </c>
    </row>
    <row r="127" spans="4:22" ht="14.25">
      <c r="D127" s="133">
        <v>8</v>
      </c>
      <c r="F127" s="131">
        <v>2019</v>
      </c>
    </row>
    <row r="128" spans="4:22" ht="14.25">
      <c r="D128" s="134">
        <v>9</v>
      </c>
      <c r="F128" s="131">
        <v>2020</v>
      </c>
    </row>
    <row r="129" spans="4:6" ht="14.25">
      <c r="D129" s="133">
        <v>10</v>
      </c>
      <c r="F129" s="131">
        <v>2021</v>
      </c>
    </row>
    <row r="130" spans="4:6" ht="14.25">
      <c r="D130" s="133">
        <v>11</v>
      </c>
      <c r="F130" s="131">
        <v>2022</v>
      </c>
    </row>
    <row r="131" spans="4:6" ht="14.25">
      <c r="D131" s="133">
        <v>12</v>
      </c>
      <c r="F131" s="131">
        <v>2023</v>
      </c>
    </row>
    <row r="150" spans="2:4">
      <c r="B150" s="75"/>
      <c r="C150" s="76"/>
      <c r="D150" s="76"/>
    </row>
    <row r="151" spans="2:4">
      <c r="B151" s="75"/>
      <c r="C151" s="76"/>
      <c r="D151" s="76"/>
    </row>
  </sheetData>
  <mergeCells count="9">
    <mergeCell ref="U20:V20"/>
    <mergeCell ref="M42:N42"/>
    <mergeCell ref="H2:H3"/>
    <mergeCell ref="Q2:Q4"/>
    <mergeCell ref="B5:C5"/>
    <mergeCell ref="U6:V7"/>
    <mergeCell ref="X6:AA6"/>
    <mergeCell ref="B7:C7"/>
    <mergeCell ref="U17:V17"/>
  </mergeCells>
  <conditionalFormatting sqref="B8:C38">
    <cfRule type="expression" dxfId="14" priority="10">
      <formula>WEEKDAY($B8,2)=7</formula>
    </cfRule>
    <cfRule type="expression" dxfId="13" priority="11">
      <formula>COUNTIF(fer,$B8)&gt;0</formula>
    </cfRule>
  </conditionalFormatting>
  <conditionalFormatting sqref="D8:D38">
    <cfRule type="cellIs" dxfId="12" priority="9" operator="equal">
      <formula>"F"</formula>
    </cfRule>
  </conditionalFormatting>
  <conditionalFormatting sqref="K42">
    <cfRule type="expression" dxfId="11" priority="8">
      <formula>$B$41&lt;&gt;""</formula>
    </cfRule>
  </conditionalFormatting>
  <conditionalFormatting sqref="L42">
    <cfRule type="expression" dxfId="10" priority="7">
      <formula>$B$41&lt;&gt;""</formula>
    </cfRule>
  </conditionalFormatting>
  <conditionalFormatting sqref="M42:P42">
    <cfRule type="expression" dxfId="9" priority="6">
      <formula>$B$41&lt;&gt;""</formula>
    </cfRule>
  </conditionalFormatting>
  <conditionalFormatting sqref="Q42:R42">
    <cfRule type="expression" dxfId="8" priority="5">
      <formula>$B$41&lt;&gt;""</formula>
    </cfRule>
  </conditionalFormatting>
  <conditionalFormatting sqref="I8:R38">
    <cfRule type="expression" dxfId="7" priority="4">
      <formula>$D8="F"</formula>
    </cfRule>
  </conditionalFormatting>
  <conditionalFormatting sqref="O8:O38">
    <cfRule type="expression" dxfId="6" priority="3">
      <formula>O8&gt;0</formula>
    </cfRule>
  </conditionalFormatting>
  <conditionalFormatting sqref="P7:P38">
    <cfRule type="expression" dxfId="5" priority="2">
      <formula>P7&gt;0</formula>
    </cfRule>
  </conditionalFormatting>
  <conditionalFormatting sqref="E8:H38">
    <cfRule type="expression" dxfId="4" priority="1">
      <formula>$D8="F"</formula>
    </cfRule>
  </conditionalFormatting>
  <dataValidations count="3">
    <dataValidation type="custom" allowBlank="1" showInputMessage="1" showErrorMessage="1" sqref="E8:H38" xr:uid="{00000000-0002-0000-0500-000000000000}">
      <formula1>OR(E8=2400,TEXT(E8,"00\:00")=TEXT(X8,"hh:mm"))</formula1>
    </dataValidation>
    <dataValidation type="list" allowBlank="1" showInputMessage="1" showErrorMessage="1" sqref="V22" xr:uid="{00000000-0002-0000-0500-000001000000}">
      <formula1>$F$120:$F$131</formula1>
    </dataValidation>
    <dataValidation type="list" allowBlank="1" showInputMessage="1" showErrorMessage="1" sqref="V23" xr:uid="{00000000-0002-0000-0500-000002000000}">
      <formula1>$D$120:$D$131</formula1>
    </dataValidation>
  </dataValidations>
  <pageMargins left="0.75" right="0.75" top="1" bottom="1" header="0.49212598499999999" footer="0.49212598499999999"/>
  <pageSetup paperSize="9" scale="83" orientation="landscape" r:id="rId1"/>
  <headerFooter alignWithMargins="0"/>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7172" r:id="rId4" name="Botão 4">
              <controlPr defaultSize="0" print="0" autoFill="0" autoPict="0" macro="[0]!Limpar_Click">
                <anchor moveWithCells="1" sizeWithCells="1">
                  <from>
                    <xdr:col>20</xdr:col>
                    <xdr:colOff>133350</xdr:colOff>
                    <xdr:row>33</xdr:row>
                    <xdr:rowOff>28575</xdr:rowOff>
                  </from>
                  <to>
                    <xdr:col>21</xdr:col>
                    <xdr:colOff>495300</xdr:colOff>
                    <xdr:row>35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2">
    <tabColor theme="4" tint="-0.249977111117893"/>
  </sheetPr>
  <dimension ref="A1:X35"/>
  <sheetViews>
    <sheetView showGridLines="0" workbookViewId="0" xr3:uid="{9B253EF2-77E0-53E3-AE26-4D66ECD923F3}">
      <selection activeCell="E9" sqref="E9"/>
    </sheetView>
  </sheetViews>
  <sheetFormatPr defaultRowHeight="12.75"/>
  <cols>
    <col min="1" max="1" width="4.71875" customWidth="1"/>
    <col min="2" max="2" width="6.7421875" customWidth="1"/>
    <col min="3" max="3" width="24.9453125" customWidth="1"/>
    <col min="4" max="4" width="14.42578125" customWidth="1"/>
    <col min="5" max="6" width="10.65234375" bestFit="1" customWidth="1"/>
    <col min="7" max="7" width="12.40625" customWidth="1"/>
    <col min="22" max="23" width="0" hidden="1" customWidth="1"/>
    <col min="24" max="24" width="10.11328125" hidden="1" customWidth="1"/>
    <col min="25" max="25" width="0" hidden="1" customWidth="1"/>
  </cols>
  <sheetData>
    <row r="1" spans="1:24" ht="20.100000000000001" customHeight="1">
      <c r="A1" s="220" t="s">
        <v>44</v>
      </c>
      <c r="B1" s="220"/>
      <c r="C1" s="52" t="s">
        <v>45</v>
      </c>
      <c r="D1" s="220" t="s">
        <v>46</v>
      </c>
      <c r="E1" s="220"/>
    </row>
    <row r="2" spans="1:24" ht="20.100000000000001" customHeight="1">
      <c r="A2" s="35"/>
      <c r="B2" s="36">
        <f>ano_p</f>
        <v>2018</v>
      </c>
      <c r="C2" s="87">
        <f>ROUND(DATE($B$2,4,MOD(234-11*MOD($B$2,19),30))/7,)*7-6</f>
        <v>43191</v>
      </c>
      <c r="D2" s="56" t="s">
        <v>47</v>
      </c>
      <c r="E2" s="58">
        <f>ININOT</f>
        <v>0.91666666666666663</v>
      </c>
    </row>
    <row r="3" spans="1:24" ht="20.100000000000001" customHeight="1">
      <c r="A3" s="53"/>
      <c r="B3" s="54"/>
      <c r="C3" s="55"/>
      <c r="D3" s="57" t="s">
        <v>48</v>
      </c>
      <c r="E3" s="59">
        <f>FIMNOT</f>
        <v>0.20833333333333334</v>
      </c>
    </row>
    <row r="4" spans="1:24" ht="15">
      <c r="A4" s="221" t="s">
        <v>49</v>
      </c>
      <c r="B4" s="222"/>
      <c r="C4" s="222"/>
      <c r="D4" s="222"/>
      <c r="E4" s="222"/>
      <c r="F4" s="222"/>
      <c r="G4" s="94"/>
    </row>
    <row r="5" spans="1:24" ht="18" customHeight="1">
      <c r="A5" s="212" t="s">
        <v>50</v>
      </c>
      <c r="B5" s="18" t="s">
        <v>51</v>
      </c>
      <c r="C5" s="15" t="s">
        <v>52</v>
      </c>
      <c r="D5" s="86">
        <f>IF($B$5="X",DATE($B$2-1,1,1),DATE(1905,1,1))</f>
        <v>42736</v>
      </c>
      <c r="E5" s="86">
        <f>IF($B$5="X",DATE($B$2,1,1),DATE(1905,1,1))</f>
        <v>43101</v>
      </c>
      <c r="F5" s="86">
        <f>IF($B$5="X",DATE($B$2+1,1,1),DATE(1905,1,1))</f>
        <v>43466</v>
      </c>
      <c r="G5" s="99">
        <f>ROUND(DATE($B$2-1,4,MOD(234-11*MOD($B$2-1,19),30))/7,)*7-6</f>
        <v>42841</v>
      </c>
      <c r="V5" s="37">
        <v>1</v>
      </c>
      <c r="W5" s="37">
        <v>1</v>
      </c>
      <c r="X5" s="38">
        <f>DATE(1905,1,1)</f>
        <v>1828</v>
      </c>
    </row>
    <row r="6" spans="1:24" ht="18" customHeight="1">
      <c r="A6" s="213"/>
      <c r="B6" s="19" t="s">
        <v>51</v>
      </c>
      <c r="C6" s="16" t="s">
        <v>53</v>
      </c>
      <c r="D6" s="17">
        <f>IF($B$6="X",DATE($B$2-1,4,21),DATE(1905,1,1))</f>
        <v>42846</v>
      </c>
      <c r="E6" s="96">
        <f>IF($B$6="X",DATE($B$2,4,21),DATE(1905,1,1))</f>
        <v>43211</v>
      </c>
      <c r="F6" s="96">
        <f>IF($B$6="X",DATE($B$2+1,4,21),DATE(1905,1,1))</f>
        <v>43576</v>
      </c>
      <c r="G6" s="99">
        <f>ROUND(DATE($B$2+1,4,MOD(234-11*MOD($B$2+1,19),30))/7,)*7-6</f>
        <v>43576</v>
      </c>
      <c r="V6" s="37">
        <v>2</v>
      </c>
      <c r="W6" s="37">
        <v>2</v>
      </c>
      <c r="X6" s="37"/>
    </row>
    <row r="7" spans="1:24" ht="18" customHeight="1">
      <c r="A7" s="213"/>
      <c r="B7" s="19" t="s">
        <v>51</v>
      </c>
      <c r="C7" s="16" t="s">
        <v>54</v>
      </c>
      <c r="D7" s="17">
        <f>IF($B$7="X",DATE($B$2-1,5,1),DATE(1905,1,1))</f>
        <v>42856</v>
      </c>
      <c r="E7" s="96">
        <f>IF($B$7="X",DATE($B$2,5,1),DATE(1905,1,1))</f>
        <v>43221</v>
      </c>
      <c r="F7" s="96">
        <f>IF($B$7="X",DATE($B$2+1,5,1),DATE(1905,1,1))</f>
        <v>43586</v>
      </c>
      <c r="G7" s="10"/>
      <c r="V7" s="37">
        <v>3</v>
      </c>
      <c r="W7" s="37">
        <v>3</v>
      </c>
      <c r="X7" s="37"/>
    </row>
    <row r="8" spans="1:24" ht="18" customHeight="1">
      <c r="A8" s="213"/>
      <c r="B8" s="19" t="s">
        <v>51</v>
      </c>
      <c r="C8" s="16" t="s">
        <v>55</v>
      </c>
      <c r="D8" s="17">
        <f>IF($B$8="X",DATE($B$2-1,9,7),DATE(1905,1,1))</f>
        <v>42985</v>
      </c>
      <c r="E8" s="96">
        <f>IF($B$8="X",DATE($B$2,9,7),DATE(1905,1,1))</f>
        <v>43350</v>
      </c>
      <c r="F8" s="96">
        <f>IF($B$8="X",DATE($B$2+1,9,7),DATE(1905,1,1))</f>
        <v>43715</v>
      </c>
      <c r="G8" s="10"/>
      <c r="V8" s="37">
        <v>4</v>
      </c>
      <c r="W8" s="37">
        <v>4</v>
      </c>
      <c r="X8" s="37"/>
    </row>
    <row r="9" spans="1:24" ht="18" customHeight="1">
      <c r="A9" s="213"/>
      <c r="B9" s="19" t="s">
        <v>51</v>
      </c>
      <c r="C9" s="16" t="s">
        <v>56</v>
      </c>
      <c r="D9" s="17">
        <f>IF($B$9="X",DATE($B$2-1,10,12),DATE(1905,1,1))</f>
        <v>43020</v>
      </c>
      <c r="E9" s="96">
        <f>IF($B$9="X",DATE($B$2,10,12),DATE(1905,1,1))</f>
        <v>43385</v>
      </c>
      <c r="F9" s="96">
        <f>IF($B$9="X",DATE($B$2+1,10,12),DATE(1905,1,1))</f>
        <v>43750</v>
      </c>
      <c r="G9" s="10"/>
      <c r="V9" s="37">
        <v>5</v>
      </c>
      <c r="W9" s="37">
        <v>5</v>
      </c>
      <c r="X9" s="37"/>
    </row>
    <row r="10" spans="1:24" ht="18" customHeight="1">
      <c r="A10" s="213"/>
      <c r="B10" s="19" t="s">
        <v>51</v>
      </c>
      <c r="C10" s="16" t="s">
        <v>57</v>
      </c>
      <c r="D10" s="17">
        <f>IF($B$10="X",DATE($B$2-1,11,2),DATE(1905,1,1))</f>
        <v>43041</v>
      </c>
      <c r="E10" s="96">
        <f>IF($B$10="X",DATE($B$2,11,2),DATE(1905,1,1))</f>
        <v>43406</v>
      </c>
      <c r="F10" s="96">
        <f>IF($B$10="X",DATE($B$2+1,11,2),DATE(1905,1,1))</f>
        <v>43771</v>
      </c>
      <c r="G10" s="10"/>
      <c r="V10" s="37">
        <v>6</v>
      </c>
      <c r="W10" s="37">
        <v>6</v>
      </c>
      <c r="X10" s="37"/>
    </row>
    <row r="11" spans="1:24" ht="18" customHeight="1">
      <c r="A11" s="213"/>
      <c r="B11" s="19" t="s">
        <v>51</v>
      </c>
      <c r="C11" s="16" t="s">
        <v>58</v>
      </c>
      <c r="D11" s="17">
        <f>IF($B$11="X",DATE($B$2-1,11,15),DATE(1905,1,1))</f>
        <v>43054</v>
      </c>
      <c r="E11" s="96">
        <f>IF($B$11="X",DATE($B$2,11,15),DATE(1905,1,1))</f>
        <v>43419</v>
      </c>
      <c r="F11" s="96">
        <f>IF($B$11="X",DATE($B$2+1,11,15),DATE(1905,1,1))</f>
        <v>43784</v>
      </c>
      <c r="G11" s="10"/>
      <c r="V11" s="37">
        <v>7</v>
      </c>
      <c r="W11" s="37">
        <v>7</v>
      </c>
      <c r="X11" s="37"/>
    </row>
    <row r="12" spans="1:24" ht="18" customHeight="1">
      <c r="A12" s="214"/>
      <c r="B12" s="22" t="s">
        <v>51</v>
      </c>
      <c r="C12" s="23" t="s">
        <v>59</v>
      </c>
      <c r="D12" s="24">
        <f>IF($B$12="X",DATE($B$2-1,12,25),DATE(1905,1,1))</f>
        <v>43094</v>
      </c>
      <c r="E12" s="97">
        <f>IF($B$12="X",DATE($B$2,12,25),DATE(1905,1,1))</f>
        <v>43459</v>
      </c>
      <c r="F12" s="97">
        <f>IF($B$12="X",DATE($B$2+1,12,25),DATE(1905,1,1))</f>
        <v>43824</v>
      </c>
      <c r="G12" s="10"/>
      <c r="V12" s="37">
        <v>8</v>
      </c>
      <c r="W12" s="37">
        <v>8</v>
      </c>
      <c r="X12" s="37"/>
    </row>
    <row r="13" spans="1:24" ht="18" customHeight="1">
      <c r="A13" s="215" t="s">
        <v>60</v>
      </c>
      <c r="B13" s="25" t="s">
        <v>51</v>
      </c>
      <c r="C13" s="13" t="s">
        <v>61</v>
      </c>
      <c r="D13" s="88">
        <f>IF($B$13="X",$G$5-2,DATE(1905,1,1))</f>
        <v>42839</v>
      </c>
      <c r="E13" s="88">
        <f>IF($B$13="X",páscoa-2,DATE(1905,1,1))</f>
        <v>43189</v>
      </c>
      <c r="F13" s="88">
        <f>IF($B$13="X",$G$6-2,DATE(1905,1,1))</f>
        <v>43574</v>
      </c>
      <c r="G13" s="6"/>
      <c r="V13" s="37">
        <v>9</v>
      </c>
      <c r="W13" s="37">
        <v>9</v>
      </c>
      <c r="X13" s="37"/>
    </row>
    <row r="14" spans="1:24" ht="18" customHeight="1">
      <c r="A14" s="216"/>
      <c r="B14" s="21" t="s">
        <v>51</v>
      </c>
      <c r="C14" s="14" t="s">
        <v>62</v>
      </c>
      <c r="D14" s="89">
        <f>IF($B$14="X",$G$5+60,DATE(1905,1,1))</f>
        <v>42901</v>
      </c>
      <c r="E14" s="89">
        <f>IF($B$14="X",páscoa+60,DATE(1905,1,1))</f>
        <v>43251</v>
      </c>
      <c r="F14" s="89">
        <f>IF($B$14="X",$G$6+60,DATE(1905,1,1))</f>
        <v>43636</v>
      </c>
      <c r="G14" s="6"/>
      <c r="V14" s="37">
        <v>10</v>
      </c>
      <c r="W14" s="37">
        <v>10</v>
      </c>
      <c r="X14" s="37"/>
    </row>
    <row r="15" spans="1:24" ht="18" customHeight="1">
      <c r="A15" s="217"/>
      <c r="B15" s="26" t="s">
        <v>51</v>
      </c>
      <c r="C15" s="27" t="s">
        <v>63</v>
      </c>
      <c r="D15" s="90">
        <f>IF($B$15="X",$G$5-47,DATE(1905,1,1))</f>
        <v>42794</v>
      </c>
      <c r="E15" s="90">
        <f>IF($B$15="X",páscoa-47,DATE(1905,1,1))</f>
        <v>43144</v>
      </c>
      <c r="F15" s="90">
        <f>IF($B$15="X",$G$6-47,DATE(1905,1,1))</f>
        <v>43529</v>
      </c>
      <c r="G15" s="95" t="s">
        <v>64</v>
      </c>
      <c r="H15" s="34" t="s">
        <v>65</v>
      </c>
      <c r="V15" s="37">
        <v>11</v>
      </c>
      <c r="W15" s="37">
        <v>11</v>
      </c>
      <c r="X15" s="37"/>
    </row>
    <row r="16" spans="1:24" ht="18" customHeight="1">
      <c r="A16" s="218" t="s">
        <v>66</v>
      </c>
      <c r="B16" s="28" t="s">
        <v>51</v>
      </c>
      <c r="C16" s="29" t="s">
        <v>67</v>
      </c>
      <c r="D16" s="91">
        <f>IF($B$16="X",DATE($B$2-1,$H$16,$G$16),DATE(1905,1,1))</f>
        <v>42896</v>
      </c>
      <c r="E16" s="91">
        <f>IF($B$16="X",DATE($B$2,$H$16,$G$16),DATE(1905,1,1))</f>
        <v>43261</v>
      </c>
      <c r="F16" s="91">
        <f>IF($B$16="X",DATE($B$2+1,$H$16,$G$16),DATE(1905,1,1))</f>
        <v>43626</v>
      </c>
      <c r="G16" s="30">
        <v>10</v>
      </c>
      <c r="H16" s="30">
        <v>6</v>
      </c>
      <c r="V16" s="37">
        <v>12</v>
      </c>
      <c r="W16" s="37">
        <v>12</v>
      </c>
      <c r="X16" s="37"/>
    </row>
    <row r="17" spans="1:24" ht="18" customHeight="1">
      <c r="A17" s="219"/>
      <c r="B17" s="20" t="s">
        <v>51</v>
      </c>
      <c r="C17" s="12" t="s">
        <v>68</v>
      </c>
      <c r="D17" s="92">
        <f>IF($B$17="X",DATE($B$2-1,H17,G17),DATE(1905,1,1))</f>
        <v>42910</v>
      </c>
      <c r="E17" s="91">
        <f>IF($B$17="X",DATE($B$2,H17,G17),DATE(1905,1,1))</f>
        <v>43275</v>
      </c>
      <c r="F17" s="91">
        <f>IF($B$17="X",DATE($B$2+1,H17,G17),DATE(1905,1,1))</f>
        <v>43640</v>
      </c>
      <c r="G17" s="31">
        <v>24</v>
      </c>
      <c r="H17" s="31">
        <v>6</v>
      </c>
      <c r="V17" s="37"/>
      <c r="W17" s="37">
        <v>13</v>
      </c>
      <c r="X17" s="37"/>
    </row>
    <row r="18" spans="1:24" ht="18" customHeight="1">
      <c r="A18" s="219"/>
      <c r="B18" s="149"/>
      <c r="C18" s="12" t="s">
        <v>69</v>
      </c>
      <c r="D18" s="92">
        <f>IF($B$18="X",DATE($B$2-1,H18,G18),DATE(1905,1,1))</f>
        <v>1828</v>
      </c>
      <c r="E18" s="91">
        <f>IF($B$18="X",DATE($B$2,H18,G18),DATE(1905,1,1))</f>
        <v>1828</v>
      </c>
      <c r="F18" s="91">
        <f>IF($B$18="X",DATE($B$2,H18,G18),DATE(1905,1,1))</f>
        <v>1828</v>
      </c>
      <c r="G18" s="31">
        <v>5</v>
      </c>
      <c r="H18" s="31">
        <v>8</v>
      </c>
      <c r="V18" s="37"/>
      <c r="W18" s="37">
        <v>14</v>
      </c>
      <c r="X18" s="37"/>
    </row>
    <row r="19" spans="1:24" ht="18" customHeight="1">
      <c r="A19" s="219"/>
      <c r="B19" s="150"/>
      <c r="C19" s="32" t="s">
        <v>70</v>
      </c>
      <c r="D19" s="93">
        <f>IF($B$19="X",DATE($B$2-1,H19,G19),DATE(1905,1,1))</f>
        <v>1828</v>
      </c>
      <c r="E19" s="98">
        <f>IF($B$19="X",DATE($B$2,H19,G19),DATE(1905,1,1))</f>
        <v>1828</v>
      </c>
      <c r="F19" s="98">
        <f>IF($B$19="X",DATE($B$2+1,H19,G19),DATE(1905,1,1))</f>
        <v>1828</v>
      </c>
      <c r="G19" s="33">
        <v>10</v>
      </c>
      <c r="H19" s="33">
        <v>5</v>
      </c>
      <c r="V19" s="37"/>
      <c r="W19" s="37">
        <v>15</v>
      </c>
      <c r="X19" s="37"/>
    </row>
    <row r="20" spans="1:24">
      <c r="A20" s="11"/>
      <c r="B20" s="11"/>
      <c r="V20" s="37"/>
      <c r="W20" s="37">
        <v>16</v>
      </c>
      <c r="X20" s="37"/>
    </row>
    <row r="21" spans="1:24">
      <c r="A21" s="7"/>
      <c r="B21" s="7"/>
      <c r="V21" s="37"/>
      <c r="W21" s="37">
        <v>17</v>
      </c>
      <c r="X21" s="37"/>
    </row>
    <row r="22" spans="1:24">
      <c r="A22" s="7"/>
      <c r="B22" s="7"/>
      <c r="V22" s="37"/>
      <c r="W22" s="37">
        <v>18</v>
      </c>
      <c r="X22" s="37"/>
    </row>
    <row r="23" spans="1:24">
      <c r="A23" s="7"/>
      <c r="B23" s="7"/>
      <c r="V23" s="37"/>
      <c r="W23" s="37">
        <v>19</v>
      </c>
      <c r="X23" s="37"/>
    </row>
    <row r="24" spans="1:24">
      <c r="V24" s="37"/>
      <c r="W24" s="37">
        <v>20</v>
      </c>
      <c r="X24" s="37"/>
    </row>
    <row r="25" spans="1:24">
      <c r="V25" s="37"/>
      <c r="W25" s="37">
        <v>21</v>
      </c>
      <c r="X25" s="37"/>
    </row>
    <row r="26" spans="1:24">
      <c r="V26" s="37"/>
      <c r="W26" s="37">
        <v>22</v>
      </c>
      <c r="X26" s="37"/>
    </row>
    <row r="27" spans="1:24">
      <c r="V27" s="37"/>
      <c r="W27" s="37">
        <v>23</v>
      </c>
      <c r="X27" s="37"/>
    </row>
    <row r="28" spans="1:24">
      <c r="V28" s="37"/>
      <c r="W28" s="37">
        <v>24</v>
      </c>
      <c r="X28" s="37"/>
    </row>
    <row r="29" spans="1:24">
      <c r="V29" s="37"/>
      <c r="W29" s="37">
        <v>25</v>
      </c>
      <c r="X29" s="37"/>
    </row>
    <row r="30" spans="1:24">
      <c r="V30" s="37"/>
      <c r="W30" s="37">
        <v>26</v>
      </c>
      <c r="X30" s="37"/>
    </row>
    <row r="31" spans="1:24">
      <c r="V31" s="37"/>
      <c r="W31" s="37">
        <v>27</v>
      </c>
      <c r="X31" s="37"/>
    </row>
    <row r="32" spans="1:24">
      <c r="V32" s="37"/>
      <c r="W32" s="37">
        <v>28</v>
      </c>
      <c r="X32" s="37"/>
    </row>
    <row r="33" spans="22:24">
      <c r="V33" s="37"/>
      <c r="W33" s="37">
        <v>29</v>
      </c>
      <c r="X33" s="37"/>
    </row>
    <row r="34" spans="22:24">
      <c r="V34" s="37"/>
      <c r="W34" s="37">
        <v>30</v>
      </c>
      <c r="X34" s="37"/>
    </row>
    <row r="35" spans="22:24">
      <c r="V35" s="37"/>
      <c r="W35" s="37">
        <v>31</v>
      </c>
      <c r="X35" s="37"/>
    </row>
  </sheetData>
  <mergeCells count="6">
    <mergeCell ref="A5:A12"/>
    <mergeCell ref="A13:A15"/>
    <mergeCell ref="A16:A19"/>
    <mergeCell ref="A1:B1"/>
    <mergeCell ref="D1:E1"/>
    <mergeCell ref="A4:F4"/>
  </mergeCells>
  <phoneticPr fontId="4" type="noConversion"/>
  <conditionalFormatting sqref="D5:D19">
    <cfRule type="cellIs" dxfId="3" priority="4" operator="equal">
      <formula>$X$5</formula>
    </cfRule>
  </conditionalFormatting>
  <conditionalFormatting sqref="E5:F12">
    <cfRule type="cellIs" dxfId="2" priority="3" operator="equal">
      <formula>$X$5</formula>
    </cfRule>
  </conditionalFormatting>
  <conditionalFormatting sqref="E13:F15">
    <cfRule type="cellIs" dxfId="1" priority="2" operator="equal">
      <formula>$X$5</formula>
    </cfRule>
  </conditionalFormatting>
  <conditionalFormatting sqref="E16:F19">
    <cfRule type="cellIs" dxfId="0" priority="1" operator="equal">
      <formula>$X$5</formula>
    </cfRule>
  </conditionalFormatting>
  <dataValidations count="2">
    <dataValidation type="list" allowBlank="1" showInputMessage="1" showErrorMessage="1" sqref="G16:G19" xr:uid="{00000000-0002-0000-0600-000000000000}">
      <formula1>$W$5:$W$35</formula1>
    </dataValidation>
    <dataValidation type="list" allowBlank="1" showInputMessage="1" showErrorMessage="1" sqref="H16:H19" xr:uid="{00000000-0002-0000-0600-000001000000}">
      <formula1>$V$5:$V$16</formula1>
    </dataValidation>
  </dataValidations>
  <pageMargins left="0.75" right="0.75" top="1" bottom="1" header="0.49212598499999999" footer="0.49212598499999999"/>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Planilhas</vt:lpstr>
      </vt:variant>
      <vt:variant>
        <vt:i4>7</vt:i4>
      </vt:variant>
      <vt:variant>
        <vt:lpstr>Intervalos Nomeados</vt:lpstr>
      </vt:variant>
      <vt:variant>
        <vt:i4>105</vt:i4>
      </vt:variant>
    </vt:vector>
  </HeadingPairs>
  <TitlesOfParts>
    <vt:vector size="112" baseType="lpstr">
      <vt:lpstr>fevereiro</vt:lpstr>
      <vt:lpstr>março</vt:lpstr>
      <vt:lpstr>abril</vt:lpstr>
      <vt:lpstr>maio</vt:lpstr>
      <vt:lpstr>junho</vt:lpstr>
      <vt:lpstr>julho</vt:lpstr>
      <vt:lpstr>Feriados</vt:lpstr>
      <vt:lpstr>abril!ano_p</vt:lpstr>
      <vt:lpstr>julho!ano_p</vt:lpstr>
      <vt:lpstr>junho!ano_p</vt:lpstr>
      <vt:lpstr>maio!ano_p</vt:lpstr>
      <vt:lpstr>março!ano_p</vt:lpstr>
      <vt:lpstr>ano_p</vt:lpstr>
      <vt:lpstr>abril!dia_f</vt:lpstr>
      <vt:lpstr>julho!dia_f</vt:lpstr>
      <vt:lpstr>junho!dia_f</vt:lpstr>
      <vt:lpstr>maio!dia_f</vt:lpstr>
      <vt:lpstr>março!dia_f</vt:lpstr>
      <vt:lpstr>dia_f</vt:lpstr>
      <vt:lpstr>fer</vt:lpstr>
      <vt:lpstr>feriados_todos</vt:lpstr>
      <vt:lpstr>abril!fim</vt:lpstr>
      <vt:lpstr>julho!fim</vt:lpstr>
      <vt:lpstr>junho!fim</vt:lpstr>
      <vt:lpstr>maio!fim</vt:lpstr>
      <vt:lpstr>março!fim</vt:lpstr>
      <vt:lpstr>fim</vt:lpstr>
      <vt:lpstr>abril!FIMNOT</vt:lpstr>
      <vt:lpstr>julho!FIMNOT</vt:lpstr>
      <vt:lpstr>junho!FIMNOT</vt:lpstr>
      <vt:lpstr>maio!FIMNOT</vt:lpstr>
      <vt:lpstr>março!FIMNOT</vt:lpstr>
      <vt:lpstr>FIMNOT</vt:lpstr>
      <vt:lpstr>abril!folgas_jornormal</vt:lpstr>
      <vt:lpstr>julho!folgas_jornormal</vt:lpstr>
      <vt:lpstr>junho!folgas_jornormal</vt:lpstr>
      <vt:lpstr>maio!folgas_jornormal</vt:lpstr>
      <vt:lpstr>março!folgas_jornormal</vt:lpstr>
      <vt:lpstr>folgas_jornormal</vt:lpstr>
      <vt:lpstr>abril!inicio</vt:lpstr>
      <vt:lpstr>julho!inicio</vt:lpstr>
      <vt:lpstr>junho!inicio</vt:lpstr>
      <vt:lpstr>maio!inicio</vt:lpstr>
      <vt:lpstr>março!inicio</vt:lpstr>
      <vt:lpstr>inicio</vt:lpstr>
      <vt:lpstr>abril!ININOT</vt:lpstr>
      <vt:lpstr>julho!ININOT</vt:lpstr>
      <vt:lpstr>junho!ININOT</vt:lpstr>
      <vt:lpstr>maio!ININOT</vt:lpstr>
      <vt:lpstr>março!ININOT</vt:lpstr>
      <vt:lpstr>ININOT</vt:lpstr>
      <vt:lpstr>abril!intramax</vt:lpstr>
      <vt:lpstr>julho!intramax</vt:lpstr>
      <vt:lpstr>junho!intramax</vt:lpstr>
      <vt:lpstr>maio!intramax</vt:lpstr>
      <vt:lpstr>março!intramax</vt:lpstr>
      <vt:lpstr>intramax</vt:lpstr>
      <vt:lpstr>abril!intramin</vt:lpstr>
      <vt:lpstr>julho!intramin</vt:lpstr>
      <vt:lpstr>junho!intramin</vt:lpstr>
      <vt:lpstr>maio!intramin</vt:lpstr>
      <vt:lpstr>março!intramin</vt:lpstr>
      <vt:lpstr>intramin</vt:lpstr>
      <vt:lpstr>abril!jor_contratual</vt:lpstr>
      <vt:lpstr>julho!jor_contratual</vt:lpstr>
      <vt:lpstr>junho!jor_contratual</vt:lpstr>
      <vt:lpstr>maio!jor_contratual</vt:lpstr>
      <vt:lpstr>março!jor_contratual</vt:lpstr>
      <vt:lpstr>jor_contratual</vt:lpstr>
      <vt:lpstr>abril!jor_diária</vt:lpstr>
      <vt:lpstr>julho!jor_diária</vt:lpstr>
      <vt:lpstr>junho!jor_diária</vt:lpstr>
      <vt:lpstr>maio!jor_diária</vt:lpstr>
      <vt:lpstr>março!jor_diária</vt:lpstr>
      <vt:lpstr>jor_diária</vt:lpstr>
      <vt:lpstr>abril!jor_noturno</vt:lpstr>
      <vt:lpstr>julho!jor_noturno</vt:lpstr>
      <vt:lpstr>junho!jor_noturno</vt:lpstr>
      <vt:lpstr>maio!jor_noturno</vt:lpstr>
      <vt:lpstr>março!jor_noturno</vt:lpstr>
      <vt:lpstr>jor_noturno</vt:lpstr>
      <vt:lpstr>abril!jornada</vt:lpstr>
      <vt:lpstr>julho!jornada</vt:lpstr>
      <vt:lpstr>junho!jornada</vt:lpstr>
      <vt:lpstr>maio!jornada</vt:lpstr>
      <vt:lpstr>março!jornada</vt:lpstr>
      <vt:lpstr>jornada</vt:lpstr>
      <vt:lpstr>abril!limmax</vt:lpstr>
      <vt:lpstr>julho!limmax</vt:lpstr>
      <vt:lpstr>junho!limmax</vt:lpstr>
      <vt:lpstr>maio!limmax</vt:lpstr>
      <vt:lpstr>março!limmax</vt:lpstr>
      <vt:lpstr>limmax</vt:lpstr>
      <vt:lpstr>abril!limmin</vt:lpstr>
      <vt:lpstr>julho!limmin</vt:lpstr>
      <vt:lpstr>junho!limmin</vt:lpstr>
      <vt:lpstr>maio!limmin</vt:lpstr>
      <vt:lpstr>março!limmin</vt:lpstr>
      <vt:lpstr>limmin</vt:lpstr>
      <vt:lpstr>abril!mês_p</vt:lpstr>
      <vt:lpstr>julho!mês_p</vt:lpstr>
      <vt:lpstr>junho!mês_p</vt:lpstr>
      <vt:lpstr>maio!mês_p</vt:lpstr>
      <vt:lpstr>março!mês_p</vt:lpstr>
      <vt:lpstr>mês_p</vt:lpstr>
      <vt:lpstr>páscoa</vt:lpstr>
      <vt:lpstr>abril!quadro_horário</vt:lpstr>
      <vt:lpstr>julho!quadro_horário</vt:lpstr>
      <vt:lpstr>junho!quadro_horário</vt:lpstr>
      <vt:lpstr>maio!quadro_horário</vt:lpstr>
      <vt:lpstr>março!quadro_horário</vt:lpstr>
      <vt:lpstr>quadro_horário</vt:lpstr>
    </vt:vector>
  </TitlesOfParts>
  <Manager/>
  <Company>MTE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gilberto.braga</dc:creator>
  <cp:keywords/>
  <dc:description/>
  <cp:lastModifiedBy>Gilberto</cp:lastModifiedBy>
  <cp:revision/>
  <dcterms:created xsi:type="dcterms:W3CDTF">2015-05-11T16:16:43Z</dcterms:created>
  <dcterms:modified xsi:type="dcterms:W3CDTF">2018-02-22T12:30:40Z</dcterms:modified>
  <cp:category/>
  <cp:contentStatus/>
</cp:coreProperties>
</file>