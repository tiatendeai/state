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showPivotChartFilter="1" defaultThemeVersion="124226"/>
  <bookViews>
    <workbookView xWindow="0" yWindow="270" windowWidth="19155" windowHeight="7845"/>
  </bookViews>
  <sheets>
    <sheet name="Início" sheetId="1" r:id="rId1"/>
    <sheet name="Cadastro" sheetId="3" r:id="rId2"/>
    <sheet name="Escala" sheetId="2" r:id="rId3"/>
    <sheet name="Panorama Semanal" sheetId="5" r:id="rId4"/>
  </sheets>
  <calcPr calcId="145621"/>
</workbook>
</file>

<file path=xl/calcChain.xml><?xml version="1.0" encoding="utf-8"?>
<calcChain xmlns="http://schemas.openxmlformats.org/spreadsheetml/2006/main">
  <c r="Y5" i="2" l="1"/>
  <c r="Z5" i="2"/>
  <c r="AA5" i="2"/>
  <c r="AB5" i="2"/>
  <c r="AC5" i="2"/>
  <c r="AD5" i="2"/>
  <c r="AD22" i="2" s="1"/>
  <c r="AE5" i="2"/>
  <c r="Y6" i="2"/>
  <c r="Y23" i="2" s="1"/>
  <c r="Z6" i="2"/>
  <c r="AA6" i="2"/>
  <c r="AB6" i="2"/>
  <c r="AC6" i="2"/>
  <c r="AC23" i="2" s="1"/>
  <c r="AD6" i="2"/>
  <c r="AE6" i="2"/>
  <c r="Y7" i="2"/>
  <c r="Z7" i="2"/>
  <c r="AA7" i="2"/>
  <c r="AA24" i="2" s="1"/>
  <c r="AB7" i="2"/>
  <c r="AC7" i="2"/>
  <c r="AC24" i="2" s="1"/>
  <c r="AD7" i="2"/>
  <c r="AD24" i="2" s="1"/>
  <c r="AE7" i="2"/>
  <c r="AE24" i="2" s="1"/>
  <c r="Y8" i="2"/>
  <c r="Y25" i="2" s="1"/>
  <c r="Z8" i="2"/>
  <c r="AA8" i="2"/>
  <c r="AA25" i="2" s="1"/>
  <c r="AB8" i="2"/>
  <c r="AC8" i="2"/>
  <c r="AC25" i="2" s="1"/>
  <c r="AD8" i="2"/>
  <c r="AE8" i="2"/>
  <c r="AE25" i="2" s="1"/>
  <c r="AF9" i="2"/>
  <c r="AF10" i="2"/>
  <c r="Y14" i="2"/>
  <c r="Y20" i="2"/>
  <c r="Z14" i="2"/>
  <c r="Z20" i="2"/>
  <c r="AA14" i="2"/>
  <c r="AA20" i="2"/>
  <c r="AB14" i="2"/>
  <c r="AB20" i="2"/>
  <c r="AC14" i="2"/>
  <c r="AC20" i="2"/>
  <c r="AD14" i="2"/>
  <c r="AD20" i="2"/>
  <c r="AE20" i="2"/>
  <c r="AE14" i="2"/>
  <c r="AF14" i="2"/>
  <c r="Y13" i="2"/>
  <c r="Y19" i="2"/>
  <c r="Z13" i="2"/>
  <c r="AF13" i="2" s="1"/>
  <c r="Z19" i="2"/>
  <c r="Z24" i="2"/>
  <c r="AA13" i="2"/>
  <c r="AA19" i="2"/>
  <c r="AB13" i="2"/>
  <c r="AB19" i="2"/>
  <c r="AB24" i="2"/>
  <c r="AC13" i="2"/>
  <c r="AC19" i="2"/>
  <c r="AD13" i="2"/>
  <c r="AD19" i="2"/>
  <c r="AE19" i="2"/>
  <c r="AE13" i="2"/>
  <c r="AF19" i="2"/>
  <c r="Y12" i="2"/>
  <c r="Y18" i="2"/>
  <c r="Z12" i="2"/>
  <c r="Z18" i="2"/>
  <c r="AA12" i="2"/>
  <c r="AA18" i="2"/>
  <c r="AA23" i="2"/>
  <c r="AB12" i="2"/>
  <c r="AB18" i="2"/>
  <c r="AB23" i="2" s="1"/>
  <c r="AC12" i="2"/>
  <c r="AC18" i="2"/>
  <c r="AD12" i="2"/>
  <c r="AD18" i="2"/>
  <c r="AE18" i="2"/>
  <c r="AE12" i="2"/>
  <c r="AE23" i="2"/>
  <c r="AF12" i="2"/>
  <c r="Y11" i="2"/>
  <c r="Y17" i="2"/>
  <c r="Z11" i="2"/>
  <c r="AF11" i="2" s="1"/>
  <c r="Z17" i="2"/>
  <c r="Z22" i="2"/>
  <c r="AA11" i="2"/>
  <c r="AA17" i="2"/>
  <c r="AA22" i="2" s="1"/>
  <c r="AB11" i="2"/>
  <c r="AB17" i="2"/>
  <c r="AB22" i="2"/>
  <c r="AC11" i="2"/>
  <c r="AC17" i="2"/>
  <c r="AC22" i="2" s="1"/>
  <c r="AD11" i="2"/>
  <c r="AD17" i="2"/>
  <c r="AE17" i="2"/>
  <c r="AE11" i="2"/>
  <c r="AE22" i="2" s="1"/>
  <c r="AF17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6" i="2"/>
  <c r="Q25" i="2"/>
  <c r="Q18" i="2"/>
  <c r="Q7" i="2"/>
  <c r="Q8" i="2"/>
  <c r="Q9" i="2"/>
  <c r="Q10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6" i="2"/>
  <c r="N25" i="2"/>
  <c r="N21" i="2"/>
  <c r="N22" i="2"/>
  <c r="N23" i="2"/>
  <c r="N24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4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6" i="2"/>
  <c r="AD23" i="2" l="1"/>
  <c r="AD25" i="2"/>
  <c r="Z23" i="2"/>
  <c r="Z25" i="2"/>
  <c r="Y22" i="2"/>
  <c r="AF22" i="2" s="1"/>
  <c r="Y28" i="2" s="1"/>
  <c r="AB25" i="2"/>
  <c r="AF8" i="2"/>
  <c r="AF6" i="2"/>
  <c r="AF7" i="2"/>
  <c r="AF5" i="2"/>
  <c r="AF23" i="2"/>
  <c r="AF18" i="2"/>
  <c r="Y24" i="2"/>
  <c r="AF24" i="2" s="1"/>
  <c r="AA28" i="2" s="1"/>
  <c r="AF20" i="2"/>
  <c r="AF25" i="2" l="1"/>
  <c r="AB28" i="2" s="1"/>
  <c r="Z28" i="2"/>
</calcChain>
</file>

<file path=xl/sharedStrings.xml><?xml version="1.0" encoding="utf-8"?>
<sst xmlns="http://schemas.openxmlformats.org/spreadsheetml/2006/main" count="99" uniqueCount="47">
  <si>
    <t>ID</t>
  </si>
  <si>
    <t>NOME DO FUNCIONÁRIO</t>
  </si>
  <si>
    <t>CARGO</t>
  </si>
  <si>
    <t>SEXO</t>
  </si>
  <si>
    <t>IDADE</t>
  </si>
  <si>
    <t>I</t>
  </si>
  <si>
    <t>II</t>
  </si>
  <si>
    <t>III</t>
  </si>
  <si>
    <t>TURNO DE EXCEÇÃO</t>
  </si>
  <si>
    <t>FEMININO</t>
  </si>
  <si>
    <t>MASCULINO</t>
  </si>
  <si>
    <t>CARGOS</t>
  </si>
  <si>
    <t>VENDEDOR</t>
  </si>
  <si>
    <t>AUXILIAR</t>
  </si>
  <si>
    <t>BALCONISTA</t>
  </si>
  <si>
    <t>CAIXA</t>
  </si>
  <si>
    <t>ESTOQUISTA</t>
  </si>
  <si>
    <t>FUNCIONÁRIO</t>
  </si>
  <si>
    <t>TURNO I</t>
  </si>
  <si>
    <t>TURNO III</t>
  </si>
  <si>
    <t>TURNO II</t>
  </si>
  <si>
    <t>SEGUNDA</t>
  </si>
  <si>
    <t>TERÇA</t>
  </si>
  <si>
    <t>QUARTA</t>
  </si>
  <si>
    <t>QUINTA</t>
  </si>
  <si>
    <t>SEXTA</t>
  </si>
  <si>
    <t>SÁBADO</t>
  </si>
  <si>
    <t>DOMINGO</t>
  </si>
  <si>
    <t>STATUS</t>
  </si>
  <si>
    <t>PE</t>
  </si>
  <si>
    <t>PRESENTE</t>
  </si>
  <si>
    <t>AU</t>
  </si>
  <si>
    <t>AUSENTE</t>
  </si>
  <si>
    <t>FE</t>
  </si>
  <si>
    <t>FÉRIAS</t>
  </si>
  <si>
    <t>DS</t>
  </si>
  <si>
    <t>ESCALA SEMANAL</t>
  </si>
  <si>
    <t>DE</t>
  </si>
  <si>
    <t>QUANTIFICAÇÃO SEMANAL</t>
  </si>
  <si>
    <t>TURNO 1</t>
  </si>
  <si>
    <t>TURNO 2</t>
  </si>
  <si>
    <t>TURNO 3</t>
  </si>
  <si>
    <t>DESCANSO</t>
  </si>
  <si>
    <r>
      <rPr>
        <b/>
        <i/>
        <sz val="18"/>
        <color theme="0"/>
        <rFont val="Calibri"/>
        <family val="2"/>
        <scheme val="minor"/>
      </rPr>
      <t>ESCALA DE TRABALHO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</si>
  <si>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>ESCALA DE TRABALHO</t>
    </r>
    <r>
      <rPr>
        <i/>
        <sz val="16"/>
        <color theme="0"/>
        <rFont val="Calibri"/>
        <family val="2"/>
        <scheme val="minor"/>
      </rPr>
      <t xml:space="preserve"> - CADASTRO</t>
    </r>
  </si>
  <si>
    <r>
      <rPr>
        <b/>
        <i/>
        <sz val="18"/>
        <color theme="0"/>
        <rFont val="Calibri"/>
        <family val="2"/>
        <scheme val="minor"/>
      </rPr>
      <t>ESCALA DE TRABALHO</t>
    </r>
    <r>
      <rPr>
        <i/>
        <sz val="16"/>
        <color theme="0"/>
        <rFont val="Calibri"/>
        <family val="2"/>
        <scheme val="minor"/>
      </rPr>
      <t xml:space="preserve"> - ESCALA</t>
    </r>
  </si>
  <si>
    <r>
      <rPr>
        <b/>
        <i/>
        <sz val="18"/>
        <color theme="0"/>
        <rFont val="Calibri"/>
        <family val="2"/>
        <scheme val="minor"/>
      </rPr>
      <t>ESCALA DE TRABALHO</t>
    </r>
    <r>
      <rPr>
        <i/>
        <sz val="16"/>
        <color theme="0"/>
        <rFont val="Calibri"/>
        <family val="2"/>
        <scheme val="minor"/>
      </rPr>
      <t xml:space="preserve"> - PANORAMA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</si>
</sst>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 val="double"/>
      <sz val="11"/>
      <color theme="1" tint="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66"/>
        <bgColor indexed="64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499984740745262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medium">
        <color theme="0" tint="-0.499984740745262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499984740745262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499984740745262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34998626667073579"/>
      </top>
      <bottom style="medium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0" xfId="0" applyFill="1"/>
    <xf numFmtId="0" fontId="0" fillId="0" borderId="3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0" fillId="0" borderId="0" xfId="0" applyNumberFormat="1"/>
    <xf numFmtId="0" fontId="3" fillId="0" borderId="0" xfId="0" applyFont="1" applyBorder="1"/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4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3" fillId="0" borderId="0" xfId="0" applyNumberFormat="1" applyFont="1"/>
    <xf numFmtId="0" fontId="0" fillId="0" borderId="2" xfId="0" applyBorder="1"/>
    <xf numFmtId="0" fontId="10" fillId="4" borderId="19" xfId="0" applyFont="1" applyFill="1" applyBorder="1" applyAlignment="1">
      <alignment vertical="center"/>
    </xf>
    <xf numFmtId="0" fontId="3" fillId="4" borderId="20" xfId="0" applyFont="1" applyFill="1" applyBorder="1"/>
    <xf numFmtId="0" fontId="7" fillId="4" borderId="19" xfId="0" applyFont="1" applyFill="1" applyBorder="1" applyAlignment="1">
      <alignment vertical="center"/>
    </xf>
    <xf numFmtId="0" fontId="1" fillId="4" borderId="2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1" fillId="4" borderId="22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5" borderId="2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5" fillId="0" borderId="5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5" fillId="0" borderId="4" xfId="0" applyFont="1" applyBorder="1" applyAlignment="1">
      <alignment horizontal="center" vertical="center" textRotation="90"/>
    </xf>
    <xf numFmtId="0" fontId="0" fillId="0" borderId="23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4" borderId="22" xfId="0" applyFont="1" applyFill="1" applyBorder="1" applyAlignment="1">
      <alignment horizontal="left"/>
    </xf>
  </cellXfs>
  <cellStyles count="1">
    <cellStyle name="Normal" xfId="0" builtinId="0"/>
  </cellStyles>
  <dxfs count="6">
    <dxf>
      <font>
        <color theme="0"/>
      </font>
      <fill>
        <patternFill>
          <bgColor theme="0"/>
        </patternFill>
      </fill>
    </dxf>
    <dxf>
      <font>
        <color rgb="FFC00000"/>
      </font>
      <fill>
        <patternFill>
          <bgColor rgb="FFF6D2D8"/>
        </patternFill>
      </fill>
    </dxf>
    <dxf>
      <font>
        <color theme="9"/>
      </font>
      <fill>
        <patternFill>
          <bgColor rgb="FFFFFFCC"/>
        </patternFill>
      </fill>
    </dxf>
    <dxf>
      <font>
        <color theme="1" tint="0.34998626667073579"/>
      </font>
      <fill>
        <patternFill>
          <bgColor theme="0" tint="-4.9989318521683403E-2"/>
        </patternFill>
      </fill>
    </dxf>
    <dxf>
      <font>
        <color rgb="FF2B8D3E"/>
      </font>
      <fill>
        <patternFill>
          <bgColor rgb="FFD6E9C5"/>
        </patternFill>
      </fill>
    </dxf>
    <dxf>
      <font>
        <color theme="0"/>
      </font>
    </dxf>
  </dxfs>
  <tableStyles count="0" defaultTableStyle="TableStyleMedium9" defaultPivotStyle="PivotStyleLight16"/>
  <colors>
    <mruColors>
      <color rgb="FF008080"/>
      <color rgb="FF006666"/>
      <color rgb="FFFFFF66"/>
      <color rgb="FFC86664"/>
      <color rgb="FFAFE094"/>
      <color rgb="FF9FFF9F"/>
      <color rgb="FF003300"/>
      <color rgb="FF006600"/>
      <color rgb="FF2B8D3E"/>
      <color rgb="FFD6E9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r>
              <a:rPr lang="pt-BR" sz="1600">
                <a:solidFill>
                  <a:schemeClr val="bg1">
                    <a:lumMod val="85000"/>
                  </a:schemeClr>
                </a:solidFill>
              </a:rPr>
              <a:t>PANORAMA</a:t>
            </a:r>
            <a:r>
              <a:rPr lang="pt-BR" sz="1600" baseline="0">
                <a:solidFill>
                  <a:schemeClr val="bg1">
                    <a:lumMod val="85000"/>
                  </a:schemeClr>
                </a:solidFill>
              </a:rPr>
              <a:t> SEMANAL - </a:t>
            </a:r>
            <a:r>
              <a:rPr lang="pt-BR" sz="1100" baseline="0">
                <a:solidFill>
                  <a:schemeClr val="bg1">
                    <a:lumMod val="85000"/>
                  </a:schemeClr>
                </a:solidFill>
              </a:rPr>
              <a:t>STATUS</a:t>
            </a:r>
            <a:endParaRPr lang="pt-BR" sz="1600">
              <a:solidFill>
                <a:schemeClr val="bg1">
                  <a:lumMod val="85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9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Escala!$Y$27:$AB$27</c:f>
              <c:strCache>
                <c:ptCount val="4"/>
                <c:pt idx="0">
                  <c:v>PE</c:v>
                </c:pt>
                <c:pt idx="1">
                  <c:v>AU</c:v>
                </c:pt>
                <c:pt idx="2">
                  <c:v>DS</c:v>
                </c:pt>
                <c:pt idx="3">
                  <c:v>FE</c:v>
                </c:pt>
              </c:strCache>
            </c:strRef>
          </c:cat>
          <c:val>
            <c:numRef>
              <c:f>Escala!$Y$28:$AB$28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459584"/>
        <c:axId val="95503488"/>
      </c:barChart>
      <c:catAx>
        <c:axId val="95459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95503488"/>
        <c:crosses val="autoZero"/>
        <c:auto val="1"/>
        <c:lblAlgn val="ctr"/>
        <c:lblOffset val="100"/>
        <c:noMultiLvlLbl val="0"/>
      </c:catAx>
      <c:valAx>
        <c:axId val="955034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95459584"/>
        <c:crosses val="autoZero"/>
        <c:crossBetween val="between"/>
        <c:majorUnit val="5"/>
        <c:minorUnit val="0.2"/>
      </c:valAx>
      <c:spPr>
        <a:solidFill>
          <a:schemeClr val="tx1">
            <a:lumMod val="65000"/>
            <a:lumOff val="35000"/>
          </a:schemeClr>
        </a:solidFill>
      </c:spPr>
    </c:plotArea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075" footer="0.3149606200000007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 b="1">
                <a:solidFill>
                  <a:schemeClr val="bg1">
                    <a:lumMod val="85000"/>
                  </a:schemeClr>
                </a:solidFill>
              </a:rPr>
              <a:t>PANORAMA</a:t>
            </a:r>
            <a:r>
              <a:rPr lang="pt-BR" sz="1600" b="1" baseline="0">
                <a:solidFill>
                  <a:schemeClr val="bg1">
                    <a:lumMod val="85000"/>
                  </a:schemeClr>
                </a:solidFill>
              </a:rPr>
              <a:t> SEMANAL - </a:t>
            </a:r>
            <a:r>
              <a:rPr lang="pt-BR" sz="1000" b="1" baseline="0">
                <a:solidFill>
                  <a:schemeClr val="bg1">
                    <a:lumMod val="85000"/>
                  </a:schemeClr>
                </a:solidFill>
              </a:rPr>
              <a:t>DIAS</a:t>
            </a:r>
            <a:endParaRPr lang="pt-BR" sz="1600" b="1">
              <a:solidFill>
                <a:schemeClr val="bg1">
                  <a:lumMod val="85000"/>
                </a:schemeClr>
              </a:solidFill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Escala!$X$22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rgbClr val="AFE094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Escala!$Y$21:$AE$21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Escala!$Y$22:$AE$22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Escala!$X$23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rgbClr val="C86664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Escala!$Y$21:$AE$21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Escala!$Y$23:$AE$23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Escala!$X$24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rgbClr val="FFFF66"/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Escala!$Y$21:$AE$21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Escala!$Y$24:$AE$24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Escala!$X$25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>
                    <a:solidFill>
                      <a:schemeClr val="bg1">
                        <a:lumMod val="85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Escala!$Y$21:$AE$21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Escala!$Y$25:$AE$25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6271744"/>
        <c:axId val="156273280"/>
      </c:barChart>
      <c:catAx>
        <c:axId val="15627174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b="1"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156273280"/>
        <c:crosses val="autoZero"/>
        <c:auto val="1"/>
        <c:lblAlgn val="ctr"/>
        <c:lblOffset val="100"/>
        <c:noMultiLvlLbl val="0"/>
      </c:catAx>
      <c:valAx>
        <c:axId val="156273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85000"/>
                  </a:schemeClr>
                </a:solidFill>
              </a:defRPr>
            </a:pPr>
            <a:endParaRPr lang="pt-BR"/>
          </a:p>
        </c:txPr>
        <c:crossAx val="156271744"/>
        <c:crosses val="autoZero"/>
        <c:crossBetween val="between"/>
        <c:majorUnit val="1"/>
      </c:valAx>
      <c:spPr>
        <a:solidFill>
          <a:schemeClr val="tx1">
            <a:lumMod val="65000"/>
            <a:lumOff val="35000"/>
          </a:schemeClr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</c:sp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TURNO 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Escala!$X$5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rgbClr val="AFE094"/>
            </a:solidFill>
          </c:spPr>
          <c:invertIfNegative val="0"/>
          <c:cat>
            <c:strRef>
              <c:f>Escala!$Y$4:$AE$4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Escala!$Y$5:$AE$5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Escala!$X$6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rgbClr val="C86664"/>
            </a:solidFill>
          </c:spPr>
          <c:invertIfNegative val="0"/>
          <c:cat>
            <c:strRef>
              <c:f>Escala!$Y$4:$AE$4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Escala!$Y$6:$AE$6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Escala!$X$7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rgbClr val="FFFF66"/>
            </a:solidFill>
          </c:spPr>
          <c:invertIfNegative val="0"/>
          <c:cat>
            <c:strRef>
              <c:f>Escala!$Y$4:$AE$4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Escala!$Y$7:$AE$7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Escala!$X$8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Escala!$Y$4:$AE$4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Escala!$Y$8:$AE$8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302208"/>
        <c:axId val="94303744"/>
      </c:barChart>
      <c:catAx>
        <c:axId val="9430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94303744"/>
        <c:crosses val="autoZero"/>
        <c:auto val="1"/>
        <c:lblAlgn val="ctr"/>
        <c:lblOffset val="100"/>
        <c:noMultiLvlLbl val="0"/>
      </c:catAx>
      <c:valAx>
        <c:axId val="943037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4302208"/>
        <c:crosses val="autoZero"/>
        <c:crossBetween val="between"/>
        <c:majorUnit val="1"/>
      </c:valAx>
      <c:spPr>
        <a:solidFill>
          <a:schemeClr val="bg2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8740157499999996" l="0.511811024" r="0.511811024" t="0.78740157499999996" header="0.31496062000000036" footer="0.3149606200000003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TURNO II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Escala!$X$11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rgbClr val="AFE094"/>
            </a:solidFill>
          </c:spPr>
          <c:invertIfNegative val="0"/>
          <c:cat>
            <c:strRef>
              <c:f>Escala!$Y$10:$AE$10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Escala!$Y$11:$AE$11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Escala!$X$12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rgbClr val="C86664"/>
            </a:solidFill>
          </c:spPr>
          <c:invertIfNegative val="0"/>
          <c:cat>
            <c:strRef>
              <c:f>Escala!$Y$10:$AE$10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Escala!$Y$12:$AE$12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Escala!$X$13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rgbClr val="FFFF66"/>
            </a:solidFill>
          </c:spPr>
          <c:invertIfNegative val="0"/>
          <c:cat>
            <c:strRef>
              <c:f>Escala!$Y$10:$AE$10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Escala!$Y$13:$AE$13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Escala!$X$14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Escala!$Y$10:$AE$10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Escala!$Y$14:$AE$14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422336"/>
        <c:axId val="95423872"/>
      </c:barChart>
      <c:catAx>
        <c:axId val="95422336"/>
        <c:scaling>
          <c:orientation val="minMax"/>
        </c:scaling>
        <c:delete val="0"/>
        <c:axPos val="b"/>
        <c:majorTickMark val="out"/>
        <c:minorTickMark val="none"/>
        <c:tickLblPos val="nextTo"/>
        <c:crossAx val="95423872"/>
        <c:crosses val="autoZero"/>
        <c:auto val="1"/>
        <c:lblAlgn val="ctr"/>
        <c:lblOffset val="100"/>
        <c:noMultiLvlLbl val="0"/>
      </c:catAx>
      <c:valAx>
        <c:axId val="95423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5422336"/>
        <c:crosses val="autoZero"/>
        <c:crossBetween val="between"/>
        <c:majorUnit val="1"/>
      </c:valAx>
      <c:spPr>
        <a:solidFill>
          <a:schemeClr val="bg2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8740157499999996" l="0.511811024" r="0.511811024" t="0.78740157499999996" header="0.31496062000000047" footer="0.3149606200000004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7"/>
    </mc:Choice>
    <mc:Fallback>
      <c:style val="27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600">
                <a:solidFill>
                  <a:schemeClr val="tx1">
                    <a:lumMod val="65000"/>
                    <a:lumOff val="35000"/>
                  </a:schemeClr>
                </a:solidFill>
              </a:rPr>
              <a:t>TURNO III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Escala!$X$17</c:f>
              <c:strCache>
                <c:ptCount val="1"/>
                <c:pt idx="0">
                  <c:v>PE</c:v>
                </c:pt>
              </c:strCache>
            </c:strRef>
          </c:tx>
          <c:spPr>
            <a:solidFill>
              <a:srgbClr val="AFE094"/>
            </a:solidFill>
          </c:spPr>
          <c:invertIfNegative val="0"/>
          <c:cat>
            <c:strRef>
              <c:f>Escala!$Y$16:$AE$16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Escala!$Y$17:$AE$17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Escala!$X$18</c:f>
              <c:strCache>
                <c:ptCount val="1"/>
                <c:pt idx="0">
                  <c:v>AU</c:v>
                </c:pt>
              </c:strCache>
            </c:strRef>
          </c:tx>
          <c:spPr>
            <a:solidFill>
              <a:srgbClr val="C86664"/>
            </a:solidFill>
          </c:spPr>
          <c:invertIfNegative val="0"/>
          <c:cat>
            <c:strRef>
              <c:f>Escala!$Y$16:$AE$16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Escala!$Y$18:$AE$18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Escala!$X$19</c:f>
              <c:strCache>
                <c:ptCount val="1"/>
                <c:pt idx="0">
                  <c:v>DS</c:v>
                </c:pt>
              </c:strCache>
            </c:strRef>
          </c:tx>
          <c:spPr>
            <a:solidFill>
              <a:srgbClr val="FFFF66"/>
            </a:solidFill>
          </c:spPr>
          <c:invertIfNegative val="0"/>
          <c:cat>
            <c:strRef>
              <c:f>Escala!$Y$16:$AE$16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Escala!$Y$19:$AE$19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Escala!$X$20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invertIfNegative val="0"/>
          <c:cat>
            <c:strRef>
              <c:f>Escala!$Y$16:$AE$16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Escala!$Y$20:$AE$20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5461376"/>
        <c:axId val="95462912"/>
      </c:barChart>
      <c:catAx>
        <c:axId val="95461376"/>
        <c:scaling>
          <c:orientation val="minMax"/>
        </c:scaling>
        <c:delete val="0"/>
        <c:axPos val="b"/>
        <c:majorTickMark val="out"/>
        <c:minorTickMark val="none"/>
        <c:tickLblPos val="nextTo"/>
        <c:crossAx val="95462912"/>
        <c:crosses val="autoZero"/>
        <c:auto val="1"/>
        <c:lblAlgn val="ctr"/>
        <c:lblOffset val="100"/>
        <c:noMultiLvlLbl val="0"/>
      </c:catAx>
      <c:valAx>
        <c:axId val="954629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95461376"/>
        <c:crosses val="autoZero"/>
        <c:crossBetween val="between"/>
        <c:majorUnit val="1"/>
      </c:valAx>
      <c:spPr>
        <a:solidFill>
          <a:schemeClr val="bg2"/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2"/>
    </a:solidFill>
  </c:spPr>
  <c:printSettings>
    <c:headerFooter/>
    <c:pageMargins b="0.78740157499999996" l="0.511811024" r="0.511811024" t="0.78740157499999996" header="0.31496062000000058" footer="0.31496062000000058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anorama Semanal'!A1"/><Relationship Id="rId3" Type="http://schemas.openxmlformats.org/officeDocument/2006/relationships/hyperlink" Target="#An&#225;lise!A1"/><Relationship Id="rId7" Type="http://schemas.openxmlformats.org/officeDocument/2006/relationships/hyperlink" Target="#Escala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Cadastro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&#237;cio!A1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http://www.acelere.vc" TargetMode="Externa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361950</xdr:colOff>
      <xdr:row>0</xdr:row>
      <xdr:rowOff>0</xdr:rowOff>
    </xdr:from>
    <xdr:to>
      <xdr:col>20</xdr:col>
      <xdr:colOff>342900</xdr:colOff>
      <xdr:row>1</xdr:row>
      <xdr:rowOff>19049</xdr:rowOff>
    </xdr:to>
    <xdr:pic>
      <xdr:nvPicPr>
        <xdr:cNvPr id="11" name="Imagem 10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4750" y="0"/>
          <a:ext cx="1200150" cy="476249"/>
        </a:xfrm>
        <a:prstGeom prst="rect">
          <a:avLst/>
        </a:prstGeom>
      </xdr:spPr>
    </xdr:pic>
    <xdr:clientData/>
  </xdr:twoCellAnchor>
  <xdr:twoCellAnchor>
    <xdr:from>
      <xdr:col>2</xdr:col>
      <xdr:colOff>419100</xdr:colOff>
      <xdr:row>10</xdr:row>
      <xdr:rowOff>28575</xdr:rowOff>
    </xdr:from>
    <xdr:to>
      <xdr:col>5</xdr:col>
      <xdr:colOff>485775</xdr:colOff>
      <xdr:row>12</xdr:row>
      <xdr:rowOff>186613</xdr:rowOff>
    </xdr:to>
    <xdr:grpSp>
      <xdr:nvGrpSpPr>
        <xdr:cNvPr id="12" name="Grupo 11">
          <a:hlinkClick xmlns:r="http://schemas.openxmlformats.org/officeDocument/2006/relationships" r:id="rId3"/>
        </xdr:cNvPr>
        <xdr:cNvGrpSpPr/>
      </xdr:nvGrpSpPr>
      <xdr:grpSpPr>
        <a:xfrm>
          <a:off x="1638300" y="2200275"/>
          <a:ext cx="1895475" cy="539038"/>
          <a:chOff x="285750" y="2400300"/>
          <a:chExt cx="1895475" cy="539038"/>
        </a:xfrm>
      </xdr:grpSpPr>
      <xdr:pic>
        <xdr:nvPicPr>
          <xdr:cNvPr id="13" name="Imagem 1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4" name="CaixaDeTexto 13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>
    <xdr:from>
      <xdr:col>8</xdr:col>
      <xdr:colOff>495300</xdr:colOff>
      <xdr:row>10</xdr:row>
      <xdr:rowOff>28575</xdr:rowOff>
    </xdr:from>
    <xdr:to>
      <xdr:col>11</xdr:col>
      <xdr:colOff>561975</xdr:colOff>
      <xdr:row>12</xdr:row>
      <xdr:rowOff>186613</xdr:rowOff>
    </xdr:to>
    <xdr:grpSp>
      <xdr:nvGrpSpPr>
        <xdr:cNvPr id="15" name="Grupo 14">
          <a:hlinkClick xmlns:r="http://schemas.openxmlformats.org/officeDocument/2006/relationships" r:id="rId6"/>
        </xdr:cNvPr>
        <xdr:cNvGrpSpPr/>
      </xdr:nvGrpSpPr>
      <xdr:grpSpPr>
        <a:xfrm>
          <a:off x="5372100" y="2200275"/>
          <a:ext cx="1895475" cy="539038"/>
          <a:chOff x="285750" y="2400300"/>
          <a:chExt cx="1895475" cy="539038"/>
        </a:xfrm>
      </xdr:grpSpPr>
      <xdr:pic>
        <xdr:nvPicPr>
          <xdr:cNvPr id="16" name="Imagem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CaixaDeTexto 16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ESCALA</a:t>
            </a:r>
          </a:p>
        </xdr:txBody>
      </xdr:sp>
    </xdr:grpSp>
    <xdr:clientData/>
  </xdr:twoCellAnchor>
  <xdr:twoCellAnchor>
    <xdr:from>
      <xdr:col>14</xdr:col>
      <xdr:colOff>523875</xdr:colOff>
      <xdr:row>10</xdr:row>
      <xdr:rowOff>28575</xdr:rowOff>
    </xdr:from>
    <xdr:to>
      <xdr:col>17</xdr:col>
      <xdr:colOff>590550</xdr:colOff>
      <xdr:row>12</xdr:row>
      <xdr:rowOff>186613</xdr:rowOff>
    </xdr:to>
    <xdr:grpSp>
      <xdr:nvGrpSpPr>
        <xdr:cNvPr id="18" name="Grupo 17">
          <a:hlinkClick xmlns:r="http://schemas.openxmlformats.org/officeDocument/2006/relationships" r:id="rId3"/>
        </xdr:cNvPr>
        <xdr:cNvGrpSpPr/>
      </xdr:nvGrpSpPr>
      <xdr:grpSpPr>
        <a:xfrm>
          <a:off x="9058275" y="2200275"/>
          <a:ext cx="1895475" cy="539038"/>
          <a:chOff x="285750" y="2400300"/>
          <a:chExt cx="1895475" cy="539038"/>
        </a:xfrm>
      </xdr:grpSpPr>
      <xdr:pic>
        <xdr:nvPicPr>
          <xdr:cNvPr id="19" name="Imagem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CaixaDeTexto 19">
            <a:hlinkClick xmlns:r="http://schemas.openxmlformats.org/officeDocument/2006/relationships" r:id="rId8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590550</xdr:colOff>
      <xdr:row>0</xdr:row>
      <xdr:rowOff>0</xdr:rowOff>
    </xdr:from>
    <xdr:to>
      <xdr:col>20</xdr:col>
      <xdr:colOff>571500</xdr:colOff>
      <xdr:row>1</xdr:row>
      <xdr:rowOff>19049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0</xdr:row>
      <xdr:rowOff>66675</xdr:rowOff>
    </xdr:from>
    <xdr:to>
      <xdr:col>1</xdr:col>
      <xdr:colOff>57150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1095375</xdr:colOff>
      <xdr:row>0</xdr:row>
      <xdr:rowOff>0</xdr:rowOff>
    </xdr:from>
    <xdr:to>
      <xdr:col>14</xdr:col>
      <xdr:colOff>1085850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522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0</xdr:row>
      <xdr:rowOff>66675</xdr:rowOff>
    </xdr:from>
    <xdr:to>
      <xdr:col>1</xdr:col>
      <xdr:colOff>19050</xdr:colOff>
      <xdr:row>0</xdr:row>
      <xdr:rowOff>396724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66675"/>
          <a:ext cx="561975" cy="330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550069</xdr:colOff>
      <xdr:row>3</xdr:row>
      <xdr:rowOff>19050</xdr:rowOff>
    </xdr:from>
    <xdr:to>
      <xdr:col>17</xdr:col>
      <xdr:colOff>0</xdr:colOff>
      <xdr:row>17</xdr:row>
      <xdr:rowOff>103717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276225</xdr:colOff>
      <xdr:row>3</xdr:row>
      <xdr:rowOff>21430</xdr:rowOff>
    </xdr:from>
    <xdr:to>
      <xdr:col>29</xdr:col>
      <xdr:colOff>333375</xdr:colOff>
      <xdr:row>17</xdr:row>
      <xdr:rowOff>106097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12</xdr:col>
      <xdr:colOff>83344</xdr:colOff>
      <xdr:row>35</xdr:row>
      <xdr:rowOff>74084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607218</xdr:colOff>
      <xdr:row>20</xdr:row>
      <xdr:rowOff>178594</xdr:rowOff>
    </xdr:from>
    <xdr:to>
      <xdr:col>24</xdr:col>
      <xdr:colOff>83343</xdr:colOff>
      <xdr:row>35</xdr:row>
      <xdr:rowOff>62178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0</xdr:colOff>
      <xdr:row>21</xdr:row>
      <xdr:rowOff>0</xdr:rowOff>
    </xdr:from>
    <xdr:to>
      <xdr:col>36</xdr:col>
      <xdr:colOff>83344</xdr:colOff>
      <xdr:row>35</xdr:row>
      <xdr:rowOff>74084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371475</xdr:colOff>
      <xdr:row>0</xdr:row>
      <xdr:rowOff>0</xdr:rowOff>
    </xdr:from>
    <xdr:to>
      <xdr:col>20</xdr:col>
      <xdr:colOff>352425</xdr:colOff>
      <xdr:row>1</xdr:row>
      <xdr:rowOff>19049</xdr:rowOff>
    </xdr:to>
    <xdr:pic>
      <xdr:nvPicPr>
        <xdr:cNvPr id="12" name="Imagem 11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4275" y="0"/>
          <a:ext cx="1200150" cy="4762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1</xdr:col>
      <xdr:colOff>38100</xdr:colOff>
      <xdr:row>0</xdr:row>
      <xdr:rowOff>396724</xdr:rowOff>
    </xdr:to>
    <xdr:pic>
      <xdr:nvPicPr>
        <xdr:cNvPr id="13" name="Imagem 12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675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sqref="A1:T1"/>
    </sheetView>
  </sheetViews>
  <sheetFormatPr defaultRowHeight="15" x14ac:dyDescent="0.25"/>
  <cols>
    <col min="1" max="16384" width="9.140625" style="1"/>
  </cols>
  <sheetData>
    <row r="1" spans="1:25" s="31" customFormat="1" ht="36" customHeight="1" x14ac:dyDescent="0.25">
      <c r="A1" s="39" t="s">
        <v>43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30"/>
      <c r="V1" s="30"/>
      <c r="W1" s="30"/>
      <c r="X1" s="30"/>
      <c r="Y1" s="30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showGridLines="0" workbookViewId="0">
      <selection sqref="A1:T1"/>
    </sheetView>
  </sheetViews>
  <sheetFormatPr defaultRowHeight="15" x14ac:dyDescent="0.25"/>
  <cols>
    <col min="10" max="10" width="11.7109375" bestFit="1" customWidth="1"/>
    <col min="11" max="11" width="10.5703125" customWidth="1"/>
    <col min="12" max="14" width="5.28515625" customWidth="1"/>
    <col min="18" max="18" width="13.7109375" customWidth="1"/>
  </cols>
  <sheetData>
    <row r="1" spans="1:25" s="31" customFormat="1" ht="36" customHeight="1" x14ac:dyDescent="0.25">
      <c r="A1" s="39" t="s">
        <v>44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30"/>
      <c r="V1" s="30"/>
      <c r="W1" s="30"/>
      <c r="X1" s="30"/>
      <c r="Y1" s="30"/>
    </row>
    <row r="2" spans="1:25" ht="22.5" customHeight="1" thickBot="1" x14ac:dyDescent="0.3"/>
    <row r="3" spans="1:25" ht="15.75" thickBot="1" x14ac:dyDescent="0.3">
      <c r="B3" s="44" t="s">
        <v>0</v>
      </c>
      <c r="C3" s="44" t="s">
        <v>1</v>
      </c>
      <c r="D3" s="44"/>
      <c r="E3" s="44"/>
      <c r="F3" s="44"/>
      <c r="G3" s="44"/>
      <c r="H3" s="44" t="s">
        <v>2</v>
      </c>
      <c r="I3" s="44"/>
      <c r="J3" s="44" t="s">
        <v>3</v>
      </c>
      <c r="K3" s="44" t="s">
        <v>4</v>
      </c>
      <c r="L3" s="43" t="s">
        <v>8</v>
      </c>
      <c r="M3" s="43"/>
      <c r="N3" s="43"/>
    </row>
    <row r="4" spans="1:25" ht="15.75" thickBot="1" x14ac:dyDescent="0.3">
      <c r="B4" s="44"/>
      <c r="C4" s="44"/>
      <c r="D4" s="44"/>
      <c r="E4" s="44"/>
      <c r="F4" s="44"/>
      <c r="G4" s="44"/>
      <c r="H4" s="44"/>
      <c r="I4" s="44"/>
      <c r="J4" s="44"/>
      <c r="K4" s="44"/>
      <c r="L4" s="33" t="s">
        <v>5</v>
      </c>
      <c r="M4" s="33" t="s">
        <v>6</v>
      </c>
      <c r="N4" s="33" t="s">
        <v>7</v>
      </c>
      <c r="Q4" s="42" t="s">
        <v>11</v>
      </c>
      <c r="R4" s="42"/>
    </row>
    <row r="5" spans="1:25" ht="20.25" customHeight="1" x14ac:dyDescent="0.25">
      <c r="B5" s="5">
        <v>1</v>
      </c>
      <c r="C5" s="45"/>
      <c r="D5" s="45"/>
      <c r="E5" s="45"/>
      <c r="F5" s="45"/>
      <c r="G5" s="45"/>
      <c r="H5" s="45"/>
      <c r="I5" s="45"/>
      <c r="J5" s="6"/>
      <c r="K5" s="6"/>
      <c r="L5" s="5"/>
      <c r="M5" s="5"/>
      <c r="N5" s="5"/>
      <c r="O5" s="7" t="s">
        <v>9</v>
      </c>
      <c r="Q5" s="8">
        <v>1</v>
      </c>
      <c r="R5" s="9" t="s">
        <v>12</v>
      </c>
    </row>
    <row r="6" spans="1:25" ht="20.25" customHeight="1" x14ac:dyDescent="0.25">
      <c r="B6" s="3">
        <v>2</v>
      </c>
      <c r="C6" s="41"/>
      <c r="D6" s="41"/>
      <c r="E6" s="41"/>
      <c r="F6" s="41"/>
      <c r="G6" s="41"/>
      <c r="H6" s="41"/>
      <c r="I6" s="41"/>
      <c r="J6" s="4"/>
      <c r="K6" s="4"/>
      <c r="L6" s="3"/>
      <c r="M6" s="3"/>
      <c r="N6" s="3"/>
      <c r="O6" s="7" t="s">
        <v>10</v>
      </c>
      <c r="Q6" s="8">
        <v>2</v>
      </c>
      <c r="R6" s="9" t="s">
        <v>13</v>
      </c>
    </row>
    <row r="7" spans="1:25" ht="20.25" customHeight="1" x14ac:dyDescent="0.25">
      <c r="B7" s="3">
        <v>3</v>
      </c>
      <c r="C7" s="41"/>
      <c r="D7" s="41"/>
      <c r="E7" s="41"/>
      <c r="F7" s="41"/>
      <c r="G7" s="41"/>
      <c r="H7" s="41"/>
      <c r="I7" s="41"/>
      <c r="J7" s="4"/>
      <c r="K7" s="4"/>
      <c r="L7" s="3"/>
      <c r="M7" s="3"/>
      <c r="N7" s="3"/>
      <c r="Q7" s="8">
        <v>3</v>
      </c>
      <c r="R7" s="9" t="s">
        <v>14</v>
      </c>
    </row>
    <row r="8" spans="1:25" ht="20.25" customHeight="1" x14ac:dyDescent="0.25">
      <c r="B8" s="3">
        <v>4</v>
      </c>
      <c r="C8" s="41"/>
      <c r="D8" s="41"/>
      <c r="E8" s="41"/>
      <c r="F8" s="41"/>
      <c r="G8" s="41"/>
      <c r="H8" s="41"/>
      <c r="I8" s="41"/>
      <c r="J8" s="4"/>
      <c r="K8" s="4"/>
      <c r="L8" s="3"/>
      <c r="M8" s="3"/>
      <c r="N8" s="3"/>
      <c r="Q8" s="8">
        <v>4</v>
      </c>
      <c r="R8" s="9" t="s">
        <v>15</v>
      </c>
    </row>
    <row r="9" spans="1:25" ht="20.25" customHeight="1" x14ac:dyDescent="0.25">
      <c r="B9" s="3">
        <v>5</v>
      </c>
      <c r="C9" s="41"/>
      <c r="D9" s="41"/>
      <c r="E9" s="41"/>
      <c r="F9" s="41"/>
      <c r="G9" s="41"/>
      <c r="H9" s="41"/>
      <c r="I9" s="41"/>
      <c r="J9" s="4"/>
      <c r="K9" s="4"/>
      <c r="L9" s="3"/>
      <c r="M9" s="3"/>
      <c r="N9" s="3"/>
      <c r="Q9" s="8">
        <v>5</v>
      </c>
      <c r="R9" s="9" t="s">
        <v>16</v>
      </c>
    </row>
    <row r="10" spans="1:25" ht="20.25" customHeight="1" x14ac:dyDescent="0.25">
      <c r="B10" s="3">
        <v>6</v>
      </c>
      <c r="C10" s="41"/>
      <c r="D10" s="41"/>
      <c r="E10" s="41"/>
      <c r="F10" s="41"/>
      <c r="G10" s="41"/>
      <c r="H10" s="41"/>
      <c r="I10" s="41"/>
      <c r="J10" s="4"/>
      <c r="K10" s="4"/>
      <c r="L10" s="3"/>
      <c r="M10" s="3"/>
      <c r="N10" s="3"/>
    </row>
    <row r="11" spans="1:25" ht="20.25" customHeight="1" x14ac:dyDescent="0.25">
      <c r="B11" s="3">
        <v>7</v>
      </c>
      <c r="C11" s="41"/>
      <c r="D11" s="41"/>
      <c r="E11" s="41"/>
      <c r="F11" s="41"/>
      <c r="G11" s="41"/>
      <c r="H11" s="41"/>
      <c r="I11" s="41"/>
      <c r="J11" s="4"/>
      <c r="K11" s="4"/>
      <c r="L11" s="3"/>
      <c r="M11" s="3"/>
      <c r="N11" s="3"/>
    </row>
    <row r="12" spans="1:25" ht="20.25" customHeight="1" x14ac:dyDescent="0.25">
      <c r="B12" s="3">
        <v>8</v>
      </c>
      <c r="C12" s="41"/>
      <c r="D12" s="41"/>
      <c r="E12" s="41"/>
      <c r="F12" s="41"/>
      <c r="G12" s="41"/>
      <c r="H12" s="41"/>
      <c r="I12" s="41"/>
      <c r="J12" s="4"/>
      <c r="K12" s="4"/>
      <c r="L12" s="3"/>
      <c r="M12" s="3"/>
      <c r="N12" s="3"/>
    </row>
    <row r="13" spans="1:25" ht="20.25" customHeight="1" x14ac:dyDescent="0.25">
      <c r="B13" s="3">
        <v>9</v>
      </c>
      <c r="C13" s="41"/>
      <c r="D13" s="41"/>
      <c r="E13" s="41"/>
      <c r="F13" s="41"/>
      <c r="G13" s="41"/>
      <c r="H13" s="41"/>
      <c r="I13" s="41"/>
      <c r="J13" s="4"/>
      <c r="K13" s="4"/>
      <c r="L13" s="3"/>
      <c r="M13" s="3"/>
      <c r="N13" s="3"/>
    </row>
    <row r="14" spans="1:25" ht="20.25" customHeight="1" x14ac:dyDescent="0.25">
      <c r="B14" s="3">
        <v>10</v>
      </c>
      <c r="C14" s="41"/>
      <c r="D14" s="41"/>
      <c r="E14" s="41"/>
      <c r="F14" s="41"/>
      <c r="G14" s="41"/>
      <c r="H14" s="41"/>
      <c r="I14" s="41"/>
      <c r="J14" s="4"/>
      <c r="K14" s="4"/>
      <c r="L14" s="3"/>
      <c r="M14" s="3"/>
      <c r="N14" s="3"/>
    </row>
    <row r="15" spans="1:25" ht="20.25" customHeight="1" x14ac:dyDescent="0.25">
      <c r="B15" s="3">
        <v>11</v>
      </c>
      <c r="C15" s="41"/>
      <c r="D15" s="41"/>
      <c r="E15" s="41"/>
      <c r="F15" s="41"/>
      <c r="G15" s="41"/>
      <c r="H15" s="41"/>
      <c r="I15" s="41"/>
      <c r="J15" s="4"/>
      <c r="K15" s="4"/>
      <c r="L15" s="3"/>
      <c r="M15" s="3"/>
      <c r="N15" s="3"/>
    </row>
    <row r="16" spans="1:25" ht="20.25" customHeight="1" x14ac:dyDescent="0.25">
      <c r="B16" s="3">
        <v>12</v>
      </c>
      <c r="C16" s="41"/>
      <c r="D16" s="41"/>
      <c r="E16" s="41"/>
      <c r="F16" s="41"/>
      <c r="G16" s="41"/>
      <c r="H16" s="41"/>
      <c r="I16" s="41"/>
      <c r="J16" s="4"/>
      <c r="K16" s="4"/>
      <c r="L16" s="3"/>
      <c r="M16" s="3"/>
      <c r="N16" s="3"/>
    </row>
    <row r="17" spans="2:14" ht="20.25" customHeight="1" x14ac:dyDescent="0.25">
      <c r="B17" s="3">
        <v>13</v>
      </c>
      <c r="C17" s="41"/>
      <c r="D17" s="41"/>
      <c r="E17" s="41"/>
      <c r="F17" s="41"/>
      <c r="G17" s="41"/>
      <c r="H17" s="41"/>
      <c r="I17" s="41"/>
      <c r="J17" s="4"/>
      <c r="K17" s="4"/>
      <c r="L17" s="3"/>
      <c r="M17" s="3"/>
      <c r="N17" s="3"/>
    </row>
    <row r="18" spans="2:14" ht="20.25" customHeight="1" x14ac:dyDescent="0.25">
      <c r="B18" s="3">
        <v>14</v>
      </c>
      <c r="C18" s="41"/>
      <c r="D18" s="41"/>
      <c r="E18" s="41"/>
      <c r="F18" s="41"/>
      <c r="G18" s="41"/>
      <c r="H18" s="41"/>
      <c r="I18" s="41"/>
      <c r="J18" s="4"/>
      <c r="K18" s="4"/>
      <c r="L18" s="3"/>
      <c r="M18" s="3"/>
      <c r="N18" s="3"/>
    </row>
    <row r="19" spans="2:14" ht="20.25" customHeight="1" x14ac:dyDescent="0.25">
      <c r="B19" s="3">
        <v>15</v>
      </c>
      <c r="C19" s="41"/>
      <c r="D19" s="41"/>
      <c r="E19" s="41"/>
      <c r="F19" s="41"/>
      <c r="G19" s="41"/>
      <c r="H19" s="41"/>
      <c r="I19" s="41"/>
      <c r="J19" s="4"/>
      <c r="K19" s="4"/>
      <c r="L19" s="3"/>
      <c r="M19" s="3"/>
      <c r="N19" s="3"/>
    </row>
    <row r="20" spans="2:14" ht="20.25" customHeight="1" x14ac:dyDescent="0.25">
      <c r="B20" s="3">
        <v>16</v>
      </c>
      <c r="C20" s="41"/>
      <c r="D20" s="41"/>
      <c r="E20" s="41"/>
      <c r="F20" s="41"/>
      <c r="G20" s="41"/>
      <c r="H20" s="41"/>
      <c r="I20" s="41"/>
      <c r="J20" s="4"/>
      <c r="K20" s="4"/>
      <c r="L20" s="3"/>
      <c r="M20" s="3"/>
      <c r="N20" s="3"/>
    </row>
    <row r="21" spans="2:14" ht="20.25" customHeight="1" x14ac:dyDescent="0.25">
      <c r="B21" s="3">
        <v>17</v>
      </c>
      <c r="C21" s="41"/>
      <c r="D21" s="41"/>
      <c r="E21" s="41"/>
      <c r="F21" s="41"/>
      <c r="G21" s="41"/>
      <c r="H21" s="41"/>
      <c r="I21" s="41"/>
      <c r="J21" s="4"/>
      <c r="K21" s="4"/>
      <c r="L21" s="3"/>
      <c r="M21" s="3"/>
      <c r="N21" s="3"/>
    </row>
    <row r="22" spans="2:14" ht="20.25" customHeight="1" x14ac:dyDescent="0.25">
      <c r="B22" s="3">
        <v>18</v>
      </c>
      <c r="C22" s="41"/>
      <c r="D22" s="41"/>
      <c r="E22" s="41"/>
      <c r="F22" s="41"/>
      <c r="G22" s="41"/>
      <c r="H22" s="41"/>
      <c r="I22" s="41"/>
      <c r="J22" s="4"/>
      <c r="K22" s="4"/>
      <c r="L22" s="3"/>
      <c r="M22" s="3"/>
      <c r="N22" s="3"/>
    </row>
    <row r="23" spans="2:14" ht="20.25" customHeight="1" x14ac:dyDescent="0.25">
      <c r="B23" s="3">
        <v>19</v>
      </c>
      <c r="C23" s="41"/>
      <c r="D23" s="41"/>
      <c r="E23" s="41"/>
      <c r="F23" s="41"/>
      <c r="G23" s="41"/>
      <c r="H23" s="41"/>
      <c r="I23" s="41"/>
      <c r="J23" s="4"/>
      <c r="K23" s="4"/>
      <c r="L23" s="3"/>
      <c r="M23" s="3"/>
      <c r="N23" s="3"/>
    </row>
    <row r="24" spans="2:14" ht="20.25" customHeight="1" x14ac:dyDescent="0.25">
      <c r="B24" s="3">
        <v>20</v>
      </c>
      <c r="C24" s="41"/>
      <c r="D24" s="41"/>
      <c r="E24" s="41"/>
      <c r="F24" s="41"/>
      <c r="G24" s="41"/>
      <c r="H24" s="41"/>
      <c r="I24" s="41"/>
      <c r="J24" s="4"/>
      <c r="K24" s="4"/>
      <c r="L24" s="3"/>
      <c r="M24" s="3"/>
      <c r="N24" s="3"/>
    </row>
  </sheetData>
  <mergeCells count="48">
    <mergeCell ref="H6:I6"/>
    <mergeCell ref="Q4:R4"/>
    <mergeCell ref="L3:N3"/>
    <mergeCell ref="A1:T1"/>
    <mergeCell ref="C7:G7"/>
    <mergeCell ref="B3:B4"/>
    <mergeCell ref="H3:I4"/>
    <mergeCell ref="C3:G4"/>
    <mergeCell ref="J3:J4"/>
    <mergeCell ref="K3:K4"/>
    <mergeCell ref="C5:G5"/>
    <mergeCell ref="C6:G6"/>
    <mergeCell ref="H5:I5"/>
    <mergeCell ref="C8:G8"/>
    <mergeCell ref="C9:G9"/>
    <mergeCell ref="H7:I7"/>
    <mergeCell ref="H8:I8"/>
    <mergeCell ref="H9:I9"/>
    <mergeCell ref="C10:G10"/>
    <mergeCell ref="C11:G11"/>
    <mergeCell ref="C23:G23"/>
    <mergeCell ref="C24:G24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12:G12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12:I12"/>
  </mergeCells>
  <dataValidations count="2">
    <dataValidation type="list" allowBlank="1" showInputMessage="1" showErrorMessage="1" sqref="J5:J24">
      <formula1>$O$5:$O$6</formula1>
    </dataValidation>
    <dataValidation type="list" allowBlank="1" showInputMessage="1" showErrorMessage="1" sqref="H5:I24">
      <formula1>$R$5:$R$9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67"/>
  <sheetViews>
    <sheetView showGridLines="0" zoomScaleNormal="100" workbookViewId="0">
      <selection sqref="A1:O1"/>
    </sheetView>
  </sheetViews>
  <sheetFormatPr defaultRowHeight="15" x14ac:dyDescent="0.25"/>
  <cols>
    <col min="6" max="12" width="13.28515625" customWidth="1"/>
    <col min="13" max="13" width="14.7109375" customWidth="1"/>
    <col min="14" max="14" width="18.140625" customWidth="1"/>
    <col min="15" max="15" width="19.5703125" customWidth="1"/>
    <col min="16" max="20" width="11.85546875" customWidth="1"/>
    <col min="21" max="21" width="8.140625" customWidth="1"/>
    <col min="22" max="22" width="8.85546875" customWidth="1"/>
    <col min="23" max="27" width="11.85546875" customWidth="1"/>
    <col min="28" max="28" width="8" customWidth="1"/>
    <col min="29" max="29" width="8.85546875" customWidth="1"/>
    <col min="30" max="33" width="11.85546875" customWidth="1"/>
    <col min="34" max="34" width="8" customWidth="1"/>
    <col min="35" max="35" width="8.85546875" customWidth="1"/>
    <col min="36" max="37" width="11.85546875" customWidth="1"/>
    <col min="38" max="38" width="8.5703125" customWidth="1"/>
    <col min="39" max="39" width="8.85546875" customWidth="1"/>
    <col min="40" max="41" width="11.85546875" customWidth="1"/>
    <col min="42" max="42" width="8" customWidth="1"/>
    <col min="43" max="43" width="8.85546875" customWidth="1"/>
    <col min="44" max="44" width="11.85546875" customWidth="1"/>
    <col min="45" max="45" width="8" customWidth="1"/>
    <col min="46" max="46" width="8.85546875" customWidth="1"/>
    <col min="47" max="47" width="8.5703125" customWidth="1"/>
    <col min="48" max="48" width="8.85546875" customWidth="1"/>
    <col min="49" max="49" width="3.140625" customWidth="1"/>
    <col min="50" max="50" width="7" customWidth="1"/>
    <col min="51" max="56" width="11.85546875" bestFit="1" customWidth="1"/>
    <col min="57" max="57" width="10.28515625" bestFit="1" customWidth="1"/>
  </cols>
  <sheetData>
    <row r="1" spans="1:32" s="31" customFormat="1" ht="36" customHeight="1" x14ac:dyDescent="0.25">
      <c r="A1" s="39" t="s">
        <v>45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32"/>
      <c r="Q1" s="32"/>
      <c r="R1" s="32"/>
      <c r="S1" s="32"/>
      <c r="T1" s="32"/>
      <c r="U1" s="30"/>
      <c r="V1" s="30"/>
      <c r="W1" s="30"/>
      <c r="X1" s="30"/>
      <c r="Y1" s="30"/>
    </row>
    <row r="2" spans="1:32" s="2" customFormat="1" x14ac:dyDescent="0.25">
      <c r="Y2"/>
      <c r="Z2"/>
      <c r="AA2"/>
      <c r="AB2"/>
      <c r="AC2"/>
      <c r="AD2"/>
      <c r="AE2"/>
    </row>
    <row r="3" spans="1:32" ht="12.75" customHeight="1" x14ac:dyDescent="0.25">
      <c r="B3" s="51" t="s">
        <v>36</v>
      </c>
      <c r="C3" s="51"/>
      <c r="D3" s="51"/>
      <c r="E3" s="51"/>
      <c r="F3" s="51"/>
      <c r="G3" s="51"/>
      <c r="H3" s="51"/>
      <c r="I3" s="51"/>
      <c r="J3" s="51"/>
      <c r="K3" s="51"/>
      <c r="L3" s="51"/>
      <c r="N3" s="48" t="s">
        <v>38</v>
      </c>
      <c r="O3" s="48"/>
      <c r="P3" s="48"/>
      <c r="Q3" s="48"/>
      <c r="R3" s="48"/>
      <c r="S3" s="48"/>
      <c r="T3" s="48"/>
      <c r="U3" s="24"/>
      <c r="V3" s="24"/>
      <c r="W3" s="24"/>
      <c r="X3" s="20"/>
      <c r="Y3" s="20" t="s">
        <v>39</v>
      </c>
      <c r="Z3" s="20"/>
      <c r="AA3" s="20"/>
      <c r="AB3" s="20"/>
      <c r="AC3" s="20"/>
      <c r="AD3" s="20"/>
      <c r="AE3" s="20"/>
      <c r="AF3" s="20"/>
    </row>
    <row r="4" spans="1:32" ht="10.5" customHeight="1" x14ac:dyDescent="0.2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N4" s="49"/>
      <c r="O4" s="49"/>
      <c r="P4" s="49"/>
      <c r="Q4" s="49"/>
      <c r="R4" s="49"/>
      <c r="S4" s="49"/>
      <c r="T4" s="49"/>
      <c r="U4" s="25"/>
      <c r="V4" s="25"/>
      <c r="W4" s="25"/>
      <c r="X4" s="20"/>
      <c r="Y4" s="21" t="s">
        <v>21</v>
      </c>
      <c r="Z4" s="21" t="s">
        <v>22</v>
      </c>
      <c r="AA4" s="21" t="s">
        <v>23</v>
      </c>
      <c r="AB4" s="21" t="s">
        <v>24</v>
      </c>
      <c r="AC4" s="21" t="s">
        <v>25</v>
      </c>
      <c r="AD4" s="21" t="s">
        <v>26</v>
      </c>
      <c r="AE4" s="21" t="s">
        <v>27</v>
      </c>
      <c r="AF4" s="20"/>
    </row>
    <row r="5" spans="1:32" ht="15.75" thickBot="1" x14ac:dyDescent="0.3">
      <c r="B5" s="38"/>
      <c r="C5" s="63" t="s">
        <v>17</v>
      </c>
      <c r="D5" s="63"/>
      <c r="E5" s="63"/>
      <c r="F5" s="37" t="s">
        <v>21</v>
      </c>
      <c r="G5" s="37" t="s">
        <v>22</v>
      </c>
      <c r="H5" s="37" t="s">
        <v>23</v>
      </c>
      <c r="I5" s="37" t="s">
        <v>24</v>
      </c>
      <c r="J5" s="37" t="s">
        <v>25</v>
      </c>
      <c r="K5" s="37" t="s">
        <v>26</v>
      </c>
      <c r="L5" s="37" t="s">
        <v>27</v>
      </c>
      <c r="N5" s="47" t="s">
        <v>17</v>
      </c>
      <c r="O5" s="47"/>
      <c r="P5" s="47"/>
      <c r="Q5" s="34" t="s">
        <v>29</v>
      </c>
      <c r="R5" s="34" t="s">
        <v>31</v>
      </c>
      <c r="S5" s="34" t="s">
        <v>37</v>
      </c>
      <c r="T5" s="34" t="s">
        <v>33</v>
      </c>
      <c r="U5" s="25"/>
      <c r="V5" s="52" t="s">
        <v>28</v>
      </c>
      <c r="W5" s="52"/>
      <c r="X5" s="22" t="s">
        <v>29</v>
      </c>
      <c r="Y5" s="20">
        <f>COUNTIF($F$6:$F$25,"PE")</f>
        <v>0</v>
      </c>
      <c r="Z5" s="20">
        <f>COUNTIF($G$6:$G$25,"PE")</f>
        <v>0</v>
      </c>
      <c r="AA5" s="20">
        <f>COUNTIF($H$6:$H$25,"PE")</f>
        <v>0</v>
      </c>
      <c r="AB5" s="20">
        <f>COUNTIF($I$6:$I$25,"PE")</f>
        <v>0</v>
      </c>
      <c r="AC5" s="20">
        <f>COUNTIF($J$6:$J$25,"PE")</f>
        <v>0</v>
      </c>
      <c r="AD5" s="20">
        <f>COUNTIF($K$6:$K$25,"PE")</f>
        <v>0</v>
      </c>
      <c r="AE5" s="20">
        <f>COUNTIF($L$6:$L$25,"PE")</f>
        <v>0</v>
      </c>
      <c r="AF5" s="20">
        <f t="shared" ref="AF5:AF10" si="0">SUM(Y5:AE5)</f>
        <v>0</v>
      </c>
    </row>
    <row r="6" spans="1:32" x14ac:dyDescent="0.25">
      <c r="B6" s="58" t="s">
        <v>18</v>
      </c>
      <c r="C6" s="61">
        <f>Cadastro!C5</f>
        <v>0</v>
      </c>
      <c r="D6" s="62"/>
      <c r="E6" s="62"/>
      <c r="F6" s="35"/>
      <c r="G6" s="29"/>
      <c r="H6" s="29"/>
      <c r="I6" s="29"/>
      <c r="J6" s="29"/>
      <c r="K6" s="29"/>
      <c r="L6" s="36"/>
      <c r="N6" s="46">
        <f>Cadastro!C5</f>
        <v>0</v>
      </c>
      <c r="O6" s="46"/>
      <c r="P6" s="46"/>
      <c r="Q6" s="4">
        <f t="shared" ref="Q6:Q25" si="1">SUM(COUNTIF(F6:L6,"PE"),COUNTIF(F26:L26,"PE"),COUNTIF(F46:L46,"PE"))</f>
        <v>0</v>
      </c>
      <c r="R6" s="4">
        <f t="shared" ref="R6:R25" si="2">SUM(COUNTIF(F6:L6,"AU"),COUNTIF(F26:L26,"AU"),COUNTIF(F46:L46,"AU"))</f>
        <v>0</v>
      </c>
      <c r="S6" s="4">
        <f t="shared" ref="S6:S25" si="3">SUM(COUNTIF(F6:L6,"DE"),COUNTIF(F26:L26,"DE"),COUNTIF(F46:L46,"DE"))</f>
        <v>0</v>
      </c>
      <c r="T6" s="4">
        <f t="shared" ref="T6:T25" si="4">SUM(COUNTIF(F6:L6,"FE"),COUNTIF(F26:L26,"FE"),COUNTIF(F46:L46,"FE"))</f>
        <v>0</v>
      </c>
      <c r="U6" s="25"/>
      <c r="V6" s="26" t="s">
        <v>29</v>
      </c>
      <c r="W6" s="27" t="s">
        <v>30</v>
      </c>
      <c r="X6" s="22" t="s">
        <v>31</v>
      </c>
      <c r="Y6" s="20">
        <f>COUNTIF($F$6:$F$25,"AU")</f>
        <v>0</v>
      </c>
      <c r="Z6" s="20">
        <f>COUNTIF($G$6:$G$25,"AU")</f>
        <v>0</v>
      </c>
      <c r="AA6" s="20">
        <f>COUNTIF($H$6:$H$25,"AU")</f>
        <v>0</v>
      </c>
      <c r="AB6" s="20">
        <f>COUNTIF($I$6:$I$25,"AU")</f>
        <v>0</v>
      </c>
      <c r="AC6" s="20">
        <f>COUNTIF($J$6:$J$25,"AU")</f>
        <v>0</v>
      </c>
      <c r="AD6" s="20">
        <f>COUNTIF($K$6:$K$25,"AU")</f>
        <v>0</v>
      </c>
      <c r="AE6" s="20">
        <f>COUNTIF($L$6:$L$25,"AU")</f>
        <v>0</v>
      </c>
      <c r="AF6" s="20">
        <f t="shared" si="0"/>
        <v>0</v>
      </c>
    </row>
    <row r="7" spans="1:32" x14ac:dyDescent="0.25">
      <c r="B7" s="58"/>
      <c r="C7" s="53">
        <f>Cadastro!C6</f>
        <v>0</v>
      </c>
      <c r="D7" s="46"/>
      <c r="E7" s="46"/>
      <c r="F7" s="11"/>
      <c r="G7" s="4"/>
      <c r="H7" s="23"/>
      <c r="I7" s="23"/>
      <c r="J7" s="23"/>
      <c r="K7" s="23"/>
      <c r="L7" s="15"/>
      <c r="N7" s="46">
        <f>Cadastro!C6</f>
        <v>0</v>
      </c>
      <c r="O7" s="46"/>
      <c r="P7" s="46"/>
      <c r="Q7" s="4">
        <f t="shared" si="1"/>
        <v>0</v>
      </c>
      <c r="R7" s="4">
        <f t="shared" si="2"/>
        <v>0</v>
      </c>
      <c r="S7" s="4">
        <f t="shared" si="3"/>
        <v>0</v>
      </c>
      <c r="T7" s="4">
        <f t="shared" si="4"/>
        <v>0</v>
      </c>
      <c r="U7" s="25"/>
      <c r="V7" s="26" t="s">
        <v>31</v>
      </c>
      <c r="W7" s="27" t="s">
        <v>32</v>
      </c>
      <c r="X7" s="22" t="s">
        <v>35</v>
      </c>
      <c r="Y7" s="20">
        <f>COUNTIF($F$6:$F$25,"DS")</f>
        <v>0</v>
      </c>
      <c r="Z7" s="20">
        <f>COUNTIF($G$6:$G$25,"DS")</f>
        <v>0</v>
      </c>
      <c r="AA7" s="20">
        <f>COUNTIF($H$6:$H$25,"DS")</f>
        <v>0</v>
      </c>
      <c r="AB7" s="20">
        <f>COUNTIF($I$6:$I$25,"DS")</f>
        <v>0</v>
      </c>
      <c r="AC7" s="20">
        <f>COUNTIF($J$6:$J$25,"DS")</f>
        <v>0</v>
      </c>
      <c r="AD7" s="20">
        <f>COUNTIF($J$6:$J$25,"DS")</f>
        <v>0</v>
      </c>
      <c r="AE7" s="20">
        <f>COUNTIF($L$6:$L$25,"DS")</f>
        <v>0</v>
      </c>
      <c r="AF7" s="20">
        <f t="shared" si="0"/>
        <v>0</v>
      </c>
    </row>
    <row r="8" spans="1:32" x14ac:dyDescent="0.25">
      <c r="B8" s="58"/>
      <c r="C8" s="53">
        <f>Cadastro!C7</f>
        <v>0</v>
      </c>
      <c r="D8" s="46"/>
      <c r="E8" s="46"/>
      <c r="F8" s="11"/>
      <c r="G8" s="4"/>
      <c r="H8" s="23"/>
      <c r="I8" s="23"/>
      <c r="J8" s="23"/>
      <c r="K8" s="23"/>
      <c r="L8" s="15"/>
      <c r="N8" s="46">
        <f>Cadastro!C7</f>
        <v>0</v>
      </c>
      <c r="O8" s="46"/>
      <c r="P8" s="46"/>
      <c r="Q8" s="4">
        <f t="shared" si="1"/>
        <v>0</v>
      </c>
      <c r="R8" s="4">
        <f t="shared" si="2"/>
        <v>0</v>
      </c>
      <c r="S8" s="4">
        <f t="shared" si="3"/>
        <v>0</v>
      </c>
      <c r="T8" s="4">
        <f t="shared" si="4"/>
        <v>0</v>
      </c>
      <c r="U8" s="25"/>
      <c r="V8" s="26" t="s">
        <v>35</v>
      </c>
      <c r="W8" s="27" t="s">
        <v>42</v>
      </c>
      <c r="X8" s="22" t="s">
        <v>33</v>
      </c>
      <c r="Y8" s="20">
        <f>COUNTIF($F$6:$F$25,"FE")</f>
        <v>0</v>
      </c>
      <c r="Z8" s="20">
        <f>COUNTIF($G$6:$G$25,"FE")</f>
        <v>0</v>
      </c>
      <c r="AA8" s="20">
        <f>COUNTIF($H$6:$H$25,"FE")</f>
        <v>0</v>
      </c>
      <c r="AB8" s="20">
        <f>COUNTIF($I$6:$I$25,"FE")</f>
        <v>0</v>
      </c>
      <c r="AC8" s="20">
        <f>COUNTIF($J$6:$J$25,"FE")</f>
        <v>0</v>
      </c>
      <c r="AD8" s="20">
        <f>COUNTIF($J$6:$J$25,"FE")</f>
        <v>0</v>
      </c>
      <c r="AE8" s="20">
        <f>COUNTIF($L$6:$L$25,"FE")</f>
        <v>0</v>
      </c>
      <c r="AF8" s="20">
        <f t="shared" si="0"/>
        <v>0</v>
      </c>
    </row>
    <row r="9" spans="1:32" x14ac:dyDescent="0.25">
      <c r="B9" s="58"/>
      <c r="C9" s="53">
        <f>Cadastro!C8</f>
        <v>0</v>
      </c>
      <c r="D9" s="46"/>
      <c r="E9" s="46"/>
      <c r="F9" s="11"/>
      <c r="G9" s="4"/>
      <c r="H9" s="23"/>
      <c r="I9" s="23"/>
      <c r="J9" s="23"/>
      <c r="K9" s="23"/>
      <c r="L9" s="15"/>
      <c r="N9" s="46">
        <f>Cadastro!C8</f>
        <v>0</v>
      </c>
      <c r="O9" s="46"/>
      <c r="P9" s="46"/>
      <c r="Q9" s="4">
        <f t="shared" si="1"/>
        <v>0</v>
      </c>
      <c r="R9" s="4">
        <f t="shared" si="2"/>
        <v>0</v>
      </c>
      <c r="S9" s="4">
        <f t="shared" si="3"/>
        <v>0</v>
      </c>
      <c r="T9" s="4">
        <f t="shared" si="4"/>
        <v>0</v>
      </c>
      <c r="U9" s="25"/>
      <c r="V9" s="26" t="s">
        <v>33</v>
      </c>
      <c r="W9" s="27" t="s">
        <v>34</v>
      </c>
      <c r="X9" s="20"/>
      <c r="Y9" s="20" t="s">
        <v>40</v>
      </c>
      <c r="Z9" s="20"/>
      <c r="AA9" s="20"/>
      <c r="AB9" s="20"/>
      <c r="AC9" s="20"/>
      <c r="AD9" s="20"/>
      <c r="AE9" s="20"/>
      <c r="AF9" s="20">
        <f t="shared" si="0"/>
        <v>0</v>
      </c>
    </row>
    <row r="10" spans="1:32" x14ac:dyDescent="0.25">
      <c r="B10" s="58"/>
      <c r="C10" s="53">
        <f>Cadastro!C9</f>
        <v>0</v>
      </c>
      <c r="D10" s="46"/>
      <c r="E10" s="46"/>
      <c r="F10" s="11"/>
      <c r="G10" s="4"/>
      <c r="H10" s="4"/>
      <c r="I10" s="4"/>
      <c r="J10" s="4"/>
      <c r="K10" s="4"/>
      <c r="L10" s="15"/>
      <c r="N10" s="46">
        <f>Cadastro!C9</f>
        <v>0</v>
      </c>
      <c r="O10" s="46"/>
      <c r="P10" s="46"/>
      <c r="Q10" s="4">
        <f t="shared" si="1"/>
        <v>0</v>
      </c>
      <c r="R10" s="4">
        <f t="shared" si="2"/>
        <v>0</v>
      </c>
      <c r="S10" s="4">
        <f t="shared" si="3"/>
        <v>0</v>
      </c>
      <c r="T10" s="4">
        <f t="shared" si="4"/>
        <v>0</v>
      </c>
      <c r="U10" s="25"/>
      <c r="V10" s="25"/>
      <c r="W10" s="25"/>
      <c r="X10" s="20"/>
      <c r="Y10" s="21" t="s">
        <v>21</v>
      </c>
      <c r="Z10" s="21" t="s">
        <v>22</v>
      </c>
      <c r="AA10" s="21" t="s">
        <v>23</v>
      </c>
      <c r="AB10" s="21" t="s">
        <v>24</v>
      </c>
      <c r="AC10" s="21" t="s">
        <v>25</v>
      </c>
      <c r="AD10" s="21" t="s">
        <v>26</v>
      </c>
      <c r="AE10" s="21" t="s">
        <v>27</v>
      </c>
      <c r="AF10" s="20">
        <f t="shared" si="0"/>
        <v>0</v>
      </c>
    </row>
    <row r="11" spans="1:32" x14ac:dyDescent="0.25">
      <c r="B11" s="58"/>
      <c r="C11" s="53">
        <f>Cadastro!C10</f>
        <v>0</v>
      </c>
      <c r="D11" s="46"/>
      <c r="E11" s="46"/>
      <c r="F11" s="11"/>
      <c r="G11" s="4"/>
      <c r="H11" s="4"/>
      <c r="I11" s="4"/>
      <c r="J11" s="4"/>
      <c r="K11" s="4"/>
      <c r="L11" s="15"/>
      <c r="N11" s="46">
        <f>Cadastro!C10</f>
        <v>0</v>
      </c>
      <c r="O11" s="46"/>
      <c r="P11" s="46"/>
      <c r="Q11" s="4">
        <f t="shared" si="1"/>
        <v>0</v>
      </c>
      <c r="R11" s="4">
        <f t="shared" si="2"/>
        <v>0</v>
      </c>
      <c r="S11" s="4">
        <f t="shared" si="3"/>
        <v>0</v>
      </c>
      <c r="T11" s="4">
        <f t="shared" si="4"/>
        <v>0</v>
      </c>
      <c r="U11" s="24"/>
      <c r="V11" s="24"/>
      <c r="W11" s="24"/>
      <c r="X11" s="22" t="s">
        <v>29</v>
      </c>
      <c r="Y11" s="20">
        <f>COUNTIF($F$26:$F$45,"PE")</f>
        <v>0</v>
      </c>
      <c r="Z11" s="20">
        <f>COUNTIF($G$26:$G$45,"PE")</f>
        <v>0</v>
      </c>
      <c r="AA11" s="20">
        <f>COUNTIF($H$26:$H$45,"PE")</f>
        <v>0</v>
      </c>
      <c r="AB11" s="20">
        <f>COUNTIF($I$26:$I$45,"PE")</f>
        <v>0</v>
      </c>
      <c r="AC11" s="20">
        <f>COUNTIF($J$26:$J$45,"PE")</f>
        <v>0</v>
      </c>
      <c r="AD11" s="20">
        <f>COUNTIF($K$26:$K$45,"PE")</f>
        <v>0</v>
      </c>
      <c r="AE11" s="20">
        <f>COUNTIF($L$26:$L$45,"PE")</f>
        <v>0</v>
      </c>
      <c r="AF11" s="20">
        <f>SUM(Y11:AE11)</f>
        <v>0</v>
      </c>
    </row>
    <row r="12" spans="1:32" x14ac:dyDescent="0.25">
      <c r="B12" s="58"/>
      <c r="C12" s="53">
        <f>Cadastro!C11</f>
        <v>0</v>
      </c>
      <c r="D12" s="46"/>
      <c r="E12" s="46"/>
      <c r="F12" s="11"/>
      <c r="G12" s="4"/>
      <c r="H12" s="4"/>
      <c r="I12" s="4"/>
      <c r="J12" s="4"/>
      <c r="K12" s="4"/>
      <c r="L12" s="15"/>
      <c r="N12" s="46">
        <f>Cadastro!C11</f>
        <v>0</v>
      </c>
      <c r="O12" s="46"/>
      <c r="P12" s="46"/>
      <c r="Q12" s="4">
        <f t="shared" si="1"/>
        <v>0</v>
      </c>
      <c r="R12" s="4">
        <f t="shared" si="2"/>
        <v>0</v>
      </c>
      <c r="S12" s="4">
        <f t="shared" si="3"/>
        <v>0</v>
      </c>
      <c r="T12" s="4">
        <f t="shared" si="4"/>
        <v>0</v>
      </c>
      <c r="U12" s="24"/>
      <c r="V12" s="24"/>
      <c r="W12" s="24"/>
      <c r="X12" s="22" t="s">
        <v>31</v>
      </c>
      <c r="Y12" s="20">
        <f>COUNTIF($F$26:$F$45,"AU")</f>
        <v>0</v>
      </c>
      <c r="Z12" s="20">
        <f>COUNTIF($G$26:$G$45,"AU")</f>
        <v>0</v>
      </c>
      <c r="AA12" s="20">
        <f>COUNTIF($H$26:$H$45,"AU")</f>
        <v>0</v>
      </c>
      <c r="AB12" s="20">
        <f>COUNTIF($I$26:$I$45,"AU")</f>
        <v>0</v>
      </c>
      <c r="AC12" s="20">
        <f>COUNTIF($J$26:$J$45,"AU")</f>
        <v>0</v>
      </c>
      <c r="AD12" s="20">
        <f>COUNTIF($K$26:$K$45,"AU")</f>
        <v>0</v>
      </c>
      <c r="AE12" s="20">
        <f>COUNTIF($L$26:$L$45,"AU")</f>
        <v>0</v>
      </c>
      <c r="AF12" s="20">
        <f t="shared" ref="AF12:AF25" si="5">SUM(Y12:AE12)</f>
        <v>0</v>
      </c>
    </row>
    <row r="13" spans="1:32" x14ac:dyDescent="0.25">
      <c r="B13" s="58"/>
      <c r="C13" s="53">
        <f>Cadastro!C12</f>
        <v>0</v>
      </c>
      <c r="D13" s="46"/>
      <c r="E13" s="46"/>
      <c r="F13" s="11"/>
      <c r="G13" s="4"/>
      <c r="H13" s="4"/>
      <c r="I13" s="4"/>
      <c r="J13" s="4"/>
      <c r="K13" s="4"/>
      <c r="L13" s="15"/>
      <c r="N13" s="46">
        <f>Cadastro!C12</f>
        <v>0</v>
      </c>
      <c r="O13" s="46"/>
      <c r="P13" s="46"/>
      <c r="Q13" s="4">
        <f t="shared" si="1"/>
        <v>0</v>
      </c>
      <c r="R13" s="4">
        <f t="shared" si="2"/>
        <v>0</v>
      </c>
      <c r="S13" s="4">
        <f t="shared" si="3"/>
        <v>0</v>
      </c>
      <c r="T13" s="4">
        <f t="shared" si="4"/>
        <v>0</v>
      </c>
      <c r="U13" s="24"/>
      <c r="V13" s="24"/>
      <c r="W13" s="24"/>
      <c r="X13" s="22" t="s">
        <v>35</v>
      </c>
      <c r="Y13" s="20">
        <f>COUNTIF($F$26:$F$45,"DS")</f>
        <v>0</v>
      </c>
      <c r="Z13" s="20">
        <f>COUNTIF($G$26:$G$45,"DS")</f>
        <v>0</v>
      </c>
      <c r="AA13" s="20">
        <f>COUNTIF($H$26:$H$45,"DS")</f>
        <v>0</v>
      </c>
      <c r="AB13" s="20">
        <f>COUNTIF($I$26:$I$45,"DS")</f>
        <v>0</v>
      </c>
      <c r="AC13" s="20">
        <f>COUNTIF($J$26:$J$45,"DS")</f>
        <v>0</v>
      </c>
      <c r="AD13" s="20">
        <f>COUNTIF($K$26:$K$45,"DS")</f>
        <v>0</v>
      </c>
      <c r="AE13" s="20">
        <f>COUNTIF($L$26:$L$45,"DS")</f>
        <v>0</v>
      </c>
      <c r="AF13" s="20">
        <f t="shared" si="5"/>
        <v>0</v>
      </c>
    </row>
    <row r="14" spans="1:32" x14ac:dyDescent="0.25">
      <c r="B14" s="58"/>
      <c r="C14" s="53">
        <f>Cadastro!C13</f>
        <v>0</v>
      </c>
      <c r="D14" s="46"/>
      <c r="E14" s="46"/>
      <c r="F14" s="11"/>
      <c r="G14" s="4"/>
      <c r="H14" s="4"/>
      <c r="I14" s="4"/>
      <c r="J14" s="4"/>
      <c r="K14" s="4"/>
      <c r="L14" s="15"/>
      <c r="N14" s="46">
        <f>Cadastro!C13</f>
        <v>0</v>
      </c>
      <c r="O14" s="46"/>
      <c r="P14" s="46"/>
      <c r="Q14" s="4">
        <f t="shared" si="1"/>
        <v>0</v>
      </c>
      <c r="R14" s="4">
        <f t="shared" si="2"/>
        <v>0</v>
      </c>
      <c r="S14" s="4">
        <f t="shared" si="3"/>
        <v>0</v>
      </c>
      <c r="T14" s="4">
        <f t="shared" si="4"/>
        <v>0</v>
      </c>
      <c r="U14" s="24"/>
      <c r="V14" s="24"/>
      <c r="W14" s="24"/>
      <c r="X14" s="22" t="s">
        <v>33</v>
      </c>
      <c r="Y14" s="20">
        <f>COUNTIF($F$26:$F$45,"FE")</f>
        <v>0</v>
      </c>
      <c r="Z14" s="20">
        <f>COUNTIF($G$26:$G$45,"FE")</f>
        <v>0</v>
      </c>
      <c r="AA14" s="20">
        <f>COUNTIF($H$26:$H$45,"FE")</f>
        <v>0</v>
      </c>
      <c r="AB14" s="20">
        <f>COUNTIF($I$26:$I$45,"FE")</f>
        <v>0</v>
      </c>
      <c r="AC14" s="20">
        <f>COUNTIF($J$26:$J$45,"FE")</f>
        <v>0</v>
      </c>
      <c r="AD14" s="20">
        <f>COUNTIF($K$26:$K$45,"FE")</f>
        <v>0</v>
      </c>
      <c r="AE14" s="20">
        <f>COUNTIF($L$26:$L$45,"FE")</f>
        <v>0</v>
      </c>
      <c r="AF14" s="20">
        <f t="shared" si="5"/>
        <v>0</v>
      </c>
    </row>
    <row r="15" spans="1:32" x14ac:dyDescent="0.25">
      <c r="B15" s="58"/>
      <c r="C15" s="53">
        <f>Cadastro!C14</f>
        <v>0</v>
      </c>
      <c r="D15" s="46"/>
      <c r="E15" s="46"/>
      <c r="F15" s="11"/>
      <c r="G15" s="4"/>
      <c r="H15" s="4"/>
      <c r="I15" s="4"/>
      <c r="J15" s="4"/>
      <c r="K15" s="4"/>
      <c r="L15" s="15"/>
      <c r="N15" s="46">
        <f>Cadastro!C14</f>
        <v>0</v>
      </c>
      <c r="O15" s="46"/>
      <c r="P15" s="46"/>
      <c r="Q15" s="4">
        <f t="shared" si="1"/>
        <v>0</v>
      </c>
      <c r="R15" s="4">
        <f t="shared" si="2"/>
        <v>0</v>
      </c>
      <c r="S15" s="4">
        <f t="shared" si="3"/>
        <v>0</v>
      </c>
      <c r="T15" s="4">
        <f t="shared" si="4"/>
        <v>0</v>
      </c>
      <c r="U15" s="24"/>
      <c r="V15" s="24"/>
      <c r="W15" s="24"/>
      <c r="X15" s="20"/>
      <c r="Y15" s="20" t="s">
        <v>41</v>
      </c>
      <c r="Z15" s="20"/>
      <c r="AA15" s="20"/>
      <c r="AB15" s="20"/>
      <c r="AC15" s="20"/>
      <c r="AD15" s="20"/>
      <c r="AE15" s="20"/>
      <c r="AF15" s="20"/>
    </row>
    <row r="16" spans="1:32" x14ac:dyDescent="0.25">
      <c r="B16" s="58"/>
      <c r="C16" s="53">
        <f>Cadastro!C15</f>
        <v>0</v>
      </c>
      <c r="D16" s="46"/>
      <c r="E16" s="46"/>
      <c r="F16" s="11"/>
      <c r="G16" s="4"/>
      <c r="H16" s="4"/>
      <c r="I16" s="4"/>
      <c r="J16" s="4"/>
      <c r="K16" s="4"/>
      <c r="L16" s="15"/>
      <c r="N16" s="46">
        <f>Cadastro!C15</f>
        <v>0</v>
      </c>
      <c r="O16" s="46"/>
      <c r="P16" s="46"/>
      <c r="Q16" s="4">
        <f t="shared" si="1"/>
        <v>0</v>
      </c>
      <c r="R16" s="4">
        <f t="shared" si="2"/>
        <v>0</v>
      </c>
      <c r="S16" s="4">
        <f t="shared" si="3"/>
        <v>0</v>
      </c>
      <c r="T16" s="4">
        <f t="shared" si="4"/>
        <v>0</v>
      </c>
      <c r="U16" s="24"/>
      <c r="V16" s="24"/>
      <c r="W16" s="24"/>
      <c r="X16" s="20"/>
      <c r="Y16" s="21" t="s">
        <v>21</v>
      </c>
      <c r="Z16" s="21" t="s">
        <v>22</v>
      </c>
      <c r="AA16" s="21" t="s">
        <v>23</v>
      </c>
      <c r="AB16" s="21" t="s">
        <v>24</v>
      </c>
      <c r="AC16" s="21" t="s">
        <v>25</v>
      </c>
      <c r="AD16" s="21" t="s">
        <v>26</v>
      </c>
      <c r="AE16" s="21" t="s">
        <v>27</v>
      </c>
      <c r="AF16" s="20"/>
    </row>
    <row r="17" spans="2:32" x14ac:dyDescent="0.25">
      <c r="B17" s="58"/>
      <c r="C17" s="53">
        <f>Cadastro!C16</f>
        <v>0</v>
      </c>
      <c r="D17" s="46"/>
      <c r="E17" s="46"/>
      <c r="F17" s="11"/>
      <c r="G17" s="4"/>
      <c r="H17" s="4"/>
      <c r="I17" s="4"/>
      <c r="J17" s="4"/>
      <c r="K17" s="4"/>
      <c r="L17" s="15"/>
      <c r="N17" s="46">
        <f>Cadastro!C16</f>
        <v>0</v>
      </c>
      <c r="O17" s="46"/>
      <c r="P17" s="46"/>
      <c r="Q17" s="4">
        <f t="shared" si="1"/>
        <v>0</v>
      </c>
      <c r="R17" s="4">
        <f t="shared" si="2"/>
        <v>0</v>
      </c>
      <c r="S17" s="4">
        <f t="shared" si="3"/>
        <v>0</v>
      </c>
      <c r="T17" s="4">
        <f t="shared" si="4"/>
        <v>0</v>
      </c>
      <c r="U17" s="24"/>
      <c r="V17" s="24"/>
      <c r="W17" s="24"/>
      <c r="X17" s="22" t="s">
        <v>29</v>
      </c>
      <c r="Y17" s="20">
        <f>COUNTIF($F$46:$F$65,"PE")</f>
        <v>0</v>
      </c>
      <c r="Z17" s="20">
        <f>COUNTIF($G$46:$G$65,"PE")</f>
        <v>0</v>
      </c>
      <c r="AA17" s="20">
        <f>COUNTIF($H$46:$H$65,"PE")</f>
        <v>0</v>
      </c>
      <c r="AB17" s="20">
        <f>COUNTIF($I$46:$I$65,"PE")</f>
        <v>0</v>
      </c>
      <c r="AC17" s="20">
        <f>COUNTIF($I$46:$I$65,"PE")</f>
        <v>0</v>
      </c>
      <c r="AD17" s="20">
        <f>COUNTIF($K$46:$K$65,"PE")</f>
        <v>0</v>
      </c>
      <c r="AE17" s="20">
        <f>COUNTIF($L$46:$L$65,"PE")</f>
        <v>0</v>
      </c>
      <c r="AF17" s="20">
        <f t="shared" si="5"/>
        <v>0</v>
      </c>
    </row>
    <row r="18" spans="2:32" x14ac:dyDescent="0.25">
      <c r="B18" s="58"/>
      <c r="C18" s="53">
        <f>Cadastro!C17</f>
        <v>0</v>
      </c>
      <c r="D18" s="46"/>
      <c r="E18" s="46"/>
      <c r="F18" s="11"/>
      <c r="G18" s="4"/>
      <c r="H18" s="4"/>
      <c r="I18" s="4"/>
      <c r="J18" s="4"/>
      <c r="K18" s="4"/>
      <c r="L18" s="15"/>
      <c r="N18" s="46">
        <f>Cadastro!C17</f>
        <v>0</v>
      </c>
      <c r="O18" s="46"/>
      <c r="P18" s="46"/>
      <c r="Q18" s="4">
        <f t="shared" si="1"/>
        <v>0</v>
      </c>
      <c r="R18" s="4">
        <f t="shared" si="2"/>
        <v>0</v>
      </c>
      <c r="S18" s="4">
        <f t="shared" si="3"/>
        <v>0</v>
      </c>
      <c r="T18" s="4">
        <f t="shared" si="4"/>
        <v>0</v>
      </c>
      <c r="U18" s="24"/>
      <c r="V18" s="24"/>
      <c r="W18" s="24"/>
      <c r="X18" s="22" t="s">
        <v>31</v>
      </c>
      <c r="Y18" s="20">
        <f>COUNTIF($F$46:$F$65,"AU")</f>
        <v>0</v>
      </c>
      <c r="Z18" s="20">
        <f>COUNTIF($G$46:$G$65,"AU")</f>
        <v>0</v>
      </c>
      <c r="AA18" s="20">
        <f>COUNTIF($H$46:$H$65,"AU")</f>
        <v>0</v>
      </c>
      <c r="AB18" s="20">
        <f>COUNTIF($I$46:$I$65,"AU")</f>
        <v>0</v>
      </c>
      <c r="AC18" s="20">
        <f>COUNTIF($I$46:$I$65,"AU")</f>
        <v>0</v>
      </c>
      <c r="AD18" s="20">
        <f>COUNTIF($K$46:$K$65,"AU")</f>
        <v>0</v>
      </c>
      <c r="AE18" s="20">
        <f>COUNTIF($L$46:$L$65,"AU")</f>
        <v>0</v>
      </c>
      <c r="AF18" s="20">
        <f t="shared" si="5"/>
        <v>0</v>
      </c>
    </row>
    <row r="19" spans="2:32" x14ac:dyDescent="0.25">
      <c r="B19" s="58"/>
      <c r="C19" s="53">
        <f>Cadastro!C18</f>
        <v>0</v>
      </c>
      <c r="D19" s="46"/>
      <c r="E19" s="46"/>
      <c r="F19" s="11"/>
      <c r="G19" s="4"/>
      <c r="H19" s="4"/>
      <c r="I19" s="4"/>
      <c r="J19" s="4"/>
      <c r="K19" s="4"/>
      <c r="L19" s="15"/>
      <c r="N19" s="46">
        <f>Cadastro!C18</f>
        <v>0</v>
      </c>
      <c r="O19" s="46"/>
      <c r="P19" s="46"/>
      <c r="Q19" s="4">
        <f t="shared" si="1"/>
        <v>0</v>
      </c>
      <c r="R19" s="4">
        <f t="shared" si="2"/>
        <v>0</v>
      </c>
      <c r="S19" s="4">
        <f t="shared" si="3"/>
        <v>0</v>
      </c>
      <c r="T19" s="4">
        <f t="shared" si="4"/>
        <v>0</v>
      </c>
      <c r="U19" s="24"/>
      <c r="V19" s="24"/>
      <c r="W19" s="24"/>
      <c r="X19" s="22" t="s">
        <v>35</v>
      </c>
      <c r="Y19" s="20">
        <f>COUNTIF($F$46:$F$65,"DS")</f>
        <v>0</v>
      </c>
      <c r="Z19" s="20">
        <f>COUNTIF($G$46:$G$65,"DS")</f>
        <v>0</v>
      </c>
      <c r="AA19" s="20">
        <f>COUNTIF($H$46:$H$65,"DS")</f>
        <v>0</v>
      </c>
      <c r="AB19" s="20">
        <f>COUNTIF($I$46:$I$65,"DS")</f>
        <v>0</v>
      </c>
      <c r="AC19" s="20">
        <f>COUNTIF($I$46:$I$65,"DS")</f>
        <v>0</v>
      </c>
      <c r="AD19" s="20">
        <f>COUNTIF($K$46:$K$65,"DS")</f>
        <v>0</v>
      </c>
      <c r="AE19" s="20">
        <f>COUNTIF($L$46:$L$65,"DS")</f>
        <v>0</v>
      </c>
      <c r="AF19" s="20">
        <f t="shared" si="5"/>
        <v>0</v>
      </c>
    </row>
    <row r="20" spans="2:32" x14ac:dyDescent="0.25">
      <c r="B20" s="58"/>
      <c r="C20" s="53">
        <f>Cadastro!C19</f>
        <v>0</v>
      </c>
      <c r="D20" s="46"/>
      <c r="E20" s="46"/>
      <c r="F20" s="11"/>
      <c r="G20" s="4"/>
      <c r="H20" s="4"/>
      <c r="I20" s="4"/>
      <c r="J20" s="4"/>
      <c r="K20" s="4"/>
      <c r="L20" s="15"/>
      <c r="N20" s="46">
        <f>Cadastro!C19</f>
        <v>0</v>
      </c>
      <c r="O20" s="46"/>
      <c r="P20" s="46"/>
      <c r="Q20" s="4">
        <f t="shared" si="1"/>
        <v>0</v>
      </c>
      <c r="R20" s="4">
        <f t="shared" si="2"/>
        <v>0</v>
      </c>
      <c r="S20" s="4">
        <f t="shared" si="3"/>
        <v>0</v>
      </c>
      <c r="T20" s="4">
        <f t="shared" si="4"/>
        <v>0</v>
      </c>
      <c r="U20" s="24"/>
      <c r="V20" s="24"/>
      <c r="W20" s="24"/>
      <c r="X20" s="22" t="s">
        <v>33</v>
      </c>
      <c r="Y20" s="20">
        <f>COUNTIF($F$46:$F$65,"FE")</f>
        <v>0</v>
      </c>
      <c r="Z20" s="20">
        <f>COUNTIF($G$46:$G$65,"FE")</f>
        <v>0</v>
      </c>
      <c r="AA20" s="20">
        <f>COUNTIF($H$46:$H$65,"FE")</f>
        <v>0</v>
      </c>
      <c r="AB20" s="20">
        <f>COUNTIF($I$46:$I$65,"FE")</f>
        <v>0</v>
      </c>
      <c r="AC20" s="20">
        <f>COUNTIF($I$46:$I$65,"FE")</f>
        <v>0</v>
      </c>
      <c r="AD20" s="20">
        <f>COUNTIF($K$46:$K$65,"FE")</f>
        <v>0</v>
      </c>
      <c r="AE20" s="20">
        <f>COUNTIF($L$46:$L$65,"FE")</f>
        <v>0</v>
      </c>
      <c r="AF20" s="20">
        <f t="shared" si="5"/>
        <v>0</v>
      </c>
    </row>
    <row r="21" spans="2:32" x14ac:dyDescent="0.25">
      <c r="B21" s="58"/>
      <c r="C21" s="53">
        <f>Cadastro!C20</f>
        <v>0</v>
      </c>
      <c r="D21" s="46"/>
      <c r="E21" s="46"/>
      <c r="F21" s="11"/>
      <c r="G21" s="4"/>
      <c r="H21" s="4"/>
      <c r="I21" s="4"/>
      <c r="J21" s="4"/>
      <c r="K21" s="4"/>
      <c r="L21" s="15"/>
      <c r="N21" s="46">
        <f>Cadastro!C20</f>
        <v>0</v>
      </c>
      <c r="O21" s="46"/>
      <c r="P21" s="46"/>
      <c r="Q21" s="4">
        <f t="shared" si="1"/>
        <v>0</v>
      </c>
      <c r="R21" s="4">
        <f t="shared" si="2"/>
        <v>0</v>
      </c>
      <c r="S21" s="4">
        <f t="shared" si="3"/>
        <v>0</v>
      </c>
      <c r="T21" s="4">
        <f t="shared" si="4"/>
        <v>0</v>
      </c>
      <c r="U21" s="24"/>
      <c r="V21" s="24"/>
      <c r="W21" s="24"/>
      <c r="X21" s="20"/>
      <c r="Y21" s="21" t="s">
        <v>21</v>
      </c>
      <c r="Z21" s="21" t="s">
        <v>22</v>
      </c>
      <c r="AA21" s="21" t="s">
        <v>23</v>
      </c>
      <c r="AB21" s="21" t="s">
        <v>24</v>
      </c>
      <c r="AC21" s="21" t="s">
        <v>25</v>
      </c>
      <c r="AD21" s="21" t="s">
        <v>26</v>
      </c>
      <c r="AE21" s="21" t="s">
        <v>27</v>
      </c>
      <c r="AF21" s="20"/>
    </row>
    <row r="22" spans="2:32" x14ac:dyDescent="0.25">
      <c r="B22" s="58"/>
      <c r="C22" s="53">
        <f>Cadastro!C21</f>
        <v>0</v>
      </c>
      <c r="D22" s="46"/>
      <c r="E22" s="46"/>
      <c r="F22" s="11"/>
      <c r="G22" s="4"/>
      <c r="H22" s="4"/>
      <c r="I22" s="4"/>
      <c r="J22" s="4"/>
      <c r="K22" s="4"/>
      <c r="L22" s="15"/>
      <c r="N22" s="46">
        <f>Cadastro!C21</f>
        <v>0</v>
      </c>
      <c r="O22" s="46"/>
      <c r="P22" s="46"/>
      <c r="Q22" s="4">
        <f t="shared" si="1"/>
        <v>0</v>
      </c>
      <c r="R22" s="4">
        <f t="shared" si="2"/>
        <v>0</v>
      </c>
      <c r="S22" s="4">
        <f t="shared" si="3"/>
        <v>0</v>
      </c>
      <c r="T22" s="4">
        <f t="shared" si="4"/>
        <v>0</v>
      </c>
      <c r="U22" s="24"/>
      <c r="V22" s="24"/>
      <c r="W22" s="24"/>
      <c r="X22" s="22" t="s">
        <v>29</v>
      </c>
      <c r="Y22" s="20">
        <f>Y5+Y11+Y17</f>
        <v>0</v>
      </c>
      <c r="Z22" s="20">
        <f t="shared" ref="Z22:AE22" si="6">Z5+Z11+Z17</f>
        <v>0</v>
      </c>
      <c r="AA22" s="20">
        <f t="shared" si="6"/>
        <v>0</v>
      </c>
      <c r="AB22" s="20">
        <f t="shared" si="6"/>
        <v>0</v>
      </c>
      <c r="AC22" s="20">
        <f t="shared" si="6"/>
        <v>0</v>
      </c>
      <c r="AD22" s="20">
        <f t="shared" si="6"/>
        <v>0</v>
      </c>
      <c r="AE22" s="20">
        <f t="shared" si="6"/>
        <v>0</v>
      </c>
      <c r="AF22" s="20">
        <f t="shared" si="5"/>
        <v>0</v>
      </c>
    </row>
    <row r="23" spans="2:32" x14ac:dyDescent="0.25">
      <c r="B23" s="58"/>
      <c r="C23" s="53">
        <f>Cadastro!C22</f>
        <v>0</v>
      </c>
      <c r="D23" s="46"/>
      <c r="E23" s="46"/>
      <c r="F23" s="11"/>
      <c r="G23" s="4"/>
      <c r="H23" s="4"/>
      <c r="I23" s="4"/>
      <c r="J23" s="4"/>
      <c r="K23" s="4"/>
      <c r="L23" s="15"/>
      <c r="N23" s="46">
        <f>Cadastro!C22</f>
        <v>0</v>
      </c>
      <c r="O23" s="46"/>
      <c r="P23" s="46"/>
      <c r="Q23" s="4">
        <f t="shared" si="1"/>
        <v>0</v>
      </c>
      <c r="R23" s="4">
        <f t="shared" si="2"/>
        <v>0</v>
      </c>
      <c r="S23" s="4">
        <f t="shared" si="3"/>
        <v>0</v>
      </c>
      <c r="T23" s="4">
        <f t="shared" si="4"/>
        <v>0</v>
      </c>
      <c r="U23" s="24"/>
      <c r="V23" s="24"/>
      <c r="W23" s="24"/>
      <c r="X23" s="22" t="s">
        <v>31</v>
      </c>
      <c r="Y23" s="20">
        <f t="shared" ref="Y23:AE25" si="7">Y6+Y12+Y18</f>
        <v>0</v>
      </c>
      <c r="Z23" s="20">
        <f t="shared" si="7"/>
        <v>0</v>
      </c>
      <c r="AA23" s="20">
        <f t="shared" si="7"/>
        <v>0</v>
      </c>
      <c r="AB23" s="20">
        <f t="shared" si="7"/>
        <v>0</v>
      </c>
      <c r="AC23" s="20">
        <f t="shared" si="7"/>
        <v>0</v>
      </c>
      <c r="AD23" s="20">
        <f t="shared" si="7"/>
        <v>0</v>
      </c>
      <c r="AE23" s="20">
        <f t="shared" si="7"/>
        <v>0</v>
      </c>
      <c r="AF23" s="20">
        <f t="shared" si="5"/>
        <v>0</v>
      </c>
    </row>
    <row r="24" spans="2:32" x14ac:dyDescent="0.25">
      <c r="B24" s="58"/>
      <c r="C24" s="53">
        <f>Cadastro!C23</f>
        <v>0</v>
      </c>
      <c r="D24" s="46"/>
      <c r="E24" s="46"/>
      <c r="F24" s="11"/>
      <c r="G24" s="4"/>
      <c r="H24" s="4"/>
      <c r="I24" s="4"/>
      <c r="J24" s="4"/>
      <c r="K24" s="4"/>
      <c r="L24" s="15"/>
      <c r="N24" s="46">
        <f>Cadastro!C23</f>
        <v>0</v>
      </c>
      <c r="O24" s="46"/>
      <c r="P24" s="46"/>
      <c r="Q24" s="4">
        <f t="shared" si="1"/>
        <v>0</v>
      </c>
      <c r="R24" s="4">
        <f t="shared" si="2"/>
        <v>0</v>
      </c>
      <c r="S24" s="4">
        <f t="shared" si="3"/>
        <v>0</v>
      </c>
      <c r="T24" s="4">
        <f t="shared" si="4"/>
        <v>0</v>
      </c>
      <c r="U24" s="24"/>
      <c r="V24" s="24"/>
      <c r="W24" s="24"/>
      <c r="X24" s="22" t="s">
        <v>35</v>
      </c>
      <c r="Y24" s="20">
        <f t="shared" si="7"/>
        <v>0</v>
      </c>
      <c r="Z24" s="20">
        <f t="shared" si="7"/>
        <v>0</v>
      </c>
      <c r="AA24" s="20">
        <f t="shared" si="7"/>
        <v>0</v>
      </c>
      <c r="AB24" s="20">
        <f t="shared" si="7"/>
        <v>0</v>
      </c>
      <c r="AC24" s="20">
        <f t="shared" si="7"/>
        <v>0</v>
      </c>
      <c r="AD24" s="20">
        <f t="shared" si="7"/>
        <v>0</v>
      </c>
      <c r="AE24" s="20">
        <f t="shared" si="7"/>
        <v>0</v>
      </c>
      <c r="AF24" s="20">
        <f t="shared" si="5"/>
        <v>0</v>
      </c>
    </row>
    <row r="25" spans="2:32" ht="15.75" thickBot="1" x14ac:dyDescent="0.3">
      <c r="B25" s="59"/>
      <c r="C25" s="54">
        <f>Cadastro!C24</f>
        <v>0</v>
      </c>
      <c r="D25" s="55"/>
      <c r="E25" s="55"/>
      <c r="F25" s="16"/>
      <c r="G25" s="17"/>
      <c r="H25" s="17"/>
      <c r="I25" s="17"/>
      <c r="J25" s="17"/>
      <c r="K25" s="17"/>
      <c r="L25" s="18"/>
      <c r="N25" s="46">
        <f>Cadastro!C24</f>
        <v>0</v>
      </c>
      <c r="O25" s="46"/>
      <c r="P25" s="46"/>
      <c r="Q25" s="4">
        <f t="shared" si="1"/>
        <v>0</v>
      </c>
      <c r="R25" s="4">
        <f t="shared" si="2"/>
        <v>0</v>
      </c>
      <c r="S25" s="4">
        <f t="shared" si="3"/>
        <v>0</v>
      </c>
      <c r="T25" s="4">
        <f t="shared" si="4"/>
        <v>0</v>
      </c>
      <c r="U25" s="24"/>
      <c r="V25" s="24"/>
      <c r="W25" s="24"/>
      <c r="X25" s="22" t="s">
        <v>33</v>
      </c>
      <c r="Y25" s="20">
        <f t="shared" si="7"/>
        <v>0</v>
      </c>
      <c r="Z25" s="20">
        <f t="shared" si="7"/>
        <v>0</v>
      </c>
      <c r="AA25" s="20">
        <f t="shared" si="7"/>
        <v>0</v>
      </c>
      <c r="AB25" s="20">
        <f t="shared" si="7"/>
        <v>0</v>
      </c>
      <c r="AC25" s="20">
        <f t="shared" si="7"/>
        <v>0</v>
      </c>
      <c r="AD25" s="20">
        <f t="shared" si="7"/>
        <v>0</v>
      </c>
      <c r="AE25" s="20">
        <f t="shared" si="7"/>
        <v>0</v>
      </c>
      <c r="AF25" s="20">
        <f t="shared" si="5"/>
        <v>0</v>
      </c>
    </row>
    <row r="26" spans="2:32" x14ac:dyDescent="0.25">
      <c r="B26" s="60" t="s">
        <v>20</v>
      </c>
      <c r="C26" s="56">
        <f>Cadastro!C5</f>
        <v>0</v>
      </c>
      <c r="D26" s="57"/>
      <c r="E26" s="57"/>
      <c r="F26" s="12"/>
      <c r="G26" s="13"/>
      <c r="H26" s="13"/>
      <c r="I26" s="13"/>
      <c r="J26" s="13"/>
      <c r="K26" s="13"/>
      <c r="L26" s="14"/>
      <c r="U26" s="24"/>
      <c r="V26" s="24"/>
      <c r="W26" s="24"/>
      <c r="X26" s="20"/>
      <c r="Y26" s="20"/>
      <c r="Z26" s="20"/>
      <c r="AA26" s="20"/>
      <c r="AB26" s="20"/>
      <c r="AC26" s="20"/>
      <c r="AD26" s="20"/>
      <c r="AE26" s="20"/>
      <c r="AF26" s="20"/>
    </row>
    <row r="27" spans="2:32" x14ac:dyDescent="0.25">
      <c r="B27" s="58"/>
      <c r="C27" s="53">
        <f>Cadastro!C6</f>
        <v>0</v>
      </c>
      <c r="D27" s="46"/>
      <c r="E27" s="46"/>
      <c r="F27" s="11"/>
      <c r="G27" s="4"/>
      <c r="H27" s="4"/>
      <c r="I27" s="4"/>
      <c r="J27" s="4"/>
      <c r="K27" s="4"/>
      <c r="L27" s="15"/>
      <c r="X27" s="20"/>
      <c r="Y27" s="21" t="s">
        <v>29</v>
      </c>
      <c r="Z27" s="21" t="s">
        <v>31</v>
      </c>
      <c r="AA27" s="21" t="s">
        <v>35</v>
      </c>
      <c r="AB27" s="21" t="s">
        <v>33</v>
      </c>
      <c r="AC27" s="21"/>
      <c r="AD27" s="21"/>
      <c r="AE27" s="21"/>
      <c r="AF27" s="20"/>
    </row>
    <row r="28" spans="2:32" x14ac:dyDescent="0.25">
      <c r="B28" s="58"/>
      <c r="C28" s="53">
        <f>Cadastro!C7</f>
        <v>0</v>
      </c>
      <c r="D28" s="46"/>
      <c r="E28" s="46"/>
      <c r="F28" s="11"/>
      <c r="G28" s="4"/>
      <c r="H28" s="4"/>
      <c r="I28" s="4"/>
      <c r="J28" s="4"/>
      <c r="K28" s="4"/>
      <c r="L28" s="15"/>
      <c r="X28" s="20"/>
      <c r="Y28" s="20">
        <f>AF11+AF17+AF22</f>
        <v>0</v>
      </c>
      <c r="Z28" s="20">
        <f>AF12+AF18+AF23</f>
        <v>0</v>
      </c>
      <c r="AA28" s="20">
        <f>AF13+AF19+AF24</f>
        <v>0</v>
      </c>
      <c r="AB28" s="20">
        <f>AF14+AF20+AF25</f>
        <v>0</v>
      </c>
      <c r="AC28" s="20"/>
      <c r="AD28" s="20"/>
      <c r="AE28" s="20"/>
      <c r="AF28" s="20"/>
    </row>
    <row r="29" spans="2:32" x14ac:dyDescent="0.25">
      <c r="B29" s="58"/>
      <c r="C29" s="53">
        <f>Cadastro!C8</f>
        <v>0</v>
      </c>
      <c r="D29" s="46"/>
      <c r="E29" s="46"/>
      <c r="F29" s="11"/>
      <c r="G29" s="4"/>
      <c r="H29" s="4"/>
      <c r="I29" s="4"/>
      <c r="J29" s="4"/>
      <c r="K29" s="4"/>
      <c r="L29" s="15"/>
      <c r="X29" s="7"/>
      <c r="Y29" s="7"/>
      <c r="Z29" s="7"/>
      <c r="AA29" s="7"/>
      <c r="AB29" s="7"/>
      <c r="AC29" s="7"/>
      <c r="AD29" s="7"/>
      <c r="AE29" s="7"/>
      <c r="AF29" s="7"/>
    </row>
    <row r="30" spans="2:32" x14ac:dyDescent="0.25">
      <c r="B30" s="58"/>
      <c r="C30" s="53">
        <f>Cadastro!C9</f>
        <v>0</v>
      </c>
      <c r="D30" s="46"/>
      <c r="E30" s="46"/>
      <c r="F30" s="11"/>
      <c r="G30" s="4"/>
      <c r="H30" s="4"/>
      <c r="I30" s="4"/>
      <c r="J30" s="4"/>
      <c r="K30" s="4"/>
      <c r="L30" s="15"/>
      <c r="X30" s="7"/>
      <c r="Y30" s="7"/>
      <c r="Z30" s="7"/>
      <c r="AA30" s="7"/>
      <c r="AB30" s="7"/>
      <c r="AC30" s="7"/>
      <c r="AD30" s="7"/>
      <c r="AE30" s="7"/>
      <c r="AF30" s="7"/>
    </row>
    <row r="31" spans="2:32" x14ac:dyDescent="0.25">
      <c r="B31" s="58"/>
      <c r="C31" s="53">
        <f>Cadastro!C10</f>
        <v>0</v>
      </c>
      <c r="D31" s="46"/>
      <c r="E31" s="46"/>
      <c r="F31" s="11"/>
      <c r="G31" s="4"/>
      <c r="H31" s="4"/>
      <c r="I31" s="4"/>
      <c r="J31" s="4"/>
      <c r="K31" s="4"/>
      <c r="L31" s="15"/>
      <c r="X31" s="7"/>
      <c r="Y31" s="7"/>
      <c r="Z31" s="7"/>
      <c r="AA31" s="7"/>
      <c r="AB31" s="7"/>
      <c r="AC31" s="7"/>
      <c r="AD31" s="7"/>
      <c r="AE31" s="7"/>
      <c r="AF31" s="7"/>
    </row>
    <row r="32" spans="2:32" x14ac:dyDescent="0.25">
      <c r="B32" s="58"/>
      <c r="C32" s="53">
        <f>Cadastro!C11</f>
        <v>0</v>
      </c>
      <c r="D32" s="46"/>
      <c r="E32" s="46"/>
      <c r="F32" s="11"/>
      <c r="G32" s="4"/>
      <c r="H32" s="4"/>
      <c r="I32" s="4"/>
      <c r="J32" s="4"/>
      <c r="K32" s="4"/>
      <c r="L32" s="15"/>
      <c r="X32" s="7"/>
      <c r="Y32" s="7"/>
      <c r="Z32" s="7"/>
      <c r="AA32" s="7"/>
      <c r="AB32" s="7"/>
      <c r="AC32" s="7"/>
      <c r="AD32" s="7"/>
      <c r="AE32" s="7"/>
      <c r="AF32" s="7"/>
    </row>
    <row r="33" spans="2:57" x14ac:dyDescent="0.25">
      <c r="B33" s="58"/>
      <c r="C33" s="53">
        <f>Cadastro!C12</f>
        <v>0</v>
      </c>
      <c r="D33" s="46"/>
      <c r="E33" s="46"/>
      <c r="F33" s="11"/>
      <c r="G33" s="4"/>
      <c r="H33" s="4"/>
      <c r="I33" s="4"/>
      <c r="J33" s="4"/>
      <c r="K33" s="4"/>
      <c r="L33" s="15"/>
      <c r="X33" s="7"/>
      <c r="Y33" s="7"/>
      <c r="Z33" s="7"/>
      <c r="AA33" s="7"/>
      <c r="AB33" s="7"/>
      <c r="AC33" s="7"/>
      <c r="AD33" s="7"/>
      <c r="AE33" s="7"/>
      <c r="AF33" s="7"/>
    </row>
    <row r="34" spans="2:57" x14ac:dyDescent="0.25">
      <c r="B34" s="58"/>
      <c r="C34" s="53">
        <f>Cadastro!C13</f>
        <v>0</v>
      </c>
      <c r="D34" s="46"/>
      <c r="E34" s="46"/>
      <c r="F34" s="11"/>
      <c r="G34" s="4"/>
      <c r="H34" s="4"/>
      <c r="I34" s="4"/>
      <c r="J34" s="4"/>
      <c r="K34" s="4"/>
      <c r="L34" s="15"/>
      <c r="X34" s="7"/>
      <c r="Y34" s="28"/>
      <c r="Z34" s="28"/>
      <c r="AA34" s="28"/>
      <c r="AB34" s="28"/>
      <c r="AC34" s="28"/>
      <c r="AD34" s="28"/>
      <c r="AE34" s="28"/>
      <c r="AF34" s="7"/>
    </row>
    <row r="35" spans="2:57" x14ac:dyDescent="0.25">
      <c r="B35" s="58"/>
      <c r="C35" s="53">
        <f>Cadastro!C14</f>
        <v>0</v>
      </c>
      <c r="D35" s="46"/>
      <c r="E35" s="46"/>
      <c r="F35" s="11"/>
      <c r="G35" s="4"/>
      <c r="H35" s="4"/>
      <c r="I35" s="4"/>
      <c r="J35" s="4"/>
      <c r="K35" s="4"/>
      <c r="L35" s="15"/>
      <c r="O35" s="19"/>
      <c r="P35" s="19"/>
      <c r="Q35" s="19"/>
      <c r="R35" s="19"/>
      <c r="S35" s="19"/>
      <c r="T35" s="19"/>
      <c r="U35" s="19"/>
      <c r="V35" s="19"/>
      <c r="W35" s="19"/>
      <c r="X35" s="28"/>
      <c r="Y35" s="7"/>
      <c r="Z35" s="7"/>
      <c r="AA35" s="7"/>
      <c r="AB35" s="7"/>
      <c r="AC35" s="7"/>
      <c r="AD35" s="7"/>
      <c r="AE35" s="7"/>
      <c r="AF35" s="28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</row>
    <row r="36" spans="2:57" x14ac:dyDescent="0.25">
      <c r="B36" s="58"/>
      <c r="C36" s="53">
        <f>Cadastro!C15</f>
        <v>0</v>
      </c>
      <c r="D36" s="46"/>
      <c r="E36" s="46"/>
      <c r="F36" s="11"/>
      <c r="G36" s="4"/>
      <c r="H36" s="4"/>
      <c r="I36" s="4"/>
      <c r="J36" s="4"/>
      <c r="K36" s="4"/>
      <c r="L36" s="15"/>
      <c r="X36" s="7"/>
      <c r="Y36" s="7"/>
      <c r="Z36" s="7"/>
      <c r="AA36" s="7"/>
      <c r="AB36" s="7"/>
      <c r="AC36" s="7"/>
      <c r="AD36" s="7"/>
      <c r="AE36" s="7"/>
      <c r="AF36" s="7"/>
    </row>
    <row r="37" spans="2:57" x14ac:dyDescent="0.25">
      <c r="B37" s="58"/>
      <c r="C37" s="53">
        <f>Cadastro!C16</f>
        <v>0</v>
      </c>
      <c r="D37" s="46"/>
      <c r="E37" s="46"/>
      <c r="F37" s="11"/>
      <c r="G37" s="4"/>
      <c r="H37" s="4"/>
      <c r="I37" s="4"/>
      <c r="J37" s="4"/>
      <c r="K37" s="4"/>
      <c r="L37" s="15"/>
      <c r="X37" s="7"/>
      <c r="Y37" s="7"/>
      <c r="Z37" s="7"/>
      <c r="AA37" s="7"/>
      <c r="AB37" s="7"/>
      <c r="AC37" s="7"/>
      <c r="AD37" s="7"/>
      <c r="AE37" s="7"/>
      <c r="AF37" s="7"/>
    </row>
    <row r="38" spans="2:57" x14ac:dyDescent="0.25">
      <c r="B38" s="58"/>
      <c r="C38" s="53">
        <f>Cadastro!C17</f>
        <v>0</v>
      </c>
      <c r="D38" s="46"/>
      <c r="E38" s="46"/>
      <c r="F38" s="11"/>
      <c r="G38" s="4"/>
      <c r="H38" s="4"/>
      <c r="I38" s="4"/>
      <c r="J38" s="4"/>
      <c r="K38" s="4"/>
      <c r="L38" s="15"/>
      <c r="X38" s="7"/>
      <c r="Y38" s="7"/>
      <c r="Z38" s="7"/>
      <c r="AA38" s="7"/>
      <c r="AB38" s="7"/>
      <c r="AC38" s="7"/>
      <c r="AD38" s="7"/>
      <c r="AE38" s="7"/>
      <c r="AF38" s="7"/>
    </row>
    <row r="39" spans="2:57" x14ac:dyDescent="0.25">
      <c r="B39" s="58"/>
      <c r="C39" s="53">
        <f>Cadastro!C18</f>
        <v>0</v>
      </c>
      <c r="D39" s="46"/>
      <c r="E39" s="46"/>
      <c r="F39" s="11"/>
      <c r="G39" s="4"/>
      <c r="H39" s="4"/>
      <c r="I39" s="4"/>
      <c r="J39" s="4"/>
      <c r="K39" s="4"/>
      <c r="L39" s="15"/>
      <c r="X39" s="7"/>
      <c r="Y39" s="7"/>
      <c r="Z39" s="7"/>
      <c r="AA39" s="7"/>
      <c r="AB39" s="7"/>
      <c r="AC39" s="7"/>
      <c r="AD39" s="7"/>
      <c r="AE39" s="7"/>
      <c r="AF39" s="7"/>
    </row>
    <row r="40" spans="2:57" x14ac:dyDescent="0.25">
      <c r="B40" s="58"/>
      <c r="C40" s="53">
        <f>Cadastro!C19</f>
        <v>0</v>
      </c>
      <c r="D40" s="46"/>
      <c r="E40" s="46"/>
      <c r="F40" s="11"/>
      <c r="G40" s="4"/>
      <c r="H40" s="4"/>
      <c r="I40" s="4"/>
      <c r="J40" s="4"/>
      <c r="K40" s="4"/>
      <c r="L40" s="15"/>
      <c r="X40" s="7"/>
      <c r="Y40" s="7"/>
      <c r="Z40" s="7"/>
      <c r="AA40" s="7"/>
      <c r="AB40" s="7"/>
      <c r="AC40" s="7"/>
      <c r="AD40" s="7"/>
      <c r="AE40" s="7"/>
      <c r="AF40" s="7"/>
    </row>
    <row r="41" spans="2:57" x14ac:dyDescent="0.25">
      <c r="B41" s="58"/>
      <c r="C41" s="53">
        <f>Cadastro!C20</f>
        <v>0</v>
      </c>
      <c r="D41" s="46"/>
      <c r="E41" s="46"/>
      <c r="F41" s="11"/>
      <c r="G41" s="4"/>
      <c r="H41" s="4"/>
      <c r="I41" s="4"/>
      <c r="J41" s="4"/>
      <c r="K41" s="4"/>
      <c r="L41" s="15"/>
      <c r="X41" s="7"/>
      <c r="Y41" s="7"/>
      <c r="Z41" s="7"/>
      <c r="AA41" s="7"/>
      <c r="AB41" s="7"/>
      <c r="AC41" s="7"/>
      <c r="AD41" s="7"/>
      <c r="AE41" s="7"/>
      <c r="AF41" s="7"/>
    </row>
    <row r="42" spans="2:57" x14ac:dyDescent="0.25">
      <c r="B42" s="58"/>
      <c r="C42" s="53">
        <f>Cadastro!C21</f>
        <v>0</v>
      </c>
      <c r="D42" s="46"/>
      <c r="E42" s="46"/>
      <c r="F42" s="11"/>
      <c r="G42" s="4"/>
      <c r="H42" s="4"/>
      <c r="I42" s="4"/>
      <c r="J42" s="4"/>
      <c r="K42" s="4"/>
      <c r="L42" s="15"/>
      <c r="X42" s="7"/>
      <c r="Y42" s="7"/>
      <c r="Z42" s="7"/>
      <c r="AA42" s="7"/>
      <c r="AB42" s="7"/>
      <c r="AC42" s="7"/>
      <c r="AD42" s="7"/>
      <c r="AE42" s="7"/>
      <c r="AF42" s="7"/>
    </row>
    <row r="43" spans="2:57" x14ac:dyDescent="0.25">
      <c r="B43" s="58"/>
      <c r="C43" s="53">
        <f>Cadastro!C22</f>
        <v>0</v>
      </c>
      <c r="D43" s="46"/>
      <c r="E43" s="46"/>
      <c r="F43" s="11"/>
      <c r="G43" s="4"/>
      <c r="H43" s="4"/>
      <c r="I43" s="4"/>
      <c r="J43" s="4"/>
      <c r="K43" s="4"/>
      <c r="L43" s="15"/>
      <c r="X43" s="7"/>
      <c r="Y43" s="7"/>
      <c r="Z43" s="7"/>
      <c r="AA43" s="7"/>
      <c r="AB43" s="7"/>
      <c r="AC43" s="7"/>
      <c r="AD43" s="7"/>
      <c r="AE43" s="7"/>
      <c r="AF43" s="7"/>
    </row>
    <row r="44" spans="2:57" x14ac:dyDescent="0.25">
      <c r="B44" s="58"/>
      <c r="C44" s="53">
        <f>Cadastro!C23</f>
        <v>0</v>
      </c>
      <c r="D44" s="46"/>
      <c r="E44" s="46"/>
      <c r="F44" s="11"/>
      <c r="G44" s="4"/>
      <c r="H44" s="4"/>
      <c r="I44" s="4"/>
      <c r="J44" s="4"/>
      <c r="K44" s="4"/>
      <c r="L44" s="15"/>
      <c r="X44" s="7"/>
      <c r="Y44" s="7"/>
      <c r="Z44" s="7"/>
      <c r="AA44" s="7"/>
      <c r="AB44" s="7"/>
      <c r="AC44" s="7"/>
      <c r="AD44" s="7"/>
      <c r="AE44" s="7"/>
      <c r="AF44" s="7"/>
    </row>
    <row r="45" spans="2:57" ht="15.75" thickBot="1" x14ac:dyDescent="0.3">
      <c r="B45" s="59"/>
      <c r="C45" s="54">
        <f>Cadastro!C24</f>
        <v>0</v>
      </c>
      <c r="D45" s="55"/>
      <c r="E45" s="55"/>
      <c r="F45" s="16"/>
      <c r="G45" s="17"/>
      <c r="H45" s="17"/>
      <c r="I45" s="17"/>
      <c r="J45" s="17"/>
      <c r="K45" s="17"/>
      <c r="L45" s="18"/>
      <c r="X45" s="7"/>
      <c r="Y45" s="7"/>
      <c r="Z45" s="7"/>
      <c r="AA45" s="7"/>
      <c r="AB45" s="7"/>
      <c r="AC45" s="7"/>
      <c r="AD45" s="7"/>
      <c r="AE45" s="7"/>
      <c r="AF45" s="7"/>
    </row>
    <row r="46" spans="2:57" x14ac:dyDescent="0.25">
      <c r="B46" s="60" t="s">
        <v>19</v>
      </c>
      <c r="C46" s="56">
        <f>Cadastro!C5</f>
        <v>0</v>
      </c>
      <c r="D46" s="57"/>
      <c r="E46" s="57"/>
      <c r="F46" s="12"/>
      <c r="G46" s="13"/>
      <c r="H46" s="13"/>
      <c r="I46" s="13"/>
      <c r="J46" s="13"/>
      <c r="K46" s="13"/>
      <c r="L46" s="14"/>
      <c r="X46" s="7"/>
      <c r="Y46" s="7"/>
      <c r="Z46" s="7"/>
      <c r="AA46" s="7"/>
      <c r="AB46" s="7"/>
      <c r="AC46" s="7"/>
      <c r="AD46" s="7"/>
      <c r="AE46" s="7"/>
      <c r="AF46" s="7"/>
    </row>
    <row r="47" spans="2:57" x14ac:dyDescent="0.25">
      <c r="B47" s="58"/>
      <c r="C47" s="53">
        <f>Cadastro!C6</f>
        <v>0</v>
      </c>
      <c r="D47" s="46"/>
      <c r="E47" s="46"/>
      <c r="F47" s="11"/>
      <c r="G47" s="4"/>
      <c r="H47" s="4"/>
      <c r="I47" s="4"/>
      <c r="J47" s="4"/>
      <c r="K47" s="4"/>
      <c r="L47" s="15"/>
      <c r="X47" s="7"/>
      <c r="Y47" s="7"/>
      <c r="Z47" s="7"/>
      <c r="AA47" s="7"/>
      <c r="AB47" s="7"/>
      <c r="AC47" s="7"/>
      <c r="AD47" s="7"/>
      <c r="AE47" s="7"/>
      <c r="AF47" s="7"/>
    </row>
    <row r="48" spans="2:57" x14ac:dyDescent="0.25">
      <c r="B48" s="58"/>
      <c r="C48" s="53">
        <f>Cadastro!C7</f>
        <v>0</v>
      </c>
      <c r="D48" s="46"/>
      <c r="E48" s="46"/>
      <c r="F48" s="11"/>
      <c r="G48" s="4"/>
      <c r="H48" s="4"/>
      <c r="I48" s="4"/>
      <c r="J48" s="4"/>
      <c r="K48" s="4"/>
      <c r="L48" s="15"/>
      <c r="X48" s="7"/>
      <c r="Y48" s="7"/>
      <c r="Z48" s="7"/>
      <c r="AA48" s="7"/>
      <c r="AB48" s="7"/>
      <c r="AC48" s="7"/>
      <c r="AD48" s="7"/>
      <c r="AE48" s="7"/>
      <c r="AF48" s="7"/>
    </row>
    <row r="49" spans="2:32" x14ac:dyDescent="0.25">
      <c r="B49" s="58"/>
      <c r="C49" s="53">
        <f>Cadastro!C8</f>
        <v>0</v>
      </c>
      <c r="D49" s="46"/>
      <c r="E49" s="46"/>
      <c r="F49" s="11"/>
      <c r="G49" s="4"/>
      <c r="H49" s="4"/>
      <c r="I49" s="4"/>
      <c r="J49" s="4"/>
      <c r="K49" s="4"/>
      <c r="L49" s="15"/>
      <c r="X49" s="7"/>
      <c r="Y49" s="7"/>
      <c r="Z49" s="7"/>
      <c r="AA49" s="7"/>
      <c r="AB49" s="7"/>
      <c r="AC49" s="7"/>
      <c r="AD49" s="7"/>
      <c r="AE49" s="7"/>
      <c r="AF49" s="7"/>
    </row>
    <row r="50" spans="2:32" x14ac:dyDescent="0.25">
      <c r="B50" s="58"/>
      <c r="C50" s="53">
        <f>Cadastro!C9</f>
        <v>0</v>
      </c>
      <c r="D50" s="46"/>
      <c r="E50" s="46"/>
      <c r="F50" s="11"/>
      <c r="G50" s="4"/>
      <c r="H50" s="4"/>
      <c r="I50" s="4"/>
      <c r="J50" s="4"/>
      <c r="K50" s="4"/>
      <c r="L50" s="15"/>
      <c r="X50" s="7"/>
      <c r="Y50" s="7"/>
      <c r="Z50" s="7"/>
      <c r="AA50" s="7"/>
      <c r="AB50" s="7"/>
      <c r="AC50" s="7"/>
      <c r="AD50" s="7"/>
      <c r="AE50" s="7"/>
      <c r="AF50" s="7"/>
    </row>
    <row r="51" spans="2:32" x14ac:dyDescent="0.25">
      <c r="B51" s="58"/>
      <c r="C51" s="53">
        <f>Cadastro!C10</f>
        <v>0</v>
      </c>
      <c r="D51" s="46"/>
      <c r="E51" s="46"/>
      <c r="F51" s="11"/>
      <c r="G51" s="4"/>
      <c r="H51" s="4"/>
      <c r="I51" s="4"/>
      <c r="J51" s="4"/>
      <c r="K51" s="4"/>
      <c r="L51" s="15"/>
      <c r="X51" s="7"/>
      <c r="Y51" s="7"/>
      <c r="Z51" s="7"/>
      <c r="AA51" s="7"/>
      <c r="AB51" s="7"/>
      <c r="AC51" s="7"/>
      <c r="AD51" s="7"/>
      <c r="AE51" s="7"/>
      <c r="AF51" s="7"/>
    </row>
    <row r="52" spans="2:32" x14ac:dyDescent="0.25">
      <c r="B52" s="58"/>
      <c r="C52" s="53">
        <f>Cadastro!C11</f>
        <v>0</v>
      </c>
      <c r="D52" s="46"/>
      <c r="E52" s="46"/>
      <c r="F52" s="11"/>
      <c r="G52" s="4"/>
      <c r="H52" s="4"/>
      <c r="I52" s="4"/>
      <c r="J52" s="4"/>
      <c r="K52" s="4"/>
      <c r="L52" s="15"/>
      <c r="X52" s="7"/>
      <c r="Y52" s="7"/>
      <c r="Z52" s="7"/>
      <c r="AA52" s="7"/>
      <c r="AB52" s="7"/>
      <c r="AC52" s="7"/>
      <c r="AD52" s="7"/>
      <c r="AE52" s="7"/>
      <c r="AF52" s="7"/>
    </row>
    <row r="53" spans="2:32" x14ac:dyDescent="0.25">
      <c r="B53" s="58"/>
      <c r="C53" s="53">
        <f>Cadastro!C12</f>
        <v>0</v>
      </c>
      <c r="D53" s="46"/>
      <c r="E53" s="46"/>
      <c r="F53" s="11"/>
      <c r="G53" s="4"/>
      <c r="H53" s="4"/>
      <c r="I53" s="4"/>
      <c r="J53" s="4"/>
      <c r="K53" s="4"/>
      <c r="L53" s="15"/>
      <c r="X53" s="7"/>
      <c r="Y53" s="7"/>
      <c r="Z53" s="7"/>
      <c r="AA53" s="7"/>
      <c r="AB53" s="7"/>
      <c r="AC53" s="7"/>
      <c r="AD53" s="7"/>
      <c r="AE53" s="7"/>
      <c r="AF53" s="7"/>
    </row>
    <row r="54" spans="2:32" x14ac:dyDescent="0.25">
      <c r="B54" s="58"/>
      <c r="C54" s="53">
        <f>Cadastro!C13</f>
        <v>0</v>
      </c>
      <c r="D54" s="46"/>
      <c r="E54" s="46"/>
      <c r="F54" s="11"/>
      <c r="G54" s="4"/>
      <c r="H54" s="4"/>
      <c r="I54" s="4"/>
      <c r="J54" s="4"/>
      <c r="K54" s="4"/>
      <c r="L54" s="15"/>
      <c r="X54" s="7"/>
      <c r="Y54" s="7"/>
      <c r="Z54" s="7"/>
      <c r="AA54" s="7"/>
      <c r="AB54" s="7"/>
      <c r="AC54" s="7"/>
      <c r="AD54" s="7"/>
      <c r="AE54" s="7"/>
      <c r="AF54" s="7"/>
    </row>
    <row r="55" spans="2:32" x14ac:dyDescent="0.25">
      <c r="B55" s="58"/>
      <c r="C55" s="53">
        <f>Cadastro!C14</f>
        <v>0</v>
      </c>
      <c r="D55" s="46"/>
      <c r="E55" s="46"/>
      <c r="F55" s="11"/>
      <c r="G55" s="4"/>
      <c r="H55" s="4"/>
      <c r="I55" s="4"/>
      <c r="J55" s="4"/>
      <c r="K55" s="4"/>
      <c r="L55" s="15"/>
      <c r="X55" s="7"/>
      <c r="Y55" s="7"/>
      <c r="Z55" s="7"/>
      <c r="AA55" s="7"/>
      <c r="AB55" s="7"/>
      <c r="AC55" s="7"/>
      <c r="AD55" s="7"/>
      <c r="AE55" s="7"/>
      <c r="AF55" s="7"/>
    </row>
    <row r="56" spans="2:32" x14ac:dyDescent="0.25">
      <c r="B56" s="58"/>
      <c r="C56" s="53">
        <f>Cadastro!C15</f>
        <v>0</v>
      </c>
      <c r="D56" s="46"/>
      <c r="E56" s="46"/>
      <c r="F56" s="11"/>
      <c r="G56" s="4"/>
      <c r="H56" s="4"/>
      <c r="I56" s="4"/>
      <c r="J56" s="4"/>
      <c r="K56" s="4"/>
      <c r="L56" s="15"/>
      <c r="X56" s="7"/>
      <c r="Y56" s="7"/>
      <c r="Z56" s="7"/>
      <c r="AA56" s="7"/>
      <c r="AB56" s="7"/>
      <c r="AC56" s="7"/>
      <c r="AD56" s="7"/>
      <c r="AE56" s="7"/>
      <c r="AF56" s="7"/>
    </row>
    <row r="57" spans="2:32" x14ac:dyDescent="0.25">
      <c r="B57" s="58"/>
      <c r="C57" s="53">
        <f>Cadastro!C16</f>
        <v>0</v>
      </c>
      <c r="D57" s="46"/>
      <c r="E57" s="46"/>
      <c r="F57" s="11"/>
      <c r="G57" s="4"/>
      <c r="H57" s="4"/>
      <c r="I57" s="4"/>
      <c r="J57" s="4"/>
      <c r="K57" s="4"/>
      <c r="L57" s="15"/>
      <c r="X57" s="7"/>
      <c r="Y57" s="7"/>
      <c r="Z57" s="7"/>
      <c r="AA57" s="7"/>
      <c r="AB57" s="7"/>
      <c r="AC57" s="7"/>
      <c r="AD57" s="7"/>
      <c r="AE57" s="7"/>
      <c r="AF57" s="7"/>
    </row>
    <row r="58" spans="2:32" x14ac:dyDescent="0.25">
      <c r="B58" s="58"/>
      <c r="C58" s="53">
        <f>Cadastro!C17</f>
        <v>0</v>
      </c>
      <c r="D58" s="46"/>
      <c r="E58" s="46"/>
      <c r="F58" s="11"/>
      <c r="G58" s="4"/>
      <c r="H58" s="4"/>
      <c r="I58" s="4"/>
      <c r="J58" s="4"/>
      <c r="K58" s="4"/>
      <c r="L58" s="15"/>
      <c r="X58" s="7"/>
      <c r="Y58" s="7"/>
      <c r="Z58" s="7"/>
      <c r="AA58" s="7"/>
      <c r="AB58" s="7"/>
      <c r="AC58" s="7"/>
      <c r="AD58" s="7"/>
      <c r="AE58" s="7"/>
      <c r="AF58" s="7"/>
    </row>
    <row r="59" spans="2:32" x14ac:dyDescent="0.25">
      <c r="B59" s="58"/>
      <c r="C59" s="53">
        <f>Cadastro!C18</f>
        <v>0</v>
      </c>
      <c r="D59" s="46"/>
      <c r="E59" s="46"/>
      <c r="F59" s="11"/>
      <c r="G59" s="4"/>
      <c r="H59" s="4"/>
      <c r="I59" s="4"/>
      <c r="J59" s="4"/>
      <c r="K59" s="4"/>
      <c r="L59" s="15"/>
      <c r="X59" s="7"/>
      <c r="Y59" s="7"/>
      <c r="Z59" s="7"/>
      <c r="AA59" s="7"/>
      <c r="AB59" s="7"/>
      <c r="AC59" s="7"/>
      <c r="AD59" s="7"/>
      <c r="AE59" s="7"/>
      <c r="AF59" s="7"/>
    </row>
    <row r="60" spans="2:32" x14ac:dyDescent="0.25">
      <c r="B60" s="58"/>
      <c r="C60" s="53">
        <f>Cadastro!C19</f>
        <v>0</v>
      </c>
      <c r="D60" s="46"/>
      <c r="E60" s="46"/>
      <c r="F60" s="11"/>
      <c r="G60" s="4"/>
      <c r="H60" s="4"/>
      <c r="I60" s="4"/>
      <c r="J60" s="4"/>
      <c r="K60" s="4"/>
      <c r="L60" s="15"/>
    </row>
    <row r="61" spans="2:32" x14ac:dyDescent="0.25">
      <c r="B61" s="58"/>
      <c r="C61" s="53">
        <f>Cadastro!C20</f>
        <v>0</v>
      </c>
      <c r="D61" s="46"/>
      <c r="E61" s="46"/>
      <c r="F61" s="11"/>
      <c r="G61" s="4"/>
      <c r="H61" s="4"/>
      <c r="I61" s="4"/>
      <c r="J61" s="4"/>
      <c r="K61" s="4"/>
      <c r="L61" s="15"/>
    </row>
    <row r="62" spans="2:32" x14ac:dyDescent="0.25">
      <c r="B62" s="58"/>
      <c r="C62" s="53">
        <f>Cadastro!C21</f>
        <v>0</v>
      </c>
      <c r="D62" s="46"/>
      <c r="E62" s="46"/>
      <c r="F62" s="11"/>
      <c r="G62" s="4"/>
      <c r="H62" s="4"/>
      <c r="I62" s="4"/>
      <c r="J62" s="4"/>
      <c r="K62" s="4"/>
      <c r="L62" s="15"/>
    </row>
    <row r="63" spans="2:32" x14ac:dyDescent="0.25">
      <c r="B63" s="58"/>
      <c r="C63" s="53">
        <f>Cadastro!C22</f>
        <v>0</v>
      </c>
      <c r="D63" s="46"/>
      <c r="E63" s="46"/>
      <c r="F63" s="11"/>
      <c r="G63" s="4"/>
      <c r="H63" s="4"/>
      <c r="I63" s="4"/>
      <c r="J63" s="4"/>
      <c r="K63" s="4"/>
      <c r="L63" s="15"/>
    </row>
    <row r="64" spans="2:32" x14ac:dyDescent="0.25">
      <c r="B64" s="58"/>
      <c r="C64" s="53">
        <f>Cadastro!C23</f>
        <v>0</v>
      </c>
      <c r="D64" s="46"/>
      <c r="E64" s="46"/>
      <c r="F64" s="11"/>
      <c r="G64" s="4"/>
      <c r="H64" s="4"/>
      <c r="I64" s="4"/>
      <c r="J64" s="4"/>
      <c r="K64" s="4"/>
      <c r="L64" s="15"/>
    </row>
    <row r="65" spans="2:12" ht="15.75" thickBot="1" x14ac:dyDescent="0.3">
      <c r="B65" s="59"/>
      <c r="C65" s="54">
        <f>Cadastro!C24</f>
        <v>0</v>
      </c>
      <c r="D65" s="55"/>
      <c r="E65" s="55"/>
      <c r="F65" s="16"/>
      <c r="G65" s="17"/>
      <c r="H65" s="17"/>
      <c r="I65" s="17"/>
      <c r="J65" s="17"/>
      <c r="K65" s="17"/>
      <c r="L65" s="18"/>
    </row>
    <row r="66" spans="2:12" ht="3.75" customHeight="1" x14ac:dyDescent="0.25"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</row>
    <row r="67" spans="2:12" x14ac:dyDescent="0.2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</sheetData>
  <mergeCells count="90">
    <mergeCell ref="A1:O1"/>
    <mergeCell ref="C13:E13"/>
    <mergeCell ref="B6:B25"/>
    <mergeCell ref="B46:B65"/>
    <mergeCell ref="B26:B45"/>
    <mergeCell ref="C6:E6"/>
    <mergeCell ref="C7:E7"/>
    <mergeCell ref="C5:E5"/>
    <mergeCell ref="C8:E8"/>
    <mergeCell ref="C9:E9"/>
    <mergeCell ref="C10:E10"/>
    <mergeCell ref="C11:E11"/>
    <mergeCell ref="C12:E12"/>
    <mergeCell ref="C25:E25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6:E26"/>
    <mergeCell ref="C27:E27"/>
    <mergeCell ref="C28:E28"/>
    <mergeCell ref="C29:E29"/>
    <mergeCell ref="C30:E30"/>
    <mergeCell ref="C42:E42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53:E53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B66:L66"/>
    <mergeCell ref="B3:L4"/>
    <mergeCell ref="V5:W5"/>
    <mergeCell ref="C60:E60"/>
    <mergeCell ref="C61:E61"/>
    <mergeCell ref="C62:E62"/>
    <mergeCell ref="C63:E63"/>
    <mergeCell ref="C64:E64"/>
    <mergeCell ref="C65:E65"/>
    <mergeCell ref="C54:E54"/>
    <mergeCell ref="C55:E55"/>
    <mergeCell ref="C56:E56"/>
    <mergeCell ref="C57:E57"/>
    <mergeCell ref="C58:E58"/>
    <mergeCell ref="C59:E59"/>
    <mergeCell ref="N21:P21"/>
    <mergeCell ref="N22:P22"/>
    <mergeCell ref="N15:P15"/>
    <mergeCell ref="N16:P16"/>
    <mergeCell ref="N17:P17"/>
    <mergeCell ref="N18:P18"/>
    <mergeCell ref="N23:P23"/>
    <mergeCell ref="N24:P24"/>
    <mergeCell ref="N25:P25"/>
    <mergeCell ref="N5:P5"/>
    <mergeCell ref="N3:T4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9:P19"/>
    <mergeCell ref="N20:P20"/>
  </mergeCells>
  <conditionalFormatting sqref="C6:E65">
    <cfRule type="cellIs" dxfId="5" priority="9" operator="equal">
      <formula>0</formula>
    </cfRule>
  </conditionalFormatting>
  <conditionalFormatting sqref="F6:L65">
    <cfRule type="cellIs" dxfId="4" priority="2" operator="equal">
      <formula>"PE"</formula>
    </cfRule>
    <cfRule type="cellIs" dxfId="3" priority="3" operator="equal">
      <formula>"FE"</formula>
    </cfRule>
    <cfRule type="cellIs" dxfId="2" priority="4" operator="equal">
      <formula>"DS"</formula>
    </cfRule>
    <cfRule type="cellIs" dxfId="1" priority="5" operator="equal">
      <formula>"AU"</formula>
    </cfRule>
    <cfRule type="cellIs" priority="6" operator="equal">
      <formula>"PE"</formula>
    </cfRule>
  </conditionalFormatting>
  <conditionalFormatting sqref="N6:T25">
    <cfRule type="cellIs" dxfId="0" priority="1" operator="equal">
      <formula>0</formula>
    </cfRule>
  </conditionalFormatting>
  <dataValidations count="1">
    <dataValidation type="list" allowBlank="1" showInputMessage="1" showErrorMessage="1" sqref="F6:L65">
      <formula1>$V$6:$V$9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zoomScaleNormal="100" workbookViewId="0">
      <selection sqref="A1:U1"/>
    </sheetView>
  </sheetViews>
  <sheetFormatPr defaultRowHeight="15" x14ac:dyDescent="0.25"/>
  <sheetData>
    <row r="1" spans="1:25" s="31" customFormat="1" ht="36" customHeight="1" x14ac:dyDescent="0.25">
      <c r="A1" s="39" t="s">
        <v>46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30"/>
      <c r="W1" s="30"/>
      <c r="X1" s="30"/>
      <c r="Y1" s="30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Início</vt:lpstr>
      <vt:lpstr>Cadastro</vt:lpstr>
      <vt:lpstr>Escala</vt:lpstr>
      <vt:lpstr>Panorama Semanal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2013-11-08T18:38:26Z</dcterms:created>
  <dcterms:modified xsi:type="dcterms:W3CDTF">2014-07-22T16:02:36Z</dcterms:modified>
</cp:coreProperties>
</file>