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08-2018" sheetId="4" r:id="rId1"/>
    <sheet name="Plan1" sheetId="1" r:id="rId2"/>
    <sheet name="Plan2" sheetId="2" r:id="rId3"/>
    <sheet name="Plan3" sheetId="3" r:id="rId4"/>
  </sheets>
  <definedNames>
    <definedName name="_xlnm.Print_Area" localSheetId="0">'08-2018'!$A$1:$T$67</definedName>
  </definedNames>
  <calcPr calcId="145621"/>
</workbook>
</file>

<file path=xl/calcChain.xml><?xml version="1.0" encoding="utf-8"?>
<calcChain xmlns="http://schemas.openxmlformats.org/spreadsheetml/2006/main">
  <c r="A67" i="4" l="1"/>
  <c r="O41" i="4"/>
  <c r="A41" i="4"/>
  <c r="G63" i="4"/>
  <c r="A63" i="4"/>
  <c r="C59" i="4"/>
  <c r="C58" i="4"/>
  <c r="L67" i="4"/>
  <c r="I67" i="4"/>
  <c r="H50" i="4"/>
  <c r="B43" i="4"/>
  <c r="Q36" i="4"/>
  <c r="S13" i="4"/>
  <c r="R9" i="4"/>
  <c r="R43" i="4" s="1"/>
  <c r="W3" i="4"/>
  <c r="W4" i="4" s="1"/>
  <c r="S47" i="4" l="1"/>
  <c r="S25" i="4"/>
  <c r="Q23" i="4"/>
  <c r="Q57" i="4" s="1"/>
  <c r="S59" i="4" s="1"/>
</calcChain>
</file>

<file path=xl/comments1.xml><?xml version="1.0" encoding="utf-8"?>
<comments xmlns="http://schemas.openxmlformats.org/spreadsheetml/2006/main">
  <authors>
    <author>Windows User</author>
  </authors>
  <commentList>
    <comment ref="X2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informar valor cobrado</t>
        </r>
      </text>
    </comment>
  </commentList>
</comments>
</file>

<file path=xl/sharedStrings.xml><?xml version="1.0" encoding="utf-8"?>
<sst xmlns="http://schemas.openxmlformats.org/spreadsheetml/2006/main" count="115" uniqueCount="58">
  <si>
    <t>RECIBO DE PAGAMENTO A AUTÔNOMO - RPA</t>
  </si>
  <si>
    <t>N° DO RECIBO</t>
  </si>
  <si>
    <t>N° DO TALÃO</t>
  </si>
  <si>
    <t xml:space="preserve">      N° </t>
  </si>
  <si>
    <t>Valor Bruto</t>
  </si>
  <si>
    <t>INSS</t>
  </si>
  <si>
    <t>LÍQUIDO A RECEBER</t>
  </si>
  <si>
    <t xml:space="preserve">   NOME OU RAZÃO SOCIAL DA EMPRESA</t>
  </si>
  <si>
    <t>MATRÍCULA  (CGC ou INSS)</t>
  </si>
  <si>
    <t>RECEBI DA EMPRESA ACIMA IDENTIFICADA, PELA PRESTAÇÃO DOS SERVIÇOS</t>
  </si>
  <si>
    <t>Tabela de contribuição do INSS</t>
  </si>
  <si>
    <t>DE</t>
  </si>
  <si>
    <t>Colocação de piso brinquedoteca + elétrica</t>
  </si>
  <si>
    <t>, A   IMPORTÂNCIA   DE  R$</t>
  </si>
  <si>
    <t>(</t>
  </si>
  <si>
    <r>
      <t xml:space="preserve">), </t>
    </r>
    <r>
      <rPr>
        <sz val="8"/>
        <rFont val="Arial"/>
        <family val="2"/>
      </rPr>
      <t xml:space="preserve">     CONFORME</t>
    </r>
  </si>
  <si>
    <t>Salário</t>
  </si>
  <si>
    <t>Desconto</t>
  </si>
  <si>
    <t>Limite</t>
  </si>
  <si>
    <t>DISCRIMINATIVO ABAIXO:</t>
  </si>
  <si>
    <t>Autônomo recebimento de pessoa física</t>
  </si>
  <si>
    <t>SALÁRIO BASE</t>
  </si>
  <si>
    <t>TAXA</t>
  </si>
  <si>
    <t>VALOR MÁXIMO P/ REEMBOLSO</t>
  </si>
  <si>
    <t>ESPECIFICAÇÃO</t>
  </si>
  <si>
    <t>Autônomo recebimento de pessoa jurídica</t>
  </si>
  <si>
    <t>I VALOR DO SERVIÇO PRESTADO</t>
  </si>
  <si>
    <t>R$</t>
  </si>
  <si>
    <t>Contribuinte individual e facultativo</t>
  </si>
  <si>
    <t>.</t>
  </si>
  <si>
    <t>VCTO</t>
  </si>
  <si>
    <t>II</t>
  </si>
  <si>
    <t>SOMA</t>
  </si>
  <si>
    <t>CARRETEIRO (CÁLCULO DO VALOR DO REEMBOLSO)</t>
  </si>
  <si>
    <t>DESCONTOS</t>
  </si>
  <si>
    <t>Aplicar  10%  sobre  o  valor  da   mão-de-obra    (  11,71%  do  FRETE  ).                  O  resultado  corresponderá  ao  REEMBOLSO,  respeitando  como  limite                   máximo o valor registrado no campo SALDO.</t>
  </si>
  <si>
    <t>III IMP. RENDA</t>
  </si>
  <si>
    <t>NÚMERO  DE INSCRIÇÃO</t>
  </si>
  <si>
    <t>IV</t>
  </si>
  <si>
    <t>NO INSS:</t>
  </si>
  <si>
    <t>V</t>
  </si>
  <si>
    <t>ADTO. RPA</t>
  </si>
  <si>
    <t>NO CPF:</t>
  </si>
  <si>
    <t>TOTAL LÍQUIDO</t>
  </si>
  <si>
    <t>DOCUMENTO DE IDENTIDADE</t>
  </si>
  <si>
    <t>ASSINATURA</t>
  </si>
  <si>
    <t>NÚMERO</t>
  </si>
  <si>
    <t>ORGÃO EMISSOR</t>
  </si>
  <si>
    <t>SSP/RS</t>
  </si>
  <si>
    <t>NOME COMPLETO</t>
  </si>
  <si>
    <t>LOCALIDADE</t>
  </si>
  <si>
    <t>DATA</t>
  </si>
  <si>
    <t>PORTO ALEGRE</t>
  </si>
  <si>
    <t>xxxxxxxxxxxx</t>
  </si>
  <si>
    <t>xx.xxx.xxx/0001-xx</t>
  </si>
  <si>
    <t>xxx.xxx.xxx-xx</t>
  </si>
  <si>
    <t>xxx.xxx.xx.xx</t>
  </si>
  <si>
    <t>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</si>
</sst>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00"/>
    <numFmt numFmtId="166" formatCode="&quot;R$&quot;#,##0.00"/>
    <numFmt numFmtId="167" formatCode="dd/mm/yy;@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b/>
      <sz val="13.5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color rgb="FFFF0000"/>
      <name val="Arial"/>
      <family val="2"/>
    </font>
    <font>
      <sz val="7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164" fontId="4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0" xfId="1" applyFont="1"/>
    <xf numFmtId="4" fontId="1" fillId="2" borderId="5" xfId="1" applyNumberFormat="1" applyFill="1" applyBorder="1"/>
    <xf numFmtId="164" fontId="0" fillId="2" borderId="6" xfId="2" applyFont="1" applyFill="1" applyBorder="1"/>
    <xf numFmtId="164" fontId="0" fillId="2" borderId="7" xfId="2" applyFont="1" applyFill="1" applyBorder="1"/>
    <xf numFmtId="0" fontId="5" fillId="0" borderId="8" xfId="1" applyFont="1" applyBorder="1" applyAlignment="1">
      <alignment horizontal="right" vertical="center"/>
    </xf>
    <xf numFmtId="0" fontId="5" fillId="0" borderId="9" xfId="1" applyFont="1" applyBorder="1" applyAlignment="1">
      <alignment horizontal="right" vertical="center"/>
    </xf>
    <xf numFmtId="165" fontId="5" fillId="0" borderId="10" xfId="1" quotePrefix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" fillId="2" borderId="11" xfId="1" applyFill="1" applyBorder="1"/>
    <xf numFmtId="164" fontId="0" fillId="3" borderId="0" xfId="2" applyFont="1" applyFill="1" applyBorder="1"/>
    <xf numFmtId="164" fontId="6" fillId="2" borderId="0" xfId="2" applyFont="1" applyFill="1" applyBorder="1"/>
    <xf numFmtId="164" fontId="0" fillId="2" borderId="12" xfId="2" applyFont="1" applyFill="1" applyBorder="1"/>
    <xf numFmtId="0" fontId="5" fillId="0" borderId="13" xfId="1" applyFont="1" applyBorder="1" applyAlignment="1">
      <alignment horizontal="right" vertical="center"/>
    </xf>
    <xf numFmtId="0" fontId="5" fillId="0" borderId="0" xfId="1" applyFont="1" applyBorder="1" applyAlignment="1">
      <alignment horizontal="right" vertical="center"/>
    </xf>
    <xf numFmtId="165" fontId="5" fillId="0" borderId="1" xfId="1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4" fontId="0" fillId="2" borderId="0" xfId="2" applyFont="1" applyFill="1" applyBorder="1"/>
    <xf numFmtId="0" fontId="5" fillId="0" borderId="14" xfId="1" applyFont="1" applyBorder="1" applyAlignment="1">
      <alignment horizontal="right" vertical="center"/>
    </xf>
    <xf numFmtId="0" fontId="5" fillId="0" borderId="15" xfId="1" applyFont="1" applyBorder="1" applyAlignment="1">
      <alignment horizontal="right" vertical="center"/>
    </xf>
    <xf numFmtId="165" fontId="5" fillId="0" borderId="16" xfId="1" applyNumberFormat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64" fontId="0" fillId="4" borderId="0" xfId="2" applyFont="1" applyFill="1" applyBorder="1"/>
    <xf numFmtId="0" fontId="7" fillId="0" borderId="8" xfId="1" applyFont="1" applyBorder="1" applyAlignment="1">
      <alignment horizontal="left"/>
    </xf>
    <xf numFmtId="0" fontId="7" fillId="0" borderId="9" xfId="1" applyFont="1" applyBorder="1" applyAlignment="1">
      <alignment horizontal="left"/>
    </xf>
    <xf numFmtId="0" fontId="7" fillId="0" borderId="10" xfId="1" applyFont="1" applyBorder="1" applyAlignment="1">
      <alignment horizontal="left"/>
    </xf>
    <xf numFmtId="0" fontId="1" fillId="2" borderId="17" xfId="1" applyFill="1" applyBorder="1"/>
    <xf numFmtId="164" fontId="6" fillId="2" borderId="18" xfId="2" applyFont="1" applyFill="1" applyBorder="1"/>
    <xf numFmtId="164" fontId="0" fillId="2" borderId="19" xfId="2" applyFont="1" applyFill="1" applyBorder="1"/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1" fontId="6" fillId="0" borderId="2" xfId="1" applyNumberFormat="1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1" fontId="6" fillId="0" borderId="4" xfId="1" applyNumberFormat="1" applyFont="1" applyBorder="1" applyAlignment="1">
      <alignment horizontal="center"/>
    </xf>
    <xf numFmtId="0" fontId="1" fillId="0" borderId="0" xfId="1" applyFont="1"/>
    <xf numFmtId="0" fontId="3" fillId="0" borderId="9" xfId="1" applyFont="1" applyBorder="1" applyAlignment="1">
      <alignment horizontal="right"/>
    </xf>
    <xf numFmtId="0" fontId="8" fillId="4" borderId="20" xfId="1" applyFont="1" applyFill="1" applyBorder="1" applyAlignment="1">
      <alignment vertical="center"/>
    </xf>
    <xf numFmtId="0" fontId="1" fillId="4" borderId="21" xfId="1" applyFill="1" applyBorder="1"/>
    <xf numFmtId="0" fontId="1" fillId="4" borderId="22" xfId="1" applyFill="1" applyBorder="1"/>
    <xf numFmtId="0" fontId="3" fillId="0" borderId="0" xfId="1" applyFont="1"/>
    <xf numFmtId="0" fontId="9" fillId="0" borderId="23" xfId="1" applyNumberFormat="1" applyFont="1" applyBorder="1" applyAlignment="1">
      <alignment horizontal="center"/>
    </xf>
    <xf numFmtId="0" fontId="3" fillId="0" borderId="0" xfId="1" applyFont="1" applyBorder="1"/>
    <xf numFmtId="0" fontId="4" fillId="0" borderId="0" xfId="1" applyFont="1" applyBorder="1"/>
    <xf numFmtId="4" fontId="6" fillId="0" borderId="23" xfId="1" applyNumberFormat="1" applyFont="1" applyBorder="1" applyAlignment="1">
      <alignment horizontal="center"/>
    </xf>
    <xf numFmtId="0" fontId="1" fillId="4" borderId="24" xfId="1" applyFill="1" applyBorder="1"/>
    <xf numFmtId="0" fontId="1" fillId="4" borderId="0" xfId="1" applyFill="1" applyBorder="1"/>
    <xf numFmtId="0" fontId="1" fillId="4" borderId="25" xfId="1" applyFill="1" applyBorder="1"/>
    <xf numFmtId="0" fontId="4" fillId="0" borderId="0" xfId="1" applyFont="1" applyBorder="1" applyAlignment="1">
      <alignment horizontal="left"/>
    </xf>
    <xf numFmtId="0" fontId="9" fillId="2" borderId="23" xfId="1" applyFont="1" applyFill="1" applyBorder="1" applyAlignment="1">
      <alignment horizontal="left"/>
    </xf>
    <xf numFmtId="0" fontId="4" fillId="0" borderId="23" xfId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/>
    </xf>
    <xf numFmtId="0" fontId="1" fillId="4" borderId="24" xfId="1" applyFill="1" applyBorder="1" applyAlignment="1">
      <alignment vertical="center" wrapText="1"/>
    </xf>
    <xf numFmtId="0" fontId="1" fillId="4" borderId="0" xfId="1" applyFill="1" applyBorder="1" applyAlignment="1">
      <alignment vertical="center" wrapText="1"/>
    </xf>
    <xf numFmtId="0" fontId="4" fillId="4" borderId="24" xfId="1" applyFont="1" applyFill="1" applyBorder="1" applyAlignment="1">
      <alignment vertical="center" wrapText="1"/>
    </xf>
    <xf numFmtId="9" fontId="1" fillId="4" borderId="0" xfId="1" applyNumberFormat="1" applyFill="1" applyBorder="1" applyAlignment="1">
      <alignment vertical="center" wrapText="1"/>
    </xf>
    <xf numFmtId="0" fontId="4" fillId="0" borderId="2" xfId="1" quotePrefix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6" fontId="3" fillId="0" borderId="26" xfId="1" applyNumberFormat="1" applyFont="1" applyBorder="1" applyAlignment="1">
      <alignment horizontal="left"/>
    </xf>
    <xf numFmtId="4" fontId="4" fillId="0" borderId="0" xfId="1" applyNumberFormat="1" applyFont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166" fontId="3" fillId="0" borderId="26" xfId="1" applyNumberFormat="1" applyFont="1" applyBorder="1" applyAlignment="1">
      <alignment horizontal="center"/>
    </xf>
    <xf numFmtId="0" fontId="6" fillId="4" borderId="27" xfId="1" applyFont="1" applyFill="1" applyBorder="1"/>
    <xf numFmtId="0" fontId="1" fillId="4" borderId="28" xfId="1" applyFill="1" applyBorder="1"/>
    <xf numFmtId="0" fontId="1" fillId="4" borderId="29" xfId="1" applyFill="1" applyBorder="1"/>
    <xf numFmtId="166" fontId="4" fillId="0" borderId="2" xfId="1" applyNumberFormat="1" applyFont="1" applyBorder="1" applyAlignment="1">
      <alignment horizontal="left" vertical="center"/>
    </xf>
    <xf numFmtId="166" fontId="4" fillId="0" borderId="3" xfId="1" applyNumberFormat="1" applyFont="1" applyBorder="1" applyAlignment="1">
      <alignment horizontal="left" vertical="center"/>
    </xf>
    <xf numFmtId="166" fontId="4" fillId="0" borderId="4" xfId="1" applyNumberFormat="1" applyFont="1" applyBorder="1" applyAlignment="1">
      <alignment horizontal="left" vertical="center"/>
    </xf>
    <xf numFmtId="167" fontId="11" fillId="0" borderId="2" xfId="1" applyNumberFormat="1" applyFont="1" applyBorder="1" applyAlignment="1">
      <alignment horizontal="center" vertical="center"/>
    </xf>
    <xf numFmtId="167" fontId="11" fillId="0" borderId="3" xfId="1" applyNumberFormat="1" applyFont="1" applyBorder="1" applyAlignment="1">
      <alignment horizontal="center" vertical="center"/>
    </xf>
    <xf numFmtId="167" fontId="11" fillId="0" borderId="4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right"/>
    </xf>
    <xf numFmtId="4" fontId="6" fillId="0" borderId="30" xfId="1" applyNumberFormat="1" applyFont="1" applyBorder="1" applyAlignment="1">
      <alignment horizontal="center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4" fontId="4" fillId="0" borderId="0" xfId="1" applyNumberFormat="1" applyFont="1"/>
    <xf numFmtId="0" fontId="12" fillId="0" borderId="13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66" fontId="3" fillId="0" borderId="26" xfId="1" applyNumberFormat="1" applyFont="1" applyBorder="1" applyAlignment="1">
      <alignment horizontal="left"/>
    </xf>
    <xf numFmtId="4" fontId="6" fillId="0" borderId="23" xfId="1" quotePrefix="1" applyNumberFormat="1" applyFont="1" applyBorder="1" applyAlignment="1">
      <alignment horizontal="center"/>
    </xf>
    <xf numFmtId="0" fontId="12" fillId="0" borderId="1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4" fontId="4" fillId="0" borderId="0" xfId="1" applyNumberFormat="1" applyFont="1" applyBorder="1" applyAlignment="1">
      <alignment horizontal="center"/>
    </xf>
    <xf numFmtId="4" fontId="6" fillId="0" borderId="23" xfId="1" applyNumberFormat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4" fillId="0" borderId="2" xfId="1" applyFont="1" applyBorder="1"/>
    <xf numFmtId="0" fontId="3" fillId="0" borderId="3" xfId="1" applyFont="1" applyBorder="1"/>
    <xf numFmtId="3" fontId="6" fillId="0" borderId="3" xfId="1" quotePrefix="1" applyNumberFormat="1" applyFont="1" applyBorder="1" applyAlignment="1">
      <alignment horizontal="left"/>
    </xf>
    <xf numFmtId="0" fontId="6" fillId="0" borderId="3" xfId="1" applyFont="1" applyBorder="1" applyAlignment="1">
      <alignment horizontal="left"/>
    </xf>
    <xf numFmtId="0" fontId="6" fillId="0" borderId="4" xfId="1" applyFont="1" applyBorder="1" applyAlignment="1">
      <alignment horizontal="left"/>
    </xf>
    <xf numFmtId="4" fontId="4" fillId="0" borderId="30" xfId="1" applyNumberFormat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3" fontId="6" fillId="0" borderId="2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 vertical="top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A67"/>
  <sheetViews>
    <sheetView showGridLines="0" tabSelected="1" zoomScale="91" workbookViewId="0">
      <selection sqref="A1:T67"/>
    </sheetView>
  </sheetViews>
  <sheetFormatPr defaultColWidth="9.140625" defaultRowHeight="12.75" x14ac:dyDescent="0.2"/>
  <cols>
    <col min="1" max="1" width="2.140625" style="6" customWidth="1"/>
    <col min="2" max="2" width="6.85546875" style="6" customWidth="1"/>
    <col min="3" max="3" width="4.85546875" style="6" customWidth="1"/>
    <col min="4" max="4" width="1.85546875" style="6" customWidth="1"/>
    <col min="5" max="5" width="4.85546875" style="6" customWidth="1"/>
    <col min="6" max="6" width="2.85546875" style="6" customWidth="1"/>
    <col min="7" max="9" width="4.85546875" style="6" customWidth="1"/>
    <col min="10" max="10" width="9.42578125" style="6" customWidth="1"/>
    <col min="11" max="11" width="0.7109375" style="6" customWidth="1"/>
    <col min="12" max="12" width="3" style="6" customWidth="1"/>
    <col min="13" max="13" width="7.85546875" style="6" customWidth="1"/>
    <col min="14" max="14" width="5.7109375" style="6" customWidth="1"/>
    <col min="15" max="15" width="6.42578125" style="6" customWidth="1"/>
    <col min="16" max="16" width="2.28515625" style="6" customWidth="1"/>
    <col min="17" max="17" width="11.7109375" style="6" customWidth="1"/>
    <col min="18" max="18" width="2.28515625" style="6" customWidth="1"/>
    <col min="19" max="19" width="6.85546875" style="6" customWidth="1"/>
    <col min="20" max="20" width="5.85546875" style="6" customWidth="1"/>
    <col min="21" max="21" width="9.140625" style="6"/>
    <col min="22" max="22" width="30.7109375" style="6" customWidth="1"/>
    <col min="23" max="23" width="9.140625" style="6"/>
    <col min="24" max="24" width="21.140625" style="6" bestFit="1" customWidth="1"/>
    <col min="25" max="16384" width="9.140625" style="6"/>
  </cols>
  <sheetData>
    <row r="1" spans="1:27" ht="16.5" thickTop="1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 t="s">
        <v>1</v>
      </c>
      <c r="P1" s="4"/>
      <c r="Q1" s="5"/>
      <c r="R1" s="3" t="s">
        <v>2</v>
      </c>
      <c r="S1" s="4"/>
      <c r="T1" s="5"/>
      <c r="V1" s="7"/>
      <c r="W1" s="8"/>
      <c r="X1" s="8"/>
      <c r="Y1" s="9"/>
    </row>
    <row r="2" spans="1:27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10" t="s">
        <v>3</v>
      </c>
      <c r="P2" s="11"/>
      <c r="Q2" s="12">
        <v>5</v>
      </c>
      <c r="R2" s="13"/>
      <c r="S2" s="14"/>
      <c r="T2" s="15"/>
      <c r="V2" s="16"/>
      <c r="W2" s="17">
        <v>338</v>
      </c>
      <c r="X2" s="18" t="s">
        <v>4</v>
      </c>
      <c r="Y2" s="19"/>
    </row>
    <row r="3" spans="1:27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0"/>
      <c r="P3" s="21"/>
      <c r="Q3" s="22"/>
      <c r="R3" s="23"/>
      <c r="S3" s="24"/>
      <c r="T3" s="25"/>
      <c r="V3" s="16"/>
      <c r="W3" s="26">
        <f>IF((W2*W12)&gt;X12,X12,(W2*W12))</f>
        <v>37.18</v>
      </c>
      <c r="X3" s="18" t="s">
        <v>5</v>
      </c>
      <c r="Y3" s="19"/>
    </row>
    <row r="4" spans="1:27" ht="12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7"/>
      <c r="P4" s="28"/>
      <c r="Q4" s="29"/>
      <c r="R4" s="30"/>
      <c r="S4" s="31"/>
      <c r="T4" s="32"/>
      <c r="V4" s="16"/>
      <c r="W4" s="33">
        <f>W2-W3</f>
        <v>300.82</v>
      </c>
      <c r="X4" s="18" t="s">
        <v>6</v>
      </c>
      <c r="Y4" s="19"/>
    </row>
    <row r="5" spans="1:27" ht="4.5" customHeight="1" thickBot="1" x14ac:dyDescent="0.3">
      <c r="V5" s="16"/>
      <c r="W5" s="26"/>
      <c r="X5" s="18"/>
      <c r="Y5" s="19"/>
    </row>
    <row r="6" spans="1:27" ht="12" customHeight="1" thickBot="1" x14ac:dyDescent="0.3">
      <c r="A6" s="34" t="s">
        <v>7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" t="s">
        <v>8</v>
      </c>
      <c r="P6" s="4"/>
      <c r="Q6" s="4"/>
      <c r="R6" s="4"/>
      <c r="S6" s="4"/>
      <c r="T6" s="5"/>
      <c r="V6" s="37"/>
      <c r="W6" s="38"/>
      <c r="X6" s="38"/>
      <c r="Y6" s="39"/>
    </row>
    <row r="7" spans="1:27" ht="18" customHeight="1" thickBot="1" x14ac:dyDescent="0.25">
      <c r="A7" s="40" t="s">
        <v>53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  <c r="O7" s="43" t="s">
        <v>54</v>
      </c>
      <c r="P7" s="44"/>
      <c r="Q7" s="44"/>
      <c r="R7" s="44"/>
      <c r="S7" s="44"/>
      <c r="T7" s="45"/>
      <c r="X7" s="46"/>
    </row>
    <row r="8" spans="1:27" ht="17.25" x14ac:dyDescent="0.2">
      <c r="I8" s="47" t="s">
        <v>9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V8" s="48" t="s">
        <v>10</v>
      </c>
      <c r="W8" s="49"/>
      <c r="X8" s="49"/>
      <c r="Y8" s="49"/>
      <c r="Z8" s="49"/>
      <c r="AA8" s="50"/>
    </row>
    <row r="9" spans="1:27" ht="18.75" customHeight="1" x14ac:dyDescent="0.2">
      <c r="A9" s="51" t="s">
        <v>11</v>
      </c>
      <c r="B9" s="52" t="s">
        <v>12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 t="s">
        <v>13</v>
      </c>
      <c r="P9" s="54"/>
      <c r="Q9" s="54"/>
      <c r="R9" s="55">
        <f>W2</f>
        <v>338</v>
      </c>
      <c r="S9" s="55"/>
      <c r="T9" s="55"/>
      <c r="V9" s="56"/>
      <c r="W9" s="57"/>
      <c r="X9" s="57"/>
      <c r="Y9" s="57"/>
      <c r="Z9" s="57"/>
      <c r="AA9" s="58"/>
    </row>
    <row r="10" spans="1:27" ht="18" customHeight="1" x14ac:dyDescent="0.2">
      <c r="A10" s="59" t="s">
        <v>14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1"/>
      <c r="S10" s="62" t="s">
        <v>15</v>
      </c>
      <c r="T10" s="63"/>
      <c r="V10" s="64" t="s">
        <v>16</v>
      </c>
      <c r="W10" s="65" t="s">
        <v>17</v>
      </c>
      <c r="X10" s="65" t="s">
        <v>18</v>
      </c>
      <c r="Y10" s="57"/>
      <c r="Z10" s="57"/>
      <c r="AA10" s="58"/>
    </row>
    <row r="11" spans="1:27" ht="39" thickBot="1" x14ac:dyDescent="0.3">
      <c r="A11" s="51" t="s">
        <v>19</v>
      </c>
      <c r="V11" s="66" t="s">
        <v>20</v>
      </c>
      <c r="W11" s="67">
        <v>0.2</v>
      </c>
      <c r="X11" s="33">
        <v>1106.26</v>
      </c>
      <c r="Y11" s="57"/>
      <c r="Z11" s="57"/>
      <c r="AA11" s="58"/>
    </row>
    <row r="12" spans="1:27" ht="39" thickBot="1" x14ac:dyDescent="0.3">
      <c r="A12" s="3" t="s">
        <v>21</v>
      </c>
      <c r="B12" s="4"/>
      <c r="C12" s="4"/>
      <c r="D12" s="5"/>
      <c r="E12" s="3" t="s">
        <v>22</v>
      </c>
      <c r="F12" s="5"/>
      <c r="G12" s="3" t="s">
        <v>23</v>
      </c>
      <c r="H12" s="4"/>
      <c r="I12" s="4"/>
      <c r="J12" s="5"/>
      <c r="L12" s="51" t="s">
        <v>24</v>
      </c>
      <c r="M12" s="51"/>
      <c r="N12" s="51"/>
      <c r="O12" s="51"/>
      <c r="P12" s="51"/>
      <c r="Q12" s="51"/>
      <c r="R12" s="51"/>
      <c r="S12" s="53"/>
      <c r="T12" s="53"/>
      <c r="V12" s="66" t="s">
        <v>25</v>
      </c>
      <c r="W12" s="67">
        <v>0.11</v>
      </c>
      <c r="X12" s="33">
        <v>608.44000000000005</v>
      </c>
      <c r="Y12" s="57"/>
      <c r="Z12" s="57"/>
      <c r="AA12" s="58"/>
    </row>
    <row r="13" spans="1:27" ht="15.75" customHeight="1" thickBot="1" x14ac:dyDescent="0.3">
      <c r="A13" s="68"/>
      <c r="B13" s="69"/>
      <c r="C13" s="69"/>
      <c r="D13" s="69"/>
      <c r="E13" s="69"/>
      <c r="F13" s="69"/>
      <c r="G13" s="69"/>
      <c r="H13" s="69"/>
      <c r="I13" s="69"/>
      <c r="J13" s="70"/>
      <c r="L13" s="51" t="s">
        <v>26</v>
      </c>
      <c r="M13" s="51"/>
      <c r="N13" s="51"/>
      <c r="O13" s="51"/>
      <c r="P13" s="51"/>
      <c r="Q13" s="71"/>
      <c r="R13" s="51" t="s">
        <v>27</v>
      </c>
      <c r="S13" s="55">
        <f>R9</f>
        <v>338</v>
      </c>
      <c r="T13" s="55"/>
      <c r="V13" s="66" t="s">
        <v>28</v>
      </c>
      <c r="W13" s="67">
        <v>0.11</v>
      </c>
      <c r="X13" s="33">
        <v>103.07</v>
      </c>
      <c r="Y13" s="57"/>
      <c r="Z13" s="57"/>
      <c r="AA13" s="58"/>
    </row>
    <row r="14" spans="1:27" ht="4.5" customHeight="1" thickBot="1" x14ac:dyDescent="0.25">
      <c r="L14" s="51"/>
      <c r="M14" s="51"/>
      <c r="N14" s="51"/>
      <c r="O14" s="51"/>
      <c r="P14" s="51"/>
      <c r="Q14" s="51"/>
      <c r="R14" s="51"/>
      <c r="S14" s="72"/>
      <c r="T14" s="72"/>
      <c r="V14" s="66"/>
      <c r="W14" s="67"/>
      <c r="X14" s="57"/>
      <c r="Y14" s="57"/>
      <c r="Z14" s="57"/>
      <c r="AA14" s="58"/>
    </row>
    <row r="15" spans="1:27" ht="13.5" thickBot="1" x14ac:dyDescent="0.25">
      <c r="A15" s="3" t="s">
        <v>29</v>
      </c>
      <c r="B15" s="4"/>
      <c r="C15" s="4"/>
      <c r="D15" s="4"/>
      <c r="E15" s="4"/>
      <c r="F15" s="4"/>
      <c r="G15" s="4"/>
      <c r="H15" s="73" t="s">
        <v>30</v>
      </c>
      <c r="I15" s="74"/>
      <c r="J15" s="75"/>
      <c r="L15" s="51" t="s">
        <v>31</v>
      </c>
      <c r="M15" s="76"/>
      <c r="N15" s="76"/>
      <c r="O15" s="76"/>
      <c r="P15" s="76"/>
      <c r="Q15" s="76"/>
      <c r="R15" s="51" t="s">
        <v>27</v>
      </c>
      <c r="S15" s="55"/>
      <c r="T15" s="55"/>
      <c r="V15" s="77"/>
      <c r="W15" s="78"/>
      <c r="X15" s="78"/>
      <c r="Y15" s="78"/>
      <c r="Z15" s="78"/>
      <c r="AA15" s="79"/>
    </row>
    <row r="16" spans="1:27" ht="19.5" customHeight="1" thickBot="1" x14ac:dyDescent="0.25">
      <c r="A16" s="80"/>
      <c r="B16" s="81"/>
      <c r="C16" s="81"/>
      <c r="D16" s="81"/>
      <c r="E16" s="81"/>
      <c r="F16" s="81"/>
      <c r="G16" s="82"/>
      <c r="H16" s="83">
        <v>43313</v>
      </c>
      <c r="I16" s="84"/>
      <c r="J16" s="85"/>
      <c r="L16" s="51"/>
      <c r="M16" s="51"/>
      <c r="N16" s="51"/>
      <c r="O16" s="86" t="s">
        <v>32</v>
      </c>
      <c r="P16" s="86"/>
      <c r="Q16" s="71"/>
      <c r="R16" s="51" t="s">
        <v>27</v>
      </c>
      <c r="S16" s="87"/>
      <c r="T16" s="87"/>
      <c r="X16" s="46"/>
    </row>
    <row r="17" spans="1:24" ht="4.5" customHeight="1" thickBot="1" x14ac:dyDescent="0.25">
      <c r="L17" s="51"/>
      <c r="M17" s="51"/>
      <c r="N17" s="51"/>
      <c r="O17" s="51"/>
      <c r="P17" s="51"/>
      <c r="Q17" s="51"/>
      <c r="R17" s="51"/>
      <c r="S17" s="51"/>
      <c r="T17" s="51"/>
      <c r="X17" s="46"/>
    </row>
    <row r="18" spans="1:24" ht="13.5" thickBot="1" x14ac:dyDescent="0.25">
      <c r="A18" s="3" t="s">
        <v>33</v>
      </c>
      <c r="B18" s="4"/>
      <c r="C18" s="4"/>
      <c r="D18" s="4"/>
      <c r="E18" s="4"/>
      <c r="F18" s="4"/>
      <c r="G18" s="4"/>
      <c r="H18" s="4"/>
      <c r="I18" s="4"/>
      <c r="J18" s="5"/>
      <c r="L18" s="51" t="s">
        <v>34</v>
      </c>
      <c r="M18" s="51"/>
      <c r="N18" s="51"/>
      <c r="O18" s="51"/>
      <c r="P18" s="51"/>
      <c r="Q18" s="51"/>
      <c r="R18" s="51"/>
      <c r="S18" s="51"/>
      <c r="T18" s="51"/>
      <c r="X18" s="46"/>
    </row>
    <row r="19" spans="1:24" x14ac:dyDescent="0.2">
      <c r="A19" s="88" t="s">
        <v>35</v>
      </c>
      <c r="B19" s="89"/>
      <c r="C19" s="89"/>
      <c r="D19" s="89"/>
      <c r="E19" s="89"/>
      <c r="F19" s="89"/>
      <c r="G19" s="89"/>
      <c r="H19" s="89"/>
      <c r="I19" s="89"/>
      <c r="J19" s="90"/>
      <c r="L19" s="51"/>
      <c r="M19" s="51"/>
      <c r="N19" s="51"/>
      <c r="O19" s="51"/>
      <c r="P19" s="51"/>
      <c r="Q19" s="51"/>
      <c r="R19" s="51"/>
      <c r="S19" s="51"/>
      <c r="T19" s="51"/>
      <c r="U19" s="91"/>
      <c r="X19" s="46"/>
    </row>
    <row r="20" spans="1:24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4"/>
      <c r="L20" s="51" t="s">
        <v>36</v>
      </c>
      <c r="M20" s="51"/>
      <c r="N20" s="95"/>
      <c r="O20" s="95"/>
      <c r="P20" s="51" t="s">
        <v>27</v>
      </c>
      <c r="Q20" s="96">
        <v>0</v>
      </c>
      <c r="R20" s="51"/>
      <c r="S20" s="51"/>
      <c r="T20" s="51"/>
      <c r="U20" s="91"/>
      <c r="X20" s="46"/>
    </row>
    <row r="21" spans="1:24" ht="6.75" customHeight="1" thickBot="1" x14ac:dyDescent="0.25">
      <c r="A21" s="97"/>
      <c r="B21" s="98"/>
      <c r="C21" s="98"/>
      <c r="D21" s="98"/>
      <c r="E21" s="98"/>
      <c r="F21" s="98"/>
      <c r="G21" s="98"/>
      <c r="H21" s="98"/>
      <c r="I21" s="98"/>
      <c r="J21" s="99"/>
      <c r="L21" s="51"/>
      <c r="M21" s="51"/>
      <c r="N21" s="51"/>
      <c r="O21" s="51"/>
      <c r="P21" s="51"/>
      <c r="Q21" s="100"/>
      <c r="R21" s="51"/>
      <c r="S21" s="51"/>
      <c r="T21" s="51"/>
    </row>
    <row r="22" spans="1:24" ht="4.5" customHeight="1" thickBot="1" x14ac:dyDescent="0.25">
      <c r="L22" s="51"/>
      <c r="M22" s="51"/>
      <c r="N22" s="51"/>
      <c r="O22" s="51"/>
      <c r="P22" s="51"/>
      <c r="Q22" s="100"/>
      <c r="R22" s="51"/>
      <c r="S22" s="51"/>
      <c r="T22" s="51"/>
    </row>
    <row r="23" spans="1:24" ht="13.5" thickBot="1" x14ac:dyDescent="0.25">
      <c r="A23" s="3" t="s">
        <v>37</v>
      </c>
      <c r="B23" s="4"/>
      <c r="C23" s="4"/>
      <c r="D23" s="4"/>
      <c r="E23" s="4"/>
      <c r="F23" s="4"/>
      <c r="G23" s="4"/>
      <c r="H23" s="4"/>
      <c r="I23" s="4"/>
      <c r="J23" s="5"/>
      <c r="L23" s="51" t="s">
        <v>38</v>
      </c>
      <c r="M23" s="95" t="s">
        <v>5</v>
      </c>
      <c r="N23" s="95"/>
      <c r="O23" s="95"/>
      <c r="P23" s="51" t="s">
        <v>27</v>
      </c>
      <c r="Q23" s="101">
        <f>W3</f>
        <v>37.18</v>
      </c>
      <c r="R23" s="51"/>
      <c r="S23" s="102"/>
      <c r="T23" s="102"/>
    </row>
    <row r="24" spans="1:24" ht="20.25" customHeight="1" thickBot="1" x14ac:dyDescent="0.25">
      <c r="A24" s="103"/>
      <c r="B24" s="104" t="s">
        <v>39</v>
      </c>
      <c r="C24" s="105" t="s">
        <v>55</v>
      </c>
      <c r="D24" s="106"/>
      <c r="E24" s="106"/>
      <c r="F24" s="106"/>
      <c r="G24" s="106"/>
      <c r="H24" s="106"/>
      <c r="I24" s="106"/>
      <c r="J24" s="107"/>
      <c r="L24" s="51" t="s">
        <v>40</v>
      </c>
      <c r="M24" s="95" t="s">
        <v>41</v>
      </c>
      <c r="N24" s="95"/>
      <c r="O24" s="95"/>
      <c r="P24" s="51" t="s">
        <v>27</v>
      </c>
      <c r="Q24" s="101"/>
      <c r="R24" s="53" t="s">
        <v>27</v>
      </c>
      <c r="S24" s="55"/>
      <c r="T24" s="55"/>
      <c r="U24" s="54"/>
    </row>
    <row r="25" spans="1:24" ht="20.25" customHeight="1" thickBot="1" x14ac:dyDescent="0.25">
      <c r="A25" s="103"/>
      <c r="B25" s="104" t="s">
        <v>42</v>
      </c>
      <c r="C25" s="106" t="s">
        <v>55</v>
      </c>
      <c r="D25" s="106"/>
      <c r="E25" s="106"/>
      <c r="F25" s="106"/>
      <c r="G25" s="106"/>
      <c r="H25" s="106"/>
      <c r="I25" s="106"/>
      <c r="J25" s="107"/>
      <c r="L25" s="51"/>
      <c r="M25" s="51"/>
      <c r="N25" s="86" t="s">
        <v>43</v>
      </c>
      <c r="O25" s="86"/>
      <c r="P25" s="86"/>
      <c r="Q25" s="108"/>
      <c r="R25" s="53" t="s">
        <v>27</v>
      </c>
      <c r="S25" s="87">
        <f>S13-Q23</f>
        <v>300.82</v>
      </c>
      <c r="T25" s="87"/>
    </row>
    <row r="26" spans="1:24" ht="4.5" customHeight="1" thickBot="1" x14ac:dyDescent="0.25">
      <c r="L26" s="51"/>
      <c r="M26" s="51"/>
      <c r="N26" s="51"/>
      <c r="O26" s="51"/>
      <c r="P26" s="51"/>
      <c r="Q26" s="51"/>
      <c r="R26" s="51"/>
      <c r="S26" s="51"/>
      <c r="T26" s="51"/>
    </row>
    <row r="27" spans="1:24" ht="13.5" thickBot="1" x14ac:dyDescent="0.25">
      <c r="A27" s="3" t="s">
        <v>44</v>
      </c>
      <c r="B27" s="4"/>
      <c r="C27" s="4"/>
      <c r="D27" s="4"/>
      <c r="E27" s="4"/>
      <c r="F27" s="4"/>
      <c r="G27" s="4"/>
      <c r="H27" s="4"/>
      <c r="I27" s="4"/>
      <c r="J27" s="5"/>
      <c r="L27" s="51"/>
      <c r="M27" s="51"/>
      <c r="N27" s="51"/>
      <c r="O27" s="109" t="s">
        <v>45</v>
      </c>
      <c r="P27" s="109"/>
      <c r="Q27" s="109"/>
      <c r="R27" s="51"/>
      <c r="S27" s="51"/>
      <c r="T27" s="51"/>
    </row>
    <row r="28" spans="1:24" ht="13.5" thickBot="1" x14ac:dyDescent="0.25">
      <c r="A28" s="3" t="s">
        <v>46</v>
      </c>
      <c r="B28" s="4"/>
      <c r="C28" s="4"/>
      <c r="D28" s="4"/>
      <c r="E28" s="4"/>
      <c r="F28" s="5"/>
      <c r="G28" s="3" t="s">
        <v>47</v>
      </c>
      <c r="H28" s="4"/>
      <c r="I28" s="4"/>
      <c r="J28" s="5"/>
      <c r="L28" s="110"/>
      <c r="M28" s="111"/>
      <c r="N28" s="111"/>
      <c r="O28" s="109"/>
      <c r="P28" s="109"/>
      <c r="Q28" s="109"/>
      <c r="R28" s="111"/>
      <c r="S28" s="111"/>
      <c r="T28" s="112"/>
    </row>
    <row r="29" spans="1:24" ht="20.25" customHeight="1" thickBot="1" x14ac:dyDescent="0.25">
      <c r="A29" s="113" t="s">
        <v>56</v>
      </c>
      <c r="B29" s="114"/>
      <c r="C29" s="114"/>
      <c r="D29" s="114"/>
      <c r="E29" s="114"/>
      <c r="F29" s="115"/>
      <c r="G29" s="116" t="s">
        <v>48</v>
      </c>
      <c r="H29" s="114"/>
      <c r="I29" s="114"/>
      <c r="J29" s="115"/>
      <c r="L29" s="117"/>
      <c r="M29" s="118"/>
      <c r="N29" s="118"/>
      <c r="O29" s="118"/>
      <c r="P29" s="118"/>
      <c r="Q29" s="118"/>
      <c r="R29" s="118"/>
      <c r="S29" s="118"/>
      <c r="T29" s="119"/>
    </row>
    <row r="30" spans="1:24" ht="4.5" customHeight="1" x14ac:dyDescent="0.2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L30" s="53"/>
      <c r="M30" s="53"/>
      <c r="N30" s="53"/>
      <c r="O30" s="53"/>
      <c r="P30" s="53"/>
      <c r="Q30" s="53"/>
      <c r="R30" s="53"/>
      <c r="S30" s="53"/>
      <c r="T30" s="53"/>
    </row>
    <row r="31" spans="1:24" ht="4.5" customHeight="1" thickBot="1" x14ac:dyDescent="0.25">
      <c r="L31" s="51"/>
      <c r="M31" s="51"/>
      <c r="N31" s="51"/>
      <c r="O31" s="121" t="s">
        <v>49</v>
      </c>
      <c r="P31" s="121"/>
      <c r="Q31" s="121"/>
      <c r="R31" s="51"/>
      <c r="S31" s="51"/>
      <c r="T31" s="51"/>
    </row>
    <row r="32" spans="1:24" ht="13.5" thickBot="1" x14ac:dyDescent="0.25">
      <c r="A32" s="3" t="s">
        <v>50</v>
      </c>
      <c r="B32" s="4"/>
      <c r="C32" s="4"/>
      <c r="D32" s="4"/>
      <c r="E32" s="4"/>
      <c r="F32" s="4"/>
      <c r="G32" s="4"/>
      <c r="H32" s="5"/>
      <c r="I32" s="3" t="s">
        <v>51</v>
      </c>
      <c r="J32" s="5"/>
      <c r="L32" s="110"/>
      <c r="M32" s="111"/>
      <c r="N32" s="111"/>
      <c r="O32" s="121"/>
      <c r="P32" s="121"/>
      <c r="Q32" s="121"/>
      <c r="R32" s="111"/>
      <c r="S32" s="111"/>
      <c r="T32" s="112"/>
    </row>
    <row r="33" spans="1:20" ht="20.25" customHeight="1" thickBot="1" x14ac:dyDescent="0.25">
      <c r="A33" s="122" t="s">
        <v>52</v>
      </c>
      <c r="B33" s="123"/>
      <c r="C33" s="123"/>
      <c r="D33" s="123"/>
      <c r="E33" s="123"/>
      <c r="F33" s="123"/>
      <c r="G33" s="123"/>
      <c r="H33" s="124"/>
      <c r="I33" s="125">
        <v>43313</v>
      </c>
      <c r="J33" s="124"/>
      <c r="L33" s="126" t="s">
        <v>57</v>
      </c>
      <c r="M33" s="127"/>
      <c r="N33" s="127"/>
      <c r="O33" s="127"/>
      <c r="P33" s="127"/>
      <c r="Q33" s="127"/>
      <c r="R33" s="127"/>
      <c r="S33" s="127"/>
      <c r="T33" s="128"/>
    </row>
    <row r="34" spans="1:20" ht="13.5" customHeight="1" thickBot="1" x14ac:dyDescent="0.25"/>
    <row r="35" spans="1:20" ht="13.5" customHeight="1" thickBot="1" x14ac:dyDescent="0.25">
      <c r="A35" s="1" t="s">
        <v>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3" t="s">
        <v>1</v>
      </c>
      <c r="P35" s="4"/>
      <c r="Q35" s="5"/>
      <c r="R35" s="3" t="s">
        <v>2</v>
      </c>
      <c r="S35" s="4"/>
      <c r="T35" s="5"/>
    </row>
    <row r="36" spans="1:20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  <c r="O36" s="10" t="s">
        <v>3</v>
      </c>
      <c r="P36" s="11"/>
      <c r="Q36" s="12">
        <f>Q2</f>
        <v>5</v>
      </c>
      <c r="R36" s="13"/>
      <c r="S36" s="14"/>
      <c r="T36" s="15"/>
    </row>
    <row r="37" spans="1:20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"/>
      <c r="O37" s="20"/>
      <c r="P37" s="21"/>
      <c r="Q37" s="22"/>
      <c r="R37" s="23"/>
      <c r="S37" s="24"/>
      <c r="T37" s="25"/>
    </row>
    <row r="38" spans="1:20" ht="13.5" customHeight="1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  <c r="O38" s="27"/>
      <c r="P38" s="28"/>
      <c r="Q38" s="29"/>
      <c r="R38" s="30"/>
      <c r="S38" s="31"/>
      <c r="T38" s="32"/>
    </row>
    <row r="39" spans="1:20" ht="13.5" thickBot="1" x14ac:dyDescent="0.25"/>
    <row r="40" spans="1:20" ht="14.25" thickBot="1" x14ac:dyDescent="0.3">
      <c r="A40" s="34" t="s">
        <v>7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  <c r="O40" s="3" t="s">
        <v>8</v>
      </c>
      <c r="P40" s="4"/>
      <c r="Q40" s="4"/>
      <c r="R40" s="4"/>
      <c r="S40" s="4"/>
      <c r="T40" s="5"/>
    </row>
    <row r="41" spans="1:20" ht="13.5" thickBot="1" x14ac:dyDescent="0.25">
      <c r="A41" s="40" t="str">
        <f>A7</f>
        <v>xxxxxxxxxxxx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2"/>
      <c r="O41" s="43" t="str">
        <f>O7</f>
        <v>xx.xxx.xxx/0001-xx</v>
      </c>
      <c r="P41" s="44"/>
      <c r="Q41" s="44"/>
      <c r="R41" s="44"/>
      <c r="S41" s="44"/>
      <c r="T41" s="45"/>
    </row>
    <row r="42" spans="1:20" x14ac:dyDescent="0.2">
      <c r="I42" s="47" t="s">
        <v>9</v>
      </c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</row>
    <row r="43" spans="1:20" x14ac:dyDescent="0.2">
      <c r="A43" s="51" t="s">
        <v>11</v>
      </c>
      <c r="B43" s="52" t="str">
        <f>B9</f>
        <v>Colocação de piso brinquedoteca + elétrica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3" t="s">
        <v>13</v>
      </c>
      <c r="P43" s="54"/>
      <c r="Q43" s="54"/>
      <c r="R43" s="55">
        <f>R9</f>
        <v>338</v>
      </c>
      <c r="S43" s="55"/>
      <c r="T43" s="55"/>
    </row>
    <row r="44" spans="1:20" x14ac:dyDescent="0.2">
      <c r="A44" s="59" t="s">
        <v>14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1"/>
      <c r="S44" s="62" t="s">
        <v>15</v>
      </c>
      <c r="T44" s="63"/>
    </row>
    <row r="45" spans="1:20" ht="13.5" thickBot="1" x14ac:dyDescent="0.25">
      <c r="A45" s="51" t="s">
        <v>19</v>
      </c>
    </row>
    <row r="46" spans="1:20" ht="13.5" thickBot="1" x14ac:dyDescent="0.25">
      <c r="A46" s="3" t="s">
        <v>21</v>
      </c>
      <c r="B46" s="4"/>
      <c r="C46" s="4"/>
      <c r="D46" s="5"/>
      <c r="E46" s="3" t="s">
        <v>22</v>
      </c>
      <c r="F46" s="5"/>
      <c r="G46" s="3" t="s">
        <v>23</v>
      </c>
      <c r="H46" s="4"/>
      <c r="I46" s="4"/>
      <c r="J46" s="5"/>
      <c r="L46" s="51" t="s">
        <v>24</v>
      </c>
      <c r="M46" s="51"/>
      <c r="N46" s="51"/>
      <c r="O46" s="51"/>
      <c r="P46" s="51"/>
      <c r="Q46" s="51"/>
      <c r="R46" s="51"/>
      <c r="S46" s="53"/>
      <c r="T46" s="53"/>
    </row>
    <row r="47" spans="1:20" ht="13.5" thickBot="1" x14ac:dyDescent="0.25">
      <c r="A47" s="68"/>
      <c r="B47" s="69"/>
      <c r="C47" s="69"/>
      <c r="D47" s="69"/>
      <c r="E47" s="69"/>
      <c r="F47" s="69"/>
      <c r="G47" s="69"/>
      <c r="H47" s="69"/>
      <c r="I47" s="69"/>
      <c r="J47" s="70"/>
      <c r="L47" s="51" t="s">
        <v>26</v>
      </c>
      <c r="M47" s="51"/>
      <c r="N47" s="51"/>
      <c r="O47" s="51"/>
      <c r="P47" s="51"/>
      <c r="Q47" s="71"/>
      <c r="R47" s="51" t="s">
        <v>27</v>
      </c>
      <c r="S47" s="55">
        <f>R43</f>
        <v>338</v>
      </c>
      <c r="T47" s="55"/>
    </row>
    <row r="48" spans="1:20" ht="13.5" thickBot="1" x14ac:dyDescent="0.25">
      <c r="L48" s="51"/>
      <c r="M48" s="51"/>
      <c r="N48" s="51"/>
      <c r="O48" s="51"/>
      <c r="P48" s="51"/>
      <c r="Q48" s="51"/>
      <c r="R48" s="51"/>
      <c r="S48" s="72"/>
      <c r="T48" s="72"/>
    </row>
    <row r="49" spans="1:20" ht="13.5" thickBot="1" x14ac:dyDescent="0.25">
      <c r="A49" s="3" t="s">
        <v>29</v>
      </c>
      <c r="B49" s="4"/>
      <c r="C49" s="4"/>
      <c r="D49" s="4"/>
      <c r="E49" s="4"/>
      <c r="F49" s="4"/>
      <c r="G49" s="4"/>
      <c r="H49" s="73" t="s">
        <v>30</v>
      </c>
      <c r="I49" s="74"/>
      <c r="J49" s="75"/>
      <c r="L49" s="51" t="s">
        <v>31</v>
      </c>
      <c r="M49" s="76"/>
      <c r="N49" s="76"/>
      <c r="O49" s="76"/>
      <c r="P49" s="76"/>
      <c r="Q49" s="76"/>
      <c r="R49" s="51" t="s">
        <v>27</v>
      </c>
      <c r="S49" s="55"/>
      <c r="T49" s="55"/>
    </row>
    <row r="50" spans="1:20" ht="13.5" thickBot="1" x14ac:dyDescent="0.25">
      <c r="A50" s="80"/>
      <c r="B50" s="81"/>
      <c r="C50" s="81"/>
      <c r="D50" s="81"/>
      <c r="E50" s="81"/>
      <c r="F50" s="81"/>
      <c r="G50" s="82"/>
      <c r="H50" s="83">
        <f>H16</f>
        <v>43313</v>
      </c>
      <c r="I50" s="84"/>
      <c r="J50" s="85"/>
      <c r="L50" s="51"/>
      <c r="M50" s="51"/>
      <c r="N50" s="51"/>
      <c r="O50" s="86" t="s">
        <v>32</v>
      </c>
      <c r="P50" s="86"/>
      <c r="Q50" s="71"/>
      <c r="R50" s="51" t="s">
        <v>27</v>
      </c>
      <c r="S50" s="87"/>
      <c r="T50" s="87"/>
    </row>
    <row r="51" spans="1:20" ht="13.5" thickBot="1" x14ac:dyDescent="0.25"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2.75" customHeight="1" thickBot="1" x14ac:dyDescent="0.25">
      <c r="A52" s="3" t="s">
        <v>33</v>
      </c>
      <c r="B52" s="4"/>
      <c r="C52" s="4"/>
      <c r="D52" s="4"/>
      <c r="E52" s="4"/>
      <c r="F52" s="4"/>
      <c r="G52" s="4"/>
      <c r="H52" s="4"/>
      <c r="I52" s="4"/>
      <c r="J52" s="5"/>
      <c r="L52" s="51" t="s">
        <v>34</v>
      </c>
      <c r="M52" s="51"/>
      <c r="N52" s="51"/>
      <c r="O52" s="51"/>
      <c r="P52" s="51"/>
      <c r="Q52" s="51"/>
      <c r="R52" s="51"/>
      <c r="S52" s="51"/>
      <c r="T52" s="51"/>
    </row>
    <row r="53" spans="1:20" ht="12.75" customHeight="1" x14ac:dyDescent="0.2">
      <c r="A53" s="88" t="s">
        <v>35</v>
      </c>
      <c r="B53" s="89"/>
      <c r="C53" s="89"/>
      <c r="D53" s="89"/>
      <c r="E53" s="89"/>
      <c r="F53" s="89"/>
      <c r="G53" s="89"/>
      <c r="H53" s="89"/>
      <c r="I53" s="89"/>
      <c r="J53" s="90"/>
      <c r="L53" s="51"/>
      <c r="M53" s="51"/>
      <c r="N53" s="51"/>
      <c r="O53" s="51"/>
      <c r="P53" s="51"/>
      <c r="Q53" s="51"/>
      <c r="R53" s="51"/>
      <c r="S53" s="51"/>
      <c r="T53" s="51"/>
    </row>
    <row r="54" spans="1:20" x14ac:dyDescent="0.2">
      <c r="A54" s="92"/>
      <c r="B54" s="93"/>
      <c r="C54" s="93"/>
      <c r="D54" s="93"/>
      <c r="E54" s="93"/>
      <c r="F54" s="93"/>
      <c r="G54" s="93"/>
      <c r="H54" s="93"/>
      <c r="I54" s="93"/>
      <c r="J54" s="94"/>
      <c r="L54" s="51" t="s">
        <v>36</v>
      </c>
      <c r="M54" s="51"/>
      <c r="N54" s="95"/>
      <c r="O54" s="95"/>
      <c r="P54" s="51" t="s">
        <v>27</v>
      </c>
      <c r="Q54" s="96">
        <v>0</v>
      </c>
      <c r="R54" s="51"/>
      <c r="S54" s="51"/>
      <c r="T54" s="51"/>
    </row>
    <row r="55" spans="1:20" ht="13.5" thickBot="1" x14ac:dyDescent="0.25">
      <c r="A55" s="97"/>
      <c r="B55" s="98"/>
      <c r="C55" s="98"/>
      <c r="D55" s="98"/>
      <c r="E55" s="98"/>
      <c r="F55" s="98"/>
      <c r="G55" s="98"/>
      <c r="H55" s="98"/>
      <c r="I55" s="98"/>
      <c r="J55" s="99"/>
      <c r="L55" s="51"/>
      <c r="M55" s="51"/>
      <c r="N55" s="51"/>
      <c r="O55" s="51"/>
      <c r="P55" s="51"/>
      <c r="Q55" s="100"/>
      <c r="R55" s="51"/>
      <c r="S55" s="51"/>
      <c r="T55" s="51"/>
    </row>
    <row r="56" spans="1:20" ht="13.5" thickBot="1" x14ac:dyDescent="0.25">
      <c r="L56" s="51"/>
      <c r="M56" s="51"/>
      <c r="N56" s="51"/>
      <c r="O56" s="51"/>
      <c r="P56" s="51"/>
      <c r="Q56" s="100"/>
      <c r="R56" s="51"/>
      <c r="S56" s="51"/>
      <c r="T56" s="51"/>
    </row>
    <row r="57" spans="1:20" ht="13.5" thickBot="1" x14ac:dyDescent="0.25">
      <c r="A57" s="3" t="s">
        <v>37</v>
      </c>
      <c r="B57" s="4"/>
      <c r="C57" s="4"/>
      <c r="D57" s="4"/>
      <c r="E57" s="4"/>
      <c r="F57" s="4"/>
      <c r="G57" s="4"/>
      <c r="H57" s="4"/>
      <c r="I57" s="4"/>
      <c r="J57" s="5"/>
      <c r="L57" s="51" t="s">
        <v>38</v>
      </c>
      <c r="M57" s="95" t="s">
        <v>5</v>
      </c>
      <c r="N57" s="95"/>
      <c r="O57" s="95"/>
      <c r="P57" s="51" t="s">
        <v>27</v>
      </c>
      <c r="Q57" s="101">
        <f>Q23</f>
        <v>37.18</v>
      </c>
      <c r="R57" s="51"/>
      <c r="S57" s="102"/>
      <c r="T57" s="102"/>
    </row>
    <row r="58" spans="1:20" ht="13.5" thickBot="1" x14ac:dyDescent="0.25">
      <c r="A58" s="103"/>
      <c r="B58" s="104" t="s">
        <v>39</v>
      </c>
      <c r="C58" s="105" t="str">
        <f>C24</f>
        <v>xxx.xxx.xxx-xx</v>
      </c>
      <c r="D58" s="106"/>
      <c r="E58" s="106"/>
      <c r="F58" s="106"/>
      <c r="G58" s="106"/>
      <c r="H58" s="106"/>
      <c r="I58" s="106"/>
      <c r="J58" s="107"/>
      <c r="L58" s="51" t="s">
        <v>40</v>
      </c>
      <c r="M58" s="95" t="s">
        <v>41</v>
      </c>
      <c r="N58" s="95"/>
      <c r="O58" s="95"/>
      <c r="P58" s="51" t="s">
        <v>27</v>
      </c>
      <c r="Q58" s="101"/>
      <c r="R58" s="53" t="s">
        <v>27</v>
      </c>
      <c r="S58" s="55"/>
      <c r="T58" s="55"/>
    </row>
    <row r="59" spans="1:20" ht="13.5" thickBot="1" x14ac:dyDescent="0.25">
      <c r="A59" s="103"/>
      <c r="B59" s="104" t="s">
        <v>42</v>
      </c>
      <c r="C59" s="106" t="str">
        <f>C25</f>
        <v>xxx.xxx.xxx-xx</v>
      </c>
      <c r="D59" s="106"/>
      <c r="E59" s="106"/>
      <c r="F59" s="106"/>
      <c r="G59" s="106"/>
      <c r="H59" s="106"/>
      <c r="I59" s="106"/>
      <c r="J59" s="107"/>
      <c r="L59" s="51"/>
      <c r="M59" s="51"/>
      <c r="N59" s="86" t="s">
        <v>43</v>
      </c>
      <c r="O59" s="86"/>
      <c r="P59" s="86"/>
      <c r="Q59" s="108"/>
      <c r="R59" s="53" t="s">
        <v>27</v>
      </c>
      <c r="S59" s="87">
        <f>R43-Q57</f>
        <v>300.82</v>
      </c>
      <c r="T59" s="87"/>
    </row>
    <row r="60" spans="1:20" ht="13.5" thickBot="1" x14ac:dyDescent="0.25"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3.5" thickBot="1" x14ac:dyDescent="0.25">
      <c r="A61" s="3" t="s">
        <v>44</v>
      </c>
      <c r="B61" s="4"/>
      <c r="C61" s="4"/>
      <c r="D61" s="4"/>
      <c r="E61" s="4"/>
      <c r="F61" s="4"/>
      <c r="G61" s="4"/>
      <c r="H61" s="4"/>
      <c r="I61" s="4"/>
      <c r="J61" s="5"/>
      <c r="L61" s="51"/>
      <c r="M61" s="51"/>
      <c r="N61" s="51"/>
      <c r="O61" s="109" t="s">
        <v>45</v>
      </c>
      <c r="P61" s="109"/>
      <c r="Q61" s="109"/>
      <c r="R61" s="51"/>
      <c r="S61" s="51"/>
      <c r="T61" s="51"/>
    </row>
    <row r="62" spans="1:20" ht="13.5" thickBot="1" x14ac:dyDescent="0.25">
      <c r="A62" s="3" t="s">
        <v>46</v>
      </c>
      <c r="B62" s="4"/>
      <c r="C62" s="4"/>
      <c r="D62" s="4"/>
      <c r="E62" s="4"/>
      <c r="F62" s="5"/>
      <c r="G62" s="3" t="s">
        <v>47</v>
      </c>
      <c r="H62" s="4"/>
      <c r="I62" s="4"/>
      <c r="J62" s="5"/>
      <c r="L62" s="110"/>
      <c r="M62" s="111"/>
      <c r="N62" s="111"/>
      <c r="O62" s="109"/>
      <c r="P62" s="109"/>
      <c r="Q62" s="109"/>
      <c r="R62" s="111"/>
      <c r="S62" s="111"/>
      <c r="T62" s="112"/>
    </row>
    <row r="63" spans="1:20" ht="13.5" thickBot="1" x14ac:dyDescent="0.25">
      <c r="A63" s="113" t="str">
        <f>A29</f>
        <v>xxx.xxx.xx.xx</v>
      </c>
      <c r="B63" s="114"/>
      <c r="C63" s="114"/>
      <c r="D63" s="114"/>
      <c r="E63" s="114"/>
      <c r="F63" s="115"/>
      <c r="G63" s="116" t="str">
        <f>G29</f>
        <v>SSP/RS</v>
      </c>
      <c r="H63" s="114"/>
      <c r="I63" s="114"/>
      <c r="J63" s="115"/>
      <c r="L63" s="117"/>
      <c r="M63" s="118"/>
      <c r="N63" s="118"/>
      <c r="O63" s="118"/>
      <c r="P63" s="118"/>
      <c r="Q63" s="118"/>
      <c r="R63" s="118"/>
      <c r="S63" s="118"/>
      <c r="T63" s="119"/>
    </row>
    <row r="64" spans="1:20" x14ac:dyDescent="0.2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L64" s="53"/>
      <c r="M64" s="53"/>
      <c r="N64" s="53"/>
      <c r="O64" s="53"/>
      <c r="P64" s="53"/>
      <c r="Q64" s="53"/>
      <c r="R64" s="53"/>
      <c r="S64" s="53"/>
      <c r="T64" s="53"/>
    </row>
    <row r="65" spans="1:20" ht="13.5" thickBot="1" x14ac:dyDescent="0.25">
      <c r="L65" s="51"/>
      <c r="M65" s="51"/>
      <c r="N65" s="51"/>
      <c r="O65" s="121" t="s">
        <v>49</v>
      </c>
      <c r="P65" s="121"/>
      <c r="Q65" s="121"/>
      <c r="R65" s="51"/>
      <c r="S65" s="51"/>
      <c r="T65" s="51"/>
    </row>
    <row r="66" spans="1:20" ht="13.5" thickBot="1" x14ac:dyDescent="0.25">
      <c r="A66" s="3" t="s">
        <v>50</v>
      </c>
      <c r="B66" s="4"/>
      <c r="C66" s="4"/>
      <c r="D66" s="4"/>
      <c r="E66" s="4"/>
      <c r="F66" s="4"/>
      <c r="G66" s="4"/>
      <c r="H66" s="5"/>
      <c r="I66" s="3" t="s">
        <v>51</v>
      </c>
      <c r="J66" s="5"/>
      <c r="L66" s="110"/>
      <c r="M66" s="111"/>
      <c r="N66" s="111"/>
      <c r="O66" s="121"/>
      <c r="P66" s="121"/>
      <c r="Q66" s="121"/>
      <c r="R66" s="111"/>
      <c r="S66" s="111"/>
      <c r="T66" s="112"/>
    </row>
    <row r="67" spans="1:20" ht="13.5" thickBot="1" x14ac:dyDescent="0.25">
      <c r="A67" s="122" t="str">
        <f>A33</f>
        <v>PORTO ALEGRE</v>
      </c>
      <c r="B67" s="123"/>
      <c r="C67" s="123"/>
      <c r="D67" s="123"/>
      <c r="E67" s="123"/>
      <c r="F67" s="123"/>
      <c r="G67" s="123"/>
      <c r="H67" s="124"/>
      <c r="I67" s="125">
        <f>I33</f>
        <v>43313</v>
      </c>
      <c r="J67" s="124"/>
      <c r="L67" s="126" t="str">
        <f>L33</f>
        <v>xxxxxxxxx</v>
      </c>
      <c r="M67" s="127"/>
      <c r="N67" s="127"/>
      <c r="O67" s="127"/>
      <c r="P67" s="127"/>
      <c r="Q67" s="127"/>
      <c r="R67" s="127"/>
      <c r="S67" s="127"/>
      <c r="T67" s="128"/>
    </row>
  </sheetData>
  <sheetProtection selectLockedCells="1" selectUnlockedCells="1"/>
  <mergeCells count="106">
    <mergeCell ref="O65:Q66"/>
    <mergeCell ref="A66:H66"/>
    <mergeCell ref="I66:J66"/>
    <mergeCell ref="A67:H67"/>
    <mergeCell ref="I67:J67"/>
    <mergeCell ref="L67:T67"/>
    <mergeCell ref="A61:J61"/>
    <mergeCell ref="O61:Q62"/>
    <mergeCell ref="A62:F62"/>
    <mergeCell ref="G62:J62"/>
    <mergeCell ref="A63:F63"/>
    <mergeCell ref="G63:J63"/>
    <mergeCell ref="L63:T63"/>
    <mergeCell ref="C58:J58"/>
    <mergeCell ref="M58:O58"/>
    <mergeCell ref="S58:T58"/>
    <mergeCell ref="C59:J59"/>
    <mergeCell ref="N59:P59"/>
    <mergeCell ref="S59:T59"/>
    <mergeCell ref="A52:J52"/>
    <mergeCell ref="A53:J55"/>
    <mergeCell ref="N54:O54"/>
    <mergeCell ref="A57:J57"/>
    <mergeCell ref="M57:O57"/>
    <mergeCell ref="S57:T57"/>
    <mergeCell ref="A49:G49"/>
    <mergeCell ref="H49:J49"/>
    <mergeCell ref="M49:Q49"/>
    <mergeCell ref="S49:T49"/>
    <mergeCell ref="A50:G50"/>
    <mergeCell ref="H50:J50"/>
    <mergeCell ref="O50:P50"/>
    <mergeCell ref="S50:T50"/>
    <mergeCell ref="B44:Q44"/>
    <mergeCell ref="S44:T44"/>
    <mergeCell ref="A46:D46"/>
    <mergeCell ref="E46:F46"/>
    <mergeCell ref="G46:J46"/>
    <mergeCell ref="A47:J47"/>
    <mergeCell ref="S47:T47"/>
    <mergeCell ref="A40:N40"/>
    <mergeCell ref="O40:T40"/>
    <mergeCell ref="A41:N41"/>
    <mergeCell ref="O41:T41"/>
    <mergeCell ref="I42:T42"/>
    <mergeCell ref="B43:N43"/>
    <mergeCell ref="R43:T43"/>
    <mergeCell ref="A35:N38"/>
    <mergeCell ref="O35:Q35"/>
    <mergeCell ref="R35:T35"/>
    <mergeCell ref="O36:P38"/>
    <mergeCell ref="Q36:Q38"/>
    <mergeCell ref="R36:T38"/>
    <mergeCell ref="O31:Q32"/>
    <mergeCell ref="A32:H32"/>
    <mergeCell ref="I32:J32"/>
    <mergeCell ref="A33:H33"/>
    <mergeCell ref="I33:J33"/>
    <mergeCell ref="L33:T33"/>
    <mergeCell ref="A27:J27"/>
    <mergeCell ref="O27:Q28"/>
    <mergeCell ref="A28:F28"/>
    <mergeCell ref="G28:J28"/>
    <mergeCell ref="A29:F29"/>
    <mergeCell ref="G29:J29"/>
    <mergeCell ref="L29:T29"/>
    <mergeCell ref="C24:J24"/>
    <mergeCell ref="M24:O24"/>
    <mergeCell ref="S24:T24"/>
    <mergeCell ref="C25:J25"/>
    <mergeCell ref="N25:P25"/>
    <mergeCell ref="S25:T25"/>
    <mergeCell ref="A18:J18"/>
    <mergeCell ref="A19:J21"/>
    <mergeCell ref="N20:O20"/>
    <mergeCell ref="A23:J23"/>
    <mergeCell ref="M23:O23"/>
    <mergeCell ref="S23:T23"/>
    <mergeCell ref="A15:G15"/>
    <mergeCell ref="H15:J15"/>
    <mergeCell ref="M15:Q15"/>
    <mergeCell ref="S15:T15"/>
    <mergeCell ref="A16:G16"/>
    <mergeCell ref="H16:J16"/>
    <mergeCell ref="O16:P16"/>
    <mergeCell ref="S16:T16"/>
    <mergeCell ref="B10:Q10"/>
    <mergeCell ref="S10:T10"/>
    <mergeCell ref="A12:D12"/>
    <mergeCell ref="E12:F12"/>
    <mergeCell ref="G12:J12"/>
    <mergeCell ref="A13:J13"/>
    <mergeCell ref="S13:T13"/>
    <mergeCell ref="A6:N6"/>
    <mergeCell ref="O6:T6"/>
    <mergeCell ref="A7:N7"/>
    <mergeCell ref="O7:T7"/>
    <mergeCell ref="I8:T8"/>
    <mergeCell ref="B9:N9"/>
    <mergeCell ref="R9:T9"/>
    <mergeCell ref="A1:N4"/>
    <mergeCell ref="O1:Q1"/>
    <mergeCell ref="R1:T1"/>
    <mergeCell ref="O2:P4"/>
    <mergeCell ref="Q2:Q4"/>
    <mergeCell ref="R2:T4"/>
  </mergeCells>
  <pageMargins left="0.39370078740157483" right="0.39370078740157483" top="0.78740157480314965" bottom="0.98425196850393704" header="0.51181102362204722" footer="0.51181102362204722"/>
  <pageSetup paperSize="9" scale="75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08-2018</vt:lpstr>
      <vt:lpstr>Plan1</vt:lpstr>
      <vt:lpstr>Plan2</vt:lpstr>
      <vt:lpstr>Plan3</vt:lpstr>
      <vt:lpstr>'08-2018'!Area_de_impressao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Blomberg</dc:creator>
  <cp:lastModifiedBy>Patrícia Blomberg</cp:lastModifiedBy>
  <cp:lastPrinted>2018-07-28T01:37:42Z</cp:lastPrinted>
  <dcterms:created xsi:type="dcterms:W3CDTF">2018-07-28T01:32:29Z</dcterms:created>
  <dcterms:modified xsi:type="dcterms:W3CDTF">2018-07-28T01:37:46Z</dcterms:modified>
</cp:coreProperties>
</file>