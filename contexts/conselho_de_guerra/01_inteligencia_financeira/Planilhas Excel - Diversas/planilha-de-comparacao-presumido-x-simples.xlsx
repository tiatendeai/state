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EMPRESA 1" sheetId="1" r:id="rId1"/>
  </sheets>
  <calcPr calcId="124519"/>
</workbook>
</file>

<file path=xl/calcChain.xml><?xml version="1.0" encoding="utf-8"?>
<calcChain xmlns="http://schemas.openxmlformats.org/spreadsheetml/2006/main">
  <c r="F7" i="1"/>
  <c r="A46"/>
  <c r="D25"/>
  <c r="C47"/>
  <c r="D24"/>
  <c r="J47"/>
  <c r="G47"/>
  <c r="K8"/>
  <c r="K9"/>
  <c r="K10"/>
  <c r="K11"/>
  <c r="K12"/>
  <c r="K13"/>
  <c r="K14"/>
  <c r="K15"/>
  <c r="K16"/>
  <c r="K17"/>
  <c r="K18"/>
  <c r="K7"/>
  <c r="I8"/>
  <c r="I9"/>
  <c r="I10"/>
  <c r="I11"/>
  <c r="I12"/>
  <c r="I13"/>
  <c r="I14"/>
  <c r="I15"/>
  <c r="I16"/>
  <c r="I17"/>
  <c r="I18"/>
  <c r="I7"/>
  <c r="J8"/>
  <c r="J9"/>
  <c r="J10"/>
  <c r="J11"/>
  <c r="J12"/>
  <c r="J13"/>
  <c r="J14"/>
  <c r="J15"/>
  <c r="J16"/>
  <c r="J17"/>
  <c r="J18"/>
  <c r="J7"/>
  <c r="I19" l="1"/>
  <c r="K19"/>
  <c r="J19"/>
  <c r="B79"/>
  <c r="G24" s="1"/>
  <c r="B63"/>
  <c r="C63"/>
  <c r="D26"/>
  <c r="D27"/>
  <c r="D28"/>
  <c r="D29"/>
  <c r="D30"/>
  <c r="D31"/>
  <c r="D32"/>
  <c r="D33"/>
  <c r="D34"/>
  <c r="D35"/>
  <c r="E25"/>
  <c r="J25" s="1"/>
  <c r="E26"/>
  <c r="E27"/>
  <c r="E28"/>
  <c r="E29"/>
  <c r="E30"/>
  <c r="E31"/>
  <c r="E32"/>
  <c r="E33"/>
  <c r="E34"/>
  <c r="E35"/>
  <c r="E24"/>
  <c r="C19"/>
  <c r="B19"/>
  <c r="D18"/>
  <c r="D9"/>
  <c r="E9" s="1"/>
  <c r="D10"/>
  <c r="D11"/>
  <c r="D12"/>
  <c r="D13"/>
  <c r="D14"/>
  <c r="D15"/>
  <c r="D16"/>
  <c r="D17"/>
  <c r="D8"/>
  <c r="F8" s="1"/>
  <c r="D7"/>
  <c r="F34" l="1"/>
  <c r="F32"/>
  <c r="F30"/>
  <c r="F28"/>
  <c r="J29"/>
  <c r="F24"/>
  <c r="J24"/>
  <c r="E36"/>
  <c r="F29"/>
  <c r="F31"/>
  <c r="J28"/>
  <c r="F26"/>
  <c r="D36"/>
  <c r="H12"/>
  <c r="G12"/>
  <c r="H8"/>
  <c r="G8"/>
  <c r="H16"/>
  <c r="G16"/>
  <c r="H14"/>
  <c r="G14"/>
  <c r="H10"/>
  <c r="G10"/>
  <c r="H18"/>
  <c r="G18"/>
  <c r="G7"/>
  <c r="H7"/>
  <c r="H17"/>
  <c r="G17"/>
  <c r="H15"/>
  <c r="G15"/>
  <c r="H13"/>
  <c r="G13"/>
  <c r="H11"/>
  <c r="G11"/>
  <c r="H9"/>
  <c r="G9"/>
  <c r="G25"/>
  <c r="F16"/>
  <c r="E14"/>
  <c r="F12"/>
  <c r="F10"/>
  <c r="E18"/>
  <c r="E7"/>
  <c r="F17"/>
  <c r="E15"/>
  <c r="F13"/>
  <c r="F11"/>
  <c r="F9"/>
  <c r="J35"/>
  <c r="J33"/>
  <c r="J27"/>
  <c r="J32"/>
  <c r="F35"/>
  <c r="F33"/>
  <c r="J31"/>
  <c r="F27"/>
  <c r="F25"/>
  <c r="J34"/>
  <c r="J30"/>
  <c r="J26"/>
  <c r="E16"/>
  <c r="D19"/>
  <c r="F18"/>
  <c r="F14"/>
  <c r="E12"/>
  <c r="E17"/>
  <c r="F15"/>
  <c r="E13"/>
  <c r="E8"/>
  <c r="E11"/>
  <c r="E10"/>
  <c r="F19" l="1"/>
  <c r="G19"/>
  <c r="E19"/>
  <c r="J36"/>
  <c r="H19"/>
  <c r="F36"/>
  <c r="G26"/>
  <c r="G27" s="1"/>
  <c r="G28" s="1"/>
  <c r="G29" s="1"/>
  <c r="G30" s="1"/>
  <c r="G31" s="1"/>
  <c r="G32" s="1"/>
  <c r="G33" s="1"/>
  <c r="G34" s="1"/>
  <c r="G35" s="1"/>
  <c r="F42"/>
  <c r="L7"/>
  <c r="L16"/>
  <c r="L10"/>
  <c r="L14"/>
  <c r="L12"/>
  <c r="L18"/>
  <c r="L13"/>
  <c r="L15"/>
  <c r="L9"/>
  <c r="L11"/>
  <c r="L8"/>
  <c r="L17"/>
  <c r="L19" l="1"/>
  <c r="F40" s="1"/>
  <c r="J41" s="1"/>
  <c r="J43" s="1"/>
</calcChain>
</file>

<file path=xl/sharedStrings.xml><?xml version="1.0" encoding="utf-8"?>
<sst xmlns="http://schemas.openxmlformats.org/spreadsheetml/2006/main" count="59" uniqueCount="42">
  <si>
    <t>MÊS</t>
  </si>
  <si>
    <t>FATURAMENTO</t>
  </si>
  <si>
    <t>TOTAL</t>
  </si>
  <si>
    <t>COFINS (3%)</t>
  </si>
  <si>
    <t>PIS (0,65%)</t>
  </si>
  <si>
    <t>ICMS (17%)</t>
  </si>
  <si>
    <t>COMERCIO</t>
  </si>
  <si>
    <t>SERVIÇO</t>
  </si>
  <si>
    <t>% Comercio</t>
  </si>
  <si>
    <t>% Serviço</t>
  </si>
  <si>
    <t>MELHOR TRIBUTAÇÃO:</t>
  </si>
  <si>
    <t>DIFERENÇA DE IMPOSTO:</t>
  </si>
  <si>
    <t>TOTAL ANUAL DE IMPOSTO PAGO PELO LUCRO PRESUMIDO:</t>
  </si>
  <si>
    <t>TOTAL ANUAL DE IMPOSTO PAGO PELO  SIMPLES NACIONAL:</t>
  </si>
  <si>
    <t>FOLHA</t>
  </si>
  <si>
    <t>PRO-LABORE</t>
  </si>
  <si>
    <t>RESUMO GERAL</t>
  </si>
  <si>
    <t xml:space="preserve">EMPRESA:        </t>
  </si>
  <si>
    <t>CNPJ:</t>
  </si>
  <si>
    <t>PELO LUCRO PRESUMIDO</t>
  </si>
  <si>
    <t>PELO SIMPLES NACIONAL: ANEXO VI</t>
  </si>
  <si>
    <t>-</t>
  </si>
  <si>
    <t>ACUMULDADO</t>
  </si>
  <si>
    <t>12 MESES ANTERIORES</t>
  </si>
  <si>
    <t>BASE DE INSS  - FOLHA DE PAGAMENTO</t>
  </si>
  <si>
    <t>Faturamento</t>
  </si>
  <si>
    <t xml:space="preserve"> </t>
  </si>
  <si>
    <t>ANEXO VI</t>
  </si>
  <si>
    <t>ACUMULADO</t>
  </si>
  <si>
    <t>Francinaldo Castro &gt;&gt; fracinaldo.orccap@hotmail.com</t>
  </si>
  <si>
    <t>ISS (5%)</t>
  </si>
  <si>
    <t>INSS (27.8%)</t>
  </si>
  <si>
    <t>* Deverão ser ajustadas as alíquotas e fórmulas conforme o porte e anexo da empresa</t>
  </si>
  <si>
    <t>IRPJ (4,8%)</t>
  </si>
  <si>
    <t>CSLL (2,88%)</t>
  </si>
  <si>
    <t>EMPRESA MODELO</t>
  </si>
  <si>
    <t>00.000.000/0001-00</t>
  </si>
  <si>
    <t xml:space="preserve">PLANILHA DE COMPARAÇÃO: PRESUMIDO X SIMPLES NACIONAL </t>
  </si>
  <si>
    <t>PERÍODO</t>
  </si>
  <si>
    <t>NOV/2013 a OUT/2014</t>
  </si>
  <si>
    <t>Página 2</t>
  </si>
  <si>
    <t>Página 1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</si>
</sst>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.35"/>
      <color theme="10"/>
      <name val="Calibri"/>
      <family val="2"/>
    </font>
    <font>
      <sz val="9.35"/>
      <color theme="1"/>
      <name val="Calibri"/>
      <family val="2"/>
    </font>
    <font>
      <sz val="9"/>
      <color rgb="FF000000"/>
      <name val="Arial"/>
      <family val="2"/>
    </font>
    <font>
      <sz val="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0" fillId="0" borderId="0" xfId="0" applyBorder="1"/>
    <xf numFmtId="43" fontId="0" fillId="0" borderId="2" xfId="1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43" fontId="0" fillId="0" borderId="2" xfId="1" applyFont="1" applyBorder="1"/>
    <xf numFmtId="10" fontId="0" fillId="0" borderId="2" xfId="0" applyNumberFormat="1" applyBorder="1" applyAlignment="1">
      <alignment horizontal="center"/>
    </xf>
    <xf numFmtId="0" fontId="0" fillId="0" borderId="0" xfId="0" applyAlignment="1"/>
    <xf numFmtId="43" fontId="2" fillId="0" borderId="2" xfId="1" applyFont="1" applyBorder="1"/>
    <xf numFmtId="43" fontId="2" fillId="3" borderId="2" xfId="1" applyFont="1" applyFill="1" applyBorder="1"/>
    <xf numFmtId="0" fontId="2" fillId="0" borderId="1" xfId="0" applyFont="1" applyBorder="1" applyAlignment="1">
      <alignment horizontal="center"/>
    </xf>
    <xf numFmtId="43" fontId="0" fillId="0" borderId="0" xfId="1" applyFont="1" applyBorder="1"/>
    <xf numFmtId="0" fontId="0" fillId="0" borderId="0" xfId="0" applyBorder="1" applyAlignment="1">
      <alignment horizontal="center"/>
    </xf>
    <xf numFmtId="43" fontId="2" fillId="0" borderId="0" xfId="1" applyFont="1" applyBorder="1"/>
    <xf numFmtId="10" fontId="0" fillId="0" borderId="0" xfId="0" applyNumberFormat="1" applyBorder="1" applyAlignment="1">
      <alignment horizontal="center"/>
    </xf>
    <xf numFmtId="43" fontId="2" fillId="4" borderId="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3" fontId="2" fillId="0" borderId="2" xfId="0" applyNumberFormat="1" applyFont="1" applyBorder="1"/>
    <xf numFmtId="43" fontId="3" fillId="0" borderId="2" xfId="1" applyFont="1" applyBorder="1"/>
    <xf numFmtId="0" fontId="0" fillId="0" borderId="0" xfId="0" applyFill="1" applyBorder="1" applyAlignment="1"/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43" fontId="3" fillId="0" borderId="7" xfId="1" applyFont="1" applyBorder="1"/>
    <xf numFmtId="43" fontId="3" fillId="0" borderId="0" xfId="1" applyFont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3" fontId="2" fillId="0" borderId="2" xfId="1" applyFont="1" applyBorder="1" applyAlignment="1">
      <alignment horizontal="right"/>
    </xf>
    <xf numFmtId="43" fontId="0" fillId="0" borderId="0" xfId="1" applyFont="1" applyAlignment="1"/>
    <xf numFmtId="0" fontId="12" fillId="0" borderId="0" xfId="0" applyFont="1" applyAlignment="1">
      <alignment horizontal="center"/>
    </xf>
    <xf numFmtId="1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1" xfId="0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43" fontId="0" fillId="0" borderId="2" xfId="1" applyFont="1" applyBorder="1" applyAlignment="1" applyProtection="1">
      <alignment horizontal="center"/>
      <protection locked="0"/>
    </xf>
    <xf numFmtId="43" fontId="0" fillId="0" borderId="2" xfId="1" applyFont="1" applyBorder="1" applyAlignment="1" applyProtection="1">
      <alignment horizontal="right"/>
      <protection locked="0"/>
    </xf>
    <xf numFmtId="17" fontId="0" fillId="0" borderId="2" xfId="0" applyNumberFormat="1" applyBorder="1" applyAlignment="1" applyProtection="1">
      <alignment horizontal="center"/>
      <protection locked="0"/>
    </xf>
    <xf numFmtId="43" fontId="4" fillId="0" borderId="2" xfId="1" applyFont="1" applyBorder="1" applyAlignment="1" applyProtection="1">
      <alignment horizontal="center"/>
      <protection locked="0"/>
    </xf>
    <xf numFmtId="10" fontId="0" fillId="0" borderId="2" xfId="0" applyNumberFormat="1" applyBorder="1" applyAlignment="1" applyProtection="1">
      <alignment horizontal="center"/>
      <protection locked="0"/>
    </xf>
    <xf numFmtId="17" fontId="3" fillId="0" borderId="3" xfId="0" applyNumberFormat="1" applyFont="1" applyBorder="1" applyAlignment="1" applyProtection="1">
      <alignment horizontal="center"/>
      <protection locked="0"/>
    </xf>
    <xf numFmtId="43" fontId="9" fillId="0" borderId="2" xfId="1" applyFont="1" applyBorder="1" applyAlignment="1" applyProtection="1">
      <alignment horizontal="center"/>
      <protection locked="0"/>
    </xf>
    <xf numFmtId="43" fontId="3" fillId="0" borderId="5" xfId="1" applyFont="1" applyBorder="1" applyProtection="1">
      <protection locked="0"/>
    </xf>
    <xf numFmtId="17" fontId="3" fillId="0" borderId="2" xfId="0" applyNumberFormat="1" applyFont="1" applyBorder="1" applyAlignment="1" applyProtection="1">
      <alignment horizontal="center"/>
      <protection locked="0"/>
    </xf>
    <xf numFmtId="43" fontId="0" fillId="0" borderId="2" xfId="0" applyNumberFormat="1" applyBorder="1" applyAlignment="1" applyProtection="1">
      <alignment horizontal="center"/>
      <protection locked="0"/>
    </xf>
    <xf numFmtId="43" fontId="2" fillId="0" borderId="2" xfId="1" applyFont="1" applyBorder="1" applyAlignment="1" applyProtection="1">
      <alignment horizontal="center"/>
    </xf>
    <xf numFmtId="43" fontId="2" fillId="0" borderId="2" xfId="1" applyFont="1" applyBorder="1" applyProtection="1"/>
    <xf numFmtId="43" fontId="0" fillId="0" borderId="2" xfId="0" applyNumberFormat="1" applyBorder="1" applyProtection="1"/>
    <xf numFmtId="0" fontId="0" fillId="0" borderId="2" xfId="0" applyBorder="1" applyAlignment="1" applyProtection="1">
      <alignment horizontal="center"/>
    </xf>
    <xf numFmtId="43" fontId="2" fillId="0" borderId="2" xfId="0" applyNumberFormat="1" applyFont="1" applyBorder="1" applyAlignment="1" applyProtection="1">
      <alignment horizontal="center"/>
    </xf>
    <xf numFmtId="43" fontId="2" fillId="3" borderId="2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Alignment="1" applyProtection="1">
      <alignment horizontal="left" indent="53"/>
    </xf>
    <xf numFmtId="0" fontId="2" fillId="0" borderId="0" xfId="0" applyFont="1" applyFill="1" applyBorder="1" applyAlignment="1" applyProtection="1">
      <alignment horizontal="left" indent="53"/>
    </xf>
    <xf numFmtId="0" fontId="2" fillId="0" borderId="12" xfId="0" applyFont="1" applyFill="1" applyBorder="1" applyAlignment="1" applyProtection="1">
      <alignment horizontal="left" indent="53"/>
    </xf>
    <xf numFmtId="0" fontId="0" fillId="0" borderId="13" xfId="0" applyBorder="1" applyProtection="1"/>
    <xf numFmtId="43" fontId="5" fillId="2" borderId="8" xfId="0" applyNumberFormat="1" applyFont="1" applyFill="1" applyBorder="1" applyAlignment="1" applyProtection="1">
      <alignment vertical="center"/>
    </xf>
    <xf numFmtId="0" fontId="0" fillId="0" borderId="0" xfId="0" applyBorder="1" applyAlignment="1" applyProtection="1"/>
    <xf numFmtId="0" fontId="0" fillId="0" borderId="12" xfId="0" applyBorder="1" applyAlignment="1" applyProtection="1"/>
    <xf numFmtId="0" fontId="0" fillId="4" borderId="13" xfId="0" applyFill="1" applyBorder="1" applyAlignment="1" applyProtection="1"/>
    <xf numFmtId="0" fontId="0" fillId="4" borderId="0" xfId="0" applyFill="1" applyBorder="1" applyAlignment="1" applyProtection="1"/>
    <xf numFmtId="0" fontId="0" fillId="4" borderId="0" xfId="0" applyFill="1" applyBorder="1" applyAlignment="1" applyProtection="1">
      <alignment vertical="center"/>
    </xf>
    <xf numFmtId="0" fontId="0" fillId="0" borderId="0" xfId="0" applyBorder="1" applyProtection="1"/>
    <xf numFmtId="0" fontId="0" fillId="0" borderId="12" xfId="0" applyBorder="1" applyProtection="1"/>
    <xf numFmtId="43" fontId="0" fillId="4" borderId="0" xfId="0" applyNumberFormat="1" applyFill="1" applyBorder="1" applyAlignment="1" applyProtection="1"/>
    <xf numFmtId="43" fontId="0" fillId="4" borderId="0" xfId="0" applyNumberFormat="1" applyFill="1" applyBorder="1" applyAlignment="1" applyProtection="1">
      <alignment horizontal="center"/>
    </xf>
    <xf numFmtId="0" fontId="0" fillId="0" borderId="14" xfId="0" applyBorder="1" applyAlignment="1" applyProtection="1"/>
    <xf numFmtId="0" fontId="0" fillId="0" borderId="15" xfId="0" applyBorder="1" applyAlignment="1" applyProtection="1"/>
    <xf numFmtId="0" fontId="0" fillId="0" borderId="15" xfId="0" applyBorder="1" applyProtection="1"/>
    <xf numFmtId="0" fontId="0" fillId="0" borderId="16" xfId="0" applyBorder="1" applyProtection="1"/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/>
    </xf>
    <xf numFmtId="0" fontId="0" fillId="0" borderId="0" xfId="0" applyFill="1" applyBorder="1" applyProtection="1"/>
    <xf numFmtId="0" fontId="2" fillId="0" borderId="0" xfId="0" applyFont="1" applyFill="1" applyBorder="1" applyAlignment="1" applyProtection="1">
      <alignment horizontal="center" vertical="center"/>
    </xf>
    <xf numFmtId="43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 applyAlignment="1" applyProtection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</xf>
    <xf numFmtId="43" fontId="6" fillId="2" borderId="9" xfId="0" applyNumberFormat="1" applyFont="1" applyFill="1" applyBorder="1" applyAlignment="1" applyProtection="1">
      <alignment horizontal="center" vertical="center"/>
    </xf>
    <xf numFmtId="43" fontId="6" fillId="2" borderId="11" xfId="0" applyNumberFormat="1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10" xfId="0" applyFont="1" applyFill="1" applyBorder="1" applyAlignment="1" applyProtection="1">
      <alignment horizontal="center" vertical="center"/>
    </xf>
    <xf numFmtId="0" fontId="7" fillId="2" borderId="17" xfId="0" applyFont="1" applyFill="1" applyBorder="1" applyAlignment="1" applyProtection="1">
      <alignment horizontal="center" vertical="center"/>
    </xf>
    <xf numFmtId="0" fontId="2" fillId="5" borderId="9" xfId="0" applyFont="1" applyFill="1" applyBorder="1" applyAlignment="1" applyProtection="1">
      <alignment horizontal="left" vertical="center" indent="53"/>
    </xf>
    <xf numFmtId="0" fontId="2" fillId="5" borderId="10" xfId="0" applyFont="1" applyFill="1" applyBorder="1" applyAlignment="1" applyProtection="1">
      <alignment horizontal="left" vertical="center" indent="53"/>
    </xf>
    <xf numFmtId="0" fontId="2" fillId="5" borderId="11" xfId="0" applyFont="1" applyFill="1" applyBorder="1" applyAlignment="1" applyProtection="1">
      <alignment horizontal="left" vertical="center" indent="53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</xf>
    <xf numFmtId="0" fontId="6" fillId="5" borderId="4" xfId="0" applyFont="1" applyFill="1" applyBorder="1" applyAlignment="1" applyProtection="1">
      <alignment horizontal="center" vertical="center"/>
    </xf>
    <xf numFmtId="0" fontId="6" fillId="5" borderId="5" xfId="0" applyFont="1" applyFill="1" applyBorder="1" applyAlignment="1" applyProtection="1">
      <alignment horizontal="center" vertical="center"/>
    </xf>
    <xf numFmtId="0" fontId="0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5" borderId="3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 applyProtection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3" fontId="10" fillId="0" borderId="0" xfId="2" applyNumberFormat="1" applyAlignment="1" applyProtection="1">
      <alignment horizontal="right"/>
    </xf>
    <xf numFmtId="0" fontId="8" fillId="0" borderId="0" xfId="0" applyFont="1" applyAlignment="1">
      <alignment horizontal="left"/>
    </xf>
    <xf numFmtId="0" fontId="2" fillId="2" borderId="10" xfId="0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43" fontId="2" fillId="2" borderId="10" xfId="0" applyNumberFormat="1" applyFont="1" applyFill="1" applyBorder="1" applyAlignment="1" applyProtection="1">
      <alignment horizontal="center" vertical="center"/>
    </xf>
    <xf numFmtId="43" fontId="2" fillId="2" borderId="11" xfId="0" applyNumberFormat="1" applyFont="1" applyFill="1" applyBorder="1" applyAlignment="1" applyProtection="1">
      <alignment horizontal="center" vertical="center"/>
    </xf>
    <xf numFmtId="0" fontId="0" fillId="0" borderId="5" xfId="0" applyBorder="1"/>
    <xf numFmtId="0" fontId="11" fillId="5" borderId="2" xfId="2" applyFont="1" applyFill="1" applyBorder="1" applyAlignment="1" applyProtection="1">
      <alignment horizontal="center"/>
    </xf>
  </cellXfs>
  <cellStyles count="3">
    <cellStyle name="Hyperlink" xfId="2" builtinId="8"/>
    <cellStyle name="Normal" xfId="0" builtinId="0"/>
    <cellStyle name="Separador de milhares" xfId="1" builtinId="3"/>
  </cellStyles>
  <dxfs count="1"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44822</xdr:colOff>
      <xdr:row>40</xdr:row>
      <xdr:rowOff>319</xdr:rowOff>
    </xdr:from>
    <xdr:to>
      <xdr:col>6</xdr:col>
      <xdr:colOff>837198</xdr:colOff>
      <xdr:row>41</xdr:row>
      <xdr:rowOff>0</xdr:rowOff>
    </xdr:to>
    <xdr:sp macro="" textlink="">
      <xdr:nvSpPr>
        <xdr:cNvPr id="2" name="Seta para a direita 1"/>
        <xdr:cNvSpPr/>
      </xdr:nvSpPr>
      <xdr:spPr>
        <a:xfrm>
          <a:off x="4752177" y="6547503"/>
          <a:ext cx="792376" cy="170129"/>
        </a:xfrm>
        <a:prstGeom prst="rightArrow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10</xdr:col>
      <xdr:colOff>358590</xdr:colOff>
      <xdr:row>41</xdr:row>
      <xdr:rowOff>27654</xdr:rowOff>
    </xdr:from>
    <xdr:to>
      <xdr:col>10</xdr:col>
      <xdr:colOff>500063</xdr:colOff>
      <xdr:row>41</xdr:row>
      <xdr:rowOff>168853</xdr:rowOff>
    </xdr:to>
    <xdr:sp macro="" textlink="">
      <xdr:nvSpPr>
        <xdr:cNvPr id="3" name="Seta para baixo 2"/>
        <xdr:cNvSpPr/>
      </xdr:nvSpPr>
      <xdr:spPr>
        <a:xfrm>
          <a:off x="8255681" y="6833699"/>
          <a:ext cx="141473" cy="141199"/>
        </a:xfrm>
        <a:prstGeom prst="downArrow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4</xdr:col>
      <xdr:colOff>2</xdr:colOff>
      <xdr:row>49</xdr:row>
      <xdr:rowOff>0</xdr:rowOff>
    </xdr:from>
    <xdr:to>
      <xdr:col>11</xdr:col>
      <xdr:colOff>1</xdr:colOff>
      <xdr:row>76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26443" y="7810500"/>
          <a:ext cx="5658970" cy="5143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francisdavis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XFC82"/>
  <sheetViews>
    <sheetView tabSelected="1" topLeftCell="A55" zoomScale="85" zoomScaleNormal="85" zoomScaleSheetLayoutView="85" workbookViewId="0">
      <selection activeCell="D50" sqref="D50"/>
    </sheetView>
  </sheetViews>
  <sheetFormatPr defaultColWidth="0" defaultRowHeight="15" zeroHeight="1"/>
  <cols>
    <col min="1" max="1" width="8" customWidth="1"/>
    <col min="2" max="2" width="11.5703125" customWidth="1"/>
    <col min="3" max="3" width="14.140625" customWidth="1"/>
    <col min="4" max="4" width="13.140625" customWidth="1"/>
    <col min="5" max="5" width="13" customWidth="1"/>
    <col min="6" max="6" width="13.28515625" customWidth="1"/>
    <col min="7" max="7" width="13.42578125" customWidth="1"/>
    <col min="8" max="8" width="11" customWidth="1"/>
    <col min="9" max="9" width="10.7109375" customWidth="1"/>
    <col min="10" max="10" width="12.140625" customWidth="1"/>
    <col min="11" max="11" width="11.42578125" customWidth="1"/>
    <col min="12" max="12" width="11.7109375" customWidth="1"/>
    <col min="13" max="16383" width="9.140625" hidden="1"/>
    <col min="16384" max="16384" width="0.5703125" customWidth="1"/>
  </cols>
  <sheetData>
    <row r="1" spans="1:12" ht="21.75" customHeight="1">
      <c r="A1" s="86" t="s">
        <v>37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0" t="s">
        <v>41</v>
      </c>
    </row>
    <row r="2" spans="1:12" ht="14.1" customHeight="1">
      <c r="A2" s="75"/>
      <c r="B2" s="81" t="s">
        <v>17</v>
      </c>
      <c r="C2" s="84" t="s">
        <v>35</v>
      </c>
      <c r="D2" s="84"/>
      <c r="E2" s="84"/>
      <c r="F2" s="82" t="s">
        <v>18</v>
      </c>
      <c r="G2" s="84" t="s">
        <v>36</v>
      </c>
      <c r="H2" s="84"/>
      <c r="I2" s="83" t="s">
        <v>38</v>
      </c>
      <c r="J2" s="85" t="s">
        <v>39</v>
      </c>
      <c r="K2" s="85"/>
      <c r="L2" s="79"/>
    </row>
    <row r="3" spans="1:12" ht="6.75" customHeight="1">
      <c r="A3" s="9"/>
      <c r="B3" s="34"/>
      <c r="C3" s="73"/>
      <c r="D3" s="73"/>
      <c r="E3" s="73"/>
      <c r="F3" s="36"/>
      <c r="G3" s="73"/>
      <c r="H3" s="73"/>
      <c r="I3" s="37"/>
      <c r="J3" s="74"/>
      <c r="K3" s="74"/>
      <c r="L3" s="35"/>
    </row>
    <row r="4" spans="1:12" ht="11.25" customHeight="1">
      <c r="A4" s="97" t="s">
        <v>19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9"/>
    </row>
    <row r="5" spans="1:12" ht="12.95" customHeight="1">
      <c r="A5" s="108" t="s">
        <v>0</v>
      </c>
      <c r="B5" s="116" t="s">
        <v>1</v>
      </c>
      <c r="C5" s="117"/>
      <c r="D5" s="118"/>
      <c r="E5" s="106" t="s">
        <v>4</v>
      </c>
      <c r="F5" s="106" t="s">
        <v>3</v>
      </c>
      <c r="G5" s="106" t="s">
        <v>33</v>
      </c>
      <c r="H5" s="106" t="s">
        <v>34</v>
      </c>
      <c r="I5" s="106" t="s">
        <v>5</v>
      </c>
      <c r="J5" s="100" t="s">
        <v>30</v>
      </c>
      <c r="K5" s="106" t="s">
        <v>31</v>
      </c>
      <c r="L5" s="108" t="s">
        <v>2</v>
      </c>
    </row>
    <row r="6" spans="1:12" ht="12.95" customHeight="1">
      <c r="A6" s="109"/>
      <c r="B6" s="23" t="s">
        <v>6</v>
      </c>
      <c r="C6" s="23" t="s">
        <v>7</v>
      </c>
      <c r="D6" s="23" t="s">
        <v>2</v>
      </c>
      <c r="E6" s="107"/>
      <c r="F6" s="107"/>
      <c r="G6" s="107"/>
      <c r="H6" s="107"/>
      <c r="I6" s="107"/>
      <c r="J6" s="101"/>
      <c r="K6" s="107"/>
      <c r="L6" s="109"/>
    </row>
    <row r="7" spans="1:12" ht="14.1" customHeight="1">
      <c r="A7" s="41">
        <v>41579</v>
      </c>
      <c r="B7" s="39">
        <v>50</v>
      </c>
      <c r="C7" s="40">
        <v>50</v>
      </c>
      <c r="D7" s="28">
        <f t="shared" ref="D7:D18" si="0">SUM(B7:C7)</f>
        <v>100</v>
      </c>
      <c r="E7" s="48">
        <f>D7*0.0065</f>
        <v>0.65</v>
      </c>
      <c r="F7" s="48">
        <f>D7*0.03</f>
        <v>3</v>
      </c>
      <c r="G7" s="48">
        <f>D7*4.8%</f>
        <v>4.8</v>
      </c>
      <c r="H7" s="48">
        <f>D7*2.88%</f>
        <v>2.88</v>
      </c>
      <c r="I7" s="48">
        <f>B7*0.17</f>
        <v>8.5</v>
      </c>
      <c r="J7" s="48">
        <f>C7*0.05</f>
        <v>2.5</v>
      </c>
      <c r="K7" s="48">
        <f>B51*27.8%+(C51*20%)</f>
        <v>27.800000000000004</v>
      </c>
      <c r="L7" s="16">
        <f t="shared" ref="L7:L18" si="1">SUM(E7:K7)</f>
        <v>50.13</v>
      </c>
    </row>
    <row r="8" spans="1:12" ht="14.1" customHeight="1">
      <c r="A8" s="41">
        <v>41609</v>
      </c>
      <c r="B8" s="39">
        <v>50</v>
      </c>
      <c r="C8" s="40">
        <v>50</v>
      </c>
      <c r="D8" s="28">
        <f t="shared" si="0"/>
        <v>100</v>
      </c>
      <c r="E8" s="48">
        <f t="shared" ref="E8:E18" si="2">D8*0.0065</f>
        <v>0.65</v>
      </c>
      <c r="F8" s="48">
        <f t="shared" ref="F8:F18" si="3">D8*0.03</f>
        <v>3</v>
      </c>
      <c r="G8" s="48">
        <f t="shared" ref="G8:G18" si="4">D8*4.8%</f>
        <v>4.8</v>
      </c>
      <c r="H8" s="48">
        <f t="shared" ref="H8:H18" si="5">D8*2.88%</f>
        <v>2.88</v>
      </c>
      <c r="I8" s="48">
        <f t="shared" ref="I8:I18" si="6">B8*0.17</f>
        <v>8.5</v>
      </c>
      <c r="J8" s="48">
        <f t="shared" ref="J8:J18" si="7">C8*0.05</f>
        <v>2.5</v>
      </c>
      <c r="K8" s="48">
        <f t="shared" ref="K8:K18" si="8">B52*27.8%+(C52*20%)</f>
        <v>27.800000000000004</v>
      </c>
      <c r="L8" s="16">
        <f t="shared" si="1"/>
        <v>50.13</v>
      </c>
    </row>
    <row r="9" spans="1:12" ht="14.1" customHeight="1">
      <c r="A9" s="41">
        <v>41640</v>
      </c>
      <c r="B9" s="39">
        <v>50</v>
      </c>
      <c r="C9" s="40">
        <v>50</v>
      </c>
      <c r="D9" s="28">
        <f t="shared" si="0"/>
        <v>100</v>
      </c>
      <c r="E9" s="48">
        <f>D9*0.0065</f>
        <v>0.65</v>
      </c>
      <c r="F9" s="48">
        <f t="shared" si="3"/>
        <v>3</v>
      </c>
      <c r="G9" s="48">
        <f t="shared" si="4"/>
        <v>4.8</v>
      </c>
      <c r="H9" s="48">
        <f t="shared" si="5"/>
        <v>2.88</v>
      </c>
      <c r="I9" s="48">
        <f t="shared" si="6"/>
        <v>8.5</v>
      </c>
      <c r="J9" s="48">
        <f t="shared" si="7"/>
        <v>2.5</v>
      </c>
      <c r="K9" s="48">
        <f t="shared" si="8"/>
        <v>27.800000000000004</v>
      </c>
      <c r="L9" s="16">
        <f t="shared" si="1"/>
        <v>50.13</v>
      </c>
    </row>
    <row r="10" spans="1:12" ht="14.1" customHeight="1">
      <c r="A10" s="41">
        <v>41671</v>
      </c>
      <c r="B10" s="39">
        <v>50</v>
      </c>
      <c r="C10" s="40">
        <v>50</v>
      </c>
      <c r="D10" s="28">
        <f t="shared" si="0"/>
        <v>100</v>
      </c>
      <c r="E10" s="48">
        <f t="shared" si="2"/>
        <v>0.65</v>
      </c>
      <c r="F10" s="48">
        <f t="shared" si="3"/>
        <v>3</v>
      </c>
      <c r="G10" s="48">
        <f t="shared" si="4"/>
        <v>4.8</v>
      </c>
      <c r="H10" s="48">
        <f t="shared" si="5"/>
        <v>2.88</v>
      </c>
      <c r="I10" s="48">
        <f t="shared" si="6"/>
        <v>8.5</v>
      </c>
      <c r="J10" s="48">
        <f t="shared" si="7"/>
        <v>2.5</v>
      </c>
      <c r="K10" s="48">
        <f t="shared" si="8"/>
        <v>27.800000000000004</v>
      </c>
      <c r="L10" s="16">
        <f t="shared" si="1"/>
        <v>50.13</v>
      </c>
    </row>
    <row r="11" spans="1:12" ht="14.1" customHeight="1">
      <c r="A11" s="41">
        <v>41699</v>
      </c>
      <c r="B11" s="39">
        <v>50</v>
      </c>
      <c r="C11" s="40">
        <v>50</v>
      </c>
      <c r="D11" s="28">
        <f t="shared" si="0"/>
        <v>100</v>
      </c>
      <c r="E11" s="48">
        <f t="shared" si="2"/>
        <v>0.65</v>
      </c>
      <c r="F11" s="48">
        <f t="shared" si="3"/>
        <v>3</v>
      </c>
      <c r="G11" s="48">
        <f t="shared" si="4"/>
        <v>4.8</v>
      </c>
      <c r="H11" s="48">
        <f t="shared" si="5"/>
        <v>2.88</v>
      </c>
      <c r="I11" s="48">
        <f t="shared" si="6"/>
        <v>8.5</v>
      </c>
      <c r="J11" s="48">
        <f t="shared" si="7"/>
        <v>2.5</v>
      </c>
      <c r="K11" s="48">
        <f t="shared" si="8"/>
        <v>27.800000000000004</v>
      </c>
      <c r="L11" s="16">
        <f t="shared" si="1"/>
        <v>50.13</v>
      </c>
    </row>
    <row r="12" spans="1:12" ht="14.1" customHeight="1">
      <c r="A12" s="41">
        <v>41730</v>
      </c>
      <c r="B12" s="39">
        <v>50</v>
      </c>
      <c r="C12" s="40">
        <v>50</v>
      </c>
      <c r="D12" s="28">
        <f t="shared" si="0"/>
        <v>100</v>
      </c>
      <c r="E12" s="48">
        <f t="shared" si="2"/>
        <v>0.65</v>
      </c>
      <c r="F12" s="48">
        <f t="shared" si="3"/>
        <v>3</v>
      </c>
      <c r="G12" s="48">
        <f t="shared" si="4"/>
        <v>4.8</v>
      </c>
      <c r="H12" s="48">
        <f t="shared" si="5"/>
        <v>2.88</v>
      </c>
      <c r="I12" s="48">
        <f t="shared" si="6"/>
        <v>8.5</v>
      </c>
      <c r="J12" s="48">
        <f t="shared" si="7"/>
        <v>2.5</v>
      </c>
      <c r="K12" s="48">
        <f t="shared" si="8"/>
        <v>27.800000000000004</v>
      </c>
      <c r="L12" s="16">
        <f t="shared" si="1"/>
        <v>50.13</v>
      </c>
    </row>
    <row r="13" spans="1:12" ht="14.1" customHeight="1">
      <c r="A13" s="41">
        <v>41760</v>
      </c>
      <c r="B13" s="39">
        <v>50</v>
      </c>
      <c r="C13" s="40">
        <v>50</v>
      </c>
      <c r="D13" s="28">
        <f t="shared" si="0"/>
        <v>100</v>
      </c>
      <c r="E13" s="48">
        <f t="shared" si="2"/>
        <v>0.65</v>
      </c>
      <c r="F13" s="48">
        <f t="shared" si="3"/>
        <v>3</v>
      </c>
      <c r="G13" s="48">
        <f t="shared" si="4"/>
        <v>4.8</v>
      </c>
      <c r="H13" s="48">
        <f t="shared" si="5"/>
        <v>2.88</v>
      </c>
      <c r="I13" s="48">
        <f t="shared" si="6"/>
        <v>8.5</v>
      </c>
      <c r="J13" s="48">
        <f t="shared" si="7"/>
        <v>2.5</v>
      </c>
      <c r="K13" s="48">
        <f t="shared" si="8"/>
        <v>27.800000000000004</v>
      </c>
      <c r="L13" s="16">
        <f t="shared" si="1"/>
        <v>50.13</v>
      </c>
    </row>
    <row r="14" spans="1:12" ht="14.1" customHeight="1">
      <c r="A14" s="41">
        <v>41791</v>
      </c>
      <c r="B14" s="39">
        <v>50</v>
      </c>
      <c r="C14" s="40">
        <v>50</v>
      </c>
      <c r="D14" s="28">
        <f t="shared" si="0"/>
        <v>100</v>
      </c>
      <c r="E14" s="48">
        <f t="shared" si="2"/>
        <v>0.65</v>
      </c>
      <c r="F14" s="48">
        <f t="shared" si="3"/>
        <v>3</v>
      </c>
      <c r="G14" s="48">
        <f t="shared" si="4"/>
        <v>4.8</v>
      </c>
      <c r="H14" s="48">
        <f t="shared" si="5"/>
        <v>2.88</v>
      </c>
      <c r="I14" s="48">
        <f t="shared" si="6"/>
        <v>8.5</v>
      </c>
      <c r="J14" s="48">
        <f t="shared" si="7"/>
        <v>2.5</v>
      </c>
      <c r="K14" s="48">
        <f t="shared" si="8"/>
        <v>27.800000000000004</v>
      </c>
      <c r="L14" s="16">
        <f t="shared" si="1"/>
        <v>50.13</v>
      </c>
    </row>
    <row r="15" spans="1:12" ht="14.1" customHeight="1">
      <c r="A15" s="41">
        <v>41821</v>
      </c>
      <c r="B15" s="39">
        <v>50</v>
      </c>
      <c r="C15" s="40">
        <v>50</v>
      </c>
      <c r="D15" s="28">
        <f t="shared" si="0"/>
        <v>100</v>
      </c>
      <c r="E15" s="48">
        <f t="shared" si="2"/>
        <v>0.65</v>
      </c>
      <c r="F15" s="48">
        <f t="shared" si="3"/>
        <v>3</v>
      </c>
      <c r="G15" s="48">
        <f t="shared" si="4"/>
        <v>4.8</v>
      </c>
      <c r="H15" s="48">
        <f t="shared" si="5"/>
        <v>2.88</v>
      </c>
      <c r="I15" s="48">
        <f t="shared" si="6"/>
        <v>8.5</v>
      </c>
      <c r="J15" s="48">
        <f t="shared" si="7"/>
        <v>2.5</v>
      </c>
      <c r="K15" s="48">
        <f t="shared" si="8"/>
        <v>27.800000000000004</v>
      </c>
      <c r="L15" s="16">
        <f t="shared" si="1"/>
        <v>50.13</v>
      </c>
    </row>
    <row r="16" spans="1:12" ht="14.1" customHeight="1">
      <c r="A16" s="41">
        <v>41852</v>
      </c>
      <c r="B16" s="39">
        <v>50</v>
      </c>
      <c r="C16" s="40">
        <v>50</v>
      </c>
      <c r="D16" s="28">
        <f t="shared" si="0"/>
        <v>100</v>
      </c>
      <c r="E16" s="48">
        <f t="shared" si="2"/>
        <v>0.65</v>
      </c>
      <c r="F16" s="48">
        <f t="shared" si="3"/>
        <v>3</v>
      </c>
      <c r="G16" s="48">
        <f t="shared" si="4"/>
        <v>4.8</v>
      </c>
      <c r="H16" s="48">
        <f t="shared" si="5"/>
        <v>2.88</v>
      </c>
      <c r="I16" s="48">
        <f t="shared" si="6"/>
        <v>8.5</v>
      </c>
      <c r="J16" s="48">
        <f t="shared" si="7"/>
        <v>2.5</v>
      </c>
      <c r="K16" s="48">
        <f t="shared" si="8"/>
        <v>27.800000000000004</v>
      </c>
      <c r="L16" s="16">
        <f t="shared" si="1"/>
        <v>50.13</v>
      </c>
    </row>
    <row r="17" spans="1:12" ht="14.1" customHeight="1">
      <c r="A17" s="41">
        <v>41883</v>
      </c>
      <c r="B17" s="39">
        <v>50</v>
      </c>
      <c r="C17" s="40">
        <v>50</v>
      </c>
      <c r="D17" s="28">
        <f t="shared" si="0"/>
        <v>100</v>
      </c>
      <c r="E17" s="48">
        <f t="shared" si="2"/>
        <v>0.65</v>
      </c>
      <c r="F17" s="48">
        <f t="shared" si="3"/>
        <v>3</v>
      </c>
      <c r="G17" s="48">
        <f t="shared" si="4"/>
        <v>4.8</v>
      </c>
      <c r="H17" s="48">
        <f t="shared" si="5"/>
        <v>2.88</v>
      </c>
      <c r="I17" s="48">
        <f t="shared" si="6"/>
        <v>8.5</v>
      </c>
      <c r="J17" s="48">
        <f t="shared" si="7"/>
        <v>2.5</v>
      </c>
      <c r="K17" s="48">
        <f t="shared" si="8"/>
        <v>27.800000000000004</v>
      </c>
      <c r="L17" s="16">
        <f t="shared" si="1"/>
        <v>50.13</v>
      </c>
    </row>
    <row r="18" spans="1:12" ht="14.1" customHeight="1">
      <c r="A18" s="41">
        <v>41913</v>
      </c>
      <c r="B18" s="39">
        <v>50</v>
      </c>
      <c r="C18" s="40">
        <v>50</v>
      </c>
      <c r="D18" s="28">
        <f t="shared" si="0"/>
        <v>100</v>
      </c>
      <c r="E18" s="48">
        <f t="shared" si="2"/>
        <v>0.65</v>
      </c>
      <c r="F18" s="48">
        <f t="shared" si="3"/>
        <v>3</v>
      </c>
      <c r="G18" s="48">
        <f t="shared" si="4"/>
        <v>4.8</v>
      </c>
      <c r="H18" s="48">
        <f t="shared" si="5"/>
        <v>2.88</v>
      </c>
      <c r="I18" s="48">
        <f t="shared" si="6"/>
        <v>8.5</v>
      </c>
      <c r="J18" s="48">
        <f t="shared" si="7"/>
        <v>2.5</v>
      </c>
      <c r="K18" s="48">
        <f t="shared" si="8"/>
        <v>27.800000000000004</v>
      </c>
      <c r="L18" s="16">
        <f t="shared" si="1"/>
        <v>50.13</v>
      </c>
    </row>
    <row r="19" spans="1:12" ht="14.1" customHeight="1">
      <c r="A19" s="15" t="s">
        <v>2</v>
      </c>
      <c r="B19" s="4">
        <f t="shared" ref="B19:L19" si="9">SUM(B7:B18)</f>
        <v>600</v>
      </c>
      <c r="C19" s="2">
        <f t="shared" si="9"/>
        <v>600</v>
      </c>
      <c r="D19" s="7">
        <f t="shared" si="9"/>
        <v>1200</v>
      </c>
      <c r="E19" s="4">
        <f t="shared" si="9"/>
        <v>7.8000000000000016</v>
      </c>
      <c r="F19" s="4">
        <f t="shared" si="9"/>
        <v>36</v>
      </c>
      <c r="G19" s="3">
        <f t="shared" si="9"/>
        <v>57.599999999999987</v>
      </c>
      <c r="H19" s="3">
        <f t="shared" si="9"/>
        <v>34.559999999999995</v>
      </c>
      <c r="I19" s="4">
        <f t="shared" si="9"/>
        <v>102</v>
      </c>
      <c r="J19" s="3">
        <f t="shared" si="9"/>
        <v>30</v>
      </c>
      <c r="K19" s="4">
        <f t="shared" si="9"/>
        <v>333.60000000000008</v>
      </c>
      <c r="L19" s="8">
        <f t="shared" si="9"/>
        <v>601.56000000000006</v>
      </c>
    </row>
    <row r="20" spans="1:12" ht="6.75" customHeight="1"/>
    <row r="21" spans="1:12" ht="11.25" customHeight="1">
      <c r="C21" s="110" t="s">
        <v>20</v>
      </c>
      <c r="D21" s="111"/>
      <c r="E21" s="111"/>
      <c r="F21" s="111"/>
      <c r="G21" s="111"/>
      <c r="H21" s="111"/>
      <c r="I21" s="111"/>
      <c r="J21" s="112"/>
    </row>
    <row r="22" spans="1:12" ht="14.1" customHeight="1">
      <c r="C22" s="108" t="s">
        <v>0</v>
      </c>
      <c r="D22" s="113" t="s">
        <v>1</v>
      </c>
      <c r="E22" s="114"/>
      <c r="F22" s="114"/>
      <c r="G22" s="115"/>
      <c r="H22" s="102" t="s">
        <v>8</v>
      </c>
      <c r="I22" s="102" t="s">
        <v>9</v>
      </c>
      <c r="J22" s="104" t="s">
        <v>2</v>
      </c>
    </row>
    <row r="23" spans="1:12" ht="14.1" customHeight="1">
      <c r="C23" s="109"/>
      <c r="D23" s="24" t="s">
        <v>6</v>
      </c>
      <c r="E23" s="24" t="s">
        <v>7</v>
      </c>
      <c r="F23" s="24" t="s">
        <v>2</v>
      </c>
      <c r="G23" s="25" t="s">
        <v>22</v>
      </c>
      <c r="H23" s="103"/>
      <c r="I23" s="103"/>
      <c r="J23" s="105"/>
    </row>
    <row r="24" spans="1:12" ht="14.1" customHeight="1">
      <c r="C24" s="41">
        <v>41579</v>
      </c>
      <c r="D24" s="42">
        <f>B7</f>
        <v>50</v>
      </c>
      <c r="E24" s="39">
        <f t="shared" ref="E24:E35" si="10">C7</f>
        <v>50</v>
      </c>
      <c r="F24" s="49">
        <f>SUM(D24:E24)</f>
        <v>100</v>
      </c>
      <c r="G24" s="51">
        <f>B79</f>
        <v>1200</v>
      </c>
      <c r="H24" s="43">
        <v>0</v>
      </c>
      <c r="I24" s="43">
        <v>0</v>
      </c>
      <c r="J24" s="53">
        <f>D24*H24+E24*I24</f>
        <v>0</v>
      </c>
      <c r="L24" s="6"/>
    </row>
    <row r="25" spans="1:12" ht="14.1" customHeight="1">
      <c r="C25" s="41">
        <v>41609</v>
      </c>
      <c r="D25" s="42">
        <f>B8</f>
        <v>50</v>
      </c>
      <c r="E25" s="39">
        <f t="shared" si="10"/>
        <v>50</v>
      </c>
      <c r="F25" s="49">
        <f t="shared" ref="F25:F35" si="11">SUM(D25:E25)</f>
        <v>100</v>
      </c>
      <c r="G25" s="51">
        <f t="shared" ref="G25:G35" si="12">G24+F24-B67</f>
        <v>1200</v>
      </c>
      <c r="H25" s="43">
        <v>0</v>
      </c>
      <c r="I25" s="43">
        <v>0</v>
      </c>
      <c r="J25" s="53">
        <f t="shared" ref="J25:J35" si="13">D25*H25+E25*I25</f>
        <v>0</v>
      </c>
      <c r="L25" s="6"/>
    </row>
    <row r="26" spans="1:12" ht="14.1" customHeight="1">
      <c r="C26" s="41">
        <v>41640</v>
      </c>
      <c r="D26" s="42">
        <f t="shared" ref="D26:D35" si="14">B9</f>
        <v>50</v>
      </c>
      <c r="E26" s="39">
        <f t="shared" si="10"/>
        <v>50</v>
      </c>
      <c r="F26" s="49">
        <f t="shared" si="11"/>
        <v>100</v>
      </c>
      <c r="G26" s="51">
        <f t="shared" si="12"/>
        <v>1200</v>
      </c>
      <c r="H26" s="43">
        <v>0</v>
      </c>
      <c r="I26" s="43">
        <v>0</v>
      </c>
      <c r="J26" s="53">
        <f t="shared" si="13"/>
        <v>0</v>
      </c>
      <c r="L26" s="6"/>
    </row>
    <row r="27" spans="1:12" ht="14.1" customHeight="1">
      <c r="C27" s="41">
        <v>41671</v>
      </c>
      <c r="D27" s="42">
        <f t="shared" si="14"/>
        <v>50</v>
      </c>
      <c r="E27" s="39">
        <f t="shared" si="10"/>
        <v>50</v>
      </c>
      <c r="F27" s="49">
        <f t="shared" si="11"/>
        <v>100</v>
      </c>
      <c r="G27" s="51">
        <f t="shared" si="12"/>
        <v>1200</v>
      </c>
      <c r="H27" s="43">
        <v>0</v>
      </c>
      <c r="I27" s="43">
        <v>0</v>
      </c>
      <c r="J27" s="53">
        <f t="shared" si="13"/>
        <v>0</v>
      </c>
      <c r="L27" s="6"/>
    </row>
    <row r="28" spans="1:12" ht="14.1" customHeight="1">
      <c r="C28" s="41">
        <v>41699</v>
      </c>
      <c r="D28" s="42">
        <f t="shared" si="14"/>
        <v>50</v>
      </c>
      <c r="E28" s="39">
        <f t="shared" si="10"/>
        <v>50</v>
      </c>
      <c r="F28" s="49">
        <f t="shared" si="11"/>
        <v>100</v>
      </c>
      <c r="G28" s="51">
        <f t="shared" si="12"/>
        <v>1200</v>
      </c>
      <c r="H28" s="43">
        <v>0</v>
      </c>
      <c r="I28" s="43">
        <v>0</v>
      </c>
      <c r="J28" s="53">
        <f>D28*H28+E28*I28</f>
        <v>0</v>
      </c>
    </row>
    <row r="29" spans="1:12" ht="14.1" customHeight="1">
      <c r="C29" s="41">
        <v>41730</v>
      </c>
      <c r="D29" s="42">
        <f t="shared" si="14"/>
        <v>50</v>
      </c>
      <c r="E29" s="39">
        <f t="shared" si="10"/>
        <v>50</v>
      </c>
      <c r="F29" s="49">
        <f t="shared" si="11"/>
        <v>100</v>
      </c>
      <c r="G29" s="51">
        <f t="shared" si="12"/>
        <v>1200</v>
      </c>
      <c r="H29" s="43">
        <v>0</v>
      </c>
      <c r="I29" s="43">
        <v>0</v>
      </c>
      <c r="J29" s="53">
        <f>D29*H29+E29*I29</f>
        <v>0</v>
      </c>
    </row>
    <row r="30" spans="1:12" ht="14.1" customHeight="1">
      <c r="C30" s="41">
        <v>41760</v>
      </c>
      <c r="D30" s="42">
        <f t="shared" si="14"/>
        <v>50</v>
      </c>
      <c r="E30" s="39">
        <f t="shared" si="10"/>
        <v>50</v>
      </c>
      <c r="F30" s="49">
        <f t="shared" si="11"/>
        <v>100</v>
      </c>
      <c r="G30" s="51">
        <f t="shared" si="12"/>
        <v>1200</v>
      </c>
      <c r="H30" s="43">
        <v>0</v>
      </c>
      <c r="I30" s="43">
        <v>0</v>
      </c>
      <c r="J30" s="53">
        <f t="shared" si="13"/>
        <v>0</v>
      </c>
    </row>
    <row r="31" spans="1:12" ht="14.1" customHeight="1">
      <c r="C31" s="41">
        <v>41791</v>
      </c>
      <c r="D31" s="42">
        <f t="shared" si="14"/>
        <v>50</v>
      </c>
      <c r="E31" s="39">
        <f t="shared" si="10"/>
        <v>50</v>
      </c>
      <c r="F31" s="49">
        <f t="shared" si="11"/>
        <v>100</v>
      </c>
      <c r="G31" s="51">
        <f t="shared" si="12"/>
        <v>1200</v>
      </c>
      <c r="H31" s="43">
        <v>0</v>
      </c>
      <c r="I31" s="43">
        <v>0</v>
      </c>
      <c r="J31" s="53">
        <f t="shared" si="13"/>
        <v>0</v>
      </c>
    </row>
    <row r="32" spans="1:12" ht="14.1" customHeight="1">
      <c r="C32" s="41">
        <v>41821</v>
      </c>
      <c r="D32" s="42">
        <f t="shared" si="14"/>
        <v>50</v>
      </c>
      <c r="E32" s="39">
        <f t="shared" si="10"/>
        <v>50</v>
      </c>
      <c r="F32" s="49">
        <f t="shared" si="11"/>
        <v>100</v>
      </c>
      <c r="G32" s="51">
        <f t="shared" si="12"/>
        <v>1200</v>
      </c>
      <c r="H32" s="43">
        <v>0</v>
      </c>
      <c r="I32" s="43">
        <v>0</v>
      </c>
      <c r="J32" s="53">
        <f t="shared" si="13"/>
        <v>0</v>
      </c>
    </row>
    <row r="33" spans="1:12" ht="14.1" customHeight="1">
      <c r="C33" s="41">
        <v>41852</v>
      </c>
      <c r="D33" s="42">
        <f t="shared" si="14"/>
        <v>50</v>
      </c>
      <c r="E33" s="39">
        <f t="shared" si="10"/>
        <v>50</v>
      </c>
      <c r="F33" s="49">
        <f t="shared" si="11"/>
        <v>100</v>
      </c>
      <c r="G33" s="51">
        <f t="shared" si="12"/>
        <v>1200</v>
      </c>
      <c r="H33" s="43">
        <v>0</v>
      </c>
      <c r="I33" s="43">
        <v>0</v>
      </c>
      <c r="J33" s="53">
        <f t="shared" si="13"/>
        <v>0</v>
      </c>
      <c r="L33" t="s">
        <v>26</v>
      </c>
    </row>
    <row r="34" spans="1:12" ht="14.1" customHeight="1">
      <c r="C34" s="41">
        <v>41883</v>
      </c>
      <c r="D34" s="42">
        <f t="shared" si="14"/>
        <v>50</v>
      </c>
      <c r="E34" s="39">
        <f t="shared" si="10"/>
        <v>50</v>
      </c>
      <c r="F34" s="49">
        <f t="shared" si="11"/>
        <v>100</v>
      </c>
      <c r="G34" s="51">
        <f t="shared" si="12"/>
        <v>1200</v>
      </c>
      <c r="H34" s="43">
        <v>0</v>
      </c>
      <c r="I34" s="43">
        <v>0</v>
      </c>
      <c r="J34" s="53">
        <f t="shared" si="13"/>
        <v>0</v>
      </c>
    </row>
    <row r="35" spans="1:12" ht="14.1" customHeight="1">
      <c r="C35" s="41">
        <v>41913</v>
      </c>
      <c r="D35" s="42">
        <f t="shared" si="14"/>
        <v>50</v>
      </c>
      <c r="E35" s="39">
        <f t="shared" si="10"/>
        <v>50</v>
      </c>
      <c r="F35" s="49">
        <f t="shared" si="11"/>
        <v>100</v>
      </c>
      <c r="G35" s="51">
        <f t="shared" si="12"/>
        <v>1200</v>
      </c>
      <c r="H35" s="43">
        <v>0</v>
      </c>
      <c r="I35" s="43">
        <v>0</v>
      </c>
      <c r="J35" s="53">
        <f t="shared" si="13"/>
        <v>0</v>
      </c>
    </row>
    <row r="36" spans="1:12" ht="14.1" customHeight="1">
      <c r="C36" s="15" t="s">
        <v>2</v>
      </c>
      <c r="D36" s="4">
        <f>SUM(D24:D35)</f>
        <v>600</v>
      </c>
      <c r="E36" s="4">
        <f>SUM(E24:E35)</f>
        <v>600</v>
      </c>
      <c r="F36" s="50">
        <f>SUM(F24:F35)</f>
        <v>1200</v>
      </c>
      <c r="G36" s="52" t="s">
        <v>21</v>
      </c>
      <c r="H36" s="5" t="s">
        <v>21</v>
      </c>
      <c r="I36" s="5" t="s">
        <v>21</v>
      </c>
      <c r="J36" s="54">
        <f>SUM(J24:J35)</f>
        <v>0</v>
      </c>
    </row>
    <row r="37" spans="1:12" ht="10.5" customHeight="1" thickBot="1">
      <c r="A37" s="1"/>
      <c r="B37" s="10"/>
      <c r="C37" s="10"/>
      <c r="F37" s="11"/>
      <c r="G37" s="10"/>
      <c r="H37" s="10"/>
      <c r="I37" s="12"/>
      <c r="J37" s="13"/>
      <c r="K37" s="13"/>
      <c r="L37" s="14"/>
    </row>
    <row r="38" spans="1:12" ht="14.1" customHeight="1" thickBot="1">
      <c r="A38" s="92" t="s">
        <v>16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 s="1" customFormat="1" ht="12.75" customHeight="1" thickBot="1">
      <c r="A39" s="55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7"/>
    </row>
    <row r="40" spans="1:12" ht="15.75" thickBot="1">
      <c r="A40" s="58"/>
      <c r="B40" s="89" t="s">
        <v>12</v>
      </c>
      <c r="C40" s="90"/>
      <c r="D40" s="90"/>
      <c r="E40" s="91"/>
      <c r="F40" s="59">
        <f>L19</f>
        <v>601.56000000000006</v>
      </c>
      <c r="G40" s="60"/>
      <c r="H40" s="60"/>
      <c r="I40" s="60"/>
      <c r="J40" s="60"/>
      <c r="K40" s="60"/>
      <c r="L40" s="61"/>
    </row>
    <row r="41" spans="1:12" ht="14.1" customHeight="1" thickBot="1">
      <c r="A41" s="62"/>
      <c r="B41" s="63"/>
      <c r="C41" s="63"/>
      <c r="D41" s="63"/>
      <c r="E41" s="63"/>
      <c r="F41" s="64"/>
      <c r="G41" s="65"/>
      <c r="H41" s="95" t="s">
        <v>11</v>
      </c>
      <c r="I41" s="96"/>
      <c r="J41" s="87">
        <f>F40-F42</f>
        <v>601.56000000000006</v>
      </c>
      <c r="K41" s="88"/>
      <c r="L41" s="66"/>
    </row>
    <row r="42" spans="1:12" ht="19.5" customHeight="1" thickBot="1">
      <c r="A42" s="58"/>
      <c r="B42" s="89" t="s">
        <v>13</v>
      </c>
      <c r="C42" s="90"/>
      <c r="D42" s="90"/>
      <c r="E42" s="91"/>
      <c r="F42" s="59">
        <f>J36</f>
        <v>0</v>
      </c>
      <c r="G42" s="65"/>
      <c r="H42" s="64"/>
      <c r="I42" s="64"/>
      <c r="J42" s="67"/>
      <c r="K42" s="68"/>
      <c r="L42" s="66"/>
    </row>
    <row r="43" spans="1:12" ht="13.5" customHeight="1" thickBot="1">
      <c r="A43" s="69"/>
      <c r="B43" s="70"/>
      <c r="C43" s="70"/>
      <c r="D43" s="70"/>
      <c r="E43" s="70"/>
      <c r="F43" s="70"/>
      <c r="G43" s="71"/>
      <c r="H43" s="95" t="s">
        <v>10</v>
      </c>
      <c r="I43" s="121"/>
      <c r="J43" s="127" t="str">
        <f>IF(J41&gt;0,"SIMPLES NACIONAL",IF(J41&lt;0,"PRESUMIDO"))</f>
        <v>SIMPLES NACIONAL</v>
      </c>
      <c r="K43" s="128"/>
      <c r="L43" s="72"/>
    </row>
    <row r="44" spans="1:12" ht="13.5" customHeight="1">
      <c r="A44" s="60"/>
      <c r="B44" s="60"/>
      <c r="C44" s="60"/>
      <c r="D44" s="60"/>
      <c r="E44" s="60"/>
      <c r="F44" s="60"/>
      <c r="G44" s="76"/>
      <c r="H44" s="77"/>
      <c r="I44" s="77"/>
      <c r="J44" s="78"/>
      <c r="K44" s="78"/>
      <c r="L44" s="76"/>
    </row>
    <row r="45" spans="1:12" ht="13.5" customHeight="1">
      <c r="A45" s="60"/>
      <c r="B45" s="60"/>
      <c r="C45" s="60"/>
      <c r="D45" s="60"/>
      <c r="E45" s="60"/>
      <c r="F45" s="60"/>
      <c r="G45" s="76"/>
      <c r="H45" s="77"/>
      <c r="I45" s="77"/>
      <c r="J45" s="78"/>
      <c r="K45" s="78"/>
      <c r="L45" s="76"/>
    </row>
    <row r="46" spans="1:12">
      <c r="A46" s="86" t="str">
        <f>A1</f>
        <v xml:space="preserve">PLANILHA DE COMPARAÇÃO: PRESUMIDO X SIMPLES NACIONAL 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0" t="s">
        <v>40</v>
      </c>
    </row>
    <row r="47" spans="1:12">
      <c r="A47" s="9"/>
      <c r="B47" s="34" t="s">
        <v>17</v>
      </c>
      <c r="C47" s="125" t="str">
        <f>C2</f>
        <v>EMPRESA MODELO</v>
      </c>
      <c r="D47" s="125"/>
      <c r="E47" s="125"/>
      <c r="F47" s="36" t="s">
        <v>18</v>
      </c>
      <c r="G47" s="125" t="str">
        <f>G2</f>
        <v>00.000.000/0001-00</v>
      </c>
      <c r="H47" s="125"/>
      <c r="I47" s="38" t="s">
        <v>38</v>
      </c>
      <c r="J47" s="126" t="str">
        <f>J2</f>
        <v>NOV/2013 a OUT/2014</v>
      </c>
      <c r="K47" s="126"/>
      <c r="L47" s="35"/>
    </row>
    <row r="48" spans="1:12">
      <c r="A48" s="18"/>
      <c r="B48" s="19"/>
      <c r="C48" s="19"/>
      <c r="D48" s="19"/>
      <c r="E48" s="19"/>
      <c r="F48" s="19"/>
      <c r="G48" s="18"/>
      <c r="H48" s="6"/>
      <c r="I48" s="6"/>
    </row>
    <row r="49" spans="1:11">
      <c r="A49" s="122" t="s">
        <v>24</v>
      </c>
      <c r="B49" s="123"/>
      <c r="C49" s="124"/>
      <c r="D49" s="19"/>
      <c r="E49" s="130" t="s">
        <v>27</v>
      </c>
      <c r="F49" s="130"/>
      <c r="G49" s="130"/>
      <c r="H49" s="130"/>
      <c r="I49" s="130"/>
      <c r="J49" s="130"/>
      <c r="K49" s="130"/>
    </row>
    <row r="50" spans="1:11">
      <c r="A50" s="26" t="s">
        <v>0</v>
      </c>
      <c r="B50" s="27" t="s">
        <v>14</v>
      </c>
      <c r="C50" s="26" t="s">
        <v>15</v>
      </c>
      <c r="D50" s="19"/>
      <c r="G50" s="20"/>
      <c r="H50" s="29"/>
      <c r="I50" s="29"/>
      <c r="J50" s="30"/>
      <c r="K50" s="31"/>
    </row>
    <row r="51" spans="1:11">
      <c r="A51" s="44">
        <v>41579</v>
      </c>
      <c r="B51" s="45">
        <v>100</v>
      </c>
      <c r="C51" s="46">
        <v>0</v>
      </c>
      <c r="D51" s="19"/>
      <c r="G51" s="22"/>
      <c r="H51" s="29"/>
      <c r="I51" s="29"/>
      <c r="K51" s="31"/>
    </row>
    <row r="52" spans="1:11">
      <c r="A52" s="44">
        <v>41609</v>
      </c>
      <c r="B52" s="45">
        <v>100</v>
      </c>
      <c r="C52" s="46">
        <v>0</v>
      </c>
      <c r="D52" s="19"/>
      <c r="G52" s="22"/>
      <c r="H52" s="29"/>
      <c r="I52" s="29"/>
      <c r="K52" s="31"/>
    </row>
    <row r="53" spans="1:11">
      <c r="A53" s="44">
        <v>41640</v>
      </c>
      <c r="B53" s="45">
        <v>100</v>
      </c>
      <c r="C53" s="46">
        <v>0</v>
      </c>
      <c r="D53" s="19"/>
      <c r="G53" s="22"/>
      <c r="H53" s="29"/>
      <c r="I53" s="29"/>
      <c r="K53" s="31"/>
    </row>
    <row r="54" spans="1:11">
      <c r="A54" s="44">
        <v>41671</v>
      </c>
      <c r="B54" s="45">
        <v>100</v>
      </c>
      <c r="C54" s="46">
        <v>0</v>
      </c>
      <c r="D54" s="19"/>
      <c r="G54" s="22"/>
      <c r="H54" s="29"/>
      <c r="I54" s="29"/>
    </row>
    <row r="55" spans="1:11">
      <c r="A55" s="44">
        <v>41699</v>
      </c>
      <c r="B55" s="45">
        <v>100</v>
      </c>
      <c r="C55" s="46">
        <v>0</v>
      </c>
      <c r="D55" s="19"/>
      <c r="G55" s="22"/>
      <c r="H55" s="29"/>
      <c r="I55" s="29"/>
    </row>
    <row r="56" spans="1:11">
      <c r="A56" s="44">
        <v>41730</v>
      </c>
      <c r="B56" s="45">
        <v>100</v>
      </c>
      <c r="C56" s="46">
        <v>0</v>
      </c>
      <c r="D56" s="19"/>
      <c r="G56" s="22"/>
      <c r="H56" s="29"/>
      <c r="I56" s="29"/>
    </row>
    <row r="57" spans="1:11">
      <c r="A57" s="44">
        <v>41760</v>
      </c>
      <c r="B57" s="45">
        <v>100</v>
      </c>
      <c r="C57" s="46">
        <v>0</v>
      </c>
      <c r="D57" s="19"/>
      <c r="G57" s="22"/>
      <c r="H57" s="29"/>
      <c r="I57" s="29"/>
    </row>
    <row r="58" spans="1:11">
      <c r="A58" s="44">
        <v>41791</v>
      </c>
      <c r="B58" s="45">
        <v>100</v>
      </c>
      <c r="C58" s="46">
        <v>0</v>
      </c>
      <c r="D58" s="19"/>
      <c r="G58" s="22"/>
      <c r="H58" s="29"/>
      <c r="I58" s="29"/>
    </row>
    <row r="59" spans="1:11">
      <c r="A59" s="44">
        <v>41821</v>
      </c>
      <c r="B59" s="45">
        <v>100</v>
      </c>
      <c r="C59" s="46">
        <v>0</v>
      </c>
      <c r="D59" s="19"/>
      <c r="G59" s="22"/>
      <c r="H59" s="29"/>
      <c r="I59" s="29"/>
    </row>
    <row r="60" spans="1:11">
      <c r="A60" s="44">
        <v>41852</v>
      </c>
      <c r="B60" s="45">
        <v>100</v>
      </c>
      <c r="C60" s="46">
        <v>0</v>
      </c>
      <c r="D60" s="19"/>
      <c r="G60" s="22"/>
      <c r="H60" s="29"/>
      <c r="I60" s="29"/>
    </row>
    <row r="61" spans="1:11">
      <c r="A61" s="44">
        <v>41883</v>
      </c>
      <c r="B61" s="45">
        <v>100</v>
      </c>
      <c r="C61" s="46">
        <v>0</v>
      </c>
      <c r="D61" s="19"/>
      <c r="G61" s="22"/>
      <c r="H61" s="29"/>
      <c r="I61" s="29"/>
    </row>
    <row r="62" spans="1:11">
      <c r="A62" s="44">
        <v>41913</v>
      </c>
      <c r="B62" s="45">
        <v>100</v>
      </c>
      <c r="C62" s="46">
        <v>0</v>
      </c>
      <c r="D62" s="19"/>
      <c r="G62" s="22"/>
      <c r="H62" s="29"/>
      <c r="I62" s="29"/>
    </row>
    <row r="63" spans="1:11">
      <c r="A63" s="32" t="s">
        <v>2</v>
      </c>
      <c r="B63" s="21">
        <f>SUM(B51:B62)</f>
        <v>1200</v>
      </c>
      <c r="C63" s="17">
        <f>SUM(C51:C62)</f>
        <v>0</v>
      </c>
      <c r="D63" s="19"/>
      <c r="G63" s="22"/>
      <c r="H63" s="29"/>
      <c r="I63" s="29"/>
    </row>
    <row r="64" spans="1:11">
      <c r="H64" s="6"/>
      <c r="I64" s="6"/>
    </row>
    <row r="65" spans="1:2">
      <c r="A65" s="122" t="s">
        <v>23</v>
      </c>
      <c r="B65" s="129"/>
    </row>
    <row r="66" spans="1:2">
      <c r="A66" s="26" t="s">
        <v>0</v>
      </c>
      <c r="B66" s="26" t="s">
        <v>25</v>
      </c>
    </row>
    <row r="67" spans="1:2">
      <c r="A67" s="47">
        <v>41214</v>
      </c>
      <c r="B67" s="45">
        <v>100</v>
      </c>
    </row>
    <row r="68" spans="1:2">
      <c r="A68" s="47">
        <v>41244</v>
      </c>
      <c r="B68" s="45">
        <v>100</v>
      </c>
    </row>
    <row r="69" spans="1:2">
      <c r="A69" s="47">
        <v>41275</v>
      </c>
      <c r="B69" s="45">
        <v>100</v>
      </c>
    </row>
    <row r="70" spans="1:2">
      <c r="A70" s="47">
        <v>41306</v>
      </c>
      <c r="B70" s="45">
        <v>100</v>
      </c>
    </row>
    <row r="71" spans="1:2">
      <c r="A71" s="47">
        <v>41334</v>
      </c>
      <c r="B71" s="45">
        <v>100</v>
      </c>
    </row>
    <row r="72" spans="1:2">
      <c r="A72" s="47">
        <v>41365</v>
      </c>
      <c r="B72" s="45">
        <v>100</v>
      </c>
    </row>
    <row r="73" spans="1:2">
      <c r="A73" s="47">
        <v>41395</v>
      </c>
      <c r="B73" s="45">
        <v>100</v>
      </c>
    </row>
    <row r="74" spans="1:2">
      <c r="A74" s="47">
        <v>41426</v>
      </c>
      <c r="B74" s="45">
        <v>100</v>
      </c>
    </row>
    <row r="75" spans="1:2">
      <c r="A75" s="47">
        <v>41456</v>
      </c>
      <c r="B75" s="45">
        <v>100</v>
      </c>
    </row>
    <row r="76" spans="1:2">
      <c r="A76" s="47">
        <v>41487</v>
      </c>
      <c r="B76" s="45">
        <v>100</v>
      </c>
    </row>
    <row r="77" spans="1:2">
      <c r="A77" s="47">
        <v>41518</v>
      </c>
      <c r="B77" s="45">
        <v>100</v>
      </c>
    </row>
    <row r="78" spans="1:2">
      <c r="A78" s="47">
        <v>41548</v>
      </c>
      <c r="B78" s="45">
        <v>100</v>
      </c>
    </row>
    <row r="79" spans="1:2">
      <c r="A79" s="33" t="s">
        <v>28</v>
      </c>
      <c r="B79" s="17">
        <f>SUM(B67:B78)</f>
        <v>1200</v>
      </c>
    </row>
    <row r="80" spans="1:2"/>
    <row r="81" spans="1:12">
      <c r="A81" s="6"/>
      <c r="B81" s="120" t="s">
        <v>32</v>
      </c>
      <c r="C81" s="120"/>
      <c r="D81" s="120"/>
      <c r="E81" s="120"/>
      <c r="F81" s="120"/>
      <c r="G81" s="119" t="s">
        <v>29</v>
      </c>
      <c r="H81" s="119"/>
      <c r="I81" s="119"/>
      <c r="J81" s="119"/>
      <c r="K81" s="119"/>
      <c r="L81" s="29"/>
    </row>
    <row r="82" spans="1:12" hidden="1"/>
  </sheetData>
  <sheetProtection password="CCF5" sheet="1" objects="1" scenarios="1"/>
  <mergeCells count="37">
    <mergeCell ref="A5:A6"/>
    <mergeCell ref="E5:E6"/>
    <mergeCell ref="F5:F6"/>
    <mergeCell ref="G5:G6"/>
    <mergeCell ref="G81:K81"/>
    <mergeCell ref="B81:F81"/>
    <mergeCell ref="B42:E42"/>
    <mergeCell ref="H43:I43"/>
    <mergeCell ref="A49:C49"/>
    <mergeCell ref="C47:E47"/>
    <mergeCell ref="G47:H47"/>
    <mergeCell ref="J47:K47"/>
    <mergeCell ref="J43:K43"/>
    <mergeCell ref="A65:B65"/>
    <mergeCell ref="E49:K49"/>
    <mergeCell ref="H5:H6"/>
    <mergeCell ref="I5:I6"/>
    <mergeCell ref="C21:J21"/>
    <mergeCell ref="C22:C23"/>
    <mergeCell ref="D22:G22"/>
    <mergeCell ref="B5:D5"/>
    <mergeCell ref="C2:E2"/>
    <mergeCell ref="G2:H2"/>
    <mergeCell ref="J2:K2"/>
    <mergeCell ref="A46:K46"/>
    <mergeCell ref="A1:K1"/>
    <mergeCell ref="J41:K41"/>
    <mergeCell ref="B40:E40"/>
    <mergeCell ref="A38:L38"/>
    <mergeCell ref="H41:I41"/>
    <mergeCell ref="A4:L4"/>
    <mergeCell ref="J5:J6"/>
    <mergeCell ref="H22:H23"/>
    <mergeCell ref="I22:I23"/>
    <mergeCell ref="J22:J23"/>
    <mergeCell ref="K5:K6"/>
    <mergeCell ref="L5:L6"/>
  </mergeCells>
  <conditionalFormatting sqref="J43:K45">
    <cfRule type="cellIs" dxfId="0" priority="6" operator="greaterThan">
      <formula>0</formula>
    </cfRule>
  </conditionalFormatting>
  <hyperlinks>
    <hyperlink ref="G81:K81" r:id="rId1" display="Francinaldo Castro &gt;&gt; fracinaldo.orccap@hotmail.com"/>
  </hyperlinks>
  <pageMargins left="0.08" right="7.0000000000000007E-2" top="0.23622047244094491" bottom="0.19685039370078741" header="0.15748031496062992" footer="0.11811023622047245"/>
  <pageSetup paperSize="9" scale="98" orientation="landscape" r:id="rId2"/>
  <ignoredErrors>
    <ignoredError sqref="D7 D8:D18" formulaRange="1"/>
    <ignoredError sqref="D25:H25 F42 J41 J43 D24:F24 G24 D27:H27 D26:F26 G26:H26 E7 E9:K18 D29:H35 D28:H28 J29:J36 J25:J26 J27 J28 J24 F40 G47 J47 E8:F8 G8:K8 C47 G7:K7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Orccap</dc:creator>
  <cp:lastModifiedBy>Orccap</cp:lastModifiedBy>
  <cp:lastPrinted>2014-11-27T19:46:33Z</cp:lastPrinted>
  <dcterms:created xsi:type="dcterms:W3CDTF">2014-11-05T17:09:40Z</dcterms:created>
  <dcterms:modified xsi:type="dcterms:W3CDTF">2014-11-27T19:53:46Z</dcterms:modified>
</cp:coreProperties>
</file>