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sson\Desktop\"/>
    </mc:Choice>
  </mc:AlternateContent>
  <bookViews>
    <workbookView xWindow="0" yWindow="0" windowWidth="28800" windowHeight="12435" tabRatio="735"/>
  </bookViews>
  <sheets>
    <sheet name="CS e IR" sheetId="12" r:id="rId1"/>
    <sheet name="PIS e COFINS" sheetId="13" r:id="rId2"/>
  </sheets>
  <definedNames>
    <definedName name="_xlnm.Print_Area" localSheetId="0">'CS e IR'!$B$11:$F$55,'CS e IR'!$H$11:$L$58</definedName>
    <definedName name="_xlnm.Print_Area" localSheetId="1">'PIS e COFINS'!$B$11:$G$43,'PIS e COFINS'!$I$11:$N$43</definedName>
  </definedNames>
  <calcPr calcId="152511"/>
</workbook>
</file>

<file path=xl/calcChain.xml><?xml version="1.0" encoding="utf-8"?>
<calcChain xmlns="http://schemas.openxmlformats.org/spreadsheetml/2006/main">
  <c r="I39" i="13" l="1"/>
  <c r="I40" i="13"/>
  <c r="I41" i="13"/>
  <c r="I38" i="13"/>
  <c r="I28" i="13"/>
  <c r="I19" i="13"/>
  <c r="I12" i="13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29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15" i="12"/>
  <c r="I12" i="12"/>
  <c r="I14" i="12"/>
  <c r="N11" i="13" l="1"/>
  <c r="L11" i="12"/>
  <c r="K48" i="12" s="1"/>
  <c r="N38" i="13"/>
  <c r="G38" i="13"/>
  <c r="M36" i="13"/>
  <c r="N36" i="13" s="1"/>
  <c r="G36" i="13"/>
  <c r="M35" i="13"/>
  <c r="N35" i="13" s="1"/>
  <c r="G35" i="13"/>
  <c r="F34" i="13"/>
  <c r="G34" i="13" s="1"/>
  <c r="M33" i="13"/>
  <c r="N33" i="13" s="1"/>
  <c r="G33" i="13"/>
  <c r="M32" i="13"/>
  <c r="N32" i="13" s="1"/>
  <c r="G32" i="13"/>
  <c r="F31" i="13"/>
  <c r="G31" i="13" s="1"/>
  <c r="F30" i="13"/>
  <c r="G30" i="13" s="1"/>
  <c r="M29" i="13"/>
  <c r="N29" i="13" s="1"/>
  <c r="G29" i="13"/>
  <c r="N24" i="13"/>
  <c r="N23" i="13"/>
  <c r="N22" i="13"/>
  <c r="N21" i="13"/>
  <c r="N20" i="13"/>
  <c r="G19" i="13"/>
  <c r="N18" i="13"/>
  <c r="N17" i="13"/>
  <c r="N16" i="13"/>
  <c r="N15" i="13"/>
  <c r="G14" i="13"/>
  <c r="N14" i="13" s="1"/>
  <c r="N13" i="13"/>
  <c r="N12" i="13" l="1"/>
  <c r="N19" i="13"/>
  <c r="G28" i="13"/>
  <c r="M30" i="13"/>
  <c r="N30" i="13" s="1"/>
  <c r="M31" i="13"/>
  <c r="N31" i="13" s="1"/>
  <c r="M34" i="13"/>
  <c r="N34" i="13" s="1"/>
  <c r="G12" i="13"/>
  <c r="G25" i="13" s="1"/>
  <c r="G27" i="13" s="1"/>
  <c r="G37" i="13" s="1"/>
  <c r="G43" i="13" s="1"/>
  <c r="B43" i="13" s="1"/>
  <c r="N25" i="13" l="1"/>
  <c r="N27" i="13" s="1"/>
  <c r="N28" i="13"/>
  <c r="N37" i="13" s="1"/>
  <c r="N43" i="13" s="1"/>
  <c r="I43" i="13" s="1"/>
  <c r="L31" i="12"/>
  <c r="L32" i="12"/>
  <c r="L33" i="12"/>
  <c r="L34" i="12"/>
  <c r="L35" i="12"/>
  <c r="L36" i="12"/>
  <c r="L37" i="12"/>
  <c r="L38" i="12"/>
  <c r="L39" i="12"/>
  <c r="L40" i="12"/>
  <c r="L41" i="12"/>
  <c r="L42" i="12"/>
  <c r="L30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15" i="12"/>
  <c r="L12" i="12"/>
  <c r="L52" i="12"/>
  <c r="L29" i="12"/>
  <c r="L44" i="12" l="1"/>
  <c r="L14" i="12"/>
  <c r="L45" i="12" s="1"/>
  <c r="L46" i="12" s="1"/>
  <c r="F50" i="12"/>
  <c r="F14" i="12"/>
  <c r="F44" i="12" s="1"/>
  <c r="F29" i="12"/>
  <c r="L48" i="12" l="1"/>
  <c r="L47" i="12"/>
  <c r="L50" i="12" l="1"/>
  <c r="F45" i="12"/>
  <c r="F46" i="12" s="1"/>
  <c r="L58" i="12" l="1"/>
  <c r="I58" i="12" s="1"/>
  <c r="F48" i="12"/>
  <c r="F55" i="12" l="1"/>
  <c r="C55" i="12" s="1"/>
</calcChain>
</file>

<file path=xl/comments1.xml><?xml version="1.0" encoding="utf-8"?>
<comments xmlns="http://schemas.openxmlformats.org/spreadsheetml/2006/main">
  <authors>
    <author>User</author>
    <author>Guilherme</author>
  </authors>
  <commentList>
    <comment ref="F2" authorId="0" shapeId="0">
      <text>
        <r>
          <rPr>
            <sz val="9"/>
            <color indexed="81"/>
            <rFont val="Segoe UI"/>
            <family val="2"/>
          </rPr>
          <t>Para liberar a planilha será necessária uma doação, consulte desbloqueio de Planilhas Mestre</t>
        </r>
      </text>
    </comment>
    <comment ref="F29" authorId="1" shapeId="0">
      <text>
        <r>
          <rPr>
            <sz val="8"/>
            <color indexed="81"/>
            <rFont val="Tahoma"/>
            <family val="2"/>
          </rPr>
          <t>Este valor deve ser NEGATIVO.</t>
        </r>
      </text>
    </comment>
    <comment ref="L29" authorId="1" shapeId="0">
      <text>
        <r>
          <rPr>
            <sz val="8"/>
            <color indexed="81"/>
            <rFont val="Tahoma"/>
            <family val="2"/>
          </rPr>
          <t>Este valor deve ser NEGATIVO.</t>
        </r>
      </text>
    </comment>
    <comment ref="E45" authorId="1" shapeId="0">
      <text>
        <r>
          <rPr>
            <sz val="8"/>
            <color indexed="81"/>
            <rFont val="Tahoma"/>
            <family val="2"/>
          </rPr>
          <t>Informe: SIM ou NÃO</t>
        </r>
      </text>
    </comment>
    <comment ref="K45" authorId="1" shapeId="0">
      <text>
        <r>
          <rPr>
            <sz val="8"/>
            <color indexed="81"/>
            <rFont val="Tahoma"/>
            <family val="2"/>
          </rPr>
          <t>Informe: SIM ou NÃO</t>
        </r>
      </text>
    </comment>
    <comment ref="F50" authorId="1" shapeId="0">
      <text>
        <r>
          <rPr>
            <sz val="8"/>
            <color indexed="81"/>
            <rFont val="Tahoma"/>
            <family val="2"/>
          </rPr>
          <t>Este valor deve ser NEGATIVO.</t>
        </r>
      </text>
    </comment>
    <comment ref="L52" authorId="1" shapeId="0">
      <text>
        <r>
          <rPr>
            <sz val="8"/>
            <color indexed="81"/>
            <rFont val="Tahoma"/>
            <family val="2"/>
          </rPr>
          <t>Este valor deve ser NEGATIVO.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G2" authorId="0" shapeId="0">
      <text>
        <r>
          <rPr>
            <sz val="9"/>
            <color indexed="81"/>
            <rFont val="Segoe UI"/>
            <family val="2"/>
          </rPr>
          <t>Para liberar a planilha será necessária uma doação, consulte desbloqueio de Planilhas Mestre</t>
        </r>
      </text>
    </comment>
  </commentList>
</comments>
</file>

<file path=xl/sharedStrings.xml><?xml version="1.0" encoding="utf-8"?>
<sst xmlns="http://schemas.openxmlformats.org/spreadsheetml/2006/main" count="148" uniqueCount="99">
  <si>
    <t>Compensações do I.R.P.J.</t>
  </si>
  <si>
    <t>Compensações da Contribuição Social</t>
  </si>
  <si>
    <t>+</t>
  </si>
  <si>
    <t>-</t>
  </si>
  <si>
    <t>=</t>
  </si>
  <si>
    <t>IRPJ Base Negativa Exercícios Anteriores</t>
  </si>
  <si>
    <t>Doações e Brindes;</t>
  </si>
  <si>
    <t>Lucro Inflacionário apurado até 31/12/1995;</t>
  </si>
  <si>
    <t>Recibos sem especificação da fonte recebedora;</t>
  </si>
  <si>
    <t>Orçamentos, Pedidos e qualquer documento não idôneo;</t>
  </si>
  <si>
    <t>Despesas Particulares dos Sócios e Dirigentes;</t>
  </si>
  <si>
    <t>Verbas Rescisórias em desacordo com a legislação trabalhista vigente</t>
  </si>
  <si>
    <t>Multas Punitivas (Transito, Imetro, Ibama, Multas sobre ação fiscal)</t>
  </si>
  <si>
    <t>Despesas de Variação Cambial</t>
  </si>
  <si>
    <t>Impostos Não Pagos em Discussão Judicial;</t>
  </si>
  <si>
    <t>Impostos Não Pagos por Iniciativa da Empresa;</t>
  </si>
  <si>
    <t>Provisões Indedutíveis (perdas, frete, propaganda)</t>
  </si>
  <si>
    <t>Ajustes Devedores de Qualquer Natureza</t>
  </si>
  <si>
    <t>Multas Contratuais</t>
  </si>
  <si>
    <t>Pagamento de Impostos sobre discussão judicial,</t>
  </si>
  <si>
    <t>Distribuição de Lucros e Dividendos;</t>
  </si>
  <si>
    <t>Receitas que poderiam ser diferidas;</t>
  </si>
  <si>
    <t>Ajustes credores de qualquer natureza</t>
  </si>
  <si>
    <t>Receita de Variação Cambial</t>
  </si>
  <si>
    <t>Despesas de Ágios</t>
  </si>
  <si>
    <t>Resultado Positivo de Equivalência Patrimonial</t>
  </si>
  <si>
    <t>Pagamento de Impostos em Atraso por iniciativa da Empresa</t>
  </si>
  <si>
    <t>Decisão Favorável - Processos Judiciais Tributários</t>
  </si>
  <si>
    <t>Dividendos Coligadas e Controladas</t>
  </si>
  <si>
    <t>Receitas Obtidas com Tributação Exclusiva ou Isenta de IR</t>
  </si>
  <si>
    <t>Reversão de Provisões Indedutíveis</t>
  </si>
  <si>
    <t>Vendas Não Expedidas do Período</t>
  </si>
  <si>
    <t>SIM</t>
  </si>
  <si>
    <t>NÃO</t>
  </si>
  <si>
    <t>Houve prejuízo fiscal Exercício Antenior?</t>
  </si>
  <si>
    <t>Base de Cálculo do IRPJ antes da Compensação Prejuízo</t>
  </si>
  <si>
    <t>Base de Cálculo do IRPJ antes do Adicional</t>
  </si>
  <si>
    <t>IRRF s/ Aplicações Financeiras</t>
  </si>
  <si>
    <t>IRPJ Pago no Exercício</t>
  </si>
  <si>
    <t>Alíquota e Valor Total IRPJ</t>
  </si>
  <si>
    <t>Base de CSLL</t>
  </si>
  <si>
    <t>CSLL Base Negativa Exercícios Anteriores</t>
  </si>
  <si>
    <t>CSLL Pago no Exercício</t>
  </si>
  <si>
    <t>CSLL Retida s/ Notas Fiscais</t>
  </si>
  <si>
    <t xml:space="preserve">IRRF Retida s/ Notas Fiscais </t>
  </si>
  <si>
    <t>IRPJ</t>
  </si>
  <si>
    <t>CSLL</t>
  </si>
  <si>
    <t>Aviso de Desbloqueio</t>
  </si>
  <si>
    <t>Informe o Mês (número) do Cálculo:</t>
  </si>
  <si>
    <t>Função Contábil</t>
  </si>
  <si>
    <t>PLANILHA PIS NÃO-CUMULATIVO</t>
  </si>
  <si>
    <t>PLANILHA COFINS NÃO-CUMULATIVO</t>
  </si>
  <si>
    <t xml:space="preserve">BASE DE CÁLCULO </t>
  </si>
  <si>
    <t>RECEITAS</t>
  </si>
  <si>
    <t xml:space="preserve"> </t>
  </si>
  <si>
    <t>Receita de Exportação</t>
  </si>
  <si>
    <t>Receita de Venda Produtos Fabricação Própria</t>
  </si>
  <si>
    <t>Revenda de Mercadorias</t>
  </si>
  <si>
    <t>Receita de Prestação de Serviços</t>
  </si>
  <si>
    <t>Devolução de compras (menos IPI)</t>
  </si>
  <si>
    <t>Outras Receitas (Vda.Imobilizado/Recup.Desp./etc.)</t>
  </si>
  <si>
    <t>ISENÇÕES E EXCLUSÕES</t>
  </si>
  <si>
    <t>Receitas de Exportação</t>
  </si>
  <si>
    <r>
      <t>Vendas Canceladas e Descontos Incondicionais</t>
    </r>
    <r>
      <rPr>
        <sz val="8"/>
        <rFont val="Arial"/>
        <family val="2"/>
      </rPr>
      <t xml:space="preserve"> (não inclui devolução de vendas)</t>
    </r>
  </si>
  <si>
    <t>IPI sobre Vendas</t>
  </si>
  <si>
    <t>Recuperação de Créditos e Reversão de Provisões</t>
  </si>
  <si>
    <t>Venda de Bens do Ativo Imobilizado</t>
  </si>
  <si>
    <t>ALÍQUOTA</t>
  </si>
  <si>
    <t xml:space="preserve">VALOR DO PIS </t>
  </si>
  <si>
    <t>VALOR DO COFINS</t>
  </si>
  <si>
    <t>CRÉDITOS A DESCONTAR - ALÍQUOTA 1,65%</t>
  </si>
  <si>
    <t>CRÉDITOS A DESCONTAR - ALÍQUOTA 7,60%</t>
  </si>
  <si>
    <t>Bens Adquiridos para Revenda</t>
  </si>
  <si>
    <t>Bens Utilizados como Insumos (menos IPI)</t>
  </si>
  <si>
    <t>Serviços Utilizados como Insumos</t>
  </si>
  <si>
    <t>Energia Elétrica</t>
  </si>
  <si>
    <t>Aluguéis de Máquinas e Equipamentos</t>
  </si>
  <si>
    <t>Fretes/Manut/Consumo</t>
  </si>
  <si>
    <t>Depreciação do Ativo Imobilizado</t>
  </si>
  <si>
    <t>Devolução de Vendas Sujeitas à alíquotas de 1,65%</t>
  </si>
  <si>
    <t>Devolução de Vendas Sujeitas à alíquotas de 7,60%</t>
  </si>
  <si>
    <t xml:space="preserve">VALOR DA COFINS </t>
  </si>
  <si>
    <t>CRÉDITO PIS</t>
  </si>
  <si>
    <t>CRÉDITO COFINS</t>
  </si>
  <si>
    <t>CRÉDITO PIS A COMPENSAR PERÍODO ANTERIOR</t>
  </si>
  <si>
    <t>CRÉDITO COFINS A COMPENSAR PERÍODO ANTERIOR</t>
  </si>
  <si>
    <t>CRÉDITO PIS PAGO A MAIOR MÊS ANTERIOR</t>
  </si>
  <si>
    <t>CRÉDITO COFINS PAGO A MAIOR MÊS ANTERIOR</t>
  </si>
  <si>
    <t>PIS RETIDO A RECUPERAR LEI 10.833/03</t>
  </si>
  <si>
    <t>COFINS RETIDO A RECUPERAR LEI 10.833/03</t>
  </si>
  <si>
    <t>CONTRIBUIÇÃO SOCIAL</t>
  </si>
  <si>
    <t>IMPOSTO DE RENDA</t>
  </si>
  <si>
    <t>PLANILHA CÁLCULO IR / CS - LUCRO REAL NÃO CUMULATIVO</t>
  </si>
  <si>
    <t>PLANILHA DE CÁLCULO PIS / COFINS - LUCRO REAL NÃO CUMULATIVO</t>
  </si>
  <si>
    <t>LUCRO</t>
  </si>
  <si>
    <t>ADIÇÕES</t>
  </si>
  <si>
    <t>EXCLUSÕES</t>
  </si>
  <si>
    <t>Base de Cálculo CSLL antes da Compensação Prejuízo</t>
  </si>
  <si>
    <t xml:space="preserve">                  Função Contábil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</si>
</sst>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&quot;R$ &quot;#,##0.00"/>
    <numFmt numFmtId="166" formatCode="&quot;Adicional de IR se &gt; 20 mil reais&quot;\ 0%"/>
    <numFmt numFmtId="167" formatCode="&quot;Compensação - Prejuízo Fiscal LALUR&quot;\ 0%"/>
    <numFmt numFmtId="168" formatCode="[$-416]mmmm\-yyyy;@"/>
  </numFmts>
  <fonts count="2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u/>
      <sz val="10"/>
      <name val="Arial"/>
      <family val="2"/>
    </font>
    <font>
      <b/>
      <sz val="10"/>
      <color indexed="8"/>
      <name val="Arial"/>
      <family val="2"/>
    </font>
    <font>
      <sz val="8"/>
      <color indexed="81"/>
      <name val="Tahoma"/>
      <family val="2"/>
    </font>
    <font>
      <sz val="9"/>
      <color indexed="81"/>
      <name val="Segoe UI"/>
      <family val="2"/>
    </font>
    <font>
      <u/>
      <sz val="8"/>
      <name val="Arial"/>
      <family val="2"/>
    </font>
    <font>
      <sz val="10"/>
      <color theme="0" tint="-0.249977111117893"/>
      <name val="Arial"/>
      <family val="2"/>
    </font>
    <font>
      <sz val="11"/>
      <color theme="0" tint="-0.249977111117893"/>
      <name val="Arial"/>
      <family val="2"/>
    </font>
    <font>
      <sz val="10"/>
      <color theme="0" tint="-0.14999847407452621"/>
      <name val="Arial"/>
      <family val="2"/>
    </font>
    <font>
      <i/>
      <sz val="10"/>
      <name val="Arial"/>
      <family val="2"/>
    </font>
    <font>
      <sz val="11"/>
      <color theme="0" tint="-0.14999847407452621"/>
      <name val="Calibri"/>
      <family val="2"/>
      <scheme val="minor"/>
    </font>
    <font>
      <u/>
      <sz val="10"/>
      <color theme="10"/>
      <name val="Arial"/>
      <family val="2"/>
    </font>
    <font>
      <sz val="11"/>
      <color theme="0" tint="-0.249977111117893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1" fillId="0" borderId="0"/>
    <xf numFmtId="0" fontId="21" fillId="0" borderId="0" applyNumberFormat="0" applyFill="0" applyBorder="0" applyAlignment="0" applyProtection="0">
      <alignment vertical="top"/>
      <protection locked="0"/>
    </xf>
  </cellStyleXfs>
  <cellXfs count="115">
    <xf numFmtId="0" fontId="0" fillId="0" borderId="0" xfId="0"/>
    <xf numFmtId="0" fontId="4" fillId="2" borderId="0" xfId="0" applyFont="1" applyFill="1" applyBorder="1" applyProtection="1"/>
    <xf numFmtId="0" fontId="2" fillId="0" borderId="0" xfId="0" applyFont="1" applyProtection="1"/>
    <xf numFmtId="0" fontId="9" fillId="0" borderId="0" xfId="0" applyFont="1" applyBorder="1"/>
    <xf numFmtId="0" fontId="2" fillId="0" borderId="0" xfId="0" applyFont="1" applyBorder="1"/>
    <xf numFmtId="164" fontId="10" fillId="0" borderId="0" xfId="0" applyNumberFormat="1" applyFont="1" applyBorder="1"/>
    <xf numFmtId="164" fontId="9" fillId="0" borderId="0" xfId="0" applyNumberFormat="1" applyFont="1" applyBorder="1"/>
    <xf numFmtId="166" fontId="12" fillId="2" borderId="0" xfId="0" applyNumberFormat="1" applyFont="1" applyFill="1" applyBorder="1" applyAlignment="1" applyProtection="1">
      <alignment horizontal="left"/>
    </xf>
    <xf numFmtId="9" fontId="9" fillId="0" borderId="0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9" fillId="0" borderId="5" xfId="0" applyFont="1" applyBorder="1"/>
    <xf numFmtId="0" fontId="2" fillId="0" borderId="6" xfId="0" applyFont="1" applyBorder="1" applyAlignment="1">
      <alignment horizontal="center"/>
    </xf>
    <xf numFmtId="164" fontId="9" fillId="0" borderId="7" xfId="2" applyFont="1" applyBorder="1"/>
    <xf numFmtId="0" fontId="4" fillId="2" borderId="6" xfId="0" applyFont="1" applyFill="1" applyBorder="1" applyAlignment="1" applyProtection="1">
      <alignment horizontal="center"/>
    </xf>
    <xf numFmtId="164" fontId="2" fillId="0" borderId="7" xfId="2" applyFont="1" applyBorder="1"/>
    <xf numFmtId="167" fontId="9" fillId="0" borderId="0" xfId="0" applyNumberFormat="1" applyFont="1" applyBorder="1" applyAlignment="1">
      <alignment horizontal="left"/>
    </xf>
    <xf numFmtId="164" fontId="9" fillId="0" borderId="7" xfId="2" applyFont="1" applyFill="1" applyBorder="1"/>
    <xf numFmtId="0" fontId="6" fillId="0" borderId="0" xfId="0" applyFont="1" applyProtection="1"/>
    <xf numFmtId="49" fontId="6" fillId="0" borderId="0" xfId="0" applyNumberFormat="1" applyFont="1" applyAlignment="1" applyProtection="1">
      <alignment horizontal="center"/>
    </xf>
    <xf numFmtId="0" fontId="2" fillId="0" borderId="4" xfId="0" applyFont="1" applyBorder="1" applyAlignment="1" applyProtection="1">
      <alignment horizontal="center"/>
    </xf>
    <xf numFmtId="0" fontId="9" fillId="0" borderId="5" xfId="0" applyFont="1" applyBorder="1" applyProtection="1"/>
    <xf numFmtId="0" fontId="2" fillId="0" borderId="6" xfId="0" applyFont="1" applyBorder="1" applyAlignment="1" applyProtection="1">
      <alignment horizontal="center"/>
    </xf>
    <xf numFmtId="0" fontId="2" fillId="0" borderId="0" xfId="0" applyFont="1" applyBorder="1" applyProtection="1"/>
    <xf numFmtId="164" fontId="9" fillId="0" borderId="7" xfId="2" applyFont="1" applyBorder="1" applyProtection="1"/>
    <xf numFmtId="0" fontId="9" fillId="0" borderId="0" xfId="0" applyFont="1" applyBorder="1" applyProtection="1"/>
    <xf numFmtId="164" fontId="9" fillId="0" borderId="7" xfId="2" applyFont="1" applyFill="1" applyBorder="1" applyProtection="1"/>
    <xf numFmtId="164" fontId="2" fillId="0" borderId="7" xfId="2" applyFont="1" applyBorder="1" applyProtection="1"/>
    <xf numFmtId="167" fontId="9" fillId="0" borderId="0" xfId="0" applyNumberFormat="1" applyFont="1" applyBorder="1" applyAlignment="1" applyProtection="1">
      <alignment horizontal="left"/>
    </xf>
    <xf numFmtId="49" fontId="2" fillId="0" borderId="6" xfId="0" applyNumberFormat="1" applyFont="1" applyBorder="1" applyAlignment="1" applyProtection="1">
      <alignment horizontal="center"/>
    </xf>
    <xf numFmtId="9" fontId="9" fillId="0" borderId="0" xfId="0" applyNumberFormat="1" applyFont="1" applyBorder="1" applyAlignment="1" applyProtection="1">
      <alignment horizontal="center"/>
    </xf>
    <xf numFmtId="0" fontId="11" fillId="0" borderId="0" xfId="0" applyFont="1" applyBorder="1" applyProtection="1"/>
    <xf numFmtId="0" fontId="6" fillId="0" borderId="0" xfId="0" applyFont="1" applyBorder="1" applyProtection="1"/>
    <xf numFmtId="49" fontId="6" fillId="0" borderId="0" xfId="0" applyNumberFormat="1" applyFont="1" applyBorder="1" applyAlignment="1" applyProtection="1">
      <alignment horizontal="center"/>
    </xf>
    <xf numFmtId="0" fontId="7" fillId="0" borderId="0" xfId="0" applyFont="1" applyBorder="1" applyProtection="1"/>
    <xf numFmtId="164" fontId="7" fillId="0" borderId="0" xfId="2" applyFont="1" applyBorder="1" applyAlignment="1" applyProtection="1">
      <alignment horizontal="center"/>
    </xf>
    <xf numFmtId="164" fontId="6" fillId="0" borderId="0" xfId="0" applyNumberFormat="1" applyFont="1" applyProtection="1"/>
    <xf numFmtId="0" fontId="5" fillId="0" borderId="0" xfId="1" applyFont="1" applyAlignment="1" applyProtection="1"/>
    <xf numFmtId="0" fontId="8" fillId="0" borderId="0" xfId="0" applyFont="1" applyProtection="1"/>
    <xf numFmtId="0" fontId="8" fillId="0" borderId="0" xfId="0" applyFont="1" applyBorder="1" applyAlignment="1" applyProtection="1">
      <alignment horizontal="center" wrapText="1"/>
    </xf>
    <xf numFmtId="0" fontId="8" fillId="0" borderId="0" xfId="0" applyFont="1" applyBorder="1" applyAlignment="1">
      <alignment horizontal="center" wrapText="1"/>
    </xf>
    <xf numFmtId="0" fontId="16" fillId="0" borderId="0" xfId="0" applyFont="1" applyProtection="1"/>
    <xf numFmtId="0" fontId="16" fillId="0" borderId="0" xfId="0" applyFont="1" applyBorder="1" applyProtection="1"/>
    <xf numFmtId="0" fontId="17" fillId="0" borderId="0" xfId="0" applyFont="1" applyBorder="1" applyProtection="1"/>
    <xf numFmtId="0" fontId="17" fillId="0" borderId="0" xfId="0" applyFont="1" applyProtection="1"/>
    <xf numFmtId="0" fontId="1" fillId="0" borderId="0" xfId="0" applyFont="1" applyProtection="1"/>
    <xf numFmtId="49" fontId="1" fillId="0" borderId="0" xfId="0" applyNumberFormat="1" applyFont="1" applyAlignment="1" applyProtection="1">
      <alignment horizontal="center"/>
    </xf>
    <xf numFmtId="0" fontId="18" fillId="0" borderId="0" xfId="0" applyFont="1" applyBorder="1" applyAlignment="1" applyProtection="1">
      <alignment vertical="center"/>
    </xf>
    <xf numFmtId="0" fontId="18" fillId="0" borderId="0" xfId="0" applyFont="1" applyBorder="1" applyAlignment="1" applyProtection="1">
      <alignment horizontal="center" vertical="center"/>
    </xf>
    <xf numFmtId="165" fontId="3" fillId="2" borderId="0" xfId="0" applyNumberFormat="1" applyFont="1" applyFill="1" applyBorder="1" applyAlignment="1" applyProtection="1"/>
    <xf numFmtId="0" fontId="3" fillId="0" borderId="0" xfId="3" applyFont="1" applyFill="1" applyAlignment="1"/>
    <xf numFmtId="0" fontId="1" fillId="0" borderId="0" xfId="0" applyFont="1"/>
    <xf numFmtId="0" fontId="19" fillId="0" borderId="0" xfId="3" applyFont="1" applyFill="1"/>
    <xf numFmtId="0" fontId="20" fillId="0" borderId="0" xfId="0" applyFont="1" applyBorder="1" applyAlignment="1">
      <alignment vertical="center"/>
    </xf>
    <xf numFmtId="0" fontId="15" fillId="0" borderId="0" xfId="4" applyFont="1" applyAlignment="1" applyProtection="1">
      <protection locked="0"/>
    </xf>
    <xf numFmtId="39" fontId="1" fillId="0" borderId="0" xfId="0" applyNumberFormat="1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4" applyFont="1" applyAlignment="1" applyProtection="1"/>
    <xf numFmtId="0" fontId="22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39" fontId="1" fillId="0" borderId="0" xfId="0" applyNumberFormat="1" applyFont="1" applyFill="1"/>
    <xf numFmtId="39" fontId="9" fillId="0" borderId="0" xfId="0" applyNumberFormat="1" applyFont="1"/>
    <xf numFmtId="10" fontId="1" fillId="0" borderId="0" xfId="0" applyNumberFormat="1" applyFont="1"/>
    <xf numFmtId="0" fontId="9" fillId="0" borderId="0" xfId="0" applyFont="1" applyFill="1" applyAlignment="1">
      <alignment horizontal="left"/>
    </xf>
    <xf numFmtId="40" fontId="9" fillId="0" borderId="0" xfId="0" applyNumberFormat="1" applyFont="1" applyFill="1"/>
    <xf numFmtId="0" fontId="2" fillId="0" borderId="2" xfId="0" applyFont="1" applyBorder="1" applyAlignment="1">
      <alignment horizontal="center"/>
    </xf>
    <xf numFmtId="49" fontId="9" fillId="0" borderId="1" xfId="0" applyNumberFormat="1" applyFont="1" applyBorder="1" applyAlignment="1" applyProtection="1"/>
    <xf numFmtId="49" fontId="9" fillId="0" borderId="2" xfId="0" applyNumberFormat="1" applyFont="1" applyBorder="1" applyAlignment="1" applyProtection="1"/>
    <xf numFmtId="164" fontId="2" fillId="3" borderId="3" xfId="2" applyFont="1" applyFill="1" applyBorder="1" applyProtection="1">
      <protection locked="0"/>
    </xf>
    <xf numFmtId="0" fontId="9" fillId="3" borderId="3" xfId="0" applyFont="1" applyFill="1" applyBorder="1" applyProtection="1">
      <protection locked="0"/>
    </xf>
    <xf numFmtId="0" fontId="9" fillId="3" borderId="3" xfId="0" applyFont="1" applyFill="1" applyBorder="1" applyAlignment="1" applyProtection="1">
      <alignment horizontal="center"/>
      <protection locked="0"/>
    </xf>
    <xf numFmtId="0" fontId="9" fillId="0" borderId="2" xfId="3" applyFont="1" applyFill="1" applyBorder="1" applyAlignment="1"/>
    <xf numFmtId="0" fontId="9" fillId="0" borderId="1" xfId="0" applyFont="1" applyBorder="1" applyAlignment="1"/>
    <xf numFmtId="0" fontId="9" fillId="0" borderId="2" xfId="0" applyFont="1" applyBorder="1" applyAlignment="1"/>
    <xf numFmtId="0" fontId="15" fillId="0" borderId="0" xfId="1" applyFont="1" applyAlignment="1" applyProtection="1">
      <protection locked="0"/>
    </xf>
    <xf numFmtId="4" fontId="1" fillId="0" borderId="0" xfId="0" applyNumberFormat="1" applyFont="1" applyBorder="1" applyAlignment="1">
      <alignment horizontal="center"/>
    </xf>
    <xf numFmtId="39" fontId="1" fillId="0" borderId="7" xfId="0" applyNumberFormat="1" applyFont="1" applyBorder="1"/>
    <xf numFmtId="0" fontId="9" fillId="0" borderId="6" xfId="0" applyFont="1" applyBorder="1"/>
    <xf numFmtId="39" fontId="9" fillId="0" borderId="7" xfId="0" applyNumberFormat="1" applyFont="1" applyBorder="1"/>
    <xf numFmtId="40" fontId="9" fillId="0" borderId="7" xfId="0" applyNumberFormat="1" applyFont="1" applyBorder="1"/>
    <xf numFmtId="0" fontId="1" fillId="0" borderId="6" xfId="0" applyFont="1" applyBorder="1"/>
    <xf numFmtId="10" fontId="1" fillId="0" borderId="7" xfId="0" applyNumberFormat="1" applyFont="1" applyFill="1" applyBorder="1" applyProtection="1"/>
    <xf numFmtId="4" fontId="1" fillId="0" borderId="9" xfId="0" applyNumberFormat="1" applyFont="1" applyBorder="1" applyAlignment="1">
      <alignment horizontal="center"/>
    </xf>
    <xf numFmtId="40" fontId="9" fillId="0" borderId="10" xfId="0" applyNumberFormat="1" applyFont="1" applyFill="1" applyBorder="1"/>
    <xf numFmtId="39" fontId="1" fillId="3" borderId="3" xfId="0" applyNumberFormat="1" applyFont="1" applyFill="1" applyBorder="1" applyProtection="1">
      <protection locked="0"/>
    </xf>
    <xf numFmtId="40" fontId="1" fillId="3" borderId="3" xfId="0" applyNumberFormat="1" applyFont="1" applyFill="1" applyBorder="1" applyProtection="1">
      <protection locked="0"/>
    </xf>
    <xf numFmtId="0" fontId="1" fillId="0" borderId="11" xfId="0" applyFont="1" applyBorder="1"/>
    <xf numFmtId="0" fontId="1" fillId="0" borderId="12" xfId="0" applyFont="1" applyBorder="1" applyAlignment="1">
      <alignment horizontal="left"/>
    </xf>
    <xf numFmtId="4" fontId="1" fillId="0" borderId="12" xfId="0" applyNumberFormat="1" applyFont="1" applyBorder="1" applyAlignment="1">
      <alignment horizontal="center"/>
    </xf>
    <xf numFmtId="0" fontId="0" fillId="0" borderId="14" xfId="0" applyBorder="1"/>
    <xf numFmtId="49" fontId="2" fillId="0" borderId="8" xfId="0" applyNumberFormat="1" applyFont="1" applyBorder="1" applyAlignment="1" applyProtection="1">
      <alignment horizontal="center"/>
    </xf>
    <xf numFmtId="0" fontId="9" fillId="0" borderId="9" xfId="0" applyFont="1" applyBorder="1" applyProtection="1"/>
    <xf numFmtId="164" fontId="9" fillId="0" borderId="10" xfId="2" applyFont="1" applyBorder="1" applyProtection="1"/>
    <xf numFmtId="49" fontId="2" fillId="0" borderId="11" xfId="0" applyNumberFormat="1" applyFont="1" applyBorder="1" applyAlignment="1" applyProtection="1">
      <alignment horizontal="center"/>
    </xf>
    <xf numFmtId="0" fontId="2" fillId="0" borderId="12" xfId="0" applyFont="1" applyBorder="1" applyProtection="1"/>
    <xf numFmtId="164" fontId="2" fillId="0" borderId="13" xfId="2" applyFont="1" applyBorder="1" applyProtection="1"/>
    <xf numFmtId="0" fontId="2" fillId="0" borderId="8" xfId="0" applyFont="1" applyBorder="1" applyAlignment="1">
      <alignment horizontal="center"/>
    </xf>
    <xf numFmtId="0" fontId="9" fillId="0" borderId="9" xfId="0" applyFont="1" applyBorder="1"/>
    <xf numFmtId="164" fontId="9" fillId="0" borderId="10" xfId="2" applyFon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/>
    <xf numFmtId="164" fontId="2" fillId="0" borderId="13" xfId="2" applyFont="1" applyBorder="1"/>
    <xf numFmtId="168" fontId="9" fillId="3" borderId="3" xfId="0" applyNumberFormat="1" applyFont="1" applyFill="1" applyBorder="1" applyAlignment="1" applyProtection="1">
      <alignment horizontal="left"/>
      <protection locked="0"/>
    </xf>
    <xf numFmtId="0" fontId="1" fillId="0" borderId="0" xfId="0" applyFont="1" applyBorder="1"/>
    <xf numFmtId="0" fontId="9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9" fillId="0" borderId="0" xfId="0" applyFont="1" applyBorder="1" applyAlignment="1"/>
    <xf numFmtId="0" fontId="1" fillId="0" borderId="1" xfId="0" applyFont="1" applyBorder="1"/>
    <xf numFmtId="168" fontId="9" fillId="3" borderId="15" xfId="0" applyNumberFormat="1" applyFont="1" applyFill="1" applyBorder="1" applyAlignment="1" applyProtection="1">
      <alignment horizontal="left"/>
      <protection locked="0"/>
    </xf>
    <xf numFmtId="0" fontId="9" fillId="0" borderId="15" xfId="3" applyFont="1" applyFill="1" applyBorder="1" applyAlignment="1"/>
    <xf numFmtId="0" fontId="16" fillId="0" borderId="0" xfId="0" applyFont="1" applyBorder="1" applyAlignment="1" applyProtection="1">
      <alignment vertical="center"/>
    </xf>
    <xf numFmtId="0" fontId="9" fillId="0" borderId="8" xfId="0" applyFont="1" applyFill="1" applyBorder="1" applyAlignment="1">
      <alignment horizontal="left"/>
    </xf>
    <xf numFmtId="0" fontId="9" fillId="0" borderId="9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</cellXfs>
  <cellStyles count="5">
    <cellStyle name="Hiperlink" xfId="1" builtinId="8"/>
    <cellStyle name="Hiperlink 2" xfId="4"/>
    <cellStyle name="Normal" xfId="0" builtinId="0"/>
    <cellStyle name="Normal 2" xfId="3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uncaocontabil.ne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uncaocontabil.net/" TargetMode="External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2</xdr:col>
      <xdr:colOff>1866900</xdr:colOff>
      <xdr:row>10</xdr:row>
      <xdr:rowOff>38100</xdr:rowOff>
    </xdr:to>
    <xdr:pic>
      <xdr:nvPicPr>
        <xdr:cNvPr id="4" name="Imagem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0"/>
          <a:ext cx="2000250" cy="1790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3</xdr:col>
      <xdr:colOff>1257300</xdr:colOff>
      <xdr:row>10</xdr:row>
      <xdr:rowOff>38100</xdr:rowOff>
    </xdr:to>
    <xdr:pic>
      <xdr:nvPicPr>
        <xdr:cNvPr id="2" name="Imagem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0"/>
          <a:ext cx="2000250" cy="179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uncaocontabil.net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funcaocontabil.net/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3.v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N58"/>
  <sheetViews>
    <sheetView showGridLines="0" tabSelected="1" zoomScaleNormal="100" workbookViewId="0">
      <selection activeCell="F12" sqref="F12"/>
    </sheetView>
  </sheetViews>
  <sheetFormatPr defaultRowHeight="14.25" x14ac:dyDescent="0.2"/>
  <cols>
    <col min="1" max="1" width="2.7109375" style="17" customWidth="1"/>
    <col min="2" max="2" width="2.140625" style="18" bestFit="1" customWidth="1"/>
    <col min="3" max="3" width="61.140625" style="17" bestFit="1" customWidth="1"/>
    <col min="4" max="4" width="13.7109375" style="17" customWidth="1"/>
    <col min="5" max="5" width="4.42578125" style="17" customWidth="1"/>
    <col min="6" max="6" width="16.7109375" style="17" customWidth="1"/>
    <col min="7" max="7" width="1.7109375" style="43" customWidth="1"/>
    <col min="8" max="8" width="2.140625" style="17" bestFit="1" customWidth="1"/>
    <col min="9" max="9" width="61.140625" style="17" bestFit="1" customWidth="1"/>
    <col min="10" max="10" width="13.7109375" style="17" customWidth="1"/>
    <col min="11" max="11" width="4.42578125" style="17" customWidth="1"/>
    <col min="12" max="12" width="16.7109375" style="17" customWidth="1"/>
    <col min="13" max="13" width="2.42578125" style="17" hidden="1" customWidth="1"/>
    <col min="14" max="14" width="4" style="17" hidden="1" customWidth="1"/>
    <col min="15" max="16384" width="9.140625" style="17"/>
  </cols>
  <sheetData>
    <row r="1" spans="1:14" s="1" customFormat="1" ht="23.25" x14ac:dyDescent="0.35">
      <c r="A1" s="48" t="s">
        <v>92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4" s="44" customFormat="1" ht="12.75" customHeight="1" x14ac:dyDescent="0.2">
      <c r="B2" s="45"/>
      <c r="C2" s="46"/>
      <c r="F2" s="74" t="s">
        <v>47</v>
      </c>
      <c r="G2" s="74"/>
      <c r="I2" s="55"/>
    </row>
    <row r="3" spans="1:14" s="44" customFormat="1" ht="12.75" customHeight="1" x14ac:dyDescent="0.2">
      <c r="B3" s="45"/>
      <c r="C3" s="46"/>
      <c r="D3" s="36"/>
      <c r="E3" s="36"/>
      <c r="F3" s="36"/>
    </row>
    <row r="4" spans="1:14" s="44" customFormat="1" ht="12.75" customHeight="1" x14ac:dyDescent="0.2">
      <c r="B4" s="45"/>
      <c r="C4" s="46"/>
      <c r="E4" s="47"/>
    </row>
    <row r="5" spans="1:14" s="44" customFormat="1" ht="12.75" customHeight="1" x14ac:dyDescent="0.2">
      <c r="B5" s="45"/>
      <c r="C5" s="46"/>
      <c r="E5" s="47"/>
    </row>
    <row r="6" spans="1:14" s="44" customFormat="1" ht="12.75" customHeight="1" x14ac:dyDescent="0.2">
      <c r="B6" s="45"/>
      <c r="C6" s="46"/>
      <c r="E6" s="47"/>
    </row>
    <row r="7" spans="1:14" s="44" customFormat="1" ht="12.75" customHeight="1" x14ac:dyDescent="0.2">
      <c r="B7" s="45"/>
      <c r="C7" s="46"/>
      <c r="E7" s="47"/>
    </row>
    <row r="8" spans="1:14" s="44" customFormat="1" ht="12.75" customHeight="1" x14ac:dyDescent="0.2">
      <c r="B8" s="45"/>
      <c r="E8" s="47"/>
    </row>
    <row r="9" spans="1:14" s="44" customFormat="1" ht="12.75" customHeight="1" x14ac:dyDescent="0.2">
      <c r="B9" s="45"/>
      <c r="C9" s="110" t="s">
        <v>98</v>
      </c>
      <c r="E9" s="47"/>
    </row>
    <row r="10" spans="1:14" s="44" customFormat="1" ht="12.75" customHeight="1" x14ac:dyDescent="0.2">
      <c r="B10" s="45"/>
      <c r="C10" s="46"/>
      <c r="E10" s="47"/>
    </row>
    <row r="11" spans="1:14" s="2" customFormat="1" ht="12.75" x14ac:dyDescent="0.2">
      <c r="B11" s="66" t="s">
        <v>90</v>
      </c>
      <c r="C11" s="67"/>
      <c r="D11" s="67"/>
      <c r="E11" s="67"/>
      <c r="F11" s="102">
        <v>43101</v>
      </c>
      <c r="H11" s="72" t="s">
        <v>91</v>
      </c>
      <c r="I11" s="73"/>
      <c r="J11" s="65"/>
      <c r="K11" s="65"/>
      <c r="L11" s="102">
        <f>F11</f>
        <v>43101</v>
      </c>
    </row>
    <row r="12" spans="1:14" s="2" customFormat="1" ht="12.75" x14ac:dyDescent="0.2">
      <c r="B12" s="19" t="s">
        <v>2</v>
      </c>
      <c r="C12" s="20" t="s">
        <v>94</v>
      </c>
      <c r="D12" s="20"/>
      <c r="E12" s="20"/>
      <c r="F12" s="68">
        <v>30000</v>
      </c>
      <c r="G12" s="40"/>
      <c r="H12" s="9" t="s">
        <v>2</v>
      </c>
      <c r="I12" s="10" t="str">
        <f>C12</f>
        <v>LUCRO</v>
      </c>
      <c r="J12" s="10"/>
      <c r="K12" s="10"/>
      <c r="L12" s="68">
        <f>F12</f>
        <v>30000</v>
      </c>
      <c r="M12" s="37">
        <v>1</v>
      </c>
      <c r="N12" s="37" t="s">
        <v>32</v>
      </c>
    </row>
    <row r="13" spans="1:14" s="2" customFormat="1" ht="12.75" x14ac:dyDescent="0.2">
      <c r="B13" s="21"/>
      <c r="C13" s="22"/>
      <c r="D13" s="22"/>
      <c r="E13" s="22"/>
      <c r="F13" s="23"/>
      <c r="G13" s="40"/>
      <c r="H13" s="11"/>
      <c r="I13" s="4"/>
      <c r="J13" s="4"/>
      <c r="K13" s="4"/>
      <c r="L13" s="12"/>
      <c r="M13" s="37">
        <v>2</v>
      </c>
      <c r="N13" s="37" t="s">
        <v>33</v>
      </c>
    </row>
    <row r="14" spans="1:14" s="2" customFormat="1" ht="12.75" x14ac:dyDescent="0.2">
      <c r="B14" s="21" t="s">
        <v>2</v>
      </c>
      <c r="C14" s="24" t="s">
        <v>95</v>
      </c>
      <c r="D14" s="24"/>
      <c r="E14" s="24"/>
      <c r="F14" s="25">
        <f>SUM(F15:F27)</f>
        <v>600</v>
      </c>
      <c r="G14" s="40"/>
      <c r="H14" s="11" t="s">
        <v>2</v>
      </c>
      <c r="I14" s="3" t="str">
        <f>C14</f>
        <v>ADIÇÕES</v>
      </c>
      <c r="J14" s="3"/>
      <c r="K14" s="3"/>
      <c r="L14" s="16">
        <f>SUM(L15:L27)</f>
        <v>600</v>
      </c>
      <c r="M14" s="37">
        <v>3</v>
      </c>
      <c r="N14" s="37"/>
    </row>
    <row r="15" spans="1:14" s="2" customFormat="1" ht="12.75" x14ac:dyDescent="0.2">
      <c r="B15" s="21"/>
      <c r="C15" s="22" t="s">
        <v>17</v>
      </c>
      <c r="D15" s="24"/>
      <c r="E15" s="24"/>
      <c r="F15" s="68">
        <v>0</v>
      </c>
      <c r="G15" s="40"/>
      <c r="H15" s="11"/>
      <c r="I15" s="4" t="str">
        <f>C15</f>
        <v>Ajustes Devedores de Qualquer Natureza</v>
      </c>
      <c r="J15" s="3"/>
      <c r="K15" s="3"/>
      <c r="L15" s="68">
        <f>F15</f>
        <v>0</v>
      </c>
      <c r="M15" s="37">
        <v>4</v>
      </c>
      <c r="N15" s="37"/>
    </row>
    <row r="16" spans="1:14" s="2" customFormat="1" ht="12.75" x14ac:dyDescent="0.2">
      <c r="B16" s="21"/>
      <c r="C16" s="22" t="s">
        <v>13</v>
      </c>
      <c r="D16" s="24"/>
      <c r="E16" s="24"/>
      <c r="F16" s="68">
        <v>0</v>
      </c>
      <c r="G16" s="40"/>
      <c r="H16" s="11"/>
      <c r="I16" s="4" t="str">
        <f t="shared" ref="I16:I27" si="0">C16</f>
        <v>Despesas de Variação Cambial</v>
      </c>
      <c r="J16" s="3"/>
      <c r="K16" s="3"/>
      <c r="L16" s="68">
        <f t="shared" ref="L16:L27" si="1">F16</f>
        <v>0</v>
      </c>
      <c r="M16" s="37">
        <v>5</v>
      </c>
      <c r="N16" s="37"/>
    </row>
    <row r="17" spans="2:14" s="2" customFormat="1" ht="12.75" x14ac:dyDescent="0.2">
      <c r="B17" s="21"/>
      <c r="C17" s="22" t="s">
        <v>10</v>
      </c>
      <c r="D17" s="24"/>
      <c r="E17" s="24"/>
      <c r="F17" s="68">
        <v>0</v>
      </c>
      <c r="G17" s="40"/>
      <c r="H17" s="11"/>
      <c r="I17" s="4" t="str">
        <f t="shared" si="0"/>
        <v>Despesas Particulares dos Sócios e Dirigentes;</v>
      </c>
      <c r="J17" s="3"/>
      <c r="K17" s="3"/>
      <c r="L17" s="68">
        <f t="shared" si="1"/>
        <v>0</v>
      </c>
      <c r="M17" s="37">
        <v>6</v>
      </c>
      <c r="N17" s="37"/>
    </row>
    <row r="18" spans="2:14" s="2" customFormat="1" ht="12.75" x14ac:dyDescent="0.2">
      <c r="B18" s="21"/>
      <c r="C18" s="22" t="s">
        <v>6</v>
      </c>
      <c r="D18" s="24"/>
      <c r="E18" s="24"/>
      <c r="F18" s="68">
        <v>100</v>
      </c>
      <c r="G18" s="40"/>
      <c r="H18" s="11"/>
      <c r="I18" s="4" t="str">
        <f t="shared" si="0"/>
        <v>Doações e Brindes;</v>
      </c>
      <c r="J18" s="3"/>
      <c r="K18" s="3"/>
      <c r="L18" s="68">
        <f t="shared" si="1"/>
        <v>100</v>
      </c>
      <c r="M18" s="37">
        <v>7</v>
      </c>
      <c r="N18" s="37"/>
    </row>
    <row r="19" spans="2:14" s="2" customFormat="1" ht="12.75" x14ac:dyDescent="0.2">
      <c r="B19" s="21"/>
      <c r="C19" s="22" t="s">
        <v>14</v>
      </c>
      <c r="D19" s="24"/>
      <c r="E19" s="24"/>
      <c r="F19" s="68">
        <v>0</v>
      </c>
      <c r="G19" s="40"/>
      <c r="H19" s="11"/>
      <c r="I19" s="4" t="str">
        <f t="shared" si="0"/>
        <v>Impostos Não Pagos em Discussão Judicial;</v>
      </c>
      <c r="J19" s="3"/>
      <c r="K19" s="3"/>
      <c r="L19" s="68">
        <f t="shared" si="1"/>
        <v>0</v>
      </c>
      <c r="M19" s="37">
        <v>8</v>
      </c>
      <c r="N19" s="37"/>
    </row>
    <row r="20" spans="2:14" s="2" customFormat="1" ht="12.75" x14ac:dyDescent="0.2">
      <c r="B20" s="21"/>
      <c r="C20" s="22" t="s">
        <v>15</v>
      </c>
      <c r="D20" s="24"/>
      <c r="E20" s="24"/>
      <c r="F20" s="68">
        <v>0</v>
      </c>
      <c r="G20" s="40"/>
      <c r="H20" s="11"/>
      <c r="I20" s="4" t="str">
        <f t="shared" si="0"/>
        <v>Impostos Não Pagos por Iniciativa da Empresa;</v>
      </c>
      <c r="J20" s="3"/>
      <c r="K20" s="3"/>
      <c r="L20" s="68">
        <f t="shared" si="1"/>
        <v>0</v>
      </c>
      <c r="M20" s="37">
        <v>9</v>
      </c>
      <c r="N20" s="37"/>
    </row>
    <row r="21" spans="2:14" s="2" customFormat="1" ht="12.75" x14ac:dyDescent="0.2">
      <c r="B21" s="21"/>
      <c r="C21" s="22" t="s">
        <v>7</v>
      </c>
      <c r="D21" s="24"/>
      <c r="E21" s="24"/>
      <c r="F21" s="68">
        <v>0</v>
      </c>
      <c r="G21" s="40"/>
      <c r="H21" s="11"/>
      <c r="I21" s="4" t="str">
        <f t="shared" si="0"/>
        <v>Lucro Inflacionário apurado até 31/12/1995;</v>
      </c>
      <c r="J21" s="3"/>
      <c r="K21" s="3"/>
      <c r="L21" s="68">
        <f t="shared" si="1"/>
        <v>0</v>
      </c>
      <c r="M21" s="37">
        <v>10</v>
      </c>
      <c r="N21" s="37"/>
    </row>
    <row r="22" spans="2:14" s="2" customFormat="1" ht="12.75" x14ac:dyDescent="0.2">
      <c r="B22" s="21"/>
      <c r="C22" s="22" t="s">
        <v>18</v>
      </c>
      <c r="D22" s="24"/>
      <c r="E22" s="24"/>
      <c r="F22" s="68">
        <v>0</v>
      </c>
      <c r="G22" s="40"/>
      <c r="H22" s="11"/>
      <c r="I22" s="4" t="str">
        <f t="shared" si="0"/>
        <v>Multas Contratuais</v>
      </c>
      <c r="J22" s="3"/>
      <c r="K22" s="3"/>
      <c r="L22" s="68">
        <f t="shared" si="1"/>
        <v>0</v>
      </c>
      <c r="M22" s="37">
        <v>11</v>
      </c>
      <c r="N22" s="37"/>
    </row>
    <row r="23" spans="2:14" s="2" customFormat="1" ht="12.75" x14ac:dyDescent="0.2">
      <c r="B23" s="21"/>
      <c r="C23" s="22" t="s">
        <v>12</v>
      </c>
      <c r="D23" s="24"/>
      <c r="E23" s="24"/>
      <c r="F23" s="68">
        <v>500</v>
      </c>
      <c r="G23" s="40"/>
      <c r="H23" s="11"/>
      <c r="I23" s="4" t="str">
        <f t="shared" si="0"/>
        <v>Multas Punitivas (Transito, Imetro, Ibama, Multas sobre ação fiscal)</v>
      </c>
      <c r="J23" s="3"/>
      <c r="K23" s="3"/>
      <c r="L23" s="68">
        <f t="shared" si="1"/>
        <v>500</v>
      </c>
      <c r="M23" s="37">
        <v>12</v>
      </c>
      <c r="N23" s="37"/>
    </row>
    <row r="24" spans="2:14" s="2" customFormat="1" ht="12.75" x14ac:dyDescent="0.2">
      <c r="B24" s="21"/>
      <c r="C24" s="22" t="s">
        <v>9</v>
      </c>
      <c r="D24" s="24"/>
      <c r="E24" s="24"/>
      <c r="F24" s="68">
        <v>0</v>
      </c>
      <c r="G24" s="40"/>
      <c r="H24" s="11"/>
      <c r="I24" s="4" t="str">
        <f t="shared" si="0"/>
        <v>Orçamentos, Pedidos e qualquer documento não idôneo;</v>
      </c>
      <c r="J24" s="3"/>
      <c r="K24" s="3"/>
      <c r="L24" s="68">
        <f t="shared" si="1"/>
        <v>0</v>
      </c>
    </row>
    <row r="25" spans="2:14" s="2" customFormat="1" ht="12.75" x14ac:dyDescent="0.2">
      <c r="B25" s="21"/>
      <c r="C25" s="22" t="s">
        <v>16</v>
      </c>
      <c r="D25" s="24"/>
      <c r="E25" s="24"/>
      <c r="F25" s="68">
        <v>0</v>
      </c>
      <c r="G25" s="40"/>
      <c r="H25" s="11"/>
      <c r="I25" s="4" t="str">
        <f t="shared" si="0"/>
        <v>Provisões Indedutíveis (perdas, frete, propaganda)</v>
      </c>
      <c r="J25" s="3"/>
      <c r="K25" s="3"/>
      <c r="L25" s="68">
        <f t="shared" si="1"/>
        <v>0</v>
      </c>
    </row>
    <row r="26" spans="2:14" s="2" customFormat="1" ht="12.75" x14ac:dyDescent="0.2">
      <c r="B26" s="21"/>
      <c r="C26" s="22" t="s">
        <v>8</v>
      </c>
      <c r="D26" s="24"/>
      <c r="E26" s="24"/>
      <c r="F26" s="68">
        <v>0</v>
      </c>
      <c r="G26" s="40"/>
      <c r="H26" s="11"/>
      <c r="I26" s="4" t="str">
        <f t="shared" si="0"/>
        <v>Recibos sem especificação da fonte recebedora;</v>
      </c>
      <c r="J26" s="3"/>
      <c r="K26" s="3"/>
      <c r="L26" s="68">
        <f t="shared" si="1"/>
        <v>0</v>
      </c>
    </row>
    <row r="27" spans="2:14" s="2" customFormat="1" ht="12.75" x14ac:dyDescent="0.2">
      <c r="B27" s="21"/>
      <c r="C27" s="22" t="s">
        <v>11</v>
      </c>
      <c r="D27" s="24"/>
      <c r="E27" s="24"/>
      <c r="F27" s="68">
        <v>0</v>
      </c>
      <c r="G27" s="40"/>
      <c r="H27" s="11"/>
      <c r="I27" s="4" t="str">
        <f t="shared" si="0"/>
        <v>Verbas Rescisórias em desacordo com a legislação trabalhista vigente</v>
      </c>
      <c r="J27" s="3"/>
      <c r="K27" s="3"/>
      <c r="L27" s="68">
        <f t="shared" si="1"/>
        <v>0</v>
      </c>
    </row>
    <row r="28" spans="2:14" s="2" customFormat="1" ht="12.75" x14ac:dyDescent="0.2">
      <c r="B28" s="21"/>
      <c r="C28" s="24"/>
      <c r="D28" s="24"/>
      <c r="E28" s="24"/>
      <c r="F28" s="23"/>
      <c r="G28" s="40"/>
      <c r="H28" s="11"/>
      <c r="I28" s="3"/>
      <c r="J28" s="3"/>
      <c r="K28" s="3"/>
      <c r="L28" s="12"/>
    </row>
    <row r="29" spans="2:14" s="2" customFormat="1" ht="12.75" x14ac:dyDescent="0.2">
      <c r="B29" s="13" t="s">
        <v>3</v>
      </c>
      <c r="C29" s="24" t="s">
        <v>96</v>
      </c>
      <c r="D29" s="24"/>
      <c r="E29" s="24"/>
      <c r="F29" s="23">
        <f>SUM(F30:F42)</f>
        <v>-1000</v>
      </c>
      <c r="G29" s="40"/>
      <c r="H29" s="13" t="s">
        <v>3</v>
      </c>
      <c r="I29" s="3" t="str">
        <f>C29</f>
        <v>EXCLUSÕES</v>
      </c>
      <c r="J29" s="3"/>
      <c r="K29" s="3"/>
      <c r="L29" s="12">
        <f>SUM(L30:L42)</f>
        <v>-1000</v>
      </c>
    </row>
    <row r="30" spans="2:14" s="2" customFormat="1" ht="12.75" x14ac:dyDescent="0.2">
      <c r="B30" s="13"/>
      <c r="C30" s="22" t="s">
        <v>22</v>
      </c>
      <c r="D30" s="24"/>
      <c r="E30" s="24"/>
      <c r="F30" s="68">
        <v>0</v>
      </c>
      <c r="G30" s="40"/>
      <c r="H30" s="13"/>
      <c r="I30" s="103" t="str">
        <f t="shared" ref="I30:I42" si="2">C30</f>
        <v>Ajustes credores de qualquer natureza</v>
      </c>
      <c r="J30" s="3"/>
      <c r="K30" s="3"/>
      <c r="L30" s="68">
        <f>F30</f>
        <v>0</v>
      </c>
    </row>
    <row r="31" spans="2:14" s="2" customFormat="1" ht="12.75" x14ac:dyDescent="0.2">
      <c r="B31" s="13"/>
      <c r="C31" s="22" t="s">
        <v>27</v>
      </c>
      <c r="D31" s="24"/>
      <c r="E31" s="24"/>
      <c r="F31" s="68">
        <v>0</v>
      </c>
      <c r="G31" s="40"/>
      <c r="H31" s="13"/>
      <c r="I31" s="103" t="str">
        <f t="shared" si="2"/>
        <v>Decisão Favorável - Processos Judiciais Tributários</v>
      </c>
      <c r="J31" s="3"/>
      <c r="K31" s="3"/>
      <c r="L31" s="68">
        <f t="shared" ref="L31:L42" si="3">F31</f>
        <v>0</v>
      </c>
    </row>
    <row r="32" spans="2:14" s="2" customFormat="1" ht="12.75" x14ac:dyDescent="0.2">
      <c r="B32" s="13"/>
      <c r="C32" s="22" t="s">
        <v>24</v>
      </c>
      <c r="D32" s="24"/>
      <c r="E32" s="24"/>
      <c r="F32" s="68">
        <v>0</v>
      </c>
      <c r="G32" s="40"/>
      <c r="H32" s="13"/>
      <c r="I32" s="103" t="str">
        <f t="shared" si="2"/>
        <v>Despesas de Ágios</v>
      </c>
      <c r="J32" s="3"/>
      <c r="K32" s="3"/>
      <c r="L32" s="68">
        <f t="shared" si="3"/>
        <v>0</v>
      </c>
    </row>
    <row r="33" spans="2:12" s="2" customFormat="1" ht="12.75" x14ac:dyDescent="0.2">
      <c r="B33" s="13"/>
      <c r="C33" s="22" t="s">
        <v>20</v>
      </c>
      <c r="D33" s="24"/>
      <c r="E33" s="24"/>
      <c r="F33" s="68">
        <v>0</v>
      </c>
      <c r="G33" s="40"/>
      <c r="H33" s="13"/>
      <c r="I33" s="103" t="str">
        <f t="shared" si="2"/>
        <v>Distribuição de Lucros e Dividendos;</v>
      </c>
      <c r="J33" s="3"/>
      <c r="K33" s="3"/>
      <c r="L33" s="68">
        <f t="shared" si="3"/>
        <v>0</v>
      </c>
    </row>
    <row r="34" spans="2:12" s="2" customFormat="1" ht="12.75" x14ac:dyDescent="0.2">
      <c r="B34" s="13"/>
      <c r="C34" s="22" t="s">
        <v>28</v>
      </c>
      <c r="D34" s="24"/>
      <c r="E34" s="24"/>
      <c r="F34" s="68">
        <v>-1000</v>
      </c>
      <c r="G34" s="40"/>
      <c r="H34" s="13"/>
      <c r="I34" s="103" t="str">
        <f t="shared" si="2"/>
        <v>Dividendos Coligadas e Controladas</v>
      </c>
      <c r="J34" s="3"/>
      <c r="K34" s="3"/>
      <c r="L34" s="68">
        <f t="shared" si="3"/>
        <v>-1000</v>
      </c>
    </row>
    <row r="35" spans="2:12" s="2" customFormat="1" ht="12.75" x14ac:dyDescent="0.2">
      <c r="B35" s="13"/>
      <c r="C35" s="22" t="s">
        <v>26</v>
      </c>
      <c r="D35" s="24"/>
      <c r="E35" s="24"/>
      <c r="F35" s="68">
        <v>0</v>
      </c>
      <c r="G35" s="40"/>
      <c r="H35" s="13"/>
      <c r="I35" s="103" t="str">
        <f t="shared" si="2"/>
        <v>Pagamento de Impostos em Atraso por iniciativa da Empresa</v>
      </c>
      <c r="J35" s="3"/>
      <c r="K35" s="3"/>
      <c r="L35" s="68">
        <f t="shared" si="3"/>
        <v>0</v>
      </c>
    </row>
    <row r="36" spans="2:12" s="2" customFormat="1" ht="12.75" x14ac:dyDescent="0.2">
      <c r="B36" s="13"/>
      <c r="C36" s="22" t="s">
        <v>19</v>
      </c>
      <c r="D36" s="24"/>
      <c r="E36" s="24"/>
      <c r="F36" s="68">
        <v>0</v>
      </c>
      <c r="G36" s="40"/>
      <c r="H36" s="13"/>
      <c r="I36" s="103" t="str">
        <f t="shared" si="2"/>
        <v>Pagamento de Impostos sobre discussão judicial,</v>
      </c>
      <c r="J36" s="3"/>
      <c r="K36" s="3"/>
      <c r="L36" s="68">
        <f t="shared" si="3"/>
        <v>0</v>
      </c>
    </row>
    <row r="37" spans="2:12" s="2" customFormat="1" ht="12.75" x14ac:dyDescent="0.2">
      <c r="B37" s="13"/>
      <c r="C37" s="22" t="s">
        <v>23</v>
      </c>
      <c r="D37" s="24"/>
      <c r="E37" s="24"/>
      <c r="F37" s="68">
        <v>0</v>
      </c>
      <c r="G37" s="40"/>
      <c r="H37" s="13"/>
      <c r="I37" s="103" t="str">
        <f t="shared" si="2"/>
        <v>Receita de Variação Cambial</v>
      </c>
      <c r="J37" s="3"/>
      <c r="K37" s="3"/>
      <c r="L37" s="68">
        <f t="shared" si="3"/>
        <v>0</v>
      </c>
    </row>
    <row r="38" spans="2:12" s="2" customFormat="1" ht="12.75" x14ac:dyDescent="0.2">
      <c r="B38" s="13"/>
      <c r="C38" s="22" t="s">
        <v>29</v>
      </c>
      <c r="D38" s="24"/>
      <c r="E38" s="24"/>
      <c r="F38" s="68">
        <v>0</v>
      </c>
      <c r="G38" s="40"/>
      <c r="H38" s="13"/>
      <c r="I38" s="103" t="str">
        <f t="shared" si="2"/>
        <v>Receitas Obtidas com Tributação Exclusiva ou Isenta de IR</v>
      </c>
      <c r="J38" s="3"/>
      <c r="K38" s="3"/>
      <c r="L38" s="68">
        <f t="shared" si="3"/>
        <v>0</v>
      </c>
    </row>
    <row r="39" spans="2:12" s="2" customFormat="1" ht="12.75" x14ac:dyDescent="0.2">
      <c r="B39" s="13"/>
      <c r="C39" s="22" t="s">
        <v>21</v>
      </c>
      <c r="D39" s="24"/>
      <c r="E39" s="24"/>
      <c r="F39" s="68">
        <v>0</v>
      </c>
      <c r="G39" s="40"/>
      <c r="H39" s="13"/>
      <c r="I39" s="103" t="str">
        <f t="shared" si="2"/>
        <v>Receitas que poderiam ser diferidas;</v>
      </c>
      <c r="J39" s="3"/>
      <c r="K39" s="3"/>
      <c r="L39" s="68">
        <f t="shared" si="3"/>
        <v>0</v>
      </c>
    </row>
    <row r="40" spans="2:12" s="2" customFormat="1" ht="12.75" x14ac:dyDescent="0.2">
      <c r="B40" s="13"/>
      <c r="C40" s="22" t="s">
        <v>25</v>
      </c>
      <c r="D40" s="24"/>
      <c r="E40" s="24"/>
      <c r="F40" s="68">
        <v>0</v>
      </c>
      <c r="G40" s="40"/>
      <c r="H40" s="13"/>
      <c r="I40" s="103" t="str">
        <f t="shared" si="2"/>
        <v>Resultado Positivo de Equivalência Patrimonial</v>
      </c>
      <c r="J40" s="3"/>
      <c r="K40" s="3"/>
      <c r="L40" s="68">
        <f t="shared" si="3"/>
        <v>0</v>
      </c>
    </row>
    <row r="41" spans="2:12" s="2" customFormat="1" ht="12.75" x14ac:dyDescent="0.2">
      <c r="B41" s="13"/>
      <c r="C41" s="22" t="s">
        <v>30</v>
      </c>
      <c r="D41" s="24"/>
      <c r="E41" s="24"/>
      <c r="F41" s="68">
        <v>0</v>
      </c>
      <c r="G41" s="40"/>
      <c r="H41" s="13"/>
      <c r="I41" s="103" t="str">
        <f t="shared" si="2"/>
        <v>Reversão de Provisões Indedutíveis</v>
      </c>
      <c r="J41" s="3"/>
      <c r="K41" s="3"/>
      <c r="L41" s="68">
        <f t="shared" si="3"/>
        <v>0</v>
      </c>
    </row>
    <row r="42" spans="2:12" s="2" customFormat="1" ht="12.75" x14ac:dyDescent="0.2">
      <c r="B42" s="21"/>
      <c r="C42" s="22" t="s">
        <v>31</v>
      </c>
      <c r="D42" s="22"/>
      <c r="E42" s="22"/>
      <c r="F42" s="68">
        <v>0</v>
      </c>
      <c r="G42" s="40"/>
      <c r="H42" s="11"/>
      <c r="I42" s="103" t="str">
        <f t="shared" si="2"/>
        <v>Vendas Não Expedidas do Período</v>
      </c>
      <c r="J42" s="4"/>
      <c r="K42" s="4"/>
      <c r="L42" s="68">
        <f t="shared" si="3"/>
        <v>0</v>
      </c>
    </row>
    <row r="43" spans="2:12" s="2" customFormat="1" ht="12.75" x14ac:dyDescent="0.2">
      <c r="B43" s="21"/>
      <c r="C43" s="22"/>
      <c r="D43" s="22"/>
      <c r="E43" s="22"/>
      <c r="F43" s="26"/>
      <c r="G43" s="40"/>
      <c r="H43" s="11"/>
      <c r="I43" s="4"/>
      <c r="J43" s="4"/>
      <c r="K43" s="4"/>
      <c r="L43" s="14"/>
    </row>
    <row r="44" spans="2:12" s="2" customFormat="1" ht="18.75" customHeight="1" x14ac:dyDescent="0.2">
      <c r="B44" s="21" t="s">
        <v>4</v>
      </c>
      <c r="C44" s="24" t="s">
        <v>97</v>
      </c>
      <c r="D44" s="24"/>
      <c r="E44" s="24"/>
      <c r="F44" s="23">
        <f>SUM(F12,F14,F29)</f>
        <v>29600</v>
      </c>
      <c r="G44" s="40"/>
      <c r="H44" s="11" t="s">
        <v>4</v>
      </c>
      <c r="I44" s="3" t="s">
        <v>35</v>
      </c>
      <c r="J44" s="3"/>
      <c r="K44" s="3"/>
      <c r="L44" s="12">
        <f>SUM(L12,L14,L29)</f>
        <v>29600</v>
      </c>
    </row>
    <row r="45" spans="2:12" s="2" customFormat="1" ht="18.75" customHeight="1" x14ac:dyDescent="0.2">
      <c r="B45" s="21" t="s">
        <v>3</v>
      </c>
      <c r="C45" s="27">
        <v>0.3</v>
      </c>
      <c r="D45" s="38" t="s">
        <v>34</v>
      </c>
      <c r="E45" s="69" t="s">
        <v>32</v>
      </c>
      <c r="F45" s="23">
        <f>IF(E45="SIM",F44*C45,0)</f>
        <v>8880</v>
      </c>
      <c r="G45" s="40"/>
      <c r="H45" s="11" t="s">
        <v>3</v>
      </c>
      <c r="I45" s="15">
        <v>0.3</v>
      </c>
      <c r="J45" s="38" t="s">
        <v>34</v>
      </c>
      <c r="K45" s="70" t="s">
        <v>32</v>
      </c>
      <c r="L45" s="16">
        <f>IF(K45="SIM",L44*I45,0)</f>
        <v>8880</v>
      </c>
    </row>
    <row r="46" spans="2:12" s="2" customFormat="1" ht="18.75" customHeight="1" x14ac:dyDescent="0.2">
      <c r="B46" s="28" t="s">
        <v>4</v>
      </c>
      <c r="C46" s="24" t="s">
        <v>40</v>
      </c>
      <c r="D46" s="24"/>
      <c r="E46" s="24"/>
      <c r="F46" s="23">
        <f>F44-F45</f>
        <v>20720</v>
      </c>
      <c r="G46" s="40"/>
      <c r="H46" s="11" t="s">
        <v>4</v>
      </c>
      <c r="I46" s="3" t="s">
        <v>36</v>
      </c>
      <c r="J46" s="3"/>
      <c r="K46" s="3"/>
      <c r="L46" s="12">
        <f>L44-L45</f>
        <v>20720</v>
      </c>
    </row>
    <row r="47" spans="2:12" s="2" customFormat="1" ht="12.75" x14ac:dyDescent="0.2">
      <c r="B47" s="28"/>
      <c r="C47" s="24"/>
      <c r="D47" s="24"/>
      <c r="E47" s="24"/>
      <c r="F47" s="23"/>
      <c r="G47" s="40"/>
      <c r="H47" s="11"/>
      <c r="I47" s="3" t="s">
        <v>39</v>
      </c>
      <c r="J47" s="4"/>
      <c r="K47" s="8">
        <v>0.15</v>
      </c>
      <c r="L47" s="12">
        <f>IF(L46*K47&gt;0,L46*K47,0)</f>
        <v>3108</v>
      </c>
    </row>
    <row r="48" spans="2:12" s="2" customFormat="1" ht="18.75" x14ac:dyDescent="0.2">
      <c r="B48" s="28" t="s">
        <v>4</v>
      </c>
      <c r="C48" s="24" t="s">
        <v>46</v>
      </c>
      <c r="D48" s="24"/>
      <c r="E48" s="29">
        <v>0.09</v>
      </c>
      <c r="F48" s="23">
        <f>F46*E48</f>
        <v>1864.8</v>
      </c>
      <c r="G48" s="40"/>
      <c r="H48" s="11"/>
      <c r="I48" s="7">
        <v>0.1</v>
      </c>
      <c r="J48" s="39" t="s">
        <v>48</v>
      </c>
      <c r="K48" s="70">
        <f>MONTH(L11)</f>
        <v>1</v>
      </c>
      <c r="L48" s="12">
        <f>IF(L46&gt;20000*K48,(L46-20000*K48)*I48,0)</f>
        <v>72</v>
      </c>
    </row>
    <row r="49" spans="2:12" s="2" customFormat="1" ht="12.75" x14ac:dyDescent="0.2">
      <c r="B49" s="28"/>
      <c r="C49" s="22"/>
      <c r="D49" s="22"/>
      <c r="E49" s="22"/>
      <c r="F49" s="26"/>
      <c r="G49" s="40"/>
      <c r="H49" s="11"/>
      <c r="I49" s="4"/>
      <c r="J49" s="3"/>
      <c r="K49" s="3"/>
      <c r="L49" s="12"/>
    </row>
    <row r="50" spans="2:12" s="2" customFormat="1" ht="12.75" x14ac:dyDescent="0.2">
      <c r="B50" s="28" t="s">
        <v>3</v>
      </c>
      <c r="C50" s="24" t="s">
        <v>1</v>
      </c>
      <c r="D50" s="30"/>
      <c r="E50" s="30"/>
      <c r="F50" s="23">
        <f>SUM(F51:F53)</f>
        <v>-1500</v>
      </c>
      <c r="G50" s="40"/>
      <c r="H50" s="11" t="s">
        <v>4</v>
      </c>
      <c r="I50" s="3" t="s">
        <v>45</v>
      </c>
      <c r="J50" s="3"/>
      <c r="K50" s="3"/>
      <c r="L50" s="12">
        <f>SUM(L47:L48)</f>
        <v>3180</v>
      </c>
    </row>
    <row r="51" spans="2:12" s="2" customFormat="1" ht="12.75" x14ac:dyDescent="0.2">
      <c r="B51" s="28"/>
      <c r="C51" s="22" t="s">
        <v>41</v>
      </c>
      <c r="D51" s="22"/>
      <c r="E51" s="22"/>
      <c r="F51" s="68">
        <v>0</v>
      </c>
      <c r="G51" s="40"/>
      <c r="H51" s="11"/>
      <c r="I51" s="3"/>
      <c r="J51" s="3"/>
      <c r="K51" s="3"/>
      <c r="L51" s="12"/>
    </row>
    <row r="52" spans="2:12" s="2" customFormat="1" ht="12.75" x14ac:dyDescent="0.2">
      <c r="B52" s="28"/>
      <c r="C52" s="22" t="s">
        <v>43</v>
      </c>
      <c r="D52" s="22"/>
      <c r="E52" s="22"/>
      <c r="F52" s="68">
        <v>-1500</v>
      </c>
      <c r="G52" s="40"/>
      <c r="H52" s="11" t="s">
        <v>3</v>
      </c>
      <c r="I52" s="3" t="s">
        <v>0</v>
      </c>
      <c r="J52" s="4"/>
      <c r="K52" s="4"/>
      <c r="L52" s="12">
        <f>SUM(L53:L56)</f>
        <v>-2100</v>
      </c>
    </row>
    <row r="53" spans="2:12" s="2" customFormat="1" ht="12.75" x14ac:dyDescent="0.2">
      <c r="B53" s="28"/>
      <c r="C53" s="22" t="s">
        <v>42</v>
      </c>
      <c r="D53" s="22"/>
      <c r="E53" s="22"/>
      <c r="F53" s="68">
        <v>0</v>
      </c>
      <c r="G53" s="40"/>
      <c r="H53" s="11"/>
      <c r="I53" s="4" t="s">
        <v>5</v>
      </c>
      <c r="J53" s="4"/>
      <c r="K53" s="5"/>
      <c r="L53" s="68">
        <v>0</v>
      </c>
    </row>
    <row r="54" spans="2:12" s="2" customFormat="1" ht="13.5" thickBot="1" x14ac:dyDescent="0.25">
      <c r="B54" s="93"/>
      <c r="C54" s="94"/>
      <c r="D54" s="94"/>
      <c r="E54" s="94"/>
      <c r="F54" s="95"/>
      <c r="G54" s="40"/>
      <c r="H54" s="11"/>
      <c r="I54" s="4" t="s">
        <v>37</v>
      </c>
      <c r="J54" s="4"/>
      <c r="K54" s="4"/>
      <c r="L54" s="68">
        <v>-100</v>
      </c>
    </row>
    <row r="55" spans="2:12" s="22" customFormat="1" ht="13.5" thickTop="1" x14ac:dyDescent="0.2">
      <c r="B55" s="90" t="s">
        <v>4</v>
      </c>
      <c r="C55" s="91" t="str">
        <f>IF(F55&gt;=0,"CSLL a Pagar","CSLL a Compensar")</f>
        <v>CSLL a Pagar</v>
      </c>
      <c r="D55" s="91"/>
      <c r="E55" s="91"/>
      <c r="F55" s="92">
        <f>SUM(F48,F50)</f>
        <v>364.79999999999995</v>
      </c>
      <c r="G55" s="41"/>
      <c r="H55" s="11"/>
      <c r="I55" s="4" t="s">
        <v>44</v>
      </c>
      <c r="J55" s="4"/>
      <c r="K55" s="4"/>
      <c r="L55" s="68">
        <v>-2000</v>
      </c>
    </row>
    <row r="56" spans="2:12" s="31" customFormat="1" ht="15" x14ac:dyDescent="0.25">
      <c r="B56" s="32"/>
      <c r="C56" s="33"/>
      <c r="D56" s="33"/>
      <c r="E56" s="33"/>
      <c r="F56" s="34"/>
      <c r="G56" s="42"/>
      <c r="H56" s="11"/>
      <c r="I56" s="4" t="s">
        <v>38</v>
      </c>
      <c r="J56" s="4"/>
      <c r="K56" s="6"/>
      <c r="L56" s="68">
        <v>0</v>
      </c>
    </row>
    <row r="57" spans="2:12" ht="15" thickBot="1" x14ac:dyDescent="0.25">
      <c r="F57" s="35"/>
      <c r="H57" s="99"/>
      <c r="I57" s="100"/>
      <c r="J57" s="100"/>
      <c r="K57" s="100"/>
      <c r="L57" s="101"/>
    </row>
    <row r="58" spans="2:12" ht="15" thickTop="1" x14ac:dyDescent="0.2">
      <c r="H58" s="96" t="s">
        <v>4</v>
      </c>
      <c r="I58" s="97" t="str">
        <f>IF(L58&gt;=0,"IRPJ  a Pagar","IRPJ a Compensar")</f>
        <v>IRPJ  a Pagar</v>
      </c>
      <c r="J58" s="97"/>
      <c r="K58" s="97"/>
      <c r="L58" s="98">
        <f>SUM(L50,L52)</f>
        <v>1080</v>
      </c>
    </row>
  </sheetData>
  <sheetProtection algorithmName="SHA-512" hashValue="ydtweNdC0Ba2abAPCrfoggjNu502MsJCY1JP/ewgX6gdN0sfNlk3or3a2A3Vd1SyE2CGu8e5+PWm8etJcLfr3Q==" saltValue="+b1ktTOYLbQ3mQ8AYIpWVg==" spinCount="100000" sheet="1" objects="1" scenarios="1" formatColumns="0" selectLockedCells="1"/>
  <phoneticPr fontId="0" type="noConversion"/>
  <dataValidations count="2">
    <dataValidation type="list" allowBlank="1" showInputMessage="1" showErrorMessage="1" sqref="E45 K45">
      <formula1>$N$12:$N$13</formula1>
    </dataValidation>
    <dataValidation type="list" allowBlank="1" showInputMessage="1" showErrorMessage="1" sqref="K48">
      <formula1>$M$12:$M$23</formula1>
    </dataValidation>
  </dataValidations>
  <hyperlinks>
    <hyperlink ref="F2" r:id="rId1" location="!download/cu9f"/>
  </hyperlinks>
  <pageMargins left="0.25" right="0.25" top="0.75" bottom="0.75" header="0.3" footer="0.3"/>
  <pageSetup paperSize="9" orientation="portrait" horizontalDpi="120" verticalDpi="72" r:id="rId2"/>
  <headerFooter alignWithMargins="0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N81"/>
  <sheetViews>
    <sheetView showGridLines="0" zoomScaleNormal="100" workbookViewId="0">
      <selection activeCell="G13" sqref="G13"/>
    </sheetView>
  </sheetViews>
  <sheetFormatPr defaultRowHeight="12.75" x14ac:dyDescent="0.2"/>
  <cols>
    <col min="1" max="1" width="2.7109375" style="50" customWidth="1"/>
    <col min="2" max="2" width="2.140625" style="50" bestFit="1" customWidth="1"/>
    <col min="3" max="3" width="9.140625" style="50"/>
    <col min="4" max="4" width="31" style="50" customWidth="1"/>
    <col min="5" max="5" width="23.42578125" style="50" customWidth="1"/>
    <col min="6" max="7" width="16.7109375" style="54" customWidth="1"/>
    <col min="8" max="8" width="1.7109375" style="54" customWidth="1"/>
    <col min="9" max="9" width="2.140625" style="50" bestFit="1" customWidth="1"/>
    <col min="10" max="10" width="9.140625" style="50" customWidth="1"/>
    <col min="11" max="11" width="31.140625" style="50" customWidth="1"/>
    <col min="12" max="12" width="23.42578125" style="50" customWidth="1"/>
    <col min="13" max="14" width="16.7109375" style="50" customWidth="1"/>
    <col min="15" max="16384" width="9.140625" style="50"/>
  </cols>
  <sheetData>
    <row r="1" spans="1:14" ht="23.25" x14ac:dyDescent="0.35">
      <c r="A1" s="49" t="s">
        <v>93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12.75" customHeight="1" x14ac:dyDescent="0.2">
      <c r="B2" s="51"/>
      <c r="C2" s="52"/>
      <c r="D2" s="52"/>
      <c r="G2" s="53" t="s">
        <v>47</v>
      </c>
      <c r="H2" s="50"/>
      <c r="I2" s="55"/>
      <c r="J2" s="56"/>
    </row>
    <row r="3" spans="1:14" ht="12.75" customHeight="1" x14ac:dyDescent="0.2">
      <c r="B3" s="51"/>
      <c r="C3" s="52"/>
      <c r="D3" s="52"/>
      <c r="E3" s="57"/>
      <c r="G3" s="50"/>
      <c r="H3" s="50"/>
    </row>
    <row r="4" spans="1:14" ht="12.75" customHeight="1" x14ac:dyDescent="0.2">
      <c r="B4" s="51"/>
      <c r="C4" s="52"/>
      <c r="D4" s="52"/>
      <c r="E4"/>
      <c r="F4" s="50"/>
      <c r="G4" s="50"/>
      <c r="H4"/>
    </row>
    <row r="5" spans="1:14" ht="12.75" customHeight="1" x14ac:dyDescent="0.2">
      <c r="B5" s="51"/>
      <c r="C5" s="52"/>
      <c r="D5" s="52"/>
      <c r="E5"/>
      <c r="F5" s="50"/>
      <c r="G5" s="50"/>
      <c r="H5"/>
    </row>
    <row r="6" spans="1:14" ht="12.75" customHeight="1" x14ac:dyDescent="0.2">
      <c r="B6" s="51"/>
      <c r="C6" s="52"/>
      <c r="D6" s="52"/>
      <c r="E6"/>
      <c r="F6" s="50"/>
      <c r="G6" s="50"/>
      <c r="H6"/>
    </row>
    <row r="7" spans="1:14" ht="12.75" customHeight="1" x14ac:dyDescent="0.2">
      <c r="B7" s="51"/>
      <c r="C7" s="52"/>
      <c r="D7" s="52"/>
      <c r="E7"/>
      <c r="F7" s="50"/>
      <c r="G7" s="50"/>
      <c r="H7"/>
    </row>
    <row r="8" spans="1:14" ht="12.75" customHeight="1" x14ac:dyDescent="0.2">
      <c r="B8" s="51"/>
      <c r="C8" s="52"/>
      <c r="D8" s="52"/>
      <c r="E8"/>
      <c r="F8" s="50"/>
      <c r="G8" s="50"/>
      <c r="H8"/>
    </row>
    <row r="9" spans="1:14" ht="12.75" customHeight="1" x14ac:dyDescent="0.2">
      <c r="B9" s="51"/>
      <c r="C9" s="52"/>
      <c r="D9" s="58" t="s">
        <v>49</v>
      </c>
      <c r="E9"/>
      <c r="F9" s="50"/>
      <c r="G9" s="50"/>
      <c r="H9"/>
    </row>
    <row r="10" spans="1:14" ht="12.75" customHeight="1" x14ac:dyDescent="0.2">
      <c r="B10" s="51"/>
      <c r="C10" s="59"/>
      <c r="D10" s="59"/>
      <c r="E10"/>
      <c r="F10" s="50"/>
      <c r="G10" s="50"/>
      <c r="H10"/>
    </row>
    <row r="11" spans="1:14" ht="12.75" customHeight="1" x14ac:dyDescent="0.2">
      <c r="B11" s="107"/>
      <c r="C11" s="71" t="s">
        <v>50</v>
      </c>
      <c r="D11" s="71"/>
      <c r="E11" s="71"/>
      <c r="F11" s="71"/>
      <c r="G11" s="102">
        <v>43101</v>
      </c>
      <c r="H11"/>
      <c r="I11" s="107"/>
      <c r="J11" s="71" t="s">
        <v>51</v>
      </c>
      <c r="K11" s="71"/>
      <c r="L11" s="71"/>
      <c r="M11" s="109"/>
      <c r="N11" s="108">
        <f>G11</f>
        <v>43101</v>
      </c>
    </row>
    <row r="12" spans="1:14" x14ac:dyDescent="0.2">
      <c r="B12" s="104" t="s">
        <v>2</v>
      </c>
      <c r="C12" s="113" t="s">
        <v>53</v>
      </c>
      <c r="D12" s="113"/>
      <c r="E12" s="113"/>
      <c r="F12" s="75"/>
      <c r="G12" s="78">
        <f>SUM(G13:G18)</f>
        <v>357173.77999999997</v>
      </c>
      <c r="I12" s="77" t="str">
        <f>B12</f>
        <v>+</v>
      </c>
      <c r="J12" s="113" t="s">
        <v>53</v>
      </c>
      <c r="K12" s="113"/>
      <c r="L12" s="113" t="s">
        <v>54</v>
      </c>
      <c r="M12" s="75"/>
      <c r="N12" s="78">
        <f>SUM(N13:N18)</f>
        <v>357173.77999999997</v>
      </c>
    </row>
    <row r="13" spans="1:14" x14ac:dyDescent="0.2">
      <c r="B13" s="77"/>
      <c r="C13" s="114" t="s">
        <v>55</v>
      </c>
      <c r="D13" s="114"/>
      <c r="E13" s="114"/>
      <c r="F13" s="75"/>
      <c r="G13" s="84">
        <v>0</v>
      </c>
      <c r="I13" s="77"/>
      <c r="J13" s="114" t="s">
        <v>55</v>
      </c>
      <c r="K13" s="114"/>
      <c r="L13" s="114"/>
      <c r="M13" s="75"/>
      <c r="N13" s="84">
        <f t="shared" ref="N13:N18" si="0">G13</f>
        <v>0</v>
      </c>
    </row>
    <row r="14" spans="1:14" x14ac:dyDescent="0.2">
      <c r="B14" s="77"/>
      <c r="C14" s="114" t="s">
        <v>56</v>
      </c>
      <c r="D14" s="114"/>
      <c r="E14" s="114"/>
      <c r="F14" s="75"/>
      <c r="G14" s="84">
        <f>103246.33+76161.9+21500</f>
        <v>200908.22999999998</v>
      </c>
      <c r="I14" s="77"/>
      <c r="J14" s="114" t="s">
        <v>56</v>
      </c>
      <c r="K14" s="114"/>
      <c r="L14" s="114"/>
      <c r="M14" s="75"/>
      <c r="N14" s="84">
        <f t="shared" si="0"/>
        <v>200908.22999999998</v>
      </c>
    </row>
    <row r="15" spans="1:14" x14ac:dyDescent="0.2">
      <c r="B15" s="77"/>
      <c r="C15" s="114" t="s">
        <v>57</v>
      </c>
      <c r="D15" s="114"/>
      <c r="E15" s="114"/>
      <c r="F15" s="75"/>
      <c r="G15" s="84">
        <v>12172</v>
      </c>
      <c r="I15" s="77"/>
      <c r="J15" s="114" t="s">
        <v>57</v>
      </c>
      <c r="K15" s="114"/>
      <c r="L15" s="114"/>
      <c r="M15" s="75"/>
      <c r="N15" s="84">
        <f t="shared" si="0"/>
        <v>12172</v>
      </c>
    </row>
    <row r="16" spans="1:14" x14ac:dyDescent="0.2">
      <c r="B16" s="77"/>
      <c r="C16" s="114" t="s">
        <v>58</v>
      </c>
      <c r="D16" s="114"/>
      <c r="E16" s="114"/>
      <c r="F16" s="75"/>
      <c r="G16" s="84">
        <v>132093.54999999999</v>
      </c>
      <c r="I16" s="77"/>
      <c r="J16" s="114" t="s">
        <v>58</v>
      </c>
      <c r="K16" s="114"/>
      <c r="L16" s="114"/>
      <c r="M16" s="75"/>
      <c r="N16" s="84">
        <f t="shared" si="0"/>
        <v>132093.54999999999</v>
      </c>
    </row>
    <row r="17" spans="2:14" x14ac:dyDescent="0.2">
      <c r="B17" s="77"/>
      <c r="C17" s="114" t="s">
        <v>59</v>
      </c>
      <c r="D17" s="114"/>
      <c r="E17" s="114"/>
      <c r="F17" s="75"/>
      <c r="G17" s="84">
        <v>0</v>
      </c>
      <c r="I17" s="77"/>
      <c r="J17" s="114" t="s">
        <v>59</v>
      </c>
      <c r="K17" s="114"/>
      <c r="L17" s="114"/>
      <c r="M17" s="75"/>
      <c r="N17" s="84">
        <f t="shared" si="0"/>
        <v>0</v>
      </c>
    </row>
    <row r="18" spans="2:14" x14ac:dyDescent="0.2">
      <c r="B18" s="77"/>
      <c r="C18" s="114" t="s">
        <v>60</v>
      </c>
      <c r="D18" s="114"/>
      <c r="E18" s="114"/>
      <c r="F18" s="75"/>
      <c r="G18" s="84">
        <v>12000</v>
      </c>
      <c r="I18" s="77"/>
      <c r="J18" s="114" t="s">
        <v>60</v>
      </c>
      <c r="K18" s="114"/>
      <c r="L18" s="114"/>
      <c r="M18" s="75"/>
      <c r="N18" s="84">
        <f t="shared" si="0"/>
        <v>12000</v>
      </c>
    </row>
    <row r="19" spans="2:14" x14ac:dyDescent="0.2">
      <c r="B19" s="104" t="s">
        <v>3</v>
      </c>
      <c r="C19" s="113" t="s">
        <v>61</v>
      </c>
      <c r="D19" s="113"/>
      <c r="E19" s="113"/>
      <c r="F19" s="75"/>
      <c r="G19" s="79">
        <f>-SUM(G20:G24)</f>
        <v>-12000</v>
      </c>
      <c r="I19" s="77" t="str">
        <f>B19</f>
        <v>-</v>
      </c>
      <c r="J19" s="113" t="s">
        <v>61</v>
      </c>
      <c r="K19" s="113"/>
      <c r="L19" s="113"/>
      <c r="M19" s="75"/>
      <c r="N19" s="79">
        <f>-SUM(N20:N24)</f>
        <v>-12000</v>
      </c>
    </row>
    <row r="20" spans="2:14" x14ac:dyDescent="0.2">
      <c r="B20" s="80"/>
      <c r="C20" s="114" t="s">
        <v>62</v>
      </c>
      <c r="D20" s="114"/>
      <c r="E20" s="114"/>
      <c r="F20" s="75"/>
      <c r="G20" s="84">
        <v>0</v>
      </c>
      <c r="I20" s="80"/>
      <c r="J20" s="114" t="s">
        <v>62</v>
      </c>
      <c r="K20" s="114"/>
      <c r="L20" s="114"/>
      <c r="M20" s="75"/>
      <c r="N20" s="84">
        <f>G20</f>
        <v>0</v>
      </c>
    </row>
    <row r="21" spans="2:14" x14ac:dyDescent="0.2">
      <c r="B21" s="80"/>
      <c r="C21" s="114" t="s">
        <v>63</v>
      </c>
      <c r="D21" s="114"/>
      <c r="E21" s="114"/>
      <c r="F21" s="75"/>
      <c r="G21" s="84">
        <v>0</v>
      </c>
      <c r="I21" s="80"/>
      <c r="J21" s="114" t="s">
        <v>63</v>
      </c>
      <c r="K21" s="114"/>
      <c r="L21" s="114"/>
      <c r="M21" s="75"/>
      <c r="N21" s="84">
        <f>G21</f>
        <v>0</v>
      </c>
    </row>
    <row r="22" spans="2:14" x14ac:dyDescent="0.2">
      <c r="B22" s="80"/>
      <c r="C22" s="114" t="s">
        <v>64</v>
      </c>
      <c r="D22" s="114"/>
      <c r="E22" s="114"/>
      <c r="F22" s="75"/>
      <c r="G22" s="84">
        <v>0</v>
      </c>
      <c r="I22" s="80"/>
      <c r="J22" s="114" t="s">
        <v>64</v>
      </c>
      <c r="K22" s="114"/>
      <c r="L22" s="114"/>
      <c r="M22" s="75"/>
      <c r="N22" s="84">
        <f>G22</f>
        <v>0</v>
      </c>
    </row>
    <row r="23" spans="2:14" x14ac:dyDescent="0.2">
      <c r="B23" s="80"/>
      <c r="C23" s="114" t="s">
        <v>65</v>
      </c>
      <c r="D23" s="114"/>
      <c r="E23" s="114"/>
      <c r="F23" s="75"/>
      <c r="G23" s="84">
        <v>0</v>
      </c>
      <c r="I23" s="80"/>
      <c r="J23" s="114" t="s">
        <v>65</v>
      </c>
      <c r="K23" s="114"/>
      <c r="L23" s="114"/>
      <c r="M23" s="75"/>
      <c r="N23" s="84">
        <f>G23</f>
        <v>0</v>
      </c>
    </row>
    <row r="24" spans="2:14" x14ac:dyDescent="0.2">
      <c r="B24" s="80"/>
      <c r="C24" s="114" t="s">
        <v>66</v>
      </c>
      <c r="D24" s="114"/>
      <c r="E24" s="114"/>
      <c r="F24" s="75"/>
      <c r="G24" s="84">
        <v>12000</v>
      </c>
      <c r="I24" s="80"/>
      <c r="J24" s="114" t="s">
        <v>66</v>
      </c>
      <c r="K24" s="114"/>
      <c r="L24" s="114"/>
      <c r="M24" s="75"/>
      <c r="N24" s="84">
        <f>G24</f>
        <v>12000</v>
      </c>
    </row>
    <row r="25" spans="2:14" x14ac:dyDescent="0.2">
      <c r="B25" s="80"/>
      <c r="C25" s="106" t="s">
        <v>52</v>
      </c>
      <c r="D25" s="106"/>
      <c r="E25" s="106"/>
      <c r="F25" s="75"/>
      <c r="G25" s="78">
        <f>G12+G19</f>
        <v>345173.77999999997</v>
      </c>
      <c r="H25" s="61"/>
      <c r="I25" s="80"/>
      <c r="J25" s="106" t="s">
        <v>52</v>
      </c>
      <c r="K25" s="106"/>
      <c r="L25" s="106"/>
      <c r="M25" s="75"/>
      <c r="N25" s="78">
        <f>N12+N19</f>
        <v>345173.77999999997</v>
      </c>
    </row>
    <row r="26" spans="2:14" x14ac:dyDescent="0.2">
      <c r="B26" s="80"/>
      <c r="C26" s="106" t="s">
        <v>67</v>
      </c>
      <c r="D26" s="106"/>
      <c r="E26" s="106"/>
      <c r="F26" s="75"/>
      <c r="G26" s="81">
        <v>1.6500000000000001E-2</v>
      </c>
      <c r="H26" s="62"/>
      <c r="I26" s="80"/>
      <c r="J26" s="106" t="s">
        <v>67</v>
      </c>
      <c r="K26" s="106"/>
      <c r="L26" s="106"/>
      <c r="M26" s="75"/>
      <c r="N26" s="81">
        <v>7.5999999999999998E-2</v>
      </c>
    </row>
    <row r="27" spans="2:14" x14ac:dyDescent="0.2">
      <c r="B27" s="80"/>
      <c r="C27" s="106" t="s">
        <v>68</v>
      </c>
      <c r="D27" s="106"/>
      <c r="E27" s="106"/>
      <c r="F27" s="75"/>
      <c r="G27" s="78">
        <f>G25*G26-0.01</f>
        <v>5695.3573699999997</v>
      </c>
      <c r="H27" s="61"/>
      <c r="I27" s="80"/>
      <c r="J27" s="106" t="s">
        <v>69</v>
      </c>
      <c r="K27" s="106"/>
      <c r="L27" s="106"/>
      <c r="M27" s="75"/>
      <c r="N27" s="78">
        <f>N25*N26</f>
        <v>26233.207279999999</v>
      </c>
    </row>
    <row r="28" spans="2:14" x14ac:dyDescent="0.2">
      <c r="B28" s="104" t="s">
        <v>3</v>
      </c>
      <c r="C28" s="113" t="s">
        <v>70</v>
      </c>
      <c r="D28" s="113"/>
      <c r="E28" s="113"/>
      <c r="F28" s="75"/>
      <c r="G28" s="79">
        <f>-SUM(G29:G36)</f>
        <v>-5086.8196499999995</v>
      </c>
      <c r="I28" s="77" t="str">
        <f>B28</f>
        <v>-</v>
      </c>
      <c r="J28" s="113" t="s">
        <v>71</v>
      </c>
      <c r="K28" s="113"/>
      <c r="L28" s="113"/>
      <c r="M28" s="75"/>
      <c r="N28" s="79">
        <f>-SUM(N29:N36)</f>
        <v>-23430.1996</v>
      </c>
    </row>
    <row r="29" spans="2:14" x14ac:dyDescent="0.2">
      <c r="B29" s="80"/>
      <c r="C29" s="114" t="s">
        <v>72</v>
      </c>
      <c r="D29" s="114"/>
      <c r="E29" s="114"/>
      <c r="F29" s="84">
        <v>0</v>
      </c>
      <c r="G29" s="76">
        <f t="shared" ref="G29:G36" si="1">F29*$G$26</f>
        <v>0</v>
      </c>
      <c r="I29" s="80"/>
      <c r="J29" s="114" t="s">
        <v>72</v>
      </c>
      <c r="K29" s="114"/>
      <c r="L29" s="114"/>
      <c r="M29" s="84">
        <f t="shared" ref="M29:M36" si="2">F29</f>
        <v>0</v>
      </c>
      <c r="N29" s="76">
        <f t="shared" ref="N29:N36" si="3">M29*$N$26</f>
        <v>0</v>
      </c>
    </row>
    <row r="30" spans="2:14" x14ac:dyDescent="0.2">
      <c r="B30" s="80"/>
      <c r="C30" s="114" t="s">
        <v>73</v>
      </c>
      <c r="D30" s="114"/>
      <c r="E30" s="114"/>
      <c r="F30" s="84">
        <f>716.16+29836.88+1010.41-71.72</f>
        <v>31491.73</v>
      </c>
      <c r="G30" s="76">
        <f t="shared" si="1"/>
        <v>519.61354500000004</v>
      </c>
      <c r="I30" s="80"/>
      <c r="J30" s="114" t="s">
        <v>73</v>
      </c>
      <c r="K30" s="114"/>
      <c r="L30" s="114"/>
      <c r="M30" s="84">
        <f t="shared" si="2"/>
        <v>31491.73</v>
      </c>
      <c r="N30" s="76">
        <f t="shared" si="3"/>
        <v>2393.3714799999998</v>
      </c>
    </row>
    <row r="31" spans="2:14" x14ac:dyDescent="0.2">
      <c r="B31" s="80"/>
      <c r="C31" s="114" t="s">
        <v>74</v>
      </c>
      <c r="D31" s="114"/>
      <c r="E31" s="114"/>
      <c r="F31" s="84">
        <f>248074.72+9215.44</f>
        <v>257290.16</v>
      </c>
      <c r="G31" s="76">
        <f t="shared" si="1"/>
        <v>4245.2876400000005</v>
      </c>
      <c r="I31" s="80"/>
      <c r="J31" s="114" t="s">
        <v>74</v>
      </c>
      <c r="K31" s="114"/>
      <c r="L31" s="114"/>
      <c r="M31" s="84">
        <f t="shared" si="2"/>
        <v>257290.16</v>
      </c>
      <c r="N31" s="76">
        <f t="shared" si="3"/>
        <v>19554.052159999999</v>
      </c>
    </row>
    <row r="32" spans="2:14" x14ac:dyDescent="0.2">
      <c r="B32" s="80"/>
      <c r="C32" s="114" t="s">
        <v>75</v>
      </c>
      <c r="D32" s="114"/>
      <c r="E32" s="114"/>
      <c r="F32" s="84">
        <v>3474.45</v>
      </c>
      <c r="G32" s="76">
        <f t="shared" si="1"/>
        <v>57.328425000000003</v>
      </c>
      <c r="I32" s="80"/>
      <c r="J32" s="114" t="s">
        <v>75</v>
      </c>
      <c r="K32" s="114"/>
      <c r="L32" s="114"/>
      <c r="M32" s="84">
        <f t="shared" si="2"/>
        <v>3474.45</v>
      </c>
      <c r="N32" s="76">
        <f t="shared" si="3"/>
        <v>264.0582</v>
      </c>
    </row>
    <row r="33" spans="2:14" x14ac:dyDescent="0.2">
      <c r="B33" s="80"/>
      <c r="C33" s="114" t="s">
        <v>76</v>
      </c>
      <c r="D33" s="114"/>
      <c r="E33" s="114"/>
      <c r="F33" s="84">
        <v>1640.85</v>
      </c>
      <c r="G33" s="76">
        <f t="shared" si="1"/>
        <v>27.074024999999999</v>
      </c>
      <c r="I33" s="80"/>
      <c r="J33" s="114" t="s">
        <v>76</v>
      </c>
      <c r="K33" s="114"/>
      <c r="L33" s="114"/>
      <c r="M33" s="84">
        <f t="shared" si="2"/>
        <v>1640.85</v>
      </c>
      <c r="N33" s="76">
        <f t="shared" si="3"/>
        <v>124.70459999999999</v>
      </c>
    </row>
    <row r="34" spans="2:14" x14ac:dyDescent="0.2">
      <c r="B34" s="80"/>
      <c r="C34" s="114" t="s">
        <v>77</v>
      </c>
      <c r="D34" s="114"/>
      <c r="E34" s="114"/>
      <c r="F34" s="84">
        <f>4500.05+3796.78+840.84+485.4</f>
        <v>9623.07</v>
      </c>
      <c r="G34" s="76">
        <f t="shared" si="1"/>
        <v>158.780655</v>
      </c>
      <c r="I34" s="80"/>
      <c r="J34" s="114" t="s">
        <v>77</v>
      </c>
      <c r="K34" s="114"/>
      <c r="L34" s="114"/>
      <c r="M34" s="84">
        <f t="shared" si="2"/>
        <v>9623.07</v>
      </c>
      <c r="N34" s="76">
        <f t="shared" si="3"/>
        <v>731.35331999999994</v>
      </c>
    </row>
    <row r="35" spans="2:14" x14ac:dyDescent="0.2">
      <c r="B35" s="80"/>
      <c r="C35" s="114" t="s">
        <v>78</v>
      </c>
      <c r="D35" s="114"/>
      <c r="E35" s="114"/>
      <c r="F35" s="84">
        <v>4771.84</v>
      </c>
      <c r="G35" s="76">
        <f t="shared" si="1"/>
        <v>78.73536</v>
      </c>
      <c r="I35" s="80"/>
      <c r="J35" s="114" t="s">
        <v>78</v>
      </c>
      <c r="K35" s="114"/>
      <c r="L35" s="114"/>
      <c r="M35" s="84">
        <f t="shared" si="2"/>
        <v>4771.84</v>
      </c>
      <c r="N35" s="76">
        <f t="shared" si="3"/>
        <v>362.65983999999997</v>
      </c>
    </row>
    <row r="36" spans="2:14" x14ac:dyDescent="0.2">
      <c r="B36" s="80"/>
      <c r="C36" s="114" t="s">
        <v>79</v>
      </c>
      <c r="D36" s="114"/>
      <c r="E36" s="114"/>
      <c r="F36" s="84">
        <v>0</v>
      </c>
      <c r="G36" s="76">
        <f t="shared" si="1"/>
        <v>0</v>
      </c>
      <c r="I36" s="80"/>
      <c r="J36" s="114" t="s">
        <v>80</v>
      </c>
      <c r="K36" s="114"/>
      <c r="L36" s="114"/>
      <c r="M36" s="84">
        <f t="shared" si="2"/>
        <v>0</v>
      </c>
      <c r="N36" s="76">
        <f t="shared" si="3"/>
        <v>0</v>
      </c>
    </row>
    <row r="37" spans="2:14" ht="13.5" customHeight="1" x14ac:dyDescent="0.2">
      <c r="B37" s="80"/>
      <c r="C37" s="106" t="s">
        <v>68</v>
      </c>
      <c r="D37" s="106"/>
      <c r="E37" s="106"/>
      <c r="F37" s="75"/>
      <c r="G37" s="78">
        <f>SUM(G27:G28)</f>
        <v>608.53772000000026</v>
      </c>
      <c r="H37" s="61"/>
      <c r="I37" s="80"/>
      <c r="J37" s="106" t="s">
        <v>81</v>
      </c>
      <c r="K37" s="106"/>
      <c r="L37" s="106"/>
      <c r="M37" s="75"/>
      <c r="N37" s="78">
        <f>SUM(N27:N28)</f>
        <v>2803.0076799999988</v>
      </c>
    </row>
    <row r="38" spans="2:14" ht="13.5" customHeight="1" x14ac:dyDescent="0.2">
      <c r="B38" s="104" t="s">
        <v>3</v>
      </c>
      <c r="C38" s="113" t="s">
        <v>82</v>
      </c>
      <c r="D38" s="113"/>
      <c r="E38" s="113"/>
      <c r="F38" s="75"/>
      <c r="G38" s="79">
        <f>-SUM(G39:G41)</f>
        <v>-549</v>
      </c>
      <c r="H38" s="61"/>
      <c r="I38" s="77" t="str">
        <f>B38</f>
        <v>-</v>
      </c>
      <c r="J38" s="113" t="s">
        <v>83</v>
      </c>
      <c r="K38" s="113"/>
      <c r="L38" s="113"/>
      <c r="M38" s="75"/>
      <c r="N38" s="79">
        <f>-SUM(N39:N41)</f>
        <v>-2533.9699999999998</v>
      </c>
    </row>
    <row r="39" spans="2:14" x14ac:dyDescent="0.2">
      <c r="B39" s="105" t="s">
        <v>3</v>
      </c>
      <c r="C39" s="114" t="s">
        <v>84</v>
      </c>
      <c r="D39" s="114"/>
      <c r="E39" s="114"/>
      <c r="F39" s="75"/>
      <c r="G39" s="84">
        <v>0</v>
      </c>
      <c r="I39" s="77" t="str">
        <f t="shared" ref="I39:I41" si="4">B39</f>
        <v>-</v>
      </c>
      <c r="J39" s="114" t="s">
        <v>85</v>
      </c>
      <c r="K39" s="114"/>
      <c r="L39" s="114"/>
      <c r="M39" s="75"/>
      <c r="N39" s="84">
        <v>0</v>
      </c>
    </row>
    <row r="40" spans="2:14" x14ac:dyDescent="0.2">
      <c r="B40" s="105" t="s">
        <v>3</v>
      </c>
      <c r="C40" s="114" t="s">
        <v>86</v>
      </c>
      <c r="D40" s="114"/>
      <c r="E40" s="114"/>
      <c r="F40" s="75"/>
      <c r="G40" s="84">
        <v>0</v>
      </c>
      <c r="I40" s="77" t="str">
        <f t="shared" si="4"/>
        <v>-</v>
      </c>
      <c r="J40" s="114" t="s">
        <v>87</v>
      </c>
      <c r="K40" s="114"/>
      <c r="L40" s="114"/>
      <c r="M40" s="75"/>
      <c r="N40" s="84">
        <v>0</v>
      </c>
    </row>
    <row r="41" spans="2:14" x14ac:dyDescent="0.2">
      <c r="B41" s="105" t="s">
        <v>3</v>
      </c>
      <c r="C41" s="114" t="s">
        <v>88</v>
      </c>
      <c r="D41" s="114"/>
      <c r="E41" s="114"/>
      <c r="F41" s="75"/>
      <c r="G41" s="85">
        <v>549</v>
      </c>
      <c r="I41" s="77" t="str">
        <f t="shared" si="4"/>
        <v>-</v>
      </c>
      <c r="J41" s="114" t="s">
        <v>89</v>
      </c>
      <c r="K41" s="114"/>
      <c r="L41" s="114"/>
      <c r="M41" s="75"/>
      <c r="N41" s="85">
        <v>2533.9699999999998</v>
      </c>
    </row>
    <row r="42" spans="2:14" ht="13.5" thickBot="1" x14ac:dyDescent="0.25">
      <c r="B42" s="86"/>
      <c r="C42" s="87"/>
      <c r="D42" s="87"/>
      <c r="E42" s="87"/>
      <c r="F42" s="88"/>
      <c r="G42" s="89"/>
      <c r="I42" s="86"/>
      <c r="J42" s="87"/>
      <c r="K42" s="87"/>
      <c r="L42" s="87"/>
      <c r="M42" s="88"/>
      <c r="N42" s="89"/>
    </row>
    <row r="43" spans="2:14" ht="13.5" thickTop="1" x14ac:dyDescent="0.2">
      <c r="B43" s="111" t="str">
        <f>IF(G43&gt;0,"VALOR PIS A PAGAR","( - ) VALOR PIS A COMPENSAR")</f>
        <v>VALOR PIS A PAGAR</v>
      </c>
      <c r="C43" s="112"/>
      <c r="D43" s="112"/>
      <c r="E43" s="112"/>
      <c r="F43" s="82"/>
      <c r="G43" s="83">
        <f>SUM(G37:G38)</f>
        <v>59.537720000000263</v>
      </c>
      <c r="I43" s="111" t="str">
        <f>IF(N43&gt;0,"VALOR COFINS A PAGAR","( - ) VALOR COFINS A COMPENSAR")</f>
        <v>VALOR COFINS A PAGAR</v>
      </c>
      <c r="J43" s="112"/>
      <c r="K43" s="112"/>
      <c r="L43" s="112"/>
      <c r="M43" s="82"/>
      <c r="N43" s="83">
        <f>SUM(N37:N38)</f>
        <v>269.037679999999</v>
      </c>
    </row>
    <row r="44" spans="2:14" x14ac:dyDescent="0.2">
      <c r="B44" s="63"/>
      <c r="C44" s="63"/>
      <c r="D44" s="63"/>
      <c r="E44" s="63"/>
      <c r="F44" s="60"/>
      <c r="G44" s="64"/>
    </row>
    <row r="45" spans="2:14" ht="12.75" customHeight="1" x14ac:dyDescent="0.2">
      <c r="B45" s="51"/>
      <c r="C45" s="52"/>
      <c r="D45" s="52"/>
      <c r="E45"/>
      <c r="F45" s="50"/>
      <c r="G45" s="50"/>
      <c r="H45"/>
    </row>
    <row r="46" spans="2:14" ht="12.75" customHeight="1" x14ac:dyDescent="0.2">
      <c r="H46"/>
    </row>
    <row r="53" spans="9:9" x14ac:dyDescent="0.2">
      <c r="I53" s="54"/>
    </row>
    <row r="54" spans="9:9" x14ac:dyDescent="0.2">
      <c r="I54" s="54"/>
    </row>
    <row r="55" spans="9:9" x14ac:dyDescent="0.2">
      <c r="I55" s="54"/>
    </row>
    <row r="65" spans="8:9" x14ac:dyDescent="0.2">
      <c r="H65" s="61"/>
    </row>
    <row r="66" spans="8:9" x14ac:dyDescent="0.2">
      <c r="H66" s="62"/>
      <c r="I66" s="54"/>
    </row>
    <row r="67" spans="8:9" x14ac:dyDescent="0.2">
      <c r="H67" s="61"/>
    </row>
    <row r="77" spans="8:9" x14ac:dyDescent="0.2">
      <c r="H77" s="61"/>
    </row>
    <row r="78" spans="8:9" x14ac:dyDescent="0.2">
      <c r="H78" s="61"/>
    </row>
    <row r="80" spans="8:9" x14ac:dyDescent="0.2">
      <c r="I80" s="54"/>
    </row>
    <row r="81" spans="9:9" x14ac:dyDescent="0.2">
      <c r="I81" s="54"/>
    </row>
  </sheetData>
  <sheetProtection algorithmName="SHA-512" hashValue="UyfNGEHOngWYiZP3+/omQSsbMu9fGmq0gGIuRNafw49amS2wHCXpbBexBohtmyqDpqVWGNWdOCQjW/fDNl/0Iw==" saltValue="tayQgIRdEIio4glKc8PLbQ==" spinCount="100000" sheet="1" objects="1" scenarios="1" formatColumns="0" selectLockedCells="1"/>
  <mergeCells count="54">
    <mergeCell ref="C12:E12"/>
    <mergeCell ref="J12:L12"/>
    <mergeCell ref="C13:E13"/>
    <mergeCell ref="J13:L13"/>
    <mergeCell ref="C14:E14"/>
    <mergeCell ref="J14:L14"/>
    <mergeCell ref="C15:E15"/>
    <mergeCell ref="J15:L15"/>
    <mergeCell ref="C16:E16"/>
    <mergeCell ref="J16:L16"/>
    <mergeCell ref="C17:E17"/>
    <mergeCell ref="J17:L17"/>
    <mergeCell ref="C18:E18"/>
    <mergeCell ref="J18:L18"/>
    <mergeCell ref="C19:E19"/>
    <mergeCell ref="J19:L19"/>
    <mergeCell ref="C20:E20"/>
    <mergeCell ref="J20:L20"/>
    <mergeCell ref="C21:E21"/>
    <mergeCell ref="J21:L21"/>
    <mergeCell ref="C22:E22"/>
    <mergeCell ref="J22:L22"/>
    <mergeCell ref="C23:E23"/>
    <mergeCell ref="J23:L23"/>
    <mergeCell ref="C28:E28"/>
    <mergeCell ref="J28:L28"/>
    <mergeCell ref="C29:E29"/>
    <mergeCell ref="J29:L29"/>
    <mergeCell ref="C24:E24"/>
    <mergeCell ref="J24:L24"/>
    <mergeCell ref="C30:E30"/>
    <mergeCell ref="J30:L30"/>
    <mergeCell ref="C31:E31"/>
    <mergeCell ref="J31:L31"/>
    <mergeCell ref="C32:E32"/>
    <mergeCell ref="J32:L32"/>
    <mergeCell ref="C36:E36"/>
    <mergeCell ref="J36:L36"/>
    <mergeCell ref="C41:E41"/>
    <mergeCell ref="J41:L41"/>
    <mergeCell ref="C33:E33"/>
    <mergeCell ref="J33:L33"/>
    <mergeCell ref="C34:E34"/>
    <mergeCell ref="J34:L34"/>
    <mergeCell ref="C35:E35"/>
    <mergeCell ref="J35:L35"/>
    <mergeCell ref="B43:E43"/>
    <mergeCell ref="I43:L43"/>
    <mergeCell ref="C38:E38"/>
    <mergeCell ref="J38:L38"/>
    <mergeCell ref="C39:E39"/>
    <mergeCell ref="J39:L39"/>
    <mergeCell ref="C40:E40"/>
    <mergeCell ref="J40:L40"/>
  </mergeCells>
  <hyperlinks>
    <hyperlink ref="G2" r:id="rId1" location="!download/cu9f"/>
  </hyperlinks>
  <pageMargins left="0.7" right="0.7" top="0.75" bottom="0.75" header="0.3" footer="0.3"/>
  <pageSetup paperSize="9" orientation="landscape" r:id="rId2"/>
  <headerFooter alignWithMargins="0"/>
  <drawing r:id="rId3"/>
  <legacyDrawing r:id="rId4"/>
  <legacyDrawingHF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CS e IR</vt:lpstr>
      <vt:lpstr>PIS e COFINS</vt:lpstr>
      <vt:lpstr>'CS e IR'!Area_de_impressao</vt:lpstr>
      <vt:lpstr>'PIS e COFINS'!Area_de_impressao</vt:lpstr>
    </vt:vector>
  </TitlesOfParts>
  <Company>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Lucro Real</dc:title>
  <dc:subject>Cálculo de IR, CS, PIS e COFINS</dc:subject>
  <dc:creator>www.funcaocontabil.net</dc:creator>
  <cp:keywords>Função Contábil</cp:keywords>
  <cp:lastModifiedBy>Andesson</cp:lastModifiedBy>
  <cp:lastPrinted>2015-08-21T18:04:29Z</cp:lastPrinted>
  <dcterms:created xsi:type="dcterms:W3CDTF">1999-07-08T18:54:06Z</dcterms:created>
  <dcterms:modified xsi:type="dcterms:W3CDTF">2018-07-17T12:50:31Z</dcterms:modified>
</cp:coreProperties>
</file>