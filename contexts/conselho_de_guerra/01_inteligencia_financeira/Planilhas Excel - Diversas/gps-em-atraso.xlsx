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lberto\Documents\Gilberto\Curso - Giba a distância\Planilhas enviadas para o Grupo ou outras pessoas\"/>
    </mc:Choice>
  </mc:AlternateContent>
  <bookViews>
    <workbookView xWindow="0" yWindow="0" windowWidth="19200" windowHeight="7635"/>
  </bookViews>
  <sheets>
    <sheet name="Comentários" sheetId="15" r:id="rId1"/>
    <sheet name="GPS_Multas e Juros" sheetId="1" r:id="rId2"/>
    <sheet name="Feriados" sheetId="3" r:id="rId3"/>
    <sheet name="SELIC_2017_2018" sheetId="13" r:id="rId4"/>
    <sheet name="SELIC_2019 E 2020" sheetId="14" r:id="rId5"/>
    <sheet name="SELIC_2015_2016" sheetId="12" state="hidden" r:id="rId6"/>
    <sheet name="SELIC_2013_2014" sheetId="11" state="hidden" r:id="rId7"/>
    <sheet name="SELIC_2011_2012" sheetId="10" state="hidden" r:id="rId8"/>
    <sheet name="GPS_Demontrativo" sheetId="16" r:id="rId9"/>
  </sheets>
  <definedNames>
    <definedName name="_xlnm.Print_Area" localSheetId="8">GPS_Demontrativo!$A$1:$I$28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2" l="1"/>
  <c r="C24" i="14"/>
  <c r="C24" i="13"/>
  <c r="C24" i="10"/>
  <c r="C25" i="14"/>
  <c r="C25" i="13"/>
  <c r="C25" i="11"/>
  <c r="C25" i="10"/>
  <c r="C25" i="12"/>
  <c r="C19" i="1" l="1"/>
  <c r="C18" i="1"/>
  <c r="C13" i="1"/>
  <c r="E15" i="16"/>
  <c r="E8" i="16"/>
  <c r="C10" i="1"/>
  <c r="C8" i="1"/>
  <c r="C15" i="16"/>
  <c r="E6" i="16"/>
  <c r="C162" i="3" l="1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26" i="3"/>
  <c r="C125" i="3"/>
  <c r="C124" i="3"/>
  <c r="C123" i="3"/>
  <c r="C122" i="3"/>
  <c r="C121" i="3"/>
  <c r="C120" i="3"/>
  <c r="C119" i="3"/>
  <c r="C118" i="3"/>
  <c r="C117" i="3"/>
  <c r="C130" i="3"/>
  <c r="C129" i="3"/>
  <c r="C128" i="3"/>
  <c r="C127" i="3"/>
  <c r="C110" i="3"/>
  <c r="C109" i="3"/>
  <c r="C108" i="3"/>
  <c r="C107" i="3"/>
  <c r="C106" i="3"/>
  <c r="C105" i="3"/>
  <c r="C104" i="3"/>
  <c r="C103" i="3"/>
  <c r="C102" i="3"/>
  <c r="C101" i="3"/>
  <c r="C114" i="3"/>
  <c r="C113" i="3"/>
  <c r="C112" i="3"/>
  <c r="C111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78" i="3"/>
  <c r="C77" i="3"/>
  <c r="C76" i="3"/>
  <c r="C75" i="3"/>
  <c r="C74" i="3"/>
  <c r="C73" i="3"/>
  <c r="C72" i="3"/>
  <c r="C71" i="3"/>
  <c r="C70" i="3"/>
  <c r="C69" i="3"/>
  <c r="C82" i="3"/>
  <c r="C81" i="3"/>
  <c r="C80" i="3"/>
  <c r="C79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1" i="3"/>
  <c r="C34" i="3"/>
  <c r="C33" i="3"/>
  <c r="C32" i="3"/>
  <c r="C30" i="3"/>
  <c r="C29" i="3"/>
  <c r="C28" i="3"/>
  <c r="C27" i="3"/>
  <c r="C26" i="3"/>
  <c r="C25" i="3"/>
  <c r="C24" i="3"/>
  <c r="C23" i="3"/>
  <c r="C22" i="3"/>
  <c r="C21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24" i="12"/>
  <c r="C23" i="12"/>
  <c r="C22" i="12"/>
  <c r="C21" i="12"/>
  <c r="C20" i="12"/>
  <c r="C19" i="12"/>
  <c r="C18" i="12"/>
  <c r="C17" i="12"/>
  <c r="C20" i="1" s="1"/>
  <c r="C16" i="12"/>
  <c r="C15" i="12"/>
  <c r="C14" i="12"/>
  <c r="C12" i="12"/>
  <c r="C11" i="12"/>
  <c r="C10" i="12"/>
  <c r="C9" i="12"/>
  <c r="C8" i="12"/>
  <c r="C7" i="12"/>
  <c r="C6" i="12"/>
  <c r="C5" i="12"/>
  <c r="C4" i="12"/>
  <c r="C3" i="12"/>
  <c r="C2" i="12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22" i="1" l="1"/>
  <c r="C12" i="1" l="1"/>
  <c r="C14" i="1" s="1"/>
  <c r="C15" i="1" s="1"/>
  <c r="C23" i="1" l="1"/>
  <c r="C24" i="1" s="1"/>
  <c r="C26" i="1" s="1"/>
  <c r="E17" i="16" l="1"/>
  <c r="E18" i="16" s="1"/>
</calcChain>
</file>

<file path=xl/sharedStrings.xml><?xml version="1.0" encoding="utf-8"?>
<sst xmlns="http://schemas.openxmlformats.org/spreadsheetml/2006/main" count="183" uniqueCount="82">
  <si>
    <t>Valor da multa diária</t>
  </si>
  <si>
    <t>Limite 20% (teto)</t>
  </si>
  <si>
    <t>MULTA</t>
  </si>
  <si>
    <t>JUROS</t>
  </si>
  <si>
    <t>Mês posterior ao vencimento</t>
  </si>
  <si>
    <t>Mês anterior ao pagamento</t>
  </si>
  <si>
    <t>Total SELIC</t>
  </si>
  <si>
    <t>Valor dos juros</t>
  </si>
  <si>
    <t>Total da GPS a pagar</t>
  </si>
  <si>
    <t>Valor da multa</t>
  </si>
  <si>
    <t>CÁLCULO DE MULTAS E JUROS DA GPS (INSS)</t>
  </si>
  <si>
    <t>Data do vencimento da GPS</t>
  </si>
  <si>
    <t>Inicio da contagem dos dias para cálculo da multa</t>
  </si>
  <si>
    <t>Data que será paga a guia</t>
  </si>
  <si>
    <t>Qtde de dias (do vencimento para o pagamento)</t>
  </si>
  <si>
    <t>Acréscimo SELIC</t>
  </si>
  <si>
    <t>Confraternização Universal</t>
  </si>
  <si>
    <t>Paixão de Cristo</t>
  </si>
  <si>
    <t>Tiradentes</t>
  </si>
  <si>
    <t>Dia do Trabalho</t>
  </si>
  <si>
    <t>Corpus Christi</t>
  </si>
  <si>
    <t>Independência do Brasil</t>
  </si>
  <si>
    <t>Finados</t>
  </si>
  <si>
    <t>Proclamação da República</t>
  </si>
  <si>
    <t>Natal</t>
  </si>
  <si>
    <t>Mês</t>
  </si>
  <si>
    <t>Taxa SELIC - Calculado do mês posterior ao vencimento</t>
  </si>
  <si>
    <t>até o mês anterior ao pagamento</t>
  </si>
  <si>
    <t>COMENTÁRIOS</t>
  </si>
  <si>
    <t>FERIADOS DE 2011 A 2020</t>
  </si>
  <si>
    <r>
      <rPr>
        <b/>
        <sz val="11"/>
        <color theme="1"/>
        <rFont val="Calibri"/>
        <family val="2"/>
        <scheme val="minor"/>
      </rPr>
      <t>Pergunta</t>
    </r>
    <r>
      <rPr>
        <sz val="11"/>
        <color theme="1"/>
        <rFont val="Calibri"/>
        <family val="2"/>
        <scheme val="minor"/>
      </rPr>
      <t>: Porque tem esta planilha de feriados ?</t>
    </r>
  </si>
  <si>
    <t>http://idg.receita.fazenda.gov.br/orientacao/tributaria/pagamentos-e-parcelamentos/taxa-de-juros-selic#Taxaselic</t>
  </si>
  <si>
    <r>
      <rPr>
        <b/>
        <sz val="11"/>
        <color theme="1"/>
        <rFont val="Calibri"/>
        <family val="2"/>
        <scheme val="minor"/>
      </rPr>
      <t>Aba Feriados</t>
    </r>
    <r>
      <rPr>
        <sz val="11"/>
        <color theme="1"/>
        <rFont val="Calibri"/>
        <family val="2"/>
        <scheme val="minor"/>
      </rPr>
      <t xml:space="preserve"> -&gt; Nesta aba já estão  inseridos todos os feriados  nacionais do ano de 2011 a 2020</t>
    </r>
  </si>
  <si>
    <t>O dia 20 de novembro é considerado feriado em alguns municipios/estados, se for o seu seu caso, é só ir na aba calendário e incluir este dia, logo abaixo dos feriados de cada ano. Tem</t>
  </si>
  <si>
    <t xml:space="preserve">Esta manutenção é bem tranquila, na verdade vai ser mensal, como a SELIC é divulgada sempre no mês posterior, é só entrar no site da Receita Federal do Brasil, ver o indice e digitar na </t>
  </si>
  <si>
    <t xml:space="preserve"> ordem cronológica.</t>
  </si>
  <si>
    <t>Nossa Senhora Aparecida</t>
  </si>
  <si>
    <t>Nossa Senhora Aparecida</t>
  </si>
  <si>
    <t>SELIC do Mês</t>
  </si>
  <si>
    <t>Juros</t>
  </si>
  <si>
    <t>Valor da multa total (Multa diária x Qtde. de dias)</t>
  </si>
  <si>
    <r>
      <t xml:space="preserve">planilha. Exemplo em 05/2017 será divulgada a SELIC de 04/2017, quando sair o índice de abril é só clicar na planilha </t>
    </r>
    <r>
      <rPr>
        <b/>
        <sz val="11"/>
        <color theme="1"/>
        <rFont val="Calibri"/>
        <family val="2"/>
        <scheme val="minor"/>
      </rPr>
      <t xml:space="preserve">"SELIC_2017_2018" </t>
    </r>
    <r>
      <rPr>
        <sz val="11"/>
        <color theme="1"/>
        <rFont val="Calibri"/>
        <family val="2"/>
        <scheme val="minor"/>
      </rPr>
      <t>e digitar o percentual no mês corresponde. E todo</t>
    </r>
  </si>
  <si>
    <r>
      <rPr>
        <b/>
        <sz val="11"/>
        <color rgb="FFFF0000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>: Esta planilha permite fazer cálculos em atraso desde o mês 01/2011 até 12/2020 (se até lá não mudar a forma de cálculo).</t>
    </r>
  </si>
  <si>
    <t xml:space="preserve"> as linhas em branco para digitar, é só informar a data e a descrição do feriado  (o dia da semana já trás automático). Obs: Pode incluir na próxima linha em branco, não é necessário deixar na </t>
  </si>
  <si>
    <t>3 - CÓDIGO DE PAGAMENTO</t>
  </si>
  <si>
    <t>4 - COMPETÊNCIA</t>
  </si>
  <si>
    <t>5 - IDENTIFICADOR</t>
  </si>
  <si>
    <t>1 - NOME OU RAZÃO SOCIAL / FONE / ENDEREÇO</t>
  </si>
  <si>
    <t>6 - VALOR DO INSS</t>
  </si>
  <si>
    <t>7 -</t>
  </si>
  <si>
    <t>8 -</t>
  </si>
  <si>
    <t>2 - VENCIMENTO</t>
  </si>
  <si>
    <t>(Uso exclusivo INSS)</t>
  </si>
  <si>
    <t>9 - VALOR OUTRAS ENTIDADES</t>
  </si>
  <si>
    <r>
      <t>ATENÇÃO:</t>
    </r>
    <r>
      <rPr>
        <sz val="8"/>
        <color theme="1"/>
        <rFont val="Times New Roman"/>
        <family val="1"/>
      </rPr>
      <t>É vedada a utilização de GPS para recolhimento de receita de valor inferior ao estipulado em resolução publicada pelo INSS. A receita que resultar valor inferior deverá ser adicionada à contribuição ou importância correspondente nos meses subsequentes, até que o total seja igual ou superior ao valor mínimo fixado.</t>
    </r>
  </si>
  <si>
    <t>10 - ATM/MULTA E JUROS</t>
  </si>
  <si>
    <t>11 - TOTAL</t>
  </si>
  <si>
    <t>AUTENTICAÇÃO BANCÁRIA</t>
  </si>
  <si>
    <t xml:space="preserve">                                      SECRETARIA DA RECEITA PREVIDENCIÁRIA - SRP</t>
  </si>
  <si>
    <t xml:space="preserve">                                      INSTITUTO NACIONAL DO SEGURO SOCIAL - INSS</t>
  </si>
  <si>
    <t xml:space="preserve">                                      MINISTÉRIO DA PREVIDÊNCIA SOCIAL - MPS</t>
  </si>
  <si>
    <t xml:space="preserve">                                      GUIA DA PREVIDÊNCIA SOCIAL - GPS</t>
  </si>
  <si>
    <t>Valor da GPS (Campo 6 - Valor do INSS)</t>
  </si>
  <si>
    <t>Valor da GPS (Campo 9 - Valor Outras Entidades )</t>
  </si>
  <si>
    <r>
      <rPr>
        <b/>
        <sz val="11"/>
        <color rgb="FFFF0000"/>
        <rFont val="Calibri"/>
        <family val="2"/>
        <scheme val="minor"/>
      </rPr>
      <t>RESUMO</t>
    </r>
    <r>
      <rPr>
        <sz val="11"/>
        <color theme="1"/>
        <rFont val="Calibri"/>
        <family val="2"/>
        <scheme val="minor"/>
      </rPr>
      <t xml:space="preserve"> : A manutenção nesta aba você só vai fazer uma vez, e também não tem tantos feriados municipais/estaduais para cadastrar.</t>
    </r>
  </si>
  <si>
    <r>
      <rPr>
        <b/>
        <sz val="11"/>
        <color rgb="FFFF0000"/>
        <rFont val="Calibri"/>
        <family val="2"/>
        <scheme val="minor"/>
      </rPr>
      <t>IMPORTANTE</t>
    </r>
    <r>
      <rPr>
        <sz val="11"/>
        <color theme="1"/>
        <rFont val="Calibri"/>
        <family val="2"/>
        <scheme val="minor"/>
      </rPr>
      <t>: Se na sua cidade o carnaval é considerado feriado, fique atento para não cadastrar o mesmo dia em todos os anos, porque é uma data móvel.</t>
    </r>
  </si>
  <si>
    <t xml:space="preserve"> Abaixo segue o link para consulta da SELIC mensal: </t>
  </si>
  <si>
    <r>
      <t xml:space="preserve">mês fazer o mesmo procedimento. </t>
    </r>
    <r>
      <rPr>
        <b/>
        <sz val="11"/>
        <color theme="1"/>
        <rFont val="Calibri"/>
        <family val="2"/>
        <scheme val="minor"/>
      </rPr>
      <t>OS PERCENTUAIS DE  01/2011 a 03/2017 JÁ ESTÃO INFORMADOS.</t>
    </r>
  </si>
  <si>
    <r>
      <rPr>
        <b/>
        <sz val="11"/>
        <color rgb="FFFF0000"/>
        <rFont val="Calibri"/>
        <family val="2"/>
        <scheme val="minor"/>
      </rPr>
      <t>ATENÇÃO</t>
    </r>
    <r>
      <rPr>
        <sz val="11"/>
        <color theme="1"/>
        <rFont val="Calibri"/>
        <family val="2"/>
        <scheme val="minor"/>
      </rPr>
      <t xml:space="preserve">: Na aba </t>
    </r>
    <r>
      <rPr>
        <b/>
        <sz val="11"/>
        <color theme="1"/>
        <rFont val="Calibri"/>
        <family val="2"/>
        <scheme val="minor"/>
      </rPr>
      <t>"GPS_Multas e Juros"</t>
    </r>
    <r>
      <rPr>
        <sz val="11"/>
        <color theme="1"/>
        <rFont val="Calibri"/>
        <family val="2"/>
        <scheme val="minor"/>
      </rPr>
      <t xml:space="preserve">, Digitar somente nos campos onde estão indicados pela </t>
    </r>
    <r>
      <rPr>
        <b/>
        <u/>
        <sz val="11"/>
        <color theme="1"/>
        <rFont val="Calibri"/>
        <family val="2"/>
        <scheme val="minor"/>
      </rPr>
      <t>seta vermelha. (S</t>
    </r>
    <r>
      <rPr>
        <u/>
        <sz val="11"/>
        <color theme="1"/>
        <rFont val="Calibri"/>
        <family val="2"/>
        <scheme val="minor"/>
      </rPr>
      <t>ão somente 5 campos)</t>
    </r>
  </si>
  <si>
    <t>Para o cálculo correto é necessário fazer a Manutenção em duas planilhas</t>
  </si>
  <si>
    <t>Terá que ser feita somente na aba "Feriados" e na aba  "SELIC_2017_2018".  Abaixo seguem explicações de como deve ser feito, é bem simples:</t>
  </si>
  <si>
    <r>
      <rPr>
        <b/>
        <sz val="11"/>
        <color theme="1"/>
        <rFont val="Calibri"/>
        <family val="2"/>
        <scheme val="minor"/>
      </rPr>
      <t>Resposta</t>
    </r>
    <r>
      <rPr>
        <sz val="11"/>
        <color theme="1"/>
        <rFont val="Calibri"/>
        <family val="2"/>
        <scheme val="minor"/>
      </rPr>
      <t xml:space="preserve">: Para fazer a contagem de dias para calcular a multa, o Previdência considera a partir do dia seguinte ao vencimento, se este dia for sábado, domingo ou feriado, ele vai buscar o </t>
    </r>
  </si>
  <si>
    <t>próximo dia útil, e para que o cálculo seja exato, foi necessário criar esta planilha de feriados.</t>
  </si>
  <si>
    <t>Você deve antes de tudo, verificar os feriados estaduais e/ou municipais de sua cidade, porque na tabela só estão os feriados nacionais, vou dar um exemplo:</t>
  </si>
  <si>
    <t>Abas SELIC_2017 E 2018</t>
  </si>
  <si>
    <t>Caso queira gerar um demonstrativo da GPS, é só clicar no botão a esquerda</t>
  </si>
  <si>
    <t>IMPORTANTE</t>
  </si>
  <si>
    <t>Mês e ano Competência da GPS</t>
  </si>
  <si>
    <t>No campo  "Mês  e ano Competência da GPS"  digitar no formato</t>
  </si>
  <si>
    <t xml:space="preserve">Nos campos "Data do vencimento da GPS" e "Data que será paga a guia" </t>
  </si>
  <si>
    <t xml:space="preserve"> MM/AAAA, ou seja, com barras.</t>
  </si>
  <si>
    <t>digitar no formato DD/MM/AAAA, também com barras.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</si>
</sst>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yy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67676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1D2129"/>
      <name val="Arial"/>
      <family val="2"/>
    </font>
    <font>
      <sz val="11"/>
      <color rgb="FFFF0000"/>
      <name val="Calibri"/>
      <family val="2"/>
      <scheme val="minor"/>
    </font>
    <font>
      <sz val="9"/>
      <color rgb="FF666666"/>
      <name val="Verdana"/>
      <family val="2"/>
    </font>
    <font>
      <b/>
      <sz val="12"/>
      <color theme="4" tint="-0.499984740745262"/>
      <name val="Calibri"/>
      <family val="2"/>
      <scheme val="minor"/>
    </font>
    <font>
      <sz val="10"/>
      <color rgb="FF000000"/>
      <name val="Arial"/>
      <family val="2"/>
    </font>
    <font>
      <b/>
      <sz val="13"/>
      <color rgb="FF222222"/>
      <name val="PT Sans"/>
    </font>
    <font>
      <sz val="11"/>
      <color rgb="FF333333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F2F2F"/>
      <name val="Calibri"/>
      <family val="2"/>
    </font>
    <font>
      <sz val="9"/>
      <color rgb="FF333333"/>
      <name val="Verdana"/>
      <family val="2"/>
    </font>
    <font>
      <sz val="8"/>
      <color rgb="FF666666"/>
      <name val="Verdana"/>
      <family val="2"/>
    </font>
    <font>
      <u/>
      <sz val="11"/>
      <color theme="10"/>
      <name val="Calibri"/>
      <family val="2"/>
      <scheme val="minor"/>
    </font>
    <font>
      <i/>
      <sz val="8"/>
      <color rgb="FF545454"/>
      <name val="Verdana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0"/>
      <color rgb="FF666666"/>
      <name val="Georgia"/>
      <family val="1"/>
    </font>
    <font>
      <sz val="10"/>
      <color theme="0"/>
      <name val="Georgia"/>
      <family val="1"/>
    </font>
    <font>
      <b/>
      <sz val="10"/>
      <color rgb="FF000000"/>
      <name val="Arial"/>
      <family val="2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Times New Roman"/>
      <family val="1"/>
    </font>
    <font>
      <b/>
      <u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04">
    <xf numFmtId="0" fontId="0" fillId="0" borderId="0" xfId="0"/>
    <xf numFmtId="14" fontId="6" fillId="2" borderId="4" xfId="0" applyNumberFormat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14" fontId="6" fillId="3" borderId="4" xfId="0" applyNumberFormat="1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>
      <alignment horizontal="left" vertical="center" wrapText="1" indent="1"/>
    </xf>
    <xf numFmtId="0" fontId="0" fillId="6" borderId="0" xfId="0" applyFill="1"/>
    <xf numFmtId="0" fontId="0" fillId="6" borderId="4" xfId="0" applyFill="1" applyBorder="1"/>
    <xf numFmtId="0" fontId="0" fillId="0" borderId="4" xfId="0" applyBorder="1"/>
    <xf numFmtId="0" fontId="0" fillId="7" borderId="0" xfId="0" applyFill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14" fontId="0" fillId="7" borderId="0" xfId="0" applyNumberFormat="1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vertical="center"/>
    </xf>
    <xf numFmtId="0" fontId="4" fillId="7" borderId="0" xfId="0" applyFont="1" applyFill="1"/>
    <xf numFmtId="14" fontId="8" fillId="7" borderId="0" xfId="0" applyNumberFormat="1" applyFont="1" applyFill="1"/>
    <xf numFmtId="10" fontId="5" fillId="7" borderId="0" xfId="0" applyNumberFormat="1" applyFont="1" applyFill="1" applyAlignment="1">
      <alignment horizontal="right"/>
    </xf>
    <xf numFmtId="10" fontId="0" fillId="7" borderId="0" xfId="0" applyNumberFormat="1" applyFill="1"/>
    <xf numFmtId="0" fontId="9" fillId="7" borderId="0" xfId="0" applyFont="1" applyFill="1"/>
    <xf numFmtId="10" fontId="10" fillId="7" borderId="0" xfId="0" applyNumberFormat="1" applyFont="1" applyFill="1"/>
    <xf numFmtId="164" fontId="2" fillId="7" borderId="0" xfId="0" applyNumberFormat="1" applyFont="1" applyFill="1"/>
    <xf numFmtId="0" fontId="0" fillId="7" borderId="0" xfId="0" applyFont="1" applyFill="1"/>
    <xf numFmtId="10" fontId="1" fillId="7" borderId="0" xfId="0" applyNumberFormat="1" applyFont="1" applyFill="1"/>
    <xf numFmtId="10" fontId="2" fillId="7" borderId="0" xfId="0" applyNumberFormat="1" applyFont="1" applyFill="1"/>
    <xf numFmtId="0" fontId="3" fillId="7" borderId="0" xfId="0" applyFont="1" applyFill="1"/>
    <xf numFmtId="0" fontId="11" fillId="9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4" fontId="1" fillId="10" borderId="4" xfId="0" applyNumberFormat="1" applyFont="1" applyFill="1" applyBorder="1"/>
    <xf numFmtId="4" fontId="1" fillId="11" borderId="4" xfId="0" applyNumberFormat="1" applyFont="1" applyFill="1" applyBorder="1"/>
    <xf numFmtId="0" fontId="1" fillId="11" borderId="4" xfId="0" applyFont="1" applyFill="1" applyBorder="1"/>
    <xf numFmtId="0" fontId="0" fillId="10" borderId="5" xfId="0" applyFill="1" applyBorder="1"/>
    <xf numFmtId="164" fontId="0" fillId="10" borderId="5" xfId="0" applyNumberFormat="1" applyFill="1" applyBorder="1"/>
    <xf numFmtId="0" fontId="0" fillId="10" borderId="6" xfId="0" applyFont="1" applyFill="1" applyBorder="1"/>
    <xf numFmtId="0" fontId="0" fillId="10" borderId="5" xfId="0" applyFont="1" applyFill="1" applyBorder="1"/>
    <xf numFmtId="0" fontId="0" fillId="10" borderId="4" xfId="0" applyFont="1" applyFill="1" applyBorder="1"/>
    <xf numFmtId="164" fontId="17" fillId="7" borderId="0" xfId="0" applyNumberFormat="1" applyFont="1" applyFill="1"/>
    <xf numFmtId="0" fontId="18" fillId="6" borderId="0" xfId="0" applyFont="1" applyFill="1" applyAlignment="1">
      <alignment vertical="center" wrapText="1"/>
    </xf>
    <xf numFmtId="14" fontId="19" fillId="2" borderId="4" xfId="0" applyNumberFormat="1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vertical="center" wrapText="1" indent="1"/>
    </xf>
    <xf numFmtId="14" fontId="19" fillId="3" borderId="4" xfId="0" applyNumberFormat="1" applyFont="1" applyFill="1" applyBorder="1" applyAlignment="1">
      <alignment horizontal="left" vertical="center" wrapText="1" indent="1"/>
    </xf>
    <xf numFmtId="0" fontId="19" fillId="3" borderId="4" xfId="0" applyFont="1" applyFill="1" applyBorder="1" applyAlignment="1">
      <alignment horizontal="left" vertical="center" wrapText="1" indent="1"/>
    </xf>
    <xf numFmtId="14" fontId="19" fillId="6" borderId="4" xfId="0" applyNumberFormat="1" applyFont="1" applyFill="1" applyBorder="1" applyAlignment="1">
      <alignment horizontal="left" vertical="center" wrapText="1" indent="1"/>
    </xf>
    <xf numFmtId="0" fontId="19" fillId="6" borderId="4" xfId="0" applyFont="1" applyFill="1" applyBorder="1" applyAlignment="1">
      <alignment horizontal="left" vertical="center" wrapText="1" indent="1"/>
    </xf>
    <xf numFmtId="14" fontId="19" fillId="4" borderId="4" xfId="0" applyNumberFormat="1" applyFont="1" applyFill="1" applyBorder="1" applyAlignment="1">
      <alignment horizontal="left" vertical="center" wrapText="1" indent="1"/>
    </xf>
    <xf numFmtId="0" fontId="19" fillId="4" borderId="4" xfId="0" applyFont="1" applyFill="1" applyBorder="1" applyAlignment="1">
      <alignment horizontal="left" vertical="center" wrapText="1" indent="1"/>
    </xf>
    <xf numFmtId="0" fontId="0" fillId="4" borderId="4" xfId="0" applyFill="1" applyBorder="1"/>
    <xf numFmtId="0" fontId="21" fillId="0" borderId="4" xfId="0" applyFont="1" applyBorder="1" applyAlignment="1">
      <alignment horizontal="center"/>
    </xf>
    <xf numFmtId="0" fontId="21" fillId="6" borderId="4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12" fillId="0" borderId="0" xfId="0" applyFont="1"/>
    <xf numFmtId="14" fontId="19" fillId="2" borderId="5" xfId="0" applyNumberFormat="1" applyFont="1" applyFill="1" applyBorder="1" applyAlignment="1">
      <alignment horizontal="left" vertical="center" wrapText="1" indent="1"/>
    </xf>
    <xf numFmtId="0" fontId="19" fillId="2" borderId="5" xfId="0" applyFont="1" applyFill="1" applyBorder="1" applyAlignment="1">
      <alignment horizontal="left" vertical="center" wrapText="1" indent="1"/>
    </xf>
    <xf numFmtId="14" fontId="24" fillId="7" borderId="0" xfId="0" applyNumberFormat="1" applyFont="1" applyFill="1"/>
    <xf numFmtId="0" fontId="22" fillId="7" borderId="0" xfId="0" applyFont="1" applyFill="1"/>
    <xf numFmtId="10" fontId="22" fillId="7" borderId="0" xfId="0" applyNumberFormat="1" applyFont="1" applyFill="1" applyBorder="1" applyAlignment="1">
      <alignment horizontal="right" vertical="center"/>
    </xf>
    <xf numFmtId="14" fontId="0" fillId="14" borderId="17" xfId="0" applyNumberFormat="1" applyFill="1" applyBorder="1"/>
    <xf numFmtId="0" fontId="0" fillId="14" borderId="16" xfId="0" applyFill="1" applyBorder="1"/>
    <xf numFmtId="0" fontId="0" fillId="14" borderId="18" xfId="0" applyFill="1" applyBorder="1"/>
    <xf numFmtId="0" fontId="0" fillId="14" borderId="11" xfId="0" applyFill="1" applyBorder="1"/>
    <xf numFmtId="0" fontId="0" fillId="14" borderId="0" xfId="0" applyFill="1" applyBorder="1"/>
    <xf numFmtId="0" fontId="0" fillId="14" borderId="12" xfId="0" applyFill="1" applyBorder="1"/>
    <xf numFmtId="14" fontId="0" fillId="14" borderId="0" xfId="0" applyNumberFormat="1" applyFill="1" applyBorder="1"/>
    <xf numFmtId="14" fontId="8" fillId="14" borderId="11" xfId="0" applyNumberFormat="1" applyFont="1" applyFill="1" applyBorder="1"/>
    <xf numFmtId="10" fontId="5" fillId="14" borderId="0" xfId="0" applyNumberFormat="1" applyFont="1" applyFill="1" applyBorder="1" applyAlignment="1">
      <alignment horizontal="right"/>
    </xf>
    <xf numFmtId="0" fontId="9" fillId="14" borderId="0" xfId="0" applyFont="1" applyFill="1" applyBorder="1"/>
    <xf numFmtId="14" fontId="24" fillId="14" borderId="11" xfId="0" applyNumberFormat="1" applyFont="1" applyFill="1" applyBorder="1"/>
    <xf numFmtId="10" fontId="22" fillId="14" borderId="0" xfId="0" applyNumberFormat="1" applyFont="1" applyFill="1" applyBorder="1" applyAlignment="1">
      <alignment horizontal="right" vertical="center"/>
    </xf>
    <xf numFmtId="0" fontId="22" fillId="14" borderId="0" xfId="0" applyFont="1" applyFill="1" applyBorder="1"/>
    <xf numFmtId="10" fontId="0" fillId="14" borderId="11" xfId="0" applyNumberFormat="1" applyFill="1" applyBorder="1"/>
    <xf numFmtId="0" fontId="14" fillId="14" borderId="11" xfId="0" applyFont="1" applyFill="1" applyBorder="1"/>
    <xf numFmtId="0" fontId="14" fillId="14" borderId="0" xfId="0" applyFont="1" applyFill="1" applyBorder="1"/>
    <xf numFmtId="0" fontId="0" fillId="14" borderId="14" xfId="0" applyFill="1" applyBorder="1"/>
    <xf numFmtId="0" fontId="0" fillId="14" borderId="15" xfId="0" applyFill="1" applyBorder="1"/>
    <xf numFmtId="0" fontId="0" fillId="14" borderId="1" xfId="0" applyFill="1" applyBorder="1"/>
    <xf numFmtId="0" fontId="0" fillId="14" borderId="2" xfId="0" applyFill="1" applyBorder="1"/>
    <xf numFmtId="0" fontId="0" fillId="14" borderId="3" xfId="0" applyFill="1" applyBorder="1"/>
    <xf numFmtId="0" fontId="25" fillId="0" borderId="0" xfId="0" applyFont="1"/>
    <xf numFmtId="0" fontId="0" fillId="10" borderId="5" xfId="0" applyFont="1" applyFill="1" applyBorder="1" applyAlignment="1">
      <alignment horizontal="left"/>
    </xf>
    <xf numFmtId="0" fontId="0" fillId="10" borderId="4" xfId="0" applyFill="1" applyBorder="1"/>
    <xf numFmtId="14" fontId="19" fillId="4" borderId="5" xfId="0" applyNumberFormat="1" applyFont="1" applyFill="1" applyBorder="1" applyAlignment="1">
      <alignment horizontal="left" vertical="center" wrapText="1" indent="1"/>
    </xf>
    <xf numFmtId="0" fontId="21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left" vertical="center" wrapText="1" indent="1"/>
    </xf>
    <xf numFmtId="0" fontId="0" fillId="0" borderId="7" xfId="0" applyBorder="1"/>
    <xf numFmtId="0" fontId="21" fillId="6" borderId="5" xfId="0" applyFont="1" applyFill="1" applyBorder="1" applyAlignment="1">
      <alignment horizontal="center"/>
    </xf>
    <xf numFmtId="0" fontId="26" fillId="0" borderId="0" xfId="0" applyFont="1"/>
    <xf numFmtId="14" fontId="19" fillId="6" borderId="5" xfId="0" applyNumberFormat="1" applyFont="1" applyFill="1" applyBorder="1" applyAlignment="1">
      <alignment horizontal="left" vertical="center" wrapText="1" indent="1"/>
    </xf>
    <xf numFmtId="0" fontId="19" fillId="6" borderId="5" xfId="0" applyFont="1" applyFill="1" applyBorder="1" applyAlignment="1">
      <alignment horizontal="left" vertical="center" wrapText="1" indent="1"/>
    </xf>
    <xf numFmtId="10" fontId="13" fillId="10" borderId="4" xfId="0" applyNumberFormat="1" applyFont="1" applyFill="1" applyBorder="1" applyAlignment="1">
      <alignment horizontal="center" vertical="top" wrapText="1"/>
    </xf>
    <xf numFmtId="164" fontId="0" fillId="10" borderId="4" xfId="0" applyNumberFormat="1" applyFill="1" applyBorder="1"/>
    <xf numFmtId="10" fontId="1" fillId="10" borderId="4" xfId="0" applyNumberFormat="1" applyFont="1" applyFill="1" applyBorder="1"/>
    <xf numFmtId="0" fontId="11" fillId="8" borderId="7" xfId="0" applyFont="1" applyFill="1" applyBorder="1" applyAlignment="1">
      <alignment horizontal="center" vertical="center"/>
    </xf>
    <xf numFmtId="164" fontId="1" fillId="10" borderId="5" xfId="0" applyNumberFormat="1" applyFont="1" applyFill="1" applyBorder="1"/>
    <xf numFmtId="10" fontId="1" fillId="10" borderId="5" xfId="0" applyNumberFormat="1" applyFont="1" applyFill="1" applyBorder="1"/>
    <xf numFmtId="164" fontId="0" fillId="10" borderId="5" xfId="0" applyNumberFormat="1" applyFont="1" applyFill="1" applyBorder="1"/>
    <xf numFmtId="164" fontId="0" fillId="10" borderId="4" xfId="0" applyNumberFormat="1" applyFont="1" applyFill="1" applyBorder="1"/>
    <xf numFmtId="14" fontId="1" fillId="10" borderId="4" xfId="0" applyNumberFormat="1" applyFont="1" applyFill="1" applyBorder="1"/>
    <xf numFmtId="1" fontId="1" fillId="10" borderId="4" xfId="0" applyNumberFormat="1" applyFont="1" applyFill="1" applyBorder="1"/>
    <xf numFmtId="164" fontId="1" fillId="10" borderId="6" xfId="0" applyNumberFormat="1" applyFont="1" applyFill="1" applyBorder="1"/>
    <xf numFmtId="10" fontId="27" fillId="10" borderId="5" xfId="0" applyNumberFormat="1" applyFont="1" applyFill="1" applyBorder="1"/>
    <xf numFmtId="0" fontId="0" fillId="10" borderId="5" xfId="0" applyFont="1" applyFill="1" applyBorder="1" applyAlignment="1"/>
    <xf numFmtId="0" fontId="0" fillId="10" borderId="6" xfId="0" applyFont="1" applyFill="1" applyBorder="1" applyAlignment="1"/>
    <xf numFmtId="14" fontId="0" fillId="14" borderId="1" xfId="0" applyNumberFormat="1" applyFill="1" applyBorder="1"/>
    <xf numFmtId="4" fontId="30" fillId="0" borderId="22" xfId="0" applyNumberFormat="1" applyFont="1" applyBorder="1" applyAlignment="1">
      <alignment horizontal="right" vertical="center" wrapText="1"/>
    </xf>
    <xf numFmtId="0" fontId="28" fillId="0" borderId="22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30" fillId="0" borderId="25" xfId="0" applyFont="1" applyBorder="1" applyAlignment="1">
      <alignment horizontal="center" vertical="center" wrapText="1"/>
    </xf>
    <xf numFmtId="164" fontId="30" fillId="0" borderId="22" xfId="0" applyNumberFormat="1" applyFont="1" applyBorder="1" applyAlignment="1">
      <alignment horizontal="center" vertical="center" wrapText="1"/>
    </xf>
    <xf numFmtId="0" fontId="28" fillId="0" borderId="23" xfId="0" applyFont="1" applyBorder="1" applyAlignment="1">
      <alignment vertical="center" wrapText="1"/>
    </xf>
    <xf numFmtId="4" fontId="30" fillId="0" borderId="23" xfId="0" applyNumberFormat="1" applyFont="1" applyBorder="1" applyAlignment="1">
      <alignment horizontal="right" vertical="center" wrapText="1"/>
    </xf>
    <xf numFmtId="0" fontId="28" fillId="6" borderId="23" xfId="0" applyFont="1" applyFill="1" applyBorder="1" applyAlignment="1">
      <alignment vertical="center" wrapText="1"/>
    </xf>
    <xf numFmtId="0" fontId="28" fillId="6" borderId="25" xfId="0" applyFont="1" applyFill="1" applyBorder="1" applyAlignment="1">
      <alignment vertical="center" wrapText="1"/>
    </xf>
    <xf numFmtId="4" fontId="0" fillId="7" borderId="0" xfId="0" applyNumberFormat="1" applyFill="1"/>
    <xf numFmtId="4" fontId="22" fillId="7" borderId="0" xfId="0" applyNumberFormat="1" applyFont="1" applyFill="1"/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13" borderId="3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1" fillId="14" borderId="10" xfId="0" applyFont="1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10" fontId="1" fillId="10" borderId="6" xfId="0" applyNumberFormat="1" applyFont="1" applyFill="1" applyBorder="1" applyAlignment="1">
      <alignment horizontal="right" vertical="center"/>
    </xf>
    <xf numFmtId="10" fontId="1" fillId="10" borderId="5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23" fillId="8" borderId="2" xfId="0" applyFont="1" applyFill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32" fillId="0" borderId="26" xfId="0" applyFont="1" applyBorder="1" applyAlignment="1">
      <alignment vertical="center" wrapText="1"/>
    </xf>
    <xf numFmtId="0" fontId="32" fillId="0" borderId="28" xfId="0" applyFont="1" applyBorder="1" applyAlignment="1">
      <alignment vertical="center" wrapText="1"/>
    </xf>
    <xf numFmtId="0" fontId="32" fillId="0" borderId="29" xfId="0" applyFont="1" applyBorder="1" applyAlignment="1">
      <alignment vertical="center" wrapText="1"/>
    </xf>
    <xf numFmtId="0" fontId="32" fillId="0" borderId="31" xfId="0" applyFont="1" applyBorder="1" applyAlignment="1">
      <alignment vertical="center" wrapText="1"/>
    </xf>
    <xf numFmtId="0" fontId="28" fillId="0" borderId="26" xfId="0" applyFont="1" applyBorder="1" applyAlignment="1">
      <alignment horizontal="right" vertical="top" wrapText="1"/>
    </xf>
    <xf numFmtId="0" fontId="28" fillId="0" borderId="27" xfId="0" applyFont="1" applyBorder="1" applyAlignment="1">
      <alignment horizontal="right" vertical="top" wrapText="1"/>
    </xf>
    <xf numFmtId="0" fontId="28" fillId="0" borderId="28" xfId="0" applyFont="1" applyBorder="1" applyAlignment="1">
      <alignment horizontal="right" vertical="top" wrapText="1"/>
    </xf>
    <xf numFmtId="0" fontId="28" fillId="0" borderId="29" xfId="0" applyFont="1" applyBorder="1" applyAlignment="1">
      <alignment horizontal="right" vertical="top" wrapText="1"/>
    </xf>
    <xf numFmtId="0" fontId="28" fillId="0" borderId="30" xfId="0" applyFont="1" applyBorder="1" applyAlignment="1">
      <alignment horizontal="right" vertical="top" wrapText="1"/>
    </xf>
    <xf numFmtId="0" fontId="28" fillId="0" borderId="31" xfId="0" applyFont="1" applyBorder="1" applyAlignment="1">
      <alignment horizontal="right" vertical="top" wrapText="1"/>
    </xf>
    <xf numFmtId="0" fontId="28" fillId="0" borderId="23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28" fillId="6" borderId="22" xfId="0" applyFont="1" applyFill="1" applyBorder="1" applyAlignment="1">
      <alignment horizontal="left" vertical="center" wrapText="1"/>
    </xf>
    <xf numFmtId="4" fontId="30" fillId="6" borderId="22" xfId="0" applyNumberFormat="1" applyFont="1" applyFill="1" applyBorder="1" applyAlignment="1">
      <alignment horizontal="right" vertical="center" wrapText="1"/>
    </xf>
    <xf numFmtId="0" fontId="28" fillId="0" borderId="22" xfId="0" applyFont="1" applyBorder="1" applyAlignment="1">
      <alignment vertical="center" wrapText="1"/>
    </xf>
    <xf numFmtId="2" fontId="30" fillId="0" borderId="22" xfId="0" applyNumberFormat="1" applyFont="1" applyBorder="1" applyAlignment="1">
      <alignment horizontal="right" vertical="center" wrapText="1"/>
    </xf>
    <xf numFmtId="0" fontId="28" fillId="6" borderId="32" xfId="0" applyFont="1" applyFill="1" applyBorder="1" applyAlignment="1">
      <alignment vertical="top" wrapText="1"/>
    </xf>
    <xf numFmtId="0" fontId="28" fillId="6" borderId="33" xfId="0" applyFont="1" applyFill="1" applyBorder="1" applyAlignment="1">
      <alignment vertical="top" wrapText="1"/>
    </xf>
    <xf numFmtId="0" fontId="28" fillId="6" borderId="29" xfId="0" applyFont="1" applyFill="1" applyBorder="1" applyAlignment="1">
      <alignment vertical="top" wrapText="1"/>
    </xf>
    <xf numFmtId="0" fontId="28" fillId="6" borderId="31" xfId="0" applyFont="1" applyFill="1" applyBorder="1" applyAlignment="1">
      <alignment vertical="top" wrapText="1"/>
    </xf>
    <xf numFmtId="14" fontId="30" fillId="0" borderId="28" xfId="0" applyNumberFormat="1" applyFont="1" applyBorder="1" applyAlignment="1">
      <alignment horizontal="center" vertical="center" wrapText="1"/>
    </xf>
    <xf numFmtId="14" fontId="30" fillId="0" borderId="31" xfId="0" applyNumberFormat="1" applyFont="1" applyBorder="1" applyAlignment="1">
      <alignment horizontal="center" vertical="center" wrapText="1"/>
    </xf>
    <xf numFmtId="0" fontId="28" fillId="6" borderId="26" xfId="0" applyFont="1" applyFill="1" applyBorder="1" applyAlignment="1">
      <alignment vertical="center" wrapText="1"/>
    </xf>
    <xf numFmtId="0" fontId="28" fillId="6" borderId="28" xfId="0" applyFont="1" applyFill="1" applyBorder="1" applyAlignment="1">
      <alignment vertical="center" wrapText="1"/>
    </xf>
    <xf numFmtId="0" fontId="28" fillId="6" borderId="32" xfId="0" applyFont="1" applyFill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center" vertical="center" wrapText="1"/>
    </xf>
    <xf numFmtId="0" fontId="28" fillId="6" borderId="26" xfId="0" applyFont="1" applyFill="1" applyBorder="1" applyAlignment="1">
      <alignment vertical="top" wrapText="1"/>
    </xf>
    <xf numFmtId="0" fontId="28" fillId="6" borderId="28" xfId="0" applyFont="1" applyFill="1" applyBorder="1" applyAlignment="1">
      <alignment vertical="top" wrapText="1"/>
    </xf>
    <xf numFmtId="0" fontId="31" fillId="6" borderId="32" xfId="0" applyFont="1" applyFill="1" applyBorder="1" applyAlignment="1">
      <alignment vertical="top" wrapText="1"/>
    </xf>
    <xf numFmtId="0" fontId="31" fillId="6" borderId="33" xfId="0" applyFont="1" applyFill="1" applyBorder="1" applyAlignment="1">
      <alignment vertical="top" wrapText="1"/>
    </xf>
    <xf numFmtId="0" fontId="0" fillId="14" borderId="8" xfId="0" applyFill="1" applyBorder="1"/>
    <xf numFmtId="0" fontId="0" fillId="14" borderId="9" xfId="0" applyFill="1" applyBorder="1"/>
    <xf numFmtId="0" fontId="0" fillId="14" borderId="10" xfId="0" applyFill="1" applyBorder="1"/>
    <xf numFmtId="0" fontId="33" fillId="14" borderId="13" xfId="1" applyFont="1" applyFill="1" applyBorder="1"/>
    <xf numFmtId="0" fontId="34" fillId="14" borderId="14" xfId="0" applyFont="1" applyFill="1" applyBorder="1"/>
    <xf numFmtId="0" fontId="11" fillId="9" borderId="1" xfId="0" applyFont="1" applyFill="1" applyBorder="1"/>
    <xf numFmtId="0" fontId="11" fillId="9" borderId="2" xfId="0" applyFont="1" applyFill="1" applyBorder="1"/>
    <xf numFmtId="0" fontId="11" fillId="9" borderId="3" xfId="0" applyFont="1" applyFill="1" applyBorder="1"/>
    <xf numFmtId="2" fontId="0" fillId="7" borderId="0" xfId="0" applyNumberFormat="1" applyFill="1"/>
    <xf numFmtId="164" fontId="1" fillId="10" borderId="5" xfId="0" applyNumberFormat="1" applyFont="1" applyFill="1" applyBorder="1" applyAlignment="1" applyProtection="1">
      <alignment horizontal="right"/>
      <protection locked="0"/>
    </xf>
    <xf numFmtId="4" fontId="1" fillId="10" borderId="4" xfId="0" applyNumberFormat="1" applyFont="1" applyFill="1" applyBorder="1" applyProtection="1">
      <protection locked="0"/>
    </xf>
    <xf numFmtId="14" fontId="1" fillId="10" borderId="4" xfId="0" applyNumberFormat="1" applyFont="1" applyFill="1" applyBorder="1" applyProtection="1">
      <protection locked="0"/>
    </xf>
    <xf numFmtId="0" fontId="11" fillId="15" borderId="1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0" fillId="16" borderId="8" xfId="0" applyFill="1" applyBorder="1"/>
    <xf numFmtId="0" fontId="0" fillId="16" borderId="9" xfId="0" applyFill="1" applyBorder="1"/>
    <xf numFmtId="4" fontId="0" fillId="16" borderId="9" xfId="0" applyNumberFormat="1" applyFill="1" applyBorder="1"/>
    <xf numFmtId="4" fontId="0" fillId="16" borderId="10" xfId="0" applyNumberFormat="1" applyFill="1" applyBorder="1"/>
    <xf numFmtId="0" fontId="0" fillId="16" borderId="11" xfId="0" applyFill="1" applyBorder="1"/>
    <xf numFmtId="0" fontId="0" fillId="16" borderId="0" xfId="0" applyFill="1" applyBorder="1"/>
    <xf numFmtId="0" fontId="0" fillId="16" borderId="12" xfId="0" applyFill="1" applyBorder="1"/>
    <xf numFmtId="4" fontId="0" fillId="16" borderId="0" xfId="0" applyNumberFormat="1" applyFill="1" applyBorder="1"/>
    <xf numFmtId="4" fontId="0" fillId="16" borderId="12" xfId="0" applyNumberFormat="1" applyFill="1" applyBorder="1"/>
    <xf numFmtId="0" fontId="0" fillId="16" borderId="13" xfId="0" applyFill="1" applyBorder="1"/>
    <xf numFmtId="0" fontId="0" fillId="16" borderId="14" xfId="0" applyFill="1" applyBorder="1"/>
    <xf numFmtId="4" fontId="0" fillId="16" borderId="14" xfId="0" applyNumberFormat="1" applyFill="1" applyBorder="1"/>
    <xf numFmtId="0" fontId="0" fillId="16" borderId="15" xfId="0" applyFill="1" applyBorder="1"/>
    <xf numFmtId="10" fontId="13" fillId="10" borderId="4" xfId="0" applyNumberFormat="1" applyFont="1" applyFill="1" applyBorder="1" applyAlignment="1" applyProtection="1">
      <alignment horizontal="center" vertical="top" wrapText="1"/>
      <protection locked="0"/>
    </xf>
    <xf numFmtId="10" fontId="13" fillId="10" borderId="5" xfId="0" applyNumberFormat="1" applyFont="1" applyFill="1" applyBorder="1" applyAlignment="1" applyProtection="1">
      <alignment horizontal="center" vertical="top" wrapText="1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GPS_Demontrativ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#'GPS_Multas e Jur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8</xdr:row>
      <xdr:rowOff>47625</xdr:rowOff>
    </xdr:from>
    <xdr:to>
      <xdr:col>3</xdr:col>
      <xdr:colOff>409575</xdr:colOff>
      <xdr:row>8</xdr:row>
      <xdr:rowOff>171450</xdr:rowOff>
    </xdr:to>
    <xdr:sp macro="" textlink="">
      <xdr:nvSpPr>
        <xdr:cNvPr id="8" name="Seta para a esquerda 7"/>
        <xdr:cNvSpPr/>
      </xdr:nvSpPr>
      <xdr:spPr>
        <a:xfrm>
          <a:off x="4667250" y="1200150"/>
          <a:ext cx="323850" cy="123825"/>
        </a:xfrm>
        <a:prstGeom prst="leftArrow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85725</xdr:colOff>
      <xdr:row>5</xdr:row>
      <xdr:rowOff>47625</xdr:rowOff>
    </xdr:from>
    <xdr:to>
      <xdr:col>3</xdr:col>
      <xdr:colOff>409575</xdr:colOff>
      <xdr:row>5</xdr:row>
      <xdr:rowOff>171450</xdr:rowOff>
    </xdr:to>
    <xdr:sp macro="" textlink="">
      <xdr:nvSpPr>
        <xdr:cNvPr id="4" name="Seta para a esquerda 3"/>
        <xdr:cNvSpPr/>
      </xdr:nvSpPr>
      <xdr:spPr>
        <a:xfrm>
          <a:off x="4667250" y="819150"/>
          <a:ext cx="323850" cy="123825"/>
        </a:xfrm>
        <a:prstGeom prst="leftArrow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85725</xdr:colOff>
      <xdr:row>10</xdr:row>
      <xdr:rowOff>28575</xdr:rowOff>
    </xdr:from>
    <xdr:to>
      <xdr:col>3</xdr:col>
      <xdr:colOff>409575</xdr:colOff>
      <xdr:row>10</xdr:row>
      <xdr:rowOff>161925</xdr:rowOff>
    </xdr:to>
    <xdr:sp macro="" textlink="">
      <xdr:nvSpPr>
        <xdr:cNvPr id="6" name="Seta para a esquerda 5"/>
        <xdr:cNvSpPr/>
      </xdr:nvSpPr>
      <xdr:spPr>
        <a:xfrm>
          <a:off x="4667250" y="1562100"/>
          <a:ext cx="323850" cy="133350"/>
        </a:xfrm>
        <a:prstGeom prst="lef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4</xdr:row>
      <xdr:rowOff>28575</xdr:rowOff>
    </xdr:from>
    <xdr:to>
      <xdr:col>3</xdr:col>
      <xdr:colOff>409575</xdr:colOff>
      <xdr:row>4</xdr:row>
      <xdr:rowOff>152400</xdr:rowOff>
    </xdr:to>
    <xdr:sp macro="" textlink="">
      <xdr:nvSpPr>
        <xdr:cNvPr id="7" name="Seta para a esquerda 6"/>
        <xdr:cNvSpPr/>
      </xdr:nvSpPr>
      <xdr:spPr>
        <a:xfrm>
          <a:off x="4667250" y="609600"/>
          <a:ext cx="323850" cy="123825"/>
        </a:xfrm>
        <a:prstGeom prst="leftArrow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285751</xdr:colOff>
      <xdr:row>21</xdr:row>
      <xdr:rowOff>57150</xdr:rowOff>
    </xdr:from>
    <xdr:to>
      <xdr:col>6</xdr:col>
      <xdr:colOff>76200</xdr:colOff>
      <xdr:row>26</xdr:row>
      <xdr:rowOff>28575</xdr:rowOff>
    </xdr:to>
    <xdr:sp macro="" textlink="">
      <xdr:nvSpPr>
        <xdr:cNvPr id="2" name="Bisel 1">
          <a:hlinkClick xmlns:r="http://schemas.openxmlformats.org/officeDocument/2006/relationships" r:id="rId1"/>
        </xdr:cNvPr>
        <xdr:cNvSpPr/>
      </xdr:nvSpPr>
      <xdr:spPr>
        <a:xfrm>
          <a:off x="4743451" y="3752850"/>
          <a:ext cx="1638299" cy="819150"/>
        </a:xfrm>
        <a:prstGeom prst="bevel">
          <a:avLst/>
        </a:prstGeom>
        <a:solidFill>
          <a:schemeClr val="accent6">
            <a:lumMod val="5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GERAR DEMONSTRATIVO GPS</a:t>
          </a: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85725</xdr:colOff>
      <xdr:row>6</xdr:row>
      <xdr:rowOff>66675</xdr:rowOff>
    </xdr:from>
    <xdr:to>
      <xdr:col>3</xdr:col>
      <xdr:colOff>409575</xdr:colOff>
      <xdr:row>7</xdr:row>
      <xdr:rowOff>0</xdr:rowOff>
    </xdr:to>
    <xdr:sp macro="" textlink="">
      <xdr:nvSpPr>
        <xdr:cNvPr id="9" name="Seta para a esquerda 8"/>
        <xdr:cNvSpPr/>
      </xdr:nvSpPr>
      <xdr:spPr>
        <a:xfrm>
          <a:off x="4543425" y="1009650"/>
          <a:ext cx="323850" cy="123825"/>
        </a:xfrm>
        <a:prstGeom prst="leftArrow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>
    <xdr:from>
      <xdr:col>6</xdr:col>
      <xdr:colOff>190500</xdr:colOff>
      <xdr:row>23</xdr:row>
      <xdr:rowOff>1</xdr:rowOff>
    </xdr:from>
    <xdr:to>
      <xdr:col>6</xdr:col>
      <xdr:colOff>647700</xdr:colOff>
      <xdr:row>24</xdr:row>
      <xdr:rowOff>1</xdr:rowOff>
    </xdr:to>
    <xdr:sp macro="" textlink="">
      <xdr:nvSpPr>
        <xdr:cNvPr id="3" name="Seta para a esquerda 2"/>
        <xdr:cNvSpPr/>
      </xdr:nvSpPr>
      <xdr:spPr>
        <a:xfrm>
          <a:off x="6496050" y="4076701"/>
          <a:ext cx="457200" cy="190500"/>
        </a:xfrm>
        <a:prstGeom prst="leftArrow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214885</xdr:colOff>
      <xdr:row>20</xdr:row>
      <xdr:rowOff>104775</xdr:rowOff>
    </xdr:from>
    <xdr:to>
      <xdr:col>4</xdr:col>
      <xdr:colOff>1219201</xdr:colOff>
      <xdr:row>22</xdr:row>
      <xdr:rowOff>38100</xdr:rowOff>
    </xdr:to>
    <xdr:sp macro="" textlink="">
      <xdr:nvSpPr>
        <xdr:cNvPr id="13" name="Bisel 12">
          <a:hlinkClick xmlns:r="http://schemas.openxmlformats.org/officeDocument/2006/relationships" r:id="rId1"/>
        </xdr:cNvPr>
        <xdr:cNvSpPr/>
      </xdr:nvSpPr>
      <xdr:spPr>
        <a:xfrm>
          <a:off x="5863210" y="4181475"/>
          <a:ext cx="1004316" cy="323850"/>
        </a:xfrm>
        <a:prstGeom prst="bevel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RETORNAR</a:t>
          </a:r>
        </a:p>
      </xdr:txBody>
    </xdr:sp>
    <xdr:clientData/>
  </xdr:twoCellAnchor>
  <xdr:oneCellAnchor>
    <xdr:from>
      <xdr:col>1</xdr:col>
      <xdr:colOff>123825</xdr:colOff>
      <xdr:row>2</xdr:row>
      <xdr:rowOff>76200</xdr:rowOff>
    </xdr:from>
    <xdr:ext cx="1019175" cy="571499"/>
    <xdr:pic>
      <xdr:nvPicPr>
        <xdr:cNvPr id="5" name="Imagem 4" descr="http://www2.dataprev.gov.br/PortalSalInternet/images/gps/MpasLogo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14325"/>
          <a:ext cx="1019175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dg.receita.fazenda.gov.br/orientacao/tributaria/pagamentos-e-parcelamentos/taxa-de-juros-seli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tabSelected="1" workbookViewId="0"/>
  </sheetViews>
  <sheetFormatPr defaultRowHeight="15"/>
  <cols>
    <col min="1" max="1" width="4.7109375" customWidth="1"/>
  </cols>
  <sheetData>
    <row r="1" spans="1:26" ht="9.9499999999999993" customHeight="1" thickBo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thickBot="1">
      <c r="A2" s="5"/>
      <c r="B2" s="116" t="s">
        <v>28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5"/>
      <c r="U2" s="5"/>
      <c r="V2" s="5"/>
      <c r="W2" s="5"/>
      <c r="X2" s="5"/>
      <c r="Y2" s="5"/>
      <c r="Z2" s="5"/>
    </row>
    <row r="3" spans="1:26" ht="9.9499999999999993" customHeight="1" thickBo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thickBot="1">
      <c r="A4" s="5"/>
      <c r="B4" s="101" t="s">
        <v>68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5"/>
      <c r="T4" s="5"/>
      <c r="U4" s="5"/>
      <c r="V4" s="5"/>
      <c r="W4" s="5"/>
      <c r="X4" s="5"/>
      <c r="Y4" s="5"/>
      <c r="Z4" s="5"/>
    </row>
    <row r="5" spans="1:26" ht="9.9499999999999993" customHeight="1" thickBo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119" t="s">
        <v>69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1"/>
      <c r="T6" s="5"/>
      <c r="U6" s="5"/>
      <c r="V6" s="5"/>
      <c r="W6" s="5"/>
      <c r="X6" s="5"/>
      <c r="Y6" s="5"/>
      <c r="Z6" s="5"/>
    </row>
    <row r="7" spans="1:26">
      <c r="A7" s="5"/>
      <c r="B7" s="55" t="s">
        <v>70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7"/>
      <c r="T7" s="5"/>
      <c r="U7" s="5"/>
      <c r="V7" s="5"/>
      <c r="W7" s="5"/>
      <c r="X7" s="5"/>
      <c r="Y7" s="5"/>
      <c r="Z7" s="5"/>
    </row>
    <row r="8" spans="1:26" ht="15.75" thickBot="1">
      <c r="A8" s="5"/>
      <c r="B8" s="122" t="s">
        <v>32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4"/>
      <c r="T8" s="5"/>
      <c r="U8" s="5"/>
      <c r="V8" s="5"/>
      <c r="W8" s="5"/>
      <c r="X8" s="5"/>
      <c r="Y8" s="5"/>
      <c r="Z8" s="5"/>
    </row>
    <row r="9" spans="1:26">
      <c r="A9" s="5"/>
      <c r="B9" s="58" t="s">
        <v>30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60"/>
      <c r="T9" s="5"/>
      <c r="U9" s="5"/>
      <c r="V9" s="5"/>
      <c r="W9" s="5"/>
      <c r="X9" s="5"/>
      <c r="Y9" s="5"/>
      <c r="Z9" s="5"/>
    </row>
    <row r="10" spans="1:26">
      <c r="A10" s="5"/>
      <c r="B10" s="58" t="s">
        <v>71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60"/>
      <c r="T10" s="5"/>
      <c r="U10" s="5"/>
      <c r="V10" s="5"/>
      <c r="W10" s="5"/>
      <c r="X10" s="5"/>
      <c r="Y10" s="5"/>
      <c r="Z10" s="5"/>
    </row>
    <row r="11" spans="1:26">
      <c r="A11" s="5"/>
      <c r="B11" s="58" t="s">
        <v>72</v>
      </c>
      <c r="C11" s="59"/>
      <c r="D11" s="61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60"/>
      <c r="T11" s="5"/>
      <c r="U11" s="5"/>
      <c r="V11" s="5"/>
      <c r="W11" s="5"/>
      <c r="X11" s="5"/>
      <c r="Y11" s="5"/>
      <c r="Z11" s="5"/>
    </row>
    <row r="12" spans="1:26">
      <c r="A12" s="5"/>
      <c r="B12" s="62" t="s">
        <v>73</v>
      </c>
      <c r="C12" s="59"/>
      <c r="D12" s="63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60"/>
      <c r="T12" s="5"/>
      <c r="U12" s="5"/>
      <c r="V12" s="5"/>
      <c r="W12" s="5"/>
      <c r="X12" s="5"/>
      <c r="Y12" s="5"/>
      <c r="Z12" s="5"/>
    </row>
    <row r="13" spans="1:26" ht="16.5">
      <c r="A13" s="5"/>
      <c r="B13" s="58" t="s">
        <v>33</v>
      </c>
      <c r="C13" s="64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60"/>
      <c r="T13" s="5"/>
      <c r="U13" s="5"/>
      <c r="V13" s="5"/>
      <c r="W13" s="5"/>
      <c r="X13" s="5"/>
      <c r="Y13" s="5"/>
      <c r="Z13" s="5"/>
    </row>
    <row r="14" spans="1:26">
      <c r="A14" s="5"/>
      <c r="B14" s="65" t="s">
        <v>43</v>
      </c>
      <c r="C14" s="66"/>
      <c r="D14" s="67"/>
      <c r="E14" s="67"/>
      <c r="F14" s="67"/>
      <c r="G14" s="67"/>
      <c r="H14" s="67"/>
      <c r="I14" s="67"/>
      <c r="J14" s="59"/>
      <c r="K14" s="59"/>
      <c r="L14" s="59"/>
      <c r="M14" s="59"/>
      <c r="N14" s="59"/>
      <c r="O14" s="59"/>
      <c r="P14" s="59"/>
      <c r="Q14" s="59"/>
      <c r="R14" s="59"/>
      <c r="S14" s="60"/>
      <c r="T14" s="5"/>
      <c r="U14" s="5"/>
      <c r="V14" s="5"/>
      <c r="W14" s="5"/>
      <c r="X14" s="5"/>
      <c r="Y14" s="5"/>
      <c r="Z14" s="5"/>
    </row>
    <row r="15" spans="1:26">
      <c r="A15" s="5"/>
      <c r="B15" s="68" t="s">
        <v>35</v>
      </c>
      <c r="C15" s="66"/>
      <c r="D15" s="67"/>
      <c r="E15" s="67"/>
      <c r="F15" s="67"/>
      <c r="G15" s="67"/>
      <c r="H15" s="67"/>
      <c r="I15" s="67"/>
      <c r="J15" s="59"/>
      <c r="K15" s="59"/>
      <c r="L15" s="59"/>
      <c r="M15" s="59"/>
      <c r="N15" s="59"/>
      <c r="O15" s="59"/>
      <c r="P15" s="59"/>
      <c r="Q15" s="59"/>
      <c r="R15" s="59"/>
      <c r="S15" s="60"/>
      <c r="T15" s="5"/>
      <c r="U15" s="5"/>
      <c r="V15" s="5"/>
      <c r="W15" s="5"/>
      <c r="X15" s="5"/>
      <c r="Y15" s="5"/>
      <c r="Z15" s="5"/>
    </row>
    <row r="16" spans="1:26">
      <c r="A16" s="5"/>
      <c r="B16" s="58" t="s">
        <v>64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60"/>
      <c r="T16" s="5"/>
      <c r="U16" s="5"/>
      <c r="V16" s="5"/>
      <c r="W16" s="5"/>
      <c r="X16" s="5"/>
      <c r="Y16" s="5"/>
      <c r="Z16" s="5"/>
    </row>
    <row r="17" spans="1:26" ht="15.75" thickBot="1">
      <c r="A17" s="5"/>
      <c r="B17" s="58" t="s">
        <v>65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60"/>
      <c r="T17" s="5"/>
      <c r="U17" s="5"/>
      <c r="V17" s="5"/>
      <c r="W17" s="5"/>
      <c r="X17" s="5"/>
      <c r="Y17" s="5"/>
      <c r="Z17" s="5"/>
    </row>
    <row r="18" spans="1:26" ht="15.75" thickBot="1">
      <c r="A18" s="5"/>
      <c r="B18" s="113" t="s">
        <v>74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5"/>
      <c r="T18" s="5"/>
      <c r="U18" s="5"/>
      <c r="V18" s="5"/>
      <c r="W18" s="5"/>
      <c r="X18" s="5"/>
      <c r="Y18" s="5"/>
      <c r="Z18" s="5"/>
    </row>
    <row r="19" spans="1:26">
      <c r="A19" s="5"/>
      <c r="B19" s="174" t="s">
        <v>34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6"/>
      <c r="T19" s="5"/>
      <c r="U19" s="5"/>
      <c r="V19" s="5"/>
      <c r="W19" s="5"/>
      <c r="X19" s="5"/>
      <c r="Y19" s="5"/>
      <c r="Z19" s="5"/>
    </row>
    <row r="20" spans="1:26">
      <c r="A20" s="5"/>
      <c r="B20" s="58" t="s">
        <v>41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/>
      <c r="U20" s="5"/>
      <c r="V20" s="5"/>
      <c r="W20" s="5"/>
      <c r="X20" s="5"/>
      <c r="Y20" s="5"/>
      <c r="Z20" s="5"/>
    </row>
    <row r="21" spans="1:26">
      <c r="A21" s="5"/>
      <c r="B21" s="58" t="s">
        <v>67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  <c r="T21" s="5"/>
      <c r="U21" s="5"/>
      <c r="V21" s="5"/>
      <c r="W21" s="5"/>
      <c r="X21" s="5"/>
      <c r="Y21" s="5"/>
      <c r="Z21" s="5"/>
    </row>
    <row r="22" spans="1:26">
      <c r="A22" s="5"/>
      <c r="B22" s="69" t="s">
        <v>66</v>
      </c>
      <c r="C22" s="70"/>
      <c r="D22" s="70"/>
      <c r="E22" s="70"/>
      <c r="F22" s="70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60"/>
      <c r="U22" s="5"/>
      <c r="V22" s="5"/>
      <c r="W22" s="5"/>
      <c r="X22" s="5"/>
      <c r="Y22" s="5"/>
      <c r="Z22" s="5"/>
    </row>
    <row r="23" spans="1:26" ht="15.75" thickBot="1">
      <c r="A23" s="5"/>
      <c r="B23" s="177" t="s">
        <v>31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71"/>
      <c r="O23" s="71"/>
      <c r="P23" s="71"/>
      <c r="Q23" s="71"/>
      <c r="R23" s="71"/>
      <c r="S23" s="72"/>
      <c r="T23" s="5"/>
      <c r="U23" s="5"/>
      <c r="V23" s="5"/>
      <c r="W23" s="5"/>
      <c r="X23" s="5"/>
      <c r="Y23" s="5"/>
      <c r="Z23" s="5"/>
    </row>
    <row r="24" spans="1:26" ht="9.9499999999999993" customHeight="1" thickBo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thickBot="1">
      <c r="A25" s="5"/>
      <c r="B25" s="73" t="s">
        <v>42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</sheetData>
  <sheetProtection password="CFCD" sheet="1" objects="1" scenarios="1"/>
  <mergeCells count="4">
    <mergeCell ref="B18:S18"/>
    <mergeCell ref="B2:S2"/>
    <mergeCell ref="B6:S6"/>
    <mergeCell ref="B8:S8"/>
  </mergeCells>
  <hyperlinks>
    <hyperlink ref="B23" r:id="rId1" location="Taxaselic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5"/>
  <cols>
    <col min="1" max="1" width="3.7109375" style="8" customWidth="1"/>
    <col min="2" max="2" width="48.85546875" style="8" customWidth="1"/>
    <col min="3" max="3" width="14.28515625" style="8" customWidth="1"/>
    <col min="4" max="4" width="9.140625" style="8"/>
    <col min="5" max="5" width="3.7109375" style="8" customWidth="1"/>
    <col min="6" max="6" width="14.85546875" style="8" bestFit="1" customWidth="1"/>
    <col min="7" max="7" width="11" style="8" bestFit="1" customWidth="1"/>
    <col min="8" max="8" width="13.42578125" style="8" customWidth="1"/>
    <col min="9" max="10" width="9.140625" style="8"/>
    <col min="11" max="11" width="10.7109375" style="8" bestFit="1" customWidth="1"/>
    <col min="12" max="12" width="9.140625" style="8"/>
    <col min="13" max="13" width="13.140625" style="8" customWidth="1"/>
    <col min="14" max="14" width="3.140625" style="8" customWidth="1"/>
    <col min="15" max="16384" width="9.140625" style="8"/>
  </cols>
  <sheetData>
    <row r="1" spans="1:13" ht="6.95" customHeight="1" thickBot="1"/>
    <row r="2" spans="1:13" ht="15.75" thickBot="1">
      <c r="B2" s="128" t="s">
        <v>10</v>
      </c>
      <c r="C2" s="129"/>
      <c r="D2" s="9"/>
      <c r="F2" s="127"/>
      <c r="G2" s="127"/>
      <c r="H2" s="127"/>
      <c r="I2" s="127"/>
      <c r="J2" s="127"/>
      <c r="K2" s="127"/>
      <c r="L2" s="127"/>
      <c r="M2" s="127"/>
    </row>
    <row r="3" spans="1:13" ht="6.95" customHeight="1" thickBot="1"/>
    <row r="4" spans="1:13" ht="15" customHeight="1" thickBot="1">
      <c r="B4" s="128" t="s">
        <v>2</v>
      </c>
      <c r="C4" s="129"/>
      <c r="D4" s="10"/>
      <c r="F4" s="11"/>
    </row>
    <row r="5" spans="1:13" ht="15" customHeight="1" thickBot="1">
      <c r="A5" s="12"/>
      <c r="B5" s="77" t="s">
        <v>77</v>
      </c>
      <c r="C5" s="183">
        <v>42522</v>
      </c>
      <c r="D5" s="10"/>
      <c r="F5" s="127"/>
      <c r="G5" s="127"/>
      <c r="H5" s="127"/>
      <c r="I5" s="127"/>
      <c r="J5" s="127"/>
      <c r="K5" s="127"/>
      <c r="L5" s="127"/>
      <c r="M5" s="127"/>
    </row>
    <row r="6" spans="1:13" ht="15" customHeight="1" thickBot="1">
      <c r="A6" s="12"/>
      <c r="B6" s="78" t="s">
        <v>62</v>
      </c>
      <c r="C6" s="184">
        <v>4397.5200000000004</v>
      </c>
      <c r="D6" s="13"/>
      <c r="E6" s="14"/>
      <c r="F6" s="11"/>
      <c r="H6" s="186" t="s">
        <v>76</v>
      </c>
      <c r="I6" s="187"/>
      <c r="J6" s="187"/>
      <c r="K6" s="187"/>
      <c r="L6" s="187"/>
      <c r="M6" s="188"/>
    </row>
    <row r="7" spans="1:13" ht="15" customHeight="1">
      <c r="A7" s="12"/>
      <c r="B7" s="78" t="s">
        <v>63</v>
      </c>
      <c r="C7" s="184">
        <v>879.51</v>
      </c>
      <c r="E7" s="14"/>
      <c r="F7" s="35"/>
      <c r="H7" s="189" t="s">
        <v>78</v>
      </c>
      <c r="I7" s="190"/>
      <c r="J7" s="190"/>
      <c r="K7" s="191"/>
      <c r="L7" s="191"/>
      <c r="M7" s="192"/>
    </row>
    <row r="8" spans="1:13" ht="15" customHeight="1">
      <c r="A8" s="12"/>
      <c r="B8" s="78" t="s">
        <v>1</v>
      </c>
      <c r="C8" s="27">
        <f>(C6+C7)*20%</f>
        <v>1055.4060000000002</v>
      </c>
      <c r="H8" s="193" t="s">
        <v>80</v>
      </c>
      <c r="I8" s="194"/>
      <c r="J8" s="194"/>
      <c r="K8" s="194"/>
      <c r="L8" s="194"/>
      <c r="M8" s="195"/>
    </row>
    <row r="9" spans="1:13" ht="15" customHeight="1">
      <c r="A9" s="12"/>
      <c r="B9" s="78" t="s">
        <v>11</v>
      </c>
      <c r="C9" s="185">
        <v>42571</v>
      </c>
      <c r="H9" s="193" t="s">
        <v>79</v>
      </c>
      <c r="I9" s="194"/>
      <c r="J9" s="194"/>
      <c r="K9" s="196"/>
      <c r="L9" s="196"/>
      <c r="M9" s="197"/>
    </row>
    <row r="10" spans="1:13" ht="15" customHeight="1" thickBot="1">
      <c r="A10" s="12"/>
      <c r="B10" s="78" t="s">
        <v>12</v>
      </c>
      <c r="C10" s="95">
        <f>WORKDAY(C9,1,Feriados!B5:B162)</f>
        <v>42572</v>
      </c>
      <c r="H10" s="198" t="s">
        <v>81</v>
      </c>
      <c r="I10" s="199"/>
      <c r="J10" s="199"/>
      <c r="K10" s="200"/>
      <c r="L10" s="200"/>
      <c r="M10" s="201"/>
    </row>
    <row r="11" spans="1:13" ht="15" customHeight="1">
      <c r="A11" s="12"/>
      <c r="B11" s="78" t="s">
        <v>13</v>
      </c>
      <c r="C11" s="185">
        <v>42853</v>
      </c>
    </row>
    <row r="12" spans="1:13" ht="15" customHeight="1">
      <c r="A12" s="12"/>
      <c r="B12" s="78" t="s">
        <v>14</v>
      </c>
      <c r="C12" s="96">
        <f>C11-C10+1</f>
        <v>282</v>
      </c>
      <c r="H12" s="111"/>
      <c r="K12" s="111"/>
    </row>
    <row r="13" spans="1:13" ht="15" customHeight="1">
      <c r="A13" s="12"/>
      <c r="B13" s="78" t="s">
        <v>0</v>
      </c>
      <c r="C13" s="27">
        <f>(C6+C7)*0.33%</f>
        <v>17.414199000000004</v>
      </c>
      <c r="F13" s="15"/>
      <c r="H13" s="16"/>
    </row>
    <row r="14" spans="1:13" ht="15" customHeight="1">
      <c r="A14" s="12"/>
      <c r="B14" s="78" t="s">
        <v>40</v>
      </c>
      <c r="C14" s="27">
        <f>C13*C12</f>
        <v>4910.8041180000009</v>
      </c>
      <c r="E14" s="17"/>
      <c r="F14" s="11"/>
      <c r="H14" s="182"/>
    </row>
    <row r="15" spans="1:13" ht="15" customHeight="1">
      <c r="A15" s="12"/>
      <c r="B15" s="29" t="s">
        <v>9</v>
      </c>
      <c r="C15" s="28">
        <f>IF(C8&lt;=C14,C8,IF(C8&gt;C14,C14))</f>
        <v>1055.4060000000002</v>
      </c>
      <c r="G15" s="18"/>
    </row>
    <row r="16" spans="1:13" ht="6.95" customHeight="1" thickBot="1">
      <c r="A16" s="12"/>
      <c r="E16" s="19"/>
      <c r="F16" s="52"/>
      <c r="G16" s="54"/>
      <c r="H16" s="53"/>
      <c r="I16" s="112"/>
      <c r="J16" s="53"/>
      <c r="K16" s="53"/>
      <c r="L16" s="53"/>
      <c r="M16" s="53"/>
    </row>
    <row r="17" spans="1:14" ht="15" customHeight="1" thickBot="1">
      <c r="A17" s="12"/>
      <c r="B17" s="25" t="s">
        <v>3</v>
      </c>
      <c r="C17" s="26"/>
      <c r="E17" s="20"/>
      <c r="F17" s="52"/>
      <c r="G17" s="54"/>
      <c r="H17" s="53"/>
      <c r="I17" s="53"/>
      <c r="J17" s="53"/>
      <c r="K17" s="53"/>
      <c r="L17" s="53"/>
      <c r="M17" s="53"/>
    </row>
    <row r="18" spans="1:14" ht="15" customHeight="1">
      <c r="A18" s="12"/>
      <c r="B18" s="30" t="s">
        <v>4</v>
      </c>
      <c r="C18" s="91">
        <f>EDATE(C9,1)</f>
        <v>42602</v>
      </c>
      <c r="E18" s="21"/>
      <c r="G18" s="21"/>
    </row>
    <row r="19" spans="1:14" ht="15" customHeight="1">
      <c r="A19" s="12"/>
      <c r="B19" s="32" t="s">
        <v>5</v>
      </c>
      <c r="C19" s="97">
        <f>EDATE(C11,-1)</f>
        <v>42822</v>
      </c>
      <c r="E19" s="22"/>
      <c r="F19" s="17"/>
      <c r="G19" s="23"/>
      <c r="H19" s="17"/>
    </row>
    <row r="20" spans="1:14" ht="15" customHeight="1">
      <c r="A20" s="12"/>
      <c r="B20" s="100" t="s">
        <v>26</v>
      </c>
      <c r="C20" s="125">
        <f>IFERROR(VLOOKUP(C5,SELIC_2011_2012!A2:C25,3,FALSE),IFERROR(VLOOKUP(C5,SELIC_2013_2014!A2:C25,3,FALSE),IFERROR(VLOOKUP(C5,SELIC_2015_2016!A2:C25,3,FALSE),IFERROR(VLOOKUP(C5,SELIC_2017_2018!A2:C25,3,FALSE),IFERROR(VLOOKUP(C5,'SELIC_2019 E 2020'!A2:C25,3,FALSE),0)))))</f>
        <v>8.5500000000000007E-2</v>
      </c>
      <c r="E20" s="24"/>
    </row>
    <row r="21" spans="1:14" ht="15" customHeight="1">
      <c r="A21" s="12"/>
      <c r="B21" s="99" t="s">
        <v>27</v>
      </c>
      <c r="C21" s="126"/>
    </row>
    <row r="22" spans="1:14" ht="15" customHeight="1">
      <c r="A22" s="12"/>
      <c r="B22" s="33" t="s">
        <v>15</v>
      </c>
      <c r="C22" s="98">
        <f>IF(MONTH(C9)=MONTH(C11),0%,IF(YEAR(C9)&lt;YEAR(C11),1%,IF(YEAR(C9)=YEAR(C11),1%)))</f>
        <v>0.01</v>
      </c>
    </row>
    <row r="23" spans="1:14" ht="15" customHeight="1" thickBot="1">
      <c r="A23" s="12"/>
      <c r="B23" s="34" t="s">
        <v>6</v>
      </c>
      <c r="C23" s="89">
        <f>SUM(C20:C22)</f>
        <v>9.5500000000000002E-2</v>
      </c>
      <c r="E23" s="24"/>
      <c r="F23" s="24"/>
    </row>
    <row r="24" spans="1:14" ht="15" customHeight="1" thickBot="1">
      <c r="A24" s="12"/>
      <c r="B24" s="29" t="s">
        <v>7</v>
      </c>
      <c r="C24" s="28">
        <f>(C6+C7)*C23</f>
        <v>503.95636500000006</v>
      </c>
      <c r="H24" s="179" t="s">
        <v>75</v>
      </c>
      <c r="I24" s="180"/>
      <c r="J24" s="180"/>
      <c r="K24" s="180"/>
      <c r="L24" s="180"/>
      <c r="M24" s="180"/>
      <c r="N24" s="181"/>
    </row>
    <row r="25" spans="1:14" ht="6.95" customHeight="1">
      <c r="A25" s="12"/>
    </row>
    <row r="26" spans="1:14">
      <c r="B26" s="29" t="s">
        <v>8</v>
      </c>
      <c r="C26" s="28">
        <f>C6+C7+C15+C24</f>
        <v>6836.3923650000006</v>
      </c>
    </row>
  </sheetData>
  <sheetProtection password="CFCD" sheet="1" objects="1" scenarios="1"/>
  <mergeCells count="6">
    <mergeCell ref="C20:C21"/>
    <mergeCell ref="F5:M5"/>
    <mergeCell ref="F2:M2"/>
    <mergeCell ref="B4:C4"/>
    <mergeCell ref="B2:C2"/>
    <mergeCell ref="H6:M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2"/>
  <sheetViews>
    <sheetView workbookViewId="0">
      <selection activeCell="C14" sqref="C14"/>
    </sheetView>
  </sheetViews>
  <sheetFormatPr defaultRowHeight="15"/>
  <cols>
    <col min="2" max="2" width="12.85546875" bestFit="1" customWidth="1"/>
    <col min="3" max="3" width="15" customWidth="1"/>
    <col min="4" max="4" width="39.5703125" customWidth="1"/>
    <col min="6" max="6" width="9.140625" customWidth="1"/>
  </cols>
  <sheetData>
    <row r="1" spans="2:7" ht="8.1" customHeight="1" thickBot="1"/>
    <row r="2" spans="2:7" ht="16.5" thickBot="1">
      <c r="B2" s="133" t="s">
        <v>29</v>
      </c>
      <c r="C2" s="134"/>
      <c r="D2" s="135"/>
    </row>
    <row r="3" spans="2:7" ht="8.1" customHeight="1" thickBot="1">
      <c r="G3" s="49"/>
    </row>
    <row r="4" spans="2:7" ht="15.75" customHeight="1" thickBot="1">
      <c r="B4" s="130">
        <v>2020</v>
      </c>
      <c r="C4" s="131"/>
      <c r="D4" s="132"/>
      <c r="F4" s="76"/>
    </row>
    <row r="5" spans="2:7">
      <c r="B5" s="79">
        <v>43831</v>
      </c>
      <c r="C5" s="80" t="str">
        <f t="shared" ref="C5" si="0">CHOOSE(WEEKDAY(B5),"domingo","segunda","terça","quarta","quinta","sexta","sábado")</f>
        <v>quarta</v>
      </c>
      <c r="D5" s="81" t="s">
        <v>16</v>
      </c>
    </row>
    <row r="6" spans="2:7">
      <c r="B6" s="39">
        <v>43931</v>
      </c>
      <c r="C6" s="48" t="str">
        <f t="shared" ref="C6:C14" si="1">CHOOSE(WEEKDAY(B6),"domingo","segunda","terça","quarta","quinta","sexta","sábado")</f>
        <v>sexta</v>
      </c>
      <c r="D6" s="40" t="s">
        <v>17</v>
      </c>
      <c r="F6" s="84"/>
    </row>
    <row r="7" spans="2:7">
      <c r="B7" s="37">
        <v>43942</v>
      </c>
      <c r="C7" s="46" t="str">
        <f t="shared" si="1"/>
        <v>terça</v>
      </c>
      <c r="D7" s="38" t="s">
        <v>18</v>
      </c>
      <c r="F7" s="76"/>
    </row>
    <row r="8" spans="2:7">
      <c r="B8" s="39">
        <v>43952</v>
      </c>
      <c r="C8" s="48" t="str">
        <f t="shared" si="1"/>
        <v>sexta</v>
      </c>
      <c r="D8" s="40" t="s">
        <v>19</v>
      </c>
    </row>
    <row r="9" spans="2:7">
      <c r="B9" s="37">
        <v>43993</v>
      </c>
      <c r="C9" s="46" t="str">
        <f t="shared" si="1"/>
        <v>quinta</v>
      </c>
      <c r="D9" s="38" t="s">
        <v>20</v>
      </c>
    </row>
    <row r="10" spans="2:7">
      <c r="B10" s="39">
        <v>44081</v>
      </c>
      <c r="C10" s="48" t="str">
        <f t="shared" si="1"/>
        <v>segunda</v>
      </c>
      <c r="D10" s="40" t="s">
        <v>21</v>
      </c>
    </row>
    <row r="11" spans="2:7">
      <c r="B11" s="37">
        <v>44116</v>
      </c>
      <c r="C11" s="46" t="str">
        <f t="shared" si="1"/>
        <v>segunda</v>
      </c>
      <c r="D11" s="38" t="s">
        <v>37</v>
      </c>
    </row>
    <row r="12" spans="2:7">
      <c r="B12" s="39">
        <v>44137</v>
      </c>
      <c r="C12" s="48" t="str">
        <f t="shared" si="1"/>
        <v>segunda</v>
      </c>
      <c r="D12" s="40" t="s">
        <v>22</v>
      </c>
    </row>
    <row r="13" spans="2:7">
      <c r="B13" s="37">
        <v>44150</v>
      </c>
      <c r="C13" s="46" t="str">
        <f t="shared" si="1"/>
        <v>domingo</v>
      </c>
      <c r="D13" s="38" t="s">
        <v>23</v>
      </c>
    </row>
    <row r="14" spans="2:7">
      <c r="B14" s="41">
        <v>44190</v>
      </c>
      <c r="C14" s="46" t="str">
        <f t="shared" si="1"/>
        <v>sexta</v>
      </c>
      <c r="D14" s="42" t="s">
        <v>24</v>
      </c>
    </row>
    <row r="15" spans="2:7">
      <c r="B15" s="43"/>
      <c r="C15" s="48" t="str">
        <f t="shared" ref="C15:C18" si="2">CHOOSE(WEEKDAY(B15),"domingo","segunda","terça","quarta","quinta","sexta","sábado")</f>
        <v>sábado</v>
      </c>
      <c r="D15" s="45"/>
    </row>
    <row r="16" spans="2:7">
      <c r="B16" s="41"/>
      <c r="C16" s="46" t="str">
        <f t="shared" si="2"/>
        <v>sábado</v>
      </c>
      <c r="D16" s="7"/>
    </row>
    <row r="17" spans="2:4">
      <c r="B17" s="43"/>
      <c r="C17" s="48" t="str">
        <f t="shared" si="2"/>
        <v>sábado</v>
      </c>
      <c r="D17" s="45"/>
    </row>
    <row r="18" spans="2:4">
      <c r="B18" s="41"/>
      <c r="C18" s="46" t="str">
        <f t="shared" si="2"/>
        <v>sábado</v>
      </c>
      <c r="D18" s="7"/>
    </row>
    <row r="19" spans="2:4" ht="9.9499999999999993" customHeight="1" thickBot="1"/>
    <row r="20" spans="2:4" ht="15" customHeight="1" thickBot="1">
      <c r="B20" s="130">
        <v>2019</v>
      </c>
      <c r="C20" s="131"/>
      <c r="D20" s="132"/>
    </row>
    <row r="21" spans="2:4">
      <c r="B21" s="50">
        <v>43466</v>
      </c>
      <c r="C21" s="83" t="str">
        <f t="shared" ref="C21:C29" si="3">CHOOSE(WEEKDAY(B21),"domingo","segunda","terça","quarta","quinta","sexta","sábado")</f>
        <v>terça</v>
      </c>
      <c r="D21" s="51" t="s">
        <v>16</v>
      </c>
    </row>
    <row r="22" spans="2:4">
      <c r="B22" s="43">
        <v>43574</v>
      </c>
      <c r="C22" s="48" t="str">
        <f t="shared" si="3"/>
        <v>sexta</v>
      </c>
      <c r="D22" s="44" t="s">
        <v>17</v>
      </c>
    </row>
    <row r="23" spans="2:4">
      <c r="B23" s="41">
        <v>43576</v>
      </c>
      <c r="C23" s="47" t="str">
        <f t="shared" si="3"/>
        <v>domingo</v>
      </c>
      <c r="D23" s="42" t="s">
        <v>18</v>
      </c>
    </row>
    <row r="24" spans="2:4">
      <c r="B24" s="43">
        <v>43586</v>
      </c>
      <c r="C24" s="48" t="str">
        <f t="shared" si="3"/>
        <v>quarta</v>
      </c>
      <c r="D24" s="44" t="s">
        <v>19</v>
      </c>
    </row>
    <row r="25" spans="2:4">
      <c r="B25" s="41">
        <v>43636</v>
      </c>
      <c r="C25" s="47" t="str">
        <f t="shared" si="3"/>
        <v>quinta</v>
      </c>
      <c r="D25" s="42" t="s">
        <v>20</v>
      </c>
    </row>
    <row r="26" spans="2:4">
      <c r="B26" s="43">
        <v>43715</v>
      </c>
      <c r="C26" s="48" t="str">
        <f t="shared" si="3"/>
        <v>sábado</v>
      </c>
      <c r="D26" s="44" t="s">
        <v>21</v>
      </c>
    </row>
    <row r="27" spans="2:4">
      <c r="B27" s="41">
        <v>43750</v>
      </c>
      <c r="C27" s="47" t="str">
        <f t="shared" si="3"/>
        <v>sábado</v>
      </c>
      <c r="D27" s="42" t="s">
        <v>36</v>
      </c>
    </row>
    <row r="28" spans="2:4">
      <c r="B28" s="43">
        <v>43771</v>
      </c>
      <c r="C28" s="48" t="str">
        <f t="shared" si="3"/>
        <v>sábado</v>
      </c>
      <c r="D28" s="44" t="s">
        <v>22</v>
      </c>
    </row>
    <row r="29" spans="2:4">
      <c r="B29" s="41">
        <v>43784</v>
      </c>
      <c r="C29" s="47" t="str">
        <f t="shared" si="3"/>
        <v>sexta</v>
      </c>
      <c r="D29" s="42" t="s">
        <v>23</v>
      </c>
    </row>
    <row r="30" spans="2:4">
      <c r="B30" s="39">
        <v>43824</v>
      </c>
      <c r="C30" s="48" t="str">
        <f t="shared" ref="C30:C34" si="4">CHOOSE(WEEKDAY(B30),"domingo","segunda","terça","quarta","quinta","sexta","sábado")</f>
        <v>quarta</v>
      </c>
      <c r="D30" s="40" t="s">
        <v>24</v>
      </c>
    </row>
    <row r="31" spans="2:4">
      <c r="B31" s="41"/>
      <c r="C31" s="47" t="str">
        <f>CHOOSE(WEEKDAY(B31),"domingo","segunda","terça","quarta","quinta","sexta","sábado")</f>
        <v>sábado</v>
      </c>
      <c r="D31" s="7"/>
    </row>
    <row r="32" spans="2:4">
      <c r="B32" s="45"/>
      <c r="C32" s="48" t="str">
        <f t="shared" si="4"/>
        <v>sábado</v>
      </c>
      <c r="D32" s="45"/>
    </row>
    <row r="33" spans="2:4">
      <c r="B33" s="7"/>
      <c r="C33" s="47" t="str">
        <f t="shared" si="4"/>
        <v>sábado</v>
      </c>
      <c r="D33" s="7"/>
    </row>
    <row r="34" spans="2:4">
      <c r="B34" s="45"/>
      <c r="C34" s="48" t="str">
        <f t="shared" si="4"/>
        <v>sábado</v>
      </c>
      <c r="D34" s="45"/>
    </row>
    <row r="35" spans="2:4" ht="9.9499999999999993" customHeight="1" thickBot="1"/>
    <row r="36" spans="2:4" ht="15" customHeight="1" thickBot="1">
      <c r="B36" s="130">
        <v>2018</v>
      </c>
      <c r="C36" s="131"/>
      <c r="D36" s="132"/>
    </row>
    <row r="37" spans="2:4">
      <c r="B37" s="79">
        <v>43101</v>
      </c>
      <c r="C37" s="80" t="str">
        <f t="shared" ref="C37:C45" si="5">CHOOSE(WEEKDAY(B37),"domingo","segunda","terça","quarta","quinta","sexta","sábado")</f>
        <v>segunda</v>
      </c>
      <c r="D37" s="81" t="s">
        <v>16</v>
      </c>
    </row>
    <row r="38" spans="2:4">
      <c r="B38" s="41">
        <v>43189</v>
      </c>
      <c r="C38" s="47" t="str">
        <f t="shared" si="5"/>
        <v>sexta</v>
      </c>
      <c r="D38" s="42" t="s">
        <v>17</v>
      </c>
    </row>
    <row r="39" spans="2:4">
      <c r="B39" s="43">
        <v>43211</v>
      </c>
      <c r="C39" s="48" t="str">
        <f t="shared" si="5"/>
        <v>sábado</v>
      </c>
      <c r="D39" s="44" t="s">
        <v>18</v>
      </c>
    </row>
    <row r="40" spans="2:4">
      <c r="B40" s="41">
        <v>43221</v>
      </c>
      <c r="C40" s="47" t="str">
        <f t="shared" si="5"/>
        <v>terça</v>
      </c>
      <c r="D40" s="42" t="s">
        <v>19</v>
      </c>
    </row>
    <row r="41" spans="2:4">
      <c r="B41" s="43">
        <v>43251</v>
      </c>
      <c r="C41" s="48" t="str">
        <f t="shared" si="5"/>
        <v>quinta</v>
      </c>
      <c r="D41" s="44" t="s">
        <v>20</v>
      </c>
    </row>
    <row r="42" spans="2:4">
      <c r="B42" s="41">
        <v>43350</v>
      </c>
      <c r="C42" s="47" t="str">
        <f t="shared" si="5"/>
        <v>sexta</v>
      </c>
      <c r="D42" s="42" t="s">
        <v>21</v>
      </c>
    </row>
    <row r="43" spans="2:4">
      <c r="B43" s="43">
        <v>43385</v>
      </c>
      <c r="C43" s="48" t="str">
        <f t="shared" si="5"/>
        <v>sexta</v>
      </c>
      <c r="D43" s="44" t="s">
        <v>37</v>
      </c>
    </row>
    <row r="44" spans="2:4">
      <c r="B44" s="41">
        <v>43406</v>
      </c>
      <c r="C44" s="47" t="str">
        <f t="shared" si="5"/>
        <v>sexta</v>
      </c>
      <c r="D44" s="42" t="s">
        <v>22</v>
      </c>
    </row>
    <row r="45" spans="2:4">
      <c r="B45" s="43">
        <v>43419</v>
      </c>
      <c r="C45" s="48" t="str">
        <f t="shared" si="5"/>
        <v>quinta</v>
      </c>
      <c r="D45" s="44" t="s">
        <v>23</v>
      </c>
    </row>
    <row r="46" spans="2:4">
      <c r="B46" s="41">
        <v>43459</v>
      </c>
      <c r="C46" s="47" t="str">
        <f t="shared" ref="C46:C50" si="6">CHOOSE(WEEKDAY(B46),"domingo","segunda","terça","quarta","quinta","sexta","sábado")</f>
        <v>terça</v>
      </c>
      <c r="D46" s="42" t="s">
        <v>24</v>
      </c>
    </row>
    <row r="47" spans="2:4">
      <c r="B47" s="45"/>
      <c r="C47" s="48" t="str">
        <f>CHOOSE(WEEKDAY(B47),"domingo","segunda","terça","quarta","quinta","sexta","sábado")</f>
        <v>sábado</v>
      </c>
      <c r="D47" s="45"/>
    </row>
    <row r="48" spans="2:4">
      <c r="B48" s="6"/>
      <c r="C48" s="47" t="str">
        <f t="shared" si="6"/>
        <v>sábado</v>
      </c>
      <c r="D48" s="6"/>
    </row>
    <row r="49" spans="2:6">
      <c r="B49" s="45"/>
      <c r="C49" s="48" t="str">
        <f t="shared" si="6"/>
        <v>sábado</v>
      </c>
      <c r="D49" s="45"/>
    </row>
    <row r="50" spans="2:6">
      <c r="B50" s="6"/>
      <c r="C50" s="47" t="str">
        <f t="shared" si="6"/>
        <v>sábado</v>
      </c>
      <c r="D50" s="6"/>
    </row>
    <row r="51" spans="2:6" ht="9.9499999999999993" customHeight="1" thickBot="1"/>
    <row r="52" spans="2:6" ht="15" customHeight="1" thickBot="1">
      <c r="B52" s="130">
        <v>2017</v>
      </c>
      <c r="C52" s="131"/>
      <c r="D52" s="132"/>
    </row>
    <row r="53" spans="2:6">
      <c r="B53" s="85">
        <v>42736</v>
      </c>
      <c r="C53" s="83" t="str">
        <f t="shared" ref="C53:C61" si="7">CHOOSE(WEEKDAY(B53),"domingo","segunda","terça","quarta","quinta","sexta","sábado")</f>
        <v>domingo</v>
      </c>
      <c r="D53" s="86" t="s">
        <v>16</v>
      </c>
    </row>
    <row r="54" spans="2:6" ht="15" customHeight="1">
      <c r="B54" s="43">
        <v>42839</v>
      </c>
      <c r="C54" s="48" t="str">
        <f t="shared" si="7"/>
        <v>sexta</v>
      </c>
      <c r="D54" s="40" t="s">
        <v>17</v>
      </c>
    </row>
    <row r="55" spans="2:6" ht="15" customHeight="1">
      <c r="B55" s="37">
        <v>42846</v>
      </c>
      <c r="C55" s="47" t="str">
        <f t="shared" si="7"/>
        <v>sexta</v>
      </c>
      <c r="D55" s="38" t="s">
        <v>18</v>
      </c>
    </row>
    <row r="56" spans="2:6" ht="15" customHeight="1">
      <c r="B56" s="39">
        <v>42856</v>
      </c>
      <c r="C56" s="48" t="str">
        <f t="shared" si="7"/>
        <v>segunda</v>
      </c>
      <c r="D56" s="40" t="s">
        <v>19</v>
      </c>
    </row>
    <row r="57" spans="2:6" ht="15" customHeight="1">
      <c r="B57" s="37">
        <v>42901</v>
      </c>
      <c r="C57" s="47" t="str">
        <f t="shared" si="7"/>
        <v>quinta</v>
      </c>
      <c r="D57" s="38" t="s">
        <v>20</v>
      </c>
    </row>
    <row r="58" spans="2:6" ht="15" customHeight="1">
      <c r="B58" s="39">
        <v>42985</v>
      </c>
      <c r="C58" s="48" t="str">
        <f t="shared" si="7"/>
        <v>quinta</v>
      </c>
      <c r="D58" s="40" t="s">
        <v>21</v>
      </c>
    </row>
    <row r="59" spans="2:6" ht="15" customHeight="1">
      <c r="B59" s="37">
        <v>43020</v>
      </c>
      <c r="C59" s="47" t="str">
        <f t="shared" si="7"/>
        <v>quinta</v>
      </c>
      <c r="D59" s="38" t="s">
        <v>36</v>
      </c>
    </row>
    <row r="60" spans="2:6" ht="15" customHeight="1">
      <c r="B60" s="39">
        <v>43041</v>
      </c>
      <c r="C60" s="48" t="str">
        <f t="shared" si="7"/>
        <v>quinta</v>
      </c>
      <c r="D60" s="40" t="s">
        <v>22</v>
      </c>
    </row>
    <row r="61" spans="2:6" ht="15" customHeight="1">
      <c r="B61" s="37">
        <v>43054</v>
      </c>
      <c r="C61" s="47" t="str">
        <f t="shared" si="7"/>
        <v>quarta</v>
      </c>
      <c r="D61" s="38" t="s">
        <v>23</v>
      </c>
    </row>
    <row r="62" spans="2:6" ht="15" customHeight="1">
      <c r="B62" s="43">
        <v>43094</v>
      </c>
      <c r="C62" s="48" t="str">
        <f t="shared" ref="C62:C66" si="8">CHOOSE(WEEKDAY(B62),"domingo","segunda","terça","quarta","quinta","sexta","sábado")</f>
        <v>segunda</v>
      </c>
      <c r="D62" s="44" t="s">
        <v>24</v>
      </c>
    </row>
    <row r="63" spans="2:6" ht="15" customHeight="1">
      <c r="B63" s="41"/>
      <c r="C63" s="47" t="str">
        <f>CHOOSE(WEEKDAY(B63),"domingo","segunda","terça","quarta","quinta","sexta","sábado")</f>
        <v>sábado</v>
      </c>
      <c r="D63" s="42"/>
      <c r="F63" s="36"/>
    </row>
    <row r="64" spans="2:6" ht="15" customHeight="1">
      <c r="B64" s="43"/>
      <c r="C64" s="48" t="str">
        <f>CHOOSE(WEEKDAY(B64),"domingo","segunda","terça","quarta","quinta","sexta","sábado")</f>
        <v>sábado</v>
      </c>
      <c r="D64" s="44"/>
    </row>
    <row r="65" spans="2:7" ht="15" customHeight="1">
      <c r="B65" s="41"/>
      <c r="C65" s="47" t="str">
        <f>CHOOSE(WEEKDAY(B65),"domingo","segunda","terça","quarta","quinta","sexta","sábado")</f>
        <v>sábado</v>
      </c>
      <c r="D65" s="42"/>
    </row>
    <row r="66" spans="2:7" ht="15" customHeight="1">
      <c r="B66" s="43"/>
      <c r="C66" s="48" t="str">
        <f t="shared" si="8"/>
        <v>sábado</v>
      </c>
      <c r="D66" s="44"/>
    </row>
    <row r="67" spans="2:7" ht="9.9499999999999993" customHeight="1" thickBot="1"/>
    <row r="68" spans="2:7" ht="15.75" customHeight="1" thickBot="1">
      <c r="B68" s="130">
        <v>2016</v>
      </c>
      <c r="C68" s="131"/>
      <c r="D68" s="132"/>
      <c r="G68" s="82"/>
    </row>
    <row r="69" spans="2:7">
      <c r="B69" s="50">
        <v>42370</v>
      </c>
      <c r="C69" s="83" t="str">
        <f t="shared" ref="C69:C78" si="9">CHOOSE(WEEKDAY(B69),"domingo","segunda","terça","quarta","quinta","sexta","sábado")</f>
        <v>sexta</v>
      </c>
      <c r="D69" s="51" t="s">
        <v>16</v>
      </c>
    </row>
    <row r="70" spans="2:7">
      <c r="B70" s="39">
        <v>42454</v>
      </c>
      <c r="C70" s="48" t="str">
        <f t="shared" si="9"/>
        <v>sexta</v>
      </c>
      <c r="D70" s="40" t="s">
        <v>17</v>
      </c>
    </row>
    <row r="71" spans="2:7">
      <c r="B71" s="37">
        <v>42481</v>
      </c>
      <c r="C71" s="47" t="str">
        <f t="shared" si="9"/>
        <v>quinta</v>
      </c>
      <c r="D71" s="38" t="s">
        <v>18</v>
      </c>
    </row>
    <row r="72" spans="2:7">
      <c r="B72" s="39">
        <v>42491</v>
      </c>
      <c r="C72" s="48" t="str">
        <f t="shared" si="9"/>
        <v>domingo</v>
      </c>
      <c r="D72" s="40" t="s">
        <v>19</v>
      </c>
    </row>
    <row r="73" spans="2:7">
      <c r="B73" s="37">
        <v>42516</v>
      </c>
      <c r="C73" s="47" t="str">
        <f t="shared" si="9"/>
        <v>quinta</v>
      </c>
      <c r="D73" s="38" t="s">
        <v>20</v>
      </c>
    </row>
    <row r="74" spans="2:7">
      <c r="B74" s="39">
        <v>42620</v>
      </c>
      <c r="C74" s="48" t="str">
        <f t="shared" si="9"/>
        <v>quarta</v>
      </c>
      <c r="D74" s="40" t="s">
        <v>21</v>
      </c>
    </row>
    <row r="75" spans="2:7">
      <c r="B75" s="37">
        <v>42655</v>
      </c>
      <c r="C75" s="47" t="str">
        <f t="shared" si="9"/>
        <v>quarta</v>
      </c>
      <c r="D75" s="38" t="s">
        <v>36</v>
      </c>
    </row>
    <row r="76" spans="2:7">
      <c r="B76" s="39">
        <v>42676</v>
      </c>
      <c r="C76" s="48" t="str">
        <f t="shared" si="9"/>
        <v>quarta</v>
      </c>
      <c r="D76" s="40" t="s">
        <v>22</v>
      </c>
    </row>
    <row r="77" spans="2:7">
      <c r="B77" s="37">
        <v>42689</v>
      </c>
      <c r="C77" s="47" t="str">
        <f t="shared" si="9"/>
        <v>terça</v>
      </c>
      <c r="D77" s="38" t="s">
        <v>23</v>
      </c>
    </row>
    <row r="78" spans="2:7">
      <c r="B78" s="39">
        <v>42729</v>
      </c>
      <c r="C78" s="48" t="str">
        <f t="shared" si="9"/>
        <v>domingo</v>
      </c>
      <c r="D78" s="40" t="s">
        <v>24</v>
      </c>
    </row>
    <row r="79" spans="2:7">
      <c r="B79" s="41"/>
      <c r="C79" s="47" t="str">
        <f>CHOOSE(WEEKDAY(B79),"domingo","segunda","terça","quarta","quinta","sexta","sábado")</f>
        <v>sábado</v>
      </c>
      <c r="D79" s="42"/>
    </row>
    <row r="80" spans="2:7">
      <c r="B80" s="43"/>
      <c r="C80" s="48" t="str">
        <f>CHOOSE(WEEKDAY(B80),"domingo","segunda","terça","quarta","quinta","sexta","sábado")</f>
        <v>sábado</v>
      </c>
      <c r="D80" s="44"/>
    </row>
    <row r="81" spans="2:4">
      <c r="B81" s="41"/>
      <c r="C81" s="47" t="str">
        <f>CHOOSE(WEEKDAY(B81),"domingo","segunda","terça","quarta","quinta","sexta","sábado")</f>
        <v>sábado</v>
      </c>
      <c r="D81" s="42"/>
    </row>
    <row r="82" spans="2:4">
      <c r="B82" s="43"/>
      <c r="C82" s="48" t="str">
        <f t="shared" ref="C82" si="10">CHOOSE(WEEKDAY(B82),"domingo","segunda","terça","quarta","quinta","sexta","sábado")</f>
        <v>sábado</v>
      </c>
      <c r="D82" s="44"/>
    </row>
    <row r="83" spans="2:4" ht="9.9499999999999993" customHeight="1" thickBot="1"/>
    <row r="84" spans="2:4" ht="16.5" thickBot="1">
      <c r="B84" s="130">
        <v>2015</v>
      </c>
      <c r="C84" s="131"/>
      <c r="D84" s="132"/>
    </row>
    <row r="85" spans="2:4">
      <c r="B85" s="37">
        <v>42005</v>
      </c>
      <c r="C85" s="47" t="str">
        <f t="shared" ref="C85:C98" si="11">CHOOSE(WEEKDAY(B85),"domingo","segunda","terça","quarta","quinta","sexta","sábado")</f>
        <v>quinta</v>
      </c>
      <c r="D85" s="38" t="s">
        <v>16</v>
      </c>
    </row>
    <row r="86" spans="2:4">
      <c r="B86" s="39">
        <v>42097</v>
      </c>
      <c r="C86" s="48" t="str">
        <f t="shared" si="11"/>
        <v>sexta</v>
      </c>
      <c r="D86" s="40" t="s">
        <v>17</v>
      </c>
    </row>
    <row r="87" spans="2:4">
      <c r="B87" s="37">
        <v>42115</v>
      </c>
      <c r="C87" s="47" t="str">
        <f t="shared" si="11"/>
        <v>terça</v>
      </c>
      <c r="D87" s="38" t="s">
        <v>18</v>
      </c>
    </row>
    <row r="88" spans="2:4">
      <c r="B88" s="39">
        <v>42125</v>
      </c>
      <c r="C88" s="48" t="str">
        <f t="shared" si="11"/>
        <v>sexta</v>
      </c>
      <c r="D88" s="40" t="s">
        <v>19</v>
      </c>
    </row>
    <row r="89" spans="2:4">
      <c r="B89" s="37">
        <v>42159</v>
      </c>
      <c r="C89" s="47" t="str">
        <f t="shared" si="11"/>
        <v>quinta</v>
      </c>
      <c r="D89" s="38" t="s">
        <v>20</v>
      </c>
    </row>
    <row r="90" spans="2:4">
      <c r="B90" s="39">
        <v>42254</v>
      </c>
      <c r="C90" s="48" t="str">
        <f t="shared" si="11"/>
        <v>segunda</v>
      </c>
      <c r="D90" s="40" t="s">
        <v>21</v>
      </c>
    </row>
    <row r="91" spans="2:4">
      <c r="B91" s="37">
        <v>42289</v>
      </c>
      <c r="C91" s="47" t="str">
        <f t="shared" si="11"/>
        <v>segunda</v>
      </c>
      <c r="D91" s="38" t="s">
        <v>36</v>
      </c>
    </row>
    <row r="92" spans="2:4">
      <c r="B92" s="39">
        <v>42310</v>
      </c>
      <c r="C92" s="48" t="str">
        <f t="shared" si="11"/>
        <v>segunda</v>
      </c>
      <c r="D92" s="40" t="s">
        <v>22</v>
      </c>
    </row>
    <row r="93" spans="2:4">
      <c r="B93" s="37">
        <v>42323</v>
      </c>
      <c r="C93" s="47" t="str">
        <f t="shared" si="11"/>
        <v>domingo</v>
      </c>
      <c r="D93" s="38" t="s">
        <v>23</v>
      </c>
    </row>
    <row r="94" spans="2:4">
      <c r="B94" s="39">
        <v>42363</v>
      </c>
      <c r="C94" s="48" t="str">
        <f t="shared" si="11"/>
        <v>sexta</v>
      </c>
      <c r="D94" s="40" t="s">
        <v>24</v>
      </c>
    </row>
    <row r="95" spans="2:4">
      <c r="B95" s="41"/>
      <c r="C95" s="47" t="str">
        <f t="shared" si="11"/>
        <v>sábado</v>
      </c>
      <c r="D95" s="42"/>
    </row>
    <row r="96" spans="2:4">
      <c r="B96" s="43"/>
      <c r="C96" s="48" t="str">
        <f t="shared" si="11"/>
        <v>sábado</v>
      </c>
      <c r="D96" s="44"/>
    </row>
    <row r="97" spans="2:4">
      <c r="B97" s="41"/>
      <c r="C97" s="47" t="str">
        <f t="shared" si="11"/>
        <v>sábado</v>
      </c>
      <c r="D97" s="42"/>
    </row>
    <row r="98" spans="2:4">
      <c r="B98" s="43"/>
      <c r="C98" s="48" t="str">
        <f t="shared" si="11"/>
        <v>sábado</v>
      </c>
      <c r="D98" s="44"/>
    </row>
    <row r="99" spans="2:4" ht="9.9499999999999993" customHeight="1" thickBot="1"/>
    <row r="100" spans="2:4" ht="16.5" thickBot="1">
      <c r="B100" s="130">
        <v>2014</v>
      </c>
      <c r="C100" s="131"/>
      <c r="D100" s="132"/>
    </row>
    <row r="101" spans="2:4">
      <c r="B101" s="37">
        <v>41640</v>
      </c>
      <c r="C101" s="47" t="str">
        <f t="shared" ref="C101:C110" si="12">CHOOSE(WEEKDAY(B101),"domingo","segunda","terça","quarta","quinta","sexta","sábado")</f>
        <v>quarta</v>
      </c>
      <c r="D101" s="38" t="s">
        <v>16</v>
      </c>
    </row>
    <row r="102" spans="2:4">
      <c r="B102" s="39">
        <v>41747</v>
      </c>
      <c r="C102" s="48" t="str">
        <f t="shared" si="12"/>
        <v>sexta</v>
      </c>
      <c r="D102" s="40" t="s">
        <v>17</v>
      </c>
    </row>
    <row r="103" spans="2:4">
      <c r="B103" s="37">
        <v>41750</v>
      </c>
      <c r="C103" s="47" t="str">
        <f t="shared" si="12"/>
        <v>segunda</v>
      </c>
      <c r="D103" s="38" t="s">
        <v>18</v>
      </c>
    </row>
    <row r="104" spans="2:4">
      <c r="B104" s="39">
        <v>41760</v>
      </c>
      <c r="C104" s="48" t="str">
        <f t="shared" si="12"/>
        <v>quinta</v>
      </c>
      <c r="D104" s="40" t="s">
        <v>19</v>
      </c>
    </row>
    <row r="105" spans="2:4">
      <c r="B105" s="37">
        <v>41809</v>
      </c>
      <c r="C105" s="47" t="str">
        <f t="shared" si="12"/>
        <v>quinta</v>
      </c>
      <c r="D105" s="38" t="s">
        <v>20</v>
      </c>
    </row>
    <row r="106" spans="2:4">
      <c r="B106" s="39">
        <v>41889</v>
      </c>
      <c r="C106" s="48" t="str">
        <f t="shared" si="12"/>
        <v>domingo</v>
      </c>
      <c r="D106" s="40" t="s">
        <v>21</v>
      </c>
    </row>
    <row r="107" spans="2:4">
      <c r="B107" s="37">
        <v>41924</v>
      </c>
      <c r="C107" s="47" t="str">
        <f t="shared" si="12"/>
        <v>domingo</v>
      </c>
      <c r="D107" s="38" t="s">
        <v>36</v>
      </c>
    </row>
    <row r="108" spans="2:4">
      <c r="B108" s="39">
        <v>41945</v>
      </c>
      <c r="C108" s="48" t="str">
        <f t="shared" si="12"/>
        <v>domingo</v>
      </c>
      <c r="D108" s="40" t="s">
        <v>22</v>
      </c>
    </row>
    <row r="109" spans="2:4">
      <c r="B109" s="37">
        <v>41958</v>
      </c>
      <c r="C109" s="47" t="str">
        <f t="shared" si="12"/>
        <v>sábado</v>
      </c>
      <c r="D109" s="38" t="s">
        <v>23</v>
      </c>
    </row>
    <row r="110" spans="2:4">
      <c r="B110" s="39">
        <v>41998</v>
      </c>
      <c r="C110" s="48" t="str">
        <f t="shared" si="12"/>
        <v>quinta</v>
      </c>
      <c r="D110" s="40" t="s">
        <v>24</v>
      </c>
    </row>
    <row r="111" spans="2:4">
      <c r="B111" s="41"/>
      <c r="C111" s="47" t="str">
        <f t="shared" ref="C111:C114" si="13">CHOOSE(WEEKDAY(B111),"domingo","segunda","terça","quarta","quinta","sexta","sábado")</f>
        <v>sábado</v>
      </c>
      <c r="D111" s="42"/>
    </row>
    <row r="112" spans="2:4">
      <c r="B112" s="43"/>
      <c r="C112" s="48" t="str">
        <f t="shared" si="13"/>
        <v>sábado</v>
      </c>
      <c r="D112" s="44"/>
    </row>
    <row r="113" spans="2:4">
      <c r="B113" s="41"/>
      <c r="C113" s="47" t="str">
        <f t="shared" si="13"/>
        <v>sábado</v>
      </c>
      <c r="D113" s="42"/>
    </row>
    <row r="114" spans="2:4">
      <c r="B114" s="43"/>
      <c r="C114" s="48" t="str">
        <f t="shared" si="13"/>
        <v>sábado</v>
      </c>
      <c r="D114" s="44"/>
    </row>
    <row r="115" spans="2:4" ht="9.9499999999999993" customHeight="1" thickBot="1"/>
    <row r="116" spans="2:4" ht="16.5" thickBot="1">
      <c r="B116" s="130">
        <v>2013</v>
      </c>
      <c r="C116" s="131"/>
      <c r="D116" s="132"/>
    </row>
    <row r="117" spans="2:4">
      <c r="B117" s="37">
        <v>41275</v>
      </c>
      <c r="C117" s="47" t="str">
        <f t="shared" ref="C117" si="14">CHOOSE(WEEKDAY(B117),"domingo","segunda","terça","quarta","quinta","sexta","sábado")</f>
        <v>terça</v>
      </c>
      <c r="D117" s="38" t="s">
        <v>16</v>
      </c>
    </row>
    <row r="118" spans="2:4">
      <c r="B118" s="39">
        <v>41362</v>
      </c>
      <c r="C118" s="48" t="str">
        <f t="shared" ref="C118:C126" si="15">CHOOSE(WEEKDAY(B118),"domingo","segunda","terça","quarta","quinta","sexta","sábado")</f>
        <v>sexta</v>
      </c>
      <c r="D118" s="40" t="s">
        <v>17</v>
      </c>
    </row>
    <row r="119" spans="2:4">
      <c r="B119" s="37">
        <v>41385</v>
      </c>
      <c r="C119" s="47" t="str">
        <f t="shared" si="15"/>
        <v>domingo</v>
      </c>
      <c r="D119" s="38" t="s">
        <v>18</v>
      </c>
    </row>
    <row r="120" spans="2:4">
      <c r="B120" s="39">
        <v>41395</v>
      </c>
      <c r="C120" s="48" t="str">
        <f t="shared" si="15"/>
        <v>quarta</v>
      </c>
      <c r="D120" s="40" t="s">
        <v>19</v>
      </c>
    </row>
    <row r="121" spans="2:4">
      <c r="B121" s="37">
        <v>41424</v>
      </c>
      <c r="C121" s="47" t="str">
        <f t="shared" si="15"/>
        <v>quinta</v>
      </c>
      <c r="D121" s="38" t="s">
        <v>20</v>
      </c>
    </row>
    <row r="122" spans="2:4">
      <c r="B122" s="39">
        <v>41524</v>
      </c>
      <c r="C122" s="48" t="str">
        <f t="shared" si="15"/>
        <v>sábado</v>
      </c>
      <c r="D122" s="40" t="s">
        <v>21</v>
      </c>
    </row>
    <row r="123" spans="2:4">
      <c r="B123" s="37">
        <v>41559</v>
      </c>
      <c r="C123" s="47" t="str">
        <f t="shared" si="15"/>
        <v>sábado</v>
      </c>
      <c r="D123" s="38" t="s">
        <v>36</v>
      </c>
    </row>
    <row r="124" spans="2:4">
      <c r="B124" s="39">
        <v>41580</v>
      </c>
      <c r="C124" s="48" t="str">
        <f t="shared" si="15"/>
        <v>sábado</v>
      </c>
      <c r="D124" s="40" t="s">
        <v>22</v>
      </c>
    </row>
    <row r="125" spans="2:4">
      <c r="B125" s="37">
        <v>41593</v>
      </c>
      <c r="C125" s="47" t="str">
        <f t="shared" si="15"/>
        <v>sexta</v>
      </c>
      <c r="D125" s="38" t="s">
        <v>23</v>
      </c>
    </row>
    <row r="126" spans="2:4">
      <c r="B126" s="39">
        <v>41633</v>
      </c>
      <c r="C126" s="48" t="str">
        <f t="shared" si="15"/>
        <v>quarta</v>
      </c>
      <c r="D126" s="40" t="s">
        <v>24</v>
      </c>
    </row>
    <row r="127" spans="2:4">
      <c r="B127" s="41"/>
      <c r="C127" s="47" t="str">
        <f t="shared" ref="C127:C130" si="16">CHOOSE(WEEKDAY(B127),"domingo","segunda","terça","quarta","quinta","sexta","sábado")</f>
        <v>sábado</v>
      </c>
      <c r="D127" s="42"/>
    </row>
    <row r="128" spans="2:4">
      <c r="B128" s="43"/>
      <c r="C128" s="48" t="str">
        <f t="shared" si="16"/>
        <v>sábado</v>
      </c>
      <c r="D128" s="44"/>
    </row>
    <row r="129" spans="2:4">
      <c r="B129" s="41"/>
      <c r="C129" s="47" t="str">
        <f t="shared" si="16"/>
        <v>sábado</v>
      </c>
      <c r="D129" s="42"/>
    </row>
    <row r="130" spans="2:4">
      <c r="B130" s="43"/>
      <c r="C130" s="48" t="str">
        <f t="shared" si="16"/>
        <v>sábado</v>
      </c>
      <c r="D130" s="44"/>
    </row>
    <row r="131" spans="2:4" ht="9.9499999999999993" customHeight="1" thickBot="1"/>
    <row r="132" spans="2:4" ht="16.5" thickBot="1">
      <c r="B132" s="130">
        <v>2012</v>
      </c>
      <c r="C132" s="131"/>
      <c r="D132" s="132"/>
    </row>
    <row r="133" spans="2:4">
      <c r="B133" s="37">
        <v>40909</v>
      </c>
      <c r="C133" s="47" t="str">
        <f t="shared" ref="C133:C146" si="17">CHOOSE(WEEKDAY(B133),"domingo","segunda","terça","quarta","quinta","sexta","sábado")</f>
        <v>domingo</v>
      </c>
      <c r="D133" s="38" t="s">
        <v>16</v>
      </c>
    </row>
    <row r="134" spans="2:4">
      <c r="B134" s="39">
        <v>41005</v>
      </c>
      <c r="C134" s="48" t="str">
        <f t="shared" si="17"/>
        <v>sexta</v>
      </c>
      <c r="D134" s="40" t="s">
        <v>17</v>
      </c>
    </row>
    <row r="135" spans="2:4">
      <c r="B135" s="37">
        <v>41020</v>
      </c>
      <c r="C135" s="47" t="str">
        <f t="shared" si="17"/>
        <v>sábado</v>
      </c>
      <c r="D135" s="38" t="s">
        <v>18</v>
      </c>
    </row>
    <row r="136" spans="2:4">
      <c r="B136" s="39">
        <v>41030</v>
      </c>
      <c r="C136" s="48" t="str">
        <f t="shared" si="17"/>
        <v>terça</v>
      </c>
      <c r="D136" s="40" t="s">
        <v>19</v>
      </c>
    </row>
    <row r="137" spans="2:4">
      <c r="B137" s="37">
        <v>41067</v>
      </c>
      <c r="C137" s="47" t="str">
        <f t="shared" si="17"/>
        <v>quinta</v>
      </c>
      <c r="D137" s="38" t="s">
        <v>20</v>
      </c>
    </row>
    <row r="138" spans="2:4">
      <c r="B138" s="39">
        <v>41159</v>
      </c>
      <c r="C138" s="48" t="str">
        <f t="shared" si="17"/>
        <v>sexta</v>
      </c>
      <c r="D138" s="40" t="s">
        <v>21</v>
      </c>
    </row>
    <row r="139" spans="2:4">
      <c r="B139" s="37">
        <v>41194</v>
      </c>
      <c r="C139" s="47" t="str">
        <f t="shared" si="17"/>
        <v>sexta</v>
      </c>
      <c r="D139" s="38" t="s">
        <v>36</v>
      </c>
    </row>
    <row r="140" spans="2:4">
      <c r="B140" s="39">
        <v>41215</v>
      </c>
      <c r="C140" s="48" t="str">
        <f t="shared" si="17"/>
        <v>sexta</v>
      </c>
      <c r="D140" s="40" t="s">
        <v>22</v>
      </c>
    </row>
    <row r="141" spans="2:4">
      <c r="B141" s="37">
        <v>41228</v>
      </c>
      <c r="C141" s="47" t="str">
        <f t="shared" si="17"/>
        <v>quinta</v>
      </c>
      <c r="D141" s="38" t="s">
        <v>23</v>
      </c>
    </row>
    <row r="142" spans="2:4">
      <c r="B142" s="39">
        <v>41268</v>
      </c>
      <c r="C142" s="48" t="str">
        <f t="shared" si="17"/>
        <v>terça</v>
      </c>
      <c r="D142" s="40" t="s">
        <v>24</v>
      </c>
    </row>
    <row r="143" spans="2:4">
      <c r="B143" s="41"/>
      <c r="C143" s="47" t="str">
        <f t="shared" si="17"/>
        <v>sábado</v>
      </c>
      <c r="D143" s="42"/>
    </row>
    <row r="144" spans="2:4">
      <c r="B144" s="43"/>
      <c r="C144" s="48" t="str">
        <f t="shared" si="17"/>
        <v>sábado</v>
      </c>
      <c r="D144" s="44"/>
    </row>
    <row r="145" spans="2:4">
      <c r="B145" s="41"/>
      <c r="C145" s="47" t="str">
        <f t="shared" si="17"/>
        <v>sábado</v>
      </c>
      <c r="D145" s="42"/>
    </row>
    <row r="146" spans="2:4">
      <c r="B146" s="43"/>
      <c r="C146" s="48" t="str">
        <f t="shared" si="17"/>
        <v>sábado</v>
      </c>
      <c r="D146" s="44"/>
    </row>
    <row r="147" spans="2:4" ht="9.9499999999999993" customHeight="1" thickBot="1"/>
    <row r="148" spans="2:4" ht="16.5" thickBot="1">
      <c r="B148" s="130">
        <v>2011</v>
      </c>
      <c r="C148" s="131"/>
      <c r="D148" s="132"/>
    </row>
    <row r="149" spans="2:4">
      <c r="B149" s="37">
        <v>40544</v>
      </c>
      <c r="C149" s="47" t="str">
        <f t="shared" ref="C149:C162" si="18">CHOOSE(WEEKDAY(B149),"domingo","segunda","terça","quarta","quinta","sexta","sábado")</f>
        <v>sábado</v>
      </c>
      <c r="D149" s="38" t="s">
        <v>16</v>
      </c>
    </row>
    <row r="150" spans="2:4">
      <c r="B150" s="43">
        <v>40654</v>
      </c>
      <c r="C150" s="48" t="str">
        <f t="shared" si="18"/>
        <v>quinta</v>
      </c>
      <c r="D150" s="44" t="s">
        <v>18</v>
      </c>
    </row>
    <row r="151" spans="2:4">
      <c r="B151" s="41">
        <v>40655</v>
      </c>
      <c r="C151" s="47" t="str">
        <f t="shared" si="18"/>
        <v>sexta</v>
      </c>
      <c r="D151" s="42" t="s">
        <v>17</v>
      </c>
    </row>
    <row r="152" spans="2:4">
      <c r="B152" s="43">
        <v>40664</v>
      </c>
      <c r="C152" s="48" t="str">
        <f t="shared" si="18"/>
        <v>domingo</v>
      </c>
      <c r="D152" s="44" t="s">
        <v>19</v>
      </c>
    </row>
    <row r="153" spans="2:4">
      <c r="B153" s="41">
        <v>40717</v>
      </c>
      <c r="C153" s="47" t="str">
        <f t="shared" si="18"/>
        <v>quinta</v>
      </c>
      <c r="D153" s="42" t="s">
        <v>20</v>
      </c>
    </row>
    <row r="154" spans="2:4">
      <c r="B154" s="43">
        <v>40793</v>
      </c>
      <c r="C154" s="48" t="str">
        <f t="shared" si="18"/>
        <v>quarta</v>
      </c>
      <c r="D154" s="44" t="s">
        <v>21</v>
      </c>
    </row>
    <row r="155" spans="2:4">
      <c r="B155" s="41">
        <v>40828</v>
      </c>
      <c r="C155" s="47" t="str">
        <f t="shared" si="18"/>
        <v>quarta</v>
      </c>
      <c r="D155" s="42" t="s">
        <v>36</v>
      </c>
    </row>
    <row r="156" spans="2:4">
      <c r="B156" s="43">
        <v>40849</v>
      </c>
      <c r="C156" s="48" t="str">
        <f t="shared" si="18"/>
        <v>quarta</v>
      </c>
      <c r="D156" s="44" t="s">
        <v>22</v>
      </c>
    </row>
    <row r="157" spans="2:4">
      <c r="B157" s="41">
        <v>40862</v>
      </c>
      <c r="C157" s="47" t="str">
        <f t="shared" si="18"/>
        <v>terça</v>
      </c>
      <c r="D157" s="42" t="s">
        <v>23</v>
      </c>
    </row>
    <row r="158" spans="2:4">
      <c r="B158" s="43">
        <v>40902</v>
      </c>
      <c r="C158" s="48" t="str">
        <f t="shared" si="18"/>
        <v>domingo</v>
      </c>
      <c r="D158" s="44" t="s">
        <v>24</v>
      </c>
    </row>
    <row r="159" spans="2:4">
      <c r="B159" s="1"/>
      <c r="C159" s="47" t="str">
        <f t="shared" si="18"/>
        <v>sábado</v>
      </c>
      <c r="D159" s="2"/>
    </row>
    <row r="160" spans="2:4">
      <c r="B160" s="3"/>
      <c r="C160" s="48" t="str">
        <f t="shared" si="18"/>
        <v>sábado</v>
      </c>
      <c r="D160" s="4"/>
    </row>
    <row r="161" spans="2:4">
      <c r="B161" s="1"/>
      <c r="C161" s="47" t="str">
        <f t="shared" si="18"/>
        <v>sábado</v>
      </c>
      <c r="D161" s="2"/>
    </row>
    <row r="162" spans="2:4">
      <c r="B162" s="45"/>
      <c r="C162" s="48" t="str">
        <f t="shared" si="18"/>
        <v>sábado</v>
      </c>
      <c r="D162" s="45"/>
    </row>
  </sheetData>
  <mergeCells count="11">
    <mergeCell ref="B148:D148"/>
    <mergeCell ref="B84:D84"/>
    <mergeCell ref="B100:D100"/>
    <mergeCell ref="B116:D116"/>
    <mergeCell ref="B132:D132"/>
    <mergeCell ref="B68:D68"/>
    <mergeCell ref="B4:D4"/>
    <mergeCell ref="B2:D2"/>
    <mergeCell ref="B20:D20"/>
    <mergeCell ref="B36:D36"/>
    <mergeCell ref="B52:D5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B5" sqref="B5"/>
    </sheetView>
  </sheetViews>
  <sheetFormatPr defaultRowHeight="15"/>
  <cols>
    <col min="2" max="2" width="13.5703125" bestFit="1" customWidth="1"/>
  </cols>
  <sheetData>
    <row r="1" spans="1:3" ht="15.75" thickBot="1">
      <c r="A1" s="90" t="s">
        <v>25</v>
      </c>
      <c r="B1" s="90" t="s">
        <v>38</v>
      </c>
      <c r="C1" s="90" t="s">
        <v>39</v>
      </c>
    </row>
    <row r="2" spans="1:3" ht="14.1" customHeight="1">
      <c r="A2" s="93">
        <v>42736</v>
      </c>
      <c r="B2" s="202">
        <v>1.09E-2</v>
      </c>
      <c r="C2" s="89">
        <f>SUM(B4:$B$25)+SUM('SELIC_2019 E 2020'!$B$2:$B$25)</f>
        <v>1.0500000000000001E-2</v>
      </c>
    </row>
    <row r="3" spans="1:3" ht="14.1" customHeight="1">
      <c r="A3" s="94">
        <v>42767</v>
      </c>
      <c r="B3" s="202">
        <v>8.6999999999999994E-3</v>
      </c>
      <c r="C3" s="89">
        <f>SUM(B5:$B$25)+SUM('SELIC_2019 E 2020'!$B$2:$B$25)</f>
        <v>0</v>
      </c>
    </row>
    <row r="4" spans="1:3" ht="14.1" customHeight="1">
      <c r="A4" s="93">
        <v>42795</v>
      </c>
      <c r="B4" s="202">
        <v>1.0500000000000001E-2</v>
      </c>
      <c r="C4" s="89">
        <f>SUM(B6:$B$25)+SUM('SELIC_2019 E 2020'!$B$2:$B$25)</f>
        <v>0</v>
      </c>
    </row>
    <row r="5" spans="1:3" ht="14.1" customHeight="1">
      <c r="A5" s="94">
        <v>42826</v>
      </c>
      <c r="B5" s="202">
        <v>0</v>
      </c>
      <c r="C5" s="89">
        <f>SUM(B7:$B$25)+SUM('SELIC_2019 E 2020'!$B$2:$B$25)</f>
        <v>0</v>
      </c>
    </row>
    <row r="6" spans="1:3" ht="14.1" customHeight="1">
      <c r="A6" s="93">
        <v>42856</v>
      </c>
      <c r="B6" s="202">
        <v>0</v>
      </c>
      <c r="C6" s="89">
        <f>SUM(B8:$B$25)+SUM('SELIC_2019 E 2020'!$B$2:$B$25)</f>
        <v>0</v>
      </c>
    </row>
    <row r="7" spans="1:3" ht="14.1" customHeight="1">
      <c r="A7" s="94">
        <v>42887</v>
      </c>
      <c r="B7" s="202">
        <v>0</v>
      </c>
      <c r="C7" s="89">
        <f>SUM(B9:$B$25)+SUM('SELIC_2019 E 2020'!$B$2:$B$25)</f>
        <v>0</v>
      </c>
    </row>
    <row r="8" spans="1:3" ht="14.1" customHeight="1">
      <c r="A8" s="93">
        <v>42917</v>
      </c>
      <c r="B8" s="202">
        <v>0</v>
      </c>
      <c r="C8" s="89">
        <f>SUM(B10:$B$25)+SUM('SELIC_2019 E 2020'!$B$2:$B$25)</f>
        <v>0</v>
      </c>
    </row>
    <row r="9" spans="1:3" ht="14.1" customHeight="1">
      <c r="A9" s="94">
        <v>42948</v>
      </c>
      <c r="B9" s="202">
        <v>0</v>
      </c>
      <c r="C9" s="89">
        <f>SUM(B11:$B$25)+SUM('SELIC_2019 E 2020'!$B$2:$B$25)</f>
        <v>0</v>
      </c>
    </row>
    <row r="10" spans="1:3" ht="14.1" customHeight="1">
      <c r="A10" s="93">
        <v>42979</v>
      </c>
      <c r="B10" s="202">
        <v>0</v>
      </c>
      <c r="C10" s="89">
        <f>SUM(B12:$B$25)+SUM('SELIC_2019 E 2020'!$B$2:$B$25)</f>
        <v>0</v>
      </c>
    </row>
    <row r="11" spans="1:3" ht="14.1" customHeight="1">
      <c r="A11" s="94">
        <v>43009</v>
      </c>
      <c r="B11" s="202">
        <v>0</v>
      </c>
      <c r="C11" s="89">
        <f>SUM(B13:$B$25)+SUM('SELIC_2019 E 2020'!$B$2:$B$25)</f>
        <v>0</v>
      </c>
    </row>
    <row r="12" spans="1:3" ht="14.1" customHeight="1">
      <c r="A12" s="93">
        <v>43040</v>
      </c>
      <c r="B12" s="202">
        <v>0</v>
      </c>
      <c r="C12" s="89">
        <f>SUM(B14:$B$25)+SUM('SELIC_2019 E 2020'!$B$2:$B$25)</f>
        <v>0</v>
      </c>
    </row>
    <row r="13" spans="1:3" ht="14.1" customHeight="1">
      <c r="A13" s="94">
        <v>43070</v>
      </c>
      <c r="B13" s="202">
        <v>0</v>
      </c>
      <c r="C13" s="89">
        <f>SUM(B15:$B$25)+SUM('SELIC_2019 E 2020'!$B$2:$B$25)</f>
        <v>0</v>
      </c>
    </row>
    <row r="14" spans="1:3" ht="14.1" customHeight="1">
      <c r="A14" s="93">
        <v>43101</v>
      </c>
      <c r="B14" s="202">
        <v>0</v>
      </c>
      <c r="C14" s="89">
        <f>SUM(B16:$B$25)+SUM('SELIC_2019 E 2020'!$B$2:$B$25)</f>
        <v>0</v>
      </c>
    </row>
    <row r="15" spans="1:3" ht="14.1" customHeight="1">
      <c r="A15" s="94">
        <v>43132</v>
      </c>
      <c r="B15" s="202">
        <v>0</v>
      </c>
      <c r="C15" s="89">
        <f>SUM(B17:$B$25)+SUM('SELIC_2019 E 2020'!$B$2:$B$25)</f>
        <v>0</v>
      </c>
    </row>
    <row r="16" spans="1:3" ht="14.1" customHeight="1">
      <c r="A16" s="93">
        <v>43160</v>
      </c>
      <c r="B16" s="202">
        <v>0</v>
      </c>
      <c r="C16" s="89">
        <f>SUM(B18:$B$25)+SUM('SELIC_2019 E 2020'!$B$2:$B$25)</f>
        <v>0</v>
      </c>
    </row>
    <row r="17" spans="1:3" ht="14.1" customHeight="1">
      <c r="A17" s="94">
        <v>43191</v>
      </c>
      <c r="B17" s="202">
        <v>0</v>
      </c>
      <c r="C17" s="89">
        <f>SUM(B19:$B$25)+SUM('SELIC_2019 E 2020'!$B$2:$B$25)</f>
        <v>0</v>
      </c>
    </row>
    <row r="18" spans="1:3" ht="14.1" customHeight="1">
      <c r="A18" s="93">
        <v>43221</v>
      </c>
      <c r="B18" s="202">
        <v>0</v>
      </c>
      <c r="C18" s="89">
        <f>SUM(B20:$B$25)+SUM('SELIC_2019 E 2020'!$B$2:$B$25)</f>
        <v>0</v>
      </c>
    </row>
    <row r="19" spans="1:3" ht="14.1" customHeight="1">
      <c r="A19" s="94">
        <v>43252</v>
      </c>
      <c r="B19" s="202">
        <v>0</v>
      </c>
      <c r="C19" s="89">
        <f>SUM(B21:$B$25)+SUM('SELIC_2019 E 2020'!$B$2:$B$25)</f>
        <v>0</v>
      </c>
    </row>
    <row r="20" spans="1:3" ht="14.1" customHeight="1">
      <c r="A20" s="93">
        <v>43282</v>
      </c>
      <c r="B20" s="202">
        <v>0</v>
      </c>
      <c r="C20" s="89">
        <f>SUM(B22:$B$25)+SUM('SELIC_2019 E 2020'!$B$2:$B$25)</f>
        <v>0</v>
      </c>
    </row>
    <row r="21" spans="1:3" ht="14.1" customHeight="1">
      <c r="A21" s="94">
        <v>43313</v>
      </c>
      <c r="B21" s="202">
        <v>0</v>
      </c>
      <c r="C21" s="89">
        <f>SUM(B23:$B$25)+SUM('SELIC_2019 E 2020'!$B$2:$B$25)</f>
        <v>0</v>
      </c>
    </row>
    <row r="22" spans="1:3" ht="14.1" customHeight="1">
      <c r="A22" s="93">
        <v>43344</v>
      </c>
      <c r="B22" s="202">
        <v>0</v>
      </c>
      <c r="C22" s="89">
        <f>SUM(B24:$B$25)+SUM('SELIC_2019 E 2020'!$B$2:$B$25)</f>
        <v>0</v>
      </c>
    </row>
    <row r="23" spans="1:3" ht="14.1" customHeight="1">
      <c r="A23" s="94">
        <v>43374</v>
      </c>
      <c r="B23" s="202">
        <v>0</v>
      </c>
      <c r="C23" s="89">
        <f>SUM(B25:$B$25)+SUM('SELIC_2019 E 2020'!$B$2:$B$25)</f>
        <v>0</v>
      </c>
    </row>
    <row r="24" spans="1:3" ht="14.1" customHeight="1">
      <c r="A24" s="93">
        <v>43405</v>
      </c>
      <c r="B24" s="202">
        <v>0</v>
      </c>
      <c r="C24" s="89">
        <f>SUM(B$26:$B26)+SUM('SELIC_2019 E 2020'!$B$2:$B$25)</f>
        <v>0</v>
      </c>
    </row>
    <row r="25" spans="1:3" ht="14.1" customHeight="1">
      <c r="A25" s="94">
        <v>43435</v>
      </c>
      <c r="B25" s="202">
        <v>0</v>
      </c>
      <c r="C25" s="89">
        <f>SUM(B$26:$B27)+SUM('SELIC_2019 E 2020'!$B$3:$B$25)</f>
        <v>0</v>
      </c>
    </row>
  </sheetData>
  <sheetProtection password="CFCD" sheet="1" objects="1" scenario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2" max="2" width="13.5703125" bestFit="1" customWidth="1"/>
  </cols>
  <sheetData>
    <row r="1" spans="1:3" ht="15.75" thickBot="1">
      <c r="A1" s="90" t="s">
        <v>25</v>
      </c>
      <c r="B1" s="90" t="s">
        <v>38</v>
      </c>
      <c r="C1" s="90" t="s">
        <v>39</v>
      </c>
    </row>
    <row r="2" spans="1:3" ht="14.1" customHeight="1">
      <c r="A2" s="93">
        <v>43466</v>
      </c>
      <c r="B2" s="203">
        <v>0</v>
      </c>
      <c r="C2" s="92">
        <f>SUM(B4:$B$25)</f>
        <v>0</v>
      </c>
    </row>
    <row r="3" spans="1:3" ht="14.1" customHeight="1">
      <c r="A3" s="94">
        <v>43497</v>
      </c>
      <c r="B3" s="202">
        <v>0</v>
      </c>
      <c r="C3" s="89">
        <f>SUM(B5:$B$25)</f>
        <v>0</v>
      </c>
    </row>
    <row r="4" spans="1:3" ht="14.1" customHeight="1">
      <c r="A4" s="93">
        <v>43525</v>
      </c>
      <c r="B4" s="202">
        <v>0</v>
      </c>
      <c r="C4" s="89">
        <f>SUM(B6:$B$25)</f>
        <v>0</v>
      </c>
    </row>
    <row r="5" spans="1:3" ht="14.1" customHeight="1">
      <c r="A5" s="94">
        <v>43556</v>
      </c>
      <c r="B5" s="202">
        <v>0</v>
      </c>
      <c r="C5" s="89">
        <f>SUM(B7:$B$25)</f>
        <v>0</v>
      </c>
    </row>
    <row r="6" spans="1:3" ht="14.1" customHeight="1">
      <c r="A6" s="93">
        <v>43586</v>
      </c>
      <c r="B6" s="202">
        <v>0</v>
      </c>
      <c r="C6" s="89">
        <f>SUM(B8:$B$25)</f>
        <v>0</v>
      </c>
    </row>
    <row r="7" spans="1:3" ht="14.1" customHeight="1">
      <c r="A7" s="94">
        <v>43617</v>
      </c>
      <c r="B7" s="202">
        <v>0</v>
      </c>
      <c r="C7" s="89">
        <f>SUM(B9:$B$25)</f>
        <v>0</v>
      </c>
    </row>
    <row r="8" spans="1:3" ht="14.1" customHeight="1">
      <c r="A8" s="93">
        <v>43647</v>
      </c>
      <c r="B8" s="202">
        <v>0</v>
      </c>
      <c r="C8" s="89">
        <f>SUM(B10:$B$25)</f>
        <v>0</v>
      </c>
    </row>
    <row r="9" spans="1:3" ht="14.1" customHeight="1">
      <c r="A9" s="94">
        <v>43678</v>
      </c>
      <c r="B9" s="202">
        <v>0</v>
      </c>
      <c r="C9" s="89">
        <f>SUM(B11:$B$25)</f>
        <v>0</v>
      </c>
    </row>
    <row r="10" spans="1:3" ht="14.1" customHeight="1">
      <c r="A10" s="93">
        <v>43709</v>
      </c>
      <c r="B10" s="202">
        <v>0</v>
      </c>
      <c r="C10" s="89">
        <f>SUM(B12:$B$25)</f>
        <v>0</v>
      </c>
    </row>
    <row r="11" spans="1:3" ht="14.1" customHeight="1">
      <c r="A11" s="94">
        <v>43739</v>
      </c>
      <c r="B11" s="202">
        <v>0</v>
      </c>
      <c r="C11" s="89">
        <f>SUM(B13:$B$25)</f>
        <v>0</v>
      </c>
    </row>
    <row r="12" spans="1:3" ht="14.1" customHeight="1">
      <c r="A12" s="93">
        <v>43770</v>
      </c>
      <c r="B12" s="202">
        <v>0</v>
      </c>
      <c r="C12" s="89">
        <f>SUM(B14:$B$25)</f>
        <v>0</v>
      </c>
    </row>
    <row r="13" spans="1:3" ht="14.1" customHeight="1">
      <c r="A13" s="94">
        <v>43800</v>
      </c>
      <c r="B13" s="202">
        <v>0</v>
      </c>
      <c r="C13" s="89">
        <f>SUM(B15:$B$25)</f>
        <v>0</v>
      </c>
    </row>
    <row r="14" spans="1:3" ht="14.1" customHeight="1">
      <c r="A14" s="93">
        <v>43831</v>
      </c>
      <c r="B14" s="202">
        <v>0</v>
      </c>
      <c r="C14" s="89">
        <f>SUM(B16:$B$25)</f>
        <v>0</v>
      </c>
    </row>
    <row r="15" spans="1:3" ht="14.1" customHeight="1">
      <c r="A15" s="94">
        <v>43862</v>
      </c>
      <c r="B15" s="202">
        <v>0</v>
      </c>
      <c r="C15" s="89">
        <f>SUM(B17:$B$25)</f>
        <v>0</v>
      </c>
    </row>
    <row r="16" spans="1:3" ht="14.1" customHeight="1">
      <c r="A16" s="93">
        <v>43891</v>
      </c>
      <c r="B16" s="202">
        <v>0</v>
      </c>
      <c r="C16" s="89">
        <f>SUM(B18:$B$25)</f>
        <v>0</v>
      </c>
    </row>
    <row r="17" spans="1:3" ht="14.1" customHeight="1">
      <c r="A17" s="94">
        <v>43922</v>
      </c>
      <c r="B17" s="202">
        <v>0</v>
      </c>
      <c r="C17" s="89">
        <f>SUM(B19:$B$25)</f>
        <v>0</v>
      </c>
    </row>
    <row r="18" spans="1:3" ht="14.1" customHeight="1">
      <c r="A18" s="93">
        <v>43952</v>
      </c>
      <c r="B18" s="202">
        <v>0</v>
      </c>
      <c r="C18" s="89">
        <f>SUM(B20:$B$25)</f>
        <v>0</v>
      </c>
    </row>
    <row r="19" spans="1:3" ht="14.1" customHeight="1">
      <c r="A19" s="94">
        <v>43983</v>
      </c>
      <c r="B19" s="202">
        <v>0</v>
      </c>
      <c r="C19" s="89">
        <f>SUM(B21:$B$25)</f>
        <v>0</v>
      </c>
    </row>
    <row r="20" spans="1:3" ht="14.1" customHeight="1">
      <c r="A20" s="93">
        <v>44013</v>
      </c>
      <c r="B20" s="202">
        <v>0</v>
      </c>
      <c r="C20" s="89">
        <f>SUM(B22:$B$25)</f>
        <v>0</v>
      </c>
    </row>
    <row r="21" spans="1:3" ht="14.1" customHeight="1">
      <c r="A21" s="94">
        <v>44044</v>
      </c>
      <c r="B21" s="202">
        <v>0</v>
      </c>
      <c r="C21" s="89">
        <f>SUM(B23:$B$25)</f>
        <v>0</v>
      </c>
    </row>
    <row r="22" spans="1:3" ht="14.1" customHeight="1">
      <c r="A22" s="93">
        <v>44075</v>
      </c>
      <c r="B22" s="202">
        <v>0</v>
      </c>
      <c r="C22" s="89">
        <f>SUM(B24:$B$25)</f>
        <v>0</v>
      </c>
    </row>
    <row r="23" spans="1:3" ht="14.1" customHeight="1">
      <c r="A23" s="94">
        <v>44105</v>
      </c>
      <c r="B23" s="202">
        <v>0</v>
      </c>
      <c r="C23" s="89">
        <f>SUM(B25:$B$25)</f>
        <v>0</v>
      </c>
    </row>
    <row r="24" spans="1:3" ht="14.1" customHeight="1">
      <c r="A24" s="93">
        <v>44136</v>
      </c>
      <c r="B24" s="202">
        <v>0</v>
      </c>
      <c r="C24" s="89">
        <f>SUM(B$26:$B26)</f>
        <v>0</v>
      </c>
    </row>
    <row r="25" spans="1:3" ht="14.1" customHeight="1">
      <c r="A25" s="94">
        <v>44166</v>
      </c>
      <c r="B25" s="202">
        <v>0</v>
      </c>
      <c r="C25" s="89">
        <f>SUM(B$26:$B27)</f>
        <v>0</v>
      </c>
    </row>
  </sheetData>
  <sheetProtection password="CFCD" sheet="1" objects="1" scenario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2" max="2" width="13.5703125" bestFit="1" customWidth="1"/>
  </cols>
  <sheetData>
    <row r="1" spans="1:3" ht="15.75" thickBot="1">
      <c r="A1" s="90" t="s">
        <v>25</v>
      </c>
      <c r="B1" s="90" t="s">
        <v>38</v>
      </c>
      <c r="C1" s="90" t="s">
        <v>39</v>
      </c>
    </row>
    <row r="2" spans="1:3" ht="14.1" customHeight="1">
      <c r="A2" s="31">
        <v>42005</v>
      </c>
      <c r="B2" s="87">
        <v>9.4000000000000004E-3</v>
      </c>
      <c r="C2" s="89">
        <f>SUM(B4:B25)+SUM(SELIC_2017_2018!$B$2:$B$25)+SUM('SELIC_2019 E 2020'!$B$2:$B$25)</f>
        <v>0.26989999999999997</v>
      </c>
    </row>
    <row r="3" spans="1:3" ht="14.1" customHeight="1">
      <c r="A3" s="88">
        <v>42036</v>
      </c>
      <c r="B3" s="87">
        <v>8.2000000000000007E-3</v>
      </c>
      <c r="C3" s="89">
        <f>SUM(B5:B26)+SUM(SELIC_2017_2018!$B$2:$B$25)+SUM('SELIC_2019 E 2020'!$B$2:$B$25)</f>
        <v>0.25949999999999995</v>
      </c>
    </row>
    <row r="4" spans="1:3" ht="14.1" customHeight="1">
      <c r="A4" s="31">
        <v>42064</v>
      </c>
      <c r="B4" s="87">
        <v>1.04E-2</v>
      </c>
      <c r="C4" s="89">
        <f>SUM(B6:B27)+SUM(SELIC_2017_2018!$B$2:$B$25)+SUM('SELIC_2019 E 2020'!$B$2:$B$25)</f>
        <v>0.24999999999999994</v>
      </c>
    </row>
    <row r="5" spans="1:3" ht="14.1" customHeight="1">
      <c r="A5" s="88">
        <v>42095</v>
      </c>
      <c r="B5" s="87">
        <v>9.4999999999999998E-3</v>
      </c>
      <c r="C5" s="89">
        <f>SUM(B7:B28)+SUM(SELIC_2017_2018!$B$2:$B$25)+SUM('SELIC_2019 E 2020'!$B$2:$B$25)</f>
        <v>0.24009999999999998</v>
      </c>
    </row>
    <row r="6" spans="1:3" ht="14.1" customHeight="1">
      <c r="A6" s="31">
        <v>42125</v>
      </c>
      <c r="B6" s="87">
        <v>9.9000000000000008E-3</v>
      </c>
      <c r="C6" s="89">
        <f>SUM(B8:B29)+SUM(SELIC_2017_2018!$B$2:$B$25)+SUM('SELIC_2019 E 2020'!$B$2:$B$25)</f>
        <v>0.22939999999999994</v>
      </c>
    </row>
    <row r="7" spans="1:3" ht="14.1" customHeight="1">
      <c r="A7" s="88">
        <v>42156</v>
      </c>
      <c r="B7" s="87">
        <v>1.0699999999999999E-2</v>
      </c>
      <c r="C7" s="89">
        <f>SUM(B9:B30)+SUM(SELIC_2017_2018!$B$2:$B$25)+SUM('SELIC_2019 E 2020'!$B$2:$B$25)</f>
        <v>0.21759999999999996</v>
      </c>
    </row>
    <row r="8" spans="1:3" ht="14.1" customHeight="1">
      <c r="A8" s="31">
        <v>42186</v>
      </c>
      <c r="B8" s="87">
        <v>1.18E-2</v>
      </c>
      <c r="C8" s="89">
        <f>SUM(B10:B31)+SUM(SELIC_2017_2018!$B$2:$B$25)+SUM('SELIC_2019 E 2020'!$B$2:$B$25)</f>
        <v>0.20649999999999996</v>
      </c>
    </row>
    <row r="9" spans="1:3" ht="14.1" customHeight="1">
      <c r="A9" s="88">
        <v>42217</v>
      </c>
      <c r="B9" s="87">
        <v>1.11E-2</v>
      </c>
      <c r="C9" s="89">
        <f>SUM(B11:B32)+SUM(SELIC_2017_2018!$B$2:$B$25)+SUM('SELIC_2019 E 2020'!$B$2:$B$25)</f>
        <v>0.19540000000000002</v>
      </c>
    </row>
    <row r="10" spans="1:3" ht="14.1" customHeight="1">
      <c r="A10" s="31">
        <v>42248</v>
      </c>
      <c r="B10" s="87">
        <v>1.11E-2</v>
      </c>
      <c r="C10" s="89">
        <f>SUM(B12:B33)+SUM(SELIC_2017_2018!$B$2:$B$25)+SUM('SELIC_2019 E 2020'!$B$2:$B$25)</f>
        <v>0.18429999999999996</v>
      </c>
    </row>
    <row r="11" spans="1:3" ht="14.1" customHeight="1">
      <c r="A11" s="88">
        <v>42278</v>
      </c>
      <c r="B11" s="87">
        <v>1.11E-2</v>
      </c>
      <c r="C11" s="89">
        <f>SUM(B13:B34)+SUM(SELIC_2017_2018!$B$2:$B$25)+SUM('SELIC_2019 E 2020'!$B$2:$B$25)</f>
        <v>0.17369999999999997</v>
      </c>
    </row>
    <row r="12" spans="1:3" ht="14.1" customHeight="1">
      <c r="A12" s="31">
        <v>42309</v>
      </c>
      <c r="B12" s="87">
        <v>1.06E-2</v>
      </c>
      <c r="C12" s="89">
        <f>SUM(B14:B35)+SUM(SELIC_2017_2018!$B$2:$B$25)+SUM('SELIC_2019 E 2020'!$B$2:$B$25)</f>
        <v>0.16209999999999997</v>
      </c>
    </row>
    <row r="13" spans="1:3" ht="14.1" customHeight="1">
      <c r="A13" s="88">
        <v>42339</v>
      </c>
      <c r="B13" s="87">
        <v>1.1599999999999999E-2</v>
      </c>
      <c r="C13" s="89">
        <f>SUM(B15:B36)+SUM(SELIC_2017_2018!$B$2:$B$25)+SUM('SELIC_2019 E 2020'!$B$2:$B$25)</f>
        <v>0.1515</v>
      </c>
    </row>
    <row r="14" spans="1:3" ht="14.1" customHeight="1">
      <c r="A14" s="31">
        <v>42370</v>
      </c>
      <c r="B14" s="87">
        <v>1.06E-2</v>
      </c>
      <c r="C14" s="89">
        <f>SUM(B16:B37)+SUM(SELIC_2017_2018!$B$2:$B$25)+SUM('SELIC_2019 E 2020'!$B$2:$B$25)</f>
        <v>0.14149999999999999</v>
      </c>
    </row>
    <row r="15" spans="1:3" ht="14.1" customHeight="1">
      <c r="A15" s="88">
        <v>42401</v>
      </c>
      <c r="B15" s="87">
        <v>0.01</v>
      </c>
      <c r="C15" s="89">
        <f>SUM(B17:B38)+SUM(SELIC_2017_2018!$B$2:$B$25)+SUM('SELIC_2019 E 2020'!$B$2:$B$25)</f>
        <v>0.12989999999999999</v>
      </c>
    </row>
    <row r="16" spans="1:3" ht="14.1" customHeight="1">
      <c r="A16" s="31">
        <v>42430</v>
      </c>
      <c r="B16" s="87">
        <v>1.1599999999999999E-2</v>
      </c>
      <c r="C16" s="89">
        <f>SUM(B18:B39)+SUM(SELIC_2017_2018!$B$2:$B$25)+SUM('SELIC_2019 E 2020'!$B$2:$B$25)</f>
        <v>0.11929999999999999</v>
      </c>
    </row>
    <row r="17" spans="1:3" ht="14.1" customHeight="1">
      <c r="A17" s="88">
        <v>42461</v>
      </c>
      <c r="B17" s="87">
        <v>1.06E-2</v>
      </c>
      <c r="C17" s="89">
        <f>SUM(B19:B40)+SUM(SELIC_2017_2018!$B$2:$B$25)+SUM('SELIC_2019 E 2020'!$B$2:$B$25)</f>
        <v>0.1082</v>
      </c>
    </row>
    <row r="18" spans="1:3" ht="14.1" customHeight="1">
      <c r="A18" s="31">
        <v>42491</v>
      </c>
      <c r="B18" s="87">
        <v>1.11E-2</v>
      </c>
      <c r="C18" s="89">
        <f>SUM(B20:B41)+SUM(SELIC_2017_2018!$B$2:$B$25)+SUM('SELIC_2019 E 2020'!$B$2:$B$25)</f>
        <v>9.6600000000000005E-2</v>
      </c>
    </row>
    <row r="19" spans="1:3" ht="14.1" customHeight="1">
      <c r="A19" s="88">
        <v>42522</v>
      </c>
      <c r="B19" s="87">
        <v>1.1599999999999999E-2</v>
      </c>
      <c r="C19" s="89">
        <f>SUM(B21:B42)+SUM(SELIC_2017_2018!$B$2:$B$25)+SUM('SELIC_2019 E 2020'!$B$2:$B$25)</f>
        <v>8.5500000000000007E-2</v>
      </c>
    </row>
    <row r="20" spans="1:3" ht="14.1" customHeight="1">
      <c r="A20" s="31">
        <v>42552</v>
      </c>
      <c r="B20" s="87">
        <v>1.11E-2</v>
      </c>
      <c r="C20" s="89">
        <f>SUM(B22:B43)+SUM(SELIC_2017_2018!$B$2:$B$25)+SUM('SELIC_2019 E 2020'!$B$2:$B$25)</f>
        <v>7.3300000000000004E-2</v>
      </c>
    </row>
    <row r="21" spans="1:3" ht="14.1" customHeight="1">
      <c r="A21" s="88">
        <v>42583</v>
      </c>
      <c r="B21" s="87">
        <v>1.2200000000000001E-2</v>
      </c>
      <c r="C21" s="89">
        <f>SUM(B23:B44)+SUM(SELIC_2017_2018!$B$2:$B$25)+SUM('SELIC_2019 E 2020'!$B$2:$B$25)</f>
        <v>6.2200000000000005E-2</v>
      </c>
    </row>
    <row r="22" spans="1:3" ht="14.1" customHeight="1">
      <c r="A22" s="31">
        <v>42614</v>
      </c>
      <c r="B22" s="87">
        <v>1.11E-2</v>
      </c>
      <c r="C22" s="89">
        <f>SUM(B24:B45)+SUM(SELIC_2017_2018!$B$2:$B$25)+SUM('SELIC_2019 E 2020'!$B$2:$B$25)</f>
        <v>5.1700000000000003E-2</v>
      </c>
    </row>
    <row r="23" spans="1:3" ht="14.1" customHeight="1">
      <c r="A23" s="88">
        <v>42644</v>
      </c>
      <c r="B23" s="87">
        <v>1.0500000000000001E-2</v>
      </c>
      <c r="C23" s="89">
        <f>SUM(B25:B46)+SUM(SELIC_2017_2018!$B$2:$B$25)+SUM('SELIC_2019 E 2020'!$B$2:$B$25)</f>
        <v>4.1300000000000003E-2</v>
      </c>
    </row>
    <row r="24" spans="1:3" ht="14.1" customHeight="1">
      <c r="A24" s="31">
        <v>42675</v>
      </c>
      <c r="B24" s="87">
        <v>1.04E-2</v>
      </c>
      <c r="C24" s="89">
        <f>SUM(B26:B47)+SUM(SELIC_2017_2018!$B$2:$B$25)+SUM('SELIC_2019 E 2020'!$B$2:$B$25)</f>
        <v>3.0100000000000002E-2</v>
      </c>
    </row>
    <row r="25" spans="1:3" ht="14.1" customHeight="1">
      <c r="A25" s="88">
        <v>42705</v>
      </c>
      <c r="B25" s="87">
        <v>1.12E-2</v>
      </c>
      <c r="C25" s="89">
        <f>SUM(B27:B48)+SUM(SELIC_2017_2018!$B$3:$B$25)+SUM('SELIC_2019 E 2020'!$B$2:$B$25)</f>
        <v>1.9200000000000002E-2</v>
      </c>
    </row>
  </sheetData>
  <sheetProtection password="CFCD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22" sqref="C22"/>
    </sheetView>
  </sheetViews>
  <sheetFormatPr defaultRowHeight="15"/>
  <cols>
    <col min="2" max="2" width="13.5703125" bestFit="1" customWidth="1"/>
  </cols>
  <sheetData>
    <row r="1" spans="1:3" ht="15.75" thickBot="1">
      <c r="A1" s="90" t="s">
        <v>25</v>
      </c>
      <c r="B1" s="90" t="s">
        <v>38</v>
      </c>
      <c r="C1" s="90" t="s">
        <v>39</v>
      </c>
    </row>
    <row r="2" spans="1:3" ht="14.1" customHeight="1">
      <c r="A2" s="31">
        <v>41275</v>
      </c>
      <c r="B2" s="87">
        <v>6.0000000000000001E-3</v>
      </c>
      <c r="C2" s="89">
        <f>SUM(B4:B25)+SUM(SELIC_2015_2016!$B$2:$B$25)+SUM(SELIC_2017_2018!$B$2:$B$25)+SUM('SELIC_2019 E 2020'!$B$2:$B$25)</f>
        <v>0.45979999999999999</v>
      </c>
    </row>
    <row r="3" spans="1:3" ht="14.1" customHeight="1">
      <c r="A3" s="88">
        <v>41306</v>
      </c>
      <c r="B3" s="87">
        <v>4.8999999999999998E-3</v>
      </c>
      <c r="C3" s="89">
        <f>SUM(B5:B26)+SUM(SELIC_2015_2016!$B$2:$B$25)+SUM(SELIC_2017_2018!$B$2:$B$25)+SUM('SELIC_2019 E 2020'!$B$2:$B$25)</f>
        <v>0.45430000000000004</v>
      </c>
    </row>
    <row r="4" spans="1:3" ht="14.1" customHeight="1">
      <c r="A4" s="31">
        <v>41334</v>
      </c>
      <c r="B4" s="87">
        <v>5.4999999999999997E-3</v>
      </c>
      <c r="C4" s="89">
        <f>SUM(B6:B27)+SUM(SELIC_2015_2016!$B$2:$B$25)+SUM(SELIC_2017_2018!$B$2:$B$25)+SUM('SELIC_2019 E 2020'!$B$2:$B$25)</f>
        <v>0.44820000000000004</v>
      </c>
    </row>
    <row r="5" spans="1:3" ht="14.1" customHeight="1">
      <c r="A5" s="88">
        <v>41365</v>
      </c>
      <c r="B5" s="87">
        <v>6.1000000000000004E-3</v>
      </c>
      <c r="C5" s="89">
        <f>SUM(B7:B28)+SUM(SELIC_2015_2016!$B$2:$B$25)+SUM(SELIC_2017_2018!$B$2:$B$25)+SUM('SELIC_2019 E 2020'!$B$2:$B$25)</f>
        <v>0.44220000000000004</v>
      </c>
    </row>
    <row r="6" spans="1:3" ht="14.1" customHeight="1">
      <c r="A6" s="31">
        <v>41395</v>
      </c>
      <c r="B6" s="87">
        <v>6.0000000000000001E-3</v>
      </c>
      <c r="C6" s="89">
        <f>SUM(B8:B29)+SUM(SELIC_2015_2016!$B$2:$B$25)+SUM(SELIC_2017_2018!$B$2:$B$25)+SUM('SELIC_2019 E 2020'!$B$2:$B$25)</f>
        <v>0.43610000000000004</v>
      </c>
    </row>
    <row r="7" spans="1:3" ht="14.1" customHeight="1">
      <c r="A7" s="88">
        <v>41426</v>
      </c>
      <c r="B7" s="87">
        <v>6.1000000000000004E-3</v>
      </c>
      <c r="C7" s="89">
        <f>SUM(B9:B30)+SUM(SELIC_2015_2016!$B$2:$B$25)+SUM(SELIC_2017_2018!$B$2:$B$25)+SUM('SELIC_2019 E 2020'!$B$2:$B$25)</f>
        <v>0.4289</v>
      </c>
    </row>
    <row r="8" spans="1:3" ht="14.1" customHeight="1">
      <c r="A8" s="31">
        <v>41456</v>
      </c>
      <c r="B8" s="87">
        <v>7.1999999999999998E-3</v>
      </c>
      <c r="C8" s="89">
        <f>SUM(B10:B31)+SUM(SELIC_2015_2016!$B$2:$B$25)+SUM(SELIC_2017_2018!$B$2:$B$25)+SUM('SELIC_2019 E 2020'!$B$2:$B$25)</f>
        <v>0.42180000000000006</v>
      </c>
    </row>
    <row r="9" spans="1:3" ht="14.1" customHeight="1">
      <c r="A9" s="88">
        <v>41487</v>
      </c>
      <c r="B9" s="87">
        <v>7.1000000000000004E-3</v>
      </c>
      <c r="C9" s="89">
        <f>SUM(B11:B32)+SUM(SELIC_2015_2016!$B$2:$B$25)+SUM(SELIC_2017_2018!$B$2:$B$25)+SUM('SELIC_2019 E 2020'!$B$2:$B$25)</f>
        <v>0.41470000000000001</v>
      </c>
    </row>
    <row r="10" spans="1:3" ht="14.1" customHeight="1">
      <c r="A10" s="31">
        <v>41518</v>
      </c>
      <c r="B10" s="87">
        <v>7.1000000000000004E-3</v>
      </c>
      <c r="C10" s="89">
        <f>SUM(B12:B33)+SUM(SELIC_2015_2016!$B$2:$B$25)+SUM(SELIC_2017_2018!$B$2:$B$25)+SUM('SELIC_2019 E 2020'!$B$2:$B$25)</f>
        <v>0.40660000000000002</v>
      </c>
    </row>
    <row r="11" spans="1:3" ht="14.1" customHeight="1">
      <c r="A11" s="88">
        <v>41548</v>
      </c>
      <c r="B11" s="87">
        <v>8.0999999999999996E-3</v>
      </c>
      <c r="C11" s="89">
        <f>SUM(B13:B34)+SUM(SELIC_2015_2016!$B$2:$B$25)+SUM(SELIC_2017_2018!$B$2:$B$25)+SUM('SELIC_2019 E 2020'!$B$2:$B$25)</f>
        <v>0.39940000000000003</v>
      </c>
    </row>
    <row r="12" spans="1:3" ht="14.1" customHeight="1">
      <c r="A12" s="31">
        <v>41579</v>
      </c>
      <c r="B12" s="87">
        <v>7.1999999999999998E-3</v>
      </c>
      <c r="C12" s="89">
        <f>SUM(B14:B35)+SUM(SELIC_2015_2016!$B$2:$B$25)+SUM(SELIC_2017_2018!$B$2:$B$25)+SUM('SELIC_2019 E 2020'!$B$2:$B$25)</f>
        <v>0.39150000000000001</v>
      </c>
    </row>
    <row r="13" spans="1:3" ht="14.1" customHeight="1">
      <c r="A13" s="88">
        <v>41609</v>
      </c>
      <c r="B13" s="87">
        <v>7.9000000000000008E-3</v>
      </c>
      <c r="C13" s="89">
        <f>SUM(B15:B36)+SUM(SELIC_2015_2016!$B$2:$B$25)+SUM(SELIC_2017_2018!$B$2:$B$25)+SUM('SELIC_2019 E 2020'!$B$2:$B$25)</f>
        <v>0.38300000000000001</v>
      </c>
    </row>
    <row r="14" spans="1:3" ht="14.1" customHeight="1">
      <c r="A14" s="31">
        <v>41640</v>
      </c>
      <c r="B14" s="87">
        <v>8.5000000000000006E-3</v>
      </c>
      <c r="C14" s="89">
        <f>SUM(B16:B37)+SUM(SELIC_2015_2016!$B$2:$B$25)+SUM(SELIC_2017_2018!$B$2:$B$25)+SUM('SELIC_2019 E 2020'!$B$2:$B$25)</f>
        <v>0.37510000000000004</v>
      </c>
    </row>
    <row r="15" spans="1:3" ht="14.1" customHeight="1">
      <c r="A15" s="88">
        <v>41671</v>
      </c>
      <c r="B15" s="87">
        <v>7.9000000000000008E-3</v>
      </c>
      <c r="C15" s="89">
        <f>SUM(B17:B38)+SUM(SELIC_2015_2016!$B$2:$B$25)+SUM(SELIC_2017_2018!$B$2:$B$25)+SUM('SELIC_2019 E 2020'!$B$2:$B$25)</f>
        <v>0.36740000000000006</v>
      </c>
    </row>
    <row r="16" spans="1:3" ht="14.1" customHeight="1">
      <c r="A16" s="31">
        <v>41699</v>
      </c>
      <c r="B16" s="87">
        <v>7.7000000000000002E-3</v>
      </c>
      <c r="C16" s="89">
        <f>SUM(B18:B39)+SUM(SELIC_2015_2016!$B$2:$B$25)+SUM(SELIC_2017_2018!$B$2:$B$25)+SUM('SELIC_2019 E 2020'!$B$2:$B$25)</f>
        <v>0.35920000000000002</v>
      </c>
    </row>
    <row r="17" spans="1:3" ht="14.1" customHeight="1">
      <c r="A17" s="88">
        <v>41730</v>
      </c>
      <c r="B17" s="87">
        <v>8.2000000000000007E-3</v>
      </c>
      <c r="C17" s="89">
        <f>SUM(B19:B40)+SUM(SELIC_2015_2016!$B$2:$B$25)+SUM(SELIC_2017_2018!$B$2:$B$25)+SUM('SELIC_2019 E 2020'!$B$2:$B$25)</f>
        <v>0.35050000000000003</v>
      </c>
    </row>
    <row r="18" spans="1:3" ht="14.1" customHeight="1">
      <c r="A18" s="31">
        <v>41760</v>
      </c>
      <c r="B18" s="87">
        <v>8.6999999999999994E-3</v>
      </c>
      <c r="C18" s="89">
        <f>SUM(B20:B41)+SUM(SELIC_2015_2016!$B$2:$B$25)+SUM(SELIC_2017_2018!$B$2:$B$25)+SUM('SELIC_2019 E 2020'!$B$2:$B$25)</f>
        <v>0.34230000000000005</v>
      </c>
    </row>
    <row r="19" spans="1:3" ht="14.1" customHeight="1">
      <c r="A19" s="88">
        <v>41791</v>
      </c>
      <c r="B19" s="87">
        <v>8.2000000000000007E-3</v>
      </c>
      <c r="C19" s="89">
        <f>SUM(B21:B42)+SUM(SELIC_2015_2016!$B$2:$B$25)+SUM(SELIC_2017_2018!$B$2:$B$25)+SUM('SELIC_2019 E 2020'!$B$2:$B$25)</f>
        <v>0.33280000000000004</v>
      </c>
    </row>
    <row r="20" spans="1:3" ht="14.1" customHeight="1">
      <c r="A20" s="31">
        <v>41821</v>
      </c>
      <c r="B20" s="87">
        <v>9.4999999999999998E-3</v>
      </c>
      <c r="C20" s="89">
        <f>SUM(B22:B43)+SUM(SELIC_2015_2016!$B$2:$B$25)+SUM(SELIC_2017_2018!$B$2:$B$25)+SUM('SELIC_2019 E 2020'!$B$2:$B$25)</f>
        <v>0.32410000000000005</v>
      </c>
    </row>
    <row r="21" spans="1:3" ht="14.1" customHeight="1">
      <c r="A21" s="88">
        <v>41852</v>
      </c>
      <c r="B21" s="87">
        <v>8.6999999999999994E-3</v>
      </c>
      <c r="C21" s="89">
        <f>SUM(B23:B44)+SUM(SELIC_2015_2016!$B$2:$B$25)+SUM(SELIC_2017_2018!$B$2:$B$25)+SUM('SELIC_2019 E 2020'!$B$2:$B$25)</f>
        <v>0.31500000000000006</v>
      </c>
    </row>
    <row r="22" spans="1:3" ht="14.1" customHeight="1">
      <c r="A22" s="31">
        <v>41883</v>
      </c>
      <c r="B22" s="87">
        <v>9.1000000000000004E-3</v>
      </c>
      <c r="C22" s="89">
        <f>SUM(B24:B45)+SUM(SELIC_2015_2016!$B$2:$B$25)+SUM(SELIC_2017_2018!$B$2:$B$25)+SUM('SELIC_2019 E 2020'!$B$2:$B$25)</f>
        <v>0.30550000000000005</v>
      </c>
    </row>
    <row r="23" spans="1:3" ht="14.1" customHeight="1">
      <c r="A23" s="88">
        <v>41913</v>
      </c>
      <c r="B23" s="87">
        <v>9.4999999999999998E-3</v>
      </c>
      <c r="C23" s="89">
        <f>SUM(B25:B46)+SUM(SELIC_2015_2016!$B$2:$B$25)+SUM(SELIC_2017_2018!$B$2:$B$25)+SUM('SELIC_2019 E 2020'!$B$2:$B$25)</f>
        <v>0.29710000000000003</v>
      </c>
    </row>
    <row r="24" spans="1:3" ht="14.1" customHeight="1">
      <c r="A24" s="31">
        <v>41944</v>
      </c>
      <c r="B24" s="87">
        <v>8.3999999999999995E-3</v>
      </c>
      <c r="C24" s="89">
        <f>SUM(B26:B47)+SUM(SELIC_2015_2016!$B$2:$B$25)+SUM(SELIC_2017_2018!$B$2:$B$25)+SUM('SELIC_2019 E 2020'!$B$2:$B$25)</f>
        <v>0.28750000000000003</v>
      </c>
    </row>
    <row r="25" spans="1:3" ht="14.1" customHeight="1">
      <c r="A25" s="88">
        <v>41974</v>
      </c>
      <c r="B25" s="87">
        <v>9.5999999999999992E-3</v>
      </c>
      <c r="C25" s="89">
        <f>SUM(B27:B48)+SUM(SELIC_2015_2016!$B$3:$B$25)+SUM(SELIC_2017_2018!$B$2:$B$25)+SUM('SELIC_2019 E 2020'!$B$2:$B$25)</f>
        <v>0.27809999999999996</v>
      </c>
    </row>
  </sheetData>
  <sheetProtection password="CFCD" sheet="1" objects="1" scenarios="1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6" sqref="C6"/>
    </sheetView>
  </sheetViews>
  <sheetFormatPr defaultRowHeight="15"/>
  <cols>
    <col min="2" max="2" width="13.5703125" bestFit="1" customWidth="1"/>
  </cols>
  <sheetData>
    <row r="1" spans="1:3" ht="15.75" thickBot="1">
      <c r="A1" s="90" t="s">
        <v>25</v>
      </c>
      <c r="B1" s="90" t="s">
        <v>38</v>
      </c>
      <c r="C1" s="90" t="s">
        <v>39</v>
      </c>
    </row>
    <row r="2" spans="1:3" ht="14.1" customHeight="1">
      <c r="A2" s="31">
        <v>40544</v>
      </c>
      <c r="B2" s="87">
        <v>8.6E-3</v>
      </c>
      <c r="C2" s="89">
        <f>SUM(B4:B25)+SUM(SELIC_2013_2014!$B$2:$B$25)+SUM(SELIC_2015_2016!$B$2:$B$25)+SUM(SELIC_2017_2018!$B$2:$B$25)+SUM('SELIC_2019 E 2020'!$B$2:$B$25)</f>
        <v>0.64579999999999993</v>
      </c>
    </row>
    <row r="3" spans="1:3" ht="14.1" customHeight="1">
      <c r="A3" s="88">
        <v>40575</v>
      </c>
      <c r="B3" s="87">
        <v>8.3999999999999995E-3</v>
      </c>
      <c r="C3" s="89">
        <f>SUM(B5:B25)+SUM(SELIC_2013_2014!$B$2:$B$25)+SUM(SELIC_2015_2016!$B$2:$B$25)+SUM(SELIC_2017_2018!$B$2:$B$25)+SUM('SELIC_2019 E 2020'!$B$2:$B$25)</f>
        <v>0.63660000000000005</v>
      </c>
    </row>
    <row r="4" spans="1:3" ht="14.1" customHeight="1">
      <c r="A4" s="88">
        <v>40603</v>
      </c>
      <c r="B4" s="87">
        <v>9.1999999999999998E-3</v>
      </c>
      <c r="C4" s="89">
        <f>SUM(B6:B25)+SUM(SELIC_2013_2014!$B$2:$B$25)+SUM(SELIC_2015_2016!$B$2:$B$25)+SUM(SELIC_2017_2018!$B$2:$B$25)+SUM('SELIC_2019 E 2020'!$B$2:$B$25)</f>
        <v>0.62820000000000009</v>
      </c>
    </row>
    <row r="5" spans="1:3" ht="14.1" customHeight="1">
      <c r="A5" s="88">
        <v>40634</v>
      </c>
      <c r="B5" s="87">
        <v>8.3999999999999995E-3</v>
      </c>
      <c r="C5" s="89">
        <f>SUM(B7:B25)+SUM(SELIC_2013_2014!$B$2:$B$25)+SUM(SELIC_2015_2016!$B$2:$B$25)+SUM(SELIC_2017_2018!$B$2:$B$25)+SUM('SELIC_2019 E 2020'!$B$2:$B$25)</f>
        <v>0.61830000000000007</v>
      </c>
    </row>
    <row r="6" spans="1:3" ht="14.1" customHeight="1">
      <c r="A6" s="88">
        <v>40664</v>
      </c>
      <c r="B6" s="87">
        <v>9.9000000000000008E-3</v>
      </c>
      <c r="C6" s="89">
        <f>SUM(B8:B25)+SUM(SELIC_2013_2014!$B$2:$B$25)+SUM(SELIC_2015_2016!$B$2:$B$25)+SUM(SELIC_2017_2018!$B$2:$B$25)+SUM('SELIC_2019 E 2020'!$B$2:$B$25)</f>
        <v>0.60870000000000002</v>
      </c>
    </row>
    <row r="7" spans="1:3" ht="14.1" customHeight="1">
      <c r="A7" s="88">
        <v>40695</v>
      </c>
      <c r="B7" s="87">
        <v>9.5999999999999992E-3</v>
      </c>
      <c r="C7" s="89">
        <f>SUM(B9:B25)+SUM(SELIC_2013_2014!$B$2:$B$25)+SUM(SELIC_2015_2016!$B$2:$B$25)+SUM(SELIC_2017_2018!$B$2:$B$25)+SUM('SELIC_2019 E 2020'!$B$2:$B$25)</f>
        <v>0.59899999999999998</v>
      </c>
    </row>
    <row r="8" spans="1:3" ht="14.1" customHeight="1">
      <c r="A8" s="88">
        <v>40725</v>
      </c>
      <c r="B8" s="87">
        <v>9.7000000000000003E-3</v>
      </c>
      <c r="C8" s="89">
        <f>SUM(B10:B25)+SUM(SELIC_2013_2014!$B$2:$B$25)+SUM(SELIC_2015_2016!$B$2:$B$25)+SUM(SELIC_2017_2018!$B$2:$B$25)+SUM('SELIC_2019 E 2020'!$B$2:$B$25)</f>
        <v>0.58830000000000005</v>
      </c>
    </row>
    <row r="9" spans="1:3" ht="14.1" customHeight="1">
      <c r="A9" s="88">
        <v>40756</v>
      </c>
      <c r="B9" s="87">
        <v>1.0699999999999999E-2</v>
      </c>
      <c r="C9" s="89">
        <f>SUM(B11:B25)+SUM(SELIC_2013_2014!$B$2:$B$25)+SUM(SELIC_2015_2016!$B$2:$B$25)+SUM(SELIC_2017_2018!$B$2:$B$25)+SUM('SELIC_2019 E 2020'!$B$2:$B$25)</f>
        <v>0.57889999999999997</v>
      </c>
    </row>
    <row r="10" spans="1:3" ht="14.1" customHeight="1">
      <c r="A10" s="88">
        <v>40787</v>
      </c>
      <c r="B10" s="87">
        <v>9.4000000000000004E-3</v>
      </c>
      <c r="C10" s="89">
        <f>SUM(B12:B25)+SUM(SELIC_2013_2014!$B$2:$B$25)+SUM(SELIC_2015_2016!$B$2:$B$25)+SUM(SELIC_2017_2018!$B$2:$B$25)+SUM('SELIC_2019 E 2020'!$B$2:$B$25)</f>
        <v>0.57010000000000005</v>
      </c>
    </row>
    <row r="11" spans="1:3" ht="14.1" customHeight="1">
      <c r="A11" s="88">
        <v>40817</v>
      </c>
      <c r="B11" s="87">
        <v>8.8000000000000005E-3</v>
      </c>
      <c r="C11" s="89">
        <f>SUM(B13:B25)+SUM(SELIC_2013_2014!$B$2:$B$25)+SUM(SELIC_2015_2016!$B$2:$B$25)+SUM(SELIC_2017_2018!$B$2:$B$25)+SUM('SELIC_2019 E 2020'!$B$2:$B$25)</f>
        <v>0.56150000000000011</v>
      </c>
    </row>
    <row r="12" spans="1:3" ht="14.1" customHeight="1">
      <c r="A12" s="88">
        <v>40848</v>
      </c>
      <c r="B12" s="87">
        <v>8.6E-3</v>
      </c>
      <c r="C12" s="89">
        <f>SUM(B14:B25)+SUM(SELIC_2013_2014!$B$2:$B$25)+SUM(SELIC_2015_2016!$B$2:$B$25)+SUM(SELIC_2017_2018!$B$2:$B$25)+SUM('SELIC_2019 E 2020'!$B$2:$B$25)</f>
        <v>0.5524</v>
      </c>
    </row>
    <row r="13" spans="1:3" ht="14.1" customHeight="1">
      <c r="A13" s="88">
        <v>40878</v>
      </c>
      <c r="B13" s="87">
        <v>9.1000000000000004E-3</v>
      </c>
      <c r="C13" s="89">
        <f>SUM(B15:B25)+SUM(SELIC_2013_2014!$B$2:$B$25)+SUM(SELIC_2015_2016!$B$2:$B$25)+SUM(SELIC_2017_2018!$B$2:$B$25)+SUM('SELIC_2019 E 2020'!$B$2:$B$25)</f>
        <v>0.54350000000000009</v>
      </c>
    </row>
    <row r="14" spans="1:3" ht="14.1" customHeight="1">
      <c r="A14" s="88">
        <v>40909</v>
      </c>
      <c r="B14" s="87">
        <v>8.8999999999999999E-3</v>
      </c>
      <c r="C14" s="89">
        <f>SUM(B16:B25)+SUM(SELIC_2013_2014!$B$2:$B$25)+SUM(SELIC_2015_2016!$B$2:$B$25)+SUM(SELIC_2017_2018!$B$2:$B$25)+SUM('SELIC_2019 E 2020'!$B$2:$B$25)</f>
        <v>0.53600000000000003</v>
      </c>
    </row>
    <row r="15" spans="1:3" ht="14.1" customHeight="1">
      <c r="A15" s="88">
        <v>40940</v>
      </c>
      <c r="B15" s="87">
        <v>7.4999999999999997E-3</v>
      </c>
      <c r="C15" s="89">
        <f>SUM(B17:B25)+SUM(SELIC_2013_2014!$B$2:$B$25)+SUM(SELIC_2015_2016!$B$2:$B$25)+SUM(SELIC_2017_2018!$B$2:$B$25)+SUM('SELIC_2019 E 2020'!$B$2:$B$25)</f>
        <v>0.52780000000000005</v>
      </c>
    </row>
    <row r="16" spans="1:3" ht="14.1" customHeight="1">
      <c r="A16" s="88">
        <v>40969</v>
      </c>
      <c r="B16" s="87">
        <v>8.2000000000000007E-3</v>
      </c>
      <c r="C16" s="89">
        <f>SUM(B18:B25)+SUM(SELIC_2013_2014!$B$2:$B$25)+SUM(SELIC_2015_2016!$B$2:$B$25)+SUM(SELIC_2017_2018!$B$2:$B$25)+SUM('SELIC_2019 E 2020'!$B$2:$B$25)</f>
        <v>0.52070000000000005</v>
      </c>
    </row>
    <row r="17" spans="1:3" ht="14.1" customHeight="1">
      <c r="A17" s="88">
        <v>41000</v>
      </c>
      <c r="B17" s="87">
        <v>7.1000000000000004E-3</v>
      </c>
      <c r="C17" s="89">
        <f>SUM(B19:B25)+SUM(SELIC_2013_2014!$B$2:$B$25)+SUM(SELIC_2015_2016!$B$2:$B$25)+SUM(SELIC_2017_2018!$B$2:$B$25)+SUM('SELIC_2019 E 2020'!$B$2:$B$25)</f>
        <v>0.51329999999999998</v>
      </c>
    </row>
    <row r="18" spans="1:3" ht="14.1" customHeight="1">
      <c r="A18" s="88">
        <v>41030</v>
      </c>
      <c r="B18" s="87">
        <v>7.4000000000000003E-3</v>
      </c>
      <c r="C18" s="89">
        <f>SUM(B20:B25)+SUM(SELIC_2013_2014!$B$2:$B$25)+SUM(SELIC_2015_2016!$B$2:$B$25)+SUM(SELIC_2017_2018!$B$2:$B$25)+SUM('SELIC_2019 E 2020'!$B$2:$B$25)</f>
        <v>0.50690000000000002</v>
      </c>
    </row>
    <row r="19" spans="1:3" ht="14.1" customHeight="1">
      <c r="A19" s="88">
        <v>41061</v>
      </c>
      <c r="B19" s="87">
        <v>6.4000000000000003E-3</v>
      </c>
      <c r="C19" s="89">
        <f>SUM(B21:B25)+SUM(SELIC_2013_2014!$B$2:$B$25)+SUM(SELIC_2015_2016!$B$2:$B$25)+SUM(SELIC_2017_2018!$B$2:$B$25)+SUM('SELIC_2019 E 2020'!$B$2:$B$25)</f>
        <v>0.50009999999999999</v>
      </c>
    </row>
    <row r="20" spans="1:3" ht="14.1" customHeight="1">
      <c r="A20" s="88">
        <v>41091</v>
      </c>
      <c r="B20" s="87">
        <v>6.7999999999999996E-3</v>
      </c>
      <c r="C20" s="89">
        <f>SUM(B22:B25)+SUM(SELIC_2013_2014!$B$2:$B$25)+SUM(SELIC_2015_2016!$B$2:$B$25)+SUM(SELIC_2017_2018!$B$2:$B$25)+SUM('SELIC_2019 E 2020'!$B$2:$B$25)</f>
        <v>0.49320000000000003</v>
      </c>
    </row>
    <row r="21" spans="1:3" ht="14.1" customHeight="1">
      <c r="A21" s="88">
        <v>41122</v>
      </c>
      <c r="B21" s="87">
        <v>6.8999999999999999E-3</v>
      </c>
      <c r="C21" s="89">
        <f>SUM(B23:B25)+SUM(SELIC_2013_2014!$B$2:$B$25)+SUM(SELIC_2015_2016!$B$2:$B$25)+SUM(SELIC_2017_2018!$B$2:$B$25)+SUM('SELIC_2019 E 2020'!$B$2:$B$25)</f>
        <v>0.48780000000000001</v>
      </c>
    </row>
    <row r="22" spans="1:3" ht="14.1" customHeight="1">
      <c r="A22" s="88">
        <v>41153</v>
      </c>
      <c r="B22" s="87">
        <v>5.4000000000000003E-3</v>
      </c>
      <c r="C22" s="89">
        <f>SUM(B24:B25)+SUM(SELIC_2013_2014!$B$2:$B$25)+SUM(SELIC_2015_2016!$B$2:$B$25)+SUM(SELIC_2017_2018!$B$2:$B$25)+SUM('SELIC_2019 E 2020'!$B$2:$B$25)</f>
        <v>0.48170000000000002</v>
      </c>
    </row>
    <row r="23" spans="1:3" ht="14.1" customHeight="1">
      <c r="A23" s="88">
        <v>41183</v>
      </c>
      <c r="B23" s="87">
        <v>6.1000000000000004E-3</v>
      </c>
      <c r="C23" s="89">
        <f>SUM(B25:B25)+SUM(SELIC_2013_2014!$B$2:$B$25)+SUM(SELIC_2015_2016!$B$2:$B$25)+SUM(SELIC_2017_2018!$B$2:$B$25)+SUM('SELIC_2019 E 2020'!$B$2:$B$25)</f>
        <v>0.47620000000000007</v>
      </c>
    </row>
    <row r="24" spans="1:3" ht="14.1" customHeight="1">
      <c r="A24" s="88">
        <v>41214</v>
      </c>
      <c r="B24" s="87">
        <v>5.4999999999999997E-3</v>
      </c>
      <c r="C24" s="89">
        <f>SUM(B26:B26)+SUM(SELIC_2013_2014!$B$2:$B$25)+SUM(SELIC_2015_2016!$B$2:$B$25)+SUM(SELIC_2017_2018!$B$2:$B$25)+SUM('SELIC_2019 E 2020'!$B$2:$B$25)</f>
        <v>0.47070000000000001</v>
      </c>
    </row>
    <row r="25" spans="1:3" ht="14.1" customHeight="1">
      <c r="A25" s="88">
        <v>41244</v>
      </c>
      <c r="B25" s="87">
        <v>5.4999999999999997E-3</v>
      </c>
      <c r="C25" s="89">
        <f>SUM(B26:B27)+SUM(SELIC_2013_2014!$B$3:$B$25)+SUM(SELIC_2015_2016!$B$2:$B$25)+SUM(SELIC_2017_2018!$B$2:$B$25)+SUM('SELIC_2019 E 2020'!$B$2:$B$25)</f>
        <v>0.4647</v>
      </c>
    </row>
  </sheetData>
  <sheetProtection password="CFCD" sheet="1" objects="1" scenarios="1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/>
  </sheetViews>
  <sheetFormatPr defaultRowHeight="15"/>
  <cols>
    <col min="1" max="1" width="4.7109375" customWidth="1"/>
    <col min="2" max="2" width="18.5703125" style="5" customWidth="1"/>
    <col min="3" max="3" width="42.5703125" style="5" customWidth="1"/>
    <col min="4" max="4" width="18.85546875" style="5" customWidth="1"/>
    <col min="5" max="5" width="18.42578125" style="5" customWidth="1"/>
    <col min="6" max="17" width="9.140625" style="5"/>
  </cols>
  <sheetData>
    <row r="1" spans="1:5" ht="12" customHeight="1" thickBot="1">
      <c r="A1" s="5"/>
    </row>
    <row r="2" spans="1:5" ht="6.75" customHeight="1" thickTop="1">
      <c r="A2" s="5"/>
      <c r="B2" s="162"/>
      <c r="C2" s="163"/>
      <c r="D2" s="146" t="s">
        <v>44</v>
      </c>
      <c r="E2" s="149">
        <v>2100</v>
      </c>
    </row>
    <row r="3" spans="1:5" ht="9.75" customHeight="1">
      <c r="A3" s="5"/>
      <c r="B3" s="164" t="s">
        <v>60</v>
      </c>
      <c r="C3" s="165"/>
      <c r="D3" s="147"/>
      <c r="E3" s="150"/>
    </row>
    <row r="4" spans="1:5" ht="9" customHeight="1">
      <c r="A4" s="5"/>
      <c r="B4" s="164" t="s">
        <v>59</v>
      </c>
      <c r="C4" s="165"/>
      <c r="D4" s="147"/>
      <c r="E4" s="150"/>
    </row>
    <row r="5" spans="1:5" ht="10.5" customHeight="1" thickBot="1">
      <c r="A5" s="5"/>
      <c r="B5" s="164" t="s">
        <v>58</v>
      </c>
      <c r="C5" s="165"/>
      <c r="D5" s="148"/>
      <c r="E5" s="151"/>
    </row>
    <row r="6" spans="1:5" ht="20.25" customHeight="1" thickTop="1" thickBot="1">
      <c r="A6" s="5"/>
      <c r="B6" s="166" t="s">
        <v>61</v>
      </c>
      <c r="C6" s="167"/>
      <c r="D6" s="103" t="s">
        <v>45</v>
      </c>
      <c r="E6" s="106">
        <f>'GPS_Multas e Juros'!C5</f>
        <v>42522</v>
      </c>
    </row>
    <row r="7" spans="1:5" ht="20.25" customHeight="1" thickTop="1" thickBot="1">
      <c r="A7" s="5"/>
      <c r="B7" s="168"/>
      <c r="C7" s="169"/>
      <c r="D7" s="104" t="s">
        <v>46</v>
      </c>
      <c r="E7" s="105"/>
    </row>
    <row r="8" spans="1:5" ht="18" customHeight="1" thickTop="1" thickBot="1">
      <c r="A8" s="5"/>
      <c r="B8" s="170" t="s">
        <v>47</v>
      </c>
      <c r="C8" s="171"/>
      <c r="D8" s="152" t="s">
        <v>48</v>
      </c>
      <c r="E8" s="153">
        <f>'GPS_Multas e Juros'!C6</f>
        <v>4397.5200000000004</v>
      </c>
    </row>
    <row r="9" spans="1:5" ht="4.5" customHeight="1" thickTop="1" thickBot="1">
      <c r="A9" s="5"/>
      <c r="B9" s="172"/>
      <c r="C9" s="173"/>
      <c r="D9" s="152"/>
      <c r="E9" s="153"/>
    </row>
    <row r="10" spans="1:5" ht="18" hidden="1" customHeight="1" thickBot="1">
      <c r="A10" s="5"/>
      <c r="B10" s="156"/>
      <c r="C10" s="157"/>
      <c r="D10" s="103"/>
      <c r="E10" s="102"/>
    </row>
    <row r="11" spans="1:5" ht="12.75" hidden="1" customHeight="1" thickBot="1">
      <c r="A11" s="5"/>
      <c r="B11" s="156"/>
      <c r="C11" s="157"/>
      <c r="D11" s="103"/>
      <c r="E11" s="102"/>
    </row>
    <row r="12" spans="1:5" ht="18" hidden="1" customHeight="1" thickBot="1">
      <c r="A12" s="5"/>
      <c r="B12" s="156"/>
      <c r="C12" s="157"/>
      <c r="D12" s="103"/>
      <c r="E12" s="102"/>
    </row>
    <row r="13" spans="1:5" ht="24" customHeight="1" thickTop="1" thickBot="1">
      <c r="A13" s="5"/>
      <c r="B13" s="156"/>
      <c r="C13" s="157"/>
      <c r="D13" s="103" t="s">
        <v>49</v>
      </c>
      <c r="E13" s="103"/>
    </row>
    <row r="14" spans="1:5" ht="24" customHeight="1" thickTop="1" thickBot="1">
      <c r="A14" s="5"/>
      <c r="B14" s="158"/>
      <c r="C14" s="159"/>
      <c r="D14" s="103" t="s">
        <v>50</v>
      </c>
      <c r="E14" s="103"/>
    </row>
    <row r="15" spans="1:5" ht="14.25" customHeight="1" thickTop="1" thickBot="1">
      <c r="A15" s="5"/>
      <c r="B15" s="109" t="s">
        <v>51</v>
      </c>
      <c r="C15" s="160">
        <f>'GPS_Multas e Juros'!C11</f>
        <v>42853</v>
      </c>
      <c r="D15" s="154" t="s">
        <v>53</v>
      </c>
      <c r="E15" s="155">
        <f>'GPS_Multas e Juros'!C7</f>
        <v>879.51</v>
      </c>
    </row>
    <row r="16" spans="1:5" ht="14.25" customHeight="1" thickTop="1" thickBot="1">
      <c r="A16" s="5"/>
      <c r="B16" s="110" t="s">
        <v>52</v>
      </c>
      <c r="C16" s="161"/>
      <c r="D16" s="154"/>
      <c r="E16" s="155"/>
    </row>
    <row r="17" spans="1:5" ht="32.25" customHeight="1" thickTop="1" thickBot="1">
      <c r="A17" s="5"/>
      <c r="B17" s="136" t="s">
        <v>54</v>
      </c>
      <c r="C17" s="137"/>
      <c r="D17" s="103" t="s">
        <v>55</v>
      </c>
      <c r="E17" s="102">
        <f>'GPS_Multas e Juros'!C15+'GPS_Multas e Juros'!C24</f>
        <v>1559.3623650000002</v>
      </c>
    </row>
    <row r="18" spans="1:5" ht="22.5" customHeight="1" thickTop="1" thickBot="1">
      <c r="A18" s="5"/>
      <c r="B18" s="138"/>
      <c r="C18" s="139"/>
      <c r="D18" s="107" t="s">
        <v>56</v>
      </c>
      <c r="E18" s="108">
        <f>E8+E15+E17</f>
        <v>6836.3923650000006</v>
      </c>
    </row>
    <row r="19" spans="1:5" ht="15.75" thickTop="1">
      <c r="A19" s="5"/>
      <c r="B19" s="140" t="s">
        <v>57</v>
      </c>
      <c r="C19" s="141"/>
      <c r="D19" s="141"/>
      <c r="E19" s="142"/>
    </row>
    <row r="20" spans="1:5" ht="63" customHeight="1" thickBot="1">
      <c r="A20" s="5"/>
      <c r="B20" s="143"/>
      <c r="C20" s="144"/>
      <c r="D20" s="144"/>
      <c r="E20" s="145"/>
    </row>
    <row r="21" spans="1:5" ht="15.75" thickTop="1">
      <c r="A21" s="5"/>
    </row>
    <row r="22" spans="1:5">
      <c r="A22" s="5"/>
    </row>
    <row r="23" spans="1:5">
      <c r="A23" s="5"/>
    </row>
    <row r="24" spans="1:5">
      <c r="A24" s="5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</sheetData>
  <sheetProtection password="CFCD" sheet="1" objects="1" scenarios="1"/>
  <mergeCells count="22">
    <mergeCell ref="B12:C12"/>
    <mergeCell ref="B7:C7"/>
    <mergeCell ref="B8:C8"/>
    <mergeCell ref="B9:C9"/>
    <mergeCell ref="B10:C10"/>
    <mergeCell ref="B11:C11"/>
    <mergeCell ref="B17:C18"/>
    <mergeCell ref="B19:E20"/>
    <mergeCell ref="D2:D5"/>
    <mergeCell ref="E2:E5"/>
    <mergeCell ref="D8:D9"/>
    <mergeCell ref="E8:E9"/>
    <mergeCell ref="D15:D16"/>
    <mergeCell ref="E15:E16"/>
    <mergeCell ref="B13:C13"/>
    <mergeCell ref="B14:C14"/>
    <mergeCell ref="C15:C16"/>
    <mergeCell ref="B2:C2"/>
    <mergeCell ref="B3:C3"/>
    <mergeCell ref="B4:C4"/>
    <mergeCell ref="B5:C5"/>
    <mergeCell ref="B6:C6"/>
  </mergeCells>
  <printOptions gridLines="1"/>
  <pageMargins left="0.70866141732283472" right="0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Comentários</vt:lpstr>
      <vt:lpstr>GPS_Multas e Juros</vt:lpstr>
      <vt:lpstr>Feriados</vt:lpstr>
      <vt:lpstr>SELIC_2017_2018</vt:lpstr>
      <vt:lpstr>SELIC_2019 E 2020</vt:lpstr>
      <vt:lpstr>SELIC_2015_2016</vt:lpstr>
      <vt:lpstr>SELIC_2013_2014</vt:lpstr>
      <vt:lpstr>SELIC_2011_2012</vt:lpstr>
      <vt:lpstr>GPS_Demontrativo</vt:lpstr>
      <vt:lpstr>GPS_Demontrativo!Area_de_impressao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cp:lastPrinted>2017-04-14T11:47:23Z</cp:lastPrinted>
  <dcterms:created xsi:type="dcterms:W3CDTF">2017-04-10T15:17:37Z</dcterms:created>
  <dcterms:modified xsi:type="dcterms:W3CDTF">2017-04-14T15:10:47Z</dcterms:modified>
</cp:coreProperties>
</file>