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15195" windowHeight="8385"/>
  </bookViews>
  <sheets>
    <sheet name="Início" sheetId="2" r:id="rId1"/>
    <sheet name="FMEA" sheetId="1" r:id="rId2"/>
    <sheet name="Resultado" sheetId="3" r:id="rId3"/>
  </sheets>
  <calcPr calcId="145621"/>
</workbook>
</file>

<file path=xl/calcChain.xml><?xml version="1.0" encoding="utf-8"?>
<calcChain xmlns="http://schemas.openxmlformats.org/spreadsheetml/2006/main">
  <c r="N13" i="3" l="1"/>
  <c r="N10" i="3"/>
  <c r="N11" i="3" s="1"/>
  <c r="N8" i="3"/>
  <c r="J15" i="3"/>
  <c r="J13" i="3"/>
  <c r="J10" i="3"/>
  <c r="J11" i="3" s="1"/>
  <c r="F15" i="3"/>
  <c r="F8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6" i="3"/>
  <c r="K7" i="3" l="1"/>
  <c r="O14" i="3"/>
  <c r="O7" i="3"/>
  <c r="O10" i="3"/>
  <c r="G9" i="3"/>
  <c r="O13" i="3"/>
  <c r="O9" i="3"/>
  <c r="G12" i="3"/>
  <c r="K9" i="3"/>
  <c r="O6" i="3"/>
  <c r="O12" i="3"/>
  <c r="O8" i="3"/>
  <c r="G7" i="3"/>
  <c r="O15" i="3"/>
  <c r="O11" i="3"/>
  <c r="G6" i="3"/>
  <c r="G8" i="3"/>
  <c r="K10" i="3"/>
  <c r="G11" i="3"/>
  <c r="K13" i="3"/>
  <c r="G14" i="3"/>
  <c r="G10" i="3"/>
  <c r="K6" i="3"/>
  <c r="K12" i="3"/>
  <c r="K8" i="3"/>
  <c r="K14" i="3"/>
  <c r="G15" i="3"/>
  <c r="G13" i="3"/>
  <c r="K15" i="3"/>
  <c r="K11" i="3"/>
  <c r="V44" i="1" l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V15" i="1"/>
  <c r="N15" i="1"/>
  <c r="V14" i="1"/>
  <c r="N14" i="1"/>
</calcChain>
</file>

<file path=xl/comments1.xml><?xml version="1.0" encoding="utf-8"?>
<comments xmlns="http://schemas.openxmlformats.org/spreadsheetml/2006/main">
  <authors>
    <author>alexandre.oliveira</author>
    <author>Grupo Votorantim</author>
  </authors>
  <commentList>
    <comment ref="K5" authorId="0">
      <text>
        <r>
          <rPr>
            <sz val="8"/>
            <color indexed="81"/>
            <rFont val="Tahoma"/>
            <family val="2"/>
          </rPr>
          <t xml:space="preserve">Sequencial com 3 dígitos indicando a área de origem, como abaixo:
VM-TM-FD-001
</t>
        </r>
      </text>
    </comment>
    <comment ref="M5" authorId="0">
      <text>
        <r>
          <rPr>
            <sz val="8"/>
            <color indexed="81"/>
            <rFont val="Tahoma"/>
            <family val="2"/>
          </rPr>
          <t xml:space="preserve">Sequencial crescente com 2 numerais, conforme abaixo:
00 - revisão inicial
01 - 1ª revisão
</t>
        </r>
      </text>
    </comment>
    <comment ref="V5" authorId="0">
      <text>
        <r>
          <rPr>
            <sz val="8"/>
            <color indexed="81"/>
            <rFont val="Tahoma"/>
            <family val="2"/>
          </rPr>
          <t xml:space="preserve">Descrever o processo que se está estundando os riscos
</t>
        </r>
      </text>
    </comment>
    <comment ref="E8" authorId="0">
      <text>
        <r>
          <rPr>
            <sz val="8"/>
            <color indexed="81"/>
            <rFont val="Tahoma"/>
            <family val="2"/>
          </rPr>
          <t xml:space="preserve">Descrição de peça, componente ou número de peça do cliente se aplicável. Descrever o produto envolvido.
</t>
        </r>
      </text>
    </comment>
    <comment ref="H8" authorId="0">
      <text>
        <r>
          <rPr>
            <sz val="8"/>
            <color indexed="81"/>
            <rFont val="Tahoma"/>
            <family val="2"/>
          </rPr>
          <t xml:space="preserve">Área de aplicação do P-FMEA. Local onde se está estudando os riscos do processo.
</t>
        </r>
      </text>
    </comment>
    <comment ref="R10" authorId="0">
      <text>
        <r>
          <rPr>
            <b/>
            <sz val="8"/>
            <color indexed="81"/>
            <rFont val="Tahoma"/>
            <family val="2"/>
          </rPr>
          <t xml:space="preserve">Acelere.vc: </t>
        </r>
        <r>
          <rPr>
            <sz val="8"/>
            <color indexed="81"/>
            <rFont val="Tahoma"/>
            <family val="2"/>
          </rPr>
          <t xml:space="preserve">Data da revisão 00 do P-FMEA. Esta é a data de inicio do documento.
</t>
        </r>
      </text>
    </comment>
    <comment ref="S10" authorId="0">
      <text>
        <r>
          <rPr>
            <b/>
            <sz val="8"/>
            <color indexed="81"/>
            <rFont val="Tahoma"/>
            <family val="2"/>
          </rPr>
          <t>Acelere.vc:</t>
        </r>
        <r>
          <rPr>
            <sz val="8"/>
            <color indexed="81"/>
            <rFont val="Tahoma"/>
            <family val="2"/>
          </rPr>
          <t xml:space="preserve"> Data de revisão indica quando foi feita revisão no documento. Toda vez que mudar de revisão a data tem se ser alterada.
</t>
        </r>
      </text>
    </comment>
    <comment ref="D12" authorId="1">
      <text>
        <r>
          <rPr>
            <b/>
            <sz val="8"/>
            <color indexed="81"/>
            <rFont val="Tahoma"/>
            <family val="2"/>
          </rPr>
          <t>Acelere.vc: Função e requisitos do processo</t>
        </r>
        <r>
          <rPr>
            <sz val="8"/>
            <color indexed="81"/>
            <rFont val="Tahoma"/>
            <family val="2"/>
          </rPr>
          <t xml:space="preserve">
Descrição simplificada do processo ou peração em análise ( ex.: torneamento, filtragem, montagem,  peneiramento,etc )</t>
        </r>
      </text>
    </comment>
    <comment ref="E12" authorId="1">
      <text>
        <r>
          <rPr>
            <b/>
            <sz val="8"/>
            <color indexed="81"/>
            <rFont val="Tahoma"/>
            <family val="2"/>
          </rPr>
          <t>Acelere.vc: Modo de falha potencial</t>
        </r>
        <r>
          <rPr>
            <sz val="8"/>
            <color indexed="81"/>
            <rFont val="Tahoma"/>
            <family val="2"/>
          </rPr>
          <t xml:space="preserve">
É a maneira pela qual o processo pode falhar em atender os requisitos do processo.É a descrição de uma não conformidade nesta operação que pode ser associada com o modo potencial de falha de uma operação anterior ou posterior - interfases do processo. Perguntas que podem ser feitas: Como o processo pode falhar em atender as especificações desejadas, e, o que o meu cliente consideraria como falha além das especificações já definidas?</t>
        </r>
      </text>
    </comment>
    <comment ref="F12" authorId="1">
      <text>
        <r>
          <rPr>
            <b/>
            <sz val="8"/>
            <color indexed="81"/>
            <rFont val="Tahoma"/>
            <family val="2"/>
          </rPr>
          <t>Acelere.vc: Efeitos potenciais de falha:</t>
        </r>
        <r>
          <rPr>
            <sz val="8"/>
            <color indexed="81"/>
            <rFont val="Tahoma"/>
            <family val="2"/>
          </rPr>
          <t xml:space="preserve">
São definidos como defeitos do modo de falha no cliente. Descreva a falha em ternos do que seria observado pelo cliente, dfinido se o modo de falha poderia impactar na segurança ou causar o não cumprimento das legislações. O cliente pode ser a proxima etapa do processo. Exs: Barulho, vazamentos, interrupção da produção, Põe o operador em risco, Inoperância do equipamento, não bombeia, não filtra, etc..</t>
        </r>
      </text>
    </comment>
    <comment ref="G12" authorId="0">
      <text>
        <r>
          <rPr>
            <b/>
            <sz val="8"/>
            <color indexed="81"/>
            <rFont val="Tahoma"/>
            <family val="2"/>
          </rPr>
          <t>Acelere.vc:</t>
        </r>
        <r>
          <rPr>
            <sz val="8"/>
            <color indexed="81"/>
            <rFont val="Tahoma"/>
            <family val="2"/>
          </rPr>
          <t xml:space="preserve"> INDICE DE SEVERIDADE (na visão do Cliente):
1: pouco perceptível
2-3: pouco importante
4-5-6: moderado
7-8: grave
9-10: extremamente grave
Não é recomendado modificar o critério de classificação para os valores 9 e 10.
</t>
        </r>
      </text>
    </comment>
    <comment ref="I12" authorId="1">
      <text>
        <r>
          <rPr>
            <b/>
            <sz val="8"/>
            <color indexed="81"/>
            <rFont val="Tahoma"/>
            <family val="2"/>
          </rPr>
          <t>Acelere.vc: Causas e mecanismos potenciais de falha:</t>
        </r>
        <r>
          <rPr>
            <sz val="8"/>
            <color indexed="81"/>
            <rFont val="Tahoma"/>
            <family val="2"/>
          </rPr>
          <t xml:space="preserve">
É definida  como a forma pela qual a falha poderia ocorrer, descrita em termos de alguma coisa que possa ser corrigida ou possa ser controlada. As falhas devem ser escritas de forma específica e não genérica. EXs.: Lubrificação inadequada, posicionamento errada do equipamento x, ferramental quebrado, operador falha ao instalar uma junta de vedação, etc..
</t>
        </r>
      </text>
    </comment>
    <comment ref="J12" authorId="0">
      <text>
        <r>
          <rPr>
            <b/>
            <sz val="8"/>
            <color indexed="81"/>
            <rFont val="Tahoma"/>
            <family val="2"/>
          </rPr>
          <t>Acelere.vc:</t>
        </r>
        <r>
          <rPr>
            <sz val="8"/>
            <color indexed="81"/>
            <rFont val="Tahoma"/>
            <family val="2"/>
          </rPr>
          <t xml:space="preserve"> INDÍCE DE OCORRÊNCIA:
1: remota
2: muito pequena
3: pequena
4-5-6: moderada
7-8: alta
9-10: muito alta
É a probabilidade que um mecanismo/causa específico de falha irá ocorrer. Prevenindo ou controlando as causas de falha através de uma alteração no processo e a única maneira que a redução do índice de corrência possa ser efetivada.</t>
        </r>
      </text>
    </comment>
    <comment ref="K12" authorId="1">
      <text>
        <r>
          <rPr>
            <b/>
            <sz val="8"/>
            <color indexed="81"/>
            <rFont val="Tahoma"/>
            <family val="2"/>
          </rPr>
          <t>Acelere.vc: Controle atuais do processo : Detecção</t>
        </r>
        <r>
          <rPr>
            <sz val="8"/>
            <color indexed="81"/>
            <rFont val="Tahoma"/>
            <family val="2"/>
          </rPr>
          <t xml:space="preserve">
Controles que podem detectar na medida do possível, a ocorrência do modo de falha ou o mecanismo /causa da falha. Estes controles podem ser dispositivos a prova de erro, controles do próprio porcesso. A avaliação pode ocorrer na própria operação. Estes controles são baseados nos controles de processo de modo que  detectem o mecanismo /causa da falha ou o modo de falha e conduz à ação corretiva.</t>
        </r>
      </text>
    </comment>
    <comment ref="L12" authorId="1">
      <text>
        <r>
          <rPr>
            <b/>
            <sz val="8"/>
            <color indexed="81"/>
            <rFont val="Tahoma"/>
            <family val="2"/>
          </rPr>
          <t>Acelere.vc: Controle atuais do processo : Prevenção</t>
        </r>
        <r>
          <rPr>
            <sz val="8"/>
            <color indexed="81"/>
            <rFont val="Tahoma"/>
            <family val="2"/>
          </rPr>
          <t xml:space="preserve">
Controles que podem detectar na medida do possível, a ocorrência do modo de falha ou o mecanismo /causa da falha. Estes controles podem ser dispositivos a prova de erro, controles do próprio porcesso. A avaliação pode ocorrer na própria operação. Estes controles são baseados nos controles de processo de modo que  detectem o mecanismo /causa da falha ou o modo de falha e conduz à ação corretiva.</t>
        </r>
      </text>
    </comment>
    <comment ref="M12" authorId="0">
      <text>
        <r>
          <rPr>
            <b/>
            <sz val="8"/>
            <color indexed="81"/>
            <rFont val="Tahoma"/>
            <family val="2"/>
          </rPr>
          <t xml:space="preserve">Acelere.vc: </t>
        </r>
        <r>
          <rPr>
            <sz val="8"/>
            <color indexed="81"/>
            <rFont val="Tahoma"/>
            <family val="2"/>
          </rPr>
          <t>INDICE DE DETECÇÃO:
1: muito alta
2-3: alta
4-5-6: moderada
7-8: pequena
9: muito pequena
10: remota
Está relacionada aos tipos de inspeção: Prova de erro, Medição e Inspeção manual. Deve-se assumir que a falha ocorreu e , então, avaliar a eficácia dos controles atuais do processo.</t>
        </r>
      </text>
    </comment>
    <comment ref="N12" authorId="0">
      <text>
        <r>
          <rPr>
            <b/>
            <sz val="8"/>
            <color indexed="81"/>
            <rFont val="Tahoma"/>
            <family val="2"/>
          </rPr>
          <t>Acelere.vc:</t>
        </r>
        <r>
          <rPr>
            <sz val="8"/>
            <color indexed="81"/>
            <rFont val="Tahoma"/>
            <family val="2"/>
          </rPr>
          <t xml:space="preserve"> NÍVEL DE PRIORIZAÇÃO DE RISCO:
1-99: baixo
100-500: moderado
501-1000: alto
É o produto dos índices da severidade(S) x Ocorrência (O) x Detecção (D).
Quando IS for 9 ou 10 deve-se tomar ação independente do resultado do NPR.</t>
        </r>
      </text>
    </comment>
    <comment ref="O12" authorId="1">
      <text>
        <r>
          <rPr>
            <b/>
            <sz val="8"/>
            <color indexed="81"/>
            <rFont val="Tahoma"/>
            <family val="2"/>
          </rPr>
          <t xml:space="preserve">Acelere.vc: Ações para redução do NPR ( NÍVEL DE PRIORIZAÇÃO DO RISCO )
</t>
        </r>
        <r>
          <rPr>
            <sz val="8"/>
            <color indexed="81"/>
            <rFont val="Tahoma"/>
            <family val="2"/>
          </rPr>
          <t xml:space="preserve">Para redução do nível de ocorrência e severidade aconselha-se a revisão do processo. Para redução  no índice de detecção é o uso de métodos a prova de erro/falha. Se não ocorrer ação, escrever a palavra "Nenhuma". 
 </t>
        </r>
      </text>
    </comment>
    <comment ref="R13" authorId="1">
      <text>
        <r>
          <rPr>
            <b/>
            <sz val="8"/>
            <color indexed="81"/>
            <rFont val="Tahoma"/>
            <family val="2"/>
          </rPr>
          <t>Acelere.vc: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Ações tomadas:</t>
        </r>
        <r>
          <rPr>
            <sz val="8"/>
            <color indexed="81"/>
            <rFont val="Tahoma"/>
            <family val="2"/>
          </rPr>
          <t>Após a ação ter implementada, coloque uma breve descrição da ação realizada e a data de sua efetivação</t>
        </r>
      </text>
    </comment>
  </commentList>
</comments>
</file>

<file path=xl/sharedStrings.xml><?xml version="1.0" encoding="utf-8"?>
<sst xmlns="http://schemas.openxmlformats.org/spreadsheetml/2006/main" count="97" uniqueCount="69">
  <si>
    <t>Função e requisitos do processo</t>
  </si>
  <si>
    <t>Etapa do processo</t>
  </si>
  <si>
    <t>Modos de falha potencial</t>
  </si>
  <si>
    <t>Efeitos potenciais da falha</t>
  </si>
  <si>
    <t>IS</t>
  </si>
  <si>
    <t>Causas e mecanismos potenciais de falha</t>
  </si>
  <si>
    <t>IO</t>
  </si>
  <si>
    <t>ID</t>
  </si>
  <si>
    <t>NPR</t>
  </si>
  <si>
    <t>Ações a serem tomadas para redução do NPR</t>
  </si>
  <si>
    <t>Prazo</t>
  </si>
  <si>
    <t>Resultados das ações tomadas</t>
  </si>
  <si>
    <t>Ações tomadas</t>
  </si>
  <si>
    <t>Itens aplicáveis:</t>
  </si>
  <si>
    <t>Área:</t>
  </si>
  <si>
    <t>Equipe de trabalho:</t>
  </si>
  <si>
    <t>Datas:</t>
  </si>
  <si>
    <t>Início:</t>
  </si>
  <si>
    <t>Revisão:</t>
  </si>
  <si>
    <t>Número:</t>
  </si>
  <si>
    <t>Descrição do processo:</t>
  </si>
  <si>
    <t>Líder:</t>
  </si>
  <si>
    <t>Classif.</t>
  </si>
  <si>
    <t/>
  </si>
  <si>
    <t>Controles atuais do processo detecção</t>
  </si>
  <si>
    <t xml:space="preserve">             ANÁLISE DOS MODOS E EFEITOS DE FALHA DO PROCESSO                                                                                    (FMEA DE PROCESSO)</t>
  </si>
  <si>
    <t>Responsável</t>
  </si>
  <si>
    <t>Lingotamento de Aço</t>
  </si>
  <si>
    <t>Apontamento das agulhas</t>
  </si>
  <si>
    <t>Envazamento</t>
  </si>
  <si>
    <t>Separação da vara de aço em agulhas</t>
  </si>
  <si>
    <t xml:space="preserve">Apontamento das agulhas </t>
  </si>
  <si>
    <t>Junção das peças em um saco plástico</t>
  </si>
  <si>
    <t>Rachaduras na vara de aço</t>
  </si>
  <si>
    <t>Angulação fora da especificação</t>
  </si>
  <si>
    <t>Danificação das peças</t>
  </si>
  <si>
    <t>Agulhas defeituosas</t>
  </si>
  <si>
    <t>Agulhas podem estourar veias</t>
  </si>
  <si>
    <t>Material inapto a uso dada a falha em um dos componentes</t>
  </si>
  <si>
    <t>Problemas nas roldanas que puxam o aço</t>
  </si>
  <si>
    <t>Posicionamento errado do material</t>
  </si>
  <si>
    <t>Má calibração pneumática</t>
  </si>
  <si>
    <t>Uso de aparelho de visão microscópica</t>
  </si>
  <si>
    <t>Controle de Qualidade</t>
  </si>
  <si>
    <t>Nenhuma</t>
  </si>
  <si>
    <t>Treinar operários</t>
  </si>
  <si>
    <t>Agulhas e Embalagens</t>
  </si>
  <si>
    <t>Cânulas e Envazamento</t>
  </si>
  <si>
    <t>Afonso Pena</t>
  </si>
  <si>
    <t>Lingotamento do aço que segue para o apontamento da agulha. Em seguida há o envazamento com a junção das peças</t>
  </si>
  <si>
    <t>Coordenação de Cânulas e Coordenação de Envazamento.</t>
  </si>
  <si>
    <t>Pouco Perceptível</t>
  </si>
  <si>
    <t>Pouco Importante</t>
  </si>
  <si>
    <t>Moderado</t>
  </si>
  <si>
    <t>Grave</t>
  </si>
  <si>
    <t>Extremamente Grave</t>
  </si>
  <si>
    <t>Remota</t>
  </si>
  <si>
    <t>Muito Pequena</t>
  </si>
  <si>
    <t>Pequena</t>
  </si>
  <si>
    <t>Moderada</t>
  </si>
  <si>
    <t>Alta</t>
  </si>
  <si>
    <t>Muito Alta</t>
  </si>
  <si>
    <t>Codigo</t>
  </si>
  <si>
    <t>Item</t>
  </si>
  <si>
    <t>Contagem</t>
  </si>
  <si>
    <t>Controles atuais do processo de prevenção</t>
  </si>
  <si>
    <r>
      <rPr>
        <b/>
        <i/>
        <sz val="18"/>
        <color theme="0"/>
        <rFont val="Calibri"/>
        <family val="2"/>
        <scheme val="minor"/>
      </rPr>
      <t xml:space="preserve">ANÁLISE DOS MODOS E EFEITOS DE FALHA (FMEA) </t>
    </r>
    <r>
      <rPr>
        <i/>
        <sz val="16"/>
        <color theme="0"/>
        <rFont val="Calibri"/>
        <family val="2"/>
        <scheme val="minor"/>
      </rPr>
      <t>- INÍCIO</t>
    </r>
  </si>
  <si>
    <r>
      <rPr>
        <b/>
        <i/>
        <sz val="18"/>
        <color theme="0"/>
        <rFont val="Calibri"/>
        <family val="2"/>
        <scheme val="minor"/>
      </rPr>
      <t xml:space="preserve">ANÁLISE DOS MODOS E EFEITOS DE FALHA (FMEA) </t>
    </r>
    <r>
      <rPr>
        <i/>
        <sz val="16"/>
        <color theme="0"/>
        <rFont val="Calibri"/>
        <family val="2"/>
        <scheme val="minor"/>
      </rPr>
      <t>- FMEA</t>
    </r>
  </si>
  <si>
    <r>
      <rPr>
        <b/>
        <i/>
        <sz val="18"/>
        <color theme="0"/>
        <rFont val="Calibri"/>
        <family val="2"/>
        <scheme val="minor"/>
      </rPr>
      <t xml:space="preserve">ANÁLISE DOS MODOS E EFEITOS DE FALHA (FMEA) </t>
    </r>
    <r>
      <rPr>
        <i/>
        <sz val="16"/>
        <color theme="0"/>
        <rFont val="Calibri"/>
        <family val="2"/>
        <scheme val="minor"/>
      </rPr>
      <t>- RESULTADO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</si>
</sst>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sz val="11"/>
      <color theme="0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i/>
      <sz val="1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808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theme="6" tint="-0.499984740745262"/>
      </bottom>
      <diagonal/>
    </border>
    <border>
      <left/>
      <right/>
      <top style="medium">
        <color indexed="64"/>
      </top>
      <bottom style="dashed">
        <color theme="6" tint="-0.499984740745262"/>
      </bottom>
      <diagonal/>
    </border>
    <border>
      <left/>
      <right/>
      <top/>
      <bottom style="dashed">
        <color theme="6" tint="-0.499984740745262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0" fillId="0" borderId="13" xfId="0" applyNumberFormat="1" applyBorder="1"/>
    <xf numFmtId="0" fontId="1" fillId="0" borderId="0" xfId="0" applyFont="1"/>
    <xf numFmtId="1" fontId="2" fillId="0" borderId="3" xfId="0" applyNumberFormat="1" applyFont="1" applyFill="1" applyBorder="1" applyAlignment="1">
      <alignment horizontal="center" vertical="center" wrapText="1"/>
    </xf>
    <xf numFmtId="1" fontId="2" fillId="0" borderId="6" xfId="0" applyNumberFormat="1" applyFont="1" applyFill="1" applyBorder="1" applyAlignment="1">
      <alignment horizontal="center" vertical="center" wrapText="1"/>
    </xf>
    <xf numFmtId="1" fontId="2" fillId="0" borderId="8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1" fontId="2" fillId="2" borderId="6" xfId="0" applyNumberFormat="1" applyFont="1" applyFill="1" applyBorder="1" applyAlignment="1">
      <alignment horizontal="center" vertical="center" wrapText="1"/>
    </xf>
    <xf numFmtId="1" fontId="2" fillId="2" borderId="8" xfId="0" applyNumberFormat="1" applyFont="1" applyFill="1" applyBorder="1" applyAlignment="1">
      <alignment horizontal="center" vertical="center" wrapText="1"/>
    </xf>
    <xf numFmtId="1" fontId="2" fillId="2" borderId="4" xfId="0" applyNumberFormat="1" applyFont="1" applyFill="1" applyBorder="1" applyAlignment="1">
      <alignment horizontal="center" vertical="center" wrapText="1"/>
    </xf>
    <xf numFmtId="1" fontId="2" fillId="2" borderId="22" xfId="0" applyNumberFormat="1" applyFont="1" applyFill="1" applyBorder="1" applyAlignment="1">
      <alignment horizontal="center" vertical="center" wrapText="1"/>
    </xf>
    <xf numFmtId="1" fontId="2" fillId="2" borderId="7" xfId="0" applyNumberFormat="1" applyFont="1" applyFill="1" applyBorder="1" applyAlignment="1">
      <alignment horizontal="center" vertical="center" wrapText="1"/>
    </xf>
    <xf numFmtId="1" fontId="2" fillId="2" borderId="24" xfId="0" applyNumberFormat="1" applyFont="1" applyFill="1" applyBorder="1" applyAlignment="1">
      <alignment horizontal="center" vertical="center" wrapText="1"/>
    </xf>
    <xf numFmtId="1" fontId="2" fillId="2" borderId="9" xfId="0" applyNumberFormat="1" applyFont="1" applyFill="1" applyBorder="1" applyAlignment="1">
      <alignment horizontal="center" vertical="center" wrapText="1"/>
    </xf>
    <xf numFmtId="1" fontId="2" fillId="2" borderId="23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0" fillId="3" borderId="10" xfId="0" applyFill="1" applyBorder="1"/>
    <xf numFmtId="0" fontId="0" fillId="3" borderId="14" xfId="0" applyFill="1" applyBorder="1"/>
    <xf numFmtId="0" fontId="0" fillId="3" borderId="14" xfId="0" applyFill="1" applyBorder="1" applyAlignment="1">
      <alignment wrapText="1"/>
    </xf>
    <xf numFmtId="0" fontId="0" fillId="3" borderId="14" xfId="0" applyFill="1" applyBorder="1" applyAlignment="1">
      <alignment vertical="center" wrapText="1"/>
    </xf>
    <xf numFmtId="0" fontId="0" fillId="3" borderId="16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5" xfId="0" applyFill="1" applyBorder="1" applyAlignment="1">
      <alignment wrapText="1"/>
    </xf>
    <xf numFmtId="0" fontId="0" fillId="3" borderId="15" xfId="0" applyFill="1" applyBorder="1" applyAlignment="1">
      <alignment vertical="center" wrapText="1"/>
    </xf>
    <xf numFmtId="0" fontId="0" fillId="3" borderId="18" xfId="0" applyFill="1" applyBorder="1"/>
    <xf numFmtId="0" fontId="0" fillId="3" borderId="17" xfId="0" applyFill="1" applyBorder="1"/>
    <xf numFmtId="0" fontId="0" fillId="3" borderId="0" xfId="0" applyFill="1" applyBorder="1"/>
    <xf numFmtId="1" fontId="2" fillId="0" borderId="3" xfId="0" applyNumberFormat="1" applyFont="1" applyBorder="1" applyAlignment="1">
      <alignment vertical="center" wrapText="1"/>
    </xf>
    <xf numFmtId="1" fontId="2" fillId="0" borderId="6" xfId="0" applyNumberFormat="1" applyFont="1" applyBorder="1" applyAlignment="1">
      <alignment vertical="center" wrapText="1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0" fillId="0" borderId="0" xfId="0" applyBorder="1"/>
    <xf numFmtId="1" fontId="2" fillId="4" borderId="22" xfId="0" applyNumberFormat="1" applyFont="1" applyFill="1" applyBorder="1" applyAlignment="1">
      <alignment horizontal="center" vertical="center" wrapText="1"/>
    </xf>
    <xf numFmtId="1" fontId="2" fillId="4" borderId="24" xfId="0" applyNumberFormat="1" applyFont="1" applyFill="1" applyBorder="1" applyAlignment="1">
      <alignment horizontal="center" vertical="center" wrapText="1"/>
    </xf>
    <xf numFmtId="1" fontId="2" fillId="4" borderId="23" xfId="0" applyNumberFormat="1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quotePrefix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20" xfId="0" applyFill="1" applyBorder="1"/>
    <xf numFmtId="0" fontId="6" fillId="0" borderId="14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9" fillId="5" borderId="27" xfId="0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center" vertical="center"/>
    </xf>
    <xf numFmtId="0" fontId="12" fillId="5" borderId="28" xfId="0" applyFont="1" applyFill="1" applyBorder="1" applyAlignment="1">
      <alignment vertical="center"/>
    </xf>
    <xf numFmtId="0" fontId="8" fillId="5" borderId="29" xfId="0" applyFont="1" applyFill="1" applyBorder="1"/>
    <xf numFmtId="0" fontId="9" fillId="5" borderId="28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400"/>
              <a:t>Índice de Severidade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Resultado!$G$5</c:f>
              <c:strCache>
                <c:ptCount val="1"/>
                <c:pt idx="0">
                  <c:v>Contagem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sz="1000" b="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Resultado!$F$6:$F$15</c:f>
              <c:strCache>
                <c:ptCount val="10"/>
                <c:pt idx="0">
                  <c:v>Pouco Perceptível</c:v>
                </c:pt>
                <c:pt idx="1">
                  <c:v>Pouco Importante</c:v>
                </c:pt>
                <c:pt idx="2">
                  <c:v>Pouco Importante</c:v>
                </c:pt>
                <c:pt idx="3">
                  <c:v>Moderado</c:v>
                </c:pt>
                <c:pt idx="4">
                  <c:v>Moderado</c:v>
                </c:pt>
                <c:pt idx="5">
                  <c:v>Moderado</c:v>
                </c:pt>
                <c:pt idx="6">
                  <c:v>Grave</c:v>
                </c:pt>
                <c:pt idx="7">
                  <c:v>Grave</c:v>
                </c:pt>
                <c:pt idx="8">
                  <c:v>Extremamente Grave</c:v>
                </c:pt>
                <c:pt idx="9">
                  <c:v>Extremamente Grave</c:v>
                </c:pt>
              </c:strCache>
            </c:strRef>
          </c:cat>
          <c:val>
            <c:numRef>
              <c:f>Resultado!$G$6:$G$15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0997376"/>
        <c:axId val="157021312"/>
      </c:barChart>
      <c:catAx>
        <c:axId val="23099737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pt-BR"/>
          </a:p>
        </c:txPr>
        <c:crossAx val="157021312"/>
        <c:crosses val="autoZero"/>
        <c:auto val="1"/>
        <c:lblAlgn val="ctr"/>
        <c:lblOffset val="100"/>
        <c:noMultiLvlLbl val="0"/>
      </c:catAx>
      <c:valAx>
        <c:axId val="1570213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30997376"/>
        <c:crosses val="autoZero"/>
        <c:crossBetween val="between"/>
        <c:majorUnit val="1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400"/>
              <a:t>Índice de Ocorrência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Resultado!$K$5</c:f>
              <c:strCache>
                <c:ptCount val="1"/>
                <c:pt idx="0">
                  <c:v>Contagem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Resultado!$J$6:$J$15</c:f>
              <c:strCache>
                <c:ptCount val="10"/>
                <c:pt idx="0">
                  <c:v>Remota</c:v>
                </c:pt>
                <c:pt idx="1">
                  <c:v>Muito Pequena</c:v>
                </c:pt>
                <c:pt idx="2">
                  <c:v>Pequena</c:v>
                </c:pt>
                <c:pt idx="3">
                  <c:v>Moderada</c:v>
                </c:pt>
                <c:pt idx="4">
                  <c:v>Moderada</c:v>
                </c:pt>
                <c:pt idx="5">
                  <c:v>Moderada</c:v>
                </c:pt>
                <c:pt idx="6">
                  <c:v>Alta</c:v>
                </c:pt>
                <c:pt idx="7">
                  <c:v>Alta</c:v>
                </c:pt>
                <c:pt idx="8">
                  <c:v>Muito Alta</c:v>
                </c:pt>
                <c:pt idx="9">
                  <c:v>Muito Alta</c:v>
                </c:pt>
              </c:strCache>
            </c:strRef>
          </c:cat>
          <c:val>
            <c:numRef>
              <c:f>Resultado!$K$6:$K$15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750208"/>
        <c:axId val="161601024"/>
      </c:barChart>
      <c:catAx>
        <c:axId val="7675020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pt-BR"/>
          </a:p>
        </c:txPr>
        <c:crossAx val="161601024"/>
        <c:crosses val="autoZero"/>
        <c:auto val="1"/>
        <c:lblAlgn val="ctr"/>
        <c:lblOffset val="100"/>
        <c:noMultiLvlLbl val="0"/>
      </c:catAx>
      <c:valAx>
        <c:axId val="16160102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675020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400"/>
              <a:t>Índice de Detecção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Resultado!$O$5</c:f>
              <c:strCache>
                <c:ptCount val="1"/>
                <c:pt idx="0">
                  <c:v>Contagem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Resultado!$N$6:$N$15</c:f>
              <c:strCache>
                <c:ptCount val="10"/>
                <c:pt idx="0">
                  <c:v>Muito Alta</c:v>
                </c:pt>
                <c:pt idx="1">
                  <c:v>Alta</c:v>
                </c:pt>
                <c:pt idx="2">
                  <c:v>Alta</c:v>
                </c:pt>
                <c:pt idx="3">
                  <c:v>Moderada</c:v>
                </c:pt>
                <c:pt idx="4">
                  <c:v>Moderada</c:v>
                </c:pt>
                <c:pt idx="5">
                  <c:v>Moderada</c:v>
                </c:pt>
                <c:pt idx="6">
                  <c:v>Pequena</c:v>
                </c:pt>
                <c:pt idx="7">
                  <c:v>Pequena</c:v>
                </c:pt>
                <c:pt idx="8">
                  <c:v>Muito Pequena</c:v>
                </c:pt>
                <c:pt idx="9">
                  <c:v>Remota</c:v>
                </c:pt>
              </c:strCache>
            </c:strRef>
          </c:cat>
          <c:val>
            <c:numRef>
              <c:f>Resultado!$O$6:$O$15</c:f>
              <c:numCache>
                <c:formatCode>General</c:formatCode>
                <c:ptCount val="10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672000"/>
        <c:axId val="114660096"/>
      </c:barChart>
      <c:catAx>
        <c:axId val="7667200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pt-BR"/>
          </a:p>
        </c:txPr>
        <c:crossAx val="114660096"/>
        <c:crosses val="autoZero"/>
        <c:auto val="1"/>
        <c:lblAlgn val="ctr"/>
        <c:lblOffset val="100"/>
        <c:noMultiLvlLbl val="0"/>
      </c:catAx>
      <c:valAx>
        <c:axId val="1146600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667200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400"/>
              <a:t>Índice de Severidade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Resultado!$G$5</c:f>
              <c:strCache>
                <c:ptCount val="1"/>
                <c:pt idx="0">
                  <c:v>Contagem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sz="1000" b="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Resultado!$F$6:$F$15</c:f>
              <c:strCache>
                <c:ptCount val="10"/>
                <c:pt idx="0">
                  <c:v>Pouco Perceptível</c:v>
                </c:pt>
                <c:pt idx="1">
                  <c:v>Pouco Importante</c:v>
                </c:pt>
                <c:pt idx="2">
                  <c:v>Pouco Importante</c:v>
                </c:pt>
                <c:pt idx="3">
                  <c:v>Moderado</c:v>
                </c:pt>
                <c:pt idx="4">
                  <c:v>Moderado</c:v>
                </c:pt>
                <c:pt idx="5">
                  <c:v>Moderado</c:v>
                </c:pt>
                <c:pt idx="6">
                  <c:v>Grave</c:v>
                </c:pt>
                <c:pt idx="7">
                  <c:v>Grave</c:v>
                </c:pt>
                <c:pt idx="8">
                  <c:v>Extremamente Grave</c:v>
                </c:pt>
                <c:pt idx="9">
                  <c:v>Extremamente Grave</c:v>
                </c:pt>
              </c:strCache>
            </c:strRef>
          </c:cat>
          <c:val>
            <c:numRef>
              <c:f>Resultado!$G$6:$G$15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985984"/>
        <c:axId val="157500544"/>
      </c:barChart>
      <c:catAx>
        <c:axId val="15698598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pt-BR"/>
          </a:p>
        </c:txPr>
        <c:crossAx val="157500544"/>
        <c:crosses val="autoZero"/>
        <c:auto val="1"/>
        <c:lblAlgn val="ctr"/>
        <c:lblOffset val="100"/>
        <c:noMultiLvlLbl val="0"/>
      </c:catAx>
      <c:valAx>
        <c:axId val="1575005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56985984"/>
        <c:crosses val="autoZero"/>
        <c:crossBetween val="between"/>
        <c:majorUnit val="1"/>
      </c:valAx>
    </c:plotArea>
    <c:legend>
      <c:legendPos val="r"/>
      <c:layout/>
      <c:overlay val="0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400"/>
              <a:t>Índice de Ocorrência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Resultado!$K$5</c:f>
              <c:strCache>
                <c:ptCount val="1"/>
                <c:pt idx="0">
                  <c:v>Contagem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Resultado!$J$6:$J$15</c:f>
              <c:strCache>
                <c:ptCount val="10"/>
                <c:pt idx="0">
                  <c:v>Remota</c:v>
                </c:pt>
                <c:pt idx="1">
                  <c:v>Muito Pequena</c:v>
                </c:pt>
                <c:pt idx="2">
                  <c:v>Pequena</c:v>
                </c:pt>
                <c:pt idx="3">
                  <c:v>Moderada</c:v>
                </c:pt>
                <c:pt idx="4">
                  <c:v>Moderada</c:v>
                </c:pt>
                <c:pt idx="5">
                  <c:v>Moderada</c:v>
                </c:pt>
                <c:pt idx="6">
                  <c:v>Alta</c:v>
                </c:pt>
                <c:pt idx="7">
                  <c:v>Alta</c:v>
                </c:pt>
                <c:pt idx="8">
                  <c:v>Muito Alta</c:v>
                </c:pt>
                <c:pt idx="9">
                  <c:v>Muito Alta</c:v>
                </c:pt>
              </c:strCache>
            </c:strRef>
          </c:cat>
          <c:val>
            <c:numRef>
              <c:f>Resultado!$K$6:$K$15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557312"/>
        <c:axId val="160629120"/>
      </c:barChart>
      <c:catAx>
        <c:axId val="16055731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pt-BR"/>
          </a:p>
        </c:txPr>
        <c:crossAx val="160629120"/>
        <c:crosses val="autoZero"/>
        <c:auto val="1"/>
        <c:lblAlgn val="ctr"/>
        <c:lblOffset val="100"/>
        <c:noMultiLvlLbl val="0"/>
      </c:catAx>
      <c:valAx>
        <c:axId val="16062912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0557312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400"/>
              <a:t>Índice de Detecção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Resultado!$O$5</c:f>
              <c:strCache>
                <c:ptCount val="1"/>
                <c:pt idx="0">
                  <c:v>Contagem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Resultado!$N$6:$N$15</c:f>
              <c:strCache>
                <c:ptCount val="10"/>
                <c:pt idx="0">
                  <c:v>Muito Alta</c:v>
                </c:pt>
                <c:pt idx="1">
                  <c:v>Alta</c:v>
                </c:pt>
                <c:pt idx="2">
                  <c:v>Alta</c:v>
                </c:pt>
                <c:pt idx="3">
                  <c:v>Moderada</c:v>
                </c:pt>
                <c:pt idx="4">
                  <c:v>Moderada</c:v>
                </c:pt>
                <c:pt idx="5">
                  <c:v>Moderada</c:v>
                </c:pt>
                <c:pt idx="6">
                  <c:v>Pequena</c:v>
                </c:pt>
                <c:pt idx="7">
                  <c:v>Pequena</c:v>
                </c:pt>
                <c:pt idx="8">
                  <c:v>Muito Pequena</c:v>
                </c:pt>
                <c:pt idx="9">
                  <c:v>Remota</c:v>
                </c:pt>
              </c:strCache>
            </c:strRef>
          </c:cat>
          <c:val>
            <c:numRef>
              <c:f>Resultado!$O$6:$O$15</c:f>
              <c:numCache>
                <c:formatCode>General</c:formatCode>
                <c:ptCount val="10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674560"/>
        <c:axId val="163054336"/>
      </c:barChart>
      <c:catAx>
        <c:axId val="16067456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pt-BR"/>
          </a:p>
        </c:txPr>
        <c:crossAx val="163054336"/>
        <c:crosses val="autoZero"/>
        <c:auto val="1"/>
        <c:lblAlgn val="ctr"/>
        <c:lblOffset val="100"/>
        <c:noMultiLvlLbl val="0"/>
      </c:catAx>
      <c:valAx>
        <c:axId val="1630543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0674560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hyperlink" Target="#FMEA!A1"/><Relationship Id="rId7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An&#225;lise!A1"/><Relationship Id="rId6" Type="http://schemas.openxmlformats.org/officeDocument/2006/relationships/hyperlink" Target="http://www.acelere.vc" TargetMode="External"/><Relationship Id="rId5" Type="http://schemas.openxmlformats.org/officeDocument/2006/relationships/hyperlink" Target="#Resultado!A1"/><Relationship Id="rId10" Type="http://schemas.openxmlformats.org/officeDocument/2006/relationships/chart" Target="../charts/chart3.xml"/><Relationship Id="rId4" Type="http://schemas.openxmlformats.org/officeDocument/2006/relationships/hyperlink" Target="#'Fatores Internos'!A1"/><Relationship Id="rId9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&#237;cio!A1"/><Relationship Id="rId2" Type="http://schemas.openxmlformats.org/officeDocument/2006/relationships/image" Target="../media/image2.png"/><Relationship Id="rId1" Type="http://schemas.openxmlformats.org/officeDocument/2006/relationships/hyperlink" Target="http://www.acelere.vc" TargetMode="Externa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image" Target="../media/image3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hyperlink" Target="#In&#237;cio!A1"/><Relationship Id="rId5" Type="http://schemas.openxmlformats.org/officeDocument/2006/relationships/image" Target="../media/image2.png"/><Relationship Id="rId4" Type="http://schemas.openxmlformats.org/officeDocument/2006/relationships/hyperlink" Target="http://www.acelere.vc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285750</xdr:colOff>
      <xdr:row>2</xdr:row>
      <xdr:rowOff>38100</xdr:rowOff>
    </xdr:from>
    <xdr:to>
      <xdr:col>11</xdr:col>
      <xdr:colOff>352425</xdr:colOff>
      <xdr:row>5</xdr:row>
      <xdr:rowOff>91363</xdr:rowOff>
    </xdr:to>
    <xdr:grpSp>
      <xdr:nvGrpSpPr>
        <xdr:cNvPr id="5" name="Grupo 4">
          <a:hlinkClick xmlns:r="http://schemas.openxmlformats.org/officeDocument/2006/relationships" r:id="rId1"/>
        </xdr:cNvPr>
        <xdr:cNvGrpSpPr/>
      </xdr:nvGrpSpPr>
      <xdr:grpSpPr>
        <a:xfrm>
          <a:off x="5162550" y="657225"/>
          <a:ext cx="1895475" cy="539038"/>
          <a:chOff x="285750" y="2400300"/>
          <a:chExt cx="1895475" cy="539038"/>
        </a:xfrm>
      </xdr:grpSpPr>
      <xdr:pic>
        <xdr:nvPicPr>
          <xdr:cNvPr id="6" name="Imagem 5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" name="CaixaDeTexto 6">
            <a:hlinkClick xmlns:r="http://schemas.openxmlformats.org/officeDocument/2006/relationships" r:id="rId3"/>
          </xdr:cNvPr>
          <xdr:cNvSpPr txBox="1"/>
        </xdr:nvSpPr>
        <xdr:spPr>
          <a:xfrm>
            <a:off x="457201" y="2524125"/>
            <a:ext cx="1524000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FMEA</a:t>
            </a:r>
          </a:p>
        </xdr:txBody>
      </xdr:sp>
    </xdr:grpSp>
    <xdr:clientData/>
  </xdr:twoCellAnchor>
  <xdr:twoCellAnchor>
    <xdr:from>
      <xdr:col>8</xdr:col>
      <xdr:colOff>323850</xdr:colOff>
      <xdr:row>6</xdr:row>
      <xdr:rowOff>152400</xdr:rowOff>
    </xdr:from>
    <xdr:to>
      <xdr:col>11</xdr:col>
      <xdr:colOff>390525</xdr:colOff>
      <xdr:row>10</xdr:row>
      <xdr:rowOff>43738</xdr:rowOff>
    </xdr:to>
    <xdr:grpSp>
      <xdr:nvGrpSpPr>
        <xdr:cNvPr id="8" name="Grupo 7">
          <a:hlinkClick xmlns:r="http://schemas.openxmlformats.org/officeDocument/2006/relationships" r:id="rId4"/>
        </xdr:cNvPr>
        <xdr:cNvGrpSpPr/>
      </xdr:nvGrpSpPr>
      <xdr:grpSpPr>
        <a:xfrm>
          <a:off x="5200650" y="1419225"/>
          <a:ext cx="1895475" cy="539038"/>
          <a:chOff x="285750" y="2400300"/>
          <a:chExt cx="1895475" cy="539038"/>
        </a:xfrm>
      </xdr:grpSpPr>
      <xdr:pic>
        <xdr:nvPicPr>
          <xdr:cNvPr id="9" name="Imagem 8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" name="CaixaDeTexto 9">
            <a:hlinkClick xmlns:r="http://schemas.openxmlformats.org/officeDocument/2006/relationships" r:id="rId5"/>
          </xdr:cNvPr>
          <xdr:cNvSpPr txBox="1"/>
        </xdr:nvSpPr>
        <xdr:spPr>
          <a:xfrm>
            <a:off x="419100" y="2524125"/>
            <a:ext cx="163829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RESULTADO</a:t>
            </a:r>
          </a:p>
        </xdr:txBody>
      </xdr:sp>
    </xdr:grpSp>
    <xdr:clientData/>
  </xdr:twoCellAnchor>
  <xdr:twoCellAnchor editAs="oneCell">
    <xdr:from>
      <xdr:col>17</xdr:col>
      <xdr:colOff>590550</xdr:colOff>
      <xdr:row>0</xdr:row>
      <xdr:rowOff>1</xdr:rowOff>
    </xdr:from>
    <xdr:to>
      <xdr:col>19</xdr:col>
      <xdr:colOff>571500</xdr:colOff>
      <xdr:row>1</xdr:row>
      <xdr:rowOff>38100</xdr:rowOff>
    </xdr:to>
    <xdr:pic>
      <xdr:nvPicPr>
        <xdr:cNvPr id="11" name="Imagem 10">
          <a:hlinkClick xmlns:r="http://schemas.openxmlformats.org/officeDocument/2006/relationships" r:id="rId6"/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0" y="1"/>
          <a:ext cx="1200150" cy="495299"/>
        </a:xfrm>
        <a:prstGeom prst="rect">
          <a:avLst/>
        </a:prstGeom>
      </xdr:spPr>
    </xdr:pic>
    <xdr:clientData/>
  </xdr:twoCellAnchor>
  <xdr:twoCellAnchor>
    <xdr:from>
      <xdr:col>0</xdr:col>
      <xdr:colOff>304800</xdr:colOff>
      <xdr:row>5</xdr:row>
      <xdr:rowOff>47625</xdr:rowOff>
    </xdr:from>
    <xdr:to>
      <xdr:col>7</xdr:col>
      <xdr:colOff>200025</xdr:colOff>
      <xdr:row>19</xdr:row>
      <xdr:rowOff>19050</xdr:rowOff>
    </xdr:to>
    <xdr:graphicFrame macro="">
      <xdr:nvGraphicFramePr>
        <xdr:cNvPr id="12" name="Grá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533401</xdr:colOff>
      <xdr:row>14</xdr:row>
      <xdr:rowOff>57150</xdr:rowOff>
    </xdr:from>
    <xdr:to>
      <xdr:col>13</xdr:col>
      <xdr:colOff>428625</xdr:colOff>
      <xdr:row>28</xdr:row>
      <xdr:rowOff>28575</xdr:rowOff>
    </xdr:to>
    <xdr:graphicFrame macro="">
      <xdr:nvGraphicFramePr>
        <xdr:cNvPr id="13" name="Grá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314325</xdr:colOff>
      <xdr:row>5</xdr:row>
      <xdr:rowOff>19050</xdr:rowOff>
    </xdr:from>
    <xdr:to>
      <xdr:col>20</xdr:col>
      <xdr:colOff>219075</xdr:colOff>
      <xdr:row>18</xdr:row>
      <xdr:rowOff>152400</xdr:rowOff>
    </xdr:to>
    <xdr:graphicFrame macro="">
      <xdr:nvGraphicFramePr>
        <xdr:cNvPr id="14" name="Grá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2536034</xdr:colOff>
      <xdr:row>0</xdr:row>
      <xdr:rowOff>9525</xdr:rowOff>
    </xdr:from>
    <xdr:to>
      <xdr:col>10</xdr:col>
      <xdr:colOff>926308</xdr:colOff>
      <xdr:row>1</xdr:row>
      <xdr:rowOff>38100</xdr:rowOff>
    </xdr:to>
    <xdr:pic>
      <xdr:nvPicPr>
        <xdr:cNvPr id="6" name="Imagem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1859" y="9525"/>
          <a:ext cx="1200149" cy="485775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0</xdr:row>
      <xdr:rowOff>76200</xdr:rowOff>
    </xdr:from>
    <xdr:to>
      <xdr:col>1</xdr:col>
      <xdr:colOff>9525</xdr:colOff>
      <xdr:row>0</xdr:row>
      <xdr:rowOff>406249</xdr:rowOff>
    </xdr:to>
    <xdr:pic>
      <xdr:nvPicPr>
        <xdr:cNvPr id="7" name="Imagem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76200"/>
          <a:ext cx="561975" cy="3300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2</xdr:row>
      <xdr:rowOff>85725</xdr:rowOff>
    </xdr:from>
    <xdr:to>
      <xdr:col>18</xdr:col>
      <xdr:colOff>542925</xdr:colOff>
      <xdr:row>21</xdr:row>
      <xdr:rowOff>152400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200023</xdr:colOff>
      <xdr:row>22</xdr:row>
      <xdr:rowOff>123824</xdr:rowOff>
    </xdr:from>
    <xdr:to>
      <xdr:col>18</xdr:col>
      <xdr:colOff>561975</xdr:colOff>
      <xdr:row>42</xdr:row>
      <xdr:rowOff>19049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295274</xdr:colOff>
      <xdr:row>45</xdr:row>
      <xdr:rowOff>28575</xdr:rowOff>
    </xdr:from>
    <xdr:to>
      <xdr:col>19</xdr:col>
      <xdr:colOff>47625</xdr:colOff>
      <xdr:row>64</xdr:row>
      <xdr:rowOff>76200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30959</xdr:colOff>
      <xdr:row>0</xdr:row>
      <xdr:rowOff>0</xdr:rowOff>
    </xdr:from>
    <xdr:to>
      <xdr:col>19</xdr:col>
      <xdr:colOff>11908</xdr:colOff>
      <xdr:row>1</xdr:row>
      <xdr:rowOff>28575</xdr:rowOff>
    </xdr:to>
    <xdr:pic>
      <xdr:nvPicPr>
        <xdr:cNvPr id="9" name="Imagem 8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2334" y="0"/>
          <a:ext cx="1200149" cy="48577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66675</xdr:rowOff>
    </xdr:from>
    <xdr:to>
      <xdr:col>1</xdr:col>
      <xdr:colOff>0</xdr:colOff>
      <xdr:row>0</xdr:row>
      <xdr:rowOff>396724</xdr:rowOff>
    </xdr:to>
    <xdr:pic>
      <xdr:nvPicPr>
        <xdr:cNvPr id="10" name="Imagem 9">
          <a:hlinkClick xmlns:r="http://schemas.openxmlformats.org/officeDocument/2006/relationships" r:id="rId6"/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6675"/>
          <a:ext cx="561975" cy="330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showGridLines="0" tabSelected="1" workbookViewId="0">
      <selection activeCell="S25" sqref="S25"/>
    </sheetView>
  </sheetViews>
  <sheetFormatPr defaultRowHeight="12.75" x14ac:dyDescent="0.2"/>
  <sheetData>
    <row r="1" spans="1:25" s="108" customFormat="1" ht="36" customHeight="1" x14ac:dyDescent="0.25">
      <c r="A1" s="105" t="s">
        <v>66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7"/>
      <c r="V1" s="107"/>
      <c r="W1" s="107"/>
      <c r="X1" s="107"/>
      <c r="Y1" s="107"/>
    </row>
    <row r="8" spans="1:25" s="52" customFormat="1" x14ac:dyDescent="0.2"/>
  </sheetData>
  <mergeCells count="1">
    <mergeCell ref="A1:T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45"/>
  <sheetViews>
    <sheetView showGridLines="0" zoomScaleNormal="100" workbookViewId="0">
      <selection sqref="A1:K1"/>
    </sheetView>
  </sheetViews>
  <sheetFormatPr defaultRowHeight="12.75" x14ac:dyDescent="0.2"/>
  <cols>
    <col min="2" max="2" width="2.28515625" customWidth="1"/>
    <col min="3" max="3" width="18.28515625" bestFit="1" customWidth="1"/>
    <col min="4" max="4" width="30.140625" bestFit="1" customWidth="1"/>
    <col min="5" max="5" width="23.42578125" bestFit="1" customWidth="1"/>
    <col min="6" max="6" width="30.7109375" bestFit="1" customWidth="1"/>
    <col min="7" max="7" width="3.85546875" bestFit="1" customWidth="1"/>
    <col min="8" max="8" width="9.7109375" bestFit="1" customWidth="1"/>
    <col min="9" max="9" width="38.140625" bestFit="1" customWidth="1"/>
    <col min="10" max="10" width="4" bestFit="1" customWidth="1"/>
    <col min="11" max="11" width="37.28515625" bestFit="1" customWidth="1"/>
    <col min="12" max="12" width="36.28515625" bestFit="1" customWidth="1"/>
    <col min="13" max="13" width="4" bestFit="1" customWidth="1"/>
    <col min="14" max="14" width="22.42578125" bestFit="1" customWidth="1"/>
    <col min="15" max="15" width="42.42578125" bestFit="1" customWidth="1"/>
    <col min="16" max="16" width="6.42578125" bestFit="1" customWidth="1"/>
    <col min="17" max="17" width="12.5703125" bestFit="1" customWidth="1"/>
    <col min="18" max="18" width="15.28515625" bestFit="1" customWidth="1"/>
    <col min="19" max="19" width="3.85546875" bestFit="1" customWidth="1"/>
    <col min="20" max="21" width="4" bestFit="1" customWidth="1"/>
    <col min="22" max="22" width="6.7109375" bestFit="1" customWidth="1"/>
    <col min="23" max="23" width="2.28515625" customWidth="1"/>
  </cols>
  <sheetData>
    <row r="1" spans="1:25" s="108" customFormat="1" ht="36" customHeight="1" x14ac:dyDescent="0.25">
      <c r="A1" s="105" t="s">
        <v>67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9"/>
      <c r="M1" s="109"/>
      <c r="N1" s="109"/>
      <c r="O1" s="109"/>
      <c r="P1" s="109"/>
      <c r="Q1" s="109"/>
      <c r="R1" s="109"/>
      <c r="S1" s="109"/>
      <c r="T1" s="109"/>
      <c r="U1" s="107"/>
      <c r="V1" s="107"/>
      <c r="W1" s="107"/>
      <c r="X1" s="107"/>
      <c r="Y1" s="107"/>
    </row>
    <row r="3" spans="1:25" ht="13.5" thickBot="1" x14ac:dyDescent="0.25">
      <c r="F3" s="17"/>
    </row>
    <row r="4" spans="1:25" ht="9.9499999999999993" customHeight="1" thickBot="1" x14ac:dyDescent="0.25">
      <c r="B4" s="33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9"/>
    </row>
    <row r="5" spans="1:25" ht="15.75" customHeight="1" x14ac:dyDescent="0.2">
      <c r="B5" s="34"/>
      <c r="C5" s="58" t="s">
        <v>25</v>
      </c>
      <c r="D5" s="59"/>
      <c r="E5" s="59"/>
      <c r="F5" s="59"/>
      <c r="G5" s="59"/>
      <c r="H5" s="60"/>
      <c r="I5" s="13" t="s">
        <v>19</v>
      </c>
      <c r="J5" s="14"/>
      <c r="K5" s="15"/>
      <c r="L5" s="13" t="s">
        <v>18</v>
      </c>
      <c r="M5" s="15"/>
      <c r="N5" s="13" t="s">
        <v>20</v>
      </c>
      <c r="O5" s="14"/>
      <c r="P5" s="14"/>
      <c r="Q5" s="14"/>
      <c r="R5" s="14"/>
      <c r="S5" s="14"/>
      <c r="T5" s="14"/>
      <c r="U5" s="14"/>
      <c r="V5" s="15"/>
      <c r="W5" s="40"/>
    </row>
    <row r="6" spans="1:25" x14ac:dyDescent="0.2">
      <c r="B6" s="34"/>
      <c r="C6" s="61"/>
      <c r="D6" s="62"/>
      <c r="E6" s="62"/>
      <c r="F6" s="62"/>
      <c r="G6" s="62"/>
      <c r="H6" s="63"/>
      <c r="I6" s="92"/>
      <c r="J6" s="68"/>
      <c r="K6" s="69"/>
      <c r="L6" s="73" t="s">
        <v>23</v>
      </c>
      <c r="M6" s="69"/>
      <c r="N6" s="67" t="s">
        <v>49</v>
      </c>
      <c r="O6" s="68"/>
      <c r="P6" s="68"/>
      <c r="Q6" s="68"/>
      <c r="R6" s="68"/>
      <c r="S6" s="68"/>
      <c r="T6" s="68"/>
      <c r="U6" s="68"/>
      <c r="V6" s="69"/>
      <c r="W6" s="40"/>
    </row>
    <row r="7" spans="1:25" ht="13.5" thickBot="1" x14ac:dyDescent="0.25">
      <c r="B7" s="34"/>
      <c r="C7" s="64"/>
      <c r="D7" s="65"/>
      <c r="E7" s="65"/>
      <c r="F7" s="65"/>
      <c r="G7" s="65"/>
      <c r="H7" s="66"/>
      <c r="I7" s="70"/>
      <c r="J7" s="71"/>
      <c r="K7" s="72"/>
      <c r="L7" s="70"/>
      <c r="M7" s="72"/>
      <c r="N7" s="70"/>
      <c r="O7" s="71"/>
      <c r="P7" s="71"/>
      <c r="Q7" s="71"/>
      <c r="R7" s="71"/>
      <c r="S7" s="71"/>
      <c r="T7" s="71"/>
      <c r="U7" s="71"/>
      <c r="V7" s="72"/>
      <c r="W7" s="40"/>
    </row>
    <row r="8" spans="1:25" x14ac:dyDescent="0.2">
      <c r="B8" s="34"/>
      <c r="C8" s="13" t="s">
        <v>13</v>
      </c>
      <c r="D8" s="14"/>
      <c r="E8" s="15"/>
      <c r="F8" s="13" t="s">
        <v>14</v>
      </c>
      <c r="H8" s="14"/>
      <c r="I8" s="13" t="s">
        <v>21</v>
      </c>
      <c r="J8" s="14"/>
      <c r="K8" s="14"/>
      <c r="L8" s="13" t="s">
        <v>15</v>
      </c>
      <c r="M8" s="14"/>
      <c r="N8" s="14"/>
      <c r="O8" s="14"/>
      <c r="P8" s="14"/>
      <c r="Q8" s="15"/>
      <c r="R8" s="93" t="s">
        <v>16</v>
      </c>
      <c r="S8" s="94"/>
      <c r="T8" s="94"/>
      <c r="U8" s="94"/>
      <c r="V8" s="95"/>
      <c r="W8" s="40"/>
    </row>
    <row r="9" spans="1:25" x14ac:dyDescent="0.2">
      <c r="B9" s="34"/>
      <c r="C9" s="83" t="s">
        <v>46</v>
      </c>
      <c r="D9" s="84"/>
      <c r="E9" s="85"/>
      <c r="F9" s="67" t="s">
        <v>47</v>
      </c>
      <c r="G9" s="68"/>
      <c r="H9" s="69"/>
      <c r="I9" s="67" t="s">
        <v>48</v>
      </c>
      <c r="J9" s="68"/>
      <c r="K9" s="69"/>
      <c r="L9" s="67" t="s">
        <v>50</v>
      </c>
      <c r="M9" s="68"/>
      <c r="N9" s="68"/>
      <c r="O9" s="68"/>
      <c r="P9" s="68"/>
      <c r="Q9" s="69"/>
      <c r="R9" s="48" t="s">
        <v>17</v>
      </c>
      <c r="S9" s="96" t="s">
        <v>18</v>
      </c>
      <c r="T9" s="97"/>
      <c r="U9" s="97"/>
      <c r="V9" s="98"/>
      <c r="W9" s="40"/>
    </row>
    <row r="10" spans="1:25" ht="21" customHeight="1" thickBot="1" x14ac:dyDescent="0.25">
      <c r="B10" s="34"/>
      <c r="C10" s="86"/>
      <c r="D10" s="87"/>
      <c r="E10" s="88"/>
      <c r="F10" s="70"/>
      <c r="G10" s="71"/>
      <c r="H10" s="72"/>
      <c r="I10" s="70"/>
      <c r="J10" s="71"/>
      <c r="K10" s="72"/>
      <c r="L10" s="70"/>
      <c r="M10" s="71"/>
      <c r="N10" s="71"/>
      <c r="O10" s="71"/>
      <c r="P10" s="71"/>
      <c r="Q10" s="72"/>
      <c r="R10" s="16"/>
      <c r="S10" s="99"/>
      <c r="T10" s="99"/>
      <c r="U10" s="99"/>
      <c r="V10" s="100"/>
      <c r="W10" s="40"/>
    </row>
    <row r="11" spans="1:25" ht="9.9499999999999993" customHeight="1" thickBot="1" x14ac:dyDescent="0.25">
      <c r="B11" s="34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0"/>
    </row>
    <row r="12" spans="1:25" s="1" customFormat="1" ht="21" customHeight="1" x14ac:dyDescent="0.2">
      <c r="B12" s="35"/>
      <c r="C12" s="78" t="s">
        <v>1</v>
      </c>
      <c r="D12" s="74" t="s">
        <v>0</v>
      </c>
      <c r="E12" s="80" t="s">
        <v>2</v>
      </c>
      <c r="F12" s="78" t="s">
        <v>3</v>
      </c>
      <c r="G12" s="76" t="s">
        <v>4</v>
      </c>
      <c r="H12" s="56" t="s">
        <v>22</v>
      </c>
      <c r="I12" s="74" t="s">
        <v>5</v>
      </c>
      <c r="J12" s="76" t="s">
        <v>6</v>
      </c>
      <c r="K12" s="91" t="s">
        <v>65</v>
      </c>
      <c r="L12" s="74" t="s">
        <v>24</v>
      </c>
      <c r="M12" s="89" t="s">
        <v>7</v>
      </c>
      <c r="N12" s="101" t="s">
        <v>8</v>
      </c>
      <c r="O12" s="78" t="s">
        <v>9</v>
      </c>
      <c r="P12" s="74" t="s">
        <v>10</v>
      </c>
      <c r="Q12" s="103" t="s">
        <v>26</v>
      </c>
      <c r="R12" s="78" t="s">
        <v>11</v>
      </c>
      <c r="S12" s="74"/>
      <c r="T12" s="74"/>
      <c r="U12" s="74"/>
      <c r="V12" s="104"/>
      <c r="W12" s="41"/>
    </row>
    <row r="13" spans="1:25" s="2" customFormat="1" ht="21" customHeight="1" thickBot="1" x14ac:dyDescent="0.25">
      <c r="B13" s="36"/>
      <c r="C13" s="79"/>
      <c r="D13" s="75"/>
      <c r="E13" s="81"/>
      <c r="F13" s="79"/>
      <c r="G13" s="82"/>
      <c r="H13" s="57"/>
      <c r="I13" s="75"/>
      <c r="J13" s="77"/>
      <c r="K13" s="75"/>
      <c r="L13" s="75"/>
      <c r="M13" s="90"/>
      <c r="N13" s="102"/>
      <c r="O13" s="79"/>
      <c r="P13" s="75"/>
      <c r="Q13" s="81"/>
      <c r="R13" s="3" t="s">
        <v>12</v>
      </c>
      <c r="S13" s="30" t="s">
        <v>4</v>
      </c>
      <c r="T13" s="30" t="s">
        <v>6</v>
      </c>
      <c r="U13" s="31" t="s">
        <v>7</v>
      </c>
      <c r="V13" s="32" t="s">
        <v>8</v>
      </c>
      <c r="W13" s="42"/>
    </row>
    <row r="14" spans="1:25" ht="24.95" customHeight="1" x14ac:dyDescent="0.2">
      <c r="B14" s="34"/>
      <c r="C14" s="4" t="s">
        <v>27</v>
      </c>
      <c r="D14" s="5" t="s">
        <v>30</v>
      </c>
      <c r="E14" s="6" t="s">
        <v>33</v>
      </c>
      <c r="F14" s="4" t="s">
        <v>36</v>
      </c>
      <c r="G14" s="21">
        <v>9</v>
      </c>
      <c r="H14" s="18"/>
      <c r="I14" s="5" t="s">
        <v>39</v>
      </c>
      <c r="J14" s="21">
        <v>3</v>
      </c>
      <c r="K14" s="18" t="s">
        <v>42</v>
      </c>
      <c r="L14" s="46" t="s">
        <v>42</v>
      </c>
      <c r="M14" s="24">
        <v>1</v>
      </c>
      <c r="N14" s="53">
        <f>G14*J14*M14</f>
        <v>27</v>
      </c>
      <c r="O14" s="4" t="s">
        <v>44</v>
      </c>
      <c r="P14" s="5"/>
      <c r="Q14" s="6"/>
      <c r="R14" s="4"/>
      <c r="S14" s="21"/>
      <c r="T14" s="21"/>
      <c r="U14" s="24"/>
      <c r="V14" s="25">
        <f>S14*T14*U14</f>
        <v>0</v>
      </c>
      <c r="W14" s="40"/>
    </row>
    <row r="15" spans="1:25" ht="24.95" customHeight="1" x14ac:dyDescent="0.2">
      <c r="B15" s="34"/>
      <c r="C15" s="7" t="s">
        <v>28</v>
      </c>
      <c r="D15" s="8" t="s">
        <v>31</v>
      </c>
      <c r="E15" s="9" t="s">
        <v>34</v>
      </c>
      <c r="F15" s="7" t="s">
        <v>37</v>
      </c>
      <c r="G15" s="22">
        <v>10</v>
      </c>
      <c r="H15" s="19"/>
      <c r="I15" s="8" t="s">
        <v>40</v>
      </c>
      <c r="J15" s="22">
        <v>2</v>
      </c>
      <c r="K15" s="19" t="s">
        <v>42</v>
      </c>
      <c r="L15" s="47" t="s">
        <v>42</v>
      </c>
      <c r="M15" s="26">
        <v>1</v>
      </c>
      <c r="N15" s="54">
        <f>G15*J15*M15</f>
        <v>20</v>
      </c>
      <c r="O15" s="7" t="s">
        <v>44</v>
      </c>
      <c r="P15" s="8"/>
      <c r="Q15" s="9"/>
      <c r="R15" s="7"/>
      <c r="S15" s="22"/>
      <c r="T15" s="22"/>
      <c r="U15" s="26"/>
      <c r="V15" s="27">
        <f>Q15*S15*U15</f>
        <v>0</v>
      </c>
      <c r="W15" s="40"/>
    </row>
    <row r="16" spans="1:25" ht="24.95" customHeight="1" x14ac:dyDescent="0.2">
      <c r="B16" s="34"/>
      <c r="C16" s="7" t="s">
        <v>29</v>
      </c>
      <c r="D16" s="8" t="s">
        <v>32</v>
      </c>
      <c r="E16" s="9" t="s">
        <v>35</v>
      </c>
      <c r="F16" s="7" t="s">
        <v>38</v>
      </c>
      <c r="G16" s="22">
        <v>8</v>
      </c>
      <c r="H16" s="19"/>
      <c r="I16" s="8" t="s">
        <v>41</v>
      </c>
      <c r="J16" s="22">
        <v>4</v>
      </c>
      <c r="K16" s="19" t="s">
        <v>43</v>
      </c>
      <c r="L16" s="47" t="s">
        <v>43</v>
      </c>
      <c r="M16" s="26">
        <v>1</v>
      </c>
      <c r="N16" s="54">
        <f t="shared" ref="N16:N44" si="0">G16*J16*M16</f>
        <v>32</v>
      </c>
      <c r="O16" s="7" t="s">
        <v>45</v>
      </c>
      <c r="P16" s="8"/>
      <c r="Q16" s="9"/>
      <c r="R16" s="7"/>
      <c r="S16" s="22"/>
      <c r="T16" s="22"/>
      <c r="U16" s="26"/>
      <c r="V16" s="27">
        <f t="shared" ref="V16:V44" si="1">Q16*S16*U16</f>
        <v>0</v>
      </c>
      <c r="W16" s="40"/>
    </row>
    <row r="17" spans="2:23" ht="24.95" customHeight="1" x14ac:dyDescent="0.2">
      <c r="B17" s="34"/>
      <c r="C17" s="7"/>
      <c r="D17" s="8"/>
      <c r="E17" s="9"/>
      <c r="F17" s="7"/>
      <c r="G17" s="22"/>
      <c r="H17" s="19"/>
      <c r="I17" s="8"/>
      <c r="J17" s="22"/>
      <c r="K17" s="19"/>
      <c r="L17" s="8"/>
      <c r="M17" s="26"/>
      <c r="N17" s="54">
        <f t="shared" si="0"/>
        <v>0</v>
      </c>
      <c r="O17" s="7"/>
      <c r="P17" s="8"/>
      <c r="Q17" s="9"/>
      <c r="R17" s="7"/>
      <c r="S17" s="22"/>
      <c r="T17" s="22"/>
      <c r="U17" s="26"/>
      <c r="V17" s="27">
        <f t="shared" si="1"/>
        <v>0</v>
      </c>
      <c r="W17" s="40"/>
    </row>
    <row r="18" spans="2:23" ht="24.95" customHeight="1" x14ac:dyDescent="0.2">
      <c r="B18" s="34"/>
      <c r="C18" s="7"/>
      <c r="D18" s="8"/>
      <c r="E18" s="9"/>
      <c r="F18" s="7"/>
      <c r="G18" s="22"/>
      <c r="H18" s="19"/>
      <c r="I18" s="8"/>
      <c r="J18" s="22"/>
      <c r="K18" s="19"/>
      <c r="L18" s="8"/>
      <c r="M18" s="26"/>
      <c r="N18" s="54">
        <f t="shared" si="0"/>
        <v>0</v>
      </c>
      <c r="O18" s="7"/>
      <c r="P18" s="8"/>
      <c r="Q18" s="9"/>
      <c r="R18" s="7"/>
      <c r="S18" s="22"/>
      <c r="T18" s="22"/>
      <c r="U18" s="26"/>
      <c r="V18" s="27">
        <f t="shared" si="1"/>
        <v>0</v>
      </c>
      <c r="W18" s="40"/>
    </row>
    <row r="19" spans="2:23" ht="24.95" customHeight="1" x14ac:dyDescent="0.2">
      <c r="B19" s="34"/>
      <c r="C19" s="7"/>
      <c r="D19" s="8"/>
      <c r="E19" s="9"/>
      <c r="F19" s="7"/>
      <c r="G19" s="22"/>
      <c r="H19" s="19"/>
      <c r="I19" s="8"/>
      <c r="J19" s="22"/>
      <c r="K19" s="19"/>
      <c r="L19" s="8"/>
      <c r="M19" s="26"/>
      <c r="N19" s="54">
        <f t="shared" si="0"/>
        <v>0</v>
      </c>
      <c r="O19" s="7"/>
      <c r="P19" s="8"/>
      <c r="Q19" s="9"/>
      <c r="R19" s="7"/>
      <c r="S19" s="22"/>
      <c r="T19" s="22"/>
      <c r="U19" s="26"/>
      <c r="V19" s="27">
        <f t="shared" si="1"/>
        <v>0</v>
      </c>
      <c r="W19" s="40"/>
    </row>
    <row r="20" spans="2:23" ht="24.95" customHeight="1" x14ac:dyDescent="0.2">
      <c r="B20" s="34"/>
      <c r="C20" s="7"/>
      <c r="D20" s="8"/>
      <c r="E20" s="9"/>
      <c r="F20" s="7"/>
      <c r="G20" s="22"/>
      <c r="H20" s="19"/>
      <c r="I20" s="8"/>
      <c r="J20" s="22"/>
      <c r="K20" s="19"/>
      <c r="L20" s="8"/>
      <c r="M20" s="26"/>
      <c r="N20" s="54">
        <f t="shared" si="0"/>
        <v>0</v>
      </c>
      <c r="O20" s="7"/>
      <c r="P20" s="8"/>
      <c r="Q20" s="9"/>
      <c r="R20" s="7"/>
      <c r="S20" s="22"/>
      <c r="T20" s="22"/>
      <c r="U20" s="26"/>
      <c r="V20" s="27">
        <f t="shared" si="1"/>
        <v>0</v>
      </c>
      <c r="W20" s="40"/>
    </row>
    <row r="21" spans="2:23" ht="24.95" customHeight="1" x14ac:dyDescent="0.2">
      <c r="B21" s="34"/>
      <c r="C21" s="7"/>
      <c r="D21" s="8"/>
      <c r="E21" s="9"/>
      <c r="F21" s="7"/>
      <c r="G21" s="22"/>
      <c r="H21" s="19"/>
      <c r="I21" s="8"/>
      <c r="J21" s="22"/>
      <c r="K21" s="19"/>
      <c r="L21" s="8"/>
      <c r="M21" s="26"/>
      <c r="N21" s="54">
        <f t="shared" si="0"/>
        <v>0</v>
      </c>
      <c r="O21" s="7"/>
      <c r="P21" s="8"/>
      <c r="Q21" s="9"/>
      <c r="R21" s="7"/>
      <c r="S21" s="22"/>
      <c r="T21" s="22"/>
      <c r="U21" s="26"/>
      <c r="V21" s="27">
        <f t="shared" si="1"/>
        <v>0</v>
      </c>
      <c r="W21" s="40"/>
    </row>
    <row r="22" spans="2:23" ht="24.95" customHeight="1" x14ac:dyDescent="0.2">
      <c r="B22" s="34"/>
      <c r="C22" s="7"/>
      <c r="D22" s="8"/>
      <c r="E22" s="9"/>
      <c r="F22" s="7"/>
      <c r="G22" s="22"/>
      <c r="H22" s="19"/>
      <c r="I22" s="8"/>
      <c r="J22" s="22"/>
      <c r="K22" s="19"/>
      <c r="L22" s="8"/>
      <c r="M22" s="26"/>
      <c r="N22" s="54">
        <f t="shared" si="0"/>
        <v>0</v>
      </c>
      <c r="O22" s="7"/>
      <c r="P22" s="8"/>
      <c r="Q22" s="9"/>
      <c r="R22" s="7"/>
      <c r="S22" s="22"/>
      <c r="T22" s="22"/>
      <c r="U22" s="26"/>
      <c r="V22" s="27">
        <f t="shared" si="1"/>
        <v>0</v>
      </c>
      <c r="W22" s="40"/>
    </row>
    <row r="23" spans="2:23" ht="24.95" customHeight="1" x14ac:dyDescent="0.2">
      <c r="B23" s="34"/>
      <c r="C23" s="7"/>
      <c r="D23" s="8"/>
      <c r="E23" s="9"/>
      <c r="F23" s="7"/>
      <c r="G23" s="22"/>
      <c r="H23" s="19"/>
      <c r="I23" s="8"/>
      <c r="J23" s="22"/>
      <c r="K23" s="19"/>
      <c r="L23" s="8"/>
      <c r="M23" s="26"/>
      <c r="N23" s="54">
        <f t="shared" si="0"/>
        <v>0</v>
      </c>
      <c r="O23" s="7"/>
      <c r="P23" s="8"/>
      <c r="Q23" s="9"/>
      <c r="R23" s="7"/>
      <c r="S23" s="22"/>
      <c r="T23" s="22"/>
      <c r="U23" s="26"/>
      <c r="V23" s="27">
        <f t="shared" si="1"/>
        <v>0</v>
      </c>
      <c r="W23" s="40"/>
    </row>
    <row r="24" spans="2:23" ht="24.95" customHeight="1" x14ac:dyDescent="0.2">
      <c r="B24" s="34"/>
      <c r="C24" s="7"/>
      <c r="D24" s="8"/>
      <c r="E24" s="9"/>
      <c r="F24" s="7"/>
      <c r="G24" s="22"/>
      <c r="H24" s="19"/>
      <c r="I24" s="8"/>
      <c r="J24" s="22"/>
      <c r="K24" s="19"/>
      <c r="L24" s="8"/>
      <c r="M24" s="26"/>
      <c r="N24" s="54">
        <f t="shared" si="0"/>
        <v>0</v>
      </c>
      <c r="O24" s="7"/>
      <c r="P24" s="8"/>
      <c r="Q24" s="9"/>
      <c r="R24" s="7"/>
      <c r="S24" s="22"/>
      <c r="T24" s="22"/>
      <c r="U24" s="26"/>
      <c r="V24" s="27">
        <f t="shared" si="1"/>
        <v>0</v>
      </c>
      <c r="W24" s="40"/>
    </row>
    <row r="25" spans="2:23" ht="24.95" customHeight="1" x14ac:dyDescent="0.2">
      <c r="B25" s="34"/>
      <c r="C25" s="7"/>
      <c r="D25" s="8"/>
      <c r="E25" s="9"/>
      <c r="F25" s="7"/>
      <c r="G25" s="22"/>
      <c r="H25" s="19"/>
      <c r="I25" s="8"/>
      <c r="J25" s="22"/>
      <c r="K25" s="19"/>
      <c r="L25" s="8"/>
      <c r="M25" s="26"/>
      <c r="N25" s="54">
        <f t="shared" si="0"/>
        <v>0</v>
      </c>
      <c r="O25" s="7"/>
      <c r="P25" s="8"/>
      <c r="Q25" s="9"/>
      <c r="R25" s="7"/>
      <c r="S25" s="22"/>
      <c r="T25" s="22"/>
      <c r="U25" s="26"/>
      <c r="V25" s="27">
        <f t="shared" si="1"/>
        <v>0</v>
      </c>
      <c r="W25" s="40"/>
    </row>
    <row r="26" spans="2:23" ht="24.95" customHeight="1" x14ac:dyDescent="0.2">
      <c r="B26" s="34"/>
      <c r="C26" s="7"/>
      <c r="D26" s="8"/>
      <c r="E26" s="9"/>
      <c r="F26" s="7"/>
      <c r="G26" s="22"/>
      <c r="H26" s="19"/>
      <c r="I26" s="8"/>
      <c r="J26" s="22"/>
      <c r="K26" s="19"/>
      <c r="L26" s="8"/>
      <c r="M26" s="26"/>
      <c r="N26" s="54">
        <f t="shared" si="0"/>
        <v>0</v>
      </c>
      <c r="O26" s="7"/>
      <c r="P26" s="8"/>
      <c r="Q26" s="9"/>
      <c r="R26" s="7"/>
      <c r="S26" s="22"/>
      <c r="T26" s="22"/>
      <c r="U26" s="26"/>
      <c r="V26" s="27">
        <f t="shared" si="1"/>
        <v>0</v>
      </c>
      <c r="W26" s="40"/>
    </row>
    <row r="27" spans="2:23" ht="24.95" customHeight="1" x14ac:dyDescent="0.2">
      <c r="B27" s="34"/>
      <c r="C27" s="7"/>
      <c r="D27" s="8"/>
      <c r="E27" s="9"/>
      <c r="F27" s="7"/>
      <c r="G27" s="22"/>
      <c r="H27" s="19"/>
      <c r="I27" s="8"/>
      <c r="J27" s="22"/>
      <c r="K27" s="19"/>
      <c r="L27" s="8"/>
      <c r="M27" s="26"/>
      <c r="N27" s="54">
        <f t="shared" si="0"/>
        <v>0</v>
      </c>
      <c r="O27" s="7"/>
      <c r="P27" s="8"/>
      <c r="Q27" s="9"/>
      <c r="R27" s="7"/>
      <c r="S27" s="22"/>
      <c r="T27" s="22"/>
      <c r="U27" s="26"/>
      <c r="V27" s="27">
        <f t="shared" si="1"/>
        <v>0</v>
      </c>
      <c r="W27" s="40"/>
    </row>
    <row r="28" spans="2:23" ht="24.95" customHeight="1" x14ac:dyDescent="0.2">
      <c r="B28" s="34"/>
      <c r="C28" s="7"/>
      <c r="D28" s="8"/>
      <c r="E28" s="9"/>
      <c r="F28" s="7"/>
      <c r="G28" s="22"/>
      <c r="H28" s="19"/>
      <c r="I28" s="8"/>
      <c r="J28" s="22"/>
      <c r="K28" s="19"/>
      <c r="L28" s="8"/>
      <c r="M28" s="26"/>
      <c r="N28" s="54">
        <f t="shared" si="0"/>
        <v>0</v>
      </c>
      <c r="O28" s="7"/>
      <c r="P28" s="8"/>
      <c r="Q28" s="9"/>
      <c r="R28" s="7"/>
      <c r="S28" s="22"/>
      <c r="T28" s="22"/>
      <c r="U28" s="26"/>
      <c r="V28" s="27">
        <f t="shared" si="1"/>
        <v>0</v>
      </c>
      <c r="W28" s="40"/>
    </row>
    <row r="29" spans="2:23" ht="24.95" customHeight="1" x14ac:dyDescent="0.2">
      <c r="B29" s="34"/>
      <c r="C29" s="7"/>
      <c r="D29" s="8"/>
      <c r="E29" s="9"/>
      <c r="F29" s="7"/>
      <c r="G29" s="22"/>
      <c r="H29" s="19"/>
      <c r="I29" s="8"/>
      <c r="J29" s="22"/>
      <c r="K29" s="19"/>
      <c r="L29" s="8"/>
      <c r="M29" s="26"/>
      <c r="N29" s="54">
        <f t="shared" si="0"/>
        <v>0</v>
      </c>
      <c r="O29" s="7"/>
      <c r="P29" s="8"/>
      <c r="Q29" s="9"/>
      <c r="R29" s="7"/>
      <c r="S29" s="22"/>
      <c r="T29" s="22"/>
      <c r="U29" s="26"/>
      <c r="V29" s="27">
        <f t="shared" si="1"/>
        <v>0</v>
      </c>
      <c r="W29" s="40"/>
    </row>
    <row r="30" spans="2:23" ht="24.95" customHeight="1" x14ac:dyDescent="0.2">
      <c r="B30" s="34"/>
      <c r="C30" s="7"/>
      <c r="D30" s="8"/>
      <c r="E30" s="9"/>
      <c r="F30" s="7"/>
      <c r="G30" s="22"/>
      <c r="H30" s="19"/>
      <c r="I30" s="8"/>
      <c r="J30" s="22"/>
      <c r="K30" s="19"/>
      <c r="L30" s="8"/>
      <c r="M30" s="26"/>
      <c r="N30" s="54">
        <f t="shared" si="0"/>
        <v>0</v>
      </c>
      <c r="O30" s="7"/>
      <c r="P30" s="8"/>
      <c r="Q30" s="9"/>
      <c r="R30" s="7"/>
      <c r="S30" s="22"/>
      <c r="T30" s="22"/>
      <c r="U30" s="26"/>
      <c r="V30" s="27">
        <f t="shared" si="1"/>
        <v>0</v>
      </c>
      <c r="W30" s="40"/>
    </row>
    <row r="31" spans="2:23" ht="24.95" customHeight="1" x14ac:dyDescent="0.2">
      <c r="B31" s="34"/>
      <c r="C31" s="7"/>
      <c r="D31" s="8"/>
      <c r="E31" s="9"/>
      <c r="F31" s="7"/>
      <c r="G31" s="22"/>
      <c r="H31" s="19"/>
      <c r="I31" s="8"/>
      <c r="J31" s="22"/>
      <c r="K31" s="19"/>
      <c r="L31" s="8"/>
      <c r="M31" s="26"/>
      <c r="N31" s="54">
        <f t="shared" si="0"/>
        <v>0</v>
      </c>
      <c r="O31" s="7"/>
      <c r="P31" s="8"/>
      <c r="Q31" s="9"/>
      <c r="R31" s="7"/>
      <c r="S31" s="22"/>
      <c r="T31" s="22"/>
      <c r="U31" s="26"/>
      <c r="V31" s="27">
        <f t="shared" si="1"/>
        <v>0</v>
      </c>
      <c r="W31" s="40"/>
    </row>
    <row r="32" spans="2:23" ht="24.95" customHeight="1" x14ac:dyDescent="0.2">
      <c r="B32" s="34"/>
      <c r="C32" s="7"/>
      <c r="D32" s="8"/>
      <c r="E32" s="9"/>
      <c r="F32" s="7"/>
      <c r="G32" s="22"/>
      <c r="H32" s="19"/>
      <c r="I32" s="8"/>
      <c r="J32" s="22"/>
      <c r="K32" s="19"/>
      <c r="L32" s="8"/>
      <c r="M32" s="26"/>
      <c r="N32" s="54">
        <f t="shared" si="0"/>
        <v>0</v>
      </c>
      <c r="O32" s="7"/>
      <c r="P32" s="8"/>
      <c r="Q32" s="9"/>
      <c r="R32" s="7"/>
      <c r="S32" s="22"/>
      <c r="T32" s="22"/>
      <c r="U32" s="26"/>
      <c r="V32" s="27">
        <f t="shared" si="1"/>
        <v>0</v>
      </c>
      <c r="W32" s="40"/>
    </row>
    <row r="33" spans="2:23" ht="24.95" customHeight="1" x14ac:dyDescent="0.2">
      <c r="B33" s="34"/>
      <c r="C33" s="7"/>
      <c r="D33" s="8"/>
      <c r="E33" s="9"/>
      <c r="F33" s="7"/>
      <c r="G33" s="22"/>
      <c r="H33" s="19"/>
      <c r="I33" s="8"/>
      <c r="J33" s="22"/>
      <c r="K33" s="19"/>
      <c r="L33" s="8"/>
      <c r="M33" s="26"/>
      <c r="N33" s="54">
        <f t="shared" si="0"/>
        <v>0</v>
      </c>
      <c r="O33" s="7"/>
      <c r="P33" s="8"/>
      <c r="Q33" s="9"/>
      <c r="R33" s="7"/>
      <c r="S33" s="22"/>
      <c r="T33" s="22"/>
      <c r="U33" s="26"/>
      <c r="V33" s="27">
        <f t="shared" si="1"/>
        <v>0</v>
      </c>
      <c r="W33" s="40"/>
    </row>
    <row r="34" spans="2:23" ht="24.95" customHeight="1" x14ac:dyDescent="0.2">
      <c r="B34" s="34"/>
      <c r="C34" s="7"/>
      <c r="D34" s="8"/>
      <c r="E34" s="9"/>
      <c r="F34" s="7"/>
      <c r="G34" s="22"/>
      <c r="H34" s="19"/>
      <c r="I34" s="8"/>
      <c r="J34" s="22"/>
      <c r="K34" s="19"/>
      <c r="L34" s="8"/>
      <c r="M34" s="26"/>
      <c r="N34" s="54">
        <f t="shared" si="0"/>
        <v>0</v>
      </c>
      <c r="O34" s="7"/>
      <c r="P34" s="8"/>
      <c r="Q34" s="9"/>
      <c r="R34" s="7"/>
      <c r="S34" s="22"/>
      <c r="T34" s="22"/>
      <c r="U34" s="26"/>
      <c r="V34" s="27">
        <f t="shared" si="1"/>
        <v>0</v>
      </c>
      <c r="W34" s="40"/>
    </row>
    <row r="35" spans="2:23" ht="24.95" customHeight="1" x14ac:dyDescent="0.2">
      <c r="B35" s="34"/>
      <c r="C35" s="7"/>
      <c r="D35" s="8"/>
      <c r="E35" s="9"/>
      <c r="F35" s="7"/>
      <c r="G35" s="22"/>
      <c r="H35" s="19"/>
      <c r="I35" s="8"/>
      <c r="J35" s="22"/>
      <c r="K35" s="19"/>
      <c r="L35" s="8"/>
      <c r="M35" s="26"/>
      <c r="N35" s="54">
        <f t="shared" si="0"/>
        <v>0</v>
      </c>
      <c r="O35" s="7"/>
      <c r="P35" s="8"/>
      <c r="Q35" s="9"/>
      <c r="R35" s="7"/>
      <c r="S35" s="22"/>
      <c r="T35" s="22"/>
      <c r="U35" s="26"/>
      <c r="V35" s="27">
        <f t="shared" si="1"/>
        <v>0</v>
      </c>
      <c r="W35" s="40"/>
    </row>
    <row r="36" spans="2:23" ht="24.95" customHeight="1" x14ac:dyDescent="0.2">
      <c r="B36" s="34"/>
      <c r="C36" s="7"/>
      <c r="D36" s="8"/>
      <c r="E36" s="9"/>
      <c r="F36" s="7"/>
      <c r="G36" s="22"/>
      <c r="H36" s="19"/>
      <c r="I36" s="8"/>
      <c r="J36" s="22"/>
      <c r="K36" s="19"/>
      <c r="L36" s="8"/>
      <c r="M36" s="26"/>
      <c r="N36" s="54">
        <f t="shared" si="0"/>
        <v>0</v>
      </c>
      <c r="O36" s="7"/>
      <c r="P36" s="8"/>
      <c r="Q36" s="9"/>
      <c r="R36" s="7"/>
      <c r="S36" s="22"/>
      <c r="T36" s="22"/>
      <c r="U36" s="26"/>
      <c r="V36" s="27">
        <f t="shared" si="1"/>
        <v>0</v>
      </c>
      <c r="W36" s="40"/>
    </row>
    <row r="37" spans="2:23" ht="24.95" customHeight="1" x14ac:dyDescent="0.2">
      <c r="B37" s="34"/>
      <c r="C37" s="7"/>
      <c r="D37" s="8"/>
      <c r="E37" s="9"/>
      <c r="F37" s="7"/>
      <c r="G37" s="22"/>
      <c r="H37" s="19"/>
      <c r="I37" s="8"/>
      <c r="J37" s="22"/>
      <c r="K37" s="19"/>
      <c r="L37" s="8"/>
      <c r="M37" s="26"/>
      <c r="N37" s="54">
        <f t="shared" si="0"/>
        <v>0</v>
      </c>
      <c r="O37" s="7"/>
      <c r="P37" s="8"/>
      <c r="Q37" s="9"/>
      <c r="R37" s="7"/>
      <c r="S37" s="22"/>
      <c r="T37" s="22"/>
      <c r="U37" s="26"/>
      <c r="V37" s="27">
        <f t="shared" si="1"/>
        <v>0</v>
      </c>
      <c r="W37" s="40"/>
    </row>
    <row r="38" spans="2:23" ht="24.95" customHeight="1" x14ac:dyDescent="0.2">
      <c r="B38" s="34"/>
      <c r="C38" s="7"/>
      <c r="D38" s="8"/>
      <c r="E38" s="9"/>
      <c r="F38" s="7"/>
      <c r="G38" s="22"/>
      <c r="H38" s="19"/>
      <c r="I38" s="8"/>
      <c r="J38" s="22"/>
      <c r="K38" s="19"/>
      <c r="L38" s="8"/>
      <c r="M38" s="26"/>
      <c r="N38" s="54">
        <f t="shared" si="0"/>
        <v>0</v>
      </c>
      <c r="O38" s="7"/>
      <c r="P38" s="8"/>
      <c r="Q38" s="9"/>
      <c r="R38" s="7"/>
      <c r="S38" s="22"/>
      <c r="T38" s="22"/>
      <c r="U38" s="26"/>
      <c r="V38" s="27">
        <f t="shared" si="1"/>
        <v>0</v>
      </c>
      <c r="W38" s="40"/>
    </row>
    <row r="39" spans="2:23" ht="24.95" customHeight="1" x14ac:dyDescent="0.2">
      <c r="B39" s="34"/>
      <c r="C39" s="7"/>
      <c r="D39" s="8"/>
      <c r="E39" s="9"/>
      <c r="F39" s="7"/>
      <c r="G39" s="22"/>
      <c r="H39" s="19"/>
      <c r="I39" s="8"/>
      <c r="J39" s="22"/>
      <c r="K39" s="19"/>
      <c r="L39" s="8"/>
      <c r="M39" s="26"/>
      <c r="N39" s="54">
        <f t="shared" si="0"/>
        <v>0</v>
      </c>
      <c r="O39" s="7"/>
      <c r="P39" s="8"/>
      <c r="Q39" s="9"/>
      <c r="R39" s="7"/>
      <c r="S39" s="22"/>
      <c r="T39" s="22"/>
      <c r="U39" s="26"/>
      <c r="V39" s="27">
        <f t="shared" si="1"/>
        <v>0</v>
      </c>
      <c r="W39" s="40"/>
    </row>
    <row r="40" spans="2:23" ht="24.95" customHeight="1" x14ac:dyDescent="0.2">
      <c r="B40" s="34"/>
      <c r="C40" s="7"/>
      <c r="D40" s="8"/>
      <c r="E40" s="9"/>
      <c r="F40" s="7"/>
      <c r="G40" s="22"/>
      <c r="H40" s="19"/>
      <c r="I40" s="8"/>
      <c r="J40" s="22"/>
      <c r="K40" s="19"/>
      <c r="L40" s="8"/>
      <c r="M40" s="26"/>
      <c r="N40" s="54">
        <f t="shared" si="0"/>
        <v>0</v>
      </c>
      <c r="O40" s="7"/>
      <c r="P40" s="8"/>
      <c r="Q40" s="9"/>
      <c r="R40" s="7"/>
      <c r="S40" s="22"/>
      <c r="T40" s="22"/>
      <c r="U40" s="26"/>
      <c r="V40" s="27">
        <f t="shared" si="1"/>
        <v>0</v>
      </c>
      <c r="W40" s="40"/>
    </row>
    <row r="41" spans="2:23" ht="24.95" customHeight="1" x14ac:dyDescent="0.2">
      <c r="B41" s="34"/>
      <c r="C41" s="7"/>
      <c r="D41" s="8"/>
      <c r="E41" s="9"/>
      <c r="F41" s="7"/>
      <c r="G41" s="22"/>
      <c r="H41" s="19"/>
      <c r="I41" s="8"/>
      <c r="J41" s="22"/>
      <c r="K41" s="19"/>
      <c r="L41" s="8"/>
      <c r="M41" s="26"/>
      <c r="N41" s="54">
        <f t="shared" si="0"/>
        <v>0</v>
      </c>
      <c r="O41" s="7"/>
      <c r="P41" s="8"/>
      <c r="Q41" s="9"/>
      <c r="R41" s="7"/>
      <c r="S41" s="22"/>
      <c r="T41" s="22"/>
      <c r="U41" s="26"/>
      <c r="V41" s="27">
        <f t="shared" si="1"/>
        <v>0</v>
      </c>
      <c r="W41" s="40"/>
    </row>
    <row r="42" spans="2:23" ht="24.95" customHeight="1" x14ac:dyDescent="0.2">
      <c r="B42" s="34"/>
      <c r="C42" s="7"/>
      <c r="D42" s="8"/>
      <c r="E42" s="9"/>
      <c r="F42" s="7"/>
      <c r="G42" s="22"/>
      <c r="H42" s="19"/>
      <c r="I42" s="8"/>
      <c r="J42" s="22"/>
      <c r="K42" s="19"/>
      <c r="L42" s="8"/>
      <c r="M42" s="26"/>
      <c r="N42" s="54">
        <f t="shared" si="0"/>
        <v>0</v>
      </c>
      <c r="O42" s="7"/>
      <c r="P42" s="8"/>
      <c r="Q42" s="9"/>
      <c r="R42" s="7"/>
      <c r="S42" s="22"/>
      <c r="T42" s="22"/>
      <c r="U42" s="26"/>
      <c r="V42" s="27">
        <f t="shared" si="1"/>
        <v>0</v>
      </c>
      <c r="W42" s="40"/>
    </row>
    <row r="43" spans="2:23" ht="24.95" customHeight="1" x14ac:dyDescent="0.2">
      <c r="B43" s="34"/>
      <c r="C43" s="7"/>
      <c r="D43" s="8"/>
      <c r="E43" s="9"/>
      <c r="F43" s="7"/>
      <c r="G43" s="22"/>
      <c r="H43" s="19"/>
      <c r="I43" s="8"/>
      <c r="J43" s="22"/>
      <c r="K43" s="19"/>
      <c r="L43" s="8"/>
      <c r="M43" s="26"/>
      <c r="N43" s="54">
        <f t="shared" si="0"/>
        <v>0</v>
      </c>
      <c r="O43" s="7"/>
      <c r="P43" s="8"/>
      <c r="Q43" s="9"/>
      <c r="R43" s="7"/>
      <c r="S43" s="22"/>
      <c r="T43" s="22"/>
      <c r="U43" s="26"/>
      <c r="V43" s="27">
        <f t="shared" si="1"/>
        <v>0</v>
      </c>
      <c r="W43" s="40"/>
    </row>
    <row r="44" spans="2:23" ht="24.95" customHeight="1" thickBot="1" x14ac:dyDescent="0.25">
      <c r="B44" s="34"/>
      <c r="C44" s="10"/>
      <c r="D44" s="11"/>
      <c r="E44" s="12"/>
      <c r="F44" s="10"/>
      <c r="G44" s="23"/>
      <c r="H44" s="20"/>
      <c r="I44" s="11"/>
      <c r="J44" s="23"/>
      <c r="K44" s="20"/>
      <c r="L44" s="11"/>
      <c r="M44" s="28"/>
      <c r="N44" s="55">
        <f t="shared" si="0"/>
        <v>0</v>
      </c>
      <c r="O44" s="10"/>
      <c r="P44" s="11"/>
      <c r="Q44" s="12"/>
      <c r="R44" s="10"/>
      <c r="S44" s="23"/>
      <c r="T44" s="23"/>
      <c r="U44" s="28"/>
      <c r="V44" s="29">
        <f t="shared" si="1"/>
        <v>0</v>
      </c>
      <c r="W44" s="40"/>
    </row>
    <row r="45" spans="2:23" ht="9.9499999999999993" customHeight="1" thickBot="1" x14ac:dyDescent="0.25">
      <c r="B45" s="37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3"/>
    </row>
  </sheetData>
  <mergeCells count="28">
    <mergeCell ref="A1:K1"/>
    <mergeCell ref="L12:L13"/>
    <mergeCell ref="I6:K7"/>
    <mergeCell ref="I9:K10"/>
    <mergeCell ref="N6:V7"/>
    <mergeCell ref="R8:V8"/>
    <mergeCell ref="S9:V9"/>
    <mergeCell ref="S10:V10"/>
    <mergeCell ref="O12:O13"/>
    <mergeCell ref="N12:N13"/>
    <mergeCell ref="P12:P13"/>
    <mergeCell ref="Q12:Q13"/>
    <mergeCell ref="R12:V12"/>
    <mergeCell ref="H12:H13"/>
    <mergeCell ref="C5:H7"/>
    <mergeCell ref="F9:H10"/>
    <mergeCell ref="L6:M7"/>
    <mergeCell ref="I12:I13"/>
    <mergeCell ref="J12:J13"/>
    <mergeCell ref="C12:C13"/>
    <mergeCell ref="D12:D13"/>
    <mergeCell ref="E12:E13"/>
    <mergeCell ref="F12:F13"/>
    <mergeCell ref="G12:G13"/>
    <mergeCell ref="C9:E10"/>
    <mergeCell ref="M12:M13"/>
    <mergeCell ref="K12:K13"/>
    <mergeCell ref="L9:Q10"/>
  </mergeCells>
  <phoneticPr fontId="2" type="noConversion"/>
  <pageMargins left="0.19685039370078741" right="0.19685039370078741" top="0.19685039370078741" bottom="0.19685039370078741" header="0.51181102362204722" footer="0.51181102362204722"/>
  <pageSetup paperSize="9" orientation="landscape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1"/>
  <sheetViews>
    <sheetView showGridLines="0" workbookViewId="0">
      <selection sqref="A1:S1"/>
    </sheetView>
  </sheetViews>
  <sheetFormatPr defaultRowHeight="12.75" x14ac:dyDescent="0.2"/>
  <cols>
    <col min="1" max="2" width="9.140625" style="49"/>
    <col min="3" max="3" width="18.7109375" style="49" bestFit="1" customWidth="1"/>
    <col min="4" max="19" width="9.140625" style="49"/>
    <col min="20" max="20" width="13.5703125" style="49" bestFit="1" customWidth="1"/>
    <col min="21" max="27" width="9.140625" style="49"/>
    <col min="28" max="28" width="13.5703125" style="49" bestFit="1" customWidth="1"/>
    <col min="29" max="16384" width="9.140625" style="49"/>
  </cols>
  <sheetData>
    <row r="1" spans="1:25" s="108" customFormat="1" ht="36" customHeight="1" x14ac:dyDescent="0.25">
      <c r="A1" s="105" t="s">
        <v>68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9"/>
      <c r="U1" s="107"/>
      <c r="V1" s="107"/>
      <c r="W1" s="107"/>
      <c r="X1" s="107"/>
      <c r="Y1" s="107"/>
    </row>
    <row r="3" spans="1:25" s="50" customFormat="1" x14ac:dyDescent="0.2"/>
    <row r="4" spans="1:25" s="50" customFormat="1" x14ac:dyDescent="0.2"/>
    <row r="5" spans="1:25" s="50" customFormat="1" x14ac:dyDescent="0.2">
      <c r="D5" s="50" t="s">
        <v>4</v>
      </c>
      <c r="E5" s="50" t="s">
        <v>62</v>
      </c>
      <c r="F5" s="50" t="s">
        <v>63</v>
      </c>
      <c r="G5" s="50" t="s">
        <v>64</v>
      </c>
      <c r="H5" s="50" t="s">
        <v>6</v>
      </c>
      <c r="I5" s="50" t="s">
        <v>62</v>
      </c>
      <c r="J5" s="50" t="s">
        <v>63</v>
      </c>
      <c r="K5" s="50" t="s">
        <v>64</v>
      </c>
      <c r="L5" s="50" t="s">
        <v>7</v>
      </c>
      <c r="M5" s="50" t="s">
        <v>62</v>
      </c>
      <c r="N5" s="50" t="s">
        <v>63</v>
      </c>
      <c r="O5" s="50" t="s">
        <v>64</v>
      </c>
    </row>
    <row r="6" spans="1:25" s="50" customFormat="1" x14ac:dyDescent="0.2">
      <c r="D6" s="51">
        <f>FMEA!G14</f>
        <v>9</v>
      </c>
      <c r="E6" s="50">
        <v>1</v>
      </c>
      <c r="F6" s="50" t="s">
        <v>51</v>
      </c>
      <c r="G6" s="50">
        <f t="shared" ref="G6:G15" si="0">COUNTIF($D$6:$D$36,E6)</f>
        <v>0</v>
      </c>
      <c r="H6" s="51">
        <f>FMEA!J14</f>
        <v>3</v>
      </c>
      <c r="I6" s="50">
        <v>1</v>
      </c>
      <c r="J6" s="50" t="s">
        <v>56</v>
      </c>
      <c r="K6" s="50">
        <f t="shared" ref="K6:K15" si="1">COUNTIF($H$6:$H$36,I6)</f>
        <v>0</v>
      </c>
      <c r="L6" s="51">
        <f>FMEA!M14</f>
        <v>1</v>
      </c>
      <c r="M6" s="50">
        <v>1</v>
      </c>
      <c r="N6" s="50" t="s">
        <v>61</v>
      </c>
      <c r="O6" s="50">
        <f t="shared" ref="O6:O15" si="2">COUNTIF($L$6:$L$35,M6)</f>
        <v>3</v>
      </c>
    </row>
    <row r="7" spans="1:25" s="50" customFormat="1" x14ac:dyDescent="0.2">
      <c r="D7" s="51">
        <f>FMEA!G15</f>
        <v>10</v>
      </c>
      <c r="E7" s="50">
        <v>2</v>
      </c>
      <c r="F7" s="50" t="s">
        <v>52</v>
      </c>
      <c r="G7" s="50">
        <f t="shared" si="0"/>
        <v>0</v>
      </c>
      <c r="H7" s="51">
        <f>FMEA!J15</f>
        <v>2</v>
      </c>
      <c r="I7" s="50">
        <v>2</v>
      </c>
      <c r="J7" s="50" t="s">
        <v>57</v>
      </c>
      <c r="K7" s="50">
        <f t="shared" si="1"/>
        <v>1</v>
      </c>
      <c r="L7" s="51">
        <f>FMEA!M15</f>
        <v>1</v>
      </c>
      <c r="M7" s="50">
        <v>2</v>
      </c>
      <c r="N7" s="50" t="s">
        <v>60</v>
      </c>
      <c r="O7" s="50">
        <f t="shared" si="2"/>
        <v>0</v>
      </c>
    </row>
    <row r="8" spans="1:25" s="50" customFormat="1" x14ac:dyDescent="0.2">
      <c r="D8" s="51">
        <f>FMEA!G16</f>
        <v>8</v>
      </c>
      <c r="E8" s="50">
        <v>3</v>
      </c>
      <c r="F8" s="50" t="str">
        <f>F7</f>
        <v>Pouco Importante</v>
      </c>
      <c r="G8" s="50">
        <f t="shared" si="0"/>
        <v>0</v>
      </c>
      <c r="H8" s="51">
        <f>FMEA!J16</f>
        <v>4</v>
      </c>
      <c r="I8" s="50">
        <v>3</v>
      </c>
      <c r="J8" s="50" t="s">
        <v>58</v>
      </c>
      <c r="K8" s="50">
        <f t="shared" si="1"/>
        <v>1</v>
      </c>
      <c r="L8" s="51">
        <f>FMEA!M16</f>
        <v>1</v>
      </c>
      <c r="M8" s="50">
        <v>3</v>
      </c>
      <c r="N8" s="50" t="str">
        <f>N7</f>
        <v>Alta</v>
      </c>
      <c r="O8" s="50">
        <f t="shared" si="2"/>
        <v>0</v>
      </c>
    </row>
    <row r="9" spans="1:25" s="50" customFormat="1" x14ac:dyDescent="0.2">
      <c r="D9" s="51">
        <f>FMEA!G17</f>
        <v>0</v>
      </c>
      <c r="E9" s="50">
        <v>4</v>
      </c>
      <c r="F9" s="50" t="s">
        <v>53</v>
      </c>
      <c r="G9" s="50">
        <f t="shared" si="0"/>
        <v>0</v>
      </c>
      <c r="H9" s="51">
        <f>FMEA!J17</f>
        <v>0</v>
      </c>
      <c r="I9" s="50">
        <v>4</v>
      </c>
      <c r="J9" s="50" t="s">
        <v>59</v>
      </c>
      <c r="K9" s="50">
        <f t="shared" si="1"/>
        <v>1</v>
      </c>
      <c r="L9" s="51">
        <f>FMEA!M17</f>
        <v>0</v>
      </c>
      <c r="M9" s="50">
        <v>4</v>
      </c>
      <c r="N9" s="50" t="s">
        <v>59</v>
      </c>
      <c r="O9" s="50">
        <f t="shared" si="2"/>
        <v>0</v>
      </c>
    </row>
    <row r="10" spans="1:25" s="50" customFormat="1" x14ac:dyDescent="0.2">
      <c r="D10" s="51">
        <f>FMEA!G18</f>
        <v>0</v>
      </c>
      <c r="E10" s="50">
        <v>5</v>
      </c>
      <c r="F10" s="50" t="s">
        <v>53</v>
      </c>
      <c r="G10" s="50">
        <f t="shared" si="0"/>
        <v>0</v>
      </c>
      <c r="H10" s="51">
        <f>FMEA!J18</f>
        <v>0</v>
      </c>
      <c r="I10" s="50">
        <v>5</v>
      </c>
      <c r="J10" s="50" t="str">
        <f>J9</f>
        <v>Moderada</v>
      </c>
      <c r="K10" s="50">
        <f t="shared" si="1"/>
        <v>0</v>
      </c>
      <c r="L10" s="51">
        <f>FMEA!M18</f>
        <v>0</v>
      </c>
      <c r="M10" s="50">
        <v>5</v>
      </c>
      <c r="N10" s="50" t="str">
        <f>N9</f>
        <v>Moderada</v>
      </c>
      <c r="O10" s="50">
        <f t="shared" si="2"/>
        <v>0</v>
      </c>
    </row>
    <row r="11" spans="1:25" s="50" customFormat="1" x14ac:dyDescent="0.2">
      <c r="D11" s="51">
        <f>FMEA!G19</f>
        <v>0</v>
      </c>
      <c r="E11" s="50">
        <v>6</v>
      </c>
      <c r="F11" s="50" t="s">
        <v>53</v>
      </c>
      <c r="G11" s="50">
        <f t="shared" si="0"/>
        <v>0</v>
      </c>
      <c r="H11" s="51">
        <f>FMEA!J19</f>
        <v>0</v>
      </c>
      <c r="I11" s="50">
        <v>6</v>
      </c>
      <c r="J11" s="50" t="str">
        <f>J10</f>
        <v>Moderada</v>
      </c>
      <c r="K11" s="50">
        <f t="shared" si="1"/>
        <v>0</v>
      </c>
      <c r="L11" s="51">
        <f>FMEA!M19</f>
        <v>0</v>
      </c>
      <c r="M11" s="50">
        <v>6</v>
      </c>
      <c r="N11" s="50" t="str">
        <f>N10</f>
        <v>Moderada</v>
      </c>
      <c r="O11" s="50">
        <f t="shared" si="2"/>
        <v>0</v>
      </c>
    </row>
    <row r="12" spans="1:25" s="50" customFormat="1" x14ac:dyDescent="0.2">
      <c r="D12" s="51">
        <f>FMEA!G20</f>
        <v>0</v>
      </c>
      <c r="E12" s="50">
        <v>7</v>
      </c>
      <c r="F12" s="50" t="s">
        <v>54</v>
      </c>
      <c r="G12" s="50">
        <f t="shared" si="0"/>
        <v>0</v>
      </c>
      <c r="H12" s="51">
        <f>FMEA!J20</f>
        <v>0</v>
      </c>
      <c r="I12" s="50">
        <v>7</v>
      </c>
      <c r="J12" s="50" t="s">
        <v>60</v>
      </c>
      <c r="K12" s="50">
        <f t="shared" si="1"/>
        <v>0</v>
      </c>
      <c r="L12" s="51">
        <f>FMEA!M20</f>
        <v>0</v>
      </c>
      <c r="M12" s="50">
        <v>7</v>
      </c>
      <c r="N12" s="50" t="s">
        <v>58</v>
      </c>
      <c r="O12" s="50">
        <f t="shared" si="2"/>
        <v>0</v>
      </c>
    </row>
    <row r="13" spans="1:25" s="50" customFormat="1" x14ac:dyDescent="0.2">
      <c r="D13" s="51">
        <f>FMEA!G21</f>
        <v>0</v>
      </c>
      <c r="E13" s="50">
        <v>8</v>
      </c>
      <c r="F13" s="50" t="s">
        <v>54</v>
      </c>
      <c r="G13" s="50">
        <f t="shared" si="0"/>
        <v>1</v>
      </c>
      <c r="H13" s="51">
        <f>FMEA!J21</f>
        <v>0</v>
      </c>
      <c r="I13" s="50">
        <v>8</v>
      </c>
      <c r="J13" s="50" t="str">
        <f>J12</f>
        <v>Alta</v>
      </c>
      <c r="K13" s="50">
        <f t="shared" si="1"/>
        <v>0</v>
      </c>
      <c r="L13" s="51">
        <f>FMEA!M21</f>
        <v>0</v>
      </c>
      <c r="M13" s="50">
        <v>8</v>
      </c>
      <c r="N13" s="50" t="str">
        <f>N12</f>
        <v>Pequena</v>
      </c>
      <c r="O13" s="50">
        <f t="shared" si="2"/>
        <v>0</v>
      </c>
    </row>
    <row r="14" spans="1:25" s="50" customFormat="1" x14ac:dyDescent="0.2">
      <c r="D14" s="51">
        <f>FMEA!G22</f>
        <v>0</v>
      </c>
      <c r="E14" s="50">
        <v>9</v>
      </c>
      <c r="F14" s="50" t="s">
        <v>55</v>
      </c>
      <c r="G14" s="50">
        <f t="shared" si="0"/>
        <v>1</v>
      </c>
      <c r="H14" s="51">
        <f>FMEA!J22</f>
        <v>0</v>
      </c>
      <c r="I14" s="50">
        <v>9</v>
      </c>
      <c r="J14" s="50" t="s">
        <v>61</v>
      </c>
      <c r="K14" s="50">
        <f t="shared" si="1"/>
        <v>0</v>
      </c>
      <c r="L14" s="51">
        <f>FMEA!M22</f>
        <v>0</v>
      </c>
      <c r="M14" s="50">
        <v>9</v>
      </c>
      <c r="N14" s="50" t="s">
        <v>57</v>
      </c>
      <c r="O14" s="50">
        <f t="shared" si="2"/>
        <v>0</v>
      </c>
    </row>
    <row r="15" spans="1:25" s="50" customFormat="1" x14ac:dyDescent="0.2">
      <c r="D15" s="51">
        <f>FMEA!G23</f>
        <v>0</v>
      </c>
      <c r="E15" s="50">
        <v>10</v>
      </c>
      <c r="F15" s="50" t="str">
        <f>F14</f>
        <v>Extremamente Grave</v>
      </c>
      <c r="G15" s="50">
        <f t="shared" si="0"/>
        <v>1</v>
      </c>
      <c r="H15" s="51">
        <f>FMEA!J23</f>
        <v>0</v>
      </c>
      <c r="I15" s="50">
        <v>10</v>
      </c>
      <c r="J15" s="50" t="str">
        <f>J14</f>
        <v>Muito Alta</v>
      </c>
      <c r="K15" s="50">
        <f t="shared" si="1"/>
        <v>0</v>
      </c>
      <c r="L15" s="51">
        <f>FMEA!M23</f>
        <v>0</v>
      </c>
      <c r="M15" s="50">
        <v>10</v>
      </c>
      <c r="N15" s="50" t="s">
        <v>56</v>
      </c>
      <c r="O15" s="50">
        <f t="shared" si="2"/>
        <v>0</v>
      </c>
    </row>
    <row r="16" spans="1:25" s="50" customFormat="1" x14ac:dyDescent="0.2">
      <c r="D16" s="51">
        <f>FMEA!G24</f>
        <v>0</v>
      </c>
      <c r="H16" s="51">
        <f>FMEA!J24</f>
        <v>0</v>
      </c>
      <c r="L16" s="51">
        <f>FMEA!M24</f>
        <v>0</v>
      </c>
    </row>
    <row r="17" spans="4:12" s="50" customFormat="1" x14ac:dyDescent="0.2">
      <c r="D17" s="51">
        <f>FMEA!G25</f>
        <v>0</v>
      </c>
      <c r="H17" s="51">
        <f>FMEA!J25</f>
        <v>0</v>
      </c>
      <c r="L17" s="51">
        <f>FMEA!M25</f>
        <v>0</v>
      </c>
    </row>
    <row r="18" spans="4:12" s="50" customFormat="1" x14ac:dyDescent="0.2">
      <c r="D18" s="51">
        <f>FMEA!G26</f>
        <v>0</v>
      </c>
      <c r="H18" s="51">
        <f>FMEA!J26</f>
        <v>0</v>
      </c>
      <c r="L18" s="51">
        <f>FMEA!M26</f>
        <v>0</v>
      </c>
    </row>
    <row r="19" spans="4:12" s="50" customFormat="1" x14ac:dyDescent="0.2">
      <c r="D19" s="51">
        <f>FMEA!G27</f>
        <v>0</v>
      </c>
      <c r="H19" s="51">
        <f>FMEA!J27</f>
        <v>0</v>
      </c>
      <c r="L19" s="51">
        <f>FMEA!M27</f>
        <v>0</v>
      </c>
    </row>
    <row r="20" spans="4:12" s="50" customFormat="1" x14ac:dyDescent="0.2">
      <c r="D20" s="51">
        <f>FMEA!G28</f>
        <v>0</v>
      </c>
      <c r="H20" s="51">
        <f>FMEA!J28</f>
        <v>0</v>
      </c>
      <c r="L20" s="51">
        <f>FMEA!M28</f>
        <v>0</v>
      </c>
    </row>
    <row r="21" spans="4:12" s="50" customFormat="1" x14ac:dyDescent="0.2">
      <c r="D21" s="51">
        <f>FMEA!G29</f>
        <v>0</v>
      </c>
      <c r="H21" s="51">
        <f>FMEA!J29</f>
        <v>0</v>
      </c>
      <c r="L21" s="51">
        <f>FMEA!M29</f>
        <v>0</v>
      </c>
    </row>
    <row r="22" spans="4:12" s="50" customFormat="1" x14ac:dyDescent="0.2">
      <c r="D22" s="51">
        <f>FMEA!G30</f>
        <v>0</v>
      </c>
      <c r="H22" s="51">
        <f>FMEA!J30</f>
        <v>0</v>
      </c>
      <c r="L22" s="51">
        <f>FMEA!M30</f>
        <v>0</v>
      </c>
    </row>
    <row r="23" spans="4:12" s="50" customFormat="1" x14ac:dyDescent="0.2">
      <c r="D23" s="51">
        <f>FMEA!G31</f>
        <v>0</v>
      </c>
      <c r="H23" s="51">
        <f>FMEA!J31</f>
        <v>0</v>
      </c>
      <c r="L23" s="51">
        <f>FMEA!M31</f>
        <v>0</v>
      </c>
    </row>
    <row r="24" spans="4:12" s="50" customFormat="1" x14ac:dyDescent="0.2">
      <c r="D24" s="51">
        <f>FMEA!G32</f>
        <v>0</v>
      </c>
      <c r="H24" s="51">
        <f>FMEA!J32</f>
        <v>0</v>
      </c>
      <c r="L24" s="51">
        <f>FMEA!M32</f>
        <v>0</v>
      </c>
    </row>
    <row r="25" spans="4:12" s="50" customFormat="1" x14ac:dyDescent="0.2">
      <c r="D25" s="51">
        <f>FMEA!G33</f>
        <v>0</v>
      </c>
      <c r="H25" s="51">
        <f>FMEA!J33</f>
        <v>0</v>
      </c>
      <c r="L25" s="51">
        <f>FMEA!M33</f>
        <v>0</v>
      </c>
    </row>
    <row r="26" spans="4:12" s="50" customFormat="1" x14ac:dyDescent="0.2">
      <c r="D26" s="51">
        <f>FMEA!G34</f>
        <v>0</v>
      </c>
      <c r="H26" s="51">
        <f>FMEA!J34</f>
        <v>0</v>
      </c>
      <c r="L26" s="51">
        <f>FMEA!M34</f>
        <v>0</v>
      </c>
    </row>
    <row r="27" spans="4:12" s="50" customFormat="1" x14ac:dyDescent="0.2">
      <c r="D27" s="51">
        <f>FMEA!G35</f>
        <v>0</v>
      </c>
      <c r="H27" s="51">
        <f>FMEA!J35</f>
        <v>0</v>
      </c>
      <c r="L27" s="51">
        <f>FMEA!M35</f>
        <v>0</v>
      </c>
    </row>
    <row r="28" spans="4:12" s="50" customFormat="1" x14ac:dyDescent="0.2">
      <c r="D28" s="51">
        <f>FMEA!G36</f>
        <v>0</v>
      </c>
      <c r="H28" s="51">
        <f>FMEA!J36</f>
        <v>0</v>
      </c>
      <c r="L28" s="51">
        <f>FMEA!M36</f>
        <v>0</v>
      </c>
    </row>
    <row r="29" spans="4:12" s="50" customFormat="1" x14ac:dyDescent="0.2">
      <c r="D29" s="51">
        <f>FMEA!G37</f>
        <v>0</v>
      </c>
      <c r="H29" s="51">
        <f>FMEA!J37</f>
        <v>0</v>
      </c>
      <c r="L29" s="51">
        <f>FMEA!M37</f>
        <v>0</v>
      </c>
    </row>
    <row r="30" spans="4:12" s="50" customFormat="1" x14ac:dyDescent="0.2">
      <c r="D30" s="51">
        <f>FMEA!G38</f>
        <v>0</v>
      </c>
      <c r="H30" s="51">
        <f>FMEA!J38</f>
        <v>0</v>
      </c>
      <c r="L30" s="51">
        <f>FMEA!M38</f>
        <v>0</v>
      </c>
    </row>
    <row r="31" spans="4:12" s="50" customFormat="1" x14ac:dyDescent="0.2">
      <c r="D31" s="51">
        <f>FMEA!G39</f>
        <v>0</v>
      </c>
      <c r="H31" s="51">
        <f>FMEA!J39</f>
        <v>0</v>
      </c>
      <c r="L31" s="51">
        <f>FMEA!M39</f>
        <v>0</v>
      </c>
    </row>
    <row r="32" spans="4:12" s="50" customFormat="1" x14ac:dyDescent="0.2">
      <c r="D32" s="51">
        <f>FMEA!G40</f>
        <v>0</v>
      </c>
      <c r="H32" s="51">
        <f>FMEA!J40</f>
        <v>0</v>
      </c>
      <c r="L32" s="51">
        <f>FMEA!M40</f>
        <v>0</v>
      </c>
    </row>
    <row r="33" spans="1:12" s="50" customFormat="1" x14ac:dyDescent="0.2">
      <c r="D33" s="51">
        <f>FMEA!G41</f>
        <v>0</v>
      </c>
      <c r="H33" s="51">
        <f>FMEA!J41</f>
        <v>0</v>
      </c>
      <c r="L33" s="51">
        <f>FMEA!M41</f>
        <v>0</v>
      </c>
    </row>
    <row r="34" spans="1:12" s="50" customFormat="1" x14ac:dyDescent="0.2">
      <c r="D34" s="51">
        <f>FMEA!G42</f>
        <v>0</v>
      </c>
      <c r="H34" s="51">
        <f>FMEA!J42</f>
        <v>0</v>
      </c>
      <c r="L34" s="51">
        <f>FMEA!M42</f>
        <v>0</v>
      </c>
    </row>
    <row r="35" spans="1:12" s="50" customFormat="1" x14ac:dyDescent="0.2">
      <c r="D35" s="51">
        <f>FMEA!G43</f>
        <v>0</v>
      </c>
      <c r="H35" s="51">
        <f>FMEA!J43</f>
        <v>0</v>
      </c>
      <c r="L35" s="51">
        <f>FMEA!M43</f>
        <v>0</v>
      </c>
    </row>
    <row r="36" spans="1:12" s="50" customFormat="1" x14ac:dyDescent="0.2">
      <c r="D36" s="51">
        <f>FMEA!G44</f>
        <v>0</v>
      </c>
      <c r="H36" s="51">
        <f>FMEA!J44</f>
        <v>0</v>
      </c>
      <c r="L36" s="51">
        <f>FMEA!M44</f>
        <v>0</v>
      </c>
    </row>
    <row r="37" spans="1:12" s="50" customFormat="1" x14ac:dyDescent="0.2"/>
    <row r="38" spans="1:12" s="50" customFormat="1" x14ac:dyDescent="0.2">
      <c r="A38" s="51"/>
    </row>
    <row r="39" spans="1:12" s="50" customFormat="1" x14ac:dyDescent="0.2"/>
    <row r="40" spans="1:12" s="50" customFormat="1" x14ac:dyDescent="0.2"/>
    <row r="41" spans="1:12" s="50" customFormat="1" x14ac:dyDescent="0.2"/>
    <row r="42" spans="1:12" s="50" customFormat="1" x14ac:dyDescent="0.2"/>
    <row r="43" spans="1:12" s="50" customFormat="1" x14ac:dyDescent="0.2"/>
    <row r="44" spans="1:12" s="50" customFormat="1" x14ac:dyDescent="0.2"/>
    <row r="45" spans="1:12" s="50" customFormat="1" x14ac:dyDescent="0.2"/>
    <row r="46" spans="1:12" s="50" customFormat="1" x14ac:dyDescent="0.2"/>
    <row r="47" spans="1:12" s="50" customFormat="1" x14ac:dyDescent="0.2"/>
    <row r="48" spans="1:12" s="50" customFormat="1" x14ac:dyDescent="0.2"/>
    <row r="49" s="50" customFormat="1" x14ac:dyDescent="0.2"/>
    <row r="50" s="50" customFormat="1" x14ac:dyDescent="0.2"/>
    <row r="51" s="50" customFormat="1" x14ac:dyDescent="0.2"/>
    <row r="52" s="50" customFormat="1" x14ac:dyDescent="0.2"/>
    <row r="53" s="50" customFormat="1" x14ac:dyDescent="0.2"/>
    <row r="54" s="50" customFormat="1" x14ac:dyDescent="0.2"/>
    <row r="55" s="50" customFormat="1" x14ac:dyDescent="0.2"/>
    <row r="56" s="50" customFormat="1" x14ac:dyDescent="0.2"/>
    <row r="57" s="50" customFormat="1" x14ac:dyDescent="0.2"/>
    <row r="58" s="50" customFormat="1" x14ac:dyDescent="0.2"/>
    <row r="59" s="50" customFormat="1" x14ac:dyDescent="0.2"/>
    <row r="60" s="50" customFormat="1" x14ac:dyDescent="0.2"/>
    <row r="61" s="50" customFormat="1" x14ac:dyDescent="0.2"/>
    <row r="62" s="50" customFormat="1" x14ac:dyDescent="0.2"/>
    <row r="63" s="50" customFormat="1" x14ac:dyDescent="0.2"/>
    <row r="64" s="50" customFormat="1" x14ac:dyDescent="0.2"/>
    <row r="65" s="50" customFormat="1" x14ac:dyDescent="0.2"/>
    <row r="66" s="50" customFormat="1" x14ac:dyDescent="0.2"/>
    <row r="67" s="50" customFormat="1" x14ac:dyDescent="0.2"/>
    <row r="68" s="50" customFormat="1" x14ac:dyDescent="0.2"/>
    <row r="69" s="50" customFormat="1" x14ac:dyDescent="0.2"/>
    <row r="70" s="50" customFormat="1" x14ac:dyDescent="0.2"/>
    <row r="71" s="50" customFormat="1" x14ac:dyDescent="0.2"/>
    <row r="72" s="50" customFormat="1" x14ac:dyDescent="0.2"/>
    <row r="73" s="50" customFormat="1" x14ac:dyDescent="0.2"/>
    <row r="74" s="50" customFormat="1" x14ac:dyDescent="0.2"/>
    <row r="75" s="50" customFormat="1" x14ac:dyDescent="0.2"/>
    <row r="76" s="50" customFormat="1" x14ac:dyDescent="0.2"/>
    <row r="77" s="50" customFormat="1" x14ac:dyDescent="0.2"/>
    <row r="78" s="50" customFormat="1" x14ac:dyDescent="0.2"/>
    <row r="79" s="50" customFormat="1" x14ac:dyDescent="0.2"/>
    <row r="80" s="50" customFormat="1" x14ac:dyDescent="0.2"/>
    <row r="81" s="50" customFormat="1" x14ac:dyDescent="0.2"/>
    <row r="82" s="50" customFormat="1" x14ac:dyDescent="0.2"/>
    <row r="83" s="50" customFormat="1" x14ac:dyDescent="0.2"/>
    <row r="84" s="50" customFormat="1" x14ac:dyDescent="0.2"/>
    <row r="85" s="50" customFormat="1" x14ac:dyDescent="0.2"/>
    <row r="86" s="50" customFormat="1" x14ac:dyDescent="0.2"/>
    <row r="87" s="50" customFormat="1" x14ac:dyDescent="0.2"/>
    <row r="88" s="50" customFormat="1" x14ac:dyDescent="0.2"/>
    <row r="89" s="50" customFormat="1" x14ac:dyDescent="0.2"/>
    <row r="90" s="50" customFormat="1" x14ac:dyDescent="0.2"/>
    <row r="91" s="50" customFormat="1" x14ac:dyDescent="0.2"/>
    <row r="92" s="50" customFormat="1" x14ac:dyDescent="0.2"/>
    <row r="93" s="50" customFormat="1" x14ac:dyDescent="0.2"/>
    <row r="94" s="50" customFormat="1" x14ac:dyDescent="0.2"/>
    <row r="95" s="50" customFormat="1" x14ac:dyDescent="0.2"/>
    <row r="96" s="50" customFormat="1" x14ac:dyDescent="0.2"/>
    <row r="97" s="50" customFormat="1" x14ac:dyDescent="0.2"/>
    <row r="98" s="50" customFormat="1" x14ac:dyDescent="0.2"/>
    <row r="99" s="50" customFormat="1" x14ac:dyDescent="0.2"/>
    <row r="100" s="50" customFormat="1" x14ac:dyDescent="0.2"/>
    <row r="101" s="50" customFormat="1" x14ac:dyDescent="0.2"/>
    <row r="102" s="50" customFormat="1" x14ac:dyDescent="0.2"/>
    <row r="103" s="50" customFormat="1" x14ac:dyDescent="0.2"/>
    <row r="104" s="50" customFormat="1" x14ac:dyDescent="0.2"/>
    <row r="105" s="50" customFormat="1" x14ac:dyDescent="0.2"/>
    <row r="106" s="50" customFormat="1" x14ac:dyDescent="0.2"/>
    <row r="107" s="50" customFormat="1" x14ac:dyDescent="0.2"/>
    <row r="108" s="50" customFormat="1" x14ac:dyDescent="0.2"/>
    <row r="109" s="50" customFormat="1" x14ac:dyDescent="0.2"/>
    <row r="110" s="50" customFormat="1" x14ac:dyDescent="0.2"/>
    <row r="111" s="50" customFormat="1" x14ac:dyDescent="0.2"/>
    <row r="112" s="50" customFormat="1" x14ac:dyDescent="0.2"/>
    <row r="113" s="50" customFormat="1" x14ac:dyDescent="0.2"/>
    <row r="114" s="50" customFormat="1" x14ac:dyDescent="0.2"/>
    <row r="115" s="50" customFormat="1" x14ac:dyDescent="0.2"/>
    <row r="116" s="50" customFormat="1" x14ac:dyDescent="0.2"/>
    <row r="117" s="50" customFormat="1" x14ac:dyDescent="0.2"/>
    <row r="118" s="50" customFormat="1" x14ac:dyDescent="0.2"/>
    <row r="119" s="50" customFormat="1" x14ac:dyDescent="0.2"/>
    <row r="120" s="50" customFormat="1" x14ac:dyDescent="0.2"/>
    <row r="121" s="50" customFormat="1" x14ac:dyDescent="0.2"/>
    <row r="122" s="50" customFormat="1" x14ac:dyDescent="0.2"/>
    <row r="123" s="50" customFormat="1" x14ac:dyDescent="0.2"/>
    <row r="124" s="50" customFormat="1" x14ac:dyDescent="0.2"/>
    <row r="125" s="50" customFormat="1" x14ac:dyDescent="0.2"/>
    <row r="126" s="50" customFormat="1" x14ac:dyDescent="0.2"/>
    <row r="127" s="50" customFormat="1" x14ac:dyDescent="0.2"/>
    <row r="128" s="50" customFormat="1" x14ac:dyDescent="0.2"/>
    <row r="129" s="50" customFormat="1" x14ac:dyDescent="0.2"/>
    <row r="130" s="50" customFormat="1" x14ac:dyDescent="0.2"/>
    <row r="131" s="50" customFormat="1" x14ac:dyDescent="0.2"/>
    <row r="132" s="50" customFormat="1" x14ac:dyDescent="0.2"/>
    <row r="133" s="50" customFormat="1" x14ac:dyDescent="0.2"/>
    <row r="134" s="50" customFormat="1" x14ac:dyDescent="0.2"/>
    <row r="135" s="50" customFormat="1" x14ac:dyDescent="0.2"/>
    <row r="136" s="50" customFormat="1" x14ac:dyDescent="0.2"/>
    <row r="137" s="50" customFormat="1" x14ac:dyDescent="0.2"/>
    <row r="138" s="50" customFormat="1" x14ac:dyDescent="0.2"/>
    <row r="139" s="50" customFormat="1" x14ac:dyDescent="0.2"/>
    <row r="140" s="50" customFormat="1" x14ac:dyDescent="0.2"/>
    <row r="141" s="50" customFormat="1" x14ac:dyDescent="0.2"/>
    <row r="142" s="50" customFormat="1" x14ac:dyDescent="0.2"/>
    <row r="143" s="50" customFormat="1" x14ac:dyDescent="0.2"/>
    <row r="144" s="50" customFormat="1" x14ac:dyDescent="0.2"/>
    <row r="145" s="50" customFormat="1" x14ac:dyDescent="0.2"/>
    <row r="146" s="50" customFormat="1" x14ac:dyDescent="0.2"/>
    <row r="147" s="50" customFormat="1" x14ac:dyDescent="0.2"/>
    <row r="148" s="50" customFormat="1" x14ac:dyDescent="0.2"/>
    <row r="149" s="50" customFormat="1" x14ac:dyDescent="0.2"/>
    <row r="150" s="50" customFormat="1" x14ac:dyDescent="0.2"/>
    <row r="151" s="50" customFormat="1" x14ac:dyDescent="0.2"/>
    <row r="152" s="50" customFormat="1" x14ac:dyDescent="0.2"/>
    <row r="153" s="50" customFormat="1" x14ac:dyDescent="0.2"/>
    <row r="154" s="50" customFormat="1" x14ac:dyDescent="0.2"/>
    <row r="155" s="50" customFormat="1" x14ac:dyDescent="0.2"/>
    <row r="156" s="50" customFormat="1" x14ac:dyDescent="0.2"/>
    <row r="157" s="50" customFormat="1" x14ac:dyDescent="0.2"/>
    <row r="158" s="50" customFormat="1" x14ac:dyDescent="0.2"/>
    <row r="159" s="50" customFormat="1" x14ac:dyDescent="0.2"/>
    <row r="160" s="50" customFormat="1" x14ac:dyDescent="0.2"/>
    <row r="161" s="50" customFormat="1" x14ac:dyDescent="0.2"/>
    <row r="162" s="50" customFormat="1" x14ac:dyDescent="0.2"/>
    <row r="163" s="50" customFormat="1" x14ac:dyDescent="0.2"/>
    <row r="164" s="50" customFormat="1" x14ac:dyDescent="0.2"/>
    <row r="165" s="50" customFormat="1" x14ac:dyDescent="0.2"/>
    <row r="166" s="50" customFormat="1" x14ac:dyDescent="0.2"/>
    <row r="167" s="50" customFormat="1" x14ac:dyDescent="0.2"/>
    <row r="168" s="50" customFormat="1" x14ac:dyDescent="0.2"/>
    <row r="169" s="50" customFormat="1" x14ac:dyDescent="0.2"/>
    <row r="170" s="50" customFormat="1" x14ac:dyDescent="0.2"/>
    <row r="171" s="50" customFormat="1" x14ac:dyDescent="0.2"/>
    <row r="172" s="50" customFormat="1" x14ac:dyDescent="0.2"/>
    <row r="173" s="50" customFormat="1" x14ac:dyDescent="0.2"/>
    <row r="174" s="50" customFormat="1" x14ac:dyDescent="0.2"/>
    <row r="175" s="50" customFormat="1" x14ac:dyDescent="0.2"/>
    <row r="176" s="50" customFormat="1" x14ac:dyDescent="0.2"/>
    <row r="177" s="50" customFormat="1" x14ac:dyDescent="0.2"/>
    <row r="178" s="50" customFormat="1" x14ac:dyDescent="0.2"/>
    <row r="179" s="50" customFormat="1" x14ac:dyDescent="0.2"/>
    <row r="180" s="50" customFormat="1" x14ac:dyDescent="0.2"/>
    <row r="181" s="50" customFormat="1" x14ac:dyDescent="0.2"/>
    <row r="182" s="50" customFormat="1" x14ac:dyDescent="0.2"/>
    <row r="183" s="50" customFormat="1" x14ac:dyDescent="0.2"/>
    <row r="184" s="50" customFormat="1" x14ac:dyDescent="0.2"/>
    <row r="185" s="50" customFormat="1" x14ac:dyDescent="0.2"/>
    <row r="186" s="50" customFormat="1" x14ac:dyDescent="0.2"/>
    <row r="187" s="50" customFormat="1" x14ac:dyDescent="0.2"/>
    <row r="188" s="50" customFormat="1" x14ac:dyDescent="0.2"/>
    <row r="189" s="50" customFormat="1" x14ac:dyDescent="0.2"/>
    <row r="190" s="50" customFormat="1" x14ac:dyDescent="0.2"/>
    <row r="191" s="50" customFormat="1" x14ac:dyDescent="0.2"/>
    <row r="192" s="50" customFormat="1" x14ac:dyDescent="0.2"/>
    <row r="193" s="50" customFormat="1" x14ac:dyDescent="0.2"/>
    <row r="194" s="50" customFormat="1" x14ac:dyDescent="0.2"/>
    <row r="195" s="50" customFormat="1" x14ac:dyDescent="0.2"/>
    <row r="196" s="50" customFormat="1" x14ac:dyDescent="0.2"/>
    <row r="197" s="50" customFormat="1" x14ac:dyDescent="0.2"/>
    <row r="198" s="50" customFormat="1" x14ac:dyDescent="0.2"/>
    <row r="199" s="50" customFormat="1" x14ac:dyDescent="0.2"/>
    <row r="200" s="50" customFormat="1" x14ac:dyDescent="0.2"/>
    <row r="201" s="50" customFormat="1" x14ac:dyDescent="0.2"/>
    <row r="202" s="50" customFormat="1" x14ac:dyDescent="0.2"/>
    <row r="203" s="50" customFormat="1" x14ac:dyDescent="0.2"/>
    <row r="204" s="50" customFormat="1" x14ac:dyDescent="0.2"/>
    <row r="205" s="50" customFormat="1" x14ac:dyDescent="0.2"/>
    <row r="206" s="50" customFormat="1" x14ac:dyDescent="0.2"/>
    <row r="207" s="50" customFormat="1" x14ac:dyDescent="0.2"/>
    <row r="208" s="50" customFormat="1" x14ac:dyDescent="0.2"/>
    <row r="209" s="50" customFormat="1" x14ac:dyDescent="0.2"/>
    <row r="210" s="50" customFormat="1" x14ac:dyDescent="0.2"/>
    <row r="211" s="50" customFormat="1" x14ac:dyDescent="0.2"/>
    <row r="212" s="50" customFormat="1" x14ac:dyDescent="0.2"/>
    <row r="213" s="50" customFormat="1" x14ac:dyDescent="0.2"/>
    <row r="214" s="50" customFormat="1" x14ac:dyDescent="0.2"/>
    <row r="215" s="50" customFormat="1" x14ac:dyDescent="0.2"/>
    <row r="216" s="50" customFormat="1" x14ac:dyDescent="0.2"/>
    <row r="217" s="50" customFormat="1" x14ac:dyDescent="0.2"/>
    <row r="218" s="50" customFormat="1" x14ac:dyDescent="0.2"/>
    <row r="219" s="50" customFormat="1" x14ac:dyDescent="0.2"/>
    <row r="220" s="50" customFormat="1" x14ac:dyDescent="0.2"/>
    <row r="221" s="50" customFormat="1" x14ac:dyDescent="0.2"/>
  </sheetData>
  <mergeCells count="1">
    <mergeCell ref="A1:S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Início</vt:lpstr>
      <vt:lpstr>FMEA</vt:lpstr>
      <vt:lpstr>Resultado</vt:lpstr>
    </vt:vector>
  </TitlesOfParts>
  <Company>VOTORANTIM METAIS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Acelere.vc</dc:creator>
  <cp:lastModifiedBy>Leonel</cp:lastModifiedBy>
  <cp:lastPrinted>2006-02-23T12:30:09Z</cp:lastPrinted>
  <dcterms:created xsi:type="dcterms:W3CDTF">2005-12-27T11:40:06Z</dcterms:created>
  <dcterms:modified xsi:type="dcterms:W3CDTF">2014-07-07T17:13:11Z</dcterms:modified>
</cp:coreProperties>
</file>