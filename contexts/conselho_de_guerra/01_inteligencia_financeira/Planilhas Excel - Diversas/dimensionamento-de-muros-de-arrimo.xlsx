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830"/>
  <workbookPr/>
  <mc:AlternateContent xmlns:mc="http://schemas.openxmlformats.org/markup-compatibility/2006">
    <mc:Choice Requires="x15">
      <x15ac:absPath xmlns:x15ac="http://schemas.microsoft.com/office/spreadsheetml/2010/11/ac" url="D:\Relatórios e Consultorias\Construtora Quanta\Análises\"/>
    </mc:Choice>
  </mc:AlternateContent>
  <bookViews>
    <workbookView xWindow="0" yWindow="0" windowWidth="20490" windowHeight="7530"/>
  </bookViews>
  <sheets>
    <sheet name="Muro Flexão &quot;L&quot;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6" i="1" l="1"/>
  <c r="K46" i="1"/>
  <c r="M46" i="1" s="1"/>
  <c r="B39" i="1"/>
  <c r="B38" i="1"/>
  <c r="B37" i="1"/>
  <c r="F10" i="1"/>
  <c r="F9" i="1"/>
  <c r="C17" i="1" s="1"/>
  <c r="B25" i="1"/>
  <c r="G24" i="1"/>
  <c r="G22" i="1"/>
  <c r="M47" i="1" l="1"/>
  <c r="B46" i="1"/>
  <c r="I35" i="1"/>
  <c r="C25" i="1"/>
  <c r="C19" i="1" l="1"/>
  <c r="D23" i="1" l="1"/>
  <c r="D22" i="1"/>
  <c r="B45" i="1" s="1"/>
  <c r="B48" i="1" s="1"/>
  <c r="C48" i="1" s="1"/>
  <c r="I34" i="1" l="1"/>
  <c r="I48" i="1"/>
  <c r="I49" i="1" s="1"/>
  <c r="K49" i="1" s="1"/>
  <c r="I38" i="1"/>
  <c r="J38" i="1" s="1"/>
  <c r="L48" i="1" l="1"/>
  <c r="N48" i="1" s="1"/>
</calcChain>
</file>

<file path=xl/sharedStrings.xml><?xml version="1.0" encoding="utf-8"?>
<sst xmlns="http://schemas.openxmlformats.org/spreadsheetml/2006/main" count="99" uniqueCount="76">
  <si>
    <t>Obra:</t>
  </si>
  <si>
    <t>Cliente:</t>
  </si>
  <si>
    <t>Data:</t>
  </si>
  <si>
    <t>kPa</t>
  </si>
  <si>
    <r>
      <t>q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=</t>
    </r>
  </si>
  <si>
    <r>
      <t>q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=</t>
    </r>
  </si>
  <si>
    <t>z (m) =</t>
  </si>
  <si>
    <t>H =</t>
  </si>
  <si>
    <t>m</t>
  </si>
  <si>
    <t>B (m) =</t>
  </si>
  <si>
    <r>
      <t>d</t>
    </r>
    <r>
      <rPr>
        <vertAlign val="sub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 xml:space="preserve"> (cm) =</t>
    </r>
  </si>
  <si>
    <r>
      <t>h</t>
    </r>
    <r>
      <rPr>
        <vertAlign val="subscript"/>
        <sz val="12"/>
        <color theme="1"/>
        <rFont val="Times New Roman"/>
        <family val="1"/>
      </rPr>
      <t>s</t>
    </r>
    <r>
      <rPr>
        <sz val="12"/>
        <color theme="1"/>
        <rFont val="Times New Roman"/>
        <family val="1"/>
      </rPr>
      <t xml:space="preserve"> cm) =</t>
    </r>
  </si>
  <si>
    <r>
      <rPr>
        <sz val="12"/>
        <color theme="1"/>
        <rFont val="Symbol"/>
        <family val="1"/>
        <charset val="2"/>
      </rPr>
      <t>s</t>
    </r>
    <r>
      <rPr>
        <sz val="12"/>
        <color theme="1"/>
        <rFont val="Times New Roman"/>
        <family val="1"/>
      </rPr>
      <t>'</t>
    </r>
    <r>
      <rPr>
        <vertAlign val="sub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 (kPa)</t>
    </r>
  </si>
  <si>
    <t>1. Dados do Solo:</t>
  </si>
  <si>
    <t>c' =</t>
  </si>
  <si>
    <r>
      <rPr>
        <sz val="12"/>
        <color theme="1"/>
        <rFont val="Symbol"/>
        <family val="1"/>
        <charset val="2"/>
      </rPr>
      <t>g</t>
    </r>
    <r>
      <rPr>
        <sz val="12"/>
        <color theme="1"/>
        <rFont val="Times New Roman"/>
        <family val="1"/>
      </rPr>
      <t xml:space="preserve"> =</t>
    </r>
  </si>
  <si>
    <r>
      <rPr>
        <sz val="12"/>
        <color theme="1"/>
        <rFont val="Symbol"/>
        <family val="1"/>
        <charset val="2"/>
      </rPr>
      <t>f</t>
    </r>
    <r>
      <rPr>
        <sz val="12"/>
        <color theme="1"/>
        <rFont val="Times New Roman"/>
        <family val="1"/>
      </rPr>
      <t>' =</t>
    </r>
  </si>
  <si>
    <t>graus</t>
  </si>
  <si>
    <t>kN/m³</t>
  </si>
  <si>
    <t>ka =</t>
  </si>
  <si>
    <t>kp =</t>
  </si>
  <si>
    <r>
      <t>z</t>
    </r>
    <r>
      <rPr>
        <vertAlign val="sub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 xml:space="preserve"> (m) =</t>
    </r>
  </si>
  <si>
    <t>y (m) =</t>
  </si>
  <si>
    <t>2. Cálculo do Empuxo Ativo:</t>
  </si>
  <si>
    <r>
      <t>E</t>
    </r>
    <r>
      <rPr>
        <b/>
        <vertAlign val="subscript"/>
        <sz val="12"/>
        <color theme="1"/>
        <rFont val="Times New Roman"/>
        <family val="1"/>
      </rPr>
      <t xml:space="preserve">a </t>
    </r>
    <r>
      <rPr>
        <b/>
        <sz val="12"/>
        <color theme="1"/>
        <rFont val="Times New Roman"/>
        <family val="1"/>
      </rPr>
      <t>(kN/m) =</t>
    </r>
  </si>
  <si>
    <t>DIMENSIONAMENTO DE MURO DE ARRIMO DE FLEXÃO - PERFIL "L"</t>
  </si>
  <si>
    <r>
      <t>P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 xml:space="preserve"> =</t>
    </r>
  </si>
  <si>
    <r>
      <t>P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=</t>
    </r>
  </si>
  <si>
    <r>
      <t>P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=</t>
    </r>
  </si>
  <si>
    <r>
      <t>P</t>
    </r>
    <r>
      <rPr>
        <vertAlign val="subscript"/>
        <sz val="12"/>
        <color theme="1"/>
        <rFont val="Times New Roman"/>
        <family val="1"/>
      </rPr>
      <t>s</t>
    </r>
    <r>
      <rPr>
        <sz val="12"/>
        <color theme="1"/>
        <rFont val="Times New Roman"/>
        <family val="1"/>
      </rPr>
      <t xml:space="preserve"> =</t>
    </r>
  </si>
  <si>
    <t>Material a ser utilizado no elemento estrutural:</t>
  </si>
  <si>
    <t>Concreto armado</t>
  </si>
  <si>
    <r>
      <rPr>
        <sz val="12"/>
        <color theme="1"/>
        <rFont val="Symbol"/>
        <family val="1"/>
        <charset val="2"/>
      </rPr>
      <t>g</t>
    </r>
    <r>
      <rPr>
        <vertAlign val="subscript"/>
        <sz val="12"/>
        <color theme="1"/>
        <rFont val="Times New Roman"/>
        <family val="1"/>
      </rPr>
      <t>mat</t>
    </r>
    <r>
      <rPr>
        <sz val="12"/>
        <color theme="1"/>
        <rFont val="Times New Roman"/>
        <family val="1"/>
      </rPr>
      <t xml:space="preserve"> =</t>
    </r>
  </si>
  <si>
    <t>kN/m</t>
  </si>
  <si>
    <t>3. Cálculo do Peso do Muro</t>
  </si>
  <si>
    <t>4. Estabilidade ao Tombamento</t>
  </si>
  <si>
    <r>
      <t>M</t>
    </r>
    <r>
      <rPr>
        <vertAlign val="subscript"/>
        <sz val="12"/>
        <color theme="1"/>
        <rFont val="Times New Roman"/>
        <family val="1"/>
      </rPr>
      <t>T</t>
    </r>
    <r>
      <rPr>
        <sz val="12"/>
        <color theme="1"/>
        <rFont val="Times New Roman"/>
        <family val="1"/>
      </rPr>
      <t xml:space="preserve"> =</t>
    </r>
  </si>
  <si>
    <t>kNm/m</t>
  </si>
  <si>
    <r>
      <t>M</t>
    </r>
    <r>
      <rPr>
        <vertAlign val="subscript"/>
        <sz val="12"/>
        <color theme="1"/>
        <rFont val="Times New Roman"/>
        <family val="1"/>
      </rPr>
      <t>R</t>
    </r>
    <r>
      <rPr>
        <sz val="12"/>
        <color theme="1"/>
        <rFont val="Times New Roman"/>
        <family val="1"/>
      </rPr>
      <t xml:space="preserve"> =</t>
    </r>
  </si>
  <si>
    <t>(Momento favorável ao tombamento)</t>
  </si>
  <si>
    <t>(Momento resistente ao tombamento)</t>
  </si>
  <si>
    <t>Observação: momentos calculados em relação ao Ponto A</t>
  </si>
  <si>
    <r>
      <t>FS</t>
    </r>
    <r>
      <rPr>
        <b/>
        <vertAlign val="subscript"/>
        <sz val="12"/>
        <color theme="1"/>
        <rFont val="Times New Roman"/>
        <family val="1"/>
      </rPr>
      <t>T</t>
    </r>
    <r>
      <rPr>
        <b/>
        <sz val="12"/>
        <color theme="1"/>
        <rFont val="Times New Roman"/>
        <family val="1"/>
      </rPr>
      <t xml:space="preserve"> =</t>
    </r>
  </si>
  <si>
    <r>
      <t>F</t>
    </r>
    <r>
      <rPr>
        <vertAlign val="sub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 xml:space="preserve"> =</t>
    </r>
  </si>
  <si>
    <r>
      <t>F</t>
    </r>
    <r>
      <rPr>
        <vertAlign val="subscript"/>
        <sz val="12"/>
        <color theme="1"/>
        <rFont val="Times New Roman"/>
        <family val="1"/>
      </rPr>
      <t>R</t>
    </r>
    <r>
      <rPr>
        <sz val="12"/>
        <color theme="1"/>
        <rFont val="Times New Roman"/>
        <family val="1"/>
      </rPr>
      <t xml:space="preserve"> =</t>
    </r>
  </si>
  <si>
    <t>Material do muro:</t>
  </si>
  <si>
    <t>Solo de fundação:</t>
  </si>
  <si>
    <t>concreto armado</t>
  </si>
  <si>
    <t>solo (areia fina siltosa)</t>
  </si>
  <si>
    <r>
      <rPr>
        <sz val="12"/>
        <color theme="1"/>
        <rFont val="Symbol"/>
        <family val="1"/>
        <charset val="2"/>
      </rPr>
      <t>m</t>
    </r>
    <r>
      <rPr>
        <sz val="12"/>
        <color theme="1"/>
        <rFont val="Times New Roman"/>
        <family val="1"/>
      </rPr>
      <t xml:space="preserve"> =</t>
    </r>
  </si>
  <si>
    <t>(coeficiente de atrito solo de fundação-base)</t>
  </si>
  <si>
    <t>(Força resistente ao deslizamento)</t>
  </si>
  <si>
    <t>(Força favorável ao delizamento)</t>
  </si>
  <si>
    <t>Tensão admissível do solo de fundação: Método de Terzaghi (1943):</t>
  </si>
  <si>
    <t>Nc =</t>
  </si>
  <si>
    <t>Nq =</t>
  </si>
  <si>
    <r>
      <t>N</t>
    </r>
    <r>
      <rPr>
        <sz val="12"/>
        <color theme="1"/>
        <rFont val="Symbol"/>
        <family val="1"/>
        <charset val="2"/>
      </rPr>
      <t>g</t>
    </r>
    <r>
      <rPr>
        <sz val="12"/>
        <color theme="1"/>
        <rFont val="Times New Roman"/>
        <family val="1"/>
      </rPr>
      <t xml:space="preserve"> =</t>
    </r>
  </si>
  <si>
    <r>
      <t>r</t>
    </r>
    <r>
      <rPr>
        <vertAlign val="subscript"/>
        <sz val="12"/>
        <color theme="1"/>
        <rFont val="Symbol"/>
        <family val="1"/>
        <charset val="2"/>
      </rPr>
      <t>g</t>
    </r>
    <r>
      <rPr>
        <sz val="12"/>
        <color theme="1"/>
        <rFont val="Times New Roman"/>
        <family val="1"/>
      </rPr>
      <t xml:space="preserve"> =</t>
    </r>
  </si>
  <si>
    <r>
      <t>FS</t>
    </r>
    <r>
      <rPr>
        <b/>
        <vertAlign val="subscript"/>
        <sz val="12"/>
        <color theme="1"/>
        <rFont val="Times New Roman"/>
        <family val="1"/>
      </rPr>
      <t>D</t>
    </r>
    <r>
      <rPr>
        <b/>
        <sz val="12"/>
        <color theme="1"/>
        <rFont val="Times New Roman"/>
        <family val="1"/>
      </rPr>
      <t xml:space="preserve"> =</t>
    </r>
  </si>
  <si>
    <t>(coesão do solo de fundação)</t>
  </si>
  <si>
    <t>(ângulo de atrito do solo de fundação)</t>
  </si>
  <si>
    <t>(peso específico do solo de fundação)</t>
  </si>
  <si>
    <t>FS =</t>
  </si>
  <si>
    <r>
      <rPr>
        <sz val="12"/>
        <color theme="1"/>
        <rFont val="Symbol"/>
        <family val="1"/>
        <charset val="2"/>
      </rPr>
      <t>s</t>
    </r>
    <r>
      <rPr>
        <vertAlign val="subscript"/>
        <sz val="12"/>
        <color theme="1"/>
        <rFont val="Times New Roman"/>
        <family val="1"/>
      </rPr>
      <t>mín</t>
    </r>
    <r>
      <rPr>
        <sz val="12"/>
        <color theme="1"/>
        <rFont val="Times New Roman"/>
        <family val="1"/>
      </rPr>
      <t xml:space="preserve"> =</t>
    </r>
  </si>
  <si>
    <r>
      <t>M</t>
    </r>
    <r>
      <rPr>
        <vertAlign val="sub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 xml:space="preserve"> =</t>
    </r>
  </si>
  <si>
    <r>
      <rPr>
        <sz val="12"/>
        <color theme="1"/>
        <rFont val="Symbol"/>
        <family val="1"/>
        <charset val="2"/>
      </rPr>
      <t>s</t>
    </r>
    <r>
      <rPr>
        <vertAlign val="subscript"/>
        <sz val="12"/>
        <color theme="1"/>
        <rFont val="Times New Roman"/>
        <family val="1"/>
      </rPr>
      <t>máx</t>
    </r>
    <r>
      <rPr>
        <sz val="12"/>
        <color theme="1"/>
        <rFont val="Times New Roman"/>
        <family val="1"/>
      </rPr>
      <t xml:space="preserve"> =</t>
    </r>
  </si>
  <si>
    <r>
      <rPr>
        <sz val="12"/>
        <color theme="1"/>
        <rFont val="Symbol"/>
        <family val="1"/>
        <charset val="2"/>
      </rPr>
      <t>s</t>
    </r>
    <r>
      <rPr>
        <vertAlign val="subscript"/>
        <sz val="12"/>
        <color theme="1"/>
        <rFont val="Times New Roman"/>
        <family val="1"/>
      </rPr>
      <t>r</t>
    </r>
    <r>
      <rPr>
        <sz val="12"/>
        <color theme="1"/>
        <rFont val="Times New Roman"/>
        <family val="1"/>
      </rPr>
      <t xml:space="preserve"> =</t>
    </r>
  </si>
  <si>
    <r>
      <rPr>
        <sz val="12"/>
        <color theme="1"/>
        <rFont val="Symbol"/>
        <family val="1"/>
        <charset val="2"/>
      </rPr>
      <t>s</t>
    </r>
    <r>
      <rPr>
        <vertAlign val="subscript"/>
        <sz val="12"/>
        <color theme="1"/>
        <rFont val="Times New Roman"/>
        <family val="1"/>
      </rPr>
      <t>s</t>
    </r>
    <r>
      <rPr>
        <sz val="12"/>
        <color theme="1"/>
        <rFont val="Times New Roman"/>
        <family val="1"/>
      </rPr>
      <t xml:space="preserve"> =</t>
    </r>
  </si>
  <si>
    <t>Urbanização do Bairro Moura Brasil</t>
  </si>
  <si>
    <t>Av. Leste-Oeste, Bairro Moura Brasil, Fortaleza, Ceará</t>
  </si>
  <si>
    <t>Prefeitura Municipal de Fortaleza</t>
  </si>
  <si>
    <t>End:</t>
  </si>
  <si>
    <t>hs =</t>
  </si>
  <si>
    <t>(Espessura da parede do muro - constante)</t>
  </si>
  <si>
    <t>5. Estabilidade ao Deslizamento da Base</t>
  </si>
  <si>
    <t>6. Capacidade de Carga do Solo de Fundação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</si>
</sst>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b/>
      <sz val="12"/>
      <color rgb="FF0033CC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Symbol"/>
      <family val="1"/>
      <charset val="2"/>
    </font>
    <font>
      <b/>
      <vertAlign val="subscript"/>
      <sz val="12"/>
      <color theme="1"/>
      <name val="Times New Roman"/>
      <family val="1"/>
    </font>
    <font>
      <b/>
      <sz val="14"/>
      <color theme="1"/>
      <name val="Times New Roman"/>
      <family val="1"/>
    </font>
    <font>
      <vertAlign val="subscript"/>
      <sz val="12"/>
      <color theme="1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4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4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0" fontId="1" fillId="2" borderId="0" xfId="0" applyFont="1" applyFill="1" applyBorder="1"/>
    <xf numFmtId="2" fontId="1" fillId="0" borderId="0" xfId="0" applyNumberFormat="1" applyFont="1" applyBorder="1" applyAlignment="1">
      <alignment horizontal="center"/>
    </xf>
    <xf numFmtId="165" fontId="5" fillId="0" borderId="0" xfId="0" applyNumberFormat="1" applyFont="1" applyBorder="1"/>
    <xf numFmtId="0" fontId="5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64" fontId="5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5" fillId="0" borderId="7" xfId="0" applyFont="1" applyBorder="1"/>
    <xf numFmtId="0" fontId="2" fillId="0" borderId="1" xfId="0" applyFont="1" applyBorder="1"/>
    <xf numFmtId="0" fontId="2" fillId="0" borderId="0" xfId="0" applyFont="1" applyBorder="1"/>
    <xf numFmtId="0" fontId="5" fillId="0" borderId="0" xfId="0" applyFont="1" applyBorder="1" applyAlignment="1">
      <alignment horizontal="center"/>
    </xf>
    <xf numFmtId="0" fontId="2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2" fillId="0" borderId="16" xfId="0" applyFont="1" applyBorder="1"/>
    <xf numFmtId="0" fontId="1" fillId="0" borderId="17" xfId="0" applyFont="1" applyBorder="1"/>
    <xf numFmtId="0" fontId="1" fillId="0" borderId="12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2" fillId="0" borderId="9" xfId="0" applyFont="1" applyBorder="1"/>
    <xf numFmtId="0" fontId="1" fillId="0" borderId="10" xfId="0" applyFont="1" applyBorder="1"/>
    <xf numFmtId="0" fontId="1" fillId="0" borderId="21" xfId="0" applyFont="1" applyBorder="1"/>
    <xf numFmtId="0" fontId="2" fillId="0" borderId="10" xfId="0" applyFont="1" applyBorder="1"/>
    <xf numFmtId="0" fontId="1" fillId="0" borderId="11" xfId="0" applyFont="1" applyBorder="1"/>
    <xf numFmtId="0" fontId="2" fillId="0" borderId="7" xfId="0" applyFont="1" applyBorder="1"/>
    <xf numFmtId="0" fontId="2" fillId="0" borderId="13" xfId="0" applyFont="1" applyBorder="1"/>
    <xf numFmtId="14" fontId="1" fillId="0" borderId="0" xfId="0" applyNumberFormat="1" applyFont="1" applyBorder="1"/>
    <xf numFmtId="165" fontId="5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2" fontId="5" fillId="0" borderId="0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CC"/>
      <color rgb="FF4831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15478</xdr:colOff>
      <xdr:row>16</xdr:row>
      <xdr:rowOff>189707</xdr:rowOff>
    </xdr:from>
    <xdr:to>
      <xdr:col>8</xdr:col>
      <xdr:colOff>0</xdr:colOff>
      <xdr:row>17</xdr:row>
      <xdr:rowOff>9525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453878" y="2066132"/>
          <a:ext cx="2422922" cy="19843"/>
        </a:xfrm>
        <a:prstGeom prst="line">
          <a:avLst/>
        </a:prstGeom>
        <a:ln w="15875">
          <a:solidFill>
            <a:schemeClr val="accent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171450</xdr:colOff>
      <xdr:row>26</xdr:row>
      <xdr:rowOff>6350</xdr:rowOff>
    </xdr:from>
    <xdr:to>
      <xdr:col>10</xdr:col>
      <xdr:colOff>200025</xdr:colOff>
      <xdr:row>26</xdr:row>
      <xdr:rowOff>9525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 flipV="1">
          <a:off x="5048250" y="3883025"/>
          <a:ext cx="1247775" cy="3175"/>
        </a:xfrm>
        <a:prstGeom prst="line">
          <a:avLst/>
        </a:prstGeom>
        <a:ln w="15875">
          <a:solidFill>
            <a:schemeClr val="accent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589355</xdr:colOff>
      <xdr:row>16</xdr:row>
      <xdr:rowOff>182563</xdr:rowOff>
    </xdr:from>
    <xdr:to>
      <xdr:col>8</xdr:col>
      <xdr:colOff>603644</xdr:colOff>
      <xdr:row>25</xdr:row>
      <xdr:rowOff>190500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5447105" y="2075657"/>
          <a:ext cx="14289" cy="1829593"/>
        </a:xfrm>
        <a:prstGeom prst="line">
          <a:avLst/>
        </a:prstGeom>
        <a:ln w="9525">
          <a:solidFill>
            <a:schemeClr val="tx1"/>
          </a:solidFill>
          <a:headEnd type="triangle" w="sm" len="med"/>
          <a:tailEnd type="triangle" w="sm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528633</xdr:colOff>
      <xdr:row>16</xdr:row>
      <xdr:rowOff>183753</xdr:rowOff>
    </xdr:from>
    <xdr:to>
      <xdr:col>9</xdr:col>
      <xdr:colOff>70242</xdr:colOff>
      <xdr:row>16</xdr:row>
      <xdr:rowOff>183753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5386383" y="2076847"/>
          <a:ext cx="148828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595312</xdr:colOff>
      <xdr:row>17</xdr:row>
      <xdr:rowOff>17860</xdr:rowOff>
    </xdr:from>
    <xdr:to>
      <xdr:col>5</xdr:col>
      <xdr:colOff>5957</xdr:colOff>
      <xdr:row>25</xdr:row>
      <xdr:rowOff>23812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024187" y="2113360"/>
          <a:ext cx="17864" cy="1660921"/>
        </a:xfrm>
        <a:prstGeom prst="line">
          <a:avLst/>
        </a:prstGeom>
        <a:ln w="9525">
          <a:solidFill>
            <a:srgbClr val="0033CC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351887</xdr:colOff>
      <xdr:row>18</xdr:row>
      <xdr:rowOff>119091</xdr:rowOff>
    </xdr:from>
    <xdr:to>
      <xdr:col>7</xdr:col>
      <xdr:colOff>264575</xdr:colOff>
      <xdr:row>20</xdr:row>
      <xdr:rowOff>80993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009487" y="2395566"/>
          <a:ext cx="522288" cy="3619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</a:t>
          </a:r>
          <a:r>
            <a:rPr lang="en-AU" sz="1200" baseline="-25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</a:t>
          </a:r>
        </a:p>
      </xdr:txBody>
    </xdr:sp>
    <xdr:clientData/>
  </xdr:twoCellAnchor>
  <xdr:twoCellAnchor>
    <xdr:from>
      <xdr:col>7</xdr:col>
      <xdr:colOff>417513</xdr:colOff>
      <xdr:row>15</xdr:row>
      <xdr:rowOff>9525</xdr:rowOff>
    </xdr:from>
    <xdr:to>
      <xdr:col>7</xdr:col>
      <xdr:colOff>417513</xdr:colOff>
      <xdr:row>16</xdr:row>
      <xdr:rowOff>192087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4684713" y="1609725"/>
          <a:ext cx="0" cy="382587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217488</xdr:colOff>
      <xdr:row>15</xdr:row>
      <xdr:rowOff>9525</xdr:rowOff>
    </xdr:from>
    <xdr:to>
      <xdr:col>7</xdr:col>
      <xdr:colOff>217488</xdr:colOff>
      <xdr:row>16</xdr:row>
      <xdr:rowOff>192087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4484688" y="1609725"/>
          <a:ext cx="0" cy="382587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17463</xdr:colOff>
      <xdr:row>15</xdr:row>
      <xdr:rowOff>9525</xdr:rowOff>
    </xdr:from>
    <xdr:to>
      <xdr:col>7</xdr:col>
      <xdr:colOff>17463</xdr:colOff>
      <xdr:row>16</xdr:row>
      <xdr:rowOff>192087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V="1">
          <a:off x="4284663" y="1609725"/>
          <a:ext cx="0" cy="382587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417513</xdr:colOff>
      <xdr:row>15</xdr:row>
      <xdr:rowOff>9525</xdr:rowOff>
    </xdr:from>
    <xdr:to>
      <xdr:col>6</xdr:col>
      <xdr:colOff>417513</xdr:colOff>
      <xdr:row>16</xdr:row>
      <xdr:rowOff>192087</xdr:rowOff>
    </xdr:to>
    <xdr:cxnSp macro="">
      <xdr:nvCxnSpPr>
        <xdr:cNvPr id="16" name="Conector de seta reta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4075113" y="1609725"/>
          <a:ext cx="0" cy="382587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198438</xdr:colOff>
      <xdr:row>15</xdr:row>
      <xdr:rowOff>9525</xdr:rowOff>
    </xdr:from>
    <xdr:to>
      <xdr:col>6</xdr:col>
      <xdr:colOff>198438</xdr:colOff>
      <xdr:row>16</xdr:row>
      <xdr:rowOff>192087</xdr:rowOff>
    </xdr:to>
    <xdr:cxnSp macro="">
      <xdr:nvCxnSpPr>
        <xdr:cNvPr id="17" name="Conector de seta reta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3856038" y="1609725"/>
          <a:ext cx="0" cy="382587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598488</xdr:colOff>
      <xdr:row>15</xdr:row>
      <xdr:rowOff>19050</xdr:rowOff>
    </xdr:from>
    <xdr:to>
      <xdr:col>5</xdr:col>
      <xdr:colOff>598488</xdr:colOff>
      <xdr:row>17</xdr:row>
      <xdr:rowOff>1587</xdr:rowOff>
    </xdr:to>
    <xdr:cxnSp macro="">
      <xdr:nvCxnSpPr>
        <xdr:cNvPr id="18" name="Conector de seta reta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flipV="1">
          <a:off x="3646488" y="1619250"/>
          <a:ext cx="0" cy="382587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388938</xdr:colOff>
      <xdr:row>15</xdr:row>
      <xdr:rowOff>19050</xdr:rowOff>
    </xdr:from>
    <xdr:to>
      <xdr:col>5</xdr:col>
      <xdr:colOff>388938</xdr:colOff>
      <xdr:row>17</xdr:row>
      <xdr:rowOff>1587</xdr:rowOff>
    </xdr:to>
    <xdr:cxnSp macro="">
      <xdr:nvCxnSpPr>
        <xdr:cNvPr id="19" name="Conector de seta reta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V="1">
          <a:off x="3436938" y="1619250"/>
          <a:ext cx="0" cy="382587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198438</xdr:colOff>
      <xdr:row>15</xdr:row>
      <xdr:rowOff>9525</xdr:rowOff>
    </xdr:from>
    <xdr:to>
      <xdr:col>5</xdr:col>
      <xdr:colOff>198438</xdr:colOff>
      <xdr:row>16</xdr:row>
      <xdr:rowOff>192087</xdr:rowOff>
    </xdr:to>
    <xdr:cxnSp macro="">
      <xdr:nvCxnSpPr>
        <xdr:cNvPr id="20" name="Conector de seta ret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3246438" y="1609725"/>
          <a:ext cx="0" cy="382587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608013</xdr:colOff>
      <xdr:row>15</xdr:row>
      <xdr:rowOff>19050</xdr:rowOff>
    </xdr:from>
    <xdr:to>
      <xdr:col>4</xdr:col>
      <xdr:colOff>608013</xdr:colOff>
      <xdr:row>17</xdr:row>
      <xdr:rowOff>1587</xdr:rowOff>
    </xdr:to>
    <xdr:cxnSp macro="">
      <xdr:nvCxnSpPr>
        <xdr:cNvPr id="21" name="Conector de seta reta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V="1">
          <a:off x="3046413" y="1619250"/>
          <a:ext cx="0" cy="382587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407988</xdr:colOff>
      <xdr:row>15</xdr:row>
      <xdr:rowOff>9525</xdr:rowOff>
    </xdr:from>
    <xdr:to>
      <xdr:col>4</xdr:col>
      <xdr:colOff>407988</xdr:colOff>
      <xdr:row>16</xdr:row>
      <xdr:rowOff>192087</xdr:rowOff>
    </xdr:to>
    <xdr:cxnSp macro="">
      <xdr:nvCxnSpPr>
        <xdr:cNvPr id="22" name="Conector de seta reta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V="1">
          <a:off x="2846388" y="1609725"/>
          <a:ext cx="0" cy="382587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180975</xdr:colOff>
      <xdr:row>17</xdr:row>
      <xdr:rowOff>0</xdr:rowOff>
    </xdr:from>
    <xdr:to>
      <xdr:col>8</xdr:col>
      <xdr:colOff>180975</xdr:colOff>
      <xdr:row>26</xdr:row>
      <xdr:rowOff>9525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5057775" y="2076450"/>
          <a:ext cx="0" cy="180975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602082</xdr:colOff>
      <xdr:row>17</xdr:row>
      <xdr:rowOff>0</xdr:rowOff>
    </xdr:from>
    <xdr:to>
      <xdr:col>8</xdr:col>
      <xdr:colOff>0</xdr:colOff>
      <xdr:row>25</xdr:row>
      <xdr:rowOff>9525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4869282" y="2076450"/>
          <a:ext cx="7518" cy="1609725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600076</xdr:colOff>
      <xdr:row>25</xdr:row>
      <xdr:rowOff>1</xdr:rowOff>
    </xdr:from>
    <xdr:to>
      <xdr:col>8</xdr:col>
      <xdr:colOff>0</xdr:colOff>
      <xdr:row>25</xdr:row>
      <xdr:rowOff>9655</xdr:rowOff>
    </xdr:to>
    <xdr:cxnSp macro="">
      <xdr:nvCxnSpPr>
        <xdr:cNvPr id="32" name="Conector reto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H="1" flipV="1">
          <a:off x="3648076" y="3676651"/>
          <a:ext cx="1228724" cy="9654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607219</xdr:colOff>
      <xdr:row>24</xdr:row>
      <xdr:rowOff>195513</xdr:rowOff>
    </xdr:from>
    <xdr:to>
      <xdr:col>6</xdr:col>
      <xdr:colOff>502</xdr:colOff>
      <xdr:row>26</xdr:row>
      <xdr:rowOff>190500</xdr:rowOff>
    </xdr:to>
    <xdr:cxnSp macro="">
      <xdr:nvCxnSpPr>
        <xdr:cNvPr id="34" name="Conector reto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flipH="1">
          <a:off x="3655219" y="3672138"/>
          <a:ext cx="2883" cy="395037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26</xdr:row>
      <xdr:rowOff>9525</xdr:rowOff>
    </xdr:from>
    <xdr:to>
      <xdr:col>8</xdr:col>
      <xdr:colOff>180976</xdr:colOff>
      <xdr:row>26</xdr:row>
      <xdr:rowOff>9525</xdr:rowOff>
    </xdr:to>
    <xdr:cxnSp macro="">
      <xdr:nvCxnSpPr>
        <xdr:cNvPr id="35" name="Conector reto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 flipH="1">
          <a:off x="3829050" y="3886200"/>
          <a:ext cx="1228726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170948</xdr:colOff>
      <xdr:row>26</xdr:row>
      <xdr:rowOff>9525</xdr:rowOff>
    </xdr:from>
    <xdr:to>
      <xdr:col>6</xdr:col>
      <xdr:colOff>171450</xdr:colOff>
      <xdr:row>26</xdr:row>
      <xdr:rowOff>188711</xdr:rowOff>
    </xdr:to>
    <xdr:cxnSp macro="">
      <xdr:nvCxnSpPr>
        <xdr:cNvPr id="38" name="Conector reto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 flipH="1">
          <a:off x="3828548" y="3886200"/>
          <a:ext cx="502" cy="179186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602456</xdr:colOff>
      <xdr:row>26</xdr:row>
      <xdr:rowOff>191432</xdr:rowOff>
    </xdr:from>
    <xdr:to>
      <xdr:col>6</xdr:col>
      <xdr:colOff>178003</xdr:colOff>
      <xdr:row>26</xdr:row>
      <xdr:rowOff>192881</xdr:rowOff>
    </xdr:to>
    <xdr:cxnSp macro="">
      <xdr:nvCxnSpPr>
        <xdr:cNvPr id="42" name="Conector reto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>
          <a:off x="3650456" y="4068107"/>
          <a:ext cx="185147" cy="1449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604838</xdr:colOff>
      <xdr:row>17</xdr:row>
      <xdr:rowOff>5694</xdr:rowOff>
    </xdr:from>
    <xdr:to>
      <xdr:col>8</xdr:col>
      <xdr:colOff>180385</xdr:colOff>
      <xdr:row>17</xdr:row>
      <xdr:rowOff>7143</xdr:rowOff>
    </xdr:to>
    <xdr:cxnSp macro="">
      <xdr:nvCxnSpPr>
        <xdr:cNvPr id="49" name="Conector reto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 flipH="1">
          <a:off x="4872038" y="2082144"/>
          <a:ext cx="185147" cy="1449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598488</xdr:colOff>
      <xdr:row>15</xdr:row>
      <xdr:rowOff>19050</xdr:rowOff>
    </xdr:from>
    <xdr:to>
      <xdr:col>7</xdr:col>
      <xdr:colOff>598488</xdr:colOff>
      <xdr:row>17</xdr:row>
      <xdr:rowOff>1587</xdr:rowOff>
    </xdr:to>
    <xdr:cxnSp macro="">
      <xdr:nvCxnSpPr>
        <xdr:cNvPr id="58" name="Conector de seta reta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/>
      </xdr:nvCxnSpPr>
      <xdr:spPr>
        <a:xfrm flipV="1">
          <a:off x="4865688" y="1657350"/>
          <a:ext cx="0" cy="420687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17</xdr:row>
      <xdr:rowOff>19050</xdr:rowOff>
    </xdr:from>
    <xdr:to>
      <xdr:col>6</xdr:col>
      <xdr:colOff>9525</xdr:colOff>
      <xdr:row>25</xdr:row>
      <xdr:rowOff>9525</xdr:rowOff>
    </xdr:to>
    <xdr:cxnSp macro="">
      <xdr:nvCxnSpPr>
        <xdr:cNvPr id="60" name="Conector reto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 flipH="1">
          <a:off x="3657601" y="2095500"/>
          <a:ext cx="9524" cy="1590675"/>
        </a:xfrm>
        <a:prstGeom prst="line">
          <a:avLst/>
        </a:prstGeom>
        <a:ln w="9525"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14568</xdr:colOff>
      <xdr:row>18</xdr:row>
      <xdr:rowOff>18801</xdr:rowOff>
    </xdr:from>
    <xdr:to>
      <xdr:col>7</xdr:col>
      <xdr:colOff>26707</xdr:colOff>
      <xdr:row>21</xdr:row>
      <xdr:rowOff>12451</xdr:rowOff>
    </xdr:to>
    <xdr:cxnSp macro="">
      <xdr:nvCxnSpPr>
        <xdr:cNvPr id="63" name="Conector de seta reta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 rot="-5400000">
          <a:off x="3990975" y="2586069"/>
          <a:ext cx="593725" cy="12139"/>
        </a:xfrm>
        <a:prstGeom prst="straightConnector1">
          <a:avLst/>
        </a:prstGeom>
        <a:ln w="19050">
          <a:solidFill>
            <a:schemeClr val="tx1"/>
          </a:solidFill>
          <a:headEnd type="stealth" w="lg" len="lg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608014</xdr:colOff>
      <xdr:row>28</xdr:row>
      <xdr:rowOff>12700</xdr:rowOff>
    </xdr:from>
    <xdr:to>
      <xdr:col>8</xdr:col>
      <xdr:colOff>171450</xdr:colOff>
      <xdr:row>28</xdr:row>
      <xdr:rowOff>19050</xdr:rowOff>
    </xdr:to>
    <xdr:cxnSp macro="">
      <xdr:nvCxnSpPr>
        <xdr:cNvPr id="64" name="Conector reto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 flipH="1" flipV="1">
          <a:off x="3656014" y="4289425"/>
          <a:ext cx="1392236" cy="6350"/>
        </a:xfrm>
        <a:prstGeom prst="line">
          <a:avLst/>
        </a:prstGeom>
        <a:ln w="9525">
          <a:solidFill>
            <a:schemeClr val="tx1"/>
          </a:solidFill>
          <a:headEnd type="triangle" w="sm" len="med"/>
          <a:tailEnd type="triangle" w="sm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4167</xdr:colOff>
      <xdr:row>27</xdr:row>
      <xdr:rowOff>128389</xdr:rowOff>
    </xdr:from>
    <xdr:to>
      <xdr:col>6</xdr:col>
      <xdr:colOff>4167</xdr:colOff>
      <xdr:row>28</xdr:row>
      <xdr:rowOff>77192</xdr:rowOff>
    </xdr:to>
    <xdr:cxnSp macro="">
      <xdr:nvCxnSpPr>
        <xdr:cNvPr id="65" name="Conector reto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/>
      </xdr:nvCxnSpPr>
      <xdr:spPr>
        <a:xfrm rot="5400000">
          <a:off x="3587353" y="4279503"/>
          <a:ext cx="148828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175617</xdr:colOff>
      <xdr:row>27</xdr:row>
      <xdr:rowOff>147439</xdr:rowOff>
    </xdr:from>
    <xdr:to>
      <xdr:col>8</xdr:col>
      <xdr:colOff>175617</xdr:colOff>
      <xdr:row>28</xdr:row>
      <xdr:rowOff>96242</xdr:rowOff>
    </xdr:to>
    <xdr:cxnSp macro="">
      <xdr:nvCxnSpPr>
        <xdr:cNvPr id="67" name="Conector reto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rot="5400000">
          <a:off x="4978003" y="4298553"/>
          <a:ext cx="148828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7939</xdr:colOff>
      <xdr:row>22</xdr:row>
      <xdr:rowOff>68657</xdr:rowOff>
    </xdr:from>
    <xdr:to>
      <xdr:col>7</xdr:col>
      <xdr:colOff>9525</xdr:colOff>
      <xdr:row>22</xdr:row>
      <xdr:rowOff>75007</xdr:rowOff>
    </xdr:to>
    <xdr:cxnSp macro="">
      <xdr:nvCxnSpPr>
        <xdr:cNvPr id="69" name="Conector reto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/>
      </xdr:nvCxnSpPr>
      <xdr:spPr>
        <a:xfrm flipH="1" flipV="1">
          <a:off x="3651252" y="3176188"/>
          <a:ext cx="608804" cy="6350"/>
        </a:xfrm>
        <a:prstGeom prst="line">
          <a:avLst/>
        </a:prstGeom>
        <a:ln w="9525">
          <a:solidFill>
            <a:schemeClr val="tx1"/>
          </a:solidFill>
          <a:headEnd type="triangle" w="sm" len="med"/>
          <a:tailEnd type="triangle" w="sm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23217</xdr:colOff>
      <xdr:row>21</xdr:row>
      <xdr:rowOff>196252</xdr:rowOff>
    </xdr:from>
    <xdr:to>
      <xdr:col>7</xdr:col>
      <xdr:colOff>23217</xdr:colOff>
      <xdr:row>22</xdr:row>
      <xdr:rowOff>145055</xdr:rowOff>
    </xdr:to>
    <xdr:cxnSp macro="">
      <xdr:nvCxnSpPr>
        <xdr:cNvPr id="70" name="Conector reto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/>
      </xdr:nvCxnSpPr>
      <xdr:spPr>
        <a:xfrm rot="5400000">
          <a:off x="4198143" y="3176982"/>
          <a:ext cx="151209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601266</xdr:colOff>
      <xdr:row>22</xdr:row>
      <xdr:rowOff>202406</xdr:rowOff>
    </xdr:from>
    <xdr:to>
      <xdr:col>8</xdr:col>
      <xdr:colOff>173824</xdr:colOff>
      <xdr:row>23</xdr:row>
      <xdr:rowOff>7538</xdr:rowOff>
    </xdr:to>
    <xdr:cxnSp macro="">
      <xdr:nvCxnSpPr>
        <xdr:cNvPr id="72" name="Conector reto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/>
      </xdr:nvCxnSpPr>
      <xdr:spPr>
        <a:xfrm>
          <a:off x="4851797" y="3309937"/>
          <a:ext cx="179777" cy="7539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588</xdr:colOff>
      <xdr:row>22</xdr:row>
      <xdr:rowOff>155772</xdr:rowOff>
    </xdr:from>
    <xdr:to>
      <xdr:col>8</xdr:col>
      <xdr:colOff>588</xdr:colOff>
      <xdr:row>23</xdr:row>
      <xdr:rowOff>61365</xdr:rowOff>
    </xdr:to>
    <xdr:cxnSp macro="">
      <xdr:nvCxnSpPr>
        <xdr:cNvPr id="73" name="Conector reto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/>
      </xdr:nvCxnSpPr>
      <xdr:spPr>
        <a:xfrm rot="2700000">
          <a:off x="4804338" y="3317303"/>
          <a:ext cx="108000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176800</xdr:colOff>
      <xdr:row>22</xdr:row>
      <xdr:rowOff>153394</xdr:rowOff>
    </xdr:from>
    <xdr:to>
      <xdr:col>8</xdr:col>
      <xdr:colOff>176800</xdr:colOff>
      <xdr:row>23</xdr:row>
      <xdr:rowOff>58987</xdr:rowOff>
    </xdr:to>
    <xdr:cxnSp macro="">
      <xdr:nvCxnSpPr>
        <xdr:cNvPr id="76" name="Conector reto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 rot="2700000">
          <a:off x="4980550" y="3314925"/>
          <a:ext cx="108000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145909</xdr:colOff>
      <xdr:row>22</xdr:row>
      <xdr:rowOff>20268</xdr:rowOff>
    </xdr:from>
    <xdr:to>
      <xdr:col>9</xdr:col>
      <xdr:colOff>58596</xdr:colOff>
      <xdr:row>23</xdr:row>
      <xdr:rowOff>184576</xdr:rowOff>
    </xdr:to>
    <xdr:sp macro="" textlink="">
      <xdr:nvSpPr>
        <xdr:cNvPr id="77" name="CaixaDeTexto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5003659" y="3127799"/>
          <a:ext cx="519906" cy="366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</a:t>
          </a:r>
          <a:r>
            <a:rPr lang="en-AU" sz="1200" baseline="-25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0</a:t>
          </a:r>
        </a:p>
      </xdr:txBody>
    </xdr:sp>
    <xdr:clientData/>
  </xdr:twoCellAnchor>
  <xdr:twoCellAnchor>
    <xdr:from>
      <xdr:col>7</xdr:col>
      <xdr:colOff>323247</xdr:colOff>
      <xdr:row>24</xdr:row>
      <xdr:rowOff>156967</xdr:rowOff>
    </xdr:from>
    <xdr:to>
      <xdr:col>7</xdr:col>
      <xdr:colOff>323247</xdr:colOff>
      <xdr:row>25</xdr:row>
      <xdr:rowOff>62561</xdr:rowOff>
    </xdr:to>
    <xdr:cxnSp macro="">
      <xdr:nvCxnSpPr>
        <xdr:cNvPr id="80" name="Conector reto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/>
      </xdr:nvCxnSpPr>
      <xdr:spPr>
        <a:xfrm rot="2700000">
          <a:off x="4519778" y="3723311"/>
          <a:ext cx="108000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308963</xdr:colOff>
      <xdr:row>25</xdr:row>
      <xdr:rowOff>160538</xdr:rowOff>
    </xdr:from>
    <xdr:to>
      <xdr:col>7</xdr:col>
      <xdr:colOff>308963</xdr:colOff>
      <xdr:row>26</xdr:row>
      <xdr:rowOff>66132</xdr:rowOff>
    </xdr:to>
    <xdr:cxnSp macro="">
      <xdr:nvCxnSpPr>
        <xdr:cNvPr id="81" name="Conector reto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/>
      </xdr:nvCxnSpPr>
      <xdr:spPr>
        <a:xfrm rot="2700000">
          <a:off x="4505494" y="3929288"/>
          <a:ext cx="108000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303612</xdr:colOff>
      <xdr:row>24</xdr:row>
      <xdr:rowOff>202208</xdr:rowOff>
    </xdr:from>
    <xdr:to>
      <xdr:col>7</xdr:col>
      <xdr:colOff>314919</xdr:colOff>
      <xdr:row>26</xdr:row>
      <xdr:rowOff>17860</xdr:rowOff>
    </xdr:to>
    <xdr:cxnSp macro="">
      <xdr:nvCxnSpPr>
        <xdr:cNvPr id="82" name="Conector reto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/>
      </xdr:nvCxnSpPr>
      <xdr:spPr>
        <a:xfrm flipH="1">
          <a:off x="4554143" y="3714552"/>
          <a:ext cx="11307" cy="220464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481600</xdr:colOff>
      <xdr:row>25</xdr:row>
      <xdr:rowOff>154585</xdr:rowOff>
    </xdr:from>
    <xdr:to>
      <xdr:col>5</xdr:col>
      <xdr:colOff>481600</xdr:colOff>
      <xdr:row>26</xdr:row>
      <xdr:rowOff>60179</xdr:rowOff>
    </xdr:to>
    <xdr:cxnSp macro="">
      <xdr:nvCxnSpPr>
        <xdr:cNvPr id="85" name="Conector reto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rot="2700000">
          <a:off x="3463694" y="3923335"/>
          <a:ext cx="108000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467316</xdr:colOff>
      <xdr:row>26</xdr:row>
      <xdr:rowOff>158156</xdr:rowOff>
    </xdr:from>
    <xdr:to>
      <xdr:col>5</xdr:col>
      <xdr:colOff>467316</xdr:colOff>
      <xdr:row>27</xdr:row>
      <xdr:rowOff>28031</xdr:rowOff>
    </xdr:to>
    <xdr:cxnSp macro="">
      <xdr:nvCxnSpPr>
        <xdr:cNvPr id="86" name="Conector reto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rot="2700000">
          <a:off x="3449410" y="4129312"/>
          <a:ext cx="108000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461965</xdr:colOff>
      <xdr:row>25</xdr:row>
      <xdr:rowOff>199826</xdr:rowOff>
    </xdr:from>
    <xdr:to>
      <xdr:col>5</xdr:col>
      <xdr:colOff>473272</xdr:colOff>
      <xdr:row>26</xdr:row>
      <xdr:rowOff>217884</xdr:rowOff>
    </xdr:to>
    <xdr:cxnSp macro="">
      <xdr:nvCxnSpPr>
        <xdr:cNvPr id="87" name="Conector ret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/>
      </xdr:nvCxnSpPr>
      <xdr:spPr>
        <a:xfrm flipH="1">
          <a:off x="3498059" y="3914576"/>
          <a:ext cx="11307" cy="220464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145901</xdr:colOff>
      <xdr:row>18</xdr:row>
      <xdr:rowOff>139331</xdr:rowOff>
    </xdr:from>
    <xdr:to>
      <xdr:col>9</xdr:col>
      <xdr:colOff>58588</xdr:colOff>
      <xdr:row>20</xdr:row>
      <xdr:rowOff>101233</xdr:rowOff>
    </xdr:to>
    <xdr:sp macro="" textlink="">
      <xdr:nvSpPr>
        <xdr:cNvPr id="88" name="CaixaDeTexto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5003651" y="2437237"/>
          <a:ext cx="519906" cy="366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</a:t>
          </a:r>
          <a:r>
            <a:rPr lang="en-AU" sz="1200" baseline="-25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</a:t>
          </a:r>
        </a:p>
      </xdr:txBody>
    </xdr:sp>
    <xdr:clientData/>
  </xdr:twoCellAnchor>
  <xdr:twoCellAnchor>
    <xdr:from>
      <xdr:col>8</xdr:col>
      <xdr:colOff>82432</xdr:colOff>
      <xdr:row>18</xdr:row>
      <xdr:rowOff>39041</xdr:rowOff>
    </xdr:from>
    <xdr:to>
      <xdr:col>8</xdr:col>
      <xdr:colOff>94571</xdr:colOff>
      <xdr:row>21</xdr:row>
      <xdr:rowOff>32691</xdr:rowOff>
    </xdr:to>
    <xdr:cxnSp macro="">
      <xdr:nvCxnSpPr>
        <xdr:cNvPr id="89" name="Conector de seta reta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CxnSpPr/>
      </xdr:nvCxnSpPr>
      <xdr:spPr>
        <a:xfrm rot="-5400000">
          <a:off x="4645817" y="2631312"/>
          <a:ext cx="600869" cy="12139"/>
        </a:xfrm>
        <a:prstGeom prst="straightConnector1">
          <a:avLst/>
        </a:prstGeom>
        <a:ln w="19050">
          <a:solidFill>
            <a:schemeClr val="tx1"/>
          </a:solidFill>
          <a:headEnd type="stealth" w="lg" len="lg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572148</xdr:colOff>
      <xdr:row>23</xdr:row>
      <xdr:rowOff>142895</xdr:rowOff>
    </xdr:from>
    <xdr:to>
      <xdr:col>7</xdr:col>
      <xdr:colOff>484836</xdr:colOff>
      <xdr:row>25</xdr:row>
      <xdr:rowOff>104798</xdr:rowOff>
    </xdr:to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4215461" y="3452833"/>
          <a:ext cx="519906" cy="366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</a:t>
          </a:r>
          <a:r>
            <a:rPr lang="en-AU" sz="1200" baseline="-25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</a:t>
          </a:r>
        </a:p>
      </xdr:txBody>
    </xdr:sp>
    <xdr:clientData/>
  </xdr:twoCellAnchor>
  <xdr:twoCellAnchor>
    <xdr:from>
      <xdr:col>7</xdr:col>
      <xdr:colOff>11906</xdr:colOff>
      <xdr:row>24</xdr:row>
      <xdr:rowOff>53578</xdr:rowOff>
    </xdr:from>
    <xdr:to>
      <xdr:col>7</xdr:col>
      <xdr:colOff>13378</xdr:colOff>
      <xdr:row>25</xdr:row>
      <xdr:rowOff>193427</xdr:rowOff>
    </xdr:to>
    <xdr:cxnSp macro="">
      <xdr:nvCxnSpPr>
        <xdr:cNvPr id="92" name="Conector de seta reta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CxnSpPr/>
      </xdr:nvCxnSpPr>
      <xdr:spPr>
        <a:xfrm flipH="1" flipV="1">
          <a:off x="4262437" y="3565922"/>
          <a:ext cx="1472" cy="342255"/>
        </a:xfrm>
        <a:prstGeom prst="straightConnector1">
          <a:avLst/>
        </a:prstGeom>
        <a:ln w="19050">
          <a:solidFill>
            <a:schemeClr val="tx1"/>
          </a:solidFill>
          <a:headEnd type="stealth" w="lg" len="lg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349508</xdr:colOff>
      <xdr:row>24</xdr:row>
      <xdr:rowOff>39312</xdr:rowOff>
    </xdr:from>
    <xdr:to>
      <xdr:col>6</xdr:col>
      <xdr:colOff>262195</xdr:colOff>
      <xdr:row>26</xdr:row>
      <xdr:rowOff>1215</xdr:rowOff>
    </xdr:to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3385602" y="3551656"/>
          <a:ext cx="519906" cy="366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</a:t>
          </a:r>
          <a:r>
            <a:rPr lang="en-AU" sz="1200" baseline="-25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</a:t>
          </a:r>
        </a:p>
      </xdr:txBody>
    </xdr:sp>
    <xdr:clientData/>
  </xdr:twoCellAnchor>
  <xdr:twoCellAnchor>
    <xdr:from>
      <xdr:col>6</xdr:col>
      <xdr:colOff>75009</xdr:colOff>
      <xdr:row>25</xdr:row>
      <xdr:rowOff>33337</xdr:rowOff>
    </xdr:from>
    <xdr:to>
      <xdr:col>6</xdr:col>
      <xdr:colOff>76481</xdr:colOff>
      <xdr:row>26</xdr:row>
      <xdr:rowOff>173186</xdr:rowOff>
    </xdr:to>
    <xdr:cxnSp macro="">
      <xdr:nvCxnSpPr>
        <xdr:cNvPr id="95" name="Conector de seta reta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CxnSpPr/>
      </xdr:nvCxnSpPr>
      <xdr:spPr>
        <a:xfrm flipH="1" flipV="1">
          <a:off x="3718322" y="3748087"/>
          <a:ext cx="1472" cy="342255"/>
        </a:xfrm>
        <a:prstGeom prst="straightConnector1">
          <a:avLst/>
        </a:prstGeom>
        <a:ln w="19050">
          <a:solidFill>
            <a:schemeClr val="tx1"/>
          </a:solidFill>
          <a:headEnd type="stealth" w="lg" len="lg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77390</xdr:colOff>
      <xdr:row>24</xdr:row>
      <xdr:rowOff>11903</xdr:rowOff>
    </xdr:from>
    <xdr:to>
      <xdr:col>6</xdr:col>
      <xdr:colOff>596506</xdr:colOff>
      <xdr:row>24</xdr:row>
      <xdr:rowOff>19043</xdr:rowOff>
    </xdr:to>
    <xdr:cxnSp macro="">
      <xdr:nvCxnSpPr>
        <xdr:cNvPr id="96" name="Conector reto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CxnSpPr/>
      </xdr:nvCxnSpPr>
      <xdr:spPr>
        <a:xfrm flipH="1" flipV="1">
          <a:off x="3720703" y="3524247"/>
          <a:ext cx="519116" cy="7140"/>
        </a:xfrm>
        <a:prstGeom prst="line">
          <a:avLst/>
        </a:prstGeom>
        <a:ln w="9525">
          <a:solidFill>
            <a:schemeClr val="tx1"/>
          </a:solidFill>
          <a:headEnd type="triangle" w="sm" len="med"/>
          <a:tailEnd type="triangle" w="sm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77985</xdr:colOff>
      <xdr:row>23</xdr:row>
      <xdr:rowOff>143863</xdr:rowOff>
    </xdr:from>
    <xdr:to>
      <xdr:col>6</xdr:col>
      <xdr:colOff>77985</xdr:colOff>
      <xdr:row>24</xdr:row>
      <xdr:rowOff>92666</xdr:rowOff>
    </xdr:to>
    <xdr:cxnSp macro="">
      <xdr:nvCxnSpPr>
        <xdr:cNvPr id="99" name="Conector reto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CxnSpPr/>
      </xdr:nvCxnSpPr>
      <xdr:spPr>
        <a:xfrm rot="5400000">
          <a:off x="3645693" y="3529406"/>
          <a:ext cx="151209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17859</xdr:colOff>
      <xdr:row>16</xdr:row>
      <xdr:rowOff>196453</xdr:rowOff>
    </xdr:from>
    <xdr:to>
      <xdr:col>4</xdr:col>
      <xdr:colOff>446484</xdr:colOff>
      <xdr:row>25</xdr:row>
      <xdr:rowOff>0</xdr:rowOff>
    </xdr:to>
    <xdr:cxnSp macro="">
      <xdr:nvCxnSpPr>
        <xdr:cNvPr id="107" name="Conector reto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CxnSpPr/>
      </xdr:nvCxnSpPr>
      <xdr:spPr>
        <a:xfrm flipH="1">
          <a:off x="2446734" y="2089547"/>
          <a:ext cx="428625" cy="1625203"/>
        </a:xfrm>
        <a:prstGeom prst="line">
          <a:avLst/>
        </a:prstGeom>
        <a:ln w="9525">
          <a:solidFill>
            <a:srgbClr val="0033CC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17859</xdr:colOff>
      <xdr:row>25</xdr:row>
      <xdr:rowOff>0</xdr:rowOff>
    </xdr:from>
    <xdr:to>
      <xdr:col>4</xdr:col>
      <xdr:colOff>577453</xdr:colOff>
      <xdr:row>25</xdr:row>
      <xdr:rowOff>5953</xdr:rowOff>
    </xdr:to>
    <xdr:cxnSp macro="">
      <xdr:nvCxnSpPr>
        <xdr:cNvPr id="109" name="Conector de seta reta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CxnSpPr/>
      </xdr:nvCxnSpPr>
      <xdr:spPr>
        <a:xfrm>
          <a:off x="2446734" y="4357688"/>
          <a:ext cx="559594" cy="5953"/>
        </a:xfrm>
        <a:prstGeom prst="straightConnector1">
          <a:avLst/>
        </a:prstGeom>
        <a:ln w="9525">
          <a:solidFill>
            <a:srgbClr val="0033CC"/>
          </a:solidFill>
          <a:prstDash val="solid"/>
          <a:headEnd w="sm" len="med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71437</xdr:colOff>
      <xdr:row>23</xdr:row>
      <xdr:rowOff>196453</xdr:rowOff>
    </xdr:from>
    <xdr:to>
      <xdr:col>4</xdr:col>
      <xdr:colOff>571500</xdr:colOff>
      <xdr:row>24</xdr:row>
      <xdr:rowOff>5953</xdr:rowOff>
    </xdr:to>
    <xdr:cxnSp macro="">
      <xdr:nvCxnSpPr>
        <xdr:cNvPr id="110" name="Conector de seta reta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CxnSpPr/>
      </xdr:nvCxnSpPr>
      <xdr:spPr>
        <a:xfrm>
          <a:off x="2500312" y="4149328"/>
          <a:ext cx="500063" cy="11906"/>
        </a:xfrm>
        <a:prstGeom prst="straightConnector1">
          <a:avLst/>
        </a:prstGeom>
        <a:ln w="9525">
          <a:solidFill>
            <a:srgbClr val="0033CC"/>
          </a:solidFill>
          <a:prstDash val="solid"/>
          <a:headEnd w="sm" len="med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119062</xdr:colOff>
      <xdr:row>22</xdr:row>
      <xdr:rowOff>178594</xdr:rowOff>
    </xdr:from>
    <xdr:to>
      <xdr:col>4</xdr:col>
      <xdr:colOff>584604</xdr:colOff>
      <xdr:row>22</xdr:row>
      <xdr:rowOff>197656</xdr:rowOff>
    </xdr:to>
    <xdr:cxnSp macro="">
      <xdr:nvCxnSpPr>
        <xdr:cNvPr id="111" name="Conector de seta reta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CxnSpPr/>
      </xdr:nvCxnSpPr>
      <xdr:spPr>
        <a:xfrm>
          <a:off x="2547937" y="3929063"/>
          <a:ext cx="465542" cy="19062"/>
        </a:xfrm>
        <a:prstGeom prst="straightConnector1">
          <a:avLst/>
        </a:prstGeom>
        <a:ln w="9525">
          <a:solidFill>
            <a:srgbClr val="0033CC"/>
          </a:solidFill>
          <a:prstDash val="solid"/>
          <a:headEnd w="sm" len="med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21</xdr:row>
      <xdr:rowOff>160734</xdr:rowOff>
    </xdr:from>
    <xdr:to>
      <xdr:col>4</xdr:col>
      <xdr:colOff>588179</xdr:colOff>
      <xdr:row>21</xdr:row>
      <xdr:rowOff>171462</xdr:rowOff>
    </xdr:to>
    <xdr:cxnSp macro="">
      <xdr:nvCxnSpPr>
        <xdr:cNvPr id="112" name="Conector de seta reta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CxnSpPr/>
      </xdr:nvCxnSpPr>
      <xdr:spPr>
        <a:xfrm>
          <a:off x="2619375" y="3065859"/>
          <a:ext cx="397679" cy="10728"/>
        </a:xfrm>
        <a:prstGeom prst="straightConnector1">
          <a:avLst/>
        </a:prstGeom>
        <a:ln w="9525">
          <a:solidFill>
            <a:srgbClr val="0033CC"/>
          </a:solidFill>
          <a:prstDash val="solid"/>
          <a:headEnd w="sm" len="med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250031</xdr:colOff>
      <xdr:row>20</xdr:row>
      <xdr:rowOff>130968</xdr:rowOff>
    </xdr:from>
    <xdr:to>
      <xdr:col>4</xdr:col>
      <xdr:colOff>583422</xdr:colOff>
      <xdr:row>20</xdr:row>
      <xdr:rowOff>142886</xdr:rowOff>
    </xdr:to>
    <xdr:cxnSp macro="">
      <xdr:nvCxnSpPr>
        <xdr:cNvPr id="114" name="Conector de seta reta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CxnSpPr/>
      </xdr:nvCxnSpPr>
      <xdr:spPr>
        <a:xfrm>
          <a:off x="2678906" y="2833687"/>
          <a:ext cx="333391" cy="11918"/>
        </a:xfrm>
        <a:prstGeom prst="straightConnector1">
          <a:avLst/>
        </a:prstGeom>
        <a:ln w="9525">
          <a:solidFill>
            <a:srgbClr val="0033CC"/>
          </a:solidFill>
          <a:prstDash val="solid"/>
          <a:headEnd w="sm" len="med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315516</xdr:colOff>
      <xdr:row>19</xdr:row>
      <xdr:rowOff>101203</xdr:rowOff>
    </xdr:from>
    <xdr:to>
      <xdr:col>4</xdr:col>
      <xdr:colOff>581044</xdr:colOff>
      <xdr:row>19</xdr:row>
      <xdr:rowOff>104791</xdr:rowOff>
    </xdr:to>
    <xdr:cxnSp macro="">
      <xdr:nvCxnSpPr>
        <xdr:cNvPr id="115" name="Conector de seta reta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CxnSpPr/>
      </xdr:nvCxnSpPr>
      <xdr:spPr>
        <a:xfrm>
          <a:off x="2744391" y="2601516"/>
          <a:ext cx="265528" cy="3588"/>
        </a:xfrm>
        <a:prstGeom prst="straightConnector1">
          <a:avLst/>
        </a:prstGeom>
        <a:ln w="9525">
          <a:solidFill>
            <a:srgbClr val="0033CC"/>
          </a:solidFill>
          <a:prstDash val="solid"/>
          <a:headEnd w="sm" len="med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18</xdr:row>
      <xdr:rowOff>65485</xdr:rowOff>
    </xdr:from>
    <xdr:to>
      <xdr:col>4</xdr:col>
      <xdr:colOff>590570</xdr:colOff>
      <xdr:row>18</xdr:row>
      <xdr:rowOff>66697</xdr:rowOff>
    </xdr:to>
    <xdr:cxnSp macro="">
      <xdr:nvCxnSpPr>
        <xdr:cNvPr id="116" name="Conector de seta reta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CxnSpPr/>
      </xdr:nvCxnSpPr>
      <xdr:spPr>
        <a:xfrm>
          <a:off x="2809875" y="2363391"/>
          <a:ext cx="209570" cy="1212"/>
        </a:xfrm>
        <a:prstGeom prst="straightConnector1">
          <a:avLst/>
        </a:prstGeom>
        <a:ln w="9525">
          <a:solidFill>
            <a:srgbClr val="0033CC"/>
          </a:solidFill>
          <a:prstDash val="solid"/>
          <a:headEnd w="sm" len="med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541734</xdr:colOff>
      <xdr:row>22</xdr:row>
      <xdr:rowOff>77390</xdr:rowOff>
    </xdr:from>
    <xdr:to>
      <xdr:col>4</xdr:col>
      <xdr:colOff>504428</xdr:colOff>
      <xdr:row>22</xdr:row>
      <xdr:rowOff>83610</xdr:rowOff>
    </xdr:to>
    <xdr:cxnSp macro="">
      <xdr:nvCxnSpPr>
        <xdr:cNvPr id="126" name="Conector de seta reta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CxnSpPr/>
      </xdr:nvCxnSpPr>
      <xdr:spPr>
        <a:xfrm flipH="1" flipV="1">
          <a:off x="1756172" y="3827859"/>
          <a:ext cx="1177131" cy="6220"/>
        </a:xfrm>
        <a:prstGeom prst="straightConnector1">
          <a:avLst/>
        </a:prstGeom>
        <a:ln w="19050">
          <a:solidFill>
            <a:schemeClr val="tx1"/>
          </a:solidFill>
          <a:headEnd type="stealth" w="lg" len="lg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508394</xdr:colOff>
      <xdr:row>22</xdr:row>
      <xdr:rowOff>99220</xdr:rowOff>
    </xdr:from>
    <xdr:to>
      <xdr:col>3</xdr:col>
      <xdr:colOff>511968</xdr:colOff>
      <xdr:row>24</xdr:row>
      <xdr:rowOff>190500</xdr:rowOff>
    </xdr:to>
    <xdr:cxnSp macro="">
      <xdr:nvCxnSpPr>
        <xdr:cNvPr id="128" name="Conector reto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CxnSpPr/>
      </xdr:nvCxnSpPr>
      <xdr:spPr>
        <a:xfrm>
          <a:off x="2330050" y="3885408"/>
          <a:ext cx="3574" cy="496092"/>
        </a:xfrm>
        <a:prstGeom prst="line">
          <a:avLst/>
        </a:prstGeom>
        <a:ln w="9525">
          <a:solidFill>
            <a:schemeClr val="tx1"/>
          </a:solidFill>
          <a:headEnd type="triangle" w="sm" len="med"/>
          <a:tailEnd type="triangle" w="sm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433383</xdr:colOff>
      <xdr:row>24</xdr:row>
      <xdr:rowOff>201612</xdr:rowOff>
    </xdr:from>
    <xdr:to>
      <xdr:col>3</xdr:col>
      <xdr:colOff>582211</xdr:colOff>
      <xdr:row>24</xdr:row>
      <xdr:rowOff>201612</xdr:rowOff>
    </xdr:to>
    <xdr:cxnSp macro="">
      <xdr:nvCxnSpPr>
        <xdr:cNvPr id="132" name="Conector reto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CxnSpPr/>
      </xdr:nvCxnSpPr>
      <xdr:spPr>
        <a:xfrm>
          <a:off x="2255039" y="4392612"/>
          <a:ext cx="148828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23813</xdr:colOff>
      <xdr:row>17</xdr:row>
      <xdr:rowOff>23812</xdr:rowOff>
    </xdr:from>
    <xdr:to>
      <xdr:col>5</xdr:col>
      <xdr:colOff>339328</xdr:colOff>
      <xdr:row>25</xdr:row>
      <xdr:rowOff>5953</xdr:rowOff>
    </xdr:to>
    <xdr:cxnSp macro="">
      <xdr:nvCxnSpPr>
        <xdr:cNvPr id="133" name="Conector reto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CxnSpPr/>
      </xdr:nvCxnSpPr>
      <xdr:spPr>
        <a:xfrm flipH="1">
          <a:off x="2452688" y="3333750"/>
          <a:ext cx="922734" cy="1654969"/>
        </a:xfrm>
        <a:prstGeom prst="line">
          <a:avLst/>
        </a:prstGeom>
        <a:ln w="9525">
          <a:solidFill>
            <a:srgbClr val="0033CC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166687</xdr:colOff>
      <xdr:row>17</xdr:row>
      <xdr:rowOff>15875</xdr:rowOff>
    </xdr:from>
    <xdr:to>
      <xdr:col>5</xdr:col>
      <xdr:colOff>180973</xdr:colOff>
      <xdr:row>19</xdr:row>
      <xdr:rowOff>148828</xdr:rowOff>
    </xdr:to>
    <xdr:cxnSp macro="">
      <xdr:nvCxnSpPr>
        <xdr:cNvPr id="135" name="Conector reto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CxnSpPr/>
      </xdr:nvCxnSpPr>
      <xdr:spPr>
        <a:xfrm flipH="1">
          <a:off x="3202781" y="3325813"/>
          <a:ext cx="14286" cy="573484"/>
        </a:xfrm>
        <a:prstGeom prst="line">
          <a:avLst/>
        </a:prstGeom>
        <a:ln w="9525">
          <a:solidFill>
            <a:schemeClr val="tx1"/>
          </a:solidFill>
          <a:headEnd type="triangle" w="sm" len="med"/>
          <a:tailEnd type="triangle" w="sm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88102</xdr:colOff>
      <xdr:row>19</xdr:row>
      <xdr:rowOff>171845</xdr:rowOff>
    </xdr:from>
    <xdr:to>
      <xdr:col>5</xdr:col>
      <xdr:colOff>236930</xdr:colOff>
      <xdr:row>19</xdr:row>
      <xdr:rowOff>171845</xdr:rowOff>
    </xdr:to>
    <xdr:cxnSp macro="">
      <xdr:nvCxnSpPr>
        <xdr:cNvPr id="136" name="Conector reto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CxnSpPr/>
      </xdr:nvCxnSpPr>
      <xdr:spPr>
        <a:xfrm>
          <a:off x="3124196" y="3922314"/>
          <a:ext cx="148828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148829</xdr:colOff>
      <xdr:row>17</xdr:row>
      <xdr:rowOff>136922</xdr:rowOff>
    </xdr:from>
    <xdr:to>
      <xdr:col>6</xdr:col>
      <xdr:colOff>61516</xdr:colOff>
      <xdr:row>19</xdr:row>
      <xdr:rowOff>98824</xdr:rowOff>
    </xdr:to>
    <xdr:sp macro="" textlink="">
      <xdr:nvSpPr>
        <xdr:cNvPr id="141" name="CaixaDeTexto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3184923" y="3446860"/>
          <a:ext cx="519906" cy="4024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z</a:t>
          </a:r>
          <a:r>
            <a:rPr lang="en-AU" sz="1200" baseline="-25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0</a:t>
          </a:r>
        </a:p>
      </xdr:txBody>
    </xdr:sp>
    <xdr:clientData/>
  </xdr:twoCellAnchor>
  <xdr:twoCellAnchor>
    <xdr:from>
      <xdr:col>8</xdr:col>
      <xdr:colOff>136376</xdr:colOff>
      <xdr:row>24</xdr:row>
      <xdr:rowOff>179812</xdr:rowOff>
    </xdr:from>
    <xdr:to>
      <xdr:col>9</xdr:col>
      <xdr:colOff>49063</xdr:colOff>
      <xdr:row>25</xdr:row>
      <xdr:rowOff>171450</xdr:rowOff>
    </xdr:to>
    <xdr:sp macro="" textlink="">
      <xdr:nvSpPr>
        <xdr:cNvPr id="142" name="CaixaDeTexto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5156051" y="5113762"/>
          <a:ext cx="522287" cy="191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</a:t>
          </a:r>
          <a:endParaRPr lang="en-AU" sz="1200" baseline="-250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9525">
          <a:solidFill>
            <a:srgbClr val="0033CC"/>
          </a:solidFill>
          <a:prstDash val="soli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tabSelected="1" zoomScaleNormal="100" workbookViewId="0">
      <selection activeCell="L17" sqref="L17"/>
    </sheetView>
  </sheetViews>
  <sheetFormatPr defaultRowHeight="15.75" x14ac:dyDescent="0.25"/>
  <cols>
    <col min="1" max="1" width="9.140625" style="1"/>
    <col min="2" max="2" width="11.28515625" style="1" bestFit="1" customWidth="1"/>
    <col min="3" max="16384" width="9.140625" style="1"/>
  </cols>
  <sheetData>
    <row r="1" spans="1:14" x14ac:dyDescent="0.25">
      <c r="A1" s="47" t="s">
        <v>25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/>
    </row>
    <row r="2" spans="1:14" x14ac:dyDescent="0.25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2"/>
    </row>
    <row r="3" spans="1:14" x14ac:dyDescent="0.25">
      <c r="A3" s="26" t="s">
        <v>0</v>
      </c>
      <c r="B3" s="7" t="s">
        <v>68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27"/>
    </row>
    <row r="4" spans="1:14" x14ac:dyDescent="0.25">
      <c r="A4" s="26" t="s">
        <v>71</v>
      </c>
      <c r="B4" s="7" t="s">
        <v>69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27"/>
    </row>
    <row r="5" spans="1:14" x14ac:dyDescent="0.25">
      <c r="A5" s="26" t="s">
        <v>1</v>
      </c>
      <c r="B5" s="7" t="s">
        <v>70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27"/>
    </row>
    <row r="6" spans="1:14" x14ac:dyDescent="0.25">
      <c r="A6" s="26" t="s">
        <v>2</v>
      </c>
      <c r="B6" s="43">
        <v>42020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27"/>
    </row>
    <row r="7" spans="1:14" x14ac:dyDescent="0.25">
      <c r="A7" s="28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29"/>
    </row>
    <row r="8" spans="1:14" x14ac:dyDescent="0.25">
      <c r="A8" s="30" t="s">
        <v>13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1"/>
    </row>
    <row r="9" spans="1:14" x14ac:dyDescent="0.25">
      <c r="A9" s="32" t="s">
        <v>14</v>
      </c>
      <c r="B9" s="6">
        <v>5</v>
      </c>
      <c r="C9" s="7" t="s">
        <v>3</v>
      </c>
      <c r="D9" s="7"/>
      <c r="E9" s="7" t="s">
        <v>19</v>
      </c>
      <c r="F9" s="19">
        <f>(TAN((45*PI()/180)-($B$10*PI()/180)/2))^2</f>
        <v>0.27099005412014432</v>
      </c>
      <c r="G9" s="7"/>
      <c r="H9" s="7"/>
      <c r="I9" s="7"/>
      <c r="J9" s="7"/>
      <c r="K9" s="7"/>
      <c r="L9" s="7"/>
      <c r="M9" s="7"/>
      <c r="N9" s="27"/>
    </row>
    <row r="10" spans="1:14" x14ac:dyDescent="0.25">
      <c r="A10" s="32" t="s">
        <v>16</v>
      </c>
      <c r="B10" s="6">
        <v>35</v>
      </c>
      <c r="C10" s="7" t="s">
        <v>17</v>
      </c>
      <c r="D10" s="7"/>
      <c r="E10" s="7" t="s">
        <v>20</v>
      </c>
      <c r="F10" s="19">
        <f>(TAN((45*PI()/180)+($B$10*PI()/180)/2))^2</f>
        <v>3.6901723321426658</v>
      </c>
      <c r="G10" s="7"/>
      <c r="H10" s="7"/>
      <c r="I10" s="7"/>
      <c r="J10" s="7"/>
      <c r="K10" s="7"/>
      <c r="L10" s="7"/>
      <c r="M10" s="7"/>
      <c r="N10" s="27"/>
    </row>
    <row r="11" spans="1:14" x14ac:dyDescent="0.25">
      <c r="A11" s="32" t="s">
        <v>15</v>
      </c>
      <c r="B11" s="6">
        <v>19</v>
      </c>
      <c r="C11" s="7" t="s">
        <v>18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27"/>
    </row>
    <row r="12" spans="1:14" x14ac:dyDescent="0.25">
      <c r="A12" s="32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27"/>
    </row>
    <row r="13" spans="1:14" x14ac:dyDescent="0.25">
      <c r="A13" s="30" t="s">
        <v>23</v>
      </c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1"/>
    </row>
    <row r="14" spans="1:14" x14ac:dyDescent="0.25">
      <c r="A14" s="32"/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27"/>
    </row>
    <row r="15" spans="1:14" ht="18.75" x14ac:dyDescent="0.35">
      <c r="A15" s="32"/>
      <c r="B15" s="7"/>
      <c r="C15" s="7"/>
      <c r="D15" s="7"/>
      <c r="E15" s="9" t="s">
        <v>5</v>
      </c>
      <c r="F15" s="6">
        <v>5</v>
      </c>
      <c r="G15" s="7" t="s">
        <v>3</v>
      </c>
      <c r="H15" s="7"/>
      <c r="I15" s="7"/>
      <c r="J15" s="7"/>
      <c r="K15" s="7"/>
      <c r="L15" s="7"/>
      <c r="M15" s="7"/>
      <c r="N15" s="27"/>
    </row>
    <row r="16" spans="1:14" ht="18.75" x14ac:dyDescent="0.35">
      <c r="A16" s="32"/>
      <c r="B16" s="7"/>
      <c r="C16" s="7" t="s">
        <v>12</v>
      </c>
      <c r="D16" s="7"/>
      <c r="E16" s="7"/>
      <c r="F16" s="7"/>
      <c r="G16" s="7"/>
      <c r="H16" s="7"/>
      <c r="I16" s="9" t="s">
        <v>4</v>
      </c>
      <c r="J16" s="6">
        <v>0</v>
      </c>
      <c r="K16" s="7" t="s">
        <v>3</v>
      </c>
      <c r="L16" s="7"/>
      <c r="M16" s="7"/>
      <c r="N16" s="27"/>
    </row>
    <row r="17" spans="1:14" x14ac:dyDescent="0.25">
      <c r="A17" s="32" t="s">
        <v>6</v>
      </c>
      <c r="B17" s="6">
        <v>0</v>
      </c>
      <c r="C17" s="10">
        <f>($B$11*B17+$F$15)*$F$9-2*$B$9*SQRT($F$9)</f>
        <v>-3.8507202349167406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27"/>
    </row>
    <row r="18" spans="1:14" x14ac:dyDescent="0.25">
      <c r="A18" s="32"/>
      <c r="B18" s="6"/>
      <c r="C18" s="7"/>
      <c r="D18" s="7"/>
      <c r="E18" s="11"/>
      <c r="F18" s="11"/>
      <c r="G18" s="11"/>
      <c r="H18" s="11"/>
      <c r="I18" s="7"/>
      <c r="J18" s="7"/>
      <c r="K18" s="7"/>
      <c r="L18" s="7"/>
      <c r="M18" s="7"/>
      <c r="N18" s="27"/>
    </row>
    <row r="19" spans="1:14" ht="18.75" x14ac:dyDescent="0.35">
      <c r="A19" s="32" t="s">
        <v>21</v>
      </c>
      <c r="B19" s="6"/>
      <c r="C19" s="12">
        <f>IF(C17&lt;0,(-C17*$K$22)/(C25-C17),0)</f>
        <v>0.74788532998482415</v>
      </c>
      <c r="D19" s="7"/>
      <c r="E19" s="11"/>
      <c r="F19" s="11"/>
      <c r="G19" s="11"/>
      <c r="H19" s="11"/>
      <c r="I19" s="7"/>
      <c r="J19" s="7"/>
      <c r="K19" s="7"/>
      <c r="L19" s="7"/>
      <c r="M19" s="7"/>
      <c r="N19" s="27"/>
    </row>
    <row r="20" spans="1:14" x14ac:dyDescent="0.25">
      <c r="A20" s="32"/>
      <c r="B20" s="6"/>
      <c r="C20" s="7"/>
      <c r="D20" s="7"/>
      <c r="E20" s="11"/>
      <c r="F20" s="11"/>
      <c r="G20" s="11"/>
      <c r="H20" s="11"/>
      <c r="I20" s="7"/>
      <c r="J20" s="7"/>
      <c r="K20" s="7"/>
      <c r="L20" s="7"/>
      <c r="M20" s="7"/>
      <c r="N20" s="27"/>
    </row>
    <row r="21" spans="1:14" x14ac:dyDescent="0.25">
      <c r="A21" s="32"/>
      <c r="B21" s="6"/>
      <c r="C21" s="7"/>
      <c r="D21" s="7"/>
      <c r="E21" s="11"/>
      <c r="F21" s="11"/>
      <c r="G21" s="11"/>
      <c r="H21" s="11"/>
      <c r="I21" s="7"/>
      <c r="J21" s="7"/>
      <c r="K21" s="7"/>
      <c r="L21" s="7"/>
      <c r="M21" s="7"/>
      <c r="N21" s="27"/>
    </row>
    <row r="22" spans="1:14" ht="17.25" x14ac:dyDescent="0.3">
      <c r="A22" s="32"/>
      <c r="B22" s="45" t="s">
        <v>24</v>
      </c>
      <c r="C22" s="45"/>
      <c r="D22" s="13">
        <f>IF(C17&lt;0,(K22-C19)*C25*0.5,(C25+C17)*0.5*K22)</f>
        <v>68.07073994026922</v>
      </c>
      <c r="E22" s="11"/>
      <c r="F22" s="11"/>
      <c r="G22" s="14">
        <f>(H28-I27/100)/2</f>
        <v>1.125</v>
      </c>
      <c r="H22" s="11" t="s">
        <v>8</v>
      </c>
      <c r="I22" s="7"/>
      <c r="J22" s="7" t="s">
        <v>7</v>
      </c>
      <c r="K22" s="6">
        <v>5.89</v>
      </c>
      <c r="L22" s="7" t="s">
        <v>8</v>
      </c>
      <c r="M22" s="7"/>
      <c r="N22" s="27"/>
    </row>
    <row r="23" spans="1:14" x14ac:dyDescent="0.25">
      <c r="A23" s="32"/>
      <c r="B23" s="6"/>
      <c r="C23" s="7"/>
      <c r="D23" s="46">
        <f>IF(C17&lt;0,(K22-C19)/3,(C17*$K$22*$K$22/2+(C25-C17)*0.5*$K$22*$K$22/3)/$D$22)</f>
        <v>1.7140382233383917</v>
      </c>
      <c r="E23" s="11"/>
      <c r="F23" s="11"/>
      <c r="G23" s="11"/>
      <c r="H23" s="11"/>
      <c r="I23" s="7"/>
      <c r="J23" s="7"/>
      <c r="K23" s="7"/>
      <c r="L23" s="7"/>
      <c r="M23" s="7"/>
      <c r="N23" s="27"/>
    </row>
    <row r="24" spans="1:14" x14ac:dyDescent="0.25">
      <c r="A24" s="32"/>
      <c r="B24" s="6"/>
      <c r="C24" s="9" t="s">
        <v>22</v>
      </c>
      <c r="D24" s="46"/>
      <c r="E24" s="11"/>
      <c r="F24" s="11"/>
      <c r="G24" s="14">
        <f>(H28-I27/100)*0.5-F27/200</f>
        <v>1.125</v>
      </c>
      <c r="H24" s="11" t="s">
        <v>8</v>
      </c>
      <c r="I24" s="7"/>
      <c r="J24" s="7"/>
      <c r="K24" s="7"/>
      <c r="L24" s="7"/>
      <c r="M24" s="7"/>
      <c r="N24" s="27"/>
    </row>
    <row r="25" spans="1:14" x14ac:dyDescent="0.25">
      <c r="A25" s="32" t="s">
        <v>6</v>
      </c>
      <c r="B25" s="6">
        <f>K22-B17</f>
        <v>5.89</v>
      </c>
      <c r="C25" s="10">
        <f>($B$11*B25+$F$15)*$F$9-2*$B$9*SQRT($F$9)</f>
        <v>26.475776721668609</v>
      </c>
      <c r="D25" s="46"/>
      <c r="E25" s="11"/>
      <c r="F25" s="11"/>
      <c r="G25" s="11"/>
      <c r="H25" s="11"/>
      <c r="I25" s="7"/>
      <c r="J25" s="7"/>
      <c r="K25" s="7"/>
      <c r="L25" s="7"/>
      <c r="M25" s="7"/>
      <c r="N25" s="27"/>
    </row>
    <row r="26" spans="1:14" x14ac:dyDescent="0.25">
      <c r="A26" s="32"/>
      <c r="B26" s="7"/>
      <c r="C26" s="7"/>
      <c r="D26" s="7"/>
      <c r="E26" s="11"/>
      <c r="F26" s="11"/>
      <c r="G26" s="7"/>
      <c r="H26" s="7"/>
      <c r="I26" s="7"/>
      <c r="J26" s="7"/>
      <c r="K26" s="7"/>
      <c r="L26" s="7"/>
      <c r="M26" s="7"/>
      <c r="N26" s="27"/>
    </row>
    <row r="27" spans="1:14" ht="18.75" x14ac:dyDescent="0.35">
      <c r="A27" s="32"/>
      <c r="B27" s="7"/>
      <c r="C27" s="7"/>
      <c r="D27" s="7"/>
      <c r="E27" s="7" t="s">
        <v>11</v>
      </c>
      <c r="F27" s="6">
        <v>0</v>
      </c>
      <c r="G27" s="7"/>
      <c r="H27" s="7" t="s">
        <v>10</v>
      </c>
      <c r="I27" s="6">
        <v>35</v>
      </c>
      <c r="J27" s="7" t="s">
        <v>73</v>
      </c>
      <c r="K27" s="7"/>
      <c r="L27" s="7"/>
      <c r="M27" s="7"/>
      <c r="N27" s="27"/>
    </row>
    <row r="28" spans="1:14" x14ac:dyDescent="0.25">
      <c r="A28" s="32"/>
      <c r="B28" s="7"/>
      <c r="C28" s="7"/>
      <c r="D28" s="7"/>
      <c r="E28" s="7"/>
      <c r="F28" s="7"/>
      <c r="G28" s="15" t="s">
        <v>9</v>
      </c>
      <c r="H28" s="6">
        <v>2.6</v>
      </c>
      <c r="I28" s="7"/>
      <c r="J28" s="7"/>
      <c r="K28" s="7"/>
      <c r="L28" s="7"/>
      <c r="M28" s="7"/>
      <c r="N28" s="27"/>
    </row>
    <row r="29" spans="1:14" x14ac:dyDescent="0.25">
      <c r="A29" s="32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27"/>
    </row>
    <row r="30" spans="1:14" x14ac:dyDescent="0.25">
      <c r="A30" s="32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27"/>
    </row>
    <row r="31" spans="1:14" x14ac:dyDescent="0.25">
      <c r="A31" s="32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27"/>
    </row>
    <row r="32" spans="1:14" ht="16.5" thickBot="1" x14ac:dyDescent="0.3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5"/>
    </row>
    <row r="33" spans="1:14" x14ac:dyDescent="0.25">
      <c r="A33" s="36" t="s">
        <v>34</v>
      </c>
      <c r="B33" s="37"/>
      <c r="C33" s="37"/>
      <c r="D33" s="37"/>
      <c r="E33" s="37"/>
      <c r="F33" s="37"/>
      <c r="G33" s="38"/>
      <c r="H33" s="39" t="s">
        <v>35</v>
      </c>
      <c r="I33" s="37"/>
      <c r="J33" s="37"/>
      <c r="K33" s="37"/>
      <c r="L33" s="37"/>
      <c r="M33" s="37"/>
      <c r="N33" s="40"/>
    </row>
    <row r="34" spans="1:14" ht="18.75" x14ac:dyDescent="0.35">
      <c r="A34" s="32" t="s">
        <v>30</v>
      </c>
      <c r="B34" s="7"/>
      <c r="C34" s="7"/>
      <c r="D34" s="7"/>
      <c r="E34" s="7"/>
      <c r="F34" s="20" t="s">
        <v>31</v>
      </c>
      <c r="G34" s="8"/>
      <c r="H34" s="7" t="s">
        <v>36</v>
      </c>
      <c r="I34" s="44">
        <f>D22*D23</f>
        <v>116.67585014854876</v>
      </c>
      <c r="J34" s="7" t="s">
        <v>37</v>
      </c>
      <c r="K34" s="7" t="s">
        <v>39</v>
      </c>
      <c r="L34" s="7"/>
      <c r="M34" s="7"/>
      <c r="N34" s="27"/>
    </row>
    <row r="35" spans="1:14" ht="18.75" x14ac:dyDescent="0.35">
      <c r="A35" s="32" t="s">
        <v>32</v>
      </c>
      <c r="B35" s="6">
        <v>25</v>
      </c>
      <c r="C35" s="7" t="s">
        <v>18</v>
      </c>
      <c r="D35" s="7"/>
      <c r="E35" s="7"/>
      <c r="F35" s="20"/>
      <c r="G35" s="8"/>
      <c r="H35" s="7" t="s">
        <v>38</v>
      </c>
      <c r="I35" s="44">
        <f>B37*(I27/100)/2+B36*(H28-G22)+B38*(H28-G22)+B39*(H28-(I27/100)/2)</f>
        <v>387.38975000000005</v>
      </c>
      <c r="J35" s="7" t="s">
        <v>37</v>
      </c>
      <c r="K35" s="7" t="s">
        <v>40</v>
      </c>
      <c r="L35" s="7"/>
      <c r="M35" s="7"/>
      <c r="N35" s="27"/>
    </row>
    <row r="36" spans="1:14" ht="18.75" x14ac:dyDescent="0.35">
      <c r="A36" s="32" t="s">
        <v>29</v>
      </c>
      <c r="B36" s="13">
        <f>B11*(K22-I27/100)*(H28-I27/100)</f>
        <v>236.83500000000001</v>
      </c>
      <c r="C36" s="7" t="s">
        <v>33</v>
      </c>
      <c r="D36" s="7"/>
      <c r="E36" s="7"/>
      <c r="F36" s="7"/>
      <c r="G36" s="8"/>
      <c r="H36" s="7"/>
      <c r="I36" s="7"/>
      <c r="J36" s="7"/>
      <c r="K36" s="7"/>
      <c r="L36" s="7"/>
      <c r="M36" s="7"/>
      <c r="N36" s="27"/>
    </row>
    <row r="37" spans="1:14" ht="18.75" x14ac:dyDescent="0.35">
      <c r="A37" s="32" t="s">
        <v>28</v>
      </c>
      <c r="B37" s="13">
        <f>B35*K22*(I27/100)</f>
        <v>51.537499999999994</v>
      </c>
      <c r="C37" s="7" t="s">
        <v>33</v>
      </c>
      <c r="D37" s="7"/>
      <c r="E37" s="7"/>
      <c r="F37" s="7"/>
      <c r="G37" s="8"/>
      <c r="H37" s="7" t="s">
        <v>41</v>
      </c>
      <c r="I37" s="7"/>
      <c r="J37" s="7"/>
      <c r="K37" s="7"/>
      <c r="L37" s="7"/>
      <c r="M37" s="7"/>
      <c r="N37" s="27"/>
    </row>
    <row r="38" spans="1:14" ht="18.75" x14ac:dyDescent="0.35">
      <c r="A38" s="32" t="s">
        <v>27</v>
      </c>
      <c r="B38" s="13">
        <f>B35*(I27/100)*(H28-(I27/100))</f>
        <v>19.6875</v>
      </c>
      <c r="C38" s="7" t="s">
        <v>33</v>
      </c>
      <c r="D38" s="7"/>
      <c r="E38" s="7"/>
      <c r="F38" s="7"/>
      <c r="G38" s="8"/>
      <c r="H38" s="24" t="s">
        <v>42</v>
      </c>
      <c r="I38" s="44">
        <f>I35/I34</f>
        <v>3.3202222182806911</v>
      </c>
      <c r="J38" s="24" t="str">
        <f>IF(I38&gt;1.5,"OK","REDIMENSIONE")</f>
        <v>OK</v>
      </c>
      <c r="K38" s="7"/>
      <c r="L38" s="7"/>
      <c r="M38" s="7"/>
      <c r="N38" s="27"/>
    </row>
    <row r="39" spans="1:14" ht="18.75" x14ac:dyDescent="0.35">
      <c r="A39" s="32" t="s">
        <v>26</v>
      </c>
      <c r="B39" s="21">
        <f>(I27/100)*(F27/100)*B35</f>
        <v>0</v>
      </c>
      <c r="C39" s="7" t="s">
        <v>33</v>
      </c>
      <c r="D39" s="7"/>
      <c r="E39" s="7"/>
      <c r="F39" s="7"/>
      <c r="G39" s="8"/>
      <c r="H39" s="17"/>
      <c r="I39" s="17"/>
      <c r="J39" s="17"/>
      <c r="K39" s="17"/>
      <c r="L39" s="17"/>
      <c r="M39" s="17"/>
      <c r="N39" s="29"/>
    </row>
    <row r="40" spans="1:14" x14ac:dyDescent="0.25">
      <c r="A40" s="30" t="s">
        <v>74</v>
      </c>
      <c r="B40" s="3"/>
      <c r="C40" s="3"/>
      <c r="D40" s="3"/>
      <c r="E40" s="3"/>
      <c r="F40" s="3"/>
      <c r="G40" s="4"/>
      <c r="H40" s="23" t="s">
        <v>75</v>
      </c>
      <c r="I40" s="3"/>
      <c r="J40" s="3"/>
      <c r="K40" s="3"/>
      <c r="L40" s="3"/>
      <c r="M40" s="3"/>
      <c r="N40" s="31"/>
    </row>
    <row r="41" spans="1:14" x14ac:dyDescent="0.25">
      <c r="A41" s="32" t="s">
        <v>45</v>
      </c>
      <c r="B41" s="7"/>
      <c r="C41" s="20" t="s">
        <v>47</v>
      </c>
      <c r="D41" s="7"/>
      <c r="E41" s="7"/>
      <c r="F41" s="7"/>
      <c r="G41" s="8"/>
      <c r="H41" s="5" t="s">
        <v>53</v>
      </c>
      <c r="I41" s="7"/>
      <c r="J41" s="7"/>
      <c r="K41" s="7"/>
      <c r="L41" s="7"/>
      <c r="M41" s="7"/>
      <c r="N41" s="27"/>
    </row>
    <row r="42" spans="1:14" x14ac:dyDescent="0.25">
      <c r="A42" s="32" t="s">
        <v>46</v>
      </c>
      <c r="B42" s="7"/>
      <c r="C42" s="20" t="s">
        <v>48</v>
      </c>
      <c r="D42" s="7"/>
      <c r="E42" s="7"/>
      <c r="F42" s="7"/>
      <c r="G42" s="8"/>
      <c r="H42" s="5" t="s">
        <v>14</v>
      </c>
      <c r="I42" s="20">
        <v>0</v>
      </c>
      <c r="J42" s="7" t="s">
        <v>3</v>
      </c>
      <c r="K42" s="7" t="s">
        <v>59</v>
      </c>
      <c r="L42" s="7"/>
      <c r="M42" s="7"/>
      <c r="N42" s="27"/>
    </row>
    <row r="43" spans="1:14" x14ac:dyDescent="0.25">
      <c r="A43" s="32" t="s">
        <v>49</v>
      </c>
      <c r="B43" s="6">
        <v>0.5</v>
      </c>
      <c r="C43" s="7" t="s">
        <v>50</v>
      </c>
      <c r="D43" s="7"/>
      <c r="E43" s="7"/>
      <c r="F43" s="7"/>
      <c r="G43" s="8"/>
      <c r="H43" s="5" t="s">
        <v>16</v>
      </c>
      <c r="I43" s="20">
        <v>30</v>
      </c>
      <c r="J43" s="7" t="s">
        <v>17</v>
      </c>
      <c r="K43" s="7" t="s">
        <v>60</v>
      </c>
      <c r="L43" s="7"/>
      <c r="M43" s="7"/>
      <c r="N43" s="27"/>
    </row>
    <row r="44" spans="1:14" x14ac:dyDescent="0.25">
      <c r="A44" s="32"/>
      <c r="B44" s="7"/>
      <c r="C44" s="7"/>
      <c r="D44" s="7"/>
      <c r="E44" s="7"/>
      <c r="F44" s="7"/>
      <c r="G44" s="8"/>
      <c r="H44" s="5" t="s">
        <v>15</v>
      </c>
      <c r="I44" s="20">
        <v>16</v>
      </c>
      <c r="J44" s="7" t="s">
        <v>18</v>
      </c>
      <c r="K44" s="7" t="s">
        <v>61</v>
      </c>
      <c r="L44" s="7"/>
      <c r="M44" s="7"/>
      <c r="N44" s="27"/>
    </row>
    <row r="45" spans="1:14" ht="18.75" x14ac:dyDescent="0.35">
      <c r="A45" s="32" t="s">
        <v>43</v>
      </c>
      <c r="B45" s="10">
        <f>D22</f>
        <v>68.07073994026922</v>
      </c>
      <c r="C45" s="7" t="s">
        <v>33</v>
      </c>
      <c r="D45" s="7" t="s">
        <v>52</v>
      </c>
      <c r="E45" s="7"/>
      <c r="F45" s="7"/>
      <c r="G45" s="8"/>
      <c r="H45" s="5" t="s">
        <v>54</v>
      </c>
      <c r="I45" s="20">
        <v>35</v>
      </c>
      <c r="J45" s="7" t="s">
        <v>56</v>
      </c>
      <c r="K45" s="20">
        <v>25</v>
      </c>
      <c r="L45" s="7" t="s">
        <v>55</v>
      </c>
      <c r="M45" s="20">
        <v>25</v>
      </c>
      <c r="N45" s="27"/>
    </row>
    <row r="46" spans="1:14" ht="18.75" x14ac:dyDescent="0.35">
      <c r="A46" s="32" t="s">
        <v>44</v>
      </c>
      <c r="B46" s="21">
        <f>B43*SUM(B36:B39)</f>
        <v>154.03</v>
      </c>
      <c r="C46" s="7" t="s">
        <v>33</v>
      </c>
      <c r="D46" s="7" t="s">
        <v>51</v>
      </c>
      <c r="E46" s="7"/>
      <c r="F46" s="7"/>
      <c r="G46" s="8"/>
      <c r="H46" s="5" t="s">
        <v>72</v>
      </c>
      <c r="I46" s="25">
        <v>1</v>
      </c>
      <c r="J46" s="7" t="s">
        <v>57</v>
      </c>
      <c r="K46" s="25">
        <f>IF(H28&gt;2,1-0.25*IMLOG10(H28/2),1)</f>
        <v>0.97151416192329076</v>
      </c>
      <c r="L46" s="7" t="s">
        <v>66</v>
      </c>
      <c r="M46" s="44">
        <f>I42*I45+0.5*I44*H28*K45*K46+I46*M45+I44*I46*M45</f>
        <v>930.18736420011123</v>
      </c>
      <c r="N46" s="27" t="s">
        <v>3</v>
      </c>
    </row>
    <row r="47" spans="1:14" ht="18.75" x14ac:dyDescent="0.35">
      <c r="A47" s="32"/>
      <c r="B47" s="7"/>
      <c r="C47" s="7"/>
      <c r="D47" s="7"/>
      <c r="E47" s="7"/>
      <c r="F47" s="7"/>
      <c r="G47" s="8"/>
      <c r="H47" s="5" t="s">
        <v>62</v>
      </c>
      <c r="I47" s="6">
        <v>3</v>
      </c>
      <c r="J47" s="7"/>
      <c r="K47" s="7"/>
      <c r="L47" s="7" t="s">
        <v>67</v>
      </c>
      <c r="M47" s="44">
        <f>M46/I47</f>
        <v>310.06245473337043</v>
      </c>
      <c r="N47" s="27" t="s">
        <v>3</v>
      </c>
    </row>
    <row r="48" spans="1:14" ht="18.75" x14ac:dyDescent="0.35">
      <c r="A48" s="26" t="s">
        <v>58</v>
      </c>
      <c r="B48" s="44">
        <f>B46/B45</f>
        <v>2.2627930904696849</v>
      </c>
      <c r="C48" s="24" t="str">
        <f>IF(B48&gt;1.5,"OK","REDIMENSIONE")</f>
        <v>OK</v>
      </c>
      <c r="D48" s="7"/>
      <c r="E48" s="7"/>
      <c r="F48" s="7"/>
      <c r="G48" s="8"/>
      <c r="H48" s="5" t="s">
        <v>64</v>
      </c>
      <c r="I48" s="21">
        <f>D22*D23+B37*(H28/2-(I27/100)/2)-(B36+B38)*(H28/2-(H28-I27/100)/2)</f>
        <v>129.76410014854875</v>
      </c>
      <c r="J48" s="7" t="s">
        <v>37</v>
      </c>
      <c r="K48" s="7" t="s">
        <v>65</v>
      </c>
      <c r="L48" s="21">
        <f>(SUM($B$36:$B$39))/$H$28+6*$I$48/($H$28*$H$28)</f>
        <v>233.6598522028539</v>
      </c>
      <c r="M48" s="7" t="s">
        <v>3</v>
      </c>
      <c r="N48" s="42" t="str">
        <f>IF(L48&lt;M47,"OK","REDIMENSIONE")</f>
        <v>OK</v>
      </c>
    </row>
    <row r="49" spans="1:14" ht="18.75" x14ac:dyDescent="0.35">
      <c r="A49" s="28"/>
      <c r="B49" s="17"/>
      <c r="C49" s="17"/>
      <c r="D49" s="17"/>
      <c r="E49" s="17"/>
      <c r="F49" s="17"/>
      <c r="G49" s="18"/>
      <c r="H49" s="16" t="s">
        <v>63</v>
      </c>
      <c r="I49" s="22">
        <f>(SUM($B$36:$B$39))/$H$28-6*$I$48/($H$28*$H$28)</f>
        <v>3.3093785663768642</v>
      </c>
      <c r="J49" s="17" t="s">
        <v>3</v>
      </c>
      <c r="K49" s="41" t="str">
        <f>IF(I49&lt;0,"REDIMENSIONE","OK")</f>
        <v>OK</v>
      </c>
      <c r="L49" s="17"/>
      <c r="M49" s="17"/>
      <c r="N49" s="29"/>
    </row>
    <row r="50" spans="1:14" x14ac:dyDescent="0.25">
      <c r="A50" s="32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27"/>
    </row>
    <row r="51" spans="1:14" x14ac:dyDescent="0.25">
      <c r="A51" s="32"/>
      <c r="B51" s="13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27"/>
    </row>
    <row r="52" spans="1:14" x14ac:dyDescent="0.25">
      <c r="A52" s="32"/>
      <c r="B52" s="20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27"/>
    </row>
    <row r="53" spans="1:14" x14ac:dyDescent="0.25">
      <c r="A53" s="32"/>
      <c r="B53" s="20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27"/>
    </row>
    <row r="54" spans="1:14" x14ac:dyDescent="0.25">
      <c r="A54" s="32"/>
      <c r="B54" s="20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27"/>
    </row>
    <row r="55" spans="1:14" x14ac:dyDescent="0.25">
      <c r="A55" s="32"/>
      <c r="B55" s="20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27"/>
    </row>
    <row r="56" spans="1:14" x14ac:dyDescent="0.25">
      <c r="A56" s="32"/>
      <c r="B56" s="21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27"/>
    </row>
    <row r="57" spans="1:14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27"/>
    </row>
    <row r="58" spans="1:14" x14ac:dyDescent="0.25">
      <c r="A58" s="32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27"/>
    </row>
    <row r="59" spans="1:14" x14ac:dyDescent="0.25">
      <c r="A59" s="32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27"/>
    </row>
    <row r="60" spans="1:14" x14ac:dyDescent="0.25">
      <c r="A60" s="32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27"/>
    </row>
    <row r="61" spans="1:14" x14ac:dyDescent="0.25">
      <c r="A61" s="32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27"/>
    </row>
    <row r="62" spans="1:14" x14ac:dyDescent="0.25">
      <c r="A62" s="32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27"/>
    </row>
    <row r="63" spans="1:14" ht="16.5" thickBot="1" x14ac:dyDescent="0.3">
      <c r="A63" s="33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5"/>
    </row>
  </sheetData>
  <mergeCells count="3">
    <mergeCell ref="B22:C22"/>
    <mergeCell ref="D23:D25"/>
    <mergeCell ref="A1:N2"/>
  </mergeCells>
  <printOptions horizontalCentered="1"/>
  <pageMargins left="0.78740157480314965" right="0.78740157480314965" top="0.78740157480314965" bottom="0.78740157480314965" header="0.31496062992125984" footer="0.31496062992125984"/>
  <pageSetup paperSize="9" scale="95" orientation="landscape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Muro Flexão "L"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Silvrano Adonias</dc:creator>
  <cp:lastModifiedBy>Silvrano Dantas Neto</cp:lastModifiedBy>
  <cp:lastPrinted>2015-01-20T14:31:29Z</cp:lastPrinted>
  <dcterms:created xsi:type="dcterms:W3CDTF">2015-01-17T13:26:06Z</dcterms:created>
  <dcterms:modified xsi:type="dcterms:W3CDTF">2017-03-30T13:58:30Z</dcterms:modified>
</cp:coreProperties>
</file>