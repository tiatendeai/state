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EstaPasta_de_trabalho" autoCompressPictures="0" defaultThemeVersion="124226"/>
  <bookViews>
    <workbookView xWindow="0" yWindow="0" windowWidth="20490" windowHeight="7800" activeTab="1"/>
  </bookViews>
  <sheets>
    <sheet name="Informações do Funcionário" sheetId="3" r:id="rId1"/>
    <sheet name="Cálculo de Horas" sheetId="1" r:id="rId2"/>
    <sheet name="TAREFAS DIARIAS" sheetId="2" r:id="rId3"/>
  </sheets>
  <definedNames>
    <definedName name="_xlnm.Print_Area" localSheetId="1">'Cálculo de Horas'!$1:$37</definedName>
    <definedName name="Area_de_Impressao01">'Informações do Funcionário'!$A$2:$J$30</definedName>
    <definedName name="Area_de_Impressao02">'Cálculo de Horas'!$A$2:$P$34</definedName>
    <definedName name="Area_de_Impressao03">'TAREFAS DIARIAS'!$A$2:$J$34</definedName>
    <definedName name="Horarios">#REF!</definedName>
  </definedNames>
  <calcPr calcId="124519"/>
</workbook>
</file>

<file path=xl/calcChain.xml><?xml version="1.0" encoding="utf-8"?>
<calcChain xmlns="http://schemas.openxmlformats.org/spreadsheetml/2006/main">
  <c r="J34" i="1"/>
  <c r="I34"/>
  <c r="H34"/>
  <c r="G34"/>
  <c r="F34"/>
  <c r="J33"/>
  <c r="I33" s="1"/>
  <c r="H33"/>
  <c r="G33"/>
  <c r="F33"/>
  <c r="J32"/>
  <c r="I32"/>
  <c r="H32"/>
  <c r="G32" s="1"/>
  <c r="F32"/>
  <c r="J31"/>
  <c r="I31"/>
  <c r="H31"/>
  <c r="G31"/>
  <c r="F31"/>
  <c r="J30"/>
  <c r="I30"/>
  <c r="H30"/>
  <c r="G30" s="1"/>
  <c r="F30"/>
  <c r="J29"/>
  <c r="I29"/>
  <c r="H29"/>
  <c r="G29"/>
  <c r="F29"/>
  <c r="J28"/>
  <c r="I28"/>
  <c r="H28"/>
  <c r="G28"/>
  <c r="F28"/>
  <c r="J27"/>
  <c r="I27"/>
  <c r="H27"/>
  <c r="G27"/>
  <c r="F27"/>
  <c r="J26"/>
  <c r="I26"/>
  <c r="H26"/>
  <c r="G26"/>
  <c r="F26"/>
  <c r="J25"/>
  <c r="I25"/>
  <c r="H25" s="1"/>
  <c r="G25"/>
  <c r="F25"/>
  <c r="J24"/>
  <c r="I24"/>
  <c r="H24"/>
  <c r="G24" s="1"/>
  <c r="F24"/>
  <c r="J23"/>
  <c r="I23"/>
  <c r="H23"/>
  <c r="G23"/>
  <c r="F23"/>
  <c r="J22"/>
  <c r="I22"/>
  <c r="H22"/>
  <c r="G22" s="1"/>
  <c r="F22"/>
  <c r="J21"/>
  <c r="I21"/>
  <c r="H21"/>
  <c r="G21"/>
  <c r="F21"/>
  <c r="J20"/>
  <c r="I20"/>
  <c r="H20"/>
  <c r="G20"/>
  <c r="F20"/>
  <c r="J19"/>
  <c r="I19"/>
  <c r="H19"/>
  <c r="G19"/>
  <c r="F19"/>
  <c r="M18" s="1"/>
  <c r="L18" s="1"/>
  <c r="J18"/>
  <c r="I18"/>
  <c r="H18"/>
  <c r="G18" s="1"/>
  <c r="F18"/>
  <c r="M17" s="1"/>
  <c r="L17" s="1"/>
  <c r="J17"/>
  <c r="I17"/>
  <c r="H17"/>
  <c r="G17"/>
  <c r="F17"/>
  <c r="M16" s="1"/>
  <c r="L16" s="1"/>
  <c r="J16"/>
  <c r="I16"/>
  <c r="H16"/>
  <c r="G16" s="1"/>
  <c r="F16"/>
  <c r="J15"/>
  <c r="I15"/>
  <c r="H15" s="1"/>
  <c r="G15"/>
  <c r="F15"/>
  <c r="J14"/>
  <c r="I14"/>
  <c r="H14"/>
  <c r="G14" s="1"/>
  <c r="F14"/>
  <c r="M13" l="1"/>
  <c r="J13" s="1"/>
  <c r="I13"/>
  <c r="H13"/>
  <c r="G13"/>
  <c r="F13"/>
  <c r="M12" s="1"/>
  <c r="J12"/>
  <c r="I12" s="1"/>
  <c r="H12"/>
  <c r="G12"/>
  <c r="F12"/>
  <c r="M11" s="1"/>
  <c r="J11"/>
  <c r="I11"/>
  <c r="H11"/>
  <c r="G11" s="1"/>
  <c r="F11"/>
  <c r="M10" s="1"/>
  <c r="J10"/>
  <c r="I10"/>
  <c r="H10"/>
  <c r="G10" s="1"/>
  <c r="F10"/>
  <c r="M9" s="1"/>
  <c r="J9"/>
  <c r="I9"/>
  <c r="H9"/>
  <c r="G9" s="1"/>
  <c r="F9"/>
  <c r="J8"/>
  <c r="I8"/>
  <c r="H8" s="1"/>
  <c r="G8"/>
  <c r="F8"/>
  <c r="J7"/>
  <c r="I7"/>
  <c r="H7"/>
  <c r="G7" s="1"/>
  <c r="F7"/>
  <c r="J6" s="1"/>
  <c r="I6"/>
  <c r="H6"/>
  <c r="G6"/>
  <c r="F6"/>
  <c r="J5"/>
  <c r="I5" s="1"/>
  <c r="H5"/>
  <c r="G5"/>
  <c r="F5"/>
  <c r="J4"/>
  <c r="I4"/>
  <c r="H4"/>
  <c r="G4"/>
  <c r="F4"/>
</calcChain>
</file>

<file path=xl/sharedStrings.xml><?xml version="1.0" encoding="utf-8"?>
<sst xmlns="http://schemas.openxmlformats.org/spreadsheetml/2006/main" count="58" uniqueCount="48">
  <si>
    <t>Data</t>
  </si>
  <si>
    <t>Entrada</t>
  </si>
  <si>
    <t>Saída</t>
  </si>
  <si>
    <t>Saída Intervalo</t>
  </si>
  <si>
    <t>Retorno Intervalo</t>
  </si>
  <si>
    <t>Total Horas</t>
  </si>
  <si>
    <t>Horas Extras</t>
  </si>
  <si>
    <t>Horário Normal</t>
  </si>
  <si>
    <t>Horas Negativas</t>
  </si>
  <si>
    <t>Sábado</t>
  </si>
  <si>
    <t>Domingo</t>
  </si>
  <si>
    <t>Sub-Total</t>
  </si>
  <si>
    <t>Dias Sem.</t>
  </si>
  <si>
    <t>Horas Totais</t>
  </si>
  <si>
    <t>Total em R$</t>
  </si>
  <si>
    <t>R$/hora</t>
  </si>
  <si>
    <t>TAREFA 01</t>
  </si>
  <si>
    <t>TAREFA 02</t>
  </si>
  <si>
    <t>TAREFA 03</t>
  </si>
  <si>
    <t>TAREFA 04</t>
  </si>
  <si>
    <t>TAREFA 05</t>
  </si>
  <si>
    <t>TAREFA 06</t>
  </si>
  <si>
    <t>TAREFA 07</t>
  </si>
  <si>
    <t>TAREFA 08</t>
  </si>
  <si>
    <t>TAREFA 09</t>
  </si>
  <si>
    <t>EMPREGADOR / NOME - EMPRESA:</t>
  </si>
  <si>
    <t>CEI/CNPJ:</t>
  </si>
  <si>
    <t>ENDEREÇO / LOGRADOURO:</t>
  </si>
  <si>
    <t>BAIRRO / DISTRITO</t>
  </si>
  <si>
    <t>CIDADE</t>
  </si>
  <si>
    <t>UF</t>
  </si>
  <si>
    <t>EMPREGADO(A):</t>
  </si>
  <si>
    <t>CTPS / C.I. Nº e SÉRIE</t>
  </si>
  <si>
    <t>DATA DE ADMISSÃO</t>
  </si>
  <si>
    <t>FUNÇÃO</t>
  </si>
  <si>
    <t>SALÁRIO BASE R$</t>
  </si>
  <si>
    <t>HORÁRIO DE TRABALHO DE SEGUNDA A SEXTA-FEIRA</t>
  </si>
  <si>
    <t>HORÁRIO AOS SÁBADOS</t>
  </si>
  <si>
    <t>DESCANSO SEMANAL</t>
  </si>
  <si>
    <t>MÊS</t>
  </si>
  <si>
    <t>ANO</t>
  </si>
  <si>
    <t>VISTO DA FISCALIZAÇÃO</t>
  </si>
  <si>
    <t>Assinatura do Empregador</t>
  </si>
  <si>
    <t>Assinatura do Empregado</t>
  </si>
  <si>
    <t>Assinatura do Dep. RH</t>
  </si>
  <si>
    <t>CÁLCULO DE HORAS NORMAIS E EXTRAS</t>
  </si>
  <si>
    <t>TAREFAS DIÁRIAS</t>
  </si>
  <si>
    <t>INFORMAÇÕES DO FUNCIONÁRIO</t>
  </si>
</sst>
</file>

<file path=xl/styles.xml><?xml version="1.0" encoding="utf-8"?>
<styleSheet xmlns="http://schemas.openxmlformats.org/spreadsheetml/2006/main">
  <numFmts count="5">
    <numFmt numFmtId="44" formatCode="_-&quot;R$&quot;* #,##0.00_-;\-&quot;R$&quot;* #,##0.00_-;_-&quot;R$&quot;* &quot;-&quot;??_-;_-@_-"/>
    <numFmt numFmtId="164" formatCode="_(* #,##0.00_);_(* \(#,##0.00\);_(* &quot;-&quot;??_);_(@_)"/>
    <numFmt numFmtId="165" formatCode="h:mm:ss;@"/>
    <numFmt numFmtId="166" formatCode="[h]:mm:ss;@"/>
    <numFmt numFmtId="167" formatCode="h:mm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0"/>
      <color rgb="FF385A7B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rgb="FFFFFFFF"/>
      </patternFill>
    </fill>
    <fill>
      <patternFill patternType="solid">
        <fgColor rgb="FF385A7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DCE4F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0" fontId="5" fillId="0" borderId="0" xfId="0" applyFont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right" vertical="center"/>
    </xf>
    <xf numFmtId="166" fontId="0" fillId="4" borderId="2" xfId="0" applyNumberFormat="1" applyFont="1" applyFill="1" applyBorder="1" applyAlignment="1">
      <alignment vertical="center"/>
    </xf>
    <xf numFmtId="166" fontId="5" fillId="4" borderId="2" xfId="0" applyNumberFormat="1" applyFont="1" applyFill="1" applyBorder="1" applyAlignment="1">
      <alignment horizontal="right" vertical="center"/>
    </xf>
    <xf numFmtId="166" fontId="5" fillId="4" borderId="2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166" fontId="5" fillId="6" borderId="2" xfId="0" applyNumberFormat="1" applyFont="1" applyFill="1" applyBorder="1" applyAlignment="1">
      <alignment horizontal="right" vertical="center"/>
    </xf>
    <xf numFmtId="164" fontId="5" fillId="6" borderId="2" xfId="1" applyFont="1" applyFill="1" applyBorder="1" applyAlignment="1">
      <alignment vertical="center"/>
    </xf>
    <xf numFmtId="166" fontId="5" fillId="6" borderId="2" xfId="0" applyNumberFormat="1" applyFont="1" applyFill="1" applyBorder="1" applyAlignment="1">
      <alignment vertical="center"/>
    </xf>
    <xf numFmtId="167" fontId="5" fillId="4" borderId="2" xfId="0" applyNumberFormat="1" applyFont="1" applyFill="1" applyBorder="1" applyAlignment="1" applyProtection="1">
      <alignment vertical="center"/>
      <protection locked="0"/>
    </xf>
    <xf numFmtId="167" fontId="5" fillId="4" borderId="9" xfId="0" applyNumberFormat="1" applyFont="1" applyFill="1" applyBorder="1" applyAlignment="1" applyProtection="1">
      <alignment vertical="center"/>
      <protection locked="0"/>
    </xf>
    <xf numFmtId="167" fontId="5" fillId="4" borderId="2" xfId="0" applyNumberFormat="1" applyFont="1" applyFill="1" applyBorder="1" applyAlignment="1">
      <alignment vertical="center"/>
    </xf>
    <xf numFmtId="167" fontId="5" fillId="4" borderId="3" xfId="0" applyNumberFormat="1" applyFont="1" applyFill="1" applyBorder="1" applyAlignment="1">
      <alignment vertical="center"/>
    </xf>
    <xf numFmtId="167" fontId="5" fillId="4" borderId="9" xfId="0" applyNumberFormat="1" applyFont="1" applyFill="1" applyBorder="1" applyAlignment="1">
      <alignment vertical="center"/>
    </xf>
    <xf numFmtId="167" fontId="5" fillId="4" borderId="10" xfId="0" applyNumberFormat="1" applyFont="1" applyFill="1" applyBorder="1" applyAlignment="1">
      <alignment vertical="center"/>
    </xf>
    <xf numFmtId="167" fontId="5" fillId="7" borderId="2" xfId="0" applyNumberFormat="1" applyFont="1" applyFill="1" applyBorder="1" applyAlignment="1">
      <alignment vertical="center"/>
    </xf>
    <xf numFmtId="167" fontId="5" fillId="7" borderId="9" xfId="0" applyNumberFormat="1" applyFont="1" applyFill="1" applyBorder="1" applyAlignment="1">
      <alignment vertical="center"/>
    </xf>
    <xf numFmtId="14" fontId="5" fillId="7" borderId="4" xfId="0" applyNumberFormat="1" applyFont="1" applyFill="1" applyBorder="1" applyAlignment="1" applyProtection="1">
      <alignment vertical="center"/>
      <protection locked="0"/>
    </xf>
    <xf numFmtId="14" fontId="5" fillId="7" borderId="8" xfId="0" applyNumberFormat="1" applyFont="1" applyFill="1" applyBorder="1" applyAlignment="1" applyProtection="1">
      <alignment vertical="center"/>
      <protection locked="0"/>
    </xf>
    <xf numFmtId="167" fontId="7" fillId="3" borderId="2" xfId="0" applyNumberFormat="1" applyFont="1" applyFill="1" applyBorder="1" applyAlignment="1" applyProtection="1">
      <alignment horizontal="center" vertical="center"/>
      <protection locked="0"/>
    </xf>
    <xf numFmtId="9" fontId="7" fillId="3" borderId="2" xfId="2" applyFont="1" applyFill="1" applyBorder="1" applyAlignment="1" applyProtection="1">
      <alignment horizontal="center" vertical="center"/>
      <protection locked="0"/>
    </xf>
    <xf numFmtId="2" fontId="7" fillId="3" borderId="2" xfId="2" applyNumberFormat="1" applyFont="1" applyFill="1" applyBorder="1" applyAlignment="1" applyProtection="1">
      <alignment horizontal="center" vertical="center"/>
      <protection locked="0"/>
    </xf>
    <xf numFmtId="167" fontId="5" fillId="7" borderId="2" xfId="0" applyNumberFormat="1" applyFont="1" applyFill="1" applyBorder="1" applyAlignment="1" applyProtection="1">
      <alignment vertical="center"/>
      <protection locked="0"/>
    </xf>
    <xf numFmtId="167" fontId="5" fillId="7" borderId="3" xfId="0" applyNumberFormat="1" applyFont="1" applyFill="1" applyBorder="1" applyAlignment="1">
      <alignment vertical="center"/>
    </xf>
    <xf numFmtId="167" fontId="5" fillId="7" borderId="9" xfId="0" applyNumberFormat="1" applyFont="1" applyFill="1" applyBorder="1" applyAlignment="1" applyProtection="1">
      <alignment vertical="center"/>
      <protection locked="0"/>
    </xf>
    <xf numFmtId="167" fontId="5" fillId="7" borderId="10" xfId="0" applyNumberFormat="1" applyFont="1" applyFill="1" applyBorder="1" applyAlignment="1">
      <alignment vertical="center"/>
    </xf>
    <xf numFmtId="14" fontId="5" fillId="4" borderId="4" xfId="0" applyNumberFormat="1" applyFont="1" applyFill="1" applyBorder="1" applyAlignment="1" applyProtection="1">
      <alignment vertical="center"/>
      <protection locked="0"/>
    </xf>
    <xf numFmtId="14" fontId="5" fillId="4" borderId="8" xfId="0" applyNumberFormat="1" applyFont="1" applyFill="1" applyBorder="1" applyAlignment="1" applyProtection="1">
      <alignment vertical="center"/>
      <protection locked="0"/>
    </xf>
    <xf numFmtId="0" fontId="9" fillId="8" borderId="11" xfId="0" applyFont="1" applyFill="1" applyBorder="1" applyAlignment="1" applyProtection="1">
      <alignment horizontal="left"/>
    </xf>
    <xf numFmtId="0" fontId="10" fillId="8" borderId="12" xfId="0" applyFont="1" applyFill="1" applyBorder="1" applyAlignment="1" applyProtection="1"/>
    <xf numFmtId="0" fontId="10" fillId="8" borderId="13" xfId="0" applyFont="1" applyFill="1" applyBorder="1" applyAlignment="1" applyProtection="1"/>
    <xf numFmtId="0" fontId="9" fillId="8" borderId="12" xfId="0" applyFont="1" applyFill="1" applyBorder="1" applyAlignment="1" applyProtection="1">
      <alignment horizontal="left"/>
    </xf>
    <xf numFmtId="0" fontId="9" fillId="8" borderId="13" xfId="0" applyFont="1" applyFill="1" applyBorder="1" applyAlignment="1" applyProtection="1">
      <alignment horizontal="left"/>
    </xf>
    <xf numFmtId="0" fontId="9" fillId="8" borderId="0" xfId="0" applyFont="1" applyFill="1" applyBorder="1" applyAlignment="1" applyProtection="1">
      <alignment horizontal="left"/>
    </xf>
    <xf numFmtId="0" fontId="10" fillId="8" borderId="0" xfId="0" applyFont="1" applyFill="1" applyBorder="1" applyAlignment="1" applyProtection="1"/>
    <xf numFmtId="0" fontId="11" fillId="8" borderId="12" xfId="0" applyFont="1" applyFill="1" applyBorder="1" applyAlignment="1" applyProtection="1">
      <alignment horizontal="left"/>
    </xf>
    <xf numFmtId="0" fontId="10" fillId="8" borderId="12" xfId="0" applyFont="1" applyFill="1" applyBorder="1" applyAlignment="1" applyProtection="1">
      <alignment horizontal="left"/>
    </xf>
    <xf numFmtId="165" fontId="0" fillId="0" borderId="13" xfId="0" applyNumberFormat="1" applyBorder="1"/>
    <xf numFmtId="0" fontId="9" fillId="8" borderId="11" xfId="0" applyFont="1" applyFill="1" applyBorder="1"/>
    <xf numFmtId="0" fontId="9" fillId="8" borderId="12" xfId="0" applyFont="1" applyFill="1" applyBorder="1"/>
    <xf numFmtId="0" fontId="9" fillId="8" borderId="0" xfId="0" applyFont="1" applyFill="1" applyBorder="1"/>
    <xf numFmtId="0" fontId="11" fillId="8" borderId="0" xfId="0" applyFont="1" applyFill="1" applyBorder="1" applyAlignment="1"/>
    <xf numFmtId="49" fontId="11" fillId="8" borderId="0" xfId="0" applyNumberFormat="1" applyFont="1" applyFill="1" applyBorder="1" applyAlignment="1"/>
    <xf numFmtId="0" fontId="9" fillId="8" borderId="17" xfId="0" applyFont="1" applyFill="1" applyBorder="1"/>
    <xf numFmtId="165" fontId="0" fillId="0" borderId="12" xfId="0" applyNumberFormat="1" applyBorder="1"/>
    <xf numFmtId="165" fontId="0" fillId="0" borderId="0" xfId="0" applyNumberFormat="1" applyBorder="1"/>
    <xf numFmtId="0" fontId="10" fillId="8" borderId="18" xfId="0" applyFont="1" applyFill="1" applyBorder="1" applyAlignment="1" applyProtection="1"/>
    <xf numFmtId="0" fontId="9" fillId="8" borderId="18" xfId="0" applyFont="1" applyFill="1" applyBorder="1"/>
    <xf numFmtId="49" fontId="11" fillId="8" borderId="18" xfId="0" applyNumberFormat="1" applyFont="1" applyFill="1" applyBorder="1" applyAlignment="1"/>
    <xf numFmtId="0" fontId="0" fillId="0" borderId="18" xfId="0" applyBorder="1"/>
    <xf numFmtId="0" fontId="0" fillId="0" borderId="0" xfId="0" applyBorder="1"/>
    <xf numFmtId="0" fontId="0" fillId="0" borderId="0" xfId="0" applyBorder="1" applyAlignment="1"/>
    <xf numFmtId="0" fontId="0" fillId="0" borderId="18" xfId="0" applyBorder="1" applyAlignment="1"/>
    <xf numFmtId="0" fontId="0" fillId="9" borderId="0" xfId="0" applyFill="1"/>
    <xf numFmtId="0" fontId="12" fillId="0" borderId="0" xfId="0" applyFont="1" applyAlignment="1">
      <alignment horizontal="center"/>
    </xf>
    <xf numFmtId="0" fontId="3" fillId="0" borderId="0" xfId="0" applyFont="1" applyFill="1" applyAlignment="1">
      <alignment vertic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 indent="10"/>
    </xf>
    <xf numFmtId="0" fontId="8" fillId="0" borderId="19" xfId="0" applyFont="1" applyBorder="1" applyAlignment="1">
      <alignment horizontal="center" vertical="center"/>
    </xf>
    <xf numFmtId="0" fontId="11" fillId="8" borderId="14" xfId="0" applyFont="1" applyFill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left"/>
    </xf>
    <xf numFmtId="0" fontId="9" fillId="8" borderId="13" xfId="0" applyFont="1" applyFill="1" applyBorder="1" applyAlignment="1">
      <alignment horizontal="left"/>
    </xf>
    <xf numFmtId="49" fontId="11" fillId="8" borderId="15" xfId="0" applyNumberFormat="1" applyFont="1" applyFill="1" applyBorder="1" applyAlignment="1">
      <alignment horizontal="center"/>
    </xf>
    <xf numFmtId="49" fontId="11" fillId="8" borderId="16" xfId="0" applyNumberFormat="1" applyFont="1" applyFill="1" applyBorder="1" applyAlignment="1">
      <alignment horizontal="center"/>
    </xf>
    <xf numFmtId="49" fontId="11" fillId="8" borderId="14" xfId="0" applyNumberFormat="1" applyFont="1" applyFill="1" applyBorder="1" applyAlignment="1">
      <alignment horizontal="center"/>
    </xf>
    <xf numFmtId="44" fontId="11" fillId="8" borderId="14" xfId="0" applyNumberFormat="1" applyFont="1" applyFill="1" applyBorder="1" applyAlignment="1">
      <alignment horizontal="center"/>
    </xf>
    <xf numFmtId="44" fontId="11" fillId="8" borderId="15" xfId="0" applyNumberFormat="1" applyFont="1" applyFill="1" applyBorder="1" applyAlignment="1">
      <alignment horizontal="center"/>
    </xf>
    <xf numFmtId="44" fontId="11" fillId="8" borderId="16" xfId="0" applyNumberFormat="1" applyFont="1" applyFill="1" applyBorder="1" applyAlignment="1">
      <alignment horizontal="center"/>
    </xf>
    <xf numFmtId="0" fontId="9" fillId="8" borderId="11" xfId="0" applyFont="1" applyFill="1" applyBorder="1" applyAlignment="1" applyProtection="1">
      <alignment horizontal="left"/>
    </xf>
    <xf numFmtId="0" fontId="9" fillId="8" borderId="12" xfId="0" applyFont="1" applyFill="1" applyBorder="1" applyAlignment="1" applyProtection="1">
      <alignment horizontal="left"/>
    </xf>
    <xf numFmtId="0" fontId="9" fillId="8" borderId="13" xfId="0" applyFont="1" applyFill="1" applyBorder="1" applyAlignment="1" applyProtection="1">
      <alignment horizontal="left"/>
    </xf>
    <xf numFmtId="0" fontId="9" fillId="8" borderId="14" xfId="0" applyFont="1" applyFill="1" applyBorder="1" applyAlignment="1" applyProtection="1">
      <alignment horizontal="center"/>
    </xf>
    <xf numFmtId="0" fontId="9" fillId="8" borderId="15" xfId="0" applyFont="1" applyFill="1" applyBorder="1" applyAlignment="1" applyProtection="1">
      <alignment horizontal="center"/>
    </xf>
    <xf numFmtId="0" fontId="9" fillId="8" borderId="16" xfId="0" applyFont="1" applyFill="1" applyBorder="1" applyAlignment="1" applyProtection="1">
      <alignment horizontal="center"/>
    </xf>
    <xf numFmtId="0" fontId="10" fillId="8" borderId="14" xfId="0" applyFont="1" applyFill="1" applyBorder="1" applyAlignment="1" applyProtection="1">
      <alignment horizontal="center"/>
    </xf>
    <xf numFmtId="0" fontId="10" fillId="8" borderId="15" xfId="0" applyFont="1" applyFill="1" applyBorder="1" applyAlignment="1" applyProtection="1">
      <alignment horizontal="center"/>
    </xf>
    <xf numFmtId="0" fontId="10" fillId="8" borderId="16" xfId="0" applyFont="1" applyFill="1" applyBorder="1" applyAlignment="1" applyProtection="1">
      <alignment horizontal="center"/>
    </xf>
    <xf numFmtId="0" fontId="11" fillId="8" borderId="14" xfId="0" applyFont="1" applyFill="1" applyBorder="1" applyAlignment="1" applyProtection="1">
      <alignment horizontal="center"/>
    </xf>
    <xf numFmtId="0" fontId="11" fillId="8" borderId="15" xfId="0" applyFont="1" applyFill="1" applyBorder="1" applyAlignment="1" applyProtection="1">
      <alignment horizontal="center"/>
    </xf>
    <xf numFmtId="0" fontId="11" fillId="8" borderId="16" xfId="0" applyFont="1" applyFill="1" applyBorder="1" applyAlignment="1" applyProtection="1">
      <alignment horizontal="center"/>
    </xf>
    <xf numFmtId="0" fontId="11" fillId="8" borderId="14" xfId="0" applyFont="1" applyFill="1" applyBorder="1" applyAlignment="1" applyProtection="1">
      <alignment horizontal="center" shrinkToFit="1"/>
    </xf>
    <xf numFmtId="0" fontId="11" fillId="8" borderId="15" xfId="0" applyFont="1" applyFill="1" applyBorder="1" applyAlignment="1" applyProtection="1">
      <alignment horizontal="center" shrinkToFit="1"/>
    </xf>
    <xf numFmtId="0" fontId="11" fillId="8" borderId="16" xfId="0" applyFont="1" applyFill="1" applyBorder="1" applyAlignment="1" applyProtection="1">
      <alignment horizontal="center" shrinkToFit="1"/>
    </xf>
  </cellXfs>
  <cellStyles count="3">
    <cellStyle name="Normal" xfId="0" builtinId="0"/>
    <cellStyle name="Porcentagem" xfId="2" builtinId="5"/>
    <cellStyle name="Separador de milhares" xfId="1" builtinId="3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fill>
        <patternFill patternType="solid">
          <fgColor indexed="64"/>
          <bgColor rgb="FFF6F8FB"/>
        </patternFill>
      </fill>
      <alignment horizontal="general" vertical="center" textRotation="0" wrapText="0" indent="0" relativeIndent="255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385A7B"/>
        </patternFill>
      </fill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9" formatCode="dd/mm/yyyy"/>
      <fill>
        <patternFill patternType="solid">
          <fgColor indexed="64"/>
          <bgColor rgb="FFF6F8FB"/>
        </patternFill>
      </fill>
      <alignment horizontal="general" vertical="center" textRotation="0" wrapText="0" indent="0" relativeIndent="255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fill>
        <patternFill patternType="solid">
          <fgColor indexed="64"/>
          <bgColor rgb="FFF6F8FB"/>
        </patternFill>
      </fill>
      <alignment horizontal="general" vertical="center" textRotation="0" wrapText="0" indent="0" relativeIndent="255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385A7B"/>
        </patternFill>
      </fill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385A7B"/>
      <color rgb="FFE7F8D9"/>
      <color rgb="FFC6E2A1"/>
      <color rgb="FFD1EAB5"/>
      <color rgb="FFC7E3F9"/>
      <color rgb="FFD8E9FB"/>
      <color rgb="FFE8EDF9"/>
      <color rgb="FFF6F8F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ela14" displayName="Tabela14" ref="A3:J34" totalsRowShown="0" headerRowDxfId="29" dataDxfId="27" headerRowBorderDxfId="28" tableBorderDxfId="26" totalsRowBorderDxfId="25">
  <autoFilter ref="A3:J34"/>
  <tableColumns count="10">
    <tableColumn id="1" name="Data" dataDxfId="24"/>
    <tableColumn id="2" name="Entrada" dataDxfId="23"/>
    <tableColumn id="3" name="Saída Intervalo" dataDxfId="22"/>
    <tableColumn id="4" name="Retorno Intervalo" dataDxfId="21"/>
    <tableColumn id="5" name="Saída" dataDxfId="20"/>
    <tableColumn id="6" name="Total Horas" dataDxfId="19">
      <calculatedColumnFormula>(C4-B4)+IF(E4&lt;D4,((1+E4)-D4),E4-D4)</calculatedColumnFormula>
    </tableColumn>
    <tableColumn id="7" name="Horas Extras" dataDxfId="18">
      <calculatedColumnFormula>IF(AND(WEEKDAY(A4)&gt;1,WEEKDAY(A4)&lt;7),IF((F4-$L$6)&lt;0,0,(F4-$L$6)),0)</calculatedColumnFormula>
    </tableColumn>
    <tableColumn id="8" name="Horas Negativas" dataDxfId="17">
      <calculatedColumnFormula>IF(OR(WEEKDAY(A4)=1,WEEKDAY(A4)=7),0,IF(OR(($L$6-F4)&lt;=0,F4=0),0,($L$6-F4)))</calculatedColumnFormula>
    </tableColumn>
    <tableColumn id="9" name="Sábado" dataDxfId="16">
      <calculatedColumnFormula>IF(WEEKDAY(A4)=7,F4,0)</calculatedColumnFormula>
    </tableColumn>
    <tableColumn id="10" name="Domingo" dataDxfId="15">
      <calculatedColumnFormula>IF(WEEKDAY(A4)=1,F4,0)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3:J34" totalsRowShown="0" headerRowDxfId="14" dataDxfId="12" headerRowBorderDxfId="13" tableBorderDxfId="11" totalsRowBorderDxfId="10">
  <autoFilter ref="A3:J34"/>
  <tableColumns count="10">
    <tableColumn id="1" name="Data" dataDxfId="9"/>
    <tableColumn id="2" name="TAREFA 01" dataDxfId="8"/>
    <tableColumn id="3" name="TAREFA 02" dataDxfId="7"/>
    <tableColumn id="4" name="TAREFA 03" dataDxfId="6"/>
    <tableColumn id="5" name="TAREFA 04" dataDxfId="5"/>
    <tableColumn id="6" name="TAREFA 05" dataDxfId="4"/>
    <tableColumn id="7" name="TAREFA 06" dataDxfId="3"/>
    <tableColumn id="8" name="TAREFA 07" dataDxfId="2"/>
    <tableColumn id="9" name="TAREFA 08" dataDxfId="1"/>
    <tableColumn id="10" name="TAREFA 0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showGridLines="0" workbookViewId="0">
      <selection sqref="A1:XFD1"/>
    </sheetView>
  </sheetViews>
  <sheetFormatPr defaultRowHeight="15"/>
  <cols>
    <col min="1" max="10" width="8.7109375" customWidth="1"/>
  </cols>
  <sheetData>
    <row r="1" spans="1:23" s="79" customFormat="1" ht="52.5" customHeight="1" thickBot="1">
      <c r="A1" s="79" t="s">
        <v>47</v>
      </c>
    </row>
    <row r="2" spans="1:23" ht="29.25" customHeight="1" thickTop="1">
      <c r="A2" s="80" t="s">
        <v>47</v>
      </c>
      <c r="B2" s="80"/>
      <c r="C2" s="80"/>
      <c r="D2" s="80"/>
      <c r="E2" s="80"/>
      <c r="F2" s="80"/>
      <c r="G2" s="80"/>
      <c r="H2" s="80"/>
      <c r="I2" s="80"/>
      <c r="J2" s="80"/>
    </row>
    <row r="4" spans="1:23">
      <c r="A4" s="93" t="s">
        <v>25</v>
      </c>
      <c r="B4" s="94"/>
      <c r="C4" s="94"/>
      <c r="D4" s="94"/>
      <c r="E4" s="94"/>
      <c r="F4" s="95"/>
      <c r="G4" s="42" t="s">
        <v>26</v>
      </c>
      <c r="H4" s="43"/>
      <c r="I4" s="43"/>
      <c r="J4" s="44"/>
    </row>
    <row r="5" spans="1:23">
      <c r="A5" s="96"/>
      <c r="B5" s="97"/>
      <c r="C5" s="97"/>
      <c r="D5" s="97"/>
      <c r="E5" s="97"/>
      <c r="F5" s="98"/>
      <c r="G5" s="99"/>
      <c r="H5" s="100"/>
      <c r="I5" s="100"/>
      <c r="J5" s="101"/>
    </row>
    <row r="6" spans="1:23">
      <c r="A6" s="42" t="s">
        <v>27</v>
      </c>
      <c r="B6" s="45"/>
      <c r="C6" s="45"/>
      <c r="D6" s="45"/>
      <c r="E6" s="46"/>
      <c r="F6" s="47" t="s">
        <v>28</v>
      </c>
      <c r="G6" s="48"/>
      <c r="H6" s="48"/>
      <c r="I6" s="48"/>
      <c r="J6" s="60"/>
    </row>
    <row r="7" spans="1:23">
      <c r="A7" s="102"/>
      <c r="B7" s="103"/>
      <c r="C7" s="103"/>
      <c r="D7" s="103"/>
      <c r="E7" s="104"/>
      <c r="F7" s="103"/>
      <c r="G7" s="103"/>
      <c r="H7" s="103"/>
      <c r="I7" s="103"/>
      <c r="J7" s="104"/>
    </row>
    <row r="8" spans="1:23">
      <c r="A8" s="42" t="s">
        <v>29</v>
      </c>
      <c r="B8" s="49"/>
      <c r="C8" s="49"/>
      <c r="D8" s="49"/>
      <c r="E8" s="49"/>
      <c r="F8" s="50"/>
      <c r="G8" s="42" t="s">
        <v>30</v>
      </c>
      <c r="H8" s="50"/>
      <c r="I8" s="50"/>
      <c r="J8" s="51"/>
    </row>
    <row r="9" spans="1:23">
      <c r="A9" s="105"/>
      <c r="B9" s="106"/>
      <c r="C9" s="106"/>
      <c r="D9" s="106"/>
      <c r="E9" s="106"/>
      <c r="F9" s="107"/>
      <c r="G9" s="102"/>
      <c r="H9" s="103"/>
      <c r="I9" s="103"/>
      <c r="J9" s="104"/>
    </row>
    <row r="10" spans="1:23">
      <c r="A10" s="52" t="s">
        <v>31</v>
      </c>
      <c r="B10" s="53"/>
      <c r="C10" s="53"/>
      <c r="D10" s="53"/>
      <c r="E10" s="52" t="s">
        <v>32</v>
      </c>
      <c r="F10" s="53"/>
      <c r="G10" s="54"/>
      <c r="H10" s="54"/>
      <c r="I10" s="54"/>
      <c r="J10" s="61"/>
    </row>
    <row r="11" spans="1:23">
      <c r="A11" s="81"/>
      <c r="B11" s="82"/>
      <c r="C11" s="82"/>
      <c r="D11" s="83"/>
      <c r="E11" s="89"/>
      <c r="F11" s="87"/>
      <c r="G11" s="87"/>
      <c r="H11" s="87"/>
      <c r="I11" s="87"/>
      <c r="J11" s="88"/>
    </row>
    <row r="12" spans="1:23">
      <c r="A12" s="53" t="s">
        <v>33</v>
      </c>
      <c r="B12" s="55"/>
      <c r="C12" s="55"/>
      <c r="D12" s="55"/>
      <c r="E12" s="52" t="s">
        <v>34</v>
      </c>
      <c r="F12" s="56"/>
      <c r="G12" s="56"/>
      <c r="H12" s="56"/>
      <c r="I12" s="56"/>
      <c r="J12" s="62"/>
      <c r="P12" s="64"/>
      <c r="Q12" s="64"/>
      <c r="R12" s="64"/>
      <c r="S12" s="64"/>
      <c r="T12" s="64"/>
      <c r="U12" s="64"/>
      <c r="V12" s="64"/>
      <c r="W12" s="64"/>
    </row>
    <row r="13" spans="1:23">
      <c r="A13" s="81"/>
      <c r="B13" s="82"/>
      <c r="C13" s="82"/>
      <c r="D13" s="83"/>
      <c r="E13" s="89"/>
      <c r="F13" s="87"/>
      <c r="G13" s="87"/>
      <c r="H13" s="87"/>
      <c r="I13" s="87"/>
      <c r="J13" s="88"/>
      <c r="P13" s="64"/>
      <c r="Q13" s="64"/>
      <c r="R13" s="64"/>
      <c r="S13" s="64"/>
      <c r="T13" s="64"/>
      <c r="U13" s="64"/>
      <c r="V13" s="64"/>
      <c r="W13" s="64"/>
    </row>
    <row r="14" spans="1:23">
      <c r="A14" s="52" t="s">
        <v>35</v>
      </c>
      <c r="B14" s="53"/>
      <c r="C14" s="53"/>
      <c r="D14" s="53"/>
      <c r="E14" s="57" t="s">
        <v>36</v>
      </c>
      <c r="F14" s="54"/>
      <c r="G14" s="54"/>
      <c r="H14" s="54"/>
      <c r="I14" s="54"/>
      <c r="J14" s="63"/>
      <c r="P14" s="64"/>
      <c r="Q14" s="64"/>
      <c r="R14" s="64"/>
      <c r="S14" s="64"/>
      <c r="T14" s="64"/>
      <c r="U14" s="64"/>
      <c r="V14" s="64"/>
      <c r="W14" s="64"/>
    </row>
    <row r="15" spans="1:23">
      <c r="A15" s="81"/>
      <c r="B15" s="82"/>
      <c r="C15" s="82"/>
      <c r="D15" s="83"/>
      <c r="E15" s="90"/>
      <c r="F15" s="91"/>
      <c r="G15" s="91"/>
      <c r="H15" s="91"/>
      <c r="I15" s="91"/>
      <c r="J15" s="92"/>
      <c r="P15" s="64"/>
      <c r="Q15" s="64"/>
      <c r="R15" s="64"/>
      <c r="S15" s="64"/>
      <c r="T15" s="64"/>
      <c r="U15" s="64"/>
      <c r="V15" s="64"/>
      <c r="W15" s="64"/>
    </row>
    <row r="16" spans="1:23">
      <c r="A16" s="57" t="s">
        <v>37</v>
      </c>
      <c r="B16" s="54"/>
      <c r="C16" s="54"/>
      <c r="D16" s="53"/>
      <c r="E16" s="58"/>
      <c r="F16" s="51"/>
      <c r="G16" s="57" t="s">
        <v>38</v>
      </c>
      <c r="H16" s="54"/>
      <c r="I16" s="54"/>
      <c r="J16" s="61"/>
      <c r="P16" s="70"/>
      <c r="Q16" s="70"/>
      <c r="R16" s="70"/>
      <c r="S16" s="70"/>
      <c r="T16" s="70"/>
      <c r="U16" s="70"/>
      <c r="V16" s="64"/>
      <c r="W16" s="64"/>
    </row>
    <row r="17" spans="1:23">
      <c r="A17" s="81"/>
      <c r="B17" s="82"/>
      <c r="C17" s="82"/>
      <c r="D17" s="82"/>
      <c r="E17" s="82"/>
      <c r="F17" s="83"/>
      <c r="G17" s="84"/>
      <c r="H17" s="82"/>
      <c r="I17" s="82"/>
      <c r="J17" s="83"/>
      <c r="P17" s="70"/>
      <c r="Q17" s="70"/>
      <c r="R17" s="70"/>
      <c r="S17" s="70"/>
      <c r="T17" s="70"/>
      <c r="U17" s="70"/>
      <c r="V17" s="64"/>
      <c r="W17" s="64"/>
    </row>
    <row r="18" spans="1:23">
      <c r="A18" s="57" t="s">
        <v>39</v>
      </c>
      <c r="B18" s="59"/>
      <c r="C18" s="59"/>
      <c r="D18" s="55"/>
      <c r="E18" s="59"/>
      <c r="F18" s="59"/>
      <c r="G18" s="58"/>
      <c r="H18" s="85" t="s">
        <v>40</v>
      </c>
      <c r="I18" s="85"/>
      <c r="J18" s="86"/>
      <c r="P18" s="70"/>
      <c r="Q18" s="70"/>
      <c r="R18" s="70"/>
      <c r="S18" s="70"/>
      <c r="T18" s="70"/>
      <c r="U18" s="70"/>
      <c r="V18" s="64"/>
      <c r="W18" s="64"/>
    </row>
    <row r="19" spans="1:23">
      <c r="A19" s="81"/>
      <c r="B19" s="82"/>
      <c r="C19" s="82"/>
      <c r="D19" s="82"/>
      <c r="E19" s="82"/>
      <c r="F19" s="82"/>
      <c r="G19" s="83"/>
      <c r="H19" s="87"/>
      <c r="I19" s="87"/>
      <c r="J19" s="88"/>
      <c r="P19" s="70"/>
      <c r="Q19" s="70"/>
      <c r="R19" s="70"/>
      <c r="S19" s="70"/>
      <c r="T19" s="70"/>
      <c r="U19" s="70"/>
      <c r="V19" s="64"/>
      <c r="W19" s="64"/>
    </row>
    <row r="20" spans="1:23">
      <c r="P20" s="70"/>
      <c r="Q20" s="70"/>
      <c r="R20" s="70"/>
      <c r="S20" s="70"/>
      <c r="T20" s="70"/>
      <c r="U20" s="70"/>
      <c r="V20" s="64"/>
      <c r="W20" s="64"/>
    </row>
    <row r="21" spans="1:23">
      <c r="A21" s="65"/>
      <c r="B21" s="77"/>
      <c r="C21" s="77"/>
      <c r="D21" s="77"/>
      <c r="E21" s="77"/>
      <c r="F21" s="66"/>
      <c r="G21" s="72" t="s">
        <v>41</v>
      </c>
      <c r="H21" s="72"/>
      <c r="I21" s="72"/>
      <c r="J21" s="73"/>
      <c r="P21" s="64"/>
      <c r="Q21" s="64"/>
      <c r="R21" s="64"/>
      <c r="S21" s="64"/>
      <c r="T21" s="64"/>
      <c r="U21" s="64"/>
      <c r="V21" s="64"/>
      <c r="W21" s="64"/>
    </row>
    <row r="22" spans="1:23">
      <c r="B22" s="70" t="s">
        <v>42</v>
      </c>
      <c r="C22" s="70"/>
      <c r="D22" s="70"/>
      <c r="E22" s="70"/>
      <c r="G22" s="71"/>
      <c r="H22" s="72"/>
      <c r="I22" s="72"/>
      <c r="J22" s="73"/>
      <c r="P22" s="64"/>
      <c r="Q22" s="64"/>
      <c r="R22" s="64"/>
      <c r="S22" s="64"/>
      <c r="T22" s="64"/>
      <c r="U22" s="64"/>
      <c r="V22" s="64"/>
      <c r="W22" s="64"/>
    </row>
    <row r="23" spans="1:23">
      <c r="B23" s="70"/>
      <c r="C23" s="70"/>
      <c r="D23" s="70"/>
      <c r="E23" s="70"/>
      <c r="G23" s="74"/>
      <c r="H23" s="70"/>
      <c r="I23" s="70"/>
      <c r="J23" s="75"/>
      <c r="P23" s="64"/>
      <c r="Q23" s="64"/>
      <c r="R23" s="64"/>
      <c r="S23" s="64"/>
      <c r="T23" s="64"/>
      <c r="U23" s="64"/>
      <c r="V23" s="64"/>
      <c r="W23" s="64"/>
    </row>
    <row r="24" spans="1:23">
      <c r="B24" s="77"/>
      <c r="C24" s="77"/>
      <c r="D24" s="77"/>
      <c r="E24" s="77"/>
      <c r="G24" s="74"/>
      <c r="H24" s="70"/>
      <c r="I24" s="70"/>
      <c r="J24" s="75"/>
      <c r="P24" s="64"/>
      <c r="Q24" s="64"/>
      <c r="R24" s="64"/>
      <c r="S24" s="64"/>
      <c r="T24" s="64"/>
      <c r="U24" s="64"/>
      <c r="V24" s="64"/>
      <c r="W24" s="64"/>
    </row>
    <row r="25" spans="1:23">
      <c r="B25" s="70" t="s">
        <v>43</v>
      </c>
      <c r="C25" s="70"/>
      <c r="D25" s="70"/>
      <c r="E25" s="70"/>
      <c r="G25" s="74"/>
      <c r="H25" s="70"/>
      <c r="I25" s="70"/>
      <c r="J25" s="75"/>
      <c r="P25" s="64"/>
      <c r="Q25" s="64"/>
      <c r="R25" s="64"/>
      <c r="S25" s="64"/>
      <c r="T25" s="64"/>
      <c r="U25" s="64"/>
      <c r="V25" s="64"/>
      <c r="W25" s="64"/>
    </row>
    <row r="26" spans="1:23">
      <c r="B26" s="70"/>
      <c r="C26" s="70"/>
      <c r="D26" s="70"/>
      <c r="E26" s="70"/>
      <c r="G26" s="74"/>
      <c r="H26" s="70"/>
      <c r="I26" s="70"/>
      <c r="J26" s="75"/>
      <c r="P26" s="64"/>
      <c r="Q26" s="64"/>
      <c r="R26" s="64"/>
      <c r="S26" s="64"/>
      <c r="T26" s="64"/>
      <c r="U26" s="64"/>
      <c r="V26" s="64"/>
      <c r="W26" s="64"/>
    </row>
    <row r="27" spans="1:23">
      <c r="B27" s="77"/>
      <c r="C27" s="77"/>
      <c r="D27" s="77"/>
      <c r="E27" s="77"/>
      <c r="G27" s="74"/>
      <c r="H27" s="70"/>
      <c r="I27" s="70"/>
      <c r="J27" s="75"/>
      <c r="P27" s="64"/>
      <c r="Q27" s="64"/>
      <c r="R27" s="64"/>
      <c r="S27" s="64"/>
      <c r="T27" s="64"/>
      <c r="U27" s="64"/>
      <c r="V27" s="64"/>
      <c r="W27" s="64"/>
    </row>
    <row r="28" spans="1:23">
      <c r="B28" s="70" t="s">
        <v>44</v>
      </c>
      <c r="C28" s="70"/>
      <c r="D28" s="70"/>
      <c r="E28" s="70"/>
      <c r="G28" s="76"/>
      <c r="H28" s="77"/>
      <c r="I28" s="77"/>
      <c r="J28" s="78"/>
    </row>
    <row r="29" spans="1:23">
      <c r="B29" s="70"/>
      <c r="C29" s="70"/>
      <c r="D29" s="70"/>
      <c r="E29" s="70"/>
    </row>
    <row r="30" spans="1:23">
      <c r="A30" s="67"/>
      <c r="B30" s="67"/>
      <c r="C30" s="67"/>
      <c r="D30" s="67"/>
      <c r="E30" s="67"/>
      <c r="F30" s="67"/>
      <c r="G30" s="67"/>
      <c r="H30" s="67"/>
      <c r="I30" s="67"/>
      <c r="J30" s="67"/>
    </row>
  </sheetData>
  <mergeCells count="36">
    <mergeCell ref="A9:F9"/>
    <mergeCell ref="G9:J9"/>
    <mergeCell ref="A4:F4"/>
    <mergeCell ref="A5:F5"/>
    <mergeCell ref="G5:J5"/>
    <mergeCell ref="A7:E7"/>
    <mergeCell ref="F7:J7"/>
    <mergeCell ref="G21:J21"/>
    <mergeCell ref="B21:E21"/>
    <mergeCell ref="A11:D11"/>
    <mergeCell ref="E11:J11"/>
    <mergeCell ref="A13:D13"/>
    <mergeCell ref="E13:J13"/>
    <mergeCell ref="A15:D15"/>
    <mergeCell ref="E15:J15"/>
    <mergeCell ref="A17:F17"/>
    <mergeCell ref="G17:J17"/>
    <mergeCell ref="H18:J18"/>
    <mergeCell ref="A19:G19"/>
    <mergeCell ref="H19:J19"/>
    <mergeCell ref="B28:E28"/>
    <mergeCell ref="B29:E29"/>
    <mergeCell ref="G22:J28"/>
    <mergeCell ref="A1:XFD1"/>
    <mergeCell ref="A2:J2"/>
    <mergeCell ref="B22:E22"/>
    <mergeCell ref="B23:E23"/>
    <mergeCell ref="B24:E24"/>
    <mergeCell ref="B25:E25"/>
    <mergeCell ref="B26:E26"/>
    <mergeCell ref="B27:E27"/>
    <mergeCell ref="P16:U16"/>
    <mergeCell ref="P17:U17"/>
    <mergeCell ref="P18:U18"/>
    <mergeCell ref="P19:U19"/>
    <mergeCell ref="P20:U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R48"/>
  <sheetViews>
    <sheetView showGridLines="0" tabSelected="1" workbookViewId="0">
      <pane ySplit="3" topLeftCell="A4" activePane="bottomLeft" state="frozen"/>
      <selection pane="bottomLeft" activeCell="A48" sqref="A48:XFD48"/>
    </sheetView>
  </sheetViews>
  <sheetFormatPr defaultColWidth="8.85546875" defaultRowHeight="15"/>
  <cols>
    <col min="1" max="1" width="10" style="1" customWidth="1"/>
    <col min="2" max="7" width="9" style="2" customWidth="1"/>
    <col min="8" max="8" width="9" customWidth="1"/>
    <col min="9" max="10" width="9" style="2" customWidth="1"/>
    <col min="11" max="11" width="3.7109375" customWidth="1"/>
    <col min="12" max="12" width="16" customWidth="1"/>
    <col min="13" max="13" width="11.85546875" customWidth="1"/>
    <col min="14" max="16" width="12.140625" customWidth="1"/>
  </cols>
  <sheetData>
    <row r="1" spans="1:18" s="79" customFormat="1" ht="52.5" customHeight="1" thickBot="1">
      <c r="A1" s="79" t="s">
        <v>45</v>
      </c>
    </row>
    <row r="2" spans="1:18" ht="29.25" customHeight="1" thickTop="1">
      <c r="A2" s="80" t="s">
        <v>45</v>
      </c>
      <c r="B2" s="80"/>
      <c r="C2" s="80"/>
      <c r="D2" s="80"/>
      <c r="E2" s="80"/>
      <c r="F2" s="80"/>
      <c r="G2" s="80"/>
      <c r="H2" s="80"/>
      <c r="I2" s="80"/>
      <c r="J2" s="80"/>
      <c r="Q2" s="68"/>
      <c r="R2" s="68"/>
    </row>
    <row r="3" spans="1:18" s="5" customFormat="1" ht="42.75" customHeight="1">
      <c r="A3" s="9" t="s">
        <v>0</v>
      </c>
      <c r="B3" s="10" t="s">
        <v>1</v>
      </c>
      <c r="C3" s="10" t="s">
        <v>3</v>
      </c>
      <c r="D3" s="10" t="s">
        <v>4</v>
      </c>
      <c r="E3" s="10" t="s">
        <v>2</v>
      </c>
      <c r="F3" s="10" t="s">
        <v>5</v>
      </c>
      <c r="G3" s="10" t="s">
        <v>6</v>
      </c>
      <c r="H3" s="10" t="s">
        <v>8</v>
      </c>
      <c r="I3" s="10" t="s">
        <v>9</v>
      </c>
      <c r="J3" s="11" t="s">
        <v>10</v>
      </c>
    </row>
    <row r="4" spans="1:18" s="6" customFormat="1" ht="18" customHeight="1">
      <c r="A4" s="31">
        <v>42370</v>
      </c>
      <c r="B4" s="23">
        <v>0.33333333333333331</v>
      </c>
      <c r="C4" s="23">
        <v>0.51041666666666663</v>
      </c>
      <c r="D4" s="23">
        <v>0.5625</v>
      </c>
      <c r="E4" s="23">
        <v>0.20833333333333334</v>
      </c>
      <c r="F4" s="29">
        <f>(C4-B4)+IF(E4&lt;D4,((1+E4)-D4),E4-D4)</f>
        <v>0.82291666666666652</v>
      </c>
      <c r="G4" s="29">
        <f t="shared" ref="G4:G33" si="0">IF(AND(WEEKDAY(A4)&gt;1,WEEKDAY(A4)&lt;7),IF((F4-$L$6)&lt;0,0,(F4-$L$6)),0)</f>
        <v>0.45624999999999982</v>
      </c>
      <c r="H4" s="29">
        <f>IF(OR(WEEKDAY(A4)=1,WEEKDAY(A4)=7),0,IF(OR(($L$6-F4)&lt;=0,F4=0),0,($L$6-F4)))</f>
        <v>0</v>
      </c>
      <c r="I4" s="25">
        <f t="shared" ref="I4:I33" si="1">IF(WEEKDAY(A4)=7,F4,0)</f>
        <v>0</v>
      </c>
      <c r="J4" s="26">
        <f>IF(WEEKDAY(A4)=1,F4,0)</f>
        <v>0</v>
      </c>
      <c r="N4" s="7"/>
    </row>
    <row r="5" spans="1:18" s="6" customFormat="1" ht="18" customHeight="1">
      <c r="A5" s="31">
        <v>42371</v>
      </c>
      <c r="B5" s="23">
        <v>0.33333333333333331</v>
      </c>
      <c r="C5" s="23">
        <v>0.51041666666666663</v>
      </c>
      <c r="D5" s="23">
        <v>0.5625</v>
      </c>
      <c r="E5" s="23">
        <v>0.91666666666666663</v>
      </c>
      <c r="F5" s="29">
        <f t="shared" ref="F5:F33" si="2">(C5-B5)+IF(E5&lt;D5,((1+E5)-D5),E5-D5)</f>
        <v>0.53125</v>
      </c>
      <c r="G5" s="29">
        <f t="shared" si="0"/>
        <v>0</v>
      </c>
      <c r="H5" s="29">
        <f t="shared" ref="H5:H33" si="3">IF(OR(WEEKDAY(A5)=1,WEEKDAY(A5)=7),0,IF(OR(($L$6-F5)&lt;=0,F5=0),0,($L$6-F5)))</f>
        <v>0</v>
      </c>
      <c r="I5" s="25">
        <f t="shared" si="1"/>
        <v>0.53125</v>
      </c>
      <c r="J5" s="26">
        <f t="shared" ref="J5:J33" si="4">IF(WEEKDAY(A5)=1,F5,0)</f>
        <v>0</v>
      </c>
      <c r="L5" s="12" t="s">
        <v>7</v>
      </c>
      <c r="M5" s="12" t="s">
        <v>12</v>
      </c>
      <c r="N5" s="12" t="s">
        <v>9</v>
      </c>
      <c r="O5" s="12" t="s">
        <v>10</v>
      </c>
      <c r="P5" s="12" t="s">
        <v>15</v>
      </c>
    </row>
    <row r="6" spans="1:18" s="6" customFormat="1" ht="18" customHeight="1">
      <c r="A6" s="31">
        <v>42372</v>
      </c>
      <c r="B6" s="23">
        <v>0.33333333333333331</v>
      </c>
      <c r="C6" s="23">
        <v>0.51041666666666663</v>
      </c>
      <c r="D6" s="23">
        <v>0.5625</v>
      </c>
      <c r="E6" s="23">
        <v>0.56597222222222221</v>
      </c>
      <c r="F6" s="29">
        <f t="shared" si="2"/>
        <v>0.18055555555555552</v>
      </c>
      <c r="G6" s="29">
        <f t="shared" si="0"/>
        <v>0</v>
      </c>
      <c r="H6" s="29">
        <f t="shared" si="3"/>
        <v>0</v>
      </c>
      <c r="I6" s="25">
        <f t="shared" si="1"/>
        <v>0</v>
      </c>
      <c r="J6" s="26">
        <f t="shared" si="4"/>
        <v>0.18055555555555552</v>
      </c>
      <c r="L6" s="33">
        <v>0.3666666666666667</v>
      </c>
      <c r="M6" s="34">
        <v>0.65</v>
      </c>
      <c r="N6" s="34">
        <v>0.65</v>
      </c>
      <c r="O6" s="34">
        <v>1</v>
      </c>
      <c r="P6" s="35">
        <v>20</v>
      </c>
    </row>
    <row r="7" spans="1:18" s="6" customFormat="1" ht="18" customHeight="1">
      <c r="A7" s="31">
        <v>42373</v>
      </c>
      <c r="B7" s="23">
        <v>0.33333333333333331</v>
      </c>
      <c r="C7" s="23">
        <v>0.51041666666666663</v>
      </c>
      <c r="D7" s="23">
        <v>0.5625</v>
      </c>
      <c r="E7" s="23">
        <v>0.56597222222222221</v>
      </c>
      <c r="F7" s="29">
        <f t="shared" si="2"/>
        <v>0.18055555555555552</v>
      </c>
      <c r="G7" s="29">
        <f t="shared" si="0"/>
        <v>0</v>
      </c>
      <c r="H7" s="29">
        <f t="shared" si="3"/>
        <v>0.18611111111111117</v>
      </c>
      <c r="I7" s="25">
        <f t="shared" si="1"/>
        <v>0</v>
      </c>
      <c r="J7" s="26">
        <f t="shared" si="4"/>
        <v>0</v>
      </c>
    </row>
    <row r="8" spans="1:18" s="6" customFormat="1" ht="18" customHeight="1">
      <c r="A8" s="31">
        <v>42374</v>
      </c>
      <c r="B8" s="23">
        <v>0.33333333333333331</v>
      </c>
      <c r="C8" s="23">
        <v>0.51041666666666663</v>
      </c>
      <c r="D8" s="23">
        <v>0.5625</v>
      </c>
      <c r="E8" s="23">
        <v>0.56597222222222221</v>
      </c>
      <c r="F8" s="29">
        <f t="shared" si="2"/>
        <v>0.18055555555555552</v>
      </c>
      <c r="G8" s="29">
        <f t="shared" si="0"/>
        <v>0</v>
      </c>
      <c r="H8" s="29">
        <f t="shared" si="3"/>
        <v>0.18611111111111117</v>
      </c>
      <c r="I8" s="25">
        <f t="shared" si="1"/>
        <v>0</v>
      </c>
      <c r="J8" s="26">
        <f t="shared" si="4"/>
        <v>0</v>
      </c>
    </row>
    <row r="9" spans="1:18" s="6" customFormat="1" ht="18" customHeight="1">
      <c r="A9" s="31">
        <v>42375</v>
      </c>
      <c r="B9" s="23">
        <v>0.33333333333333331</v>
      </c>
      <c r="C9" s="23">
        <v>0.54166666666666663</v>
      </c>
      <c r="D9" s="23"/>
      <c r="E9" s="23"/>
      <c r="F9" s="29">
        <f t="shared" si="2"/>
        <v>0.20833333333333331</v>
      </c>
      <c r="G9" s="29">
        <f t="shared" si="0"/>
        <v>0</v>
      </c>
      <c r="H9" s="29">
        <f t="shared" si="3"/>
        <v>0.15833333333333338</v>
      </c>
      <c r="I9" s="25">
        <f t="shared" si="1"/>
        <v>0</v>
      </c>
      <c r="J9" s="26">
        <f t="shared" si="4"/>
        <v>0</v>
      </c>
      <c r="L9" s="13" t="s">
        <v>6</v>
      </c>
      <c r="M9" s="15">
        <f>SUM(G4:G34)</f>
        <v>0.45624999999999982</v>
      </c>
      <c r="N9" s="8"/>
      <c r="O9" s="8"/>
    </row>
    <row r="10" spans="1:18" s="6" customFormat="1" ht="18" customHeight="1">
      <c r="A10" s="31">
        <v>42376</v>
      </c>
      <c r="B10" s="23">
        <v>0.33333333333333331</v>
      </c>
      <c r="C10" s="23">
        <v>0.51041666666666663</v>
      </c>
      <c r="D10" s="23">
        <v>0.5625</v>
      </c>
      <c r="E10" s="23">
        <v>0.75208333333333333</v>
      </c>
      <c r="F10" s="29">
        <f t="shared" si="2"/>
        <v>0.36666666666666664</v>
      </c>
      <c r="G10" s="29">
        <f t="shared" si="0"/>
        <v>0</v>
      </c>
      <c r="H10" s="29">
        <f t="shared" si="3"/>
        <v>5.5511151231257827E-17</v>
      </c>
      <c r="I10" s="25">
        <f t="shared" si="1"/>
        <v>0</v>
      </c>
      <c r="J10" s="26">
        <f t="shared" si="4"/>
        <v>0</v>
      </c>
      <c r="L10" s="14" t="s">
        <v>8</v>
      </c>
      <c r="M10" s="16">
        <f>SUM(H4:H34)</f>
        <v>0.57222222222222241</v>
      </c>
    </row>
    <row r="11" spans="1:18" s="6" customFormat="1" ht="18" customHeight="1">
      <c r="A11" s="31">
        <v>42377</v>
      </c>
      <c r="B11" s="23">
        <v>0.33333333333333331</v>
      </c>
      <c r="C11" s="23">
        <v>0.51041666666666663</v>
      </c>
      <c r="D11" s="23">
        <v>0.5625</v>
      </c>
      <c r="E11" s="23">
        <v>0.7104166666666667</v>
      </c>
      <c r="F11" s="29">
        <f t="shared" si="2"/>
        <v>0.32500000000000001</v>
      </c>
      <c r="G11" s="29">
        <f t="shared" si="0"/>
        <v>0</v>
      </c>
      <c r="H11" s="29">
        <f t="shared" si="3"/>
        <v>4.1666666666666685E-2</v>
      </c>
      <c r="I11" s="25">
        <f t="shared" si="1"/>
        <v>0</v>
      </c>
      <c r="J11" s="26">
        <f t="shared" si="4"/>
        <v>0</v>
      </c>
      <c r="L11" s="14" t="s">
        <v>11</v>
      </c>
      <c r="M11" s="17" t="str">
        <f>IF(M9-M10&lt;0,"-"&amp;TEXT(M10-M9,"HH:MM:SS"),M9-M10)</f>
        <v>-02:47:00</v>
      </c>
    </row>
    <row r="12" spans="1:18" s="6" customFormat="1" ht="18" customHeight="1">
      <c r="A12" s="31">
        <v>42378</v>
      </c>
      <c r="B12" s="23">
        <v>0.33333333333333331</v>
      </c>
      <c r="C12" s="23">
        <v>0.51041666666666663</v>
      </c>
      <c r="D12" s="23">
        <v>0.5625</v>
      </c>
      <c r="E12" s="23">
        <v>0.75208333333333333</v>
      </c>
      <c r="F12" s="29">
        <f t="shared" si="2"/>
        <v>0.36666666666666664</v>
      </c>
      <c r="G12" s="29">
        <f t="shared" si="0"/>
        <v>0</v>
      </c>
      <c r="H12" s="29">
        <f t="shared" si="3"/>
        <v>0</v>
      </c>
      <c r="I12" s="25">
        <f t="shared" si="1"/>
        <v>0.36666666666666664</v>
      </c>
      <c r="J12" s="26">
        <f t="shared" si="4"/>
        <v>0</v>
      </c>
      <c r="L12" s="14" t="s">
        <v>9</v>
      </c>
      <c r="M12" s="18">
        <f>SUM(I5:I35)</f>
        <v>1.9979166666666668</v>
      </c>
    </row>
    <row r="13" spans="1:18" s="6" customFormat="1" ht="18" customHeight="1">
      <c r="A13" s="31">
        <v>42379</v>
      </c>
      <c r="B13" s="23">
        <v>0.33333333333333331</v>
      </c>
      <c r="C13" s="23">
        <v>0.51041666666666663</v>
      </c>
      <c r="D13" s="23">
        <v>0.5625</v>
      </c>
      <c r="E13" s="23">
        <v>0.75208333333333333</v>
      </c>
      <c r="F13" s="29">
        <f t="shared" si="2"/>
        <v>0.36666666666666664</v>
      </c>
      <c r="G13" s="29">
        <f t="shared" si="0"/>
        <v>0</v>
      </c>
      <c r="H13" s="29">
        <f t="shared" si="3"/>
        <v>0</v>
      </c>
      <c r="I13" s="25">
        <f t="shared" si="1"/>
        <v>0</v>
      </c>
      <c r="J13" s="26">
        <f t="shared" si="4"/>
        <v>0.36666666666666664</v>
      </c>
      <c r="L13" s="14" t="s">
        <v>10</v>
      </c>
      <c r="M13" s="18">
        <f>SUM(J5:J35)</f>
        <v>1.6472222222222221</v>
      </c>
    </row>
    <row r="14" spans="1:18" s="6" customFormat="1" ht="18" customHeight="1">
      <c r="A14" s="31">
        <v>42380</v>
      </c>
      <c r="B14" s="23">
        <v>0.33333333333333331</v>
      </c>
      <c r="C14" s="23">
        <v>0.51041666666666663</v>
      </c>
      <c r="D14" s="23">
        <v>0.5625</v>
      </c>
      <c r="E14" s="23">
        <v>0.75208333333333333</v>
      </c>
      <c r="F14" s="29">
        <f t="shared" si="2"/>
        <v>0.36666666666666664</v>
      </c>
      <c r="G14" s="29">
        <f t="shared" si="0"/>
        <v>0</v>
      </c>
      <c r="H14" s="29">
        <f t="shared" si="3"/>
        <v>5.5511151231257827E-17</v>
      </c>
      <c r="I14" s="25">
        <f t="shared" si="1"/>
        <v>0</v>
      </c>
      <c r="J14" s="26">
        <f t="shared" si="4"/>
        <v>0</v>
      </c>
    </row>
    <row r="15" spans="1:18" s="6" customFormat="1" ht="18" customHeight="1">
      <c r="A15" s="31">
        <v>42381</v>
      </c>
      <c r="B15" s="23">
        <v>0.33333333333333331</v>
      </c>
      <c r="C15" s="23">
        <v>0.51041666666666663</v>
      </c>
      <c r="D15" s="23">
        <v>0.5625</v>
      </c>
      <c r="E15" s="23">
        <v>0.75208333333333333</v>
      </c>
      <c r="F15" s="29">
        <f t="shared" si="2"/>
        <v>0.36666666666666664</v>
      </c>
      <c r="G15" s="29">
        <f t="shared" si="0"/>
        <v>0</v>
      </c>
      <c r="H15" s="29">
        <f t="shared" si="3"/>
        <v>5.5511151231257827E-17</v>
      </c>
      <c r="I15" s="25">
        <f t="shared" si="1"/>
        <v>0</v>
      </c>
      <c r="J15" s="26">
        <f t="shared" si="4"/>
        <v>0</v>
      </c>
      <c r="L15" s="19" t="s">
        <v>13</v>
      </c>
      <c r="M15" s="19" t="s">
        <v>14</v>
      </c>
    </row>
    <row r="16" spans="1:18" s="6" customFormat="1" ht="18" customHeight="1">
      <c r="A16" s="31">
        <v>42382</v>
      </c>
      <c r="B16" s="23">
        <v>0.33333333333333331</v>
      </c>
      <c r="C16" s="23">
        <v>0.51041666666666663</v>
      </c>
      <c r="D16" s="23">
        <v>0.5625</v>
      </c>
      <c r="E16" s="23">
        <v>0.75208333333333333</v>
      </c>
      <c r="F16" s="29">
        <f t="shared" si="2"/>
        <v>0.36666666666666664</v>
      </c>
      <c r="G16" s="29">
        <f t="shared" si="0"/>
        <v>0</v>
      </c>
      <c r="H16" s="29">
        <f t="shared" si="3"/>
        <v>5.5511151231257827E-17</v>
      </c>
      <c r="I16" s="25">
        <f t="shared" si="1"/>
        <v>0</v>
      </c>
      <c r="J16" s="26">
        <f t="shared" si="4"/>
        <v>0</v>
      </c>
      <c r="L16" s="20" t="str">
        <f>IF(ISNUMBER(M11),M11*(1+M6),"-"&amp;TEXT((M10-M9)*(1+M6),"HH:MM:SS"))</f>
        <v>-04:35:33</v>
      </c>
      <c r="M16" s="21">
        <f>IF(ISNUMBER(L16),L16*$P$6*24,-RIGHT(L16,LEN(L16)-1)*$P$6*24)</f>
        <v>-91.850000000000009</v>
      </c>
    </row>
    <row r="17" spans="1:13" s="6" customFormat="1" ht="18" customHeight="1">
      <c r="A17" s="31">
        <v>42383</v>
      </c>
      <c r="B17" s="23">
        <v>0.33333333333333331</v>
      </c>
      <c r="C17" s="23">
        <v>0.51041666666666663</v>
      </c>
      <c r="D17" s="23">
        <v>0.5625</v>
      </c>
      <c r="E17" s="23">
        <v>0.75208333333333333</v>
      </c>
      <c r="F17" s="29">
        <f t="shared" si="2"/>
        <v>0.36666666666666664</v>
      </c>
      <c r="G17" s="29">
        <f t="shared" si="0"/>
        <v>0</v>
      </c>
      <c r="H17" s="29">
        <f t="shared" si="3"/>
        <v>5.5511151231257827E-17</v>
      </c>
      <c r="I17" s="25">
        <f t="shared" si="1"/>
        <v>0</v>
      </c>
      <c r="J17" s="26">
        <f t="shared" si="4"/>
        <v>0</v>
      </c>
      <c r="L17" s="22">
        <f>M12*(1+N6)</f>
        <v>3.2965624999999998</v>
      </c>
      <c r="M17" s="21">
        <f>L17*$P$6*24</f>
        <v>1582.35</v>
      </c>
    </row>
    <row r="18" spans="1:13" s="6" customFormat="1" ht="18" customHeight="1">
      <c r="A18" s="31">
        <v>42384</v>
      </c>
      <c r="B18" s="23">
        <v>0.33333333333333331</v>
      </c>
      <c r="C18" s="23">
        <v>0.51041666666666663</v>
      </c>
      <c r="D18" s="23">
        <v>0.5625</v>
      </c>
      <c r="E18" s="23">
        <v>0.75208333333333333</v>
      </c>
      <c r="F18" s="29">
        <f t="shared" si="2"/>
        <v>0.36666666666666664</v>
      </c>
      <c r="G18" s="29">
        <f t="shared" si="0"/>
        <v>0</v>
      </c>
      <c r="H18" s="29">
        <f t="shared" si="3"/>
        <v>5.5511151231257827E-17</v>
      </c>
      <c r="I18" s="25">
        <f t="shared" si="1"/>
        <v>0</v>
      </c>
      <c r="J18" s="26">
        <f t="shared" si="4"/>
        <v>0</v>
      </c>
      <c r="L18" s="22">
        <f>M13*(1+O6)</f>
        <v>3.2944444444444443</v>
      </c>
      <c r="M18" s="21">
        <f>L18*$P$6*24</f>
        <v>1581.3333333333333</v>
      </c>
    </row>
    <row r="19" spans="1:13" s="6" customFormat="1" ht="18" customHeight="1">
      <c r="A19" s="31">
        <v>42385</v>
      </c>
      <c r="B19" s="23">
        <v>0.33333333333333331</v>
      </c>
      <c r="C19" s="23">
        <v>0.51041666666666663</v>
      </c>
      <c r="D19" s="23">
        <v>0.5625</v>
      </c>
      <c r="E19" s="23">
        <v>0.75208333333333333</v>
      </c>
      <c r="F19" s="29">
        <f t="shared" si="2"/>
        <v>0.36666666666666664</v>
      </c>
      <c r="G19" s="29">
        <f t="shared" si="0"/>
        <v>0</v>
      </c>
      <c r="H19" s="29">
        <f t="shared" si="3"/>
        <v>0</v>
      </c>
      <c r="I19" s="25">
        <f t="shared" si="1"/>
        <v>0.36666666666666664</v>
      </c>
      <c r="J19" s="26">
        <f t="shared" si="4"/>
        <v>0</v>
      </c>
    </row>
    <row r="20" spans="1:13" s="6" customFormat="1" ht="18" customHeight="1">
      <c r="A20" s="31">
        <v>42386</v>
      </c>
      <c r="B20" s="23">
        <v>0.33333333333333331</v>
      </c>
      <c r="C20" s="23">
        <v>0.51041666666666663</v>
      </c>
      <c r="D20" s="23">
        <v>0.5625</v>
      </c>
      <c r="E20" s="23">
        <v>0.75208333333333333</v>
      </c>
      <c r="F20" s="29">
        <f t="shared" si="2"/>
        <v>0.36666666666666664</v>
      </c>
      <c r="G20" s="29">
        <f t="shared" si="0"/>
        <v>0</v>
      </c>
      <c r="H20" s="29">
        <f t="shared" si="3"/>
        <v>0</v>
      </c>
      <c r="I20" s="25">
        <f t="shared" si="1"/>
        <v>0</v>
      </c>
      <c r="J20" s="26">
        <f t="shared" si="4"/>
        <v>0.36666666666666664</v>
      </c>
    </row>
    <row r="21" spans="1:13" s="6" customFormat="1" ht="18" customHeight="1">
      <c r="A21" s="31">
        <v>42387</v>
      </c>
      <c r="B21" s="23">
        <v>0.33333333333333331</v>
      </c>
      <c r="C21" s="23">
        <v>0.51041666666666663</v>
      </c>
      <c r="D21" s="23">
        <v>0.5625</v>
      </c>
      <c r="E21" s="23">
        <v>0.75208333333333333</v>
      </c>
      <c r="F21" s="29">
        <f t="shared" si="2"/>
        <v>0.36666666666666664</v>
      </c>
      <c r="G21" s="29">
        <f t="shared" si="0"/>
        <v>0</v>
      </c>
      <c r="H21" s="29">
        <f t="shared" si="3"/>
        <v>5.5511151231257827E-17</v>
      </c>
      <c r="I21" s="25">
        <f t="shared" si="1"/>
        <v>0</v>
      </c>
      <c r="J21" s="26">
        <f t="shared" si="4"/>
        <v>0</v>
      </c>
    </row>
    <row r="22" spans="1:13" s="6" customFormat="1" ht="18" customHeight="1">
      <c r="A22" s="31">
        <v>42388</v>
      </c>
      <c r="B22" s="23">
        <v>0.33333333333333331</v>
      </c>
      <c r="C22" s="23">
        <v>0.51041666666666663</v>
      </c>
      <c r="D22" s="23">
        <v>0.5625</v>
      </c>
      <c r="E22" s="23">
        <v>0.75208333333333333</v>
      </c>
      <c r="F22" s="29">
        <f t="shared" si="2"/>
        <v>0.36666666666666664</v>
      </c>
      <c r="G22" s="29">
        <f t="shared" si="0"/>
        <v>0</v>
      </c>
      <c r="H22" s="29">
        <f t="shared" si="3"/>
        <v>5.5511151231257827E-17</v>
      </c>
      <c r="I22" s="25">
        <f t="shared" si="1"/>
        <v>0</v>
      </c>
      <c r="J22" s="26">
        <f t="shared" si="4"/>
        <v>0</v>
      </c>
    </row>
    <row r="23" spans="1:13" s="6" customFormat="1" ht="18" customHeight="1">
      <c r="A23" s="31">
        <v>42389</v>
      </c>
      <c r="B23" s="23">
        <v>0.33333333333333331</v>
      </c>
      <c r="C23" s="23">
        <v>0.51041666666666663</v>
      </c>
      <c r="D23" s="23">
        <v>0.5625</v>
      </c>
      <c r="E23" s="23">
        <v>0.75208333333333333</v>
      </c>
      <c r="F23" s="29">
        <f t="shared" si="2"/>
        <v>0.36666666666666664</v>
      </c>
      <c r="G23" s="29">
        <f t="shared" si="0"/>
        <v>0</v>
      </c>
      <c r="H23" s="29">
        <f t="shared" si="3"/>
        <v>5.5511151231257827E-17</v>
      </c>
      <c r="I23" s="25">
        <f t="shared" si="1"/>
        <v>0</v>
      </c>
      <c r="J23" s="26">
        <f t="shared" si="4"/>
        <v>0</v>
      </c>
    </row>
    <row r="24" spans="1:13" s="6" customFormat="1" ht="18" customHeight="1">
      <c r="A24" s="31">
        <v>42390</v>
      </c>
      <c r="B24" s="23">
        <v>0.33333333333333331</v>
      </c>
      <c r="C24" s="23">
        <v>0.51041666666666663</v>
      </c>
      <c r="D24" s="23">
        <v>0.5625</v>
      </c>
      <c r="E24" s="23">
        <v>0.75208333333333333</v>
      </c>
      <c r="F24" s="29">
        <f t="shared" si="2"/>
        <v>0.36666666666666664</v>
      </c>
      <c r="G24" s="29">
        <f t="shared" si="0"/>
        <v>0</v>
      </c>
      <c r="H24" s="29">
        <f t="shared" si="3"/>
        <v>5.5511151231257827E-17</v>
      </c>
      <c r="I24" s="25">
        <f t="shared" si="1"/>
        <v>0</v>
      </c>
      <c r="J24" s="26">
        <f t="shared" si="4"/>
        <v>0</v>
      </c>
    </row>
    <row r="25" spans="1:13" s="6" customFormat="1" ht="18" customHeight="1">
      <c r="A25" s="31">
        <v>42391</v>
      </c>
      <c r="B25" s="23">
        <v>0.33333333333333331</v>
      </c>
      <c r="C25" s="23">
        <v>0.51041666666666663</v>
      </c>
      <c r="D25" s="23">
        <v>0.5625</v>
      </c>
      <c r="E25" s="23">
        <v>0.75208333333333333</v>
      </c>
      <c r="F25" s="29">
        <f t="shared" si="2"/>
        <v>0.36666666666666664</v>
      </c>
      <c r="G25" s="29">
        <f t="shared" si="0"/>
        <v>0</v>
      </c>
      <c r="H25" s="29">
        <f t="shared" si="3"/>
        <v>5.5511151231257827E-17</v>
      </c>
      <c r="I25" s="25">
        <f t="shared" si="1"/>
        <v>0</v>
      </c>
      <c r="J25" s="26">
        <f t="shared" si="4"/>
        <v>0</v>
      </c>
    </row>
    <row r="26" spans="1:13" s="6" customFormat="1" ht="18" customHeight="1">
      <c r="A26" s="31">
        <v>42392</v>
      </c>
      <c r="B26" s="23">
        <v>0.33333333333333331</v>
      </c>
      <c r="C26" s="23">
        <v>0.51041666666666663</v>
      </c>
      <c r="D26" s="23">
        <v>0.5625</v>
      </c>
      <c r="E26" s="23">
        <v>0.75208333333333333</v>
      </c>
      <c r="F26" s="29">
        <f t="shared" si="2"/>
        <v>0.36666666666666664</v>
      </c>
      <c r="G26" s="29">
        <f t="shared" si="0"/>
        <v>0</v>
      </c>
      <c r="H26" s="29">
        <f t="shared" si="3"/>
        <v>0</v>
      </c>
      <c r="I26" s="25">
        <f t="shared" si="1"/>
        <v>0.36666666666666664</v>
      </c>
      <c r="J26" s="26">
        <f t="shared" si="4"/>
        <v>0</v>
      </c>
    </row>
    <row r="27" spans="1:13" s="6" customFormat="1" ht="18" customHeight="1">
      <c r="A27" s="31">
        <v>42393</v>
      </c>
      <c r="B27" s="23">
        <v>0.33333333333333331</v>
      </c>
      <c r="C27" s="23">
        <v>0.51041666666666663</v>
      </c>
      <c r="D27" s="23">
        <v>0.5625</v>
      </c>
      <c r="E27" s="23">
        <v>0.75208333333333333</v>
      </c>
      <c r="F27" s="29">
        <f t="shared" si="2"/>
        <v>0.36666666666666664</v>
      </c>
      <c r="G27" s="29">
        <f t="shared" si="0"/>
        <v>0</v>
      </c>
      <c r="H27" s="29">
        <f t="shared" si="3"/>
        <v>0</v>
      </c>
      <c r="I27" s="25">
        <f t="shared" si="1"/>
        <v>0</v>
      </c>
      <c r="J27" s="26">
        <f t="shared" si="4"/>
        <v>0.36666666666666664</v>
      </c>
    </row>
    <row r="28" spans="1:13" s="6" customFormat="1" ht="18" customHeight="1">
      <c r="A28" s="31">
        <v>42394</v>
      </c>
      <c r="B28" s="23">
        <v>0.33333333333333331</v>
      </c>
      <c r="C28" s="23">
        <v>0.51041666666666663</v>
      </c>
      <c r="D28" s="23">
        <v>0.5625</v>
      </c>
      <c r="E28" s="23">
        <v>0.75208333333333333</v>
      </c>
      <c r="F28" s="29">
        <f t="shared" si="2"/>
        <v>0.36666666666666664</v>
      </c>
      <c r="G28" s="29">
        <f t="shared" si="0"/>
        <v>0</v>
      </c>
      <c r="H28" s="29">
        <f t="shared" si="3"/>
        <v>5.5511151231257827E-17</v>
      </c>
      <c r="I28" s="25">
        <f t="shared" si="1"/>
        <v>0</v>
      </c>
      <c r="J28" s="26">
        <f t="shared" si="4"/>
        <v>0</v>
      </c>
    </row>
    <row r="29" spans="1:13" s="6" customFormat="1" ht="18" customHeight="1">
      <c r="A29" s="31">
        <v>42395</v>
      </c>
      <c r="B29" s="23">
        <v>0.33333333333333331</v>
      </c>
      <c r="C29" s="23">
        <v>0.51041666666666663</v>
      </c>
      <c r="D29" s="23">
        <v>0.5625</v>
      </c>
      <c r="E29" s="23">
        <v>0.75208333333333333</v>
      </c>
      <c r="F29" s="29">
        <f t="shared" si="2"/>
        <v>0.36666666666666664</v>
      </c>
      <c r="G29" s="29">
        <f t="shared" si="0"/>
        <v>0</v>
      </c>
      <c r="H29" s="29">
        <f t="shared" si="3"/>
        <v>5.5511151231257827E-17</v>
      </c>
      <c r="I29" s="25">
        <f t="shared" si="1"/>
        <v>0</v>
      </c>
      <c r="J29" s="26">
        <f t="shared" si="4"/>
        <v>0</v>
      </c>
    </row>
    <row r="30" spans="1:13" s="6" customFormat="1" ht="18" customHeight="1">
      <c r="A30" s="31">
        <v>42396</v>
      </c>
      <c r="B30" s="23">
        <v>0.33333333333333331</v>
      </c>
      <c r="C30" s="23">
        <v>0.51041666666666663</v>
      </c>
      <c r="D30" s="23">
        <v>0.5625</v>
      </c>
      <c r="E30" s="23">
        <v>0.75208333333333333</v>
      </c>
      <c r="F30" s="29">
        <f t="shared" si="2"/>
        <v>0.36666666666666664</v>
      </c>
      <c r="G30" s="29">
        <f t="shared" si="0"/>
        <v>0</v>
      </c>
      <c r="H30" s="29">
        <f t="shared" si="3"/>
        <v>5.5511151231257827E-17</v>
      </c>
      <c r="I30" s="25">
        <f t="shared" si="1"/>
        <v>0</v>
      </c>
      <c r="J30" s="26">
        <f t="shared" si="4"/>
        <v>0</v>
      </c>
    </row>
    <row r="31" spans="1:13" s="6" customFormat="1" ht="18" customHeight="1">
      <c r="A31" s="31">
        <v>42397</v>
      </c>
      <c r="B31" s="23">
        <v>0.33333333333333331</v>
      </c>
      <c r="C31" s="23">
        <v>0.51041666666666663</v>
      </c>
      <c r="D31" s="23">
        <v>0.5625</v>
      </c>
      <c r="E31" s="23">
        <v>0.75208333333333333</v>
      </c>
      <c r="F31" s="29">
        <f t="shared" si="2"/>
        <v>0.36666666666666664</v>
      </c>
      <c r="G31" s="29">
        <f t="shared" si="0"/>
        <v>0</v>
      </c>
      <c r="H31" s="29">
        <f t="shared" si="3"/>
        <v>5.5511151231257827E-17</v>
      </c>
      <c r="I31" s="25">
        <f t="shared" si="1"/>
        <v>0</v>
      </c>
      <c r="J31" s="26">
        <f t="shared" si="4"/>
        <v>0</v>
      </c>
    </row>
    <row r="32" spans="1:13" s="6" customFormat="1" ht="18" customHeight="1">
      <c r="A32" s="31">
        <v>42398</v>
      </c>
      <c r="B32" s="23">
        <v>0.33333333333333331</v>
      </c>
      <c r="C32" s="23">
        <v>0.51041666666666663</v>
      </c>
      <c r="D32" s="23">
        <v>0.5625</v>
      </c>
      <c r="E32" s="23">
        <v>0.75208333333333333</v>
      </c>
      <c r="F32" s="29">
        <f t="shared" si="2"/>
        <v>0.36666666666666664</v>
      </c>
      <c r="G32" s="29">
        <f t="shared" si="0"/>
        <v>0</v>
      </c>
      <c r="H32" s="29">
        <f t="shared" si="3"/>
        <v>5.5511151231257827E-17</v>
      </c>
      <c r="I32" s="25">
        <f t="shared" si="1"/>
        <v>0</v>
      </c>
      <c r="J32" s="26">
        <f t="shared" si="4"/>
        <v>0</v>
      </c>
    </row>
    <row r="33" spans="1:10" s="6" customFormat="1" ht="18" customHeight="1">
      <c r="A33" s="32">
        <v>42399</v>
      </c>
      <c r="B33" s="24">
        <v>0.33333333333333331</v>
      </c>
      <c r="C33" s="24">
        <v>0.51041666666666663</v>
      </c>
      <c r="D33" s="24">
        <v>0.5625</v>
      </c>
      <c r="E33" s="24">
        <v>0.75208333333333333</v>
      </c>
      <c r="F33" s="30">
        <f t="shared" si="2"/>
        <v>0.36666666666666664</v>
      </c>
      <c r="G33" s="30">
        <f t="shared" si="0"/>
        <v>0</v>
      </c>
      <c r="H33" s="30">
        <f t="shared" si="3"/>
        <v>0</v>
      </c>
      <c r="I33" s="27">
        <f t="shared" si="1"/>
        <v>0.36666666666666664</v>
      </c>
      <c r="J33" s="28">
        <f t="shared" si="4"/>
        <v>0</v>
      </c>
    </row>
    <row r="34" spans="1:10">
      <c r="A34" s="32">
        <v>42400</v>
      </c>
      <c r="B34" s="24">
        <v>0.33333333333333331</v>
      </c>
      <c r="C34" s="24">
        <v>0.51041666666666663</v>
      </c>
      <c r="D34" s="24">
        <v>0.5625</v>
      </c>
      <c r="E34" s="24">
        <v>0.75208333333333333</v>
      </c>
      <c r="F34" s="29">
        <f>(C34-B34)+IF(E34&lt;D34,((1+E34)-D34),E34-D34)</f>
        <v>0.36666666666666664</v>
      </c>
      <c r="G34" s="29">
        <f>IF(AND(WEEKDAY(A34)&gt;1,WEEKDAY(A34)&lt;7),IF((F34-$L$6)&lt;0,0,(F34-$L$6)),0)</f>
        <v>0</v>
      </c>
      <c r="H34" s="29">
        <f>IF(OR(WEEKDAY(A34)=1,WEEKDAY(A34)=7),0,IF(OR(($L$6-F34)&lt;=0,F34=0),0,($L$6-F34)))</f>
        <v>0</v>
      </c>
      <c r="I34" s="25">
        <f>IF(WEEKDAY(A34)=7,F34,0)</f>
        <v>0</v>
      </c>
      <c r="J34" s="26">
        <f>IF(WEEKDAY(A34)=1,F34,0)</f>
        <v>0.36666666666666664</v>
      </c>
    </row>
    <row r="41" spans="1:10">
      <c r="H41" s="4"/>
      <c r="I41" s="3"/>
    </row>
    <row r="42" spans="1:10">
      <c r="H42" s="4"/>
    </row>
    <row r="48" spans="1:10" s="69" customFormat="1" ht="30" customHeight="1"/>
  </sheetData>
  <sheetProtection selectLockedCells="1"/>
  <mergeCells count="2">
    <mergeCell ref="A1:XFD1"/>
    <mergeCell ref="A2:J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K48"/>
  <sheetViews>
    <sheetView workbookViewId="0">
      <pane ySplit="3" topLeftCell="A4" activePane="bottomLeft" state="frozen"/>
      <selection pane="bottomLeft" sqref="A1:XFD1"/>
    </sheetView>
  </sheetViews>
  <sheetFormatPr defaultRowHeight="15"/>
  <cols>
    <col min="1" max="1" width="10" style="1" customWidth="1"/>
    <col min="2" max="7" width="26.85546875" style="2" customWidth="1"/>
    <col min="8" max="8" width="26.85546875" customWidth="1"/>
    <col min="9" max="10" width="26.85546875" style="2" customWidth="1"/>
    <col min="11" max="11" width="3.7109375" customWidth="1"/>
  </cols>
  <sheetData>
    <row r="1" spans="1:11" s="79" customFormat="1" ht="43.5" customHeight="1" thickBot="1">
      <c r="A1" s="79" t="s">
        <v>46</v>
      </c>
    </row>
    <row r="2" spans="1:11" ht="21.75" customHeight="1" thickTop="1">
      <c r="A2" s="80" t="s">
        <v>46</v>
      </c>
      <c r="B2" s="80"/>
      <c r="C2" s="80"/>
      <c r="D2" s="80"/>
      <c r="E2" s="80"/>
      <c r="F2" s="80"/>
      <c r="G2" s="80"/>
      <c r="H2" s="80"/>
      <c r="I2" s="80"/>
      <c r="J2" s="80"/>
    </row>
    <row r="3" spans="1:11">
      <c r="A3" s="9" t="s">
        <v>0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5"/>
    </row>
    <row r="4" spans="1:11" ht="19.5" customHeight="1">
      <c r="A4" s="40">
        <v>42370</v>
      </c>
      <c r="B4" s="36"/>
      <c r="C4" s="36"/>
      <c r="D4" s="36"/>
      <c r="E4" s="36"/>
      <c r="F4" s="29"/>
      <c r="G4" s="29"/>
      <c r="H4" s="29"/>
      <c r="I4" s="29"/>
      <c r="J4" s="37"/>
      <c r="K4" s="6"/>
    </row>
    <row r="5" spans="1:11" ht="19.5" customHeight="1">
      <c r="A5" s="40">
        <v>42371</v>
      </c>
      <c r="B5" s="36"/>
      <c r="C5" s="36"/>
      <c r="D5" s="36"/>
      <c r="E5" s="36"/>
      <c r="F5" s="29"/>
      <c r="G5" s="29"/>
      <c r="H5" s="29"/>
      <c r="I5" s="29"/>
      <c r="J5" s="37"/>
      <c r="K5" s="6"/>
    </row>
    <row r="6" spans="1:11" ht="19.5" customHeight="1">
      <c r="A6" s="40">
        <v>42372</v>
      </c>
      <c r="B6" s="36"/>
      <c r="C6" s="36"/>
      <c r="D6" s="36"/>
      <c r="E6" s="36"/>
      <c r="F6" s="29"/>
      <c r="G6" s="29"/>
      <c r="H6" s="29"/>
      <c r="I6" s="29"/>
      <c r="J6" s="37"/>
      <c r="K6" s="6"/>
    </row>
    <row r="7" spans="1:11" ht="19.5" customHeight="1">
      <c r="A7" s="40">
        <v>42373</v>
      </c>
      <c r="B7" s="36"/>
      <c r="C7" s="36"/>
      <c r="D7" s="36"/>
      <c r="E7" s="36"/>
      <c r="F7" s="29"/>
      <c r="G7" s="29"/>
      <c r="H7" s="29"/>
      <c r="I7" s="29"/>
      <c r="J7" s="37"/>
      <c r="K7" s="6"/>
    </row>
    <row r="8" spans="1:11" ht="19.5" customHeight="1">
      <c r="A8" s="40">
        <v>42374</v>
      </c>
      <c r="B8" s="36"/>
      <c r="C8" s="36"/>
      <c r="D8" s="36"/>
      <c r="E8" s="36"/>
      <c r="F8" s="29"/>
      <c r="G8" s="29"/>
      <c r="H8" s="29"/>
      <c r="I8" s="29"/>
      <c r="J8" s="37"/>
      <c r="K8" s="6"/>
    </row>
    <row r="9" spans="1:11" ht="19.5" customHeight="1">
      <c r="A9" s="40">
        <v>42375</v>
      </c>
      <c r="B9" s="36"/>
      <c r="C9" s="36"/>
      <c r="D9" s="36"/>
      <c r="E9" s="36"/>
      <c r="F9" s="29"/>
      <c r="G9" s="29"/>
      <c r="H9" s="29"/>
      <c r="I9" s="29"/>
      <c r="J9" s="37"/>
      <c r="K9" s="6"/>
    </row>
    <row r="10" spans="1:11" ht="19.5" customHeight="1">
      <c r="A10" s="40">
        <v>42376</v>
      </c>
      <c r="B10" s="36"/>
      <c r="C10" s="36"/>
      <c r="D10" s="36"/>
      <c r="E10" s="36"/>
      <c r="F10" s="29"/>
      <c r="G10" s="29"/>
      <c r="H10" s="29"/>
      <c r="I10" s="29"/>
      <c r="J10" s="37"/>
      <c r="K10" s="6"/>
    </row>
    <row r="11" spans="1:11" ht="19.5" customHeight="1">
      <c r="A11" s="40">
        <v>42377</v>
      </c>
      <c r="B11" s="36"/>
      <c r="C11" s="36"/>
      <c r="D11" s="36"/>
      <c r="E11" s="36"/>
      <c r="F11" s="29"/>
      <c r="G11" s="29"/>
      <c r="H11" s="29"/>
      <c r="I11" s="29"/>
      <c r="J11" s="37"/>
      <c r="K11" s="6"/>
    </row>
    <row r="12" spans="1:11" ht="19.5" customHeight="1">
      <c r="A12" s="40">
        <v>42378</v>
      </c>
      <c r="B12" s="36"/>
      <c r="C12" s="36"/>
      <c r="D12" s="36"/>
      <c r="E12" s="36"/>
      <c r="F12" s="29"/>
      <c r="G12" s="29"/>
      <c r="H12" s="29"/>
      <c r="I12" s="29"/>
      <c r="J12" s="37"/>
      <c r="K12" s="6"/>
    </row>
    <row r="13" spans="1:11" ht="19.5" customHeight="1">
      <c r="A13" s="40">
        <v>42379</v>
      </c>
      <c r="B13" s="36"/>
      <c r="C13" s="36"/>
      <c r="D13" s="36"/>
      <c r="E13" s="36"/>
      <c r="F13" s="29"/>
      <c r="G13" s="29"/>
      <c r="H13" s="29"/>
      <c r="I13" s="29"/>
      <c r="J13" s="37"/>
      <c r="K13" s="6"/>
    </row>
    <row r="14" spans="1:11" ht="19.5" customHeight="1">
      <c r="A14" s="40">
        <v>42380</v>
      </c>
      <c r="B14" s="36"/>
      <c r="C14" s="36"/>
      <c r="D14" s="36"/>
      <c r="E14" s="36"/>
      <c r="F14" s="29"/>
      <c r="G14" s="29"/>
      <c r="H14" s="29"/>
      <c r="I14" s="29"/>
      <c r="J14" s="37"/>
      <c r="K14" s="6"/>
    </row>
    <row r="15" spans="1:11" ht="19.5" customHeight="1">
      <c r="A15" s="40">
        <v>42381</v>
      </c>
      <c r="B15" s="36"/>
      <c r="C15" s="36"/>
      <c r="D15" s="36"/>
      <c r="E15" s="36"/>
      <c r="F15" s="29"/>
      <c r="G15" s="29"/>
      <c r="H15" s="29"/>
      <c r="I15" s="29"/>
      <c r="J15" s="37"/>
      <c r="K15" s="6"/>
    </row>
    <row r="16" spans="1:11" ht="19.5" customHeight="1">
      <c r="A16" s="40">
        <v>42382</v>
      </c>
      <c r="B16" s="36"/>
      <c r="C16" s="36"/>
      <c r="D16" s="36"/>
      <c r="E16" s="36"/>
      <c r="F16" s="29"/>
      <c r="G16" s="29"/>
      <c r="H16" s="29"/>
      <c r="I16" s="29"/>
      <c r="J16" s="37"/>
      <c r="K16" s="6"/>
    </row>
    <row r="17" spans="1:11" ht="19.5" customHeight="1">
      <c r="A17" s="40">
        <v>42383</v>
      </c>
      <c r="B17" s="36"/>
      <c r="C17" s="36"/>
      <c r="D17" s="36"/>
      <c r="E17" s="36"/>
      <c r="F17" s="29"/>
      <c r="G17" s="29"/>
      <c r="H17" s="29"/>
      <c r="I17" s="29"/>
      <c r="J17" s="37"/>
      <c r="K17" s="6"/>
    </row>
    <row r="18" spans="1:11" ht="19.5" customHeight="1">
      <c r="A18" s="40">
        <v>42384</v>
      </c>
      <c r="B18" s="36"/>
      <c r="C18" s="36"/>
      <c r="D18" s="36"/>
      <c r="E18" s="36"/>
      <c r="F18" s="29"/>
      <c r="G18" s="29"/>
      <c r="H18" s="29"/>
      <c r="I18" s="29"/>
      <c r="J18" s="37"/>
      <c r="K18" s="6"/>
    </row>
    <row r="19" spans="1:11" ht="19.5" customHeight="1">
      <c r="A19" s="40">
        <v>42385</v>
      </c>
      <c r="B19" s="36"/>
      <c r="C19" s="36"/>
      <c r="D19" s="36"/>
      <c r="E19" s="36"/>
      <c r="F19" s="29"/>
      <c r="G19" s="29"/>
      <c r="H19" s="29"/>
      <c r="I19" s="29"/>
      <c r="J19" s="37"/>
      <c r="K19" s="6"/>
    </row>
    <row r="20" spans="1:11" ht="19.5" customHeight="1">
      <c r="A20" s="40">
        <v>42386</v>
      </c>
      <c r="B20" s="36"/>
      <c r="C20" s="36"/>
      <c r="D20" s="36"/>
      <c r="E20" s="36"/>
      <c r="F20" s="29"/>
      <c r="G20" s="29"/>
      <c r="H20" s="29"/>
      <c r="I20" s="29"/>
      <c r="J20" s="37"/>
      <c r="K20" s="6"/>
    </row>
    <row r="21" spans="1:11" ht="19.5" customHeight="1">
      <c r="A21" s="40">
        <v>42387</v>
      </c>
      <c r="B21" s="36"/>
      <c r="C21" s="36"/>
      <c r="D21" s="36"/>
      <c r="E21" s="36"/>
      <c r="F21" s="29"/>
      <c r="G21" s="29"/>
      <c r="H21" s="29"/>
      <c r="I21" s="29"/>
      <c r="J21" s="37"/>
      <c r="K21" s="6"/>
    </row>
    <row r="22" spans="1:11" ht="19.5" customHeight="1">
      <c r="A22" s="40">
        <v>42388</v>
      </c>
      <c r="B22" s="36"/>
      <c r="C22" s="36"/>
      <c r="D22" s="36"/>
      <c r="E22" s="36"/>
      <c r="F22" s="29"/>
      <c r="G22" s="29"/>
      <c r="H22" s="29"/>
      <c r="I22" s="29"/>
      <c r="J22" s="37"/>
      <c r="K22" s="6"/>
    </row>
    <row r="23" spans="1:11" ht="19.5" customHeight="1">
      <c r="A23" s="40">
        <v>42389</v>
      </c>
      <c r="B23" s="36"/>
      <c r="C23" s="36"/>
      <c r="D23" s="36"/>
      <c r="E23" s="36"/>
      <c r="F23" s="29"/>
      <c r="G23" s="29"/>
      <c r="H23" s="29"/>
      <c r="I23" s="29"/>
      <c r="J23" s="37"/>
      <c r="K23" s="6"/>
    </row>
    <row r="24" spans="1:11" ht="19.5" customHeight="1">
      <c r="A24" s="40">
        <v>42390</v>
      </c>
      <c r="B24" s="36"/>
      <c r="C24" s="36"/>
      <c r="D24" s="36"/>
      <c r="E24" s="36"/>
      <c r="F24" s="29"/>
      <c r="G24" s="29"/>
      <c r="H24" s="29"/>
      <c r="I24" s="29"/>
      <c r="J24" s="37"/>
      <c r="K24" s="6"/>
    </row>
    <row r="25" spans="1:11" ht="19.5" customHeight="1">
      <c r="A25" s="40">
        <v>42391</v>
      </c>
      <c r="B25" s="36"/>
      <c r="C25" s="36"/>
      <c r="D25" s="36"/>
      <c r="E25" s="36"/>
      <c r="F25" s="29"/>
      <c r="G25" s="29"/>
      <c r="H25" s="29"/>
      <c r="I25" s="29"/>
      <c r="J25" s="37"/>
      <c r="K25" s="6"/>
    </row>
    <row r="26" spans="1:11" ht="19.5" customHeight="1">
      <c r="A26" s="40">
        <v>42392</v>
      </c>
      <c r="B26" s="36"/>
      <c r="C26" s="36"/>
      <c r="D26" s="36"/>
      <c r="E26" s="36"/>
      <c r="F26" s="29"/>
      <c r="G26" s="29"/>
      <c r="H26" s="29"/>
      <c r="I26" s="29"/>
      <c r="J26" s="37"/>
      <c r="K26" s="6"/>
    </row>
    <row r="27" spans="1:11" ht="19.5" customHeight="1">
      <c r="A27" s="40">
        <v>42393</v>
      </c>
      <c r="B27" s="36"/>
      <c r="C27" s="36"/>
      <c r="D27" s="36"/>
      <c r="E27" s="36"/>
      <c r="F27" s="29"/>
      <c r="G27" s="29"/>
      <c r="H27" s="29"/>
      <c r="I27" s="29"/>
      <c r="J27" s="37"/>
      <c r="K27" s="6"/>
    </row>
    <row r="28" spans="1:11" ht="19.5" customHeight="1">
      <c r="A28" s="40">
        <v>42394</v>
      </c>
      <c r="B28" s="36"/>
      <c r="C28" s="36"/>
      <c r="D28" s="36"/>
      <c r="E28" s="36"/>
      <c r="F28" s="29"/>
      <c r="G28" s="29"/>
      <c r="H28" s="29"/>
      <c r="I28" s="29"/>
      <c r="J28" s="37"/>
      <c r="K28" s="6"/>
    </row>
    <row r="29" spans="1:11" ht="19.5" customHeight="1">
      <c r="A29" s="40">
        <v>42395</v>
      </c>
      <c r="B29" s="36"/>
      <c r="C29" s="36"/>
      <c r="D29" s="36"/>
      <c r="E29" s="36"/>
      <c r="F29" s="29"/>
      <c r="G29" s="29"/>
      <c r="H29" s="29"/>
      <c r="I29" s="29"/>
      <c r="J29" s="37"/>
      <c r="K29" s="6"/>
    </row>
    <row r="30" spans="1:11" ht="19.5" customHeight="1">
      <c r="A30" s="40">
        <v>42396</v>
      </c>
      <c r="B30" s="36"/>
      <c r="C30" s="36"/>
      <c r="D30" s="36"/>
      <c r="E30" s="36"/>
      <c r="F30" s="29"/>
      <c r="G30" s="29"/>
      <c r="H30" s="29"/>
      <c r="I30" s="29"/>
      <c r="J30" s="37"/>
      <c r="K30" s="6"/>
    </row>
    <row r="31" spans="1:11" ht="19.5" customHeight="1">
      <c r="A31" s="40">
        <v>42397</v>
      </c>
      <c r="B31" s="36"/>
      <c r="C31" s="36"/>
      <c r="D31" s="36"/>
      <c r="E31" s="36"/>
      <c r="F31" s="29"/>
      <c r="G31" s="29"/>
      <c r="H31" s="29"/>
      <c r="I31" s="29"/>
      <c r="J31" s="37"/>
      <c r="K31" s="6"/>
    </row>
    <row r="32" spans="1:11" ht="19.5" customHeight="1">
      <c r="A32" s="40">
        <v>42398</v>
      </c>
      <c r="B32" s="36"/>
      <c r="C32" s="36"/>
      <c r="D32" s="36"/>
      <c r="E32" s="36"/>
      <c r="F32" s="29"/>
      <c r="G32" s="29"/>
      <c r="H32" s="29"/>
      <c r="I32" s="29"/>
      <c r="J32" s="37"/>
      <c r="K32" s="6"/>
    </row>
    <row r="33" spans="1:11" ht="19.5" customHeight="1">
      <c r="A33" s="41">
        <v>42399</v>
      </c>
      <c r="B33" s="38"/>
      <c r="C33" s="38"/>
      <c r="D33" s="38"/>
      <c r="E33" s="38"/>
      <c r="F33" s="30"/>
      <c r="G33" s="30"/>
      <c r="H33" s="30"/>
      <c r="I33" s="30"/>
      <c r="J33" s="39"/>
      <c r="K33" s="6"/>
    </row>
    <row r="34" spans="1:11" ht="19.5" customHeight="1">
      <c r="A34" s="41">
        <v>42400</v>
      </c>
      <c r="B34" s="38"/>
      <c r="C34" s="38"/>
      <c r="D34" s="38"/>
      <c r="E34" s="38"/>
      <c r="F34" s="29"/>
      <c r="G34" s="29"/>
      <c r="H34" s="29"/>
      <c r="I34" s="29"/>
      <c r="J34" s="37"/>
    </row>
    <row r="41" spans="1:11">
      <c r="H41" s="4"/>
      <c r="I41" s="3"/>
    </row>
    <row r="42" spans="1:11">
      <c r="H42" s="4"/>
    </row>
    <row r="48" spans="1:1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</row>
  </sheetData>
  <mergeCells count="2">
    <mergeCell ref="A1:XFD1"/>
    <mergeCell ref="A2:J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Informações do Funcionário</vt:lpstr>
      <vt:lpstr>Cálculo de Horas</vt:lpstr>
      <vt:lpstr>TAREFAS DIARIAS</vt:lpstr>
      <vt:lpstr>'Cálculo de Horas'!Area_de_impressao</vt:lpstr>
      <vt:lpstr>Area_de_Impressao01</vt:lpstr>
      <vt:lpstr>Area_de_Impressao02</vt:lpstr>
      <vt:lpstr>Area_de_Impressao03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Eliziane Cardoso Gonçalves</cp:lastModifiedBy>
  <cp:lastPrinted>2017-08-07T16:13:27Z</cp:lastPrinted>
  <dcterms:created xsi:type="dcterms:W3CDTF">2010-11-04T21:28:36Z</dcterms:created>
  <dcterms:modified xsi:type="dcterms:W3CDTF">2017-08-20T18:38:14Z</dcterms:modified>
</cp:coreProperties>
</file>