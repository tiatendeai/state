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240" yWindow="600" windowWidth="20115" windowHeight="7020"/>
  </bookViews>
  <sheets>
    <sheet name="Menu principal" sheetId="1" r:id="rId1"/>
    <sheet name="DCTF" sheetId="2" r:id="rId2"/>
    <sheet name="EFD CONT" sheetId="4" state="hidden" r:id="rId3"/>
    <sheet name="DIRF" sheetId="5" r:id="rId4"/>
    <sheet name="DIMOB" sheetId="6" state="hidden" r:id="rId5"/>
    <sheet name="DEFIS" sheetId="7" r:id="rId6"/>
    <sheet name="DMED" sheetId="8" state="hidden" r:id="rId7"/>
    <sheet name="DSPJ" sheetId="10" state="hidden" r:id="rId8"/>
    <sheet name="ECD" sheetId="11" r:id="rId9"/>
    <sheet name="ECF" sheetId="12" r:id="rId10"/>
    <sheet name="EFD ICMS_IPI" sheetId="13" state="hidden" r:id="rId11"/>
    <sheet name="GIA ST" sheetId="14" state="hidden" r:id="rId12"/>
    <sheet name="REDF" sheetId="15" state="hidden" r:id="rId13"/>
    <sheet name="GIA" sheetId="16" state="hidden" r:id="rId14"/>
    <sheet name="STDA" sheetId="17" state="hidden" r:id="rId15"/>
    <sheet name="GISS" sheetId="18" state="hidden" r:id="rId16"/>
    <sheet name="DEISS" sheetId="19" state="hidden" r:id="rId17"/>
    <sheet name="ISS SP" sheetId="20" state="hidden" r:id="rId18"/>
    <sheet name="ISS BARUERI" sheetId="21" state="hidden" r:id="rId19"/>
    <sheet name="ALVARÁ" sheetId="22" state="hidden" r:id="rId20"/>
    <sheet name="CERTIFICADO" sheetId="23" state="hidden" r:id="rId21"/>
    <sheet name="CND FED" sheetId="24" state="hidden" r:id="rId22"/>
    <sheet name="CND EST" sheetId="25" state="hidden" r:id="rId23"/>
    <sheet name="CND MUN" sheetId="26" state="hidden" r:id="rId24"/>
    <sheet name="Plan1" sheetId="27" r:id="rId25"/>
  </sheets>
  <definedNames>
    <definedName name="_xlnm._FilterDatabase" localSheetId="8" hidden="1">ECD!$A$1:$J$1</definedName>
    <definedName name="_xlnm.Print_Area" localSheetId="5">Tabela5[#All]</definedName>
  </definedNames>
  <calcPr calcId="145621"/>
</workbook>
</file>

<file path=xl/calcChain.xml><?xml version="1.0" encoding="utf-8"?>
<calcChain xmlns="http://schemas.openxmlformats.org/spreadsheetml/2006/main">
  <c r="F9" i="11" l="1"/>
  <c r="H9" i="11"/>
  <c r="J9" i="11" s="1"/>
  <c r="J3" i="2"/>
  <c r="H3" i="2"/>
  <c r="H18" i="11"/>
  <c r="J18" i="11" s="1"/>
  <c r="H22" i="11"/>
  <c r="J22" i="11" s="1"/>
  <c r="H26" i="11"/>
  <c r="J26" i="11" s="1"/>
  <c r="H30" i="11"/>
  <c r="J30" i="11" s="1"/>
  <c r="H34" i="11"/>
  <c r="J34" i="11" s="1"/>
  <c r="H2" i="5"/>
  <c r="F5" i="11"/>
  <c r="H5" i="11" s="1"/>
  <c r="J5" i="11" s="1"/>
  <c r="I5" i="11"/>
  <c r="I15" i="2"/>
  <c r="I9" i="2"/>
  <c r="I32" i="2"/>
  <c r="I3" i="11"/>
  <c r="I33" i="2"/>
  <c r="I3" i="2"/>
  <c r="I2" i="11"/>
  <c r="I2" i="2"/>
  <c r="F17" i="11"/>
  <c r="H17" i="11" s="1"/>
  <c r="J17" i="11" s="1"/>
  <c r="F18" i="11"/>
  <c r="F19" i="11"/>
  <c r="H19" i="11" s="1"/>
  <c r="J19" i="11" s="1"/>
  <c r="F20" i="11"/>
  <c r="H20" i="11" s="1"/>
  <c r="J20" i="11" s="1"/>
  <c r="F21" i="11"/>
  <c r="H21" i="11" s="1"/>
  <c r="J21" i="11" s="1"/>
  <c r="F22" i="11"/>
  <c r="F23" i="11"/>
  <c r="H23" i="11" s="1"/>
  <c r="J23" i="11" s="1"/>
  <c r="F24" i="11"/>
  <c r="H24" i="11" s="1"/>
  <c r="J24" i="11" s="1"/>
  <c r="F25" i="11"/>
  <c r="H25" i="11" s="1"/>
  <c r="J25" i="11" s="1"/>
  <c r="F26" i="11"/>
  <c r="F27" i="11"/>
  <c r="H27" i="11" s="1"/>
  <c r="J27" i="11" s="1"/>
  <c r="F28" i="11"/>
  <c r="H28" i="11" s="1"/>
  <c r="J28" i="11" s="1"/>
  <c r="F29" i="11"/>
  <c r="H29" i="11" s="1"/>
  <c r="J29" i="11" s="1"/>
  <c r="F30" i="11"/>
  <c r="F31" i="11"/>
  <c r="H31" i="11" s="1"/>
  <c r="J31" i="11" s="1"/>
  <c r="F32" i="11"/>
  <c r="H32" i="11" s="1"/>
  <c r="J32" i="11" s="1"/>
  <c r="F33" i="11"/>
  <c r="H33" i="11" s="1"/>
  <c r="J33" i="11" s="1"/>
  <c r="F34" i="11"/>
  <c r="F35" i="11"/>
  <c r="H35" i="11" s="1"/>
  <c r="J35" i="11" s="1"/>
  <c r="F36" i="11"/>
  <c r="H36" i="11" s="1"/>
  <c r="J36" i="11" s="1"/>
  <c r="F4" i="11"/>
  <c r="H4" i="11" s="1"/>
  <c r="J4" i="11" s="1"/>
  <c r="F6" i="11"/>
  <c r="H6" i="11" s="1"/>
  <c r="J6" i="11" s="1"/>
  <c r="F7" i="11"/>
  <c r="H7" i="11" s="1"/>
  <c r="J7" i="11" s="1"/>
  <c r="F8" i="11"/>
  <c r="H8" i="11" s="1"/>
  <c r="J8" i="11" s="1"/>
  <c r="F10" i="11"/>
  <c r="H10" i="11" s="1"/>
  <c r="J10" i="11" s="1"/>
  <c r="F11" i="11"/>
  <c r="H11" i="11" s="1"/>
  <c r="J11" i="11" s="1"/>
  <c r="F12" i="11"/>
  <c r="H12" i="11" s="1"/>
  <c r="J12" i="11" s="1"/>
  <c r="F13" i="11"/>
  <c r="H13" i="11" s="1"/>
  <c r="J13" i="11" s="1"/>
  <c r="F14" i="11"/>
  <c r="H14" i="11" s="1"/>
  <c r="J14" i="11" s="1"/>
  <c r="F15" i="11"/>
  <c r="H15" i="11" s="1"/>
  <c r="J15" i="11" s="1"/>
  <c r="F16" i="11"/>
  <c r="H16" i="11" s="1"/>
  <c r="J16" i="11" s="1"/>
  <c r="F3" i="11"/>
  <c r="H3" i="11" s="1"/>
  <c r="J3" i="11" s="1"/>
  <c r="F2" i="11"/>
  <c r="H2" i="11" s="1"/>
  <c r="J2" i="11" s="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4" i="11"/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H36" i="2" l="1"/>
  <c r="J36" i="2" s="1"/>
  <c r="I36" i="2"/>
  <c r="H35" i="2"/>
  <c r="J35" i="2" s="1"/>
  <c r="I35" i="2"/>
  <c r="H34" i="2" l="1"/>
  <c r="J34" i="2" s="1"/>
  <c r="I34" i="2"/>
  <c r="H15" i="2"/>
  <c r="H33" i="2"/>
  <c r="J33" i="2" s="1"/>
  <c r="H32" i="2"/>
  <c r="J32" i="2" s="1"/>
  <c r="H31" i="2"/>
  <c r="J31" i="2" s="1"/>
  <c r="I31" i="2"/>
  <c r="J15" i="2" l="1"/>
  <c r="J2" i="7" l="1"/>
  <c r="J46" i="7"/>
  <c r="J47" i="7"/>
  <c r="J48" i="7"/>
  <c r="J49" i="7"/>
  <c r="J50" i="7"/>
  <c r="J51" i="7"/>
  <c r="G3" i="5"/>
  <c r="G2" i="5"/>
  <c r="O21" i="1"/>
  <c r="J43" i="7"/>
  <c r="I51" i="7"/>
  <c r="K51" i="7" s="1"/>
  <c r="I50" i="7"/>
  <c r="K50" i="7" s="1"/>
  <c r="I49" i="7"/>
  <c r="K49" i="7" s="1"/>
  <c r="I48" i="7"/>
  <c r="K48" i="7" s="1"/>
  <c r="I47" i="7"/>
  <c r="K47" i="7" s="1"/>
  <c r="I46" i="7"/>
  <c r="K46" i="7" s="1"/>
  <c r="J32" i="7"/>
  <c r="J31" i="7"/>
  <c r="I30" i="7"/>
  <c r="K30" i="7" s="1"/>
  <c r="I29" i="7"/>
  <c r="K29" i="7" s="1"/>
  <c r="I28" i="7"/>
  <c r="K28" i="7" s="1"/>
  <c r="J27" i="7"/>
  <c r="I26" i="7"/>
  <c r="K26" i="7" s="1"/>
  <c r="I25" i="7"/>
  <c r="K25" i="7" s="1"/>
  <c r="I24" i="7"/>
  <c r="K24" i="7" s="1"/>
  <c r="I23" i="7"/>
  <c r="K23" i="7" s="1"/>
  <c r="I22" i="7"/>
  <c r="K22" i="7" s="1"/>
  <c r="I21" i="7"/>
  <c r="K21" i="7" s="1"/>
  <c r="I20" i="7"/>
  <c r="K20" i="7" s="1"/>
  <c r="I19" i="7"/>
  <c r="K19" i="7" s="1"/>
  <c r="I18" i="7"/>
  <c r="K18" i="7" s="1"/>
  <c r="I17" i="7"/>
  <c r="K17" i="7" s="1"/>
  <c r="I16" i="7"/>
  <c r="K16" i="7" s="1"/>
  <c r="I15" i="7"/>
  <c r="K15" i="7" s="1"/>
  <c r="I14" i="7"/>
  <c r="K14" i="7" s="1"/>
  <c r="I13" i="7"/>
  <c r="K13" i="7" s="1"/>
  <c r="I12" i="7"/>
  <c r="K12" i="7" s="1"/>
  <c r="I11" i="7"/>
  <c r="K11" i="7" s="1"/>
  <c r="I9" i="7"/>
  <c r="K9" i="7" s="1"/>
  <c r="I8" i="7"/>
  <c r="K8" i="7" s="1"/>
  <c r="I7" i="7"/>
  <c r="K7" i="7" s="1"/>
  <c r="I6" i="7"/>
  <c r="K6" i="7" s="1"/>
  <c r="I5" i="7"/>
  <c r="K5" i="7" s="1"/>
  <c r="J4" i="7"/>
  <c r="J3" i="7"/>
  <c r="H2" i="2"/>
  <c r="H22" i="2"/>
  <c r="J22" i="2" s="1"/>
  <c r="I22" i="2"/>
  <c r="H25" i="2"/>
  <c r="J25" i="2" s="1"/>
  <c r="I21" i="2"/>
  <c r="H30" i="2"/>
  <c r="J30" i="2" s="1"/>
  <c r="F29" i="2"/>
  <c r="I29" i="2" s="1"/>
  <c r="I28" i="2"/>
  <c r="H27" i="2"/>
  <c r="J27" i="2" s="1"/>
  <c r="H26" i="2"/>
  <c r="J26" i="2" s="1"/>
  <c r="I24" i="2"/>
  <c r="I23" i="2"/>
  <c r="H20" i="2"/>
  <c r="J20" i="2" s="1"/>
  <c r="F19" i="2"/>
  <c r="H19" i="2" s="1"/>
  <c r="J19" i="2" s="1"/>
  <c r="H18" i="2"/>
  <c r="J18" i="2" s="1"/>
  <c r="H17" i="2"/>
  <c r="J17" i="2" s="1"/>
  <c r="F16" i="2"/>
  <c r="F14" i="2"/>
  <c r="I14" i="2" s="1"/>
  <c r="I13" i="2"/>
  <c r="F12" i="2"/>
  <c r="I12" i="2" s="1"/>
  <c r="F11" i="2"/>
  <c r="I11" i="2" s="1"/>
  <c r="F10" i="2"/>
  <c r="H10" i="2" s="1"/>
  <c r="J10" i="2" s="1"/>
  <c r="F8" i="2"/>
  <c r="H8" i="2" s="1"/>
  <c r="J8" i="2" s="1"/>
  <c r="F7" i="2"/>
  <c r="H7" i="2" s="1"/>
  <c r="J7" i="2" s="1"/>
  <c r="F6" i="2"/>
  <c r="H6" i="2" s="1"/>
  <c r="J6" i="2" s="1"/>
  <c r="H5" i="2"/>
  <c r="J5" i="2" s="1"/>
  <c r="I4" i="2"/>
  <c r="I20" i="2"/>
  <c r="I17" i="2"/>
  <c r="H16" i="2"/>
  <c r="J16" i="2" s="1"/>
  <c r="I16" i="2"/>
  <c r="I6" i="2"/>
  <c r="H4" i="5"/>
  <c r="G4" i="5"/>
  <c r="I4" i="5" s="1"/>
  <c r="H3" i="5"/>
  <c r="I3" i="5"/>
  <c r="I2" i="5"/>
  <c r="H4" i="4"/>
  <c r="G4" i="4"/>
  <c r="I4" i="4" s="1"/>
  <c r="H3" i="4"/>
  <c r="G3" i="4"/>
  <c r="I3" i="4" s="1"/>
  <c r="H2" i="4"/>
  <c r="G2" i="4"/>
  <c r="I2" i="4" s="1"/>
  <c r="H11" i="2" l="1"/>
  <c r="J11" i="2" s="1"/>
  <c r="H12" i="2"/>
  <c r="J12" i="2" s="1"/>
  <c r="I10" i="7"/>
  <c r="K10" i="7" s="1"/>
  <c r="J25" i="7"/>
  <c r="J9" i="7"/>
  <c r="J21" i="7"/>
  <c r="J41" i="7"/>
  <c r="I40" i="7"/>
  <c r="K40" i="7" s="1"/>
  <c r="I3" i="7"/>
  <c r="K3" i="7" s="1"/>
  <c r="I32" i="7"/>
  <c r="K32" i="7" s="1"/>
  <c r="J17" i="7"/>
  <c r="J37" i="7"/>
  <c r="I36" i="7"/>
  <c r="K36" i="7" s="1"/>
  <c r="I44" i="7"/>
  <c r="K44" i="7" s="1"/>
  <c r="J29" i="7"/>
  <c r="J13" i="7"/>
  <c r="J44" i="7"/>
  <c r="J36" i="7"/>
  <c r="J5" i="7"/>
  <c r="J38" i="7"/>
  <c r="I43" i="7"/>
  <c r="K43" i="7" s="1"/>
  <c r="I39" i="7"/>
  <c r="K39" i="7" s="1"/>
  <c r="I35" i="7"/>
  <c r="K35" i="7" s="1"/>
  <c r="J28" i="7"/>
  <c r="J24" i="7"/>
  <c r="J20" i="7"/>
  <c r="J16" i="7"/>
  <c r="J12" i="7"/>
  <c r="J8" i="7"/>
  <c r="J45" i="7"/>
  <c r="J40" i="7"/>
  <c r="J35" i="7"/>
  <c r="J34" i="7"/>
  <c r="I42" i="7"/>
  <c r="K42" i="7" s="1"/>
  <c r="I38" i="7"/>
  <c r="K38" i="7" s="1"/>
  <c r="I34" i="7"/>
  <c r="K34" i="7" s="1"/>
  <c r="J30" i="7"/>
  <c r="J26" i="7"/>
  <c r="J22" i="7"/>
  <c r="J18" i="7"/>
  <c r="J14" i="7"/>
  <c r="J10" i="7"/>
  <c r="J6" i="7"/>
  <c r="J42" i="7"/>
  <c r="I31" i="7"/>
  <c r="K31" i="7" s="1"/>
  <c r="J23" i="7"/>
  <c r="J19" i="7"/>
  <c r="J15" i="7"/>
  <c r="J11" i="7"/>
  <c r="J7" i="7"/>
  <c r="J39" i="7"/>
  <c r="J33" i="7"/>
  <c r="I45" i="7"/>
  <c r="K45" i="7" s="1"/>
  <c r="I41" i="7"/>
  <c r="K41" i="7" s="1"/>
  <c r="I37" i="7"/>
  <c r="K37" i="7" s="1"/>
  <c r="I33" i="7"/>
  <c r="K33" i="7" s="1"/>
  <c r="I25" i="2"/>
  <c r="H14" i="2"/>
  <c r="J14" i="2" s="1"/>
  <c r="I19" i="2"/>
  <c r="I30" i="2"/>
  <c r="I10" i="2"/>
  <c r="H29" i="2"/>
  <c r="J29" i="2" s="1"/>
  <c r="H21" i="2"/>
  <c r="J21" i="2" s="1"/>
  <c r="H24" i="2"/>
  <c r="J24" i="2" s="1"/>
  <c r="I4" i="7"/>
  <c r="K4" i="7" s="1"/>
  <c r="I27" i="7"/>
  <c r="K27" i="7" s="1"/>
  <c r="I2" i="7"/>
  <c r="K2" i="7" s="1"/>
  <c r="H9" i="2"/>
  <c r="J9" i="2" s="1"/>
  <c r="I7" i="2"/>
  <c r="H13" i="2"/>
  <c r="J13" i="2" s="1"/>
  <c r="I8" i="2"/>
  <c r="I5" i="2"/>
  <c r="I27" i="2"/>
  <c r="H23" i="2"/>
  <c r="J23" i="2" s="1"/>
  <c r="I18" i="2"/>
  <c r="H28" i="2"/>
  <c r="J28" i="2" s="1"/>
  <c r="I26" i="2"/>
  <c r="B11" i="1"/>
  <c r="H4" i="2"/>
  <c r="B9" i="1"/>
  <c r="B12" i="1" l="1"/>
  <c r="B10" i="1"/>
  <c r="J4" i="2"/>
  <c r="J2" i="2" l="1"/>
</calcChain>
</file>

<file path=xl/comments1.xml><?xml version="1.0" encoding="utf-8"?>
<comments xmlns="http://schemas.openxmlformats.org/spreadsheetml/2006/main">
  <authors>
    <author>Est-06</author>
  </authors>
  <commentList>
    <comment ref="A21" authorId="0">
      <text>
        <r>
          <rPr>
            <b/>
            <sz val="9"/>
            <color indexed="81"/>
            <rFont val="Tahoma"/>
            <family val="2"/>
          </rPr>
          <t>Est-06:</t>
        </r>
        <r>
          <rPr>
            <sz val="9"/>
            <color indexed="81"/>
            <rFont val="Tahoma"/>
            <family val="2"/>
          </rPr>
          <t xml:space="preserve">
TEVE RETENÇÃO DE IR EM 03/2017 VERIFICA PARA A DIRF</t>
        </r>
      </text>
    </comment>
  </commentList>
</comments>
</file>

<file path=xl/comments2.xml><?xml version="1.0" encoding="utf-8"?>
<comments xmlns="http://schemas.openxmlformats.org/spreadsheetml/2006/main">
  <authors>
    <author>Est-06</author>
    <author>LL3</author>
  </authors>
  <commentList>
    <comment ref="A10" authorId="0">
      <text>
        <r>
          <rPr>
            <b/>
            <sz val="9"/>
            <color indexed="81"/>
            <rFont val="Tahoma"/>
            <family val="2"/>
          </rPr>
          <t>Est-06:</t>
        </r>
        <r>
          <rPr>
            <sz val="9"/>
            <color indexed="81"/>
            <rFont val="Tahoma"/>
            <family val="2"/>
          </rPr>
          <t xml:space="preserve">
antigo nome Quintanda
</t>
        </r>
      </text>
    </comment>
    <comment ref="A21" authorId="1">
      <text>
        <r>
          <rPr>
            <b/>
            <sz val="8"/>
            <color indexed="81"/>
            <rFont val="Tahoma"/>
            <family val="2"/>
          </rPr>
          <t>LL3:</t>
        </r>
        <r>
          <rPr>
            <sz val="8"/>
            <color indexed="81"/>
            <rFont val="Tahoma"/>
            <family val="2"/>
          </rPr>
          <t xml:space="preserve">
FICARÁ NO LUGAR DA JALDER</t>
        </r>
      </text>
    </comment>
    <comment ref="A47" authorId="0">
      <text>
        <r>
          <rPr>
            <b/>
            <sz val="9"/>
            <color indexed="81"/>
            <rFont val="Tahoma"/>
            <family val="2"/>
          </rPr>
          <t>Est-06:</t>
        </r>
        <r>
          <rPr>
            <sz val="9"/>
            <color indexed="81"/>
            <rFont val="Tahoma"/>
            <family val="2"/>
          </rPr>
          <t xml:space="preserve">
Foi excluida do Simples Nacional 2018
Não fazer nada ordem D. Lucy 20/02/18
</t>
        </r>
      </text>
    </comment>
  </commentList>
</comments>
</file>

<file path=xl/sharedStrings.xml><?xml version="1.0" encoding="utf-8"?>
<sst xmlns="http://schemas.openxmlformats.org/spreadsheetml/2006/main" count="559" uniqueCount="198">
  <si>
    <t>CONTROLE DE OBRIGAÇÕES ACESSÓRIAS</t>
  </si>
  <si>
    <t>ÂMBITO FEDERAL</t>
  </si>
  <si>
    <t>MENSAL</t>
  </si>
  <si>
    <t>DCTF</t>
  </si>
  <si>
    <t>EFD CONT</t>
  </si>
  <si>
    <t>ANUAL</t>
  </si>
  <si>
    <t>DIRF</t>
  </si>
  <si>
    <t>DIMOB</t>
  </si>
  <si>
    <t>DMED</t>
  </si>
  <si>
    <t>DEFIS</t>
  </si>
  <si>
    <t>DSPJ</t>
  </si>
  <si>
    <t>ECF</t>
  </si>
  <si>
    <t>DIPJ</t>
  </si>
  <si>
    <t>ÂMBITO ESTADUAL</t>
  </si>
  <si>
    <t xml:space="preserve">ECD </t>
  </si>
  <si>
    <t>EFD ICMS/IPI</t>
  </si>
  <si>
    <t>GIA ST</t>
  </si>
  <si>
    <t>REDF</t>
  </si>
  <si>
    <t>GIA</t>
  </si>
  <si>
    <t>STDA</t>
  </si>
  <si>
    <t>ÂMBITO MUNICIPAL</t>
  </si>
  <si>
    <t>GISS</t>
  </si>
  <si>
    <t>ISS BARUERI</t>
  </si>
  <si>
    <t>ISS SP</t>
  </si>
  <si>
    <t>DEISS</t>
  </si>
  <si>
    <t>ALVARÁ</t>
  </si>
  <si>
    <t>OUTROS</t>
  </si>
  <si>
    <t>CERTIFICADO</t>
  </si>
  <si>
    <t>CND FED</t>
  </si>
  <si>
    <t>CND EST</t>
  </si>
  <si>
    <t>CND MUN</t>
  </si>
  <si>
    <t>CONSULTORIA</t>
  </si>
  <si>
    <t>FISCAL</t>
  </si>
  <si>
    <t>CONTÁBIL</t>
  </si>
  <si>
    <t>RESPONSABILIDADE</t>
  </si>
  <si>
    <t xml:space="preserve"> </t>
  </si>
  <si>
    <t>EMPRESA</t>
  </si>
  <si>
    <t>CNPJ</t>
  </si>
  <si>
    <t>REGIME</t>
  </si>
  <si>
    <t>VENCIMENTO</t>
  </si>
  <si>
    <t>AVISOS DE VENCIMENTO</t>
  </si>
  <si>
    <t>ECD</t>
  </si>
  <si>
    <t>ENTREGA</t>
  </si>
  <si>
    <t>XXXXXXX</t>
  </si>
  <si>
    <t>STATUS</t>
  </si>
  <si>
    <t>RESPONSÁVEL</t>
  </si>
  <si>
    <t>MÁRCIO</t>
  </si>
  <si>
    <t>ATRASO</t>
  </si>
  <si>
    <t>Atrasadas</t>
  </si>
  <si>
    <t>Atrasando</t>
  </si>
  <si>
    <t>Controle</t>
  </si>
  <si>
    <t>Vencendo hoje</t>
  </si>
  <si>
    <t>Atrasado</t>
  </si>
  <si>
    <t xml:space="preserve">ACA COMERCIO </t>
  </si>
  <si>
    <t>AFAG REPRESSETNAÇÕES LTDA</t>
  </si>
  <si>
    <t xml:space="preserve">ADMINISTRADORA DE MOVEIS BAENA </t>
  </si>
  <si>
    <t>BABY SAFE DO BRASIL</t>
  </si>
  <si>
    <t xml:space="preserve">BAZAR GRACELAND DISCOS LTDA </t>
  </si>
  <si>
    <t xml:space="preserve">DEPOSITO DE DOCES SANSIL LTDA ME </t>
  </si>
  <si>
    <t>ENGECORP CONSULT ASSES E PROJ ENGEN LT</t>
  </si>
  <si>
    <t xml:space="preserve">ELS CHAVES TREINAMENTO </t>
  </si>
  <si>
    <t>FERBOR COM. REPRES.</t>
  </si>
  <si>
    <t xml:space="preserve">FERGO SOLUÇÕES </t>
  </si>
  <si>
    <t xml:space="preserve">FERNANDA CHAVES </t>
  </si>
  <si>
    <t>FSW PLANEJAMENTO</t>
  </si>
  <si>
    <t xml:space="preserve">GALETO DE RAMOS LANCHONETE </t>
  </si>
  <si>
    <t>GLOBAL RENTAL SERVICE COM. E SERV. DE MAQ E EQIP.</t>
  </si>
  <si>
    <t>TRANSPORTADORA P R RAFALSKI LTDA</t>
  </si>
  <si>
    <t>V SONIC COMERCIO EXTERIOR  obs comentario</t>
  </si>
  <si>
    <t>JARDIM ESCOLA SOLAR DA CRIANÇA</t>
  </si>
  <si>
    <t>LA BORQUEIREIE REPRESENTAÇÕES COM. LTDA</t>
  </si>
  <si>
    <t xml:space="preserve">MURALHÃO 2000  DOS VIDROS </t>
  </si>
  <si>
    <t xml:space="preserve">NOGUEIRA PINHO COM. </t>
  </si>
  <si>
    <t>NEIMAR PLASTICOS INDUSTRIAIS LTDA</t>
  </si>
  <si>
    <t xml:space="preserve">PONTO DAS BLUSAS COM. DE ROUPAS LTDA </t>
  </si>
  <si>
    <t xml:space="preserve">REPRESENTAÇÕES GUIMARAES E ALMEIDA LTDA </t>
  </si>
  <si>
    <t xml:space="preserve">RODMAN COM DE BORRACHAS </t>
  </si>
  <si>
    <t xml:space="preserve">SIMOES IMOVEIS </t>
  </si>
  <si>
    <t>SN</t>
  </si>
  <si>
    <t>LP</t>
  </si>
  <si>
    <t>MENPHIS DISCOS LTDA</t>
  </si>
  <si>
    <t xml:space="preserve">EMPRESA INATIVAS </t>
  </si>
  <si>
    <t xml:space="preserve">NASCIMENTO REPRESENTAÇÕES </t>
  </si>
  <si>
    <t>QUITUNGO AUTO VIDROS E ACES DE AUTOM LT</t>
  </si>
  <si>
    <t>A L SANT'ANNA COM DE BORRACHAS ME</t>
  </si>
  <si>
    <t>ACAPORI PRODUTOS DE MINAS LTDA ME</t>
  </si>
  <si>
    <t>ALL LABOR  MAT MEDICO HOSP LTDA ME</t>
  </si>
  <si>
    <t>APM TURISMO E DIVULGAÇÕES LTDA</t>
  </si>
  <si>
    <t>AUTO CENTER LCG MANUT DE VEIC LTDA</t>
  </si>
  <si>
    <t>AUTO VIDROS LOBO JUNIOR LTDA ME</t>
  </si>
  <si>
    <t>(QUITANDA) BAR E RESTAURANTE DULCILIA LTDA.</t>
  </si>
  <si>
    <t>BAR LANC VILLARES DE  BONSUCESSO LTDA</t>
  </si>
  <si>
    <t>B L QUINDOS ART.ALIMENTICIOS (emporio mineiro)</t>
  </si>
  <si>
    <t>BOCA DE VAZ LOBO LANCHES LTDA</t>
  </si>
  <si>
    <t>CENTRO CULINÁRIO C C E G COM SERV G AL</t>
  </si>
  <si>
    <t>CENTRO DE ESTET LIRIOS LTDA</t>
  </si>
  <si>
    <t>C M NEVES EVENTOS ME</t>
  </si>
  <si>
    <t>CONGELADOS PINHEIROS 2003 LTDA</t>
  </si>
  <si>
    <t>CRECHE PRÉ ESCOLAR MEUS PEQ ANJINHOS LT</t>
  </si>
  <si>
    <t>DUE NORMA E ALESSANDA CURSO PREPAR LT</t>
  </si>
  <si>
    <t>E A DE SILVA COM DE PEÇAS E REP P/ VEIC</t>
  </si>
  <si>
    <t>ETIQUE - ROLL COM DE ETIQ E EMBAL LTDA</t>
  </si>
  <si>
    <t>GOLAN REFORMA E CONTRUÇÃO LTDA (dflash)</t>
  </si>
  <si>
    <t>L A G SANTOS COMERCIAL HOSPITALAR</t>
  </si>
  <si>
    <t>L L 3 CONTABILIDADE LTDA</t>
  </si>
  <si>
    <t>LB MEGA SOUND LTDA</t>
  </si>
  <si>
    <t>LCDTEC SERV.MANUT DE EQUIP ELETRON LTDA</t>
  </si>
  <si>
    <t>M S CIPRIANO AGENCIAMENTO ESPORTIVO</t>
  </si>
  <si>
    <t>MEMPHIS PRODUÇÕES ARTISTICAS E EVENTOS LT</t>
  </si>
  <si>
    <t>MERCEARIA HORIFRUT (MESMO DONO BAR DUCILIA)</t>
  </si>
  <si>
    <t>MONTE SIÃO MANUTENÇÃO E REFORMAS LTDA</t>
  </si>
  <si>
    <t>NET DATA INFORMATICA LTDA</t>
  </si>
  <si>
    <t>PEDRAS COM DE PLAST E COMUNIC VISUAL</t>
  </si>
  <si>
    <t>QUITUNGO AUTO VIDROS ITABORAÍ LTDA EPP</t>
  </si>
  <si>
    <t>QUITUNGO BANGU COM DE VIDROS PARA AUTOM</t>
  </si>
  <si>
    <t>RICELI ART ASFALTICA LTDA</t>
  </si>
  <si>
    <t>SAMDAVID TRANSPORTES DE CARGA LTDA EPP</t>
  </si>
  <si>
    <t>SECENGE ENGENHARIA LTDA</t>
  </si>
  <si>
    <t>WORLD AIR AGENC DE CARG MARIT E AEREA LT</t>
  </si>
  <si>
    <t>SITUAÇÃO</t>
  </si>
  <si>
    <t>INATIVA</t>
  </si>
  <si>
    <t xml:space="preserve">BICHO FELIZ LTDA </t>
  </si>
  <si>
    <t>LP (EXCLUIDA 01.2018)</t>
  </si>
  <si>
    <t>ATIVA</t>
  </si>
  <si>
    <t>NR MEIRELLES DIST. DE DESC. LIMP. E PROTEÇÃO</t>
  </si>
  <si>
    <t xml:space="preserve">IMPRESSO PRODUTOS E SERVIÇOS GRAFICOS LTDA </t>
  </si>
  <si>
    <t xml:space="preserve">COD ACESSO </t>
  </si>
  <si>
    <t>CPF RESPONSAVE</t>
  </si>
  <si>
    <t>029407792330</t>
  </si>
  <si>
    <t>certificado</t>
  </si>
  <si>
    <t>068807431207</t>
  </si>
  <si>
    <t>002.280.340.385</t>
  </si>
  <si>
    <t>000.017.144.720</t>
  </si>
  <si>
    <t>procuração digital</t>
  </si>
  <si>
    <t xml:space="preserve"> MENPHIS DISCOS LTDA</t>
  </si>
  <si>
    <t xml:space="preserve">ORN ENTERTAINMENT AGENCIA DE TURISMO E VIAGENS </t>
  </si>
  <si>
    <t xml:space="preserve">ALEGON COM. ATACADISTA </t>
  </si>
  <si>
    <t>FORA</t>
  </si>
  <si>
    <r>
      <t xml:space="preserve">ATIVA </t>
    </r>
    <r>
      <rPr>
        <sz val="8"/>
        <color theme="1"/>
        <rFont val="Calibri"/>
        <family val="2"/>
        <scheme val="minor"/>
      </rPr>
      <t>POSSUI CPRB</t>
    </r>
  </si>
  <si>
    <t>GOLAN REFORMA E CONTRUÇÃO LTDA (dflash) POSSUI DESONERAÇÃO (FAZER DCTF)</t>
  </si>
  <si>
    <r>
      <rPr>
        <sz val="9"/>
        <color theme="1"/>
        <rFont val="Arial"/>
        <family val="2"/>
      </rPr>
      <t xml:space="preserve">IMPRESSO PROD SERV GRAFICOS LTDA </t>
    </r>
    <r>
      <rPr>
        <sz val="9"/>
        <color rgb="FFFF0000"/>
        <rFont val="Arial"/>
        <family val="2"/>
      </rPr>
      <t>EXCLUIDA S.NACIONAL 2018</t>
    </r>
  </si>
  <si>
    <t xml:space="preserve">LAVANDERIA CARIOCA </t>
  </si>
  <si>
    <t xml:space="preserve">MD ALTACAR </t>
  </si>
  <si>
    <r>
      <rPr>
        <sz val="9"/>
        <color theme="1"/>
        <rFont val="Arial"/>
        <family val="2"/>
      </rPr>
      <t xml:space="preserve">N R MEIRELES </t>
    </r>
    <r>
      <rPr>
        <sz val="9"/>
        <color rgb="FFFF0000"/>
        <rFont val="Arial"/>
        <family val="2"/>
      </rPr>
      <t>-EXCLUIDA DO S.NACIONAL 2018</t>
    </r>
  </si>
  <si>
    <r>
      <rPr>
        <sz val="9"/>
        <color theme="1"/>
        <rFont val="Arial"/>
        <family val="2"/>
      </rPr>
      <t>V SONIC COMERCIO EXTERIOR</t>
    </r>
    <r>
      <rPr>
        <sz val="9"/>
        <color rgb="FFFF0000"/>
        <rFont val="Arial"/>
        <family val="2"/>
      </rPr>
      <t xml:space="preserve"> EXCLUIDA S.N. 2018</t>
    </r>
  </si>
  <si>
    <t>ORN ENTERTAINMENT AGENCIA DE TURISMO E VIAGENS LTDA</t>
  </si>
  <si>
    <t xml:space="preserve">VALENTIM REPRESENTAÇÕES </t>
  </si>
  <si>
    <t xml:space="preserve">S L FRANCO REPRESENTAÇÕES LTDA </t>
  </si>
  <si>
    <t>110.075.407-53</t>
  </si>
  <si>
    <t>111.195.527-10</t>
  </si>
  <si>
    <t>537.394.007-06</t>
  </si>
  <si>
    <t>013.048.137-89</t>
  </si>
  <si>
    <t>051.806.727-08</t>
  </si>
  <si>
    <t>871.277.927-04</t>
  </si>
  <si>
    <t>847.266.107-59</t>
  </si>
  <si>
    <t>031.458.053-04</t>
  </si>
  <si>
    <t>671.479.097-04</t>
  </si>
  <si>
    <t>597.862.307-44</t>
  </si>
  <si>
    <t>820.882.687-15</t>
  </si>
  <si>
    <t>082.144.197-35</t>
  </si>
  <si>
    <t>673.143.767-00</t>
  </si>
  <si>
    <t>110.875.237-37</t>
  </si>
  <si>
    <t>081.837.997-95</t>
  </si>
  <si>
    <t>491.461.814-15</t>
  </si>
  <si>
    <t>723.595.367-53</t>
  </si>
  <si>
    <t>082.694.237-77</t>
  </si>
  <si>
    <t>103.403.647-50</t>
  </si>
  <si>
    <t>018.386.807-21</t>
  </si>
  <si>
    <t>013.414.707-33</t>
  </si>
  <si>
    <t>804.139.947-91</t>
  </si>
  <si>
    <t>714.469.667-04</t>
  </si>
  <si>
    <t>361.291.867-20</t>
  </si>
  <si>
    <t>086.858.747.85</t>
  </si>
  <si>
    <t>754.111.057.49</t>
  </si>
  <si>
    <t>706.202.721-98</t>
  </si>
  <si>
    <t>078.480.127-43</t>
  </si>
  <si>
    <t>072.128.717-45</t>
  </si>
  <si>
    <t>021.024.317-11</t>
  </si>
  <si>
    <t>483.196.437-91</t>
  </si>
  <si>
    <t>932.087.667-34</t>
  </si>
  <si>
    <t>047.466.667-09</t>
  </si>
  <si>
    <t>033.158.747-51</t>
  </si>
  <si>
    <t>115.338.887-10</t>
  </si>
  <si>
    <t>601.689.357-91</t>
  </si>
  <si>
    <t>812.710.776-04</t>
  </si>
  <si>
    <t>814.281.037-91</t>
  </si>
  <si>
    <t>014.268.067-28</t>
  </si>
  <si>
    <t>865.422.307-34</t>
  </si>
  <si>
    <t>932.418.797-04</t>
  </si>
  <si>
    <t>339.298.157-53</t>
  </si>
  <si>
    <t>sn</t>
  </si>
  <si>
    <r>
      <rPr>
        <sz val="9"/>
        <color theme="1"/>
        <rFont val="Arial"/>
        <family val="2"/>
      </rPr>
      <t>BICHO FELIZ  LTDA -</t>
    </r>
    <r>
      <rPr>
        <sz val="9"/>
        <color rgb="FFFF0000"/>
        <rFont val="Arial"/>
        <family val="2"/>
      </rPr>
      <t xml:space="preserve"> EXCLUIDO S.N 2018</t>
    </r>
  </si>
  <si>
    <t xml:space="preserve">ATIVA </t>
  </si>
  <si>
    <t xml:space="preserve">INATIVA </t>
  </si>
  <si>
    <t xml:space="preserve">ativa </t>
  </si>
  <si>
    <t>LL3</t>
  </si>
  <si>
    <t>VERIFICAR</t>
  </si>
  <si>
    <t>ATIVA POSSUI CPRB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</si>
</sst>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&quot;.&quot;000&quot;.&quot;000&quot;/&quot;0000&quot;-&quot;00"/>
    <numFmt numFmtId="165" formatCode="000&quot;.&quot;000&quot;.&quot;000&quot;.&quot;000"/>
    <numFmt numFmtId="166" formatCode="000&quot;.&quot;000&quot;.&quot;000&quot;.&quot;00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theme="9" tint="-0.249977111117893"/>
      <name val="Arial"/>
      <family val="2"/>
    </font>
    <font>
      <sz val="9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8" fillId="0" borderId="0"/>
  </cellStyleXfs>
  <cellXfs count="140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4" borderId="0" xfId="0" applyFont="1" applyFill="1" applyBorder="1" applyAlignment="1">
      <alignment horizontal="center"/>
    </xf>
    <xf numFmtId="0" fontId="0" fillId="0" borderId="18" xfId="0" applyBorder="1"/>
    <xf numFmtId="0" fontId="1" fillId="7" borderId="18" xfId="0" applyFont="1" applyFill="1" applyBorder="1"/>
    <xf numFmtId="0" fontId="1" fillId="3" borderId="18" xfId="0" applyFont="1" applyFill="1" applyBorder="1"/>
    <xf numFmtId="14" fontId="3" fillId="5" borderId="18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0" fillId="0" borderId="20" xfId="0" applyBorder="1"/>
    <xf numFmtId="14" fontId="4" fillId="5" borderId="19" xfId="0" applyNumberFormat="1" applyFont="1" applyFill="1" applyBorder="1" applyAlignment="1">
      <alignment horizontal="center"/>
    </xf>
    <xf numFmtId="0" fontId="2" fillId="0" borderId="8" xfId="0" applyFont="1" applyBorder="1"/>
    <xf numFmtId="0" fontId="2" fillId="0" borderId="21" xfId="0" applyFont="1" applyBorder="1"/>
    <xf numFmtId="0" fontId="0" fillId="0" borderId="21" xfId="0" applyBorder="1"/>
    <xf numFmtId="0" fontId="2" fillId="0" borderId="6" xfId="0" applyFont="1" applyBorder="1" applyAlignment="1">
      <alignment horizontal="center"/>
    </xf>
    <xf numFmtId="0" fontId="0" fillId="0" borderId="3" xfId="0" applyBorder="1"/>
    <xf numFmtId="0" fontId="0" fillId="0" borderId="22" xfId="0" applyBorder="1"/>
    <xf numFmtId="14" fontId="3" fillId="5" borderId="22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0" borderId="6" xfId="0" applyBorder="1"/>
    <xf numFmtId="0" fontId="4" fillId="0" borderId="19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0" fontId="0" fillId="9" borderId="18" xfId="0" applyFont="1" applyFill="1" applyBorder="1"/>
    <xf numFmtId="14" fontId="4" fillId="6" borderId="25" xfId="0" applyNumberFormat="1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9" borderId="26" xfId="0" applyNumberFormat="1" applyFont="1" applyFill="1" applyBorder="1" applyAlignment="1">
      <alignment horizontal="center"/>
    </xf>
    <xf numFmtId="14" fontId="0" fillId="0" borderId="18" xfId="0" applyNumberFormat="1" applyBorder="1"/>
    <xf numFmtId="14" fontId="7" fillId="6" borderId="18" xfId="0" applyNumberFormat="1" applyFont="1" applyFill="1" applyBorder="1" applyAlignment="1">
      <alignment horizontal="center"/>
    </xf>
    <xf numFmtId="14" fontId="7" fillId="6" borderId="22" xfId="0" applyNumberFormat="1" applyFont="1" applyFill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14" fontId="4" fillId="5" borderId="18" xfId="0" applyNumberFormat="1" applyFont="1" applyFill="1" applyBorder="1" applyAlignment="1">
      <alignment horizontal="center"/>
    </xf>
    <xf numFmtId="14" fontId="4" fillId="5" borderId="25" xfId="0" applyNumberFormat="1" applyFont="1" applyFill="1" applyBorder="1" applyAlignment="1">
      <alignment horizontal="center"/>
    </xf>
    <xf numFmtId="0" fontId="1" fillId="8" borderId="21" xfId="0" applyFont="1" applyFill="1" applyBorder="1"/>
    <xf numFmtId="0" fontId="1" fillId="8" borderId="6" xfId="0" applyFont="1" applyFill="1" applyBorder="1"/>
    <xf numFmtId="0" fontId="1" fillId="8" borderId="21" xfId="0" applyFont="1" applyFill="1" applyBorder="1" applyAlignment="1">
      <alignment horizontal="center"/>
    </xf>
    <xf numFmtId="0" fontId="2" fillId="10" borderId="8" xfId="0" applyFont="1" applyFill="1" applyBorder="1"/>
    <xf numFmtId="0" fontId="0" fillId="10" borderId="20" xfId="0" applyFill="1" applyBorder="1"/>
    <xf numFmtId="0" fontId="0" fillId="10" borderId="18" xfId="0" applyFill="1" applyBorder="1"/>
    <xf numFmtId="14" fontId="3" fillId="10" borderId="18" xfId="0" applyNumberFormat="1" applyFont="1" applyFill="1" applyBorder="1" applyAlignment="1">
      <alignment horizontal="center"/>
    </xf>
    <xf numFmtId="14" fontId="7" fillId="10" borderId="18" xfId="0" applyNumberFormat="1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4" fontId="4" fillId="10" borderId="2" xfId="0" applyNumberFormat="1" applyFont="1" applyFill="1" applyBorder="1" applyAlignment="1">
      <alignment horizontal="center"/>
    </xf>
    <xf numFmtId="0" fontId="0" fillId="10" borderId="22" xfId="0" applyFill="1" applyBorder="1"/>
    <xf numFmtId="14" fontId="7" fillId="10" borderId="22" xfId="0" applyNumberFormat="1" applyFont="1" applyFill="1" applyBorder="1" applyAlignment="1">
      <alignment horizontal="center"/>
    </xf>
    <xf numFmtId="0" fontId="0" fillId="10" borderId="3" xfId="0" applyFill="1" applyBorder="1"/>
    <xf numFmtId="164" fontId="0" fillId="10" borderId="22" xfId="0" applyNumberFormat="1" applyFill="1" applyBorder="1"/>
    <xf numFmtId="14" fontId="4" fillId="10" borderId="22" xfId="0" applyNumberFormat="1" applyFont="1" applyFill="1" applyBorder="1" applyAlignment="1">
      <alignment horizontal="center"/>
    </xf>
    <xf numFmtId="164" fontId="0" fillId="6" borderId="22" xfId="0" applyNumberFormat="1" applyFill="1" applyBorder="1"/>
    <xf numFmtId="14" fontId="3" fillId="6" borderId="18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4" fontId="4" fillId="5" borderId="22" xfId="0" applyNumberFormat="1" applyFont="1" applyFill="1" applyBorder="1" applyAlignment="1">
      <alignment horizontal="center"/>
    </xf>
    <xf numFmtId="0" fontId="4" fillId="0" borderId="18" xfId="0" applyNumberFormat="1" applyFont="1" applyBorder="1" applyAlignment="1">
      <alignment horizontal="center"/>
    </xf>
    <xf numFmtId="0" fontId="9" fillId="6" borderId="3" xfId="2" applyFont="1" applyFill="1" applyBorder="1" applyAlignment="1">
      <alignment horizontal="left" vertical="center" wrapText="1"/>
    </xf>
    <xf numFmtId="164" fontId="0" fillId="0" borderId="18" xfId="0" applyNumberFormat="1" applyBorder="1" applyAlignment="1">
      <alignment horizontal="center" vertical="center" wrapText="1"/>
    </xf>
    <xf numFmtId="164" fontId="12" fillId="6" borderId="18" xfId="0" applyNumberFormat="1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165" fontId="12" fillId="0" borderId="18" xfId="0" applyNumberFormat="1" applyFont="1" applyBorder="1" applyAlignment="1">
      <alignment horizontal="center" vertical="center" wrapText="1"/>
    </xf>
    <xf numFmtId="164" fontId="0" fillId="0" borderId="18" xfId="0" applyNumberFormat="1" applyFont="1" applyBorder="1" applyAlignment="1">
      <alignment horizontal="center" vertical="center" wrapText="1"/>
    </xf>
    <xf numFmtId="164" fontId="0" fillId="6" borderId="18" xfId="0" applyNumberFormat="1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center" vertical="center" wrapText="1"/>
    </xf>
    <xf numFmtId="0" fontId="9" fillId="6" borderId="18" xfId="0" applyNumberFormat="1" applyFont="1" applyFill="1" applyBorder="1" applyAlignment="1">
      <alignment horizontal="left" vertical="center" wrapText="1"/>
    </xf>
    <xf numFmtId="0" fontId="18" fillId="6" borderId="18" xfId="0" applyNumberFormat="1" applyFont="1" applyFill="1" applyBorder="1" applyAlignment="1">
      <alignment horizontal="center" vertical="center" wrapText="1"/>
    </xf>
    <xf numFmtId="0" fontId="9" fillId="0" borderId="18" xfId="0" applyNumberFormat="1" applyFont="1" applyBorder="1" applyAlignment="1">
      <alignment horizontal="left" vertical="center" wrapText="1"/>
    </xf>
    <xf numFmtId="0" fontId="18" fillId="0" borderId="18" xfId="0" applyNumberFormat="1" applyFont="1" applyBorder="1" applyAlignment="1">
      <alignment horizontal="center" vertical="center" wrapText="1"/>
    </xf>
    <xf numFmtId="0" fontId="13" fillId="6" borderId="18" xfId="0" applyNumberFormat="1" applyFont="1" applyFill="1" applyBorder="1" applyAlignment="1">
      <alignment horizontal="left" vertical="center" wrapText="1"/>
    </xf>
    <xf numFmtId="0" fontId="14" fillId="6" borderId="18" xfId="0" applyNumberFormat="1" applyFont="1" applyFill="1" applyBorder="1" applyAlignment="1">
      <alignment horizontal="left" vertical="center" wrapText="1"/>
    </xf>
    <xf numFmtId="0" fontId="9" fillId="6" borderId="28" xfId="0" applyNumberFormat="1" applyFont="1" applyFill="1" applyBorder="1" applyAlignment="1">
      <alignment horizontal="left" vertical="center" wrapText="1"/>
    </xf>
    <xf numFmtId="0" fontId="9" fillId="6" borderId="27" xfId="0" applyNumberFormat="1" applyFont="1" applyFill="1" applyBorder="1" applyAlignment="1">
      <alignment horizontal="left" vertical="center" wrapText="1"/>
    </xf>
    <xf numFmtId="0" fontId="1" fillId="8" borderId="8" xfId="0" applyFont="1" applyFill="1" applyBorder="1"/>
    <xf numFmtId="14" fontId="3" fillId="5" borderId="21" xfId="0" applyNumberFormat="1" applyFont="1" applyFill="1" applyBorder="1" applyAlignment="1">
      <alignment horizontal="center"/>
    </xf>
    <xf numFmtId="166" fontId="3" fillId="5" borderId="18" xfId="0" applyNumberFormat="1" applyFont="1" applyFill="1" applyBorder="1" applyAlignment="1">
      <alignment horizontal="center"/>
    </xf>
    <xf numFmtId="165" fontId="3" fillId="5" borderId="18" xfId="0" applyNumberFormat="1" applyFont="1" applyFill="1" applyBorder="1" applyAlignment="1">
      <alignment horizontal="center"/>
    </xf>
    <xf numFmtId="0" fontId="20" fillId="0" borderId="18" xfId="0" applyFont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11" borderId="18" xfId="0" applyFont="1" applyFill="1" applyBorder="1" applyAlignment="1">
      <alignment horizontal="center" vertical="center" wrapText="1"/>
    </xf>
    <xf numFmtId="0" fontId="9" fillId="6" borderId="21" xfId="2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Font="1" applyBorder="1" applyAlignment="1">
      <alignment wrapText="1"/>
    </xf>
    <xf numFmtId="0" fontId="9" fillId="10" borderId="18" xfId="2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22" xfId="0" applyFill="1" applyBorder="1"/>
    <xf numFmtId="0" fontId="0" fillId="0" borderId="25" xfId="0" applyFont="1" applyBorder="1"/>
    <xf numFmtId="14" fontId="3" fillId="5" borderId="25" xfId="0" applyNumberFormat="1" applyFont="1" applyFill="1" applyBorder="1" applyAlignment="1">
      <alignment horizontal="center"/>
    </xf>
    <xf numFmtId="0" fontId="0" fillId="9" borderId="25" xfId="0" applyFont="1" applyFill="1" applyBorder="1"/>
    <xf numFmtId="0" fontId="0" fillId="10" borderId="18" xfId="0" applyFont="1" applyFill="1" applyBorder="1"/>
    <xf numFmtId="0" fontId="0" fillId="10" borderId="25" xfId="0" applyFont="1" applyFill="1" applyBorder="1"/>
    <xf numFmtId="0" fontId="0" fillId="0" borderId="18" xfId="0" applyFont="1" applyBorder="1"/>
    <xf numFmtId="164" fontId="0" fillId="10" borderId="25" xfId="0" applyNumberFormat="1" applyFont="1" applyFill="1" applyBorder="1"/>
    <xf numFmtId="164" fontId="0" fillId="6" borderId="25" xfId="0" applyNumberFormat="1" applyFont="1" applyFill="1" applyBorder="1"/>
    <xf numFmtId="0" fontId="0" fillId="6" borderId="25" xfId="0" applyFont="1" applyFill="1" applyBorder="1"/>
    <xf numFmtId="164" fontId="0" fillId="9" borderId="18" xfId="0" applyNumberFormat="1" applyFont="1" applyFill="1" applyBorder="1" applyAlignment="1">
      <alignment horizontal="center" vertical="center" wrapText="1"/>
    </xf>
    <xf numFmtId="0" fontId="9" fillId="10" borderId="18" xfId="2" applyNumberFormat="1" applyFont="1" applyFill="1" applyBorder="1" applyAlignment="1">
      <alignment horizontal="left" vertical="center"/>
    </xf>
    <xf numFmtId="14" fontId="0" fillId="0" borderId="0" xfId="0" applyNumberFormat="1"/>
    <xf numFmtId="0" fontId="2" fillId="10" borderId="21" xfId="0" applyFont="1" applyFill="1" applyBorder="1"/>
    <xf numFmtId="0" fontId="0" fillId="10" borderId="21" xfId="0" applyFill="1" applyBorder="1"/>
    <xf numFmtId="0" fontId="0" fillId="10" borderId="6" xfId="0" applyFill="1" applyBorder="1"/>
    <xf numFmtId="0" fontId="2" fillId="10" borderId="6" xfId="0" applyFont="1" applyFill="1" applyBorder="1" applyAlignment="1">
      <alignment horizontal="center"/>
    </xf>
    <xf numFmtId="0" fontId="9" fillId="6" borderId="25" xfId="2" applyNumberFormat="1" applyFont="1" applyFill="1" applyBorder="1" applyAlignment="1">
      <alignment horizontal="left" vertical="center" wrapText="1"/>
    </xf>
    <xf numFmtId="0" fontId="9" fillId="6" borderId="18" xfId="2" applyNumberFormat="1" applyFont="1" applyFill="1" applyBorder="1" applyAlignment="1">
      <alignment horizontal="left" vertical="center" wrapText="1"/>
    </xf>
    <xf numFmtId="0" fontId="0" fillId="10" borderId="0" xfId="0" applyFill="1"/>
    <xf numFmtId="0" fontId="0" fillId="0" borderId="0" xfId="0" applyAlignment="1">
      <alignment vertical="center"/>
    </xf>
    <xf numFmtId="0" fontId="2" fillId="4" borderId="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3" borderId="9" xfId="0" applyNumberFormat="1" applyFont="1" applyFill="1" applyBorder="1" applyAlignment="1">
      <alignment horizontal="center" vertical="center"/>
    </xf>
    <xf numFmtId="0" fontId="1" fillId="3" borderId="10" xfId="0" applyNumberFormat="1" applyFont="1" applyFill="1" applyBorder="1" applyAlignment="1">
      <alignment horizontal="center" vertical="center"/>
    </xf>
    <xf numFmtId="0" fontId="1" fillId="3" borderId="11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3" borderId="13" xfId="0" applyNumberFormat="1" applyFont="1" applyFill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 vertical="center"/>
    </xf>
    <xf numFmtId="0" fontId="1" fillId="3" borderId="14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6" fillId="2" borderId="9" xfId="1" applyNumberFormat="1" applyFont="1" applyFill="1" applyBorder="1" applyAlignment="1">
      <alignment horizontal="center" vertical="center"/>
    </xf>
  </cellXfs>
  <cellStyles count="3">
    <cellStyle name="Hiperlink" xfId="1" builtinId="8"/>
    <cellStyle name="Normal" xfId="0" builtinId="0"/>
    <cellStyle name="Normal 2" xfId="2"/>
  </cellStyles>
  <dxfs count="131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000&quot;.&quot;000&quot;.&quot;000&quot;.&quot;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0&quot;.&quot;000&quot;.&quot;000&quot;/&quot;0000&quot;-&quot;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J36" totalsRowShown="0" headerRowDxfId="95" headerRowBorderDxfId="94" tableBorderDxfId="93" totalsRowBorderDxfId="92">
  <autoFilter ref="A1:J36"/>
  <sortState ref="A2:I30">
    <sortCondition ref="A2"/>
  </sortState>
  <tableColumns count="10">
    <tableColumn id="1" name="EMPRESA INATIVAS " dataDxfId="91"/>
    <tableColumn id="2" name="CNPJ" dataDxfId="90"/>
    <tableColumn id="3" name="REGIME" dataDxfId="89"/>
    <tableColumn id="10" name="SITUAÇÃO" dataDxfId="88"/>
    <tableColumn id="4" name="RESPONSÁVEL" dataDxfId="87"/>
    <tableColumn id="5" name="VENCIMENTO" dataDxfId="86"/>
    <tableColumn id="6" name="ENTREGA" dataDxfId="85"/>
    <tableColumn id="7" name="ATRASO" dataDxfId="84">
      <calculatedColumnFormula>DAYS360(F2,G2)</calculatedColumnFormula>
    </tableColumn>
    <tableColumn id="9" name="Controle" dataDxfId="83">
      <calculatedColumnFormula>IF(Tabela1[[#This Row],[ENTREGA]]="",Tabela1[[#This Row],[VENCIMENTO]]-TODAY( ),"")</calculatedColumnFormula>
    </tableColumn>
    <tableColumn id="8" name="STATUS" dataDxfId="82">
      <calculatedColumnFormula>IF(H2&gt;0.99,"Vencida","No Prazo")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1:I4" totalsRowShown="0" headerRowDxfId="69" headerRowBorderDxfId="68" tableBorderDxfId="67" totalsRowBorderDxfId="66">
  <autoFilter ref="A1:I4"/>
  <tableColumns count="9">
    <tableColumn id="1" name="EMPRESA" dataDxfId="65"/>
    <tableColumn id="2" name="CNPJ" dataDxfId="64"/>
    <tableColumn id="3" name="REGIME" dataDxfId="63"/>
    <tableColumn id="4" name="RESPONSÁVEL" dataDxfId="62"/>
    <tableColumn id="5" name="VENCIMENTO" dataDxfId="61"/>
    <tableColumn id="6" name="ENTREGA" dataDxfId="60"/>
    <tableColumn id="7" name="ATRASO" dataDxfId="59">
      <calculatedColumnFormula>DAYS360(E2,F2)</calculatedColumnFormula>
    </tableColumn>
    <tableColumn id="9" name="Controle" dataDxfId="58">
      <calculatedColumnFormula>IF(Tabela13[[#This Row],[ENTREGA]]="",Tabela13[[#This Row],[VENCIMENTO]]-TODAY(),"")</calculatedColumnFormula>
    </tableColumn>
    <tableColumn id="8" name="STATUS" dataDxfId="57">
      <calculatedColumnFormula>IF(G2&gt;0.99,"Vencida","No Prazo")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14" displayName="Tabela14" ref="A1:I4" totalsRowShown="0" headerRowDxfId="44" headerRowBorderDxfId="43" tableBorderDxfId="42" totalsRowBorderDxfId="41">
  <autoFilter ref="A1:I4"/>
  <tableColumns count="9">
    <tableColumn id="1" name="EMPRESA" dataDxfId="40"/>
    <tableColumn id="2" name="CNPJ" dataDxfId="39"/>
    <tableColumn id="3" name="REGIME" dataDxfId="38"/>
    <tableColumn id="4" name="RESPONSÁVEL" dataDxfId="37"/>
    <tableColumn id="5" name="VENCIMENTO" dataDxfId="36"/>
    <tableColumn id="6" name="ENTREGA" dataDxfId="35"/>
    <tableColumn id="7" name="ATRASO" dataDxfId="34">
      <calculatedColumnFormula>DAYS360(E2,F2)</calculatedColumnFormula>
    </tableColumn>
    <tableColumn id="9" name="Controle" dataDxfId="33">
      <calculatedColumnFormula>IF(Tabela14[[#This Row],[ENTREGA]]="",Tabela14[[#This Row],[VENCIMENTO]]-TODAY(),"")</calculatedColumnFormula>
    </tableColumn>
    <tableColumn id="8" name="STATUS" dataDxfId="32">
      <calculatedColumnFormula>IF(G2&gt;0.99,"Vencida","No Prazo")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ela5" displayName="Tabela5" ref="A1:K51" totalsRowShown="0" headerRowDxfId="20" headerRowBorderDxfId="19" tableBorderDxfId="18">
  <autoFilter ref="A1:K51"/>
  <tableColumns count="11">
    <tableColumn id="1" name="EMPRESA INATIVAS " dataDxfId="17"/>
    <tableColumn id="2" name="CNPJ" dataDxfId="16"/>
    <tableColumn id="3" name="REGIME" dataDxfId="15"/>
    <tableColumn id="4" name="COD ACESSO " dataDxfId="14"/>
    <tableColumn id="11" name="SITUAÇÃO"/>
    <tableColumn id="10" name="CPF RESPONSAVE" dataDxfId="13"/>
    <tableColumn id="5" name="VENCIMENTO" dataDxfId="12">
      <calculatedColumnFormula>'Menu principal'!O$21</calculatedColumnFormula>
    </tableColumn>
    <tableColumn id="6" name="ENTREGA"/>
    <tableColumn id="7" name="ATRASO"/>
    <tableColumn id="8" name="Controle" dataDxfId="11">
      <calculatedColumnFormula>IF(Tabela5[[#This Row],[ENTREGA]]="",Tabela5[[#This Row],[VENCIMENTO]]-TODAY(),"")</calculatedColumnFormula>
    </tableColumn>
    <tableColumn id="9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2:O40"/>
  <sheetViews>
    <sheetView showGridLines="0" tabSelected="1" topLeftCell="C10" zoomScale="98" zoomScaleNormal="98" workbookViewId="0">
      <selection activeCell="O17" sqref="O17"/>
    </sheetView>
  </sheetViews>
  <sheetFormatPr defaultColWidth="12.7109375" defaultRowHeight="15" x14ac:dyDescent="0.25"/>
  <sheetData>
    <row r="2" spans="1:15" x14ac:dyDescent="0.25">
      <c r="B2" s="127" t="s">
        <v>0</v>
      </c>
      <c r="C2" s="127"/>
      <c r="D2" s="127"/>
      <c r="E2" s="127"/>
      <c r="F2" s="127"/>
      <c r="G2" s="127"/>
      <c r="H2" s="127"/>
      <c r="I2" s="127"/>
      <c r="J2" s="127"/>
      <c r="K2" s="127"/>
      <c r="L2" s="118"/>
      <c r="N2" s="117" t="s">
        <v>31</v>
      </c>
      <c r="O2" s="118"/>
    </row>
    <row r="3" spans="1:1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3"/>
      <c r="N3" s="1"/>
      <c r="O3" s="3"/>
    </row>
    <row r="4" spans="1:15" x14ac:dyDescent="0.25">
      <c r="B4" s="115" t="s">
        <v>1</v>
      </c>
      <c r="C4" s="115"/>
      <c r="D4" s="115"/>
      <c r="E4" s="115"/>
      <c r="F4" s="115"/>
      <c r="G4" s="115"/>
      <c r="H4" s="115"/>
      <c r="I4" s="115"/>
      <c r="J4" s="115"/>
      <c r="K4" s="115"/>
      <c r="L4" s="116"/>
      <c r="N4" s="119"/>
      <c r="O4" s="116"/>
    </row>
    <row r="5" spans="1:1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3"/>
      <c r="N5" s="125"/>
      <c r="O5" s="126"/>
    </row>
    <row r="6" spans="1:15" x14ac:dyDescent="0.25">
      <c r="B6" s="115" t="s">
        <v>2</v>
      </c>
      <c r="C6" s="115"/>
      <c r="D6" s="4"/>
      <c r="E6" s="115" t="s">
        <v>5</v>
      </c>
      <c r="F6" s="115"/>
      <c r="G6" s="115"/>
      <c r="H6" s="115"/>
      <c r="I6" s="115"/>
      <c r="J6" s="115"/>
      <c r="K6" s="115"/>
      <c r="L6" s="116"/>
      <c r="N6" s="123"/>
      <c r="O6" s="124"/>
    </row>
    <row r="7" spans="1:15" x14ac:dyDescent="0.25">
      <c r="B7" s="139" t="s">
        <v>3</v>
      </c>
      <c r="C7" s="120" t="s">
        <v>4</v>
      </c>
      <c r="D7" s="5"/>
      <c r="E7" s="139" t="s">
        <v>6</v>
      </c>
      <c r="F7" s="134" t="s">
        <v>7</v>
      </c>
      <c r="G7" s="134" t="s">
        <v>9</v>
      </c>
      <c r="H7" s="120" t="s">
        <v>8</v>
      </c>
      <c r="I7" s="134" t="s">
        <v>12</v>
      </c>
      <c r="J7" s="134" t="s">
        <v>10</v>
      </c>
      <c r="K7" s="134" t="s">
        <v>14</v>
      </c>
      <c r="L7" s="128" t="s">
        <v>11</v>
      </c>
    </row>
    <row r="8" spans="1:15" x14ac:dyDescent="0.25">
      <c r="B8" s="139"/>
      <c r="C8" s="120"/>
      <c r="D8" s="5"/>
      <c r="E8" s="139"/>
      <c r="F8" s="134"/>
      <c r="G8" s="134"/>
      <c r="H8" s="120"/>
      <c r="I8" s="134"/>
      <c r="J8" s="134"/>
      <c r="K8" s="134"/>
      <c r="L8" s="128"/>
      <c r="N8" s="129" t="s">
        <v>34</v>
      </c>
      <c r="O8" s="130"/>
    </row>
    <row r="9" spans="1:15" x14ac:dyDescent="0.25">
      <c r="A9" t="s">
        <v>48</v>
      </c>
      <c r="B9" s="2">
        <f>COUNTBLANK(Tabela1[ENTREGA])</f>
        <v>20</v>
      </c>
      <c r="C9" s="2"/>
      <c r="D9" s="2"/>
      <c r="E9" s="2"/>
      <c r="F9" s="2"/>
      <c r="G9" s="2"/>
      <c r="H9" s="2"/>
      <c r="I9" s="2"/>
      <c r="J9" s="2"/>
      <c r="K9" s="2"/>
      <c r="L9" s="3"/>
      <c r="N9" s="131" t="s">
        <v>32</v>
      </c>
      <c r="O9" s="128" t="s">
        <v>33</v>
      </c>
    </row>
    <row r="10" spans="1:15" x14ac:dyDescent="0.25">
      <c r="A10" t="s">
        <v>49</v>
      </c>
      <c r="B10" s="2">
        <f>COUNTIF(DCTF!H:H,"&lt;10")</f>
        <v>35</v>
      </c>
      <c r="C10" s="2"/>
      <c r="D10" s="2"/>
      <c r="E10" s="2"/>
      <c r="F10" s="2"/>
      <c r="G10" s="2"/>
      <c r="H10" s="2"/>
      <c r="I10" s="2"/>
      <c r="J10" s="2"/>
      <c r="K10" s="2"/>
      <c r="L10" s="3"/>
      <c r="N10" s="132"/>
      <c r="O10" s="135"/>
    </row>
    <row r="11" spans="1:15" x14ac:dyDescent="0.25">
      <c r="A11" t="s">
        <v>51</v>
      </c>
      <c r="B11" s="2">
        <f ca="1">COUNTIF(DCTF!E:E,TODAY())</f>
        <v>0</v>
      </c>
      <c r="C11" s="2"/>
      <c r="D11" s="2"/>
      <c r="E11" s="2"/>
      <c r="F11" s="2"/>
      <c r="G11" s="2"/>
      <c r="H11" s="2"/>
      <c r="I11" s="2"/>
      <c r="J11" s="2"/>
      <c r="K11" s="2"/>
      <c r="L11" s="3"/>
      <c r="N11" s="132"/>
      <c r="O11" s="135"/>
    </row>
    <row r="12" spans="1:15" x14ac:dyDescent="0.25">
      <c r="A12" t="s">
        <v>52</v>
      </c>
      <c r="B12" s="2">
        <f>SUM(DCTF!H:H)</f>
        <v>-853164</v>
      </c>
      <c r="C12" s="2"/>
      <c r="D12" s="2"/>
      <c r="E12" s="2"/>
      <c r="F12" s="2"/>
      <c r="G12" s="2"/>
      <c r="H12" s="2"/>
      <c r="I12" s="2"/>
      <c r="J12" s="2"/>
      <c r="K12" s="2"/>
      <c r="L12" s="3"/>
      <c r="N12" s="132"/>
      <c r="O12" s="135"/>
    </row>
    <row r="13" spans="1:15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N13" s="132"/>
      <c r="O13" s="135"/>
    </row>
    <row r="14" spans="1:15" x14ac:dyDescent="0.25">
      <c r="B14" s="115" t="s">
        <v>13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N14" s="133"/>
      <c r="O14" s="136"/>
    </row>
    <row r="15" spans="1:1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5" x14ac:dyDescent="0.25">
      <c r="B16" s="115" t="s">
        <v>2</v>
      </c>
      <c r="C16" s="115"/>
      <c r="D16" s="115"/>
      <c r="E16" s="115"/>
      <c r="F16" s="2"/>
      <c r="G16" s="8" t="s">
        <v>5</v>
      </c>
      <c r="H16" s="2"/>
      <c r="I16" s="2"/>
      <c r="J16" s="2"/>
      <c r="K16" s="2"/>
      <c r="L16" s="3"/>
      <c r="N16" s="137" t="s">
        <v>40</v>
      </c>
      <c r="O16" s="138"/>
    </row>
    <row r="17" spans="2:15" x14ac:dyDescent="0.25">
      <c r="B17" s="120" t="s">
        <v>15</v>
      </c>
      <c r="C17" s="120" t="s">
        <v>16</v>
      </c>
      <c r="D17" s="120" t="s">
        <v>17</v>
      </c>
      <c r="E17" s="120" t="s">
        <v>18</v>
      </c>
      <c r="F17" s="2"/>
      <c r="G17" s="121" t="s">
        <v>19</v>
      </c>
      <c r="H17" s="2"/>
      <c r="I17" s="2"/>
      <c r="J17" s="2"/>
      <c r="K17" s="2"/>
      <c r="L17" s="3"/>
      <c r="N17" s="10" t="s">
        <v>3</v>
      </c>
      <c r="O17" s="36">
        <v>43242</v>
      </c>
    </row>
    <row r="18" spans="2:15" x14ac:dyDescent="0.25">
      <c r="B18" s="120"/>
      <c r="C18" s="120"/>
      <c r="D18" s="120"/>
      <c r="E18" s="120"/>
      <c r="F18" s="2"/>
      <c r="G18" s="122"/>
      <c r="H18" s="2"/>
      <c r="I18" s="2"/>
      <c r="J18" s="2"/>
      <c r="K18" s="2"/>
      <c r="L18" s="3"/>
      <c r="N18" s="11" t="s">
        <v>4</v>
      </c>
      <c r="O18" s="9"/>
    </row>
    <row r="19" spans="2:15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N19" s="10" t="s">
        <v>6</v>
      </c>
      <c r="O19" s="36">
        <v>43159</v>
      </c>
    </row>
    <row r="20" spans="2:15" x14ac:dyDescent="0.25">
      <c r="B20" s="115" t="s">
        <v>20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6"/>
      <c r="N20" s="10" t="s">
        <v>7</v>
      </c>
      <c r="O20" s="9"/>
    </row>
    <row r="21" spans="2:15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N21" s="10" t="s">
        <v>9</v>
      </c>
      <c r="O21" s="36">
        <f>DATE(2018,3,31)</f>
        <v>43190</v>
      </c>
    </row>
    <row r="22" spans="2:15" x14ac:dyDescent="0.25">
      <c r="B22" s="115" t="s">
        <v>2</v>
      </c>
      <c r="C22" s="115"/>
      <c r="D22" s="115"/>
      <c r="E22" s="115"/>
      <c r="F22" s="2"/>
      <c r="G22" s="8" t="s">
        <v>5</v>
      </c>
      <c r="H22" s="2"/>
      <c r="I22" s="2"/>
      <c r="J22" s="2"/>
      <c r="K22" s="2"/>
      <c r="L22" s="3"/>
      <c r="N22" s="11" t="s">
        <v>8</v>
      </c>
      <c r="O22" s="9"/>
    </row>
    <row r="23" spans="2:15" x14ac:dyDescent="0.25">
      <c r="B23" s="120" t="s">
        <v>21</v>
      </c>
      <c r="C23" s="120" t="s">
        <v>24</v>
      </c>
      <c r="D23" s="120" t="s">
        <v>23</v>
      </c>
      <c r="E23" s="120" t="s">
        <v>22</v>
      </c>
      <c r="F23" s="2"/>
      <c r="G23" s="121" t="s">
        <v>25</v>
      </c>
      <c r="H23" s="2"/>
      <c r="I23" s="2"/>
      <c r="J23" s="2"/>
      <c r="K23" s="2"/>
      <c r="L23" s="3"/>
      <c r="N23" s="10" t="s">
        <v>12</v>
      </c>
      <c r="O23" s="9"/>
    </row>
    <row r="24" spans="2:15" x14ac:dyDescent="0.25">
      <c r="B24" s="120"/>
      <c r="C24" s="120"/>
      <c r="D24" s="120"/>
      <c r="E24" s="120"/>
      <c r="F24" s="2"/>
      <c r="G24" s="122"/>
      <c r="H24" s="2"/>
      <c r="I24" s="2"/>
      <c r="J24" s="2"/>
      <c r="K24" s="2"/>
      <c r="L24" s="3"/>
      <c r="N24" s="10" t="s">
        <v>10</v>
      </c>
      <c r="O24" s="9"/>
    </row>
    <row r="25" spans="2:1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N25" s="10" t="s">
        <v>41</v>
      </c>
      <c r="O25" s="36">
        <v>43250</v>
      </c>
    </row>
    <row r="26" spans="2:15" x14ac:dyDescent="0.25">
      <c r="B26" s="115" t="s">
        <v>26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6"/>
      <c r="N26" s="10" t="s">
        <v>11</v>
      </c>
      <c r="O26" s="9"/>
    </row>
    <row r="27" spans="2:15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N27" s="11" t="s">
        <v>15</v>
      </c>
      <c r="O27" s="9"/>
    </row>
    <row r="28" spans="2:15" x14ac:dyDescent="0.25">
      <c r="B28" s="134" t="s">
        <v>27</v>
      </c>
      <c r="C28" s="134" t="s">
        <v>28</v>
      </c>
      <c r="D28" s="120" t="s">
        <v>29</v>
      </c>
      <c r="E28" s="120" t="s">
        <v>30</v>
      </c>
      <c r="F28" s="2"/>
      <c r="G28" s="2"/>
      <c r="H28" s="2"/>
      <c r="I28" s="2"/>
      <c r="J28" s="2"/>
      <c r="K28" s="2"/>
      <c r="L28" s="3"/>
      <c r="N28" s="11" t="s">
        <v>16</v>
      </c>
      <c r="O28" s="9"/>
    </row>
    <row r="29" spans="2:15" x14ac:dyDescent="0.25">
      <c r="B29" s="134"/>
      <c r="C29" s="134"/>
      <c r="D29" s="120"/>
      <c r="E29" s="120"/>
      <c r="F29" s="2"/>
      <c r="G29" s="2"/>
      <c r="H29" s="2"/>
      <c r="I29" s="2"/>
      <c r="J29" s="2"/>
      <c r="K29" s="2"/>
      <c r="L29" s="3"/>
      <c r="N29" s="11" t="s">
        <v>17</v>
      </c>
      <c r="O29" s="9"/>
    </row>
    <row r="30" spans="2:15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N30" s="11" t="s">
        <v>18</v>
      </c>
      <c r="O30" s="9"/>
    </row>
    <row r="31" spans="2:15" x14ac:dyDescent="0.25">
      <c r="N31" s="11" t="s">
        <v>19</v>
      </c>
      <c r="O31" s="9"/>
    </row>
    <row r="32" spans="2:15" x14ac:dyDescent="0.25">
      <c r="N32" s="11" t="s">
        <v>21</v>
      </c>
      <c r="O32" s="9"/>
    </row>
    <row r="33" spans="14:15" x14ac:dyDescent="0.25">
      <c r="N33" s="11" t="s">
        <v>24</v>
      </c>
      <c r="O33" s="9"/>
    </row>
    <row r="34" spans="14:15" x14ac:dyDescent="0.25">
      <c r="N34" s="11" t="s">
        <v>23</v>
      </c>
      <c r="O34" s="9"/>
    </row>
    <row r="35" spans="14:15" x14ac:dyDescent="0.25">
      <c r="N35" s="11" t="s">
        <v>22</v>
      </c>
      <c r="O35" s="9"/>
    </row>
    <row r="36" spans="14:15" x14ac:dyDescent="0.25">
      <c r="N36" s="11" t="s">
        <v>25</v>
      </c>
      <c r="O36" s="9"/>
    </row>
    <row r="37" spans="14:15" x14ac:dyDescent="0.25">
      <c r="N37" s="10" t="s">
        <v>27</v>
      </c>
      <c r="O37" s="9"/>
    </row>
    <row r="38" spans="14:15" x14ac:dyDescent="0.25">
      <c r="N38" s="10" t="s">
        <v>28</v>
      </c>
      <c r="O38" s="9"/>
    </row>
    <row r="39" spans="14:15" x14ac:dyDescent="0.25">
      <c r="N39" s="11" t="s">
        <v>29</v>
      </c>
      <c r="O39" s="9"/>
    </row>
    <row r="40" spans="14:15" x14ac:dyDescent="0.25">
      <c r="N40" s="11" t="s">
        <v>30</v>
      </c>
      <c r="O40" s="9"/>
    </row>
  </sheetData>
  <mergeCells count="41">
    <mergeCell ref="O9:O14"/>
    <mergeCell ref="N16:O16"/>
    <mergeCell ref="B22:E22"/>
    <mergeCell ref="E7:E8"/>
    <mergeCell ref="F7:F8"/>
    <mergeCell ref="G7:G8"/>
    <mergeCell ref="I7:I8"/>
    <mergeCell ref="J7:J8"/>
    <mergeCell ref="K7:K8"/>
    <mergeCell ref="B7:B8"/>
    <mergeCell ref="C7:C8"/>
    <mergeCell ref="B17:B18"/>
    <mergeCell ref="C17:C18"/>
    <mergeCell ref="D17:D18"/>
    <mergeCell ref="B20:L20"/>
    <mergeCell ref="B23:B24"/>
    <mergeCell ref="C23:C24"/>
    <mergeCell ref="D23:D24"/>
    <mergeCell ref="E23:E24"/>
    <mergeCell ref="G23:G24"/>
    <mergeCell ref="B26:L26"/>
    <mergeCell ref="B28:B29"/>
    <mergeCell ref="C28:C29"/>
    <mergeCell ref="D28:D29"/>
    <mergeCell ref="E28:E29"/>
    <mergeCell ref="B4:L4"/>
    <mergeCell ref="N2:O2"/>
    <mergeCell ref="N4:O4"/>
    <mergeCell ref="E17:E18"/>
    <mergeCell ref="G17:G18"/>
    <mergeCell ref="B6:C6"/>
    <mergeCell ref="N6:O6"/>
    <mergeCell ref="N5:O5"/>
    <mergeCell ref="E6:L6"/>
    <mergeCell ref="B2:L2"/>
    <mergeCell ref="B16:E16"/>
    <mergeCell ref="L7:L8"/>
    <mergeCell ref="H7:H8"/>
    <mergeCell ref="B14:L14"/>
    <mergeCell ref="N8:O8"/>
    <mergeCell ref="N9:N14"/>
  </mergeCells>
  <hyperlinks>
    <hyperlink ref="C7:C8" location="'EFD CONT'!A1" display="EFD CONT"/>
    <hyperlink ref="B7:B8" location="DCTF!A1" display="DCTF"/>
    <hyperlink ref="E7:E8" location="DIRF!A1" display="DIRF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/>
  <dimension ref="A1:J36"/>
  <sheetViews>
    <sheetView workbookViewId="0">
      <selection activeCell="B2" sqref="B2:B49"/>
    </sheetView>
  </sheetViews>
  <sheetFormatPr defaultColWidth="14.7109375" defaultRowHeight="15" x14ac:dyDescent="0.25"/>
  <cols>
    <col min="1" max="1" width="51.7109375" bestFit="1" customWidth="1"/>
    <col min="2" max="2" width="18" bestFit="1" customWidth="1"/>
    <col min="3" max="3" width="20.7109375" bestFit="1" customWidth="1"/>
    <col min="4" max="4" width="15.7109375" customWidth="1"/>
    <col min="5" max="5" width="7.85546875" customWidth="1"/>
    <col min="7" max="7" width="48.5703125" customWidth="1"/>
  </cols>
  <sheetData>
    <row r="1" spans="1:10" x14ac:dyDescent="0.25">
      <c r="A1" s="45" t="s">
        <v>81</v>
      </c>
      <c r="B1" s="107" t="s">
        <v>37</v>
      </c>
      <c r="C1" s="107" t="s">
        <v>38</v>
      </c>
      <c r="D1" s="107" t="s">
        <v>119</v>
      </c>
      <c r="E1" s="107" t="s">
        <v>45</v>
      </c>
      <c r="F1" s="107" t="s">
        <v>39</v>
      </c>
      <c r="G1" s="107" t="s">
        <v>42</v>
      </c>
      <c r="H1" s="108" t="s">
        <v>47</v>
      </c>
      <c r="I1" s="109" t="s">
        <v>50</v>
      </c>
      <c r="J1" s="110" t="s">
        <v>44</v>
      </c>
    </row>
    <row r="2" spans="1:10" x14ac:dyDescent="0.25">
      <c r="A2" s="15" t="s">
        <v>53</v>
      </c>
      <c r="B2" s="9"/>
      <c r="C2" s="9" t="s">
        <v>78</v>
      </c>
      <c r="D2" s="9" t="s">
        <v>120</v>
      </c>
      <c r="E2" s="9"/>
      <c r="F2" s="12">
        <v>43182</v>
      </c>
      <c r="G2" s="13">
        <v>43180</v>
      </c>
      <c r="H2" s="14">
        <f t="shared" ref="H2:H30" si="0">DAYS360(F2,G2)</f>
        <v>-2</v>
      </c>
      <c r="I2" s="30" t="str">
        <f ca="1">IF(Tabela1[[#This Row],[ENTREGA]]="",Tabela1[[#This Row],[VENCIMENTO]]-TODAY( ),"")</f>
        <v/>
      </c>
      <c r="J2" s="16" t="str">
        <f t="shared" ref="J2:J30" si="1">IF(H2&gt;0.99,"Vencida","No Prazo")</f>
        <v>No Prazo</v>
      </c>
    </row>
    <row r="3" spans="1:10" x14ac:dyDescent="0.25">
      <c r="A3" s="21" t="s">
        <v>55</v>
      </c>
      <c r="B3" s="9"/>
      <c r="C3" s="22" t="s">
        <v>79</v>
      </c>
      <c r="D3" s="9" t="s">
        <v>120</v>
      </c>
      <c r="E3" s="22"/>
      <c r="F3" s="12">
        <v>43242</v>
      </c>
      <c r="G3" s="24"/>
      <c r="H3" s="25">
        <f>DAYS360(F3,G3)</f>
        <v>-42622</v>
      </c>
      <c r="I3" s="30">
        <f ca="1">IF(Tabela1[[#This Row],[ENTREGA]]="",Tabela1[[#This Row],[VENCIMENTO]]-TODAY( ),"")</f>
        <v>-1</v>
      </c>
      <c r="J3" s="26" t="str">
        <f>IF(H3&gt;0.99,"Vencida","No Prazo")</f>
        <v>No Prazo</v>
      </c>
    </row>
    <row r="4" spans="1:10" x14ac:dyDescent="0.25">
      <c r="A4" s="21" t="s">
        <v>54</v>
      </c>
      <c r="B4" s="9"/>
      <c r="C4" s="22" t="s">
        <v>79</v>
      </c>
      <c r="D4" s="9" t="s">
        <v>120</v>
      </c>
      <c r="E4" s="22"/>
      <c r="F4" s="12">
        <v>43242</v>
      </c>
      <c r="G4" s="24"/>
      <c r="H4" s="25">
        <f t="shared" si="0"/>
        <v>-42622</v>
      </c>
      <c r="I4" s="29">
        <f ca="1">IF(Tabela1[[#This Row],[ENTREGA]]="",Tabela1[[#This Row],[VENCIMENTO]]-TODAY( ),"")</f>
        <v>-1</v>
      </c>
      <c r="J4" s="31" t="str">
        <f t="shared" si="1"/>
        <v>No Prazo</v>
      </c>
    </row>
    <row r="5" spans="1:10" x14ac:dyDescent="0.25">
      <c r="A5" s="15" t="s">
        <v>56</v>
      </c>
      <c r="B5" s="9"/>
      <c r="C5" s="9" t="s">
        <v>79</v>
      </c>
      <c r="D5" s="9" t="s">
        <v>120</v>
      </c>
      <c r="E5" s="9"/>
      <c r="F5" s="12">
        <v>43242</v>
      </c>
      <c r="G5" s="37"/>
      <c r="H5" s="25">
        <f t="shared" si="0"/>
        <v>-42622</v>
      </c>
      <c r="I5" s="29">
        <f ca="1">IF(Tabela1[[#This Row],[ENTREGA]]="",Tabela1[[#This Row],[VENCIMENTO]]-TODAY( ),"")</f>
        <v>-1</v>
      </c>
      <c r="J5" s="31" t="str">
        <f t="shared" si="1"/>
        <v>No Prazo</v>
      </c>
    </row>
    <row r="6" spans="1:10" x14ac:dyDescent="0.25">
      <c r="A6" s="21" t="s">
        <v>57</v>
      </c>
      <c r="B6" s="9"/>
      <c r="C6" s="22" t="s">
        <v>137</v>
      </c>
      <c r="D6" s="9" t="s">
        <v>120</v>
      </c>
      <c r="E6" s="22"/>
      <c r="F6" s="12">
        <f>'Menu principal'!O$17</f>
        <v>43242</v>
      </c>
      <c r="G6" s="37">
        <v>43172</v>
      </c>
      <c r="H6" s="25">
        <f t="shared" si="0"/>
        <v>-69</v>
      </c>
      <c r="I6" s="29" t="str">
        <f ca="1">IF(Tabela1[[#This Row],[ENTREGA]]="",Tabela1[[#This Row],[VENCIMENTO]]-TODAY( ),"")</f>
        <v/>
      </c>
      <c r="J6" s="31" t="str">
        <f t="shared" si="1"/>
        <v>No Prazo</v>
      </c>
    </row>
    <row r="7" spans="1:10" x14ac:dyDescent="0.25">
      <c r="A7" s="21" t="s">
        <v>58</v>
      </c>
      <c r="B7" s="9"/>
      <c r="C7" s="22" t="s">
        <v>137</v>
      </c>
      <c r="D7" s="9" t="s">
        <v>120</v>
      </c>
      <c r="E7" s="22"/>
      <c r="F7" s="12">
        <f>'Menu principal'!O$17</f>
        <v>43242</v>
      </c>
      <c r="G7" s="37">
        <v>43172</v>
      </c>
      <c r="H7" s="25">
        <f t="shared" si="0"/>
        <v>-69</v>
      </c>
      <c r="I7" s="29" t="str">
        <f ca="1">IF(Tabela1[[#This Row],[ENTREGA]]="",Tabela1[[#This Row],[VENCIMENTO]]-TODAY( ),"")</f>
        <v/>
      </c>
      <c r="J7" s="31" t="str">
        <f t="shared" si="1"/>
        <v>No Prazo</v>
      </c>
    </row>
    <row r="8" spans="1:10" x14ac:dyDescent="0.25">
      <c r="A8" s="15" t="s">
        <v>60</v>
      </c>
      <c r="B8" s="9"/>
      <c r="C8" s="9" t="s">
        <v>137</v>
      </c>
      <c r="D8" s="9" t="s">
        <v>120</v>
      </c>
      <c r="E8" s="9"/>
      <c r="F8" s="12">
        <f>'Menu principal'!O$17</f>
        <v>43242</v>
      </c>
      <c r="G8" s="37">
        <v>43172</v>
      </c>
      <c r="H8" s="25">
        <f t="shared" si="0"/>
        <v>-69</v>
      </c>
      <c r="I8" s="29" t="str">
        <f ca="1">IF(Tabela1[[#This Row],[ENTREGA]]="",Tabela1[[#This Row],[VENCIMENTO]]-TODAY( ),"")</f>
        <v/>
      </c>
      <c r="J8" s="31" t="str">
        <f t="shared" si="1"/>
        <v>No Prazo</v>
      </c>
    </row>
    <row r="9" spans="1:10" x14ac:dyDescent="0.25">
      <c r="A9" s="46" t="s">
        <v>59</v>
      </c>
      <c r="B9" s="47"/>
      <c r="C9" s="47" t="s">
        <v>79</v>
      </c>
      <c r="D9" s="47" t="s">
        <v>120</v>
      </c>
      <c r="E9" s="47"/>
      <c r="F9" s="12">
        <v>43242</v>
      </c>
      <c r="G9" s="49"/>
      <c r="H9" s="25">
        <f t="shared" si="0"/>
        <v>-42622</v>
      </c>
      <c r="I9" s="29">
        <f ca="1">IF(Tabela1[[#This Row],[ENTREGA]]="",Tabela1[[#This Row],[VENCIMENTO]]-TODAY( ),"")</f>
        <v>-1</v>
      </c>
      <c r="J9" s="31" t="str">
        <f t="shared" si="1"/>
        <v>No Prazo</v>
      </c>
    </row>
    <row r="10" spans="1:10" x14ac:dyDescent="0.25">
      <c r="A10" s="15" t="s">
        <v>61</v>
      </c>
      <c r="B10" s="9"/>
      <c r="C10" s="9" t="s">
        <v>137</v>
      </c>
      <c r="D10" s="9" t="s">
        <v>120</v>
      </c>
      <c r="E10" s="9"/>
      <c r="F10" s="12">
        <f>'Menu principal'!O$17</f>
        <v>43242</v>
      </c>
      <c r="G10" s="37">
        <v>43172</v>
      </c>
      <c r="H10" s="25">
        <f t="shared" si="0"/>
        <v>-69</v>
      </c>
      <c r="I10" s="29" t="str">
        <f ca="1">IF(Tabela1[[#This Row],[ENTREGA]]="",Tabela1[[#This Row],[VENCIMENTO]]-TODAY( ),"")</f>
        <v/>
      </c>
      <c r="J10" s="31" t="str">
        <f t="shared" si="1"/>
        <v>No Prazo</v>
      </c>
    </row>
    <row r="11" spans="1:10" x14ac:dyDescent="0.25">
      <c r="A11" s="15" t="s">
        <v>62</v>
      </c>
      <c r="B11" s="9"/>
      <c r="C11" s="9" t="s">
        <v>137</v>
      </c>
      <c r="D11" s="9" t="s">
        <v>120</v>
      </c>
      <c r="E11" s="9"/>
      <c r="F11" s="12">
        <f>'Menu principal'!O$17</f>
        <v>43242</v>
      </c>
      <c r="G11" s="37">
        <v>43172</v>
      </c>
      <c r="H11" s="25">
        <f t="shared" si="0"/>
        <v>-69</v>
      </c>
      <c r="I11" s="29" t="str">
        <f ca="1">IF(Tabela1[[#This Row],[ENTREGA]]="",Tabela1[[#This Row],[VENCIMENTO]]-TODAY( ),"")</f>
        <v/>
      </c>
      <c r="J11" s="31" t="str">
        <f t="shared" si="1"/>
        <v>No Prazo</v>
      </c>
    </row>
    <row r="12" spans="1:10" x14ac:dyDescent="0.25">
      <c r="A12" s="15" t="s">
        <v>63</v>
      </c>
      <c r="B12" s="9"/>
      <c r="C12" s="9" t="s">
        <v>137</v>
      </c>
      <c r="D12" s="9" t="s">
        <v>120</v>
      </c>
      <c r="E12" s="9"/>
      <c r="F12" s="12">
        <f>'Menu principal'!O$17</f>
        <v>43242</v>
      </c>
      <c r="G12" s="37">
        <v>43172</v>
      </c>
      <c r="H12" s="25">
        <f t="shared" si="0"/>
        <v>-69</v>
      </c>
      <c r="I12" s="29" t="str">
        <f ca="1">IF(Tabela1[[#This Row],[ENTREGA]]="",Tabela1[[#This Row],[VENCIMENTO]]-TODAY( ),"")</f>
        <v/>
      </c>
      <c r="J12" s="31" t="str">
        <f t="shared" si="1"/>
        <v>No Prazo</v>
      </c>
    </row>
    <row r="13" spans="1:10" x14ac:dyDescent="0.25">
      <c r="A13" s="46" t="s">
        <v>64</v>
      </c>
      <c r="B13" s="47"/>
      <c r="C13" s="47" t="s">
        <v>79</v>
      </c>
      <c r="D13" s="47" t="s">
        <v>123</v>
      </c>
      <c r="E13" s="47"/>
      <c r="F13" s="12">
        <v>43242</v>
      </c>
      <c r="G13" s="49"/>
      <c r="H13" s="50">
        <f t="shared" si="0"/>
        <v>-42622</v>
      </c>
      <c r="I13" s="51">
        <f ca="1">IF(Tabela1[[#This Row],[ENTREGA]]="",Tabela1[[#This Row],[VENCIMENTO]]-TODAY( ),"")</f>
        <v>-1</v>
      </c>
      <c r="J13" s="52" t="str">
        <f t="shared" si="1"/>
        <v>No Prazo</v>
      </c>
    </row>
    <row r="14" spans="1:10" x14ac:dyDescent="0.25">
      <c r="A14" s="21" t="s">
        <v>65</v>
      </c>
      <c r="B14" s="9"/>
      <c r="C14" s="22" t="s">
        <v>78</v>
      </c>
      <c r="D14" s="9" t="s">
        <v>120</v>
      </c>
      <c r="E14" s="22"/>
      <c r="F14" s="12">
        <f>'Menu principal'!O$17</f>
        <v>43242</v>
      </c>
      <c r="G14" s="37">
        <v>43172</v>
      </c>
      <c r="H14" s="25">
        <f t="shared" si="0"/>
        <v>-69</v>
      </c>
      <c r="I14" s="29" t="str">
        <f ca="1">IF(Tabela1[[#This Row],[ENTREGA]]="",Tabela1[[#This Row],[VENCIMENTO]]-TODAY( ),"")</f>
        <v/>
      </c>
      <c r="J14" s="31" t="str">
        <f t="shared" si="1"/>
        <v>No Prazo</v>
      </c>
    </row>
    <row r="15" spans="1:10" x14ac:dyDescent="0.25">
      <c r="A15" s="92" t="s">
        <v>102</v>
      </c>
      <c r="B15" s="47"/>
      <c r="C15" s="53" t="s">
        <v>78</v>
      </c>
      <c r="D15" s="53" t="s">
        <v>138</v>
      </c>
      <c r="E15" s="53"/>
      <c r="F15" s="48">
        <v>43182</v>
      </c>
      <c r="G15" s="54">
        <v>43174</v>
      </c>
      <c r="H15" s="25">
        <f t="shared" si="0"/>
        <v>-8</v>
      </c>
      <c r="I15" s="51" t="str">
        <f ca="1">IF(Tabela1[[#This Row],[ENTREGA]]="",Tabela1[[#This Row],[VENCIMENTO]]-TODAY( ),"")</f>
        <v/>
      </c>
      <c r="J15" s="52" t="str">
        <f t="shared" si="1"/>
        <v>No Prazo</v>
      </c>
    </row>
    <row r="16" spans="1:10" x14ac:dyDescent="0.25">
      <c r="A16" s="21" t="s">
        <v>66</v>
      </c>
      <c r="B16" s="9"/>
      <c r="C16" s="22" t="s">
        <v>78</v>
      </c>
      <c r="D16" s="22" t="s">
        <v>120</v>
      </c>
      <c r="E16" s="22"/>
      <c r="F16" s="12">
        <f>'Menu principal'!O$17</f>
        <v>43242</v>
      </c>
      <c r="G16" s="37">
        <v>43172</v>
      </c>
      <c r="H16" s="25">
        <f t="shared" si="0"/>
        <v>-69</v>
      </c>
      <c r="I16" s="29" t="str">
        <f ca="1">IF(Tabela1[[#This Row],[ENTREGA]]="",Tabela1[[#This Row],[VENCIMENTO]]-TODAY( ),"")</f>
        <v/>
      </c>
      <c r="J16" s="31" t="str">
        <f t="shared" si="1"/>
        <v>No Prazo</v>
      </c>
    </row>
    <row r="17" spans="1:10" x14ac:dyDescent="0.25">
      <c r="A17" s="15" t="s">
        <v>69</v>
      </c>
      <c r="B17" s="9"/>
      <c r="C17" s="9" t="s">
        <v>79</v>
      </c>
      <c r="D17" s="9" t="s">
        <v>120</v>
      </c>
      <c r="E17" s="9"/>
      <c r="F17" s="12">
        <v>43242</v>
      </c>
      <c r="G17" s="37"/>
      <c r="H17" s="25">
        <f t="shared" si="0"/>
        <v>-42622</v>
      </c>
      <c r="I17" s="29">
        <f ca="1">IF(Tabela1[[#This Row],[ENTREGA]]="",Tabela1[[#This Row],[VENCIMENTO]]-TODAY( ),"")</f>
        <v>-1</v>
      </c>
      <c r="J17" s="31" t="str">
        <f t="shared" si="1"/>
        <v>No Prazo</v>
      </c>
    </row>
    <row r="18" spans="1:10" x14ac:dyDescent="0.25">
      <c r="A18" s="15" t="s">
        <v>70</v>
      </c>
      <c r="B18" s="9"/>
      <c r="C18" s="9" t="s">
        <v>79</v>
      </c>
      <c r="D18" s="9" t="s">
        <v>120</v>
      </c>
      <c r="E18" s="9"/>
      <c r="F18" s="12">
        <v>43242</v>
      </c>
      <c r="G18" s="37"/>
      <c r="H18" s="25">
        <f t="shared" si="0"/>
        <v>-42622</v>
      </c>
      <c r="I18" s="29">
        <f ca="1">IF(Tabela1[[#This Row],[ENTREGA]]="",Tabela1[[#This Row],[VENCIMENTO]]-TODAY( ),"")</f>
        <v>-1</v>
      </c>
      <c r="J18" s="31" t="str">
        <f t="shared" si="1"/>
        <v>No Prazo</v>
      </c>
    </row>
    <row r="19" spans="1:10" x14ac:dyDescent="0.25">
      <c r="A19" s="15" t="s">
        <v>80</v>
      </c>
      <c r="B19" s="9"/>
      <c r="C19" s="9" t="s">
        <v>78</v>
      </c>
      <c r="D19" s="9" t="s">
        <v>120</v>
      </c>
      <c r="E19" s="9"/>
      <c r="F19" s="12">
        <f>'Menu principal'!O$17</f>
        <v>43242</v>
      </c>
      <c r="G19" s="37">
        <v>43172</v>
      </c>
      <c r="H19" s="25">
        <f t="shared" si="0"/>
        <v>-69</v>
      </c>
      <c r="I19" s="29" t="str">
        <f ca="1">IF(Tabela1[[#This Row],[ENTREGA]]="",Tabela1[[#This Row],[VENCIMENTO]]-TODAY( ),"")</f>
        <v/>
      </c>
      <c r="J19" s="31" t="str">
        <f t="shared" si="1"/>
        <v>No Prazo</v>
      </c>
    </row>
    <row r="20" spans="1:10" x14ac:dyDescent="0.25">
      <c r="A20" s="15" t="s">
        <v>71</v>
      </c>
      <c r="B20" s="9"/>
      <c r="C20" s="9" t="s">
        <v>79</v>
      </c>
      <c r="D20" s="9" t="s">
        <v>120</v>
      </c>
      <c r="E20" s="9"/>
      <c r="F20" s="12">
        <v>43242</v>
      </c>
      <c r="G20" s="37"/>
      <c r="H20" s="25">
        <f t="shared" si="0"/>
        <v>-42622</v>
      </c>
      <c r="I20" s="29">
        <f ca="1">IF(Tabela1[[#This Row],[ENTREGA]]="",Tabela1[[#This Row],[VENCIMENTO]]-TODAY( ),"")</f>
        <v>-1</v>
      </c>
      <c r="J20" s="31" t="str">
        <f t="shared" si="1"/>
        <v>No Prazo</v>
      </c>
    </row>
    <row r="21" spans="1:10" x14ac:dyDescent="0.25">
      <c r="A21" s="46" t="s">
        <v>82</v>
      </c>
      <c r="B21" s="47"/>
      <c r="C21" s="47" t="s">
        <v>79</v>
      </c>
      <c r="D21" s="47" t="s">
        <v>123</v>
      </c>
      <c r="E21" s="47"/>
      <c r="F21" s="12">
        <v>43242</v>
      </c>
      <c r="G21" s="49"/>
      <c r="H21" s="50">
        <f t="shared" si="0"/>
        <v>-42622</v>
      </c>
      <c r="I21" s="51">
        <f ca="1">IF(Tabela1[[#This Row],[ENTREGA]]="",Tabela1[[#This Row],[VENCIMENTO]]-TODAY( ),"")</f>
        <v>-1</v>
      </c>
      <c r="J21" s="52" t="str">
        <f t="shared" si="1"/>
        <v>No Prazo</v>
      </c>
    </row>
    <row r="22" spans="1:10" x14ac:dyDescent="0.25">
      <c r="A22" s="55" t="s">
        <v>73</v>
      </c>
      <c r="B22" s="47"/>
      <c r="C22" s="53" t="s">
        <v>79</v>
      </c>
      <c r="D22" s="47" t="s">
        <v>120</v>
      </c>
      <c r="E22" s="53"/>
      <c r="F22" s="12">
        <v>43242</v>
      </c>
      <c r="G22" s="49"/>
      <c r="H22" s="50">
        <f t="shared" si="0"/>
        <v>-42622</v>
      </c>
      <c r="I22" s="51">
        <f ca="1">IF(Tabela1[[#This Row],[ENTREGA]]="",Tabela1[[#This Row],[VENCIMENTO]]-TODAY( ),"")</f>
        <v>-1</v>
      </c>
      <c r="J22" s="31" t="str">
        <f t="shared" si="1"/>
        <v>No Prazo</v>
      </c>
    </row>
    <row r="23" spans="1:10" x14ac:dyDescent="0.25">
      <c r="A23" s="15" t="s">
        <v>72</v>
      </c>
      <c r="B23" s="9"/>
      <c r="C23" s="9" t="s">
        <v>79</v>
      </c>
      <c r="D23" s="9" t="s">
        <v>120</v>
      </c>
      <c r="E23" s="9"/>
      <c r="F23" s="12">
        <v>43242</v>
      </c>
      <c r="G23" s="37"/>
      <c r="H23" s="25">
        <f t="shared" si="0"/>
        <v>-42622</v>
      </c>
      <c r="I23" s="29">
        <f ca="1">IF(Tabela1[[#This Row],[ENTREGA]]="",Tabela1[[#This Row],[VENCIMENTO]]-TODAY( ),"")</f>
        <v>-1</v>
      </c>
      <c r="J23" s="31" t="str">
        <f t="shared" si="1"/>
        <v>No Prazo</v>
      </c>
    </row>
    <row r="24" spans="1:10" x14ac:dyDescent="0.25">
      <c r="A24" s="21" t="s">
        <v>74</v>
      </c>
      <c r="B24" s="9"/>
      <c r="C24" s="22" t="s">
        <v>79</v>
      </c>
      <c r="D24" s="9" t="s">
        <v>120</v>
      </c>
      <c r="E24" s="22"/>
      <c r="F24" s="12">
        <v>43242</v>
      </c>
      <c r="G24" s="37"/>
      <c r="H24" s="25">
        <f t="shared" si="0"/>
        <v>-42622</v>
      </c>
      <c r="I24" s="29">
        <f ca="1">IF(Tabela1[[#This Row],[ENTREGA]]="",Tabela1[[#This Row],[VENCIMENTO]]-TODAY( ),"")</f>
        <v>-1</v>
      </c>
      <c r="J24" s="31" t="str">
        <f t="shared" si="1"/>
        <v>No Prazo</v>
      </c>
    </row>
    <row r="25" spans="1:10" x14ac:dyDescent="0.25">
      <c r="A25" s="46" t="s">
        <v>83</v>
      </c>
      <c r="B25" s="47"/>
      <c r="C25" s="47" t="s">
        <v>79</v>
      </c>
      <c r="D25" s="47" t="s">
        <v>123</v>
      </c>
      <c r="E25" s="47"/>
      <c r="F25" s="12">
        <v>43242</v>
      </c>
      <c r="G25" s="49"/>
      <c r="H25" s="50">
        <f t="shared" si="0"/>
        <v>-42622</v>
      </c>
      <c r="I25" s="51">
        <f ca="1">IF(Tabela1[[#This Row],[ENTREGA]]="",Tabela1[[#This Row],[VENCIMENTO]]-TODAY( ),"")</f>
        <v>-1</v>
      </c>
      <c r="J25" s="52" t="str">
        <f t="shared" si="1"/>
        <v>No Prazo</v>
      </c>
    </row>
    <row r="26" spans="1:10" x14ac:dyDescent="0.25">
      <c r="A26" s="21" t="s">
        <v>75</v>
      </c>
      <c r="B26" s="9"/>
      <c r="C26" s="22" t="s">
        <v>79</v>
      </c>
      <c r="D26" s="9" t="s">
        <v>120</v>
      </c>
      <c r="E26" s="22"/>
      <c r="F26" s="12">
        <v>43242</v>
      </c>
      <c r="G26" s="38"/>
      <c r="H26" s="25">
        <f t="shared" si="0"/>
        <v>-42622</v>
      </c>
      <c r="I26" s="29">
        <f ca="1">IF(Tabela1[[#This Row],[ENTREGA]]="",Tabela1[[#This Row],[VENCIMENTO]]-TODAY( ),"")</f>
        <v>-1</v>
      </c>
      <c r="J26" s="31" t="str">
        <f t="shared" si="1"/>
        <v>No Prazo</v>
      </c>
    </row>
    <row r="27" spans="1:10" x14ac:dyDescent="0.25">
      <c r="A27" s="47" t="s">
        <v>76</v>
      </c>
      <c r="B27" s="47"/>
      <c r="C27" s="47" t="s">
        <v>79</v>
      </c>
      <c r="D27" s="47" t="s">
        <v>120</v>
      </c>
      <c r="E27" s="47"/>
      <c r="F27" s="12">
        <v>43242</v>
      </c>
      <c r="G27" s="49"/>
      <c r="H27" s="25">
        <f t="shared" si="0"/>
        <v>-42622</v>
      </c>
      <c r="I27" s="29">
        <f ca="1">IF(Tabela1[[#This Row],[ENTREGA]]="",Tabela1[[#This Row],[VENCIMENTO]]-TODAY( ),"")</f>
        <v>-1</v>
      </c>
      <c r="J27" s="31" t="str">
        <f t="shared" si="1"/>
        <v>No Prazo</v>
      </c>
    </row>
    <row r="28" spans="1:10" x14ac:dyDescent="0.25">
      <c r="A28" s="15" t="s">
        <v>77</v>
      </c>
      <c r="B28" s="9"/>
      <c r="C28" s="9" t="s">
        <v>79</v>
      </c>
      <c r="D28" s="9" t="s">
        <v>120</v>
      </c>
      <c r="E28" s="9"/>
      <c r="F28" s="12">
        <v>43242</v>
      </c>
      <c r="G28" s="37"/>
      <c r="H28" s="25">
        <f t="shared" si="0"/>
        <v>-42622</v>
      </c>
      <c r="I28" s="29">
        <f ca="1">IF(Tabela1[[#This Row],[ENTREGA]]="",Tabela1[[#This Row],[VENCIMENTO]]-TODAY( ),"")</f>
        <v>-1</v>
      </c>
      <c r="J28" s="31" t="str">
        <f t="shared" si="1"/>
        <v>No Prazo</v>
      </c>
    </row>
    <row r="29" spans="1:10" x14ac:dyDescent="0.25">
      <c r="A29" s="21" t="s">
        <v>67</v>
      </c>
      <c r="B29" s="9"/>
      <c r="C29" s="22" t="s">
        <v>78</v>
      </c>
      <c r="D29" s="9" t="s">
        <v>120</v>
      </c>
      <c r="E29" s="22"/>
      <c r="F29" s="12">
        <f>'Menu principal'!O$17</f>
        <v>43242</v>
      </c>
      <c r="G29" s="38">
        <v>43173</v>
      </c>
      <c r="H29" s="25">
        <f t="shared" si="0"/>
        <v>-68</v>
      </c>
      <c r="I29" s="29" t="str">
        <f ca="1">IF(Tabela1[[#This Row],[ENTREGA]]="",Tabela1[[#This Row],[VENCIMENTO]]-TODAY( ),"")</f>
        <v/>
      </c>
      <c r="J29" s="31" t="str">
        <f t="shared" si="1"/>
        <v>No Prazo</v>
      </c>
    </row>
    <row r="30" spans="1:10" x14ac:dyDescent="0.25">
      <c r="A30" s="55" t="s">
        <v>68</v>
      </c>
      <c r="B30" s="56"/>
      <c r="C30" s="53" t="s">
        <v>122</v>
      </c>
      <c r="D30" s="47" t="s">
        <v>196</v>
      </c>
      <c r="E30" s="53"/>
      <c r="F30" s="12">
        <v>43242</v>
      </c>
      <c r="G30" s="54"/>
      <c r="H30" s="50">
        <f t="shared" si="0"/>
        <v>-42622</v>
      </c>
      <c r="I30" s="51">
        <f ca="1">IF(Tabela1[[#This Row],[ENTREGA]]="",Tabela1[[#This Row],[VENCIMENTO]]-TODAY( ),"")</f>
        <v>-1</v>
      </c>
      <c r="J30" s="52" t="str">
        <f t="shared" si="1"/>
        <v>No Prazo</v>
      </c>
    </row>
    <row r="31" spans="1:10" x14ac:dyDescent="0.25">
      <c r="A31" s="55" t="s">
        <v>121</v>
      </c>
      <c r="B31" s="56"/>
      <c r="C31" s="53" t="s">
        <v>122</v>
      </c>
      <c r="D31" s="53" t="s">
        <v>123</v>
      </c>
      <c r="E31" s="53"/>
      <c r="F31" s="12">
        <v>43242</v>
      </c>
      <c r="G31" s="57"/>
      <c r="H31" s="50">
        <f t="shared" ref="H31:H36" si="2">DAYS360(F31,G31)</f>
        <v>-42622</v>
      </c>
      <c r="I31" s="51">
        <f ca="1">IF(Tabela1[[#This Row],[ENTREGA]]="",Tabela1[[#This Row],[VENCIMENTO]]-TODAY( ),"")</f>
        <v>-1</v>
      </c>
      <c r="J31" s="52" t="str">
        <f t="shared" ref="J31:J36" si="3">IF(H31&gt;0.99,"Vencida","No Prazo")</f>
        <v>No Prazo</v>
      </c>
    </row>
    <row r="32" spans="1:10" x14ac:dyDescent="0.25">
      <c r="A32" s="55" t="s">
        <v>124</v>
      </c>
      <c r="B32" s="56"/>
      <c r="C32" s="53" t="s">
        <v>122</v>
      </c>
      <c r="D32" s="53" t="s">
        <v>123</v>
      </c>
      <c r="E32" s="53"/>
      <c r="F32" s="12">
        <v>43242</v>
      </c>
      <c r="G32" s="57"/>
      <c r="H32" s="50">
        <f t="shared" si="2"/>
        <v>-42622</v>
      </c>
      <c r="I32" s="51">
        <f ca="1">IF(Tabela1[[#This Row],[ENTREGA]]="",Tabela1[[#This Row],[VENCIMENTO]]-TODAY( ),"")</f>
        <v>-1</v>
      </c>
      <c r="J32" s="52" t="str">
        <f t="shared" si="3"/>
        <v>No Prazo</v>
      </c>
    </row>
    <row r="33" spans="1:10" x14ac:dyDescent="0.25">
      <c r="A33" s="55" t="s">
        <v>125</v>
      </c>
      <c r="B33" s="56"/>
      <c r="C33" s="53" t="s">
        <v>122</v>
      </c>
      <c r="D33" s="53" t="s">
        <v>123</v>
      </c>
      <c r="E33" s="53"/>
      <c r="F33" s="12">
        <v>43242</v>
      </c>
      <c r="G33" s="57"/>
      <c r="H33" s="50">
        <f t="shared" si="2"/>
        <v>-42622</v>
      </c>
      <c r="I33" s="51">
        <f ca="1">IF(Tabela1[[#This Row],[ENTREGA]]="",Tabela1[[#This Row],[VENCIMENTO]]-TODAY( ),"")</f>
        <v>-1</v>
      </c>
      <c r="J33" s="52" t="str">
        <f t="shared" si="3"/>
        <v>No Prazo</v>
      </c>
    </row>
    <row r="34" spans="1:10" x14ac:dyDescent="0.25">
      <c r="A34" s="93" t="s">
        <v>135</v>
      </c>
      <c r="B34" s="58"/>
      <c r="C34" s="94" t="s">
        <v>78</v>
      </c>
      <c r="D34" s="94" t="s">
        <v>123</v>
      </c>
      <c r="E34" s="94"/>
      <c r="F34" s="59">
        <v>43182</v>
      </c>
      <c r="G34" s="24">
        <v>43173</v>
      </c>
      <c r="H34" s="50">
        <f t="shared" si="2"/>
        <v>-9</v>
      </c>
      <c r="I34" s="51" t="str">
        <f ca="1">IF(Tabela1[[#This Row],[ENTREGA]]="",Tabela1[[#This Row],[VENCIMENTO]]-TODAY( ),"")</f>
        <v/>
      </c>
      <c r="J34" s="52" t="str">
        <f t="shared" si="3"/>
        <v>No Prazo</v>
      </c>
    </row>
    <row r="35" spans="1:10" x14ac:dyDescent="0.25">
      <c r="A35" s="63" t="s">
        <v>136</v>
      </c>
      <c r="B35" s="64"/>
      <c r="C35" s="22" t="s">
        <v>78</v>
      </c>
      <c r="D35" s="22" t="s">
        <v>120</v>
      </c>
      <c r="E35" s="22"/>
      <c r="F35" s="23">
        <v>43182</v>
      </c>
      <c r="G35" s="24">
        <v>43174</v>
      </c>
      <c r="H35" s="25">
        <f t="shared" si="2"/>
        <v>-8</v>
      </c>
      <c r="I35" s="30" t="str">
        <f ca="1">IF(Tabela1[[#This Row],[ENTREGA]]="",Tabela1[[#This Row],[VENCIMENTO]]-TODAY( ),"")</f>
        <v/>
      </c>
      <c r="J35" s="31" t="str">
        <f t="shared" si="3"/>
        <v>No Prazo</v>
      </c>
    </row>
    <row r="36" spans="1:10" x14ac:dyDescent="0.25">
      <c r="A36" s="63" t="s">
        <v>93</v>
      </c>
      <c r="B36" s="64"/>
      <c r="C36" s="22" t="s">
        <v>78</v>
      </c>
      <c r="D36" s="22" t="s">
        <v>120</v>
      </c>
      <c r="E36" s="22"/>
      <c r="F36" s="23">
        <v>43182</v>
      </c>
      <c r="G36" s="24">
        <v>43174</v>
      </c>
      <c r="H36" s="25">
        <f t="shared" si="2"/>
        <v>-8</v>
      </c>
      <c r="I36" s="30" t="str">
        <f ca="1">IF(Tabela1[[#This Row],[ENTREGA]]="",Tabela1[[#This Row],[VENCIMENTO]]-TODAY( ),"")</f>
        <v/>
      </c>
      <c r="J36" s="31" t="str">
        <f t="shared" si="3"/>
        <v>No Prazo</v>
      </c>
    </row>
  </sheetData>
  <conditionalFormatting sqref="H2 H5:I26">
    <cfRule type="cellIs" dxfId="130" priority="44" operator="greaterThanOrEqual">
      <formula>-2</formula>
    </cfRule>
    <cfRule type="cellIs" dxfId="129" priority="45" operator="lessThan">
      <formula>-2</formula>
    </cfRule>
  </conditionalFormatting>
  <conditionalFormatting sqref="J2 J5:J26">
    <cfRule type="containsText" dxfId="128" priority="42" operator="containsText" text="VENCIDA">
      <formula>NOT(ISERROR(SEARCH("VENCIDA",J2)))</formula>
    </cfRule>
    <cfRule type="containsText" dxfId="127" priority="43" operator="containsText" text="NO PRAZO">
      <formula>NOT(ISERROR(SEARCH("NO PRAZO",J2)))</formula>
    </cfRule>
  </conditionalFormatting>
  <conditionalFormatting sqref="H3:I3">
    <cfRule type="cellIs" dxfId="126" priority="40" operator="greaterThanOrEqual">
      <formula>-2</formula>
    </cfRule>
    <cfRule type="cellIs" dxfId="125" priority="41" operator="lessThan">
      <formula>-2</formula>
    </cfRule>
  </conditionalFormatting>
  <conditionalFormatting sqref="J3">
    <cfRule type="containsText" dxfId="124" priority="38" operator="containsText" text="VENCIDA">
      <formula>NOT(ISERROR(SEARCH("VENCIDA",J3)))</formula>
    </cfRule>
    <cfRule type="containsText" dxfId="123" priority="39" operator="containsText" text="NO PRAZO">
      <formula>NOT(ISERROR(SEARCH("NO PRAZO",J3)))</formula>
    </cfRule>
  </conditionalFormatting>
  <conditionalFormatting sqref="H4:I4">
    <cfRule type="cellIs" dxfId="122" priority="32" operator="greaterThanOrEqual">
      <formula>-2</formula>
    </cfRule>
    <cfRule type="cellIs" dxfId="121" priority="33" operator="lessThan">
      <formula>-2</formula>
    </cfRule>
  </conditionalFormatting>
  <conditionalFormatting sqref="J4">
    <cfRule type="containsText" dxfId="120" priority="30" operator="containsText" text="VENCIDA">
      <formula>NOT(ISERROR(SEARCH("VENCIDA",J4)))</formula>
    </cfRule>
    <cfRule type="containsText" dxfId="119" priority="31" operator="containsText" text="NO PRAZO">
      <formula>NOT(ISERROR(SEARCH("NO PRAZO",J4)))</formula>
    </cfRule>
  </conditionalFormatting>
  <conditionalFormatting sqref="I2">
    <cfRule type="timePeriod" dxfId="118" priority="23" timePeriod="today">
      <formula>FLOOR(I2,1)=TODAY()</formula>
    </cfRule>
    <cfRule type="cellIs" dxfId="117" priority="24" operator="greaterThanOrEqual">
      <formula>-2</formula>
    </cfRule>
    <cfRule type="cellIs" dxfId="116" priority="25" operator="lessThan">
      <formula>-2</formula>
    </cfRule>
  </conditionalFormatting>
  <conditionalFormatting sqref="H28:I29">
    <cfRule type="cellIs" dxfId="115" priority="19" operator="greaterThanOrEqual">
      <formula>-2</formula>
    </cfRule>
    <cfRule type="cellIs" dxfId="114" priority="20" operator="lessThan">
      <formula>-2</formula>
    </cfRule>
  </conditionalFormatting>
  <conditionalFormatting sqref="J28:J29">
    <cfRule type="containsText" dxfId="113" priority="17" operator="containsText" text="VENCIDA">
      <formula>NOT(ISERROR(SEARCH("VENCIDA",J28)))</formula>
    </cfRule>
    <cfRule type="containsText" dxfId="112" priority="18" operator="containsText" text="NO PRAZO">
      <formula>NOT(ISERROR(SEARCH("NO PRAZO",J28)))</formula>
    </cfRule>
  </conditionalFormatting>
  <conditionalFormatting sqref="H30:I30">
    <cfRule type="cellIs" dxfId="111" priority="15" operator="greaterThanOrEqual">
      <formula>-2</formula>
    </cfRule>
    <cfRule type="cellIs" dxfId="110" priority="16" operator="lessThan">
      <formula>-2</formula>
    </cfRule>
  </conditionalFormatting>
  <conditionalFormatting sqref="J30">
    <cfRule type="containsText" dxfId="109" priority="13" operator="containsText" text="VENCIDA">
      <formula>NOT(ISERROR(SEARCH("VENCIDA",J30)))</formula>
    </cfRule>
    <cfRule type="containsText" dxfId="108" priority="14" operator="containsText" text="NO PRAZO">
      <formula>NOT(ISERROR(SEARCH("NO PRAZO",J30)))</formula>
    </cfRule>
  </conditionalFormatting>
  <conditionalFormatting sqref="H27:I27">
    <cfRule type="cellIs" dxfId="107" priority="11" operator="greaterThanOrEqual">
      <formula>-2</formula>
    </cfRule>
    <cfRule type="cellIs" dxfId="106" priority="12" operator="lessThan">
      <formula>-2</formula>
    </cfRule>
  </conditionalFormatting>
  <conditionalFormatting sqref="J27">
    <cfRule type="containsText" dxfId="105" priority="9" operator="containsText" text="VENCIDA">
      <formula>NOT(ISERROR(SEARCH("VENCIDA",J27)))</formula>
    </cfRule>
    <cfRule type="containsText" dxfId="104" priority="10" operator="containsText" text="NO PRAZO">
      <formula>NOT(ISERROR(SEARCH("NO PRAZO",J27)))</formula>
    </cfRule>
  </conditionalFormatting>
  <conditionalFormatting sqref="H31:I33">
    <cfRule type="cellIs" dxfId="103" priority="7" operator="greaterThanOrEqual">
      <formula>-2</formula>
    </cfRule>
    <cfRule type="cellIs" dxfId="102" priority="8" operator="lessThan">
      <formula>-2</formula>
    </cfRule>
  </conditionalFormatting>
  <conditionalFormatting sqref="J31:J33">
    <cfRule type="containsText" dxfId="101" priority="5" operator="containsText" text="VENCIDA">
      <formula>NOT(ISERROR(SEARCH("VENCIDA",J31)))</formula>
    </cfRule>
    <cfRule type="containsText" dxfId="100" priority="6" operator="containsText" text="NO PRAZO">
      <formula>NOT(ISERROR(SEARCH("NO PRAZO",J31)))</formula>
    </cfRule>
  </conditionalFormatting>
  <conditionalFormatting sqref="H34:I34">
    <cfRule type="cellIs" dxfId="99" priority="3" operator="greaterThanOrEqual">
      <formula>-2</formula>
    </cfRule>
    <cfRule type="cellIs" dxfId="98" priority="4" operator="lessThan">
      <formula>-2</formula>
    </cfRule>
  </conditionalFormatting>
  <conditionalFormatting sqref="J34">
    <cfRule type="containsText" dxfId="97" priority="1" operator="containsText" text="VENCIDA">
      <formula>NOT(ISERROR(SEARCH("VENCIDA",J34)))</formula>
    </cfRule>
    <cfRule type="containsText" dxfId="96" priority="2" operator="containsText" text="NO PRAZO">
      <formula>NOT(ISERROR(SEARCH("NO PRAZO",J34)))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I4"/>
  <sheetViews>
    <sheetView topLeftCell="A2" workbookViewId="0">
      <selection activeCell="H13" sqref="H13"/>
    </sheetView>
  </sheetViews>
  <sheetFormatPr defaultRowHeight="15" x14ac:dyDescent="0.25"/>
  <cols>
    <col min="5" max="5" width="17.140625" customWidth="1"/>
    <col min="6" max="6" width="13.140625" customWidth="1"/>
    <col min="7" max="7" width="15.42578125" customWidth="1"/>
    <col min="8" max="8" width="14.28515625" customWidth="1"/>
    <col min="9" max="9" width="17.5703125" customWidth="1"/>
  </cols>
  <sheetData>
    <row r="1" spans="1:9" x14ac:dyDescent="0.25">
      <c r="A1" s="17" t="s">
        <v>36</v>
      </c>
      <c r="B1" s="18" t="s">
        <v>37</v>
      </c>
      <c r="C1" s="18" t="s">
        <v>38</v>
      </c>
      <c r="D1" s="18" t="s">
        <v>45</v>
      </c>
      <c r="E1" s="18" t="s">
        <v>39</v>
      </c>
      <c r="F1" s="18" t="s">
        <v>42</v>
      </c>
      <c r="G1" s="19" t="s">
        <v>47</v>
      </c>
      <c r="H1" s="27" t="s">
        <v>50</v>
      </c>
      <c r="I1" s="20" t="s">
        <v>44</v>
      </c>
    </row>
    <row r="2" spans="1:9" x14ac:dyDescent="0.25">
      <c r="A2" s="15" t="s">
        <v>43</v>
      </c>
      <c r="B2" s="9" t="s">
        <v>43</v>
      </c>
      <c r="C2" s="9" t="s">
        <v>43</v>
      </c>
      <c r="D2" s="9" t="s">
        <v>46</v>
      </c>
      <c r="E2" s="12">
        <v>43182</v>
      </c>
      <c r="F2" s="13">
        <v>43174</v>
      </c>
      <c r="G2" s="14">
        <f>DAYS360(E2,F2)</f>
        <v>-8</v>
      </c>
      <c r="H2" s="28" t="str">
        <f ca="1">IF(Tabela13[[#This Row],[ENTREGA]]="",Tabela13[[#This Row],[VENCIMENTO]]-TODAY(),"")</f>
        <v/>
      </c>
      <c r="I2" s="16" t="str">
        <f>IF(G2&gt;0.99,"Vencida","No Prazo")</f>
        <v>No Prazo</v>
      </c>
    </row>
    <row r="3" spans="1:9" x14ac:dyDescent="0.25">
      <c r="A3" s="21" t="s">
        <v>43</v>
      </c>
      <c r="B3" s="22" t="s">
        <v>43</v>
      </c>
      <c r="C3" s="22" t="s">
        <v>43</v>
      </c>
      <c r="D3" s="22" t="s">
        <v>46</v>
      </c>
      <c r="E3" s="23">
        <v>43182</v>
      </c>
      <c r="F3" s="13">
        <v>43174</v>
      </c>
      <c r="G3" s="25">
        <f>DAYS360(E3,F3)</f>
        <v>-8</v>
      </c>
      <c r="H3" s="29" t="str">
        <f ca="1">IF(Tabela13[[#This Row],[ENTREGA]]="",Tabela13[[#This Row],[VENCIMENTO]]-TODAY(),"")</f>
        <v/>
      </c>
      <c r="I3" s="26" t="str">
        <f>IF(G3&gt;0.99,"Vencida","No Prazo")</f>
        <v>No Prazo</v>
      </c>
    </row>
    <row r="4" spans="1:9" x14ac:dyDescent="0.25">
      <c r="A4" s="21" t="s">
        <v>43</v>
      </c>
      <c r="B4" s="22" t="s">
        <v>43</v>
      </c>
      <c r="C4" s="22" t="s">
        <v>43</v>
      </c>
      <c r="D4" s="22" t="s">
        <v>46</v>
      </c>
      <c r="E4" s="23">
        <v>43123</v>
      </c>
      <c r="F4" s="13">
        <v>43117</v>
      </c>
      <c r="G4" s="25">
        <f>DAYS360(E4,F4)</f>
        <v>-6</v>
      </c>
      <c r="H4" s="30" t="str">
        <f ca="1">IF(Tabela13[[#This Row],[ENTREGA]]="",Tabela13[[#This Row],[VENCIMENTO]]-TODAY(),"")</f>
        <v/>
      </c>
      <c r="I4" s="31" t="str">
        <f>IF(G4&gt;0.99,"Vencida","No Prazo")</f>
        <v>No Prazo</v>
      </c>
    </row>
  </sheetData>
  <conditionalFormatting sqref="G2:H2">
    <cfRule type="cellIs" dxfId="81" priority="11" operator="greaterThanOrEqual">
      <formula>-2</formula>
    </cfRule>
    <cfRule type="cellIs" dxfId="80" priority="12" operator="lessThan">
      <formula>-2</formula>
    </cfRule>
  </conditionalFormatting>
  <conditionalFormatting sqref="I2">
    <cfRule type="containsText" dxfId="79" priority="9" operator="containsText" text="VENCIDA">
      <formula>NOT(ISERROR(SEARCH("VENCIDA",I2)))</formula>
    </cfRule>
    <cfRule type="containsText" dxfId="78" priority="10" operator="containsText" text="NO PRAZO">
      <formula>NOT(ISERROR(SEARCH("NO PRAZO",I2)))</formula>
    </cfRule>
  </conditionalFormatting>
  <conditionalFormatting sqref="G3:H3">
    <cfRule type="cellIs" dxfId="77" priority="7" operator="greaterThanOrEqual">
      <formula>-2</formula>
    </cfRule>
    <cfRule type="cellIs" dxfId="76" priority="8" operator="lessThan">
      <formula>-2</formula>
    </cfRule>
  </conditionalFormatting>
  <conditionalFormatting sqref="I3">
    <cfRule type="containsText" dxfId="75" priority="5" operator="containsText" text="VENCIDA">
      <formula>NOT(ISERROR(SEARCH("VENCIDA",I3)))</formula>
    </cfRule>
    <cfRule type="containsText" dxfId="74" priority="6" operator="containsText" text="NO PRAZO">
      <formula>NOT(ISERROR(SEARCH("NO PRAZO",I3)))</formula>
    </cfRule>
  </conditionalFormatting>
  <conditionalFormatting sqref="G4:H4">
    <cfRule type="cellIs" dxfId="73" priority="3" operator="greaterThanOrEqual">
      <formula>-2</formula>
    </cfRule>
    <cfRule type="cellIs" dxfId="72" priority="4" operator="lessThan">
      <formula>-2</formula>
    </cfRule>
  </conditionalFormatting>
  <conditionalFormatting sqref="I4">
    <cfRule type="containsText" dxfId="71" priority="1" operator="containsText" text="VENCIDA">
      <formula>NOT(ISERROR(SEARCH("VENCIDA",I4)))</formula>
    </cfRule>
    <cfRule type="containsText" dxfId="70" priority="2" operator="containsText" text="NO PRAZO">
      <formula>NOT(ISERROR(SEARCH("NO PRAZO",I4)))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I4"/>
  <sheetViews>
    <sheetView workbookViewId="0">
      <selection activeCell="H3" sqref="H3"/>
    </sheetView>
  </sheetViews>
  <sheetFormatPr defaultRowHeight="15" x14ac:dyDescent="0.25"/>
  <cols>
    <col min="5" max="5" width="15.5703125" bestFit="1" customWidth="1"/>
    <col min="6" max="6" width="11.5703125" bestFit="1" customWidth="1"/>
    <col min="7" max="7" width="16" customWidth="1"/>
    <col min="8" max="8" width="15.140625" customWidth="1"/>
    <col min="9" max="9" width="19" customWidth="1"/>
  </cols>
  <sheetData>
    <row r="1" spans="1:9" x14ac:dyDescent="0.25">
      <c r="A1" s="17" t="s">
        <v>36</v>
      </c>
      <c r="B1" s="18" t="s">
        <v>37</v>
      </c>
      <c r="C1" s="18" t="s">
        <v>38</v>
      </c>
      <c r="D1" s="18" t="s">
        <v>45</v>
      </c>
      <c r="E1" s="18" t="s">
        <v>39</v>
      </c>
      <c r="F1" s="18" t="s">
        <v>42</v>
      </c>
      <c r="G1" s="19" t="s">
        <v>47</v>
      </c>
      <c r="H1" s="27" t="s">
        <v>50</v>
      </c>
      <c r="I1" s="20" t="s">
        <v>44</v>
      </c>
    </row>
    <row r="2" spans="1:9" x14ac:dyDescent="0.25">
      <c r="A2" s="15" t="s">
        <v>43</v>
      </c>
      <c r="B2" s="9" t="s">
        <v>43</v>
      </c>
      <c r="C2" s="9" t="s">
        <v>43</v>
      </c>
      <c r="D2" s="9"/>
      <c r="E2" s="12">
        <v>43179</v>
      </c>
      <c r="F2" s="13"/>
      <c r="G2" s="14">
        <f>DAYS360(E2,F2)</f>
        <v>-42560</v>
      </c>
      <c r="H2" s="28">
        <f ca="1">IF(Tabela14[[#This Row],[ENTREGA]]="",Tabela14[[#This Row],[VENCIMENTO]]-TODAY(),"")</f>
        <v>-64</v>
      </c>
      <c r="I2" s="16" t="str">
        <f>IF(G2&gt;0.99,"Vencida","No Prazo")</f>
        <v>No Prazo</v>
      </c>
    </row>
    <row r="3" spans="1:9" x14ac:dyDescent="0.25">
      <c r="A3" s="21" t="s">
        <v>43</v>
      </c>
      <c r="B3" s="22" t="s">
        <v>43</v>
      </c>
      <c r="C3" s="22" t="s">
        <v>43</v>
      </c>
      <c r="D3" s="22"/>
      <c r="E3" s="23">
        <v>43159</v>
      </c>
      <c r="F3" s="24">
        <v>43159</v>
      </c>
      <c r="G3" s="25">
        <f>DAYS360(E3,F3)</f>
        <v>-2</v>
      </c>
      <c r="H3" s="29" t="str">
        <f ca="1">IF(Tabela14[[#This Row],[ENTREGA]]="",Tabela14[[#This Row],[VENCIMENTO]]-TODAY(),"")</f>
        <v/>
      </c>
      <c r="I3" s="26" t="str">
        <f>IF(G3&gt;0.99,"Vencida","No Prazo")</f>
        <v>No Prazo</v>
      </c>
    </row>
    <row r="4" spans="1:9" x14ac:dyDescent="0.25">
      <c r="A4" s="21" t="s">
        <v>43</v>
      </c>
      <c r="B4" s="22" t="s">
        <v>43</v>
      </c>
      <c r="C4" s="22" t="s">
        <v>43</v>
      </c>
      <c r="D4" s="22"/>
      <c r="E4" s="23">
        <v>42083</v>
      </c>
      <c r="F4" s="24"/>
      <c r="G4" s="25">
        <f>DAYS360(E4,F4)</f>
        <v>-41480</v>
      </c>
      <c r="H4" s="30">
        <f ca="1">IF(Tabela14[[#This Row],[ENTREGA]]="",Tabela14[[#This Row],[VENCIMENTO]]-TODAY(),"")</f>
        <v>-1160</v>
      </c>
      <c r="I4" s="31" t="str">
        <f>IF(G4&gt;0.99,"Vencida","No Prazo")</f>
        <v>No Prazo</v>
      </c>
    </row>
  </sheetData>
  <conditionalFormatting sqref="G2:H2">
    <cfRule type="cellIs" dxfId="56" priority="11" operator="greaterThanOrEqual">
      <formula>-2</formula>
    </cfRule>
    <cfRule type="cellIs" dxfId="55" priority="12" operator="lessThan">
      <formula>-2</formula>
    </cfRule>
  </conditionalFormatting>
  <conditionalFormatting sqref="I2">
    <cfRule type="containsText" dxfId="54" priority="9" operator="containsText" text="VENCIDA">
      <formula>NOT(ISERROR(SEARCH("VENCIDA",I2)))</formula>
    </cfRule>
    <cfRule type="containsText" dxfId="53" priority="10" operator="containsText" text="NO PRAZO">
      <formula>NOT(ISERROR(SEARCH("NO PRAZO",I2)))</formula>
    </cfRule>
  </conditionalFormatting>
  <conditionalFormatting sqref="G3:H3">
    <cfRule type="cellIs" dxfId="52" priority="7" operator="greaterThanOrEqual">
      <formula>-2</formula>
    </cfRule>
    <cfRule type="cellIs" dxfId="51" priority="8" operator="lessThan">
      <formula>-2</formula>
    </cfRule>
  </conditionalFormatting>
  <conditionalFormatting sqref="I3">
    <cfRule type="containsText" dxfId="50" priority="5" operator="containsText" text="VENCIDA">
      <formula>NOT(ISERROR(SEARCH("VENCIDA",I3)))</formula>
    </cfRule>
    <cfRule type="containsText" dxfId="49" priority="6" operator="containsText" text="NO PRAZO">
      <formula>NOT(ISERROR(SEARCH("NO PRAZO",I3)))</formula>
    </cfRule>
  </conditionalFormatting>
  <conditionalFormatting sqref="G4:H4">
    <cfRule type="cellIs" dxfId="48" priority="3" operator="greaterThanOrEqual">
      <formula>-2</formula>
    </cfRule>
    <cfRule type="cellIs" dxfId="47" priority="4" operator="lessThan">
      <formula>-2</formula>
    </cfRule>
  </conditionalFormatting>
  <conditionalFormatting sqref="I4">
    <cfRule type="containsText" dxfId="46" priority="1" operator="containsText" text="VENCIDA">
      <formula>NOT(ISERROR(SEARCH("VENCIDA",I4)))</formula>
    </cfRule>
    <cfRule type="containsText" dxfId="45" priority="2" operator="containsText" text="NO PRAZO">
      <formula>NOT(ISERROR(SEARCH("NO PRAZO",I4)))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6"/>
  <dimension ref="A1:XFD51"/>
  <sheetViews>
    <sheetView workbookViewId="0">
      <selection activeCell="B2" sqref="B2:B11"/>
    </sheetView>
  </sheetViews>
  <sheetFormatPr defaultRowHeight="15" x14ac:dyDescent="0.25"/>
  <cols>
    <col min="1" max="1" width="37.7109375" customWidth="1"/>
    <col min="2" max="2" width="18" bestFit="1" customWidth="1"/>
    <col min="3" max="3" width="7.5703125" customWidth="1"/>
    <col min="4" max="4" width="16.85546875" customWidth="1"/>
    <col min="5" max="5" width="11.28515625" customWidth="1"/>
    <col min="6" max="6" width="15.5703125" customWidth="1"/>
    <col min="7" max="7" width="13.42578125" customWidth="1"/>
    <col min="8" max="8" width="12" customWidth="1"/>
    <col min="9" max="9" width="13.42578125" customWidth="1"/>
    <col min="10" max="10" width="11" bestFit="1" customWidth="1"/>
    <col min="11" max="11" width="8.85546875" customWidth="1"/>
  </cols>
  <sheetData>
    <row r="1" spans="1:11" x14ac:dyDescent="0.25">
      <c r="A1" s="80" t="s">
        <v>81</v>
      </c>
      <c r="B1" s="80" t="s">
        <v>37</v>
      </c>
      <c r="C1" s="80" t="s">
        <v>38</v>
      </c>
      <c r="D1" s="80" t="s">
        <v>126</v>
      </c>
      <c r="E1" s="80" t="s">
        <v>119</v>
      </c>
      <c r="F1" s="80" t="s">
        <v>127</v>
      </c>
      <c r="G1" s="42" t="s">
        <v>39</v>
      </c>
      <c r="H1" s="42" t="s">
        <v>42</v>
      </c>
      <c r="I1" s="42" t="s">
        <v>47</v>
      </c>
      <c r="J1" s="43" t="s">
        <v>50</v>
      </c>
      <c r="K1" s="44" t="s">
        <v>44</v>
      </c>
    </row>
    <row r="2" spans="1:11" x14ac:dyDescent="0.25">
      <c r="A2" s="72" t="s">
        <v>84</v>
      </c>
      <c r="B2" s="68"/>
      <c r="C2" s="73" t="s">
        <v>78</v>
      </c>
      <c r="D2" s="67">
        <v>597567186278</v>
      </c>
      <c r="E2" s="84" t="s">
        <v>192</v>
      </c>
      <c r="F2" s="81" t="s">
        <v>148</v>
      </c>
      <c r="G2" s="12">
        <f>'Menu principal'!O$21</f>
        <v>43190</v>
      </c>
      <c r="H2" s="13"/>
      <c r="I2" s="34">
        <f>DAYS360(DEFIS!G2,H2)</f>
        <v>-42570</v>
      </c>
      <c r="J2" s="35">
        <f ca="1">IF(Tabela5[[#This Row],[ENTREGA]]="",Tabela5[[#This Row],[VENCIMENTO]]-TODAY(),"")</f>
        <v>-53</v>
      </c>
      <c r="K2" s="40" t="str">
        <f>IF(I2&gt;0.99,"Vencida","No Prazo")</f>
        <v>No Prazo</v>
      </c>
    </row>
    <row r="3" spans="1:11" x14ac:dyDescent="0.25">
      <c r="A3" s="72" t="s">
        <v>53</v>
      </c>
      <c r="B3" s="68"/>
      <c r="C3" s="73" t="s">
        <v>78</v>
      </c>
      <c r="D3" s="67">
        <v>402382268932</v>
      </c>
      <c r="E3" s="84" t="s">
        <v>193</v>
      </c>
      <c r="F3" s="12" t="s">
        <v>149</v>
      </c>
      <c r="G3" s="12">
        <f>'Menu principal'!O$21</f>
        <v>43190</v>
      </c>
      <c r="H3" s="33"/>
      <c r="I3" s="34">
        <f>DAYS360(DEFIS!G3,H3)</f>
        <v>-42570</v>
      </c>
      <c r="J3" s="35">
        <f ca="1">IF(Tabela5[[#This Row],[ENTREGA]]="",Tabela5[[#This Row],[VENCIMENTO]]-TODAY(),"")</f>
        <v>-53</v>
      </c>
      <c r="K3" s="41" t="str">
        <f>IF(I3&gt;0.99,"Vencida","No Prazo")</f>
        <v>No Prazo</v>
      </c>
    </row>
    <row r="4" spans="1:11" x14ac:dyDescent="0.25">
      <c r="A4" s="72" t="s">
        <v>85</v>
      </c>
      <c r="B4" s="68"/>
      <c r="C4" s="73" t="s">
        <v>78</v>
      </c>
      <c r="D4" s="67">
        <v>967968485127</v>
      </c>
      <c r="E4" s="84" t="s">
        <v>192</v>
      </c>
      <c r="F4" s="12" t="s">
        <v>150</v>
      </c>
      <c r="G4" s="12">
        <f>'Menu principal'!O$21</f>
        <v>43190</v>
      </c>
      <c r="H4" s="33"/>
      <c r="I4" s="34">
        <f>DAYS360(DEFIS!G4,H4)</f>
        <v>-42570</v>
      </c>
      <c r="J4" s="39">
        <f ca="1">IF(Tabela5[[#This Row],[ENTREGA]]="",Tabela5[[#This Row],[VENCIMENTO]]-TODAY(),"")</f>
        <v>-53</v>
      </c>
      <c r="K4" s="41" t="str">
        <f t="shared" ref="K4:K51" si="0">IF(I4&gt;0.99,"Vencida","No Prazo")</f>
        <v>No Prazo</v>
      </c>
    </row>
    <row r="5" spans="1:11" x14ac:dyDescent="0.25">
      <c r="A5" s="72" t="s">
        <v>136</v>
      </c>
      <c r="B5" s="68"/>
      <c r="C5" s="73" t="s">
        <v>78</v>
      </c>
      <c r="D5" s="67" t="s">
        <v>27</v>
      </c>
      <c r="E5" s="84" t="s">
        <v>193</v>
      </c>
      <c r="F5" s="82">
        <v>2426833718</v>
      </c>
      <c r="G5" s="12">
        <f>'Menu principal'!O$21</f>
        <v>43190</v>
      </c>
      <c r="H5" s="33"/>
      <c r="I5" s="34">
        <f>DAYS360(DEFIS!G5,H5)</f>
        <v>-42570</v>
      </c>
      <c r="J5" s="39">
        <f ca="1">IF(Tabela5[[#This Row],[ENTREGA]]="",Tabela5[[#This Row],[VENCIMENTO]]-TODAY(),"")</f>
        <v>-53</v>
      </c>
      <c r="K5" s="41" t="str">
        <f t="shared" si="0"/>
        <v>No Prazo</v>
      </c>
    </row>
    <row r="6" spans="1:11" x14ac:dyDescent="0.25">
      <c r="A6" s="72" t="s">
        <v>86</v>
      </c>
      <c r="B6" s="68"/>
      <c r="C6" s="73" t="s">
        <v>78</v>
      </c>
      <c r="D6" s="67" t="s">
        <v>128</v>
      </c>
      <c r="E6" s="84" t="s">
        <v>192</v>
      </c>
      <c r="F6" s="82" t="s">
        <v>151</v>
      </c>
      <c r="G6" s="12">
        <f>'Menu principal'!O$21</f>
        <v>43190</v>
      </c>
      <c r="H6" s="33"/>
      <c r="I6" s="34">
        <f>DAYS360(DEFIS!G6,H6)</f>
        <v>-42570</v>
      </c>
      <c r="J6" s="39">
        <f ca="1">IF(Tabela5[[#This Row],[ENTREGA]]="",Tabela5[[#This Row],[VENCIMENTO]]-TODAY(),"")</f>
        <v>-53</v>
      </c>
      <c r="K6" s="41" t="str">
        <f t="shared" si="0"/>
        <v>No Prazo</v>
      </c>
    </row>
    <row r="7" spans="1:11" x14ac:dyDescent="0.25">
      <c r="A7" s="72" t="s">
        <v>87</v>
      </c>
      <c r="B7" s="68"/>
      <c r="C7" s="73" t="s">
        <v>78</v>
      </c>
      <c r="D7" s="67" t="s">
        <v>129</v>
      </c>
      <c r="E7" s="84" t="s">
        <v>192</v>
      </c>
      <c r="F7" s="82" t="s">
        <v>152</v>
      </c>
      <c r="G7" s="12">
        <f>'Menu principal'!O$21</f>
        <v>43190</v>
      </c>
      <c r="H7" s="33"/>
      <c r="I7" s="34">
        <f>DAYS360(DEFIS!G7,H7)</f>
        <v>-42570</v>
      </c>
      <c r="J7" s="39">
        <f ca="1">IF(Tabela5[[#This Row],[ENTREGA]]="",Tabela5[[#This Row],[VENCIMENTO]]-TODAY(),"")</f>
        <v>-53</v>
      </c>
      <c r="K7" s="41" t="str">
        <f t="shared" si="0"/>
        <v>No Prazo</v>
      </c>
    </row>
    <row r="8" spans="1:11" x14ac:dyDescent="0.25">
      <c r="A8" s="74" t="s">
        <v>88</v>
      </c>
      <c r="B8" s="68"/>
      <c r="C8" s="75" t="s">
        <v>78</v>
      </c>
      <c r="D8" s="67">
        <v>286915126339</v>
      </c>
      <c r="E8" s="84" t="s">
        <v>192</v>
      </c>
      <c r="F8" s="82" t="s">
        <v>153</v>
      </c>
      <c r="G8" s="12">
        <f>'Menu principal'!O$21</f>
        <v>43190</v>
      </c>
      <c r="H8" s="33"/>
      <c r="I8" s="34">
        <f>DAYS360(DEFIS!G8,H8)</f>
        <v>-42570</v>
      </c>
      <c r="J8" s="39">
        <f ca="1">IF(Tabela5[[#This Row],[ENTREGA]]="",Tabela5[[#This Row],[VENCIMENTO]]-TODAY(),"")</f>
        <v>-53</v>
      </c>
      <c r="K8" s="41" t="str">
        <f t="shared" si="0"/>
        <v>No Prazo</v>
      </c>
    </row>
    <row r="9" spans="1:11" x14ac:dyDescent="0.25">
      <c r="A9" s="74" t="s">
        <v>89</v>
      </c>
      <c r="B9" s="68"/>
      <c r="C9" s="75" t="s">
        <v>78</v>
      </c>
      <c r="D9" s="67">
        <v>451341981764</v>
      </c>
      <c r="E9" s="84" t="s">
        <v>192</v>
      </c>
      <c r="F9" s="82" t="s">
        <v>154</v>
      </c>
      <c r="G9" s="12">
        <f>'Menu principal'!O$21</f>
        <v>43190</v>
      </c>
      <c r="H9" s="33"/>
      <c r="I9" s="34">
        <f>DAYS360(DEFIS!G9,H9)</f>
        <v>-42570</v>
      </c>
      <c r="J9" s="39">
        <f ca="1">IF(Tabela5[[#This Row],[ENTREGA]]="",Tabela5[[#This Row],[VENCIMENTO]]-TODAY(),"")</f>
        <v>-53</v>
      </c>
      <c r="K9" s="41" t="str">
        <f t="shared" si="0"/>
        <v>No Prazo</v>
      </c>
    </row>
    <row r="10" spans="1:11" ht="24" x14ac:dyDescent="0.25">
      <c r="A10" s="76" t="s">
        <v>90</v>
      </c>
      <c r="B10" s="68"/>
      <c r="C10" s="73" t="s">
        <v>78</v>
      </c>
      <c r="D10" s="67" t="s">
        <v>35</v>
      </c>
      <c r="E10" s="84" t="s">
        <v>192</v>
      </c>
      <c r="F10" s="82" t="s">
        <v>155</v>
      </c>
      <c r="G10" s="12">
        <f>'Menu principal'!O$21</f>
        <v>43190</v>
      </c>
      <c r="H10" s="33"/>
      <c r="I10" s="34">
        <f>DAYS360(DEFIS!G10,H10)</f>
        <v>-42570</v>
      </c>
      <c r="J10" s="39">
        <f ca="1">IF(Tabela5[[#This Row],[ENTREGA]]="",Tabela5[[#This Row],[VENCIMENTO]]-TODAY(),"")</f>
        <v>-53</v>
      </c>
      <c r="K10" s="41" t="str">
        <f t="shared" si="0"/>
        <v>No Prazo</v>
      </c>
    </row>
    <row r="11" spans="1:11" ht="24" x14ac:dyDescent="0.25">
      <c r="A11" s="72" t="s">
        <v>91</v>
      </c>
      <c r="B11" s="68"/>
      <c r="C11" s="73" t="s">
        <v>78</v>
      </c>
      <c r="D11" s="67">
        <v>981254309351</v>
      </c>
      <c r="E11" s="84" t="s">
        <v>192</v>
      </c>
      <c r="F11" s="82" t="s">
        <v>156</v>
      </c>
      <c r="G11" s="12">
        <f>'Menu principal'!O$21</f>
        <v>43190</v>
      </c>
      <c r="H11" s="33"/>
      <c r="I11" s="34">
        <f>DAYS360(DEFIS!G11,H11)</f>
        <v>-42570</v>
      </c>
      <c r="J11" s="39">
        <f ca="1">IF(Tabela5[[#This Row],[ENTREGA]]="",Tabela5[[#This Row],[VENCIMENTO]]-TODAY(),"")</f>
        <v>-53</v>
      </c>
      <c r="K11" s="41" t="str">
        <f t="shared" si="0"/>
        <v>No Prazo</v>
      </c>
    </row>
    <row r="12" spans="1:11" ht="24" x14ac:dyDescent="0.25">
      <c r="A12" s="72" t="s">
        <v>92</v>
      </c>
      <c r="B12" s="68"/>
      <c r="C12" s="73" t="s">
        <v>78</v>
      </c>
      <c r="D12" s="67"/>
      <c r="E12" s="84" t="s">
        <v>194</v>
      </c>
      <c r="F12" s="82" t="s">
        <v>157</v>
      </c>
      <c r="G12" s="12">
        <f>'Menu principal'!O$21</f>
        <v>43190</v>
      </c>
      <c r="H12" s="33"/>
      <c r="I12" s="34">
        <f>DAYS360(DEFIS!G12,H12)</f>
        <v>-42570</v>
      </c>
      <c r="J12" s="39">
        <f ca="1">IF(Tabela5[[#This Row],[ENTREGA]]="",Tabela5[[#This Row],[VENCIMENTO]]-TODAY(),"")</f>
        <v>-53</v>
      </c>
      <c r="K12" s="41" t="str">
        <f t="shared" si="0"/>
        <v>No Prazo</v>
      </c>
    </row>
    <row r="13" spans="1:11" ht="15.75" thickBot="1" x14ac:dyDescent="0.3">
      <c r="A13" s="77" t="s">
        <v>191</v>
      </c>
      <c r="B13" s="69"/>
      <c r="C13" s="66" t="s">
        <v>78</v>
      </c>
      <c r="D13" s="67">
        <v>17811160130</v>
      </c>
      <c r="E13" s="85" t="s">
        <v>192</v>
      </c>
      <c r="F13" s="82" t="s">
        <v>158</v>
      </c>
      <c r="G13" s="12">
        <f>'Menu principal'!O$21</f>
        <v>43190</v>
      </c>
      <c r="H13" s="33"/>
      <c r="I13" s="34">
        <f>DAYS360(DEFIS!G13,H13)</f>
        <v>-42570</v>
      </c>
      <c r="J13" s="39">
        <f ca="1">IF(Tabela5[[#This Row],[ENTREGA]]="",Tabela5[[#This Row],[VENCIMENTO]]-TODAY(),"")</f>
        <v>-53</v>
      </c>
      <c r="K13" s="41" t="str">
        <f t="shared" si="0"/>
        <v>No Prazo</v>
      </c>
    </row>
    <row r="14" spans="1:11" x14ac:dyDescent="0.25">
      <c r="A14" s="72" t="s">
        <v>93</v>
      </c>
      <c r="B14" s="68"/>
      <c r="C14" s="73" t="s">
        <v>78</v>
      </c>
      <c r="D14" s="67">
        <v>332571451507</v>
      </c>
      <c r="E14" s="84" t="s">
        <v>193</v>
      </c>
      <c r="F14" s="82" t="s">
        <v>159</v>
      </c>
      <c r="G14" s="12">
        <f>'Menu principal'!O$21</f>
        <v>43190</v>
      </c>
      <c r="H14" s="33"/>
      <c r="I14" s="34">
        <f>DAYS360(DEFIS!G14,H14)</f>
        <v>-42570</v>
      </c>
      <c r="J14" s="39">
        <f ca="1">IF(Tabela5[[#This Row],[ENTREGA]]="",Tabela5[[#This Row],[VENCIMENTO]]-TODAY(),"")</f>
        <v>-53</v>
      </c>
      <c r="K14" s="41" t="str">
        <f t="shared" si="0"/>
        <v>No Prazo</v>
      </c>
    </row>
    <row r="15" spans="1:11" ht="24" x14ac:dyDescent="0.25">
      <c r="A15" s="72" t="s">
        <v>94</v>
      </c>
      <c r="B15" s="68"/>
      <c r="C15" s="73" t="s">
        <v>78</v>
      </c>
      <c r="D15" s="67">
        <v>434753221053</v>
      </c>
      <c r="E15" s="84" t="s">
        <v>192</v>
      </c>
      <c r="F15" s="82" t="s">
        <v>160</v>
      </c>
      <c r="G15" s="12">
        <f>'Menu principal'!O$21</f>
        <v>43190</v>
      </c>
      <c r="H15" s="33"/>
      <c r="I15" s="34">
        <f>DAYS360(DEFIS!G15,H15)</f>
        <v>-42570</v>
      </c>
      <c r="J15" s="39">
        <f ca="1">IF(Tabela5[[#This Row],[ENTREGA]]="",Tabela5[[#This Row],[VENCIMENTO]]-TODAY(),"")</f>
        <v>-53</v>
      </c>
      <c r="K15" s="41" t="str">
        <f t="shared" si="0"/>
        <v>No Prazo</v>
      </c>
    </row>
    <row r="16" spans="1:11" x14ac:dyDescent="0.25">
      <c r="A16" s="72" t="s">
        <v>95</v>
      </c>
      <c r="B16" s="68"/>
      <c r="C16" s="73" t="s">
        <v>78</v>
      </c>
      <c r="D16" s="67" t="s">
        <v>27</v>
      </c>
      <c r="E16" s="84" t="s">
        <v>192</v>
      </c>
      <c r="F16" s="82" t="s">
        <v>161</v>
      </c>
      <c r="G16" s="12">
        <f>'Menu principal'!O$21</f>
        <v>43190</v>
      </c>
      <c r="H16" s="33"/>
      <c r="I16" s="34">
        <f>DAYS360(DEFIS!G16,H16)</f>
        <v>-42570</v>
      </c>
      <c r="J16" s="39">
        <f ca="1">IF(Tabela5[[#This Row],[ENTREGA]]="",Tabela5[[#This Row],[VENCIMENTO]]-TODAY(),"")</f>
        <v>-53</v>
      </c>
      <c r="K16" s="41" t="str">
        <f t="shared" si="0"/>
        <v>No Prazo</v>
      </c>
    </row>
    <row r="17" spans="1:11" x14ac:dyDescent="0.25">
      <c r="A17" s="72" t="s">
        <v>96</v>
      </c>
      <c r="B17" s="68"/>
      <c r="C17" s="73" t="s">
        <v>78</v>
      </c>
      <c r="D17" s="67">
        <v>682276248561</v>
      </c>
      <c r="E17" s="84" t="s">
        <v>192</v>
      </c>
      <c r="F17" s="82" t="s">
        <v>162</v>
      </c>
      <c r="G17" s="12">
        <f>'Menu principal'!O$21</f>
        <v>43190</v>
      </c>
      <c r="H17" s="33"/>
      <c r="I17" s="34">
        <f>DAYS360(DEFIS!G17,H17)</f>
        <v>-42570</v>
      </c>
      <c r="J17" s="39">
        <f ca="1">IF(Tabela5[[#This Row],[ENTREGA]]="",Tabela5[[#This Row],[VENCIMENTO]]-TODAY(),"")</f>
        <v>-53</v>
      </c>
      <c r="K17" s="41" t="str">
        <f t="shared" si="0"/>
        <v>No Prazo</v>
      </c>
    </row>
    <row r="18" spans="1:11" x14ac:dyDescent="0.25">
      <c r="A18" s="72" t="s">
        <v>97</v>
      </c>
      <c r="B18" s="68"/>
      <c r="C18" s="73" t="s">
        <v>78</v>
      </c>
      <c r="D18" s="67" t="s">
        <v>130</v>
      </c>
      <c r="E18" s="84" t="s">
        <v>192</v>
      </c>
      <c r="F18" s="82" t="s">
        <v>163</v>
      </c>
      <c r="G18" s="12">
        <f>'Menu principal'!O$21</f>
        <v>43190</v>
      </c>
      <c r="H18" s="33"/>
      <c r="I18" s="34">
        <f>DAYS360(DEFIS!G18,H18)</f>
        <v>-42570</v>
      </c>
      <c r="J18" s="39">
        <f ca="1">IF(Tabela5[[#This Row],[ENTREGA]]="",Tabela5[[#This Row],[VENCIMENTO]]-TODAY(),"")</f>
        <v>-53</v>
      </c>
      <c r="K18" s="41" t="str">
        <f t="shared" si="0"/>
        <v>No Prazo</v>
      </c>
    </row>
    <row r="19" spans="1:11" ht="24" x14ac:dyDescent="0.25">
      <c r="A19" s="72" t="s">
        <v>98</v>
      </c>
      <c r="B19" s="68"/>
      <c r="C19" s="73" t="s">
        <v>78</v>
      </c>
      <c r="D19" s="67">
        <v>711345841578</v>
      </c>
      <c r="E19" s="84" t="s">
        <v>192</v>
      </c>
      <c r="F19" s="82" t="s">
        <v>164</v>
      </c>
      <c r="G19" s="12">
        <f>'Menu principal'!O$21</f>
        <v>43190</v>
      </c>
      <c r="H19" s="33"/>
      <c r="I19" s="34">
        <f>DAYS360(DEFIS!G19,H19)</f>
        <v>-42570</v>
      </c>
      <c r="J19" s="39">
        <f ca="1">IF(Tabela5[[#This Row],[ENTREGA]]="",Tabela5[[#This Row],[VENCIMENTO]]-TODAY(),"")</f>
        <v>-53</v>
      </c>
      <c r="K19" s="41" t="str">
        <f t="shared" si="0"/>
        <v>No Prazo</v>
      </c>
    </row>
    <row r="20" spans="1:11" ht="24" x14ac:dyDescent="0.25">
      <c r="A20" s="72" t="s">
        <v>99</v>
      </c>
      <c r="B20" s="68"/>
      <c r="C20" s="73" t="s">
        <v>78</v>
      </c>
      <c r="D20" s="67">
        <v>691376852675</v>
      </c>
      <c r="E20" s="84" t="s">
        <v>192</v>
      </c>
      <c r="F20" s="82" t="s">
        <v>165</v>
      </c>
      <c r="G20" s="12">
        <f>'Menu principal'!O$21</f>
        <v>43190</v>
      </c>
      <c r="H20" s="33"/>
      <c r="I20" s="34">
        <f>DAYS360(DEFIS!G20,H20)</f>
        <v>-42570</v>
      </c>
      <c r="J20" s="39">
        <f ca="1">IF(Tabela5[[#This Row],[ENTREGA]]="",Tabela5[[#This Row],[VENCIMENTO]]-TODAY(),"")</f>
        <v>-53</v>
      </c>
      <c r="K20" s="41" t="str">
        <f t="shared" si="0"/>
        <v>No Prazo</v>
      </c>
    </row>
    <row r="21" spans="1:11" x14ac:dyDescent="0.25">
      <c r="A21" s="72" t="s">
        <v>100</v>
      </c>
      <c r="B21" s="68"/>
      <c r="C21" s="73" t="s">
        <v>78</v>
      </c>
      <c r="D21" s="67">
        <v>379918690396</v>
      </c>
      <c r="E21" s="84" t="s">
        <v>192</v>
      </c>
      <c r="F21" s="12" t="s">
        <v>166</v>
      </c>
      <c r="G21" s="12">
        <f>'Menu principal'!O$21</f>
        <v>43190</v>
      </c>
      <c r="H21" s="33"/>
      <c r="I21" s="34">
        <f>DAYS360(DEFIS!G21,H21)</f>
        <v>-42570</v>
      </c>
      <c r="J21" s="39">
        <f ca="1">IF(Tabela5[[#This Row],[ENTREGA]]="",Tabela5[[#This Row],[VENCIMENTO]]-TODAY(),"")</f>
        <v>-53</v>
      </c>
      <c r="K21" s="41" t="str">
        <f t="shared" si="0"/>
        <v>No Prazo</v>
      </c>
    </row>
    <row r="22" spans="1:11" ht="24" x14ac:dyDescent="0.25">
      <c r="A22" s="72" t="s">
        <v>101</v>
      </c>
      <c r="B22" s="68"/>
      <c r="C22" s="73" t="s">
        <v>78</v>
      </c>
      <c r="D22" s="67" t="s">
        <v>131</v>
      </c>
      <c r="E22" s="84" t="s">
        <v>192</v>
      </c>
      <c r="F22" s="12" t="s">
        <v>167</v>
      </c>
      <c r="G22" s="12">
        <f>'Menu principal'!O$21</f>
        <v>43190</v>
      </c>
      <c r="H22" s="33"/>
      <c r="I22" s="34">
        <f>DAYS360(DEFIS!G22,H22)</f>
        <v>-42570</v>
      </c>
      <c r="J22" s="39">
        <f ca="1">IF(Tabela5[[#This Row],[ENTREGA]]="",Tabela5[[#This Row],[VENCIMENTO]]-TODAY(),"")</f>
        <v>-53</v>
      </c>
      <c r="K22" s="41" t="str">
        <f t="shared" si="0"/>
        <v>No Prazo</v>
      </c>
    </row>
    <row r="23" spans="1:11" x14ac:dyDescent="0.25">
      <c r="A23" s="78" t="s">
        <v>65</v>
      </c>
      <c r="B23" s="69"/>
      <c r="C23" s="73" t="s">
        <v>78</v>
      </c>
      <c r="D23" s="67">
        <v>890747544220</v>
      </c>
      <c r="E23" s="86" t="s">
        <v>193</v>
      </c>
      <c r="F23" s="12" t="s">
        <v>168</v>
      </c>
      <c r="G23" s="12">
        <f>'Menu principal'!O$21</f>
        <v>43190</v>
      </c>
      <c r="H23" s="33"/>
      <c r="I23" s="34">
        <f>DAYS360(DEFIS!G23,H23)</f>
        <v>-42570</v>
      </c>
      <c r="J23" s="39">
        <f ca="1">IF(Tabela5[[#This Row],[ENTREGA]]="",Tabela5[[#This Row],[VENCIMENTO]]-TODAY(),"")</f>
        <v>-53</v>
      </c>
      <c r="K23" s="41" t="str">
        <f t="shared" si="0"/>
        <v>No Prazo</v>
      </c>
    </row>
    <row r="24" spans="1:11" ht="24" x14ac:dyDescent="0.25">
      <c r="A24" s="78" t="s">
        <v>66</v>
      </c>
      <c r="B24" s="68"/>
      <c r="C24" s="73" t="s">
        <v>78</v>
      </c>
      <c r="D24" s="67"/>
      <c r="E24" s="87" t="s">
        <v>193</v>
      </c>
      <c r="F24" s="12"/>
      <c r="G24" s="12">
        <f>'Menu principal'!O$21</f>
        <v>43190</v>
      </c>
      <c r="H24" s="33"/>
      <c r="I24" s="34">
        <f>DAYS360(DEFIS!G24,H24)</f>
        <v>-42570</v>
      </c>
      <c r="J24" s="39">
        <f ca="1">IF(Tabela5[[#This Row],[ENTREGA]]="",Tabela5[[#This Row],[VENCIMENTO]]-TODAY(),"")</f>
        <v>-53</v>
      </c>
      <c r="K24" s="41" t="str">
        <f t="shared" si="0"/>
        <v>No Prazo</v>
      </c>
    </row>
    <row r="25" spans="1:11" ht="36" x14ac:dyDescent="0.25">
      <c r="A25" s="72" t="s">
        <v>139</v>
      </c>
      <c r="B25" s="68"/>
      <c r="C25" s="73" t="s">
        <v>78</v>
      </c>
      <c r="D25" s="67">
        <v>139077946920</v>
      </c>
      <c r="E25" s="84" t="s">
        <v>192</v>
      </c>
      <c r="F25" s="12" t="s">
        <v>169</v>
      </c>
      <c r="G25" s="12">
        <f>'Menu principal'!O$21</f>
        <v>43190</v>
      </c>
      <c r="H25" s="33"/>
      <c r="I25" s="34">
        <f>DAYS360(DEFIS!G25,H25)</f>
        <v>-42570</v>
      </c>
      <c r="J25" s="39">
        <f ca="1">IF(Tabela5[[#This Row],[ENTREGA]]="",Tabela5[[#This Row],[VENCIMENTO]]-TODAY(),"")</f>
        <v>-53</v>
      </c>
      <c r="K25" s="41" t="str">
        <f t="shared" si="0"/>
        <v>No Prazo</v>
      </c>
    </row>
    <row r="26" spans="1:11" ht="24" x14ac:dyDescent="0.25">
      <c r="A26" s="77" t="s">
        <v>140</v>
      </c>
      <c r="B26" s="68"/>
      <c r="C26" s="73" t="s">
        <v>78</v>
      </c>
      <c r="D26" s="67">
        <v>923924798459</v>
      </c>
      <c r="E26" s="84" t="s">
        <v>192</v>
      </c>
      <c r="F26" s="12" t="s">
        <v>170</v>
      </c>
      <c r="G26" s="12">
        <f>'Menu principal'!O$21</f>
        <v>43190</v>
      </c>
      <c r="H26" s="33"/>
      <c r="I26" s="34">
        <f>DAYS360(DEFIS!G26,H26)</f>
        <v>-42570</v>
      </c>
      <c r="J26" s="39">
        <f ca="1">IF(Tabela5[[#This Row],[ENTREGA]]="",Tabela5[[#This Row],[VENCIMENTO]]-TODAY(),"")</f>
        <v>-53</v>
      </c>
      <c r="K26" s="41" t="str">
        <f t="shared" si="0"/>
        <v>No Prazo</v>
      </c>
    </row>
    <row r="27" spans="1:11" x14ac:dyDescent="0.25">
      <c r="A27" s="76" t="s">
        <v>141</v>
      </c>
      <c r="B27" s="68"/>
      <c r="C27" s="73" t="s">
        <v>78</v>
      </c>
      <c r="D27" s="67" t="s">
        <v>133</v>
      </c>
      <c r="E27" s="84" t="s">
        <v>192</v>
      </c>
      <c r="F27" s="12"/>
      <c r="G27" s="12">
        <f>'Menu principal'!O$21</f>
        <v>43190</v>
      </c>
      <c r="H27" s="33"/>
      <c r="I27" s="34">
        <f>DAYS360(DEFIS!G27,H27)</f>
        <v>-42570</v>
      </c>
      <c r="J27" s="39">
        <f ca="1">IF(Tabela5[[#This Row],[ENTREGA]]="",Tabela5[[#This Row],[VENCIMENTO]]-TODAY(),"")</f>
        <v>-53</v>
      </c>
      <c r="K27" s="41" t="str">
        <f t="shared" si="0"/>
        <v>No Prazo</v>
      </c>
    </row>
    <row r="28" spans="1:11" x14ac:dyDescent="0.25">
      <c r="A28" s="72" t="s">
        <v>103</v>
      </c>
      <c r="B28" s="68"/>
      <c r="C28" s="73" t="s">
        <v>78</v>
      </c>
      <c r="D28" s="67"/>
      <c r="E28" s="84" t="s">
        <v>192</v>
      </c>
      <c r="F28" s="12"/>
      <c r="G28" s="12">
        <f>'Menu principal'!O$21</f>
        <v>43190</v>
      </c>
      <c r="H28" s="33"/>
      <c r="I28" s="34">
        <f>DAYS360(DEFIS!G28,H28)</f>
        <v>-42570</v>
      </c>
      <c r="J28" s="39">
        <f ca="1">IF(Tabela5[[#This Row],[ENTREGA]]="",Tabela5[[#This Row],[VENCIMENTO]]-TODAY(),"")</f>
        <v>-53</v>
      </c>
      <c r="K28" s="41" t="str">
        <f t="shared" si="0"/>
        <v>No Prazo</v>
      </c>
    </row>
    <row r="29" spans="1:11" x14ac:dyDescent="0.25">
      <c r="A29" s="74" t="s">
        <v>104</v>
      </c>
      <c r="B29" s="68"/>
      <c r="C29" s="73" t="s">
        <v>78</v>
      </c>
      <c r="D29" s="67">
        <v>276125386187</v>
      </c>
      <c r="E29" s="84" t="s">
        <v>195</v>
      </c>
      <c r="F29" s="12" t="s">
        <v>171</v>
      </c>
      <c r="G29" s="12">
        <f>'Menu principal'!O$21</f>
        <v>43190</v>
      </c>
      <c r="H29" s="33"/>
      <c r="I29" s="34">
        <f>DAYS360(DEFIS!G29,H29)</f>
        <v>-42570</v>
      </c>
      <c r="J29" s="39">
        <f ca="1">IF(Tabela5[[#This Row],[ENTREGA]]="",Tabela5[[#This Row],[VENCIMENTO]]-TODAY(),"")</f>
        <v>-53</v>
      </c>
      <c r="K29" s="41" t="str">
        <f t="shared" si="0"/>
        <v>No Prazo</v>
      </c>
    </row>
    <row r="30" spans="1:11" x14ac:dyDescent="0.25">
      <c r="A30" s="72" t="s">
        <v>105</v>
      </c>
      <c r="B30" s="68"/>
      <c r="C30" s="73" t="s">
        <v>78</v>
      </c>
      <c r="D30" s="67">
        <v>659006179196</v>
      </c>
      <c r="E30" s="84" t="s">
        <v>192</v>
      </c>
      <c r="F30" s="12" t="s">
        <v>172</v>
      </c>
      <c r="G30" s="12">
        <f>'Menu principal'!O$21</f>
        <v>43190</v>
      </c>
      <c r="H30" s="33"/>
      <c r="I30" s="34">
        <f>DAYS360(DEFIS!G30,H30)</f>
        <v>-42570</v>
      </c>
      <c r="J30" s="39">
        <f ca="1">IF(Tabela5[[#This Row],[ENTREGA]]="",Tabela5[[#This Row],[VENCIMENTO]]-TODAY(),"")</f>
        <v>-53</v>
      </c>
      <c r="K30" s="41" t="str">
        <f t="shared" si="0"/>
        <v>No Prazo</v>
      </c>
    </row>
    <row r="31" spans="1:11" ht="24" x14ac:dyDescent="0.25">
      <c r="A31" s="74" t="s">
        <v>106</v>
      </c>
      <c r="B31" s="68"/>
      <c r="C31" s="73" t="s">
        <v>78</v>
      </c>
      <c r="D31" s="67">
        <v>224592792222</v>
      </c>
      <c r="E31" s="84" t="s">
        <v>192</v>
      </c>
      <c r="F31" s="12" t="s">
        <v>173</v>
      </c>
      <c r="G31" s="12">
        <f>'Menu principal'!O$21</f>
        <v>43190</v>
      </c>
      <c r="H31" s="33"/>
      <c r="I31" s="34">
        <f>DAYS360(DEFIS!G31,H31)</f>
        <v>-42570</v>
      </c>
      <c r="J31" s="39">
        <f ca="1">IF(Tabela5[[#This Row],[ENTREGA]]="",Tabela5[[#This Row],[VENCIMENTO]]-TODAY(),"")</f>
        <v>-53</v>
      </c>
      <c r="K31" s="41" t="str">
        <f t="shared" si="0"/>
        <v>No Prazo</v>
      </c>
    </row>
    <row r="32" spans="1:11" x14ac:dyDescent="0.25">
      <c r="A32" s="74" t="s">
        <v>142</v>
      </c>
      <c r="B32" s="68"/>
      <c r="C32" s="73" t="s">
        <v>78</v>
      </c>
      <c r="D32" s="67">
        <v>722941790039</v>
      </c>
      <c r="E32" s="84" t="s">
        <v>192</v>
      </c>
      <c r="F32" s="82">
        <v>321187750</v>
      </c>
      <c r="G32" s="12">
        <f>'Menu principal'!O$21</f>
        <v>43190</v>
      </c>
      <c r="H32" s="33"/>
      <c r="I32" s="34">
        <f>DAYS360(DEFIS!G32,H32)</f>
        <v>-42570</v>
      </c>
      <c r="J32" s="39">
        <f ca="1">IF(Tabela5[[#This Row],[ENTREGA]]="",Tabela5[[#This Row],[VENCIMENTO]]-TODAY(),"")</f>
        <v>-53</v>
      </c>
      <c r="K32" s="41" t="str">
        <f t="shared" si="0"/>
        <v>No Prazo</v>
      </c>
    </row>
    <row r="33" spans="1:1023 1025:2047 2049:3070 3073:4096 4099:6144 6146:7168 7170:8191 8194:10239 10241:11263 11265:12286 12289:13312 13315:15360 15362:16384" x14ac:dyDescent="0.25">
      <c r="A33" s="72" t="s">
        <v>107</v>
      </c>
      <c r="B33" s="68"/>
      <c r="C33" s="73" t="s">
        <v>78</v>
      </c>
      <c r="D33" s="67" t="s">
        <v>133</v>
      </c>
      <c r="E33" s="84" t="s">
        <v>192</v>
      </c>
      <c r="F33" s="12" t="s">
        <v>174</v>
      </c>
      <c r="G33" s="12">
        <f>'Menu principal'!O$21</f>
        <v>43190</v>
      </c>
      <c r="H33" s="33"/>
      <c r="I33" s="34">
        <f>DAYS360(DEFIS!G33,H33)</f>
        <v>-42570</v>
      </c>
      <c r="J33" s="39">
        <f ca="1">IF(Tabela5[[#This Row],[ENTREGA]]="",Tabela5[[#This Row],[VENCIMENTO]]-TODAY(),"")</f>
        <v>-53</v>
      </c>
      <c r="K33" s="41" t="str">
        <f t="shared" si="0"/>
        <v>No Prazo</v>
      </c>
    </row>
    <row r="34" spans="1:1023 1025:2047 2049:3070 3073:4096 4099:6144 6146:7168 7170:8191 8194:10239 10241:11263 11265:12286 12289:13312 13315:15360 15362:16384" ht="24" x14ac:dyDescent="0.25">
      <c r="A34" s="72" t="s">
        <v>108</v>
      </c>
      <c r="B34" s="68"/>
      <c r="C34" s="73" t="s">
        <v>78</v>
      </c>
      <c r="D34" s="67">
        <v>384104504374</v>
      </c>
      <c r="E34" s="84" t="s">
        <v>192</v>
      </c>
      <c r="F34" s="12" t="s">
        <v>175</v>
      </c>
      <c r="G34" s="12">
        <f>'Menu principal'!O$21</f>
        <v>43190</v>
      </c>
      <c r="H34" s="33"/>
      <c r="I34" s="34">
        <f>DAYS360(DEFIS!G34,H34)</f>
        <v>-42570</v>
      </c>
      <c r="J34" s="39">
        <f ca="1">IF(Tabela5[[#This Row],[ENTREGA]]="",Tabela5[[#This Row],[VENCIMENTO]]-TODAY(),"")</f>
        <v>-53</v>
      </c>
      <c r="K34" s="41" t="str">
        <f t="shared" si="0"/>
        <v>No Prazo</v>
      </c>
    </row>
    <row r="35" spans="1:1023 1025:2047 2049:3070 3073:4096 4099:6144 6146:7168 7170:8191 8194:10239 10241:11263 11265:12286 12289:13312 13315:15360 15362:16384" ht="24" x14ac:dyDescent="0.25">
      <c r="A35" s="72" t="s">
        <v>109</v>
      </c>
      <c r="B35" s="69"/>
      <c r="C35" s="73" t="s">
        <v>78</v>
      </c>
      <c r="D35" s="67" t="s">
        <v>133</v>
      </c>
      <c r="E35" s="85" t="s">
        <v>192</v>
      </c>
      <c r="F35" s="12" t="s">
        <v>176</v>
      </c>
      <c r="G35" s="12">
        <f>'Menu principal'!O$21</f>
        <v>43190</v>
      </c>
      <c r="H35" s="33"/>
      <c r="I35" s="34">
        <f>DAYS360(DEFIS!G35,H35)</f>
        <v>-42570</v>
      </c>
      <c r="J35" s="39">
        <f ca="1">IF(Tabela5[[#This Row],[ENTREGA]]="",Tabela5[[#This Row],[VENCIMENTO]]-TODAY(),"")</f>
        <v>-53</v>
      </c>
      <c r="K35" s="41" t="str">
        <f t="shared" si="0"/>
        <v>No Prazo</v>
      </c>
    </row>
    <row r="36" spans="1:1023 1025:2047 2049:3070 3073:4096 4099:6144 6146:7168 7170:8191 8194:10239 10241:11263 11265:12286 12289:13312 13315:15360 15362:16384" ht="24" x14ac:dyDescent="0.25">
      <c r="A36" s="72" t="s">
        <v>110</v>
      </c>
      <c r="B36" s="68"/>
      <c r="C36" s="73" t="s">
        <v>78</v>
      </c>
      <c r="D36" s="67">
        <v>163153902872</v>
      </c>
      <c r="E36" s="84" t="s">
        <v>192</v>
      </c>
      <c r="F36" s="12" t="s">
        <v>177</v>
      </c>
      <c r="G36" s="12">
        <f>'Menu principal'!O$21</f>
        <v>43190</v>
      </c>
      <c r="H36" s="33"/>
      <c r="I36" s="34">
        <f>DAYS360(DEFIS!G36,H36)</f>
        <v>-42570</v>
      </c>
      <c r="J36" s="39">
        <f ca="1">IF(Tabela5[[#This Row],[ENTREGA]]="",Tabela5[[#This Row],[VENCIMENTO]]-TODAY(),"")</f>
        <v>-53</v>
      </c>
      <c r="K36" s="41" t="str">
        <f t="shared" si="0"/>
        <v>No Prazo</v>
      </c>
    </row>
    <row r="37" spans="1:1023 1025:2047 2049:3070 3073:4096 4099:6144 6146:7168 7170:8191 8194:10239 10241:11263 11265:12286 12289:13312 13315:15360 15362:16384" ht="24" x14ac:dyDescent="0.25">
      <c r="A37" s="77" t="s">
        <v>143</v>
      </c>
      <c r="B37" s="68"/>
      <c r="C37" s="73" t="s">
        <v>78</v>
      </c>
      <c r="D37" s="67" t="s">
        <v>129</v>
      </c>
      <c r="E37" s="84" t="s">
        <v>192</v>
      </c>
      <c r="F37" s="12" t="s">
        <v>178</v>
      </c>
      <c r="G37" s="12">
        <f>'Menu principal'!O$21</f>
        <v>43190</v>
      </c>
      <c r="H37" s="33"/>
      <c r="I37" s="34">
        <f>DAYS360(DEFIS!G37,H37)</f>
        <v>-42570</v>
      </c>
      <c r="J37" s="39">
        <f ca="1">IF(Tabela5[[#This Row],[ENTREGA]]="",Tabela5[[#This Row],[VENCIMENTO]]-TODAY(),"")</f>
        <v>-53</v>
      </c>
      <c r="K37" s="41" t="str">
        <f t="shared" si="0"/>
        <v>No Prazo</v>
      </c>
    </row>
    <row r="38" spans="1:1023 1025:2047 2049:3070 3073:4096 4099:6144 6146:7168 7170:8191 8194:10239 10241:11263 11265:12286 12289:13312 13315:15360 15362:16384" x14ac:dyDescent="0.25">
      <c r="A38" s="72" t="s">
        <v>111</v>
      </c>
      <c r="B38" s="68"/>
      <c r="C38" s="73" t="s">
        <v>78</v>
      </c>
      <c r="D38" s="67" t="s">
        <v>132</v>
      </c>
      <c r="E38" s="84" t="s">
        <v>192</v>
      </c>
      <c r="F38" s="12" t="s">
        <v>179</v>
      </c>
      <c r="G38" s="12">
        <f>'Menu principal'!O$21</f>
        <v>43190</v>
      </c>
      <c r="H38" s="33"/>
      <c r="I38" s="34">
        <f>DAYS360(DEFIS!G38,H38)</f>
        <v>-42570</v>
      </c>
      <c r="J38" s="39">
        <f ca="1">IF(Tabela5[[#This Row],[ENTREGA]]="",Tabela5[[#This Row],[VENCIMENTO]]-TODAY(),"")</f>
        <v>-53</v>
      </c>
      <c r="K38" s="41" t="str">
        <f t="shared" si="0"/>
        <v>No Prazo</v>
      </c>
    </row>
    <row r="39" spans="1:1023 1025:2047 2049:3070 3073:4096 4099:6144 6146:7168 7170:8191 8194:10239 10241:11263 11265:12286 12289:13312 13315:15360 15362:16384" ht="24" x14ac:dyDescent="0.25">
      <c r="A39" s="72" t="s">
        <v>112</v>
      </c>
      <c r="B39" s="68"/>
      <c r="C39" s="73" t="s">
        <v>78</v>
      </c>
      <c r="D39" s="67" t="s">
        <v>133</v>
      </c>
      <c r="E39" s="84" t="s">
        <v>192</v>
      </c>
      <c r="F39" s="12" t="s">
        <v>180</v>
      </c>
      <c r="G39" s="12">
        <f>'Menu principal'!O$21</f>
        <v>43190</v>
      </c>
      <c r="H39" s="33"/>
      <c r="I39" s="34">
        <f>DAYS360(DEFIS!G39,H39)</f>
        <v>-42570</v>
      </c>
      <c r="J39" s="39">
        <f ca="1">IF(Tabela5[[#This Row],[ENTREGA]]="",Tabela5[[#This Row],[VENCIMENTO]]-TODAY(),"")</f>
        <v>-53</v>
      </c>
      <c r="K39" s="41" t="str">
        <f t="shared" si="0"/>
        <v>No Prazo</v>
      </c>
    </row>
    <row r="40" spans="1:1023 1025:2047 2049:3070 3073:4096 4099:6144 6146:7168 7170:8191 8194:10239 10241:11263 11265:12286 12289:13312 13315:15360 15362:16384" ht="24" x14ac:dyDescent="0.25">
      <c r="A40" s="72" t="s">
        <v>113</v>
      </c>
      <c r="B40" s="68"/>
      <c r="C40" s="73" t="s">
        <v>78</v>
      </c>
      <c r="D40" s="67" t="s">
        <v>129</v>
      </c>
      <c r="E40" s="84" t="s">
        <v>192</v>
      </c>
      <c r="F40" s="12" t="s">
        <v>181</v>
      </c>
      <c r="G40" s="12">
        <f>'Menu principal'!O$21</f>
        <v>43190</v>
      </c>
      <c r="H40" s="33"/>
      <c r="I40" s="34">
        <f>DAYS360(DEFIS!G40,H40)</f>
        <v>-42570</v>
      </c>
      <c r="J40" s="39">
        <f ca="1">IF(Tabela5[[#This Row],[ENTREGA]]="",Tabela5[[#This Row],[VENCIMENTO]]-TODAY(),"")</f>
        <v>-53</v>
      </c>
      <c r="K40" s="41" t="str">
        <f t="shared" si="0"/>
        <v>No Prazo</v>
      </c>
    </row>
    <row r="41" spans="1:1023 1025:2047 2049:3070 3073:4096 4099:6144 6146:7168 7170:8191 8194:10239 10241:11263 11265:12286 12289:13312 13315:15360 15362:16384" ht="24" x14ac:dyDescent="0.25">
      <c r="A41" s="72" t="s">
        <v>114</v>
      </c>
      <c r="B41" s="68"/>
      <c r="C41" s="73" t="s">
        <v>78</v>
      </c>
      <c r="D41" s="67" t="s">
        <v>129</v>
      </c>
      <c r="E41" s="84" t="s">
        <v>192</v>
      </c>
      <c r="F41" s="12" t="s">
        <v>182</v>
      </c>
      <c r="G41" s="12">
        <f>'Menu principal'!O$21</f>
        <v>43190</v>
      </c>
      <c r="H41" s="33"/>
      <c r="I41" s="34">
        <f>DAYS360(DEFIS!G41,H41)</f>
        <v>-42570</v>
      </c>
      <c r="J41" s="39">
        <f ca="1">IF(Tabela5[[#This Row],[ENTREGA]]="",Tabela5[[#This Row],[VENCIMENTO]]-TODAY(),"")</f>
        <v>-53</v>
      </c>
      <c r="K41" s="41" t="str">
        <f t="shared" si="0"/>
        <v>No Prazo</v>
      </c>
    </row>
    <row r="42" spans="1:1023 1025:2047 2049:3070 3073:4096 4099:6144 6146:7168 7170:8191 8194:10239 10241:11263 11265:12286 12289:13312 13315:15360 15362:16384" x14ac:dyDescent="0.25">
      <c r="A42" s="72" t="s">
        <v>115</v>
      </c>
      <c r="B42" s="68"/>
      <c r="C42" s="73" t="s">
        <v>78</v>
      </c>
      <c r="D42" s="67"/>
      <c r="E42" s="84" t="s">
        <v>192</v>
      </c>
      <c r="F42" s="12" t="s">
        <v>183</v>
      </c>
      <c r="G42" s="12">
        <f>'Menu principal'!O$21</f>
        <v>43190</v>
      </c>
      <c r="H42" s="33"/>
      <c r="I42" s="34">
        <f>DAYS360(DEFIS!G42,H42)</f>
        <v>-42570</v>
      </c>
      <c r="J42" s="39">
        <f ca="1">IF(Tabela5[[#This Row],[ENTREGA]]="",Tabela5[[#This Row],[VENCIMENTO]]-TODAY(),"")</f>
        <v>-53</v>
      </c>
      <c r="K42" s="41" t="str">
        <f t="shared" si="0"/>
        <v>No Prazo</v>
      </c>
    </row>
    <row r="43" spans="1:1023 1025:2047 2049:3070 3073:4096 4099:6144 6146:7168 7170:8191 8194:10239 10241:11263 11265:12286 12289:13312 13315:15360 15362:16384" ht="24" x14ac:dyDescent="0.25">
      <c r="A43" s="72" t="s">
        <v>116</v>
      </c>
      <c r="B43" s="68"/>
      <c r="C43" s="73" t="s">
        <v>78</v>
      </c>
      <c r="D43" s="67">
        <v>524454247265</v>
      </c>
      <c r="E43" s="84" t="s">
        <v>192</v>
      </c>
      <c r="F43" s="12" t="s">
        <v>184</v>
      </c>
      <c r="G43" s="12">
        <f>'Menu principal'!O$21</f>
        <v>43190</v>
      </c>
      <c r="H43" s="33"/>
      <c r="I43" s="34">
        <f>DAYS360(DEFIS!G43,H43)</f>
        <v>-42570</v>
      </c>
      <c r="J43" s="39">
        <f ca="1">IF(Tabela5[[#This Row],[ENTREGA]]="",Tabela5[[#This Row],[VENCIMENTO]]-TODAY(),"")</f>
        <v>-53</v>
      </c>
      <c r="K43" s="41" t="str">
        <f t="shared" si="0"/>
        <v>No Prazo</v>
      </c>
    </row>
    <row r="44" spans="1:1023 1025:2047 2049:3070 3073:4096 4099:6144 6146:7168 7170:8191 8194:10239 10241:11263 11265:12286 12289:13312 13315:15360 15362:16384" x14ac:dyDescent="0.25">
      <c r="A44" s="72" t="s">
        <v>117</v>
      </c>
      <c r="B44" s="68"/>
      <c r="C44" s="73" t="s">
        <v>78</v>
      </c>
      <c r="D44" s="67" t="s">
        <v>133</v>
      </c>
      <c r="E44" s="84" t="s">
        <v>192</v>
      </c>
      <c r="F44" s="12" t="s">
        <v>185</v>
      </c>
      <c r="G44" s="12">
        <f>'Menu principal'!O$21</f>
        <v>43190</v>
      </c>
      <c r="H44" s="33"/>
      <c r="I44" s="34">
        <f>DAYS360(DEFIS!G44,H44)</f>
        <v>-42570</v>
      </c>
      <c r="J44" s="39">
        <f ca="1">IF(Tabela5[[#This Row],[ENTREGA]]="",Tabela5[[#This Row],[VENCIMENTO]]-TODAY(),"")</f>
        <v>-53</v>
      </c>
      <c r="K44" s="41" t="str">
        <f t="shared" si="0"/>
        <v>No Prazo</v>
      </c>
    </row>
    <row r="45" spans="1:1023 1025:2047 2049:3070 3073:4096 4099:6144 6146:7168 7170:8191 8194:10239 10241:11263 11265:12286 12289:13312 13315:15360 15362:16384" x14ac:dyDescent="0.25">
      <c r="A45" s="72" t="s">
        <v>67</v>
      </c>
      <c r="B45" s="68"/>
      <c r="C45" s="73" t="s">
        <v>78</v>
      </c>
      <c r="D45" s="67">
        <v>332571104723</v>
      </c>
      <c r="E45" s="84" t="s">
        <v>193</v>
      </c>
      <c r="F45" s="12" t="s">
        <v>186</v>
      </c>
      <c r="G45" s="12">
        <f>'Menu principal'!O$21</f>
        <v>43190</v>
      </c>
      <c r="H45" s="33"/>
      <c r="I45" s="34">
        <f>DAYS360(DEFIS!G45,H45)</f>
        <v>-42570</v>
      </c>
      <c r="J45" s="39">
        <f ca="1">IF(Tabela5[[#This Row],[ENTREGA]]="",Tabela5[[#This Row],[VENCIMENTO]]-TODAY(),"")</f>
        <v>-53</v>
      </c>
      <c r="K45" s="41" t="str">
        <f t="shared" si="0"/>
        <v>No Prazo</v>
      </c>
    </row>
    <row r="46" spans="1:1023 1025:2047 2049:3070 3073:4096 4099:6144 6146:7168 7170:8191 8194:10239 10241:11263 11265:12286 12289:13312 13315:15360 15362:16384" ht="24.75" thickBot="1" x14ac:dyDescent="0.3">
      <c r="A46" s="79" t="s">
        <v>118</v>
      </c>
      <c r="B46" s="68"/>
      <c r="C46" s="73" t="s">
        <v>78</v>
      </c>
      <c r="D46" s="67" t="s">
        <v>129</v>
      </c>
      <c r="E46" s="84" t="s">
        <v>192</v>
      </c>
      <c r="F46" s="12" t="s">
        <v>187</v>
      </c>
      <c r="G46" s="12">
        <f>'Menu principal'!O$21</f>
        <v>43190</v>
      </c>
      <c r="H46" s="33"/>
      <c r="I46" s="34">
        <f>DAYS360(DEFIS!G33,H46)</f>
        <v>-42570</v>
      </c>
      <c r="J46" s="39">
        <f ca="1">IF(Tabela5[[#This Row],[ENTREGA]]="",Tabela5[[#This Row],[VENCIMENTO]]-TODAY(),"")</f>
        <v>-53</v>
      </c>
      <c r="K46" s="41" t="str">
        <f t="shared" si="0"/>
        <v>No Prazo</v>
      </c>
    </row>
    <row r="47" spans="1:1023 1025:2047 2049:3070 3073:4096 4099:6144 6146:7168 7170:8191 8194:10239 10241:11263 11265:12286 12289:13312 13315:15360 15362:16384" ht="24" x14ac:dyDescent="0.25">
      <c r="A47" s="77" t="s">
        <v>144</v>
      </c>
      <c r="B47" s="68"/>
      <c r="C47" s="73" t="s">
        <v>78</v>
      </c>
      <c r="D47" s="67">
        <v>154859941287</v>
      </c>
      <c r="E47" s="88" t="s">
        <v>193</v>
      </c>
      <c r="F47" s="12" t="s">
        <v>188</v>
      </c>
      <c r="G47" s="12">
        <f>'Menu principal'!O$21</f>
        <v>43190</v>
      </c>
      <c r="H47" s="33"/>
      <c r="I47" s="34">
        <f>DAYS360(DEFIS!G34,H47)</f>
        <v>-42570</v>
      </c>
      <c r="J47" s="39">
        <f ca="1">IF(Tabela5[[#This Row],[ENTREGA]]="",Tabela5[[#This Row],[VENCIMENTO]]-TODAY(),"")</f>
        <v>-53</v>
      </c>
      <c r="K47" s="41" t="str">
        <f t="shared" si="0"/>
        <v>No Prazo</v>
      </c>
      <c r="DE47" s="41"/>
      <c r="DH47" s="32"/>
      <c r="DJ47" s="12"/>
      <c r="DL47" s="34"/>
      <c r="DM47" s="39"/>
      <c r="DN47" s="41"/>
      <c r="DQ47" s="32"/>
      <c r="DS47" s="12"/>
      <c r="DU47" s="34"/>
      <c r="DV47" s="39"/>
      <c r="DW47" s="41"/>
      <c r="DZ47" s="32"/>
      <c r="EB47" s="12"/>
      <c r="ED47" s="34"/>
      <c r="EE47" s="39"/>
      <c r="EF47" s="41"/>
      <c r="EI47" s="32"/>
      <c r="EK47" s="12"/>
      <c r="EM47" s="34"/>
      <c r="EN47" s="39"/>
      <c r="EO47" s="41"/>
      <c r="ER47" s="32"/>
      <c r="ET47" s="12"/>
      <c r="EV47" s="34"/>
      <c r="EW47" s="39"/>
      <c r="EX47" s="41"/>
      <c r="FA47" s="32"/>
      <c r="FC47" s="12"/>
      <c r="FE47" s="34"/>
      <c r="FF47" s="39"/>
      <c r="FG47" s="41"/>
      <c r="FJ47" s="32"/>
      <c r="FL47" s="12"/>
      <c r="FN47" s="34"/>
      <c r="FO47" s="39"/>
      <c r="FP47" s="41"/>
      <c r="FS47" s="32"/>
      <c r="FU47" s="12"/>
      <c r="FW47" s="34"/>
      <c r="FX47" s="39"/>
      <c r="FY47" s="41"/>
      <c r="GB47" s="32"/>
      <c r="GD47" s="12"/>
      <c r="GF47" s="34"/>
      <c r="GG47" s="39"/>
      <c r="GH47" s="41"/>
      <c r="GK47" s="32"/>
      <c r="GM47" s="12"/>
      <c r="GO47" s="34"/>
      <c r="GP47" s="39"/>
      <c r="GQ47" s="41"/>
      <c r="GT47" s="32"/>
      <c r="GV47" s="12"/>
      <c r="GX47" s="34"/>
      <c r="GY47" s="39"/>
      <c r="GZ47" s="41"/>
      <c r="HC47" s="32"/>
      <c r="HE47" s="12"/>
      <c r="HG47" s="34"/>
      <c r="HH47" s="39"/>
      <c r="HI47" s="41"/>
      <c r="HL47" s="32"/>
      <c r="HN47" s="12"/>
      <c r="HP47" s="34"/>
      <c r="HQ47" s="39"/>
      <c r="HR47" s="41"/>
      <c r="HU47" s="32"/>
      <c r="HW47" s="12"/>
      <c r="HY47" s="34"/>
      <c r="HZ47" s="39"/>
      <c r="IA47" s="41"/>
      <c r="ID47" s="32"/>
      <c r="IF47" s="12"/>
      <c r="IH47" s="34"/>
      <c r="II47" s="39"/>
      <c r="IJ47" s="41"/>
      <c r="IM47" s="32"/>
      <c r="IO47" s="12"/>
      <c r="IQ47" s="34"/>
      <c r="IR47" s="39"/>
      <c r="IS47" s="41"/>
      <c r="IV47" s="32"/>
      <c r="IX47" s="12"/>
      <c r="IZ47" s="34"/>
      <c r="JA47" s="39"/>
      <c r="JB47" s="41"/>
      <c r="JE47" s="32"/>
      <c r="JG47" s="12"/>
      <c r="JI47" s="34"/>
      <c r="JJ47" s="39"/>
      <c r="JK47" s="41"/>
      <c r="JN47" s="32"/>
      <c r="JP47" s="12"/>
      <c r="JR47" s="34"/>
      <c r="JS47" s="39"/>
      <c r="JT47" s="41"/>
      <c r="JW47" s="32"/>
      <c r="JY47" s="12"/>
      <c r="KA47" s="34"/>
      <c r="KB47" s="39"/>
      <c r="KC47" s="41"/>
      <c r="KF47" s="32"/>
      <c r="KH47" s="12"/>
      <c r="KJ47" s="34"/>
      <c r="KK47" s="39"/>
      <c r="KL47" s="41"/>
      <c r="KO47" s="32"/>
      <c r="KQ47" s="12"/>
      <c r="KS47" s="34"/>
      <c r="KT47" s="39"/>
      <c r="KU47" s="41"/>
      <c r="KX47" s="32"/>
      <c r="KZ47" s="12"/>
      <c r="LB47" s="34"/>
      <c r="LC47" s="39"/>
      <c r="LD47" s="41"/>
      <c r="LG47" s="32"/>
      <c r="LI47" s="12"/>
      <c r="LK47" s="34"/>
      <c r="LL47" s="39"/>
      <c r="LM47" s="41"/>
      <c r="LP47" s="32"/>
      <c r="LR47" s="12"/>
      <c r="LT47" s="34"/>
      <c r="LU47" s="39"/>
      <c r="LV47" s="41"/>
      <c r="LY47" s="32"/>
      <c r="MA47" s="12"/>
      <c r="MC47" s="34"/>
      <c r="MD47" s="39"/>
      <c r="ME47" s="41"/>
      <c r="MH47" s="32"/>
      <c r="MJ47" s="12"/>
      <c r="ML47" s="34"/>
      <c r="MM47" s="39"/>
      <c r="MN47" s="41"/>
      <c r="MQ47" s="32"/>
      <c r="MS47" s="12"/>
      <c r="MU47" s="34"/>
      <c r="MV47" s="39"/>
      <c r="MW47" s="41"/>
      <c r="MZ47" s="32"/>
      <c r="NB47" s="12"/>
      <c r="ND47" s="34"/>
      <c r="NE47" s="39"/>
      <c r="NF47" s="41"/>
      <c r="NI47" s="32"/>
      <c r="NK47" s="12"/>
      <c r="NM47" s="34"/>
      <c r="NN47" s="39"/>
      <c r="NO47" s="41"/>
      <c r="NR47" s="32"/>
      <c r="NT47" s="12"/>
      <c r="NV47" s="34"/>
      <c r="NW47" s="39"/>
      <c r="NX47" s="41"/>
      <c r="OA47" s="32"/>
      <c r="OC47" s="12"/>
      <c r="OE47" s="34"/>
      <c r="OF47" s="39"/>
      <c r="OG47" s="41"/>
      <c r="OJ47" s="32"/>
      <c r="OL47" s="12"/>
      <c r="ON47" s="34"/>
      <c r="OO47" s="39"/>
      <c r="OP47" s="41"/>
      <c r="OS47" s="32"/>
      <c r="OU47" s="12"/>
      <c r="OW47" s="34"/>
      <c r="OX47" s="39"/>
      <c r="OY47" s="41"/>
      <c r="PB47" s="32"/>
      <c r="PD47" s="12"/>
      <c r="PF47" s="34"/>
      <c r="PG47" s="39"/>
      <c r="PH47" s="41"/>
      <c r="PK47" s="32"/>
      <c r="PM47" s="12"/>
      <c r="PO47" s="34"/>
      <c r="PP47" s="39"/>
      <c r="PQ47" s="41"/>
      <c r="PT47" s="32"/>
      <c r="PV47" s="12"/>
      <c r="PX47" s="34"/>
      <c r="PY47" s="39"/>
      <c r="PZ47" s="41"/>
      <c r="QC47" s="32"/>
      <c r="QE47" s="12"/>
      <c r="QG47" s="34"/>
      <c r="QH47" s="39"/>
      <c r="QI47" s="41"/>
      <c r="QL47" s="32"/>
      <c r="QN47" s="12"/>
      <c r="QP47" s="34"/>
      <c r="QQ47" s="39"/>
      <c r="QR47" s="41"/>
      <c r="QU47" s="32"/>
      <c r="QW47" s="12"/>
      <c r="QY47" s="34"/>
      <c r="QZ47" s="39"/>
      <c r="RA47" s="41"/>
      <c r="RD47" s="32"/>
      <c r="RF47" s="12"/>
      <c r="RH47" s="34"/>
      <c r="RI47" s="39"/>
      <c r="RJ47" s="41"/>
      <c r="RM47" s="32"/>
      <c r="RO47" s="12"/>
      <c r="RQ47" s="34"/>
      <c r="RR47" s="39"/>
      <c r="RS47" s="41"/>
      <c r="RV47" s="32"/>
      <c r="RX47" s="12"/>
      <c r="RZ47" s="34"/>
      <c r="SA47" s="39"/>
      <c r="SB47" s="41"/>
      <c r="SE47" s="32"/>
      <c r="SG47" s="12"/>
      <c r="SI47" s="34"/>
      <c r="SJ47" s="39"/>
      <c r="SK47" s="41"/>
      <c r="SN47" s="32"/>
      <c r="SP47" s="12"/>
      <c r="SR47" s="34"/>
      <c r="SS47" s="39"/>
      <c r="ST47" s="41"/>
      <c r="SW47" s="32"/>
      <c r="SY47" s="12"/>
      <c r="TA47" s="34"/>
      <c r="TB47" s="39"/>
      <c r="TC47" s="41"/>
      <c r="TF47" s="32"/>
      <c r="TH47" s="12"/>
      <c r="TJ47" s="34"/>
      <c r="TK47" s="39"/>
      <c r="TL47" s="41"/>
      <c r="TO47" s="32"/>
      <c r="TQ47" s="12"/>
      <c r="TS47" s="34"/>
      <c r="TT47" s="39"/>
      <c r="TU47" s="41"/>
      <c r="TX47" s="32"/>
      <c r="TZ47" s="12"/>
      <c r="UB47" s="34"/>
      <c r="UC47" s="39"/>
      <c r="UD47" s="41"/>
      <c r="UG47" s="32"/>
      <c r="UI47" s="12"/>
      <c r="UK47" s="34"/>
      <c r="UL47" s="39"/>
      <c r="UM47" s="41"/>
      <c r="UP47" s="32"/>
      <c r="UR47" s="12"/>
      <c r="UT47" s="34"/>
      <c r="UU47" s="39"/>
      <c r="UV47" s="41"/>
      <c r="UY47" s="32"/>
      <c r="VA47" s="12"/>
      <c r="VC47" s="34"/>
      <c r="VD47" s="39"/>
      <c r="VE47" s="41"/>
      <c r="VH47" s="32"/>
      <c r="VJ47" s="12"/>
      <c r="VL47" s="34"/>
      <c r="VM47" s="39"/>
      <c r="VN47" s="41"/>
      <c r="VQ47" s="32"/>
      <c r="VS47" s="12"/>
      <c r="VU47" s="34"/>
      <c r="VV47" s="39"/>
      <c r="VW47" s="41"/>
      <c r="VZ47" s="32"/>
      <c r="WB47" s="12"/>
      <c r="WD47" s="34"/>
      <c r="WE47" s="39"/>
      <c r="WF47" s="41"/>
      <c r="WI47" s="32"/>
      <c r="WK47" s="12"/>
      <c r="WM47" s="34"/>
      <c r="WN47" s="39"/>
      <c r="WO47" s="41"/>
      <c r="WR47" s="32"/>
      <c r="WT47" s="12"/>
      <c r="WV47" s="34"/>
      <c r="WW47" s="39"/>
      <c r="WX47" s="41"/>
      <c r="XA47" s="32"/>
      <c r="XC47" s="12"/>
      <c r="XE47" s="34"/>
      <c r="XF47" s="39"/>
      <c r="XG47" s="41"/>
      <c r="XJ47" s="32"/>
      <c r="XL47" s="12"/>
      <c r="XN47" s="34"/>
      <c r="XO47" s="39"/>
      <c r="XP47" s="41"/>
      <c r="XS47" s="32"/>
      <c r="XU47" s="12"/>
      <c r="XW47" s="34"/>
      <c r="XX47" s="39"/>
      <c r="XY47" s="41"/>
      <c r="YB47" s="32"/>
      <c r="YD47" s="12"/>
      <c r="YF47" s="34"/>
      <c r="YG47" s="39"/>
      <c r="YH47" s="41"/>
      <c r="YK47" s="32"/>
      <c r="YM47" s="12"/>
      <c r="YO47" s="34"/>
      <c r="YP47" s="39"/>
      <c r="YQ47" s="41"/>
      <c r="YT47" s="32"/>
      <c r="YV47" s="12"/>
      <c r="YX47" s="34"/>
      <c r="YY47" s="39"/>
      <c r="YZ47" s="41"/>
      <c r="ZC47" s="32"/>
      <c r="ZE47" s="12"/>
      <c r="ZG47" s="34"/>
      <c r="ZH47" s="39"/>
      <c r="ZI47" s="41"/>
      <c r="ZL47" s="32"/>
      <c r="ZN47" s="12"/>
      <c r="ZP47" s="34"/>
      <c r="ZQ47" s="39"/>
      <c r="ZR47" s="41"/>
      <c r="ZU47" s="32"/>
      <c r="ZW47" s="12"/>
      <c r="ZY47" s="34"/>
      <c r="ZZ47" s="39"/>
      <c r="AAA47" s="41"/>
      <c r="AAD47" s="32"/>
      <c r="AAF47" s="12"/>
      <c r="AAH47" s="34"/>
      <c r="AAI47" s="39"/>
      <c r="AAJ47" s="41"/>
      <c r="AAM47" s="32"/>
      <c r="AAO47" s="12"/>
      <c r="AAQ47" s="34"/>
      <c r="AAR47" s="39"/>
      <c r="AAS47" s="41"/>
      <c r="AAV47" s="32"/>
      <c r="AAX47" s="12"/>
      <c r="AAZ47" s="34"/>
      <c r="ABA47" s="39"/>
      <c r="ABB47" s="41"/>
      <c r="ABE47" s="32"/>
      <c r="ABG47" s="12"/>
      <c r="ABI47" s="34"/>
      <c r="ABJ47" s="39"/>
      <c r="ABK47" s="41"/>
      <c r="ABN47" s="32"/>
      <c r="ABP47" s="12"/>
      <c r="ABR47" s="34"/>
      <c r="ABS47" s="39"/>
      <c r="ABT47" s="41"/>
      <c r="ABW47" s="32"/>
      <c r="ABY47" s="12"/>
      <c r="ACA47" s="34"/>
      <c r="ACB47" s="39"/>
      <c r="ACC47" s="41"/>
      <c r="ACF47" s="32"/>
      <c r="ACH47" s="12"/>
      <c r="ACJ47" s="34"/>
      <c r="ACK47" s="39"/>
      <c r="ACL47" s="41"/>
      <c r="ACO47" s="32"/>
      <c r="ACQ47" s="12"/>
      <c r="ACS47" s="34"/>
      <c r="ACT47" s="39"/>
      <c r="ACU47" s="41"/>
      <c r="ACX47" s="32"/>
      <c r="ACZ47" s="12"/>
      <c r="ADB47" s="34"/>
      <c r="ADC47" s="39"/>
      <c r="ADD47" s="41"/>
      <c r="ADG47" s="32"/>
      <c r="ADI47" s="12"/>
      <c r="ADK47" s="34"/>
      <c r="ADL47" s="39"/>
      <c r="ADM47" s="41"/>
      <c r="ADP47" s="32"/>
      <c r="ADR47" s="12"/>
      <c r="ADT47" s="34"/>
      <c r="ADU47" s="39"/>
      <c r="ADV47" s="41"/>
      <c r="ADY47" s="32"/>
      <c r="AEA47" s="12"/>
      <c r="AEC47" s="34"/>
      <c r="AED47" s="39"/>
      <c r="AEE47" s="41"/>
      <c r="AEH47" s="32"/>
      <c r="AEJ47" s="12"/>
      <c r="AEL47" s="34"/>
      <c r="AEM47" s="39"/>
      <c r="AEN47" s="41"/>
      <c r="AEQ47" s="32"/>
      <c r="AES47" s="12"/>
      <c r="AEU47" s="34"/>
      <c r="AEV47" s="39"/>
      <c r="AEW47" s="41"/>
      <c r="AEZ47" s="32"/>
      <c r="AFB47" s="12"/>
      <c r="AFD47" s="34"/>
      <c r="AFE47" s="39"/>
      <c r="AFF47" s="41"/>
      <c r="AFI47" s="32"/>
      <c r="AFK47" s="12"/>
      <c r="AFM47" s="34"/>
      <c r="AFN47" s="39"/>
      <c r="AFO47" s="41"/>
      <c r="AFR47" s="32"/>
      <c r="AFT47" s="12"/>
      <c r="AFV47" s="34"/>
      <c r="AFW47" s="39"/>
      <c r="AFX47" s="41"/>
      <c r="AGA47" s="32"/>
      <c r="AGC47" s="12"/>
      <c r="AGE47" s="34"/>
      <c r="AGF47" s="39"/>
      <c r="AGG47" s="41"/>
      <c r="AGJ47" s="32"/>
      <c r="AGL47" s="12"/>
      <c r="AGN47" s="34"/>
      <c r="AGO47" s="39"/>
      <c r="AGP47" s="41"/>
      <c r="AGS47" s="32"/>
      <c r="AGU47" s="12"/>
      <c r="AGW47" s="34"/>
      <c r="AGX47" s="39"/>
      <c r="AGY47" s="41"/>
      <c r="AHB47" s="32"/>
      <c r="AHD47" s="12"/>
      <c r="AHF47" s="34"/>
      <c r="AHG47" s="39"/>
      <c r="AHH47" s="41"/>
      <c r="AHK47" s="32"/>
      <c r="AHM47" s="12"/>
      <c r="AHO47" s="34"/>
      <c r="AHP47" s="39"/>
      <c r="AHQ47" s="41"/>
      <c r="AHT47" s="32"/>
      <c r="AHV47" s="12"/>
      <c r="AHX47" s="34"/>
      <c r="AHY47" s="39"/>
      <c r="AHZ47" s="41"/>
      <c r="AIC47" s="32"/>
      <c r="AIE47" s="12"/>
      <c r="AIG47" s="34"/>
      <c r="AIH47" s="39"/>
      <c r="AII47" s="41"/>
      <c r="AIL47" s="32"/>
      <c r="AIN47" s="12"/>
      <c r="AIP47" s="34"/>
      <c r="AIQ47" s="39"/>
      <c r="AIR47" s="41"/>
      <c r="AIU47" s="32"/>
      <c r="AIW47" s="12"/>
      <c r="AIY47" s="34"/>
      <c r="AIZ47" s="39"/>
      <c r="AJA47" s="41"/>
      <c r="AJD47" s="32"/>
      <c r="AJF47" s="12"/>
      <c r="AJH47" s="34"/>
      <c r="AJI47" s="39"/>
      <c r="AJJ47" s="41"/>
      <c r="AJM47" s="32"/>
      <c r="AJO47" s="12"/>
      <c r="AJQ47" s="34"/>
      <c r="AJR47" s="39"/>
      <c r="AJS47" s="41"/>
      <c r="AJV47" s="32"/>
      <c r="AJX47" s="12"/>
      <c r="AJZ47" s="34"/>
      <c r="AKA47" s="39"/>
      <c r="AKB47" s="41"/>
      <c r="AKE47" s="32"/>
      <c r="AKG47" s="12"/>
      <c r="AKI47" s="34"/>
      <c r="AKJ47" s="39"/>
      <c r="AKK47" s="41"/>
      <c r="AKN47" s="32"/>
      <c r="AKP47" s="12"/>
      <c r="AKR47" s="34"/>
      <c r="AKS47" s="39"/>
      <c r="AKT47" s="41"/>
      <c r="AKW47" s="32"/>
      <c r="AKY47" s="12"/>
      <c r="ALA47" s="34"/>
      <c r="ALB47" s="39"/>
      <c r="ALC47" s="41"/>
      <c r="ALF47" s="32"/>
      <c r="ALH47" s="12"/>
      <c r="ALJ47" s="34"/>
      <c r="ALK47" s="39"/>
      <c r="ALL47" s="41"/>
      <c r="ALO47" s="32"/>
      <c r="ALQ47" s="12"/>
      <c r="ALS47" s="34"/>
      <c r="ALT47" s="39"/>
      <c r="ALU47" s="41"/>
      <c r="ALX47" s="32"/>
      <c r="ALZ47" s="12"/>
      <c r="AMB47" s="34"/>
      <c r="AMC47" s="39"/>
      <c r="AMD47" s="41"/>
      <c r="AMG47" s="32"/>
      <c r="AMI47" s="12"/>
      <c r="AMK47" s="34"/>
      <c r="AML47" s="39"/>
      <c r="AMM47" s="41"/>
      <c r="AMP47" s="32"/>
      <c r="AMR47" s="12"/>
      <c r="AMT47" s="34"/>
      <c r="AMU47" s="39"/>
      <c r="AMV47" s="41"/>
      <c r="AMY47" s="32"/>
      <c r="ANA47" s="12"/>
      <c r="ANC47" s="34"/>
      <c r="AND47" s="39"/>
      <c r="ANE47" s="41"/>
      <c r="ANH47" s="32"/>
      <c r="ANJ47" s="12"/>
      <c r="ANL47" s="34"/>
      <c r="ANM47" s="39"/>
      <c r="ANN47" s="41"/>
      <c r="ANQ47" s="32"/>
      <c r="ANS47" s="12"/>
      <c r="ANU47" s="34"/>
      <c r="ANV47" s="39"/>
      <c r="ANW47" s="41"/>
      <c r="ANZ47" s="32"/>
      <c r="AOB47" s="12"/>
      <c r="AOD47" s="34"/>
      <c r="AOE47" s="39"/>
      <c r="AOF47" s="41"/>
      <c r="AOI47" s="32"/>
      <c r="AOK47" s="12"/>
      <c r="AOM47" s="34"/>
      <c r="AON47" s="39"/>
      <c r="AOO47" s="41"/>
      <c r="AOR47" s="32"/>
      <c r="AOT47" s="12"/>
      <c r="AOV47" s="34"/>
      <c r="AOW47" s="39"/>
      <c r="AOX47" s="41"/>
      <c r="APA47" s="32"/>
      <c r="APC47" s="12"/>
      <c r="APE47" s="34"/>
      <c r="APF47" s="39"/>
      <c r="APG47" s="41"/>
      <c r="APJ47" s="32"/>
      <c r="APL47" s="12"/>
      <c r="APN47" s="34"/>
      <c r="APO47" s="39"/>
      <c r="APP47" s="41"/>
      <c r="APS47" s="32"/>
      <c r="APU47" s="12"/>
      <c r="APW47" s="34"/>
      <c r="APX47" s="39"/>
      <c r="APY47" s="41"/>
      <c r="AQB47" s="32"/>
      <c r="AQD47" s="12"/>
      <c r="AQF47" s="34"/>
      <c r="AQG47" s="39"/>
      <c r="AQH47" s="41"/>
      <c r="AQK47" s="32"/>
      <c r="AQM47" s="12"/>
      <c r="AQO47" s="34"/>
      <c r="AQP47" s="39"/>
      <c r="AQQ47" s="41"/>
      <c r="AQT47" s="32"/>
      <c r="AQV47" s="12"/>
      <c r="AQX47" s="34"/>
      <c r="AQY47" s="39"/>
      <c r="AQZ47" s="41"/>
      <c r="ARC47" s="32"/>
      <c r="ARE47" s="12"/>
      <c r="ARG47" s="34"/>
      <c r="ARH47" s="39"/>
      <c r="ARI47" s="41"/>
      <c r="ARL47" s="32"/>
      <c r="ARN47" s="12"/>
      <c r="ARP47" s="34"/>
      <c r="ARQ47" s="39"/>
      <c r="ARR47" s="41"/>
      <c r="ARU47" s="32"/>
      <c r="ARW47" s="12"/>
      <c r="ARY47" s="34"/>
      <c r="ARZ47" s="39"/>
      <c r="ASA47" s="41"/>
      <c r="ASD47" s="32"/>
      <c r="ASF47" s="12"/>
      <c r="ASH47" s="34"/>
      <c r="ASI47" s="39"/>
      <c r="ASJ47" s="41"/>
      <c r="ASM47" s="32"/>
      <c r="ASO47" s="12"/>
      <c r="ASQ47" s="34"/>
      <c r="ASR47" s="39"/>
      <c r="ASS47" s="41"/>
      <c r="ASV47" s="32"/>
      <c r="ASX47" s="12"/>
      <c r="ASZ47" s="34"/>
      <c r="ATA47" s="39"/>
      <c r="ATB47" s="41"/>
      <c r="ATE47" s="32"/>
      <c r="ATG47" s="12"/>
      <c r="ATI47" s="34"/>
      <c r="ATJ47" s="39"/>
      <c r="ATK47" s="41"/>
      <c r="ATN47" s="32"/>
      <c r="ATP47" s="12"/>
      <c r="ATR47" s="34"/>
      <c r="ATS47" s="39"/>
      <c r="ATT47" s="41"/>
      <c r="ATW47" s="32"/>
      <c r="ATY47" s="12"/>
      <c r="AUA47" s="34"/>
      <c r="AUB47" s="39"/>
      <c r="AUC47" s="41"/>
      <c r="AUF47" s="32"/>
      <c r="AUH47" s="12"/>
      <c r="AUJ47" s="34"/>
      <c r="AUK47" s="39"/>
      <c r="AUL47" s="41"/>
      <c r="AUO47" s="32"/>
      <c r="AUQ47" s="12"/>
      <c r="AUS47" s="34"/>
      <c r="AUT47" s="39"/>
      <c r="AUU47" s="41"/>
      <c r="AUX47" s="32"/>
      <c r="AUZ47" s="12"/>
      <c r="AVB47" s="34"/>
      <c r="AVC47" s="39"/>
      <c r="AVD47" s="41"/>
      <c r="AVG47" s="32"/>
      <c r="AVI47" s="12"/>
      <c r="AVK47" s="34"/>
      <c r="AVL47" s="39"/>
      <c r="AVM47" s="41"/>
      <c r="AVP47" s="32"/>
      <c r="AVR47" s="12"/>
      <c r="AVT47" s="34"/>
      <c r="AVU47" s="39"/>
      <c r="AVV47" s="41"/>
      <c r="AVY47" s="32"/>
      <c r="AWA47" s="12"/>
      <c r="AWC47" s="34"/>
      <c r="AWD47" s="39"/>
      <c r="AWE47" s="41"/>
      <c r="AWH47" s="32"/>
      <c r="AWJ47" s="12"/>
      <c r="AWL47" s="34"/>
      <c r="AWM47" s="39"/>
      <c r="AWN47" s="41"/>
      <c r="AWQ47" s="32"/>
      <c r="AWS47" s="12"/>
      <c r="AWU47" s="34"/>
      <c r="AWV47" s="39"/>
      <c r="AWW47" s="41"/>
      <c r="AWZ47" s="32"/>
      <c r="AXB47" s="12"/>
      <c r="AXD47" s="34"/>
      <c r="AXE47" s="39"/>
      <c r="AXF47" s="41"/>
      <c r="AXI47" s="32"/>
      <c r="AXK47" s="12"/>
      <c r="AXM47" s="34"/>
      <c r="AXN47" s="39"/>
      <c r="AXO47" s="41"/>
      <c r="AXR47" s="32"/>
      <c r="AXT47" s="12"/>
      <c r="AXV47" s="34"/>
      <c r="AXW47" s="39"/>
      <c r="AXX47" s="41"/>
      <c r="AYA47" s="32"/>
      <c r="AYC47" s="12"/>
      <c r="AYE47" s="34"/>
      <c r="AYF47" s="39"/>
      <c r="AYG47" s="41"/>
      <c r="AYJ47" s="32"/>
      <c r="AYL47" s="12"/>
      <c r="AYN47" s="34"/>
      <c r="AYO47" s="39"/>
      <c r="AYP47" s="41"/>
      <c r="AYS47" s="32"/>
      <c r="AYU47" s="12"/>
      <c r="AYW47" s="34"/>
      <c r="AYX47" s="39"/>
      <c r="AYY47" s="41"/>
      <c r="AZB47" s="32"/>
      <c r="AZD47" s="12"/>
      <c r="AZF47" s="34"/>
      <c r="AZG47" s="39"/>
      <c r="AZH47" s="41"/>
      <c r="AZK47" s="32"/>
      <c r="AZM47" s="12"/>
      <c r="AZO47" s="34"/>
      <c r="AZP47" s="39"/>
      <c r="AZQ47" s="41"/>
      <c r="AZT47" s="32"/>
      <c r="AZV47" s="12"/>
      <c r="AZX47" s="34"/>
      <c r="AZY47" s="39"/>
      <c r="AZZ47" s="41"/>
      <c r="BAC47" s="32"/>
      <c r="BAE47" s="12"/>
      <c r="BAG47" s="34"/>
      <c r="BAH47" s="39"/>
      <c r="BAI47" s="41"/>
      <c r="BAL47" s="32"/>
      <c r="BAN47" s="12"/>
      <c r="BAP47" s="34"/>
      <c r="BAQ47" s="39"/>
      <c r="BAR47" s="41"/>
      <c r="BAU47" s="32"/>
      <c r="BAW47" s="12"/>
      <c r="BAY47" s="34"/>
      <c r="BAZ47" s="39"/>
      <c r="BBA47" s="41"/>
      <c r="BBD47" s="32"/>
      <c r="BBF47" s="12"/>
      <c r="BBH47" s="34"/>
      <c r="BBI47" s="39"/>
      <c r="BBJ47" s="41"/>
      <c r="BBM47" s="32"/>
      <c r="BBO47" s="12"/>
      <c r="BBQ47" s="34"/>
      <c r="BBR47" s="39"/>
      <c r="BBS47" s="41"/>
      <c r="BBV47" s="32"/>
      <c r="BBX47" s="12"/>
      <c r="BBZ47" s="34"/>
      <c r="BCA47" s="39"/>
      <c r="BCB47" s="41"/>
      <c r="BCE47" s="32"/>
      <c r="BCG47" s="12"/>
      <c r="BCI47" s="34"/>
      <c r="BCJ47" s="39"/>
      <c r="BCK47" s="41"/>
      <c r="BCN47" s="32"/>
      <c r="BCP47" s="12"/>
      <c r="BCR47" s="34"/>
      <c r="BCS47" s="39"/>
      <c r="BCT47" s="41"/>
      <c r="BCW47" s="32"/>
      <c r="BCY47" s="12"/>
      <c r="BDA47" s="34"/>
      <c r="BDB47" s="39"/>
      <c r="BDC47" s="41"/>
      <c r="BDF47" s="32"/>
      <c r="BDH47" s="12"/>
      <c r="BDJ47" s="34"/>
      <c r="BDK47" s="39"/>
      <c r="BDL47" s="41"/>
      <c r="BDO47" s="32"/>
      <c r="BDQ47" s="12"/>
      <c r="BDS47" s="34"/>
      <c r="BDT47" s="39"/>
      <c r="BDU47" s="41"/>
      <c r="BDX47" s="32"/>
      <c r="BDZ47" s="12"/>
      <c r="BEB47" s="34"/>
      <c r="BEC47" s="39"/>
      <c r="BED47" s="41"/>
      <c r="BEG47" s="32"/>
      <c r="BEI47" s="12"/>
      <c r="BEK47" s="34"/>
      <c r="BEL47" s="39"/>
      <c r="BEM47" s="41"/>
      <c r="BEP47" s="32"/>
      <c r="BER47" s="12"/>
      <c r="BET47" s="34"/>
      <c r="BEU47" s="39"/>
      <c r="BEV47" s="41"/>
      <c r="BEY47" s="32"/>
      <c r="BFA47" s="12"/>
      <c r="BFC47" s="34"/>
      <c r="BFD47" s="39"/>
      <c r="BFE47" s="41"/>
      <c r="BFH47" s="32"/>
      <c r="BFJ47" s="12"/>
      <c r="BFL47" s="34"/>
      <c r="BFM47" s="39"/>
      <c r="BFN47" s="41"/>
      <c r="BFQ47" s="32"/>
      <c r="BFS47" s="12"/>
      <c r="BFU47" s="34"/>
      <c r="BFV47" s="39"/>
      <c r="BFW47" s="41"/>
      <c r="BFZ47" s="32"/>
      <c r="BGB47" s="12"/>
      <c r="BGD47" s="34"/>
      <c r="BGE47" s="39"/>
      <c r="BGF47" s="41"/>
      <c r="BGI47" s="32"/>
      <c r="BGK47" s="12"/>
      <c r="BGM47" s="34"/>
      <c r="BGN47" s="39"/>
      <c r="BGO47" s="41"/>
      <c r="BGR47" s="32"/>
      <c r="BGT47" s="12"/>
      <c r="BGV47" s="34"/>
      <c r="BGW47" s="39"/>
      <c r="BGX47" s="41"/>
      <c r="BHA47" s="32"/>
      <c r="BHC47" s="12"/>
      <c r="BHE47" s="34"/>
      <c r="BHF47" s="39"/>
      <c r="BHG47" s="41"/>
      <c r="BHJ47" s="32"/>
      <c r="BHL47" s="12"/>
      <c r="BHN47" s="34"/>
      <c r="BHO47" s="39"/>
      <c r="BHP47" s="41"/>
      <c r="BHS47" s="32"/>
      <c r="BHU47" s="12"/>
      <c r="BHW47" s="34"/>
      <c r="BHX47" s="39"/>
      <c r="BHY47" s="41"/>
      <c r="BIB47" s="32"/>
      <c r="BID47" s="12"/>
      <c r="BIF47" s="34"/>
      <c r="BIG47" s="39"/>
      <c r="BIH47" s="41"/>
      <c r="BIK47" s="32"/>
      <c r="BIM47" s="12"/>
      <c r="BIO47" s="34"/>
      <c r="BIP47" s="39"/>
      <c r="BIQ47" s="41"/>
      <c r="BIT47" s="32"/>
      <c r="BIV47" s="12"/>
      <c r="BIX47" s="34"/>
      <c r="BIY47" s="39"/>
      <c r="BIZ47" s="41"/>
      <c r="BJC47" s="32"/>
      <c r="BJE47" s="12"/>
      <c r="BJG47" s="34"/>
      <c r="BJH47" s="39"/>
      <c r="BJI47" s="41"/>
      <c r="BJL47" s="32"/>
      <c r="BJN47" s="12"/>
      <c r="BJP47" s="34"/>
      <c r="BJQ47" s="39"/>
      <c r="BJR47" s="41"/>
      <c r="BJU47" s="32"/>
      <c r="BJW47" s="12"/>
      <c r="BJY47" s="34"/>
      <c r="BJZ47" s="39"/>
      <c r="BKA47" s="41"/>
      <c r="BKD47" s="32"/>
      <c r="BKF47" s="12"/>
      <c r="BKH47" s="34"/>
      <c r="BKI47" s="39"/>
      <c r="BKJ47" s="41"/>
      <c r="BKM47" s="32"/>
      <c r="BKO47" s="12"/>
      <c r="BKQ47" s="34"/>
      <c r="BKR47" s="39"/>
      <c r="BKS47" s="41"/>
      <c r="BKV47" s="32"/>
      <c r="BKX47" s="12"/>
      <c r="BKZ47" s="34"/>
      <c r="BLA47" s="39"/>
      <c r="BLB47" s="41"/>
      <c r="BLE47" s="32"/>
      <c r="BLG47" s="12"/>
      <c r="BLI47" s="34"/>
      <c r="BLJ47" s="39"/>
      <c r="BLK47" s="41"/>
      <c r="BLN47" s="32"/>
      <c r="BLP47" s="12"/>
      <c r="BLR47" s="34"/>
      <c r="BLS47" s="39"/>
      <c r="BLT47" s="41"/>
      <c r="BLW47" s="32"/>
      <c r="BLY47" s="12"/>
      <c r="BMA47" s="34"/>
      <c r="BMB47" s="39"/>
      <c r="BMC47" s="41"/>
      <c r="BMF47" s="32"/>
      <c r="BMH47" s="12"/>
      <c r="BMJ47" s="34"/>
      <c r="BMK47" s="39"/>
      <c r="BML47" s="41"/>
      <c r="BMO47" s="32"/>
      <c r="BMQ47" s="12"/>
      <c r="BMS47" s="34"/>
      <c r="BMT47" s="39"/>
      <c r="BMU47" s="41"/>
      <c r="BMX47" s="32"/>
      <c r="BMZ47" s="12"/>
      <c r="BNB47" s="34"/>
      <c r="BNC47" s="39"/>
      <c r="BND47" s="41"/>
      <c r="BNG47" s="32"/>
      <c r="BNI47" s="12"/>
      <c r="BNK47" s="34"/>
      <c r="BNL47" s="39"/>
      <c r="BNM47" s="41"/>
      <c r="BNP47" s="32"/>
      <c r="BNR47" s="12"/>
      <c r="BNT47" s="34"/>
      <c r="BNU47" s="39"/>
      <c r="BNV47" s="41"/>
      <c r="BNY47" s="32"/>
      <c r="BOA47" s="12"/>
      <c r="BOC47" s="34"/>
      <c r="BOD47" s="39"/>
      <c r="BOE47" s="41"/>
      <c r="BOH47" s="32"/>
      <c r="BOJ47" s="12"/>
      <c r="BOL47" s="34"/>
      <c r="BOM47" s="39"/>
      <c r="BON47" s="41"/>
      <c r="BOQ47" s="32"/>
      <c r="BOS47" s="12"/>
      <c r="BOU47" s="34"/>
      <c r="BOV47" s="39"/>
      <c r="BOW47" s="41"/>
      <c r="BOZ47" s="32"/>
      <c r="BPB47" s="12"/>
      <c r="BPD47" s="34"/>
      <c r="BPE47" s="39"/>
      <c r="BPF47" s="41"/>
      <c r="BPI47" s="32"/>
      <c r="BPK47" s="12"/>
      <c r="BPM47" s="34"/>
      <c r="BPN47" s="39"/>
      <c r="BPO47" s="41"/>
      <c r="BPR47" s="32"/>
      <c r="BPT47" s="12"/>
      <c r="BPV47" s="34"/>
      <c r="BPW47" s="39"/>
      <c r="BPX47" s="41"/>
      <c r="BQA47" s="32"/>
      <c r="BQC47" s="12"/>
      <c r="BQE47" s="34"/>
      <c r="BQF47" s="39"/>
      <c r="BQG47" s="41"/>
      <c r="BQJ47" s="32"/>
      <c r="BQL47" s="12"/>
      <c r="BQN47" s="34"/>
      <c r="BQO47" s="39"/>
      <c r="BQP47" s="41"/>
      <c r="BQS47" s="32"/>
      <c r="BQU47" s="12"/>
      <c r="BQW47" s="34"/>
      <c r="BQX47" s="39"/>
      <c r="BQY47" s="41"/>
      <c r="BRB47" s="32"/>
      <c r="BRD47" s="12"/>
      <c r="BRF47" s="34"/>
      <c r="BRG47" s="39"/>
      <c r="BRH47" s="41"/>
      <c r="BRK47" s="32"/>
      <c r="BRM47" s="12"/>
      <c r="BRO47" s="34"/>
      <c r="BRP47" s="39"/>
      <c r="BRQ47" s="41"/>
      <c r="BRT47" s="32"/>
      <c r="BRV47" s="12"/>
      <c r="BRX47" s="34"/>
      <c r="BRY47" s="39"/>
      <c r="BRZ47" s="41"/>
      <c r="BSC47" s="32"/>
      <c r="BSE47" s="12"/>
      <c r="BSG47" s="34"/>
      <c r="BSH47" s="39"/>
      <c r="BSI47" s="41"/>
      <c r="BSL47" s="32"/>
      <c r="BSN47" s="12"/>
      <c r="BSP47" s="34"/>
      <c r="BSQ47" s="39"/>
      <c r="BSR47" s="41"/>
      <c r="BSU47" s="32"/>
      <c r="BSW47" s="12"/>
      <c r="BSY47" s="34"/>
      <c r="BSZ47" s="39"/>
      <c r="BTA47" s="41"/>
      <c r="BTD47" s="32"/>
      <c r="BTF47" s="12"/>
      <c r="BTH47" s="34"/>
      <c r="BTI47" s="39"/>
      <c r="BTJ47" s="41"/>
      <c r="BTM47" s="32"/>
      <c r="BTO47" s="12"/>
      <c r="BTQ47" s="34"/>
      <c r="BTR47" s="39"/>
      <c r="BTS47" s="41"/>
      <c r="BTV47" s="32"/>
      <c r="BTX47" s="12"/>
      <c r="BTZ47" s="34"/>
      <c r="BUA47" s="39"/>
      <c r="BUB47" s="41"/>
      <c r="BUE47" s="32"/>
      <c r="BUG47" s="12"/>
      <c r="BUI47" s="34"/>
      <c r="BUJ47" s="39"/>
      <c r="BUK47" s="41"/>
      <c r="BUN47" s="32"/>
      <c r="BUP47" s="12"/>
      <c r="BUR47" s="34"/>
      <c r="BUS47" s="39"/>
      <c r="BUT47" s="41"/>
      <c r="BUW47" s="32"/>
      <c r="BUY47" s="12"/>
      <c r="BVA47" s="34"/>
      <c r="BVB47" s="39"/>
      <c r="BVC47" s="41"/>
      <c r="BVF47" s="32"/>
      <c r="BVH47" s="12"/>
      <c r="BVJ47" s="34"/>
      <c r="BVK47" s="39"/>
      <c r="BVL47" s="41"/>
      <c r="BVO47" s="32"/>
      <c r="BVQ47" s="12"/>
      <c r="BVS47" s="34"/>
      <c r="BVT47" s="39"/>
      <c r="BVU47" s="41"/>
      <c r="BVX47" s="32"/>
      <c r="BVZ47" s="12"/>
      <c r="BWB47" s="34"/>
      <c r="BWC47" s="39"/>
      <c r="BWD47" s="41"/>
      <c r="BWG47" s="32"/>
      <c r="BWI47" s="12"/>
      <c r="BWK47" s="34"/>
      <c r="BWL47" s="39"/>
      <c r="BWM47" s="41"/>
      <c r="BWP47" s="32"/>
      <c r="BWR47" s="12"/>
      <c r="BWT47" s="34"/>
      <c r="BWU47" s="39"/>
      <c r="BWV47" s="41"/>
      <c r="BWY47" s="32"/>
      <c r="BXA47" s="12"/>
      <c r="BXC47" s="34"/>
      <c r="BXD47" s="39"/>
      <c r="BXE47" s="41"/>
      <c r="BXH47" s="32"/>
      <c r="BXJ47" s="12"/>
      <c r="BXL47" s="34"/>
      <c r="BXM47" s="39"/>
      <c r="BXN47" s="41"/>
      <c r="BXQ47" s="32"/>
      <c r="BXS47" s="12"/>
      <c r="BXU47" s="34"/>
      <c r="BXV47" s="39"/>
      <c r="BXW47" s="41"/>
      <c r="BXZ47" s="32"/>
      <c r="BYB47" s="12"/>
      <c r="BYD47" s="34"/>
      <c r="BYE47" s="39"/>
      <c r="BYF47" s="41"/>
      <c r="BYI47" s="32"/>
      <c r="BYK47" s="12"/>
      <c r="BYM47" s="34"/>
      <c r="BYN47" s="39"/>
      <c r="BYO47" s="41"/>
      <c r="BYR47" s="32"/>
      <c r="BYT47" s="12"/>
      <c r="BYV47" s="34"/>
      <c r="BYW47" s="39"/>
      <c r="BYX47" s="41"/>
      <c r="BZA47" s="32"/>
      <c r="BZC47" s="12"/>
      <c r="BZE47" s="34"/>
      <c r="BZF47" s="39"/>
      <c r="BZG47" s="41"/>
      <c r="BZJ47" s="32"/>
      <c r="BZL47" s="12"/>
      <c r="BZN47" s="34"/>
      <c r="BZO47" s="39"/>
      <c r="BZP47" s="41"/>
      <c r="BZS47" s="32"/>
      <c r="BZU47" s="12"/>
      <c r="BZW47" s="34"/>
      <c r="BZX47" s="39"/>
      <c r="BZY47" s="41"/>
      <c r="CAB47" s="32"/>
      <c r="CAD47" s="12"/>
      <c r="CAF47" s="34"/>
      <c r="CAG47" s="39"/>
      <c r="CAH47" s="41"/>
      <c r="CAK47" s="32"/>
      <c r="CAM47" s="12"/>
      <c r="CAO47" s="34"/>
      <c r="CAP47" s="39"/>
      <c r="CAQ47" s="41"/>
      <c r="CAT47" s="32"/>
      <c r="CAV47" s="12"/>
      <c r="CAX47" s="34"/>
      <c r="CAY47" s="39"/>
      <c r="CAZ47" s="41"/>
      <c r="CBC47" s="32"/>
      <c r="CBE47" s="12"/>
      <c r="CBG47" s="34"/>
      <c r="CBH47" s="39"/>
      <c r="CBI47" s="41"/>
      <c r="CBL47" s="32"/>
      <c r="CBN47" s="12"/>
      <c r="CBP47" s="34"/>
      <c r="CBQ47" s="39"/>
      <c r="CBR47" s="41"/>
      <c r="CBU47" s="32"/>
      <c r="CBW47" s="12"/>
      <c r="CBY47" s="34"/>
      <c r="CBZ47" s="39"/>
      <c r="CCA47" s="41"/>
      <c r="CCD47" s="32"/>
      <c r="CCF47" s="12"/>
      <c r="CCH47" s="34"/>
      <c r="CCI47" s="39"/>
      <c r="CCJ47" s="41"/>
      <c r="CCM47" s="32"/>
      <c r="CCO47" s="12"/>
      <c r="CCQ47" s="34"/>
      <c r="CCR47" s="39"/>
      <c r="CCS47" s="41"/>
      <c r="CCV47" s="32"/>
      <c r="CCX47" s="12"/>
      <c r="CCZ47" s="34"/>
      <c r="CDA47" s="39"/>
      <c r="CDB47" s="41"/>
      <c r="CDE47" s="32"/>
      <c r="CDG47" s="12"/>
      <c r="CDI47" s="34"/>
      <c r="CDJ47" s="39"/>
      <c r="CDK47" s="41"/>
      <c r="CDN47" s="32"/>
      <c r="CDP47" s="12"/>
      <c r="CDR47" s="34"/>
      <c r="CDS47" s="39"/>
      <c r="CDT47" s="41"/>
      <c r="CDW47" s="32"/>
      <c r="CDY47" s="12"/>
      <c r="CEA47" s="34"/>
      <c r="CEB47" s="39"/>
      <c r="CEC47" s="41"/>
      <c r="CEF47" s="32"/>
      <c r="CEH47" s="12"/>
      <c r="CEJ47" s="34"/>
      <c r="CEK47" s="39"/>
      <c r="CEL47" s="41"/>
      <c r="CEO47" s="32"/>
      <c r="CEQ47" s="12"/>
      <c r="CES47" s="34"/>
      <c r="CET47" s="39"/>
      <c r="CEU47" s="41"/>
      <c r="CEX47" s="32"/>
      <c r="CEZ47" s="12"/>
      <c r="CFB47" s="34"/>
      <c r="CFC47" s="39"/>
      <c r="CFD47" s="41"/>
      <c r="CFG47" s="32"/>
      <c r="CFI47" s="12"/>
      <c r="CFK47" s="34"/>
      <c r="CFL47" s="39"/>
      <c r="CFM47" s="41"/>
      <c r="CFP47" s="32"/>
      <c r="CFR47" s="12"/>
      <c r="CFT47" s="34"/>
      <c r="CFU47" s="39"/>
      <c r="CFV47" s="41"/>
      <c r="CFY47" s="32"/>
      <c r="CGA47" s="12"/>
      <c r="CGC47" s="34"/>
      <c r="CGD47" s="39"/>
      <c r="CGE47" s="41"/>
      <c r="CGH47" s="32"/>
      <c r="CGJ47" s="12"/>
      <c r="CGL47" s="34"/>
      <c r="CGM47" s="39"/>
      <c r="CGN47" s="41"/>
      <c r="CGQ47" s="32"/>
      <c r="CGS47" s="12"/>
      <c r="CGU47" s="34"/>
      <c r="CGV47" s="39"/>
      <c r="CGW47" s="41"/>
      <c r="CGZ47" s="32"/>
      <c r="CHB47" s="12"/>
      <c r="CHD47" s="34"/>
      <c r="CHE47" s="39"/>
      <c r="CHF47" s="41"/>
      <c r="CHI47" s="32"/>
      <c r="CHK47" s="12"/>
      <c r="CHM47" s="34"/>
      <c r="CHN47" s="39"/>
      <c r="CHO47" s="41"/>
      <c r="CHR47" s="32"/>
      <c r="CHT47" s="12"/>
      <c r="CHV47" s="34"/>
      <c r="CHW47" s="39"/>
      <c r="CHX47" s="41"/>
      <c r="CIA47" s="32"/>
      <c r="CIC47" s="12"/>
      <c r="CIE47" s="34"/>
      <c r="CIF47" s="39"/>
      <c r="CIG47" s="41"/>
      <c r="CIJ47" s="32"/>
      <c r="CIL47" s="12"/>
      <c r="CIN47" s="34"/>
      <c r="CIO47" s="39"/>
      <c r="CIP47" s="41"/>
      <c r="CIS47" s="32"/>
      <c r="CIU47" s="12"/>
      <c r="CIW47" s="34"/>
      <c r="CIX47" s="39"/>
      <c r="CIY47" s="41"/>
      <c r="CJB47" s="32"/>
      <c r="CJD47" s="12"/>
      <c r="CJF47" s="34"/>
      <c r="CJG47" s="39"/>
      <c r="CJH47" s="41"/>
      <c r="CJK47" s="32"/>
      <c r="CJM47" s="12"/>
      <c r="CJO47" s="34"/>
      <c r="CJP47" s="39"/>
      <c r="CJQ47" s="41"/>
      <c r="CJT47" s="32"/>
      <c r="CJV47" s="12"/>
      <c r="CJX47" s="34"/>
      <c r="CJY47" s="39"/>
      <c r="CJZ47" s="41"/>
      <c r="CKC47" s="32"/>
      <c r="CKE47" s="12"/>
      <c r="CKG47" s="34"/>
      <c r="CKH47" s="39"/>
      <c r="CKI47" s="41"/>
      <c r="CKL47" s="32"/>
      <c r="CKN47" s="12"/>
      <c r="CKP47" s="34"/>
      <c r="CKQ47" s="39"/>
      <c r="CKR47" s="41"/>
      <c r="CKU47" s="32"/>
      <c r="CKW47" s="12"/>
      <c r="CKY47" s="34"/>
      <c r="CKZ47" s="39"/>
      <c r="CLA47" s="41"/>
      <c r="CLD47" s="32"/>
      <c r="CLF47" s="12"/>
      <c r="CLH47" s="34"/>
      <c r="CLI47" s="39"/>
      <c r="CLJ47" s="41"/>
      <c r="CLM47" s="32"/>
      <c r="CLO47" s="12"/>
      <c r="CLQ47" s="34"/>
      <c r="CLR47" s="39"/>
      <c r="CLS47" s="41"/>
      <c r="CLV47" s="32"/>
      <c r="CLX47" s="12"/>
      <c r="CLZ47" s="34"/>
      <c r="CMA47" s="39"/>
      <c r="CMB47" s="41"/>
      <c r="CME47" s="32"/>
      <c r="CMG47" s="12"/>
      <c r="CMI47" s="34"/>
      <c r="CMJ47" s="39"/>
      <c r="CMK47" s="41"/>
      <c r="CMN47" s="32"/>
      <c r="CMP47" s="12"/>
      <c r="CMR47" s="34"/>
      <c r="CMS47" s="39"/>
      <c r="CMT47" s="41"/>
      <c r="CMW47" s="32"/>
      <c r="CMY47" s="12"/>
      <c r="CNA47" s="34"/>
      <c r="CNB47" s="39"/>
      <c r="CNC47" s="41"/>
      <c r="CNF47" s="32"/>
      <c r="CNH47" s="12"/>
      <c r="CNJ47" s="34"/>
      <c r="CNK47" s="39"/>
      <c r="CNL47" s="41"/>
      <c r="CNO47" s="32"/>
      <c r="CNQ47" s="12"/>
      <c r="CNS47" s="34"/>
      <c r="CNT47" s="39"/>
      <c r="CNU47" s="41"/>
      <c r="CNX47" s="32"/>
      <c r="CNZ47" s="12"/>
      <c r="COB47" s="34"/>
      <c r="COC47" s="39"/>
      <c r="COD47" s="41"/>
      <c r="COG47" s="32"/>
      <c r="COI47" s="12"/>
      <c r="COK47" s="34"/>
      <c r="COL47" s="39"/>
      <c r="COM47" s="41"/>
      <c r="COP47" s="32"/>
      <c r="COR47" s="12"/>
      <c r="COT47" s="34"/>
      <c r="COU47" s="39"/>
      <c r="COV47" s="41"/>
      <c r="COY47" s="32"/>
      <c r="CPA47" s="12"/>
      <c r="CPC47" s="34"/>
      <c r="CPD47" s="39"/>
      <c r="CPE47" s="41"/>
      <c r="CPH47" s="32"/>
      <c r="CPJ47" s="12"/>
      <c r="CPL47" s="34"/>
      <c r="CPM47" s="39"/>
      <c r="CPN47" s="41"/>
      <c r="CPQ47" s="32"/>
      <c r="CPS47" s="12"/>
      <c r="CPU47" s="34"/>
      <c r="CPV47" s="39"/>
      <c r="CPW47" s="41"/>
      <c r="CPZ47" s="32"/>
      <c r="CQB47" s="12"/>
      <c r="CQD47" s="34"/>
      <c r="CQE47" s="39"/>
      <c r="CQF47" s="41"/>
      <c r="CQI47" s="32"/>
      <c r="CQK47" s="12"/>
      <c r="CQM47" s="34"/>
      <c r="CQN47" s="39"/>
      <c r="CQO47" s="41"/>
      <c r="CQR47" s="32"/>
      <c r="CQT47" s="12"/>
      <c r="CQV47" s="34"/>
      <c r="CQW47" s="39"/>
      <c r="CQX47" s="41"/>
      <c r="CRA47" s="32"/>
      <c r="CRC47" s="12"/>
      <c r="CRE47" s="34"/>
      <c r="CRF47" s="39"/>
      <c r="CRG47" s="41"/>
      <c r="CRJ47" s="32"/>
      <c r="CRL47" s="12"/>
      <c r="CRN47" s="34"/>
      <c r="CRO47" s="39"/>
      <c r="CRP47" s="41"/>
      <c r="CRS47" s="32"/>
      <c r="CRU47" s="12"/>
      <c r="CRW47" s="34"/>
      <c r="CRX47" s="39"/>
      <c r="CRY47" s="41"/>
      <c r="CSB47" s="32"/>
      <c r="CSD47" s="12"/>
      <c r="CSF47" s="34"/>
      <c r="CSG47" s="39"/>
      <c r="CSH47" s="41"/>
      <c r="CSK47" s="32"/>
      <c r="CSM47" s="12"/>
      <c r="CSO47" s="34"/>
      <c r="CSP47" s="39"/>
      <c r="CSQ47" s="41"/>
      <c r="CST47" s="32"/>
      <c r="CSV47" s="12"/>
      <c r="CSX47" s="34"/>
      <c r="CSY47" s="39"/>
      <c r="CSZ47" s="41"/>
      <c r="CTC47" s="32"/>
      <c r="CTE47" s="12"/>
      <c r="CTG47" s="34"/>
      <c r="CTH47" s="39"/>
      <c r="CTI47" s="41"/>
      <c r="CTL47" s="32"/>
      <c r="CTN47" s="12"/>
      <c r="CTP47" s="34"/>
      <c r="CTQ47" s="39"/>
      <c r="CTR47" s="41"/>
      <c r="CTU47" s="32"/>
      <c r="CTW47" s="12"/>
      <c r="CTY47" s="34"/>
      <c r="CTZ47" s="39"/>
      <c r="CUA47" s="41"/>
      <c r="CUD47" s="32"/>
      <c r="CUF47" s="12"/>
      <c r="CUH47" s="34"/>
      <c r="CUI47" s="39"/>
      <c r="CUJ47" s="41"/>
      <c r="CUM47" s="32"/>
      <c r="CUO47" s="12"/>
      <c r="CUQ47" s="34"/>
      <c r="CUR47" s="39"/>
      <c r="CUS47" s="41"/>
      <c r="CUV47" s="32"/>
      <c r="CUX47" s="12"/>
      <c r="CUZ47" s="34"/>
      <c r="CVA47" s="39"/>
      <c r="CVB47" s="41"/>
      <c r="CVE47" s="32"/>
      <c r="CVG47" s="12"/>
      <c r="CVI47" s="34"/>
      <c r="CVJ47" s="39"/>
      <c r="CVK47" s="41"/>
      <c r="CVN47" s="32"/>
      <c r="CVP47" s="12"/>
      <c r="CVR47" s="34"/>
      <c r="CVS47" s="39"/>
      <c r="CVT47" s="41"/>
      <c r="CVW47" s="32"/>
      <c r="CVY47" s="12"/>
      <c r="CWA47" s="34"/>
      <c r="CWB47" s="39"/>
      <c r="CWC47" s="41"/>
      <c r="CWF47" s="32"/>
      <c r="CWH47" s="12"/>
      <c r="CWJ47" s="34"/>
      <c r="CWK47" s="39"/>
      <c r="CWL47" s="41"/>
      <c r="CWO47" s="32"/>
      <c r="CWQ47" s="12"/>
      <c r="CWS47" s="34"/>
      <c r="CWT47" s="39"/>
      <c r="CWU47" s="41"/>
      <c r="CWX47" s="32"/>
      <c r="CWZ47" s="12"/>
      <c r="CXB47" s="34"/>
      <c r="CXC47" s="39"/>
      <c r="CXD47" s="41"/>
      <c r="CXG47" s="32"/>
      <c r="CXI47" s="12"/>
      <c r="CXK47" s="34"/>
      <c r="CXL47" s="39"/>
      <c r="CXM47" s="41"/>
      <c r="CXP47" s="32"/>
      <c r="CXR47" s="12"/>
      <c r="CXT47" s="34"/>
      <c r="CXU47" s="39"/>
      <c r="CXV47" s="41"/>
      <c r="CXY47" s="32"/>
      <c r="CYA47" s="12"/>
      <c r="CYC47" s="34"/>
      <c r="CYD47" s="39"/>
      <c r="CYE47" s="41"/>
      <c r="CYH47" s="32"/>
      <c r="CYJ47" s="12"/>
      <c r="CYL47" s="34"/>
      <c r="CYM47" s="39"/>
      <c r="CYN47" s="41"/>
      <c r="CYQ47" s="32"/>
      <c r="CYS47" s="12"/>
      <c r="CYU47" s="34"/>
      <c r="CYV47" s="39"/>
      <c r="CYW47" s="41"/>
      <c r="CYZ47" s="32"/>
      <c r="CZB47" s="12"/>
      <c r="CZD47" s="34"/>
      <c r="CZE47" s="39"/>
      <c r="CZF47" s="41"/>
      <c r="CZI47" s="32"/>
      <c r="CZK47" s="12"/>
      <c r="CZM47" s="34"/>
      <c r="CZN47" s="39"/>
      <c r="CZO47" s="41"/>
      <c r="CZR47" s="32"/>
      <c r="CZT47" s="12"/>
      <c r="CZV47" s="34"/>
      <c r="CZW47" s="39"/>
      <c r="CZX47" s="41"/>
      <c r="DAA47" s="32"/>
      <c r="DAC47" s="12"/>
      <c r="DAE47" s="34"/>
      <c r="DAF47" s="39"/>
      <c r="DAG47" s="41"/>
      <c r="DAJ47" s="32"/>
      <c r="DAL47" s="12"/>
      <c r="DAN47" s="34"/>
      <c r="DAO47" s="39"/>
      <c r="DAP47" s="41"/>
      <c r="DAS47" s="32"/>
      <c r="DAU47" s="12"/>
      <c r="DAW47" s="34"/>
      <c r="DAX47" s="39"/>
      <c r="DAY47" s="41"/>
      <c r="DBB47" s="32"/>
      <c r="DBD47" s="12"/>
      <c r="DBF47" s="34"/>
      <c r="DBG47" s="39"/>
      <c r="DBH47" s="41"/>
      <c r="DBK47" s="32"/>
      <c r="DBM47" s="12"/>
      <c r="DBO47" s="34"/>
      <c r="DBP47" s="39"/>
      <c r="DBQ47" s="41"/>
      <c r="DBT47" s="32"/>
      <c r="DBV47" s="12"/>
      <c r="DBX47" s="34"/>
      <c r="DBY47" s="39"/>
      <c r="DBZ47" s="41"/>
      <c r="DCC47" s="32"/>
      <c r="DCE47" s="12"/>
      <c r="DCG47" s="34"/>
      <c r="DCH47" s="39"/>
      <c r="DCI47" s="41"/>
      <c r="DCL47" s="32"/>
      <c r="DCN47" s="12"/>
      <c r="DCP47" s="34"/>
      <c r="DCQ47" s="39"/>
      <c r="DCR47" s="41"/>
      <c r="DCU47" s="32"/>
      <c r="DCW47" s="12"/>
      <c r="DCY47" s="34"/>
      <c r="DCZ47" s="39"/>
      <c r="DDA47" s="41"/>
      <c r="DDD47" s="32"/>
      <c r="DDF47" s="12"/>
      <c r="DDH47" s="34"/>
      <c r="DDI47" s="39"/>
      <c r="DDJ47" s="41"/>
      <c r="DDM47" s="32"/>
      <c r="DDO47" s="12"/>
      <c r="DDQ47" s="34"/>
      <c r="DDR47" s="39"/>
      <c r="DDS47" s="41"/>
      <c r="DDV47" s="32"/>
      <c r="DDX47" s="12"/>
      <c r="DDZ47" s="34"/>
      <c r="DEA47" s="39"/>
      <c r="DEB47" s="41"/>
      <c r="DEE47" s="32"/>
      <c r="DEG47" s="12"/>
      <c r="DEI47" s="34"/>
      <c r="DEJ47" s="39"/>
      <c r="DEK47" s="41"/>
      <c r="DEN47" s="32"/>
      <c r="DEP47" s="12"/>
      <c r="DER47" s="34"/>
      <c r="DES47" s="39"/>
      <c r="DET47" s="41"/>
      <c r="DEW47" s="32"/>
      <c r="DEY47" s="12"/>
      <c r="DFA47" s="34"/>
      <c r="DFB47" s="39"/>
      <c r="DFC47" s="41"/>
      <c r="DFF47" s="32"/>
      <c r="DFH47" s="12"/>
      <c r="DFJ47" s="34"/>
      <c r="DFK47" s="39"/>
      <c r="DFL47" s="41"/>
      <c r="DFO47" s="32"/>
      <c r="DFQ47" s="12"/>
      <c r="DFS47" s="34"/>
      <c r="DFT47" s="39"/>
      <c r="DFU47" s="41"/>
      <c r="DFX47" s="32"/>
      <c r="DFZ47" s="12"/>
      <c r="DGB47" s="34"/>
      <c r="DGC47" s="39"/>
      <c r="DGD47" s="41"/>
      <c r="DGG47" s="32"/>
      <c r="DGI47" s="12"/>
      <c r="DGK47" s="34"/>
      <c r="DGL47" s="39"/>
      <c r="DGM47" s="41"/>
      <c r="DGP47" s="32"/>
      <c r="DGR47" s="12"/>
      <c r="DGT47" s="34"/>
      <c r="DGU47" s="39"/>
      <c r="DGV47" s="41"/>
      <c r="DGY47" s="32"/>
      <c r="DHA47" s="12"/>
      <c r="DHC47" s="34"/>
      <c r="DHD47" s="39"/>
      <c r="DHE47" s="41"/>
      <c r="DHH47" s="32"/>
      <c r="DHJ47" s="12"/>
      <c r="DHL47" s="34"/>
      <c r="DHM47" s="39"/>
      <c r="DHN47" s="41"/>
      <c r="DHQ47" s="32"/>
      <c r="DHS47" s="12"/>
      <c r="DHU47" s="34"/>
      <c r="DHV47" s="39"/>
      <c r="DHW47" s="41"/>
      <c r="DHZ47" s="32"/>
      <c r="DIB47" s="12"/>
      <c r="DID47" s="34"/>
      <c r="DIE47" s="39"/>
      <c r="DIF47" s="41"/>
      <c r="DII47" s="32"/>
      <c r="DIK47" s="12"/>
      <c r="DIM47" s="34"/>
      <c r="DIN47" s="39"/>
      <c r="DIO47" s="41"/>
      <c r="DIR47" s="32"/>
      <c r="DIT47" s="12"/>
      <c r="DIV47" s="34"/>
      <c r="DIW47" s="39"/>
      <c r="DIX47" s="41"/>
      <c r="DJA47" s="32"/>
      <c r="DJC47" s="12"/>
      <c r="DJE47" s="34"/>
      <c r="DJF47" s="39"/>
      <c r="DJG47" s="41"/>
      <c r="DJJ47" s="32"/>
      <c r="DJL47" s="12"/>
      <c r="DJN47" s="34"/>
      <c r="DJO47" s="39"/>
      <c r="DJP47" s="41"/>
      <c r="DJS47" s="32"/>
      <c r="DJU47" s="12"/>
      <c r="DJW47" s="34"/>
      <c r="DJX47" s="39"/>
      <c r="DJY47" s="41"/>
      <c r="DKB47" s="32"/>
      <c r="DKD47" s="12"/>
      <c r="DKF47" s="34"/>
      <c r="DKG47" s="39"/>
      <c r="DKH47" s="41"/>
      <c r="DKK47" s="32"/>
      <c r="DKM47" s="12"/>
      <c r="DKO47" s="34"/>
      <c r="DKP47" s="39"/>
      <c r="DKQ47" s="41"/>
      <c r="DKT47" s="32"/>
      <c r="DKV47" s="12"/>
      <c r="DKX47" s="34"/>
      <c r="DKY47" s="39"/>
      <c r="DKZ47" s="41"/>
      <c r="DLC47" s="32"/>
      <c r="DLE47" s="12"/>
      <c r="DLG47" s="34"/>
      <c r="DLH47" s="39"/>
      <c r="DLI47" s="41"/>
      <c r="DLL47" s="32"/>
      <c r="DLN47" s="12"/>
      <c r="DLP47" s="34"/>
      <c r="DLQ47" s="39"/>
      <c r="DLR47" s="41"/>
      <c r="DLU47" s="32"/>
      <c r="DLW47" s="12"/>
      <c r="DLY47" s="34"/>
      <c r="DLZ47" s="39"/>
      <c r="DMA47" s="41"/>
      <c r="DMD47" s="32"/>
      <c r="DMF47" s="12"/>
      <c r="DMH47" s="34"/>
      <c r="DMI47" s="39"/>
      <c r="DMJ47" s="41"/>
      <c r="DMM47" s="32"/>
      <c r="DMO47" s="12"/>
      <c r="DMQ47" s="34"/>
      <c r="DMR47" s="39"/>
      <c r="DMS47" s="41"/>
      <c r="DMV47" s="32"/>
      <c r="DMX47" s="12"/>
      <c r="DMZ47" s="34"/>
      <c r="DNA47" s="39"/>
      <c r="DNB47" s="41"/>
      <c r="DNE47" s="32"/>
      <c r="DNG47" s="12"/>
      <c r="DNI47" s="34"/>
      <c r="DNJ47" s="39"/>
      <c r="DNK47" s="41"/>
      <c r="DNN47" s="32"/>
      <c r="DNP47" s="12"/>
      <c r="DNR47" s="34"/>
      <c r="DNS47" s="39"/>
      <c r="DNT47" s="41"/>
      <c r="DNW47" s="32"/>
      <c r="DNY47" s="12"/>
      <c r="DOA47" s="34"/>
      <c r="DOB47" s="39"/>
      <c r="DOC47" s="41"/>
      <c r="DOF47" s="32"/>
      <c r="DOH47" s="12"/>
      <c r="DOJ47" s="34"/>
      <c r="DOK47" s="39"/>
      <c r="DOL47" s="41"/>
      <c r="DOO47" s="32"/>
      <c r="DOQ47" s="12"/>
      <c r="DOS47" s="34"/>
      <c r="DOT47" s="39"/>
      <c r="DOU47" s="41"/>
      <c r="DOX47" s="32"/>
      <c r="DOZ47" s="12"/>
      <c r="DPB47" s="34"/>
      <c r="DPC47" s="39"/>
      <c r="DPD47" s="41"/>
      <c r="DPG47" s="32"/>
      <c r="DPI47" s="12"/>
      <c r="DPK47" s="34"/>
      <c r="DPL47" s="39"/>
      <c r="DPM47" s="41"/>
      <c r="DPP47" s="32"/>
      <c r="DPR47" s="12"/>
      <c r="DPT47" s="34"/>
      <c r="DPU47" s="39"/>
      <c r="DPV47" s="41"/>
      <c r="DPY47" s="32"/>
      <c r="DQA47" s="12"/>
      <c r="DQC47" s="34"/>
      <c r="DQD47" s="39"/>
      <c r="DQE47" s="41"/>
      <c r="DQH47" s="32"/>
      <c r="DQJ47" s="12"/>
      <c r="DQL47" s="34"/>
      <c r="DQM47" s="39"/>
      <c r="DQN47" s="41"/>
      <c r="DQQ47" s="32"/>
      <c r="DQS47" s="12"/>
      <c r="DQU47" s="34"/>
      <c r="DQV47" s="39"/>
      <c r="DQW47" s="41"/>
      <c r="DQZ47" s="32"/>
      <c r="DRB47" s="12"/>
      <c r="DRD47" s="34"/>
      <c r="DRE47" s="39"/>
      <c r="DRF47" s="41"/>
      <c r="DRI47" s="32"/>
      <c r="DRK47" s="12"/>
      <c r="DRM47" s="34"/>
      <c r="DRN47" s="39"/>
      <c r="DRO47" s="41"/>
      <c r="DRR47" s="32"/>
      <c r="DRT47" s="12"/>
      <c r="DRV47" s="34"/>
      <c r="DRW47" s="39"/>
      <c r="DRX47" s="41"/>
      <c r="DSA47" s="32"/>
      <c r="DSC47" s="12"/>
      <c r="DSE47" s="34"/>
      <c r="DSF47" s="39"/>
      <c r="DSG47" s="41"/>
      <c r="DSJ47" s="32"/>
      <c r="DSL47" s="12"/>
      <c r="DSN47" s="34"/>
      <c r="DSO47" s="39"/>
      <c r="DSP47" s="41"/>
      <c r="DSS47" s="32"/>
      <c r="DSU47" s="12"/>
      <c r="DSW47" s="34"/>
      <c r="DSX47" s="39"/>
      <c r="DSY47" s="41"/>
      <c r="DTB47" s="32"/>
      <c r="DTD47" s="12"/>
      <c r="DTF47" s="34"/>
      <c r="DTG47" s="39"/>
      <c r="DTH47" s="41"/>
      <c r="DTK47" s="32"/>
      <c r="DTM47" s="12"/>
      <c r="DTO47" s="34"/>
      <c r="DTP47" s="39"/>
      <c r="DTQ47" s="41"/>
      <c r="DTT47" s="32"/>
      <c r="DTV47" s="12"/>
      <c r="DTX47" s="34"/>
      <c r="DTY47" s="39"/>
      <c r="DTZ47" s="41"/>
      <c r="DUC47" s="32"/>
      <c r="DUE47" s="12"/>
      <c r="DUG47" s="34"/>
      <c r="DUH47" s="39"/>
      <c r="DUI47" s="41"/>
      <c r="DUL47" s="32"/>
      <c r="DUN47" s="12"/>
      <c r="DUP47" s="34"/>
      <c r="DUQ47" s="39"/>
      <c r="DUR47" s="41"/>
      <c r="DUU47" s="32"/>
      <c r="DUW47" s="12"/>
      <c r="DUY47" s="34"/>
      <c r="DUZ47" s="39"/>
      <c r="DVA47" s="41"/>
      <c r="DVD47" s="32"/>
      <c r="DVF47" s="12"/>
      <c r="DVH47" s="34"/>
      <c r="DVI47" s="39"/>
      <c r="DVJ47" s="41"/>
      <c r="DVM47" s="32"/>
      <c r="DVO47" s="12"/>
      <c r="DVQ47" s="34"/>
      <c r="DVR47" s="39"/>
      <c r="DVS47" s="41"/>
      <c r="DVV47" s="32"/>
      <c r="DVX47" s="12"/>
      <c r="DVZ47" s="34"/>
      <c r="DWA47" s="39"/>
      <c r="DWB47" s="41"/>
      <c r="DWE47" s="32"/>
      <c r="DWG47" s="12"/>
      <c r="DWI47" s="34"/>
      <c r="DWJ47" s="39"/>
      <c r="DWK47" s="41"/>
      <c r="DWN47" s="32"/>
      <c r="DWP47" s="12"/>
      <c r="DWR47" s="34"/>
      <c r="DWS47" s="39"/>
      <c r="DWT47" s="41"/>
      <c r="DWW47" s="32"/>
      <c r="DWY47" s="12"/>
      <c r="DXA47" s="34"/>
      <c r="DXB47" s="39"/>
      <c r="DXC47" s="41"/>
      <c r="DXF47" s="32"/>
      <c r="DXH47" s="12"/>
      <c r="DXJ47" s="34"/>
      <c r="DXK47" s="39"/>
      <c r="DXL47" s="41"/>
      <c r="DXO47" s="32"/>
      <c r="DXQ47" s="12"/>
      <c r="DXS47" s="34"/>
      <c r="DXT47" s="39"/>
      <c r="DXU47" s="41"/>
      <c r="DXX47" s="32"/>
      <c r="DXZ47" s="12"/>
      <c r="DYB47" s="34"/>
      <c r="DYC47" s="39"/>
      <c r="DYD47" s="41"/>
      <c r="DYG47" s="32"/>
      <c r="DYI47" s="12"/>
      <c r="DYK47" s="34"/>
      <c r="DYL47" s="39"/>
      <c r="DYM47" s="41"/>
      <c r="DYP47" s="32"/>
      <c r="DYR47" s="12"/>
      <c r="DYT47" s="34"/>
      <c r="DYU47" s="39"/>
      <c r="DYV47" s="41"/>
      <c r="DYY47" s="32"/>
      <c r="DZA47" s="12"/>
      <c r="DZC47" s="34"/>
      <c r="DZD47" s="39"/>
      <c r="DZE47" s="41"/>
      <c r="DZH47" s="32"/>
      <c r="DZJ47" s="12"/>
      <c r="DZL47" s="34"/>
      <c r="DZM47" s="39"/>
      <c r="DZN47" s="41"/>
      <c r="DZQ47" s="32"/>
      <c r="DZS47" s="12"/>
      <c r="DZU47" s="34"/>
      <c r="DZV47" s="39"/>
      <c r="DZW47" s="41"/>
      <c r="DZZ47" s="32"/>
      <c r="EAB47" s="12"/>
      <c r="EAD47" s="34"/>
      <c r="EAE47" s="39"/>
      <c r="EAF47" s="41"/>
      <c r="EAI47" s="32"/>
      <c r="EAK47" s="12"/>
      <c r="EAM47" s="34"/>
      <c r="EAN47" s="39"/>
      <c r="EAO47" s="41"/>
      <c r="EAR47" s="32"/>
      <c r="EAT47" s="12"/>
      <c r="EAV47" s="34"/>
      <c r="EAW47" s="39"/>
      <c r="EAX47" s="41"/>
      <c r="EBA47" s="32"/>
      <c r="EBC47" s="12"/>
      <c r="EBE47" s="34"/>
      <c r="EBF47" s="39"/>
      <c r="EBG47" s="41"/>
      <c r="EBJ47" s="32"/>
      <c r="EBL47" s="12"/>
      <c r="EBN47" s="34"/>
      <c r="EBO47" s="39"/>
      <c r="EBP47" s="41"/>
      <c r="EBS47" s="32"/>
      <c r="EBU47" s="12"/>
      <c r="EBW47" s="34"/>
      <c r="EBX47" s="39"/>
      <c r="EBY47" s="41"/>
      <c r="ECB47" s="32"/>
      <c r="ECD47" s="12"/>
      <c r="ECF47" s="34"/>
      <c r="ECG47" s="39"/>
      <c r="ECH47" s="41"/>
      <c r="ECK47" s="32"/>
      <c r="ECM47" s="12"/>
      <c r="ECO47" s="34"/>
      <c r="ECP47" s="39"/>
      <c r="ECQ47" s="41"/>
      <c r="ECT47" s="32"/>
      <c r="ECV47" s="12"/>
      <c r="ECX47" s="34"/>
      <c r="ECY47" s="39"/>
      <c r="ECZ47" s="41"/>
      <c r="EDC47" s="32"/>
      <c r="EDE47" s="12"/>
      <c r="EDG47" s="34"/>
      <c r="EDH47" s="39"/>
      <c r="EDI47" s="41"/>
      <c r="EDL47" s="32"/>
      <c r="EDN47" s="12"/>
      <c r="EDP47" s="34"/>
      <c r="EDQ47" s="39"/>
      <c r="EDR47" s="41"/>
      <c r="EDU47" s="32"/>
      <c r="EDW47" s="12"/>
      <c r="EDY47" s="34"/>
      <c r="EDZ47" s="39"/>
      <c r="EEA47" s="41"/>
      <c r="EED47" s="32"/>
      <c r="EEF47" s="12"/>
      <c r="EEH47" s="34"/>
      <c r="EEI47" s="39"/>
      <c r="EEJ47" s="41"/>
      <c r="EEM47" s="32"/>
      <c r="EEO47" s="12"/>
      <c r="EEQ47" s="34"/>
      <c r="EER47" s="39"/>
      <c r="EES47" s="41"/>
      <c r="EEV47" s="32"/>
      <c r="EEX47" s="12"/>
      <c r="EEZ47" s="34"/>
      <c r="EFA47" s="39"/>
      <c r="EFB47" s="41"/>
      <c r="EFE47" s="32"/>
      <c r="EFG47" s="12"/>
      <c r="EFI47" s="34"/>
      <c r="EFJ47" s="39"/>
      <c r="EFK47" s="41"/>
      <c r="EFN47" s="32"/>
      <c r="EFP47" s="12"/>
      <c r="EFR47" s="34"/>
      <c r="EFS47" s="39"/>
      <c r="EFT47" s="41"/>
      <c r="EFW47" s="32"/>
      <c r="EFY47" s="12"/>
      <c r="EGA47" s="34"/>
      <c r="EGB47" s="39"/>
      <c r="EGC47" s="41"/>
      <c r="EGF47" s="32"/>
      <c r="EGH47" s="12"/>
      <c r="EGJ47" s="34"/>
      <c r="EGK47" s="39"/>
      <c r="EGL47" s="41"/>
      <c r="EGO47" s="32"/>
      <c r="EGQ47" s="12"/>
      <c r="EGS47" s="34"/>
      <c r="EGT47" s="39"/>
      <c r="EGU47" s="41"/>
      <c r="EGX47" s="32"/>
      <c r="EGZ47" s="12"/>
      <c r="EHB47" s="34"/>
      <c r="EHC47" s="39"/>
      <c r="EHD47" s="41"/>
      <c r="EHG47" s="32"/>
      <c r="EHI47" s="12"/>
      <c r="EHK47" s="34"/>
      <c r="EHL47" s="39"/>
      <c r="EHM47" s="41"/>
      <c r="EHP47" s="32"/>
      <c r="EHR47" s="12"/>
      <c r="EHT47" s="34"/>
      <c r="EHU47" s="39"/>
      <c r="EHV47" s="41"/>
      <c r="EHY47" s="32"/>
      <c r="EIA47" s="12"/>
      <c r="EIC47" s="34"/>
      <c r="EID47" s="39"/>
      <c r="EIE47" s="41"/>
      <c r="EIH47" s="32"/>
      <c r="EIJ47" s="12"/>
      <c r="EIL47" s="34"/>
      <c r="EIM47" s="39"/>
      <c r="EIN47" s="41"/>
      <c r="EIQ47" s="32"/>
      <c r="EIS47" s="12"/>
      <c r="EIU47" s="34"/>
      <c r="EIV47" s="39"/>
      <c r="EIW47" s="41"/>
      <c r="EIZ47" s="32"/>
      <c r="EJB47" s="12"/>
      <c r="EJD47" s="34"/>
      <c r="EJE47" s="39"/>
      <c r="EJF47" s="41"/>
      <c r="EJI47" s="32"/>
      <c r="EJK47" s="12"/>
      <c r="EJM47" s="34"/>
      <c r="EJN47" s="39"/>
      <c r="EJO47" s="41"/>
      <c r="EJR47" s="32"/>
      <c r="EJT47" s="12"/>
      <c r="EJV47" s="34"/>
      <c r="EJW47" s="39"/>
      <c r="EJX47" s="41"/>
      <c r="EKA47" s="32"/>
      <c r="EKC47" s="12"/>
      <c r="EKE47" s="34"/>
      <c r="EKF47" s="39"/>
      <c r="EKG47" s="41"/>
      <c r="EKJ47" s="32"/>
      <c r="EKL47" s="12"/>
      <c r="EKN47" s="34"/>
      <c r="EKO47" s="39"/>
      <c r="EKP47" s="41"/>
      <c r="EKS47" s="32"/>
      <c r="EKU47" s="12"/>
      <c r="EKW47" s="34"/>
      <c r="EKX47" s="39"/>
      <c r="EKY47" s="41"/>
      <c r="ELB47" s="32"/>
      <c r="ELD47" s="12"/>
      <c r="ELF47" s="34"/>
      <c r="ELG47" s="39"/>
      <c r="ELH47" s="41"/>
      <c r="ELK47" s="32"/>
      <c r="ELM47" s="12"/>
      <c r="ELO47" s="34"/>
      <c r="ELP47" s="39"/>
      <c r="ELQ47" s="41"/>
      <c r="ELT47" s="32"/>
      <c r="ELV47" s="12"/>
      <c r="ELX47" s="34"/>
      <c r="ELY47" s="39"/>
      <c r="ELZ47" s="41"/>
      <c r="EMC47" s="32"/>
      <c r="EME47" s="12"/>
      <c r="EMG47" s="34"/>
      <c r="EMH47" s="39"/>
      <c r="EMI47" s="41"/>
      <c r="EML47" s="32"/>
      <c r="EMN47" s="12"/>
      <c r="EMP47" s="34"/>
      <c r="EMQ47" s="39"/>
      <c r="EMR47" s="41"/>
      <c r="EMU47" s="32"/>
      <c r="EMW47" s="12"/>
      <c r="EMY47" s="34"/>
      <c r="EMZ47" s="39"/>
      <c r="ENA47" s="41"/>
      <c r="END47" s="32"/>
      <c r="ENF47" s="12"/>
      <c r="ENH47" s="34"/>
      <c r="ENI47" s="39"/>
      <c r="ENJ47" s="41"/>
      <c r="ENM47" s="32"/>
      <c r="ENO47" s="12"/>
      <c r="ENQ47" s="34"/>
      <c r="ENR47" s="39"/>
      <c r="ENS47" s="41"/>
      <c r="ENV47" s="32"/>
      <c r="ENX47" s="12"/>
      <c r="ENZ47" s="34"/>
      <c r="EOA47" s="39"/>
      <c r="EOB47" s="41"/>
      <c r="EOE47" s="32"/>
      <c r="EOG47" s="12"/>
      <c r="EOI47" s="34"/>
      <c r="EOJ47" s="39"/>
      <c r="EOK47" s="41"/>
      <c r="EON47" s="32"/>
      <c r="EOP47" s="12"/>
      <c r="EOR47" s="34"/>
      <c r="EOS47" s="39"/>
      <c r="EOT47" s="41"/>
      <c r="EOW47" s="32"/>
      <c r="EOY47" s="12"/>
      <c r="EPA47" s="34"/>
      <c r="EPB47" s="39"/>
      <c r="EPC47" s="41"/>
      <c r="EPF47" s="32"/>
      <c r="EPH47" s="12"/>
      <c r="EPJ47" s="34"/>
      <c r="EPK47" s="39"/>
      <c r="EPL47" s="41"/>
      <c r="EPO47" s="32"/>
      <c r="EPQ47" s="12"/>
      <c r="EPS47" s="34"/>
      <c r="EPT47" s="39"/>
      <c r="EPU47" s="41"/>
      <c r="EPX47" s="32"/>
      <c r="EPZ47" s="12"/>
      <c r="EQB47" s="34"/>
      <c r="EQC47" s="39"/>
      <c r="EQD47" s="41"/>
      <c r="EQG47" s="32"/>
      <c r="EQI47" s="12"/>
      <c r="EQK47" s="34"/>
      <c r="EQL47" s="39"/>
      <c r="EQM47" s="41"/>
      <c r="EQP47" s="32"/>
      <c r="EQR47" s="12"/>
      <c r="EQT47" s="34"/>
      <c r="EQU47" s="39"/>
      <c r="EQV47" s="41"/>
      <c r="EQY47" s="32"/>
      <c r="ERA47" s="12"/>
      <c r="ERC47" s="34"/>
      <c r="ERD47" s="39"/>
      <c r="ERE47" s="41"/>
      <c r="ERH47" s="32"/>
      <c r="ERJ47" s="12"/>
      <c r="ERL47" s="34"/>
      <c r="ERM47" s="39"/>
      <c r="ERN47" s="41"/>
      <c r="ERQ47" s="32"/>
      <c r="ERS47" s="12"/>
      <c r="ERU47" s="34"/>
      <c r="ERV47" s="39"/>
      <c r="ERW47" s="41"/>
      <c r="ERZ47" s="32"/>
      <c r="ESB47" s="12"/>
      <c r="ESD47" s="34"/>
      <c r="ESE47" s="39"/>
      <c r="ESF47" s="41"/>
      <c r="ESI47" s="32"/>
      <c r="ESK47" s="12"/>
      <c r="ESM47" s="34"/>
      <c r="ESN47" s="39"/>
      <c r="ESO47" s="41"/>
      <c r="ESR47" s="32"/>
      <c r="EST47" s="12"/>
      <c r="ESV47" s="34"/>
      <c r="ESW47" s="39"/>
      <c r="ESX47" s="41"/>
      <c r="ETA47" s="32"/>
      <c r="ETC47" s="12"/>
      <c r="ETE47" s="34"/>
      <c r="ETF47" s="39"/>
      <c r="ETG47" s="41"/>
      <c r="ETJ47" s="32"/>
      <c r="ETL47" s="12"/>
      <c r="ETN47" s="34"/>
      <c r="ETO47" s="39"/>
      <c r="ETP47" s="41"/>
      <c r="ETS47" s="32"/>
      <c r="ETU47" s="12"/>
      <c r="ETW47" s="34"/>
      <c r="ETX47" s="39"/>
      <c r="ETY47" s="41"/>
      <c r="EUB47" s="32"/>
      <c r="EUD47" s="12"/>
      <c r="EUF47" s="34"/>
      <c r="EUG47" s="39"/>
      <c r="EUH47" s="41"/>
      <c r="EUK47" s="32"/>
      <c r="EUM47" s="12"/>
      <c r="EUO47" s="34"/>
      <c r="EUP47" s="39"/>
      <c r="EUQ47" s="41"/>
      <c r="EUT47" s="32"/>
      <c r="EUV47" s="12"/>
      <c r="EUX47" s="34"/>
      <c r="EUY47" s="39"/>
      <c r="EUZ47" s="41"/>
      <c r="EVC47" s="32"/>
      <c r="EVE47" s="12"/>
      <c r="EVG47" s="34"/>
      <c r="EVH47" s="39"/>
      <c r="EVI47" s="41"/>
      <c r="EVL47" s="32"/>
      <c r="EVN47" s="12"/>
      <c r="EVP47" s="34"/>
      <c r="EVQ47" s="39"/>
      <c r="EVR47" s="41"/>
      <c r="EVU47" s="32"/>
      <c r="EVW47" s="12"/>
      <c r="EVY47" s="34"/>
      <c r="EVZ47" s="39"/>
      <c r="EWA47" s="41"/>
      <c r="EWD47" s="32"/>
      <c r="EWF47" s="12"/>
      <c r="EWH47" s="34"/>
      <c r="EWI47" s="39"/>
      <c r="EWJ47" s="41"/>
      <c r="EWM47" s="32"/>
      <c r="EWO47" s="12"/>
      <c r="EWQ47" s="34"/>
      <c r="EWR47" s="39"/>
      <c r="EWS47" s="41"/>
      <c r="EWV47" s="32"/>
      <c r="EWX47" s="12"/>
      <c r="EWZ47" s="34"/>
      <c r="EXA47" s="39"/>
      <c r="EXB47" s="41"/>
      <c r="EXE47" s="32"/>
      <c r="EXG47" s="12"/>
      <c r="EXI47" s="34"/>
      <c r="EXJ47" s="39"/>
      <c r="EXK47" s="41"/>
      <c r="EXN47" s="32"/>
      <c r="EXP47" s="12"/>
      <c r="EXR47" s="34"/>
      <c r="EXS47" s="39"/>
      <c r="EXT47" s="41"/>
      <c r="EXW47" s="32"/>
      <c r="EXY47" s="12"/>
      <c r="EYA47" s="34"/>
      <c r="EYB47" s="39"/>
      <c r="EYC47" s="41"/>
      <c r="EYF47" s="32"/>
      <c r="EYH47" s="12"/>
      <c r="EYJ47" s="34"/>
      <c r="EYK47" s="39"/>
      <c r="EYL47" s="41"/>
      <c r="EYO47" s="32"/>
      <c r="EYQ47" s="12"/>
      <c r="EYS47" s="34"/>
      <c r="EYT47" s="39"/>
      <c r="EYU47" s="41"/>
      <c r="EYX47" s="32"/>
      <c r="EYZ47" s="12"/>
      <c r="EZB47" s="34"/>
      <c r="EZC47" s="39"/>
      <c r="EZD47" s="41"/>
      <c r="EZG47" s="32"/>
      <c r="EZI47" s="12"/>
      <c r="EZK47" s="34"/>
      <c r="EZL47" s="39"/>
      <c r="EZM47" s="41"/>
      <c r="EZP47" s="32"/>
      <c r="EZR47" s="12"/>
      <c r="EZT47" s="34"/>
      <c r="EZU47" s="39"/>
      <c r="EZV47" s="41"/>
      <c r="EZY47" s="32"/>
      <c r="FAA47" s="12"/>
      <c r="FAC47" s="34"/>
      <c r="FAD47" s="39"/>
      <c r="FAE47" s="41"/>
      <c r="FAH47" s="32"/>
      <c r="FAJ47" s="12"/>
      <c r="FAL47" s="34"/>
      <c r="FAM47" s="39"/>
      <c r="FAN47" s="41"/>
      <c r="FAQ47" s="32"/>
      <c r="FAS47" s="12"/>
      <c r="FAU47" s="34"/>
      <c r="FAV47" s="39"/>
      <c r="FAW47" s="41"/>
      <c r="FAZ47" s="32"/>
      <c r="FBB47" s="12"/>
      <c r="FBD47" s="34"/>
      <c r="FBE47" s="39"/>
      <c r="FBF47" s="41"/>
      <c r="FBI47" s="32"/>
      <c r="FBK47" s="12"/>
      <c r="FBM47" s="34"/>
      <c r="FBN47" s="39"/>
      <c r="FBO47" s="41"/>
      <c r="FBR47" s="32"/>
      <c r="FBT47" s="12"/>
      <c r="FBV47" s="34"/>
      <c r="FBW47" s="39"/>
      <c r="FBX47" s="41"/>
      <c r="FCA47" s="32"/>
      <c r="FCC47" s="12"/>
      <c r="FCE47" s="34"/>
      <c r="FCF47" s="39"/>
      <c r="FCG47" s="41"/>
      <c r="FCJ47" s="32"/>
      <c r="FCL47" s="12"/>
      <c r="FCN47" s="34"/>
      <c r="FCO47" s="39"/>
      <c r="FCP47" s="41"/>
      <c r="FCS47" s="32"/>
      <c r="FCU47" s="12"/>
      <c r="FCW47" s="34"/>
      <c r="FCX47" s="39"/>
      <c r="FCY47" s="41"/>
      <c r="FDB47" s="32"/>
      <c r="FDD47" s="12"/>
      <c r="FDF47" s="34"/>
      <c r="FDG47" s="39"/>
      <c r="FDH47" s="41"/>
      <c r="FDK47" s="32"/>
      <c r="FDM47" s="12"/>
      <c r="FDO47" s="34"/>
      <c r="FDP47" s="39"/>
      <c r="FDQ47" s="41"/>
      <c r="FDT47" s="32"/>
      <c r="FDV47" s="12"/>
      <c r="FDX47" s="34"/>
      <c r="FDY47" s="39"/>
      <c r="FDZ47" s="41"/>
      <c r="FEC47" s="32"/>
      <c r="FEE47" s="12"/>
      <c r="FEG47" s="34"/>
      <c r="FEH47" s="39"/>
      <c r="FEI47" s="41"/>
      <c r="FEL47" s="32"/>
      <c r="FEN47" s="12"/>
      <c r="FEP47" s="34"/>
      <c r="FEQ47" s="39"/>
      <c r="FER47" s="41"/>
      <c r="FEU47" s="32"/>
      <c r="FEW47" s="12"/>
      <c r="FEY47" s="34"/>
      <c r="FEZ47" s="39"/>
      <c r="FFA47" s="41"/>
      <c r="FFD47" s="32"/>
      <c r="FFF47" s="12"/>
      <c r="FFH47" s="34"/>
      <c r="FFI47" s="39"/>
      <c r="FFJ47" s="41"/>
      <c r="FFM47" s="32"/>
      <c r="FFO47" s="12"/>
      <c r="FFQ47" s="34"/>
      <c r="FFR47" s="39"/>
      <c r="FFS47" s="41"/>
      <c r="FFV47" s="32"/>
      <c r="FFX47" s="12"/>
      <c r="FFZ47" s="34"/>
      <c r="FGA47" s="39"/>
      <c r="FGB47" s="41"/>
      <c r="FGE47" s="32"/>
      <c r="FGG47" s="12"/>
      <c r="FGI47" s="34"/>
      <c r="FGJ47" s="39"/>
      <c r="FGK47" s="41"/>
      <c r="FGN47" s="32"/>
      <c r="FGP47" s="12"/>
      <c r="FGR47" s="34"/>
      <c r="FGS47" s="39"/>
      <c r="FGT47" s="41"/>
      <c r="FGW47" s="32"/>
      <c r="FGY47" s="12"/>
      <c r="FHA47" s="34"/>
      <c r="FHB47" s="39"/>
      <c r="FHC47" s="41"/>
      <c r="FHF47" s="32"/>
      <c r="FHH47" s="12"/>
      <c r="FHJ47" s="34"/>
      <c r="FHK47" s="39"/>
      <c r="FHL47" s="41"/>
      <c r="FHO47" s="32"/>
      <c r="FHQ47" s="12"/>
      <c r="FHS47" s="34"/>
      <c r="FHT47" s="39"/>
      <c r="FHU47" s="41"/>
      <c r="FHX47" s="32"/>
      <c r="FHZ47" s="12"/>
      <c r="FIB47" s="34"/>
      <c r="FIC47" s="39"/>
      <c r="FID47" s="41"/>
      <c r="FIG47" s="32"/>
      <c r="FII47" s="12"/>
      <c r="FIK47" s="34"/>
      <c r="FIL47" s="39"/>
      <c r="FIM47" s="41"/>
      <c r="FIP47" s="32"/>
      <c r="FIR47" s="12"/>
      <c r="FIT47" s="34"/>
      <c r="FIU47" s="39"/>
      <c r="FIV47" s="41"/>
      <c r="FIY47" s="32"/>
      <c r="FJA47" s="12"/>
      <c r="FJC47" s="34"/>
      <c r="FJD47" s="39"/>
      <c r="FJE47" s="41"/>
      <c r="FJH47" s="32"/>
      <c r="FJJ47" s="12"/>
      <c r="FJL47" s="34"/>
      <c r="FJM47" s="39"/>
      <c r="FJN47" s="41"/>
      <c r="FJQ47" s="32"/>
      <c r="FJS47" s="12"/>
      <c r="FJU47" s="34"/>
      <c r="FJV47" s="39"/>
      <c r="FJW47" s="41"/>
      <c r="FJZ47" s="32"/>
      <c r="FKB47" s="12"/>
      <c r="FKD47" s="34"/>
      <c r="FKE47" s="39"/>
      <c r="FKF47" s="41"/>
      <c r="FKI47" s="32"/>
      <c r="FKK47" s="12"/>
      <c r="FKM47" s="34"/>
      <c r="FKN47" s="39"/>
      <c r="FKO47" s="41"/>
      <c r="FKR47" s="32"/>
      <c r="FKT47" s="12"/>
      <c r="FKV47" s="34"/>
      <c r="FKW47" s="39"/>
      <c r="FKX47" s="41"/>
      <c r="FLA47" s="32"/>
      <c r="FLC47" s="12"/>
      <c r="FLE47" s="34"/>
      <c r="FLF47" s="39"/>
      <c r="FLG47" s="41"/>
      <c r="FLJ47" s="32"/>
      <c r="FLL47" s="12"/>
      <c r="FLN47" s="34"/>
      <c r="FLO47" s="39"/>
      <c r="FLP47" s="41"/>
      <c r="FLS47" s="32"/>
      <c r="FLU47" s="12"/>
      <c r="FLW47" s="34"/>
      <c r="FLX47" s="39"/>
      <c r="FLY47" s="41"/>
      <c r="FMB47" s="32"/>
      <c r="FMD47" s="12"/>
      <c r="FMF47" s="34"/>
      <c r="FMG47" s="39"/>
      <c r="FMH47" s="41"/>
      <c r="FMK47" s="32"/>
      <c r="FMM47" s="12"/>
      <c r="FMO47" s="34"/>
      <c r="FMP47" s="39"/>
      <c r="FMQ47" s="41"/>
      <c r="FMT47" s="32"/>
      <c r="FMV47" s="12"/>
      <c r="FMX47" s="34"/>
      <c r="FMY47" s="39"/>
      <c r="FMZ47" s="41"/>
      <c r="FNC47" s="32"/>
      <c r="FNE47" s="12"/>
      <c r="FNG47" s="34"/>
      <c r="FNH47" s="39"/>
      <c r="FNI47" s="41"/>
      <c r="FNL47" s="32"/>
      <c r="FNN47" s="12"/>
      <c r="FNP47" s="34"/>
      <c r="FNQ47" s="39"/>
      <c r="FNR47" s="41"/>
      <c r="FNU47" s="32"/>
      <c r="FNW47" s="12"/>
      <c r="FNY47" s="34"/>
      <c r="FNZ47" s="39"/>
      <c r="FOA47" s="41"/>
      <c r="FOD47" s="32"/>
      <c r="FOF47" s="12"/>
      <c r="FOH47" s="34"/>
      <c r="FOI47" s="39"/>
      <c r="FOJ47" s="41"/>
      <c r="FOM47" s="32"/>
      <c r="FOO47" s="12"/>
      <c r="FOQ47" s="34"/>
      <c r="FOR47" s="39"/>
      <c r="FOS47" s="41"/>
      <c r="FOV47" s="32"/>
      <c r="FOX47" s="12"/>
      <c r="FOZ47" s="34"/>
      <c r="FPA47" s="39"/>
      <c r="FPB47" s="41"/>
      <c r="FPE47" s="32"/>
      <c r="FPG47" s="12"/>
      <c r="FPI47" s="34"/>
      <c r="FPJ47" s="39"/>
      <c r="FPK47" s="41"/>
      <c r="FPN47" s="32"/>
      <c r="FPP47" s="12"/>
      <c r="FPR47" s="34"/>
      <c r="FPS47" s="39"/>
      <c r="FPT47" s="41"/>
      <c r="FPW47" s="32"/>
      <c r="FPY47" s="12"/>
      <c r="FQA47" s="34"/>
      <c r="FQB47" s="39"/>
      <c r="FQC47" s="41"/>
      <c r="FQF47" s="32"/>
      <c r="FQH47" s="12"/>
      <c r="FQJ47" s="34"/>
      <c r="FQK47" s="39"/>
      <c r="FQL47" s="41"/>
      <c r="FQO47" s="32"/>
      <c r="FQQ47" s="12"/>
      <c r="FQS47" s="34"/>
      <c r="FQT47" s="39"/>
      <c r="FQU47" s="41"/>
      <c r="FQX47" s="32"/>
      <c r="FQZ47" s="12"/>
      <c r="FRB47" s="34"/>
      <c r="FRC47" s="39"/>
      <c r="FRD47" s="41"/>
      <c r="FRG47" s="32"/>
      <c r="FRI47" s="12"/>
      <c r="FRK47" s="34"/>
      <c r="FRL47" s="39"/>
      <c r="FRM47" s="41"/>
      <c r="FRP47" s="32"/>
      <c r="FRR47" s="12"/>
      <c r="FRT47" s="34"/>
      <c r="FRU47" s="39"/>
      <c r="FRV47" s="41"/>
      <c r="FRY47" s="32"/>
      <c r="FSA47" s="12"/>
      <c r="FSC47" s="34"/>
      <c r="FSD47" s="39"/>
      <c r="FSE47" s="41"/>
      <c r="FSH47" s="32"/>
      <c r="FSJ47" s="12"/>
      <c r="FSL47" s="34"/>
      <c r="FSM47" s="39"/>
      <c r="FSN47" s="41"/>
      <c r="FSQ47" s="32"/>
      <c r="FSS47" s="12"/>
      <c r="FSU47" s="34"/>
      <c r="FSV47" s="39"/>
      <c r="FSW47" s="41"/>
      <c r="FSZ47" s="32"/>
      <c r="FTB47" s="12"/>
      <c r="FTD47" s="34"/>
      <c r="FTE47" s="39"/>
      <c r="FTF47" s="41"/>
      <c r="FTI47" s="32"/>
      <c r="FTK47" s="12"/>
      <c r="FTM47" s="34"/>
      <c r="FTN47" s="39"/>
      <c r="FTO47" s="41"/>
      <c r="FTR47" s="32"/>
      <c r="FTT47" s="12"/>
      <c r="FTV47" s="34"/>
      <c r="FTW47" s="39"/>
      <c r="FTX47" s="41"/>
      <c r="FUA47" s="32"/>
      <c r="FUC47" s="12"/>
      <c r="FUE47" s="34"/>
      <c r="FUF47" s="39"/>
      <c r="FUG47" s="41"/>
      <c r="FUJ47" s="32"/>
      <c r="FUL47" s="12"/>
      <c r="FUN47" s="34"/>
      <c r="FUO47" s="39"/>
      <c r="FUP47" s="41"/>
      <c r="FUS47" s="32"/>
      <c r="FUU47" s="12"/>
      <c r="FUW47" s="34"/>
      <c r="FUX47" s="39"/>
      <c r="FUY47" s="41"/>
      <c r="FVB47" s="32"/>
      <c r="FVD47" s="12"/>
      <c r="FVF47" s="34"/>
      <c r="FVG47" s="39"/>
      <c r="FVH47" s="41"/>
      <c r="FVK47" s="32"/>
      <c r="FVM47" s="12"/>
      <c r="FVO47" s="34"/>
      <c r="FVP47" s="39"/>
      <c r="FVQ47" s="41"/>
      <c r="FVT47" s="32"/>
      <c r="FVV47" s="12"/>
      <c r="FVX47" s="34"/>
      <c r="FVY47" s="39"/>
      <c r="FVZ47" s="41"/>
      <c r="FWC47" s="32"/>
      <c r="FWE47" s="12"/>
      <c r="FWG47" s="34"/>
      <c r="FWH47" s="39"/>
      <c r="FWI47" s="41"/>
      <c r="FWL47" s="32"/>
      <c r="FWN47" s="12"/>
      <c r="FWP47" s="34"/>
      <c r="FWQ47" s="39"/>
      <c r="FWR47" s="41"/>
      <c r="FWU47" s="32"/>
      <c r="FWW47" s="12"/>
      <c r="FWY47" s="34"/>
      <c r="FWZ47" s="39"/>
      <c r="FXA47" s="41"/>
      <c r="FXD47" s="32"/>
      <c r="FXF47" s="12"/>
      <c r="FXH47" s="34"/>
      <c r="FXI47" s="39"/>
      <c r="FXJ47" s="41"/>
      <c r="FXM47" s="32"/>
      <c r="FXO47" s="12"/>
      <c r="FXQ47" s="34"/>
      <c r="FXR47" s="39"/>
      <c r="FXS47" s="41"/>
      <c r="FXV47" s="32"/>
      <c r="FXX47" s="12"/>
      <c r="FXZ47" s="34"/>
      <c r="FYA47" s="39"/>
      <c r="FYB47" s="41"/>
      <c r="FYE47" s="32"/>
      <c r="FYG47" s="12"/>
      <c r="FYI47" s="34"/>
      <c r="FYJ47" s="39"/>
      <c r="FYK47" s="41"/>
      <c r="FYN47" s="32"/>
      <c r="FYP47" s="12"/>
      <c r="FYR47" s="34"/>
      <c r="FYS47" s="39"/>
      <c r="FYT47" s="41"/>
      <c r="FYW47" s="32"/>
      <c r="FYY47" s="12"/>
      <c r="FZA47" s="34"/>
      <c r="FZB47" s="39"/>
      <c r="FZC47" s="41"/>
      <c r="FZF47" s="32"/>
      <c r="FZH47" s="12"/>
      <c r="FZJ47" s="34"/>
      <c r="FZK47" s="39"/>
      <c r="FZL47" s="41"/>
      <c r="FZO47" s="32"/>
      <c r="FZQ47" s="12"/>
      <c r="FZS47" s="34"/>
      <c r="FZT47" s="39"/>
      <c r="FZU47" s="41"/>
      <c r="FZX47" s="32"/>
      <c r="FZZ47" s="12"/>
      <c r="GAB47" s="34"/>
      <c r="GAC47" s="39"/>
      <c r="GAD47" s="41"/>
      <c r="GAG47" s="32"/>
      <c r="GAI47" s="12"/>
      <c r="GAK47" s="34"/>
      <c r="GAL47" s="39"/>
      <c r="GAM47" s="41"/>
      <c r="GAP47" s="32"/>
      <c r="GAR47" s="12"/>
      <c r="GAT47" s="34"/>
      <c r="GAU47" s="39"/>
      <c r="GAV47" s="41"/>
      <c r="GAY47" s="32"/>
      <c r="GBA47" s="12"/>
      <c r="GBC47" s="34"/>
      <c r="GBD47" s="39"/>
      <c r="GBE47" s="41"/>
      <c r="GBH47" s="32"/>
      <c r="GBJ47" s="12"/>
      <c r="GBL47" s="34"/>
      <c r="GBM47" s="39"/>
      <c r="GBN47" s="41"/>
      <c r="GBQ47" s="32"/>
      <c r="GBS47" s="12"/>
      <c r="GBU47" s="34"/>
      <c r="GBV47" s="39"/>
      <c r="GBW47" s="41"/>
      <c r="GBZ47" s="32"/>
      <c r="GCB47" s="12"/>
      <c r="GCD47" s="34"/>
      <c r="GCE47" s="39"/>
      <c r="GCF47" s="41"/>
      <c r="GCI47" s="32"/>
      <c r="GCK47" s="12"/>
      <c r="GCM47" s="34"/>
      <c r="GCN47" s="39"/>
      <c r="GCO47" s="41"/>
      <c r="GCR47" s="32"/>
      <c r="GCT47" s="12"/>
      <c r="GCV47" s="34"/>
      <c r="GCW47" s="39"/>
      <c r="GCX47" s="41"/>
      <c r="GDA47" s="32"/>
      <c r="GDC47" s="12"/>
      <c r="GDE47" s="34"/>
      <c r="GDF47" s="39"/>
      <c r="GDG47" s="41"/>
      <c r="GDJ47" s="32"/>
      <c r="GDL47" s="12"/>
      <c r="GDN47" s="34"/>
      <c r="GDO47" s="39"/>
      <c r="GDP47" s="41"/>
      <c r="GDS47" s="32"/>
      <c r="GDU47" s="12"/>
      <c r="GDW47" s="34"/>
      <c r="GDX47" s="39"/>
      <c r="GDY47" s="41"/>
      <c r="GEB47" s="32"/>
      <c r="GED47" s="12"/>
      <c r="GEF47" s="34"/>
      <c r="GEG47" s="39"/>
      <c r="GEH47" s="41"/>
      <c r="GEK47" s="32"/>
      <c r="GEM47" s="12"/>
      <c r="GEO47" s="34"/>
      <c r="GEP47" s="39"/>
      <c r="GEQ47" s="41"/>
      <c r="GET47" s="32"/>
      <c r="GEV47" s="12"/>
      <c r="GEX47" s="34"/>
      <c r="GEY47" s="39"/>
      <c r="GEZ47" s="41"/>
      <c r="GFC47" s="32"/>
      <c r="GFE47" s="12"/>
      <c r="GFG47" s="34"/>
      <c r="GFH47" s="39"/>
      <c r="GFI47" s="41"/>
      <c r="GFL47" s="32"/>
      <c r="GFN47" s="12"/>
      <c r="GFP47" s="34"/>
      <c r="GFQ47" s="39"/>
      <c r="GFR47" s="41"/>
      <c r="GFU47" s="32"/>
      <c r="GFW47" s="12"/>
      <c r="GFY47" s="34"/>
      <c r="GFZ47" s="39"/>
      <c r="GGA47" s="41"/>
      <c r="GGD47" s="32"/>
      <c r="GGF47" s="12"/>
      <c r="GGH47" s="34"/>
      <c r="GGI47" s="39"/>
      <c r="GGJ47" s="41"/>
      <c r="GGM47" s="32"/>
      <c r="GGO47" s="12"/>
      <c r="GGQ47" s="34"/>
      <c r="GGR47" s="39"/>
      <c r="GGS47" s="41"/>
      <c r="GGV47" s="32"/>
      <c r="GGX47" s="12"/>
      <c r="GGZ47" s="34"/>
      <c r="GHA47" s="39"/>
      <c r="GHB47" s="41"/>
      <c r="GHE47" s="32"/>
      <c r="GHG47" s="12"/>
      <c r="GHI47" s="34"/>
      <c r="GHJ47" s="39"/>
      <c r="GHK47" s="41"/>
      <c r="GHN47" s="32"/>
      <c r="GHP47" s="12"/>
      <c r="GHR47" s="34"/>
      <c r="GHS47" s="39"/>
      <c r="GHT47" s="41"/>
      <c r="GHW47" s="32"/>
      <c r="GHY47" s="12"/>
      <c r="GIA47" s="34"/>
      <c r="GIB47" s="39"/>
      <c r="GIC47" s="41"/>
      <c r="GIF47" s="32"/>
      <c r="GIH47" s="12"/>
      <c r="GIJ47" s="34"/>
      <c r="GIK47" s="39"/>
      <c r="GIL47" s="41"/>
      <c r="GIO47" s="32"/>
      <c r="GIQ47" s="12"/>
      <c r="GIS47" s="34"/>
      <c r="GIT47" s="39"/>
      <c r="GIU47" s="41"/>
      <c r="GIX47" s="32"/>
      <c r="GIZ47" s="12"/>
      <c r="GJB47" s="34"/>
      <c r="GJC47" s="39"/>
      <c r="GJD47" s="41"/>
      <c r="GJG47" s="32"/>
      <c r="GJI47" s="12"/>
      <c r="GJK47" s="34"/>
      <c r="GJL47" s="39"/>
      <c r="GJM47" s="41"/>
      <c r="GJP47" s="32"/>
      <c r="GJR47" s="12"/>
      <c r="GJT47" s="34"/>
      <c r="GJU47" s="39"/>
      <c r="GJV47" s="41"/>
      <c r="GJY47" s="32"/>
      <c r="GKA47" s="12"/>
      <c r="GKC47" s="34"/>
      <c r="GKD47" s="39"/>
      <c r="GKE47" s="41"/>
      <c r="GKH47" s="32"/>
      <c r="GKJ47" s="12"/>
      <c r="GKL47" s="34"/>
      <c r="GKM47" s="39"/>
      <c r="GKN47" s="41"/>
      <c r="GKQ47" s="32"/>
      <c r="GKS47" s="12"/>
      <c r="GKU47" s="34"/>
      <c r="GKV47" s="39"/>
      <c r="GKW47" s="41"/>
      <c r="GKZ47" s="32"/>
      <c r="GLB47" s="12"/>
      <c r="GLD47" s="34"/>
      <c r="GLE47" s="39"/>
      <c r="GLF47" s="41"/>
      <c r="GLI47" s="32"/>
      <c r="GLK47" s="12"/>
      <c r="GLM47" s="34"/>
      <c r="GLN47" s="39"/>
      <c r="GLO47" s="41"/>
      <c r="GLR47" s="32"/>
      <c r="GLT47" s="12"/>
      <c r="GLV47" s="34"/>
      <c r="GLW47" s="39"/>
      <c r="GLX47" s="41"/>
      <c r="GMA47" s="32"/>
      <c r="GMC47" s="12"/>
      <c r="GME47" s="34"/>
      <c r="GMF47" s="39"/>
      <c r="GMG47" s="41"/>
      <c r="GMJ47" s="32"/>
      <c r="GML47" s="12"/>
      <c r="GMN47" s="34"/>
      <c r="GMO47" s="39"/>
      <c r="GMP47" s="41"/>
      <c r="GMS47" s="32"/>
      <c r="GMU47" s="12"/>
      <c r="GMW47" s="34"/>
      <c r="GMX47" s="39"/>
      <c r="GMY47" s="41"/>
      <c r="GNB47" s="32"/>
      <c r="GND47" s="12"/>
      <c r="GNF47" s="34"/>
      <c r="GNG47" s="39"/>
      <c r="GNH47" s="41"/>
      <c r="GNK47" s="32"/>
      <c r="GNM47" s="12"/>
      <c r="GNO47" s="34"/>
      <c r="GNP47" s="39"/>
      <c r="GNQ47" s="41"/>
      <c r="GNT47" s="32"/>
      <c r="GNV47" s="12"/>
      <c r="GNX47" s="34"/>
      <c r="GNY47" s="39"/>
      <c r="GNZ47" s="41"/>
      <c r="GOC47" s="32"/>
      <c r="GOE47" s="12"/>
      <c r="GOG47" s="34"/>
      <c r="GOH47" s="39"/>
      <c r="GOI47" s="41"/>
      <c r="GOL47" s="32"/>
      <c r="GON47" s="12"/>
      <c r="GOP47" s="34"/>
      <c r="GOQ47" s="39"/>
      <c r="GOR47" s="41"/>
      <c r="GOU47" s="32"/>
      <c r="GOW47" s="12"/>
      <c r="GOY47" s="34"/>
      <c r="GOZ47" s="39"/>
      <c r="GPA47" s="41"/>
      <c r="GPD47" s="32"/>
      <c r="GPF47" s="12"/>
      <c r="GPH47" s="34"/>
      <c r="GPI47" s="39"/>
      <c r="GPJ47" s="41"/>
      <c r="GPM47" s="32"/>
      <c r="GPO47" s="12"/>
      <c r="GPQ47" s="34"/>
      <c r="GPR47" s="39"/>
      <c r="GPS47" s="41"/>
      <c r="GPV47" s="32"/>
      <c r="GPX47" s="12"/>
      <c r="GPZ47" s="34"/>
      <c r="GQA47" s="39"/>
      <c r="GQB47" s="41"/>
      <c r="GQE47" s="32"/>
      <c r="GQG47" s="12"/>
      <c r="GQI47" s="34"/>
      <c r="GQJ47" s="39"/>
      <c r="GQK47" s="41"/>
      <c r="GQN47" s="32"/>
      <c r="GQP47" s="12"/>
      <c r="GQR47" s="34"/>
      <c r="GQS47" s="39"/>
      <c r="GQT47" s="41"/>
      <c r="GQW47" s="32"/>
      <c r="GQY47" s="12"/>
      <c r="GRA47" s="34"/>
      <c r="GRB47" s="39"/>
      <c r="GRC47" s="41"/>
      <c r="GRF47" s="32"/>
      <c r="GRH47" s="12"/>
      <c r="GRJ47" s="34"/>
      <c r="GRK47" s="39"/>
      <c r="GRL47" s="41"/>
      <c r="GRO47" s="32"/>
      <c r="GRQ47" s="12"/>
      <c r="GRS47" s="34"/>
      <c r="GRT47" s="39"/>
      <c r="GRU47" s="41"/>
      <c r="GRX47" s="32"/>
      <c r="GRZ47" s="12"/>
      <c r="GSB47" s="34"/>
      <c r="GSC47" s="39"/>
      <c r="GSD47" s="41"/>
      <c r="GSG47" s="32"/>
      <c r="GSI47" s="12"/>
      <c r="GSK47" s="34"/>
      <c r="GSL47" s="39"/>
      <c r="GSM47" s="41"/>
      <c r="GSP47" s="32"/>
      <c r="GSR47" s="12"/>
      <c r="GST47" s="34"/>
      <c r="GSU47" s="39"/>
      <c r="GSV47" s="41"/>
      <c r="GSY47" s="32"/>
      <c r="GTA47" s="12"/>
      <c r="GTC47" s="34"/>
      <c r="GTD47" s="39"/>
      <c r="GTE47" s="41"/>
      <c r="GTH47" s="32"/>
      <c r="GTJ47" s="12"/>
      <c r="GTL47" s="34"/>
      <c r="GTM47" s="39"/>
      <c r="GTN47" s="41"/>
      <c r="GTQ47" s="32"/>
      <c r="GTS47" s="12"/>
      <c r="GTU47" s="34"/>
      <c r="GTV47" s="39"/>
      <c r="GTW47" s="41"/>
      <c r="GTZ47" s="32"/>
      <c r="GUB47" s="12"/>
      <c r="GUD47" s="34"/>
      <c r="GUE47" s="39"/>
      <c r="GUF47" s="41"/>
      <c r="GUI47" s="32"/>
      <c r="GUK47" s="12"/>
      <c r="GUM47" s="34"/>
      <c r="GUN47" s="39"/>
      <c r="GUO47" s="41"/>
      <c r="GUR47" s="32"/>
      <c r="GUT47" s="12"/>
      <c r="GUV47" s="34"/>
      <c r="GUW47" s="39"/>
      <c r="GUX47" s="41"/>
      <c r="GVA47" s="32"/>
      <c r="GVC47" s="12"/>
      <c r="GVE47" s="34"/>
      <c r="GVF47" s="39"/>
      <c r="GVG47" s="41"/>
      <c r="GVJ47" s="32"/>
      <c r="GVL47" s="12"/>
      <c r="GVN47" s="34"/>
      <c r="GVO47" s="39"/>
      <c r="GVP47" s="41"/>
      <c r="GVS47" s="32"/>
      <c r="GVU47" s="12"/>
      <c r="GVW47" s="34"/>
      <c r="GVX47" s="39"/>
      <c r="GVY47" s="41"/>
      <c r="GWB47" s="32"/>
      <c r="GWD47" s="12"/>
      <c r="GWF47" s="34"/>
      <c r="GWG47" s="39"/>
      <c r="GWH47" s="41"/>
      <c r="GWK47" s="32"/>
      <c r="GWM47" s="12"/>
      <c r="GWO47" s="34"/>
      <c r="GWP47" s="39"/>
      <c r="GWQ47" s="41"/>
      <c r="GWT47" s="32"/>
      <c r="GWV47" s="12"/>
      <c r="GWX47" s="34"/>
      <c r="GWY47" s="39"/>
      <c r="GWZ47" s="41"/>
      <c r="GXC47" s="32"/>
      <c r="GXE47" s="12"/>
      <c r="GXG47" s="34"/>
      <c r="GXH47" s="39"/>
      <c r="GXI47" s="41"/>
      <c r="GXL47" s="32"/>
      <c r="GXN47" s="12"/>
      <c r="GXP47" s="34"/>
      <c r="GXQ47" s="39"/>
      <c r="GXR47" s="41"/>
      <c r="GXU47" s="32"/>
      <c r="GXW47" s="12"/>
      <c r="GXY47" s="34"/>
      <c r="GXZ47" s="39"/>
      <c r="GYA47" s="41"/>
      <c r="GYD47" s="32"/>
      <c r="GYF47" s="12"/>
      <c r="GYH47" s="34"/>
      <c r="GYI47" s="39"/>
      <c r="GYJ47" s="41"/>
      <c r="GYM47" s="32"/>
      <c r="GYO47" s="12"/>
      <c r="GYQ47" s="34"/>
      <c r="GYR47" s="39"/>
      <c r="GYS47" s="41"/>
      <c r="GYV47" s="32"/>
      <c r="GYX47" s="12"/>
      <c r="GYZ47" s="34"/>
      <c r="GZA47" s="39"/>
      <c r="GZB47" s="41"/>
      <c r="GZE47" s="32"/>
      <c r="GZG47" s="12"/>
      <c r="GZI47" s="34"/>
      <c r="GZJ47" s="39"/>
      <c r="GZK47" s="41"/>
      <c r="GZN47" s="32"/>
      <c r="GZP47" s="12"/>
      <c r="GZR47" s="34"/>
      <c r="GZS47" s="39"/>
      <c r="GZT47" s="41"/>
      <c r="GZW47" s="32"/>
      <c r="GZY47" s="12"/>
      <c r="HAA47" s="34"/>
      <c r="HAB47" s="39"/>
      <c r="HAC47" s="41"/>
      <c r="HAF47" s="32"/>
      <c r="HAH47" s="12"/>
      <c r="HAJ47" s="34"/>
      <c r="HAK47" s="39"/>
      <c r="HAL47" s="41"/>
      <c r="HAO47" s="32"/>
      <c r="HAQ47" s="12"/>
      <c r="HAS47" s="34"/>
      <c r="HAT47" s="39"/>
      <c r="HAU47" s="41"/>
      <c r="HAX47" s="32"/>
      <c r="HAZ47" s="12"/>
      <c r="HBB47" s="34"/>
      <c r="HBC47" s="39"/>
      <c r="HBD47" s="41"/>
      <c r="HBG47" s="32"/>
      <c r="HBI47" s="12"/>
      <c r="HBK47" s="34"/>
      <c r="HBL47" s="39"/>
      <c r="HBM47" s="41"/>
      <c r="HBP47" s="32"/>
      <c r="HBR47" s="12"/>
      <c r="HBT47" s="34"/>
      <c r="HBU47" s="39"/>
      <c r="HBV47" s="41"/>
      <c r="HBY47" s="32"/>
      <c r="HCA47" s="12"/>
      <c r="HCC47" s="34"/>
      <c r="HCD47" s="39"/>
      <c r="HCE47" s="41"/>
      <c r="HCH47" s="32"/>
      <c r="HCJ47" s="12"/>
      <c r="HCL47" s="34"/>
      <c r="HCM47" s="39"/>
      <c r="HCN47" s="41"/>
      <c r="HCQ47" s="32"/>
      <c r="HCS47" s="12"/>
      <c r="HCU47" s="34"/>
      <c r="HCV47" s="39"/>
      <c r="HCW47" s="41"/>
      <c r="HCZ47" s="32"/>
      <c r="HDB47" s="12"/>
      <c r="HDD47" s="34"/>
      <c r="HDE47" s="39"/>
      <c r="HDF47" s="41"/>
      <c r="HDI47" s="32"/>
      <c r="HDK47" s="12"/>
      <c r="HDM47" s="34"/>
      <c r="HDN47" s="39"/>
      <c r="HDO47" s="41"/>
      <c r="HDR47" s="32"/>
      <c r="HDT47" s="12"/>
      <c r="HDV47" s="34"/>
      <c r="HDW47" s="39"/>
      <c r="HDX47" s="41"/>
      <c r="HEA47" s="32"/>
      <c r="HEC47" s="12"/>
      <c r="HEE47" s="34"/>
      <c r="HEF47" s="39"/>
      <c r="HEG47" s="41"/>
      <c r="HEJ47" s="32"/>
      <c r="HEL47" s="12"/>
      <c r="HEN47" s="34"/>
      <c r="HEO47" s="39"/>
      <c r="HEP47" s="41"/>
      <c r="HES47" s="32"/>
      <c r="HEU47" s="12"/>
      <c r="HEW47" s="34"/>
      <c r="HEX47" s="39"/>
      <c r="HEY47" s="41"/>
      <c r="HFB47" s="32"/>
      <c r="HFD47" s="12"/>
      <c r="HFF47" s="34"/>
      <c r="HFG47" s="39"/>
      <c r="HFH47" s="41"/>
      <c r="HFK47" s="32"/>
      <c r="HFM47" s="12"/>
      <c r="HFO47" s="34"/>
      <c r="HFP47" s="39"/>
      <c r="HFQ47" s="41"/>
      <c r="HFT47" s="32"/>
      <c r="HFV47" s="12"/>
      <c r="HFX47" s="34"/>
      <c r="HFY47" s="39"/>
      <c r="HFZ47" s="41"/>
      <c r="HGC47" s="32"/>
      <c r="HGE47" s="12"/>
      <c r="HGG47" s="34"/>
      <c r="HGH47" s="39"/>
      <c r="HGI47" s="41"/>
      <c r="HGL47" s="32"/>
      <c r="HGN47" s="12"/>
      <c r="HGP47" s="34"/>
      <c r="HGQ47" s="39"/>
      <c r="HGR47" s="41"/>
      <c r="HGU47" s="32"/>
      <c r="HGW47" s="12"/>
      <c r="HGY47" s="34"/>
      <c r="HGZ47" s="39"/>
      <c r="HHA47" s="41"/>
      <c r="HHD47" s="32"/>
      <c r="HHF47" s="12"/>
      <c r="HHH47" s="34"/>
      <c r="HHI47" s="39"/>
      <c r="HHJ47" s="41"/>
      <c r="HHM47" s="32"/>
      <c r="HHO47" s="12"/>
      <c r="HHQ47" s="34"/>
      <c r="HHR47" s="39"/>
      <c r="HHS47" s="41"/>
      <c r="HHV47" s="32"/>
      <c r="HHX47" s="12"/>
      <c r="HHZ47" s="34"/>
      <c r="HIA47" s="39"/>
      <c r="HIB47" s="41"/>
      <c r="HIE47" s="32"/>
      <c r="HIG47" s="12"/>
      <c r="HII47" s="34"/>
      <c r="HIJ47" s="39"/>
      <c r="HIK47" s="41"/>
      <c r="HIN47" s="32"/>
      <c r="HIP47" s="12"/>
      <c r="HIR47" s="34"/>
      <c r="HIS47" s="39"/>
      <c r="HIT47" s="41"/>
      <c r="HIW47" s="32"/>
      <c r="HIY47" s="12"/>
      <c r="HJA47" s="34"/>
      <c r="HJB47" s="39"/>
      <c r="HJC47" s="41"/>
      <c r="HJF47" s="32"/>
      <c r="HJH47" s="12"/>
      <c r="HJJ47" s="34"/>
      <c r="HJK47" s="39"/>
      <c r="HJL47" s="41"/>
      <c r="HJO47" s="32"/>
      <c r="HJQ47" s="12"/>
      <c r="HJS47" s="34"/>
      <c r="HJT47" s="39"/>
      <c r="HJU47" s="41"/>
      <c r="HJX47" s="32"/>
      <c r="HJZ47" s="12"/>
      <c r="HKB47" s="34"/>
      <c r="HKC47" s="39"/>
      <c r="HKD47" s="41"/>
      <c r="HKG47" s="32"/>
      <c r="HKI47" s="12"/>
      <c r="HKK47" s="34"/>
      <c r="HKL47" s="39"/>
      <c r="HKM47" s="41"/>
      <c r="HKP47" s="32"/>
      <c r="HKR47" s="12"/>
      <c r="HKT47" s="34"/>
      <c r="HKU47" s="39"/>
      <c r="HKV47" s="41"/>
      <c r="HKY47" s="32"/>
      <c r="HLA47" s="12"/>
      <c r="HLC47" s="34"/>
      <c r="HLD47" s="39"/>
      <c r="HLE47" s="41"/>
      <c r="HLH47" s="32"/>
      <c r="HLJ47" s="12"/>
      <c r="HLL47" s="34"/>
      <c r="HLM47" s="39"/>
      <c r="HLN47" s="41"/>
      <c r="HLQ47" s="32"/>
      <c r="HLS47" s="12"/>
      <c r="HLU47" s="34"/>
      <c r="HLV47" s="39"/>
      <c r="HLW47" s="41"/>
      <c r="HLZ47" s="32"/>
      <c r="HMB47" s="12"/>
      <c r="HMD47" s="34"/>
      <c r="HME47" s="39"/>
      <c r="HMF47" s="41"/>
      <c r="HMI47" s="32"/>
      <c r="HMK47" s="12"/>
      <c r="HMM47" s="34"/>
      <c r="HMN47" s="39"/>
      <c r="HMO47" s="41"/>
      <c r="HMR47" s="32"/>
      <c r="HMT47" s="12"/>
      <c r="HMV47" s="34"/>
      <c r="HMW47" s="39"/>
      <c r="HMX47" s="41"/>
      <c r="HNA47" s="32"/>
      <c r="HNC47" s="12"/>
      <c r="HNE47" s="34"/>
      <c r="HNF47" s="39"/>
      <c r="HNG47" s="41"/>
      <c r="HNJ47" s="32"/>
      <c r="HNL47" s="12"/>
      <c r="HNN47" s="34"/>
      <c r="HNO47" s="39"/>
      <c r="HNP47" s="41"/>
      <c r="HNS47" s="32"/>
      <c r="HNU47" s="12"/>
      <c r="HNW47" s="34"/>
      <c r="HNX47" s="39"/>
      <c r="HNY47" s="41"/>
      <c r="HOB47" s="32"/>
      <c r="HOD47" s="12"/>
      <c r="HOF47" s="34"/>
      <c r="HOG47" s="39"/>
      <c r="HOH47" s="41"/>
      <c r="HOK47" s="32"/>
      <c r="HOM47" s="12"/>
      <c r="HOO47" s="34"/>
      <c r="HOP47" s="39"/>
      <c r="HOQ47" s="41"/>
      <c r="HOT47" s="32"/>
      <c r="HOV47" s="12"/>
      <c r="HOX47" s="34"/>
      <c r="HOY47" s="39"/>
      <c r="HOZ47" s="41"/>
      <c r="HPC47" s="32"/>
      <c r="HPE47" s="12"/>
      <c r="HPG47" s="34"/>
      <c r="HPH47" s="39"/>
      <c r="HPI47" s="41"/>
      <c r="HPL47" s="32"/>
      <c r="HPN47" s="12"/>
      <c r="HPP47" s="34"/>
      <c r="HPQ47" s="39"/>
      <c r="HPR47" s="41"/>
      <c r="HPU47" s="32"/>
      <c r="HPW47" s="12"/>
      <c r="HPY47" s="34"/>
      <c r="HPZ47" s="39"/>
      <c r="HQA47" s="41"/>
      <c r="HQD47" s="32"/>
      <c r="HQF47" s="12"/>
      <c r="HQH47" s="34"/>
      <c r="HQI47" s="39"/>
      <c r="HQJ47" s="41"/>
      <c r="HQM47" s="32"/>
      <c r="HQO47" s="12"/>
      <c r="HQQ47" s="34"/>
      <c r="HQR47" s="39"/>
      <c r="HQS47" s="41"/>
      <c r="HQV47" s="32"/>
      <c r="HQX47" s="12"/>
      <c r="HQZ47" s="34"/>
      <c r="HRA47" s="39"/>
      <c r="HRB47" s="41"/>
      <c r="HRE47" s="32"/>
      <c r="HRG47" s="12"/>
      <c r="HRI47" s="34"/>
      <c r="HRJ47" s="39"/>
      <c r="HRK47" s="41"/>
      <c r="HRN47" s="32"/>
      <c r="HRP47" s="12"/>
      <c r="HRR47" s="34"/>
      <c r="HRS47" s="39"/>
      <c r="HRT47" s="41"/>
      <c r="HRW47" s="32"/>
      <c r="HRY47" s="12"/>
      <c r="HSA47" s="34"/>
      <c r="HSB47" s="39"/>
      <c r="HSC47" s="41"/>
      <c r="HSF47" s="32"/>
      <c r="HSH47" s="12"/>
      <c r="HSJ47" s="34"/>
      <c r="HSK47" s="39"/>
      <c r="HSL47" s="41"/>
      <c r="HSO47" s="32"/>
      <c r="HSQ47" s="12"/>
      <c r="HSS47" s="34"/>
      <c r="HST47" s="39"/>
      <c r="HSU47" s="41"/>
      <c r="HSX47" s="32"/>
      <c r="HSZ47" s="12"/>
      <c r="HTB47" s="34"/>
      <c r="HTC47" s="39"/>
      <c r="HTD47" s="41"/>
      <c r="HTG47" s="32"/>
      <c r="HTI47" s="12"/>
      <c r="HTK47" s="34"/>
      <c r="HTL47" s="39"/>
      <c r="HTM47" s="41"/>
      <c r="HTP47" s="32"/>
      <c r="HTR47" s="12"/>
      <c r="HTT47" s="34"/>
      <c r="HTU47" s="39"/>
      <c r="HTV47" s="41"/>
      <c r="HTY47" s="32"/>
      <c r="HUA47" s="12"/>
      <c r="HUC47" s="34"/>
      <c r="HUD47" s="39"/>
      <c r="HUE47" s="41"/>
      <c r="HUH47" s="32"/>
      <c r="HUJ47" s="12"/>
      <c r="HUL47" s="34"/>
      <c r="HUM47" s="39"/>
      <c r="HUN47" s="41"/>
      <c r="HUQ47" s="32"/>
      <c r="HUS47" s="12"/>
      <c r="HUU47" s="34"/>
      <c r="HUV47" s="39"/>
      <c r="HUW47" s="41"/>
      <c r="HUZ47" s="32"/>
      <c r="HVB47" s="12"/>
      <c r="HVD47" s="34"/>
      <c r="HVE47" s="39"/>
      <c r="HVF47" s="41"/>
      <c r="HVI47" s="32"/>
      <c r="HVK47" s="12"/>
      <c r="HVM47" s="34"/>
      <c r="HVN47" s="39"/>
      <c r="HVO47" s="41"/>
      <c r="HVR47" s="32"/>
      <c r="HVT47" s="12"/>
      <c r="HVV47" s="34"/>
      <c r="HVW47" s="39"/>
      <c r="HVX47" s="41"/>
      <c r="HWA47" s="32"/>
      <c r="HWC47" s="12"/>
      <c r="HWE47" s="34"/>
      <c r="HWF47" s="39"/>
      <c r="HWG47" s="41"/>
      <c r="HWJ47" s="32"/>
      <c r="HWL47" s="12"/>
      <c r="HWN47" s="34"/>
      <c r="HWO47" s="39"/>
      <c r="HWP47" s="41"/>
      <c r="HWS47" s="32"/>
      <c r="HWU47" s="12"/>
      <c r="HWW47" s="34"/>
      <c r="HWX47" s="39"/>
      <c r="HWY47" s="41"/>
      <c r="HXB47" s="32"/>
      <c r="HXD47" s="12"/>
      <c r="HXF47" s="34"/>
      <c r="HXG47" s="39"/>
      <c r="HXH47" s="41"/>
      <c r="HXK47" s="32"/>
      <c r="HXM47" s="12"/>
      <c r="HXO47" s="34"/>
      <c r="HXP47" s="39"/>
      <c r="HXQ47" s="41"/>
      <c r="HXT47" s="32"/>
      <c r="HXV47" s="12"/>
      <c r="HXX47" s="34"/>
      <c r="HXY47" s="39"/>
      <c r="HXZ47" s="41"/>
      <c r="HYC47" s="32"/>
      <c r="HYE47" s="12"/>
      <c r="HYG47" s="34"/>
      <c r="HYH47" s="39"/>
      <c r="HYI47" s="41"/>
      <c r="HYL47" s="32"/>
      <c r="HYN47" s="12"/>
      <c r="HYP47" s="34"/>
      <c r="HYQ47" s="39"/>
      <c r="HYR47" s="41"/>
      <c r="HYU47" s="32"/>
      <c r="HYW47" s="12"/>
      <c r="HYY47" s="34"/>
      <c r="HYZ47" s="39"/>
      <c r="HZA47" s="41"/>
      <c r="HZD47" s="32"/>
      <c r="HZF47" s="12"/>
      <c r="HZH47" s="34"/>
      <c r="HZI47" s="39"/>
      <c r="HZJ47" s="41"/>
      <c r="HZM47" s="32"/>
      <c r="HZO47" s="12"/>
      <c r="HZQ47" s="34"/>
      <c r="HZR47" s="39"/>
      <c r="HZS47" s="41"/>
      <c r="HZV47" s="32"/>
      <c r="HZX47" s="12"/>
      <c r="HZZ47" s="34"/>
      <c r="IAA47" s="39"/>
      <c r="IAB47" s="41"/>
      <c r="IAE47" s="32"/>
      <c r="IAG47" s="12"/>
      <c r="IAI47" s="34"/>
      <c r="IAJ47" s="39"/>
      <c r="IAK47" s="41"/>
      <c r="IAN47" s="32"/>
      <c r="IAP47" s="12"/>
      <c r="IAR47" s="34"/>
      <c r="IAS47" s="39"/>
      <c r="IAT47" s="41"/>
      <c r="IAW47" s="32"/>
      <c r="IAY47" s="12"/>
      <c r="IBA47" s="34"/>
      <c r="IBB47" s="39"/>
      <c r="IBC47" s="41"/>
      <c r="IBF47" s="32"/>
      <c r="IBH47" s="12"/>
      <c r="IBJ47" s="34"/>
      <c r="IBK47" s="39"/>
      <c r="IBL47" s="41"/>
      <c r="IBO47" s="32"/>
      <c r="IBQ47" s="12"/>
      <c r="IBS47" s="34"/>
      <c r="IBT47" s="39"/>
      <c r="IBU47" s="41"/>
      <c r="IBX47" s="32"/>
      <c r="IBZ47" s="12"/>
      <c r="ICB47" s="34"/>
      <c r="ICC47" s="39"/>
      <c r="ICD47" s="41"/>
      <c r="ICG47" s="32"/>
      <c r="ICI47" s="12"/>
      <c r="ICK47" s="34"/>
      <c r="ICL47" s="39"/>
      <c r="ICM47" s="41"/>
      <c r="ICP47" s="32"/>
      <c r="ICR47" s="12"/>
      <c r="ICT47" s="34"/>
      <c r="ICU47" s="39"/>
      <c r="ICV47" s="41"/>
      <c r="ICY47" s="32"/>
      <c r="IDA47" s="12"/>
      <c r="IDC47" s="34"/>
      <c r="IDD47" s="39"/>
      <c r="IDE47" s="41"/>
      <c r="IDH47" s="32"/>
      <c r="IDJ47" s="12"/>
      <c r="IDL47" s="34"/>
      <c r="IDM47" s="39"/>
      <c r="IDN47" s="41"/>
      <c r="IDQ47" s="32"/>
      <c r="IDS47" s="12"/>
      <c r="IDU47" s="34"/>
      <c r="IDV47" s="39"/>
      <c r="IDW47" s="41"/>
      <c r="IDZ47" s="32"/>
      <c r="IEB47" s="12"/>
      <c r="IED47" s="34"/>
      <c r="IEE47" s="39"/>
      <c r="IEF47" s="41"/>
      <c r="IEI47" s="32"/>
      <c r="IEK47" s="12"/>
      <c r="IEM47" s="34"/>
      <c r="IEN47" s="39"/>
      <c r="IEO47" s="41"/>
      <c r="IER47" s="32"/>
      <c r="IET47" s="12"/>
      <c r="IEV47" s="34"/>
      <c r="IEW47" s="39"/>
      <c r="IEX47" s="41"/>
      <c r="IFA47" s="32"/>
      <c r="IFC47" s="12"/>
      <c r="IFE47" s="34"/>
      <c r="IFF47" s="39"/>
      <c r="IFG47" s="41"/>
      <c r="IFJ47" s="32"/>
      <c r="IFL47" s="12"/>
      <c r="IFN47" s="34"/>
      <c r="IFO47" s="39"/>
      <c r="IFP47" s="41"/>
      <c r="IFS47" s="32"/>
      <c r="IFU47" s="12"/>
      <c r="IFW47" s="34"/>
      <c r="IFX47" s="39"/>
      <c r="IFY47" s="41"/>
      <c r="IGB47" s="32"/>
      <c r="IGD47" s="12"/>
      <c r="IGF47" s="34"/>
      <c r="IGG47" s="39"/>
      <c r="IGH47" s="41"/>
      <c r="IGK47" s="32"/>
      <c r="IGM47" s="12"/>
      <c r="IGO47" s="34"/>
      <c r="IGP47" s="39"/>
      <c r="IGQ47" s="41"/>
      <c r="IGT47" s="32"/>
      <c r="IGV47" s="12"/>
      <c r="IGX47" s="34"/>
      <c r="IGY47" s="39"/>
      <c r="IGZ47" s="41"/>
      <c r="IHC47" s="32"/>
      <c r="IHE47" s="12"/>
      <c r="IHG47" s="34"/>
      <c r="IHH47" s="39"/>
      <c r="IHI47" s="41"/>
      <c r="IHL47" s="32"/>
      <c r="IHN47" s="12"/>
      <c r="IHP47" s="34"/>
      <c r="IHQ47" s="39"/>
      <c r="IHR47" s="41"/>
      <c r="IHU47" s="32"/>
      <c r="IHW47" s="12"/>
      <c r="IHY47" s="34"/>
      <c r="IHZ47" s="39"/>
      <c r="IIA47" s="41"/>
      <c r="IID47" s="32"/>
      <c r="IIF47" s="12"/>
      <c r="IIH47" s="34"/>
      <c r="III47" s="39"/>
      <c r="IIJ47" s="41"/>
      <c r="IIM47" s="32"/>
      <c r="IIO47" s="12"/>
      <c r="IIQ47" s="34"/>
      <c r="IIR47" s="39"/>
      <c r="IIS47" s="41"/>
      <c r="IIV47" s="32"/>
      <c r="IIX47" s="12"/>
      <c r="IIZ47" s="34"/>
      <c r="IJA47" s="39"/>
      <c r="IJB47" s="41"/>
      <c r="IJE47" s="32"/>
      <c r="IJG47" s="12"/>
      <c r="IJI47" s="34"/>
      <c r="IJJ47" s="39"/>
      <c r="IJK47" s="41"/>
      <c r="IJN47" s="32"/>
      <c r="IJP47" s="12"/>
      <c r="IJR47" s="34"/>
      <c r="IJS47" s="39"/>
      <c r="IJT47" s="41"/>
      <c r="IJW47" s="32"/>
      <c r="IJY47" s="12"/>
      <c r="IKA47" s="34"/>
      <c r="IKB47" s="39"/>
      <c r="IKC47" s="41"/>
      <c r="IKF47" s="32"/>
      <c r="IKH47" s="12"/>
      <c r="IKJ47" s="34"/>
      <c r="IKK47" s="39"/>
      <c r="IKL47" s="41"/>
      <c r="IKO47" s="32"/>
      <c r="IKQ47" s="12"/>
      <c r="IKS47" s="34"/>
      <c r="IKT47" s="39"/>
      <c r="IKU47" s="41"/>
      <c r="IKX47" s="32"/>
      <c r="IKZ47" s="12"/>
      <c r="ILB47" s="34"/>
      <c r="ILC47" s="39"/>
      <c r="ILD47" s="41"/>
      <c r="ILG47" s="32"/>
      <c r="ILI47" s="12"/>
      <c r="ILK47" s="34"/>
      <c r="ILL47" s="39"/>
      <c r="ILM47" s="41"/>
      <c r="ILP47" s="32"/>
      <c r="ILR47" s="12"/>
      <c r="ILT47" s="34"/>
      <c r="ILU47" s="39"/>
      <c r="ILV47" s="41"/>
      <c r="ILY47" s="32"/>
      <c r="IMA47" s="12"/>
      <c r="IMC47" s="34"/>
      <c r="IMD47" s="39"/>
      <c r="IME47" s="41"/>
      <c r="IMH47" s="32"/>
      <c r="IMJ47" s="12"/>
      <c r="IML47" s="34"/>
      <c r="IMM47" s="39"/>
      <c r="IMN47" s="41"/>
      <c r="IMQ47" s="32"/>
      <c r="IMS47" s="12"/>
      <c r="IMU47" s="34"/>
      <c r="IMV47" s="39"/>
      <c r="IMW47" s="41"/>
      <c r="IMZ47" s="32"/>
      <c r="INB47" s="12"/>
      <c r="IND47" s="34"/>
      <c r="INE47" s="39"/>
      <c r="INF47" s="41"/>
      <c r="INI47" s="32"/>
      <c r="INK47" s="12"/>
      <c r="INM47" s="34"/>
      <c r="INN47" s="39"/>
      <c r="INO47" s="41"/>
      <c r="INR47" s="32"/>
      <c r="INT47" s="12"/>
      <c r="INV47" s="34"/>
      <c r="INW47" s="39"/>
      <c r="INX47" s="41"/>
      <c r="IOA47" s="32"/>
      <c r="IOC47" s="12"/>
      <c r="IOE47" s="34"/>
      <c r="IOF47" s="39"/>
      <c r="IOG47" s="41"/>
      <c r="IOJ47" s="32"/>
      <c r="IOL47" s="12"/>
      <c r="ION47" s="34"/>
      <c r="IOO47" s="39"/>
      <c r="IOP47" s="41"/>
      <c r="IOS47" s="32"/>
      <c r="IOU47" s="12"/>
      <c r="IOW47" s="34"/>
      <c r="IOX47" s="39"/>
      <c r="IOY47" s="41"/>
      <c r="IPB47" s="32"/>
      <c r="IPD47" s="12"/>
      <c r="IPF47" s="34"/>
      <c r="IPG47" s="39"/>
      <c r="IPH47" s="41"/>
      <c r="IPK47" s="32"/>
      <c r="IPM47" s="12"/>
      <c r="IPO47" s="34"/>
      <c r="IPP47" s="39"/>
      <c r="IPQ47" s="41"/>
      <c r="IPT47" s="32"/>
      <c r="IPV47" s="12"/>
      <c r="IPX47" s="34"/>
      <c r="IPY47" s="39"/>
      <c r="IPZ47" s="41"/>
      <c r="IQC47" s="32"/>
      <c r="IQE47" s="12"/>
      <c r="IQG47" s="34"/>
      <c r="IQH47" s="39"/>
      <c r="IQI47" s="41"/>
      <c r="IQL47" s="32"/>
      <c r="IQN47" s="12"/>
      <c r="IQP47" s="34"/>
      <c r="IQQ47" s="39"/>
      <c r="IQR47" s="41"/>
      <c r="IQU47" s="32"/>
      <c r="IQW47" s="12"/>
      <c r="IQY47" s="34"/>
      <c r="IQZ47" s="39"/>
      <c r="IRA47" s="41"/>
      <c r="IRD47" s="32"/>
      <c r="IRF47" s="12"/>
      <c r="IRH47" s="34"/>
      <c r="IRI47" s="39"/>
      <c r="IRJ47" s="41"/>
      <c r="IRM47" s="32"/>
      <c r="IRO47" s="12"/>
      <c r="IRQ47" s="34"/>
      <c r="IRR47" s="39"/>
      <c r="IRS47" s="41"/>
      <c r="IRV47" s="32"/>
      <c r="IRX47" s="12"/>
      <c r="IRZ47" s="34"/>
      <c r="ISA47" s="39"/>
      <c r="ISB47" s="41"/>
      <c r="ISE47" s="32"/>
      <c r="ISG47" s="12"/>
      <c r="ISI47" s="34"/>
      <c r="ISJ47" s="39"/>
      <c r="ISK47" s="41"/>
      <c r="ISN47" s="32"/>
      <c r="ISP47" s="12"/>
      <c r="ISR47" s="34"/>
      <c r="ISS47" s="39"/>
      <c r="IST47" s="41"/>
      <c r="ISW47" s="32"/>
      <c r="ISY47" s="12"/>
      <c r="ITA47" s="34"/>
      <c r="ITB47" s="39"/>
      <c r="ITC47" s="41"/>
      <c r="ITF47" s="32"/>
      <c r="ITH47" s="12"/>
      <c r="ITJ47" s="34"/>
      <c r="ITK47" s="39"/>
      <c r="ITL47" s="41"/>
      <c r="ITO47" s="32"/>
      <c r="ITQ47" s="12"/>
      <c r="ITS47" s="34"/>
      <c r="ITT47" s="39"/>
      <c r="ITU47" s="41"/>
      <c r="ITX47" s="32"/>
      <c r="ITZ47" s="12"/>
      <c r="IUB47" s="34"/>
      <c r="IUC47" s="39"/>
      <c r="IUD47" s="41"/>
      <c r="IUG47" s="32"/>
      <c r="IUI47" s="12"/>
      <c r="IUK47" s="34"/>
      <c r="IUL47" s="39"/>
      <c r="IUM47" s="41"/>
      <c r="IUP47" s="32"/>
      <c r="IUR47" s="12"/>
      <c r="IUT47" s="34"/>
      <c r="IUU47" s="39"/>
      <c r="IUV47" s="41"/>
      <c r="IUY47" s="32"/>
      <c r="IVA47" s="12"/>
      <c r="IVC47" s="34"/>
      <c r="IVD47" s="39"/>
      <c r="IVE47" s="41"/>
      <c r="IVH47" s="32"/>
      <c r="IVJ47" s="12"/>
      <c r="IVL47" s="34"/>
      <c r="IVM47" s="39"/>
      <c r="IVN47" s="41"/>
      <c r="IVQ47" s="32"/>
      <c r="IVS47" s="12"/>
      <c r="IVU47" s="34"/>
      <c r="IVV47" s="39"/>
      <c r="IVW47" s="41"/>
      <c r="IVZ47" s="32"/>
      <c r="IWB47" s="12"/>
      <c r="IWD47" s="34"/>
      <c r="IWE47" s="39"/>
      <c r="IWF47" s="41"/>
      <c r="IWI47" s="32"/>
      <c r="IWK47" s="12"/>
      <c r="IWM47" s="34"/>
      <c r="IWN47" s="39"/>
      <c r="IWO47" s="41"/>
      <c r="IWR47" s="32"/>
      <c r="IWT47" s="12"/>
      <c r="IWV47" s="34"/>
      <c r="IWW47" s="39"/>
      <c r="IWX47" s="41"/>
      <c r="IXA47" s="32"/>
      <c r="IXC47" s="12"/>
      <c r="IXE47" s="34"/>
      <c r="IXF47" s="39"/>
      <c r="IXG47" s="41"/>
      <c r="IXJ47" s="32"/>
      <c r="IXL47" s="12"/>
      <c r="IXN47" s="34"/>
      <c r="IXO47" s="39"/>
      <c r="IXP47" s="41"/>
      <c r="IXS47" s="32"/>
      <c r="IXU47" s="12"/>
      <c r="IXW47" s="34"/>
      <c r="IXX47" s="39"/>
      <c r="IXY47" s="41"/>
      <c r="IYB47" s="32"/>
      <c r="IYD47" s="12"/>
      <c r="IYF47" s="34"/>
      <c r="IYG47" s="39"/>
      <c r="IYH47" s="41"/>
      <c r="IYK47" s="32"/>
      <c r="IYM47" s="12"/>
      <c r="IYO47" s="34"/>
      <c r="IYP47" s="39"/>
      <c r="IYQ47" s="41"/>
      <c r="IYT47" s="32"/>
      <c r="IYV47" s="12"/>
      <c r="IYX47" s="34"/>
      <c r="IYY47" s="39"/>
      <c r="IYZ47" s="41"/>
      <c r="IZC47" s="32"/>
      <c r="IZE47" s="12"/>
      <c r="IZG47" s="34"/>
      <c r="IZH47" s="39"/>
      <c r="IZI47" s="41"/>
      <c r="IZL47" s="32"/>
      <c r="IZN47" s="12"/>
      <c r="IZP47" s="34"/>
      <c r="IZQ47" s="39"/>
      <c r="IZR47" s="41"/>
      <c r="IZU47" s="32"/>
      <c r="IZW47" s="12"/>
      <c r="IZY47" s="34"/>
      <c r="IZZ47" s="39"/>
      <c r="JAA47" s="41"/>
      <c r="JAD47" s="32"/>
      <c r="JAF47" s="12"/>
      <c r="JAH47" s="34"/>
      <c r="JAI47" s="39"/>
      <c r="JAJ47" s="41"/>
      <c r="JAM47" s="32"/>
      <c r="JAO47" s="12"/>
      <c r="JAQ47" s="34"/>
      <c r="JAR47" s="39"/>
      <c r="JAS47" s="41"/>
      <c r="JAV47" s="32"/>
      <c r="JAX47" s="12"/>
      <c r="JAZ47" s="34"/>
      <c r="JBA47" s="39"/>
      <c r="JBB47" s="41"/>
      <c r="JBE47" s="32"/>
      <c r="JBG47" s="12"/>
      <c r="JBI47" s="34"/>
      <c r="JBJ47" s="39"/>
      <c r="JBK47" s="41"/>
      <c r="JBN47" s="32"/>
      <c r="JBP47" s="12"/>
      <c r="JBR47" s="34"/>
      <c r="JBS47" s="39"/>
      <c r="JBT47" s="41"/>
      <c r="JBW47" s="32"/>
      <c r="JBY47" s="12"/>
      <c r="JCA47" s="34"/>
      <c r="JCB47" s="39"/>
      <c r="JCC47" s="41"/>
      <c r="JCF47" s="32"/>
      <c r="JCH47" s="12"/>
      <c r="JCJ47" s="34"/>
      <c r="JCK47" s="39"/>
      <c r="JCL47" s="41"/>
      <c r="JCO47" s="32"/>
      <c r="JCQ47" s="12"/>
      <c r="JCS47" s="34"/>
      <c r="JCT47" s="39"/>
      <c r="JCU47" s="41"/>
      <c r="JCX47" s="32"/>
      <c r="JCZ47" s="12"/>
      <c r="JDB47" s="34"/>
      <c r="JDC47" s="39"/>
      <c r="JDD47" s="41"/>
      <c r="JDG47" s="32"/>
      <c r="JDI47" s="12"/>
      <c r="JDK47" s="34"/>
      <c r="JDL47" s="39"/>
      <c r="JDM47" s="41"/>
      <c r="JDP47" s="32"/>
      <c r="JDR47" s="12"/>
      <c r="JDT47" s="34"/>
      <c r="JDU47" s="39"/>
      <c r="JDV47" s="41"/>
      <c r="JDY47" s="32"/>
      <c r="JEA47" s="12"/>
      <c r="JEC47" s="34"/>
      <c r="JED47" s="39"/>
      <c r="JEE47" s="41"/>
      <c r="JEH47" s="32"/>
      <c r="JEJ47" s="12"/>
      <c r="JEL47" s="34"/>
      <c r="JEM47" s="39"/>
      <c r="JEN47" s="41"/>
      <c r="JEQ47" s="32"/>
      <c r="JES47" s="12"/>
      <c r="JEU47" s="34"/>
      <c r="JEV47" s="39"/>
      <c r="JEW47" s="41"/>
      <c r="JEZ47" s="32"/>
      <c r="JFB47" s="12"/>
      <c r="JFD47" s="34"/>
      <c r="JFE47" s="39"/>
      <c r="JFF47" s="41"/>
      <c r="JFI47" s="32"/>
      <c r="JFK47" s="12"/>
      <c r="JFM47" s="34"/>
      <c r="JFN47" s="39"/>
      <c r="JFO47" s="41"/>
      <c r="JFR47" s="32"/>
      <c r="JFT47" s="12"/>
      <c r="JFV47" s="34"/>
      <c r="JFW47" s="39"/>
      <c r="JFX47" s="41"/>
      <c r="JGA47" s="32"/>
      <c r="JGC47" s="12"/>
      <c r="JGE47" s="34"/>
      <c r="JGF47" s="39"/>
      <c r="JGG47" s="41"/>
      <c r="JGJ47" s="32"/>
      <c r="JGL47" s="12"/>
      <c r="JGN47" s="34"/>
      <c r="JGO47" s="39"/>
      <c r="JGP47" s="41"/>
      <c r="JGS47" s="32"/>
      <c r="JGU47" s="12"/>
      <c r="JGW47" s="34"/>
      <c r="JGX47" s="39"/>
      <c r="JGY47" s="41"/>
      <c r="JHB47" s="32"/>
      <c r="JHD47" s="12"/>
      <c r="JHF47" s="34"/>
      <c r="JHG47" s="39"/>
      <c r="JHH47" s="41"/>
      <c r="JHK47" s="32"/>
      <c r="JHM47" s="12"/>
      <c r="JHO47" s="34"/>
      <c r="JHP47" s="39"/>
      <c r="JHQ47" s="41"/>
      <c r="JHT47" s="32"/>
      <c r="JHV47" s="12"/>
      <c r="JHX47" s="34"/>
      <c r="JHY47" s="39"/>
      <c r="JHZ47" s="41"/>
      <c r="JIC47" s="32"/>
      <c r="JIE47" s="12"/>
      <c r="JIG47" s="34"/>
      <c r="JIH47" s="39"/>
      <c r="JII47" s="41"/>
      <c r="JIL47" s="32"/>
      <c r="JIN47" s="12"/>
      <c r="JIP47" s="34"/>
      <c r="JIQ47" s="39"/>
      <c r="JIR47" s="41"/>
      <c r="JIU47" s="32"/>
      <c r="JIW47" s="12"/>
      <c r="JIY47" s="34"/>
      <c r="JIZ47" s="39"/>
      <c r="JJA47" s="41"/>
      <c r="JJD47" s="32"/>
      <c r="JJF47" s="12"/>
      <c r="JJH47" s="34"/>
      <c r="JJI47" s="39"/>
      <c r="JJJ47" s="41"/>
      <c r="JJM47" s="32"/>
      <c r="JJO47" s="12"/>
      <c r="JJQ47" s="34"/>
      <c r="JJR47" s="39"/>
      <c r="JJS47" s="41"/>
      <c r="JJV47" s="32"/>
      <c r="JJX47" s="12"/>
      <c r="JJZ47" s="34"/>
      <c r="JKA47" s="39"/>
      <c r="JKB47" s="41"/>
      <c r="JKE47" s="32"/>
      <c r="JKG47" s="12"/>
      <c r="JKI47" s="34"/>
      <c r="JKJ47" s="39"/>
      <c r="JKK47" s="41"/>
      <c r="JKN47" s="32"/>
      <c r="JKP47" s="12"/>
      <c r="JKR47" s="34"/>
      <c r="JKS47" s="39"/>
      <c r="JKT47" s="41"/>
      <c r="JKW47" s="32"/>
      <c r="JKY47" s="12"/>
      <c r="JLA47" s="34"/>
      <c r="JLB47" s="39"/>
      <c r="JLC47" s="41"/>
      <c r="JLF47" s="32"/>
      <c r="JLH47" s="12"/>
      <c r="JLJ47" s="34"/>
      <c r="JLK47" s="39"/>
      <c r="JLL47" s="41"/>
      <c r="JLO47" s="32"/>
      <c r="JLQ47" s="12"/>
      <c r="JLS47" s="34"/>
      <c r="JLT47" s="39"/>
      <c r="JLU47" s="41"/>
      <c r="JLX47" s="32"/>
      <c r="JLZ47" s="12"/>
      <c r="JMB47" s="34"/>
      <c r="JMC47" s="39"/>
      <c r="JMD47" s="41"/>
      <c r="JMG47" s="32"/>
      <c r="JMI47" s="12"/>
      <c r="JMK47" s="34"/>
      <c r="JML47" s="39"/>
      <c r="JMM47" s="41"/>
      <c r="JMP47" s="32"/>
      <c r="JMR47" s="12"/>
      <c r="JMT47" s="34"/>
      <c r="JMU47" s="39"/>
      <c r="JMV47" s="41"/>
      <c r="JMY47" s="32"/>
      <c r="JNA47" s="12"/>
      <c r="JNC47" s="34"/>
      <c r="JND47" s="39"/>
      <c r="JNE47" s="41"/>
      <c r="JNH47" s="32"/>
      <c r="JNJ47" s="12"/>
      <c r="JNL47" s="34"/>
      <c r="JNM47" s="39"/>
      <c r="JNN47" s="41"/>
      <c r="JNQ47" s="32"/>
      <c r="JNS47" s="12"/>
      <c r="JNU47" s="34"/>
      <c r="JNV47" s="39"/>
      <c r="JNW47" s="41"/>
      <c r="JNZ47" s="32"/>
      <c r="JOB47" s="12"/>
      <c r="JOD47" s="34"/>
      <c r="JOE47" s="39"/>
      <c r="JOF47" s="41"/>
      <c r="JOI47" s="32"/>
      <c r="JOK47" s="12"/>
      <c r="JOM47" s="34"/>
      <c r="JON47" s="39"/>
      <c r="JOO47" s="41"/>
      <c r="JOR47" s="32"/>
      <c r="JOT47" s="12"/>
      <c r="JOV47" s="34"/>
      <c r="JOW47" s="39"/>
      <c r="JOX47" s="41"/>
      <c r="JPA47" s="32"/>
      <c r="JPC47" s="12"/>
      <c r="JPE47" s="34"/>
      <c r="JPF47" s="39"/>
      <c r="JPG47" s="41"/>
      <c r="JPJ47" s="32"/>
      <c r="JPL47" s="12"/>
      <c r="JPN47" s="34"/>
      <c r="JPO47" s="39"/>
      <c r="JPP47" s="41"/>
      <c r="JPS47" s="32"/>
      <c r="JPU47" s="12"/>
      <c r="JPW47" s="34"/>
      <c r="JPX47" s="39"/>
      <c r="JPY47" s="41"/>
      <c r="JQB47" s="32"/>
      <c r="JQD47" s="12"/>
      <c r="JQF47" s="34"/>
      <c r="JQG47" s="39"/>
      <c r="JQH47" s="41"/>
      <c r="JQK47" s="32"/>
      <c r="JQM47" s="12"/>
      <c r="JQO47" s="34"/>
      <c r="JQP47" s="39"/>
      <c r="JQQ47" s="41"/>
      <c r="JQT47" s="32"/>
      <c r="JQV47" s="12"/>
      <c r="JQX47" s="34"/>
      <c r="JQY47" s="39"/>
      <c r="JQZ47" s="41"/>
      <c r="JRC47" s="32"/>
      <c r="JRE47" s="12"/>
      <c r="JRG47" s="34"/>
      <c r="JRH47" s="39"/>
      <c r="JRI47" s="41"/>
      <c r="JRL47" s="32"/>
      <c r="JRN47" s="12"/>
      <c r="JRP47" s="34"/>
      <c r="JRQ47" s="39"/>
      <c r="JRR47" s="41"/>
      <c r="JRU47" s="32"/>
      <c r="JRW47" s="12"/>
      <c r="JRY47" s="34"/>
      <c r="JRZ47" s="39"/>
      <c r="JSA47" s="41"/>
      <c r="JSD47" s="32"/>
      <c r="JSF47" s="12"/>
      <c r="JSH47" s="34"/>
      <c r="JSI47" s="39"/>
      <c r="JSJ47" s="41"/>
      <c r="JSM47" s="32"/>
      <c r="JSO47" s="12"/>
      <c r="JSQ47" s="34"/>
      <c r="JSR47" s="39"/>
      <c r="JSS47" s="41"/>
      <c r="JSV47" s="32"/>
      <c r="JSX47" s="12"/>
      <c r="JSZ47" s="34"/>
      <c r="JTA47" s="39"/>
      <c r="JTB47" s="41"/>
      <c r="JTE47" s="32"/>
      <c r="JTG47" s="12"/>
      <c r="JTI47" s="34"/>
      <c r="JTJ47" s="39"/>
      <c r="JTK47" s="41"/>
      <c r="JTN47" s="32"/>
      <c r="JTP47" s="12"/>
      <c r="JTR47" s="34"/>
      <c r="JTS47" s="39"/>
      <c r="JTT47" s="41"/>
      <c r="JTW47" s="32"/>
      <c r="JTY47" s="12"/>
      <c r="JUA47" s="34"/>
      <c r="JUB47" s="39"/>
      <c r="JUC47" s="41"/>
      <c r="JUF47" s="32"/>
      <c r="JUH47" s="12"/>
      <c r="JUJ47" s="34"/>
      <c r="JUK47" s="39"/>
      <c r="JUL47" s="41"/>
      <c r="JUO47" s="32"/>
      <c r="JUQ47" s="12"/>
      <c r="JUS47" s="34"/>
      <c r="JUT47" s="39"/>
      <c r="JUU47" s="41"/>
      <c r="JUX47" s="32"/>
      <c r="JUZ47" s="12"/>
      <c r="JVB47" s="34"/>
      <c r="JVC47" s="39"/>
      <c r="JVD47" s="41"/>
      <c r="JVG47" s="32"/>
      <c r="JVI47" s="12"/>
      <c r="JVK47" s="34"/>
      <c r="JVL47" s="39"/>
      <c r="JVM47" s="41"/>
      <c r="JVP47" s="32"/>
      <c r="JVR47" s="12"/>
      <c r="JVT47" s="34"/>
      <c r="JVU47" s="39"/>
      <c r="JVV47" s="41"/>
      <c r="JVY47" s="32"/>
      <c r="JWA47" s="12"/>
      <c r="JWC47" s="34"/>
      <c r="JWD47" s="39"/>
      <c r="JWE47" s="41"/>
      <c r="JWH47" s="32"/>
      <c r="JWJ47" s="12"/>
      <c r="JWL47" s="34"/>
      <c r="JWM47" s="39"/>
      <c r="JWN47" s="41"/>
      <c r="JWQ47" s="32"/>
      <c r="JWS47" s="12"/>
      <c r="JWU47" s="34"/>
      <c r="JWV47" s="39"/>
      <c r="JWW47" s="41"/>
      <c r="JWZ47" s="32"/>
      <c r="JXB47" s="12"/>
      <c r="JXD47" s="34"/>
      <c r="JXE47" s="39"/>
      <c r="JXF47" s="41"/>
      <c r="JXI47" s="32"/>
      <c r="JXK47" s="12"/>
      <c r="JXM47" s="34"/>
      <c r="JXN47" s="39"/>
      <c r="JXO47" s="41"/>
      <c r="JXR47" s="32"/>
      <c r="JXT47" s="12"/>
      <c r="JXV47" s="34"/>
      <c r="JXW47" s="39"/>
      <c r="JXX47" s="41"/>
      <c r="JYA47" s="32"/>
      <c r="JYC47" s="12"/>
      <c r="JYE47" s="34"/>
      <c r="JYF47" s="39"/>
      <c r="JYG47" s="41"/>
      <c r="JYJ47" s="32"/>
      <c r="JYL47" s="12"/>
      <c r="JYN47" s="34"/>
      <c r="JYO47" s="39"/>
      <c r="JYP47" s="41"/>
      <c r="JYS47" s="32"/>
      <c r="JYU47" s="12"/>
      <c r="JYW47" s="34"/>
      <c r="JYX47" s="39"/>
      <c r="JYY47" s="41"/>
      <c r="JZB47" s="32"/>
      <c r="JZD47" s="12"/>
      <c r="JZF47" s="34"/>
      <c r="JZG47" s="39"/>
      <c r="JZH47" s="41"/>
      <c r="JZK47" s="32"/>
      <c r="JZM47" s="12"/>
      <c r="JZO47" s="34"/>
      <c r="JZP47" s="39"/>
      <c r="JZQ47" s="41"/>
      <c r="JZT47" s="32"/>
      <c r="JZV47" s="12"/>
      <c r="JZX47" s="34"/>
      <c r="JZY47" s="39"/>
      <c r="JZZ47" s="41"/>
      <c r="KAC47" s="32"/>
      <c r="KAE47" s="12"/>
      <c r="KAG47" s="34"/>
      <c r="KAH47" s="39"/>
      <c r="KAI47" s="41"/>
      <c r="KAL47" s="32"/>
      <c r="KAN47" s="12"/>
      <c r="KAP47" s="34"/>
      <c r="KAQ47" s="39"/>
      <c r="KAR47" s="41"/>
      <c r="KAU47" s="32"/>
      <c r="KAW47" s="12"/>
      <c r="KAY47" s="34"/>
      <c r="KAZ47" s="39"/>
      <c r="KBA47" s="41"/>
      <c r="KBD47" s="32"/>
      <c r="KBF47" s="12"/>
      <c r="KBH47" s="34"/>
      <c r="KBI47" s="39"/>
      <c r="KBJ47" s="41"/>
      <c r="KBM47" s="32"/>
      <c r="KBO47" s="12"/>
      <c r="KBQ47" s="34"/>
      <c r="KBR47" s="39"/>
      <c r="KBS47" s="41"/>
      <c r="KBV47" s="32"/>
      <c r="KBX47" s="12"/>
      <c r="KBZ47" s="34"/>
      <c r="KCA47" s="39"/>
      <c r="KCB47" s="41"/>
      <c r="KCE47" s="32"/>
      <c r="KCG47" s="12"/>
      <c r="KCI47" s="34"/>
      <c r="KCJ47" s="39"/>
      <c r="KCK47" s="41"/>
      <c r="KCN47" s="32"/>
      <c r="KCP47" s="12"/>
      <c r="KCR47" s="34"/>
      <c r="KCS47" s="39"/>
      <c r="KCT47" s="41"/>
      <c r="KCW47" s="32"/>
      <c r="KCY47" s="12"/>
      <c r="KDA47" s="34"/>
      <c r="KDB47" s="39"/>
      <c r="KDC47" s="41"/>
      <c r="KDF47" s="32"/>
      <c r="KDH47" s="12"/>
      <c r="KDJ47" s="34"/>
      <c r="KDK47" s="39"/>
      <c r="KDL47" s="41"/>
      <c r="KDO47" s="32"/>
      <c r="KDQ47" s="12"/>
      <c r="KDS47" s="34"/>
      <c r="KDT47" s="39"/>
      <c r="KDU47" s="41"/>
      <c r="KDX47" s="32"/>
      <c r="KDZ47" s="12"/>
      <c r="KEB47" s="34"/>
      <c r="KEC47" s="39"/>
      <c r="KED47" s="41"/>
      <c r="KEG47" s="32"/>
      <c r="KEI47" s="12"/>
      <c r="KEK47" s="34"/>
      <c r="KEL47" s="39"/>
      <c r="KEM47" s="41"/>
      <c r="KEP47" s="32"/>
      <c r="KER47" s="12"/>
      <c r="KET47" s="34"/>
      <c r="KEU47" s="39"/>
      <c r="KEV47" s="41"/>
      <c r="KEY47" s="32"/>
      <c r="KFA47" s="12"/>
      <c r="KFC47" s="34"/>
      <c r="KFD47" s="39"/>
      <c r="KFE47" s="41"/>
      <c r="KFH47" s="32"/>
      <c r="KFJ47" s="12"/>
      <c r="KFL47" s="34"/>
      <c r="KFM47" s="39"/>
      <c r="KFN47" s="41"/>
      <c r="KFQ47" s="32"/>
      <c r="KFS47" s="12"/>
      <c r="KFU47" s="34"/>
      <c r="KFV47" s="39"/>
      <c r="KFW47" s="41"/>
      <c r="KFZ47" s="32"/>
      <c r="KGB47" s="12"/>
      <c r="KGD47" s="34"/>
      <c r="KGE47" s="39"/>
      <c r="KGF47" s="41"/>
      <c r="KGI47" s="32"/>
      <c r="KGK47" s="12"/>
      <c r="KGM47" s="34"/>
      <c r="KGN47" s="39"/>
      <c r="KGO47" s="41"/>
      <c r="KGR47" s="32"/>
      <c r="KGT47" s="12"/>
      <c r="KGV47" s="34"/>
      <c r="KGW47" s="39"/>
      <c r="KGX47" s="41"/>
      <c r="KHA47" s="32"/>
      <c r="KHC47" s="12"/>
      <c r="KHE47" s="34"/>
      <c r="KHF47" s="39"/>
      <c r="KHG47" s="41"/>
      <c r="KHJ47" s="32"/>
      <c r="KHL47" s="12"/>
      <c r="KHN47" s="34"/>
      <c r="KHO47" s="39"/>
      <c r="KHP47" s="41"/>
      <c r="KHS47" s="32"/>
      <c r="KHU47" s="12"/>
      <c r="KHW47" s="34"/>
      <c r="KHX47" s="39"/>
      <c r="KHY47" s="41"/>
      <c r="KIB47" s="32"/>
      <c r="KID47" s="12"/>
      <c r="KIF47" s="34"/>
      <c r="KIG47" s="39"/>
      <c r="KIH47" s="41"/>
      <c r="KIK47" s="32"/>
      <c r="KIM47" s="12"/>
      <c r="KIO47" s="34"/>
      <c r="KIP47" s="39"/>
      <c r="KIQ47" s="41"/>
      <c r="KIT47" s="32"/>
      <c r="KIV47" s="12"/>
      <c r="KIX47" s="34"/>
      <c r="KIY47" s="39"/>
      <c r="KIZ47" s="41"/>
      <c r="KJC47" s="32"/>
      <c r="KJE47" s="12"/>
      <c r="KJG47" s="34"/>
      <c r="KJH47" s="39"/>
      <c r="KJI47" s="41"/>
      <c r="KJL47" s="32"/>
      <c r="KJN47" s="12"/>
      <c r="KJP47" s="34"/>
      <c r="KJQ47" s="39"/>
      <c r="KJR47" s="41"/>
      <c r="KJU47" s="32"/>
      <c r="KJW47" s="12"/>
      <c r="KJY47" s="34"/>
      <c r="KJZ47" s="39"/>
      <c r="KKA47" s="41"/>
      <c r="KKD47" s="32"/>
      <c r="KKF47" s="12"/>
      <c r="KKH47" s="34"/>
      <c r="KKI47" s="39"/>
      <c r="KKJ47" s="41"/>
      <c r="KKM47" s="32"/>
      <c r="KKO47" s="12"/>
      <c r="KKQ47" s="34"/>
      <c r="KKR47" s="39"/>
      <c r="KKS47" s="41"/>
      <c r="KKV47" s="32"/>
      <c r="KKX47" s="12"/>
      <c r="KKZ47" s="34"/>
      <c r="KLA47" s="39"/>
      <c r="KLB47" s="41"/>
      <c r="KLE47" s="32"/>
      <c r="KLG47" s="12"/>
      <c r="KLI47" s="34"/>
      <c r="KLJ47" s="39"/>
      <c r="KLK47" s="41"/>
      <c r="KLN47" s="32"/>
      <c r="KLP47" s="12"/>
      <c r="KLR47" s="34"/>
      <c r="KLS47" s="39"/>
      <c r="KLT47" s="41"/>
      <c r="KLW47" s="32"/>
      <c r="KLY47" s="12"/>
      <c r="KMA47" s="34"/>
      <c r="KMB47" s="39"/>
      <c r="KMC47" s="41"/>
      <c r="KMF47" s="32"/>
      <c r="KMH47" s="12"/>
      <c r="KMJ47" s="34"/>
      <c r="KMK47" s="39"/>
      <c r="KML47" s="41"/>
      <c r="KMO47" s="32"/>
      <c r="KMQ47" s="12"/>
      <c r="KMS47" s="34"/>
      <c r="KMT47" s="39"/>
      <c r="KMU47" s="41"/>
      <c r="KMX47" s="32"/>
      <c r="KMZ47" s="12"/>
      <c r="KNB47" s="34"/>
      <c r="KNC47" s="39"/>
      <c r="KND47" s="41"/>
      <c r="KNG47" s="32"/>
      <c r="KNI47" s="12"/>
      <c r="KNK47" s="34"/>
      <c r="KNL47" s="39"/>
      <c r="KNM47" s="41"/>
      <c r="KNP47" s="32"/>
      <c r="KNR47" s="12"/>
      <c r="KNT47" s="34"/>
      <c r="KNU47" s="39"/>
      <c r="KNV47" s="41"/>
      <c r="KNY47" s="32"/>
      <c r="KOA47" s="12"/>
      <c r="KOC47" s="34"/>
      <c r="KOD47" s="39"/>
      <c r="KOE47" s="41"/>
      <c r="KOH47" s="32"/>
      <c r="KOJ47" s="12"/>
      <c r="KOL47" s="34"/>
      <c r="KOM47" s="39"/>
      <c r="KON47" s="41"/>
      <c r="KOQ47" s="32"/>
      <c r="KOS47" s="12"/>
      <c r="KOU47" s="34"/>
      <c r="KOV47" s="39"/>
      <c r="KOW47" s="41"/>
      <c r="KOZ47" s="32"/>
      <c r="KPB47" s="12"/>
      <c r="KPD47" s="34"/>
      <c r="KPE47" s="39"/>
      <c r="KPF47" s="41"/>
      <c r="KPI47" s="32"/>
      <c r="KPK47" s="12"/>
      <c r="KPM47" s="34"/>
      <c r="KPN47" s="39"/>
      <c r="KPO47" s="41"/>
      <c r="KPR47" s="32"/>
      <c r="KPT47" s="12"/>
      <c r="KPV47" s="34"/>
      <c r="KPW47" s="39"/>
      <c r="KPX47" s="41"/>
      <c r="KQA47" s="32"/>
      <c r="KQC47" s="12"/>
      <c r="KQE47" s="34"/>
      <c r="KQF47" s="39"/>
      <c r="KQG47" s="41"/>
      <c r="KQJ47" s="32"/>
      <c r="KQL47" s="12"/>
      <c r="KQN47" s="34"/>
      <c r="KQO47" s="39"/>
      <c r="KQP47" s="41"/>
      <c r="KQS47" s="32"/>
      <c r="KQU47" s="12"/>
      <c r="KQW47" s="34"/>
      <c r="KQX47" s="39"/>
      <c r="KQY47" s="41"/>
      <c r="KRB47" s="32"/>
      <c r="KRD47" s="12"/>
      <c r="KRF47" s="34"/>
      <c r="KRG47" s="39"/>
      <c r="KRH47" s="41"/>
      <c r="KRK47" s="32"/>
      <c r="KRM47" s="12"/>
      <c r="KRO47" s="34"/>
      <c r="KRP47" s="39"/>
      <c r="KRQ47" s="41"/>
      <c r="KRT47" s="32"/>
      <c r="KRV47" s="12"/>
      <c r="KRX47" s="34"/>
      <c r="KRY47" s="39"/>
      <c r="KRZ47" s="41"/>
      <c r="KSC47" s="32"/>
      <c r="KSE47" s="12"/>
      <c r="KSG47" s="34"/>
      <c r="KSH47" s="39"/>
      <c r="KSI47" s="41"/>
      <c r="KSL47" s="32"/>
      <c r="KSN47" s="12"/>
      <c r="KSP47" s="34"/>
      <c r="KSQ47" s="39"/>
      <c r="KSR47" s="41"/>
      <c r="KSU47" s="32"/>
      <c r="KSW47" s="12"/>
      <c r="KSY47" s="34"/>
      <c r="KSZ47" s="39"/>
      <c r="KTA47" s="41"/>
      <c r="KTD47" s="32"/>
      <c r="KTF47" s="12"/>
      <c r="KTH47" s="34"/>
      <c r="KTI47" s="39"/>
      <c r="KTJ47" s="41"/>
      <c r="KTM47" s="32"/>
      <c r="KTO47" s="12"/>
      <c r="KTQ47" s="34"/>
      <c r="KTR47" s="39"/>
      <c r="KTS47" s="41"/>
      <c r="KTV47" s="32"/>
      <c r="KTX47" s="12"/>
      <c r="KTZ47" s="34"/>
      <c r="KUA47" s="39"/>
      <c r="KUB47" s="41"/>
      <c r="KUE47" s="32"/>
      <c r="KUG47" s="12"/>
      <c r="KUI47" s="34"/>
      <c r="KUJ47" s="39"/>
      <c r="KUK47" s="41"/>
      <c r="KUN47" s="32"/>
      <c r="KUP47" s="12"/>
      <c r="KUR47" s="34"/>
      <c r="KUS47" s="39"/>
      <c r="KUT47" s="41"/>
      <c r="KUW47" s="32"/>
      <c r="KUY47" s="12"/>
      <c r="KVA47" s="34"/>
      <c r="KVB47" s="39"/>
      <c r="KVC47" s="41"/>
      <c r="KVF47" s="32"/>
      <c r="KVH47" s="12"/>
      <c r="KVJ47" s="34"/>
      <c r="KVK47" s="39"/>
      <c r="KVL47" s="41"/>
      <c r="KVO47" s="32"/>
      <c r="KVQ47" s="12"/>
      <c r="KVS47" s="34"/>
      <c r="KVT47" s="39"/>
      <c r="KVU47" s="41"/>
      <c r="KVX47" s="32"/>
      <c r="KVZ47" s="12"/>
      <c r="KWB47" s="34"/>
      <c r="KWC47" s="39"/>
      <c r="KWD47" s="41"/>
      <c r="KWG47" s="32"/>
      <c r="KWI47" s="12"/>
      <c r="KWK47" s="34"/>
      <c r="KWL47" s="39"/>
      <c r="KWM47" s="41"/>
      <c r="KWP47" s="32"/>
      <c r="KWR47" s="12"/>
      <c r="KWT47" s="34"/>
      <c r="KWU47" s="39"/>
      <c r="KWV47" s="41"/>
      <c r="KWY47" s="32"/>
      <c r="KXA47" s="12"/>
      <c r="KXC47" s="34"/>
      <c r="KXD47" s="39"/>
      <c r="KXE47" s="41"/>
      <c r="KXH47" s="32"/>
      <c r="KXJ47" s="12"/>
      <c r="KXL47" s="34"/>
      <c r="KXM47" s="39"/>
      <c r="KXN47" s="41"/>
      <c r="KXQ47" s="32"/>
      <c r="KXS47" s="12"/>
      <c r="KXU47" s="34"/>
      <c r="KXV47" s="39"/>
      <c r="KXW47" s="41"/>
      <c r="KXZ47" s="32"/>
      <c r="KYB47" s="12"/>
      <c r="KYD47" s="34"/>
      <c r="KYE47" s="39"/>
      <c r="KYF47" s="41"/>
      <c r="KYI47" s="32"/>
      <c r="KYK47" s="12"/>
      <c r="KYM47" s="34"/>
      <c r="KYN47" s="39"/>
      <c r="KYO47" s="41"/>
      <c r="KYR47" s="32"/>
      <c r="KYT47" s="12"/>
      <c r="KYV47" s="34"/>
      <c r="KYW47" s="39"/>
      <c r="KYX47" s="41"/>
      <c r="KZA47" s="32"/>
      <c r="KZC47" s="12"/>
      <c r="KZE47" s="34"/>
      <c r="KZF47" s="39"/>
      <c r="KZG47" s="41"/>
      <c r="KZJ47" s="32"/>
      <c r="KZL47" s="12"/>
      <c r="KZN47" s="34"/>
      <c r="KZO47" s="39"/>
      <c r="KZP47" s="41"/>
      <c r="KZS47" s="32"/>
      <c r="KZU47" s="12"/>
      <c r="KZW47" s="34"/>
      <c r="KZX47" s="39"/>
      <c r="KZY47" s="41"/>
      <c r="LAB47" s="32"/>
      <c r="LAD47" s="12"/>
      <c r="LAF47" s="34"/>
      <c r="LAG47" s="39"/>
      <c r="LAH47" s="41"/>
      <c r="LAK47" s="32"/>
      <c r="LAM47" s="12"/>
      <c r="LAO47" s="34"/>
      <c r="LAP47" s="39"/>
      <c r="LAQ47" s="41"/>
      <c r="LAT47" s="32"/>
      <c r="LAV47" s="12"/>
      <c r="LAX47" s="34"/>
      <c r="LAY47" s="39"/>
      <c r="LAZ47" s="41"/>
      <c r="LBC47" s="32"/>
      <c r="LBE47" s="12"/>
      <c r="LBG47" s="34"/>
      <c r="LBH47" s="39"/>
      <c r="LBI47" s="41"/>
      <c r="LBL47" s="32"/>
      <c r="LBN47" s="12"/>
      <c r="LBP47" s="34"/>
      <c r="LBQ47" s="39"/>
      <c r="LBR47" s="41"/>
      <c r="LBU47" s="32"/>
      <c r="LBW47" s="12"/>
      <c r="LBY47" s="34"/>
      <c r="LBZ47" s="39"/>
      <c r="LCA47" s="41"/>
      <c r="LCD47" s="32"/>
      <c r="LCF47" s="12"/>
      <c r="LCH47" s="34"/>
      <c r="LCI47" s="39"/>
      <c r="LCJ47" s="41"/>
      <c r="LCM47" s="32"/>
      <c r="LCO47" s="12"/>
      <c r="LCQ47" s="34"/>
      <c r="LCR47" s="39"/>
      <c r="LCS47" s="41"/>
      <c r="LCV47" s="32"/>
      <c r="LCX47" s="12"/>
      <c r="LCZ47" s="34"/>
      <c r="LDA47" s="39"/>
      <c r="LDB47" s="41"/>
      <c r="LDE47" s="32"/>
      <c r="LDG47" s="12"/>
      <c r="LDI47" s="34"/>
      <c r="LDJ47" s="39"/>
      <c r="LDK47" s="41"/>
      <c r="LDN47" s="32"/>
      <c r="LDP47" s="12"/>
      <c r="LDR47" s="34"/>
      <c r="LDS47" s="39"/>
      <c r="LDT47" s="41"/>
      <c r="LDW47" s="32"/>
      <c r="LDY47" s="12"/>
      <c r="LEA47" s="34"/>
      <c r="LEB47" s="39"/>
      <c r="LEC47" s="41"/>
      <c r="LEF47" s="32"/>
      <c r="LEH47" s="12"/>
      <c r="LEJ47" s="34"/>
      <c r="LEK47" s="39"/>
      <c r="LEL47" s="41"/>
      <c r="LEO47" s="32"/>
      <c r="LEQ47" s="12"/>
      <c r="LES47" s="34"/>
      <c r="LET47" s="39"/>
      <c r="LEU47" s="41"/>
      <c r="LEX47" s="32"/>
      <c r="LEZ47" s="12"/>
      <c r="LFB47" s="34"/>
      <c r="LFC47" s="39"/>
      <c r="LFD47" s="41"/>
      <c r="LFG47" s="32"/>
      <c r="LFI47" s="12"/>
      <c r="LFK47" s="34"/>
      <c r="LFL47" s="39"/>
      <c r="LFM47" s="41"/>
      <c r="LFP47" s="32"/>
      <c r="LFR47" s="12"/>
      <c r="LFT47" s="34"/>
      <c r="LFU47" s="39"/>
      <c r="LFV47" s="41"/>
      <c r="LFY47" s="32"/>
      <c r="LGA47" s="12"/>
      <c r="LGC47" s="34"/>
      <c r="LGD47" s="39"/>
      <c r="LGE47" s="41"/>
      <c r="LGH47" s="32"/>
      <c r="LGJ47" s="12"/>
      <c r="LGL47" s="34"/>
      <c r="LGM47" s="39"/>
      <c r="LGN47" s="41"/>
      <c r="LGQ47" s="32"/>
      <c r="LGS47" s="12"/>
      <c r="LGU47" s="34"/>
      <c r="LGV47" s="39"/>
      <c r="LGW47" s="41"/>
      <c r="LGZ47" s="32"/>
      <c r="LHB47" s="12"/>
      <c r="LHD47" s="34"/>
      <c r="LHE47" s="39"/>
      <c r="LHF47" s="41"/>
      <c r="LHI47" s="32"/>
      <c r="LHK47" s="12"/>
      <c r="LHM47" s="34"/>
      <c r="LHN47" s="39"/>
      <c r="LHO47" s="41"/>
      <c r="LHR47" s="32"/>
      <c r="LHT47" s="12"/>
      <c r="LHV47" s="34"/>
      <c r="LHW47" s="39"/>
      <c r="LHX47" s="41"/>
      <c r="LIA47" s="32"/>
      <c r="LIC47" s="12"/>
      <c r="LIE47" s="34"/>
      <c r="LIF47" s="39"/>
      <c r="LIG47" s="41"/>
      <c r="LIJ47" s="32"/>
      <c r="LIL47" s="12"/>
      <c r="LIN47" s="34"/>
      <c r="LIO47" s="39"/>
      <c r="LIP47" s="41"/>
      <c r="LIS47" s="32"/>
      <c r="LIU47" s="12"/>
      <c r="LIW47" s="34"/>
      <c r="LIX47" s="39"/>
      <c r="LIY47" s="41"/>
      <c r="LJB47" s="32"/>
      <c r="LJD47" s="12"/>
      <c r="LJF47" s="34"/>
      <c r="LJG47" s="39"/>
      <c r="LJH47" s="41"/>
      <c r="LJK47" s="32"/>
      <c r="LJM47" s="12"/>
      <c r="LJO47" s="34"/>
      <c r="LJP47" s="39"/>
      <c r="LJQ47" s="41"/>
      <c r="LJT47" s="32"/>
      <c r="LJV47" s="12"/>
      <c r="LJX47" s="34"/>
      <c r="LJY47" s="39"/>
      <c r="LJZ47" s="41"/>
      <c r="LKC47" s="32"/>
      <c r="LKE47" s="12"/>
      <c r="LKG47" s="34"/>
      <c r="LKH47" s="39"/>
      <c r="LKI47" s="41"/>
      <c r="LKL47" s="32"/>
      <c r="LKN47" s="12"/>
      <c r="LKP47" s="34"/>
      <c r="LKQ47" s="39"/>
      <c r="LKR47" s="41"/>
      <c r="LKU47" s="32"/>
      <c r="LKW47" s="12"/>
      <c r="LKY47" s="34"/>
      <c r="LKZ47" s="39"/>
      <c r="LLA47" s="41"/>
      <c r="LLD47" s="32"/>
      <c r="LLF47" s="12"/>
      <c r="LLH47" s="34"/>
      <c r="LLI47" s="39"/>
      <c r="LLJ47" s="41"/>
      <c r="LLM47" s="32"/>
      <c r="LLO47" s="12"/>
      <c r="LLQ47" s="34"/>
      <c r="LLR47" s="39"/>
      <c r="LLS47" s="41"/>
      <c r="LLV47" s="32"/>
      <c r="LLX47" s="12"/>
      <c r="LLZ47" s="34"/>
      <c r="LMA47" s="39"/>
      <c r="LMB47" s="41"/>
      <c r="LME47" s="32"/>
      <c r="LMG47" s="12"/>
      <c r="LMI47" s="34"/>
      <c r="LMJ47" s="39"/>
      <c r="LMK47" s="41"/>
      <c r="LMN47" s="32"/>
      <c r="LMP47" s="12"/>
      <c r="LMR47" s="34"/>
      <c r="LMS47" s="39"/>
      <c r="LMT47" s="41"/>
      <c r="LMW47" s="32"/>
      <c r="LMY47" s="12"/>
      <c r="LNA47" s="34"/>
      <c r="LNB47" s="39"/>
      <c r="LNC47" s="41"/>
      <c r="LNF47" s="32"/>
      <c r="LNH47" s="12"/>
      <c r="LNJ47" s="34"/>
      <c r="LNK47" s="39"/>
      <c r="LNL47" s="41"/>
      <c r="LNO47" s="32"/>
      <c r="LNQ47" s="12"/>
      <c r="LNS47" s="34"/>
      <c r="LNT47" s="39"/>
      <c r="LNU47" s="41"/>
      <c r="LNX47" s="32"/>
      <c r="LNZ47" s="12"/>
      <c r="LOB47" s="34"/>
      <c r="LOC47" s="39"/>
      <c r="LOD47" s="41"/>
      <c r="LOG47" s="32"/>
      <c r="LOI47" s="12"/>
      <c r="LOK47" s="34"/>
      <c r="LOL47" s="39"/>
      <c r="LOM47" s="41"/>
      <c r="LOP47" s="32"/>
      <c r="LOR47" s="12"/>
      <c r="LOT47" s="34"/>
      <c r="LOU47" s="39"/>
      <c r="LOV47" s="41"/>
      <c r="LOY47" s="32"/>
      <c r="LPA47" s="12"/>
      <c r="LPC47" s="34"/>
      <c r="LPD47" s="39"/>
      <c r="LPE47" s="41"/>
      <c r="LPH47" s="32"/>
      <c r="LPJ47" s="12"/>
      <c r="LPL47" s="34"/>
      <c r="LPM47" s="39"/>
      <c r="LPN47" s="41"/>
      <c r="LPQ47" s="32"/>
      <c r="LPS47" s="12"/>
      <c r="LPU47" s="34"/>
      <c r="LPV47" s="39"/>
      <c r="LPW47" s="41"/>
      <c r="LPZ47" s="32"/>
      <c r="LQB47" s="12"/>
      <c r="LQD47" s="34"/>
      <c r="LQE47" s="39"/>
      <c r="LQF47" s="41"/>
      <c r="LQI47" s="32"/>
      <c r="LQK47" s="12"/>
      <c r="LQM47" s="34"/>
      <c r="LQN47" s="39"/>
      <c r="LQO47" s="41"/>
      <c r="LQR47" s="32"/>
      <c r="LQT47" s="12"/>
      <c r="LQV47" s="34"/>
      <c r="LQW47" s="39"/>
      <c r="LQX47" s="41"/>
      <c r="LRA47" s="32"/>
      <c r="LRC47" s="12"/>
      <c r="LRE47" s="34"/>
      <c r="LRF47" s="39"/>
      <c r="LRG47" s="41"/>
      <c r="LRJ47" s="32"/>
      <c r="LRL47" s="12"/>
      <c r="LRN47" s="34"/>
      <c r="LRO47" s="39"/>
      <c r="LRP47" s="41"/>
      <c r="LRS47" s="32"/>
      <c r="LRU47" s="12"/>
      <c r="LRW47" s="34"/>
      <c r="LRX47" s="39"/>
      <c r="LRY47" s="41"/>
      <c r="LSB47" s="32"/>
      <c r="LSD47" s="12"/>
      <c r="LSF47" s="34"/>
      <c r="LSG47" s="39"/>
      <c r="LSH47" s="41"/>
      <c r="LSK47" s="32"/>
      <c r="LSM47" s="12"/>
      <c r="LSO47" s="34"/>
      <c r="LSP47" s="39"/>
      <c r="LSQ47" s="41"/>
      <c r="LST47" s="32"/>
      <c r="LSV47" s="12"/>
      <c r="LSX47" s="34"/>
      <c r="LSY47" s="39"/>
      <c r="LSZ47" s="41"/>
      <c r="LTC47" s="32"/>
      <c r="LTE47" s="12"/>
      <c r="LTG47" s="34"/>
      <c r="LTH47" s="39"/>
      <c r="LTI47" s="41"/>
      <c r="LTL47" s="32"/>
      <c r="LTN47" s="12"/>
      <c r="LTP47" s="34"/>
      <c r="LTQ47" s="39"/>
      <c r="LTR47" s="41"/>
      <c r="LTU47" s="32"/>
      <c r="LTW47" s="12"/>
      <c r="LTY47" s="34"/>
      <c r="LTZ47" s="39"/>
      <c r="LUA47" s="41"/>
      <c r="LUD47" s="32"/>
      <c r="LUF47" s="12"/>
      <c r="LUH47" s="34"/>
      <c r="LUI47" s="39"/>
      <c r="LUJ47" s="41"/>
      <c r="LUM47" s="32"/>
      <c r="LUO47" s="12"/>
      <c r="LUQ47" s="34"/>
      <c r="LUR47" s="39"/>
      <c r="LUS47" s="41"/>
      <c r="LUV47" s="32"/>
      <c r="LUX47" s="12"/>
      <c r="LUZ47" s="34"/>
      <c r="LVA47" s="39"/>
      <c r="LVB47" s="41"/>
      <c r="LVE47" s="32"/>
      <c r="LVG47" s="12"/>
      <c r="LVI47" s="34"/>
      <c r="LVJ47" s="39"/>
      <c r="LVK47" s="41"/>
      <c r="LVN47" s="32"/>
      <c r="LVP47" s="12"/>
      <c r="LVR47" s="34"/>
      <c r="LVS47" s="39"/>
      <c r="LVT47" s="41"/>
      <c r="LVW47" s="32"/>
      <c r="LVY47" s="12"/>
      <c r="LWA47" s="34"/>
      <c r="LWB47" s="39"/>
      <c r="LWC47" s="41"/>
      <c r="LWF47" s="32"/>
      <c r="LWH47" s="12"/>
      <c r="LWJ47" s="34"/>
      <c r="LWK47" s="39"/>
      <c r="LWL47" s="41"/>
      <c r="LWO47" s="32"/>
      <c r="LWQ47" s="12"/>
      <c r="LWS47" s="34"/>
      <c r="LWT47" s="39"/>
      <c r="LWU47" s="41"/>
      <c r="LWX47" s="32"/>
      <c r="LWZ47" s="12"/>
      <c r="LXB47" s="34"/>
      <c r="LXC47" s="39"/>
      <c r="LXD47" s="41"/>
      <c r="LXG47" s="32"/>
      <c r="LXI47" s="12"/>
      <c r="LXK47" s="34"/>
      <c r="LXL47" s="39"/>
      <c r="LXM47" s="41"/>
      <c r="LXP47" s="32"/>
      <c r="LXR47" s="12"/>
      <c r="LXT47" s="34"/>
      <c r="LXU47" s="39"/>
      <c r="LXV47" s="41"/>
      <c r="LXY47" s="32"/>
      <c r="LYA47" s="12"/>
      <c r="LYC47" s="34"/>
      <c r="LYD47" s="39"/>
      <c r="LYE47" s="41"/>
      <c r="LYH47" s="32"/>
      <c r="LYJ47" s="12"/>
      <c r="LYL47" s="34"/>
      <c r="LYM47" s="39"/>
      <c r="LYN47" s="41"/>
      <c r="LYQ47" s="32"/>
      <c r="LYS47" s="12"/>
      <c r="LYU47" s="34"/>
      <c r="LYV47" s="39"/>
      <c r="LYW47" s="41"/>
      <c r="LYZ47" s="32"/>
      <c r="LZB47" s="12"/>
      <c r="LZD47" s="34"/>
      <c r="LZE47" s="39"/>
      <c r="LZF47" s="41"/>
      <c r="LZI47" s="32"/>
      <c r="LZK47" s="12"/>
      <c r="LZM47" s="34"/>
      <c r="LZN47" s="39"/>
      <c r="LZO47" s="41"/>
      <c r="LZR47" s="32"/>
      <c r="LZT47" s="12"/>
      <c r="LZV47" s="34"/>
      <c r="LZW47" s="39"/>
      <c r="LZX47" s="41"/>
      <c r="MAA47" s="32"/>
      <c r="MAC47" s="12"/>
      <c r="MAE47" s="34"/>
      <c r="MAF47" s="39"/>
      <c r="MAG47" s="41"/>
      <c r="MAJ47" s="32"/>
      <c r="MAL47" s="12"/>
      <c r="MAN47" s="34"/>
      <c r="MAO47" s="39"/>
      <c r="MAP47" s="41"/>
      <c r="MAS47" s="32"/>
      <c r="MAU47" s="12"/>
      <c r="MAW47" s="34"/>
      <c r="MAX47" s="39"/>
      <c r="MAY47" s="41"/>
      <c r="MBB47" s="32"/>
      <c r="MBD47" s="12"/>
      <c r="MBF47" s="34"/>
      <c r="MBG47" s="39"/>
      <c r="MBH47" s="41"/>
      <c r="MBK47" s="32"/>
      <c r="MBM47" s="12"/>
      <c r="MBO47" s="34"/>
      <c r="MBP47" s="39"/>
      <c r="MBQ47" s="41"/>
      <c r="MBT47" s="32"/>
      <c r="MBV47" s="12"/>
      <c r="MBX47" s="34"/>
      <c r="MBY47" s="39"/>
      <c r="MBZ47" s="41"/>
      <c r="MCC47" s="32"/>
      <c r="MCE47" s="12"/>
      <c r="MCG47" s="34"/>
      <c r="MCH47" s="39"/>
      <c r="MCI47" s="41"/>
      <c r="MCL47" s="32"/>
      <c r="MCN47" s="12"/>
      <c r="MCP47" s="34"/>
      <c r="MCQ47" s="39"/>
      <c r="MCR47" s="41"/>
      <c r="MCU47" s="32"/>
      <c r="MCW47" s="12"/>
      <c r="MCY47" s="34"/>
      <c r="MCZ47" s="39"/>
      <c r="MDA47" s="41"/>
      <c r="MDD47" s="32"/>
      <c r="MDF47" s="12"/>
      <c r="MDH47" s="34"/>
      <c r="MDI47" s="39"/>
      <c r="MDJ47" s="41"/>
      <c r="MDM47" s="32"/>
      <c r="MDO47" s="12"/>
      <c r="MDQ47" s="34"/>
      <c r="MDR47" s="39"/>
      <c r="MDS47" s="41"/>
      <c r="MDV47" s="32"/>
      <c r="MDX47" s="12"/>
      <c r="MDZ47" s="34"/>
      <c r="MEA47" s="39"/>
      <c r="MEB47" s="41"/>
      <c r="MEE47" s="32"/>
      <c r="MEG47" s="12"/>
      <c r="MEI47" s="34"/>
      <c r="MEJ47" s="39"/>
      <c r="MEK47" s="41"/>
      <c r="MEN47" s="32"/>
      <c r="MEP47" s="12"/>
      <c r="MER47" s="34"/>
      <c r="MES47" s="39"/>
      <c r="MET47" s="41"/>
      <c r="MEW47" s="32"/>
      <c r="MEY47" s="12"/>
      <c r="MFA47" s="34"/>
      <c r="MFB47" s="39"/>
      <c r="MFC47" s="41"/>
      <c r="MFF47" s="32"/>
      <c r="MFH47" s="12"/>
      <c r="MFJ47" s="34"/>
      <c r="MFK47" s="39"/>
      <c r="MFL47" s="41"/>
      <c r="MFO47" s="32"/>
      <c r="MFQ47" s="12"/>
      <c r="MFS47" s="34"/>
      <c r="MFT47" s="39"/>
      <c r="MFU47" s="41"/>
      <c r="MFX47" s="32"/>
      <c r="MFZ47" s="12"/>
      <c r="MGB47" s="34"/>
      <c r="MGC47" s="39"/>
      <c r="MGD47" s="41"/>
      <c r="MGG47" s="32"/>
      <c r="MGI47" s="12"/>
      <c r="MGK47" s="34"/>
      <c r="MGL47" s="39"/>
      <c r="MGM47" s="41"/>
      <c r="MGP47" s="32"/>
      <c r="MGR47" s="12"/>
      <c r="MGT47" s="34"/>
      <c r="MGU47" s="39"/>
      <c r="MGV47" s="41"/>
      <c r="MGY47" s="32"/>
      <c r="MHA47" s="12"/>
      <c r="MHC47" s="34"/>
      <c r="MHD47" s="39"/>
      <c r="MHE47" s="41"/>
      <c r="MHH47" s="32"/>
      <c r="MHJ47" s="12"/>
      <c r="MHL47" s="34"/>
      <c r="MHM47" s="39"/>
      <c r="MHN47" s="41"/>
      <c r="MHQ47" s="32"/>
      <c r="MHS47" s="12"/>
      <c r="MHU47" s="34"/>
      <c r="MHV47" s="39"/>
      <c r="MHW47" s="41"/>
      <c r="MHZ47" s="32"/>
      <c r="MIB47" s="12"/>
      <c r="MID47" s="34"/>
      <c r="MIE47" s="39"/>
      <c r="MIF47" s="41"/>
      <c r="MII47" s="32"/>
      <c r="MIK47" s="12"/>
      <c r="MIM47" s="34"/>
      <c r="MIN47" s="39"/>
      <c r="MIO47" s="41"/>
      <c r="MIR47" s="32"/>
      <c r="MIT47" s="12"/>
      <c r="MIV47" s="34"/>
      <c r="MIW47" s="39"/>
      <c r="MIX47" s="41"/>
      <c r="MJA47" s="32"/>
      <c r="MJC47" s="12"/>
      <c r="MJE47" s="34"/>
      <c r="MJF47" s="39"/>
      <c r="MJG47" s="41"/>
      <c r="MJJ47" s="32"/>
      <c r="MJL47" s="12"/>
      <c r="MJN47" s="34"/>
      <c r="MJO47" s="39"/>
      <c r="MJP47" s="41"/>
      <c r="MJS47" s="32"/>
      <c r="MJU47" s="12"/>
      <c r="MJW47" s="34"/>
      <c r="MJX47" s="39"/>
      <c r="MJY47" s="41"/>
      <c r="MKB47" s="32"/>
      <c r="MKD47" s="12"/>
      <c r="MKF47" s="34"/>
      <c r="MKG47" s="39"/>
      <c r="MKH47" s="41"/>
      <c r="MKK47" s="32"/>
      <c r="MKM47" s="12"/>
      <c r="MKO47" s="34"/>
      <c r="MKP47" s="39"/>
      <c r="MKQ47" s="41"/>
      <c r="MKT47" s="32"/>
      <c r="MKV47" s="12"/>
      <c r="MKX47" s="34"/>
      <c r="MKY47" s="39"/>
      <c r="MKZ47" s="41"/>
      <c r="MLC47" s="32"/>
      <c r="MLE47" s="12"/>
      <c r="MLG47" s="34"/>
      <c r="MLH47" s="39"/>
      <c r="MLI47" s="41"/>
      <c r="MLL47" s="32"/>
      <c r="MLN47" s="12"/>
      <c r="MLP47" s="34"/>
      <c r="MLQ47" s="39"/>
      <c r="MLR47" s="41"/>
      <c r="MLU47" s="32"/>
      <c r="MLW47" s="12"/>
      <c r="MLY47" s="34"/>
      <c r="MLZ47" s="39"/>
      <c r="MMA47" s="41"/>
      <c r="MMD47" s="32"/>
      <c r="MMF47" s="12"/>
      <c r="MMH47" s="34"/>
      <c r="MMI47" s="39"/>
      <c r="MMJ47" s="41"/>
      <c r="MMM47" s="32"/>
      <c r="MMO47" s="12"/>
      <c r="MMQ47" s="34"/>
      <c r="MMR47" s="39"/>
      <c r="MMS47" s="41"/>
      <c r="MMV47" s="32"/>
      <c r="MMX47" s="12"/>
      <c r="MMZ47" s="34"/>
      <c r="MNA47" s="39"/>
      <c r="MNB47" s="41"/>
      <c r="MNE47" s="32"/>
      <c r="MNG47" s="12"/>
      <c r="MNI47" s="34"/>
      <c r="MNJ47" s="39"/>
      <c r="MNK47" s="41"/>
      <c r="MNN47" s="32"/>
      <c r="MNP47" s="12"/>
      <c r="MNR47" s="34"/>
      <c r="MNS47" s="39"/>
      <c r="MNT47" s="41"/>
      <c r="MNW47" s="32"/>
      <c r="MNY47" s="12"/>
      <c r="MOA47" s="34"/>
      <c r="MOB47" s="39"/>
      <c r="MOC47" s="41"/>
      <c r="MOF47" s="32"/>
      <c r="MOH47" s="12"/>
      <c r="MOJ47" s="34"/>
      <c r="MOK47" s="39"/>
      <c r="MOL47" s="41"/>
      <c r="MOO47" s="32"/>
      <c r="MOQ47" s="12"/>
      <c r="MOS47" s="34"/>
      <c r="MOT47" s="39"/>
      <c r="MOU47" s="41"/>
      <c r="MOX47" s="32"/>
      <c r="MOZ47" s="12"/>
      <c r="MPB47" s="34"/>
      <c r="MPC47" s="39"/>
      <c r="MPD47" s="41"/>
      <c r="MPG47" s="32"/>
      <c r="MPI47" s="12"/>
      <c r="MPK47" s="34"/>
      <c r="MPL47" s="39"/>
      <c r="MPM47" s="41"/>
      <c r="MPP47" s="32"/>
      <c r="MPR47" s="12"/>
      <c r="MPT47" s="34"/>
      <c r="MPU47" s="39"/>
      <c r="MPV47" s="41"/>
      <c r="MPY47" s="32"/>
      <c r="MQA47" s="12"/>
      <c r="MQC47" s="34"/>
      <c r="MQD47" s="39"/>
      <c r="MQE47" s="41"/>
      <c r="MQH47" s="32"/>
      <c r="MQJ47" s="12"/>
      <c r="MQL47" s="34"/>
      <c r="MQM47" s="39"/>
      <c r="MQN47" s="41"/>
      <c r="MQQ47" s="32"/>
      <c r="MQS47" s="12"/>
      <c r="MQU47" s="34"/>
      <c r="MQV47" s="39"/>
      <c r="MQW47" s="41"/>
      <c r="MQZ47" s="32"/>
      <c r="MRB47" s="12"/>
      <c r="MRD47" s="34"/>
      <c r="MRE47" s="39"/>
      <c r="MRF47" s="41"/>
      <c r="MRI47" s="32"/>
      <c r="MRK47" s="12"/>
      <c r="MRM47" s="34"/>
      <c r="MRN47" s="39"/>
      <c r="MRO47" s="41"/>
      <c r="MRR47" s="32"/>
      <c r="MRT47" s="12"/>
      <c r="MRV47" s="34"/>
      <c r="MRW47" s="39"/>
      <c r="MRX47" s="41"/>
      <c r="MSA47" s="32"/>
      <c r="MSC47" s="12"/>
      <c r="MSE47" s="34"/>
      <c r="MSF47" s="39"/>
      <c r="MSG47" s="41"/>
      <c r="MSJ47" s="32"/>
      <c r="MSL47" s="12"/>
      <c r="MSN47" s="34"/>
      <c r="MSO47" s="39"/>
      <c r="MSP47" s="41"/>
      <c r="MSS47" s="32"/>
      <c r="MSU47" s="12"/>
      <c r="MSW47" s="34"/>
      <c r="MSX47" s="39"/>
      <c r="MSY47" s="41"/>
      <c r="MTB47" s="32"/>
      <c r="MTD47" s="12"/>
      <c r="MTF47" s="34"/>
      <c r="MTG47" s="39"/>
      <c r="MTH47" s="41"/>
      <c r="MTK47" s="32"/>
      <c r="MTM47" s="12"/>
      <c r="MTO47" s="34"/>
      <c r="MTP47" s="39"/>
      <c r="MTQ47" s="41"/>
      <c r="MTT47" s="32"/>
      <c r="MTV47" s="12"/>
      <c r="MTX47" s="34"/>
      <c r="MTY47" s="39"/>
      <c r="MTZ47" s="41"/>
      <c r="MUC47" s="32"/>
      <c r="MUE47" s="12"/>
      <c r="MUG47" s="34"/>
      <c r="MUH47" s="39"/>
      <c r="MUI47" s="41"/>
      <c r="MUL47" s="32"/>
      <c r="MUN47" s="12"/>
      <c r="MUP47" s="34"/>
      <c r="MUQ47" s="39"/>
      <c r="MUR47" s="41"/>
      <c r="MUU47" s="32"/>
      <c r="MUW47" s="12"/>
      <c r="MUY47" s="34"/>
      <c r="MUZ47" s="39"/>
      <c r="MVA47" s="41"/>
      <c r="MVD47" s="32"/>
      <c r="MVF47" s="12"/>
      <c r="MVH47" s="34"/>
      <c r="MVI47" s="39"/>
      <c r="MVJ47" s="41"/>
      <c r="MVM47" s="32"/>
      <c r="MVO47" s="12"/>
      <c r="MVQ47" s="34"/>
      <c r="MVR47" s="39"/>
      <c r="MVS47" s="41"/>
      <c r="MVV47" s="32"/>
      <c r="MVX47" s="12"/>
      <c r="MVZ47" s="34"/>
      <c r="MWA47" s="39"/>
      <c r="MWB47" s="41"/>
      <c r="MWE47" s="32"/>
      <c r="MWG47" s="12"/>
      <c r="MWI47" s="34"/>
      <c r="MWJ47" s="39"/>
      <c r="MWK47" s="41"/>
      <c r="MWN47" s="32"/>
      <c r="MWP47" s="12"/>
      <c r="MWR47" s="34"/>
      <c r="MWS47" s="39"/>
      <c r="MWT47" s="41"/>
      <c r="MWW47" s="32"/>
      <c r="MWY47" s="12"/>
      <c r="MXA47" s="34"/>
      <c r="MXB47" s="39"/>
      <c r="MXC47" s="41"/>
      <c r="MXF47" s="32"/>
      <c r="MXH47" s="12"/>
      <c r="MXJ47" s="34"/>
      <c r="MXK47" s="39"/>
      <c r="MXL47" s="41"/>
      <c r="MXO47" s="32"/>
      <c r="MXQ47" s="12"/>
      <c r="MXS47" s="34"/>
      <c r="MXT47" s="39"/>
      <c r="MXU47" s="41"/>
      <c r="MXX47" s="32"/>
      <c r="MXZ47" s="12"/>
      <c r="MYB47" s="34"/>
      <c r="MYC47" s="39"/>
      <c r="MYD47" s="41"/>
      <c r="MYG47" s="32"/>
      <c r="MYI47" s="12"/>
      <c r="MYK47" s="34"/>
      <c r="MYL47" s="39"/>
      <c r="MYM47" s="41"/>
      <c r="MYP47" s="32"/>
      <c r="MYR47" s="12"/>
      <c r="MYT47" s="34"/>
      <c r="MYU47" s="39"/>
      <c r="MYV47" s="41"/>
      <c r="MYY47" s="32"/>
      <c r="MZA47" s="12"/>
      <c r="MZC47" s="34"/>
      <c r="MZD47" s="39"/>
      <c r="MZE47" s="41"/>
      <c r="MZH47" s="32"/>
      <c r="MZJ47" s="12"/>
      <c r="MZL47" s="34"/>
      <c r="MZM47" s="39"/>
      <c r="MZN47" s="41"/>
      <c r="MZQ47" s="32"/>
      <c r="MZS47" s="12"/>
      <c r="MZU47" s="34"/>
      <c r="MZV47" s="39"/>
      <c r="MZW47" s="41"/>
      <c r="MZZ47" s="32"/>
      <c r="NAB47" s="12"/>
      <c r="NAD47" s="34"/>
      <c r="NAE47" s="39"/>
      <c r="NAF47" s="41"/>
      <c r="NAI47" s="32"/>
      <c r="NAK47" s="12"/>
      <c r="NAM47" s="34"/>
      <c r="NAN47" s="39"/>
      <c r="NAO47" s="41"/>
      <c r="NAR47" s="32"/>
      <c r="NAT47" s="12"/>
      <c r="NAV47" s="34"/>
      <c r="NAW47" s="39"/>
      <c r="NAX47" s="41"/>
      <c r="NBA47" s="32"/>
      <c r="NBC47" s="12"/>
      <c r="NBE47" s="34"/>
      <c r="NBF47" s="39"/>
      <c r="NBG47" s="41"/>
      <c r="NBJ47" s="32"/>
      <c r="NBL47" s="12"/>
      <c r="NBN47" s="34"/>
      <c r="NBO47" s="39"/>
      <c r="NBP47" s="41"/>
      <c r="NBS47" s="32"/>
      <c r="NBU47" s="12"/>
      <c r="NBW47" s="34"/>
      <c r="NBX47" s="39"/>
      <c r="NBY47" s="41"/>
      <c r="NCB47" s="32"/>
      <c r="NCD47" s="12"/>
      <c r="NCF47" s="34"/>
      <c r="NCG47" s="39"/>
      <c r="NCH47" s="41"/>
      <c r="NCK47" s="32"/>
      <c r="NCM47" s="12"/>
      <c r="NCO47" s="34"/>
      <c r="NCP47" s="39"/>
      <c r="NCQ47" s="41"/>
      <c r="NCT47" s="32"/>
      <c r="NCV47" s="12"/>
      <c r="NCX47" s="34"/>
      <c r="NCY47" s="39"/>
      <c r="NCZ47" s="41"/>
      <c r="NDC47" s="32"/>
      <c r="NDE47" s="12"/>
      <c r="NDG47" s="34"/>
      <c r="NDH47" s="39"/>
      <c r="NDI47" s="41"/>
      <c r="NDL47" s="32"/>
      <c r="NDN47" s="12"/>
      <c r="NDP47" s="34"/>
      <c r="NDQ47" s="39"/>
      <c r="NDR47" s="41"/>
      <c r="NDU47" s="32"/>
      <c r="NDW47" s="12"/>
      <c r="NDY47" s="34"/>
      <c r="NDZ47" s="39"/>
      <c r="NEA47" s="41"/>
      <c r="NED47" s="32"/>
      <c r="NEF47" s="12"/>
      <c r="NEH47" s="34"/>
      <c r="NEI47" s="39"/>
      <c r="NEJ47" s="41"/>
      <c r="NEM47" s="32"/>
      <c r="NEO47" s="12"/>
      <c r="NEQ47" s="34"/>
      <c r="NER47" s="39"/>
      <c r="NES47" s="41"/>
      <c r="NEV47" s="32"/>
      <c r="NEX47" s="12"/>
      <c r="NEZ47" s="34"/>
      <c r="NFA47" s="39"/>
      <c r="NFB47" s="41"/>
      <c r="NFE47" s="32"/>
      <c r="NFG47" s="12"/>
      <c r="NFI47" s="34"/>
      <c r="NFJ47" s="39"/>
      <c r="NFK47" s="41"/>
      <c r="NFN47" s="32"/>
      <c r="NFP47" s="12"/>
      <c r="NFR47" s="34"/>
      <c r="NFS47" s="39"/>
      <c r="NFT47" s="41"/>
      <c r="NFW47" s="32"/>
      <c r="NFY47" s="12"/>
      <c r="NGA47" s="34"/>
      <c r="NGB47" s="39"/>
      <c r="NGC47" s="41"/>
      <c r="NGF47" s="32"/>
      <c r="NGH47" s="12"/>
      <c r="NGJ47" s="34"/>
      <c r="NGK47" s="39"/>
      <c r="NGL47" s="41"/>
      <c r="NGO47" s="32"/>
      <c r="NGQ47" s="12"/>
      <c r="NGS47" s="34"/>
      <c r="NGT47" s="39"/>
      <c r="NGU47" s="41"/>
      <c r="NGX47" s="32"/>
      <c r="NGZ47" s="12"/>
      <c r="NHB47" s="34"/>
      <c r="NHC47" s="39"/>
      <c r="NHD47" s="41"/>
      <c r="NHG47" s="32"/>
      <c r="NHI47" s="12"/>
      <c r="NHK47" s="34"/>
      <c r="NHL47" s="39"/>
      <c r="NHM47" s="41"/>
      <c r="NHP47" s="32"/>
      <c r="NHR47" s="12"/>
      <c r="NHT47" s="34"/>
      <c r="NHU47" s="39"/>
      <c r="NHV47" s="41"/>
      <c r="NHY47" s="32"/>
      <c r="NIA47" s="12"/>
      <c r="NIC47" s="34"/>
      <c r="NID47" s="39"/>
      <c r="NIE47" s="41"/>
      <c r="NIH47" s="32"/>
      <c r="NIJ47" s="12"/>
      <c r="NIL47" s="34"/>
      <c r="NIM47" s="39"/>
      <c r="NIN47" s="41"/>
      <c r="NIQ47" s="32"/>
      <c r="NIS47" s="12"/>
      <c r="NIU47" s="34"/>
      <c r="NIV47" s="39"/>
      <c r="NIW47" s="41"/>
      <c r="NIZ47" s="32"/>
      <c r="NJB47" s="12"/>
      <c r="NJD47" s="34"/>
      <c r="NJE47" s="39"/>
      <c r="NJF47" s="41"/>
      <c r="NJI47" s="32"/>
      <c r="NJK47" s="12"/>
      <c r="NJM47" s="34"/>
      <c r="NJN47" s="39"/>
      <c r="NJO47" s="41"/>
      <c r="NJR47" s="32"/>
      <c r="NJT47" s="12"/>
      <c r="NJV47" s="34"/>
      <c r="NJW47" s="39"/>
      <c r="NJX47" s="41"/>
      <c r="NKA47" s="32"/>
      <c r="NKC47" s="12"/>
      <c r="NKE47" s="34"/>
      <c r="NKF47" s="39"/>
      <c r="NKG47" s="41"/>
      <c r="NKJ47" s="32"/>
      <c r="NKL47" s="12"/>
      <c r="NKN47" s="34"/>
      <c r="NKO47" s="39"/>
      <c r="NKP47" s="41"/>
      <c r="NKS47" s="32"/>
      <c r="NKU47" s="12"/>
      <c r="NKW47" s="34"/>
      <c r="NKX47" s="39"/>
      <c r="NKY47" s="41"/>
      <c r="NLB47" s="32"/>
      <c r="NLD47" s="12"/>
      <c r="NLF47" s="34"/>
      <c r="NLG47" s="39"/>
      <c r="NLH47" s="41"/>
      <c r="NLK47" s="32"/>
      <c r="NLM47" s="12"/>
      <c r="NLO47" s="34"/>
      <c r="NLP47" s="39"/>
      <c r="NLQ47" s="41"/>
      <c r="NLT47" s="32"/>
      <c r="NLV47" s="12"/>
      <c r="NLX47" s="34"/>
      <c r="NLY47" s="39"/>
      <c r="NLZ47" s="41"/>
      <c r="NMC47" s="32"/>
      <c r="NME47" s="12"/>
      <c r="NMG47" s="34"/>
      <c r="NMH47" s="39"/>
      <c r="NMI47" s="41"/>
      <c r="NML47" s="32"/>
      <c r="NMN47" s="12"/>
      <c r="NMP47" s="34"/>
      <c r="NMQ47" s="39"/>
      <c r="NMR47" s="41"/>
      <c r="NMU47" s="32"/>
      <c r="NMW47" s="12"/>
      <c r="NMY47" s="34"/>
      <c r="NMZ47" s="39"/>
      <c r="NNA47" s="41"/>
      <c r="NND47" s="32"/>
      <c r="NNF47" s="12"/>
      <c r="NNH47" s="34"/>
      <c r="NNI47" s="39"/>
      <c r="NNJ47" s="41"/>
      <c r="NNM47" s="32"/>
      <c r="NNO47" s="12"/>
      <c r="NNQ47" s="34"/>
      <c r="NNR47" s="39"/>
      <c r="NNS47" s="41"/>
      <c r="NNV47" s="32"/>
      <c r="NNX47" s="12"/>
      <c r="NNZ47" s="34"/>
      <c r="NOA47" s="39"/>
      <c r="NOB47" s="41"/>
      <c r="NOE47" s="32"/>
      <c r="NOG47" s="12"/>
      <c r="NOI47" s="34"/>
      <c r="NOJ47" s="39"/>
      <c r="NOK47" s="41"/>
      <c r="NON47" s="32"/>
      <c r="NOP47" s="12"/>
      <c r="NOR47" s="34"/>
      <c r="NOS47" s="39"/>
      <c r="NOT47" s="41"/>
      <c r="NOW47" s="32"/>
      <c r="NOY47" s="12"/>
      <c r="NPA47" s="34"/>
      <c r="NPB47" s="39"/>
      <c r="NPC47" s="41"/>
      <c r="NPF47" s="32"/>
      <c r="NPH47" s="12"/>
      <c r="NPJ47" s="34"/>
      <c r="NPK47" s="39"/>
      <c r="NPL47" s="41"/>
      <c r="NPO47" s="32"/>
      <c r="NPQ47" s="12"/>
      <c r="NPS47" s="34"/>
      <c r="NPT47" s="39"/>
      <c r="NPU47" s="41"/>
      <c r="NPX47" s="32"/>
      <c r="NPZ47" s="12"/>
      <c r="NQB47" s="34"/>
      <c r="NQC47" s="39"/>
      <c r="NQD47" s="41"/>
      <c r="NQG47" s="32"/>
      <c r="NQI47" s="12"/>
      <c r="NQK47" s="34"/>
      <c r="NQL47" s="39"/>
      <c r="NQM47" s="41"/>
      <c r="NQP47" s="32"/>
      <c r="NQR47" s="12"/>
      <c r="NQT47" s="34"/>
      <c r="NQU47" s="39"/>
      <c r="NQV47" s="41"/>
      <c r="NQY47" s="32"/>
      <c r="NRA47" s="12"/>
      <c r="NRC47" s="34"/>
      <c r="NRD47" s="39"/>
      <c r="NRE47" s="41"/>
      <c r="NRH47" s="32"/>
      <c r="NRJ47" s="12"/>
      <c r="NRL47" s="34"/>
      <c r="NRM47" s="39"/>
      <c r="NRN47" s="41"/>
      <c r="NRQ47" s="32"/>
      <c r="NRS47" s="12"/>
      <c r="NRU47" s="34"/>
      <c r="NRV47" s="39"/>
      <c r="NRW47" s="41"/>
      <c r="NRZ47" s="32"/>
      <c r="NSB47" s="12"/>
      <c r="NSD47" s="34"/>
      <c r="NSE47" s="39"/>
      <c r="NSF47" s="41"/>
      <c r="NSI47" s="32"/>
      <c r="NSK47" s="12"/>
      <c r="NSM47" s="34"/>
      <c r="NSN47" s="39"/>
      <c r="NSO47" s="41"/>
      <c r="NSR47" s="32"/>
      <c r="NST47" s="12"/>
      <c r="NSV47" s="34"/>
      <c r="NSW47" s="39"/>
      <c r="NSX47" s="41"/>
      <c r="NTA47" s="32"/>
      <c r="NTC47" s="12"/>
      <c r="NTE47" s="34"/>
      <c r="NTF47" s="39"/>
      <c r="NTG47" s="41"/>
      <c r="NTJ47" s="32"/>
      <c r="NTL47" s="12"/>
      <c r="NTN47" s="34"/>
      <c r="NTO47" s="39"/>
      <c r="NTP47" s="41"/>
      <c r="NTS47" s="32"/>
      <c r="NTU47" s="12"/>
      <c r="NTW47" s="34"/>
      <c r="NTX47" s="39"/>
      <c r="NTY47" s="41"/>
      <c r="NUB47" s="32"/>
      <c r="NUD47" s="12"/>
      <c r="NUF47" s="34"/>
      <c r="NUG47" s="39"/>
      <c r="NUH47" s="41"/>
      <c r="NUK47" s="32"/>
      <c r="NUM47" s="12"/>
      <c r="NUO47" s="34"/>
      <c r="NUP47" s="39"/>
      <c r="NUQ47" s="41"/>
      <c r="NUT47" s="32"/>
      <c r="NUV47" s="12"/>
      <c r="NUX47" s="34"/>
      <c r="NUY47" s="39"/>
      <c r="NUZ47" s="41"/>
      <c r="NVC47" s="32"/>
      <c r="NVE47" s="12"/>
      <c r="NVG47" s="34"/>
      <c r="NVH47" s="39"/>
      <c r="NVI47" s="41"/>
      <c r="NVL47" s="32"/>
      <c r="NVN47" s="12"/>
      <c r="NVP47" s="34"/>
      <c r="NVQ47" s="39"/>
      <c r="NVR47" s="41"/>
      <c r="NVU47" s="32"/>
      <c r="NVW47" s="12"/>
      <c r="NVY47" s="34"/>
      <c r="NVZ47" s="39"/>
      <c r="NWA47" s="41"/>
      <c r="NWD47" s="32"/>
      <c r="NWF47" s="12"/>
      <c r="NWH47" s="34"/>
      <c r="NWI47" s="39"/>
      <c r="NWJ47" s="41"/>
      <c r="NWM47" s="32"/>
      <c r="NWO47" s="12"/>
      <c r="NWQ47" s="34"/>
      <c r="NWR47" s="39"/>
      <c r="NWS47" s="41"/>
      <c r="NWV47" s="32"/>
      <c r="NWX47" s="12"/>
      <c r="NWZ47" s="34"/>
      <c r="NXA47" s="39"/>
      <c r="NXB47" s="41"/>
      <c r="NXE47" s="32"/>
      <c r="NXG47" s="12"/>
      <c r="NXI47" s="34"/>
      <c r="NXJ47" s="39"/>
      <c r="NXK47" s="41"/>
      <c r="NXN47" s="32"/>
      <c r="NXP47" s="12"/>
      <c r="NXR47" s="34"/>
      <c r="NXS47" s="39"/>
      <c r="NXT47" s="41"/>
      <c r="NXW47" s="32"/>
      <c r="NXY47" s="12"/>
      <c r="NYA47" s="34"/>
      <c r="NYB47" s="39"/>
      <c r="NYC47" s="41"/>
      <c r="NYF47" s="32"/>
      <c r="NYH47" s="12"/>
      <c r="NYJ47" s="34"/>
      <c r="NYK47" s="39"/>
      <c r="NYL47" s="41"/>
      <c r="NYO47" s="32"/>
      <c r="NYQ47" s="12"/>
      <c r="NYS47" s="34"/>
      <c r="NYT47" s="39"/>
      <c r="NYU47" s="41"/>
      <c r="NYX47" s="32"/>
      <c r="NYZ47" s="12"/>
      <c r="NZB47" s="34"/>
      <c r="NZC47" s="39"/>
      <c r="NZD47" s="41"/>
      <c r="NZG47" s="32"/>
      <c r="NZI47" s="12"/>
      <c r="NZK47" s="34"/>
      <c r="NZL47" s="39"/>
      <c r="NZM47" s="41"/>
      <c r="NZP47" s="32"/>
      <c r="NZR47" s="12"/>
      <c r="NZT47" s="34"/>
      <c r="NZU47" s="39"/>
      <c r="NZV47" s="41"/>
      <c r="NZY47" s="32"/>
      <c r="OAA47" s="12"/>
      <c r="OAC47" s="34"/>
      <c r="OAD47" s="39"/>
      <c r="OAE47" s="41"/>
      <c r="OAH47" s="32"/>
      <c r="OAJ47" s="12"/>
      <c r="OAL47" s="34"/>
      <c r="OAM47" s="39"/>
      <c r="OAN47" s="41"/>
      <c r="OAQ47" s="32"/>
      <c r="OAS47" s="12"/>
      <c r="OAU47" s="34"/>
      <c r="OAV47" s="39"/>
      <c r="OAW47" s="41"/>
      <c r="OAZ47" s="32"/>
      <c r="OBB47" s="12"/>
      <c r="OBD47" s="34"/>
      <c r="OBE47" s="39"/>
      <c r="OBF47" s="41"/>
      <c r="OBI47" s="32"/>
      <c r="OBK47" s="12"/>
      <c r="OBM47" s="34"/>
      <c r="OBN47" s="39"/>
      <c r="OBO47" s="41"/>
      <c r="OBR47" s="32"/>
      <c r="OBT47" s="12"/>
      <c r="OBV47" s="34"/>
      <c r="OBW47" s="39"/>
      <c r="OBX47" s="41"/>
      <c r="OCA47" s="32"/>
      <c r="OCC47" s="12"/>
      <c r="OCE47" s="34"/>
      <c r="OCF47" s="39"/>
      <c r="OCG47" s="41"/>
      <c r="OCJ47" s="32"/>
      <c r="OCL47" s="12"/>
      <c r="OCN47" s="34"/>
      <c r="OCO47" s="39"/>
      <c r="OCP47" s="41"/>
      <c r="OCS47" s="32"/>
      <c r="OCU47" s="12"/>
      <c r="OCW47" s="34"/>
      <c r="OCX47" s="39"/>
      <c r="OCY47" s="41"/>
      <c r="ODB47" s="32"/>
      <c r="ODD47" s="12"/>
      <c r="ODF47" s="34"/>
      <c r="ODG47" s="39"/>
      <c r="ODH47" s="41"/>
      <c r="ODK47" s="32"/>
      <c r="ODM47" s="12"/>
      <c r="ODO47" s="34"/>
      <c r="ODP47" s="39"/>
      <c r="ODQ47" s="41"/>
      <c r="ODT47" s="32"/>
      <c r="ODV47" s="12"/>
      <c r="ODX47" s="34"/>
      <c r="ODY47" s="39"/>
      <c r="ODZ47" s="41"/>
      <c r="OEC47" s="32"/>
      <c r="OEE47" s="12"/>
      <c r="OEG47" s="34"/>
      <c r="OEH47" s="39"/>
      <c r="OEI47" s="41"/>
      <c r="OEL47" s="32"/>
      <c r="OEN47" s="12"/>
      <c r="OEP47" s="34"/>
      <c r="OEQ47" s="39"/>
      <c r="OER47" s="41"/>
      <c r="OEU47" s="32"/>
      <c r="OEW47" s="12"/>
      <c r="OEY47" s="34"/>
      <c r="OEZ47" s="39"/>
      <c r="OFA47" s="41"/>
      <c r="OFD47" s="32"/>
      <c r="OFF47" s="12"/>
      <c r="OFH47" s="34"/>
      <c r="OFI47" s="39"/>
      <c r="OFJ47" s="41"/>
      <c r="OFM47" s="32"/>
      <c r="OFO47" s="12"/>
      <c r="OFQ47" s="34"/>
      <c r="OFR47" s="39"/>
      <c r="OFS47" s="41"/>
      <c r="OFV47" s="32"/>
      <c r="OFX47" s="12"/>
      <c r="OFZ47" s="34"/>
      <c r="OGA47" s="39"/>
      <c r="OGB47" s="41"/>
      <c r="OGE47" s="32"/>
      <c r="OGG47" s="12"/>
      <c r="OGI47" s="34"/>
      <c r="OGJ47" s="39"/>
      <c r="OGK47" s="41"/>
      <c r="OGN47" s="32"/>
      <c r="OGP47" s="12"/>
      <c r="OGR47" s="34"/>
      <c r="OGS47" s="39"/>
      <c r="OGT47" s="41"/>
      <c r="OGW47" s="32"/>
      <c r="OGY47" s="12"/>
      <c r="OHA47" s="34"/>
      <c r="OHB47" s="39"/>
      <c r="OHC47" s="41"/>
      <c r="OHF47" s="32"/>
      <c r="OHH47" s="12"/>
      <c r="OHJ47" s="34"/>
      <c r="OHK47" s="39"/>
      <c r="OHL47" s="41"/>
      <c r="OHO47" s="32"/>
      <c r="OHQ47" s="12"/>
      <c r="OHS47" s="34"/>
      <c r="OHT47" s="39"/>
      <c r="OHU47" s="41"/>
      <c r="OHX47" s="32"/>
      <c r="OHZ47" s="12"/>
      <c r="OIB47" s="34"/>
      <c r="OIC47" s="39"/>
      <c r="OID47" s="41"/>
      <c r="OIG47" s="32"/>
      <c r="OII47" s="12"/>
      <c r="OIK47" s="34"/>
      <c r="OIL47" s="39"/>
      <c r="OIM47" s="41"/>
      <c r="OIP47" s="32"/>
      <c r="OIR47" s="12"/>
      <c r="OIT47" s="34"/>
      <c r="OIU47" s="39"/>
      <c r="OIV47" s="41"/>
      <c r="OIY47" s="32"/>
      <c r="OJA47" s="12"/>
      <c r="OJC47" s="34"/>
      <c r="OJD47" s="39"/>
      <c r="OJE47" s="41"/>
      <c r="OJH47" s="32"/>
      <c r="OJJ47" s="12"/>
      <c r="OJL47" s="34"/>
      <c r="OJM47" s="39"/>
      <c r="OJN47" s="41"/>
      <c r="OJQ47" s="32"/>
      <c r="OJS47" s="12"/>
      <c r="OJU47" s="34"/>
      <c r="OJV47" s="39"/>
      <c r="OJW47" s="41"/>
      <c r="OJZ47" s="32"/>
      <c r="OKB47" s="12"/>
      <c r="OKD47" s="34"/>
      <c r="OKE47" s="39"/>
      <c r="OKF47" s="41"/>
      <c r="OKI47" s="32"/>
      <c r="OKK47" s="12"/>
      <c r="OKM47" s="34"/>
      <c r="OKN47" s="39"/>
      <c r="OKO47" s="41"/>
      <c r="OKR47" s="32"/>
      <c r="OKT47" s="12"/>
      <c r="OKV47" s="34"/>
      <c r="OKW47" s="39"/>
      <c r="OKX47" s="41"/>
      <c r="OLA47" s="32"/>
      <c r="OLC47" s="12"/>
      <c r="OLE47" s="34"/>
      <c r="OLF47" s="39"/>
      <c r="OLG47" s="41"/>
      <c r="OLJ47" s="32"/>
      <c r="OLL47" s="12"/>
      <c r="OLN47" s="34"/>
      <c r="OLO47" s="39"/>
      <c r="OLP47" s="41"/>
      <c r="OLS47" s="32"/>
      <c r="OLU47" s="12"/>
      <c r="OLW47" s="34"/>
      <c r="OLX47" s="39"/>
      <c r="OLY47" s="41"/>
      <c r="OMB47" s="32"/>
      <c r="OMD47" s="12"/>
      <c r="OMF47" s="34"/>
      <c r="OMG47" s="39"/>
      <c r="OMH47" s="41"/>
      <c r="OMK47" s="32"/>
      <c r="OMM47" s="12"/>
      <c r="OMO47" s="34"/>
      <c r="OMP47" s="39"/>
      <c r="OMQ47" s="41"/>
      <c r="OMT47" s="32"/>
      <c r="OMV47" s="12"/>
      <c r="OMX47" s="34"/>
      <c r="OMY47" s="39"/>
      <c r="OMZ47" s="41"/>
      <c r="ONC47" s="32"/>
      <c r="ONE47" s="12"/>
      <c r="ONG47" s="34"/>
      <c r="ONH47" s="39"/>
      <c r="ONI47" s="41"/>
      <c r="ONL47" s="32"/>
      <c r="ONN47" s="12"/>
      <c r="ONP47" s="34"/>
      <c r="ONQ47" s="39"/>
      <c r="ONR47" s="41"/>
      <c r="ONU47" s="32"/>
      <c r="ONW47" s="12"/>
      <c r="ONY47" s="34"/>
      <c r="ONZ47" s="39"/>
      <c r="OOA47" s="41"/>
      <c r="OOD47" s="32"/>
      <c r="OOF47" s="12"/>
      <c r="OOH47" s="34"/>
      <c r="OOI47" s="39"/>
      <c r="OOJ47" s="41"/>
      <c r="OOM47" s="32"/>
      <c r="OOO47" s="12"/>
      <c r="OOQ47" s="34"/>
      <c r="OOR47" s="39"/>
      <c r="OOS47" s="41"/>
      <c r="OOV47" s="32"/>
      <c r="OOX47" s="12"/>
      <c r="OOZ47" s="34"/>
      <c r="OPA47" s="39"/>
      <c r="OPB47" s="41"/>
      <c r="OPE47" s="32"/>
      <c r="OPG47" s="12"/>
      <c r="OPI47" s="34"/>
      <c r="OPJ47" s="39"/>
      <c r="OPK47" s="41"/>
      <c r="OPN47" s="32"/>
      <c r="OPP47" s="12"/>
      <c r="OPR47" s="34"/>
      <c r="OPS47" s="39"/>
      <c r="OPT47" s="41"/>
      <c r="OPW47" s="32"/>
      <c r="OPY47" s="12"/>
      <c r="OQA47" s="34"/>
      <c r="OQB47" s="39"/>
      <c r="OQC47" s="41"/>
      <c r="OQF47" s="32"/>
      <c r="OQH47" s="12"/>
      <c r="OQJ47" s="34"/>
      <c r="OQK47" s="39"/>
      <c r="OQL47" s="41"/>
      <c r="OQO47" s="32"/>
      <c r="OQQ47" s="12"/>
      <c r="OQS47" s="34"/>
      <c r="OQT47" s="39"/>
      <c r="OQU47" s="41"/>
      <c r="OQX47" s="32"/>
      <c r="OQZ47" s="12"/>
      <c r="ORB47" s="34"/>
      <c r="ORC47" s="39"/>
      <c r="ORD47" s="41"/>
      <c r="ORG47" s="32"/>
      <c r="ORI47" s="12"/>
      <c r="ORK47" s="34"/>
      <c r="ORL47" s="39"/>
      <c r="ORM47" s="41"/>
      <c r="ORP47" s="32"/>
      <c r="ORR47" s="12"/>
      <c r="ORT47" s="34"/>
      <c r="ORU47" s="39"/>
      <c r="ORV47" s="41"/>
      <c r="ORY47" s="32"/>
      <c r="OSA47" s="12"/>
      <c r="OSC47" s="34"/>
      <c r="OSD47" s="39"/>
      <c r="OSE47" s="41"/>
      <c r="OSH47" s="32"/>
      <c r="OSJ47" s="12"/>
      <c r="OSL47" s="34"/>
      <c r="OSM47" s="39"/>
      <c r="OSN47" s="41"/>
      <c r="OSQ47" s="32"/>
      <c r="OSS47" s="12"/>
      <c r="OSU47" s="34"/>
      <c r="OSV47" s="39"/>
      <c r="OSW47" s="41"/>
      <c r="OSZ47" s="32"/>
      <c r="OTB47" s="12"/>
      <c r="OTD47" s="34"/>
      <c r="OTE47" s="39"/>
      <c r="OTF47" s="41"/>
      <c r="OTI47" s="32"/>
      <c r="OTK47" s="12"/>
      <c r="OTM47" s="34"/>
      <c r="OTN47" s="39"/>
      <c r="OTO47" s="41"/>
      <c r="OTR47" s="32"/>
      <c r="OTT47" s="12"/>
      <c r="OTV47" s="34"/>
      <c r="OTW47" s="39"/>
      <c r="OTX47" s="41"/>
      <c r="OUA47" s="32"/>
      <c r="OUC47" s="12"/>
      <c r="OUE47" s="34"/>
      <c r="OUF47" s="39"/>
      <c r="OUG47" s="41"/>
      <c r="OUJ47" s="32"/>
      <c r="OUL47" s="12"/>
      <c r="OUN47" s="34"/>
      <c r="OUO47" s="39"/>
      <c r="OUP47" s="41"/>
      <c r="OUS47" s="32"/>
      <c r="OUU47" s="12"/>
      <c r="OUW47" s="34"/>
      <c r="OUX47" s="39"/>
      <c r="OUY47" s="41"/>
      <c r="OVB47" s="32"/>
      <c r="OVD47" s="12"/>
      <c r="OVF47" s="34"/>
      <c r="OVG47" s="39"/>
      <c r="OVH47" s="41"/>
      <c r="OVK47" s="32"/>
      <c r="OVM47" s="12"/>
      <c r="OVO47" s="34"/>
      <c r="OVP47" s="39"/>
      <c r="OVQ47" s="41"/>
      <c r="OVT47" s="32"/>
      <c r="OVV47" s="12"/>
      <c r="OVX47" s="34"/>
      <c r="OVY47" s="39"/>
      <c r="OVZ47" s="41"/>
      <c r="OWC47" s="32"/>
      <c r="OWE47" s="12"/>
      <c r="OWG47" s="34"/>
      <c r="OWH47" s="39"/>
      <c r="OWI47" s="41"/>
      <c r="OWL47" s="32"/>
      <c r="OWN47" s="12"/>
      <c r="OWP47" s="34"/>
      <c r="OWQ47" s="39"/>
      <c r="OWR47" s="41"/>
      <c r="OWU47" s="32"/>
      <c r="OWW47" s="12"/>
      <c r="OWY47" s="34"/>
      <c r="OWZ47" s="39"/>
      <c r="OXA47" s="41"/>
      <c r="OXD47" s="32"/>
      <c r="OXF47" s="12"/>
      <c r="OXH47" s="34"/>
      <c r="OXI47" s="39"/>
      <c r="OXJ47" s="41"/>
      <c r="OXM47" s="32"/>
      <c r="OXO47" s="12"/>
      <c r="OXQ47" s="34"/>
      <c r="OXR47" s="39"/>
      <c r="OXS47" s="41"/>
      <c r="OXV47" s="32"/>
      <c r="OXX47" s="12"/>
      <c r="OXZ47" s="34"/>
      <c r="OYA47" s="39"/>
      <c r="OYB47" s="41"/>
      <c r="OYE47" s="32"/>
      <c r="OYG47" s="12"/>
      <c r="OYI47" s="34"/>
      <c r="OYJ47" s="39"/>
      <c r="OYK47" s="41"/>
      <c r="OYN47" s="32"/>
      <c r="OYP47" s="12"/>
      <c r="OYR47" s="34"/>
      <c r="OYS47" s="39"/>
      <c r="OYT47" s="41"/>
      <c r="OYW47" s="32"/>
      <c r="OYY47" s="12"/>
      <c r="OZA47" s="34"/>
      <c r="OZB47" s="39"/>
      <c r="OZC47" s="41"/>
      <c r="OZF47" s="32"/>
      <c r="OZH47" s="12"/>
      <c r="OZJ47" s="34"/>
      <c r="OZK47" s="39"/>
      <c r="OZL47" s="41"/>
      <c r="OZO47" s="32"/>
      <c r="OZQ47" s="12"/>
      <c r="OZS47" s="34"/>
      <c r="OZT47" s="39"/>
      <c r="OZU47" s="41"/>
      <c r="OZX47" s="32"/>
      <c r="OZZ47" s="12"/>
      <c r="PAB47" s="34"/>
      <c r="PAC47" s="39"/>
      <c r="PAD47" s="41"/>
      <c r="PAG47" s="32"/>
      <c r="PAI47" s="12"/>
      <c r="PAK47" s="34"/>
      <c r="PAL47" s="39"/>
      <c r="PAM47" s="41"/>
      <c r="PAP47" s="32"/>
      <c r="PAR47" s="12"/>
      <c r="PAT47" s="34"/>
      <c r="PAU47" s="39"/>
      <c r="PAV47" s="41"/>
      <c r="PAY47" s="32"/>
      <c r="PBA47" s="12"/>
      <c r="PBC47" s="34"/>
      <c r="PBD47" s="39"/>
      <c r="PBE47" s="41"/>
      <c r="PBH47" s="32"/>
      <c r="PBJ47" s="12"/>
      <c r="PBL47" s="34"/>
      <c r="PBM47" s="39"/>
      <c r="PBN47" s="41"/>
      <c r="PBQ47" s="32"/>
      <c r="PBS47" s="12"/>
      <c r="PBU47" s="34"/>
      <c r="PBV47" s="39"/>
      <c r="PBW47" s="41"/>
      <c r="PBZ47" s="32"/>
      <c r="PCB47" s="12"/>
      <c r="PCD47" s="34"/>
      <c r="PCE47" s="39"/>
      <c r="PCF47" s="41"/>
      <c r="PCI47" s="32"/>
      <c r="PCK47" s="12"/>
      <c r="PCM47" s="34"/>
      <c r="PCN47" s="39"/>
      <c r="PCO47" s="41"/>
      <c r="PCR47" s="32"/>
      <c r="PCT47" s="12"/>
      <c r="PCV47" s="34"/>
      <c r="PCW47" s="39"/>
      <c r="PCX47" s="41"/>
      <c r="PDA47" s="32"/>
      <c r="PDC47" s="12"/>
      <c r="PDE47" s="34"/>
      <c r="PDF47" s="39"/>
      <c r="PDG47" s="41"/>
      <c r="PDJ47" s="32"/>
      <c r="PDL47" s="12"/>
      <c r="PDN47" s="34"/>
      <c r="PDO47" s="39"/>
      <c r="PDP47" s="41"/>
      <c r="PDS47" s="32"/>
      <c r="PDU47" s="12"/>
      <c r="PDW47" s="34"/>
      <c r="PDX47" s="39"/>
      <c r="PDY47" s="41"/>
      <c r="PEB47" s="32"/>
      <c r="PED47" s="12"/>
      <c r="PEF47" s="34"/>
      <c r="PEG47" s="39"/>
      <c r="PEH47" s="41"/>
      <c r="PEK47" s="32"/>
      <c r="PEM47" s="12"/>
      <c r="PEO47" s="34"/>
      <c r="PEP47" s="39"/>
      <c r="PEQ47" s="41"/>
      <c r="PET47" s="32"/>
      <c r="PEV47" s="12"/>
      <c r="PEX47" s="34"/>
      <c r="PEY47" s="39"/>
      <c r="PEZ47" s="41"/>
      <c r="PFC47" s="32"/>
      <c r="PFE47" s="12"/>
      <c r="PFG47" s="34"/>
      <c r="PFH47" s="39"/>
      <c r="PFI47" s="41"/>
      <c r="PFL47" s="32"/>
      <c r="PFN47" s="12"/>
      <c r="PFP47" s="34"/>
      <c r="PFQ47" s="39"/>
      <c r="PFR47" s="41"/>
      <c r="PFU47" s="32"/>
      <c r="PFW47" s="12"/>
      <c r="PFY47" s="34"/>
      <c r="PFZ47" s="39"/>
      <c r="PGA47" s="41"/>
      <c r="PGD47" s="32"/>
      <c r="PGF47" s="12"/>
      <c r="PGH47" s="34"/>
      <c r="PGI47" s="39"/>
      <c r="PGJ47" s="41"/>
      <c r="PGM47" s="32"/>
      <c r="PGO47" s="12"/>
      <c r="PGQ47" s="34"/>
      <c r="PGR47" s="39"/>
      <c r="PGS47" s="41"/>
      <c r="PGV47" s="32"/>
      <c r="PGX47" s="12"/>
      <c r="PGZ47" s="34"/>
      <c r="PHA47" s="39"/>
      <c r="PHB47" s="41"/>
      <c r="PHE47" s="32"/>
      <c r="PHG47" s="12"/>
      <c r="PHI47" s="34"/>
      <c r="PHJ47" s="39"/>
      <c r="PHK47" s="41"/>
      <c r="PHN47" s="32"/>
      <c r="PHP47" s="12"/>
      <c r="PHR47" s="34"/>
      <c r="PHS47" s="39"/>
      <c r="PHT47" s="41"/>
      <c r="PHW47" s="32"/>
      <c r="PHY47" s="12"/>
      <c r="PIA47" s="34"/>
      <c r="PIB47" s="39"/>
      <c r="PIC47" s="41"/>
      <c r="PIF47" s="32"/>
      <c r="PIH47" s="12"/>
      <c r="PIJ47" s="34"/>
      <c r="PIK47" s="39"/>
      <c r="PIL47" s="41"/>
      <c r="PIO47" s="32"/>
      <c r="PIQ47" s="12"/>
      <c r="PIS47" s="34"/>
      <c r="PIT47" s="39"/>
      <c r="PIU47" s="41"/>
      <c r="PIX47" s="32"/>
      <c r="PIZ47" s="12"/>
      <c r="PJB47" s="34"/>
      <c r="PJC47" s="39"/>
      <c r="PJD47" s="41"/>
      <c r="PJG47" s="32"/>
      <c r="PJI47" s="12"/>
      <c r="PJK47" s="34"/>
      <c r="PJL47" s="39"/>
      <c r="PJM47" s="41"/>
      <c r="PJP47" s="32"/>
      <c r="PJR47" s="12"/>
      <c r="PJT47" s="34"/>
      <c r="PJU47" s="39"/>
      <c r="PJV47" s="41"/>
      <c r="PJY47" s="32"/>
      <c r="PKA47" s="12"/>
      <c r="PKC47" s="34"/>
      <c r="PKD47" s="39"/>
      <c r="PKE47" s="41"/>
      <c r="PKH47" s="32"/>
      <c r="PKJ47" s="12"/>
      <c r="PKL47" s="34"/>
      <c r="PKM47" s="39"/>
      <c r="PKN47" s="41"/>
      <c r="PKQ47" s="32"/>
      <c r="PKS47" s="12"/>
      <c r="PKU47" s="34"/>
      <c r="PKV47" s="39"/>
      <c r="PKW47" s="41"/>
      <c r="PKZ47" s="32"/>
      <c r="PLB47" s="12"/>
      <c r="PLD47" s="34"/>
      <c r="PLE47" s="39"/>
      <c r="PLF47" s="41"/>
      <c r="PLI47" s="32"/>
      <c r="PLK47" s="12"/>
      <c r="PLM47" s="34"/>
      <c r="PLN47" s="39"/>
      <c r="PLO47" s="41"/>
      <c r="PLR47" s="32"/>
      <c r="PLT47" s="12"/>
      <c r="PLV47" s="34"/>
      <c r="PLW47" s="39"/>
      <c r="PLX47" s="41"/>
      <c r="PMA47" s="32"/>
      <c r="PMC47" s="12"/>
      <c r="PME47" s="34"/>
      <c r="PMF47" s="39"/>
      <c r="PMG47" s="41"/>
      <c r="PMJ47" s="32"/>
      <c r="PML47" s="12"/>
      <c r="PMN47" s="34"/>
      <c r="PMO47" s="39"/>
      <c r="PMP47" s="41"/>
      <c r="PMS47" s="32"/>
      <c r="PMU47" s="12"/>
      <c r="PMW47" s="34"/>
      <c r="PMX47" s="39"/>
      <c r="PMY47" s="41"/>
      <c r="PNB47" s="32"/>
      <c r="PND47" s="12"/>
      <c r="PNF47" s="34"/>
      <c r="PNG47" s="39"/>
      <c r="PNH47" s="41"/>
      <c r="PNK47" s="32"/>
      <c r="PNM47" s="12"/>
      <c r="PNO47" s="34"/>
      <c r="PNP47" s="39"/>
      <c r="PNQ47" s="41"/>
      <c r="PNT47" s="32"/>
      <c r="PNV47" s="12"/>
      <c r="PNX47" s="34"/>
      <c r="PNY47" s="39"/>
      <c r="PNZ47" s="41"/>
      <c r="POC47" s="32"/>
      <c r="POE47" s="12"/>
      <c r="POG47" s="34"/>
      <c r="POH47" s="39"/>
      <c r="POI47" s="41"/>
      <c r="POL47" s="32"/>
      <c r="PON47" s="12"/>
      <c r="POP47" s="34"/>
      <c r="POQ47" s="39"/>
      <c r="POR47" s="41"/>
      <c r="POU47" s="32"/>
      <c r="POW47" s="12"/>
      <c r="POY47" s="34"/>
      <c r="POZ47" s="39"/>
      <c r="PPA47" s="41"/>
      <c r="PPD47" s="32"/>
      <c r="PPF47" s="12"/>
      <c r="PPH47" s="34"/>
      <c r="PPI47" s="39"/>
      <c r="PPJ47" s="41"/>
      <c r="PPM47" s="32"/>
      <c r="PPO47" s="12"/>
      <c r="PPQ47" s="34"/>
      <c r="PPR47" s="39"/>
      <c r="PPS47" s="41"/>
      <c r="PPV47" s="32"/>
      <c r="PPX47" s="12"/>
      <c r="PPZ47" s="34"/>
      <c r="PQA47" s="39"/>
      <c r="PQB47" s="41"/>
      <c r="PQE47" s="32"/>
      <c r="PQG47" s="12"/>
      <c r="PQI47" s="34"/>
      <c r="PQJ47" s="39"/>
      <c r="PQK47" s="41"/>
      <c r="PQN47" s="32"/>
      <c r="PQP47" s="12"/>
      <c r="PQR47" s="34"/>
      <c r="PQS47" s="39"/>
      <c r="PQT47" s="41"/>
      <c r="PQW47" s="32"/>
      <c r="PQY47" s="12"/>
      <c r="PRA47" s="34"/>
      <c r="PRB47" s="39"/>
      <c r="PRC47" s="41"/>
      <c r="PRF47" s="32"/>
      <c r="PRH47" s="12"/>
      <c r="PRJ47" s="34"/>
      <c r="PRK47" s="39"/>
      <c r="PRL47" s="41"/>
      <c r="PRO47" s="32"/>
      <c r="PRQ47" s="12"/>
      <c r="PRS47" s="34"/>
      <c r="PRT47" s="39"/>
      <c r="PRU47" s="41"/>
      <c r="PRX47" s="32"/>
      <c r="PRZ47" s="12"/>
      <c r="PSB47" s="34"/>
      <c r="PSC47" s="39"/>
      <c r="PSD47" s="41"/>
      <c r="PSG47" s="32"/>
      <c r="PSI47" s="12"/>
      <c r="PSK47" s="34"/>
      <c r="PSL47" s="39"/>
      <c r="PSM47" s="41"/>
      <c r="PSP47" s="32"/>
      <c r="PSR47" s="12"/>
      <c r="PST47" s="34"/>
      <c r="PSU47" s="39"/>
      <c r="PSV47" s="41"/>
      <c r="PSY47" s="32"/>
      <c r="PTA47" s="12"/>
      <c r="PTC47" s="34"/>
      <c r="PTD47" s="39"/>
      <c r="PTE47" s="41"/>
      <c r="PTH47" s="32"/>
      <c r="PTJ47" s="12"/>
      <c r="PTL47" s="34"/>
      <c r="PTM47" s="39"/>
      <c r="PTN47" s="41"/>
      <c r="PTQ47" s="32"/>
      <c r="PTS47" s="12"/>
      <c r="PTU47" s="34"/>
      <c r="PTV47" s="39"/>
      <c r="PTW47" s="41"/>
      <c r="PTZ47" s="32"/>
      <c r="PUB47" s="12"/>
      <c r="PUD47" s="34"/>
      <c r="PUE47" s="39"/>
      <c r="PUF47" s="41"/>
      <c r="PUI47" s="32"/>
      <c r="PUK47" s="12"/>
      <c r="PUM47" s="34"/>
      <c r="PUN47" s="39"/>
      <c r="PUO47" s="41"/>
      <c r="PUR47" s="32"/>
      <c r="PUT47" s="12"/>
      <c r="PUV47" s="34"/>
      <c r="PUW47" s="39"/>
      <c r="PUX47" s="41"/>
      <c r="PVA47" s="32"/>
      <c r="PVC47" s="12"/>
      <c r="PVE47" s="34"/>
      <c r="PVF47" s="39"/>
      <c r="PVG47" s="41"/>
      <c r="PVJ47" s="32"/>
      <c r="PVL47" s="12"/>
      <c r="PVN47" s="34"/>
      <c r="PVO47" s="39"/>
      <c r="PVP47" s="41"/>
      <c r="PVS47" s="32"/>
      <c r="PVU47" s="12"/>
      <c r="PVW47" s="34"/>
      <c r="PVX47" s="39"/>
      <c r="PVY47" s="41"/>
      <c r="PWB47" s="32"/>
      <c r="PWD47" s="12"/>
      <c r="PWF47" s="34"/>
      <c r="PWG47" s="39"/>
      <c r="PWH47" s="41"/>
      <c r="PWK47" s="32"/>
      <c r="PWM47" s="12"/>
      <c r="PWO47" s="34"/>
      <c r="PWP47" s="39"/>
      <c r="PWQ47" s="41"/>
      <c r="PWT47" s="32"/>
      <c r="PWV47" s="12"/>
      <c r="PWX47" s="34"/>
      <c r="PWY47" s="39"/>
      <c r="PWZ47" s="41"/>
      <c r="PXC47" s="32"/>
      <c r="PXE47" s="12"/>
      <c r="PXG47" s="34"/>
      <c r="PXH47" s="39"/>
      <c r="PXI47" s="41"/>
      <c r="PXL47" s="32"/>
      <c r="PXN47" s="12"/>
      <c r="PXP47" s="34"/>
      <c r="PXQ47" s="39"/>
      <c r="PXR47" s="41"/>
      <c r="PXU47" s="32"/>
      <c r="PXW47" s="12"/>
      <c r="PXY47" s="34"/>
      <c r="PXZ47" s="39"/>
      <c r="PYA47" s="41"/>
      <c r="PYD47" s="32"/>
      <c r="PYF47" s="12"/>
      <c r="PYH47" s="34"/>
      <c r="PYI47" s="39"/>
      <c r="PYJ47" s="41"/>
      <c r="PYM47" s="32"/>
      <c r="PYO47" s="12"/>
      <c r="PYQ47" s="34"/>
      <c r="PYR47" s="39"/>
      <c r="PYS47" s="41"/>
      <c r="PYV47" s="32"/>
      <c r="PYX47" s="12"/>
      <c r="PYZ47" s="34"/>
      <c r="PZA47" s="39"/>
      <c r="PZB47" s="41"/>
      <c r="PZE47" s="32"/>
      <c r="PZG47" s="12"/>
      <c r="PZI47" s="34"/>
      <c r="PZJ47" s="39"/>
      <c r="PZK47" s="41"/>
      <c r="PZN47" s="32"/>
      <c r="PZP47" s="12"/>
      <c r="PZR47" s="34"/>
      <c r="PZS47" s="39"/>
      <c r="PZT47" s="41"/>
      <c r="PZW47" s="32"/>
      <c r="PZY47" s="12"/>
      <c r="QAA47" s="34"/>
      <c r="QAB47" s="39"/>
      <c r="QAC47" s="41"/>
      <c r="QAF47" s="32"/>
      <c r="QAH47" s="12"/>
      <c r="QAJ47" s="34"/>
      <c r="QAK47" s="39"/>
      <c r="QAL47" s="41"/>
      <c r="QAO47" s="32"/>
      <c r="QAQ47" s="12"/>
      <c r="QAS47" s="34"/>
      <c r="QAT47" s="39"/>
      <c r="QAU47" s="41"/>
      <c r="QAX47" s="32"/>
      <c r="QAZ47" s="12"/>
      <c r="QBB47" s="34"/>
      <c r="QBC47" s="39"/>
      <c r="QBD47" s="41"/>
      <c r="QBG47" s="32"/>
      <c r="QBI47" s="12"/>
      <c r="QBK47" s="34"/>
      <c r="QBL47" s="39"/>
      <c r="QBM47" s="41"/>
      <c r="QBP47" s="32"/>
      <c r="QBR47" s="12"/>
      <c r="QBT47" s="34"/>
      <c r="QBU47" s="39"/>
      <c r="QBV47" s="41"/>
      <c r="QBY47" s="32"/>
      <c r="QCA47" s="12"/>
      <c r="QCC47" s="34"/>
      <c r="QCD47" s="39"/>
      <c r="QCE47" s="41"/>
      <c r="QCH47" s="32"/>
      <c r="QCJ47" s="12"/>
      <c r="QCL47" s="34"/>
      <c r="QCM47" s="39"/>
      <c r="QCN47" s="41"/>
      <c r="QCQ47" s="32"/>
      <c r="QCS47" s="12"/>
      <c r="QCU47" s="34"/>
      <c r="QCV47" s="39"/>
      <c r="QCW47" s="41"/>
      <c r="QCZ47" s="32"/>
      <c r="QDB47" s="12"/>
      <c r="QDD47" s="34"/>
      <c r="QDE47" s="39"/>
      <c r="QDF47" s="41"/>
      <c r="QDI47" s="32"/>
      <c r="QDK47" s="12"/>
      <c r="QDM47" s="34"/>
      <c r="QDN47" s="39"/>
      <c r="QDO47" s="41"/>
      <c r="QDR47" s="32"/>
      <c r="QDT47" s="12"/>
      <c r="QDV47" s="34"/>
      <c r="QDW47" s="39"/>
      <c r="QDX47" s="41"/>
      <c r="QEA47" s="32"/>
      <c r="QEC47" s="12"/>
      <c r="QEE47" s="34"/>
      <c r="QEF47" s="39"/>
      <c r="QEG47" s="41"/>
      <c r="QEJ47" s="32"/>
      <c r="QEL47" s="12"/>
      <c r="QEN47" s="34"/>
      <c r="QEO47" s="39"/>
      <c r="QEP47" s="41"/>
      <c r="QES47" s="32"/>
      <c r="QEU47" s="12"/>
      <c r="QEW47" s="34"/>
      <c r="QEX47" s="39"/>
      <c r="QEY47" s="41"/>
      <c r="QFB47" s="32"/>
      <c r="QFD47" s="12"/>
      <c r="QFF47" s="34"/>
      <c r="QFG47" s="39"/>
      <c r="QFH47" s="41"/>
      <c r="QFK47" s="32"/>
      <c r="QFM47" s="12"/>
      <c r="QFO47" s="34"/>
      <c r="QFP47" s="39"/>
      <c r="QFQ47" s="41"/>
      <c r="QFT47" s="32"/>
      <c r="QFV47" s="12"/>
      <c r="QFX47" s="34"/>
      <c r="QFY47" s="39"/>
      <c r="QFZ47" s="41"/>
      <c r="QGC47" s="32"/>
      <c r="QGE47" s="12"/>
      <c r="QGG47" s="34"/>
      <c r="QGH47" s="39"/>
      <c r="QGI47" s="41"/>
      <c r="QGL47" s="32"/>
      <c r="QGN47" s="12"/>
      <c r="QGP47" s="34"/>
      <c r="QGQ47" s="39"/>
      <c r="QGR47" s="41"/>
      <c r="QGU47" s="32"/>
      <c r="QGW47" s="12"/>
      <c r="QGY47" s="34"/>
      <c r="QGZ47" s="39"/>
      <c r="QHA47" s="41"/>
      <c r="QHD47" s="32"/>
      <c r="QHF47" s="12"/>
      <c r="QHH47" s="34"/>
      <c r="QHI47" s="39"/>
      <c r="QHJ47" s="41"/>
      <c r="QHM47" s="32"/>
      <c r="QHO47" s="12"/>
      <c r="QHQ47" s="34"/>
      <c r="QHR47" s="39"/>
      <c r="QHS47" s="41"/>
      <c r="QHV47" s="32"/>
      <c r="QHX47" s="12"/>
      <c r="QHZ47" s="34"/>
      <c r="QIA47" s="39"/>
      <c r="QIB47" s="41"/>
      <c r="QIE47" s="32"/>
      <c r="QIG47" s="12"/>
      <c r="QII47" s="34"/>
      <c r="QIJ47" s="39"/>
      <c r="QIK47" s="41"/>
      <c r="QIN47" s="32"/>
      <c r="QIP47" s="12"/>
      <c r="QIR47" s="34"/>
      <c r="QIS47" s="39"/>
      <c r="QIT47" s="41"/>
      <c r="QIW47" s="32"/>
      <c r="QIY47" s="12"/>
      <c r="QJA47" s="34"/>
      <c r="QJB47" s="39"/>
      <c r="QJC47" s="41"/>
      <c r="QJF47" s="32"/>
      <c r="QJH47" s="12"/>
      <c r="QJJ47" s="34"/>
      <c r="QJK47" s="39"/>
      <c r="QJL47" s="41"/>
      <c r="QJO47" s="32"/>
      <c r="QJQ47" s="12"/>
      <c r="QJS47" s="34"/>
      <c r="QJT47" s="39"/>
      <c r="QJU47" s="41"/>
      <c r="QJX47" s="32"/>
      <c r="QJZ47" s="12"/>
      <c r="QKB47" s="34"/>
      <c r="QKC47" s="39"/>
      <c r="QKD47" s="41"/>
      <c r="QKG47" s="32"/>
      <c r="QKI47" s="12"/>
      <c r="QKK47" s="34"/>
      <c r="QKL47" s="39"/>
      <c r="QKM47" s="41"/>
      <c r="QKP47" s="32"/>
      <c r="QKR47" s="12"/>
      <c r="QKT47" s="34"/>
      <c r="QKU47" s="39"/>
      <c r="QKV47" s="41"/>
      <c r="QKY47" s="32"/>
      <c r="QLA47" s="12"/>
      <c r="QLC47" s="34"/>
      <c r="QLD47" s="39"/>
      <c r="QLE47" s="41"/>
      <c r="QLH47" s="32"/>
      <c r="QLJ47" s="12"/>
      <c r="QLL47" s="34"/>
      <c r="QLM47" s="39"/>
      <c r="QLN47" s="41"/>
      <c r="QLQ47" s="32"/>
      <c r="QLS47" s="12"/>
      <c r="QLU47" s="34"/>
      <c r="QLV47" s="39"/>
      <c r="QLW47" s="41"/>
      <c r="QLZ47" s="32"/>
      <c r="QMB47" s="12"/>
      <c r="QMD47" s="34"/>
      <c r="QME47" s="39"/>
      <c r="QMF47" s="41"/>
      <c r="QMI47" s="32"/>
      <c r="QMK47" s="12"/>
      <c r="QMM47" s="34"/>
      <c r="QMN47" s="39"/>
      <c r="QMO47" s="41"/>
      <c r="QMR47" s="32"/>
      <c r="QMT47" s="12"/>
      <c r="QMV47" s="34"/>
      <c r="QMW47" s="39"/>
      <c r="QMX47" s="41"/>
      <c r="QNA47" s="32"/>
      <c r="QNC47" s="12"/>
      <c r="QNE47" s="34"/>
      <c r="QNF47" s="39"/>
      <c r="QNG47" s="41"/>
      <c r="QNJ47" s="32"/>
      <c r="QNL47" s="12"/>
      <c r="QNN47" s="34"/>
      <c r="QNO47" s="39"/>
      <c r="QNP47" s="41"/>
      <c r="QNS47" s="32"/>
      <c r="QNU47" s="12"/>
      <c r="QNW47" s="34"/>
      <c r="QNX47" s="39"/>
      <c r="QNY47" s="41"/>
      <c r="QOB47" s="32"/>
      <c r="QOD47" s="12"/>
      <c r="QOF47" s="34"/>
      <c r="QOG47" s="39"/>
      <c r="QOH47" s="41"/>
      <c r="QOK47" s="32"/>
      <c r="QOM47" s="12"/>
      <c r="QOO47" s="34"/>
      <c r="QOP47" s="39"/>
      <c r="QOQ47" s="41"/>
      <c r="QOT47" s="32"/>
      <c r="QOV47" s="12"/>
      <c r="QOX47" s="34"/>
      <c r="QOY47" s="39"/>
      <c r="QOZ47" s="41"/>
      <c r="QPC47" s="32"/>
      <c r="QPE47" s="12"/>
      <c r="QPG47" s="34"/>
      <c r="QPH47" s="39"/>
      <c r="QPI47" s="41"/>
      <c r="QPL47" s="32"/>
      <c r="QPN47" s="12"/>
      <c r="QPP47" s="34"/>
      <c r="QPQ47" s="39"/>
      <c r="QPR47" s="41"/>
      <c r="QPU47" s="32"/>
      <c r="QPW47" s="12"/>
      <c r="QPY47" s="34"/>
      <c r="QPZ47" s="39"/>
      <c r="QQA47" s="41"/>
      <c r="QQD47" s="32"/>
      <c r="QQF47" s="12"/>
      <c r="QQH47" s="34"/>
      <c r="QQI47" s="39"/>
      <c r="QQJ47" s="41"/>
      <c r="QQM47" s="32"/>
      <c r="QQO47" s="12"/>
      <c r="QQQ47" s="34"/>
      <c r="QQR47" s="39"/>
      <c r="QQS47" s="41"/>
      <c r="QQV47" s="32"/>
      <c r="QQX47" s="12"/>
      <c r="QQZ47" s="34"/>
      <c r="QRA47" s="39"/>
      <c r="QRB47" s="41"/>
      <c r="QRE47" s="32"/>
      <c r="QRG47" s="12"/>
      <c r="QRI47" s="34"/>
      <c r="QRJ47" s="39"/>
      <c r="QRK47" s="41"/>
      <c r="QRN47" s="32"/>
      <c r="QRP47" s="12"/>
      <c r="QRR47" s="34"/>
      <c r="QRS47" s="39"/>
      <c r="QRT47" s="41"/>
      <c r="QRW47" s="32"/>
      <c r="QRY47" s="12"/>
      <c r="QSA47" s="34"/>
      <c r="QSB47" s="39"/>
      <c r="QSC47" s="41"/>
      <c r="QSF47" s="32"/>
      <c r="QSH47" s="12"/>
      <c r="QSJ47" s="34"/>
      <c r="QSK47" s="39"/>
      <c r="QSL47" s="41"/>
      <c r="QSO47" s="32"/>
      <c r="QSQ47" s="12"/>
      <c r="QSS47" s="34"/>
      <c r="QST47" s="39"/>
      <c r="QSU47" s="41"/>
      <c r="QSX47" s="32"/>
      <c r="QSZ47" s="12"/>
      <c r="QTB47" s="34"/>
      <c r="QTC47" s="39"/>
      <c r="QTD47" s="41"/>
      <c r="QTG47" s="32"/>
      <c r="QTI47" s="12"/>
      <c r="QTK47" s="34"/>
      <c r="QTL47" s="39"/>
      <c r="QTM47" s="41"/>
      <c r="QTP47" s="32"/>
      <c r="QTR47" s="12"/>
      <c r="QTT47" s="34"/>
      <c r="QTU47" s="39"/>
      <c r="QTV47" s="41"/>
      <c r="QTY47" s="32"/>
      <c r="QUA47" s="12"/>
      <c r="QUC47" s="34"/>
      <c r="QUD47" s="39"/>
      <c r="QUE47" s="41"/>
      <c r="QUH47" s="32"/>
      <c r="QUJ47" s="12"/>
      <c r="QUL47" s="34"/>
      <c r="QUM47" s="39"/>
      <c r="QUN47" s="41"/>
      <c r="QUQ47" s="32"/>
      <c r="QUS47" s="12"/>
      <c r="QUU47" s="34"/>
      <c r="QUV47" s="39"/>
      <c r="QUW47" s="41"/>
      <c r="QUZ47" s="32"/>
      <c r="QVB47" s="12"/>
      <c r="QVD47" s="34"/>
      <c r="QVE47" s="39"/>
      <c r="QVF47" s="41"/>
      <c r="QVI47" s="32"/>
      <c r="QVK47" s="12"/>
      <c r="QVM47" s="34"/>
      <c r="QVN47" s="39"/>
      <c r="QVO47" s="41"/>
      <c r="QVR47" s="32"/>
      <c r="QVT47" s="12"/>
      <c r="QVV47" s="34"/>
      <c r="QVW47" s="39"/>
      <c r="QVX47" s="41"/>
      <c r="QWA47" s="32"/>
      <c r="QWC47" s="12"/>
      <c r="QWE47" s="34"/>
      <c r="QWF47" s="39"/>
      <c r="QWG47" s="41"/>
      <c r="QWJ47" s="32"/>
      <c r="QWL47" s="12"/>
      <c r="QWN47" s="34"/>
      <c r="QWO47" s="39"/>
      <c r="QWP47" s="41"/>
      <c r="QWS47" s="32"/>
      <c r="QWU47" s="12"/>
      <c r="QWW47" s="34"/>
      <c r="QWX47" s="39"/>
      <c r="QWY47" s="41"/>
      <c r="QXB47" s="32"/>
      <c r="QXD47" s="12"/>
      <c r="QXF47" s="34"/>
      <c r="QXG47" s="39"/>
      <c r="QXH47" s="41"/>
      <c r="QXK47" s="32"/>
      <c r="QXM47" s="12"/>
      <c r="QXO47" s="34"/>
      <c r="QXP47" s="39"/>
      <c r="QXQ47" s="41"/>
      <c r="QXT47" s="32"/>
      <c r="QXV47" s="12"/>
      <c r="QXX47" s="34"/>
      <c r="QXY47" s="39"/>
      <c r="QXZ47" s="41"/>
      <c r="QYC47" s="32"/>
      <c r="QYE47" s="12"/>
      <c r="QYG47" s="34"/>
      <c r="QYH47" s="39"/>
      <c r="QYI47" s="41"/>
      <c r="QYL47" s="32"/>
      <c r="QYN47" s="12"/>
      <c r="QYP47" s="34"/>
      <c r="QYQ47" s="39"/>
      <c r="QYR47" s="41"/>
      <c r="QYU47" s="32"/>
      <c r="QYW47" s="12"/>
      <c r="QYY47" s="34"/>
      <c r="QYZ47" s="39"/>
      <c r="QZA47" s="41"/>
      <c r="QZD47" s="32"/>
      <c r="QZF47" s="12"/>
      <c r="QZH47" s="34"/>
      <c r="QZI47" s="39"/>
      <c r="QZJ47" s="41"/>
      <c r="QZM47" s="32"/>
      <c r="QZO47" s="12"/>
      <c r="QZQ47" s="34"/>
      <c r="QZR47" s="39"/>
      <c r="QZS47" s="41"/>
      <c r="QZV47" s="32"/>
      <c r="QZX47" s="12"/>
      <c r="QZZ47" s="34"/>
      <c r="RAA47" s="39"/>
      <c r="RAB47" s="41"/>
      <c r="RAE47" s="32"/>
      <c r="RAG47" s="12"/>
      <c r="RAI47" s="34"/>
      <c r="RAJ47" s="39"/>
      <c r="RAK47" s="41"/>
      <c r="RAN47" s="32"/>
      <c r="RAP47" s="12"/>
      <c r="RAR47" s="34"/>
      <c r="RAS47" s="39"/>
      <c r="RAT47" s="41"/>
      <c r="RAW47" s="32"/>
      <c r="RAY47" s="12"/>
      <c r="RBA47" s="34"/>
      <c r="RBB47" s="39"/>
      <c r="RBC47" s="41"/>
      <c r="RBF47" s="32"/>
      <c r="RBH47" s="12"/>
      <c r="RBJ47" s="34"/>
      <c r="RBK47" s="39"/>
      <c r="RBL47" s="41"/>
      <c r="RBO47" s="32"/>
      <c r="RBQ47" s="12"/>
      <c r="RBS47" s="34"/>
      <c r="RBT47" s="39"/>
      <c r="RBU47" s="41"/>
      <c r="RBX47" s="32"/>
      <c r="RBZ47" s="12"/>
      <c r="RCB47" s="34"/>
      <c r="RCC47" s="39"/>
      <c r="RCD47" s="41"/>
      <c r="RCG47" s="32"/>
      <c r="RCI47" s="12"/>
      <c r="RCK47" s="34"/>
      <c r="RCL47" s="39"/>
      <c r="RCM47" s="41"/>
      <c r="RCP47" s="32"/>
      <c r="RCR47" s="12"/>
      <c r="RCT47" s="34"/>
      <c r="RCU47" s="39"/>
      <c r="RCV47" s="41"/>
      <c r="RCY47" s="32"/>
      <c r="RDA47" s="12"/>
      <c r="RDC47" s="34"/>
      <c r="RDD47" s="39"/>
      <c r="RDE47" s="41"/>
      <c r="RDH47" s="32"/>
      <c r="RDJ47" s="12"/>
      <c r="RDL47" s="34"/>
      <c r="RDM47" s="39"/>
      <c r="RDN47" s="41"/>
      <c r="RDQ47" s="32"/>
      <c r="RDS47" s="12"/>
      <c r="RDU47" s="34"/>
      <c r="RDV47" s="39"/>
      <c r="RDW47" s="41"/>
      <c r="RDZ47" s="32"/>
      <c r="REB47" s="12"/>
      <c r="RED47" s="34"/>
      <c r="REE47" s="39"/>
      <c r="REF47" s="41"/>
      <c r="REI47" s="32"/>
      <c r="REK47" s="12"/>
      <c r="REM47" s="34"/>
      <c r="REN47" s="39"/>
      <c r="REO47" s="41"/>
      <c r="RER47" s="32"/>
      <c r="RET47" s="12"/>
      <c r="REV47" s="34"/>
      <c r="REW47" s="39"/>
      <c r="REX47" s="41"/>
      <c r="RFA47" s="32"/>
      <c r="RFC47" s="12"/>
      <c r="RFE47" s="34"/>
      <c r="RFF47" s="39"/>
      <c r="RFG47" s="41"/>
      <c r="RFJ47" s="32"/>
      <c r="RFL47" s="12"/>
      <c r="RFN47" s="34"/>
      <c r="RFO47" s="39"/>
      <c r="RFP47" s="41"/>
      <c r="RFS47" s="32"/>
      <c r="RFU47" s="12"/>
      <c r="RFW47" s="34"/>
      <c r="RFX47" s="39"/>
      <c r="RFY47" s="41"/>
      <c r="RGB47" s="32"/>
      <c r="RGD47" s="12"/>
      <c r="RGF47" s="34"/>
      <c r="RGG47" s="39"/>
      <c r="RGH47" s="41"/>
      <c r="RGK47" s="32"/>
      <c r="RGM47" s="12"/>
      <c r="RGO47" s="34"/>
      <c r="RGP47" s="39"/>
      <c r="RGQ47" s="41"/>
      <c r="RGT47" s="32"/>
      <c r="RGV47" s="12"/>
      <c r="RGX47" s="34"/>
      <c r="RGY47" s="39"/>
      <c r="RGZ47" s="41"/>
      <c r="RHC47" s="32"/>
      <c r="RHE47" s="12"/>
      <c r="RHG47" s="34"/>
      <c r="RHH47" s="39"/>
      <c r="RHI47" s="41"/>
      <c r="RHL47" s="32"/>
      <c r="RHN47" s="12"/>
      <c r="RHP47" s="34"/>
      <c r="RHQ47" s="39"/>
      <c r="RHR47" s="41"/>
      <c r="RHU47" s="32"/>
      <c r="RHW47" s="12"/>
      <c r="RHY47" s="34"/>
      <c r="RHZ47" s="39"/>
      <c r="RIA47" s="41"/>
      <c r="RID47" s="32"/>
      <c r="RIF47" s="12"/>
      <c r="RIH47" s="34"/>
      <c r="RII47" s="39"/>
      <c r="RIJ47" s="41"/>
      <c r="RIM47" s="32"/>
      <c r="RIO47" s="12"/>
      <c r="RIQ47" s="34"/>
      <c r="RIR47" s="39"/>
      <c r="RIS47" s="41"/>
      <c r="RIV47" s="32"/>
      <c r="RIX47" s="12"/>
      <c r="RIZ47" s="34"/>
      <c r="RJA47" s="39"/>
      <c r="RJB47" s="41"/>
      <c r="RJE47" s="32"/>
      <c r="RJG47" s="12"/>
      <c r="RJI47" s="34"/>
      <c r="RJJ47" s="39"/>
      <c r="RJK47" s="41"/>
      <c r="RJN47" s="32"/>
      <c r="RJP47" s="12"/>
      <c r="RJR47" s="34"/>
      <c r="RJS47" s="39"/>
      <c r="RJT47" s="41"/>
      <c r="RJW47" s="32"/>
      <c r="RJY47" s="12"/>
      <c r="RKA47" s="34"/>
      <c r="RKB47" s="39"/>
      <c r="RKC47" s="41"/>
      <c r="RKF47" s="32"/>
      <c r="RKH47" s="12"/>
      <c r="RKJ47" s="34"/>
      <c r="RKK47" s="39"/>
      <c r="RKL47" s="41"/>
      <c r="RKO47" s="32"/>
      <c r="RKQ47" s="12"/>
      <c r="RKS47" s="34"/>
      <c r="RKT47" s="39"/>
      <c r="RKU47" s="41"/>
      <c r="RKX47" s="32"/>
      <c r="RKZ47" s="12"/>
      <c r="RLB47" s="34"/>
      <c r="RLC47" s="39"/>
      <c r="RLD47" s="41"/>
      <c r="RLG47" s="32"/>
      <c r="RLI47" s="12"/>
      <c r="RLK47" s="34"/>
      <c r="RLL47" s="39"/>
      <c r="RLM47" s="41"/>
      <c r="RLP47" s="32"/>
      <c r="RLR47" s="12"/>
      <c r="RLT47" s="34"/>
      <c r="RLU47" s="39"/>
      <c r="RLV47" s="41"/>
      <c r="RLY47" s="32"/>
      <c r="RMA47" s="12"/>
      <c r="RMC47" s="34"/>
      <c r="RMD47" s="39"/>
      <c r="RME47" s="41"/>
      <c r="RMH47" s="32"/>
      <c r="RMJ47" s="12"/>
      <c r="RML47" s="34"/>
      <c r="RMM47" s="39"/>
      <c r="RMN47" s="41"/>
      <c r="RMQ47" s="32"/>
      <c r="RMS47" s="12"/>
      <c r="RMU47" s="34"/>
      <c r="RMV47" s="39"/>
      <c r="RMW47" s="41"/>
      <c r="RMZ47" s="32"/>
      <c r="RNB47" s="12"/>
      <c r="RND47" s="34"/>
      <c r="RNE47" s="39"/>
      <c r="RNF47" s="41"/>
      <c r="RNI47" s="32"/>
      <c r="RNK47" s="12"/>
      <c r="RNM47" s="34"/>
      <c r="RNN47" s="39"/>
      <c r="RNO47" s="41"/>
      <c r="RNR47" s="32"/>
      <c r="RNT47" s="12"/>
      <c r="RNV47" s="34"/>
      <c r="RNW47" s="39"/>
      <c r="RNX47" s="41"/>
      <c r="ROA47" s="32"/>
      <c r="ROC47" s="12"/>
      <c r="ROE47" s="34"/>
      <c r="ROF47" s="39"/>
      <c r="ROG47" s="41"/>
      <c r="ROJ47" s="32"/>
      <c r="ROL47" s="12"/>
      <c r="RON47" s="34"/>
      <c r="ROO47" s="39"/>
      <c r="ROP47" s="41"/>
      <c r="ROS47" s="32"/>
      <c r="ROU47" s="12"/>
      <c r="ROW47" s="34"/>
      <c r="ROX47" s="39"/>
      <c r="ROY47" s="41"/>
      <c r="RPB47" s="32"/>
      <c r="RPD47" s="12"/>
      <c r="RPF47" s="34"/>
      <c r="RPG47" s="39"/>
      <c r="RPH47" s="41"/>
      <c r="RPK47" s="32"/>
      <c r="RPM47" s="12"/>
      <c r="RPO47" s="34"/>
      <c r="RPP47" s="39"/>
      <c r="RPQ47" s="41"/>
      <c r="RPT47" s="32"/>
      <c r="RPV47" s="12"/>
      <c r="RPX47" s="34"/>
      <c r="RPY47" s="39"/>
      <c r="RPZ47" s="41"/>
      <c r="RQC47" s="32"/>
      <c r="RQE47" s="12"/>
      <c r="RQG47" s="34"/>
      <c r="RQH47" s="39"/>
      <c r="RQI47" s="41"/>
      <c r="RQL47" s="32"/>
      <c r="RQN47" s="12"/>
      <c r="RQP47" s="34"/>
      <c r="RQQ47" s="39"/>
      <c r="RQR47" s="41"/>
      <c r="RQU47" s="32"/>
      <c r="RQW47" s="12"/>
      <c r="RQY47" s="34"/>
      <c r="RQZ47" s="39"/>
      <c r="RRA47" s="41"/>
      <c r="RRD47" s="32"/>
      <c r="RRF47" s="12"/>
      <c r="RRH47" s="34"/>
      <c r="RRI47" s="39"/>
      <c r="RRJ47" s="41"/>
      <c r="RRM47" s="32"/>
      <c r="RRO47" s="12"/>
      <c r="RRQ47" s="34"/>
      <c r="RRR47" s="39"/>
      <c r="RRS47" s="41"/>
      <c r="RRV47" s="32"/>
      <c r="RRX47" s="12"/>
      <c r="RRZ47" s="34"/>
      <c r="RSA47" s="39"/>
      <c r="RSB47" s="41"/>
      <c r="RSE47" s="32"/>
      <c r="RSG47" s="12"/>
      <c r="RSI47" s="34"/>
      <c r="RSJ47" s="39"/>
      <c r="RSK47" s="41"/>
      <c r="RSN47" s="32"/>
      <c r="RSP47" s="12"/>
      <c r="RSR47" s="34"/>
      <c r="RSS47" s="39"/>
      <c r="RST47" s="41"/>
      <c r="RSW47" s="32"/>
      <c r="RSY47" s="12"/>
      <c r="RTA47" s="34"/>
      <c r="RTB47" s="39"/>
      <c r="RTC47" s="41"/>
      <c r="RTF47" s="32"/>
      <c r="RTH47" s="12"/>
      <c r="RTJ47" s="34"/>
      <c r="RTK47" s="39"/>
      <c r="RTL47" s="41"/>
      <c r="RTO47" s="32"/>
      <c r="RTQ47" s="12"/>
      <c r="RTS47" s="34"/>
      <c r="RTT47" s="39"/>
      <c r="RTU47" s="41"/>
      <c r="RTX47" s="32"/>
      <c r="RTZ47" s="12"/>
      <c r="RUB47" s="34"/>
      <c r="RUC47" s="39"/>
      <c r="RUD47" s="41"/>
      <c r="RUG47" s="32"/>
      <c r="RUI47" s="12"/>
      <c r="RUK47" s="34"/>
      <c r="RUL47" s="39"/>
      <c r="RUM47" s="41"/>
      <c r="RUP47" s="32"/>
      <c r="RUR47" s="12"/>
      <c r="RUT47" s="34"/>
      <c r="RUU47" s="39"/>
      <c r="RUV47" s="41"/>
      <c r="RUY47" s="32"/>
      <c r="RVA47" s="12"/>
      <c r="RVC47" s="34"/>
      <c r="RVD47" s="39"/>
      <c r="RVE47" s="41"/>
      <c r="RVH47" s="32"/>
      <c r="RVJ47" s="12"/>
      <c r="RVL47" s="34"/>
      <c r="RVM47" s="39"/>
      <c r="RVN47" s="41"/>
      <c r="RVQ47" s="32"/>
      <c r="RVS47" s="12"/>
      <c r="RVU47" s="34"/>
      <c r="RVV47" s="39"/>
      <c r="RVW47" s="41"/>
      <c r="RVZ47" s="32"/>
      <c r="RWB47" s="12"/>
      <c r="RWD47" s="34"/>
      <c r="RWE47" s="39"/>
      <c r="RWF47" s="41"/>
      <c r="RWI47" s="32"/>
      <c r="RWK47" s="12"/>
      <c r="RWM47" s="34"/>
      <c r="RWN47" s="39"/>
      <c r="RWO47" s="41"/>
      <c r="RWR47" s="32"/>
      <c r="RWT47" s="12"/>
      <c r="RWV47" s="34"/>
      <c r="RWW47" s="39"/>
      <c r="RWX47" s="41"/>
      <c r="RXA47" s="32"/>
      <c r="RXC47" s="12"/>
      <c r="RXE47" s="34"/>
      <c r="RXF47" s="39"/>
      <c r="RXG47" s="41"/>
      <c r="RXJ47" s="32"/>
      <c r="RXL47" s="12"/>
      <c r="RXN47" s="34"/>
      <c r="RXO47" s="39"/>
      <c r="RXP47" s="41"/>
      <c r="RXS47" s="32"/>
      <c r="RXU47" s="12"/>
      <c r="RXW47" s="34"/>
      <c r="RXX47" s="39"/>
      <c r="RXY47" s="41"/>
      <c r="RYB47" s="32"/>
      <c r="RYD47" s="12"/>
      <c r="RYF47" s="34"/>
      <c r="RYG47" s="39"/>
      <c r="RYH47" s="41"/>
      <c r="RYK47" s="32"/>
      <c r="RYM47" s="12"/>
      <c r="RYO47" s="34"/>
      <c r="RYP47" s="39"/>
      <c r="RYQ47" s="41"/>
      <c r="RYT47" s="32"/>
      <c r="RYV47" s="12"/>
      <c r="RYX47" s="34"/>
      <c r="RYY47" s="39"/>
      <c r="RYZ47" s="41"/>
      <c r="RZC47" s="32"/>
      <c r="RZE47" s="12"/>
      <c r="RZG47" s="34"/>
      <c r="RZH47" s="39"/>
      <c r="RZI47" s="41"/>
      <c r="RZL47" s="32"/>
      <c r="RZN47" s="12"/>
      <c r="RZP47" s="34"/>
      <c r="RZQ47" s="39"/>
      <c r="RZR47" s="41"/>
      <c r="RZU47" s="32"/>
      <c r="RZW47" s="12"/>
      <c r="RZY47" s="34"/>
      <c r="RZZ47" s="39"/>
      <c r="SAA47" s="41"/>
      <c r="SAD47" s="32"/>
      <c r="SAF47" s="12"/>
      <c r="SAH47" s="34"/>
      <c r="SAI47" s="39"/>
      <c r="SAJ47" s="41"/>
      <c r="SAM47" s="32"/>
      <c r="SAO47" s="12"/>
      <c r="SAQ47" s="34"/>
      <c r="SAR47" s="39"/>
      <c r="SAS47" s="41"/>
      <c r="SAV47" s="32"/>
      <c r="SAX47" s="12"/>
      <c r="SAZ47" s="34"/>
      <c r="SBA47" s="39"/>
      <c r="SBB47" s="41"/>
      <c r="SBE47" s="32"/>
      <c r="SBG47" s="12"/>
      <c r="SBI47" s="34"/>
      <c r="SBJ47" s="39"/>
      <c r="SBK47" s="41"/>
      <c r="SBN47" s="32"/>
      <c r="SBP47" s="12"/>
      <c r="SBR47" s="34"/>
      <c r="SBS47" s="39"/>
      <c r="SBT47" s="41"/>
      <c r="SBW47" s="32"/>
      <c r="SBY47" s="12"/>
      <c r="SCA47" s="34"/>
      <c r="SCB47" s="39"/>
      <c r="SCC47" s="41"/>
      <c r="SCF47" s="32"/>
      <c r="SCH47" s="12"/>
      <c r="SCJ47" s="34"/>
      <c r="SCK47" s="39"/>
      <c r="SCL47" s="41"/>
      <c r="SCO47" s="32"/>
      <c r="SCQ47" s="12"/>
      <c r="SCS47" s="34"/>
      <c r="SCT47" s="39"/>
      <c r="SCU47" s="41"/>
      <c r="SCX47" s="32"/>
      <c r="SCZ47" s="12"/>
      <c r="SDB47" s="34"/>
      <c r="SDC47" s="39"/>
      <c r="SDD47" s="41"/>
      <c r="SDG47" s="32"/>
      <c r="SDI47" s="12"/>
      <c r="SDK47" s="34"/>
      <c r="SDL47" s="39"/>
      <c r="SDM47" s="41"/>
      <c r="SDP47" s="32"/>
      <c r="SDR47" s="12"/>
      <c r="SDT47" s="34"/>
      <c r="SDU47" s="39"/>
      <c r="SDV47" s="41"/>
      <c r="SDY47" s="32"/>
      <c r="SEA47" s="12"/>
      <c r="SEC47" s="34"/>
      <c r="SED47" s="39"/>
      <c r="SEE47" s="41"/>
      <c r="SEH47" s="32"/>
      <c r="SEJ47" s="12"/>
      <c r="SEL47" s="34"/>
      <c r="SEM47" s="39"/>
      <c r="SEN47" s="41"/>
      <c r="SEQ47" s="32"/>
      <c r="SES47" s="12"/>
      <c r="SEU47" s="34"/>
      <c r="SEV47" s="39"/>
      <c r="SEW47" s="41"/>
      <c r="SEZ47" s="32"/>
      <c r="SFB47" s="12"/>
      <c r="SFD47" s="34"/>
      <c r="SFE47" s="39"/>
      <c r="SFF47" s="41"/>
      <c r="SFI47" s="32"/>
      <c r="SFK47" s="12"/>
      <c r="SFM47" s="34"/>
      <c r="SFN47" s="39"/>
      <c r="SFO47" s="41"/>
      <c r="SFR47" s="32"/>
      <c r="SFT47" s="12"/>
      <c r="SFV47" s="34"/>
      <c r="SFW47" s="39"/>
      <c r="SFX47" s="41"/>
      <c r="SGA47" s="32"/>
      <c r="SGC47" s="12"/>
      <c r="SGE47" s="34"/>
      <c r="SGF47" s="39"/>
      <c r="SGG47" s="41"/>
      <c r="SGJ47" s="32"/>
      <c r="SGL47" s="12"/>
      <c r="SGN47" s="34"/>
      <c r="SGO47" s="39"/>
      <c r="SGP47" s="41"/>
      <c r="SGS47" s="32"/>
      <c r="SGU47" s="12"/>
      <c r="SGW47" s="34"/>
      <c r="SGX47" s="39"/>
      <c r="SGY47" s="41"/>
      <c r="SHB47" s="32"/>
      <c r="SHD47" s="12"/>
      <c r="SHF47" s="34"/>
      <c r="SHG47" s="39"/>
      <c r="SHH47" s="41"/>
      <c r="SHK47" s="32"/>
      <c r="SHM47" s="12"/>
      <c r="SHO47" s="34"/>
      <c r="SHP47" s="39"/>
      <c r="SHQ47" s="41"/>
      <c r="SHT47" s="32"/>
      <c r="SHV47" s="12"/>
      <c r="SHX47" s="34"/>
      <c r="SHY47" s="39"/>
      <c r="SHZ47" s="41"/>
      <c r="SIC47" s="32"/>
      <c r="SIE47" s="12"/>
      <c r="SIG47" s="34"/>
      <c r="SIH47" s="39"/>
      <c r="SII47" s="41"/>
      <c r="SIL47" s="32"/>
      <c r="SIN47" s="12"/>
      <c r="SIP47" s="34"/>
      <c r="SIQ47" s="39"/>
      <c r="SIR47" s="41"/>
      <c r="SIU47" s="32"/>
      <c r="SIW47" s="12"/>
      <c r="SIY47" s="34"/>
      <c r="SIZ47" s="39"/>
      <c r="SJA47" s="41"/>
      <c r="SJD47" s="32"/>
      <c r="SJF47" s="12"/>
      <c r="SJH47" s="34"/>
      <c r="SJI47" s="39"/>
      <c r="SJJ47" s="41"/>
      <c r="SJM47" s="32"/>
      <c r="SJO47" s="12"/>
      <c r="SJQ47" s="34"/>
      <c r="SJR47" s="39"/>
      <c r="SJS47" s="41"/>
      <c r="SJV47" s="32"/>
      <c r="SJX47" s="12"/>
      <c r="SJZ47" s="34"/>
      <c r="SKA47" s="39"/>
      <c r="SKB47" s="41"/>
      <c r="SKE47" s="32"/>
      <c r="SKG47" s="12"/>
      <c r="SKI47" s="34"/>
      <c r="SKJ47" s="39"/>
      <c r="SKK47" s="41"/>
      <c r="SKN47" s="32"/>
      <c r="SKP47" s="12"/>
      <c r="SKR47" s="34"/>
      <c r="SKS47" s="39"/>
      <c r="SKT47" s="41"/>
      <c r="SKW47" s="32"/>
      <c r="SKY47" s="12"/>
      <c r="SLA47" s="34"/>
      <c r="SLB47" s="39"/>
      <c r="SLC47" s="41"/>
      <c r="SLF47" s="32"/>
      <c r="SLH47" s="12"/>
      <c r="SLJ47" s="34"/>
      <c r="SLK47" s="39"/>
      <c r="SLL47" s="41"/>
      <c r="SLO47" s="32"/>
      <c r="SLQ47" s="12"/>
      <c r="SLS47" s="34"/>
      <c r="SLT47" s="39"/>
      <c r="SLU47" s="41"/>
      <c r="SLX47" s="32"/>
      <c r="SLZ47" s="12"/>
      <c r="SMB47" s="34"/>
      <c r="SMC47" s="39"/>
      <c r="SMD47" s="41"/>
      <c r="SMG47" s="32"/>
      <c r="SMI47" s="12"/>
      <c r="SMK47" s="34"/>
      <c r="SML47" s="39"/>
      <c r="SMM47" s="41"/>
      <c r="SMP47" s="32"/>
      <c r="SMR47" s="12"/>
      <c r="SMT47" s="34"/>
      <c r="SMU47" s="39"/>
      <c r="SMV47" s="41"/>
      <c r="SMY47" s="32"/>
      <c r="SNA47" s="12"/>
      <c r="SNC47" s="34"/>
      <c r="SND47" s="39"/>
      <c r="SNE47" s="41"/>
      <c r="SNH47" s="32"/>
      <c r="SNJ47" s="12"/>
      <c r="SNL47" s="34"/>
      <c r="SNM47" s="39"/>
      <c r="SNN47" s="41"/>
      <c r="SNQ47" s="32"/>
      <c r="SNS47" s="12"/>
      <c r="SNU47" s="34"/>
      <c r="SNV47" s="39"/>
      <c r="SNW47" s="41"/>
      <c r="SNZ47" s="32"/>
      <c r="SOB47" s="12"/>
      <c r="SOD47" s="34"/>
      <c r="SOE47" s="39"/>
      <c r="SOF47" s="41"/>
      <c r="SOI47" s="32"/>
      <c r="SOK47" s="12"/>
      <c r="SOM47" s="34"/>
      <c r="SON47" s="39"/>
      <c r="SOO47" s="41"/>
      <c r="SOR47" s="32"/>
      <c r="SOT47" s="12"/>
      <c r="SOV47" s="34"/>
      <c r="SOW47" s="39"/>
      <c r="SOX47" s="41"/>
      <c r="SPA47" s="32"/>
      <c r="SPC47" s="12"/>
      <c r="SPE47" s="34"/>
      <c r="SPF47" s="39"/>
      <c r="SPG47" s="41"/>
      <c r="SPJ47" s="32"/>
      <c r="SPL47" s="12"/>
      <c r="SPN47" s="34"/>
      <c r="SPO47" s="39"/>
      <c r="SPP47" s="41"/>
      <c r="SPS47" s="32"/>
      <c r="SPU47" s="12"/>
      <c r="SPW47" s="34"/>
      <c r="SPX47" s="39"/>
      <c r="SPY47" s="41"/>
      <c r="SQB47" s="32"/>
      <c r="SQD47" s="12"/>
      <c r="SQF47" s="34"/>
      <c r="SQG47" s="39"/>
      <c r="SQH47" s="41"/>
      <c r="SQK47" s="32"/>
      <c r="SQM47" s="12"/>
      <c r="SQO47" s="34"/>
      <c r="SQP47" s="39"/>
      <c r="SQQ47" s="41"/>
      <c r="SQT47" s="32"/>
      <c r="SQV47" s="12"/>
      <c r="SQX47" s="34"/>
      <c r="SQY47" s="39"/>
      <c r="SQZ47" s="41"/>
      <c r="SRC47" s="32"/>
      <c r="SRE47" s="12"/>
      <c r="SRG47" s="34"/>
      <c r="SRH47" s="39"/>
      <c r="SRI47" s="41"/>
      <c r="SRL47" s="32"/>
      <c r="SRN47" s="12"/>
      <c r="SRP47" s="34"/>
      <c r="SRQ47" s="39"/>
      <c r="SRR47" s="41"/>
      <c r="SRU47" s="32"/>
      <c r="SRW47" s="12"/>
      <c r="SRY47" s="34"/>
      <c r="SRZ47" s="39"/>
      <c r="SSA47" s="41"/>
      <c r="SSD47" s="32"/>
      <c r="SSF47" s="12"/>
      <c r="SSH47" s="34"/>
      <c r="SSI47" s="39"/>
      <c r="SSJ47" s="41"/>
      <c r="SSM47" s="32"/>
      <c r="SSO47" s="12"/>
      <c r="SSQ47" s="34"/>
      <c r="SSR47" s="39"/>
      <c r="SSS47" s="41"/>
      <c r="SSV47" s="32"/>
      <c r="SSX47" s="12"/>
      <c r="SSZ47" s="34"/>
      <c r="STA47" s="39"/>
      <c r="STB47" s="41"/>
      <c r="STE47" s="32"/>
      <c r="STG47" s="12"/>
      <c r="STI47" s="34"/>
      <c r="STJ47" s="39"/>
      <c r="STK47" s="41"/>
      <c r="STN47" s="32"/>
      <c r="STP47" s="12"/>
      <c r="STR47" s="34"/>
      <c r="STS47" s="39"/>
      <c r="STT47" s="41"/>
      <c r="STW47" s="32"/>
      <c r="STY47" s="12"/>
      <c r="SUA47" s="34"/>
      <c r="SUB47" s="39"/>
      <c r="SUC47" s="41"/>
      <c r="SUF47" s="32"/>
      <c r="SUH47" s="12"/>
      <c r="SUJ47" s="34"/>
      <c r="SUK47" s="39"/>
      <c r="SUL47" s="41"/>
      <c r="SUO47" s="32"/>
      <c r="SUQ47" s="12"/>
      <c r="SUS47" s="34"/>
      <c r="SUT47" s="39"/>
      <c r="SUU47" s="41"/>
      <c r="SUX47" s="32"/>
      <c r="SUZ47" s="12"/>
      <c r="SVB47" s="34"/>
      <c r="SVC47" s="39"/>
      <c r="SVD47" s="41"/>
      <c r="SVG47" s="32"/>
      <c r="SVI47" s="12"/>
      <c r="SVK47" s="34"/>
      <c r="SVL47" s="39"/>
      <c r="SVM47" s="41"/>
      <c r="SVP47" s="32"/>
      <c r="SVR47" s="12"/>
      <c r="SVT47" s="34"/>
      <c r="SVU47" s="39"/>
      <c r="SVV47" s="41"/>
      <c r="SVY47" s="32"/>
      <c r="SWA47" s="12"/>
      <c r="SWC47" s="34"/>
      <c r="SWD47" s="39"/>
      <c r="SWE47" s="41"/>
      <c r="SWH47" s="32"/>
      <c r="SWJ47" s="12"/>
      <c r="SWL47" s="34"/>
      <c r="SWM47" s="39"/>
      <c r="SWN47" s="41"/>
      <c r="SWQ47" s="32"/>
      <c r="SWS47" s="12"/>
      <c r="SWU47" s="34"/>
      <c r="SWV47" s="39"/>
      <c r="SWW47" s="41"/>
      <c r="SWZ47" s="32"/>
      <c r="SXB47" s="12"/>
      <c r="SXD47" s="34"/>
      <c r="SXE47" s="39"/>
      <c r="SXF47" s="41"/>
      <c r="SXI47" s="32"/>
      <c r="SXK47" s="12"/>
      <c r="SXM47" s="34"/>
      <c r="SXN47" s="39"/>
      <c r="SXO47" s="41"/>
      <c r="SXR47" s="32"/>
      <c r="SXT47" s="12"/>
      <c r="SXV47" s="34"/>
      <c r="SXW47" s="39"/>
      <c r="SXX47" s="41"/>
      <c r="SYA47" s="32"/>
      <c r="SYC47" s="12"/>
      <c r="SYE47" s="34"/>
      <c r="SYF47" s="39"/>
      <c r="SYG47" s="41"/>
      <c r="SYJ47" s="32"/>
      <c r="SYL47" s="12"/>
      <c r="SYN47" s="34"/>
      <c r="SYO47" s="39"/>
      <c r="SYP47" s="41"/>
      <c r="SYS47" s="32"/>
      <c r="SYU47" s="12"/>
      <c r="SYW47" s="34"/>
      <c r="SYX47" s="39"/>
      <c r="SYY47" s="41"/>
      <c r="SZB47" s="32"/>
      <c r="SZD47" s="12"/>
      <c r="SZF47" s="34"/>
      <c r="SZG47" s="39"/>
      <c r="SZH47" s="41"/>
      <c r="SZK47" s="32"/>
      <c r="SZM47" s="12"/>
      <c r="SZO47" s="34"/>
      <c r="SZP47" s="39"/>
      <c r="SZQ47" s="41"/>
      <c r="SZT47" s="32"/>
      <c r="SZV47" s="12"/>
      <c r="SZX47" s="34"/>
      <c r="SZY47" s="39"/>
      <c r="SZZ47" s="41"/>
      <c r="TAC47" s="32"/>
      <c r="TAE47" s="12"/>
      <c r="TAG47" s="34"/>
      <c r="TAH47" s="39"/>
      <c r="TAI47" s="41"/>
      <c r="TAL47" s="32"/>
      <c r="TAN47" s="12"/>
      <c r="TAP47" s="34"/>
      <c r="TAQ47" s="39"/>
      <c r="TAR47" s="41"/>
      <c r="TAU47" s="32"/>
      <c r="TAW47" s="12"/>
      <c r="TAY47" s="34"/>
      <c r="TAZ47" s="39"/>
      <c r="TBA47" s="41"/>
      <c r="TBD47" s="32"/>
      <c r="TBF47" s="12"/>
      <c r="TBH47" s="34"/>
      <c r="TBI47" s="39"/>
      <c r="TBJ47" s="41"/>
      <c r="TBM47" s="32"/>
      <c r="TBO47" s="12"/>
      <c r="TBQ47" s="34"/>
      <c r="TBR47" s="39"/>
      <c r="TBS47" s="41"/>
      <c r="TBV47" s="32"/>
      <c r="TBX47" s="12"/>
      <c r="TBZ47" s="34"/>
      <c r="TCA47" s="39"/>
      <c r="TCB47" s="41"/>
      <c r="TCE47" s="32"/>
      <c r="TCG47" s="12"/>
      <c r="TCI47" s="34"/>
      <c r="TCJ47" s="39"/>
      <c r="TCK47" s="41"/>
      <c r="TCN47" s="32"/>
      <c r="TCP47" s="12"/>
      <c r="TCR47" s="34"/>
      <c r="TCS47" s="39"/>
      <c r="TCT47" s="41"/>
      <c r="TCW47" s="32"/>
      <c r="TCY47" s="12"/>
      <c r="TDA47" s="34"/>
      <c r="TDB47" s="39"/>
      <c r="TDC47" s="41"/>
      <c r="TDF47" s="32"/>
      <c r="TDH47" s="12"/>
      <c r="TDJ47" s="34"/>
      <c r="TDK47" s="39"/>
      <c r="TDL47" s="41"/>
      <c r="TDO47" s="32"/>
      <c r="TDQ47" s="12"/>
      <c r="TDS47" s="34"/>
      <c r="TDT47" s="39"/>
      <c r="TDU47" s="41"/>
      <c r="TDX47" s="32"/>
      <c r="TDZ47" s="12"/>
      <c r="TEB47" s="34"/>
      <c r="TEC47" s="39"/>
      <c r="TED47" s="41"/>
      <c r="TEG47" s="32"/>
      <c r="TEI47" s="12"/>
      <c r="TEK47" s="34"/>
      <c r="TEL47" s="39"/>
      <c r="TEM47" s="41"/>
      <c r="TEP47" s="32"/>
      <c r="TER47" s="12"/>
      <c r="TET47" s="34"/>
      <c r="TEU47" s="39"/>
      <c r="TEV47" s="41"/>
      <c r="TEY47" s="32"/>
      <c r="TFA47" s="12"/>
      <c r="TFC47" s="34"/>
      <c r="TFD47" s="39"/>
      <c r="TFE47" s="41"/>
      <c r="TFH47" s="32"/>
      <c r="TFJ47" s="12"/>
      <c r="TFL47" s="34"/>
      <c r="TFM47" s="39"/>
      <c r="TFN47" s="41"/>
      <c r="TFQ47" s="32"/>
      <c r="TFS47" s="12"/>
      <c r="TFU47" s="34"/>
      <c r="TFV47" s="39"/>
      <c r="TFW47" s="41"/>
      <c r="TFZ47" s="32"/>
      <c r="TGB47" s="12"/>
      <c r="TGD47" s="34"/>
      <c r="TGE47" s="39"/>
      <c r="TGF47" s="41"/>
      <c r="TGI47" s="32"/>
      <c r="TGK47" s="12"/>
      <c r="TGM47" s="34"/>
      <c r="TGN47" s="39"/>
      <c r="TGO47" s="41"/>
      <c r="TGR47" s="32"/>
      <c r="TGT47" s="12"/>
      <c r="TGV47" s="34"/>
      <c r="TGW47" s="39"/>
      <c r="TGX47" s="41"/>
      <c r="THA47" s="32"/>
      <c r="THC47" s="12"/>
      <c r="THE47" s="34"/>
      <c r="THF47" s="39"/>
      <c r="THG47" s="41"/>
      <c r="THJ47" s="32"/>
      <c r="THL47" s="12"/>
      <c r="THN47" s="34"/>
      <c r="THO47" s="39"/>
      <c r="THP47" s="41"/>
      <c r="THS47" s="32"/>
      <c r="THU47" s="12"/>
      <c r="THW47" s="34"/>
      <c r="THX47" s="39"/>
      <c r="THY47" s="41"/>
      <c r="TIB47" s="32"/>
      <c r="TID47" s="12"/>
      <c r="TIF47" s="34"/>
      <c r="TIG47" s="39"/>
      <c r="TIH47" s="41"/>
      <c r="TIK47" s="32"/>
      <c r="TIM47" s="12"/>
      <c r="TIO47" s="34"/>
      <c r="TIP47" s="39"/>
      <c r="TIQ47" s="41"/>
      <c r="TIT47" s="32"/>
      <c r="TIV47" s="12"/>
      <c r="TIX47" s="34"/>
      <c r="TIY47" s="39"/>
      <c r="TIZ47" s="41"/>
      <c r="TJC47" s="32"/>
      <c r="TJE47" s="12"/>
      <c r="TJG47" s="34"/>
      <c r="TJH47" s="39"/>
      <c r="TJI47" s="41"/>
      <c r="TJL47" s="32"/>
      <c r="TJN47" s="12"/>
      <c r="TJP47" s="34"/>
      <c r="TJQ47" s="39"/>
      <c r="TJR47" s="41"/>
      <c r="TJU47" s="32"/>
      <c r="TJW47" s="12"/>
      <c r="TJY47" s="34"/>
      <c r="TJZ47" s="39"/>
      <c r="TKA47" s="41"/>
      <c r="TKD47" s="32"/>
      <c r="TKF47" s="12"/>
      <c r="TKH47" s="34"/>
      <c r="TKI47" s="39"/>
      <c r="TKJ47" s="41"/>
      <c r="TKM47" s="32"/>
      <c r="TKO47" s="12"/>
      <c r="TKQ47" s="34"/>
      <c r="TKR47" s="39"/>
      <c r="TKS47" s="41"/>
      <c r="TKV47" s="32"/>
      <c r="TKX47" s="12"/>
      <c r="TKZ47" s="34"/>
      <c r="TLA47" s="39"/>
      <c r="TLB47" s="41"/>
      <c r="TLE47" s="32"/>
      <c r="TLG47" s="12"/>
      <c r="TLI47" s="34"/>
      <c r="TLJ47" s="39"/>
      <c r="TLK47" s="41"/>
      <c r="TLN47" s="32"/>
      <c r="TLP47" s="12"/>
      <c r="TLR47" s="34"/>
      <c r="TLS47" s="39"/>
      <c r="TLT47" s="41"/>
      <c r="TLW47" s="32"/>
      <c r="TLY47" s="12"/>
      <c r="TMA47" s="34"/>
      <c r="TMB47" s="39"/>
      <c r="TMC47" s="41"/>
      <c r="TMF47" s="32"/>
      <c r="TMH47" s="12"/>
      <c r="TMJ47" s="34"/>
      <c r="TMK47" s="39"/>
      <c r="TML47" s="41"/>
      <c r="TMO47" s="32"/>
      <c r="TMQ47" s="12"/>
      <c r="TMS47" s="34"/>
      <c r="TMT47" s="39"/>
      <c r="TMU47" s="41"/>
      <c r="TMX47" s="32"/>
      <c r="TMZ47" s="12"/>
      <c r="TNB47" s="34"/>
      <c r="TNC47" s="39"/>
      <c r="TND47" s="41"/>
      <c r="TNG47" s="32"/>
      <c r="TNI47" s="12"/>
      <c r="TNK47" s="34"/>
      <c r="TNL47" s="39"/>
      <c r="TNM47" s="41"/>
      <c r="TNP47" s="32"/>
      <c r="TNR47" s="12"/>
      <c r="TNT47" s="34"/>
      <c r="TNU47" s="39"/>
      <c r="TNV47" s="41"/>
      <c r="TNY47" s="32"/>
      <c r="TOA47" s="12"/>
      <c r="TOC47" s="34"/>
      <c r="TOD47" s="39"/>
      <c r="TOE47" s="41"/>
      <c r="TOH47" s="32"/>
      <c r="TOJ47" s="12"/>
      <c r="TOL47" s="34"/>
      <c r="TOM47" s="39"/>
      <c r="TON47" s="41"/>
      <c r="TOQ47" s="32"/>
      <c r="TOS47" s="12"/>
      <c r="TOU47" s="34"/>
      <c r="TOV47" s="39"/>
      <c r="TOW47" s="41"/>
      <c r="TOZ47" s="32"/>
      <c r="TPB47" s="12"/>
      <c r="TPD47" s="34"/>
      <c r="TPE47" s="39"/>
      <c r="TPF47" s="41"/>
      <c r="TPI47" s="32"/>
      <c r="TPK47" s="12"/>
      <c r="TPM47" s="34"/>
      <c r="TPN47" s="39"/>
      <c r="TPO47" s="41"/>
      <c r="TPR47" s="32"/>
      <c r="TPT47" s="12"/>
      <c r="TPV47" s="34"/>
      <c r="TPW47" s="39"/>
      <c r="TPX47" s="41"/>
      <c r="TQA47" s="32"/>
      <c r="TQC47" s="12"/>
      <c r="TQE47" s="34"/>
      <c r="TQF47" s="39"/>
      <c r="TQG47" s="41"/>
      <c r="TQJ47" s="32"/>
      <c r="TQL47" s="12"/>
      <c r="TQN47" s="34"/>
      <c r="TQO47" s="39"/>
      <c r="TQP47" s="41"/>
      <c r="TQS47" s="32"/>
      <c r="TQU47" s="12"/>
      <c r="TQW47" s="34"/>
      <c r="TQX47" s="39"/>
      <c r="TQY47" s="41"/>
      <c r="TRB47" s="32"/>
      <c r="TRD47" s="12"/>
      <c r="TRF47" s="34"/>
      <c r="TRG47" s="39"/>
      <c r="TRH47" s="41"/>
      <c r="TRK47" s="32"/>
      <c r="TRM47" s="12"/>
      <c r="TRO47" s="34"/>
      <c r="TRP47" s="39"/>
      <c r="TRQ47" s="41"/>
      <c r="TRT47" s="32"/>
      <c r="TRV47" s="12"/>
      <c r="TRX47" s="34"/>
      <c r="TRY47" s="39"/>
      <c r="TRZ47" s="41"/>
      <c r="TSC47" s="32"/>
      <c r="TSE47" s="12"/>
      <c r="TSG47" s="34"/>
      <c r="TSH47" s="39"/>
      <c r="TSI47" s="41"/>
      <c r="TSL47" s="32"/>
      <c r="TSN47" s="12"/>
      <c r="TSP47" s="34"/>
      <c r="TSQ47" s="39"/>
      <c r="TSR47" s="41"/>
      <c r="TSU47" s="32"/>
      <c r="TSW47" s="12"/>
      <c r="TSY47" s="34"/>
      <c r="TSZ47" s="39"/>
      <c r="TTA47" s="41"/>
      <c r="TTD47" s="32"/>
      <c r="TTF47" s="12"/>
      <c r="TTH47" s="34"/>
      <c r="TTI47" s="39"/>
      <c r="TTJ47" s="41"/>
      <c r="TTM47" s="32"/>
      <c r="TTO47" s="12"/>
      <c r="TTQ47" s="34"/>
      <c r="TTR47" s="39"/>
      <c r="TTS47" s="41"/>
      <c r="TTV47" s="32"/>
      <c r="TTX47" s="12"/>
      <c r="TTZ47" s="34"/>
      <c r="TUA47" s="39"/>
      <c r="TUB47" s="41"/>
      <c r="TUE47" s="32"/>
      <c r="TUG47" s="12"/>
      <c r="TUI47" s="34"/>
      <c r="TUJ47" s="39"/>
      <c r="TUK47" s="41"/>
      <c r="TUN47" s="32"/>
      <c r="TUP47" s="12"/>
      <c r="TUR47" s="34"/>
      <c r="TUS47" s="39"/>
      <c r="TUT47" s="41"/>
      <c r="TUW47" s="32"/>
      <c r="TUY47" s="12"/>
      <c r="TVA47" s="34"/>
      <c r="TVB47" s="39"/>
      <c r="TVC47" s="41"/>
      <c r="TVF47" s="32"/>
      <c r="TVH47" s="12"/>
      <c r="TVJ47" s="34"/>
      <c r="TVK47" s="39"/>
      <c r="TVL47" s="41"/>
      <c r="TVO47" s="32"/>
      <c r="TVQ47" s="12"/>
      <c r="TVS47" s="34"/>
      <c r="TVT47" s="39"/>
      <c r="TVU47" s="41"/>
      <c r="TVX47" s="32"/>
      <c r="TVZ47" s="12"/>
      <c r="TWB47" s="34"/>
      <c r="TWC47" s="39"/>
      <c r="TWD47" s="41"/>
      <c r="TWG47" s="32"/>
      <c r="TWI47" s="12"/>
      <c r="TWK47" s="34"/>
      <c r="TWL47" s="39"/>
      <c r="TWM47" s="41"/>
      <c r="TWP47" s="32"/>
      <c r="TWR47" s="12"/>
      <c r="TWT47" s="34"/>
      <c r="TWU47" s="39"/>
      <c r="TWV47" s="41"/>
      <c r="TWY47" s="32"/>
      <c r="TXA47" s="12"/>
      <c r="TXC47" s="34"/>
      <c r="TXD47" s="39"/>
      <c r="TXE47" s="41"/>
      <c r="TXH47" s="32"/>
      <c r="TXJ47" s="12"/>
      <c r="TXL47" s="34"/>
      <c r="TXM47" s="39"/>
      <c r="TXN47" s="41"/>
      <c r="TXQ47" s="32"/>
      <c r="TXS47" s="12"/>
      <c r="TXU47" s="34"/>
      <c r="TXV47" s="39"/>
      <c r="TXW47" s="41"/>
      <c r="TXZ47" s="32"/>
      <c r="TYB47" s="12"/>
      <c r="TYD47" s="34"/>
      <c r="TYE47" s="39"/>
      <c r="TYF47" s="41"/>
      <c r="TYI47" s="32"/>
      <c r="TYK47" s="12"/>
      <c r="TYM47" s="34"/>
      <c r="TYN47" s="39"/>
      <c r="TYO47" s="41"/>
      <c r="TYR47" s="32"/>
      <c r="TYT47" s="12"/>
      <c r="TYV47" s="34"/>
      <c r="TYW47" s="39"/>
      <c r="TYX47" s="41"/>
      <c r="TZA47" s="32"/>
      <c r="TZC47" s="12"/>
      <c r="TZE47" s="34"/>
      <c r="TZF47" s="39"/>
      <c r="TZG47" s="41"/>
      <c r="TZJ47" s="32"/>
      <c r="TZL47" s="12"/>
      <c r="TZN47" s="34"/>
      <c r="TZO47" s="39"/>
      <c r="TZP47" s="41"/>
      <c r="TZS47" s="32"/>
      <c r="TZU47" s="12"/>
      <c r="TZW47" s="34"/>
      <c r="TZX47" s="39"/>
      <c r="TZY47" s="41"/>
      <c r="UAB47" s="32"/>
      <c r="UAD47" s="12"/>
      <c r="UAF47" s="34"/>
      <c r="UAG47" s="39"/>
      <c r="UAH47" s="41"/>
      <c r="UAK47" s="32"/>
      <c r="UAM47" s="12"/>
      <c r="UAO47" s="34"/>
      <c r="UAP47" s="39"/>
      <c r="UAQ47" s="41"/>
      <c r="UAT47" s="32"/>
      <c r="UAV47" s="12"/>
      <c r="UAX47" s="34"/>
      <c r="UAY47" s="39"/>
      <c r="UAZ47" s="41"/>
      <c r="UBC47" s="32"/>
      <c r="UBE47" s="12"/>
      <c r="UBG47" s="34"/>
      <c r="UBH47" s="39"/>
      <c r="UBI47" s="41"/>
      <c r="UBL47" s="32"/>
      <c r="UBN47" s="12"/>
      <c r="UBP47" s="34"/>
      <c r="UBQ47" s="39"/>
      <c r="UBR47" s="41"/>
      <c r="UBU47" s="32"/>
      <c r="UBW47" s="12"/>
      <c r="UBY47" s="34"/>
      <c r="UBZ47" s="39"/>
      <c r="UCA47" s="41"/>
      <c r="UCD47" s="32"/>
      <c r="UCF47" s="12"/>
      <c r="UCH47" s="34"/>
      <c r="UCI47" s="39"/>
      <c r="UCJ47" s="41"/>
      <c r="UCM47" s="32"/>
      <c r="UCO47" s="12"/>
      <c r="UCQ47" s="34"/>
      <c r="UCR47" s="39"/>
      <c r="UCS47" s="41"/>
      <c r="UCV47" s="32"/>
      <c r="UCX47" s="12"/>
      <c r="UCZ47" s="34"/>
      <c r="UDA47" s="39"/>
      <c r="UDB47" s="41"/>
      <c r="UDE47" s="32"/>
      <c r="UDG47" s="12"/>
      <c r="UDI47" s="34"/>
      <c r="UDJ47" s="39"/>
      <c r="UDK47" s="41"/>
      <c r="UDN47" s="32"/>
      <c r="UDP47" s="12"/>
      <c r="UDR47" s="34"/>
      <c r="UDS47" s="39"/>
      <c r="UDT47" s="41"/>
      <c r="UDW47" s="32"/>
      <c r="UDY47" s="12"/>
      <c r="UEA47" s="34"/>
      <c r="UEB47" s="39"/>
      <c r="UEC47" s="41"/>
      <c r="UEF47" s="32"/>
      <c r="UEH47" s="12"/>
      <c r="UEJ47" s="34"/>
      <c r="UEK47" s="39"/>
      <c r="UEL47" s="41"/>
      <c r="UEO47" s="32"/>
      <c r="UEQ47" s="12"/>
      <c r="UES47" s="34"/>
      <c r="UET47" s="39"/>
      <c r="UEU47" s="41"/>
      <c r="UEX47" s="32"/>
      <c r="UEZ47" s="12"/>
      <c r="UFB47" s="34"/>
      <c r="UFC47" s="39"/>
      <c r="UFD47" s="41"/>
      <c r="UFG47" s="32"/>
      <c r="UFI47" s="12"/>
      <c r="UFK47" s="34"/>
      <c r="UFL47" s="39"/>
      <c r="UFM47" s="41"/>
      <c r="UFP47" s="32"/>
      <c r="UFR47" s="12"/>
      <c r="UFT47" s="34"/>
      <c r="UFU47" s="39"/>
      <c r="UFV47" s="41"/>
      <c r="UFY47" s="32"/>
      <c r="UGA47" s="12"/>
      <c r="UGC47" s="34"/>
      <c r="UGD47" s="39"/>
      <c r="UGE47" s="41"/>
      <c r="UGH47" s="32"/>
      <c r="UGJ47" s="12"/>
      <c r="UGL47" s="34"/>
      <c r="UGM47" s="39"/>
      <c r="UGN47" s="41"/>
      <c r="UGQ47" s="32"/>
      <c r="UGS47" s="12"/>
      <c r="UGU47" s="34"/>
      <c r="UGV47" s="39"/>
      <c r="UGW47" s="41"/>
      <c r="UGZ47" s="32"/>
      <c r="UHB47" s="12"/>
      <c r="UHD47" s="34"/>
      <c r="UHE47" s="39"/>
      <c r="UHF47" s="41"/>
      <c r="UHI47" s="32"/>
      <c r="UHK47" s="12"/>
      <c r="UHM47" s="34"/>
      <c r="UHN47" s="39"/>
      <c r="UHO47" s="41"/>
      <c r="UHR47" s="32"/>
      <c r="UHT47" s="12"/>
      <c r="UHV47" s="34"/>
      <c r="UHW47" s="39"/>
      <c r="UHX47" s="41"/>
      <c r="UIA47" s="32"/>
      <c r="UIC47" s="12"/>
      <c r="UIE47" s="34"/>
      <c r="UIF47" s="39"/>
      <c r="UIG47" s="41"/>
      <c r="UIJ47" s="32"/>
      <c r="UIL47" s="12"/>
      <c r="UIN47" s="34"/>
      <c r="UIO47" s="39"/>
      <c r="UIP47" s="41"/>
      <c r="UIS47" s="32"/>
      <c r="UIU47" s="12"/>
      <c r="UIW47" s="34"/>
      <c r="UIX47" s="39"/>
      <c r="UIY47" s="41"/>
      <c r="UJB47" s="32"/>
      <c r="UJD47" s="12"/>
      <c r="UJF47" s="34"/>
      <c r="UJG47" s="39"/>
      <c r="UJH47" s="41"/>
      <c r="UJK47" s="32"/>
      <c r="UJM47" s="12"/>
      <c r="UJO47" s="34"/>
      <c r="UJP47" s="39"/>
      <c r="UJQ47" s="41"/>
      <c r="UJT47" s="32"/>
      <c r="UJV47" s="12"/>
      <c r="UJX47" s="34"/>
      <c r="UJY47" s="39"/>
      <c r="UJZ47" s="41"/>
      <c r="UKC47" s="32"/>
      <c r="UKE47" s="12"/>
      <c r="UKG47" s="34"/>
      <c r="UKH47" s="39"/>
      <c r="UKI47" s="41"/>
      <c r="UKL47" s="32"/>
      <c r="UKN47" s="12"/>
      <c r="UKP47" s="34"/>
      <c r="UKQ47" s="39"/>
      <c r="UKR47" s="41"/>
      <c r="UKU47" s="32"/>
      <c r="UKW47" s="12"/>
      <c r="UKY47" s="34"/>
      <c r="UKZ47" s="39"/>
      <c r="ULA47" s="41"/>
      <c r="ULD47" s="32"/>
      <c r="ULF47" s="12"/>
      <c r="ULH47" s="34"/>
      <c r="ULI47" s="39"/>
      <c r="ULJ47" s="41"/>
      <c r="ULM47" s="32"/>
      <c r="ULO47" s="12"/>
      <c r="ULQ47" s="34"/>
      <c r="ULR47" s="39"/>
      <c r="ULS47" s="41"/>
      <c r="ULV47" s="32"/>
      <c r="ULX47" s="12"/>
      <c r="ULZ47" s="34"/>
      <c r="UMA47" s="39"/>
      <c r="UMB47" s="41"/>
      <c r="UME47" s="32"/>
      <c r="UMG47" s="12"/>
      <c r="UMI47" s="34"/>
      <c r="UMJ47" s="39"/>
      <c r="UMK47" s="41"/>
      <c r="UMN47" s="32"/>
      <c r="UMP47" s="12"/>
      <c r="UMR47" s="34"/>
      <c r="UMS47" s="39"/>
      <c r="UMT47" s="41"/>
      <c r="UMW47" s="32"/>
      <c r="UMY47" s="12"/>
      <c r="UNA47" s="34"/>
      <c r="UNB47" s="39"/>
      <c r="UNC47" s="41"/>
      <c r="UNF47" s="32"/>
      <c r="UNH47" s="12"/>
      <c r="UNJ47" s="34"/>
      <c r="UNK47" s="39"/>
      <c r="UNL47" s="41"/>
      <c r="UNO47" s="32"/>
      <c r="UNQ47" s="12"/>
      <c r="UNS47" s="34"/>
      <c r="UNT47" s="39"/>
      <c r="UNU47" s="41"/>
      <c r="UNX47" s="32"/>
      <c r="UNZ47" s="12"/>
      <c r="UOB47" s="34"/>
      <c r="UOC47" s="39"/>
      <c r="UOD47" s="41"/>
      <c r="UOG47" s="32"/>
      <c r="UOI47" s="12"/>
      <c r="UOK47" s="34"/>
      <c r="UOL47" s="39"/>
      <c r="UOM47" s="41"/>
      <c r="UOP47" s="32"/>
      <c r="UOR47" s="12"/>
      <c r="UOT47" s="34"/>
      <c r="UOU47" s="39"/>
      <c r="UOV47" s="41"/>
      <c r="UOY47" s="32"/>
      <c r="UPA47" s="12"/>
      <c r="UPC47" s="34"/>
      <c r="UPD47" s="39"/>
      <c r="UPE47" s="41"/>
      <c r="UPH47" s="32"/>
      <c r="UPJ47" s="12"/>
      <c r="UPL47" s="34"/>
      <c r="UPM47" s="39"/>
      <c r="UPN47" s="41"/>
      <c r="UPQ47" s="32"/>
      <c r="UPS47" s="12"/>
      <c r="UPU47" s="34"/>
      <c r="UPV47" s="39"/>
      <c r="UPW47" s="41"/>
      <c r="UPZ47" s="32"/>
      <c r="UQB47" s="12"/>
      <c r="UQD47" s="34"/>
      <c r="UQE47" s="39"/>
      <c r="UQF47" s="41"/>
      <c r="UQI47" s="32"/>
      <c r="UQK47" s="12"/>
      <c r="UQM47" s="34"/>
      <c r="UQN47" s="39"/>
      <c r="UQO47" s="41"/>
      <c r="UQR47" s="32"/>
      <c r="UQT47" s="12"/>
      <c r="UQV47" s="34"/>
      <c r="UQW47" s="39"/>
      <c r="UQX47" s="41"/>
      <c r="URA47" s="32"/>
      <c r="URC47" s="12"/>
      <c r="URE47" s="34"/>
      <c r="URF47" s="39"/>
      <c r="URG47" s="41"/>
      <c r="URJ47" s="32"/>
      <c r="URL47" s="12"/>
      <c r="URN47" s="34"/>
      <c r="URO47" s="39"/>
      <c r="URP47" s="41"/>
      <c r="URS47" s="32"/>
      <c r="URU47" s="12"/>
      <c r="URW47" s="34"/>
      <c r="URX47" s="39"/>
      <c r="URY47" s="41"/>
      <c r="USB47" s="32"/>
      <c r="USD47" s="12"/>
      <c r="USF47" s="34"/>
      <c r="USG47" s="39"/>
      <c r="USH47" s="41"/>
      <c r="USK47" s="32"/>
      <c r="USM47" s="12"/>
      <c r="USO47" s="34"/>
      <c r="USP47" s="39"/>
      <c r="USQ47" s="41"/>
      <c r="UST47" s="32"/>
      <c r="USV47" s="12"/>
      <c r="USX47" s="34"/>
      <c r="USY47" s="39"/>
      <c r="USZ47" s="41"/>
      <c r="UTC47" s="32"/>
      <c r="UTE47" s="12"/>
      <c r="UTG47" s="34"/>
      <c r="UTH47" s="39"/>
      <c r="UTI47" s="41"/>
      <c r="UTL47" s="32"/>
      <c r="UTN47" s="12"/>
      <c r="UTP47" s="34"/>
      <c r="UTQ47" s="39"/>
      <c r="UTR47" s="41"/>
      <c r="UTU47" s="32"/>
      <c r="UTW47" s="12"/>
      <c r="UTY47" s="34"/>
      <c r="UTZ47" s="39"/>
      <c r="UUA47" s="41"/>
      <c r="UUD47" s="32"/>
      <c r="UUF47" s="12"/>
      <c r="UUH47" s="34"/>
      <c r="UUI47" s="39"/>
      <c r="UUJ47" s="41"/>
      <c r="UUM47" s="32"/>
      <c r="UUO47" s="12"/>
      <c r="UUQ47" s="34"/>
      <c r="UUR47" s="39"/>
      <c r="UUS47" s="41"/>
      <c r="UUV47" s="32"/>
      <c r="UUX47" s="12"/>
      <c r="UUZ47" s="34"/>
      <c r="UVA47" s="39"/>
      <c r="UVB47" s="41"/>
      <c r="UVE47" s="32"/>
      <c r="UVG47" s="12"/>
      <c r="UVI47" s="34"/>
      <c r="UVJ47" s="39"/>
      <c r="UVK47" s="41"/>
      <c r="UVN47" s="32"/>
      <c r="UVP47" s="12"/>
      <c r="UVR47" s="34"/>
      <c r="UVS47" s="39"/>
      <c r="UVT47" s="41"/>
      <c r="UVW47" s="32"/>
      <c r="UVY47" s="12"/>
      <c r="UWA47" s="34"/>
      <c r="UWB47" s="39"/>
      <c r="UWC47" s="41"/>
      <c r="UWF47" s="32"/>
      <c r="UWH47" s="12"/>
      <c r="UWJ47" s="34"/>
      <c r="UWK47" s="39"/>
      <c r="UWL47" s="41"/>
      <c r="UWO47" s="32"/>
      <c r="UWQ47" s="12"/>
      <c r="UWS47" s="34"/>
      <c r="UWT47" s="39"/>
      <c r="UWU47" s="41"/>
      <c r="UWX47" s="32"/>
      <c r="UWZ47" s="12"/>
      <c r="UXB47" s="34"/>
      <c r="UXC47" s="39"/>
      <c r="UXD47" s="41"/>
      <c r="UXG47" s="32"/>
      <c r="UXI47" s="12"/>
      <c r="UXK47" s="34"/>
      <c r="UXL47" s="39"/>
      <c r="UXM47" s="41"/>
      <c r="UXP47" s="32"/>
      <c r="UXR47" s="12"/>
      <c r="UXT47" s="34"/>
      <c r="UXU47" s="39"/>
      <c r="UXV47" s="41"/>
      <c r="UXY47" s="32"/>
      <c r="UYA47" s="12"/>
      <c r="UYC47" s="34"/>
      <c r="UYD47" s="39"/>
      <c r="UYE47" s="41"/>
      <c r="UYH47" s="32"/>
      <c r="UYJ47" s="12"/>
      <c r="UYL47" s="34"/>
      <c r="UYM47" s="39"/>
      <c r="UYN47" s="41"/>
      <c r="UYQ47" s="32"/>
      <c r="UYS47" s="12"/>
      <c r="UYU47" s="34"/>
      <c r="UYV47" s="39"/>
      <c r="UYW47" s="41"/>
      <c r="UYZ47" s="32"/>
      <c r="UZB47" s="12"/>
      <c r="UZD47" s="34"/>
      <c r="UZE47" s="39"/>
      <c r="UZF47" s="41"/>
      <c r="UZI47" s="32"/>
      <c r="UZK47" s="12"/>
      <c r="UZM47" s="34"/>
      <c r="UZN47" s="39"/>
      <c r="UZO47" s="41"/>
      <c r="UZR47" s="32"/>
      <c r="UZT47" s="12"/>
      <c r="UZV47" s="34"/>
      <c r="UZW47" s="39"/>
      <c r="UZX47" s="41"/>
      <c r="VAA47" s="32"/>
      <c r="VAC47" s="12"/>
      <c r="VAE47" s="34"/>
      <c r="VAF47" s="39"/>
      <c r="VAG47" s="41"/>
      <c r="VAJ47" s="32"/>
      <c r="VAL47" s="12"/>
      <c r="VAN47" s="34"/>
      <c r="VAO47" s="39"/>
      <c r="VAP47" s="41"/>
      <c r="VAS47" s="32"/>
      <c r="VAU47" s="12"/>
      <c r="VAW47" s="34"/>
      <c r="VAX47" s="39"/>
      <c r="VAY47" s="41"/>
      <c r="VBB47" s="32"/>
      <c r="VBD47" s="12"/>
      <c r="VBF47" s="34"/>
      <c r="VBG47" s="39"/>
      <c r="VBH47" s="41"/>
      <c r="VBK47" s="32"/>
      <c r="VBM47" s="12"/>
      <c r="VBO47" s="34"/>
      <c r="VBP47" s="39"/>
      <c r="VBQ47" s="41"/>
      <c r="VBT47" s="32"/>
      <c r="VBV47" s="12"/>
      <c r="VBX47" s="34"/>
      <c r="VBY47" s="39"/>
      <c r="VBZ47" s="41"/>
      <c r="VCC47" s="32"/>
      <c r="VCE47" s="12"/>
      <c r="VCG47" s="34"/>
      <c r="VCH47" s="39"/>
      <c r="VCI47" s="41"/>
      <c r="VCL47" s="32"/>
      <c r="VCN47" s="12"/>
      <c r="VCP47" s="34"/>
      <c r="VCQ47" s="39"/>
      <c r="VCR47" s="41"/>
      <c r="VCU47" s="32"/>
      <c r="VCW47" s="12"/>
      <c r="VCY47" s="34"/>
      <c r="VCZ47" s="39"/>
      <c r="VDA47" s="41"/>
      <c r="VDD47" s="32"/>
      <c r="VDF47" s="12"/>
      <c r="VDH47" s="34"/>
      <c r="VDI47" s="39"/>
      <c r="VDJ47" s="41"/>
      <c r="VDM47" s="32"/>
      <c r="VDO47" s="12"/>
      <c r="VDQ47" s="34"/>
      <c r="VDR47" s="39"/>
      <c r="VDS47" s="41"/>
      <c r="VDV47" s="32"/>
      <c r="VDX47" s="12"/>
      <c r="VDZ47" s="34"/>
      <c r="VEA47" s="39"/>
      <c r="VEB47" s="41"/>
      <c r="VEE47" s="32"/>
      <c r="VEG47" s="12"/>
      <c r="VEI47" s="34"/>
      <c r="VEJ47" s="39"/>
      <c r="VEK47" s="41"/>
      <c r="VEN47" s="32"/>
      <c r="VEP47" s="12"/>
      <c r="VER47" s="34"/>
      <c r="VES47" s="39"/>
      <c r="VET47" s="41"/>
      <c r="VEW47" s="32"/>
      <c r="VEY47" s="12"/>
      <c r="VFA47" s="34"/>
      <c r="VFB47" s="39"/>
      <c r="VFC47" s="41"/>
      <c r="VFF47" s="32"/>
      <c r="VFH47" s="12"/>
      <c r="VFJ47" s="34"/>
      <c r="VFK47" s="39"/>
      <c r="VFL47" s="41"/>
      <c r="VFO47" s="32"/>
      <c r="VFQ47" s="12"/>
      <c r="VFS47" s="34"/>
      <c r="VFT47" s="39"/>
      <c r="VFU47" s="41"/>
      <c r="VFX47" s="32"/>
      <c r="VFZ47" s="12"/>
      <c r="VGB47" s="34"/>
      <c r="VGC47" s="39"/>
      <c r="VGD47" s="41"/>
      <c r="VGG47" s="32"/>
      <c r="VGI47" s="12"/>
      <c r="VGK47" s="34"/>
      <c r="VGL47" s="39"/>
      <c r="VGM47" s="41"/>
      <c r="VGP47" s="32"/>
      <c r="VGR47" s="12"/>
      <c r="VGT47" s="34"/>
      <c r="VGU47" s="39"/>
      <c r="VGV47" s="41"/>
      <c r="VGY47" s="32"/>
      <c r="VHA47" s="12"/>
      <c r="VHC47" s="34"/>
      <c r="VHD47" s="39"/>
      <c r="VHE47" s="41"/>
      <c r="VHH47" s="32"/>
      <c r="VHJ47" s="12"/>
      <c r="VHL47" s="34"/>
      <c r="VHM47" s="39"/>
      <c r="VHN47" s="41"/>
      <c r="VHQ47" s="32"/>
      <c r="VHS47" s="12"/>
      <c r="VHU47" s="34"/>
      <c r="VHV47" s="39"/>
      <c r="VHW47" s="41"/>
      <c r="VHZ47" s="32"/>
      <c r="VIB47" s="12"/>
      <c r="VID47" s="34"/>
      <c r="VIE47" s="39"/>
      <c r="VIF47" s="41"/>
      <c r="VII47" s="32"/>
      <c r="VIK47" s="12"/>
      <c r="VIM47" s="34"/>
      <c r="VIN47" s="39"/>
      <c r="VIO47" s="41"/>
      <c r="VIR47" s="32"/>
      <c r="VIT47" s="12"/>
      <c r="VIV47" s="34"/>
      <c r="VIW47" s="39"/>
      <c r="VIX47" s="41"/>
      <c r="VJA47" s="32"/>
      <c r="VJC47" s="12"/>
      <c r="VJE47" s="34"/>
      <c r="VJF47" s="39"/>
      <c r="VJG47" s="41"/>
      <c r="VJJ47" s="32"/>
      <c r="VJL47" s="12"/>
      <c r="VJN47" s="34"/>
      <c r="VJO47" s="39"/>
      <c r="VJP47" s="41"/>
      <c r="VJS47" s="32"/>
      <c r="VJU47" s="12"/>
      <c r="VJW47" s="34"/>
      <c r="VJX47" s="39"/>
      <c r="VJY47" s="41"/>
      <c r="VKB47" s="32"/>
      <c r="VKD47" s="12"/>
      <c r="VKF47" s="34"/>
      <c r="VKG47" s="39"/>
      <c r="VKH47" s="41"/>
      <c r="VKK47" s="32"/>
      <c r="VKM47" s="12"/>
      <c r="VKO47" s="34"/>
      <c r="VKP47" s="39"/>
      <c r="VKQ47" s="41"/>
      <c r="VKT47" s="32"/>
      <c r="VKV47" s="12"/>
      <c r="VKX47" s="34"/>
      <c r="VKY47" s="39"/>
      <c r="VKZ47" s="41"/>
      <c r="VLC47" s="32"/>
      <c r="VLE47" s="12"/>
      <c r="VLG47" s="34"/>
      <c r="VLH47" s="39"/>
      <c r="VLI47" s="41"/>
      <c r="VLL47" s="32"/>
      <c r="VLN47" s="12"/>
      <c r="VLP47" s="34"/>
      <c r="VLQ47" s="39"/>
      <c r="VLR47" s="41"/>
      <c r="VLU47" s="32"/>
      <c r="VLW47" s="12"/>
      <c r="VLY47" s="34"/>
      <c r="VLZ47" s="39"/>
      <c r="VMA47" s="41"/>
      <c r="VMD47" s="32"/>
      <c r="VMF47" s="12"/>
      <c r="VMH47" s="34"/>
      <c r="VMI47" s="39"/>
      <c r="VMJ47" s="41"/>
      <c r="VMM47" s="32"/>
      <c r="VMO47" s="12"/>
      <c r="VMQ47" s="34"/>
      <c r="VMR47" s="39"/>
      <c r="VMS47" s="41"/>
      <c r="VMV47" s="32"/>
      <c r="VMX47" s="12"/>
      <c r="VMZ47" s="34"/>
      <c r="VNA47" s="39"/>
      <c r="VNB47" s="41"/>
      <c r="VNE47" s="32"/>
      <c r="VNG47" s="12"/>
      <c r="VNI47" s="34"/>
      <c r="VNJ47" s="39"/>
      <c r="VNK47" s="41"/>
      <c r="VNN47" s="32"/>
      <c r="VNP47" s="12"/>
      <c r="VNR47" s="34"/>
      <c r="VNS47" s="39"/>
      <c r="VNT47" s="41"/>
      <c r="VNW47" s="32"/>
      <c r="VNY47" s="12"/>
      <c r="VOA47" s="34"/>
      <c r="VOB47" s="39"/>
      <c r="VOC47" s="41"/>
      <c r="VOF47" s="32"/>
      <c r="VOH47" s="12"/>
      <c r="VOJ47" s="34"/>
      <c r="VOK47" s="39"/>
      <c r="VOL47" s="41"/>
      <c r="VOO47" s="32"/>
      <c r="VOQ47" s="12"/>
      <c r="VOS47" s="34"/>
      <c r="VOT47" s="39"/>
      <c r="VOU47" s="41"/>
      <c r="VOX47" s="32"/>
      <c r="VOZ47" s="12"/>
      <c r="VPB47" s="34"/>
      <c r="VPC47" s="39"/>
      <c r="VPD47" s="41"/>
      <c r="VPG47" s="32"/>
      <c r="VPI47" s="12"/>
      <c r="VPK47" s="34"/>
      <c r="VPL47" s="39"/>
      <c r="VPM47" s="41"/>
      <c r="VPP47" s="32"/>
      <c r="VPR47" s="12"/>
      <c r="VPT47" s="34"/>
      <c r="VPU47" s="39"/>
      <c r="VPV47" s="41"/>
      <c r="VPY47" s="32"/>
      <c r="VQA47" s="12"/>
      <c r="VQC47" s="34"/>
      <c r="VQD47" s="39"/>
      <c r="VQE47" s="41"/>
      <c r="VQH47" s="32"/>
      <c r="VQJ47" s="12"/>
      <c r="VQL47" s="34"/>
      <c r="VQM47" s="39"/>
      <c r="VQN47" s="41"/>
      <c r="VQQ47" s="32"/>
      <c r="VQS47" s="12"/>
      <c r="VQU47" s="34"/>
      <c r="VQV47" s="39"/>
      <c r="VQW47" s="41"/>
      <c r="VQZ47" s="32"/>
      <c r="VRB47" s="12"/>
      <c r="VRD47" s="34"/>
      <c r="VRE47" s="39"/>
      <c r="VRF47" s="41"/>
      <c r="VRI47" s="32"/>
      <c r="VRK47" s="12"/>
      <c r="VRM47" s="34"/>
      <c r="VRN47" s="39"/>
      <c r="VRO47" s="41"/>
      <c r="VRR47" s="32"/>
      <c r="VRT47" s="12"/>
      <c r="VRV47" s="34"/>
      <c r="VRW47" s="39"/>
      <c r="VRX47" s="41"/>
      <c r="VSA47" s="32"/>
      <c r="VSC47" s="12"/>
      <c r="VSE47" s="34"/>
      <c r="VSF47" s="39"/>
      <c r="VSG47" s="41"/>
      <c r="VSJ47" s="32"/>
      <c r="VSL47" s="12"/>
      <c r="VSN47" s="34"/>
      <c r="VSO47" s="39"/>
      <c r="VSP47" s="41"/>
      <c r="VSS47" s="32"/>
      <c r="VSU47" s="12"/>
      <c r="VSW47" s="34"/>
      <c r="VSX47" s="39"/>
      <c r="VSY47" s="41"/>
      <c r="VTB47" s="32"/>
      <c r="VTD47" s="12"/>
      <c r="VTF47" s="34"/>
      <c r="VTG47" s="39"/>
      <c r="VTH47" s="41"/>
      <c r="VTK47" s="32"/>
      <c r="VTM47" s="12"/>
      <c r="VTO47" s="34"/>
      <c r="VTP47" s="39"/>
      <c r="VTQ47" s="41"/>
      <c r="VTT47" s="32"/>
      <c r="VTV47" s="12"/>
      <c r="VTX47" s="34"/>
      <c r="VTY47" s="39"/>
      <c r="VTZ47" s="41"/>
      <c r="VUC47" s="32"/>
      <c r="VUE47" s="12"/>
      <c r="VUG47" s="34"/>
      <c r="VUH47" s="39"/>
      <c r="VUI47" s="41"/>
      <c r="VUL47" s="32"/>
      <c r="VUN47" s="12"/>
      <c r="VUP47" s="34"/>
      <c r="VUQ47" s="39"/>
      <c r="VUR47" s="41"/>
      <c r="VUU47" s="32"/>
      <c r="VUW47" s="12"/>
      <c r="VUY47" s="34"/>
      <c r="VUZ47" s="39"/>
      <c r="VVA47" s="41"/>
      <c r="VVD47" s="32"/>
      <c r="VVF47" s="12"/>
      <c r="VVH47" s="34"/>
      <c r="VVI47" s="39"/>
      <c r="VVJ47" s="41"/>
      <c r="VVM47" s="32"/>
      <c r="VVO47" s="12"/>
      <c r="VVQ47" s="34"/>
      <c r="VVR47" s="39"/>
      <c r="VVS47" s="41"/>
      <c r="VVV47" s="32"/>
      <c r="VVX47" s="12"/>
      <c r="VVZ47" s="34"/>
      <c r="VWA47" s="39"/>
      <c r="VWB47" s="41"/>
      <c r="VWE47" s="32"/>
      <c r="VWG47" s="12"/>
      <c r="VWI47" s="34"/>
      <c r="VWJ47" s="39"/>
      <c r="VWK47" s="41"/>
      <c r="VWN47" s="32"/>
      <c r="VWP47" s="12"/>
      <c r="VWR47" s="34"/>
      <c r="VWS47" s="39"/>
      <c r="VWT47" s="41"/>
      <c r="VWW47" s="32"/>
      <c r="VWY47" s="12"/>
      <c r="VXA47" s="34"/>
      <c r="VXB47" s="39"/>
      <c r="VXC47" s="41"/>
      <c r="VXF47" s="32"/>
      <c r="VXH47" s="12"/>
      <c r="VXJ47" s="34"/>
      <c r="VXK47" s="39"/>
      <c r="VXL47" s="41"/>
      <c r="VXO47" s="32"/>
      <c r="VXQ47" s="12"/>
      <c r="VXS47" s="34"/>
      <c r="VXT47" s="39"/>
      <c r="VXU47" s="41"/>
      <c r="VXX47" s="32"/>
      <c r="VXZ47" s="12"/>
      <c r="VYB47" s="34"/>
      <c r="VYC47" s="39"/>
      <c r="VYD47" s="41"/>
      <c r="VYG47" s="32"/>
      <c r="VYI47" s="12"/>
      <c r="VYK47" s="34"/>
      <c r="VYL47" s="39"/>
      <c r="VYM47" s="41"/>
      <c r="VYP47" s="32"/>
      <c r="VYR47" s="12"/>
      <c r="VYT47" s="34"/>
      <c r="VYU47" s="39"/>
      <c r="VYV47" s="41"/>
      <c r="VYY47" s="32"/>
      <c r="VZA47" s="12"/>
      <c r="VZC47" s="34"/>
      <c r="VZD47" s="39"/>
      <c r="VZE47" s="41"/>
      <c r="VZH47" s="32"/>
      <c r="VZJ47" s="12"/>
      <c r="VZL47" s="34"/>
      <c r="VZM47" s="39"/>
      <c r="VZN47" s="41"/>
      <c r="VZQ47" s="32"/>
      <c r="VZS47" s="12"/>
      <c r="VZU47" s="34"/>
      <c r="VZV47" s="39"/>
      <c r="VZW47" s="41"/>
      <c r="VZZ47" s="32"/>
      <c r="WAB47" s="12"/>
      <c r="WAD47" s="34"/>
      <c r="WAE47" s="39"/>
      <c r="WAF47" s="41"/>
      <c r="WAI47" s="32"/>
      <c r="WAK47" s="12"/>
      <c r="WAM47" s="34"/>
      <c r="WAN47" s="39"/>
      <c r="WAO47" s="41"/>
      <c r="WAR47" s="32"/>
      <c r="WAT47" s="12"/>
      <c r="WAV47" s="34"/>
      <c r="WAW47" s="39"/>
      <c r="WAX47" s="41"/>
      <c r="WBA47" s="32"/>
      <c r="WBC47" s="12"/>
      <c r="WBE47" s="34"/>
      <c r="WBF47" s="39"/>
      <c r="WBG47" s="41"/>
      <c r="WBJ47" s="32"/>
      <c r="WBL47" s="12"/>
      <c r="WBN47" s="34"/>
      <c r="WBO47" s="39"/>
      <c r="WBP47" s="41"/>
      <c r="WBS47" s="32"/>
      <c r="WBU47" s="12"/>
      <c r="WBW47" s="34"/>
      <c r="WBX47" s="39"/>
      <c r="WBY47" s="41"/>
      <c r="WCB47" s="32"/>
      <c r="WCD47" s="12"/>
      <c r="WCF47" s="34"/>
      <c r="WCG47" s="39"/>
      <c r="WCH47" s="41"/>
      <c r="WCK47" s="32"/>
      <c r="WCM47" s="12"/>
      <c r="WCO47" s="34"/>
      <c r="WCP47" s="39"/>
      <c r="WCQ47" s="41"/>
      <c r="WCT47" s="32"/>
      <c r="WCV47" s="12"/>
      <c r="WCX47" s="34"/>
      <c r="WCY47" s="39"/>
      <c r="WCZ47" s="41"/>
      <c r="WDC47" s="32"/>
      <c r="WDE47" s="12"/>
      <c r="WDG47" s="34"/>
      <c r="WDH47" s="39"/>
      <c r="WDI47" s="41"/>
      <c r="WDL47" s="32"/>
      <c r="WDN47" s="12"/>
      <c r="WDP47" s="34"/>
      <c r="WDQ47" s="39"/>
      <c r="WDR47" s="41"/>
      <c r="WDU47" s="32"/>
      <c r="WDW47" s="12"/>
      <c r="WDY47" s="34"/>
      <c r="WDZ47" s="39"/>
      <c r="WEA47" s="41"/>
      <c r="WED47" s="32"/>
      <c r="WEF47" s="12"/>
      <c r="WEH47" s="34"/>
      <c r="WEI47" s="39"/>
      <c r="WEJ47" s="41"/>
      <c r="WEM47" s="32"/>
      <c r="WEO47" s="12"/>
      <c r="WEQ47" s="34"/>
      <c r="WER47" s="39"/>
      <c r="WES47" s="41"/>
      <c r="WEV47" s="32"/>
      <c r="WEX47" s="12"/>
      <c r="WEZ47" s="34"/>
      <c r="WFA47" s="39"/>
      <c r="WFB47" s="41"/>
      <c r="WFE47" s="32"/>
      <c r="WFG47" s="12"/>
      <c r="WFI47" s="34"/>
      <c r="WFJ47" s="39"/>
      <c r="WFK47" s="41"/>
      <c r="WFN47" s="32"/>
      <c r="WFP47" s="12"/>
      <c r="WFR47" s="34"/>
      <c r="WFS47" s="39"/>
      <c r="WFT47" s="41"/>
      <c r="WFW47" s="32"/>
      <c r="WFY47" s="12"/>
      <c r="WGA47" s="34"/>
      <c r="WGB47" s="39"/>
      <c r="WGC47" s="41"/>
      <c r="WGF47" s="32"/>
      <c r="WGH47" s="12"/>
      <c r="WGJ47" s="34"/>
      <c r="WGK47" s="39"/>
      <c r="WGL47" s="41"/>
      <c r="WGO47" s="32"/>
      <c r="WGQ47" s="12"/>
      <c r="WGS47" s="34"/>
      <c r="WGT47" s="39"/>
      <c r="WGU47" s="41"/>
      <c r="WGX47" s="32"/>
      <c r="WGZ47" s="12"/>
      <c r="WHB47" s="34"/>
      <c r="WHC47" s="39"/>
      <c r="WHD47" s="41"/>
      <c r="WHG47" s="32"/>
      <c r="WHI47" s="12"/>
      <c r="WHK47" s="34"/>
      <c r="WHL47" s="39"/>
      <c r="WHM47" s="41"/>
      <c r="WHP47" s="32"/>
      <c r="WHR47" s="12"/>
      <c r="WHT47" s="34"/>
      <c r="WHU47" s="39"/>
      <c r="WHV47" s="41"/>
      <c r="WHY47" s="32"/>
      <c r="WIA47" s="12"/>
      <c r="WIC47" s="34"/>
      <c r="WID47" s="39"/>
      <c r="WIE47" s="41"/>
      <c r="WIH47" s="32"/>
      <c r="WIJ47" s="12"/>
      <c r="WIL47" s="34"/>
      <c r="WIM47" s="39"/>
      <c r="WIN47" s="41"/>
      <c r="WIQ47" s="32"/>
      <c r="WIS47" s="12"/>
      <c r="WIU47" s="34"/>
      <c r="WIV47" s="39"/>
      <c r="WIW47" s="41"/>
      <c r="WIZ47" s="32"/>
      <c r="WJB47" s="12"/>
      <c r="WJD47" s="34"/>
      <c r="WJE47" s="39"/>
      <c r="WJF47" s="41"/>
      <c r="WJI47" s="32"/>
      <c r="WJK47" s="12"/>
      <c r="WJM47" s="34"/>
      <c r="WJN47" s="39"/>
      <c r="WJO47" s="41"/>
      <c r="WJR47" s="32"/>
      <c r="WJT47" s="12"/>
      <c r="WJV47" s="34"/>
      <c r="WJW47" s="39"/>
      <c r="WJX47" s="41"/>
      <c r="WKA47" s="32"/>
      <c r="WKC47" s="12"/>
      <c r="WKE47" s="34"/>
      <c r="WKF47" s="39"/>
      <c r="WKG47" s="41"/>
      <c r="WKJ47" s="32"/>
      <c r="WKL47" s="12"/>
      <c r="WKN47" s="34"/>
      <c r="WKO47" s="39"/>
      <c r="WKP47" s="41"/>
      <c r="WKS47" s="32"/>
      <c r="WKU47" s="12"/>
      <c r="WKW47" s="34"/>
      <c r="WKX47" s="39"/>
      <c r="WKY47" s="41"/>
      <c r="WLB47" s="32"/>
      <c r="WLD47" s="12"/>
      <c r="WLF47" s="34"/>
      <c r="WLG47" s="39"/>
      <c r="WLH47" s="41"/>
      <c r="WLK47" s="32"/>
      <c r="WLM47" s="12"/>
      <c r="WLO47" s="34"/>
      <c r="WLP47" s="39"/>
      <c r="WLQ47" s="41"/>
      <c r="WLT47" s="32"/>
      <c r="WLV47" s="12"/>
      <c r="WLX47" s="34"/>
      <c r="WLY47" s="39"/>
      <c r="WLZ47" s="41"/>
      <c r="WMC47" s="32"/>
      <c r="WME47" s="12"/>
      <c r="WMG47" s="34"/>
      <c r="WMH47" s="39"/>
      <c r="WMI47" s="41"/>
      <c r="WML47" s="32"/>
      <c r="WMN47" s="12"/>
      <c r="WMP47" s="34"/>
      <c r="WMQ47" s="39"/>
      <c r="WMR47" s="41"/>
      <c r="WMU47" s="32"/>
      <c r="WMW47" s="12"/>
      <c r="WMY47" s="34"/>
      <c r="WMZ47" s="39"/>
      <c r="WNA47" s="41"/>
      <c r="WND47" s="32"/>
      <c r="WNF47" s="12"/>
      <c r="WNH47" s="34"/>
      <c r="WNI47" s="39"/>
      <c r="WNJ47" s="41"/>
      <c r="WNM47" s="32"/>
      <c r="WNO47" s="12"/>
      <c r="WNQ47" s="34"/>
      <c r="WNR47" s="39"/>
      <c r="WNS47" s="41"/>
      <c r="WNV47" s="32"/>
      <c r="WNX47" s="12"/>
      <c r="WNZ47" s="34"/>
      <c r="WOA47" s="39"/>
      <c r="WOB47" s="41"/>
      <c r="WOE47" s="32"/>
      <c r="WOG47" s="12"/>
      <c r="WOI47" s="34"/>
      <c r="WOJ47" s="39"/>
      <c r="WOK47" s="41"/>
      <c r="WON47" s="32"/>
      <c r="WOP47" s="12"/>
      <c r="WOR47" s="34"/>
      <c r="WOS47" s="39"/>
      <c r="WOT47" s="41"/>
      <c r="WOW47" s="32"/>
      <c r="WOY47" s="12"/>
      <c r="WPA47" s="34"/>
      <c r="WPB47" s="39"/>
      <c r="WPC47" s="41"/>
      <c r="WPF47" s="32"/>
      <c r="WPH47" s="12"/>
      <c r="WPJ47" s="34"/>
      <c r="WPK47" s="39"/>
      <c r="WPL47" s="41"/>
      <c r="WPO47" s="32"/>
      <c r="WPQ47" s="12"/>
      <c r="WPS47" s="34"/>
      <c r="WPT47" s="39"/>
      <c r="WPU47" s="41"/>
      <c r="WPX47" s="32"/>
      <c r="WPZ47" s="12"/>
      <c r="WQB47" s="34"/>
      <c r="WQC47" s="39"/>
      <c r="WQD47" s="41"/>
      <c r="WQG47" s="32"/>
      <c r="WQI47" s="12"/>
      <c r="WQK47" s="34"/>
      <c r="WQL47" s="39"/>
      <c r="WQM47" s="41"/>
      <c r="WQP47" s="32"/>
      <c r="WQR47" s="12"/>
      <c r="WQT47" s="34"/>
      <c r="WQU47" s="39"/>
      <c r="WQV47" s="41"/>
      <c r="WQY47" s="32"/>
      <c r="WRA47" s="12"/>
      <c r="WRC47" s="34"/>
      <c r="WRD47" s="39"/>
      <c r="WRE47" s="41"/>
      <c r="WRH47" s="32"/>
      <c r="WRJ47" s="12"/>
      <c r="WRL47" s="34"/>
      <c r="WRM47" s="39"/>
      <c r="WRN47" s="41"/>
      <c r="WRQ47" s="32"/>
      <c r="WRS47" s="12"/>
      <c r="WRU47" s="34"/>
      <c r="WRV47" s="39"/>
      <c r="WRW47" s="41"/>
      <c r="WRZ47" s="32"/>
      <c r="WSB47" s="12"/>
      <c r="WSD47" s="34"/>
      <c r="WSE47" s="39"/>
      <c r="WSF47" s="41"/>
      <c r="WSI47" s="32"/>
      <c r="WSK47" s="12"/>
      <c r="WSM47" s="34"/>
      <c r="WSN47" s="39"/>
      <c r="WSO47" s="41"/>
      <c r="WSR47" s="32"/>
      <c r="WST47" s="12"/>
      <c r="WSV47" s="34"/>
      <c r="WSW47" s="39"/>
      <c r="WSX47" s="41"/>
      <c r="WTA47" s="32"/>
      <c r="WTC47" s="12"/>
      <c r="WTE47" s="34"/>
      <c r="WTF47" s="39"/>
      <c r="WTG47" s="41"/>
      <c r="WTJ47" s="32"/>
      <c r="WTL47" s="12"/>
      <c r="WTN47" s="34"/>
      <c r="WTO47" s="39"/>
      <c r="WTP47" s="41"/>
      <c r="WTS47" s="32"/>
      <c r="WTU47" s="12"/>
      <c r="WTW47" s="34"/>
      <c r="WTX47" s="39"/>
      <c r="WTY47" s="41"/>
      <c r="WUB47" s="32"/>
      <c r="WUD47" s="12"/>
      <c r="WUF47" s="34"/>
      <c r="WUG47" s="39"/>
      <c r="WUH47" s="41"/>
      <c r="WUK47" s="32"/>
      <c r="WUM47" s="12"/>
      <c r="WUO47" s="34"/>
      <c r="WUP47" s="39"/>
      <c r="WUQ47" s="41"/>
      <c r="WUT47" s="32"/>
      <c r="WUV47" s="12"/>
      <c r="WUX47" s="34"/>
      <c r="WUY47" s="39"/>
      <c r="WUZ47" s="41"/>
      <c r="WVC47" s="32"/>
      <c r="WVE47" s="12"/>
      <c r="WVG47" s="34"/>
      <c r="WVH47" s="39"/>
      <c r="WVI47" s="41"/>
      <c r="WVL47" s="32"/>
      <c r="WVN47" s="12"/>
      <c r="WVP47" s="34"/>
      <c r="WVQ47" s="39"/>
      <c r="WVR47" s="41"/>
      <c r="WVU47" s="32"/>
      <c r="WVW47" s="12"/>
      <c r="WVY47" s="34"/>
      <c r="WVZ47" s="39"/>
      <c r="WWA47" s="41"/>
      <c r="WWD47" s="32"/>
      <c r="WWF47" s="12"/>
      <c r="WWH47" s="34"/>
      <c r="WWI47" s="39"/>
      <c r="WWJ47" s="41"/>
      <c r="WWM47" s="32"/>
      <c r="WWO47" s="12"/>
      <c r="WWQ47" s="34"/>
      <c r="WWR47" s="39"/>
      <c r="WWS47" s="41"/>
      <c r="WWV47" s="32"/>
      <c r="WWX47" s="12"/>
      <c r="WWZ47" s="34"/>
      <c r="WXA47" s="39"/>
      <c r="WXB47" s="41"/>
      <c r="WXE47" s="32"/>
      <c r="WXG47" s="12"/>
      <c r="WXI47" s="34"/>
      <c r="WXJ47" s="39"/>
      <c r="WXK47" s="41"/>
      <c r="WXN47" s="32"/>
      <c r="WXP47" s="12"/>
      <c r="WXR47" s="34"/>
      <c r="WXS47" s="39"/>
      <c r="WXT47" s="41"/>
      <c r="WXW47" s="32"/>
      <c r="WXY47" s="12"/>
      <c r="WYA47" s="34"/>
      <c r="WYB47" s="39"/>
      <c r="WYC47" s="41"/>
      <c r="WYF47" s="32"/>
      <c r="WYH47" s="12"/>
      <c r="WYJ47" s="34"/>
      <c r="WYK47" s="39"/>
      <c r="WYL47" s="41"/>
      <c r="WYO47" s="32"/>
      <c r="WYQ47" s="12"/>
      <c r="WYS47" s="34"/>
      <c r="WYT47" s="39"/>
      <c r="WYU47" s="41"/>
      <c r="WYX47" s="32"/>
      <c r="WYZ47" s="12"/>
      <c r="WZB47" s="34"/>
      <c r="WZC47" s="39"/>
      <c r="WZD47" s="41"/>
      <c r="WZG47" s="32"/>
      <c r="WZI47" s="12"/>
      <c r="WZK47" s="34"/>
      <c r="WZL47" s="39"/>
      <c r="WZM47" s="41"/>
      <c r="WZP47" s="32"/>
      <c r="WZR47" s="12"/>
      <c r="WZT47" s="34"/>
      <c r="WZU47" s="39"/>
      <c r="WZV47" s="41"/>
      <c r="WZY47" s="32"/>
      <c r="XAA47" s="12"/>
      <c r="XAC47" s="34"/>
      <c r="XAD47" s="39"/>
      <c r="XAE47" s="41"/>
      <c r="XAH47" s="32"/>
      <c r="XAJ47" s="12"/>
      <c r="XAL47" s="34"/>
      <c r="XAM47" s="39"/>
      <c r="XAN47" s="41"/>
      <c r="XAQ47" s="32"/>
      <c r="XAS47" s="12"/>
      <c r="XAU47" s="34"/>
      <c r="XAV47" s="39"/>
      <c r="XAW47" s="41"/>
      <c r="XAZ47" s="32"/>
      <c r="XBB47" s="12"/>
      <c r="XBD47" s="34"/>
      <c r="XBE47" s="39"/>
      <c r="XBF47" s="41"/>
      <c r="XBI47" s="32"/>
      <c r="XBK47" s="12"/>
      <c r="XBM47" s="34"/>
      <c r="XBN47" s="39"/>
      <c r="XBO47" s="41"/>
      <c r="XBR47" s="32"/>
      <c r="XBT47" s="12"/>
      <c r="XBV47" s="34"/>
      <c r="XBW47" s="39"/>
      <c r="XBX47" s="41"/>
      <c r="XCA47" s="32"/>
      <c r="XCC47" s="12"/>
      <c r="XCE47" s="34"/>
      <c r="XCF47" s="39"/>
      <c r="XCG47" s="41"/>
      <c r="XCJ47" s="32"/>
      <c r="XCL47" s="12"/>
      <c r="XCN47" s="34"/>
      <c r="XCO47" s="39"/>
      <c r="XCP47" s="41"/>
      <c r="XCS47" s="32"/>
      <c r="XCU47" s="12"/>
      <c r="XCW47" s="34"/>
      <c r="XCX47" s="39"/>
      <c r="XCY47" s="41"/>
      <c r="XDB47" s="32"/>
      <c r="XDD47" s="12"/>
      <c r="XDF47" s="34"/>
      <c r="XDG47" s="39"/>
      <c r="XDH47" s="41"/>
      <c r="XDK47" s="32"/>
      <c r="XDM47" s="12"/>
      <c r="XDO47" s="34"/>
      <c r="XDP47" s="39"/>
      <c r="XDQ47" s="41"/>
      <c r="XDT47" s="32"/>
      <c r="XDV47" s="12"/>
      <c r="XDX47" s="34"/>
      <c r="XDY47" s="39"/>
      <c r="XDZ47" s="41"/>
      <c r="XEC47" s="32"/>
      <c r="XEE47" s="12"/>
      <c r="XEG47" s="34"/>
      <c r="XEH47" s="39"/>
      <c r="XEI47" s="41"/>
      <c r="XEL47" s="32"/>
      <c r="XEN47" s="12"/>
      <c r="XEP47" s="34"/>
      <c r="XEQ47" s="39"/>
      <c r="XER47" s="41"/>
      <c r="XEU47" s="32"/>
      <c r="XEW47" s="12"/>
      <c r="XEY47" s="34"/>
      <c r="XEZ47" s="39"/>
      <c r="XFA47" s="41"/>
      <c r="XFD47" s="32"/>
    </row>
    <row r="48" spans="1:1023 1025:2047 2049:3070 3073:4096 4099:6144 6146:7168 7170:8191 8194:10239 10241:11263 11265:12286 12289:13312 13315:15360 15362:16384" x14ac:dyDescent="0.25">
      <c r="A48" s="78" t="s">
        <v>134</v>
      </c>
      <c r="B48" s="68"/>
      <c r="C48" s="73" t="s">
        <v>78</v>
      </c>
      <c r="D48" s="67"/>
      <c r="E48" s="89" t="s">
        <v>193</v>
      </c>
      <c r="F48" s="12" t="s">
        <v>189</v>
      </c>
      <c r="G48" s="12">
        <f>'Menu principal'!O$21</f>
        <v>43190</v>
      </c>
      <c r="H48" s="33"/>
      <c r="I48" s="34">
        <f>DAYS360(DEFIS!G36,H48)</f>
        <v>-42570</v>
      </c>
      <c r="J48" s="39">
        <f ca="1">IF(Tabela5[[#This Row],[ENTREGA]]="",Tabela5[[#This Row],[VENCIMENTO]]-TODAY(),"")</f>
        <v>-53</v>
      </c>
      <c r="K48" s="41" t="str">
        <f t="shared" si="0"/>
        <v>No Prazo</v>
      </c>
      <c r="DE48" s="41"/>
      <c r="DH48" s="32"/>
      <c r="DJ48" s="12"/>
      <c r="DL48" s="34"/>
      <c r="DM48" s="39"/>
      <c r="DN48" s="41"/>
      <c r="DQ48" s="32"/>
      <c r="DS48" s="12"/>
      <c r="DU48" s="34"/>
      <c r="DV48" s="39"/>
      <c r="DW48" s="41"/>
      <c r="DZ48" s="32"/>
      <c r="EB48" s="12"/>
      <c r="ED48" s="34"/>
      <c r="EE48" s="39"/>
      <c r="EF48" s="41"/>
      <c r="EI48" s="32"/>
      <c r="EK48" s="12"/>
      <c r="EM48" s="34"/>
      <c r="EN48" s="39"/>
      <c r="EO48" s="41"/>
      <c r="ER48" s="32"/>
      <c r="ET48" s="12"/>
      <c r="EV48" s="34"/>
      <c r="EW48" s="39"/>
      <c r="EX48" s="41"/>
      <c r="FA48" s="32"/>
      <c r="FC48" s="12"/>
      <c r="FE48" s="34"/>
      <c r="FF48" s="39"/>
      <c r="FG48" s="41"/>
      <c r="FJ48" s="32"/>
      <c r="FL48" s="12"/>
      <c r="FN48" s="34"/>
      <c r="FO48" s="39"/>
      <c r="FP48" s="41"/>
      <c r="FS48" s="32"/>
      <c r="FU48" s="12"/>
      <c r="FW48" s="34"/>
      <c r="FX48" s="39"/>
      <c r="FY48" s="41"/>
      <c r="GB48" s="32"/>
      <c r="GD48" s="12"/>
      <c r="GF48" s="34"/>
      <c r="GG48" s="39"/>
      <c r="GH48" s="41"/>
      <c r="GK48" s="32"/>
      <c r="GM48" s="12"/>
      <c r="GO48" s="34"/>
      <c r="GP48" s="39"/>
      <c r="GQ48" s="41"/>
      <c r="GT48" s="32"/>
      <c r="GV48" s="12"/>
      <c r="GX48" s="34"/>
      <c r="GY48" s="39"/>
      <c r="GZ48" s="41"/>
      <c r="HC48" s="32"/>
      <c r="HE48" s="12"/>
      <c r="HG48" s="34"/>
      <c r="HH48" s="39"/>
      <c r="HI48" s="41"/>
      <c r="HL48" s="32"/>
      <c r="HN48" s="12"/>
      <c r="HP48" s="34"/>
      <c r="HQ48" s="39"/>
      <c r="HR48" s="41"/>
      <c r="HU48" s="32"/>
      <c r="HW48" s="12"/>
      <c r="HY48" s="34"/>
      <c r="HZ48" s="39"/>
      <c r="IA48" s="41"/>
      <c r="ID48" s="32"/>
      <c r="IF48" s="12"/>
      <c r="IH48" s="34"/>
      <c r="II48" s="39"/>
      <c r="IJ48" s="41"/>
      <c r="IM48" s="32"/>
      <c r="IO48" s="12"/>
      <c r="IQ48" s="34"/>
      <c r="IR48" s="39"/>
      <c r="IS48" s="41"/>
      <c r="IV48" s="32"/>
      <c r="IX48" s="12"/>
      <c r="IZ48" s="34"/>
      <c r="JA48" s="39"/>
      <c r="JB48" s="41"/>
      <c r="JE48" s="32"/>
      <c r="JG48" s="12"/>
      <c r="JI48" s="34"/>
      <c r="JJ48" s="39"/>
      <c r="JK48" s="41"/>
      <c r="JN48" s="32"/>
      <c r="JP48" s="12"/>
      <c r="JR48" s="34"/>
      <c r="JS48" s="39"/>
      <c r="JT48" s="41"/>
      <c r="JW48" s="32"/>
      <c r="JY48" s="12"/>
      <c r="KA48" s="34"/>
      <c r="KB48" s="39"/>
      <c r="KC48" s="41"/>
      <c r="KF48" s="32"/>
      <c r="KH48" s="12"/>
      <c r="KJ48" s="34"/>
      <c r="KK48" s="39"/>
      <c r="KL48" s="41"/>
      <c r="KO48" s="32"/>
      <c r="KQ48" s="12"/>
      <c r="KS48" s="34"/>
      <c r="KT48" s="39"/>
      <c r="KU48" s="41"/>
      <c r="KX48" s="32"/>
      <c r="KZ48" s="12"/>
      <c r="LB48" s="34"/>
      <c r="LC48" s="39"/>
      <c r="LD48" s="41"/>
      <c r="LG48" s="32"/>
      <c r="LI48" s="12"/>
      <c r="LK48" s="34"/>
      <c r="LL48" s="39"/>
      <c r="LM48" s="41"/>
      <c r="LP48" s="32"/>
      <c r="LR48" s="12"/>
      <c r="LT48" s="34"/>
      <c r="LU48" s="39"/>
      <c r="LV48" s="41"/>
      <c r="LY48" s="32"/>
      <c r="MA48" s="12"/>
      <c r="MC48" s="34"/>
      <c r="MD48" s="39"/>
      <c r="ME48" s="41"/>
      <c r="MH48" s="32"/>
      <c r="MJ48" s="12"/>
      <c r="ML48" s="34"/>
      <c r="MM48" s="39"/>
      <c r="MN48" s="41"/>
      <c r="MQ48" s="32"/>
      <c r="MS48" s="12"/>
      <c r="MU48" s="34"/>
      <c r="MV48" s="39"/>
      <c r="MW48" s="41"/>
      <c r="MZ48" s="32"/>
      <c r="NB48" s="12"/>
      <c r="ND48" s="34"/>
      <c r="NE48" s="39"/>
      <c r="NF48" s="41"/>
      <c r="NI48" s="32"/>
      <c r="NK48" s="12"/>
      <c r="NM48" s="34"/>
      <c r="NN48" s="39"/>
      <c r="NO48" s="41"/>
      <c r="NR48" s="32"/>
      <c r="NT48" s="12"/>
      <c r="NV48" s="34"/>
      <c r="NW48" s="39"/>
      <c r="NX48" s="41"/>
      <c r="OA48" s="32"/>
      <c r="OC48" s="12"/>
      <c r="OE48" s="34"/>
      <c r="OF48" s="39"/>
      <c r="OG48" s="41"/>
      <c r="OJ48" s="32"/>
      <c r="OL48" s="12"/>
      <c r="ON48" s="34"/>
      <c r="OO48" s="39"/>
      <c r="OP48" s="41"/>
      <c r="OS48" s="32"/>
      <c r="OU48" s="12"/>
      <c r="OW48" s="34"/>
      <c r="OX48" s="39"/>
      <c r="OY48" s="41"/>
      <c r="PB48" s="32"/>
      <c r="PD48" s="12"/>
      <c r="PF48" s="34"/>
      <c r="PG48" s="39"/>
      <c r="PH48" s="41"/>
      <c r="PK48" s="32"/>
      <c r="PM48" s="12"/>
      <c r="PO48" s="34"/>
      <c r="PP48" s="39"/>
      <c r="PQ48" s="41"/>
      <c r="PT48" s="32"/>
      <c r="PV48" s="12"/>
      <c r="PX48" s="34"/>
      <c r="PY48" s="39"/>
      <c r="PZ48" s="41"/>
      <c r="QC48" s="32"/>
      <c r="QE48" s="12"/>
      <c r="QG48" s="34"/>
      <c r="QH48" s="39"/>
      <c r="QI48" s="41"/>
      <c r="QL48" s="32"/>
      <c r="QN48" s="12"/>
      <c r="QP48" s="34"/>
      <c r="QQ48" s="39"/>
      <c r="QR48" s="41"/>
      <c r="QU48" s="32"/>
      <c r="QW48" s="12"/>
      <c r="QY48" s="34"/>
      <c r="QZ48" s="39"/>
      <c r="RA48" s="41"/>
      <c r="RD48" s="32"/>
      <c r="RF48" s="12"/>
      <c r="RH48" s="34"/>
      <c r="RI48" s="39"/>
      <c r="RJ48" s="41"/>
      <c r="RM48" s="32"/>
      <c r="RO48" s="12"/>
      <c r="RQ48" s="34"/>
      <c r="RR48" s="39"/>
      <c r="RS48" s="41"/>
      <c r="RV48" s="32"/>
      <c r="RX48" s="12"/>
      <c r="RZ48" s="34"/>
      <c r="SA48" s="39"/>
      <c r="SB48" s="41"/>
      <c r="SE48" s="32"/>
      <c r="SG48" s="12"/>
      <c r="SI48" s="34"/>
      <c r="SJ48" s="39"/>
      <c r="SK48" s="41"/>
      <c r="SN48" s="32"/>
      <c r="SP48" s="12"/>
      <c r="SR48" s="34"/>
      <c r="SS48" s="39"/>
      <c r="ST48" s="41"/>
      <c r="SW48" s="32"/>
      <c r="SY48" s="12"/>
      <c r="TA48" s="34"/>
      <c r="TB48" s="39"/>
      <c r="TC48" s="41"/>
      <c r="TF48" s="32"/>
      <c r="TH48" s="12"/>
      <c r="TJ48" s="34"/>
      <c r="TK48" s="39"/>
      <c r="TL48" s="41"/>
      <c r="TO48" s="32"/>
      <c r="TQ48" s="12"/>
      <c r="TS48" s="34"/>
      <c r="TT48" s="39"/>
      <c r="TU48" s="41"/>
      <c r="TX48" s="32"/>
      <c r="TZ48" s="12"/>
      <c r="UB48" s="34"/>
      <c r="UC48" s="39"/>
      <c r="UD48" s="41"/>
      <c r="UG48" s="32"/>
      <c r="UI48" s="12"/>
      <c r="UK48" s="34"/>
      <c r="UL48" s="39"/>
      <c r="UM48" s="41"/>
      <c r="UP48" s="32"/>
      <c r="UR48" s="12"/>
      <c r="UT48" s="34"/>
      <c r="UU48" s="39"/>
      <c r="UV48" s="41"/>
      <c r="UY48" s="32"/>
      <c r="VA48" s="12"/>
      <c r="VC48" s="34"/>
      <c r="VD48" s="39"/>
      <c r="VE48" s="41"/>
      <c r="VH48" s="32"/>
      <c r="VJ48" s="12"/>
      <c r="VL48" s="34"/>
      <c r="VM48" s="39"/>
      <c r="VN48" s="41"/>
      <c r="VQ48" s="32"/>
      <c r="VS48" s="12"/>
      <c r="VU48" s="34"/>
      <c r="VV48" s="39"/>
      <c r="VW48" s="41"/>
      <c r="VZ48" s="32"/>
      <c r="WB48" s="12"/>
      <c r="WD48" s="34"/>
      <c r="WE48" s="39"/>
      <c r="WF48" s="41"/>
      <c r="WI48" s="32"/>
      <c r="WK48" s="12"/>
      <c r="WM48" s="34"/>
      <c r="WN48" s="39"/>
      <c r="WO48" s="41"/>
      <c r="WR48" s="32"/>
      <c r="WT48" s="12"/>
      <c r="WV48" s="34"/>
      <c r="WW48" s="39"/>
      <c r="WX48" s="41"/>
      <c r="XA48" s="32"/>
      <c r="XC48" s="12"/>
      <c r="XE48" s="34"/>
      <c r="XF48" s="39"/>
      <c r="XG48" s="41"/>
      <c r="XJ48" s="32"/>
      <c r="XL48" s="12"/>
      <c r="XN48" s="34"/>
      <c r="XO48" s="39"/>
      <c r="XP48" s="41"/>
      <c r="XS48" s="32"/>
      <c r="XU48" s="12"/>
      <c r="XW48" s="34"/>
      <c r="XX48" s="39"/>
      <c r="XY48" s="41"/>
      <c r="YB48" s="32"/>
      <c r="YD48" s="12"/>
      <c r="YF48" s="34"/>
      <c r="YG48" s="39"/>
      <c r="YH48" s="41"/>
      <c r="YK48" s="32"/>
      <c r="YM48" s="12"/>
      <c r="YO48" s="34"/>
      <c r="YP48" s="39"/>
      <c r="YQ48" s="41"/>
      <c r="YT48" s="32"/>
      <c r="YV48" s="12"/>
      <c r="YX48" s="34"/>
      <c r="YY48" s="39"/>
      <c r="YZ48" s="41"/>
      <c r="ZC48" s="32"/>
      <c r="ZE48" s="12"/>
      <c r="ZG48" s="34"/>
      <c r="ZH48" s="39"/>
      <c r="ZI48" s="41"/>
      <c r="ZL48" s="32"/>
      <c r="ZN48" s="12"/>
      <c r="ZP48" s="34"/>
      <c r="ZQ48" s="39"/>
      <c r="ZR48" s="41"/>
      <c r="ZU48" s="32"/>
      <c r="ZW48" s="12"/>
      <c r="ZY48" s="34"/>
      <c r="ZZ48" s="39"/>
      <c r="AAA48" s="41"/>
      <c r="AAD48" s="32"/>
      <c r="AAF48" s="12"/>
      <c r="AAH48" s="34"/>
      <c r="AAI48" s="39"/>
      <c r="AAJ48" s="41"/>
      <c r="AAM48" s="32"/>
      <c r="AAO48" s="12"/>
      <c r="AAQ48" s="34"/>
      <c r="AAR48" s="39"/>
      <c r="AAS48" s="41"/>
      <c r="AAV48" s="32"/>
      <c r="AAX48" s="12"/>
      <c r="AAZ48" s="34"/>
      <c r="ABA48" s="39"/>
      <c r="ABB48" s="41"/>
      <c r="ABE48" s="32"/>
      <c r="ABG48" s="12"/>
      <c r="ABI48" s="34"/>
      <c r="ABJ48" s="39"/>
      <c r="ABK48" s="41"/>
      <c r="ABN48" s="32"/>
      <c r="ABP48" s="12"/>
      <c r="ABR48" s="34"/>
      <c r="ABS48" s="39"/>
      <c r="ABT48" s="41"/>
      <c r="ABW48" s="32"/>
      <c r="ABY48" s="12"/>
      <c r="ACA48" s="34"/>
      <c r="ACB48" s="39"/>
      <c r="ACC48" s="41"/>
      <c r="ACF48" s="32"/>
      <c r="ACH48" s="12"/>
      <c r="ACJ48" s="34"/>
      <c r="ACK48" s="39"/>
      <c r="ACL48" s="41"/>
      <c r="ACO48" s="32"/>
      <c r="ACQ48" s="12"/>
      <c r="ACS48" s="34"/>
      <c r="ACT48" s="39"/>
      <c r="ACU48" s="41"/>
      <c r="ACX48" s="32"/>
      <c r="ACZ48" s="12"/>
      <c r="ADB48" s="34"/>
      <c r="ADC48" s="39"/>
      <c r="ADD48" s="41"/>
      <c r="ADG48" s="32"/>
      <c r="ADI48" s="12"/>
      <c r="ADK48" s="34"/>
      <c r="ADL48" s="39"/>
      <c r="ADM48" s="41"/>
      <c r="ADP48" s="32"/>
      <c r="ADR48" s="12"/>
      <c r="ADT48" s="34"/>
      <c r="ADU48" s="39"/>
      <c r="ADV48" s="41"/>
      <c r="ADY48" s="32"/>
      <c r="AEA48" s="12"/>
      <c r="AEC48" s="34"/>
      <c r="AED48" s="39"/>
      <c r="AEE48" s="41"/>
      <c r="AEH48" s="32"/>
      <c r="AEJ48" s="12"/>
      <c r="AEL48" s="34"/>
      <c r="AEM48" s="39"/>
      <c r="AEN48" s="41"/>
      <c r="AEQ48" s="32"/>
      <c r="AES48" s="12"/>
      <c r="AEU48" s="34"/>
      <c r="AEV48" s="39"/>
      <c r="AEW48" s="41"/>
      <c r="AEZ48" s="32"/>
      <c r="AFB48" s="12"/>
      <c r="AFD48" s="34"/>
      <c r="AFE48" s="39"/>
      <c r="AFF48" s="41"/>
      <c r="AFI48" s="32"/>
      <c r="AFK48" s="12"/>
      <c r="AFM48" s="34"/>
      <c r="AFN48" s="39"/>
      <c r="AFO48" s="41"/>
      <c r="AFR48" s="32"/>
      <c r="AFT48" s="12"/>
      <c r="AFV48" s="34"/>
      <c r="AFW48" s="39"/>
      <c r="AFX48" s="41"/>
      <c r="AGA48" s="32"/>
      <c r="AGC48" s="12"/>
      <c r="AGE48" s="34"/>
      <c r="AGF48" s="39"/>
      <c r="AGG48" s="41"/>
      <c r="AGJ48" s="32"/>
      <c r="AGL48" s="12"/>
      <c r="AGN48" s="34"/>
      <c r="AGO48" s="39"/>
      <c r="AGP48" s="41"/>
      <c r="AGS48" s="32"/>
      <c r="AGU48" s="12"/>
      <c r="AGW48" s="34"/>
      <c r="AGX48" s="39"/>
      <c r="AGY48" s="41"/>
      <c r="AHB48" s="32"/>
      <c r="AHD48" s="12"/>
      <c r="AHF48" s="34"/>
      <c r="AHG48" s="39"/>
      <c r="AHH48" s="41"/>
      <c r="AHK48" s="32"/>
      <c r="AHM48" s="12"/>
      <c r="AHO48" s="34"/>
      <c r="AHP48" s="39"/>
      <c r="AHQ48" s="41"/>
      <c r="AHT48" s="32"/>
      <c r="AHV48" s="12"/>
      <c r="AHX48" s="34"/>
      <c r="AHY48" s="39"/>
      <c r="AHZ48" s="41"/>
      <c r="AIC48" s="32"/>
      <c r="AIE48" s="12"/>
      <c r="AIG48" s="34"/>
      <c r="AIH48" s="39"/>
      <c r="AII48" s="41"/>
      <c r="AIL48" s="32"/>
      <c r="AIN48" s="12"/>
      <c r="AIP48" s="34"/>
      <c r="AIQ48" s="39"/>
      <c r="AIR48" s="41"/>
      <c r="AIU48" s="32"/>
      <c r="AIW48" s="12"/>
      <c r="AIY48" s="34"/>
      <c r="AIZ48" s="39"/>
      <c r="AJA48" s="41"/>
      <c r="AJD48" s="32"/>
      <c r="AJF48" s="12"/>
      <c r="AJH48" s="34"/>
      <c r="AJI48" s="39"/>
      <c r="AJJ48" s="41"/>
      <c r="AJM48" s="32"/>
      <c r="AJO48" s="12"/>
      <c r="AJQ48" s="34"/>
      <c r="AJR48" s="39"/>
      <c r="AJS48" s="41"/>
      <c r="AJV48" s="32"/>
      <c r="AJX48" s="12"/>
      <c r="AJZ48" s="34"/>
      <c r="AKA48" s="39"/>
      <c r="AKB48" s="41"/>
      <c r="AKE48" s="32"/>
      <c r="AKG48" s="12"/>
      <c r="AKI48" s="34"/>
      <c r="AKJ48" s="39"/>
      <c r="AKK48" s="41"/>
      <c r="AKN48" s="32"/>
      <c r="AKP48" s="12"/>
      <c r="AKR48" s="34"/>
      <c r="AKS48" s="39"/>
      <c r="AKT48" s="41"/>
      <c r="AKW48" s="32"/>
      <c r="AKY48" s="12"/>
      <c r="ALA48" s="34"/>
      <c r="ALB48" s="39"/>
      <c r="ALC48" s="41"/>
      <c r="ALF48" s="32"/>
      <c r="ALH48" s="12"/>
      <c r="ALJ48" s="34"/>
      <c r="ALK48" s="39"/>
      <c r="ALL48" s="41"/>
      <c r="ALO48" s="32"/>
      <c r="ALQ48" s="12"/>
      <c r="ALS48" s="34"/>
      <c r="ALT48" s="39"/>
      <c r="ALU48" s="41"/>
      <c r="ALX48" s="32"/>
      <c r="ALZ48" s="12"/>
      <c r="AMB48" s="34"/>
      <c r="AMC48" s="39"/>
      <c r="AMD48" s="41"/>
      <c r="AMG48" s="32"/>
      <c r="AMI48" s="12"/>
      <c r="AMK48" s="34"/>
      <c r="AML48" s="39"/>
      <c r="AMM48" s="41"/>
      <c r="AMP48" s="32"/>
      <c r="AMR48" s="12"/>
      <c r="AMT48" s="34"/>
      <c r="AMU48" s="39"/>
      <c r="AMV48" s="41"/>
      <c r="AMY48" s="32"/>
      <c r="ANA48" s="12"/>
      <c r="ANC48" s="34"/>
      <c r="AND48" s="39"/>
      <c r="ANE48" s="41"/>
      <c r="ANH48" s="32"/>
      <c r="ANJ48" s="12"/>
      <c r="ANL48" s="34"/>
      <c r="ANM48" s="39"/>
      <c r="ANN48" s="41"/>
      <c r="ANQ48" s="32"/>
      <c r="ANS48" s="12"/>
      <c r="ANU48" s="34"/>
      <c r="ANV48" s="39"/>
      <c r="ANW48" s="41"/>
      <c r="ANZ48" s="32"/>
      <c r="AOB48" s="12"/>
      <c r="AOD48" s="34"/>
      <c r="AOE48" s="39"/>
      <c r="AOF48" s="41"/>
      <c r="AOI48" s="32"/>
      <c r="AOK48" s="12"/>
      <c r="AOM48" s="34"/>
      <c r="AON48" s="39"/>
      <c r="AOO48" s="41"/>
      <c r="AOR48" s="32"/>
      <c r="AOT48" s="12"/>
      <c r="AOV48" s="34"/>
      <c r="AOW48" s="39"/>
      <c r="AOX48" s="41"/>
      <c r="APA48" s="32"/>
      <c r="APC48" s="12"/>
      <c r="APE48" s="34"/>
      <c r="APF48" s="39"/>
      <c r="APG48" s="41"/>
      <c r="APJ48" s="32"/>
      <c r="APL48" s="12"/>
      <c r="APN48" s="34"/>
      <c r="APO48" s="39"/>
      <c r="APP48" s="41"/>
      <c r="APS48" s="32"/>
      <c r="APU48" s="12"/>
      <c r="APW48" s="34"/>
      <c r="APX48" s="39"/>
      <c r="APY48" s="41"/>
      <c r="AQB48" s="32"/>
      <c r="AQD48" s="12"/>
      <c r="AQF48" s="34"/>
      <c r="AQG48" s="39"/>
      <c r="AQH48" s="41"/>
      <c r="AQK48" s="32"/>
      <c r="AQM48" s="12"/>
      <c r="AQO48" s="34"/>
      <c r="AQP48" s="39"/>
      <c r="AQQ48" s="41"/>
      <c r="AQT48" s="32"/>
      <c r="AQV48" s="12"/>
      <c r="AQX48" s="34"/>
      <c r="AQY48" s="39"/>
      <c r="AQZ48" s="41"/>
      <c r="ARC48" s="32"/>
      <c r="ARE48" s="12"/>
      <c r="ARG48" s="34"/>
      <c r="ARH48" s="39"/>
      <c r="ARI48" s="41"/>
      <c r="ARL48" s="32"/>
      <c r="ARN48" s="12"/>
      <c r="ARP48" s="34"/>
      <c r="ARQ48" s="39"/>
      <c r="ARR48" s="41"/>
      <c r="ARU48" s="32"/>
      <c r="ARW48" s="12"/>
      <c r="ARY48" s="34"/>
      <c r="ARZ48" s="39"/>
      <c r="ASA48" s="41"/>
      <c r="ASD48" s="32"/>
      <c r="ASF48" s="12"/>
      <c r="ASH48" s="34"/>
      <c r="ASI48" s="39"/>
      <c r="ASJ48" s="41"/>
      <c r="ASM48" s="32"/>
      <c r="ASO48" s="12"/>
      <c r="ASQ48" s="34"/>
      <c r="ASR48" s="39"/>
      <c r="ASS48" s="41"/>
      <c r="ASV48" s="32"/>
      <c r="ASX48" s="12"/>
      <c r="ASZ48" s="34"/>
      <c r="ATA48" s="39"/>
      <c r="ATB48" s="41"/>
      <c r="ATE48" s="32"/>
      <c r="ATG48" s="12"/>
      <c r="ATI48" s="34"/>
      <c r="ATJ48" s="39"/>
      <c r="ATK48" s="41"/>
      <c r="ATN48" s="32"/>
      <c r="ATP48" s="12"/>
      <c r="ATR48" s="34"/>
      <c r="ATS48" s="39"/>
      <c r="ATT48" s="41"/>
      <c r="ATW48" s="32"/>
      <c r="ATY48" s="12"/>
      <c r="AUA48" s="34"/>
      <c r="AUB48" s="39"/>
      <c r="AUC48" s="41"/>
      <c r="AUF48" s="32"/>
      <c r="AUH48" s="12"/>
      <c r="AUJ48" s="34"/>
      <c r="AUK48" s="39"/>
      <c r="AUL48" s="41"/>
      <c r="AUO48" s="32"/>
      <c r="AUQ48" s="12"/>
      <c r="AUS48" s="34"/>
      <c r="AUT48" s="39"/>
      <c r="AUU48" s="41"/>
      <c r="AUX48" s="32"/>
      <c r="AUZ48" s="12"/>
      <c r="AVB48" s="34"/>
      <c r="AVC48" s="39"/>
      <c r="AVD48" s="41"/>
      <c r="AVG48" s="32"/>
      <c r="AVI48" s="12"/>
      <c r="AVK48" s="34"/>
      <c r="AVL48" s="39"/>
      <c r="AVM48" s="41"/>
      <c r="AVP48" s="32"/>
      <c r="AVR48" s="12"/>
      <c r="AVT48" s="34"/>
      <c r="AVU48" s="39"/>
      <c r="AVV48" s="41"/>
      <c r="AVY48" s="32"/>
      <c r="AWA48" s="12"/>
      <c r="AWC48" s="34"/>
      <c r="AWD48" s="39"/>
      <c r="AWE48" s="41"/>
      <c r="AWH48" s="32"/>
      <c r="AWJ48" s="12"/>
      <c r="AWL48" s="34"/>
      <c r="AWM48" s="39"/>
      <c r="AWN48" s="41"/>
      <c r="AWQ48" s="32"/>
      <c r="AWS48" s="12"/>
      <c r="AWU48" s="34"/>
      <c r="AWV48" s="39"/>
      <c r="AWW48" s="41"/>
      <c r="AWZ48" s="32"/>
      <c r="AXB48" s="12"/>
      <c r="AXD48" s="34"/>
      <c r="AXE48" s="39"/>
      <c r="AXF48" s="41"/>
      <c r="AXI48" s="32"/>
      <c r="AXK48" s="12"/>
      <c r="AXM48" s="34"/>
      <c r="AXN48" s="39"/>
      <c r="AXO48" s="41"/>
      <c r="AXR48" s="32"/>
      <c r="AXT48" s="12"/>
      <c r="AXV48" s="34"/>
      <c r="AXW48" s="39"/>
      <c r="AXX48" s="41"/>
      <c r="AYA48" s="32"/>
      <c r="AYC48" s="12"/>
      <c r="AYE48" s="34"/>
      <c r="AYF48" s="39"/>
      <c r="AYG48" s="41"/>
      <c r="AYJ48" s="32"/>
      <c r="AYL48" s="12"/>
      <c r="AYN48" s="34"/>
      <c r="AYO48" s="39"/>
      <c r="AYP48" s="41"/>
      <c r="AYS48" s="32"/>
      <c r="AYU48" s="12"/>
      <c r="AYW48" s="34"/>
      <c r="AYX48" s="39"/>
      <c r="AYY48" s="41"/>
      <c r="AZB48" s="32"/>
      <c r="AZD48" s="12"/>
      <c r="AZF48" s="34"/>
      <c r="AZG48" s="39"/>
      <c r="AZH48" s="41"/>
      <c r="AZK48" s="32"/>
      <c r="AZM48" s="12"/>
      <c r="AZO48" s="34"/>
      <c r="AZP48" s="39"/>
      <c r="AZQ48" s="41"/>
      <c r="AZT48" s="32"/>
      <c r="AZV48" s="12"/>
      <c r="AZX48" s="34"/>
      <c r="AZY48" s="39"/>
      <c r="AZZ48" s="41"/>
      <c r="BAC48" s="32"/>
      <c r="BAE48" s="12"/>
      <c r="BAG48" s="34"/>
      <c r="BAH48" s="39"/>
      <c r="BAI48" s="41"/>
      <c r="BAL48" s="32"/>
      <c r="BAN48" s="12"/>
      <c r="BAP48" s="34"/>
      <c r="BAQ48" s="39"/>
      <c r="BAR48" s="41"/>
      <c r="BAU48" s="32"/>
      <c r="BAW48" s="12"/>
      <c r="BAY48" s="34"/>
      <c r="BAZ48" s="39"/>
      <c r="BBA48" s="41"/>
      <c r="BBD48" s="32"/>
      <c r="BBF48" s="12"/>
      <c r="BBH48" s="34"/>
      <c r="BBI48" s="39"/>
      <c r="BBJ48" s="41"/>
      <c r="BBM48" s="32"/>
      <c r="BBO48" s="12"/>
      <c r="BBQ48" s="34"/>
      <c r="BBR48" s="39"/>
      <c r="BBS48" s="41"/>
      <c r="BBV48" s="32"/>
      <c r="BBX48" s="12"/>
      <c r="BBZ48" s="34"/>
      <c r="BCA48" s="39"/>
      <c r="BCB48" s="41"/>
      <c r="BCE48" s="32"/>
      <c r="BCG48" s="12"/>
      <c r="BCI48" s="34"/>
      <c r="BCJ48" s="39"/>
      <c r="BCK48" s="41"/>
      <c r="BCN48" s="32"/>
      <c r="BCP48" s="12"/>
      <c r="BCR48" s="34"/>
      <c r="BCS48" s="39"/>
      <c r="BCT48" s="41"/>
      <c r="BCW48" s="32"/>
      <c r="BCY48" s="12"/>
      <c r="BDA48" s="34"/>
      <c r="BDB48" s="39"/>
      <c r="BDC48" s="41"/>
      <c r="BDF48" s="32"/>
      <c r="BDH48" s="12"/>
      <c r="BDJ48" s="34"/>
      <c r="BDK48" s="39"/>
      <c r="BDL48" s="41"/>
      <c r="BDO48" s="32"/>
      <c r="BDQ48" s="12"/>
      <c r="BDS48" s="34"/>
      <c r="BDT48" s="39"/>
      <c r="BDU48" s="41"/>
      <c r="BDX48" s="32"/>
      <c r="BDZ48" s="12"/>
      <c r="BEB48" s="34"/>
      <c r="BEC48" s="39"/>
      <c r="BED48" s="41"/>
      <c r="BEG48" s="32"/>
      <c r="BEI48" s="12"/>
      <c r="BEK48" s="34"/>
      <c r="BEL48" s="39"/>
      <c r="BEM48" s="41"/>
      <c r="BEP48" s="32"/>
      <c r="BER48" s="12"/>
      <c r="BET48" s="34"/>
      <c r="BEU48" s="39"/>
      <c r="BEV48" s="41"/>
      <c r="BEY48" s="32"/>
      <c r="BFA48" s="12"/>
      <c r="BFC48" s="34"/>
      <c r="BFD48" s="39"/>
      <c r="BFE48" s="41"/>
      <c r="BFH48" s="32"/>
      <c r="BFJ48" s="12"/>
      <c r="BFL48" s="34"/>
      <c r="BFM48" s="39"/>
      <c r="BFN48" s="41"/>
      <c r="BFQ48" s="32"/>
      <c r="BFS48" s="12"/>
      <c r="BFU48" s="34"/>
      <c r="BFV48" s="39"/>
      <c r="BFW48" s="41"/>
      <c r="BFZ48" s="32"/>
      <c r="BGB48" s="12"/>
      <c r="BGD48" s="34"/>
      <c r="BGE48" s="39"/>
      <c r="BGF48" s="41"/>
      <c r="BGI48" s="32"/>
      <c r="BGK48" s="12"/>
      <c r="BGM48" s="34"/>
      <c r="BGN48" s="39"/>
      <c r="BGO48" s="41"/>
      <c r="BGR48" s="32"/>
      <c r="BGT48" s="12"/>
      <c r="BGV48" s="34"/>
      <c r="BGW48" s="39"/>
      <c r="BGX48" s="41"/>
      <c r="BHA48" s="32"/>
      <c r="BHC48" s="12"/>
      <c r="BHE48" s="34"/>
      <c r="BHF48" s="39"/>
      <c r="BHG48" s="41"/>
      <c r="BHJ48" s="32"/>
      <c r="BHL48" s="12"/>
      <c r="BHN48" s="34"/>
      <c r="BHO48" s="39"/>
      <c r="BHP48" s="41"/>
      <c r="BHS48" s="32"/>
      <c r="BHU48" s="12"/>
      <c r="BHW48" s="34"/>
      <c r="BHX48" s="39"/>
      <c r="BHY48" s="41"/>
      <c r="BIB48" s="32"/>
      <c r="BID48" s="12"/>
      <c r="BIF48" s="34"/>
      <c r="BIG48" s="39"/>
      <c r="BIH48" s="41"/>
      <c r="BIK48" s="32"/>
      <c r="BIM48" s="12"/>
      <c r="BIO48" s="34"/>
      <c r="BIP48" s="39"/>
      <c r="BIQ48" s="41"/>
      <c r="BIT48" s="32"/>
      <c r="BIV48" s="12"/>
      <c r="BIX48" s="34"/>
      <c r="BIY48" s="39"/>
      <c r="BIZ48" s="41"/>
      <c r="BJC48" s="32"/>
      <c r="BJE48" s="12"/>
      <c r="BJG48" s="34"/>
      <c r="BJH48" s="39"/>
      <c r="BJI48" s="41"/>
      <c r="BJL48" s="32"/>
      <c r="BJN48" s="12"/>
      <c r="BJP48" s="34"/>
      <c r="BJQ48" s="39"/>
      <c r="BJR48" s="41"/>
      <c r="BJU48" s="32"/>
      <c r="BJW48" s="12"/>
      <c r="BJY48" s="34"/>
      <c r="BJZ48" s="39"/>
      <c r="BKA48" s="41"/>
      <c r="BKD48" s="32"/>
      <c r="BKF48" s="12"/>
      <c r="BKH48" s="34"/>
      <c r="BKI48" s="39"/>
      <c r="BKJ48" s="41"/>
      <c r="BKM48" s="32"/>
      <c r="BKO48" s="12"/>
      <c r="BKQ48" s="34"/>
      <c r="BKR48" s="39"/>
      <c r="BKS48" s="41"/>
      <c r="BKV48" s="32"/>
      <c r="BKX48" s="12"/>
      <c r="BKZ48" s="34"/>
      <c r="BLA48" s="39"/>
      <c r="BLB48" s="41"/>
      <c r="BLE48" s="32"/>
      <c r="BLG48" s="12"/>
      <c r="BLI48" s="34"/>
      <c r="BLJ48" s="39"/>
      <c r="BLK48" s="41"/>
      <c r="BLN48" s="32"/>
      <c r="BLP48" s="12"/>
      <c r="BLR48" s="34"/>
      <c r="BLS48" s="39"/>
      <c r="BLT48" s="41"/>
      <c r="BLW48" s="32"/>
      <c r="BLY48" s="12"/>
      <c r="BMA48" s="34"/>
      <c r="BMB48" s="39"/>
      <c r="BMC48" s="41"/>
      <c r="BMF48" s="32"/>
      <c r="BMH48" s="12"/>
      <c r="BMJ48" s="34"/>
      <c r="BMK48" s="39"/>
      <c r="BML48" s="41"/>
      <c r="BMO48" s="32"/>
      <c r="BMQ48" s="12"/>
      <c r="BMS48" s="34"/>
      <c r="BMT48" s="39"/>
      <c r="BMU48" s="41"/>
      <c r="BMX48" s="32"/>
      <c r="BMZ48" s="12"/>
      <c r="BNB48" s="34"/>
      <c r="BNC48" s="39"/>
      <c r="BND48" s="41"/>
      <c r="BNG48" s="32"/>
      <c r="BNI48" s="12"/>
      <c r="BNK48" s="34"/>
      <c r="BNL48" s="39"/>
      <c r="BNM48" s="41"/>
      <c r="BNP48" s="32"/>
      <c r="BNR48" s="12"/>
      <c r="BNT48" s="34"/>
      <c r="BNU48" s="39"/>
      <c r="BNV48" s="41"/>
      <c r="BNY48" s="32"/>
      <c r="BOA48" s="12"/>
      <c r="BOC48" s="34"/>
      <c r="BOD48" s="39"/>
      <c r="BOE48" s="41"/>
      <c r="BOH48" s="32"/>
      <c r="BOJ48" s="12"/>
      <c r="BOL48" s="34"/>
      <c r="BOM48" s="39"/>
      <c r="BON48" s="41"/>
      <c r="BOQ48" s="32"/>
      <c r="BOS48" s="12"/>
      <c r="BOU48" s="34"/>
      <c r="BOV48" s="39"/>
      <c r="BOW48" s="41"/>
      <c r="BOZ48" s="32"/>
      <c r="BPB48" s="12"/>
      <c r="BPD48" s="34"/>
      <c r="BPE48" s="39"/>
      <c r="BPF48" s="41"/>
      <c r="BPI48" s="32"/>
      <c r="BPK48" s="12"/>
      <c r="BPM48" s="34"/>
      <c r="BPN48" s="39"/>
      <c r="BPO48" s="41"/>
      <c r="BPR48" s="32"/>
      <c r="BPT48" s="12"/>
      <c r="BPV48" s="34"/>
      <c r="BPW48" s="39"/>
      <c r="BPX48" s="41"/>
      <c r="BQA48" s="32"/>
      <c r="BQC48" s="12"/>
      <c r="BQE48" s="34"/>
      <c r="BQF48" s="39"/>
      <c r="BQG48" s="41"/>
      <c r="BQJ48" s="32"/>
      <c r="BQL48" s="12"/>
      <c r="BQN48" s="34"/>
      <c r="BQO48" s="39"/>
      <c r="BQP48" s="41"/>
      <c r="BQS48" s="32"/>
      <c r="BQU48" s="12"/>
      <c r="BQW48" s="34"/>
      <c r="BQX48" s="39"/>
      <c r="BQY48" s="41"/>
      <c r="BRB48" s="32"/>
      <c r="BRD48" s="12"/>
      <c r="BRF48" s="34"/>
      <c r="BRG48" s="39"/>
      <c r="BRH48" s="41"/>
      <c r="BRK48" s="32"/>
      <c r="BRM48" s="12"/>
      <c r="BRO48" s="34"/>
      <c r="BRP48" s="39"/>
      <c r="BRQ48" s="41"/>
      <c r="BRT48" s="32"/>
      <c r="BRV48" s="12"/>
      <c r="BRX48" s="34"/>
      <c r="BRY48" s="39"/>
      <c r="BRZ48" s="41"/>
      <c r="BSC48" s="32"/>
      <c r="BSE48" s="12"/>
      <c r="BSG48" s="34"/>
      <c r="BSH48" s="39"/>
      <c r="BSI48" s="41"/>
      <c r="BSL48" s="32"/>
      <c r="BSN48" s="12"/>
      <c r="BSP48" s="34"/>
      <c r="BSQ48" s="39"/>
      <c r="BSR48" s="41"/>
      <c r="BSU48" s="32"/>
      <c r="BSW48" s="12"/>
      <c r="BSY48" s="34"/>
      <c r="BSZ48" s="39"/>
      <c r="BTA48" s="41"/>
      <c r="BTD48" s="32"/>
      <c r="BTF48" s="12"/>
      <c r="BTH48" s="34"/>
      <c r="BTI48" s="39"/>
      <c r="BTJ48" s="41"/>
      <c r="BTM48" s="32"/>
      <c r="BTO48" s="12"/>
      <c r="BTQ48" s="34"/>
      <c r="BTR48" s="39"/>
      <c r="BTS48" s="41"/>
      <c r="BTV48" s="32"/>
      <c r="BTX48" s="12"/>
      <c r="BTZ48" s="34"/>
      <c r="BUA48" s="39"/>
      <c r="BUB48" s="41"/>
      <c r="BUE48" s="32"/>
      <c r="BUG48" s="12"/>
      <c r="BUI48" s="34"/>
      <c r="BUJ48" s="39"/>
      <c r="BUK48" s="41"/>
      <c r="BUN48" s="32"/>
      <c r="BUP48" s="12"/>
      <c r="BUR48" s="34"/>
      <c r="BUS48" s="39"/>
      <c r="BUT48" s="41"/>
      <c r="BUW48" s="32"/>
      <c r="BUY48" s="12"/>
      <c r="BVA48" s="34"/>
      <c r="BVB48" s="39"/>
      <c r="BVC48" s="41"/>
      <c r="BVF48" s="32"/>
      <c r="BVH48" s="12"/>
      <c r="BVJ48" s="34"/>
      <c r="BVK48" s="39"/>
      <c r="BVL48" s="41"/>
      <c r="BVO48" s="32"/>
      <c r="BVQ48" s="12"/>
      <c r="BVS48" s="34"/>
      <c r="BVT48" s="39"/>
      <c r="BVU48" s="41"/>
      <c r="BVX48" s="32"/>
      <c r="BVZ48" s="12"/>
      <c r="BWB48" s="34"/>
      <c r="BWC48" s="39"/>
      <c r="BWD48" s="41"/>
      <c r="BWG48" s="32"/>
      <c r="BWI48" s="12"/>
      <c r="BWK48" s="34"/>
      <c r="BWL48" s="39"/>
      <c r="BWM48" s="41"/>
      <c r="BWP48" s="32"/>
      <c r="BWR48" s="12"/>
      <c r="BWT48" s="34"/>
      <c r="BWU48" s="39"/>
      <c r="BWV48" s="41"/>
      <c r="BWY48" s="32"/>
      <c r="BXA48" s="12"/>
      <c r="BXC48" s="34"/>
      <c r="BXD48" s="39"/>
      <c r="BXE48" s="41"/>
      <c r="BXH48" s="32"/>
      <c r="BXJ48" s="12"/>
      <c r="BXL48" s="34"/>
      <c r="BXM48" s="39"/>
      <c r="BXN48" s="41"/>
      <c r="BXQ48" s="32"/>
      <c r="BXS48" s="12"/>
      <c r="BXU48" s="34"/>
      <c r="BXV48" s="39"/>
      <c r="BXW48" s="41"/>
      <c r="BXZ48" s="32"/>
      <c r="BYB48" s="12"/>
      <c r="BYD48" s="34"/>
      <c r="BYE48" s="39"/>
      <c r="BYF48" s="41"/>
      <c r="BYI48" s="32"/>
      <c r="BYK48" s="12"/>
      <c r="BYM48" s="34"/>
      <c r="BYN48" s="39"/>
      <c r="BYO48" s="41"/>
      <c r="BYR48" s="32"/>
      <c r="BYT48" s="12"/>
      <c r="BYV48" s="34"/>
      <c r="BYW48" s="39"/>
      <c r="BYX48" s="41"/>
      <c r="BZA48" s="32"/>
      <c r="BZC48" s="12"/>
      <c r="BZE48" s="34"/>
      <c r="BZF48" s="39"/>
      <c r="BZG48" s="41"/>
      <c r="BZJ48" s="32"/>
      <c r="BZL48" s="12"/>
      <c r="BZN48" s="34"/>
      <c r="BZO48" s="39"/>
      <c r="BZP48" s="41"/>
      <c r="BZS48" s="32"/>
      <c r="BZU48" s="12"/>
      <c r="BZW48" s="34"/>
      <c r="BZX48" s="39"/>
      <c r="BZY48" s="41"/>
      <c r="CAB48" s="32"/>
      <c r="CAD48" s="12"/>
      <c r="CAF48" s="34"/>
      <c r="CAG48" s="39"/>
      <c r="CAH48" s="41"/>
      <c r="CAK48" s="32"/>
      <c r="CAM48" s="12"/>
      <c r="CAO48" s="34"/>
      <c r="CAP48" s="39"/>
      <c r="CAQ48" s="41"/>
      <c r="CAT48" s="32"/>
      <c r="CAV48" s="12"/>
      <c r="CAX48" s="34"/>
      <c r="CAY48" s="39"/>
      <c r="CAZ48" s="41"/>
      <c r="CBC48" s="32"/>
      <c r="CBE48" s="12"/>
      <c r="CBG48" s="34"/>
      <c r="CBH48" s="39"/>
      <c r="CBI48" s="41"/>
      <c r="CBL48" s="32"/>
      <c r="CBN48" s="12"/>
      <c r="CBP48" s="34"/>
      <c r="CBQ48" s="39"/>
      <c r="CBR48" s="41"/>
      <c r="CBU48" s="32"/>
      <c r="CBW48" s="12"/>
      <c r="CBY48" s="34"/>
      <c r="CBZ48" s="39"/>
      <c r="CCA48" s="41"/>
      <c r="CCD48" s="32"/>
      <c r="CCF48" s="12"/>
      <c r="CCH48" s="34"/>
      <c r="CCI48" s="39"/>
      <c r="CCJ48" s="41"/>
      <c r="CCM48" s="32"/>
      <c r="CCO48" s="12"/>
      <c r="CCQ48" s="34"/>
      <c r="CCR48" s="39"/>
      <c r="CCS48" s="41"/>
      <c r="CCV48" s="32"/>
      <c r="CCX48" s="12"/>
      <c r="CCZ48" s="34"/>
      <c r="CDA48" s="39"/>
      <c r="CDB48" s="41"/>
      <c r="CDE48" s="32"/>
      <c r="CDG48" s="12"/>
      <c r="CDI48" s="34"/>
      <c r="CDJ48" s="39"/>
      <c r="CDK48" s="41"/>
      <c r="CDN48" s="32"/>
      <c r="CDP48" s="12"/>
      <c r="CDR48" s="34"/>
      <c r="CDS48" s="39"/>
      <c r="CDT48" s="41"/>
      <c r="CDW48" s="32"/>
      <c r="CDY48" s="12"/>
      <c r="CEA48" s="34"/>
      <c r="CEB48" s="39"/>
      <c r="CEC48" s="41"/>
      <c r="CEF48" s="32"/>
      <c r="CEH48" s="12"/>
      <c r="CEJ48" s="34"/>
      <c r="CEK48" s="39"/>
      <c r="CEL48" s="41"/>
      <c r="CEO48" s="32"/>
      <c r="CEQ48" s="12"/>
      <c r="CES48" s="34"/>
      <c r="CET48" s="39"/>
      <c r="CEU48" s="41"/>
      <c r="CEX48" s="32"/>
      <c r="CEZ48" s="12"/>
      <c r="CFB48" s="34"/>
      <c r="CFC48" s="39"/>
      <c r="CFD48" s="41"/>
      <c r="CFG48" s="32"/>
      <c r="CFI48" s="12"/>
      <c r="CFK48" s="34"/>
      <c r="CFL48" s="39"/>
      <c r="CFM48" s="41"/>
      <c r="CFP48" s="32"/>
      <c r="CFR48" s="12"/>
      <c r="CFT48" s="34"/>
      <c r="CFU48" s="39"/>
      <c r="CFV48" s="41"/>
      <c r="CFY48" s="32"/>
      <c r="CGA48" s="12"/>
      <c r="CGC48" s="34"/>
      <c r="CGD48" s="39"/>
      <c r="CGE48" s="41"/>
      <c r="CGH48" s="32"/>
      <c r="CGJ48" s="12"/>
      <c r="CGL48" s="34"/>
      <c r="CGM48" s="39"/>
      <c r="CGN48" s="41"/>
      <c r="CGQ48" s="32"/>
      <c r="CGS48" s="12"/>
      <c r="CGU48" s="34"/>
      <c r="CGV48" s="39"/>
      <c r="CGW48" s="41"/>
      <c r="CGZ48" s="32"/>
      <c r="CHB48" s="12"/>
      <c r="CHD48" s="34"/>
      <c r="CHE48" s="39"/>
      <c r="CHF48" s="41"/>
      <c r="CHI48" s="32"/>
      <c r="CHK48" s="12"/>
      <c r="CHM48" s="34"/>
      <c r="CHN48" s="39"/>
      <c r="CHO48" s="41"/>
      <c r="CHR48" s="32"/>
      <c r="CHT48" s="12"/>
      <c r="CHV48" s="34"/>
      <c r="CHW48" s="39"/>
      <c r="CHX48" s="41"/>
      <c r="CIA48" s="32"/>
      <c r="CIC48" s="12"/>
      <c r="CIE48" s="34"/>
      <c r="CIF48" s="39"/>
      <c r="CIG48" s="41"/>
      <c r="CIJ48" s="32"/>
      <c r="CIL48" s="12"/>
      <c r="CIN48" s="34"/>
      <c r="CIO48" s="39"/>
      <c r="CIP48" s="41"/>
      <c r="CIS48" s="32"/>
      <c r="CIU48" s="12"/>
      <c r="CIW48" s="34"/>
      <c r="CIX48" s="39"/>
      <c r="CIY48" s="41"/>
      <c r="CJB48" s="32"/>
      <c r="CJD48" s="12"/>
      <c r="CJF48" s="34"/>
      <c r="CJG48" s="39"/>
      <c r="CJH48" s="41"/>
      <c r="CJK48" s="32"/>
      <c r="CJM48" s="12"/>
      <c r="CJO48" s="34"/>
      <c r="CJP48" s="39"/>
      <c r="CJQ48" s="41"/>
      <c r="CJT48" s="32"/>
      <c r="CJV48" s="12"/>
      <c r="CJX48" s="34"/>
      <c r="CJY48" s="39"/>
      <c r="CJZ48" s="41"/>
      <c r="CKC48" s="32"/>
      <c r="CKE48" s="12"/>
      <c r="CKG48" s="34"/>
      <c r="CKH48" s="39"/>
      <c r="CKI48" s="41"/>
      <c r="CKL48" s="32"/>
      <c r="CKN48" s="12"/>
      <c r="CKP48" s="34"/>
      <c r="CKQ48" s="39"/>
      <c r="CKR48" s="41"/>
      <c r="CKU48" s="32"/>
      <c r="CKW48" s="12"/>
      <c r="CKY48" s="34"/>
      <c r="CKZ48" s="39"/>
      <c r="CLA48" s="41"/>
      <c r="CLD48" s="32"/>
      <c r="CLF48" s="12"/>
      <c r="CLH48" s="34"/>
      <c r="CLI48" s="39"/>
      <c r="CLJ48" s="41"/>
      <c r="CLM48" s="32"/>
      <c r="CLO48" s="12"/>
      <c r="CLQ48" s="34"/>
      <c r="CLR48" s="39"/>
      <c r="CLS48" s="41"/>
      <c r="CLV48" s="32"/>
      <c r="CLX48" s="12"/>
      <c r="CLZ48" s="34"/>
      <c r="CMA48" s="39"/>
      <c r="CMB48" s="41"/>
      <c r="CME48" s="32"/>
      <c r="CMG48" s="12"/>
      <c r="CMI48" s="34"/>
      <c r="CMJ48" s="39"/>
      <c r="CMK48" s="41"/>
      <c r="CMN48" s="32"/>
      <c r="CMP48" s="12"/>
      <c r="CMR48" s="34"/>
      <c r="CMS48" s="39"/>
      <c r="CMT48" s="41"/>
      <c r="CMW48" s="32"/>
      <c r="CMY48" s="12"/>
      <c r="CNA48" s="34"/>
      <c r="CNB48" s="39"/>
      <c r="CNC48" s="41"/>
      <c r="CNF48" s="32"/>
      <c r="CNH48" s="12"/>
      <c r="CNJ48" s="34"/>
      <c r="CNK48" s="39"/>
      <c r="CNL48" s="41"/>
      <c r="CNO48" s="32"/>
      <c r="CNQ48" s="12"/>
      <c r="CNS48" s="34"/>
      <c r="CNT48" s="39"/>
      <c r="CNU48" s="41"/>
      <c r="CNX48" s="32"/>
      <c r="CNZ48" s="12"/>
      <c r="COB48" s="34"/>
      <c r="COC48" s="39"/>
      <c r="COD48" s="41"/>
      <c r="COG48" s="32"/>
      <c r="COI48" s="12"/>
      <c r="COK48" s="34"/>
      <c r="COL48" s="39"/>
      <c r="COM48" s="41"/>
      <c r="COP48" s="32"/>
      <c r="COR48" s="12"/>
      <c r="COT48" s="34"/>
      <c r="COU48" s="39"/>
      <c r="COV48" s="41"/>
      <c r="COY48" s="32"/>
      <c r="CPA48" s="12"/>
      <c r="CPC48" s="34"/>
      <c r="CPD48" s="39"/>
      <c r="CPE48" s="41"/>
      <c r="CPH48" s="32"/>
      <c r="CPJ48" s="12"/>
      <c r="CPL48" s="34"/>
      <c r="CPM48" s="39"/>
      <c r="CPN48" s="41"/>
      <c r="CPQ48" s="32"/>
      <c r="CPS48" s="12"/>
      <c r="CPU48" s="34"/>
      <c r="CPV48" s="39"/>
      <c r="CPW48" s="41"/>
      <c r="CPZ48" s="32"/>
      <c r="CQB48" s="12"/>
      <c r="CQD48" s="34"/>
      <c r="CQE48" s="39"/>
      <c r="CQF48" s="41"/>
      <c r="CQI48" s="32"/>
      <c r="CQK48" s="12"/>
      <c r="CQM48" s="34"/>
      <c r="CQN48" s="39"/>
      <c r="CQO48" s="41"/>
      <c r="CQR48" s="32"/>
      <c r="CQT48" s="12"/>
      <c r="CQV48" s="34"/>
      <c r="CQW48" s="39"/>
      <c r="CQX48" s="41"/>
      <c r="CRA48" s="32"/>
      <c r="CRC48" s="12"/>
      <c r="CRE48" s="34"/>
      <c r="CRF48" s="39"/>
      <c r="CRG48" s="41"/>
      <c r="CRJ48" s="32"/>
      <c r="CRL48" s="12"/>
      <c r="CRN48" s="34"/>
      <c r="CRO48" s="39"/>
      <c r="CRP48" s="41"/>
      <c r="CRS48" s="32"/>
      <c r="CRU48" s="12"/>
      <c r="CRW48" s="34"/>
      <c r="CRX48" s="39"/>
      <c r="CRY48" s="41"/>
      <c r="CSB48" s="32"/>
      <c r="CSD48" s="12"/>
      <c r="CSF48" s="34"/>
      <c r="CSG48" s="39"/>
      <c r="CSH48" s="41"/>
      <c r="CSK48" s="32"/>
      <c r="CSM48" s="12"/>
      <c r="CSO48" s="34"/>
      <c r="CSP48" s="39"/>
      <c r="CSQ48" s="41"/>
      <c r="CST48" s="32"/>
      <c r="CSV48" s="12"/>
      <c r="CSX48" s="34"/>
      <c r="CSY48" s="39"/>
      <c r="CSZ48" s="41"/>
      <c r="CTC48" s="32"/>
      <c r="CTE48" s="12"/>
      <c r="CTG48" s="34"/>
      <c r="CTH48" s="39"/>
      <c r="CTI48" s="41"/>
      <c r="CTL48" s="32"/>
      <c r="CTN48" s="12"/>
      <c r="CTP48" s="34"/>
      <c r="CTQ48" s="39"/>
      <c r="CTR48" s="41"/>
      <c r="CTU48" s="32"/>
      <c r="CTW48" s="12"/>
      <c r="CTY48" s="34"/>
      <c r="CTZ48" s="39"/>
      <c r="CUA48" s="41"/>
      <c r="CUD48" s="32"/>
      <c r="CUF48" s="12"/>
      <c r="CUH48" s="34"/>
      <c r="CUI48" s="39"/>
      <c r="CUJ48" s="41"/>
      <c r="CUM48" s="32"/>
      <c r="CUO48" s="12"/>
      <c r="CUQ48" s="34"/>
      <c r="CUR48" s="39"/>
      <c r="CUS48" s="41"/>
      <c r="CUV48" s="32"/>
      <c r="CUX48" s="12"/>
      <c r="CUZ48" s="34"/>
      <c r="CVA48" s="39"/>
      <c r="CVB48" s="41"/>
      <c r="CVE48" s="32"/>
      <c r="CVG48" s="12"/>
      <c r="CVI48" s="34"/>
      <c r="CVJ48" s="39"/>
      <c r="CVK48" s="41"/>
      <c r="CVN48" s="32"/>
      <c r="CVP48" s="12"/>
      <c r="CVR48" s="34"/>
      <c r="CVS48" s="39"/>
      <c r="CVT48" s="41"/>
      <c r="CVW48" s="32"/>
      <c r="CVY48" s="12"/>
      <c r="CWA48" s="34"/>
      <c r="CWB48" s="39"/>
      <c r="CWC48" s="41"/>
      <c r="CWF48" s="32"/>
      <c r="CWH48" s="12"/>
      <c r="CWJ48" s="34"/>
      <c r="CWK48" s="39"/>
      <c r="CWL48" s="41"/>
      <c r="CWO48" s="32"/>
      <c r="CWQ48" s="12"/>
      <c r="CWS48" s="34"/>
      <c r="CWT48" s="39"/>
      <c r="CWU48" s="41"/>
      <c r="CWX48" s="32"/>
      <c r="CWZ48" s="12"/>
      <c r="CXB48" s="34"/>
      <c r="CXC48" s="39"/>
      <c r="CXD48" s="41"/>
      <c r="CXG48" s="32"/>
      <c r="CXI48" s="12"/>
      <c r="CXK48" s="34"/>
      <c r="CXL48" s="39"/>
      <c r="CXM48" s="41"/>
      <c r="CXP48" s="32"/>
      <c r="CXR48" s="12"/>
      <c r="CXT48" s="34"/>
      <c r="CXU48" s="39"/>
      <c r="CXV48" s="41"/>
      <c r="CXY48" s="32"/>
      <c r="CYA48" s="12"/>
      <c r="CYC48" s="34"/>
      <c r="CYD48" s="39"/>
      <c r="CYE48" s="41"/>
      <c r="CYH48" s="32"/>
      <c r="CYJ48" s="12"/>
      <c r="CYL48" s="34"/>
      <c r="CYM48" s="39"/>
      <c r="CYN48" s="41"/>
      <c r="CYQ48" s="32"/>
      <c r="CYS48" s="12"/>
      <c r="CYU48" s="34"/>
      <c r="CYV48" s="39"/>
      <c r="CYW48" s="41"/>
      <c r="CYZ48" s="32"/>
      <c r="CZB48" s="12"/>
      <c r="CZD48" s="34"/>
      <c r="CZE48" s="39"/>
      <c r="CZF48" s="41"/>
      <c r="CZI48" s="32"/>
      <c r="CZK48" s="12"/>
      <c r="CZM48" s="34"/>
      <c r="CZN48" s="39"/>
      <c r="CZO48" s="41"/>
      <c r="CZR48" s="32"/>
      <c r="CZT48" s="12"/>
      <c r="CZV48" s="34"/>
      <c r="CZW48" s="39"/>
      <c r="CZX48" s="41"/>
      <c r="DAA48" s="32"/>
      <c r="DAC48" s="12"/>
      <c r="DAE48" s="34"/>
      <c r="DAF48" s="39"/>
      <c r="DAG48" s="41"/>
      <c r="DAJ48" s="32"/>
      <c r="DAL48" s="12"/>
      <c r="DAN48" s="34"/>
      <c r="DAO48" s="39"/>
      <c r="DAP48" s="41"/>
      <c r="DAS48" s="32"/>
      <c r="DAU48" s="12"/>
      <c r="DAW48" s="34"/>
      <c r="DAX48" s="39"/>
      <c r="DAY48" s="41"/>
      <c r="DBB48" s="32"/>
      <c r="DBD48" s="12"/>
      <c r="DBF48" s="34"/>
      <c r="DBG48" s="39"/>
      <c r="DBH48" s="41"/>
      <c r="DBK48" s="32"/>
      <c r="DBM48" s="12"/>
      <c r="DBO48" s="34"/>
      <c r="DBP48" s="39"/>
      <c r="DBQ48" s="41"/>
      <c r="DBT48" s="32"/>
      <c r="DBV48" s="12"/>
      <c r="DBX48" s="34"/>
      <c r="DBY48" s="39"/>
      <c r="DBZ48" s="41"/>
      <c r="DCC48" s="32"/>
      <c r="DCE48" s="12"/>
      <c r="DCG48" s="34"/>
      <c r="DCH48" s="39"/>
      <c r="DCI48" s="41"/>
      <c r="DCL48" s="32"/>
      <c r="DCN48" s="12"/>
      <c r="DCP48" s="34"/>
      <c r="DCQ48" s="39"/>
      <c r="DCR48" s="41"/>
      <c r="DCU48" s="32"/>
      <c r="DCW48" s="12"/>
      <c r="DCY48" s="34"/>
      <c r="DCZ48" s="39"/>
      <c r="DDA48" s="41"/>
      <c r="DDD48" s="32"/>
      <c r="DDF48" s="12"/>
      <c r="DDH48" s="34"/>
      <c r="DDI48" s="39"/>
      <c r="DDJ48" s="41"/>
      <c r="DDM48" s="32"/>
      <c r="DDO48" s="12"/>
      <c r="DDQ48" s="34"/>
      <c r="DDR48" s="39"/>
      <c r="DDS48" s="41"/>
      <c r="DDV48" s="32"/>
      <c r="DDX48" s="12"/>
      <c r="DDZ48" s="34"/>
      <c r="DEA48" s="39"/>
      <c r="DEB48" s="41"/>
      <c r="DEE48" s="32"/>
      <c r="DEG48" s="12"/>
      <c r="DEI48" s="34"/>
      <c r="DEJ48" s="39"/>
      <c r="DEK48" s="41"/>
      <c r="DEN48" s="32"/>
      <c r="DEP48" s="12"/>
      <c r="DER48" s="34"/>
      <c r="DES48" s="39"/>
      <c r="DET48" s="41"/>
      <c r="DEW48" s="32"/>
      <c r="DEY48" s="12"/>
      <c r="DFA48" s="34"/>
      <c r="DFB48" s="39"/>
      <c r="DFC48" s="41"/>
      <c r="DFF48" s="32"/>
      <c r="DFH48" s="12"/>
      <c r="DFJ48" s="34"/>
      <c r="DFK48" s="39"/>
      <c r="DFL48" s="41"/>
      <c r="DFO48" s="32"/>
      <c r="DFQ48" s="12"/>
      <c r="DFS48" s="34"/>
      <c r="DFT48" s="39"/>
      <c r="DFU48" s="41"/>
      <c r="DFX48" s="32"/>
      <c r="DFZ48" s="12"/>
      <c r="DGB48" s="34"/>
      <c r="DGC48" s="39"/>
      <c r="DGD48" s="41"/>
      <c r="DGG48" s="32"/>
      <c r="DGI48" s="12"/>
      <c r="DGK48" s="34"/>
      <c r="DGL48" s="39"/>
      <c r="DGM48" s="41"/>
      <c r="DGP48" s="32"/>
      <c r="DGR48" s="12"/>
      <c r="DGT48" s="34"/>
      <c r="DGU48" s="39"/>
      <c r="DGV48" s="41"/>
      <c r="DGY48" s="32"/>
      <c r="DHA48" s="12"/>
      <c r="DHC48" s="34"/>
      <c r="DHD48" s="39"/>
      <c r="DHE48" s="41"/>
      <c r="DHH48" s="32"/>
      <c r="DHJ48" s="12"/>
      <c r="DHL48" s="34"/>
      <c r="DHM48" s="39"/>
      <c r="DHN48" s="41"/>
      <c r="DHQ48" s="32"/>
      <c r="DHS48" s="12"/>
      <c r="DHU48" s="34"/>
      <c r="DHV48" s="39"/>
      <c r="DHW48" s="41"/>
      <c r="DHZ48" s="32"/>
      <c r="DIB48" s="12"/>
      <c r="DID48" s="34"/>
      <c r="DIE48" s="39"/>
      <c r="DIF48" s="41"/>
      <c r="DII48" s="32"/>
      <c r="DIK48" s="12"/>
      <c r="DIM48" s="34"/>
      <c r="DIN48" s="39"/>
      <c r="DIO48" s="41"/>
      <c r="DIR48" s="32"/>
      <c r="DIT48" s="12"/>
      <c r="DIV48" s="34"/>
      <c r="DIW48" s="39"/>
      <c r="DIX48" s="41"/>
      <c r="DJA48" s="32"/>
      <c r="DJC48" s="12"/>
      <c r="DJE48" s="34"/>
      <c r="DJF48" s="39"/>
      <c r="DJG48" s="41"/>
      <c r="DJJ48" s="32"/>
      <c r="DJL48" s="12"/>
      <c r="DJN48" s="34"/>
      <c r="DJO48" s="39"/>
      <c r="DJP48" s="41"/>
      <c r="DJS48" s="32"/>
      <c r="DJU48" s="12"/>
      <c r="DJW48" s="34"/>
      <c r="DJX48" s="39"/>
      <c r="DJY48" s="41"/>
      <c r="DKB48" s="32"/>
      <c r="DKD48" s="12"/>
      <c r="DKF48" s="34"/>
      <c r="DKG48" s="39"/>
      <c r="DKH48" s="41"/>
      <c r="DKK48" s="32"/>
      <c r="DKM48" s="12"/>
      <c r="DKO48" s="34"/>
      <c r="DKP48" s="39"/>
      <c r="DKQ48" s="41"/>
      <c r="DKT48" s="32"/>
      <c r="DKV48" s="12"/>
      <c r="DKX48" s="34"/>
      <c r="DKY48" s="39"/>
      <c r="DKZ48" s="41"/>
      <c r="DLC48" s="32"/>
      <c r="DLE48" s="12"/>
      <c r="DLG48" s="34"/>
      <c r="DLH48" s="39"/>
      <c r="DLI48" s="41"/>
      <c r="DLL48" s="32"/>
      <c r="DLN48" s="12"/>
      <c r="DLP48" s="34"/>
      <c r="DLQ48" s="39"/>
      <c r="DLR48" s="41"/>
      <c r="DLU48" s="32"/>
      <c r="DLW48" s="12"/>
      <c r="DLY48" s="34"/>
      <c r="DLZ48" s="39"/>
      <c r="DMA48" s="41"/>
      <c r="DMD48" s="32"/>
      <c r="DMF48" s="12"/>
      <c r="DMH48" s="34"/>
      <c r="DMI48" s="39"/>
      <c r="DMJ48" s="41"/>
      <c r="DMM48" s="32"/>
      <c r="DMO48" s="12"/>
      <c r="DMQ48" s="34"/>
      <c r="DMR48" s="39"/>
      <c r="DMS48" s="41"/>
      <c r="DMV48" s="32"/>
      <c r="DMX48" s="12"/>
      <c r="DMZ48" s="34"/>
      <c r="DNA48" s="39"/>
      <c r="DNB48" s="41"/>
      <c r="DNE48" s="32"/>
      <c r="DNG48" s="12"/>
      <c r="DNI48" s="34"/>
      <c r="DNJ48" s="39"/>
      <c r="DNK48" s="41"/>
      <c r="DNN48" s="32"/>
      <c r="DNP48" s="12"/>
      <c r="DNR48" s="34"/>
      <c r="DNS48" s="39"/>
      <c r="DNT48" s="41"/>
      <c r="DNW48" s="32"/>
      <c r="DNY48" s="12"/>
      <c r="DOA48" s="34"/>
      <c r="DOB48" s="39"/>
      <c r="DOC48" s="41"/>
      <c r="DOF48" s="32"/>
      <c r="DOH48" s="12"/>
      <c r="DOJ48" s="34"/>
      <c r="DOK48" s="39"/>
      <c r="DOL48" s="41"/>
      <c r="DOO48" s="32"/>
      <c r="DOQ48" s="12"/>
      <c r="DOS48" s="34"/>
      <c r="DOT48" s="39"/>
      <c r="DOU48" s="41"/>
      <c r="DOX48" s="32"/>
      <c r="DOZ48" s="12"/>
      <c r="DPB48" s="34"/>
      <c r="DPC48" s="39"/>
      <c r="DPD48" s="41"/>
      <c r="DPG48" s="32"/>
      <c r="DPI48" s="12"/>
      <c r="DPK48" s="34"/>
      <c r="DPL48" s="39"/>
      <c r="DPM48" s="41"/>
      <c r="DPP48" s="32"/>
      <c r="DPR48" s="12"/>
      <c r="DPT48" s="34"/>
      <c r="DPU48" s="39"/>
      <c r="DPV48" s="41"/>
      <c r="DPY48" s="32"/>
      <c r="DQA48" s="12"/>
      <c r="DQC48" s="34"/>
      <c r="DQD48" s="39"/>
      <c r="DQE48" s="41"/>
      <c r="DQH48" s="32"/>
      <c r="DQJ48" s="12"/>
      <c r="DQL48" s="34"/>
      <c r="DQM48" s="39"/>
      <c r="DQN48" s="41"/>
      <c r="DQQ48" s="32"/>
      <c r="DQS48" s="12"/>
      <c r="DQU48" s="34"/>
      <c r="DQV48" s="39"/>
      <c r="DQW48" s="41"/>
      <c r="DQZ48" s="32"/>
      <c r="DRB48" s="12"/>
      <c r="DRD48" s="34"/>
      <c r="DRE48" s="39"/>
      <c r="DRF48" s="41"/>
      <c r="DRI48" s="32"/>
      <c r="DRK48" s="12"/>
      <c r="DRM48" s="34"/>
      <c r="DRN48" s="39"/>
      <c r="DRO48" s="41"/>
      <c r="DRR48" s="32"/>
      <c r="DRT48" s="12"/>
      <c r="DRV48" s="34"/>
      <c r="DRW48" s="39"/>
      <c r="DRX48" s="41"/>
      <c r="DSA48" s="32"/>
      <c r="DSC48" s="12"/>
      <c r="DSE48" s="34"/>
      <c r="DSF48" s="39"/>
      <c r="DSG48" s="41"/>
      <c r="DSJ48" s="32"/>
      <c r="DSL48" s="12"/>
      <c r="DSN48" s="34"/>
      <c r="DSO48" s="39"/>
      <c r="DSP48" s="41"/>
      <c r="DSS48" s="32"/>
      <c r="DSU48" s="12"/>
      <c r="DSW48" s="34"/>
      <c r="DSX48" s="39"/>
      <c r="DSY48" s="41"/>
      <c r="DTB48" s="32"/>
      <c r="DTD48" s="12"/>
      <c r="DTF48" s="34"/>
      <c r="DTG48" s="39"/>
      <c r="DTH48" s="41"/>
      <c r="DTK48" s="32"/>
      <c r="DTM48" s="12"/>
      <c r="DTO48" s="34"/>
      <c r="DTP48" s="39"/>
      <c r="DTQ48" s="41"/>
      <c r="DTT48" s="32"/>
      <c r="DTV48" s="12"/>
      <c r="DTX48" s="34"/>
      <c r="DTY48" s="39"/>
      <c r="DTZ48" s="41"/>
      <c r="DUC48" s="32"/>
      <c r="DUE48" s="12"/>
      <c r="DUG48" s="34"/>
      <c r="DUH48" s="39"/>
      <c r="DUI48" s="41"/>
      <c r="DUL48" s="32"/>
      <c r="DUN48" s="12"/>
      <c r="DUP48" s="34"/>
      <c r="DUQ48" s="39"/>
      <c r="DUR48" s="41"/>
      <c r="DUU48" s="32"/>
      <c r="DUW48" s="12"/>
      <c r="DUY48" s="34"/>
      <c r="DUZ48" s="39"/>
      <c r="DVA48" s="41"/>
      <c r="DVD48" s="32"/>
      <c r="DVF48" s="12"/>
      <c r="DVH48" s="34"/>
      <c r="DVI48" s="39"/>
      <c r="DVJ48" s="41"/>
      <c r="DVM48" s="32"/>
      <c r="DVO48" s="12"/>
      <c r="DVQ48" s="34"/>
      <c r="DVR48" s="39"/>
      <c r="DVS48" s="41"/>
      <c r="DVV48" s="32"/>
      <c r="DVX48" s="12"/>
      <c r="DVZ48" s="34"/>
      <c r="DWA48" s="39"/>
      <c r="DWB48" s="41"/>
      <c r="DWE48" s="32"/>
      <c r="DWG48" s="12"/>
      <c r="DWI48" s="34"/>
      <c r="DWJ48" s="39"/>
      <c r="DWK48" s="41"/>
      <c r="DWN48" s="32"/>
      <c r="DWP48" s="12"/>
      <c r="DWR48" s="34"/>
      <c r="DWS48" s="39"/>
      <c r="DWT48" s="41"/>
      <c r="DWW48" s="32"/>
      <c r="DWY48" s="12"/>
      <c r="DXA48" s="34"/>
      <c r="DXB48" s="39"/>
      <c r="DXC48" s="41"/>
      <c r="DXF48" s="32"/>
      <c r="DXH48" s="12"/>
      <c r="DXJ48" s="34"/>
      <c r="DXK48" s="39"/>
      <c r="DXL48" s="41"/>
      <c r="DXO48" s="32"/>
      <c r="DXQ48" s="12"/>
      <c r="DXS48" s="34"/>
      <c r="DXT48" s="39"/>
      <c r="DXU48" s="41"/>
      <c r="DXX48" s="32"/>
      <c r="DXZ48" s="12"/>
      <c r="DYB48" s="34"/>
      <c r="DYC48" s="39"/>
      <c r="DYD48" s="41"/>
      <c r="DYG48" s="32"/>
      <c r="DYI48" s="12"/>
      <c r="DYK48" s="34"/>
      <c r="DYL48" s="39"/>
      <c r="DYM48" s="41"/>
      <c r="DYP48" s="32"/>
      <c r="DYR48" s="12"/>
      <c r="DYT48" s="34"/>
      <c r="DYU48" s="39"/>
      <c r="DYV48" s="41"/>
      <c r="DYY48" s="32"/>
      <c r="DZA48" s="12"/>
      <c r="DZC48" s="34"/>
      <c r="DZD48" s="39"/>
      <c r="DZE48" s="41"/>
      <c r="DZH48" s="32"/>
      <c r="DZJ48" s="12"/>
      <c r="DZL48" s="34"/>
      <c r="DZM48" s="39"/>
      <c r="DZN48" s="41"/>
      <c r="DZQ48" s="32"/>
      <c r="DZS48" s="12"/>
      <c r="DZU48" s="34"/>
      <c r="DZV48" s="39"/>
      <c r="DZW48" s="41"/>
      <c r="DZZ48" s="32"/>
      <c r="EAB48" s="12"/>
      <c r="EAD48" s="34"/>
      <c r="EAE48" s="39"/>
      <c r="EAF48" s="41"/>
      <c r="EAI48" s="32"/>
      <c r="EAK48" s="12"/>
      <c r="EAM48" s="34"/>
      <c r="EAN48" s="39"/>
      <c r="EAO48" s="41"/>
      <c r="EAR48" s="32"/>
      <c r="EAT48" s="12"/>
      <c r="EAV48" s="34"/>
      <c r="EAW48" s="39"/>
      <c r="EAX48" s="41"/>
      <c r="EBA48" s="32"/>
      <c r="EBC48" s="12"/>
      <c r="EBE48" s="34"/>
      <c r="EBF48" s="39"/>
      <c r="EBG48" s="41"/>
      <c r="EBJ48" s="32"/>
      <c r="EBL48" s="12"/>
      <c r="EBN48" s="34"/>
      <c r="EBO48" s="39"/>
      <c r="EBP48" s="41"/>
      <c r="EBS48" s="32"/>
      <c r="EBU48" s="12"/>
      <c r="EBW48" s="34"/>
      <c r="EBX48" s="39"/>
      <c r="EBY48" s="41"/>
      <c r="ECB48" s="32"/>
      <c r="ECD48" s="12"/>
      <c r="ECF48" s="34"/>
      <c r="ECG48" s="39"/>
      <c r="ECH48" s="41"/>
      <c r="ECK48" s="32"/>
      <c r="ECM48" s="12"/>
      <c r="ECO48" s="34"/>
      <c r="ECP48" s="39"/>
      <c r="ECQ48" s="41"/>
      <c r="ECT48" s="32"/>
      <c r="ECV48" s="12"/>
      <c r="ECX48" s="34"/>
      <c r="ECY48" s="39"/>
      <c r="ECZ48" s="41"/>
      <c r="EDC48" s="32"/>
      <c r="EDE48" s="12"/>
      <c r="EDG48" s="34"/>
      <c r="EDH48" s="39"/>
      <c r="EDI48" s="41"/>
      <c r="EDL48" s="32"/>
      <c r="EDN48" s="12"/>
      <c r="EDP48" s="34"/>
      <c r="EDQ48" s="39"/>
      <c r="EDR48" s="41"/>
      <c r="EDU48" s="32"/>
      <c r="EDW48" s="12"/>
      <c r="EDY48" s="34"/>
      <c r="EDZ48" s="39"/>
      <c r="EEA48" s="41"/>
      <c r="EED48" s="32"/>
      <c r="EEF48" s="12"/>
      <c r="EEH48" s="34"/>
      <c r="EEI48" s="39"/>
      <c r="EEJ48" s="41"/>
      <c r="EEM48" s="32"/>
      <c r="EEO48" s="12"/>
      <c r="EEQ48" s="34"/>
      <c r="EER48" s="39"/>
      <c r="EES48" s="41"/>
      <c r="EEV48" s="32"/>
      <c r="EEX48" s="12"/>
      <c r="EEZ48" s="34"/>
      <c r="EFA48" s="39"/>
      <c r="EFB48" s="41"/>
      <c r="EFE48" s="32"/>
      <c r="EFG48" s="12"/>
      <c r="EFI48" s="34"/>
      <c r="EFJ48" s="39"/>
      <c r="EFK48" s="41"/>
      <c r="EFN48" s="32"/>
      <c r="EFP48" s="12"/>
      <c r="EFR48" s="34"/>
      <c r="EFS48" s="39"/>
      <c r="EFT48" s="41"/>
      <c r="EFW48" s="32"/>
      <c r="EFY48" s="12"/>
      <c r="EGA48" s="34"/>
      <c r="EGB48" s="39"/>
      <c r="EGC48" s="41"/>
      <c r="EGF48" s="32"/>
      <c r="EGH48" s="12"/>
      <c r="EGJ48" s="34"/>
      <c r="EGK48" s="39"/>
      <c r="EGL48" s="41"/>
      <c r="EGO48" s="32"/>
      <c r="EGQ48" s="12"/>
      <c r="EGS48" s="34"/>
      <c r="EGT48" s="39"/>
      <c r="EGU48" s="41"/>
      <c r="EGX48" s="32"/>
      <c r="EGZ48" s="12"/>
      <c r="EHB48" s="34"/>
      <c r="EHC48" s="39"/>
      <c r="EHD48" s="41"/>
      <c r="EHG48" s="32"/>
      <c r="EHI48" s="12"/>
      <c r="EHK48" s="34"/>
      <c r="EHL48" s="39"/>
      <c r="EHM48" s="41"/>
      <c r="EHP48" s="32"/>
      <c r="EHR48" s="12"/>
      <c r="EHT48" s="34"/>
      <c r="EHU48" s="39"/>
      <c r="EHV48" s="41"/>
      <c r="EHY48" s="32"/>
      <c r="EIA48" s="12"/>
      <c r="EIC48" s="34"/>
      <c r="EID48" s="39"/>
      <c r="EIE48" s="41"/>
      <c r="EIH48" s="32"/>
      <c r="EIJ48" s="12"/>
      <c r="EIL48" s="34"/>
      <c r="EIM48" s="39"/>
      <c r="EIN48" s="41"/>
      <c r="EIQ48" s="32"/>
      <c r="EIS48" s="12"/>
      <c r="EIU48" s="34"/>
      <c r="EIV48" s="39"/>
      <c r="EIW48" s="41"/>
      <c r="EIZ48" s="32"/>
      <c r="EJB48" s="12"/>
      <c r="EJD48" s="34"/>
      <c r="EJE48" s="39"/>
      <c r="EJF48" s="41"/>
      <c r="EJI48" s="32"/>
      <c r="EJK48" s="12"/>
      <c r="EJM48" s="34"/>
      <c r="EJN48" s="39"/>
      <c r="EJO48" s="41"/>
      <c r="EJR48" s="32"/>
      <c r="EJT48" s="12"/>
      <c r="EJV48" s="34"/>
      <c r="EJW48" s="39"/>
      <c r="EJX48" s="41"/>
      <c r="EKA48" s="32"/>
      <c r="EKC48" s="12"/>
      <c r="EKE48" s="34"/>
      <c r="EKF48" s="39"/>
      <c r="EKG48" s="41"/>
      <c r="EKJ48" s="32"/>
      <c r="EKL48" s="12"/>
      <c r="EKN48" s="34"/>
      <c r="EKO48" s="39"/>
      <c r="EKP48" s="41"/>
      <c r="EKS48" s="32"/>
      <c r="EKU48" s="12"/>
      <c r="EKW48" s="34"/>
      <c r="EKX48" s="39"/>
      <c r="EKY48" s="41"/>
      <c r="ELB48" s="32"/>
      <c r="ELD48" s="12"/>
      <c r="ELF48" s="34"/>
      <c r="ELG48" s="39"/>
      <c r="ELH48" s="41"/>
      <c r="ELK48" s="32"/>
      <c r="ELM48" s="12"/>
      <c r="ELO48" s="34"/>
      <c r="ELP48" s="39"/>
      <c r="ELQ48" s="41"/>
      <c r="ELT48" s="32"/>
      <c r="ELV48" s="12"/>
      <c r="ELX48" s="34"/>
      <c r="ELY48" s="39"/>
      <c r="ELZ48" s="41"/>
      <c r="EMC48" s="32"/>
      <c r="EME48" s="12"/>
      <c r="EMG48" s="34"/>
      <c r="EMH48" s="39"/>
      <c r="EMI48" s="41"/>
      <c r="EML48" s="32"/>
      <c r="EMN48" s="12"/>
      <c r="EMP48" s="34"/>
      <c r="EMQ48" s="39"/>
      <c r="EMR48" s="41"/>
      <c r="EMU48" s="32"/>
      <c r="EMW48" s="12"/>
      <c r="EMY48" s="34"/>
      <c r="EMZ48" s="39"/>
      <c r="ENA48" s="41"/>
      <c r="END48" s="32"/>
      <c r="ENF48" s="12"/>
      <c r="ENH48" s="34"/>
      <c r="ENI48" s="39"/>
      <c r="ENJ48" s="41"/>
      <c r="ENM48" s="32"/>
      <c r="ENO48" s="12"/>
      <c r="ENQ48" s="34"/>
      <c r="ENR48" s="39"/>
      <c r="ENS48" s="41"/>
      <c r="ENV48" s="32"/>
      <c r="ENX48" s="12"/>
      <c r="ENZ48" s="34"/>
      <c r="EOA48" s="39"/>
      <c r="EOB48" s="41"/>
      <c r="EOE48" s="32"/>
      <c r="EOG48" s="12"/>
      <c r="EOI48" s="34"/>
      <c r="EOJ48" s="39"/>
      <c r="EOK48" s="41"/>
      <c r="EON48" s="32"/>
      <c r="EOP48" s="12"/>
      <c r="EOR48" s="34"/>
      <c r="EOS48" s="39"/>
      <c r="EOT48" s="41"/>
      <c r="EOW48" s="32"/>
      <c r="EOY48" s="12"/>
      <c r="EPA48" s="34"/>
      <c r="EPB48" s="39"/>
      <c r="EPC48" s="41"/>
      <c r="EPF48" s="32"/>
      <c r="EPH48" s="12"/>
      <c r="EPJ48" s="34"/>
      <c r="EPK48" s="39"/>
      <c r="EPL48" s="41"/>
      <c r="EPO48" s="32"/>
      <c r="EPQ48" s="12"/>
      <c r="EPS48" s="34"/>
      <c r="EPT48" s="39"/>
      <c r="EPU48" s="41"/>
      <c r="EPX48" s="32"/>
      <c r="EPZ48" s="12"/>
      <c r="EQB48" s="34"/>
      <c r="EQC48" s="39"/>
      <c r="EQD48" s="41"/>
      <c r="EQG48" s="32"/>
      <c r="EQI48" s="12"/>
      <c r="EQK48" s="34"/>
      <c r="EQL48" s="39"/>
      <c r="EQM48" s="41"/>
      <c r="EQP48" s="32"/>
      <c r="EQR48" s="12"/>
      <c r="EQT48" s="34"/>
      <c r="EQU48" s="39"/>
      <c r="EQV48" s="41"/>
      <c r="EQY48" s="32"/>
      <c r="ERA48" s="12"/>
      <c r="ERC48" s="34"/>
      <c r="ERD48" s="39"/>
      <c r="ERE48" s="41"/>
      <c r="ERH48" s="32"/>
      <c r="ERJ48" s="12"/>
      <c r="ERL48" s="34"/>
      <c r="ERM48" s="39"/>
      <c r="ERN48" s="41"/>
      <c r="ERQ48" s="32"/>
      <c r="ERS48" s="12"/>
      <c r="ERU48" s="34"/>
      <c r="ERV48" s="39"/>
      <c r="ERW48" s="41"/>
      <c r="ERZ48" s="32"/>
      <c r="ESB48" s="12"/>
      <c r="ESD48" s="34"/>
      <c r="ESE48" s="39"/>
      <c r="ESF48" s="41"/>
      <c r="ESI48" s="32"/>
      <c r="ESK48" s="12"/>
      <c r="ESM48" s="34"/>
      <c r="ESN48" s="39"/>
      <c r="ESO48" s="41"/>
      <c r="ESR48" s="32"/>
      <c r="EST48" s="12"/>
      <c r="ESV48" s="34"/>
      <c r="ESW48" s="39"/>
      <c r="ESX48" s="41"/>
      <c r="ETA48" s="32"/>
      <c r="ETC48" s="12"/>
      <c r="ETE48" s="34"/>
      <c r="ETF48" s="39"/>
      <c r="ETG48" s="41"/>
      <c r="ETJ48" s="32"/>
      <c r="ETL48" s="12"/>
      <c r="ETN48" s="34"/>
      <c r="ETO48" s="39"/>
      <c r="ETP48" s="41"/>
      <c r="ETS48" s="32"/>
      <c r="ETU48" s="12"/>
      <c r="ETW48" s="34"/>
      <c r="ETX48" s="39"/>
      <c r="ETY48" s="41"/>
      <c r="EUB48" s="32"/>
      <c r="EUD48" s="12"/>
      <c r="EUF48" s="34"/>
      <c r="EUG48" s="39"/>
      <c r="EUH48" s="41"/>
      <c r="EUK48" s="32"/>
      <c r="EUM48" s="12"/>
      <c r="EUO48" s="34"/>
      <c r="EUP48" s="39"/>
      <c r="EUQ48" s="41"/>
      <c r="EUT48" s="32"/>
      <c r="EUV48" s="12"/>
      <c r="EUX48" s="34"/>
      <c r="EUY48" s="39"/>
      <c r="EUZ48" s="41"/>
      <c r="EVC48" s="32"/>
      <c r="EVE48" s="12"/>
      <c r="EVG48" s="34"/>
      <c r="EVH48" s="39"/>
      <c r="EVI48" s="41"/>
      <c r="EVL48" s="32"/>
      <c r="EVN48" s="12"/>
      <c r="EVP48" s="34"/>
      <c r="EVQ48" s="39"/>
      <c r="EVR48" s="41"/>
      <c r="EVU48" s="32"/>
      <c r="EVW48" s="12"/>
      <c r="EVY48" s="34"/>
      <c r="EVZ48" s="39"/>
      <c r="EWA48" s="41"/>
      <c r="EWD48" s="32"/>
      <c r="EWF48" s="12"/>
      <c r="EWH48" s="34"/>
      <c r="EWI48" s="39"/>
      <c r="EWJ48" s="41"/>
      <c r="EWM48" s="32"/>
      <c r="EWO48" s="12"/>
      <c r="EWQ48" s="34"/>
      <c r="EWR48" s="39"/>
      <c r="EWS48" s="41"/>
      <c r="EWV48" s="32"/>
      <c r="EWX48" s="12"/>
      <c r="EWZ48" s="34"/>
      <c r="EXA48" s="39"/>
      <c r="EXB48" s="41"/>
      <c r="EXE48" s="32"/>
      <c r="EXG48" s="12"/>
      <c r="EXI48" s="34"/>
      <c r="EXJ48" s="39"/>
      <c r="EXK48" s="41"/>
      <c r="EXN48" s="32"/>
      <c r="EXP48" s="12"/>
      <c r="EXR48" s="34"/>
      <c r="EXS48" s="39"/>
      <c r="EXT48" s="41"/>
      <c r="EXW48" s="32"/>
      <c r="EXY48" s="12"/>
      <c r="EYA48" s="34"/>
      <c r="EYB48" s="39"/>
      <c r="EYC48" s="41"/>
      <c r="EYF48" s="32"/>
      <c r="EYH48" s="12"/>
      <c r="EYJ48" s="34"/>
      <c r="EYK48" s="39"/>
      <c r="EYL48" s="41"/>
      <c r="EYO48" s="32"/>
      <c r="EYQ48" s="12"/>
      <c r="EYS48" s="34"/>
      <c r="EYT48" s="39"/>
      <c r="EYU48" s="41"/>
      <c r="EYX48" s="32"/>
      <c r="EYZ48" s="12"/>
      <c r="EZB48" s="34"/>
      <c r="EZC48" s="39"/>
      <c r="EZD48" s="41"/>
      <c r="EZG48" s="32"/>
      <c r="EZI48" s="12"/>
      <c r="EZK48" s="34"/>
      <c r="EZL48" s="39"/>
      <c r="EZM48" s="41"/>
      <c r="EZP48" s="32"/>
      <c r="EZR48" s="12"/>
      <c r="EZT48" s="34"/>
      <c r="EZU48" s="39"/>
      <c r="EZV48" s="41"/>
      <c r="EZY48" s="32"/>
      <c r="FAA48" s="12"/>
      <c r="FAC48" s="34"/>
      <c r="FAD48" s="39"/>
      <c r="FAE48" s="41"/>
      <c r="FAH48" s="32"/>
      <c r="FAJ48" s="12"/>
      <c r="FAL48" s="34"/>
      <c r="FAM48" s="39"/>
      <c r="FAN48" s="41"/>
      <c r="FAQ48" s="32"/>
      <c r="FAS48" s="12"/>
      <c r="FAU48" s="34"/>
      <c r="FAV48" s="39"/>
      <c r="FAW48" s="41"/>
      <c r="FAZ48" s="32"/>
      <c r="FBB48" s="12"/>
      <c r="FBD48" s="34"/>
      <c r="FBE48" s="39"/>
      <c r="FBF48" s="41"/>
      <c r="FBI48" s="32"/>
      <c r="FBK48" s="12"/>
      <c r="FBM48" s="34"/>
      <c r="FBN48" s="39"/>
      <c r="FBO48" s="41"/>
      <c r="FBR48" s="32"/>
      <c r="FBT48" s="12"/>
      <c r="FBV48" s="34"/>
      <c r="FBW48" s="39"/>
      <c r="FBX48" s="41"/>
      <c r="FCA48" s="32"/>
      <c r="FCC48" s="12"/>
      <c r="FCE48" s="34"/>
      <c r="FCF48" s="39"/>
      <c r="FCG48" s="41"/>
      <c r="FCJ48" s="32"/>
      <c r="FCL48" s="12"/>
      <c r="FCN48" s="34"/>
      <c r="FCO48" s="39"/>
      <c r="FCP48" s="41"/>
      <c r="FCS48" s="32"/>
      <c r="FCU48" s="12"/>
      <c r="FCW48" s="34"/>
      <c r="FCX48" s="39"/>
      <c r="FCY48" s="41"/>
      <c r="FDB48" s="32"/>
      <c r="FDD48" s="12"/>
      <c r="FDF48" s="34"/>
      <c r="FDG48" s="39"/>
      <c r="FDH48" s="41"/>
      <c r="FDK48" s="32"/>
      <c r="FDM48" s="12"/>
      <c r="FDO48" s="34"/>
      <c r="FDP48" s="39"/>
      <c r="FDQ48" s="41"/>
      <c r="FDT48" s="32"/>
      <c r="FDV48" s="12"/>
      <c r="FDX48" s="34"/>
      <c r="FDY48" s="39"/>
      <c r="FDZ48" s="41"/>
      <c r="FEC48" s="32"/>
      <c r="FEE48" s="12"/>
      <c r="FEG48" s="34"/>
      <c r="FEH48" s="39"/>
      <c r="FEI48" s="41"/>
      <c r="FEL48" s="32"/>
      <c r="FEN48" s="12"/>
      <c r="FEP48" s="34"/>
      <c r="FEQ48" s="39"/>
      <c r="FER48" s="41"/>
      <c r="FEU48" s="32"/>
      <c r="FEW48" s="12"/>
      <c r="FEY48" s="34"/>
      <c r="FEZ48" s="39"/>
      <c r="FFA48" s="41"/>
      <c r="FFD48" s="32"/>
      <c r="FFF48" s="12"/>
      <c r="FFH48" s="34"/>
      <c r="FFI48" s="39"/>
      <c r="FFJ48" s="41"/>
      <c r="FFM48" s="32"/>
      <c r="FFO48" s="12"/>
      <c r="FFQ48" s="34"/>
      <c r="FFR48" s="39"/>
      <c r="FFS48" s="41"/>
      <c r="FFV48" s="32"/>
      <c r="FFX48" s="12"/>
      <c r="FFZ48" s="34"/>
      <c r="FGA48" s="39"/>
      <c r="FGB48" s="41"/>
      <c r="FGE48" s="32"/>
      <c r="FGG48" s="12"/>
      <c r="FGI48" s="34"/>
      <c r="FGJ48" s="39"/>
      <c r="FGK48" s="41"/>
      <c r="FGN48" s="32"/>
      <c r="FGP48" s="12"/>
      <c r="FGR48" s="34"/>
      <c r="FGS48" s="39"/>
      <c r="FGT48" s="41"/>
      <c r="FGW48" s="32"/>
      <c r="FGY48" s="12"/>
      <c r="FHA48" s="34"/>
      <c r="FHB48" s="39"/>
      <c r="FHC48" s="41"/>
      <c r="FHF48" s="32"/>
      <c r="FHH48" s="12"/>
      <c r="FHJ48" s="34"/>
      <c r="FHK48" s="39"/>
      <c r="FHL48" s="41"/>
      <c r="FHO48" s="32"/>
      <c r="FHQ48" s="12"/>
      <c r="FHS48" s="34"/>
      <c r="FHT48" s="39"/>
      <c r="FHU48" s="41"/>
      <c r="FHX48" s="32"/>
      <c r="FHZ48" s="12"/>
      <c r="FIB48" s="34"/>
      <c r="FIC48" s="39"/>
      <c r="FID48" s="41"/>
      <c r="FIG48" s="32"/>
      <c r="FII48" s="12"/>
      <c r="FIK48" s="34"/>
      <c r="FIL48" s="39"/>
      <c r="FIM48" s="41"/>
      <c r="FIP48" s="32"/>
      <c r="FIR48" s="12"/>
      <c r="FIT48" s="34"/>
      <c r="FIU48" s="39"/>
      <c r="FIV48" s="41"/>
      <c r="FIY48" s="32"/>
      <c r="FJA48" s="12"/>
      <c r="FJC48" s="34"/>
      <c r="FJD48" s="39"/>
      <c r="FJE48" s="41"/>
      <c r="FJH48" s="32"/>
      <c r="FJJ48" s="12"/>
      <c r="FJL48" s="34"/>
      <c r="FJM48" s="39"/>
      <c r="FJN48" s="41"/>
      <c r="FJQ48" s="32"/>
      <c r="FJS48" s="12"/>
      <c r="FJU48" s="34"/>
      <c r="FJV48" s="39"/>
      <c r="FJW48" s="41"/>
      <c r="FJZ48" s="32"/>
      <c r="FKB48" s="12"/>
      <c r="FKD48" s="34"/>
      <c r="FKE48" s="39"/>
      <c r="FKF48" s="41"/>
      <c r="FKI48" s="32"/>
      <c r="FKK48" s="12"/>
      <c r="FKM48" s="34"/>
      <c r="FKN48" s="39"/>
      <c r="FKO48" s="41"/>
      <c r="FKR48" s="32"/>
      <c r="FKT48" s="12"/>
      <c r="FKV48" s="34"/>
      <c r="FKW48" s="39"/>
      <c r="FKX48" s="41"/>
      <c r="FLA48" s="32"/>
      <c r="FLC48" s="12"/>
      <c r="FLE48" s="34"/>
      <c r="FLF48" s="39"/>
      <c r="FLG48" s="41"/>
      <c r="FLJ48" s="32"/>
      <c r="FLL48" s="12"/>
      <c r="FLN48" s="34"/>
      <c r="FLO48" s="39"/>
      <c r="FLP48" s="41"/>
      <c r="FLS48" s="32"/>
      <c r="FLU48" s="12"/>
      <c r="FLW48" s="34"/>
      <c r="FLX48" s="39"/>
      <c r="FLY48" s="41"/>
      <c r="FMB48" s="32"/>
      <c r="FMD48" s="12"/>
      <c r="FMF48" s="34"/>
      <c r="FMG48" s="39"/>
      <c r="FMH48" s="41"/>
      <c r="FMK48" s="32"/>
      <c r="FMM48" s="12"/>
      <c r="FMO48" s="34"/>
      <c r="FMP48" s="39"/>
      <c r="FMQ48" s="41"/>
      <c r="FMT48" s="32"/>
      <c r="FMV48" s="12"/>
      <c r="FMX48" s="34"/>
      <c r="FMY48" s="39"/>
      <c r="FMZ48" s="41"/>
      <c r="FNC48" s="32"/>
      <c r="FNE48" s="12"/>
      <c r="FNG48" s="34"/>
      <c r="FNH48" s="39"/>
      <c r="FNI48" s="41"/>
      <c r="FNL48" s="32"/>
      <c r="FNN48" s="12"/>
      <c r="FNP48" s="34"/>
      <c r="FNQ48" s="39"/>
      <c r="FNR48" s="41"/>
      <c r="FNU48" s="32"/>
      <c r="FNW48" s="12"/>
      <c r="FNY48" s="34"/>
      <c r="FNZ48" s="39"/>
      <c r="FOA48" s="41"/>
      <c r="FOD48" s="32"/>
      <c r="FOF48" s="12"/>
      <c r="FOH48" s="34"/>
      <c r="FOI48" s="39"/>
      <c r="FOJ48" s="41"/>
      <c r="FOM48" s="32"/>
      <c r="FOO48" s="12"/>
      <c r="FOQ48" s="34"/>
      <c r="FOR48" s="39"/>
      <c r="FOS48" s="41"/>
      <c r="FOV48" s="32"/>
      <c r="FOX48" s="12"/>
      <c r="FOZ48" s="34"/>
      <c r="FPA48" s="39"/>
      <c r="FPB48" s="41"/>
      <c r="FPE48" s="32"/>
      <c r="FPG48" s="12"/>
      <c r="FPI48" s="34"/>
      <c r="FPJ48" s="39"/>
      <c r="FPK48" s="41"/>
      <c r="FPN48" s="32"/>
      <c r="FPP48" s="12"/>
      <c r="FPR48" s="34"/>
      <c r="FPS48" s="39"/>
      <c r="FPT48" s="41"/>
      <c r="FPW48" s="32"/>
      <c r="FPY48" s="12"/>
      <c r="FQA48" s="34"/>
      <c r="FQB48" s="39"/>
      <c r="FQC48" s="41"/>
      <c r="FQF48" s="32"/>
      <c r="FQH48" s="12"/>
      <c r="FQJ48" s="34"/>
      <c r="FQK48" s="39"/>
      <c r="FQL48" s="41"/>
      <c r="FQO48" s="32"/>
      <c r="FQQ48" s="12"/>
      <c r="FQS48" s="34"/>
      <c r="FQT48" s="39"/>
      <c r="FQU48" s="41"/>
      <c r="FQX48" s="32"/>
      <c r="FQZ48" s="12"/>
      <c r="FRB48" s="34"/>
      <c r="FRC48" s="39"/>
      <c r="FRD48" s="41"/>
      <c r="FRG48" s="32"/>
      <c r="FRI48" s="12"/>
      <c r="FRK48" s="34"/>
      <c r="FRL48" s="39"/>
      <c r="FRM48" s="41"/>
      <c r="FRP48" s="32"/>
      <c r="FRR48" s="12"/>
      <c r="FRT48" s="34"/>
      <c r="FRU48" s="39"/>
      <c r="FRV48" s="41"/>
      <c r="FRY48" s="32"/>
      <c r="FSA48" s="12"/>
      <c r="FSC48" s="34"/>
      <c r="FSD48" s="39"/>
      <c r="FSE48" s="41"/>
      <c r="FSH48" s="32"/>
      <c r="FSJ48" s="12"/>
      <c r="FSL48" s="34"/>
      <c r="FSM48" s="39"/>
      <c r="FSN48" s="41"/>
      <c r="FSQ48" s="32"/>
      <c r="FSS48" s="12"/>
      <c r="FSU48" s="34"/>
      <c r="FSV48" s="39"/>
      <c r="FSW48" s="41"/>
      <c r="FSZ48" s="32"/>
      <c r="FTB48" s="12"/>
      <c r="FTD48" s="34"/>
      <c r="FTE48" s="39"/>
      <c r="FTF48" s="41"/>
      <c r="FTI48" s="32"/>
      <c r="FTK48" s="12"/>
      <c r="FTM48" s="34"/>
      <c r="FTN48" s="39"/>
      <c r="FTO48" s="41"/>
      <c r="FTR48" s="32"/>
      <c r="FTT48" s="12"/>
      <c r="FTV48" s="34"/>
      <c r="FTW48" s="39"/>
      <c r="FTX48" s="41"/>
      <c r="FUA48" s="32"/>
      <c r="FUC48" s="12"/>
      <c r="FUE48" s="34"/>
      <c r="FUF48" s="39"/>
      <c r="FUG48" s="41"/>
      <c r="FUJ48" s="32"/>
      <c r="FUL48" s="12"/>
      <c r="FUN48" s="34"/>
      <c r="FUO48" s="39"/>
      <c r="FUP48" s="41"/>
      <c r="FUS48" s="32"/>
      <c r="FUU48" s="12"/>
      <c r="FUW48" s="34"/>
      <c r="FUX48" s="39"/>
      <c r="FUY48" s="41"/>
      <c r="FVB48" s="32"/>
      <c r="FVD48" s="12"/>
      <c r="FVF48" s="34"/>
      <c r="FVG48" s="39"/>
      <c r="FVH48" s="41"/>
      <c r="FVK48" s="32"/>
      <c r="FVM48" s="12"/>
      <c r="FVO48" s="34"/>
      <c r="FVP48" s="39"/>
      <c r="FVQ48" s="41"/>
      <c r="FVT48" s="32"/>
      <c r="FVV48" s="12"/>
      <c r="FVX48" s="34"/>
      <c r="FVY48" s="39"/>
      <c r="FVZ48" s="41"/>
      <c r="FWC48" s="32"/>
      <c r="FWE48" s="12"/>
      <c r="FWG48" s="34"/>
      <c r="FWH48" s="39"/>
      <c r="FWI48" s="41"/>
      <c r="FWL48" s="32"/>
      <c r="FWN48" s="12"/>
      <c r="FWP48" s="34"/>
      <c r="FWQ48" s="39"/>
      <c r="FWR48" s="41"/>
      <c r="FWU48" s="32"/>
      <c r="FWW48" s="12"/>
      <c r="FWY48" s="34"/>
      <c r="FWZ48" s="39"/>
      <c r="FXA48" s="41"/>
      <c r="FXD48" s="32"/>
      <c r="FXF48" s="12"/>
      <c r="FXH48" s="34"/>
      <c r="FXI48" s="39"/>
      <c r="FXJ48" s="41"/>
      <c r="FXM48" s="32"/>
      <c r="FXO48" s="12"/>
      <c r="FXQ48" s="34"/>
      <c r="FXR48" s="39"/>
      <c r="FXS48" s="41"/>
      <c r="FXV48" s="32"/>
      <c r="FXX48" s="12"/>
      <c r="FXZ48" s="34"/>
      <c r="FYA48" s="39"/>
      <c r="FYB48" s="41"/>
      <c r="FYE48" s="32"/>
      <c r="FYG48" s="12"/>
      <c r="FYI48" s="34"/>
      <c r="FYJ48" s="39"/>
      <c r="FYK48" s="41"/>
      <c r="FYN48" s="32"/>
      <c r="FYP48" s="12"/>
      <c r="FYR48" s="34"/>
      <c r="FYS48" s="39"/>
      <c r="FYT48" s="41"/>
      <c r="FYW48" s="32"/>
      <c r="FYY48" s="12"/>
      <c r="FZA48" s="34"/>
      <c r="FZB48" s="39"/>
      <c r="FZC48" s="41"/>
      <c r="FZF48" s="32"/>
      <c r="FZH48" s="12"/>
      <c r="FZJ48" s="34"/>
      <c r="FZK48" s="39"/>
      <c r="FZL48" s="41"/>
      <c r="FZO48" s="32"/>
      <c r="FZQ48" s="12"/>
      <c r="FZS48" s="34"/>
      <c r="FZT48" s="39"/>
      <c r="FZU48" s="41"/>
      <c r="FZX48" s="32"/>
      <c r="FZZ48" s="12"/>
      <c r="GAB48" s="34"/>
      <c r="GAC48" s="39"/>
      <c r="GAD48" s="41"/>
      <c r="GAG48" s="32"/>
      <c r="GAI48" s="12"/>
      <c r="GAK48" s="34"/>
      <c r="GAL48" s="39"/>
      <c r="GAM48" s="41"/>
      <c r="GAP48" s="32"/>
      <c r="GAR48" s="12"/>
      <c r="GAT48" s="34"/>
      <c r="GAU48" s="39"/>
      <c r="GAV48" s="41"/>
      <c r="GAY48" s="32"/>
      <c r="GBA48" s="12"/>
      <c r="GBC48" s="34"/>
      <c r="GBD48" s="39"/>
      <c r="GBE48" s="41"/>
      <c r="GBH48" s="32"/>
      <c r="GBJ48" s="12"/>
      <c r="GBL48" s="34"/>
      <c r="GBM48" s="39"/>
      <c r="GBN48" s="41"/>
      <c r="GBQ48" s="32"/>
      <c r="GBS48" s="12"/>
      <c r="GBU48" s="34"/>
      <c r="GBV48" s="39"/>
      <c r="GBW48" s="41"/>
      <c r="GBZ48" s="32"/>
      <c r="GCB48" s="12"/>
      <c r="GCD48" s="34"/>
      <c r="GCE48" s="39"/>
      <c r="GCF48" s="41"/>
      <c r="GCI48" s="32"/>
      <c r="GCK48" s="12"/>
      <c r="GCM48" s="34"/>
      <c r="GCN48" s="39"/>
      <c r="GCO48" s="41"/>
      <c r="GCR48" s="32"/>
      <c r="GCT48" s="12"/>
      <c r="GCV48" s="34"/>
      <c r="GCW48" s="39"/>
      <c r="GCX48" s="41"/>
      <c r="GDA48" s="32"/>
      <c r="GDC48" s="12"/>
      <c r="GDE48" s="34"/>
      <c r="GDF48" s="39"/>
      <c r="GDG48" s="41"/>
      <c r="GDJ48" s="32"/>
      <c r="GDL48" s="12"/>
      <c r="GDN48" s="34"/>
      <c r="GDO48" s="39"/>
      <c r="GDP48" s="41"/>
      <c r="GDS48" s="32"/>
      <c r="GDU48" s="12"/>
      <c r="GDW48" s="34"/>
      <c r="GDX48" s="39"/>
      <c r="GDY48" s="41"/>
      <c r="GEB48" s="32"/>
      <c r="GED48" s="12"/>
      <c r="GEF48" s="34"/>
      <c r="GEG48" s="39"/>
      <c r="GEH48" s="41"/>
      <c r="GEK48" s="32"/>
      <c r="GEM48" s="12"/>
      <c r="GEO48" s="34"/>
      <c r="GEP48" s="39"/>
      <c r="GEQ48" s="41"/>
      <c r="GET48" s="32"/>
      <c r="GEV48" s="12"/>
      <c r="GEX48" s="34"/>
      <c r="GEY48" s="39"/>
      <c r="GEZ48" s="41"/>
      <c r="GFC48" s="32"/>
      <c r="GFE48" s="12"/>
      <c r="GFG48" s="34"/>
      <c r="GFH48" s="39"/>
      <c r="GFI48" s="41"/>
      <c r="GFL48" s="32"/>
      <c r="GFN48" s="12"/>
      <c r="GFP48" s="34"/>
      <c r="GFQ48" s="39"/>
      <c r="GFR48" s="41"/>
      <c r="GFU48" s="32"/>
      <c r="GFW48" s="12"/>
      <c r="GFY48" s="34"/>
      <c r="GFZ48" s="39"/>
      <c r="GGA48" s="41"/>
      <c r="GGD48" s="32"/>
      <c r="GGF48" s="12"/>
      <c r="GGH48" s="34"/>
      <c r="GGI48" s="39"/>
      <c r="GGJ48" s="41"/>
      <c r="GGM48" s="32"/>
      <c r="GGO48" s="12"/>
      <c r="GGQ48" s="34"/>
      <c r="GGR48" s="39"/>
      <c r="GGS48" s="41"/>
      <c r="GGV48" s="32"/>
      <c r="GGX48" s="12"/>
      <c r="GGZ48" s="34"/>
      <c r="GHA48" s="39"/>
      <c r="GHB48" s="41"/>
      <c r="GHE48" s="32"/>
      <c r="GHG48" s="12"/>
      <c r="GHI48" s="34"/>
      <c r="GHJ48" s="39"/>
      <c r="GHK48" s="41"/>
      <c r="GHN48" s="32"/>
      <c r="GHP48" s="12"/>
      <c r="GHR48" s="34"/>
      <c r="GHS48" s="39"/>
      <c r="GHT48" s="41"/>
      <c r="GHW48" s="32"/>
      <c r="GHY48" s="12"/>
      <c r="GIA48" s="34"/>
      <c r="GIB48" s="39"/>
      <c r="GIC48" s="41"/>
      <c r="GIF48" s="32"/>
      <c r="GIH48" s="12"/>
      <c r="GIJ48" s="34"/>
      <c r="GIK48" s="39"/>
      <c r="GIL48" s="41"/>
      <c r="GIO48" s="32"/>
      <c r="GIQ48" s="12"/>
      <c r="GIS48" s="34"/>
      <c r="GIT48" s="39"/>
      <c r="GIU48" s="41"/>
      <c r="GIX48" s="32"/>
      <c r="GIZ48" s="12"/>
      <c r="GJB48" s="34"/>
      <c r="GJC48" s="39"/>
      <c r="GJD48" s="41"/>
      <c r="GJG48" s="32"/>
      <c r="GJI48" s="12"/>
      <c r="GJK48" s="34"/>
      <c r="GJL48" s="39"/>
      <c r="GJM48" s="41"/>
      <c r="GJP48" s="32"/>
      <c r="GJR48" s="12"/>
      <c r="GJT48" s="34"/>
      <c r="GJU48" s="39"/>
      <c r="GJV48" s="41"/>
      <c r="GJY48" s="32"/>
      <c r="GKA48" s="12"/>
      <c r="GKC48" s="34"/>
      <c r="GKD48" s="39"/>
      <c r="GKE48" s="41"/>
      <c r="GKH48" s="32"/>
      <c r="GKJ48" s="12"/>
      <c r="GKL48" s="34"/>
      <c r="GKM48" s="39"/>
      <c r="GKN48" s="41"/>
      <c r="GKQ48" s="32"/>
      <c r="GKS48" s="12"/>
      <c r="GKU48" s="34"/>
      <c r="GKV48" s="39"/>
      <c r="GKW48" s="41"/>
      <c r="GKZ48" s="32"/>
      <c r="GLB48" s="12"/>
      <c r="GLD48" s="34"/>
      <c r="GLE48" s="39"/>
      <c r="GLF48" s="41"/>
      <c r="GLI48" s="32"/>
      <c r="GLK48" s="12"/>
      <c r="GLM48" s="34"/>
      <c r="GLN48" s="39"/>
      <c r="GLO48" s="41"/>
      <c r="GLR48" s="32"/>
      <c r="GLT48" s="12"/>
      <c r="GLV48" s="34"/>
      <c r="GLW48" s="39"/>
      <c r="GLX48" s="41"/>
      <c r="GMA48" s="32"/>
      <c r="GMC48" s="12"/>
      <c r="GME48" s="34"/>
      <c r="GMF48" s="39"/>
      <c r="GMG48" s="41"/>
      <c r="GMJ48" s="32"/>
      <c r="GML48" s="12"/>
      <c r="GMN48" s="34"/>
      <c r="GMO48" s="39"/>
      <c r="GMP48" s="41"/>
      <c r="GMS48" s="32"/>
      <c r="GMU48" s="12"/>
      <c r="GMW48" s="34"/>
      <c r="GMX48" s="39"/>
      <c r="GMY48" s="41"/>
      <c r="GNB48" s="32"/>
      <c r="GND48" s="12"/>
      <c r="GNF48" s="34"/>
      <c r="GNG48" s="39"/>
      <c r="GNH48" s="41"/>
      <c r="GNK48" s="32"/>
      <c r="GNM48" s="12"/>
      <c r="GNO48" s="34"/>
      <c r="GNP48" s="39"/>
      <c r="GNQ48" s="41"/>
      <c r="GNT48" s="32"/>
      <c r="GNV48" s="12"/>
      <c r="GNX48" s="34"/>
      <c r="GNY48" s="39"/>
      <c r="GNZ48" s="41"/>
      <c r="GOC48" s="32"/>
      <c r="GOE48" s="12"/>
      <c r="GOG48" s="34"/>
      <c r="GOH48" s="39"/>
      <c r="GOI48" s="41"/>
      <c r="GOL48" s="32"/>
      <c r="GON48" s="12"/>
      <c r="GOP48" s="34"/>
      <c r="GOQ48" s="39"/>
      <c r="GOR48" s="41"/>
      <c r="GOU48" s="32"/>
      <c r="GOW48" s="12"/>
      <c r="GOY48" s="34"/>
      <c r="GOZ48" s="39"/>
      <c r="GPA48" s="41"/>
      <c r="GPD48" s="32"/>
      <c r="GPF48" s="12"/>
      <c r="GPH48" s="34"/>
      <c r="GPI48" s="39"/>
      <c r="GPJ48" s="41"/>
      <c r="GPM48" s="32"/>
      <c r="GPO48" s="12"/>
      <c r="GPQ48" s="34"/>
      <c r="GPR48" s="39"/>
      <c r="GPS48" s="41"/>
      <c r="GPV48" s="32"/>
      <c r="GPX48" s="12"/>
      <c r="GPZ48" s="34"/>
      <c r="GQA48" s="39"/>
      <c r="GQB48" s="41"/>
      <c r="GQE48" s="32"/>
      <c r="GQG48" s="12"/>
      <c r="GQI48" s="34"/>
      <c r="GQJ48" s="39"/>
      <c r="GQK48" s="41"/>
      <c r="GQN48" s="32"/>
      <c r="GQP48" s="12"/>
      <c r="GQR48" s="34"/>
      <c r="GQS48" s="39"/>
      <c r="GQT48" s="41"/>
      <c r="GQW48" s="32"/>
      <c r="GQY48" s="12"/>
      <c r="GRA48" s="34"/>
      <c r="GRB48" s="39"/>
      <c r="GRC48" s="41"/>
      <c r="GRF48" s="32"/>
      <c r="GRH48" s="12"/>
      <c r="GRJ48" s="34"/>
      <c r="GRK48" s="39"/>
      <c r="GRL48" s="41"/>
      <c r="GRO48" s="32"/>
      <c r="GRQ48" s="12"/>
      <c r="GRS48" s="34"/>
      <c r="GRT48" s="39"/>
      <c r="GRU48" s="41"/>
      <c r="GRX48" s="32"/>
      <c r="GRZ48" s="12"/>
      <c r="GSB48" s="34"/>
      <c r="GSC48" s="39"/>
      <c r="GSD48" s="41"/>
      <c r="GSG48" s="32"/>
      <c r="GSI48" s="12"/>
      <c r="GSK48" s="34"/>
      <c r="GSL48" s="39"/>
      <c r="GSM48" s="41"/>
      <c r="GSP48" s="32"/>
      <c r="GSR48" s="12"/>
      <c r="GST48" s="34"/>
      <c r="GSU48" s="39"/>
      <c r="GSV48" s="41"/>
      <c r="GSY48" s="32"/>
      <c r="GTA48" s="12"/>
      <c r="GTC48" s="34"/>
      <c r="GTD48" s="39"/>
      <c r="GTE48" s="41"/>
      <c r="GTH48" s="32"/>
      <c r="GTJ48" s="12"/>
      <c r="GTL48" s="34"/>
      <c r="GTM48" s="39"/>
      <c r="GTN48" s="41"/>
      <c r="GTQ48" s="32"/>
      <c r="GTS48" s="12"/>
      <c r="GTU48" s="34"/>
      <c r="GTV48" s="39"/>
      <c r="GTW48" s="41"/>
      <c r="GTZ48" s="32"/>
      <c r="GUB48" s="12"/>
      <c r="GUD48" s="34"/>
      <c r="GUE48" s="39"/>
      <c r="GUF48" s="41"/>
      <c r="GUI48" s="32"/>
      <c r="GUK48" s="12"/>
      <c r="GUM48" s="34"/>
      <c r="GUN48" s="39"/>
      <c r="GUO48" s="41"/>
      <c r="GUR48" s="32"/>
      <c r="GUT48" s="12"/>
      <c r="GUV48" s="34"/>
      <c r="GUW48" s="39"/>
      <c r="GUX48" s="41"/>
      <c r="GVA48" s="32"/>
      <c r="GVC48" s="12"/>
      <c r="GVE48" s="34"/>
      <c r="GVF48" s="39"/>
      <c r="GVG48" s="41"/>
      <c r="GVJ48" s="32"/>
      <c r="GVL48" s="12"/>
      <c r="GVN48" s="34"/>
      <c r="GVO48" s="39"/>
      <c r="GVP48" s="41"/>
      <c r="GVS48" s="32"/>
      <c r="GVU48" s="12"/>
      <c r="GVW48" s="34"/>
      <c r="GVX48" s="39"/>
      <c r="GVY48" s="41"/>
      <c r="GWB48" s="32"/>
      <c r="GWD48" s="12"/>
      <c r="GWF48" s="34"/>
      <c r="GWG48" s="39"/>
      <c r="GWH48" s="41"/>
      <c r="GWK48" s="32"/>
      <c r="GWM48" s="12"/>
      <c r="GWO48" s="34"/>
      <c r="GWP48" s="39"/>
      <c r="GWQ48" s="41"/>
      <c r="GWT48" s="32"/>
      <c r="GWV48" s="12"/>
      <c r="GWX48" s="34"/>
      <c r="GWY48" s="39"/>
      <c r="GWZ48" s="41"/>
      <c r="GXC48" s="32"/>
      <c r="GXE48" s="12"/>
      <c r="GXG48" s="34"/>
      <c r="GXH48" s="39"/>
      <c r="GXI48" s="41"/>
      <c r="GXL48" s="32"/>
      <c r="GXN48" s="12"/>
      <c r="GXP48" s="34"/>
      <c r="GXQ48" s="39"/>
      <c r="GXR48" s="41"/>
      <c r="GXU48" s="32"/>
      <c r="GXW48" s="12"/>
      <c r="GXY48" s="34"/>
      <c r="GXZ48" s="39"/>
      <c r="GYA48" s="41"/>
      <c r="GYD48" s="32"/>
      <c r="GYF48" s="12"/>
      <c r="GYH48" s="34"/>
      <c r="GYI48" s="39"/>
      <c r="GYJ48" s="41"/>
      <c r="GYM48" s="32"/>
      <c r="GYO48" s="12"/>
      <c r="GYQ48" s="34"/>
      <c r="GYR48" s="39"/>
      <c r="GYS48" s="41"/>
      <c r="GYV48" s="32"/>
      <c r="GYX48" s="12"/>
      <c r="GYZ48" s="34"/>
      <c r="GZA48" s="39"/>
      <c r="GZB48" s="41"/>
      <c r="GZE48" s="32"/>
      <c r="GZG48" s="12"/>
      <c r="GZI48" s="34"/>
      <c r="GZJ48" s="39"/>
      <c r="GZK48" s="41"/>
      <c r="GZN48" s="32"/>
      <c r="GZP48" s="12"/>
      <c r="GZR48" s="34"/>
      <c r="GZS48" s="39"/>
      <c r="GZT48" s="41"/>
      <c r="GZW48" s="32"/>
      <c r="GZY48" s="12"/>
      <c r="HAA48" s="34"/>
      <c r="HAB48" s="39"/>
      <c r="HAC48" s="41"/>
      <c r="HAF48" s="32"/>
      <c r="HAH48" s="12"/>
      <c r="HAJ48" s="34"/>
      <c r="HAK48" s="39"/>
      <c r="HAL48" s="41"/>
      <c r="HAO48" s="32"/>
      <c r="HAQ48" s="12"/>
      <c r="HAS48" s="34"/>
      <c r="HAT48" s="39"/>
      <c r="HAU48" s="41"/>
      <c r="HAX48" s="32"/>
      <c r="HAZ48" s="12"/>
      <c r="HBB48" s="34"/>
      <c r="HBC48" s="39"/>
      <c r="HBD48" s="41"/>
      <c r="HBG48" s="32"/>
      <c r="HBI48" s="12"/>
      <c r="HBK48" s="34"/>
      <c r="HBL48" s="39"/>
      <c r="HBM48" s="41"/>
      <c r="HBP48" s="32"/>
      <c r="HBR48" s="12"/>
      <c r="HBT48" s="34"/>
      <c r="HBU48" s="39"/>
      <c r="HBV48" s="41"/>
      <c r="HBY48" s="32"/>
      <c r="HCA48" s="12"/>
      <c r="HCC48" s="34"/>
      <c r="HCD48" s="39"/>
      <c r="HCE48" s="41"/>
      <c r="HCH48" s="32"/>
      <c r="HCJ48" s="12"/>
      <c r="HCL48" s="34"/>
      <c r="HCM48" s="39"/>
      <c r="HCN48" s="41"/>
      <c r="HCQ48" s="32"/>
      <c r="HCS48" s="12"/>
      <c r="HCU48" s="34"/>
      <c r="HCV48" s="39"/>
      <c r="HCW48" s="41"/>
      <c r="HCZ48" s="32"/>
      <c r="HDB48" s="12"/>
      <c r="HDD48" s="34"/>
      <c r="HDE48" s="39"/>
      <c r="HDF48" s="41"/>
      <c r="HDI48" s="32"/>
      <c r="HDK48" s="12"/>
      <c r="HDM48" s="34"/>
      <c r="HDN48" s="39"/>
      <c r="HDO48" s="41"/>
      <c r="HDR48" s="32"/>
      <c r="HDT48" s="12"/>
      <c r="HDV48" s="34"/>
      <c r="HDW48" s="39"/>
      <c r="HDX48" s="41"/>
      <c r="HEA48" s="32"/>
      <c r="HEC48" s="12"/>
      <c r="HEE48" s="34"/>
      <c r="HEF48" s="39"/>
      <c r="HEG48" s="41"/>
      <c r="HEJ48" s="32"/>
      <c r="HEL48" s="12"/>
      <c r="HEN48" s="34"/>
      <c r="HEO48" s="39"/>
      <c r="HEP48" s="41"/>
      <c r="HES48" s="32"/>
      <c r="HEU48" s="12"/>
      <c r="HEW48" s="34"/>
      <c r="HEX48" s="39"/>
      <c r="HEY48" s="41"/>
      <c r="HFB48" s="32"/>
      <c r="HFD48" s="12"/>
      <c r="HFF48" s="34"/>
      <c r="HFG48" s="39"/>
      <c r="HFH48" s="41"/>
      <c r="HFK48" s="32"/>
      <c r="HFM48" s="12"/>
      <c r="HFO48" s="34"/>
      <c r="HFP48" s="39"/>
      <c r="HFQ48" s="41"/>
      <c r="HFT48" s="32"/>
      <c r="HFV48" s="12"/>
      <c r="HFX48" s="34"/>
      <c r="HFY48" s="39"/>
      <c r="HFZ48" s="41"/>
      <c r="HGC48" s="32"/>
      <c r="HGE48" s="12"/>
      <c r="HGG48" s="34"/>
      <c r="HGH48" s="39"/>
      <c r="HGI48" s="41"/>
      <c r="HGL48" s="32"/>
      <c r="HGN48" s="12"/>
      <c r="HGP48" s="34"/>
      <c r="HGQ48" s="39"/>
      <c r="HGR48" s="41"/>
      <c r="HGU48" s="32"/>
      <c r="HGW48" s="12"/>
      <c r="HGY48" s="34"/>
      <c r="HGZ48" s="39"/>
      <c r="HHA48" s="41"/>
      <c r="HHD48" s="32"/>
      <c r="HHF48" s="12"/>
      <c r="HHH48" s="34"/>
      <c r="HHI48" s="39"/>
      <c r="HHJ48" s="41"/>
      <c r="HHM48" s="32"/>
      <c r="HHO48" s="12"/>
      <c r="HHQ48" s="34"/>
      <c r="HHR48" s="39"/>
      <c r="HHS48" s="41"/>
      <c r="HHV48" s="32"/>
      <c r="HHX48" s="12"/>
      <c r="HHZ48" s="34"/>
      <c r="HIA48" s="39"/>
      <c r="HIB48" s="41"/>
      <c r="HIE48" s="32"/>
      <c r="HIG48" s="12"/>
      <c r="HII48" s="34"/>
      <c r="HIJ48" s="39"/>
      <c r="HIK48" s="41"/>
      <c r="HIN48" s="32"/>
      <c r="HIP48" s="12"/>
      <c r="HIR48" s="34"/>
      <c r="HIS48" s="39"/>
      <c r="HIT48" s="41"/>
      <c r="HIW48" s="32"/>
      <c r="HIY48" s="12"/>
      <c r="HJA48" s="34"/>
      <c r="HJB48" s="39"/>
      <c r="HJC48" s="41"/>
      <c r="HJF48" s="32"/>
      <c r="HJH48" s="12"/>
      <c r="HJJ48" s="34"/>
      <c r="HJK48" s="39"/>
      <c r="HJL48" s="41"/>
      <c r="HJO48" s="32"/>
      <c r="HJQ48" s="12"/>
      <c r="HJS48" s="34"/>
      <c r="HJT48" s="39"/>
      <c r="HJU48" s="41"/>
      <c r="HJX48" s="32"/>
      <c r="HJZ48" s="12"/>
      <c r="HKB48" s="34"/>
      <c r="HKC48" s="39"/>
      <c r="HKD48" s="41"/>
      <c r="HKG48" s="32"/>
      <c r="HKI48" s="12"/>
      <c r="HKK48" s="34"/>
      <c r="HKL48" s="39"/>
      <c r="HKM48" s="41"/>
      <c r="HKP48" s="32"/>
      <c r="HKR48" s="12"/>
      <c r="HKT48" s="34"/>
      <c r="HKU48" s="39"/>
      <c r="HKV48" s="41"/>
      <c r="HKY48" s="32"/>
      <c r="HLA48" s="12"/>
      <c r="HLC48" s="34"/>
      <c r="HLD48" s="39"/>
      <c r="HLE48" s="41"/>
      <c r="HLH48" s="32"/>
      <c r="HLJ48" s="12"/>
      <c r="HLL48" s="34"/>
      <c r="HLM48" s="39"/>
      <c r="HLN48" s="41"/>
      <c r="HLQ48" s="32"/>
      <c r="HLS48" s="12"/>
      <c r="HLU48" s="34"/>
      <c r="HLV48" s="39"/>
      <c r="HLW48" s="41"/>
      <c r="HLZ48" s="32"/>
      <c r="HMB48" s="12"/>
      <c r="HMD48" s="34"/>
      <c r="HME48" s="39"/>
      <c r="HMF48" s="41"/>
      <c r="HMI48" s="32"/>
      <c r="HMK48" s="12"/>
      <c r="HMM48" s="34"/>
      <c r="HMN48" s="39"/>
      <c r="HMO48" s="41"/>
      <c r="HMR48" s="32"/>
      <c r="HMT48" s="12"/>
      <c r="HMV48" s="34"/>
      <c r="HMW48" s="39"/>
      <c r="HMX48" s="41"/>
      <c r="HNA48" s="32"/>
      <c r="HNC48" s="12"/>
      <c r="HNE48" s="34"/>
      <c r="HNF48" s="39"/>
      <c r="HNG48" s="41"/>
      <c r="HNJ48" s="32"/>
      <c r="HNL48" s="12"/>
      <c r="HNN48" s="34"/>
      <c r="HNO48" s="39"/>
      <c r="HNP48" s="41"/>
      <c r="HNS48" s="32"/>
      <c r="HNU48" s="12"/>
      <c r="HNW48" s="34"/>
      <c r="HNX48" s="39"/>
      <c r="HNY48" s="41"/>
      <c r="HOB48" s="32"/>
      <c r="HOD48" s="12"/>
      <c r="HOF48" s="34"/>
      <c r="HOG48" s="39"/>
      <c r="HOH48" s="41"/>
      <c r="HOK48" s="32"/>
      <c r="HOM48" s="12"/>
      <c r="HOO48" s="34"/>
      <c r="HOP48" s="39"/>
      <c r="HOQ48" s="41"/>
      <c r="HOT48" s="32"/>
      <c r="HOV48" s="12"/>
      <c r="HOX48" s="34"/>
      <c r="HOY48" s="39"/>
      <c r="HOZ48" s="41"/>
      <c r="HPC48" s="32"/>
      <c r="HPE48" s="12"/>
      <c r="HPG48" s="34"/>
      <c r="HPH48" s="39"/>
      <c r="HPI48" s="41"/>
      <c r="HPL48" s="32"/>
      <c r="HPN48" s="12"/>
      <c r="HPP48" s="34"/>
      <c r="HPQ48" s="39"/>
      <c r="HPR48" s="41"/>
      <c r="HPU48" s="32"/>
      <c r="HPW48" s="12"/>
      <c r="HPY48" s="34"/>
      <c r="HPZ48" s="39"/>
      <c r="HQA48" s="41"/>
      <c r="HQD48" s="32"/>
      <c r="HQF48" s="12"/>
      <c r="HQH48" s="34"/>
      <c r="HQI48" s="39"/>
      <c r="HQJ48" s="41"/>
      <c r="HQM48" s="32"/>
      <c r="HQO48" s="12"/>
      <c r="HQQ48" s="34"/>
      <c r="HQR48" s="39"/>
      <c r="HQS48" s="41"/>
      <c r="HQV48" s="32"/>
      <c r="HQX48" s="12"/>
      <c r="HQZ48" s="34"/>
      <c r="HRA48" s="39"/>
      <c r="HRB48" s="41"/>
      <c r="HRE48" s="32"/>
      <c r="HRG48" s="12"/>
      <c r="HRI48" s="34"/>
      <c r="HRJ48" s="39"/>
      <c r="HRK48" s="41"/>
      <c r="HRN48" s="32"/>
      <c r="HRP48" s="12"/>
      <c r="HRR48" s="34"/>
      <c r="HRS48" s="39"/>
      <c r="HRT48" s="41"/>
      <c r="HRW48" s="32"/>
      <c r="HRY48" s="12"/>
      <c r="HSA48" s="34"/>
      <c r="HSB48" s="39"/>
      <c r="HSC48" s="41"/>
      <c r="HSF48" s="32"/>
      <c r="HSH48" s="12"/>
      <c r="HSJ48" s="34"/>
      <c r="HSK48" s="39"/>
      <c r="HSL48" s="41"/>
      <c r="HSO48" s="32"/>
      <c r="HSQ48" s="12"/>
      <c r="HSS48" s="34"/>
      <c r="HST48" s="39"/>
      <c r="HSU48" s="41"/>
      <c r="HSX48" s="32"/>
      <c r="HSZ48" s="12"/>
      <c r="HTB48" s="34"/>
      <c r="HTC48" s="39"/>
      <c r="HTD48" s="41"/>
      <c r="HTG48" s="32"/>
      <c r="HTI48" s="12"/>
      <c r="HTK48" s="34"/>
      <c r="HTL48" s="39"/>
      <c r="HTM48" s="41"/>
      <c r="HTP48" s="32"/>
      <c r="HTR48" s="12"/>
      <c r="HTT48" s="34"/>
      <c r="HTU48" s="39"/>
      <c r="HTV48" s="41"/>
      <c r="HTY48" s="32"/>
      <c r="HUA48" s="12"/>
      <c r="HUC48" s="34"/>
      <c r="HUD48" s="39"/>
      <c r="HUE48" s="41"/>
      <c r="HUH48" s="32"/>
      <c r="HUJ48" s="12"/>
      <c r="HUL48" s="34"/>
      <c r="HUM48" s="39"/>
      <c r="HUN48" s="41"/>
      <c r="HUQ48" s="32"/>
      <c r="HUS48" s="12"/>
      <c r="HUU48" s="34"/>
      <c r="HUV48" s="39"/>
      <c r="HUW48" s="41"/>
      <c r="HUZ48" s="32"/>
      <c r="HVB48" s="12"/>
      <c r="HVD48" s="34"/>
      <c r="HVE48" s="39"/>
      <c r="HVF48" s="41"/>
      <c r="HVI48" s="32"/>
      <c r="HVK48" s="12"/>
      <c r="HVM48" s="34"/>
      <c r="HVN48" s="39"/>
      <c r="HVO48" s="41"/>
      <c r="HVR48" s="32"/>
      <c r="HVT48" s="12"/>
      <c r="HVV48" s="34"/>
      <c r="HVW48" s="39"/>
      <c r="HVX48" s="41"/>
      <c r="HWA48" s="32"/>
      <c r="HWC48" s="12"/>
      <c r="HWE48" s="34"/>
      <c r="HWF48" s="39"/>
      <c r="HWG48" s="41"/>
      <c r="HWJ48" s="32"/>
      <c r="HWL48" s="12"/>
      <c r="HWN48" s="34"/>
      <c r="HWO48" s="39"/>
      <c r="HWP48" s="41"/>
      <c r="HWS48" s="32"/>
      <c r="HWU48" s="12"/>
      <c r="HWW48" s="34"/>
      <c r="HWX48" s="39"/>
      <c r="HWY48" s="41"/>
      <c r="HXB48" s="32"/>
      <c r="HXD48" s="12"/>
      <c r="HXF48" s="34"/>
      <c r="HXG48" s="39"/>
      <c r="HXH48" s="41"/>
      <c r="HXK48" s="32"/>
      <c r="HXM48" s="12"/>
      <c r="HXO48" s="34"/>
      <c r="HXP48" s="39"/>
      <c r="HXQ48" s="41"/>
      <c r="HXT48" s="32"/>
      <c r="HXV48" s="12"/>
      <c r="HXX48" s="34"/>
      <c r="HXY48" s="39"/>
      <c r="HXZ48" s="41"/>
      <c r="HYC48" s="32"/>
      <c r="HYE48" s="12"/>
      <c r="HYG48" s="34"/>
      <c r="HYH48" s="39"/>
      <c r="HYI48" s="41"/>
      <c r="HYL48" s="32"/>
      <c r="HYN48" s="12"/>
      <c r="HYP48" s="34"/>
      <c r="HYQ48" s="39"/>
      <c r="HYR48" s="41"/>
      <c r="HYU48" s="32"/>
      <c r="HYW48" s="12"/>
      <c r="HYY48" s="34"/>
      <c r="HYZ48" s="39"/>
      <c r="HZA48" s="41"/>
      <c r="HZD48" s="32"/>
      <c r="HZF48" s="12"/>
      <c r="HZH48" s="34"/>
      <c r="HZI48" s="39"/>
      <c r="HZJ48" s="41"/>
      <c r="HZM48" s="32"/>
      <c r="HZO48" s="12"/>
      <c r="HZQ48" s="34"/>
      <c r="HZR48" s="39"/>
      <c r="HZS48" s="41"/>
      <c r="HZV48" s="32"/>
      <c r="HZX48" s="12"/>
      <c r="HZZ48" s="34"/>
      <c r="IAA48" s="39"/>
      <c r="IAB48" s="41"/>
      <c r="IAE48" s="32"/>
      <c r="IAG48" s="12"/>
      <c r="IAI48" s="34"/>
      <c r="IAJ48" s="39"/>
      <c r="IAK48" s="41"/>
      <c r="IAN48" s="32"/>
      <c r="IAP48" s="12"/>
      <c r="IAR48" s="34"/>
      <c r="IAS48" s="39"/>
      <c r="IAT48" s="41"/>
      <c r="IAW48" s="32"/>
      <c r="IAY48" s="12"/>
      <c r="IBA48" s="34"/>
      <c r="IBB48" s="39"/>
      <c r="IBC48" s="41"/>
      <c r="IBF48" s="32"/>
      <c r="IBH48" s="12"/>
      <c r="IBJ48" s="34"/>
      <c r="IBK48" s="39"/>
      <c r="IBL48" s="41"/>
      <c r="IBO48" s="32"/>
      <c r="IBQ48" s="12"/>
      <c r="IBS48" s="34"/>
      <c r="IBT48" s="39"/>
      <c r="IBU48" s="41"/>
      <c r="IBX48" s="32"/>
      <c r="IBZ48" s="12"/>
      <c r="ICB48" s="34"/>
      <c r="ICC48" s="39"/>
      <c r="ICD48" s="41"/>
      <c r="ICG48" s="32"/>
      <c r="ICI48" s="12"/>
      <c r="ICK48" s="34"/>
      <c r="ICL48" s="39"/>
      <c r="ICM48" s="41"/>
      <c r="ICP48" s="32"/>
      <c r="ICR48" s="12"/>
      <c r="ICT48" s="34"/>
      <c r="ICU48" s="39"/>
      <c r="ICV48" s="41"/>
      <c r="ICY48" s="32"/>
      <c r="IDA48" s="12"/>
      <c r="IDC48" s="34"/>
      <c r="IDD48" s="39"/>
      <c r="IDE48" s="41"/>
      <c r="IDH48" s="32"/>
      <c r="IDJ48" s="12"/>
      <c r="IDL48" s="34"/>
      <c r="IDM48" s="39"/>
      <c r="IDN48" s="41"/>
      <c r="IDQ48" s="32"/>
      <c r="IDS48" s="12"/>
      <c r="IDU48" s="34"/>
      <c r="IDV48" s="39"/>
      <c r="IDW48" s="41"/>
      <c r="IDZ48" s="32"/>
      <c r="IEB48" s="12"/>
      <c r="IED48" s="34"/>
      <c r="IEE48" s="39"/>
      <c r="IEF48" s="41"/>
      <c r="IEI48" s="32"/>
      <c r="IEK48" s="12"/>
      <c r="IEM48" s="34"/>
      <c r="IEN48" s="39"/>
      <c r="IEO48" s="41"/>
      <c r="IER48" s="32"/>
      <c r="IET48" s="12"/>
      <c r="IEV48" s="34"/>
      <c r="IEW48" s="39"/>
      <c r="IEX48" s="41"/>
      <c r="IFA48" s="32"/>
      <c r="IFC48" s="12"/>
      <c r="IFE48" s="34"/>
      <c r="IFF48" s="39"/>
      <c r="IFG48" s="41"/>
      <c r="IFJ48" s="32"/>
      <c r="IFL48" s="12"/>
      <c r="IFN48" s="34"/>
      <c r="IFO48" s="39"/>
      <c r="IFP48" s="41"/>
      <c r="IFS48" s="32"/>
      <c r="IFU48" s="12"/>
      <c r="IFW48" s="34"/>
      <c r="IFX48" s="39"/>
      <c r="IFY48" s="41"/>
      <c r="IGB48" s="32"/>
      <c r="IGD48" s="12"/>
      <c r="IGF48" s="34"/>
      <c r="IGG48" s="39"/>
      <c r="IGH48" s="41"/>
      <c r="IGK48" s="32"/>
      <c r="IGM48" s="12"/>
      <c r="IGO48" s="34"/>
      <c r="IGP48" s="39"/>
      <c r="IGQ48" s="41"/>
      <c r="IGT48" s="32"/>
      <c r="IGV48" s="12"/>
      <c r="IGX48" s="34"/>
      <c r="IGY48" s="39"/>
      <c r="IGZ48" s="41"/>
      <c r="IHC48" s="32"/>
      <c r="IHE48" s="12"/>
      <c r="IHG48" s="34"/>
      <c r="IHH48" s="39"/>
      <c r="IHI48" s="41"/>
      <c r="IHL48" s="32"/>
      <c r="IHN48" s="12"/>
      <c r="IHP48" s="34"/>
      <c r="IHQ48" s="39"/>
      <c r="IHR48" s="41"/>
      <c r="IHU48" s="32"/>
      <c r="IHW48" s="12"/>
      <c r="IHY48" s="34"/>
      <c r="IHZ48" s="39"/>
      <c r="IIA48" s="41"/>
      <c r="IID48" s="32"/>
      <c r="IIF48" s="12"/>
      <c r="IIH48" s="34"/>
      <c r="III48" s="39"/>
      <c r="IIJ48" s="41"/>
      <c r="IIM48" s="32"/>
      <c r="IIO48" s="12"/>
      <c r="IIQ48" s="34"/>
      <c r="IIR48" s="39"/>
      <c r="IIS48" s="41"/>
      <c r="IIV48" s="32"/>
      <c r="IIX48" s="12"/>
      <c r="IIZ48" s="34"/>
      <c r="IJA48" s="39"/>
      <c r="IJB48" s="41"/>
      <c r="IJE48" s="32"/>
      <c r="IJG48" s="12"/>
      <c r="IJI48" s="34"/>
      <c r="IJJ48" s="39"/>
      <c r="IJK48" s="41"/>
      <c r="IJN48" s="32"/>
      <c r="IJP48" s="12"/>
      <c r="IJR48" s="34"/>
      <c r="IJS48" s="39"/>
      <c r="IJT48" s="41"/>
      <c r="IJW48" s="32"/>
      <c r="IJY48" s="12"/>
      <c r="IKA48" s="34"/>
      <c r="IKB48" s="39"/>
      <c r="IKC48" s="41"/>
      <c r="IKF48" s="32"/>
      <c r="IKH48" s="12"/>
      <c r="IKJ48" s="34"/>
      <c r="IKK48" s="39"/>
      <c r="IKL48" s="41"/>
      <c r="IKO48" s="32"/>
      <c r="IKQ48" s="12"/>
      <c r="IKS48" s="34"/>
      <c r="IKT48" s="39"/>
      <c r="IKU48" s="41"/>
      <c r="IKX48" s="32"/>
      <c r="IKZ48" s="12"/>
      <c r="ILB48" s="34"/>
      <c r="ILC48" s="39"/>
      <c r="ILD48" s="41"/>
      <c r="ILG48" s="32"/>
      <c r="ILI48" s="12"/>
      <c r="ILK48" s="34"/>
      <c r="ILL48" s="39"/>
      <c r="ILM48" s="41"/>
      <c r="ILP48" s="32"/>
      <c r="ILR48" s="12"/>
      <c r="ILT48" s="34"/>
      <c r="ILU48" s="39"/>
      <c r="ILV48" s="41"/>
      <c r="ILY48" s="32"/>
      <c r="IMA48" s="12"/>
      <c r="IMC48" s="34"/>
      <c r="IMD48" s="39"/>
      <c r="IME48" s="41"/>
      <c r="IMH48" s="32"/>
      <c r="IMJ48" s="12"/>
      <c r="IML48" s="34"/>
      <c r="IMM48" s="39"/>
      <c r="IMN48" s="41"/>
      <c r="IMQ48" s="32"/>
      <c r="IMS48" s="12"/>
      <c r="IMU48" s="34"/>
      <c r="IMV48" s="39"/>
      <c r="IMW48" s="41"/>
      <c r="IMZ48" s="32"/>
      <c r="INB48" s="12"/>
      <c r="IND48" s="34"/>
      <c r="INE48" s="39"/>
      <c r="INF48" s="41"/>
      <c r="INI48" s="32"/>
      <c r="INK48" s="12"/>
      <c r="INM48" s="34"/>
      <c r="INN48" s="39"/>
      <c r="INO48" s="41"/>
      <c r="INR48" s="32"/>
      <c r="INT48" s="12"/>
      <c r="INV48" s="34"/>
      <c r="INW48" s="39"/>
      <c r="INX48" s="41"/>
      <c r="IOA48" s="32"/>
      <c r="IOC48" s="12"/>
      <c r="IOE48" s="34"/>
      <c r="IOF48" s="39"/>
      <c r="IOG48" s="41"/>
      <c r="IOJ48" s="32"/>
      <c r="IOL48" s="12"/>
      <c r="ION48" s="34"/>
      <c r="IOO48" s="39"/>
      <c r="IOP48" s="41"/>
      <c r="IOS48" s="32"/>
      <c r="IOU48" s="12"/>
      <c r="IOW48" s="34"/>
      <c r="IOX48" s="39"/>
      <c r="IOY48" s="41"/>
      <c r="IPB48" s="32"/>
      <c r="IPD48" s="12"/>
      <c r="IPF48" s="34"/>
      <c r="IPG48" s="39"/>
      <c r="IPH48" s="41"/>
      <c r="IPK48" s="32"/>
      <c r="IPM48" s="12"/>
      <c r="IPO48" s="34"/>
      <c r="IPP48" s="39"/>
      <c r="IPQ48" s="41"/>
      <c r="IPT48" s="32"/>
      <c r="IPV48" s="12"/>
      <c r="IPX48" s="34"/>
      <c r="IPY48" s="39"/>
      <c r="IPZ48" s="41"/>
      <c r="IQC48" s="32"/>
      <c r="IQE48" s="12"/>
      <c r="IQG48" s="34"/>
      <c r="IQH48" s="39"/>
      <c r="IQI48" s="41"/>
      <c r="IQL48" s="32"/>
      <c r="IQN48" s="12"/>
      <c r="IQP48" s="34"/>
      <c r="IQQ48" s="39"/>
      <c r="IQR48" s="41"/>
      <c r="IQU48" s="32"/>
      <c r="IQW48" s="12"/>
      <c r="IQY48" s="34"/>
      <c r="IQZ48" s="39"/>
      <c r="IRA48" s="41"/>
      <c r="IRD48" s="32"/>
      <c r="IRF48" s="12"/>
      <c r="IRH48" s="34"/>
      <c r="IRI48" s="39"/>
      <c r="IRJ48" s="41"/>
      <c r="IRM48" s="32"/>
      <c r="IRO48" s="12"/>
      <c r="IRQ48" s="34"/>
      <c r="IRR48" s="39"/>
      <c r="IRS48" s="41"/>
      <c r="IRV48" s="32"/>
      <c r="IRX48" s="12"/>
      <c r="IRZ48" s="34"/>
      <c r="ISA48" s="39"/>
      <c r="ISB48" s="41"/>
      <c r="ISE48" s="32"/>
      <c r="ISG48" s="12"/>
      <c r="ISI48" s="34"/>
      <c r="ISJ48" s="39"/>
      <c r="ISK48" s="41"/>
      <c r="ISN48" s="32"/>
      <c r="ISP48" s="12"/>
      <c r="ISR48" s="34"/>
      <c r="ISS48" s="39"/>
      <c r="IST48" s="41"/>
      <c r="ISW48" s="32"/>
      <c r="ISY48" s="12"/>
      <c r="ITA48" s="34"/>
      <c r="ITB48" s="39"/>
      <c r="ITC48" s="41"/>
      <c r="ITF48" s="32"/>
      <c r="ITH48" s="12"/>
      <c r="ITJ48" s="34"/>
      <c r="ITK48" s="39"/>
      <c r="ITL48" s="41"/>
      <c r="ITO48" s="32"/>
      <c r="ITQ48" s="12"/>
      <c r="ITS48" s="34"/>
      <c r="ITT48" s="39"/>
      <c r="ITU48" s="41"/>
      <c r="ITX48" s="32"/>
      <c r="ITZ48" s="12"/>
      <c r="IUB48" s="34"/>
      <c r="IUC48" s="39"/>
      <c r="IUD48" s="41"/>
      <c r="IUG48" s="32"/>
      <c r="IUI48" s="12"/>
      <c r="IUK48" s="34"/>
      <c r="IUL48" s="39"/>
      <c r="IUM48" s="41"/>
      <c r="IUP48" s="32"/>
      <c r="IUR48" s="12"/>
      <c r="IUT48" s="34"/>
      <c r="IUU48" s="39"/>
      <c r="IUV48" s="41"/>
      <c r="IUY48" s="32"/>
      <c r="IVA48" s="12"/>
      <c r="IVC48" s="34"/>
      <c r="IVD48" s="39"/>
      <c r="IVE48" s="41"/>
      <c r="IVH48" s="32"/>
      <c r="IVJ48" s="12"/>
      <c r="IVL48" s="34"/>
      <c r="IVM48" s="39"/>
      <c r="IVN48" s="41"/>
      <c r="IVQ48" s="32"/>
      <c r="IVS48" s="12"/>
      <c r="IVU48" s="34"/>
      <c r="IVV48" s="39"/>
      <c r="IVW48" s="41"/>
      <c r="IVZ48" s="32"/>
      <c r="IWB48" s="12"/>
      <c r="IWD48" s="34"/>
      <c r="IWE48" s="39"/>
      <c r="IWF48" s="41"/>
      <c r="IWI48" s="32"/>
      <c r="IWK48" s="12"/>
      <c r="IWM48" s="34"/>
      <c r="IWN48" s="39"/>
      <c r="IWO48" s="41"/>
      <c r="IWR48" s="32"/>
      <c r="IWT48" s="12"/>
      <c r="IWV48" s="34"/>
      <c r="IWW48" s="39"/>
      <c r="IWX48" s="41"/>
      <c r="IXA48" s="32"/>
      <c r="IXC48" s="12"/>
      <c r="IXE48" s="34"/>
      <c r="IXF48" s="39"/>
      <c r="IXG48" s="41"/>
      <c r="IXJ48" s="32"/>
      <c r="IXL48" s="12"/>
      <c r="IXN48" s="34"/>
      <c r="IXO48" s="39"/>
      <c r="IXP48" s="41"/>
      <c r="IXS48" s="32"/>
      <c r="IXU48" s="12"/>
      <c r="IXW48" s="34"/>
      <c r="IXX48" s="39"/>
      <c r="IXY48" s="41"/>
      <c r="IYB48" s="32"/>
      <c r="IYD48" s="12"/>
      <c r="IYF48" s="34"/>
      <c r="IYG48" s="39"/>
      <c r="IYH48" s="41"/>
      <c r="IYK48" s="32"/>
      <c r="IYM48" s="12"/>
      <c r="IYO48" s="34"/>
      <c r="IYP48" s="39"/>
      <c r="IYQ48" s="41"/>
      <c r="IYT48" s="32"/>
      <c r="IYV48" s="12"/>
      <c r="IYX48" s="34"/>
      <c r="IYY48" s="39"/>
      <c r="IYZ48" s="41"/>
      <c r="IZC48" s="32"/>
      <c r="IZE48" s="12"/>
      <c r="IZG48" s="34"/>
      <c r="IZH48" s="39"/>
      <c r="IZI48" s="41"/>
      <c r="IZL48" s="32"/>
      <c r="IZN48" s="12"/>
      <c r="IZP48" s="34"/>
      <c r="IZQ48" s="39"/>
      <c r="IZR48" s="41"/>
      <c r="IZU48" s="32"/>
      <c r="IZW48" s="12"/>
      <c r="IZY48" s="34"/>
      <c r="IZZ48" s="39"/>
      <c r="JAA48" s="41"/>
      <c r="JAD48" s="32"/>
      <c r="JAF48" s="12"/>
      <c r="JAH48" s="34"/>
      <c r="JAI48" s="39"/>
      <c r="JAJ48" s="41"/>
      <c r="JAM48" s="32"/>
      <c r="JAO48" s="12"/>
      <c r="JAQ48" s="34"/>
      <c r="JAR48" s="39"/>
      <c r="JAS48" s="41"/>
      <c r="JAV48" s="32"/>
      <c r="JAX48" s="12"/>
      <c r="JAZ48" s="34"/>
      <c r="JBA48" s="39"/>
      <c r="JBB48" s="41"/>
      <c r="JBE48" s="32"/>
      <c r="JBG48" s="12"/>
      <c r="JBI48" s="34"/>
      <c r="JBJ48" s="39"/>
      <c r="JBK48" s="41"/>
      <c r="JBN48" s="32"/>
      <c r="JBP48" s="12"/>
      <c r="JBR48" s="34"/>
      <c r="JBS48" s="39"/>
      <c r="JBT48" s="41"/>
      <c r="JBW48" s="32"/>
      <c r="JBY48" s="12"/>
      <c r="JCA48" s="34"/>
      <c r="JCB48" s="39"/>
      <c r="JCC48" s="41"/>
      <c r="JCF48" s="32"/>
      <c r="JCH48" s="12"/>
      <c r="JCJ48" s="34"/>
      <c r="JCK48" s="39"/>
      <c r="JCL48" s="41"/>
      <c r="JCO48" s="32"/>
      <c r="JCQ48" s="12"/>
      <c r="JCS48" s="34"/>
      <c r="JCT48" s="39"/>
      <c r="JCU48" s="41"/>
      <c r="JCX48" s="32"/>
      <c r="JCZ48" s="12"/>
      <c r="JDB48" s="34"/>
      <c r="JDC48" s="39"/>
      <c r="JDD48" s="41"/>
      <c r="JDG48" s="32"/>
      <c r="JDI48" s="12"/>
      <c r="JDK48" s="34"/>
      <c r="JDL48" s="39"/>
      <c r="JDM48" s="41"/>
      <c r="JDP48" s="32"/>
      <c r="JDR48" s="12"/>
      <c r="JDT48" s="34"/>
      <c r="JDU48" s="39"/>
      <c r="JDV48" s="41"/>
      <c r="JDY48" s="32"/>
      <c r="JEA48" s="12"/>
      <c r="JEC48" s="34"/>
      <c r="JED48" s="39"/>
      <c r="JEE48" s="41"/>
      <c r="JEH48" s="32"/>
      <c r="JEJ48" s="12"/>
      <c r="JEL48" s="34"/>
      <c r="JEM48" s="39"/>
      <c r="JEN48" s="41"/>
      <c r="JEQ48" s="32"/>
      <c r="JES48" s="12"/>
      <c r="JEU48" s="34"/>
      <c r="JEV48" s="39"/>
      <c r="JEW48" s="41"/>
      <c r="JEZ48" s="32"/>
      <c r="JFB48" s="12"/>
      <c r="JFD48" s="34"/>
      <c r="JFE48" s="39"/>
      <c r="JFF48" s="41"/>
      <c r="JFI48" s="32"/>
      <c r="JFK48" s="12"/>
      <c r="JFM48" s="34"/>
      <c r="JFN48" s="39"/>
      <c r="JFO48" s="41"/>
      <c r="JFR48" s="32"/>
      <c r="JFT48" s="12"/>
      <c r="JFV48" s="34"/>
      <c r="JFW48" s="39"/>
      <c r="JFX48" s="41"/>
      <c r="JGA48" s="32"/>
      <c r="JGC48" s="12"/>
      <c r="JGE48" s="34"/>
      <c r="JGF48" s="39"/>
      <c r="JGG48" s="41"/>
      <c r="JGJ48" s="32"/>
      <c r="JGL48" s="12"/>
      <c r="JGN48" s="34"/>
      <c r="JGO48" s="39"/>
      <c r="JGP48" s="41"/>
      <c r="JGS48" s="32"/>
      <c r="JGU48" s="12"/>
      <c r="JGW48" s="34"/>
      <c r="JGX48" s="39"/>
      <c r="JGY48" s="41"/>
      <c r="JHB48" s="32"/>
      <c r="JHD48" s="12"/>
      <c r="JHF48" s="34"/>
      <c r="JHG48" s="39"/>
      <c r="JHH48" s="41"/>
      <c r="JHK48" s="32"/>
      <c r="JHM48" s="12"/>
      <c r="JHO48" s="34"/>
      <c r="JHP48" s="39"/>
      <c r="JHQ48" s="41"/>
      <c r="JHT48" s="32"/>
      <c r="JHV48" s="12"/>
      <c r="JHX48" s="34"/>
      <c r="JHY48" s="39"/>
      <c r="JHZ48" s="41"/>
      <c r="JIC48" s="32"/>
      <c r="JIE48" s="12"/>
      <c r="JIG48" s="34"/>
      <c r="JIH48" s="39"/>
      <c r="JII48" s="41"/>
      <c r="JIL48" s="32"/>
      <c r="JIN48" s="12"/>
      <c r="JIP48" s="34"/>
      <c r="JIQ48" s="39"/>
      <c r="JIR48" s="41"/>
      <c r="JIU48" s="32"/>
      <c r="JIW48" s="12"/>
      <c r="JIY48" s="34"/>
      <c r="JIZ48" s="39"/>
      <c r="JJA48" s="41"/>
      <c r="JJD48" s="32"/>
      <c r="JJF48" s="12"/>
      <c r="JJH48" s="34"/>
      <c r="JJI48" s="39"/>
      <c r="JJJ48" s="41"/>
      <c r="JJM48" s="32"/>
      <c r="JJO48" s="12"/>
      <c r="JJQ48" s="34"/>
      <c r="JJR48" s="39"/>
      <c r="JJS48" s="41"/>
      <c r="JJV48" s="32"/>
      <c r="JJX48" s="12"/>
      <c r="JJZ48" s="34"/>
      <c r="JKA48" s="39"/>
      <c r="JKB48" s="41"/>
      <c r="JKE48" s="32"/>
      <c r="JKG48" s="12"/>
      <c r="JKI48" s="34"/>
      <c r="JKJ48" s="39"/>
      <c r="JKK48" s="41"/>
      <c r="JKN48" s="32"/>
      <c r="JKP48" s="12"/>
      <c r="JKR48" s="34"/>
      <c r="JKS48" s="39"/>
      <c r="JKT48" s="41"/>
      <c r="JKW48" s="32"/>
      <c r="JKY48" s="12"/>
      <c r="JLA48" s="34"/>
      <c r="JLB48" s="39"/>
      <c r="JLC48" s="41"/>
      <c r="JLF48" s="32"/>
      <c r="JLH48" s="12"/>
      <c r="JLJ48" s="34"/>
      <c r="JLK48" s="39"/>
      <c r="JLL48" s="41"/>
      <c r="JLO48" s="32"/>
      <c r="JLQ48" s="12"/>
      <c r="JLS48" s="34"/>
      <c r="JLT48" s="39"/>
      <c r="JLU48" s="41"/>
      <c r="JLX48" s="32"/>
      <c r="JLZ48" s="12"/>
      <c r="JMB48" s="34"/>
      <c r="JMC48" s="39"/>
      <c r="JMD48" s="41"/>
      <c r="JMG48" s="32"/>
      <c r="JMI48" s="12"/>
      <c r="JMK48" s="34"/>
      <c r="JML48" s="39"/>
      <c r="JMM48" s="41"/>
      <c r="JMP48" s="32"/>
      <c r="JMR48" s="12"/>
      <c r="JMT48" s="34"/>
      <c r="JMU48" s="39"/>
      <c r="JMV48" s="41"/>
      <c r="JMY48" s="32"/>
      <c r="JNA48" s="12"/>
      <c r="JNC48" s="34"/>
      <c r="JND48" s="39"/>
      <c r="JNE48" s="41"/>
      <c r="JNH48" s="32"/>
      <c r="JNJ48" s="12"/>
      <c r="JNL48" s="34"/>
      <c r="JNM48" s="39"/>
      <c r="JNN48" s="41"/>
      <c r="JNQ48" s="32"/>
      <c r="JNS48" s="12"/>
      <c r="JNU48" s="34"/>
      <c r="JNV48" s="39"/>
      <c r="JNW48" s="41"/>
      <c r="JNZ48" s="32"/>
      <c r="JOB48" s="12"/>
      <c r="JOD48" s="34"/>
      <c r="JOE48" s="39"/>
      <c r="JOF48" s="41"/>
      <c r="JOI48" s="32"/>
      <c r="JOK48" s="12"/>
      <c r="JOM48" s="34"/>
      <c r="JON48" s="39"/>
      <c r="JOO48" s="41"/>
      <c r="JOR48" s="32"/>
      <c r="JOT48" s="12"/>
      <c r="JOV48" s="34"/>
      <c r="JOW48" s="39"/>
      <c r="JOX48" s="41"/>
      <c r="JPA48" s="32"/>
      <c r="JPC48" s="12"/>
      <c r="JPE48" s="34"/>
      <c r="JPF48" s="39"/>
      <c r="JPG48" s="41"/>
      <c r="JPJ48" s="32"/>
      <c r="JPL48" s="12"/>
      <c r="JPN48" s="34"/>
      <c r="JPO48" s="39"/>
      <c r="JPP48" s="41"/>
      <c r="JPS48" s="32"/>
      <c r="JPU48" s="12"/>
      <c r="JPW48" s="34"/>
      <c r="JPX48" s="39"/>
      <c r="JPY48" s="41"/>
      <c r="JQB48" s="32"/>
      <c r="JQD48" s="12"/>
      <c r="JQF48" s="34"/>
      <c r="JQG48" s="39"/>
      <c r="JQH48" s="41"/>
      <c r="JQK48" s="32"/>
      <c r="JQM48" s="12"/>
      <c r="JQO48" s="34"/>
      <c r="JQP48" s="39"/>
      <c r="JQQ48" s="41"/>
      <c r="JQT48" s="32"/>
      <c r="JQV48" s="12"/>
      <c r="JQX48" s="34"/>
      <c r="JQY48" s="39"/>
      <c r="JQZ48" s="41"/>
      <c r="JRC48" s="32"/>
      <c r="JRE48" s="12"/>
      <c r="JRG48" s="34"/>
      <c r="JRH48" s="39"/>
      <c r="JRI48" s="41"/>
      <c r="JRL48" s="32"/>
      <c r="JRN48" s="12"/>
      <c r="JRP48" s="34"/>
      <c r="JRQ48" s="39"/>
      <c r="JRR48" s="41"/>
      <c r="JRU48" s="32"/>
      <c r="JRW48" s="12"/>
      <c r="JRY48" s="34"/>
      <c r="JRZ48" s="39"/>
      <c r="JSA48" s="41"/>
      <c r="JSD48" s="32"/>
      <c r="JSF48" s="12"/>
      <c r="JSH48" s="34"/>
      <c r="JSI48" s="39"/>
      <c r="JSJ48" s="41"/>
      <c r="JSM48" s="32"/>
      <c r="JSO48" s="12"/>
      <c r="JSQ48" s="34"/>
      <c r="JSR48" s="39"/>
      <c r="JSS48" s="41"/>
      <c r="JSV48" s="32"/>
      <c r="JSX48" s="12"/>
      <c r="JSZ48" s="34"/>
      <c r="JTA48" s="39"/>
      <c r="JTB48" s="41"/>
      <c r="JTE48" s="32"/>
      <c r="JTG48" s="12"/>
      <c r="JTI48" s="34"/>
      <c r="JTJ48" s="39"/>
      <c r="JTK48" s="41"/>
      <c r="JTN48" s="32"/>
      <c r="JTP48" s="12"/>
      <c r="JTR48" s="34"/>
      <c r="JTS48" s="39"/>
      <c r="JTT48" s="41"/>
      <c r="JTW48" s="32"/>
      <c r="JTY48" s="12"/>
      <c r="JUA48" s="34"/>
      <c r="JUB48" s="39"/>
      <c r="JUC48" s="41"/>
      <c r="JUF48" s="32"/>
      <c r="JUH48" s="12"/>
      <c r="JUJ48" s="34"/>
      <c r="JUK48" s="39"/>
      <c r="JUL48" s="41"/>
      <c r="JUO48" s="32"/>
      <c r="JUQ48" s="12"/>
      <c r="JUS48" s="34"/>
      <c r="JUT48" s="39"/>
      <c r="JUU48" s="41"/>
      <c r="JUX48" s="32"/>
      <c r="JUZ48" s="12"/>
      <c r="JVB48" s="34"/>
      <c r="JVC48" s="39"/>
      <c r="JVD48" s="41"/>
      <c r="JVG48" s="32"/>
      <c r="JVI48" s="12"/>
      <c r="JVK48" s="34"/>
      <c r="JVL48" s="39"/>
      <c r="JVM48" s="41"/>
      <c r="JVP48" s="32"/>
      <c r="JVR48" s="12"/>
      <c r="JVT48" s="34"/>
      <c r="JVU48" s="39"/>
      <c r="JVV48" s="41"/>
      <c r="JVY48" s="32"/>
      <c r="JWA48" s="12"/>
      <c r="JWC48" s="34"/>
      <c r="JWD48" s="39"/>
      <c r="JWE48" s="41"/>
      <c r="JWH48" s="32"/>
      <c r="JWJ48" s="12"/>
      <c r="JWL48" s="34"/>
      <c r="JWM48" s="39"/>
      <c r="JWN48" s="41"/>
      <c r="JWQ48" s="32"/>
      <c r="JWS48" s="12"/>
      <c r="JWU48" s="34"/>
      <c r="JWV48" s="39"/>
      <c r="JWW48" s="41"/>
      <c r="JWZ48" s="32"/>
      <c r="JXB48" s="12"/>
      <c r="JXD48" s="34"/>
      <c r="JXE48" s="39"/>
      <c r="JXF48" s="41"/>
      <c r="JXI48" s="32"/>
      <c r="JXK48" s="12"/>
      <c r="JXM48" s="34"/>
      <c r="JXN48" s="39"/>
      <c r="JXO48" s="41"/>
      <c r="JXR48" s="32"/>
      <c r="JXT48" s="12"/>
      <c r="JXV48" s="34"/>
      <c r="JXW48" s="39"/>
      <c r="JXX48" s="41"/>
      <c r="JYA48" s="32"/>
      <c r="JYC48" s="12"/>
      <c r="JYE48" s="34"/>
      <c r="JYF48" s="39"/>
      <c r="JYG48" s="41"/>
      <c r="JYJ48" s="32"/>
      <c r="JYL48" s="12"/>
      <c r="JYN48" s="34"/>
      <c r="JYO48" s="39"/>
      <c r="JYP48" s="41"/>
      <c r="JYS48" s="32"/>
      <c r="JYU48" s="12"/>
      <c r="JYW48" s="34"/>
      <c r="JYX48" s="39"/>
      <c r="JYY48" s="41"/>
      <c r="JZB48" s="32"/>
      <c r="JZD48" s="12"/>
      <c r="JZF48" s="34"/>
      <c r="JZG48" s="39"/>
      <c r="JZH48" s="41"/>
      <c r="JZK48" s="32"/>
      <c r="JZM48" s="12"/>
      <c r="JZO48" s="34"/>
      <c r="JZP48" s="39"/>
      <c r="JZQ48" s="41"/>
      <c r="JZT48" s="32"/>
      <c r="JZV48" s="12"/>
      <c r="JZX48" s="34"/>
      <c r="JZY48" s="39"/>
      <c r="JZZ48" s="41"/>
      <c r="KAC48" s="32"/>
      <c r="KAE48" s="12"/>
      <c r="KAG48" s="34"/>
      <c r="KAH48" s="39"/>
      <c r="KAI48" s="41"/>
      <c r="KAL48" s="32"/>
      <c r="KAN48" s="12"/>
      <c r="KAP48" s="34"/>
      <c r="KAQ48" s="39"/>
      <c r="KAR48" s="41"/>
      <c r="KAU48" s="32"/>
      <c r="KAW48" s="12"/>
      <c r="KAY48" s="34"/>
      <c r="KAZ48" s="39"/>
      <c r="KBA48" s="41"/>
      <c r="KBD48" s="32"/>
      <c r="KBF48" s="12"/>
      <c r="KBH48" s="34"/>
      <c r="KBI48" s="39"/>
      <c r="KBJ48" s="41"/>
      <c r="KBM48" s="32"/>
      <c r="KBO48" s="12"/>
      <c r="KBQ48" s="34"/>
      <c r="KBR48" s="39"/>
      <c r="KBS48" s="41"/>
      <c r="KBV48" s="32"/>
      <c r="KBX48" s="12"/>
      <c r="KBZ48" s="34"/>
      <c r="KCA48" s="39"/>
      <c r="KCB48" s="41"/>
      <c r="KCE48" s="32"/>
      <c r="KCG48" s="12"/>
      <c r="KCI48" s="34"/>
      <c r="KCJ48" s="39"/>
      <c r="KCK48" s="41"/>
      <c r="KCN48" s="32"/>
      <c r="KCP48" s="12"/>
      <c r="KCR48" s="34"/>
      <c r="KCS48" s="39"/>
      <c r="KCT48" s="41"/>
      <c r="KCW48" s="32"/>
      <c r="KCY48" s="12"/>
      <c r="KDA48" s="34"/>
      <c r="KDB48" s="39"/>
      <c r="KDC48" s="41"/>
      <c r="KDF48" s="32"/>
      <c r="KDH48" s="12"/>
      <c r="KDJ48" s="34"/>
      <c r="KDK48" s="39"/>
      <c r="KDL48" s="41"/>
      <c r="KDO48" s="32"/>
      <c r="KDQ48" s="12"/>
      <c r="KDS48" s="34"/>
      <c r="KDT48" s="39"/>
      <c r="KDU48" s="41"/>
      <c r="KDX48" s="32"/>
      <c r="KDZ48" s="12"/>
      <c r="KEB48" s="34"/>
      <c r="KEC48" s="39"/>
      <c r="KED48" s="41"/>
      <c r="KEG48" s="32"/>
      <c r="KEI48" s="12"/>
      <c r="KEK48" s="34"/>
      <c r="KEL48" s="39"/>
      <c r="KEM48" s="41"/>
      <c r="KEP48" s="32"/>
      <c r="KER48" s="12"/>
      <c r="KET48" s="34"/>
      <c r="KEU48" s="39"/>
      <c r="KEV48" s="41"/>
      <c r="KEY48" s="32"/>
      <c r="KFA48" s="12"/>
      <c r="KFC48" s="34"/>
      <c r="KFD48" s="39"/>
      <c r="KFE48" s="41"/>
      <c r="KFH48" s="32"/>
      <c r="KFJ48" s="12"/>
      <c r="KFL48" s="34"/>
      <c r="KFM48" s="39"/>
      <c r="KFN48" s="41"/>
      <c r="KFQ48" s="32"/>
      <c r="KFS48" s="12"/>
      <c r="KFU48" s="34"/>
      <c r="KFV48" s="39"/>
      <c r="KFW48" s="41"/>
      <c r="KFZ48" s="32"/>
      <c r="KGB48" s="12"/>
      <c r="KGD48" s="34"/>
      <c r="KGE48" s="39"/>
      <c r="KGF48" s="41"/>
      <c r="KGI48" s="32"/>
      <c r="KGK48" s="12"/>
      <c r="KGM48" s="34"/>
      <c r="KGN48" s="39"/>
      <c r="KGO48" s="41"/>
      <c r="KGR48" s="32"/>
      <c r="KGT48" s="12"/>
      <c r="KGV48" s="34"/>
      <c r="KGW48" s="39"/>
      <c r="KGX48" s="41"/>
      <c r="KHA48" s="32"/>
      <c r="KHC48" s="12"/>
      <c r="KHE48" s="34"/>
      <c r="KHF48" s="39"/>
      <c r="KHG48" s="41"/>
      <c r="KHJ48" s="32"/>
      <c r="KHL48" s="12"/>
      <c r="KHN48" s="34"/>
      <c r="KHO48" s="39"/>
      <c r="KHP48" s="41"/>
      <c r="KHS48" s="32"/>
      <c r="KHU48" s="12"/>
      <c r="KHW48" s="34"/>
      <c r="KHX48" s="39"/>
      <c r="KHY48" s="41"/>
      <c r="KIB48" s="32"/>
      <c r="KID48" s="12"/>
      <c r="KIF48" s="34"/>
      <c r="KIG48" s="39"/>
      <c r="KIH48" s="41"/>
      <c r="KIK48" s="32"/>
      <c r="KIM48" s="12"/>
      <c r="KIO48" s="34"/>
      <c r="KIP48" s="39"/>
      <c r="KIQ48" s="41"/>
      <c r="KIT48" s="32"/>
      <c r="KIV48" s="12"/>
      <c r="KIX48" s="34"/>
      <c r="KIY48" s="39"/>
      <c r="KIZ48" s="41"/>
      <c r="KJC48" s="32"/>
      <c r="KJE48" s="12"/>
      <c r="KJG48" s="34"/>
      <c r="KJH48" s="39"/>
      <c r="KJI48" s="41"/>
      <c r="KJL48" s="32"/>
      <c r="KJN48" s="12"/>
      <c r="KJP48" s="34"/>
      <c r="KJQ48" s="39"/>
      <c r="KJR48" s="41"/>
      <c r="KJU48" s="32"/>
      <c r="KJW48" s="12"/>
      <c r="KJY48" s="34"/>
      <c r="KJZ48" s="39"/>
      <c r="KKA48" s="41"/>
      <c r="KKD48" s="32"/>
      <c r="KKF48" s="12"/>
      <c r="KKH48" s="34"/>
      <c r="KKI48" s="39"/>
      <c r="KKJ48" s="41"/>
      <c r="KKM48" s="32"/>
      <c r="KKO48" s="12"/>
      <c r="KKQ48" s="34"/>
      <c r="KKR48" s="39"/>
      <c r="KKS48" s="41"/>
      <c r="KKV48" s="32"/>
      <c r="KKX48" s="12"/>
      <c r="KKZ48" s="34"/>
      <c r="KLA48" s="39"/>
      <c r="KLB48" s="41"/>
      <c r="KLE48" s="32"/>
      <c r="KLG48" s="12"/>
      <c r="KLI48" s="34"/>
      <c r="KLJ48" s="39"/>
      <c r="KLK48" s="41"/>
      <c r="KLN48" s="32"/>
      <c r="KLP48" s="12"/>
      <c r="KLR48" s="34"/>
      <c r="KLS48" s="39"/>
      <c r="KLT48" s="41"/>
      <c r="KLW48" s="32"/>
      <c r="KLY48" s="12"/>
      <c r="KMA48" s="34"/>
      <c r="KMB48" s="39"/>
      <c r="KMC48" s="41"/>
      <c r="KMF48" s="32"/>
      <c r="KMH48" s="12"/>
      <c r="KMJ48" s="34"/>
      <c r="KMK48" s="39"/>
      <c r="KML48" s="41"/>
      <c r="KMO48" s="32"/>
      <c r="KMQ48" s="12"/>
      <c r="KMS48" s="34"/>
      <c r="KMT48" s="39"/>
      <c r="KMU48" s="41"/>
      <c r="KMX48" s="32"/>
      <c r="KMZ48" s="12"/>
      <c r="KNB48" s="34"/>
      <c r="KNC48" s="39"/>
      <c r="KND48" s="41"/>
      <c r="KNG48" s="32"/>
      <c r="KNI48" s="12"/>
      <c r="KNK48" s="34"/>
      <c r="KNL48" s="39"/>
      <c r="KNM48" s="41"/>
      <c r="KNP48" s="32"/>
      <c r="KNR48" s="12"/>
      <c r="KNT48" s="34"/>
      <c r="KNU48" s="39"/>
      <c r="KNV48" s="41"/>
      <c r="KNY48" s="32"/>
      <c r="KOA48" s="12"/>
      <c r="KOC48" s="34"/>
      <c r="KOD48" s="39"/>
      <c r="KOE48" s="41"/>
      <c r="KOH48" s="32"/>
      <c r="KOJ48" s="12"/>
      <c r="KOL48" s="34"/>
      <c r="KOM48" s="39"/>
      <c r="KON48" s="41"/>
      <c r="KOQ48" s="32"/>
      <c r="KOS48" s="12"/>
      <c r="KOU48" s="34"/>
      <c r="KOV48" s="39"/>
      <c r="KOW48" s="41"/>
      <c r="KOZ48" s="32"/>
      <c r="KPB48" s="12"/>
      <c r="KPD48" s="34"/>
      <c r="KPE48" s="39"/>
      <c r="KPF48" s="41"/>
      <c r="KPI48" s="32"/>
      <c r="KPK48" s="12"/>
      <c r="KPM48" s="34"/>
      <c r="KPN48" s="39"/>
      <c r="KPO48" s="41"/>
      <c r="KPR48" s="32"/>
      <c r="KPT48" s="12"/>
      <c r="KPV48" s="34"/>
      <c r="KPW48" s="39"/>
      <c r="KPX48" s="41"/>
      <c r="KQA48" s="32"/>
      <c r="KQC48" s="12"/>
      <c r="KQE48" s="34"/>
      <c r="KQF48" s="39"/>
      <c r="KQG48" s="41"/>
      <c r="KQJ48" s="32"/>
      <c r="KQL48" s="12"/>
      <c r="KQN48" s="34"/>
      <c r="KQO48" s="39"/>
      <c r="KQP48" s="41"/>
      <c r="KQS48" s="32"/>
      <c r="KQU48" s="12"/>
      <c r="KQW48" s="34"/>
      <c r="KQX48" s="39"/>
      <c r="KQY48" s="41"/>
      <c r="KRB48" s="32"/>
      <c r="KRD48" s="12"/>
      <c r="KRF48" s="34"/>
      <c r="KRG48" s="39"/>
      <c r="KRH48" s="41"/>
      <c r="KRK48" s="32"/>
      <c r="KRM48" s="12"/>
      <c r="KRO48" s="34"/>
      <c r="KRP48" s="39"/>
      <c r="KRQ48" s="41"/>
      <c r="KRT48" s="32"/>
      <c r="KRV48" s="12"/>
      <c r="KRX48" s="34"/>
      <c r="KRY48" s="39"/>
      <c r="KRZ48" s="41"/>
      <c r="KSC48" s="32"/>
      <c r="KSE48" s="12"/>
      <c r="KSG48" s="34"/>
      <c r="KSH48" s="39"/>
      <c r="KSI48" s="41"/>
      <c r="KSL48" s="32"/>
      <c r="KSN48" s="12"/>
      <c r="KSP48" s="34"/>
      <c r="KSQ48" s="39"/>
      <c r="KSR48" s="41"/>
      <c r="KSU48" s="32"/>
      <c r="KSW48" s="12"/>
      <c r="KSY48" s="34"/>
      <c r="KSZ48" s="39"/>
      <c r="KTA48" s="41"/>
      <c r="KTD48" s="32"/>
      <c r="KTF48" s="12"/>
      <c r="KTH48" s="34"/>
      <c r="KTI48" s="39"/>
      <c r="KTJ48" s="41"/>
      <c r="KTM48" s="32"/>
      <c r="KTO48" s="12"/>
      <c r="KTQ48" s="34"/>
      <c r="KTR48" s="39"/>
      <c r="KTS48" s="41"/>
      <c r="KTV48" s="32"/>
      <c r="KTX48" s="12"/>
      <c r="KTZ48" s="34"/>
      <c r="KUA48" s="39"/>
      <c r="KUB48" s="41"/>
      <c r="KUE48" s="32"/>
      <c r="KUG48" s="12"/>
      <c r="KUI48" s="34"/>
      <c r="KUJ48" s="39"/>
      <c r="KUK48" s="41"/>
      <c r="KUN48" s="32"/>
      <c r="KUP48" s="12"/>
      <c r="KUR48" s="34"/>
      <c r="KUS48" s="39"/>
      <c r="KUT48" s="41"/>
      <c r="KUW48" s="32"/>
      <c r="KUY48" s="12"/>
      <c r="KVA48" s="34"/>
      <c r="KVB48" s="39"/>
      <c r="KVC48" s="41"/>
      <c r="KVF48" s="32"/>
      <c r="KVH48" s="12"/>
      <c r="KVJ48" s="34"/>
      <c r="KVK48" s="39"/>
      <c r="KVL48" s="41"/>
      <c r="KVO48" s="32"/>
      <c r="KVQ48" s="12"/>
      <c r="KVS48" s="34"/>
      <c r="KVT48" s="39"/>
      <c r="KVU48" s="41"/>
      <c r="KVX48" s="32"/>
      <c r="KVZ48" s="12"/>
      <c r="KWB48" s="34"/>
      <c r="KWC48" s="39"/>
      <c r="KWD48" s="41"/>
      <c r="KWG48" s="32"/>
      <c r="KWI48" s="12"/>
      <c r="KWK48" s="34"/>
      <c r="KWL48" s="39"/>
      <c r="KWM48" s="41"/>
      <c r="KWP48" s="32"/>
      <c r="KWR48" s="12"/>
      <c r="KWT48" s="34"/>
      <c r="KWU48" s="39"/>
      <c r="KWV48" s="41"/>
      <c r="KWY48" s="32"/>
      <c r="KXA48" s="12"/>
      <c r="KXC48" s="34"/>
      <c r="KXD48" s="39"/>
      <c r="KXE48" s="41"/>
      <c r="KXH48" s="32"/>
      <c r="KXJ48" s="12"/>
      <c r="KXL48" s="34"/>
      <c r="KXM48" s="39"/>
      <c r="KXN48" s="41"/>
      <c r="KXQ48" s="32"/>
      <c r="KXS48" s="12"/>
      <c r="KXU48" s="34"/>
      <c r="KXV48" s="39"/>
      <c r="KXW48" s="41"/>
      <c r="KXZ48" s="32"/>
      <c r="KYB48" s="12"/>
      <c r="KYD48" s="34"/>
      <c r="KYE48" s="39"/>
      <c r="KYF48" s="41"/>
      <c r="KYI48" s="32"/>
      <c r="KYK48" s="12"/>
      <c r="KYM48" s="34"/>
      <c r="KYN48" s="39"/>
      <c r="KYO48" s="41"/>
      <c r="KYR48" s="32"/>
      <c r="KYT48" s="12"/>
      <c r="KYV48" s="34"/>
      <c r="KYW48" s="39"/>
      <c r="KYX48" s="41"/>
      <c r="KZA48" s="32"/>
      <c r="KZC48" s="12"/>
      <c r="KZE48" s="34"/>
      <c r="KZF48" s="39"/>
      <c r="KZG48" s="41"/>
      <c r="KZJ48" s="32"/>
      <c r="KZL48" s="12"/>
      <c r="KZN48" s="34"/>
      <c r="KZO48" s="39"/>
      <c r="KZP48" s="41"/>
      <c r="KZS48" s="32"/>
      <c r="KZU48" s="12"/>
      <c r="KZW48" s="34"/>
      <c r="KZX48" s="39"/>
      <c r="KZY48" s="41"/>
      <c r="LAB48" s="32"/>
      <c r="LAD48" s="12"/>
      <c r="LAF48" s="34"/>
      <c r="LAG48" s="39"/>
      <c r="LAH48" s="41"/>
      <c r="LAK48" s="32"/>
      <c r="LAM48" s="12"/>
      <c r="LAO48" s="34"/>
      <c r="LAP48" s="39"/>
      <c r="LAQ48" s="41"/>
      <c r="LAT48" s="32"/>
      <c r="LAV48" s="12"/>
      <c r="LAX48" s="34"/>
      <c r="LAY48" s="39"/>
      <c r="LAZ48" s="41"/>
      <c r="LBC48" s="32"/>
      <c r="LBE48" s="12"/>
      <c r="LBG48" s="34"/>
      <c r="LBH48" s="39"/>
      <c r="LBI48" s="41"/>
      <c r="LBL48" s="32"/>
      <c r="LBN48" s="12"/>
      <c r="LBP48" s="34"/>
      <c r="LBQ48" s="39"/>
      <c r="LBR48" s="41"/>
      <c r="LBU48" s="32"/>
      <c r="LBW48" s="12"/>
      <c r="LBY48" s="34"/>
      <c r="LBZ48" s="39"/>
      <c r="LCA48" s="41"/>
      <c r="LCD48" s="32"/>
      <c r="LCF48" s="12"/>
      <c r="LCH48" s="34"/>
      <c r="LCI48" s="39"/>
      <c r="LCJ48" s="41"/>
      <c r="LCM48" s="32"/>
      <c r="LCO48" s="12"/>
      <c r="LCQ48" s="34"/>
      <c r="LCR48" s="39"/>
      <c r="LCS48" s="41"/>
      <c r="LCV48" s="32"/>
      <c r="LCX48" s="12"/>
      <c r="LCZ48" s="34"/>
      <c r="LDA48" s="39"/>
      <c r="LDB48" s="41"/>
      <c r="LDE48" s="32"/>
      <c r="LDG48" s="12"/>
      <c r="LDI48" s="34"/>
      <c r="LDJ48" s="39"/>
      <c r="LDK48" s="41"/>
      <c r="LDN48" s="32"/>
      <c r="LDP48" s="12"/>
      <c r="LDR48" s="34"/>
      <c r="LDS48" s="39"/>
      <c r="LDT48" s="41"/>
      <c r="LDW48" s="32"/>
      <c r="LDY48" s="12"/>
      <c r="LEA48" s="34"/>
      <c r="LEB48" s="39"/>
      <c r="LEC48" s="41"/>
      <c r="LEF48" s="32"/>
      <c r="LEH48" s="12"/>
      <c r="LEJ48" s="34"/>
      <c r="LEK48" s="39"/>
      <c r="LEL48" s="41"/>
      <c r="LEO48" s="32"/>
      <c r="LEQ48" s="12"/>
      <c r="LES48" s="34"/>
      <c r="LET48" s="39"/>
      <c r="LEU48" s="41"/>
      <c r="LEX48" s="32"/>
      <c r="LEZ48" s="12"/>
      <c r="LFB48" s="34"/>
      <c r="LFC48" s="39"/>
      <c r="LFD48" s="41"/>
      <c r="LFG48" s="32"/>
      <c r="LFI48" s="12"/>
      <c r="LFK48" s="34"/>
      <c r="LFL48" s="39"/>
      <c r="LFM48" s="41"/>
      <c r="LFP48" s="32"/>
      <c r="LFR48" s="12"/>
      <c r="LFT48" s="34"/>
      <c r="LFU48" s="39"/>
      <c r="LFV48" s="41"/>
      <c r="LFY48" s="32"/>
      <c r="LGA48" s="12"/>
      <c r="LGC48" s="34"/>
      <c r="LGD48" s="39"/>
      <c r="LGE48" s="41"/>
      <c r="LGH48" s="32"/>
      <c r="LGJ48" s="12"/>
      <c r="LGL48" s="34"/>
      <c r="LGM48" s="39"/>
      <c r="LGN48" s="41"/>
      <c r="LGQ48" s="32"/>
      <c r="LGS48" s="12"/>
      <c r="LGU48" s="34"/>
      <c r="LGV48" s="39"/>
      <c r="LGW48" s="41"/>
      <c r="LGZ48" s="32"/>
      <c r="LHB48" s="12"/>
      <c r="LHD48" s="34"/>
      <c r="LHE48" s="39"/>
      <c r="LHF48" s="41"/>
      <c r="LHI48" s="32"/>
      <c r="LHK48" s="12"/>
      <c r="LHM48" s="34"/>
      <c r="LHN48" s="39"/>
      <c r="LHO48" s="41"/>
      <c r="LHR48" s="32"/>
      <c r="LHT48" s="12"/>
      <c r="LHV48" s="34"/>
      <c r="LHW48" s="39"/>
      <c r="LHX48" s="41"/>
      <c r="LIA48" s="32"/>
      <c r="LIC48" s="12"/>
      <c r="LIE48" s="34"/>
      <c r="LIF48" s="39"/>
      <c r="LIG48" s="41"/>
      <c r="LIJ48" s="32"/>
      <c r="LIL48" s="12"/>
      <c r="LIN48" s="34"/>
      <c r="LIO48" s="39"/>
      <c r="LIP48" s="41"/>
      <c r="LIS48" s="32"/>
      <c r="LIU48" s="12"/>
      <c r="LIW48" s="34"/>
      <c r="LIX48" s="39"/>
      <c r="LIY48" s="41"/>
      <c r="LJB48" s="32"/>
      <c r="LJD48" s="12"/>
      <c r="LJF48" s="34"/>
      <c r="LJG48" s="39"/>
      <c r="LJH48" s="41"/>
      <c r="LJK48" s="32"/>
      <c r="LJM48" s="12"/>
      <c r="LJO48" s="34"/>
      <c r="LJP48" s="39"/>
      <c r="LJQ48" s="41"/>
      <c r="LJT48" s="32"/>
      <c r="LJV48" s="12"/>
      <c r="LJX48" s="34"/>
      <c r="LJY48" s="39"/>
      <c r="LJZ48" s="41"/>
      <c r="LKC48" s="32"/>
      <c r="LKE48" s="12"/>
      <c r="LKG48" s="34"/>
      <c r="LKH48" s="39"/>
      <c r="LKI48" s="41"/>
      <c r="LKL48" s="32"/>
      <c r="LKN48" s="12"/>
      <c r="LKP48" s="34"/>
      <c r="LKQ48" s="39"/>
      <c r="LKR48" s="41"/>
      <c r="LKU48" s="32"/>
      <c r="LKW48" s="12"/>
      <c r="LKY48" s="34"/>
      <c r="LKZ48" s="39"/>
      <c r="LLA48" s="41"/>
      <c r="LLD48" s="32"/>
      <c r="LLF48" s="12"/>
      <c r="LLH48" s="34"/>
      <c r="LLI48" s="39"/>
      <c r="LLJ48" s="41"/>
      <c r="LLM48" s="32"/>
      <c r="LLO48" s="12"/>
      <c r="LLQ48" s="34"/>
      <c r="LLR48" s="39"/>
      <c r="LLS48" s="41"/>
      <c r="LLV48" s="32"/>
      <c r="LLX48" s="12"/>
      <c r="LLZ48" s="34"/>
      <c r="LMA48" s="39"/>
      <c r="LMB48" s="41"/>
      <c r="LME48" s="32"/>
      <c r="LMG48" s="12"/>
      <c r="LMI48" s="34"/>
      <c r="LMJ48" s="39"/>
      <c r="LMK48" s="41"/>
      <c r="LMN48" s="32"/>
      <c r="LMP48" s="12"/>
      <c r="LMR48" s="34"/>
      <c r="LMS48" s="39"/>
      <c r="LMT48" s="41"/>
      <c r="LMW48" s="32"/>
      <c r="LMY48" s="12"/>
      <c r="LNA48" s="34"/>
      <c r="LNB48" s="39"/>
      <c r="LNC48" s="41"/>
      <c r="LNF48" s="32"/>
      <c r="LNH48" s="12"/>
      <c r="LNJ48" s="34"/>
      <c r="LNK48" s="39"/>
      <c r="LNL48" s="41"/>
      <c r="LNO48" s="32"/>
      <c r="LNQ48" s="12"/>
      <c r="LNS48" s="34"/>
      <c r="LNT48" s="39"/>
      <c r="LNU48" s="41"/>
      <c r="LNX48" s="32"/>
      <c r="LNZ48" s="12"/>
      <c r="LOB48" s="34"/>
      <c r="LOC48" s="39"/>
      <c r="LOD48" s="41"/>
      <c r="LOG48" s="32"/>
      <c r="LOI48" s="12"/>
      <c r="LOK48" s="34"/>
      <c r="LOL48" s="39"/>
      <c r="LOM48" s="41"/>
      <c r="LOP48" s="32"/>
      <c r="LOR48" s="12"/>
      <c r="LOT48" s="34"/>
      <c r="LOU48" s="39"/>
      <c r="LOV48" s="41"/>
      <c r="LOY48" s="32"/>
      <c r="LPA48" s="12"/>
      <c r="LPC48" s="34"/>
      <c r="LPD48" s="39"/>
      <c r="LPE48" s="41"/>
      <c r="LPH48" s="32"/>
      <c r="LPJ48" s="12"/>
      <c r="LPL48" s="34"/>
      <c r="LPM48" s="39"/>
      <c r="LPN48" s="41"/>
      <c r="LPQ48" s="32"/>
      <c r="LPS48" s="12"/>
      <c r="LPU48" s="34"/>
      <c r="LPV48" s="39"/>
      <c r="LPW48" s="41"/>
      <c r="LPZ48" s="32"/>
      <c r="LQB48" s="12"/>
      <c r="LQD48" s="34"/>
      <c r="LQE48" s="39"/>
      <c r="LQF48" s="41"/>
      <c r="LQI48" s="32"/>
      <c r="LQK48" s="12"/>
      <c r="LQM48" s="34"/>
      <c r="LQN48" s="39"/>
      <c r="LQO48" s="41"/>
      <c r="LQR48" s="32"/>
      <c r="LQT48" s="12"/>
      <c r="LQV48" s="34"/>
      <c r="LQW48" s="39"/>
      <c r="LQX48" s="41"/>
      <c r="LRA48" s="32"/>
      <c r="LRC48" s="12"/>
      <c r="LRE48" s="34"/>
      <c r="LRF48" s="39"/>
      <c r="LRG48" s="41"/>
      <c r="LRJ48" s="32"/>
      <c r="LRL48" s="12"/>
      <c r="LRN48" s="34"/>
      <c r="LRO48" s="39"/>
      <c r="LRP48" s="41"/>
      <c r="LRS48" s="32"/>
      <c r="LRU48" s="12"/>
      <c r="LRW48" s="34"/>
      <c r="LRX48" s="39"/>
      <c r="LRY48" s="41"/>
      <c r="LSB48" s="32"/>
      <c r="LSD48" s="12"/>
      <c r="LSF48" s="34"/>
      <c r="LSG48" s="39"/>
      <c r="LSH48" s="41"/>
      <c r="LSK48" s="32"/>
      <c r="LSM48" s="12"/>
      <c r="LSO48" s="34"/>
      <c r="LSP48" s="39"/>
      <c r="LSQ48" s="41"/>
      <c r="LST48" s="32"/>
      <c r="LSV48" s="12"/>
      <c r="LSX48" s="34"/>
      <c r="LSY48" s="39"/>
      <c r="LSZ48" s="41"/>
      <c r="LTC48" s="32"/>
      <c r="LTE48" s="12"/>
      <c r="LTG48" s="34"/>
      <c r="LTH48" s="39"/>
      <c r="LTI48" s="41"/>
      <c r="LTL48" s="32"/>
      <c r="LTN48" s="12"/>
      <c r="LTP48" s="34"/>
      <c r="LTQ48" s="39"/>
      <c r="LTR48" s="41"/>
      <c r="LTU48" s="32"/>
      <c r="LTW48" s="12"/>
      <c r="LTY48" s="34"/>
      <c r="LTZ48" s="39"/>
      <c r="LUA48" s="41"/>
      <c r="LUD48" s="32"/>
      <c r="LUF48" s="12"/>
      <c r="LUH48" s="34"/>
      <c r="LUI48" s="39"/>
      <c r="LUJ48" s="41"/>
      <c r="LUM48" s="32"/>
      <c r="LUO48" s="12"/>
      <c r="LUQ48" s="34"/>
      <c r="LUR48" s="39"/>
      <c r="LUS48" s="41"/>
      <c r="LUV48" s="32"/>
      <c r="LUX48" s="12"/>
      <c r="LUZ48" s="34"/>
      <c r="LVA48" s="39"/>
      <c r="LVB48" s="41"/>
      <c r="LVE48" s="32"/>
      <c r="LVG48" s="12"/>
      <c r="LVI48" s="34"/>
      <c r="LVJ48" s="39"/>
      <c r="LVK48" s="41"/>
      <c r="LVN48" s="32"/>
      <c r="LVP48" s="12"/>
      <c r="LVR48" s="34"/>
      <c r="LVS48" s="39"/>
      <c r="LVT48" s="41"/>
      <c r="LVW48" s="32"/>
      <c r="LVY48" s="12"/>
      <c r="LWA48" s="34"/>
      <c r="LWB48" s="39"/>
      <c r="LWC48" s="41"/>
      <c r="LWF48" s="32"/>
      <c r="LWH48" s="12"/>
      <c r="LWJ48" s="34"/>
      <c r="LWK48" s="39"/>
      <c r="LWL48" s="41"/>
      <c r="LWO48" s="32"/>
      <c r="LWQ48" s="12"/>
      <c r="LWS48" s="34"/>
      <c r="LWT48" s="39"/>
      <c r="LWU48" s="41"/>
      <c r="LWX48" s="32"/>
      <c r="LWZ48" s="12"/>
      <c r="LXB48" s="34"/>
      <c r="LXC48" s="39"/>
      <c r="LXD48" s="41"/>
      <c r="LXG48" s="32"/>
      <c r="LXI48" s="12"/>
      <c r="LXK48" s="34"/>
      <c r="LXL48" s="39"/>
      <c r="LXM48" s="41"/>
      <c r="LXP48" s="32"/>
      <c r="LXR48" s="12"/>
      <c r="LXT48" s="34"/>
      <c r="LXU48" s="39"/>
      <c r="LXV48" s="41"/>
      <c r="LXY48" s="32"/>
      <c r="LYA48" s="12"/>
      <c r="LYC48" s="34"/>
      <c r="LYD48" s="39"/>
      <c r="LYE48" s="41"/>
      <c r="LYH48" s="32"/>
      <c r="LYJ48" s="12"/>
      <c r="LYL48" s="34"/>
      <c r="LYM48" s="39"/>
      <c r="LYN48" s="41"/>
      <c r="LYQ48" s="32"/>
      <c r="LYS48" s="12"/>
      <c r="LYU48" s="34"/>
      <c r="LYV48" s="39"/>
      <c r="LYW48" s="41"/>
      <c r="LYZ48" s="32"/>
      <c r="LZB48" s="12"/>
      <c r="LZD48" s="34"/>
      <c r="LZE48" s="39"/>
      <c r="LZF48" s="41"/>
      <c r="LZI48" s="32"/>
      <c r="LZK48" s="12"/>
      <c r="LZM48" s="34"/>
      <c r="LZN48" s="39"/>
      <c r="LZO48" s="41"/>
      <c r="LZR48" s="32"/>
      <c r="LZT48" s="12"/>
      <c r="LZV48" s="34"/>
      <c r="LZW48" s="39"/>
      <c r="LZX48" s="41"/>
      <c r="MAA48" s="32"/>
      <c r="MAC48" s="12"/>
      <c r="MAE48" s="34"/>
      <c r="MAF48" s="39"/>
      <c r="MAG48" s="41"/>
      <c r="MAJ48" s="32"/>
      <c r="MAL48" s="12"/>
      <c r="MAN48" s="34"/>
      <c r="MAO48" s="39"/>
      <c r="MAP48" s="41"/>
      <c r="MAS48" s="32"/>
      <c r="MAU48" s="12"/>
      <c r="MAW48" s="34"/>
      <c r="MAX48" s="39"/>
      <c r="MAY48" s="41"/>
      <c r="MBB48" s="32"/>
      <c r="MBD48" s="12"/>
      <c r="MBF48" s="34"/>
      <c r="MBG48" s="39"/>
      <c r="MBH48" s="41"/>
      <c r="MBK48" s="32"/>
      <c r="MBM48" s="12"/>
      <c r="MBO48" s="34"/>
      <c r="MBP48" s="39"/>
      <c r="MBQ48" s="41"/>
      <c r="MBT48" s="32"/>
      <c r="MBV48" s="12"/>
      <c r="MBX48" s="34"/>
      <c r="MBY48" s="39"/>
      <c r="MBZ48" s="41"/>
      <c r="MCC48" s="32"/>
      <c r="MCE48" s="12"/>
      <c r="MCG48" s="34"/>
      <c r="MCH48" s="39"/>
      <c r="MCI48" s="41"/>
      <c r="MCL48" s="32"/>
      <c r="MCN48" s="12"/>
      <c r="MCP48" s="34"/>
      <c r="MCQ48" s="39"/>
      <c r="MCR48" s="41"/>
      <c r="MCU48" s="32"/>
      <c r="MCW48" s="12"/>
      <c r="MCY48" s="34"/>
      <c r="MCZ48" s="39"/>
      <c r="MDA48" s="41"/>
      <c r="MDD48" s="32"/>
      <c r="MDF48" s="12"/>
      <c r="MDH48" s="34"/>
      <c r="MDI48" s="39"/>
      <c r="MDJ48" s="41"/>
      <c r="MDM48" s="32"/>
      <c r="MDO48" s="12"/>
      <c r="MDQ48" s="34"/>
      <c r="MDR48" s="39"/>
      <c r="MDS48" s="41"/>
      <c r="MDV48" s="32"/>
      <c r="MDX48" s="12"/>
      <c r="MDZ48" s="34"/>
      <c r="MEA48" s="39"/>
      <c r="MEB48" s="41"/>
      <c r="MEE48" s="32"/>
      <c r="MEG48" s="12"/>
      <c r="MEI48" s="34"/>
      <c r="MEJ48" s="39"/>
      <c r="MEK48" s="41"/>
      <c r="MEN48" s="32"/>
      <c r="MEP48" s="12"/>
      <c r="MER48" s="34"/>
      <c r="MES48" s="39"/>
      <c r="MET48" s="41"/>
      <c r="MEW48" s="32"/>
      <c r="MEY48" s="12"/>
      <c r="MFA48" s="34"/>
      <c r="MFB48" s="39"/>
      <c r="MFC48" s="41"/>
      <c r="MFF48" s="32"/>
      <c r="MFH48" s="12"/>
      <c r="MFJ48" s="34"/>
      <c r="MFK48" s="39"/>
      <c r="MFL48" s="41"/>
      <c r="MFO48" s="32"/>
      <c r="MFQ48" s="12"/>
      <c r="MFS48" s="34"/>
      <c r="MFT48" s="39"/>
      <c r="MFU48" s="41"/>
      <c r="MFX48" s="32"/>
      <c r="MFZ48" s="12"/>
      <c r="MGB48" s="34"/>
      <c r="MGC48" s="39"/>
      <c r="MGD48" s="41"/>
      <c r="MGG48" s="32"/>
      <c r="MGI48" s="12"/>
      <c r="MGK48" s="34"/>
      <c r="MGL48" s="39"/>
      <c r="MGM48" s="41"/>
      <c r="MGP48" s="32"/>
      <c r="MGR48" s="12"/>
      <c r="MGT48" s="34"/>
      <c r="MGU48" s="39"/>
      <c r="MGV48" s="41"/>
      <c r="MGY48" s="32"/>
      <c r="MHA48" s="12"/>
      <c r="MHC48" s="34"/>
      <c r="MHD48" s="39"/>
      <c r="MHE48" s="41"/>
      <c r="MHH48" s="32"/>
      <c r="MHJ48" s="12"/>
      <c r="MHL48" s="34"/>
      <c r="MHM48" s="39"/>
      <c r="MHN48" s="41"/>
      <c r="MHQ48" s="32"/>
      <c r="MHS48" s="12"/>
      <c r="MHU48" s="34"/>
      <c r="MHV48" s="39"/>
      <c r="MHW48" s="41"/>
      <c r="MHZ48" s="32"/>
      <c r="MIB48" s="12"/>
      <c r="MID48" s="34"/>
      <c r="MIE48" s="39"/>
      <c r="MIF48" s="41"/>
      <c r="MII48" s="32"/>
      <c r="MIK48" s="12"/>
      <c r="MIM48" s="34"/>
      <c r="MIN48" s="39"/>
      <c r="MIO48" s="41"/>
      <c r="MIR48" s="32"/>
      <c r="MIT48" s="12"/>
      <c r="MIV48" s="34"/>
      <c r="MIW48" s="39"/>
      <c r="MIX48" s="41"/>
      <c r="MJA48" s="32"/>
      <c r="MJC48" s="12"/>
      <c r="MJE48" s="34"/>
      <c r="MJF48" s="39"/>
      <c r="MJG48" s="41"/>
      <c r="MJJ48" s="32"/>
      <c r="MJL48" s="12"/>
      <c r="MJN48" s="34"/>
      <c r="MJO48" s="39"/>
      <c r="MJP48" s="41"/>
      <c r="MJS48" s="32"/>
      <c r="MJU48" s="12"/>
      <c r="MJW48" s="34"/>
      <c r="MJX48" s="39"/>
      <c r="MJY48" s="41"/>
      <c r="MKB48" s="32"/>
      <c r="MKD48" s="12"/>
      <c r="MKF48" s="34"/>
      <c r="MKG48" s="39"/>
      <c r="MKH48" s="41"/>
      <c r="MKK48" s="32"/>
      <c r="MKM48" s="12"/>
      <c r="MKO48" s="34"/>
      <c r="MKP48" s="39"/>
      <c r="MKQ48" s="41"/>
      <c r="MKT48" s="32"/>
      <c r="MKV48" s="12"/>
      <c r="MKX48" s="34"/>
      <c r="MKY48" s="39"/>
      <c r="MKZ48" s="41"/>
      <c r="MLC48" s="32"/>
      <c r="MLE48" s="12"/>
      <c r="MLG48" s="34"/>
      <c r="MLH48" s="39"/>
      <c r="MLI48" s="41"/>
      <c r="MLL48" s="32"/>
      <c r="MLN48" s="12"/>
      <c r="MLP48" s="34"/>
      <c r="MLQ48" s="39"/>
      <c r="MLR48" s="41"/>
      <c r="MLU48" s="32"/>
      <c r="MLW48" s="12"/>
      <c r="MLY48" s="34"/>
      <c r="MLZ48" s="39"/>
      <c r="MMA48" s="41"/>
      <c r="MMD48" s="32"/>
      <c r="MMF48" s="12"/>
      <c r="MMH48" s="34"/>
      <c r="MMI48" s="39"/>
      <c r="MMJ48" s="41"/>
      <c r="MMM48" s="32"/>
      <c r="MMO48" s="12"/>
      <c r="MMQ48" s="34"/>
      <c r="MMR48" s="39"/>
      <c r="MMS48" s="41"/>
      <c r="MMV48" s="32"/>
      <c r="MMX48" s="12"/>
      <c r="MMZ48" s="34"/>
      <c r="MNA48" s="39"/>
      <c r="MNB48" s="41"/>
      <c r="MNE48" s="32"/>
      <c r="MNG48" s="12"/>
      <c r="MNI48" s="34"/>
      <c r="MNJ48" s="39"/>
      <c r="MNK48" s="41"/>
      <c r="MNN48" s="32"/>
      <c r="MNP48" s="12"/>
      <c r="MNR48" s="34"/>
      <c r="MNS48" s="39"/>
      <c r="MNT48" s="41"/>
      <c r="MNW48" s="32"/>
      <c r="MNY48" s="12"/>
      <c r="MOA48" s="34"/>
      <c r="MOB48" s="39"/>
      <c r="MOC48" s="41"/>
      <c r="MOF48" s="32"/>
      <c r="MOH48" s="12"/>
      <c r="MOJ48" s="34"/>
      <c r="MOK48" s="39"/>
      <c r="MOL48" s="41"/>
      <c r="MOO48" s="32"/>
      <c r="MOQ48" s="12"/>
      <c r="MOS48" s="34"/>
      <c r="MOT48" s="39"/>
      <c r="MOU48" s="41"/>
      <c r="MOX48" s="32"/>
      <c r="MOZ48" s="12"/>
      <c r="MPB48" s="34"/>
      <c r="MPC48" s="39"/>
      <c r="MPD48" s="41"/>
      <c r="MPG48" s="32"/>
      <c r="MPI48" s="12"/>
      <c r="MPK48" s="34"/>
      <c r="MPL48" s="39"/>
      <c r="MPM48" s="41"/>
      <c r="MPP48" s="32"/>
      <c r="MPR48" s="12"/>
      <c r="MPT48" s="34"/>
      <c r="MPU48" s="39"/>
      <c r="MPV48" s="41"/>
      <c r="MPY48" s="32"/>
      <c r="MQA48" s="12"/>
      <c r="MQC48" s="34"/>
      <c r="MQD48" s="39"/>
      <c r="MQE48" s="41"/>
      <c r="MQH48" s="32"/>
      <c r="MQJ48" s="12"/>
      <c r="MQL48" s="34"/>
      <c r="MQM48" s="39"/>
      <c r="MQN48" s="41"/>
      <c r="MQQ48" s="32"/>
      <c r="MQS48" s="12"/>
      <c r="MQU48" s="34"/>
      <c r="MQV48" s="39"/>
      <c r="MQW48" s="41"/>
      <c r="MQZ48" s="32"/>
      <c r="MRB48" s="12"/>
      <c r="MRD48" s="34"/>
      <c r="MRE48" s="39"/>
      <c r="MRF48" s="41"/>
      <c r="MRI48" s="32"/>
      <c r="MRK48" s="12"/>
      <c r="MRM48" s="34"/>
      <c r="MRN48" s="39"/>
      <c r="MRO48" s="41"/>
      <c r="MRR48" s="32"/>
      <c r="MRT48" s="12"/>
      <c r="MRV48" s="34"/>
      <c r="MRW48" s="39"/>
      <c r="MRX48" s="41"/>
      <c r="MSA48" s="32"/>
      <c r="MSC48" s="12"/>
      <c r="MSE48" s="34"/>
      <c r="MSF48" s="39"/>
      <c r="MSG48" s="41"/>
      <c r="MSJ48" s="32"/>
      <c r="MSL48" s="12"/>
      <c r="MSN48" s="34"/>
      <c r="MSO48" s="39"/>
      <c r="MSP48" s="41"/>
      <c r="MSS48" s="32"/>
      <c r="MSU48" s="12"/>
      <c r="MSW48" s="34"/>
      <c r="MSX48" s="39"/>
      <c r="MSY48" s="41"/>
      <c r="MTB48" s="32"/>
      <c r="MTD48" s="12"/>
      <c r="MTF48" s="34"/>
      <c r="MTG48" s="39"/>
      <c r="MTH48" s="41"/>
      <c r="MTK48" s="32"/>
      <c r="MTM48" s="12"/>
      <c r="MTO48" s="34"/>
      <c r="MTP48" s="39"/>
      <c r="MTQ48" s="41"/>
      <c r="MTT48" s="32"/>
      <c r="MTV48" s="12"/>
      <c r="MTX48" s="34"/>
      <c r="MTY48" s="39"/>
      <c r="MTZ48" s="41"/>
      <c r="MUC48" s="32"/>
      <c r="MUE48" s="12"/>
      <c r="MUG48" s="34"/>
      <c r="MUH48" s="39"/>
      <c r="MUI48" s="41"/>
      <c r="MUL48" s="32"/>
      <c r="MUN48" s="12"/>
      <c r="MUP48" s="34"/>
      <c r="MUQ48" s="39"/>
      <c r="MUR48" s="41"/>
      <c r="MUU48" s="32"/>
      <c r="MUW48" s="12"/>
      <c r="MUY48" s="34"/>
      <c r="MUZ48" s="39"/>
      <c r="MVA48" s="41"/>
      <c r="MVD48" s="32"/>
      <c r="MVF48" s="12"/>
      <c r="MVH48" s="34"/>
      <c r="MVI48" s="39"/>
      <c r="MVJ48" s="41"/>
      <c r="MVM48" s="32"/>
      <c r="MVO48" s="12"/>
      <c r="MVQ48" s="34"/>
      <c r="MVR48" s="39"/>
      <c r="MVS48" s="41"/>
      <c r="MVV48" s="32"/>
      <c r="MVX48" s="12"/>
      <c r="MVZ48" s="34"/>
      <c r="MWA48" s="39"/>
      <c r="MWB48" s="41"/>
      <c r="MWE48" s="32"/>
      <c r="MWG48" s="12"/>
      <c r="MWI48" s="34"/>
      <c r="MWJ48" s="39"/>
      <c r="MWK48" s="41"/>
      <c r="MWN48" s="32"/>
      <c r="MWP48" s="12"/>
      <c r="MWR48" s="34"/>
      <c r="MWS48" s="39"/>
      <c r="MWT48" s="41"/>
      <c r="MWW48" s="32"/>
      <c r="MWY48" s="12"/>
      <c r="MXA48" s="34"/>
      <c r="MXB48" s="39"/>
      <c r="MXC48" s="41"/>
      <c r="MXF48" s="32"/>
      <c r="MXH48" s="12"/>
      <c r="MXJ48" s="34"/>
      <c r="MXK48" s="39"/>
      <c r="MXL48" s="41"/>
      <c r="MXO48" s="32"/>
      <c r="MXQ48" s="12"/>
      <c r="MXS48" s="34"/>
      <c r="MXT48" s="39"/>
      <c r="MXU48" s="41"/>
      <c r="MXX48" s="32"/>
      <c r="MXZ48" s="12"/>
      <c r="MYB48" s="34"/>
      <c r="MYC48" s="39"/>
      <c r="MYD48" s="41"/>
      <c r="MYG48" s="32"/>
      <c r="MYI48" s="12"/>
      <c r="MYK48" s="34"/>
      <c r="MYL48" s="39"/>
      <c r="MYM48" s="41"/>
      <c r="MYP48" s="32"/>
      <c r="MYR48" s="12"/>
      <c r="MYT48" s="34"/>
      <c r="MYU48" s="39"/>
      <c r="MYV48" s="41"/>
      <c r="MYY48" s="32"/>
      <c r="MZA48" s="12"/>
      <c r="MZC48" s="34"/>
      <c r="MZD48" s="39"/>
      <c r="MZE48" s="41"/>
      <c r="MZH48" s="32"/>
      <c r="MZJ48" s="12"/>
      <c r="MZL48" s="34"/>
      <c r="MZM48" s="39"/>
      <c r="MZN48" s="41"/>
      <c r="MZQ48" s="32"/>
      <c r="MZS48" s="12"/>
      <c r="MZU48" s="34"/>
      <c r="MZV48" s="39"/>
      <c r="MZW48" s="41"/>
      <c r="MZZ48" s="32"/>
      <c r="NAB48" s="12"/>
      <c r="NAD48" s="34"/>
      <c r="NAE48" s="39"/>
      <c r="NAF48" s="41"/>
      <c r="NAI48" s="32"/>
      <c r="NAK48" s="12"/>
      <c r="NAM48" s="34"/>
      <c r="NAN48" s="39"/>
      <c r="NAO48" s="41"/>
      <c r="NAR48" s="32"/>
      <c r="NAT48" s="12"/>
      <c r="NAV48" s="34"/>
      <c r="NAW48" s="39"/>
      <c r="NAX48" s="41"/>
      <c r="NBA48" s="32"/>
      <c r="NBC48" s="12"/>
      <c r="NBE48" s="34"/>
      <c r="NBF48" s="39"/>
      <c r="NBG48" s="41"/>
      <c r="NBJ48" s="32"/>
      <c r="NBL48" s="12"/>
      <c r="NBN48" s="34"/>
      <c r="NBO48" s="39"/>
      <c r="NBP48" s="41"/>
      <c r="NBS48" s="32"/>
      <c r="NBU48" s="12"/>
      <c r="NBW48" s="34"/>
      <c r="NBX48" s="39"/>
      <c r="NBY48" s="41"/>
      <c r="NCB48" s="32"/>
      <c r="NCD48" s="12"/>
      <c r="NCF48" s="34"/>
      <c r="NCG48" s="39"/>
      <c r="NCH48" s="41"/>
      <c r="NCK48" s="32"/>
      <c r="NCM48" s="12"/>
      <c r="NCO48" s="34"/>
      <c r="NCP48" s="39"/>
      <c r="NCQ48" s="41"/>
      <c r="NCT48" s="32"/>
      <c r="NCV48" s="12"/>
      <c r="NCX48" s="34"/>
      <c r="NCY48" s="39"/>
      <c r="NCZ48" s="41"/>
      <c r="NDC48" s="32"/>
      <c r="NDE48" s="12"/>
      <c r="NDG48" s="34"/>
      <c r="NDH48" s="39"/>
      <c r="NDI48" s="41"/>
      <c r="NDL48" s="32"/>
      <c r="NDN48" s="12"/>
      <c r="NDP48" s="34"/>
      <c r="NDQ48" s="39"/>
      <c r="NDR48" s="41"/>
      <c r="NDU48" s="32"/>
      <c r="NDW48" s="12"/>
      <c r="NDY48" s="34"/>
      <c r="NDZ48" s="39"/>
      <c r="NEA48" s="41"/>
      <c r="NED48" s="32"/>
      <c r="NEF48" s="12"/>
      <c r="NEH48" s="34"/>
      <c r="NEI48" s="39"/>
      <c r="NEJ48" s="41"/>
      <c r="NEM48" s="32"/>
      <c r="NEO48" s="12"/>
      <c r="NEQ48" s="34"/>
      <c r="NER48" s="39"/>
      <c r="NES48" s="41"/>
      <c r="NEV48" s="32"/>
      <c r="NEX48" s="12"/>
      <c r="NEZ48" s="34"/>
      <c r="NFA48" s="39"/>
      <c r="NFB48" s="41"/>
      <c r="NFE48" s="32"/>
      <c r="NFG48" s="12"/>
      <c r="NFI48" s="34"/>
      <c r="NFJ48" s="39"/>
      <c r="NFK48" s="41"/>
      <c r="NFN48" s="32"/>
      <c r="NFP48" s="12"/>
      <c r="NFR48" s="34"/>
      <c r="NFS48" s="39"/>
      <c r="NFT48" s="41"/>
      <c r="NFW48" s="32"/>
      <c r="NFY48" s="12"/>
      <c r="NGA48" s="34"/>
      <c r="NGB48" s="39"/>
      <c r="NGC48" s="41"/>
      <c r="NGF48" s="32"/>
      <c r="NGH48" s="12"/>
      <c r="NGJ48" s="34"/>
      <c r="NGK48" s="39"/>
      <c r="NGL48" s="41"/>
      <c r="NGO48" s="32"/>
      <c r="NGQ48" s="12"/>
      <c r="NGS48" s="34"/>
      <c r="NGT48" s="39"/>
      <c r="NGU48" s="41"/>
      <c r="NGX48" s="32"/>
      <c r="NGZ48" s="12"/>
      <c r="NHB48" s="34"/>
      <c r="NHC48" s="39"/>
      <c r="NHD48" s="41"/>
      <c r="NHG48" s="32"/>
      <c r="NHI48" s="12"/>
      <c r="NHK48" s="34"/>
      <c r="NHL48" s="39"/>
      <c r="NHM48" s="41"/>
      <c r="NHP48" s="32"/>
      <c r="NHR48" s="12"/>
      <c r="NHT48" s="34"/>
      <c r="NHU48" s="39"/>
      <c r="NHV48" s="41"/>
      <c r="NHY48" s="32"/>
      <c r="NIA48" s="12"/>
      <c r="NIC48" s="34"/>
      <c r="NID48" s="39"/>
      <c r="NIE48" s="41"/>
      <c r="NIH48" s="32"/>
      <c r="NIJ48" s="12"/>
      <c r="NIL48" s="34"/>
      <c r="NIM48" s="39"/>
      <c r="NIN48" s="41"/>
      <c r="NIQ48" s="32"/>
      <c r="NIS48" s="12"/>
      <c r="NIU48" s="34"/>
      <c r="NIV48" s="39"/>
      <c r="NIW48" s="41"/>
      <c r="NIZ48" s="32"/>
      <c r="NJB48" s="12"/>
      <c r="NJD48" s="34"/>
      <c r="NJE48" s="39"/>
      <c r="NJF48" s="41"/>
      <c r="NJI48" s="32"/>
      <c r="NJK48" s="12"/>
      <c r="NJM48" s="34"/>
      <c r="NJN48" s="39"/>
      <c r="NJO48" s="41"/>
      <c r="NJR48" s="32"/>
      <c r="NJT48" s="12"/>
      <c r="NJV48" s="34"/>
      <c r="NJW48" s="39"/>
      <c r="NJX48" s="41"/>
      <c r="NKA48" s="32"/>
      <c r="NKC48" s="12"/>
      <c r="NKE48" s="34"/>
      <c r="NKF48" s="39"/>
      <c r="NKG48" s="41"/>
      <c r="NKJ48" s="32"/>
      <c r="NKL48" s="12"/>
      <c r="NKN48" s="34"/>
      <c r="NKO48" s="39"/>
      <c r="NKP48" s="41"/>
      <c r="NKS48" s="32"/>
      <c r="NKU48" s="12"/>
      <c r="NKW48" s="34"/>
      <c r="NKX48" s="39"/>
      <c r="NKY48" s="41"/>
      <c r="NLB48" s="32"/>
      <c r="NLD48" s="12"/>
      <c r="NLF48" s="34"/>
      <c r="NLG48" s="39"/>
      <c r="NLH48" s="41"/>
      <c r="NLK48" s="32"/>
      <c r="NLM48" s="12"/>
      <c r="NLO48" s="34"/>
      <c r="NLP48" s="39"/>
      <c r="NLQ48" s="41"/>
      <c r="NLT48" s="32"/>
      <c r="NLV48" s="12"/>
      <c r="NLX48" s="34"/>
      <c r="NLY48" s="39"/>
      <c r="NLZ48" s="41"/>
      <c r="NMC48" s="32"/>
      <c r="NME48" s="12"/>
      <c r="NMG48" s="34"/>
      <c r="NMH48" s="39"/>
      <c r="NMI48" s="41"/>
      <c r="NML48" s="32"/>
      <c r="NMN48" s="12"/>
      <c r="NMP48" s="34"/>
      <c r="NMQ48" s="39"/>
      <c r="NMR48" s="41"/>
      <c r="NMU48" s="32"/>
      <c r="NMW48" s="12"/>
      <c r="NMY48" s="34"/>
      <c r="NMZ48" s="39"/>
      <c r="NNA48" s="41"/>
      <c r="NND48" s="32"/>
      <c r="NNF48" s="12"/>
      <c r="NNH48" s="34"/>
      <c r="NNI48" s="39"/>
      <c r="NNJ48" s="41"/>
      <c r="NNM48" s="32"/>
      <c r="NNO48" s="12"/>
      <c r="NNQ48" s="34"/>
      <c r="NNR48" s="39"/>
      <c r="NNS48" s="41"/>
      <c r="NNV48" s="32"/>
      <c r="NNX48" s="12"/>
      <c r="NNZ48" s="34"/>
      <c r="NOA48" s="39"/>
      <c r="NOB48" s="41"/>
      <c r="NOE48" s="32"/>
      <c r="NOG48" s="12"/>
      <c r="NOI48" s="34"/>
      <c r="NOJ48" s="39"/>
      <c r="NOK48" s="41"/>
      <c r="NON48" s="32"/>
      <c r="NOP48" s="12"/>
      <c r="NOR48" s="34"/>
      <c r="NOS48" s="39"/>
      <c r="NOT48" s="41"/>
      <c r="NOW48" s="32"/>
      <c r="NOY48" s="12"/>
      <c r="NPA48" s="34"/>
      <c r="NPB48" s="39"/>
      <c r="NPC48" s="41"/>
      <c r="NPF48" s="32"/>
      <c r="NPH48" s="12"/>
      <c r="NPJ48" s="34"/>
      <c r="NPK48" s="39"/>
      <c r="NPL48" s="41"/>
      <c r="NPO48" s="32"/>
      <c r="NPQ48" s="12"/>
      <c r="NPS48" s="34"/>
      <c r="NPT48" s="39"/>
      <c r="NPU48" s="41"/>
      <c r="NPX48" s="32"/>
      <c r="NPZ48" s="12"/>
      <c r="NQB48" s="34"/>
      <c r="NQC48" s="39"/>
      <c r="NQD48" s="41"/>
      <c r="NQG48" s="32"/>
      <c r="NQI48" s="12"/>
      <c r="NQK48" s="34"/>
      <c r="NQL48" s="39"/>
      <c r="NQM48" s="41"/>
      <c r="NQP48" s="32"/>
      <c r="NQR48" s="12"/>
      <c r="NQT48" s="34"/>
      <c r="NQU48" s="39"/>
      <c r="NQV48" s="41"/>
      <c r="NQY48" s="32"/>
      <c r="NRA48" s="12"/>
      <c r="NRC48" s="34"/>
      <c r="NRD48" s="39"/>
      <c r="NRE48" s="41"/>
      <c r="NRH48" s="32"/>
      <c r="NRJ48" s="12"/>
      <c r="NRL48" s="34"/>
      <c r="NRM48" s="39"/>
      <c r="NRN48" s="41"/>
      <c r="NRQ48" s="32"/>
      <c r="NRS48" s="12"/>
      <c r="NRU48" s="34"/>
      <c r="NRV48" s="39"/>
      <c r="NRW48" s="41"/>
      <c r="NRZ48" s="32"/>
      <c r="NSB48" s="12"/>
      <c r="NSD48" s="34"/>
      <c r="NSE48" s="39"/>
      <c r="NSF48" s="41"/>
      <c r="NSI48" s="32"/>
      <c r="NSK48" s="12"/>
      <c r="NSM48" s="34"/>
      <c r="NSN48" s="39"/>
      <c r="NSO48" s="41"/>
      <c r="NSR48" s="32"/>
      <c r="NST48" s="12"/>
      <c r="NSV48" s="34"/>
      <c r="NSW48" s="39"/>
      <c r="NSX48" s="41"/>
      <c r="NTA48" s="32"/>
      <c r="NTC48" s="12"/>
      <c r="NTE48" s="34"/>
      <c r="NTF48" s="39"/>
      <c r="NTG48" s="41"/>
      <c r="NTJ48" s="32"/>
      <c r="NTL48" s="12"/>
      <c r="NTN48" s="34"/>
      <c r="NTO48" s="39"/>
      <c r="NTP48" s="41"/>
      <c r="NTS48" s="32"/>
      <c r="NTU48" s="12"/>
      <c r="NTW48" s="34"/>
      <c r="NTX48" s="39"/>
      <c r="NTY48" s="41"/>
      <c r="NUB48" s="32"/>
      <c r="NUD48" s="12"/>
      <c r="NUF48" s="34"/>
      <c r="NUG48" s="39"/>
      <c r="NUH48" s="41"/>
      <c r="NUK48" s="32"/>
      <c r="NUM48" s="12"/>
      <c r="NUO48" s="34"/>
      <c r="NUP48" s="39"/>
      <c r="NUQ48" s="41"/>
      <c r="NUT48" s="32"/>
      <c r="NUV48" s="12"/>
      <c r="NUX48" s="34"/>
      <c r="NUY48" s="39"/>
      <c r="NUZ48" s="41"/>
      <c r="NVC48" s="32"/>
      <c r="NVE48" s="12"/>
      <c r="NVG48" s="34"/>
      <c r="NVH48" s="39"/>
      <c r="NVI48" s="41"/>
      <c r="NVL48" s="32"/>
      <c r="NVN48" s="12"/>
      <c r="NVP48" s="34"/>
      <c r="NVQ48" s="39"/>
      <c r="NVR48" s="41"/>
      <c r="NVU48" s="32"/>
      <c r="NVW48" s="12"/>
      <c r="NVY48" s="34"/>
      <c r="NVZ48" s="39"/>
      <c r="NWA48" s="41"/>
      <c r="NWD48" s="32"/>
      <c r="NWF48" s="12"/>
      <c r="NWH48" s="34"/>
      <c r="NWI48" s="39"/>
      <c r="NWJ48" s="41"/>
      <c r="NWM48" s="32"/>
      <c r="NWO48" s="12"/>
      <c r="NWQ48" s="34"/>
      <c r="NWR48" s="39"/>
      <c r="NWS48" s="41"/>
      <c r="NWV48" s="32"/>
      <c r="NWX48" s="12"/>
      <c r="NWZ48" s="34"/>
      <c r="NXA48" s="39"/>
      <c r="NXB48" s="41"/>
      <c r="NXE48" s="32"/>
      <c r="NXG48" s="12"/>
      <c r="NXI48" s="34"/>
      <c r="NXJ48" s="39"/>
      <c r="NXK48" s="41"/>
      <c r="NXN48" s="32"/>
      <c r="NXP48" s="12"/>
      <c r="NXR48" s="34"/>
      <c r="NXS48" s="39"/>
      <c r="NXT48" s="41"/>
      <c r="NXW48" s="32"/>
      <c r="NXY48" s="12"/>
      <c r="NYA48" s="34"/>
      <c r="NYB48" s="39"/>
      <c r="NYC48" s="41"/>
      <c r="NYF48" s="32"/>
      <c r="NYH48" s="12"/>
      <c r="NYJ48" s="34"/>
      <c r="NYK48" s="39"/>
      <c r="NYL48" s="41"/>
      <c r="NYO48" s="32"/>
      <c r="NYQ48" s="12"/>
      <c r="NYS48" s="34"/>
      <c r="NYT48" s="39"/>
      <c r="NYU48" s="41"/>
      <c r="NYX48" s="32"/>
      <c r="NYZ48" s="12"/>
      <c r="NZB48" s="34"/>
      <c r="NZC48" s="39"/>
      <c r="NZD48" s="41"/>
      <c r="NZG48" s="32"/>
      <c r="NZI48" s="12"/>
      <c r="NZK48" s="34"/>
      <c r="NZL48" s="39"/>
      <c r="NZM48" s="41"/>
      <c r="NZP48" s="32"/>
      <c r="NZR48" s="12"/>
      <c r="NZT48" s="34"/>
      <c r="NZU48" s="39"/>
      <c r="NZV48" s="41"/>
      <c r="NZY48" s="32"/>
      <c r="OAA48" s="12"/>
      <c r="OAC48" s="34"/>
      <c r="OAD48" s="39"/>
      <c r="OAE48" s="41"/>
      <c r="OAH48" s="32"/>
      <c r="OAJ48" s="12"/>
      <c r="OAL48" s="34"/>
      <c r="OAM48" s="39"/>
      <c r="OAN48" s="41"/>
      <c r="OAQ48" s="32"/>
      <c r="OAS48" s="12"/>
      <c r="OAU48" s="34"/>
      <c r="OAV48" s="39"/>
      <c r="OAW48" s="41"/>
      <c r="OAZ48" s="32"/>
      <c r="OBB48" s="12"/>
      <c r="OBD48" s="34"/>
      <c r="OBE48" s="39"/>
      <c r="OBF48" s="41"/>
      <c r="OBI48" s="32"/>
      <c r="OBK48" s="12"/>
      <c r="OBM48" s="34"/>
      <c r="OBN48" s="39"/>
      <c r="OBO48" s="41"/>
      <c r="OBR48" s="32"/>
      <c r="OBT48" s="12"/>
      <c r="OBV48" s="34"/>
      <c r="OBW48" s="39"/>
      <c r="OBX48" s="41"/>
      <c r="OCA48" s="32"/>
      <c r="OCC48" s="12"/>
      <c r="OCE48" s="34"/>
      <c r="OCF48" s="39"/>
      <c r="OCG48" s="41"/>
      <c r="OCJ48" s="32"/>
      <c r="OCL48" s="12"/>
      <c r="OCN48" s="34"/>
      <c r="OCO48" s="39"/>
      <c r="OCP48" s="41"/>
      <c r="OCS48" s="32"/>
      <c r="OCU48" s="12"/>
      <c r="OCW48" s="34"/>
      <c r="OCX48" s="39"/>
      <c r="OCY48" s="41"/>
      <c r="ODB48" s="32"/>
      <c r="ODD48" s="12"/>
      <c r="ODF48" s="34"/>
      <c r="ODG48" s="39"/>
      <c r="ODH48" s="41"/>
      <c r="ODK48" s="32"/>
      <c r="ODM48" s="12"/>
      <c r="ODO48" s="34"/>
      <c r="ODP48" s="39"/>
      <c r="ODQ48" s="41"/>
      <c r="ODT48" s="32"/>
      <c r="ODV48" s="12"/>
      <c r="ODX48" s="34"/>
      <c r="ODY48" s="39"/>
      <c r="ODZ48" s="41"/>
      <c r="OEC48" s="32"/>
      <c r="OEE48" s="12"/>
      <c r="OEG48" s="34"/>
      <c r="OEH48" s="39"/>
      <c r="OEI48" s="41"/>
      <c r="OEL48" s="32"/>
      <c r="OEN48" s="12"/>
      <c r="OEP48" s="34"/>
      <c r="OEQ48" s="39"/>
      <c r="OER48" s="41"/>
      <c r="OEU48" s="32"/>
      <c r="OEW48" s="12"/>
      <c r="OEY48" s="34"/>
      <c r="OEZ48" s="39"/>
      <c r="OFA48" s="41"/>
      <c r="OFD48" s="32"/>
      <c r="OFF48" s="12"/>
      <c r="OFH48" s="34"/>
      <c r="OFI48" s="39"/>
      <c r="OFJ48" s="41"/>
      <c r="OFM48" s="32"/>
      <c r="OFO48" s="12"/>
      <c r="OFQ48" s="34"/>
      <c r="OFR48" s="39"/>
      <c r="OFS48" s="41"/>
      <c r="OFV48" s="32"/>
      <c r="OFX48" s="12"/>
      <c r="OFZ48" s="34"/>
      <c r="OGA48" s="39"/>
      <c r="OGB48" s="41"/>
      <c r="OGE48" s="32"/>
      <c r="OGG48" s="12"/>
      <c r="OGI48" s="34"/>
      <c r="OGJ48" s="39"/>
      <c r="OGK48" s="41"/>
      <c r="OGN48" s="32"/>
      <c r="OGP48" s="12"/>
      <c r="OGR48" s="34"/>
      <c r="OGS48" s="39"/>
      <c r="OGT48" s="41"/>
      <c r="OGW48" s="32"/>
      <c r="OGY48" s="12"/>
      <c r="OHA48" s="34"/>
      <c r="OHB48" s="39"/>
      <c r="OHC48" s="41"/>
      <c r="OHF48" s="32"/>
      <c r="OHH48" s="12"/>
      <c r="OHJ48" s="34"/>
      <c r="OHK48" s="39"/>
      <c r="OHL48" s="41"/>
      <c r="OHO48" s="32"/>
      <c r="OHQ48" s="12"/>
      <c r="OHS48" s="34"/>
      <c r="OHT48" s="39"/>
      <c r="OHU48" s="41"/>
      <c r="OHX48" s="32"/>
      <c r="OHZ48" s="12"/>
      <c r="OIB48" s="34"/>
      <c r="OIC48" s="39"/>
      <c r="OID48" s="41"/>
      <c r="OIG48" s="32"/>
      <c r="OII48" s="12"/>
      <c r="OIK48" s="34"/>
      <c r="OIL48" s="39"/>
      <c r="OIM48" s="41"/>
      <c r="OIP48" s="32"/>
      <c r="OIR48" s="12"/>
      <c r="OIT48" s="34"/>
      <c r="OIU48" s="39"/>
      <c r="OIV48" s="41"/>
      <c r="OIY48" s="32"/>
      <c r="OJA48" s="12"/>
      <c r="OJC48" s="34"/>
      <c r="OJD48" s="39"/>
      <c r="OJE48" s="41"/>
      <c r="OJH48" s="32"/>
      <c r="OJJ48" s="12"/>
      <c r="OJL48" s="34"/>
      <c r="OJM48" s="39"/>
      <c r="OJN48" s="41"/>
      <c r="OJQ48" s="32"/>
      <c r="OJS48" s="12"/>
      <c r="OJU48" s="34"/>
      <c r="OJV48" s="39"/>
      <c r="OJW48" s="41"/>
      <c r="OJZ48" s="32"/>
      <c r="OKB48" s="12"/>
      <c r="OKD48" s="34"/>
      <c r="OKE48" s="39"/>
      <c r="OKF48" s="41"/>
      <c r="OKI48" s="32"/>
      <c r="OKK48" s="12"/>
      <c r="OKM48" s="34"/>
      <c r="OKN48" s="39"/>
      <c r="OKO48" s="41"/>
      <c r="OKR48" s="32"/>
      <c r="OKT48" s="12"/>
      <c r="OKV48" s="34"/>
      <c r="OKW48" s="39"/>
      <c r="OKX48" s="41"/>
      <c r="OLA48" s="32"/>
      <c r="OLC48" s="12"/>
      <c r="OLE48" s="34"/>
      <c r="OLF48" s="39"/>
      <c r="OLG48" s="41"/>
      <c r="OLJ48" s="32"/>
      <c r="OLL48" s="12"/>
      <c r="OLN48" s="34"/>
      <c r="OLO48" s="39"/>
      <c r="OLP48" s="41"/>
      <c r="OLS48" s="32"/>
      <c r="OLU48" s="12"/>
      <c r="OLW48" s="34"/>
      <c r="OLX48" s="39"/>
      <c r="OLY48" s="41"/>
      <c r="OMB48" s="32"/>
      <c r="OMD48" s="12"/>
      <c r="OMF48" s="34"/>
      <c r="OMG48" s="39"/>
      <c r="OMH48" s="41"/>
      <c r="OMK48" s="32"/>
      <c r="OMM48" s="12"/>
      <c r="OMO48" s="34"/>
      <c r="OMP48" s="39"/>
      <c r="OMQ48" s="41"/>
      <c r="OMT48" s="32"/>
      <c r="OMV48" s="12"/>
      <c r="OMX48" s="34"/>
      <c r="OMY48" s="39"/>
      <c r="OMZ48" s="41"/>
      <c r="ONC48" s="32"/>
      <c r="ONE48" s="12"/>
      <c r="ONG48" s="34"/>
      <c r="ONH48" s="39"/>
      <c r="ONI48" s="41"/>
      <c r="ONL48" s="32"/>
      <c r="ONN48" s="12"/>
      <c r="ONP48" s="34"/>
      <c r="ONQ48" s="39"/>
      <c r="ONR48" s="41"/>
      <c r="ONU48" s="32"/>
      <c r="ONW48" s="12"/>
      <c r="ONY48" s="34"/>
      <c r="ONZ48" s="39"/>
      <c r="OOA48" s="41"/>
      <c r="OOD48" s="32"/>
      <c r="OOF48" s="12"/>
      <c r="OOH48" s="34"/>
      <c r="OOI48" s="39"/>
      <c r="OOJ48" s="41"/>
      <c r="OOM48" s="32"/>
      <c r="OOO48" s="12"/>
      <c r="OOQ48" s="34"/>
      <c r="OOR48" s="39"/>
      <c r="OOS48" s="41"/>
      <c r="OOV48" s="32"/>
      <c r="OOX48" s="12"/>
      <c r="OOZ48" s="34"/>
      <c r="OPA48" s="39"/>
      <c r="OPB48" s="41"/>
      <c r="OPE48" s="32"/>
      <c r="OPG48" s="12"/>
      <c r="OPI48" s="34"/>
      <c r="OPJ48" s="39"/>
      <c r="OPK48" s="41"/>
      <c r="OPN48" s="32"/>
      <c r="OPP48" s="12"/>
      <c r="OPR48" s="34"/>
      <c r="OPS48" s="39"/>
      <c r="OPT48" s="41"/>
      <c r="OPW48" s="32"/>
      <c r="OPY48" s="12"/>
      <c r="OQA48" s="34"/>
      <c r="OQB48" s="39"/>
      <c r="OQC48" s="41"/>
      <c r="OQF48" s="32"/>
      <c r="OQH48" s="12"/>
      <c r="OQJ48" s="34"/>
      <c r="OQK48" s="39"/>
      <c r="OQL48" s="41"/>
      <c r="OQO48" s="32"/>
      <c r="OQQ48" s="12"/>
      <c r="OQS48" s="34"/>
      <c r="OQT48" s="39"/>
      <c r="OQU48" s="41"/>
      <c r="OQX48" s="32"/>
      <c r="OQZ48" s="12"/>
      <c r="ORB48" s="34"/>
      <c r="ORC48" s="39"/>
      <c r="ORD48" s="41"/>
      <c r="ORG48" s="32"/>
      <c r="ORI48" s="12"/>
      <c r="ORK48" s="34"/>
      <c r="ORL48" s="39"/>
      <c r="ORM48" s="41"/>
      <c r="ORP48" s="32"/>
      <c r="ORR48" s="12"/>
      <c r="ORT48" s="34"/>
      <c r="ORU48" s="39"/>
      <c r="ORV48" s="41"/>
      <c r="ORY48" s="32"/>
      <c r="OSA48" s="12"/>
      <c r="OSC48" s="34"/>
      <c r="OSD48" s="39"/>
      <c r="OSE48" s="41"/>
      <c r="OSH48" s="32"/>
      <c r="OSJ48" s="12"/>
      <c r="OSL48" s="34"/>
      <c r="OSM48" s="39"/>
      <c r="OSN48" s="41"/>
      <c r="OSQ48" s="32"/>
      <c r="OSS48" s="12"/>
      <c r="OSU48" s="34"/>
      <c r="OSV48" s="39"/>
      <c r="OSW48" s="41"/>
      <c r="OSZ48" s="32"/>
      <c r="OTB48" s="12"/>
      <c r="OTD48" s="34"/>
      <c r="OTE48" s="39"/>
      <c r="OTF48" s="41"/>
      <c r="OTI48" s="32"/>
      <c r="OTK48" s="12"/>
      <c r="OTM48" s="34"/>
      <c r="OTN48" s="39"/>
      <c r="OTO48" s="41"/>
      <c r="OTR48" s="32"/>
      <c r="OTT48" s="12"/>
      <c r="OTV48" s="34"/>
      <c r="OTW48" s="39"/>
      <c r="OTX48" s="41"/>
      <c r="OUA48" s="32"/>
      <c r="OUC48" s="12"/>
      <c r="OUE48" s="34"/>
      <c r="OUF48" s="39"/>
      <c r="OUG48" s="41"/>
      <c r="OUJ48" s="32"/>
      <c r="OUL48" s="12"/>
      <c r="OUN48" s="34"/>
      <c r="OUO48" s="39"/>
      <c r="OUP48" s="41"/>
      <c r="OUS48" s="32"/>
      <c r="OUU48" s="12"/>
      <c r="OUW48" s="34"/>
      <c r="OUX48" s="39"/>
      <c r="OUY48" s="41"/>
      <c r="OVB48" s="32"/>
      <c r="OVD48" s="12"/>
      <c r="OVF48" s="34"/>
      <c r="OVG48" s="39"/>
      <c r="OVH48" s="41"/>
      <c r="OVK48" s="32"/>
      <c r="OVM48" s="12"/>
      <c r="OVO48" s="34"/>
      <c r="OVP48" s="39"/>
      <c r="OVQ48" s="41"/>
      <c r="OVT48" s="32"/>
      <c r="OVV48" s="12"/>
      <c r="OVX48" s="34"/>
      <c r="OVY48" s="39"/>
      <c r="OVZ48" s="41"/>
      <c r="OWC48" s="32"/>
      <c r="OWE48" s="12"/>
      <c r="OWG48" s="34"/>
      <c r="OWH48" s="39"/>
      <c r="OWI48" s="41"/>
      <c r="OWL48" s="32"/>
      <c r="OWN48" s="12"/>
      <c r="OWP48" s="34"/>
      <c r="OWQ48" s="39"/>
      <c r="OWR48" s="41"/>
      <c r="OWU48" s="32"/>
      <c r="OWW48" s="12"/>
      <c r="OWY48" s="34"/>
      <c r="OWZ48" s="39"/>
      <c r="OXA48" s="41"/>
      <c r="OXD48" s="32"/>
      <c r="OXF48" s="12"/>
      <c r="OXH48" s="34"/>
      <c r="OXI48" s="39"/>
      <c r="OXJ48" s="41"/>
      <c r="OXM48" s="32"/>
      <c r="OXO48" s="12"/>
      <c r="OXQ48" s="34"/>
      <c r="OXR48" s="39"/>
      <c r="OXS48" s="41"/>
      <c r="OXV48" s="32"/>
      <c r="OXX48" s="12"/>
      <c r="OXZ48" s="34"/>
      <c r="OYA48" s="39"/>
      <c r="OYB48" s="41"/>
      <c r="OYE48" s="32"/>
      <c r="OYG48" s="12"/>
      <c r="OYI48" s="34"/>
      <c r="OYJ48" s="39"/>
      <c r="OYK48" s="41"/>
      <c r="OYN48" s="32"/>
      <c r="OYP48" s="12"/>
      <c r="OYR48" s="34"/>
      <c r="OYS48" s="39"/>
      <c r="OYT48" s="41"/>
      <c r="OYW48" s="32"/>
      <c r="OYY48" s="12"/>
      <c r="OZA48" s="34"/>
      <c r="OZB48" s="39"/>
      <c r="OZC48" s="41"/>
      <c r="OZF48" s="32"/>
      <c r="OZH48" s="12"/>
      <c r="OZJ48" s="34"/>
      <c r="OZK48" s="39"/>
      <c r="OZL48" s="41"/>
      <c r="OZO48" s="32"/>
      <c r="OZQ48" s="12"/>
      <c r="OZS48" s="34"/>
      <c r="OZT48" s="39"/>
      <c r="OZU48" s="41"/>
      <c r="OZX48" s="32"/>
      <c r="OZZ48" s="12"/>
      <c r="PAB48" s="34"/>
      <c r="PAC48" s="39"/>
      <c r="PAD48" s="41"/>
      <c r="PAG48" s="32"/>
      <c r="PAI48" s="12"/>
      <c r="PAK48" s="34"/>
      <c r="PAL48" s="39"/>
      <c r="PAM48" s="41"/>
      <c r="PAP48" s="32"/>
      <c r="PAR48" s="12"/>
      <c r="PAT48" s="34"/>
      <c r="PAU48" s="39"/>
      <c r="PAV48" s="41"/>
      <c r="PAY48" s="32"/>
      <c r="PBA48" s="12"/>
      <c r="PBC48" s="34"/>
      <c r="PBD48" s="39"/>
      <c r="PBE48" s="41"/>
      <c r="PBH48" s="32"/>
      <c r="PBJ48" s="12"/>
      <c r="PBL48" s="34"/>
      <c r="PBM48" s="39"/>
      <c r="PBN48" s="41"/>
      <c r="PBQ48" s="32"/>
      <c r="PBS48" s="12"/>
      <c r="PBU48" s="34"/>
      <c r="PBV48" s="39"/>
      <c r="PBW48" s="41"/>
      <c r="PBZ48" s="32"/>
      <c r="PCB48" s="12"/>
      <c r="PCD48" s="34"/>
      <c r="PCE48" s="39"/>
      <c r="PCF48" s="41"/>
      <c r="PCI48" s="32"/>
      <c r="PCK48" s="12"/>
      <c r="PCM48" s="34"/>
      <c r="PCN48" s="39"/>
      <c r="PCO48" s="41"/>
      <c r="PCR48" s="32"/>
      <c r="PCT48" s="12"/>
      <c r="PCV48" s="34"/>
      <c r="PCW48" s="39"/>
      <c r="PCX48" s="41"/>
      <c r="PDA48" s="32"/>
      <c r="PDC48" s="12"/>
      <c r="PDE48" s="34"/>
      <c r="PDF48" s="39"/>
      <c r="PDG48" s="41"/>
      <c r="PDJ48" s="32"/>
      <c r="PDL48" s="12"/>
      <c r="PDN48" s="34"/>
      <c r="PDO48" s="39"/>
      <c r="PDP48" s="41"/>
      <c r="PDS48" s="32"/>
      <c r="PDU48" s="12"/>
      <c r="PDW48" s="34"/>
      <c r="PDX48" s="39"/>
      <c r="PDY48" s="41"/>
      <c r="PEB48" s="32"/>
      <c r="PED48" s="12"/>
      <c r="PEF48" s="34"/>
      <c r="PEG48" s="39"/>
      <c r="PEH48" s="41"/>
      <c r="PEK48" s="32"/>
      <c r="PEM48" s="12"/>
      <c r="PEO48" s="34"/>
      <c r="PEP48" s="39"/>
      <c r="PEQ48" s="41"/>
      <c r="PET48" s="32"/>
      <c r="PEV48" s="12"/>
      <c r="PEX48" s="34"/>
      <c r="PEY48" s="39"/>
      <c r="PEZ48" s="41"/>
      <c r="PFC48" s="32"/>
      <c r="PFE48" s="12"/>
      <c r="PFG48" s="34"/>
      <c r="PFH48" s="39"/>
      <c r="PFI48" s="41"/>
      <c r="PFL48" s="32"/>
      <c r="PFN48" s="12"/>
      <c r="PFP48" s="34"/>
      <c r="PFQ48" s="39"/>
      <c r="PFR48" s="41"/>
      <c r="PFU48" s="32"/>
      <c r="PFW48" s="12"/>
      <c r="PFY48" s="34"/>
      <c r="PFZ48" s="39"/>
      <c r="PGA48" s="41"/>
      <c r="PGD48" s="32"/>
      <c r="PGF48" s="12"/>
      <c r="PGH48" s="34"/>
      <c r="PGI48" s="39"/>
      <c r="PGJ48" s="41"/>
      <c r="PGM48" s="32"/>
      <c r="PGO48" s="12"/>
      <c r="PGQ48" s="34"/>
      <c r="PGR48" s="39"/>
      <c r="PGS48" s="41"/>
      <c r="PGV48" s="32"/>
      <c r="PGX48" s="12"/>
      <c r="PGZ48" s="34"/>
      <c r="PHA48" s="39"/>
      <c r="PHB48" s="41"/>
      <c r="PHE48" s="32"/>
      <c r="PHG48" s="12"/>
      <c r="PHI48" s="34"/>
      <c r="PHJ48" s="39"/>
      <c r="PHK48" s="41"/>
      <c r="PHN48" s="32"/>
      <c r="PHP48" s="12"/>
      <c r="PHR48" s="34"/>
      <c r="PHS48" s="39"/>
      <c r="PHT48" s="41"/>
      <c r="PHW48" s="32"/>
      <c r="PHY48" s="12"/>
      <c r="PIA48" s="34"/>
      <c r="PIB48" s="39"/>
      <c r="PIC48" s="41"/>
      <c r="PIF48" s="32"/>
      <c r="PIH48" s="12"/>
      <c r="PIJ48" s="34"/>
      <c r="PIK48" s="39"/>
      <c r="PIL48" s="41"/>
      <c r="PIO48" s="32"/>
      <c r="PIQ48" s="12"/>
      <c r="PIS48" s="34"/>
      <c r="PIT48" s="39"/>
      <c r="PIU48" s="41"/>
      <c r="PIX48" s="32"/>
      <c r="PIZ48" s="12"/>
      <c r="PJB48" s="34"/>
      <c r="PJC48" s="39"/>
      <c r="PJD48" s="41"/>
      <c r="PJG48" s="32"/>
      <c r="PJI48" s="12"/>
      <c r="PJK48" s="34"/>
      <c r="PJL48" s="39"/>
      <c r="PJM48" s="41"/>
      <c r="PJP48" s="32"/>
      <c r="PJR48" s="12"/>
      <c r="PJT48" s="34"/>
      <c r="PJU48" s="39"/>
      <c r="PJV48" s="41"/>
      <c r="PJY48" s="32"/>
      <c r="PKA48" s="12"/>
      <c r="PKC48" s="34"/>
      <c r="PKD48" s="39"/>
      <c r="PKE48" s="41"/>
      <c r="PKH48" s="32"/>
      <c r="PKJ48" s="12"/>
      <c r="PKL48" s="34"/>
      <c r="PKM48" s="39"/>
      <c r="PKN48" s="41"/>
      <c r="PKQ48" s="32"/>
      <c r="PKS48" s="12"/>
      <c r="PKU48" s="34"/>
      <c r="PKV48" s="39"/>
      <c r="PKW48" s="41"/>
      <c r="PKZ48" s="32"/>
      <c r="PLB48" s="12"/>
      <c r="PLD48" s="34"/>
      <c r="PLE48" s="39"/>
      <c r="PLF48" s="41"/>
      <c r="PLI48" s="32"/>
      <c r="PLK48" s="12"/>
      <c r="PLM48" s="34"/>
      <c r="PLN48" s="39"/>
      <c r="PLO48" s="41"/>
      <c r="PLR48" s="32"/>
      <c r="PLT48" s="12"/>
      <c r="PLV48" s="34"/>
      <c r="PLW48" s="39"/>
      <c r="PLX48" s="41"/>
      <c r="PMA48" s="32"/>
      <c r="PMC48" s="12"/>
      <c r="PME48" s="34"/>
      <c r="PMF48" s="39"/>
      <c r="PMG48" s="41"/>
      <c r="PMJ48" s="32"/>
      <c r="PML48" s="12"/>
      <c r="PMN48" s="34"/>
      <c r="PMO48" s="39"/>
      <c r="PMP48" s="41"/>
      <c r="PMS48" s="32"/>
      <c r="PMU48" s="12"/>
      <c r="PMW48" s="34"/>
      <c r="PMX48" s="39"/>
      <c r="PMY48" s="41"/>
      <c r="PNB48" s="32"/>
      <c r="PND48" s="12"/>
      <c r="PNF48" s="34"/>
      <c r="PNG48" s="39"/>
      <c r="PNH48" s="41"/>
      <c r="PNK48" s="32"/>
      <c r="PNM48" s="12"/>
      <c r="PNO48" s="34"/>
      <c r="PNP48" s="39"/>
      <c r="PNQ48" s="41"/>
      <c r="PNT48" s="32"/>
      <c r="PNV48" s="12"/>
      <c r="PNX48" s="34"/>
      <c r="PNY48" s="39"/>
      <c r="PNZ48" s="41"/>
      <c r="POC48" s="32"/>
      <c r="POE48" s="12"/>
      <c r="POG48" s="34"/>
      <c r="POH48" s="39"/>
      <c r="POI48" s="41"/>
      <c r="POL48" s="32"/>
      <c r="PON48" s="12"/>
      <c r="POP48" s="34"/>
      <c r="POQ48" s="39"/>
      <c r="POR48" s="41"/>
      <c r="POU48" s="32"/>
      <c r="POW48" s="12"/>
      <c r="POY48" s="34"/>
      <c r="POZ48" s="39"/>
      <c r="PPA48" s="41"/>
      <c r="PPD48" s="32"/>
      <c r="PPF48" s="12"/>
      <c r="PPH48" s="34"/>
      <c r="PPI48" s="39"/>
      <c r="PPJ48" s="41"/>
      <c r="PPM48" s="32"/>
      <c r="PPO48" s="12"/>
      <c r="PPQ48" s="34"/>
      <c r="PPR48" s="39"/>
      <c r="PPS48" s="41"/>
      <c r="PPV48" s="32"/>
      <c r="PPX48" s="12"/>
      <c r="PPZ48" s="34"/>
      <c r="PQA48" s="39"/>
      <c r="PQB48" s="41"/>
      <c r="PQE48" s="32"/>
      <c r="PQG48" s="12"/>
      <c r="PQI48" s="34"/>
      <c r="PQJ48" s="39"/>
      <c r="PQK48" s="41"/>
      <c r="PQN48" s="32"/>
      <c r="PQP48" s="12"/>
      <c r="PQR48" s="34"/>
      <c r="PQS48" s="39"/>
      <c r="PQT48" s="41"/>
      <c r="PQW48" s="32"/>
      <c r="PQY48" s="12"/>
      <c r="PRA48" s="34"/>
      <c r="PRB48" s="39"/>
      <c r="PRC48" s="41"/>
      <c r="PRF48" s="32"/>
      <c r="PRH48" s="12"/>
      <c r="PRJ48" s="34"/>
      <c r="PRK48" s="39"/>
      <c r="PRL48" s="41"/>
      <c r="PRO48" s="32"/>
      <c r="PRQ48" s="12"/>
      <c r="PRS48" s="34"/>
      <c r="PRT48" s="39"/>
      <c r="PRU48" s="41"/>
      <c r="PRX48" s="32"/>
      <c r="PRZ48" s="12"/>
      <c r="PSB48" s="34"/>
      <c r="PSC48" s="39"/>
      <c r="PSD48" s="41"/>
      <c r="PSG48" s="32"/>
      <c r="PSI48" s="12"/>
      <c r="PSK48" s="34"/>
      <c r="PSL48" s="39"/>
      <c r="PSM48" s="41"/>
      <c r="PSP48" s="32"/>
      <c r="PSR48" s="12"/>
      <c r="PST48" s="34"/>
      <c r="PSU48" s="39"/>
      <c r="PSV48" s="41"/>
      <c r="PSY48" s="32"/>
      <c r="PTA48" s="12"/>
      <c r="PTC48" s="34"/>
      <c r="PTD48" s="39"/>
      <c r="PTE48" s="41"/>
      <c r="PTH48" s="32"/>
      <c r="PTJ48" s="12"/>
      <c r="PTL48" s="34"/>
      <c r="PTM48" s="39"/>
      <c r="PTN48" s="41"/>
      <c r="PTQ48" s="32"/>
      <c r="PTS48" s="12"/>
      <c r="PTU48" s="34"/>
      <c r="PTV48" s="39"/>
      <c r="PTW48" s="41"/>
      <c r="PTZ48" s="32"/>
      <c r="PUB48" s="12"/>
      <c r="PUD48" s="34"/>
      <c r="PUE48" s="39"/>
      <c r="PUF48" s="41"/>
      <c r="PUI48" s="32"/>
      <c r="PUK48" s="12"/>
      <c r="PUM48" s="34"/>
      <c r="PUN48" s="39"/>
      <c r="PUO48" s="41"/>
      <c r="PUR48" s="32"/>
      <c r="PUT48" s="12"/>
      <c r="PUV48" s="34"/>
      <c r="PUW48" s="39"/>
      <c r="PUX48" s="41"/>
      <c r="PVA48" s="32"/>
      <c r="PVC48" s="12"/>
      <c r="PVE48" s="34"/>
      <c r="PVF48" s="39"/>
      <c r="PVG48" s="41"/>
      <c r="PVJ48" s="32"/>
      <c r="PVL48" s="12"/>
      <c r="PVN48" s="34"/>
      <c r="PVO48" s="39"/>
      <c r="PVP48" s="41"/>
      <c r="PVS48" s="32"/>
      <c r="PVU48" s="12"/>
      <c r="PVW48" s="34"/>
      <c r="PVX48" s="39"/>
      <c r="PVY48" s="41"/>
      <c r="PWB48" s="32"/>
      <c r="PWD48" s="12"/>
      <c r="PWF48" s="34"/>
      <c r="PWG48" s="39"/>
      <c r="PWH48" s="41"/>
      <c r="PWK48" s="32"/>
      <c r="PWM48" s="12"/>
      <c r="PWO48" s="34"/>
      <c r="PWP48" s="39"/>
      <c r="PWQ48" s="41"/>
      <c r="PWT48" s="32"/>
      <c r="PWV48" s="12"/>
      <c r="PWX48" s="34"/>
      <c r="PWY48" s="39"/>
      <c r="PWZ48" s="41"/>
      <c r="PXC48" s="32"/>
      <c r="PXE48" s="12"/>
      <c r="PXG48" s="34"/>
      <c r="PXH48" s="39"/>
      <c r="PXI48" s="41"/>
      <c r="PXL48" s="32"/>
      <c r="PXN48" s="12"/>
      <c r="PXP48" s="34"/>
      <c r="PXQ48" s="39"/>
      <c r="PXR48" s="41"/>
      <c r="PXU48" s="32"/>
      <c r="PXW48" s="12"/>
      <c r="PXY48" s="34"/>
      <c r="PXZ48" s="39"/>
      <c r="PYA48" s="41"/>
      <c r="PYD48" s="32"/>
      <c r="PYF48" s="12"/>
      <c r="PYH48" s="34"/>
      <c r="PYI48" s="39"/>
      <c r="PYJ48" s="41"/>
      <c r="PYM48" s="32"/>
      <c r="PYO48" s="12"/>
      <c r="PYQ48" s="34"/>
      <c r="PYR48" s="39"/>
      <c r="PYS48" s="41"/>
      <c r="PYV48" s="32"/>
      <c r="PYX48" s="12"/>
      <c r="PYZ48" s="34"/>
      <c r="PZA48" s="39"/>
      <c r="PZB48" s="41"/>
      <c r="PZE48" s="32"/>
      <c r="PZG48" s="12"/>
      <c r="PZI48" s="34"/>
      <c r="PZJ48" s="39"/>
      <c r="PZK48" s="41"/>
      <c r="PZN48" s="32"/>
      <c r="PZP48" s="12"/>
      <c r="PZR48" s="34"/>
      <c r="PZS48" s="39"/>
      <c r="PZT48" s="41"/>
      <c r="PZW48" s="32"/>
      <c r="PZY48" s="12"/>
      <c r="QAA48" s="34"/>
      <c r="QAB48" s="39"/>
      <c r="QAC48" s="41"/>
      <c r="QAF48" s="32"/>
      <c r="QAH48" s="12"/>
      <c r="QAJ48" s="34"/>
      <c r="QAK48" s="39"/>
      <c r="QAL48" s="41"/>
      <c r="QAO48" s="32"/>
      <c r="QAQ48" s="12"/>
      <c r="QAS48" s="34"/>
      <c r="QAT48" s="39"/>
      <c r="QAU48" s="41"/>
      <c r="QAX48" s="32"/>
      <c r="QAZ48" s="12"/>
      <c r="QBB48" s="34"/>
      <c r="QBC48" s="39"/>
      <c r="QBD48" s="41"/>
      <c r="QBG48" s="32"/>
      <c r="QBI48" s="12"/>
      <c r="QBK48" s="34"/>
      <c r="QBL48" s="39"/>
      <c r="QBM48" s="41"/>
      <c r="QBP48" s="32"/>
      <c r="QBR48" s="12"/>
      <c r="QBT48" s="34"/>
      <c r="QBU48" s="39"/>
      <c r="QBV48" s="41"/>
      <c r="QBY48" s="32"/>
      <c r="QCA48" s="12"/>
      <c r="QCC48" s="34"/>
      <c r="QCD48" s="39"/>
      <c r="QCE48" s="41"/>
      <c r="QCH48" s="32"/>
      <c r="QCJ48" s="12"/>
      <c r="QCL48" s="34"/>
      <c r="QCM48" s="39"/>
      <c r="QCN48" s="41"/>
      <c r="QCQ48" s="32"/>
      <c r="QCS48" s="12"/>
      <c r="QCU48" s="34"/>
      <c r="QCV48" s="39"/>
      <c r="QCW48" s="41"/>
      <c r="QCZ48" s="32"/>
      <c r="QDB48" s="12"/>
      <c r="QDD48" s="34"/>
      <c r="QDE48" s="39"/>
      <c r="QDF48" s="41"/>
      <c r="QDI48" s="32"/>
      <c r="QDK48" s="12"/>
      <c r="QDM48" s="34"/>
      <c r="QDN48" s="39"/>
      <c r="QDO48" s="41"/>
      <c r="QDR48" s="32"/>
      <c r="QDT48" s="12"/>
      <c r="QDV48" s="34"/>
      <c r="QDW48" s="39"/>
      <c r="QDX48" s="41"/>
      <c r="QEA48" s="32"/>
      <c r="QEC48" s="12"/>
      <c r="QEE48" s="34"/>
      <c r="QEF48" s="39"/>
      <c r="QEG48" s="41"/>
      <c r="QEJ48" s="32"/>
      <c r="QEL48" s="12"/>
      <c r="QEN48" s="34"/>
      <c r="QEO48" s="39"/>
      <c r="QEP48" s="41"/>
      <c r="QES48" s="32"/>
      <c r="QEU48" s="12"/>
      <c r="QEW48" s="34"/>
      <c r="QEX48" s="39"/>
      <c r="QEY48" s="41"/>
      <c r="QFB48" s="32"/>
      <c r="QFD48" s="12"/>
      <c r="QFF48" s="34"/>
      <c r="QFG48" s="39"/>
      <c r="QFH48" s="41"/>
      <c r="QFK48" s="32"/>
      <c r="QFM48" s="12"/>
      <c r="QFO48" s="34"/>
      <c r="QFP48" s="39"/>
      <c r="QFQ48" s="41"/>
      <c r="QFT48" s="32"/>
      <c r="QFV48" s="12"/>
      <c r="QFX48" s="34"/>
      <c r="QFY48" s="39"/>
      <c r="QFZ48" s="41"/>
      <c r="QGC48" s="32"/>
      <c r="QGE48" s="12"/>
      <c r="QGG48" s="34"/>
      <c r="QGH48" s="39"/>
      <c r="QGI48" s="41"/>
      <c r="QGL48" s="32"/>
      <c r="QGN48" s="12"/>
      <c r="QGP48" s="34"/>
      <c r="QGQ48" s="39"/>
      <c r="QGR48" s="41"/>
      <c r="QGU48" s="32"/>
      <c r="QGW48" s="12"/>
      <c r="QGY48" s="34"/>
      <c r="QGZ48" s="39"/>
      <c r="QHA48" s="41"/>
      <c r="QHD48" s="32"/>
      <c r="QHF48" s="12"/>
      <c r="QHH48" s="34"/>
      <c r="QHI48" s="39"/>
      <c r="QHJ48" s="41"/>
      <c r="QHM48" s="32"/>
      <c r="QHO48" s="12"/>
      <c r="QHQ48" s="34"/>
      <c r="QHR48" s="39"/>
      <c r="QHS48" s="41"/>
      <c r="QHV48" s="32"/>
      <c r="QHX48" s="12"/>
      <c r="QHZ48" s="34"/>
      <c r="QIA48" s="39"/>
      <c r="QIB48" s="41"/>
      <c r="QIE48" s="32"/>
      <c r="QIG48" s="12"/>
      <c r="QII48" s="34"/>
      <c r="QIJ48" s="39"/>
      <c r="QIK48" s="41"/>
      <c r="QIN48" s="32"/>
      <c r="QIP48" s="12"/>
      <c r="QIR48" s="34"/>
      <c r="QIS48" s="39"/>
      <c r="QIT48" s="41"/>
      <c r="QIW48" s="32"/>
      <c r="QIY48" s="12"/>
      <c r="QJA48" s="34"/>
      <c r="QJB48" s="39"/>
      <c r="QJC48" s="41"/>
      <c r="QJF48" s="32"/>
      <c r="QJH48" s="12"/>
      <c r="QJJ48" s="34"/>
      <c r="QJK48" s="39"/>
      <c r="QJL48" s="41"/>
      <c r="QJO48" s="32"/>
      <c r="QJQ48" s="12"/>
      <c r="QJS48" s="34"/>
      <c r="QJT48" s="39"/>
      <c r="QJU48" s="41"/>
      <c r="QJX48" s="32"/>
      <c r="QJZ48" s="12"/>
      <c r="QKB48" s="34"/>
      <c r="QKC48" s="39"/>
      <c r="QKD48" s="41"/>
      <c r="QKG48" s="32"/>
      <c r="QKI48" s="12"/>
      <c r="QKK48" s="34"/>
      <c r="QKL48" s="39"/>
      <c r="QKM48" s="41"/>
      <c r="QKP48" s="32"/>
      <c r="QKR48" s="12"/>
      <c r="QKT48" s="34"/>
      <c r="QKU48" s="39"/>
      <c r="QKV48" s="41"/>
      <c r="QKY48" s="32"/>
      <c r="QLA48" s="12"/>
      <c r="QLC48" s="34"/>
      <c r="QLD48" s="39"/>
      <c r="QLE48" s="41"/>
      <c r="QLH48" s="32"/>
      <c r="QLJ48" s="12"/>
      <c r="QLL48" s="34"/>
      <c r="QLM48" s="39"/>
      <c r="QLN48" s="41"/>
      <c r="QLQ48" s="32"/>
      <c r="QLS48" s="12"/>
      <c r="QLU48" s="34"/>
      <c r="QLV48" s="39"/>
      <c r="QLW48" s="41"/>
      <c r="QLZ48" s="32"/>
      <c r="QMB48" s="12"/>
      <c r="QMD48" s="34"/>
      <c r="QME48" s="39"/>
      <c r="QMF48" s="41"/>
      <c r="QMI48" s="32"/>
      <c r="QMK48" s="12"/>
      <c r="QMM48" s="34"/>
      <c r="QMN48" s="39"/>
      <c r="QMO48" s="41"/>
      <c r="QMR48" s="32"/>
      <c r="QMT48" s="12"/>
      <c r="QMV48" s="34"/>
      <c r="QMW48" s="39"/>
      <c r="QMX48" s="41"/>
      <c r="QNA48" s="32"/>
      <c r="QNC48" s="12"/>
      <c r="QNE48" s="34"/>
      <c r="QNF48" s="39"/>
      <c r="QNG48" s="41"/>
      <c r="QNJ48" s="32"/>
      <c r="QNL48" s="12"/>
      <c r="QNN48" s="34"/>
      <c r="QNO48" s="39"/>
      <c r="QNP48" s="41"/>
      <c r="QNS48" s="32"/>
      <c r="QNU48" s="12"/>
      <c r="QNW48" s="34"/>
      <c r="QNX48" s="39"/>
      <c r="QNY48" s="41"/>
      <c r="QOB48" s="32"/>
      <c r="QOD48" s="12"/>
      <c r="QOF48" s="34"/>
      <c r="QOG48" s="39"/>
      <c r="QOH48" s="41"/>
      <c r="QOK48" s="32"/>
      <c r="QOM48" s="12"/>
      <c r="QOO48" s="34"/>
      <c r="QOP48" s="39"/>
      <c r="QOQ48" s="41"/>
      <c r="QOT48" s="32"/>
      <c r="QOV48" s="12"/>
      <c r="QOX48" s="34"/>
      <c r="QOY48" s="39"/>
      <c r="QOZ48" s="41"/>
      <c r="QPC48" s="32"/>
      <c r="QPE48" s="12"/>
      <c r="QPG48" s="34"/>
      <c r="QPH48" s="39"/>
      <c r="QPI48" s="41"/>
      <c r="QPL48" s="32"/>
      <c r="QPN48" s="12"/>
      <c r="QPP48" s="34"/>
      <c r="QPQ48" s="39"/>
      <c r="QPR48" s="41"/>
      <c r="QPU48" s="32"/>
      <c r="QPW48" s="12"/>
      <c r="QPY48" s="34"/>
      <c r="QPZ48" s="39"/>
      <c r="QQA48" s="41"/>
      <c r="QQD48" s="32"/>
      <c r="QQF48" s="12"/>
      <c r="QQH48" s="34"/>
      <c r="QQI48" s="39"/>
      <c r="QQJ48" s="41"/>
      <c r="QQM48" s="32"/>
      <c r="QQO48" s="12"/>
      <c r="QQQ48" s="34"/>
      <c r="QQR48" s="39"/>
      <c r="QQS48" s="41"/>
      <c r="QQV48" s="32"/>
      <c r="QQX48" s="12"/>
      <c r="QQZ48" s="34"/>
      <c r="QRA48" s="39"/>
      <c r="QRB48" s="41"/>
      <c r="QRE48" s="32"/>
      <c r="QRG48" s="12"/>
      <c r="QRI48" s="34"/>
      <c r="QRJ48" s="39"/>
      <c r="QRK48" s="41"/>
      <c r="QRN48" s="32"/>
      <c r="QRP48" s="12"/>
      <c r="QRR48" s="34"/>
      <c r="QRS48" s="39"/>
      <c r="QRT48" s="41"/>
      <c r="QRW48" s="32"/>
      <c r="QRY48" s="12"/>
      <c r="QSA48" s="34"/>
      <c r="QSB48" s="39"/>
      <c r="QSC48" s="41"/>
      <c r="QSF48" s="32"/>
      <c r="QSH48" s="12"/>
      <c r="QSJ48" s="34"/>
      <c r="QSK48" s="39"/>
      <c r="QSL48" s="41"/>
      <c r="QSO48" s="32"/>
      <c r="QSQ48" s="12"/>
      <c r="QSS48" s="34"/>
      <c r="QST48" s="39"/>
      <c r="QSU48" s="41"/>
      <c r="QSX48" s="32"/>
      <c r="QSZ48" s="12"/>
      <c r="QTB48" s="34"/>
      <c r="QTC48" s="39"/>
      <c r="QTD48" s="41"/>
      <c r="QTG48" s="32"/>
      <c r="QTI48" s="12"/>
      <c r="QTK48" s="34"/>
      <c r="QTL48" s="39"/>
      <c r="QTM48" s="41"/>
      <c r="QTP48" s="32"/>
      <c r="QTR48" s="12"/>
      <c r="QTT48" s="34"/>
      <c r="QTU48" s="39"/>
      <c r="QTV48" s="41"/>
      <c r="QTY48" s="32"/>
      <c r="QUA48" s="12"/>
      <c r="QUC48" s="34"/>
      <c r="QUD48" s="39"/>
      <c r="QUE48" s="41"/>
      <c r="QUH48" s="32"/>
      <c r="QUJ48" s="12"/>
      <c r="QUL48" s="34"/>
      <c r="QUM48" s="39"/>
      <c r="QUN48" s="41"/>
      <c r="QUQ48" s="32"/>
      <c r="QUS48" s="12"/>
      <c r="QUU48" s="34"/>
      <c r="QUV48" s="39"/>
      <c r="QUW48" s="41"/>
      <c r="QUZ48" s="32"/>
      <c r="QVB48" s="12"/>
      <c r="QVD48" s="34"/>
      <c r="QVE48" s="39"/>
      <c r="QVF48" s="41"/>
      <c r="QVI48" s="32"/>
      <c r="QVK48" s="12"/>
      <c r="QVM48" s="34"/>
      <c r="QVN48" s="39"/>
      <c r="QVO48" s="41"/>
      <c r="QVR48" s="32"/>
      <c r="QVT48" s="12"/>
      <c r="QVV48" s="34"/>
      <c r="QVW48" s="39"/>
      <c r="QVX48" s="41"/>
      <c r="QWA48" s="32"/>
      <c r="QWC48" s="12"/>
      <c r="QWE48" s="34"/>
      <c r="QWF48" s="39"/>
      <c r="QWG48" s="41"/>
      <c r="QWJ48" s="32"/>
      <c r="QWL48" s="12"/>
      <c r="QWN48" s="34"/>
      <c r="QWO48" s="39"/>
      <c r="QWP48" s="41"/>
      <c r="QWS48" s="32"/>
      <c r="QWU48" s="12"/>
      <c r="QWW48" s="34"/>
      <c r="QWX48" s="39"/>
      <c r="QWY48" s="41"/>
      <c r="QXB48" s="32"/>
      <c r="QXD48" s="12"/>
      <c r="QXF48" s="34"/>
      <c r="QXG48" s="39"/>
      <c r="QXH48" s="41"/>
      <c r="QXK48" s="32"/>
      <c r="QXM48" s="12"/>
      <c r="QXO48" s="34"/>
      <c r="QXP48" s="39"/>
      <c r="QXQ48" s="41"/>
      <c r="QXT48" s="32"/>
      <c r="QXV48" s="12"/>
      <c r="QXX48" s="34"/>
      <c r="QXY48" s="39"/>
      <c r="QXZ48" s="41"/>
      <c r="QYC48" s="32"/>
      <c r="QYE48" s="12"/>
      <c r="QYG48" s="34"/>
      <c r="QYH48" s="39"/>
      <c r="QYI48" s="41"/>
      <c r="QYL48" s="32"/>
      <c r="QYN48" s="12"/>
      <c r="QYP48" s="34"/>
      <c r="QYQ48" s="39"/>
      <c r="QYR48" s="41"/>
      <c r="QYU48" s="32"/>
      <c r="QYW48" s="12"/>
      <c r="QYY48" s="34"/>
      <c r="QYZ48" s="39"/>
      <c r="QZA48" s="41"/>
      <c r="QZD48" s="32"/>
      <c r="QZF48" s="12"/>
      <c r="QZH48" s="34"/>
      <c r="QZI48" s="39"/>
      <c r="QZJ48" s="41"/>
      <c r="QZM48" s="32"/>
      <c r="QZO48" s="12"/>
      <c r="QZQ48" s="34"/>
      <c r="QZR48" s="39"/>
      <c r="QZS48" s="41"/>
      <c r="QZV48" s="32"/>
      <c r="QZX48" s="12"/>
      <c r="QZZ48" s="34"/>
      <c r="RAA48" s="39"/>
      <c r="RAB48" s="41"/>
      <c r="RAE48" s="32"/>
      <c r="RAG48" s="12"/>
      <c r="RAI48" s="34"/>
      <c r="RAJ48" s="39"/>
      <c r="RAK48" s="41"/>
      <c r="RAN48" s="32"/>
      <c r="RAP48" s="12"/>
      <c r="RAR48" s="34"/>
      <c r="RAS48" s="39"/>
      <c r="RAT48" s="41"/>
      <c r="RAW48" s="32"/>
      <c r="RAY48" s="12"/>
      <c r="RBA48" s="34"/>
      <c r="RBB48" s="39"/>
      <c r="RBC48" s="41"/>
      <c r="RBF48" s="32"/>
      <c r="RBH48" s="12"/>
      <c r="RBJ48" s="34"/>
      <c r="RBK48" s="39"/>
      <c r="RBL48" s="41"/>
      <c r="RBO48" s="32"/>
      <c r="RBQ48" s="12"/>
      <c r="RBS48" s="34"/>
      <c r="RBT48" s="39"/>
      <c r="RBU48" s="41"/>
      <c r="RBX48" s="32"/>
      <c r="RBZ48" s="12"/>
      <c r="RCB48" s="34"/>
      <c r="RCC48" s="39"/>
      <c r="RCD48" s="41"/>
      <c r="RCG48" s="32"/>
      <c r="RCI48" s="12"/>
      <c r="RCK48" s="34"/>
      <c r="RCL48" s="39"/>
      <c r="RCM48" s="41"/>
      <c r="RCP48" s="32"/>
      <c r="RCR48" s="12"/>
      <c r="RCT48" s="34"/>
      <c r="RCU48" s="39"/>
      <c r="RCV48" s="41"/>
      <c r="RCY48" s="32"/>
      <c r="RDA48" s="12"/>
      <c r="RDC48" s="34"/>
      <c r="RDD48" s="39"/>
      <c r="RDE48" s="41"/>
      <c r="RDH48" s="32"/>
      <c r="RDJ48" s="12"/>
      <c r="RDL48" s="34"/>
      <c r="RDM48" s="39"/>
      <c r="RDN48" s="41"/>
      <c r="RDQ48" s="32"/>
      <c r="RDS48" s="12"/>
      <c r="RDU48" s="34"/>
      <c r="RDV48" s="39"/>
      <c r="RDW48" s="41"/>
      <c r="RDZ48" s="32"/>
      <c r="REB48" s="12"/>
      <c r="RED48" s="34"/>
      <c r="REE48" s="39"/>
      <c r="REF48" s="41"/>
      <c r="REI48" s="32"/>
      <c r="REK48" s="12"/>
      <c r="REM48" s="34"/>
      <c r="REN48" s="39"/>
      <c r="REO48" s="41"/>
      <c r="RER48" s="32"/>
      <c r="RET48" s="12"/>
      <c r="REV48" s="34"/>
      <c r="REW48" s="39"/>
      <c r="REX48" s="41"/>
      <c r="RFA48" s="32"/>
      <c r="RFC48" s="12"/>
      <c r="RFE48" s="34"/>
      <c r="RFF48" s="39"/>
      <c r="RFG48" s="41"/>
      <c r="RFJ48" s="32"/>
      <c r="RFL48" s="12"/>
      <c r="RFN48" s="34"/>
      <c r="RFO48" s="39"/>
      <c r="RFP48" s="41"/>
      <c r="RFS48" s="32"/>
      <c r="RFU48" s="12"/>
      <c r="RFW48" s="34"/>
      <c r="RFX48" s="39"/>
      <c r="RFY48" s="41"/>
      <c r="RGB48" s="32"/>
      <c r="RGD48" s="12"/>
      <c r="RGF48" s="34"/>
      <c r="RGG48" s="39"/>
      <c r="RGH48" s="41"/>
      <c r="RGK48" s="32"/>
      <c r="RGM48" s="12"/>
      <c r="RGO48" s="34"/>
      <c r="RGP48" s="39"/>
      <c r="RGQ48" s="41"/>
      <c r="RGT48" s="32"/>
      <c r="RGV48" s="12"/>
      <c r="RGX48" s="34"/>
      <c r="RGY48" s="39"/>
      <c r="RGZ48" s="41"/>
      <c r="RHC48" s="32"/>
      <c r="RHE48" s="12"/>
      <c r="RHG48" s="34"/>
      <c r="RHH48" s="39"/>
      <c r="RHI48" s="41"/>
      <c r="RHL48" s="32"/>
      <c r="RHN48" s="12"/>
      <c r="RHP48" s="34"/>
      <c r="RHQ48" s="39"/>
      <c r="RHR48" s="41"/>
      <c r="RHU48" s="32"/>
      <c r="RHW48" s="12"/>
      <c r="RHY48" s="34"/>
      <c r="RHZ48" s="39"/>
      <c r="RIA48" s="41"/>
      <c r="RID48" s="32"/>
      <c r="RIF48" s="12"/>
      <c r="RIH48" s="34"/>
      <c r="RII48" s="39"/>
      <c r="RIJ48" s="41"/>
      <c r="RIM48" s="32"/>
      <c r="RIO48" s="12"/>
      <c r="RIQ48" s="34"/>
      <c r="RIR48" s="39"/>
      <c r="RIS48" s="41"/>
      <c r="RIV48" s="32"/>
      <c r="RIX48" s="12"/>
      <c r="RIZ48" s="34"/>
      <c r="RJA48" s="39"/>
      <c r="RJB48" s="41"/>
      <c r="RJE48" s="32"/>
      <c r="RJG48" s="12"/>
      <c r="RJI48" s="34"/>
      <c r="RJJ48" s="39"/>
      <c r="RJK48" s="41"/>
      <c r="RJN48" s="32"/>
      <c r="RJP48" s="12"/>
      <c r="RJR48" s="34"/>
      <c r="RJS48" s="39"/>
      <c r="RJT48" s="41"/>
      <c r="RJW48" s="32"/>
      <c r="RJY48" s="12"/>
      <c r="RKA48" s="34"/>
      <c r="RKB48" s="39"/>
      <c r="RKC48" s="41"/>
      <c r="RKF48" s="32"/>
      <c r="RKH48" s="12"/>
      <c r="RKJ48" s="34"/>
      <c r="RKK48" s="39"/>
      <c r="RKL48" s="41"/>
      <c r="RKO48" s="32"/>
      <c r="RKQ48" s="12"/>
      <c r="RKS48" s="34"/>
      <c r="RKT48" s="39"/>
      <c r="RKU48" s="41"/>
      <c r="RKX48" s="32"/>
      <c r="RKZ48" s="12"/>
      <c r="RLB48" s="34"/>
      <c r="RLC48" s="39"/>
      <c r="RLD48" s="41"/>
      <c r="RLG48" s="32"/>
      <c r="RLI48" s="12"/>
      <c r="RLK48" s="34"/>
      <c r="RLL48" s="39"/>
      <c r="RLM48" s="41"/>
      <c r="RLP48" s="32"/>
      <c r="RLR48" s="12"/>
      <c r="RLT48" s="34"/>
      <c r="RLU48" s="39"/>
      <c r="RLV48" s="41"/>
      <c r="RLY48" s="32"/>
      <c r="RMA48" s="12"/>
      <c r="RMC48" s="34"/>
      <c r="RMD48" s="39"/>
      <c r="RME48" s="41"/>
      <c r="RMH48" s="32"/>
      <c r="RMJ48" s="12"/>
      <c r="RML48" s="34"/>
      <c r="RMM48" s="39"/>
      <c r="RMN48" s="41"/>
      <c r="RMQ48" s="32"/>
      <c r="RMS48" s="12"/>
      <c r="RMU48" s="34"/>
      <c r="RMV48" s="39"/>
      <c r="RMW48" s="41"/>
      <c r="RMZ48" s="32"/>
      <c r="RNB48" s="12"/>
      <c r="RND48" s="34"/>
      <c r="RNE48" s="39"/>
      <c r="RNF48" s="41"/>
      <c r="RNI48" s="32"/>
      <c r="RNK48" s="12"/>
      <c r="RNM48" s="34"/>
      <c r="RNN48" s="39"/>
      <c r="RNO48" s="41"/>
      <c r="RNR48" s="32"/>
      <c r="RNT48" s="12"/>
      <c r="RNV48" s="34"/>
      <c r="RNW48" s="39"/>
      <c r="RNX48" s="41"/>
      <c r="ROA48" s="32"/>
      <c r="ROC48" s="12"/>
      <c r="ROE48" s="34"/>
      <c r="ROF48" s="39"/>
      <c r="ROG48" s="41"/>
      <c r="ROJ48" s="32"/>
      <c r="ROL48" s="12"/>
      <c r="RON48" s="34"/>
      <c r="ROO48" s="39"/>
      <c r="ROP48" s="41"/>
      <c r="ROS48" s="32"/>
      <c r="ROU48" s="12"/>
      <c r="ROW48" s="34"/>
      <c r="ROX48" s="39"/>
      <c r="ROY48" s="41"/>
      <c r="RPB48" s="32"/>
      <c r="RPD48" s="12"/>
      <c r="RPF48" s="34"/>
      <c r="RPG48" s="39"/>
      <c r="RPH48" s="41"/>
      <c r="RPK48" s="32"/>
      <c r="RPM48" s="12"/>
      <c r="RPO48" s="34"/>
      <c r="RPP48" s="39"/>
      <c r="RPQ48" s="41"/>
      <c r="RPT48" s="32"/>
      <c r="RPV48" s="12"/>
      <c r="RPX48" s="34"/>
      <c r="RPY48" s="39"/>
      <c r="RPZ48" s="41"/>
      <c r="RQC48" s="32"/>
      <c r="RQE48" s="12"/>
      <c r="RQG48" s="34"/>
      <c r="RQH48" s="39"/>
      <c r="RQI48" s="41"/>
      <c r="RQL48" s="32"/>
      <c r="RQN48" s="12"/>
      <c r="RQP48" s="34"/>
      <c r="RQQ48" s="39"/>
      <c r="RQR48" s="41"/>
      <c r="RQU48" s="32"/>
      <c r="RQW48" s="12"/>
      <c r="RQY48" s="34"/>
      <c r="RQZ48" s="39"/>
      <c r="RRA48" s="41"/>
      <c r="RRD48" s="32"/>
      <c r="RRF48" s="12"/>
      <c r="RRH48" s="34"/>
      <c r="RRI48" s="39"/>
      <c r="RRJ48" s="41"/>
      <c r="RRM48" s="32"/>
      <c r="RRO48" s="12"/>
      <c r="RRQ48" s="34"/>
      <c r="RRR48" s="39"/>
      <c r="RRS48" s="41"/>
      <c r="RRV48" s="32"/>
      <c r="RRX48" s="12"/>
      <c r="RRZ48" s="34"/>
      <c r="RSA48" s="39"/>
      <c r="RSB48" s="41"/>
      <c r="RSE48" s="32"/>
      <c r="RSG48" s="12"/>
      <c r="RSI48" s="34"/>
      <c r="RSJ48" s="39"/>
      <c r="RSK48" s="41"/>
      <c r="RSN48" s="32"/>
      <c r="RSP48" s="12"/>
      <c r="RSR48" s="34"/>
      <c r="RSS48" s="39"/>
      <c r="RST48" s="41"/>
      <c r="RSW48" s="32"/>
      <c r="RSY48" s="12"/>
      <c r="RTA48" s="34"/>
      <c r="RTB48" s="39"/>
      <c r="RTC48" s="41"/>
      <c r="RTF48" s="32"/>
      <c r="RTH48" s="12"/>
      <c r="RTJ48" s="34"/>
      <c r="RTK48" s="39"/>
      <c r="RTL48" s="41"/>
      <c r="RTO48" s="32"/>
      <c r="RTQ48" s="12"/>
      <c r="RTS48" s="34"/>
      <c r="RTT48" s="39"/>
      <c r="RTU48" s="41"/>
      <c r="RTX48" s="32"/>
      <c r="RTZ48" s="12"/>
      <c r="RUB48" s="34"/>
      <c r="RUC48" s="39"/>
      <c r="RUD48" s="41"/>
      <c r="RUG48" s="32"/>
      <c r="RUI48" s="12"/>
      <c r="RUK48" s="34"/>
      <c r="RUL48" s="39"/>
      <c r="RUM48" s="41"/>
      <c r="RUP48" s="32"/>
      <c r="RUR48" s="12"/>
      <c r="RUT48" s="34"/>
      <c r="RUU48" s="39"/>
      <c r="RUV48" s="41"/>
      <c r="RUY48" s="32"/>
      <c r="RVA48" s="12"/>
      <c r="RVC48" s="34"/>
      <c r="RVD48" s="39"/>
      <c r="RVE48" s="41"/>
      <c r="RVH48" s="32"/>
      <c r="RVJ48" s="12"/>
      <c r="RVL48" s="34"/>
      <c r="RVM48" s="39"/>
      <c r="RVN48" s="41"/>
      <c r="RVQ48" s="32"/>
      <c r="RVS48" s="12"/>
      <c r="RVU48" s="34"/>
      <c r="RVV48" s="39"/>
      <c r="RVW48" s="41"/>
      <c r="RVZ48" s="32"/>
      <c r="RWB48" s="12"/>
      <c r="RWD48" s="34"/>
      <c r="RWE48" s="39"/>
      <c r="RWF48" s="41"/>
      <c r="RWI48" s="32"/>
      <c r="RWK48" s="12"/>
      <c r="RWM48" s="34"/>
      <c r="RWN48" s="39"/>
      <c r="RWO48" s="41"/>
      <c r="RWR48" s="32"/>
      <c r="RWT48" s="12"/>
      <c r="RWV48" s="34"/>
      <c r="RWW48" s="39"/>
      <c r="RWX48" s="41"/>
      <c r="RXA48" s="32"/>
      <c r="RXC48" s="12"/>
      <c r="RXE48" s="34"/>
      <c r="RXF48" s="39"/>
      <c r="RXG48" s="41"/>
      <c r="RXJ48" s="32"/>
      <c r="RXL48" s="12"/>
      <c r="RXN48" s="34"/>
      <c r="RXO48" s="39"/>
      <c r="RXP48" s="41"/>
      <c r="RXS48" s="32"/>
      <c r="RXU48" s="12"/>
      <c r="RXW48" s="34"/>
      <c r="RXX48" s="39"/>
      <c r="RXY48" s="41"/>
      <c r="RYB48" s="32"/>
      <c r="RYD48" s="12"/>
      <c r="RYF48" s="34"/>
      <c r="RYG48" s="39"/>
      <c r="RYH48" s="41"/>
      <c r="RYK48" s="32"/>
      <c r="RYM48" s="12"/>
      <c r="RYO48" s="34"/>
      <c r="RYP48" s="39"/>
      <c r="RYQ48" s="41"/>
      <c r="RYT48" s="32"/>
      <c r="RYV48" s="12"/>
      <c r="RYX48" s="34"/>
      <c r="RYY48" s="39"/>
      <c r="RYZ48" s="41"/>
      <c r="RZC48" s="32"/>
      <c r="RZE48" s="12"/>
      <c r="RZG48" s="34"/>
      <c r="RZH48" s="39"/>
      <c r="RZI48" s="41"/>
      <c r="RZL48" s="32"/>
      <c r="RZN48" s="12"/>
      <c r="RZP48" s="34"/>
      <c r="RZQ48" s="39"/>
      <c r="RZR48" s="41"/>
      <c r="RZU48" s="32"/>
      <c r="RZW48" s="12"/>
      <c r="RZY48" s="34"/>
      <c r="RZZ48" s="39"/>
      <c r="SAA48" s="41"/>
      <c r="SAD48" s="32"/>
      <c r="SAF48" s="12"/>
      <c r="SAH48" s="34"/>
      <c r="SAI48" s="39"/>
      <c r="SAJ48" s="41"/>
      <c r="SAM48" s="32"/>
      <c r="SAO48" s="12"/>
      <c r="SAQ48" s="34"/>
      <c r="SAR48" s="39"/>
      <c r="SAS48" s="41"/>
      <c r="SAV48" s="32"/>
      <c r="SAX48" s="12"/>
      <c r="SAZ48" s="34"/>
      <c r="SBA48" s="39"/>
      <c r="SBB48" s="41"/>
      <c r="SBE48" s="32"/>
      <c r="SBG48" s="12"/>
      <c r="SBI48" s="34"/>
      <c r="SBJ48" s="39"/>
      <c r="SBK48" s="41"/>
      <c r="SBN48" s="32"/>
      <c r="SBP48" s="12"/>
      <c r="SBR48" s="34"/>
      <c r="SBS48" s="39"/>
      <c r="SBT48" s="41"/>
      <c r="SBW48" s="32"/>
      <c r="SBY48" s="12"/>
      <c r="SCA48" s="34"/>
      <c r="SCB48" s="39"/>
      <c r="SCC48" s="41"/>
      <c r="SCF48" s="32"/>
      <c r="SCH48" s="12"/>
      <c r="SCJ48" s="34"/>
      <c r="SCK48" s="39"/>
      <c r="SCL48" s="41"/>
      <c r="SCO48" s="32"/>
      <c r="SCQ48" s="12"/>
      <c r="SCS48" s="34"/>
      <c r="SCT48" s="39"/>
      <c r="SCU48" s="41"/>
      <c r="SCX48" s="32"/>
      <c r="SCZ48" s="12"/>
      <c r="SDB48" s="34"/>
      <c r="SDC48" s="39"/>
      <c r="SDD48" s="41"/>
      <c r="SDG48" s="32"/>
      <c r="SDI48" s="12"/>
      <c r="SDK48" s="34"/>
      <c r="SDL48" s="39"/>
      <c r="SDM48" s="41"/>
      <c r="SDP48" s="32"/>
      <c r="SDR48" s="12"/>
      <c r="SDT48" s="34"/>
      <c r="SDU48" s="39"/>
      <c r="SDV48" s="41"/>
      <c r="SDY48" s="32"/>
      <c r="SEA48" s="12"/>
      <c r="SEC48" s="34"/>
      <c r="SED48" s="39"/>
      <c r="SEE48" s="41"/>
      <c r="SEH48" s="32"/>
      <c r="SEJ48" s="12"/>
      <c r="SEL48" s="34"/>
      <c r="SEM48" s="39"/>
      <c r="SEN48" s="41"/>
      <c r="SEQ48" s="32"/>
      <c r="SES48" s="12"/>
      <c r="SEU48" s="34"/>
      <c r="SEV48" s="39"/>
      <c r="SEW48" s="41"/>
      <c r="SEZ48" s="32"/>
      <c r="SFB48" s="12"/>
      <c r="SFD48" s="34"/>
      <c r="SFE48" s="39"/>
      <c r="SFF48" s="41"/>
      <c r="SFI48" s="32"/>
      <c r="SFK48" s="12"/>
      <c r="SFM48" s="34"/>
      <c r="SFN48" s="39"/>
      <c r="SFO48" s="41"/>
      <c r="SFR48" s="32"/>
      <c r="SFT48" s="12"/>
      <c r="SFV48" s="34"/>
      <c r="SFW48" s="39"/>
      <c r="SFX48" s="41"/>
      <c r="SGA48" s="32"/>
      <c r="SGC48" s="12"/>
      <c r="SGE48" s="34"/>
      <c r="SGF48" s="39"/>
      <c r="SGG48" s="41"/>
      <c r="SGJ48" s="32"/>
      <c r="SGL48" s="12"/>
      <c r="SGN48" s="34"/>
      <c r="SGO48" s="39"/>
      <c r="SGP48" s="41"/>
      <c r="SGS48" s="32"/>
      <c r="SGU48" s="12"/>
      <c r="SGW48" s="34"/>
      <c r="SGX48" s="39"/>
      <c r="SGY48" s="41"/>
      <c r="SHB48" s="32"/>
      <c r="SHD48" s="12"/>
      <c r="SHF48" s="34"/>
      <c r="SHG48" s="39"/>
      <c r="SHH48" s="41"/>
      <c r="SHK48" s="32"/>
      <c r="SHM48" s="12"/>
      <c r="SHO48" s="34"/>
      <c r="SHP48" s="39"/>
      <c r="SHQ48" s="41"/>
      <c r="SHT48" s="32"/>
      <c r="SHV48" s="12"/>
      <c r="SHX48" s="34"/>
      <c r="SHY48" s="39"/>
      <c r="SHZ48" s="41"/>
      <c r="SIC48" s="32"/>
      <c r="SIE48" s="12"/>
      <c r="SIG48" s="34"/>
      <c r="SIH48" s="39"/>
      <c r="SII48" s="41"/>
      <c r="SIL48" s="32"/>
      <c r="SIN48" s="12"/>
      <c r="SIP48" s="34"/>
      <c r="SIQ48" s="39"/>
      <c r="SIR48" s="41"/>
      <c r="SIU48" s="32"/>
      <c r="SIW48" s="12"/>
      <c r="SIY48" s="34"/>
      <c r="SIZ48" s="39"/>
      <c r="SJA48" s="41"/>
      <c r="SJD48" s="32"/>
      <c r="SJF48" s="12"/>
      <c r="SJH48" s="34"/>
      <c r="SJI48" s="39"/>
      <c r="SJJ48" s="41"/>
      <c r="SJM48" s="32"/>
      <c r="SJO48" s="12"/>
      <c r="SJQ48" s="34"/>
      <c r="SJR48" s="39"/>
      <c r="SJS48" s="41"/>
      <c r="SJV48" s="32"/>
      <c r="SJX48" s="12"/>
      <c r="SJZ48" s="34"/>
      <c r="SKA48" s="39"/>
      <c r="SKB48" s="41"/>
      <c r="SKE48" s="32"/>
      <c r="SKG48" s="12"/>
      <c r="SKI48" s="34"/>
      <c r="SKJ48" s="39"/>
      <c r="SKK48" s="41"/>
      <c r="SKN48" s="32"/>
      <c r="SKP48" s="12"/>
      <c r="SKR48" s="34"/>
      <c r="SKS48" s="39"/>
      <c r="SKT48" s="41"/>
      <c r="SKW48" s="32"/>
      <c r="SKY48" s="12"/>
      <c r="SLA48" s="34"/>
      <c r="SLB48" s="39"/>
      <c r="SLC48" s="41"/>
      <c r="SLF48" s="32"/>
      <c r="SLH48" s="12"/>
      <c r="SLJ48" s="34"/>
      <c r="SLK48" s="39"/>
      <c r="SLL48" s="41"/>
      <c r="SLO48" s="32"/>
      <c r="SLQ48" s="12"/>
      <c r="SLS48" s="34"/>
      <c r="SLT48" s="39"/>
      <c r="SLU48" s="41"/>
      <c r="SLX48" s="32"/>
      <c r="SLZ48" s="12"/>
      <c r="SMB48" s="34"/>
      <c r="SMC48" s="39"/>
      <c r="SMD48" s="41"/>
      <c r="SMG48" s="32"/>
      <c r="SMI48" s="12"/>
      <c r="SMK48" s="34"/>
      <c r="SML48" s="39"/>
      <c r="SMM48" s="41"/>
      <c r="SMP48" s="32"/>
      <c r="SMR48" s="12"/>
      <c r="SMT48" s="34"/>
      <c r="SMU48" s="39"/>
      <c r="SMV48" s="41"/>
      <c r="SMY48" s="32"/>
      <c r="SNA48" s="12"/>
      <c r="SNC48" s="34"/>
      <c r="SND48" s="39"/>
      <c r="SNE48" s="41"/>
      <c r="SNH48" s="32"/>
      <c r="SNJ48" s="12"/>
      <c r="SNL48" s="34"/>
      <c r="SNM48" s="39"/>
      <c r="SNN48" s="41"/>
      <c r="SNQ48" s="32"/>
      <c r="SNS48" s="12"/>
      <c r="SNU48" s="34"/>
      <c r="SNV48" s="39"/>
      <c r="SNW48" s="41"/>
      <c r="SNZ48" s="32"/>
      <c r="SOB48" s="12"/>
      <c r="SOD48" s="34"/>
      <c r="SOE48" s="39"/>
      <c r="SOF48" s="41"/>
      <c r="SOI48" s="32"/>
      <c r="SOK48" s="12"/>
      <c r="SOM48" s="34"/>
      <c r="SON48" s="39"/>
      <c r="SOO48" s="41"/>
      <c r="SOR48" s="32"/>
      <c r="SOT48" s="12"/>
      <c r="SOV48" s="34"/>
      <c r="SOW48" s="39"/>
      <c r="SOX48" s="41"/>
      <c r="SPA48" s="32"/>
      <c r="SPC48" s="12"/>
      <c r="SPE48" s="34"/>
      <c r="SPF48" s="39"/>
      <c r="SPG48" s="41"/>
      <c r="SPJ48" s="32"/>
      <c r="SPL48" s="12"/>
      <c r="SPN48" s="34"/>
      <c r="SPO48" s="39"/>
      <c r="SPP48" s="41"/>
      <c r="SPS48" s="32"/>
      <c r="SPU48" s="12"/>
      <c r="SPW48" s="34"/>
      <c r="SPX48" s="39"/>
      <c r="SPY48" s="41"/>
      <c r="SQB48" s="32"/>
      <c r="SQD48" s="12"/>
      <c r="SQF48" s="34"/>
      <c r="SQG48" s="39"/>
      <c r="SQH48" s="41"/>
      <c r="SQK48" s="32"/>
      <c r="SQM48" s="12"/>
      <c r="SQO48" s="34"/>
      <c r="SQP48" s="39"/>
      <c r="SQQ48" s="41"/>
      <c r="SQT48" s="32"/>
      <c r="SQV48" s="12"/>
      <c r="SQX48" s="34"/>
      <c r="SQY48" s="39"/>
      <c r="SQZ48" s="41"/>
      <c r="SRC48" s="32"/>
      <c r="SRE48" s="12"/>
      <c r="SRG48" s="34"/>
      <c r="SRH48" s="39"/>
      <c r="SRI48" s="41"/>
      <c r="SRL48" s="32"/>
      <c r="SRN48" s="12"/>
      <c r="SRP48" s="34"/>
      <c r="SRQ48" s="39"/>
      <c r="SRR48" s="41"/>
      <c r="SRU48" s="32"/>
      <c r="SRW48" s="12"/>
      <c r="SRY48" s="34"/>
      <c r="SRZ48" s="39"/>
      <c r="SSA48" s="41"/>
      <c r="SSD48" s="32"/>
      <c r="SSF48" s="12"/>
      <c r="SSH48" s="34"/>
      <c r="SSI48" s="39"/>
      <c r="SSJ48" s="41"/>
      <c r="SSM48" s="32"/>
      <c r="SSO48" s="12"/>
      <c r="SSQ48" s="34"/>
      <c r="SSR48" s="39"/>
      <c r="SSS48" s="41"/>
      <c r="SSV48" s="32"/>
      <c r="SSX48" s="12"/>
      <c r="SSZ48" s="34"/>
      <c r="STA48" s="39"/>
      <c r="STB48" s="41"/>
      <c r="STE48" s="32"/>
      <c r="STG48" s="12"/>
      <c r="STI48" s="34"/>
      <c r="STJ48" s="39"/>
      <c r="STK48" s="41"/>
      <c r="STN48" s="32"/>
      <c r="STP48" s="12"/>
      <c r="STR48" s="34"/>
      <c r="STS48" s="39"/>
      <c r="STT48" s="41"/>
      <c r="STW48" s="32"/>
      <c r="STY48" s="12"/>
      <c r="SUA48" s="34"/>
      <c r="SUB48" s="39"/>
      <c r="SUC48" s="41"/>
      <c r="SUF48" s="32"/>
      <c r="SUH48" s="12"/>
      <c r="SUJ48" s="34"/>
      <c r="SUK48" s="39"/>
      <c r="SUL48" s="41"/>
      <c r="SUO48" s="32"/>
      <c r="SUQ48" s="12"/>
      <c r="SUS48" s="34"/>
      <c r="SUT48" s="39"/>
      <c r="SUU48" s="41"/>
      <c r="SUX48" s="32"/>
      <c r="SUZ48" s="12"/>
      <c r="SVB48" s="34"/>
      <c r="SVC48" s="39"/>
      <c r="SVD48" s="41"/>
      <c r="SVG48" s="32"/>
      <c r="SVI48" s="12"/>
      <c r="SVK48" s="34"/>
      <c r="SVL48" s="39"/>
      <c r="SVM48" s="41"/>
      <c r="SVP48" s="32"/>
      <c r="SVR48" s="12"/>
      <c r="SVT48" s="34"/>
      <c r="SVU48" s="39"/>
      <c r="SVV48" s="41"/>
      <c r="SVY48" s="32"/>
      <c r="SWA48" s="12"/>
      <c r="SWC48" s="34"/>
      <c r="SWD48" s="39"/>
      <c r="SWE48" s="41"/>
      <c r="SWH48" s="32"/>
      <c r="SWJ48" s="12"/>
      <c r="SWL48" s="34"/>
      <c r="SWM48" s="39"/>
      <c r="SWN48" s="41"/>
      <c r="SWQ48" s="32"/>
      <c r="SWS48" s="12"/>
      <c r="SWU48" s="34"/>
      <c r="SWV48" s="39"/>
      <c r="SWW48" s="41"/>
      <c r="SWZ48" s="32"/>
      <c r="SXB48" s="12"/>
      <c r="SXD48" s="34"/>
      <c r="SXE48" s="39"/>
      <c r="SXF48" s="41"/>
      <c r="SXI48" s="32"/>
      <c r="SXK48" s="12"/>
      <c r="SXM48" s="34"/>
      <c r="SXN48" s="39"/>
      <c r="SXO48" s="41"/>
      <c r="SXR48" s="32"/>
      <c r="SXT48" s="12"/>
      <c r="SXV48" s="34"/>
      <c r="SXW48" s="39"/>
      <c r="SXX48" s="41"/>
      <c r="SYA48" s="32"/>
      <c r="SYC48" s="12"/>
      <c r="SYE48" s="34"/>
      <c r="SYF48" s="39"/>
      <c r="SYG48" s="41"/>
      <c r="SYJ48" s="32"/>
      <c r="SYL48" s="12"/>
      <c r="SYN48" s="34"/>
      <c r="SYO48" s="39"/>
      <c r="SYP48" s="41"/>
      <c r="SYS48" s="32"/>
      <c r="SYU48" s="12"/>
      <c r="SYW48" s="34"/>
      <c r="SYX48" s="39"/>
      <c r="SYY48" s="41"/>
      <c r="SZB48" s="32"/>
      <c r="SZD48" s="12"/>
      <c r="SZF48" s="34"/>
      <c r="SZG48" s="39"/>
      <c r="SZH48" s="41"/>
      <c r="SZK48" s="32"/>
      <c r="SZM48" s="12"/>
      <c r="SZO48" s="34"/>
      <c r="SZP48" s="39"/>
      <c r="SZQ48" s="41"/>
      <c r="SZT48" s="32"/>
      <c r="SZV48" s="12"/>
      <c r="SZX48" s="34"/>
      <c r="SZY48" s="39"/>
      <c r="SZZ48" s="41"/>
      <c r="TAC48" s="32"/>
      <c r="TAE48" s="12"/>
      <c r="TAG48" s="34"/>
      <c r="TAH48" s="39"/>
      <c r="TAI48" s="41"/>
      <c r="TAL48" s="32"/>
      <c r="TAN48" s="12"/>
      <c r="TAP48" s="34"/>
      <c r="TAQ48" s="39"/>
      <c r="TAR48" s="41"/>
      <c r="TAU48" s="32"/>
      <c r="TAW48" s="12"/>
      <c r="TAY48" s="34"/>
      <c r="TAZ48" s="39"/>
      <c r="TBA48" s="41"/>
      <c r="TBD48" s="32"/>
      <c r="TBF48" s="12"/>
      <c r="TBH48" s="34"/>
      <c r="TBI48" s="39"/>
      <c r="TBJ48" s="41"/>
      <c r="TBM48" s="32"/>
      <c r="TBO48" s="12"/>
      <c r="TBQ48" s="34"/>
      <c r="TBR48" s="39"/>
      <c r="TBS48" s="41"/>
      <c r="TBV48" s="32"/>
      <c r="TBX48" s="12"/>
      <c r="TBZ48" s="34"/>
      <c r="TCA48" s="39"/>
      <c r="TCB48" s="41"/>
      <c r="TCE48" s="32"/>
      <c r="TCG48" s="12"/>
      <c r="TCI48" s="34"/>
      <c r="TCJ48" s="39"/>
      <c r="TCK48" s="41"/>
      <c r="TCN48" s="32"/>
      <c r="TCP48" s="12"/>
      <c r="TCR48" s="34"/>
      <c r="TCS48" s="39"/>
      <c r="TCT48" s="41"/>
      <c r="TCW48" s="32"/>
      <c r="TCY48" s="12"/>
      <c r="TDA48" s="34"/>
      <c r="TDB48" s="39"/>
      <c r="TDC48" s="41"/>
      <c r="TDF48" s="32"/>
      <c r="TDH48" s="12"/>
      <c r="TDJ48" s="34"/>
      <c r="TDK48" s="39"/>
      <c r="TDL48" s="41"/>
      <c r="TDO48" s="32"/>
      <c r="TDQ48" s="12"/>
      <c r="TDS48" s="34"/>
      <c r="TDT48" s="39"/>
      <c r="TDU48" s="41"/>
      <c r="TDX48" s="32"/>
      <c r="TDZ48" s="12"/>
      <c r="TEB48" s="34"/>
      <c r="TEC48" s="39"/>
      <c r="TED48" s="41"/>
      <c r="TEG48" s="32"/>
      <c r="TEI48" s="12"/>
      <c r="TEK48" s="34"/>
      <c r="TEL48" s="39"/>
      <c r="TEM48" s="41"/>
      <c r="TEP48" s="32"/>
      <c r="TER48" s="12"/>
      <c r="TET48" s="34"/>
      <c r="TEU48" s="39"/>
      <c r="TEV48" s="41"/>
      <c r="TEY48" s="32"/>
      <c r="TFA48" s="12"/>
      <c r="TFC48" s="34"/>
      <c r="TFD48" s="39"/>
      <c r="TFE48" s="41"/>
      <c r="TFH48" s="32"/>
      <c r="TFJ48" s="12"/>
      <c r="TFL48" s="34"/>
      <c r="TFM48" s="39"/>
      <c r="TFN48" s="41"/>
      <c r="TFQ48" s="32"/>
      <c r="TFS48" s="12"/>
      <c r="TFU48" s="34"/>
      <c r="TFV48" s="39"/>
      <c r="TFW48" s="41"/>
      <c r="TFZ48" s="32"/>
      <c r="TGB48" s="12"/>
      <c r="TGD48" s="34"/>
      <c r="TGE48" s="39"/>
      <c r="TGF48" s="41"/>
      <c r="TGI48" s="32"/>
      <c r="TGK48" s="12"/>
      <c r="TGM48" s="34"/>
      <c r="TGN48" s="39"/>
      <c r="TGO48" s="41"/>
      <c r="TGR48" s="32"/>
      <c r="TGT48" s="12"/>
      <c r="TGV48" s="34"/>
      <c r="TGW48" s="39"/>
      <c r="TGX48" s="41"/>
      <c r="THA48" s="32"/>
      <c r="THC48" s="12"/>
      <c r="THE48" s="34"/>
      <c r="THF48" s="39"/>
      <c r="THG48" s="41"/>
      <c r="THJ48" s="32"/>
      <c r="THL48" s="12"/>
      <c r="THN48" s="34"/>
      <c r="THO48" s="39"/>
      <c r="THP48" s="41"/>
      <c r="THS48" s="32"/>
      <c r="THU48" s="12"/>
      <c r="THW48" s="34"/>
      <c r="THX48" s="39"/>
      <c r="THY48" s="41"/>
      <c r="TIB48" s="32"/>
      <c r="TID48" s="12"/>
      <c r="TIF48" s="34"/>
      <c r="TIG48" s="39"/>
      <c r="TIH48" s="41"/>
      <c r="TIK48" s="32"/>
      <c r="TIM48" s="12"/>
      <c r="TIO48" s="34"/>
      <c r="TIP48" s="39"/>
      <c r="TIQ48" s="41"/>
      <c r="TIT48" s="32"/>
      <c r="TIV48" s="12"/>
      <c r="TIX48" s="34"/>
      <c r="TIY48" s="39"/>
      <c r="TIZ48" s="41"/>
      <c r="TJC48" s="32"/>
      <c r="TJE48" s="12"/>
      <c r="TJG48" s="34"/>
      <c r="TJH48" s="39"/>
      <c r="TJI48" s="41"/>
      <c r="TJL48" s="32"/>
      <c r="TJN48" s="12"/>
      <c r="TJP48" s="34"/>
      <c r="TJQ48" s="39"/>
      <c r="TJR48" s="41"/>
      <c r="TJU48" s="32"/>
      <c r="TJW48" s="12"/>
      <c r="TJY48" s="34"/>
      <c r="TJZ48" s="39"/>
      <c r="TKA48" s="41"/>
      <c r="TKD48" s="32"/>
      <c r="TKF48" s="12"/>
      <c r="TKH48" s="34"/>
      <c r="TKI48" s="39"/>
      <c r="TKJ48" s="41"/>
      <c r="TKM48" s="32"/>
      <c r="TKO48" s="12"/>
      <c r="TKQ48" s="34"/>
      <c r="TKR48" s="39"/>
      <c r="TKS48" s="41"/>
      <c r="TKV48" s="32"/>
      <c r="TKX48" s="12"/>
      <c r="TKZ48" s="34"/>
      <c r="TLA48" s="39"/>
      <c r="TLB48" s="41"/>
      <c r="TLE48" s="32"/>
      <c r="TLG48" s="12"/>
      <c r="TLI48" s="34"/>
      <c r="TLJ48" s="39"/>
      <c r="TLK48" s="41"/>
      <c r="TLN48" s="32"/>
      <c r="TLP48" s="12"/>
      <c r="TLR48" s="34"/>
      <c r="TLS48" s="39"/>
      <c r="TLT48" s="41"/>
      <c r="TLW48" s="32"/>
      <c r="TLY48" s="12"/>
      <c r="TMA48" s="34"/>
      <c r="TMB48" s="39"/>
      <c r="TMC48" s="41"/>
      <c r="TMF48" s="32"/>
      <c r="TMH48" s="12"/>
      <c r="TMJ48" s="34"/>
      <c r="TMK48" s="39"/>
      <c r="TML48" s="41"/>
      <c r="TMO48" s="32"/>
      <c r="TMQ48" s="12"/>
      <c r="TMS48" s="34"/>
      <c r="TMT48" s="39"/>
      <c r="TMU48" s="41"/>
      <c r="TMX48" s="32"/>
      <c r="TMZ48" s="12"/>
      <c r="TNB48" s="34"/>
      <c r="TNC48" s="39"/>
      <c r="TND48" s="41"/>
      <c r="TNG48" s="32"/>
      <c r="TNI48" s="12"/>
      <c r="TNK48" s="34"/>
      <c r="TNL48" s="39"/>
      <c r="TNM48" s="41"/>
      <c r="TNP48" s="32"/>
      <c r="TNR48" s="12"/>
      <c r="TNT48" s="34"/>
      <c r="TNU48" s="39"/>
      <c r="TNV48" s="41"/>
      <c r="TNY48" s="32"/>
      <c r="TOA48" s="12"/>
      <c r="TOC48" s="34"/>
      <c r="TOD48" s="39"/>
      <c r="TOE48" s="41"/>
      <c r="TOH48" s="32"/>
      <c r="TOJ48" s="12"/>
      <c r="TOL48" s="34"/>
      <c r="TOM48" s="39"/>
      <c r="TON48" s="41"/>
      <c r="TOQ48" s="32"/>
      <c r="TOS48" s="12"/>
      <c r="TOU48" s="34"/>
      <c r="TOV48" s="39"/>
      <c r="TOW48" s="41"/>
      <c r="TOZ48" s="32"/>
      <c r="TPB48" s="12"/>
      <c r="TPD48" s="34"/>
      <c r="TPE48" s="39"/>
      <c r="TPF48" s="41"/>
      <c r="TPI48" s="32"/>
      <c r="TPK48" s="12"/>
      <c r="TPM48" s="34"/>
      <c r="TPN48" s="39"/>
      <c r="TPO48" s="41"/>
      <c r="TPR48" s="32"/>
      <c r="TPT48" s="12"/>
      <c r="TPV48" s="34"/>
      <c r="TPW48" s="39"/>
      <c r="TPX48" s="41"/>
      <c r="TQA48" s="32"/>
      <c r="TQC48" s="12"/>
      <c r="TQE48" s="34"/>
      <c r="TQF48" s="39"/>
      <c r="TQG48" s="41"/>
      <c r="TQJ48" s="32"/>
      <c r="TQL48" s="12"/>
      <c r="TQN48" s="34"/>
      <c r="TQO48" s="39"/>
      <c r="TQP48" s="41"/>
      <c r="TQS48" s="32"/>
      <c r="TQU48" s="12"/>
      <c r="TQW48" s="34"/>
      <c r="TQX48" s="39"/>
      <c r="TQY48" s="41"/>
      <c r="TRB48" s="32"/>
      <c r="TRD48" s="12"/>
      <c r="TRF48" s="34"/>
      <c r="TRG48" s="39"/>
      <c r="TRH48" s="41"/>
      <c r="TRK48" s="32"/>
      <c r="TRM48" s="12"/>
      <c r="TRO48" s="34"/>
      <c r="TRP48" s="39"/>
      <c r="TRQ48" s="41"/>
      <c r="TRT48" s="32"/>
      <c r="TRV48" s="12"/>
      <c r="TRX48" s="34"/>
      <c r="TRY48" s="39"/>
      <c r="TRZ48" s="41"/>
      <c r="TSC48" s="32"/>
      <c r="TSE48" s="12"/>
      <c r="TSG48" s="34"/>
      <c r="TSH48" s="39"/>
      <c r="TSI48" s="41"/>
      <c r="TSL48" s="32"/>
      <c r="TSN48" s="12"/>
      <c r="TSP48" s="34"/>
      <c r="TSQ48" s="39"/>
      <c r="TSR48" s="41"/>
      <c r="TSU48" s="32"/>
      <c r="TSW48" s="12"/>
      <c r="TSY48" s="34"/>
      <c r="TSZ48" s="39"/>
      <c r="TTA48" s="41"/>
      <c r="TTD48" s="32"/>
      <c r="TTF48" s="12"/>
      <c r="TTH48" s="34"/>
      <c r="TTI48" s="39"/>
      <c r="TTJ48" s="41"/>
      <c r="TTM48" s="32"/>
      <c r="TTO48" s="12"/>
      <c r="TTQ48" s="34"/>
      <c r="TTR48" s="39"/>
      <c r="TTS48" s="41"/>
      <c r="TTV48" s="32"/>
      <c r="TTX48" s="12"/>
      <c r="TTZ48" s="34"/>
      <c r="TUA48" s="39"/>
      <c r="TUB48" s="41"/>
      <c r="TUE48" s="32"/>
      <c r="TUG48" s="12"/>
      <c r="TUI48" s="34"/>
      <c r="TUJ48" s="39"/>
      <c r="TUK48" s="41"/>
      <c r="TUN48" s="32"/>
      <c r="TUP48" s="12"/>
      <c r="TUR48" s="34"/>
      <c r="TUS48" s="39"/>
      <c r="TUT48" s="41"/>
      <c r="TUW48" s="32"/>
      <c r="TUY48" s="12"/>
      <c r="TVA48" s="34"/>
      <c r="TVB48" s="39"/>
      <c r="TVC48" s="41"/>
      <c r="TVF48" s="32"/>
      <c r="TVH48" s="12"/>
      <c r="TVJ48" s="34"/>
      <c r="TVK48" s="39"/>
      <c r="TVL48" s="41"/>
      <c r="TVO48" s="32"/>
      <c r="TVQ48" s="12"/>
      <c r="TVS48" s="34"/>
      <c r="TVT48" s="39"/>
      <c r="TVU48" s="41"/>
      <c r="TVX48" s="32"/>
      <c r="TVZ48" s="12"/>
      <c r="TWB48" s="34"/>
      <c r="TWC48" s="39"/>
      <c r="TWD48" s="41"/>
      <c r="TWG48" s="32"/>
      <c r="TWI48" s="12"/>
      <c r="TWK48" s="34"/>
      <c r="TWL48" s="39"/>
      <c r="TWM48" s="41"/>
      <c r="TWP48" s="32"/>
      <c r="TWR48" s="12"/>
      <c r="TWT48" s="34"/>
      <c r="TWU48" s="39"/>
      <c r="TWV48" s="41"/>
      <c r="TWY48" s="32"/>
      <c r="TXA48" s="12"/>
      <c r="TXC48" s="34"/>
      <c r="TXD48" s="39"/>
      <c r="TXE48" s="41"/>
      <c r="TXH48" s="32"/>
      <c r="TXJ48" s="12"/>
      <c r="TXL48" s="34"/>
      <c r="TXM48" s="39"/>
      <c r="TXN48" s="41"/>
      <c r="TXQ48" s="32"/>
      <c r="TXS48" s="12"/>
      <c r="TXU48" s="34"/>
      <c r="TXV48" s="39"/>
      <c r="TXW48" s="41"/>
      <c r="TXZ48" s="32"/>
      <c r="TYB48" s="12"/>
      <c r="TYD48" s="34"/>
      <c r="TYE48" s="39"/>
      <c r="TYF48" s="41"/>
      <c r="TYI48" s="32"/>
      <c r="TYK48" s="12"/>
      <c r="TYM48" s="34"/>
      <c r="TYN48" s="39"/>
      <c r="TYO48" s="41"/>
      <c r="TYR48" s="32"/>
      <c r="TYT48" s="12"/>
      <c r="TYV48" s="34"/>
      <c r="TYW48" s="39"/>
      <c r="TYX48" s="41"/>
      <c r="TZA48" s="32"/>
      <c r="TZC48" s="12"/>
      <c r="TZE48" s="34"/>
      <c r="TZF48" s="39"/>
      <c r="TZG48" s="41"/>
      <c r="TZJ48" s="32"/>
      <c r="TZL48" s="12"/>
      <c r="TZN48" s="34"/>
      <c r="TZO48" s="39"/>
      <c r="TZP48" s="41"/>
      <c r="TZS48" s="32"/>
      <c r="TZU48" s="12"/>
      <c r="TZW48" s="34"/>
      <c r="TZX48" s="39"/>
      <c r="TZY48" s="41"/>
      <c r="UAB48" s="32"/>
      <c r="UAD48" s="12"/>
      <c r="UAF48" s="34"/>
      <c r="UAG48" s="39"/>
      <c r="UAH48" s="41"/>
      <c r="UAK48" s="32"/>
      <c r="UAM48" s="12"/>
      <c r="UAO48" s="34"/>
      <c r="UAP48" s="39"/>
      <c r="UAQ48" s="41"/>
      <c r="UAT48" s="32"/>
      <c r="UAV48" s="12"/>
      <c r="UAX48" s="34"/>
      <c r="UAY48" s="39"/>
      <c r="UAZ48" s="41"/>
      <c r="UBC48" s="32"/>
      <c r="UBE48" s="12"/>
      <c r="UBG48" s="34"/>
      <c r="UBH48" s="39"/>
      <c r="UBI48" s="41"/>
      <c r="UBL48" s="32"/>
      <c r="UBN48" s="12"/>
      <c r="UBP48" s="34"/>
      <c r="UBQ48" s="39"/>
      <c r="UBR48" s="41"/>
      <c r="UBU48" s="32"/>
      <c r="UBW48" s="12"/>
      <c r="UBY48" s="34"/>
      <c r="UBZ48" s="39"/>
      <c r="UCA48" s="41"/>
      <c r="UCD48" s="32"/>
      <c r="UCF48" s="12"/>
      <c r="UCH48" s="34"/>
      <c r="UCI48" s="39"/>
      <c r="UCJ48" s="41"/>
      <c r="UCM48" s="32"/>
      <c r="UCO48" s="12"/>
      <c r="UCQ48" s="34"/>
      <c r="UCR48" s="39"/>
      <c r="UCS48" s="41"/>
      <c r="UCV48" s="32"/>
      <c r="UCX48" s="12"/>
      <c r="UCZ48" s="34"/>
      <c r="UDA48" s="39"/>
      <c r="UDB48" s="41"/>
      <c r="UDE48" s="32"/>
      <c r="UDG48" s="12"/>
      <c r="UDI48" s="34"/>
      <c r="UDJ48" s="39"/>
      <c r="UDK48" s="41"/>
      <c r="UDN48" s="32"/>
      <c r="UDP48" s="12"/>
      <c r="UDR48" s="34"/>
      <c r="UDS48" s="39"/>
      <c r="UDT48" s="41"/>
      <c r="UDW48" s="32"/>
      <c r="UDY48" s="12"/>
      <c r="UEA48" s="34"/>
      <c r="UEB48" s="39"/>
      <c r="UEC48" s="41"/>
      <c r="UEF48" s="32"/>
      <c r="UEH48" s="12"/>
      <c r="UEJ48" s="34"/>
      <c r="UEK48" s="39"/>
      <c r="UEL48" s="41"/>
      <c r="UEO48" s="32"/>
      <c r="UEQ48" s="12"/>
      <c r="UES48" s="34"/>
      <c r="UET48" s="39"/>
      <c r="UEU48" s="41"/>
      <c r="UEX48" s="32"/>
      <c r="UEZ48" s="12"/>
      <c r="UFB48" s="34"/>
      <c r="UFC48" s="39"/>
      <c r="UFD48" s="41"/>
      <c r="UFG48" s="32"/>
      <c r="UFI48" s="12"/>
      <c r="UFK48" s="34"/>
      <c r="UFL48" s="39"/>
      <c r="UFM48" s="41"/>
      <c r="UFP48" s="32"/>
      <c r="UFR48" s="12"/>
      <c r="UFT48" s="34"/>
      <c r="UFU48" s="39"/>
      <c r="UFV48" s="41"/>
      <c r="UFY48" s="32"/>
      <c r="UGA48" s="12"/>
      <c r="UGC48" s="34"/>
      <c r="UGD48" s="39"/>
      <c r="UGE48" s="41"/>
      <c r="UGH48" s="32"/>
      <c r="UGJ48" s="12"/>
      <c r="UGL48" s="34"/>
      <c r="UGM48" s="39"/>
      <c r="UGN48" s="41"/>
      <c r="UGQ48" s="32"/>
      <c r="UGS48" s="12"/>
      <c r="UGU48" s="34"/>
      <c r="UGV48" s="39"/>
      <c r="UGW48" s="41"/>
      <c r="UGZ48" s="32"/>
      <c r="UHB48" s="12"/>
      <c r="UHD48" s="34"/>
      <c r="UHE48" s="39"/>
      <c r="UHF48" s="41"/>
      <c r="UHI48" s="32"/>
      <c r="UHK48" s="12"/>
      <c r="UHM48" s="34"/>
      <c r="UHN48" s="39"/>
      <c r="UHO48" s="41"/>
      <c r="UHR48" s="32"/>
      <c r="UHT48" s="12"/>
      <c r="UHV48" s="34"/>
      <c r="UHW48" s="39"/>
      <c r="UHX48" s="41"/>
      <c r="UIA48" s="32"/>
      <c r="UIC48" s="12"/>
      <c r="UIE48" s="34"/>
      <c r="UIF48" s="39"/>
      <c r="UIG48" s="41"/>
      <c r="UIJ48" s="32"/>
      <c r="UIL48" s="12"/>
      <c r="UIN48" s="34"/>
      <c r="UIO48" s="39"/>
      <c r="UIP48" s="41"/>
      <c r="UIS48" s="32"/>
      <c r="UIU48" s="12"/>
      <c r="UIW48" s="34"/>
      <c r="UIX48" s="39"/>
      <c r="UIY48" s="41"/>
      <c r="UJB48" s="32"/>
      <c r="UJD48" s="12"/>
      <c r="UJF48" s="34"/>
      <c r="UJG48" s="39"/>
      <c r="UJH48" s="41"/>
      <c r="UJK48" s="32"/>
      <c r="UJM48" s="12"/>
      <c r="UJO48" s="34"/>
      <c r="UJP48" s="39"/>
      <c r="UJQ48" s="41"/>
      <c r="UJT48" s="32"/>
      <c r="UJV48" s="12"/>
      <c r="UJX48" s="34"/>
      <c r="UJY48" s="39"/>
      <c r="UJZ48" s="41"/>
      <c r="UKC48" s="32"/>
      <c r="UKE48" s="12"/>
      <c r="UKG48" s="34"/>
      <c r="UKH48" s="39"/>
      <c r="UKI48" s="41"/>
      <c r="UKL48" s="32"/>
      <c r="UKN48" s="12"/>
      <c r="UKP48" s="34"/>
      <c r="UKQ48" s="39"/>
      <c r="UKR48" s="41"/>
      <c r="UKU48" s="32"/>
      <c r="UKW48" s="12"/>
      <c r="UKY48" s="34"/>
      <c r="UKZ48" s="39"/>
      <c r="ULA48" s="41"/>
      <c r="ULD48" s="32"/>
      <c r="ULF48" s="12"/>
      <c r="ULH48" s="34"/>
      <c r="ULI48" s="39"/>
      <c r="ULJ48" s="41"/>
      <c r="ULM48" s="32"/>
      <c r="ULO48" s="12"/>
      <c r="ULQ48" s="34"/>
      <c r="ULR48" s="39"/>
      <c r="ULS48" s="41"/>
      <c r="ULV48" s="32"/>
      <c r="ULX48" s="12"/>
      <c r="ULZ48" s="34"/>
      <c r="UMA48" s="39"/>
      <c r="UMB48" s="41"/>
      <c r="UME48" s="32"/>
      <c r="UMG48" s="12"/>
      <c r="UMI48" s="34"/>
      <c r="UMJ48" s="39"/>
      <c r="UMK48" s="41"/>
      <c r="UMN48" s="32"/>
      <c r="UMP48" s="12"/>
      <c r="UMR48" s="34"/>
      <c r="UMS48" s="39"/>
      <c r="UMT48" s="41"/>
      <c r="UMW48" s="32"/>
      <c r="UMY48" s="12"/>
      <c r="UNA48" s="34"/>
      <c r="UNB48" s="39"/>
      <c r="UNC48" s="41"/>
      <c r="UNF48" s="32"/>
      <c r="UNH48" s="12"/>
      <c r="UNJ48" s="34"/>
      <c r="UNK48" s="39"/>
      <c r="UNL48" s="41"/>
      <c r="UNO48" s="32"/>
      <c r="UNQ48" s="12"/>
      <c r="UNS48" s="34"/>
      <c r="UNT48" s="39"/>
      <c r="UNU48" s="41"/>
      <c r="UNX48" s="32"/>
      <c r="UNZ48" s="12"/>
      <c r="UOB48" s="34"/>
      <c r="UOC48" s="39"/>
      <c r="UOD48" s="41"/>
      <c r="UOG48" s="32"/>
      <c r="UOI48" s="12"/>
      <c r="UOK48" s="34"/>
      <c r="UOL48" s="39"/>
      <c r="UOM48" s="41"/>
      <c r="UOP48" s="32"/>
      <c r="UOR48" s="12"/>
      <c r="UOT48" s="34"/>
      <c r="UOU48" s="39"/>
      <c r="UOV48" s="41"/>
      <c r="UOY48" s="32"/>
      <c r="UPA48" s="12"/>
      <c r="UPC48" s="34"/>
      <c r="UPD48" s="39"/>
      <c r="UPE48" s="41"/>
      <c r="UPH48" s="32"/>
      <c r="UPJ48" s="12"/>
      <c r="UPL48" s="34"/>
      <c r="UPM48" s="39"/>
      <c r="UPN48" s="41"/>
      <c r="UPQ48" s="32"/>
      <c r="UPS48" s="12"/>
      <c r="UPU48" s="34"/>
      <c r="UPV48" s="39"/>
      <c r="UPW48" s="41"/>
      <c r="UPZ48" s="32"/>
      <c r="UQB48" s="12"/>
      <c r="UQD48" s="34"/>
      <c r="UQE48" s="39"/>
      <c r="UQF48" s="41"/>
      <c r="UQI48" s="32"/>
      <c r="UQK48" s="12"/>
      <c r="UQM48" s="34"/>
      <c r="UQN48" s="39"/>
      <c r="UQO48" s="41"/>
      <c r="UQR48" s="32"/>
      <c r="UQT48" s="12"/>
      <c r="UQV48" s="34"/>
      <c r="UQW48" s="39"/>
      <c r="UQX48" s="41"/>
      <c r="URA48" s="32"/>
      <c r="URC48" s="12"/>
      <c r="URE48" s="34"/>
      <c r="URF48" s="39"/>
      <c r="URG48" s="41"/>
      <c r="URJ48" s="32"/>
      <c r="URL48" s="12"/>
      <c r="URN48" s="34"/>
      <c r="URO48" s="39"/>
      <c r="URP48" s="41"/>
      <c r="URS48" s="32"/>
      <c r="URU48" s="12"/>
      <c r="URW48" s="34"/>
      <c r="URX48" s="39"/>
      <c r="URY48" s="41"/>
      <c r="USB48" s="32"/>
      <c r="USD48" s="12"/>
      <c r="USF48" s="34"/>
      <c r="USG48" s="39"/>
      <c r="USH48" s="41"/>
      <c r="USK48" s="32"/>
      <c r="USM48" s="12"/>
      <c r="USO48" s="34"/>
      <c r="USP48" s="39"/>
      <c r="USQ48" s="41"/>
      <c r="UST48" s="32"/>
      <c r="USV48" s="12"/>
      <c r="USX48" s="34"/>
      <c r="USY48" s="39"/>
      <c r="USZ48" s="41"/>
      <c r="UTC48" s="32"/>
      <c r="UTE48" s="12"/>
      <c r="UTG48" s="34"/>
      <c r="UTH48" s="39"/>
      <c r="UTI48" s="41"/>
      <c r="UTL48" s="32"/>
      <c r="UTN48" s="12"/>
      <c r="UTP48" s="34"/>
      <c r="UTQ48" s="39"/>
      <c r="UTR48" s="41"/>
      <c r="UTU48" s="32"/>
      <c r="UTW48" s="12"/>
      <c r="UTY48" s="34"/>
      <c r="UTZ48" s="39"/>
      <c r="UUA48" s="41"/>
      <c r="UUD48" s="32"/>
      <c r="UUF48" s="12"/>
      <c r="UUH48" s="34"/>
      <c r="UUI48" s="39"/>
      <c r="UUJ48" s="41"/>
      <c r="UUM48" s="32"/>
      <c r="UUO48" s="12"/>
      <c r="UUQ48" s="34"/>
      <c r="UUR48" s="39"/>
      <c r="UUS48" s="41"/>
      <c r="UUV48" s="32"/>
      <c r="UUX48" s="12"/>
      <c r="UUZ48" s="34"/>
      <c r="UVA48" s="39"/>
      <c r="UVB48" s="41"/>
      <c r="UVE48" s="32"/>
      <c r="UVG48" s="12"/>
      <c r="UVI48" s="34"/>
      <c r="UVJ48" s="39"/>
      <c r="UVK48" s="41"/>
      <c r="UVN48" s="32"/>
      <c r="UVP48" s="12"/>
      <c r="UVR48" s="34"/>
      <c r="UVS48" s="39"/>
      <c r="UVT48" s="41"/>
      <c r="UVW48" s="32"/>
      <c r="UVY48" s="12"/>
      <c r="UWA48" s="34"/>
      <c r="UWB48" s="39"/>
      <c r="UWC48" s="41"/>
      <c r="UWF48" s="32"/>
      <c r="UWH48" s="12"/>
      <c r="UWJ48" s="34"/>
      <c r="UWK48" s="39"/>
      <c r="UWL48" s="41"/>
      <c r="UWO48" s="32"/>
      <c r="UWQ48" s="12"/>
      <c r="UWS48" s="34"/>
      <c r="UWT48" s="39"/>
      <c r="UWU48" s="41"/>
      <c r="UWX48" s="32"/>
      <c r="UWZ48" s="12"/>
      <c r="UXB48" s="34"/>
      <c r="UXC48" s="39"/>
      <c r="UXD48" s="41"/>
      <c r="UXG48" s="32"/>
      <c r="UXI48" s="12"/>
      <c r="UXK48" s="34"/>
      <c r="UXL48" s="39"/>
      <c r="UXM48" s="41"/>
      <c r="UXP48" s="32"/>
      <c r="UXR48" s="12"/>
      <c r="UXT48" s="34"/>
      <c r="UXU48" s="39"/>
      <c r="UXV48" s="41"/>
      <c r="UXY48" s="32"/>
      <c r="UYA48" s="12"/>
      <c r="UYC48" s="34"/>
      <c r="UYD48" s="39"/>
      <c r="UYE48" s="41"/>
      <c r="UYH48" s="32"/>
      <c r="UYJ48" s="12"/>
      <c r="UYL48" s="34"/>
      <c r="UYM48" s="39"/>
      <c r="UYN48" s="41"/>
      <c r="UYQ48" s="32"/>
      <c r="UYS48" s="12"/>
      <c r="UYU48" s="34"/>
      <c r="UYV48" s="39"/>
      <c r="UYW48" s="41"/>
      <c r="UYZ48" s="32"/>
      <c r="UZB48" s="12"/>
      <c r="UZD48" s="34"/>
      <c r="UZE48" s="39"/>
      <c r="UZF48" s="41"/>
      <c r="UZI48" s="32"/>
      <c r="UZK48" s="12"/>
      <c r="UZM48" s="34"/>
      <c r="UZN48" s="39"/>
      <c r="UZO48" s="41"/>
      <c r="UZR48" s="32"/>
      <c r="UZT48" s="12"/>
      <c r="UZV48" s="34"/>
      <c r="UZW48" s="39"/>
      <c r="UZX48" s="41"/>
      <c r="VAA48" s="32"/>
      <c r="VAC48" s="12"/>
      <c r="VAE48" s="34"/>
      <c r="VAF48" s="39"/>
      <c r="VAG48" s="41"/>
      <c r="VAJ48" s="32"/>
      <c r="VAL48" s="12"/>
      <c r="VAN48" s="34"/>
      <c r="VAO48" s="39"/>
      <c r="VAP48" s="41"/>
      <c r="VAS48" s="32"/>
      <c r="VAU48" s="12"/>
      <c r="VAW48" s="34"/>
      <c r="VAX48" s="39"/>
      <c r="VAY48" s="41"/>
      <c r="VBB48" s="32"/>
      <c r="VBD48" s="12"/>
      <c r="VBF48" s="34"/>
      <c r="VBG48" s="39"/>
      <c r="VBH48" s="41"/>
      <c r="VBK48" s="32"/>
      <c r="VBM48" s="12"/>
      <c r="VBO48" s="34"/>
      <c r="VBP48" s="39"/>
      <c r="VBQ48" s="41"/>
      <c r="VBT48" s="32"/>
      <c r="VBV48" s="12"/>
      <c r="VBX48" s="34"/>
      <c r="VBY48" s="39"/>
      <c r="VBZ48" s="41"/>
      <c r="VCC48" s="32"/>
      <c r="VCE48" s="12"/>
      <c r="VCG48" s="34"/>
      <c r="VCH48" s="39"/>
      <c r="VCI48" s="41"/>
      <c r="VCL48" s="32"/>
      <c r="VCN48" s="12"/>
      <c r="VCP48" s="34"/>
      <c r="VCQ48" s="39"/>
      <c r="VCR48" s="41"/>
      <c r="VCU48" s="32"/>
      <c r="VCW48" s="12"/>
      <c r="VCY48" s="34"/>
      <c r="VCZ48" s="39"/>
      <c r="VDA48" s="41"/>
      <c r="VDD48" s="32"/>
      <c r="VDF48" s="12"/>
      <c r="VDH48" s="34"/>
      <c r="VDI48" s="39"/>
      <c r="VDJ48" s="41"/>
      <c r="VDM48" s="32"/>
      <c r="VDO48" s="12"/>
      <c r="VDQ48" s="34"/>
      <c r="VDR48" s="39"/>
      <c r="VDS48" s="41"/>
      <c r="VDV48" s="32"/>
      <c r="VDX48" s="12"/>
      <c r="VDZ48" s="34"/>
      <c r="VEA48" s="39"/>
      <c r="VEB48" s="41"/>
      <c r="VEE48" s="32"/>
      <c r="VEG48" s="12"/>
      <c r="VEI48" s="34"/>
      <c r="VEJ48" s="39"/>
      <c r="VEK48" s="41"/>
      <c r="VEN48" s="32"/>
      <c r="VEP48" s="12"/>
      <c r="VER48" s="34"/>
      <c r="VES48" s="39"/>
      <c r="VET48" s="41"/>
      <c r="VEW48" s="32"/>
      <c r="VEY48" s="12"/>
      <c r="VFA48" s="34"/>
      <c r="VFB48" s="39"/>
      <c r="VFC48" s="41"/>
      <c r="VFF48" s="32"/>
      <c r="VFH48" s="12"/>
      <c r="VFJ48" s="34"/>
      <c r="VFK48" s="39"/>
      <c r="VFL48" s="41"/>
      <c r="VFO48" s="32"/>
      <c r="VFQ48" s="12"/>
      <c r="VFS48" s="34"/>
      <c r="VFT48" s="39"/>
      <c r="VFU48" s="41"/>
      <c r="VFX48" s="32"/>
      <c r="VFZ48" s="12"/>
      <c r="VGB48" s="34"/>
      <c r="VGC48" s="39"/>
      <c r="VGD48" s="41"/>
      <c r="VGG48" s="32"/>
      <c r="VGI48" s="12"/>
      <c r="VGK48" s="34"/>
      <c r="VGL48" s="39"/>
      <c r="VGM48" s="41"/>
      <c r="VGP48" s="32"/>
      <c r="VGR48" s="12"/>
      <c r="VGT48" s="34"/>
      <c r="VGU48" s="39"/>
      <c r="VGV48" s="41"/>
      <c r="VGY48" s="32"/>
      <c r="VHA48" s="12"/>
      <c r="VHC48" s="34"/>
      <c r="VHD48" s="39"/>
      <c r="VHE48" s="41"/>
      <c r="VHH48" s="32"/>
      <c r="VHJ48" s="12"/>
      <c r="VHL48" s="34"/>
      <c r="VHM48" s="39"/>
      <c r="VHN48" s="41"/>
      <c r="VHQ48" s="32"/>
      <c r="VHS48" s="12"/>
      <c r="VHU48" s="34"/>
      <c r="VHV48" s="39"/>
      <c r="VHW48" s="41"/>
      <c r="VHZ48" s="32"/>
      <c r="VIB48" s="12"/>
      <c r="VID48" s="34"/>
      <c r="VIE48" s="39"/>
      <c r="VIF48" s="41"/>
      <c r="VII48" s="32"/>
      <c r="VIK48" s="12"/>
      <c r="VIM48" s="34"/>
      <c r="VIN48" s="39"/>
      <c r="VIO48" s="41"/>
      <c r="VIR48" s="32"/>
      <c r="VIT48" s="12"/>
      <c r="VIV48" s="34"/>
      <c r="VIW48" s="39"/>
      <c r="VIX48" s="41"/>
      <c r="VJA48" s="32"/>
      <c r="VJC48" s="12"/>
      <c r="VJE48" s="34"/>
      <c r="VJF48" s="39"/>
      <c r="VJG48" s="41"/>
      <c r="VJJ48" s="32"/>
      <c r="VJL48" s="12"/>
      <c r="VJN48" s="34"/>
      <c r="VJO48" s="39"/>
      <c r="VJP48" s="41"/>
      <c r="VJS48" s="32"/>
      <c r="VJU48" s="12"/>
      <c r="VJW48" s="34"/>
      <c r="VJX48" s="39"/>
      <c r="VJY48" s="41"/>
      <c r="VKB48" s="32"/>
      <c r="VKD48" s="12"/>
      <c r="VKF48" s="34"/>
      <c r="VKG48" s="39"/>
      <c r="VKH48" s="41"/>
      <c r="VKK48" s="32"/>
      <c r="VKM48" s="12"/>
      <c r="VKO48" s="34"/>
      <c r="VKP48" s="39"/>
      <c r="VKQ48" s="41"/>
      <c r="VKT48" s="32"/>
      <c r="VKV48" s="12"/>
      <c r="VKX48" s="34"/>
      <c r="VKY48" s="39"/>
      <c r="VKZ48" s="41"/>
      <c r="VLC48" s="32"/>
      <c r="VLE48" s="12"/>
      <c r="VLG48" s="34"/>
      <c r="VLH48" s="39"/>
      <c r="VLI48" s="41"/>
      <c r="VLL48" s="32"/>
      <c r="VLN48" s="12"/>
      <c r="VLP48" s="34"/>
      <c r="VLQ48" s="39"/>
      <c r="VLR48" s="41"/>
      <c r="VLU48" s="32"/>
      <c r="VLW48" s="12"/>
      <c r="VLY48" s="34"/>
      <c r="VLZ48" s="39"/>
      <c r="VMA48" s="41"/>
      <c r="VMD48" s="32"/>
      <c r="VMF48" s="12"/>
      <c r="VMH48" s="34"/>
      <c r="VMI48" s="39"/>
      <c r="VMJ48" s="41"/>
      <c r="VMM48" s="32"/>
      <c r="VMO48" s="12"/>
      <c r="VMQ48" s="34"/>
      <c r="VMR48" s="39"/>
      <c r="VMS48" s="41"/>
      <c r="VMV48" s="32"/>
      <c r="VMX48" s="12"/>
      <c r="VMZ48" s="34"/>
      <c r="VNA48" s="39"/>
      <c r="VNB48" s="41"/>
      <c r="VNE48" s="32"/>
      <c r="VNG48" s="12"/>
      <c r="VNI48" s="34"/>
      <c r="VNJ48" s="39"/>
      <c r="VNK48" s="41"/>
      <c r="VNN48" s="32"/>
      <c r="VNP48" s="12"/>
      <c r="VNR48" s="34"/>
      <c r="VNS48" s="39"/>
      <c r="VNT48" s="41"/>
      <c r="VNW48" s="32"/>
      <c r="VNY48" s="12"/>
      <c r="VOA48" s="34"/>
      <c r="VOB48" s="39"/>
      <c r="VOC48" s="41"/>
      <c r="VOF48" s="32"/>
      <c r="VOH48" s="12"/>
      <c r="VOJ48" s="34"/>
      <c r="VOK48" s="39"/>
      <c r="VOL48" s="41"/>
      <c r="VOO48" s="32"/>
      <c r="VOQ48" s="12"/>
      <c r="VOS48" s="34"/>
      <c r="VOT48" s="39"/>
      <c r="VOU48" s="41"/>
      <c r="VOX48" s="32"/>
      <c r="VOZ48" s="12"/>
      <c r="VPB48" s="34"/>
      <c r="VPC48" s="39"/>
      <c r="VPD48" s="41"/>
      <c r="VPG48" s="32"/>
      <c r="VPI48" s="12"/>
      <c r="VPK48" s="34"/>
      <c r="VPL48" s="39"/>
      <c r="VPM48" s="41"/>
      <c r="VPP48" s="32"/>
      <c r="VPR48" s="12"/>
      <c r="VPT48" s="34"/>
      <c r="VPU48" s="39"/>
      <c r="VPV48" s="41"/>
      <c r="VPY48" s="32"/>
      <c r="VQA48" s="12"/>
      <c r="VQC48" s="34"/>
      <c r="VQD48" s="39"/>
      <c r="VQE48" s="41"/>
      <c r="VQH48" s="32"/>
      <c r="VQJ48" s="12"/>
      <c r="VQL48" s="34"/>
      <c r="VQM48" s="39"/>
      <c r="VQN48" s="41"/>
      <c r="VQQ48" s="32"/>
      <c r="VQS48" s="12"/>
      <c r="VQU48" s="34"/>
      <c r="VQV48" s="39"/>
      <c r="VQW48" s="41"/>
      <c r="VQZ48" s="32"/>
      <c r="VRB48" s="12"/>
      <c r="VRD48" s="34"/>
      <c r="VRE48" s="39"/>
      <c r="VRF48" s="41"/>
      <c r="VRI48" s="32"/>
      <c r="VRK48" s="12"/>
      <c r="VRM48" s="34"/>
      <c r="VRN48" s="39"/>
      <c r="VRO48" s="41"/>
      <c r="VRR48" s="32"/>
      <c r="VRT48" s="12"/>
      <c r="VRV48" s="34"/>
      <c r="VRW48" s="39"/>
      <c r="VRX48" s="41"/>
      <c r="VSA48" s="32"/>
      <c r="VSC48" s="12"/>
      <c r="VSE48" s="34"/>
      <c r="VSF48" s="39"/>
      <c r="VSG48" s="41"/>
      <c r="VSJ48" s="32"/>
      <c r="VSL48" s="12"/>
      <c r="VSN48" s="34"/>
      <c r="VSO48" s="39"/>
      <c r="VSP48" s="41"/>
      <c r="VSS48" s="32"/>
      <c r="VSU48" s="12"/>
      <c r="VSW48" s="34"/>
      <c r="VSX48" s="39"/>
      <c r="VSY48" s="41"/>
      <c r="VTB48" s="32"/>
      <c r="VTD48" s="12"/>
      <c r="VTF48" s="34"/>
      <c r="VTG48" s="39"/>
      <c r="VTH48" s="41"/>
      <c r="VTK48" s="32"/>
      <c r="VTM48" s="12"/>
      <c r="VTO48" s="34"/>
      <c r="VTP48" s="39"/>
      <c r="VTQ48" s="41"/>
      <c r="VTT48" s="32"/>
      <c r="VTV48" s="12"/>
      <c r="VTX48" s="34"/>
      <c r="VTY48" s="39"/>
      <c r="VTZ48" s="41"/>
      <c r="VUC48" s="32"/>
      <c r="VUE48" s="12"/>
      <c r="VUG48" s="34"/>
      <c r="VUH48" s="39"/>
      <c r="VUI48" s="41"/>
      <c r="VUL48" s="32"/>
      <c r="VUN48" s="12"/>
      <c r="VUP48" s="34"/>
      <c r="VUQ48" s="39"/>
      <c r="VUR48" s="41"/>
      <c r="VUU48" s="32"/>
      <c r="VUW48" s="12"/>
      <c r="VUY48" s="34"/>
      <c r="VUZ48" s="39"/>
      <c r="VVA48" s="41"/>
      <c r="VVD48" s="32"/>
      <c r="VVF48" s="12"/>
      <c r="VVH48" s="34"/>
      <c r="VVI48" s="39"/>
      <c r="VVJ48" s="41"/>
      <c r="VVM48" s="32"/>
      <c r="VVO48" s="12"/>
      <c r="VVQ48" s="34"/>
      <c r="VVR48" s="39"/>
      <c r="VVS48" s="41"/>
      <c r="VVV48" s="32"/>
      <c r="VVX48" s="12"/>
      <c r="VVZ48" s="34"/>
      <c r="VWA48" s="39"/>
      <c r="VWB48" s="41"/>
      <c r="VWE48" s="32"/>
      <c r="VWG48" s="12"/>
      <c r="VWI48" s="34"/>
      <c r="VWJ48" s="39"/>
      <c r="VWK48" s="41"/>
      <c r="VWN48" s="32"/>
      <c r="VWP48" s="12"/>
      <c r="VWR48" s="34"/>
      <c r="VWS48" s="39"/>
      <c r="VWT48" s="41"/>
      <c r="VWW48" s="32"/>
      <c r="VWY48" s="12"/>
      <c r="VXA48" s="34"/>
      <c r="VXB48" s="39"/>
      <c r="VXC48" s="41"/>
      <c r="VXF48" s="32"/>
      <c r="VXH48" s="12"/>
      <c r="VXJ48" s="34"/>
      <c r="VXK48" s="39"/>
      <c r="VXL48" s="41"/>
      <c r="VXO48" s="32"/>
      <c r="VXQ48" s="12"/>
      <c r="VXS48" s="34"/>
      <c r="VXT48" s="39"/>
      <c r="VXU48" s="41"/>
      <c r="VXX48" s="32"/>
      <c r="VXZ48" s="12"/>
      <c r="VYB48" s="34"/>
      <c r="VYC48" s="39"/>
      <c r="VYD48" s="41"/>
      <c r="VYG48" s="32"/>
      <c r="VYI48" s="12"/>
      <c r="VYK48" s="34"/>
      <c r="VYL48" s="39"/>
      <c r="VYM48" s="41"/>
      <c r="VYP48" s="32"/>
      <c r="VYR48" s="12"/>
      <c r="VYT48" s="34"/>
      <c r="VYU48" s="39"/>
      <c r="VYV48" s="41"/>
      <c r="VYY48" s="32"/>
      <c r="VZA48" s="12"/>
      <c r="VZC48" s="34"/>
      <c r="VZD48" s="39"/>
      <c r="VZE48" s="41"/>
      <c r="VZH48" s="32"/>
      <c r="VZJ48" s="12"/>
      <c r="VZL48" s="34"/>
      <c r="VZM48" s="39"/>
      <c r="VZN48" s="41"/>
      <c r="VZQ48" s="32"/>
      <c r="VZS48" s="12"/>
      <c r="VZU48" s="34"/>
      <c r="VZV48" s="39"/>
      <c r="VZW48" s="41"/>
      <c r="VZZ48" s="32"/>
      <c r="WAB48" s="12"/>
      <c r="WAD48" s="34"/>
      <c r="WAE48" s="39"/>
      <c r="WAF48" s="41"/>
      <c r="WAI48" s="32"/>
      <c r="WAK48" s="12"/>
      <c r="WAM48" s="34"/>
      <c r="WAN48" s="39"/>
      <c r="WAO48" s="41"/>
      <c r="WAR48" s="32"/>
      <c r="WAT48" s="12"/>
      <c r="WAV48" s="34"/>
      <c r="WAW48" s="39"/>
      <c r="WAX48" s="41"/>
      <c r="WBA48" s="32"/>
      <c r="WBC48" s="12"/>
      <c r="WBE48" s="34"/>
      <c r="WBF48" s="39"/>
      <c r="WBG48" s="41"/>
      <c r="WBJ48" s="32"/>
      <c r="WBL48" s="12"/>
      <c r="WBN48" s="34"/>
      <c r="WBO48" s="39"/>
      <c r="WBP48" s="41"/>
      <c r="WBS48" s="32"/>
      <c r="WBU48" s="12"/>
      <c r="WBW48" s="34"/>
      <c r="WBX48" s="39"/>
      <c r="WBY48" s="41"/>
      <c r="WCB48" s="32"/>
      <c r="WCD48" s="12"/>
      <c r="WCF48" s="34"/>
      <c r="WCG48" s="39"/>
      <c r="WCH48" s="41"/>
      <c r="WCK48" s="32"/>
      <c r="WCM48" s="12"/>
      <c r="WCO48" s="34"/>
      <c r="WCP48" s="39"/>
      <c r="WCQ48" s="41"/>
      <c r="WCT48" s="32"/>
      <c r="WCV48" s="12"/>
      <c r="WCX48" s="34"/>
      <c r="WCY48" s="39"/>
      <c r="WCZ48" s="41"/>
      <c r="WDC48" s="32"/>
      <c r="WDE48" s="12"/>
      <c r="WDG48" s="34"/>
      <c r="WDH48" s="39"/>
      <c r="WDI48" s="41"/>
      <c r="WDL48" s="32"/>
      <c r="WDN48" s="12"/>
      <c r="WDP48" s="34"/>
      <c r="WDQ48" s="39"/>
      <c r="WDR48" s="41"/>
      <c r="WDU48" s="32"/>
      <c r="WDW48" s="12"/>
      <c r="WDY48" s="34"/>
      <c r="WDZ48" s="39"/>
      <c r="WEA48" s="41"/>
      <c r="WED48" s="32"/>
      <c r="WEF48" s="12"/>
      <c r="WEH48" s="34"/>
      <c r="WEI48" s="39"/>
      <c r="WEJ48" s="41"/>
      <c r="WEM48" s="32"/>
      <c r="WEO48" s="12"/>
      <c r="WEQ48" s="34"/>
      <c r="WER48" s="39"/>
      <c r="WES48" s="41"/>
      <c r="WEV48" s="32"/>
      <c r="WEX48" s="12"/>
      <c r="WEZ48" s="34"/>
      <c r="WFA48" s="39"/>
      <c r="WFB48" s="41"/>
      <c r="WFE48" s="32"/>
      <c r="WFG48" s="12"/>
      <c r="WFI48" s="34"/>
      <c r="WFJ48" s="39"/>
      <c r="WFK48" s="41"/>
      <c r="WFN48" s="32"/>
      <c r="WFP48" s="12"/>
      <c r="WFR48" s="34"/>
      <c r="WFS48" s="39"/>
      <c r="WFT48" s="41"/>
      <c r="WFW48" s="32"/>
      <c r="WFY48" s="12"/>
      <c r="WGA48" s="34"/>
      <c r="WGB48" s="39"/>
      <c r="WGC48" s="41"/>
      <c r="WGF48" s="32"/>
      <c r="WGH48" s="12"/>
      <c r="WGJ48" s="34"/>
      <c r="WGK48" s="39"/>
      <c r="WGL48" s="41"/>
      <c r="WGO48" s="32"/>
      <c r="WGQ48" s="12"/>
      <c r="WGS48" s="34"/>
      <c r="WGT48" s="39"/>
      <c r="WGU48" s="41"/>
      <c r="WGX48" s="32"/>
      <c r="WGZ48" s="12"/>
      <c r="WHB48" s="34"/>
      <c r="WHC48" s="39"/>
      <c r="WHD48" s="41"/>
      <c r="WHG48" s="32"/>
      <c r="WHI48" s="12"/>
      <c r="WHK48" s="34"/>
      <c r="WHL48" s="39"/>
      <c r="WHM48" s="41"/>
      <c r="WHP48" s="32"/>
      <c r="WHR48" s="12"/>
      <c r="WHT48" s="34"/>
      <c r="WHU48" s="39"/>
      <c r="WHV48" s="41"/>
      <c r="WHY48" s="32"/>
      <c r="WIA48" s="12"/>
      <c r="WIC48" s="34"/>
      <c r="WID48" s="39"/>
      <c r="WIE48" s="41"/>
      <c r="WIH48" s="32"/>
      <c r="WIJ48" s="12"/>
      <c r="WIL48" s="34"/>
      <c r="WIM48" s="39"/>
      <c r="WIN48" s="41"/>
      <c r="WIQ48" s="32"/>
      <c r="WIS48" s="12"/>
      <c r="WIU48" s="34"/>
      <c r="WIV48" s="39"/>
      <c r="WIW48" s="41"/>
      <c r="WIZ48" s="32"/>
      <c r="WJB48" s="12"/>
      <c r="WJD48" s="34"/>
      <c r="WJE48" s="39"/>
      <c r="WJF48" s="41"/>
      <c r="WJI48" s="32"/>
      <c r="WJK48" s="12"/>
      <c r="WJM48" s="34"/>
      <c r="WJN48" s="39"/>
      <c r="WJO48" s="41"/>
      <c r="WJR48" s="32"/>
      <c r="WJT48" s="12"/>
      <c r="WJV48" s="34"/>
      <c r="WJW48" s="39"/>
      <c r="WJX48" s="41"/>
      <c r="WKA48" s="32"/>
      <c r="WKC48" s="12"/>
      <c r="WKE48" s="34"/>
      <c r="WKF48" s="39"/>
      <c r="WKG48" s="41"/>
      <c r="WKJ48" s="32"/>
      <c r="WKL48" s="12"/>
      <c r="WKN48" s="34"/>
      <c r="WKO48" s="39"/>
      <c r="WKP48" s="41"/>
      <c r="WKS48" s="32"/>
      <c r="WKU48" s="12"/>
      <c r="WKW48" s="34"/>
      <c r="WKX48" s="39"/>
      <c r="WKY48" s="41"/>
      <c r="WLB48" s="32"/>
      <c r="WLD48" s="12"/>
      <c r="WLF48" s="34"/>
      <c r="WLG48" s="39"/>
      <c r="WLH48" s="41"/>
      <c r="WLK48" s="32"/>
      <c r="WLM48" s="12"/>
      <c r="WLO48" s="34"/>
      <c r="WLP48" s="39"/>
      <c r="WLQ48" s="41"/>
      <c r="WLT48" s="32"/>
      <c r="WLV48" s="12"/>
      <c r="WLX48" s="34"/>
      <c r="WLY48" s="39"/>
      <c r="WLZ48" s="41"/>
      <c r="WMC48" s="32"/>
      <c r="WME48" s="12"/>
      <c r="WMG48" s="34"/>
      <c r="WMH48" s="39"/>
      <c r="WMI48" s="41"/>
      <c r="WML48" s="32"/>
      <c r="WMN48" s="12"/>
      <c r="WMP48" s="34"/>
      <c r="WMQ48" s="39"/>
      <c r="WMR48" s="41"/>
      <c r="WMU48" s="32"/>
      <c r="WMW48" s="12"/>
      <c r="WMY48" s="34"/>
      <c r="WMZ48" s="39"/>
      <c r="WNA48" s="41"/>
      <c r="WND48" s="32"/>
      <c r="WNF48" s="12"/>
      <c r="WNH48" s="34"/>
      <c r="WNI48" s="39"/>
      <c r="WNJ48" s="41"/>
      <c r="WNM48" s="32"/>
      <c r="WNO48" s="12"/>
      <c r="WNQ48" s="34"/>
      <c r="WNR48" s="39"/>
      <c r="WNS48" s="41"/>
      <c r="WNV48" s="32"/>
      <c r="WNX48" s="12"/>
      <c r="WNZ48" s="34"/>
      <c r="WOA48" s="39"/>
      <c r="WOB48" s="41"/>
      <c r="WOE48" s="32"/>
      <c r="WOG48" s="12"/>
      <c r="WOI48" s="34"/>
      <c r="WOJ48" s="39"/>
      <c r="WOK48" s="41"/>
      <c r="WON48" s="32"/>
      <c r="WOP48" s="12"/>
      <c r="WOR48" s="34"/>
      <c r="WOS48" s="39"/>
      <c r="WOT48" s="41"/>
      <c r="WOW48" s="32"/>
      <c r="WOY48" s="12"/>
      <c r="WPA48" s="34"/>
      <c r="WPB48" s="39"/>
      <c r="WPC48" s="41"/>
      <c r="WPF48" s="32"/>
      <c r="WPH48" s="12"/>
      <c r="WPJ48" s="34"/>
      <c r="WPK48" s="39"/>
      <c r="WPL48" s="41"/>
      <c r="WPO48" s="32"/>
      <c r="WPQ48" s="12"/>
      <c r="WPS48" s="34"/>
      <c r="WPT48" s="39"/>
      <c r="WPU48" s="41"/>
      <c r="WPX48" s="32"/>
      <c r="WPZ48" s="12"/>
      <c r="WQB48" s="34"/>
      <c r="WQC48" s="39"/>
      <c r="WQD48" s="41"/>
      <c r="WQG48" s="32"/>
      <c r="WQI48" s="12"/>
      <c r="WQK48" s="34"/>
      <c r="WQL48" s="39"/>
      <c r="WQM48" s="41"/>
      <c r="WQP48" s="32"/>
      <c r="WQR48" s="12"/>
      <c r="WQT48" s="34"/>
      <c r="WQU48" s="39"/>
      <c r="WQV48" s="41"/>
      <c r="WQY48" s="32"/>
      <c r="WRA48" s="12"/>
      <c r="WRC48" s="34"/>
      <c r="WRD48" s="39"/>
      <c r="WRE48" s="41"/>
      <c r="WRH48" s="32"/>
      <c r="WRJ48" s="12"/>
      <c r="WRL48" s="34"/>
      <c r="WRM48" s="39"/>
      <c r="WRN48" s="41"/>
      <c r="WRQ48" s="32"/>
      <c r="WRS48" s="12"/>
      <c r="WRU48" s="34"/>
      <c r="WRV48" s="39"/>
      <c r="WRW48" s="41"/>
      <c r="WRZ48" s="32"/>
      <c r="WSB48" s="12"/>
      <c r="WSD48" s="34"/>
      <c r="WSE48" s="39"/>
      <c r="WSF48" s="41"/>
      <c r="WSI48" s="32"/>
      <c r="WSK48" s="12"/>
      <c r="WSM48" s="34"/>
      <c r="WSN48" s="39"/>
      <c r="WSO48" s="41"/>
      <c r="WSR48" s="32"/>
      <c r="WST48" s="12"/>
      <c r="WSV48" s="34"/>
      <c r="WSW48" s="39"/>
      <c r="WSX48" s="41"/>
      <c r="WTA48" s="32"/>
      <c r="WTC48" s="12"/>
      <c r="WTE48" s="34"/>
      <c r="WTF48" s="39"/>
      <c r="WTG48" s="41"/>
      <c r="WTJ48" s="32"/>
      <c r="WTL48" s="12"/>
      <c r="WTN48" s="34"/>
      <c r="WTO48" s="39"/>
      <c r="WTP48" s="41"/>
      <c r="WTS48" s="32"/>
      <c r="WTU48" s="12"/>
      <c r="WTW48" s="34"/>
      <c r="WTX48" s="39"/>
      <c r="WTY48" s="41"/>
      <c r="WUB48" s="32"/>
      <c r="WUD48" s="12"/>
      <c r="WUF48" s="34"/>
      <c r="WUG48" s="39"/>
      <c r="WUH48" s="41"/>
      <c r="WUK48" s="32"/>
      <c r="WUM48" s="12"/>
      <c r="WUO48" s="34"/>
      <c r="WUP48" s="39"/>
      <c r="WUQ48" s="41"/>
      <c r="WUT48" s="32"/>
      <c r="WUV48" s="12"/>
      <c r="WUX48" s="34"/>
      <c r="WUY48" s="39"/>
      <c r="WUZ48" s="41"/>
      <c r="WVC48" s="32"/>
      <c r="WVE48" s="12"/>
      <c r="WVG48" s="34"/>
      <c r="WVH48" s="39"/>
      <c r="WVI48" s="41"/>
      <c r="WVL48" s="32"/>
      <c r="WVN48" s="12"/>
      <c r="WVP48" s="34"/>
      <c r="WVQ48" s="39"/>
      <c r="WVR48" s="41"/>
      <c r="WVU48" s="32"/>
      <c r="WVW48" s="12"/>
      <c r="WVY48" s="34"/>
      <c r="WVZ48" s="39"/>
      <c r="WWA48" s="41"/>
      <c r="WWD48" s="32"/>
      <c r="WWF48" s="12"/>
      <c r="WWH48" s="34"/>
      <c r="WWI48" s="39"/>
      <c r="WWJ48" s="41"/>
      <c r="WWM48" s="32"/>
      <c r="WWO48" s="12"/>
      <c r="WWQ48" s="34"/>
      <c r="WWR48" s="39"/>
      <c r="WWS48" s="41"/>
      <c r="WWV48" s="32"/>
      <c r="WWX48" s="12"/>
      <c r="WWZ48" s="34"/>
      <c r="WXA48" s="39"/>
      <c r="WXB48" s="41"/>
      <c r="WXE48" s="32"/>
      <c r="WXG48" s="12"/>
      <c r="WXI48" s="34"/>
      <c r="WXJ48" s="39"/>
      <c r="WXK48" s="41"/>
      <c r="WXN48" s="32"/>
      <c r="WXP48" s="12"/>
      <c r="WXR48" s="34"/>
      <c r="WXS48" s="39"/>
      <c r="WXT48" s="41"/>
      <c r="WXW48" s="32"/>
      <c r="WXY48" s="12"/>
      <c r="WYA48" s="34"/>
      <c r="WYB48" s="39"/>
      <c r="WYC48" s="41"/>
      <c r="WYF48" s="32"/>
      <c r="WYH48" s="12"/>
      <c r="WYJ48" s="34"/>
      <c r="WYK48" s="39"/>
      <c r="WYL48" s="41"/>
      <c r="WYO48" s="32"/>
      <c r="WYQ48" s="12"/>
      <c r="WYS48" s="34"/>
      <c r="WYT48" s="39"/>
      <c r="WYU48" s="41"/>
      <c r="WYX48" s="32"/>
      <c r="WYZ48" s="12"/>
      <c r="WZB48" s="34"/>
      <c r="WZC48" s="39"/>
      <c r="WZD48" s="41"/>
      <c r="WZG48" s="32"/>
      <c r="WZI48" s="12"/>
      <c r="WZK48" s="34"/>
      <c r="WZL48" s="39"/>
      <c r="WZM48" s="41"/>
      <c r="WZP48" s="32"/>
      <c r="WZR48" s="12"/>
      <c r="WZT48" s="34"/>
      <c r="WZU48" s="39"/>
      <c r="WZV48" s="41"/>
      <c r="WZY48" s="32"/>
      <c r="XAA48" s="12"/>
      <c r="XAC48" s="34"/>
      <c r="XAD48" s="39"/>
      <c r="XAE48" s="41"/>
      <c r="XAH48" s="32"/>
      <c r="XAJ48" s="12"/>
      <c r="XAL48" s="34"/>
      <c r="XAM48" s="39"/>
      <c r="XAN48" s="41"/>
      <c r="XAQ48" s="32"/>
      <c r="XAS48" s="12"/>
      <c r="XAU48" s="34"/>
      <c r="XAV48" s="39"/>
      <c r="XAW48" s="41"/>
      <c r="XAZ48" s="32"/>
      <c r="XBB48" s="12"/>
      <c r="XBD48" s="34"/>
      <c r="XBE48" s="39"/>
      <c r="XBF48" s="41"/>
      <c r="XBI48" s="32"/>
      <c r="XBK48" s="12"/>
      <c r="XBM48" s="34"/>
      <c r="XBN48" s="39"/>
      <c r="XBO48" s="41"/>
      <c r="XBR48" s="32"/>
      <c r="XBT48" s="12"/>
      <c r="XBV48" s="34"/>
      <c r="XBW48" s="39"/>
      <c r="XBX48" s="41"/>
      <c r="XCA48" s="32"/>
      <c r="XCC48" s="12"/>
      <c r="XCE48" s="34"/>
      <c r="XCF48" s="39"/>
      <c r="XCG48" s="41"/>
      <c r="XCJ48" s="32"/>
      <c r="XCL48" s="12"/>
      <c r="XCN48" s="34"/>
      <c r="XCO48" s="39"/>
      <c r="XCP48" s="41"/>
      <c r="XCS48" s="32"/>
      <c r="XCU48" s="12"/>
      <c r="XCW48" s="34"/>
      <c r="XCX48" s="39"/>
      <c r="XCY48" s="41"/>
      <c r="XDB48" s="32"/>
      <c r="XDD48" s="12"/>
      <c r="XDF48" s="34"/>
      <c r="XDG48" s="39"/>
      <c r="XDH48" s="41"/>
      <c r="XDK48" s="32"/>
      <c r="XDM48" s="12"/>
      <c r="XDO48" s="34"/>
      <c r="XDP48" s="39"/>
      <c r="XDQ48" s="41"/>
      <c r="XDT48" s="32"/>
      <c r="XDV48" s="12"/>
      <c r="XDX48" s="34"/>
      <c r="XDY48" s="39"/>
      <c r="XDZ48" s="41"/>
      <c r="XEC48" s="32"/>
      <c r="XEE48" s="12"/>
      <c r="XEG48" s="34"/>
      <c r="XEH48" s="39"/>
      <c r="XEI48" s="41"/>
      <c r="XEL48" s="32"/>
      <c r="XEN48" s="12"/>
      <c r="XEP48" s="34"/>
      <c r="XEQ48" s="39"/>
      <c r="XER48" s="41"/>
      <c r="XEU48" s="32"/>
      <c r="XEW48" s="12"/>
      <c r="XEY48" s="34"/>
      <c r="XEZ48" s="39"/>
      <c r="XFA48" s="41"/>
      <c r="XFD48" s="32"/>
    </row>
    <row r="49" spans="1:1023 1025:2047 2049:3070 3073:4096 4099:6144 6146:7168 7170:8191 8194:10239 10241:11263 11265:12286 12289:13312 13315:15360 15362:16384" ht="30" x14ac:dyDescent="0.25">
      <c r="A49" s="70" t="s">
        <v>145</v>
      </c>
      <c r="B49" s="65"/>
      <c r="C49" s="71" t="s">
        <v>78</v>
      </c>
      <c r="D49" s="67">
        <v>145681742191</v>
      </c>
      <c r="E49" s="90" t="s">
        <v>193</v>
      </c>
      <c r="F49" s="83">
        <v>50531514749</v>
      </c>
      <c r="G49" s="12">
        <f>'Menu principal'!O$21</f>
        <v>43190</v>
      </c>
      <c r="H49" s="33"/>
      <c r="I49" s="34">
        <f>DAYS360(DEFIS!G37,H49)</f>
        <v>-42570</v>
      </c>
      <c r="J49" s="39">
        <f ca="1">IF(Tabela5[[#This Row],[ENTREGA]]="",Tabela5[[#This Row],[VENCIMENTO]]-TODAY(),"")</f>
        <v>-53</v>
      </c>
      <c r="K49" s="41" t="str">
        <f t="shared" si="0"/>
        <v>No Prazo</v>
      </c>
      <c r="DE49" s="41"/>
      <c r="DH49" s="32"/>
      <c r="DJ49" s="12"/>
      <c r="DL49" s="34"/>
      <c r="DM49" s="39"/>
      <c r="DN49" s="41"/>
      <c r="DQ49" s="32"/>
      <c r="DS49" s="12"/>
      <c r="DU49" s="34"/>
      <c r="DV49" s="39"/>
      <c r="DW49" s="41"/>
      <c r="DZ49" s="32"/>
      <c r="EB49" s="12"/>
      <c r="ED49" s="34"/>
      <c r="EE49" s="39"/>
      <c r="EF49" s="41"/>
      <c r="EI49" s="32"/>
      <c r="EK49" s="12"/>
      <c r="EM49" s="34"/>
      <c r="EN49" s="39"/>
      <c r="EO49" s="41"/>
      <c r="ER49" s="32"/>
      <c r="ET49" s="12"/>
      <c r="EV49" s="34"/>
      <c r="EW49" s="39"/>
      <c r="EX49" s="41"/>
      <c r="FA49" s="32"/>
      <c r="FC49" s="12"/>
      <c r="FE49" s="34"/>
      <c r="FF49" s="39"/>
      <c r="FG49" s="41"/>
      <c r="FJ49" s="32"/>
      <c r="FL49" s="12"/>
      <c r="FN49" s="34"/>
      <c r="FO49" s="39"/>
      <c r="FP49" s="41"/>
      <c r="FS49" s="32"/>
      <c r="FU49" s="12"/>
      <c r="FW49" s="34"/>
      <c r="FX49" s="39"/>
      <c r="FY49" s="41"/>
      <c r="GB49" s="32"/>
      <c r="GD49" s="12"/>
      <c r="GF49" s="34"/>
      <c r="GG49" s="39"/>
      <c r="GH49" s="41"/>
      <c r="GK49" s="32"/>
      <c r="GM49" s="12"/>
      <c r="GO49" s="34"/>
      <c r="GP49" s="39"/>
      <c r="GQ49" s="41"/>
      <c r="GT49" s="32"/>
      <c r="GV49" s="12"/>
      <c r="GX49" s="34"/>
      <c r="GY49" s="39"/>
      <c r="GZ49" s="41"/>
      <c r="HC49" s="32"/>
      <c r="HE49" s="12"/>
      <c r="HG49" s="34"/>
      <c r="HH49" s="39"/>
      <c r="HI49" s="41"/>
      <c r="HL49" s="32"/>
      <c r="HN49" s="12"/>
      <c r="HP49" s="34"/>
      <c r="HQ49" s="39"/>
      <c r="HR49" s="41"/>
      <c r="HU49" s="32"/>
      <c r="HW49" s="12"/>
      <c r="HY49" s="34"/>
      <c r="HZ49" s="39"/>
      <c r="IA49" s="41"/>
      <c r="ID49" s="32"/>
      <c r="IF49" s="12"/>
      <c r="IH49" s="34"/>
      <c r="II49" s="39"/>
      <c r="IJ49" s="41"/>
      <c r="IM49" s="32"/>
      <c r="IO49" s="12"/>
      <c r="IQ49" s="34"/>
      <c r="IR49" s="39"/>
      <c r="IS49" s="41"/>
      <c r="IV49" s="32"/>
      <c r="IX49" s="12"/>
      <c r="IZ49" s="34"/>
      <c r="JA49" s="39"/>
      <c r="JB49" s="41"/>
      <c r="JE49" s="32"/>
      <c r="JG49" s="12"/>
      <c r="JI49" s="34"/>
      <c r="JJ49" s="39"/>
      <c r="JK49" s="41"/>
      <c r="JN49" s="32"/>
      <c r="JP49" s="12"/>
      <c r="JR49" s="34"/>
      <c r="JS49" s="39"/>
      <c r="JT49" s="41"/>
      <c r="JW49" s="32"/>
      <c r="JY49" s="12"/>
      <c r="KA49" s="34"/>
      <c r="KB49" s="39"/>
      <c r="KC49" s="41"/>
      <c r="KF49" s="32"/>
      <c r="KH49" s="12"/>
      <c r="KJ49" s="34"/>
      <c r="KK49" s="39"/>
      <c r="KL49" s="41"/>
      <c r="KO49" s="32"/>
      <c r="KQ49" s="12"/>
      <c r="KS49" s="34"/>
      <c r="KT49" s="39"/>
      <c r="KU49" s="41"/>
      <c r="KX49" s="32"/>
      <c r="KZ49" s="12"/>
      <c r="LB49" s="34"/>
      <c r="LC49" s="39"/>
      <c r="LD49" s="41"/>
      <c r="LG49" s="32"/>
      <c r="LI49" s="12"/>
      <c r="LK49" s="34"/>
      <c r="LL49" s="39"/>
      <c r="LM49" s="41"/>
      <c r="LP49" s="32"/>
      <c r="LR49" s="12"/>
      <c r="LT49" s="34"/>
      <c r="LU49" s="39"/>
      <c r="LV49" s="41"/>
      <c r="LY49" s="32"/>
      <c r="MA49" s="12"/>
      <c r="MC49" s="34"/>
      <c r="MD49" s="39"/>
      <c r="ME49" s="41"/>
      <c r="MH49" s="32"/>
      <c r="MJ49" s="12"/>
      <c r="ML49" s="34"/>
      <c r="MM49" s="39"/>
      <c r="MN49" s="41"/>
      <c r="MQ49" s="32"/>
      <c r="MS49" s="12"/>
      <c r="MU49" s="34"/>
      <c r="MV49" s="39"/>
      <c r="MW49" s="41"/>
      <c r="MZ49" s="32"/>
      <c r="NB49" s="12"/>
      <c r="ND49" s="34"/>
      <c r="NE49" s="39"/>
      <c r="NF49" s="41"/>
      <c r="NI49" s="32"/>
      <c r="NK49" s="12"/>
      <c r="NM49" s="34"/>
      <c r="NN49" s="39"/>
      <c r="NO49" s="41"/>
      <c r="NR49" s="32"/>
      <c r="NT49" s="12"/>
      <c r="NV49" s="34"/>
      <c r="NW49" s="39"/>
      <c r="NX49" s="41"/>
      <c r="OA49" s="32"/>
      <c r="OC49" s="12"/>
      <c r="OE49" s="34"/>
      <c r="OF49" s="39"/>
      <c r="OG49" s="41"/>
      <c r="OJ49" s="32"/>
      <c r="OL49" s="12"/>
      <c r="ON49" s="34"/>
      <c r="OO49" s="39"/>
      <c r="OP49" s="41"/>
      <c r="OS49" s="32"/>
      <c r="OU49" s="12"/>
      <c r="OW49" s="34"/>
      <c r="OX49" s="39"/>
      <c r="OY49" s="41"/>
      <c r="PB49" s="32"/>
      <c r="PD49" s="12"/>
      <c r="PF49" s="34"/>
      <c r="PG49" s="39"/>
      <c r="PH49" s="41"/>
      <c r="PK49" s="32"/>
      <c r="PM49" s="12"/>
      <c r="PO49" s="34"/>
      <c r="PP49" s="39"/>
      <c r="PQ49" s="41"/>
      <c r="PT49" s="32"/>
      <c r="PV49" s="12"/>
      <c r="PX49" s="34"/>
      <c r="PY49" s="39"/>
      <c r="PZ49" s="41"/>
      <c r="QC49" s="32"/>
      <c r="QE49" s="12"/>
      <c r="QG49" s="34"/>
      <c r="QH49" s="39"/>
      <c r="QI49" s="41"/>
      <c r="QL49" s="32"/>
      <c r="QN49" s="12"/>
      <c r="QP49" s="34"/>
      <c r="QQ49" s="39"/>
      <c r="QR49" s="41"/>
      <c r="QU49" s="32"/>
      <c r="QW49" s="12"/>
      <c r="QY49" s="34"/>
      <c r="QZ49" s="39"/>
      <c r="RA49" s="41"/>
      <c r="RD49" s="32"/>
      <c r="RF49" s="12"/>
      <c r="RH49" s="34"/>
      <c r="RI49" s="39"/>
      <c r="RJ49" s="41"/>
      <c r="RM49" s="32"/>
      <c r="RO49" s="12"/>
      <c r="RQ49" s="34"/>
      <c r="RR49" s="39"/>
      <c r="RS49" s="41"/>
      <c r="RV49" s="32"/>
      <c r="RX49" s="12"/>
      <c r="RZ49" s="34"/>
      <c r="SA49" s="39"/>
      <c r="SB49" s="41"/>
      <c r="SE49" s="32"/>
      <c r="SG49" s="12"/>
      <c r="SI49" s="34"/>
      <c r="SJ49" s="39"/>
      <c r="SK49" s="41"/>
      <c r="SN49" s="32"/>
      <c r="SP49" s="12"/>
      <c r="SR49" s="34"/>
      <c r="SS49" s="39"/>
      <c r="ST49" s="41"/>
      <c r="SW49" s="32"/>
      <c r="SY49" s="12"/>
      <c r="TA49" s="34"/>
      <c r="TB49" s="39"/>
      <c r="TC49" s="41"/>
      <c r="TF49" s="32"/>
      <c r="TH49" s="12"/>
      <c r="TJ49" s="34"/>
      <c r="TK49" s="39"/>
      <c r="TL49" s="41"/>
      <c r="TO49" s="32"/>
      <c r="TQ49" s="12"/>
      <c r="TS49" s="34"/>
      <c r="TT49" s="39"/>
      <c r="TU49" s="41"/>
      <c r="TX49" s="32"/>
      <c r="TZ49" s="12"/>
      <c r="UB49" s="34"/>
      <c r="UC49" s="39"/>
      <c r="UD49" s="41"/>
      <c r="UG49" s="32"/>
      <c r="UI49" s="12"/>
      <c r="UK49" s="34"/>
      <c r="UL49" s="39"/>
      <c r="UM49" s="41"/>
      <c r="UP49" s="32"/>
      <c r="UR49" s="12"/>
      <c r="UT49" s="34"/>
      <c r="UU49" s="39"/>
      <c r="UV49" s="41"/>
      <c r="UY49" s="32"/>
      <c r="VA49" s="12"/>
      <c r="VC49" s="34"/>
      <c r="VD49" s="39"/>
      <c r="VE49" s="41"/>
      <c r="VH49" s="32"/>
      <c r="VJ49" s="12"/>
      <c r="VL49" s="34"/>
      <c r="VM49" s="39"/>
      <c r="VN49" s="41"/>
      <c r="VQ49" s="32"/>
      <c r="VS49" s="12"/>
      <c r="VU49" s="34"/>
      <c r="VV49" s="39"/>
      <c r="VW49" s="41"/>
      <c r="VZ49" s="32"/>
      <c r="WB49" s="12"/>
      <c r="WD49" s="34"/>
      <c r="WE49" s="39"/>
      <c r="WF49" s="41"/>
      <c r="WI49" s="32"/>
      <c r="WK49" s="12"/>
      <c r="WM49" s="34"/>
      <c r="WN49" s="39"/>
      <c r="WO49" s="41"/>
      <c r="WR49" s="32"/>
      <c r="WT49" s="12"/>
      <c r="WV49" s="34"/>
      <c r="WW49" s="39"/>
      <c r="WX49" s="41"/>
      <c r="XA49" s="32"/>
      <c r="XC49" s="12"/>
      <c r="XE49" s="34"/>
      <c r="XF49" s="39"/>
      <c r="XG49" s="41"/>
      <c r="XJ49" s="32"/>
      <c r="XL49" s="12"/>
      <c r="XN49" s="34"/>
      <c r="XO49" s="39"/>
      <c r="XP49" s="41"/>
      <c r="XS49" s="32"/>
      <c r="XU49" s="12"/>
      <c r="XW49" s="34"/>
      <c r="XX49" s="39"/>
      <c r="XY49" s="41"/>
      <c r="YB49" s="32"/>
      <c r="YD49" s="12"/>
      <c r="YF49" s="34"/>
      <c r="YG49" s="39"/>
      <c r="YH49" s="41"/>
      <c r="YK49" s="32"/>
      <c r="YM49" s="12"/>
      <c r="YO49" s="34"/>
      <c r="YP49" s="39"/>
      <c r="YQ49" s="41"/>
      <c r="YT49" s="32"/>
      <c r="YV49" s="12"/>
      <c r="YX49" s="34"/>
      <c r="YY49" s="39"/>
      <c r="YZ49" s="41"/>
      <c r="ZC49" s="32"/>
      <c r="ZE49" s="12"/>
      <c r="ZG49" s="34"/>
      <c r="ZH49" s="39"/>
      <c r="ZI49" s="41"/>
      <c r="ZL49" s="32"/>
      <c r="ZN49" s="12"/>
      <c r="ZP49" s="34"/>
      <c r="ZQ49" s="39"/>
      <c r="ZR49" s="41"/>
      <c r="ZU49" s="32"/>
      <c r="ZW49" s="12"/>
      <c r="ZY49" s="34"/>
      <c r="ZZ49" s="39"/>
      <c r="AAA49" s="41"/>
      <c r="AAD49" s="32"/>
      <c r="AAF49" s="12"/>
      <c r="AAH49" s="34"/>
      <c r="AAI49" s="39"/>
      <c r="AAJ49" s="41"/>
      <c r="AAM49" s="32"/>
      <c r="AAO49" s="12"/>
      <c r="AAQ49" s="34"/>
      <c r="AAR49" s="39"/>
      <c r="AAS49" s="41"/>
      <c r="AAV49" s="32"/>
      <c r="AAX49" s="12"/>
      <c r="AAZ49" s="34"/>
      <c r="ABA49" s="39"/>
      <c r="ABB49" s="41"/>
      <c r="ABE49" s="32"/>
      <c r="ABG49" s="12"/>
      <c r="ABI49" s="34"/>
      <c r="ABJ49" s="39"/>
      <c r="ABK49" s="41"/>
      <c r="ABN49" s="32"/>
      <c r="ABP49" s="12"/>
      <c r="ABR49" s="34"/>
      <c r="ABS49" s="39"/>
      <c r="ABT49" s="41"/>
      <c r="ABW49" s="32"/>
      <c r="ABY49" s="12"/>
      <c r="ACA49" s="34"/>
      <c r="ACB49" s="39"/>
      <c r="ACC49" s="41"/>
      <c r="ACF49" s="32"/>
      <c r="ACH49" s="12"/>
      <c r="ACJ49" s="34"/>
      <c r="ACK49" s="39"/>
      <c r="ACL49" s="41"/>
      <c r="ACO49" s="32"/>
      <c r="ACQ49" s="12"/>
      <c r="ACS49" s="34"/>
      <c r="ACT49" s="39"/>
      <c r="ACU49" s="41"/>
      <c r="ACX49" s="32"/>
      <c r="ACZ49" s="12"/>
      <c r="ADB49" s="34"/>
      <c r="ADC49" s="39"/>
      <c r="ADD49" s="41"/>
      <c r="ADG49" s="32"/>
      <c r="ADI49" s="12"/>
      <c r="ADK49" s="34"/>
      <c r="ADL49" s="39"/>
      <c r="ADM49" s="41"/>
      <c r="ADP49" s="32"/>
      <c r="ADR49" s="12"/>
      <c r="ADT49" s="34"/>
      <c r="ADU49" s="39"/>
      <c r="ADV49" s="41"/>
      <c r="ADY49" s="32"/>
      <c r="AEA49" s="12"/>
      <c r="AEC49" s="34"/>
      <c r="AED49" s="39"/>
      <c r="AEE49" s="41"/>
      <c r="AEH49" s="32"/>
      <c r="AEJ49" s="12"/>
      <c r="AEL49" s="34"/>
      <c r="AEM49" s="39"/>
      <c r="AEN49" s="41"/>
      <c r="AEQ49" s="32"/>
      <c r="AES49" s="12"/>
      <c r="AEU49" s="34"/>
      <c r="AEV49" s="39"/>
      <c r="AEW49" s="41"/>
      <c r="AEZ49" s="32"/>
      <c r="AFB49" s="12"/>
      <c r="AFD49" s="34"/>
      <c r="AFE49" s="39"/>
      <c r="AFF49" s="41"/>
      <c r="AFI49" s="32"/>
      <c r="AFK49" s="12"/>
      <c r="AFM49" s="34"/>
      <c r="AFN49" s="39"/>
      <c r="AFO49" s="41"/>
      <c r="AFR49" s="32"/>
      <c r="AFT49" s="12"/>
      <c r="AFV49" s="34"/>
      <c r="AFW49" s="39"/>
      <c r="AFX49" s="41"/>
      <c r="AGA49" s="32"/>
      <c r="AGC49" s="12"/>
      <c r="AGE49" s="34"/>
      <c r="AGF49" s="39"/>
      <c r="AGG49" s="41"/>
      <c r="AGJ49" s="32"/>
      <c r="AGL49" s="12"/>
      <c r="AGN49" s="34"/>
      <c r="AGO49" s="39"/>
      <c r="AGP49" s="41"/>
      <c r="AGS49" s="32"/>
      <c r="AGU49" s="12"/>
      <c r="AGW49" s="34"/>
      <c r="AGX49" s="39"/>
      <c r="AGY49" s="41"/>
      <c r="AHB49" s="32"/>
      <c r="AHD49" s="12"/>
      <c r="AHF49" s="34"/>
      <c r="AHG49" s="39"/>
      <c r="AHH49" s="41"/>
      <c r="AHK49" s="32"/>
      <c r="AHM49" s="12"/>
      <c r="AHO49" s="34"/>
      <c r="AHP49" s="39"/>
      <c r="AHQ49" s="41"/>
      <c r="AHT49" s="32"/>
      <c r="AHV49" s="12"/>
      <c r="AHX49" s="34"/>
      <c r="AHY49" s="39"/>
      <c r="AHZ49" s="41"/>
      <c r="AIC49" s="32"/>
      <c r="AIE49" s="12"/>
      <c r="AIG49" s="34"/>
      <c r="AIH49" s="39"/>
      <c r="AII49" s="41"/>
      <c r="AIL49" s="32"/>
      <c r="AIN49" s="12"/>
      <c r="AIP49" s="34"/>
      <c r="AIQ49" s="39"/>
      <c r="AIR49" s="41"/>
      <c r="AIU49" s="32"/>
      <c r="AIW49" s="12"/>
      <c r="AIY49" s="34"/>
      <c r="AIZ49" s="39"/>
      <c r="AJA49" s="41"/>
      <c r="AJD49" s="32"/>
      <c r="AJF49" s="12"/>
      <c r="AJH49" s="34"/>
      <c r="AJI49" s="39"/>
      <c r="AJJ49" s="41"/>
      <c r="AJM49" s="32"/>
      <c r="AJO49" s="12"/>
      <c r="AJQ49" s="34"/>
      <c r="AJR49" s="39"/>
      <c r="AJS49" s="41"/>
      <c r="AJV49" s="32"/>
      <c r="AJX49" s="12"/>
      <c r="AJZ49" s="34"/>
      <c r="AKA49" s="39"/>
      <c r="AKB49" s="41"/>
      <c r="AKE49" s="32"/>
      <c r="AKG49" s="12"/>
      <c r="AKI49" s="34"/>
      <c r="AKJ49" s="39"/>
      <c r="AKK49" s="41"/>
      <c r="AKN49" s="32"/>
      <c r="AKP49" s="12"/>
      <c r="AKR49" s="34"/>
      <c r="AKS49" s="39"/>
      <c r="AKT49" s="41"/>
      <c r="AKW49" s="32"/>
      <c r="AKY49" s="12"/>
      <c r="ALA49" s="34"/>
      <c r="ALB49" s="39"/>
      <c r="ALC49" s="41"/>
      <c r="ALF49" s="32"/>
      <c r="ALH49" s="12"/>
      <c r="ALJ49" s="34"/>
      <c r="ALK49" s="39"/>
      <c r="ALL49" s="41"/>
      <c r="ALO49" s="32"/>
      <c r="ALQ49" s="12"/>
      <c r="ALS49" s="34"/>
      <c r="ALT49" s="39"/>
      <c r="ALU49" s="41"/>
      <c r="ALX49" s="32"/>
      <c r="ALZ49" s="12"/>
      <c r="AMB49" s="34"/>
      <c r="AMC49" s="39"/>
      <c r="AMD49" s="41"/>
      <c r="AMG49" s="32"/>
      <c r="AMI49" s="12"/>
      <c r="AMK49" s="34"/>
      <c r="AML49" s="39"/>
      <c r="AMM49" s="41"/>
      <c r="AMP49" s="32"/>
      <c r="AMR49" s="12"/>
      <c r="AMT49" s="34"/>
      <c r="AMU49" s="39"/>
      <c r="AMV49" s="41"/>
      <c r="AMY49" s="32"/>
      <c r="ANA49" s="12"/>
      <c r="ANC49" s="34"/>
      <c r="AND49" s="39"/>
      <c r="ANE49" s="41"/>
      <c r="ANH49" s="32"/>
      <c r="ANJ49" s="12"/>
      <c r="ANL49" s="34"/>
      <c r="ANM49" s="39"/>
      <c r="ANN49" s="41"/>
      <c r="ANQ49" s="32"/>
      <c r="ANS49" s="12"/>
      <c r="ANU49" s="34"/>
      <c r="ANV49" s="39"/>
      <c r="ANW49" s="41"/>
      <c r="ANZ49" s="32"/>
      <c r="AOB49" s="12"/>
      <c r="AOD49" s="34"/>
      <c r="AOE49" s="39"/>
      <c r="AOF49" s="41"/>
      <c r="AOI49" s="32"/>
      <c r="AOK49" s="12"/>
      <c r="AOM49" s="34"/>
      <c r="AON49" s="39"/>
      <c r="AOO49" s="41"/>
      <c r="AOR49" s="32"/>
      <c r="AOT49" s="12"/>
      <c r="AOV49" s="34"/>
      <c r="AOW49" s="39"/>
      <c r="AOX49" s="41"/>
      <c r="APA49" s="32"/>
      <c r="APC49" s="12"/>
      <c r="APE49" s="34"/>
      <c r="APF49" s="39"/>
      <c r="APG49" s="41"/>
      <c r="APJ49" s="32"/>
      <c r="APL49" s="12"/>
      <c r="APN49" s="34"/>
      <c r="APO49" s="39"/>
      <c r="APP49" s="41"/>
      <c r="APS49" s="32"/>
      <c r="APU49" s="12"/>
      <c r="APW49" s="34"/>
      <c r="APX49" s="39"/>
      <c r="APY49" s="41"/>
      <c r="AQB49" s="32"/>
      <c r="AQD49" s="12"/>
      <c r="AQF49" s="34"/>
      <c r="AQG49" s="39"/>
      <c r="AQH49" s="41"/>
      <c r="AQK49" s="32"/>
      <c r="AQM49" s="12"/>
      <c r="AQO49" s="34"/>
      <c r="AQP49" s="39"/>
      <c r="AQQ49" s="41"/>
      <c r="AQT49" s="32"/>
      <c r="AQV49" s="12"/>
      <c r="AQX49" s="34"/>
      <c r="AQY49" s="39"/>
      <c r="AQZ49" s="41"/>
      <c r="ARC49" s="32"/>
      <c r="ARE49" s="12"/>
      <c r="ARG49" s="34"/>
      <c r="ARH49" s="39"/>
      <c r="ARI49" s="41"/>
      <c r="ARL49" s="32"/>
      <c r="ARN49" s="12"/>
      <c r="ARP49" s="34"/>
      <c r="ARQ49" s="39"/>
      <c r="ARR49" s="41"/>
      <c r="ARU49" s="32"/>
      <c r="ARW49" s="12"/>
      <c r="ARY49" s="34"/>
      <c r="ARZ49" s="39"/>
      <c r="ASA49" s="41"/>
      <c r="ASD49" s="32"/>
      <c r="ASF49" s="12"/>
      <c r="ASH49" s="34"/>
      <c r="ASI49" s="39"/>
      <c r="ASJ49" s="41"/>
      <c r="ASM49" s="32"/>
      <c r="ASO49" s="12"/>
      <c r="ASQ49" s="34"/>
      <c r="ASR49" s="39"/>
      <c r="ASS49" s="41"/>
      <c r="ASV49" s="32"/>
      <c r="ASX49" s="12"/>
      <c r="ASZ49" s="34"/>
      <c r="ATA49" s="39"/>
      <c r="ATB49" s="41"/>
      <c r="ATE49" s="32"/>
      <c r="ATG49" s="12"/>
      <c r="ATI49" s="34"/>
      <c r="ATJ49" s="39"/>
      <c r="ATK49" s="41"/>
      <c r="ATN49" s="32"/>
      <c r="ATP49" s="12"/>
      <c r="ATR49" s="34"/>
      <c r="ATS49" s="39"/>
      <c r="ATT49" s="41"/>
      <c r="ATW49" s="32"/>
      <c r="ATY49" s="12"/>
      <c r="AUA49" s="34"/>
      <c r="AUB49" s="39"/>
      <c r="AUC49" s="41"/>
      <c r="AUF49" s="32"/>
      <c r="AUH49" s="12"/>
      <c r="AUJ49" s="34"/>
      <c r="AUK49" s="39"/>
      <c r="AUL49" s="41"/>
      <c r="AUO49" s="32"/>
      <c r="AUQ49" s="12"/>
      <c r="AUS49" s="34"/>
      <c r="AUT49" s="39"/>
      <c r="AUU49" s="41"/>
      <c r="AUX49" s="32"/>
      <c r="AUZ49" s="12"/>
      <c r="AVB49" s="34"/>
      <c r="AVC49" s="39"/>
      <c r="AVD49" s="41"/>
      <c r="AVG49" s="32"/>
      <c r="AVI49" s="12"/>
      <c r="AVK49" s="34"/>
      <c r="AVL49" s="39"/>
      <c r="AVM49" s="41"/>
      <c r="AVP49" s="32"/>
      <c r="AVR49" s="12"/>
      <c r="AVT49" s="34"/>
      <c r="AVU49" s="39"/>
      <c r="AVV49" s="41"/>
      <c r="AVY49" s="32"/>
      <c r="AWA49" s="12"/>
      <c r="AWC49" s="34"/>
      <c r="AWD49" s="39"/>
      <c r="AWE49" s="41"/>
      <c r="AWH49" s="32"/>
      <c r="AWJ49" s="12"/>
      <c r="AWL49" s="34"/>
      <c r="AWM49" s="39"/>
      <c r="AWN49" s="41"/>
      <c r="AWQ49" s="32"/>
      <c r="AWS49" s="12"/>
      <c r="AWU49" s="34"/>
      <c r="AWV49" s="39"/>
      <c r="AWW49" s="41"/>
      <c r="AWZ49" s="32"/>
      <c r="AXB49" s="12"/>
      <c r="AXD49" s="34"/>
      <c r="AXE49" s="39"/>
      <c r="AXF49" s="41"/>
      <c r="AXI49" s="32"/>
      <c r="AXK49" s="12"/>
      <c r="AXM49" s="34"/>
      <c r="AXN49" s="39"/>
      <c r="AXO49" s="41"/>
      <c r="AXR49" s="32"/>
      <c r="AXT49" s="12"/>
      <c r="AXV49" s="34"/>
      <c r="AXW49" s="39"/>
      <c r="AXX49" s="41"/>
      <c r="AYA49" s="32"/>
      <c r="AYC49" s="12"/>
      <c r="AYE49" s="34"/>
      <c r="AYF49" s="39"/>
      <c r="AYG49" s="41"/>
      <c r="AYJ49" s="32"/>
      <c r="AYL49" s="12"/>
      <c r="AYN49" s="34"/>
      <c r="AYO49" s="39"/>
      <c r="AYP49" s="41"/>
      <c r="AYS49" s="32"/>
      <c r="AYU49" s="12"/>
      <c r="AYW49" s="34"/>
      <c r="AYX49" s="39"/>
      <c r="AYY49" s="41"/>
      <c r="AZB49" s="32"/>
      <c r="AZD49" s="12"/>
      <c r="AZF49" s="34"/>
      <c r="AZG49" s="39"/>
      <c r="AZH49" s="41"/>
      <c r="AZK49" s="32"/>
      <c r="AZM49" s="12"/>
      <c r="AZO49" s="34"/>
      <c r="AZP49" s="39"/>
      <c r="AZQ49" s="41"/>
      <c r="AZT49" s="32"/>
      <c r="AZV49" s="12"/>
      <c r="AZX49" s="34"/>
      <c r="AZY49" s="39"/>
      <c r="AZZ49" s="41"/>
      <c r="BAC49" s="32"/>
      <c r="BAE49" s="12"/>
      <c r="BAG49" s="34"/>
      <c r="BAH49" s="39"/>
      <c r="BAI49" s="41"/>
      <c r="BAL49" s="32"/>
      <c r="BAN49" s="12"/>
      <c r="BAP49" s="34"/>
      <c r="BAQ49" s="39"/>
      <c r="BAR49" s="41"/>
      <c r="BAU49" s="32"/>
      <c r="BAW49" s="12"/>
      <c r="BAY49" s="34"/>
      <c r="BAZ49" s="39"/>
      <c r="BBA49" s="41"/>
      <c r="BBD49" s="32"/>
      <c r="BBF49" s="12"/>
      <c r="BBH49" s="34"/>
      <c r="BBI49" s="39"/>
      <c r="BBJ49" s="41"/>
      <c r="BBM49" s="32"/>
      <c r="BBO49" s="12"/>
      <c r="BBQ49" s="34"/>
      <c r="BBR49" s="39"/>
      <c r="BBS49" s="41"/>
      <c r="BBV49" s="32"/>
      <c r="BBX49" s="12"/>
      <c r="BBZ49" s="34"/>
      <c r="BCA49" s="39"/>
      <c r="BCB49" s="41"/>
      <c r="BCE49" s="32"/>
      <c r="BCG49" s="12"/>
      <c r="BCI49" s="34"/>
      <c r="BCJ49" s="39"/>
      <c r="BCK49" s="41"/>
      <c r="BCN49" s="32"/>
      <c r="BCP49" s="12"/>
      <c r="BCR49" s="34"/>
      <c r="BCS49" s="39"/>
      <c r="BCT49" s="41"/>
      <c r="BCW49" s="32"/>
      <c r="BCY49" s="12"/>
      <c r="BDA49" s="34"/>
      <c r="BDB49" s="39"/>
      <c r="BDC49" s="41"/>
      <c r="BDF49" s="32"/>
      <c r="BDH49" s="12"/>
      <c r="BDJ49" s="34"/>
      <c r="BDK49" s="39"/>
      <c r="BDL49" s="41"/>
      <c r="BDO49" s="32"/>
      <c r="BDQ49" s="12"/>
      <c r="BDS49" s="34"/>
      <c r="BDT49" s="39"/>
      <c r="BDU49" s="41"/>
      <c r="BDX49" s="32"/>
      <c r="BDZ49" s="12"/>
      <c r="BEB49" s="34"/>
      <c r="BEC49" s="39"/>
      <c r="BED49" s="41"/>
      <c r="BEG49" s="32"/>
      <c r="BEI49" s="12"/>
      <c r="BEK49" s="34"/>
      <c r="BEL49" s="39"/>
      <c r="BEM49" s="41"/>
      <c r="BEP49" s="32"/>
      <c r="BER49" s="12"/>
      <c r="BET49" s="34"/>
      <c r="BEU49" s="39"/>
      <c r="BEV49" s="41"/>
      <c r="BEY49" s="32"/>
      <c r="BFA49" s="12"/>
      <c r="BFC49" s="34"/>
      <c r="BFD49" s="39"/>
      <c r="BFE49" s="41"/>
      <c r="BFH49" s="32"/>
      <c r="BFJ49" s="12"/>
      <c r="BFL49" s="34"/>
      <c r="BFM49" s="39"/>
      <c r="BFN49" s="41"/>
      <c r="BFQ49" s="32"/>
      <c r="BFS49" s="12"/>
      <c r="BFU49" s="34"/>
      <c r="BFV49" s="39"/>
      <c r="BFW49" s="41"/>
      <c r="BFZ49" s="32"/>
      <c r="BGB49" s="12"/>
      <c r="BGD49" s="34"/>
      <c r="BGE49" s="39"/>
      <c r="BGF49" s="41"/>
      <c r="BGI49" s="32"/>
      <c r="BGK49" s="12"/>
      <c r="BGM49" s="34"/>
      <c r="BGN49" s="39"/>
      <c r="BGO49" s="41"/>
      <c r="BGR49" s="32"/>
      <c r="BGT49" s="12"/>
      <c r="BGV49" s="34"/>
      <c r="BGW49" s="39"/>
      <c r="BGX49" s="41"/>
      <c r="BHA49" s="32"/>
      <c r="BHC49" s="12"/>
      <c r="BHE49" s="34"/>
      <c r="BHF49" s="39"/>
      <c r="BHG49" s="41"/>
      <c r="BHJ49" s="32"/>
      <c r="BHL49" s="12"/>
      <c r="BHN49" s="34"/>
      <c r="BHO49" s="39"/>
      <c r="BHP49" s="41"/>
      <c r="BHS49" s="32"/>
      <c r="BHU49" s="12"/>
      <c r="BHW49" s="34"/>
      <c r="BHX49" s="39"/>
      <c r="BHY49" s="41"/>
      <c r="BIB49" s="32"/>
      <c r="BID49" s="12"/>
      <c r="BIF49" s="34"/>
      <c r="BIG49" s="39"/>
      <c r="BIH49" s="41"/>
      <c r="BIK49" s="32"/>
      <c r="BIM49" s="12"/>
      <c r="BIO49" s="34"/>
      <c r="BIP49" s="39"/>
      <c r="BIQ49" s="41"/>
      <c r="BIT49" s="32"/>
      <c r="BIV49" s="12"/>
      <c r="BIX49" s="34"/>
      <c r="BIY49" s="39"/>
      <c r="BIZ49" s="41"/>
      <c r="BJC49" s="32"/>
      <c r="BJE49" s="12"/>
      <c r="BJG49" s="34"/>
      <c r="BJH49" s="39"/>
      <c r="BJI49" s="41"/>
      <c r="BJL49" s="32"/>
      <c r="BJN49" s="12"/>
      <c r="BJP49" s="34"/>
      <c r="BJQ49" s="39"/>
      <c r="BJR49" s="41"/>
      <c r="BJU49" s="32"/>
      <c r="BJW49" s="12"/>
      <c r="BJY49" s="34"/>
      <c r="BJZ49" s="39"/>
      <c r="BKA49" s="41"/>
      <c r="BKD49" s="32"/>
      <c r="BKF49" s="12"/>
      <c r="BKH49" s="34"/>
      <c r="BKI49" s="39"/>
      <c r="BKJ49" s="41"/>
      <c r="BKM49" s="32"/>
      <c r="BKO49" s="12"/>
      <c r="BKQ49" s="34"/>
      <c r="BKR49" s="39"/>
      <c r="BKS49" s="41"/>
      <c r="BKV49" s="32"/>
      <c r="BKX49" s="12"/>
      <c r="BKZ49" s="34"/>
      <c r="BLA49" s="39"/>
      <c r="BLB49" s="41"/>
      <c r="BLE49" s="32"/>
      <c r="BLG49" s="12"/>
      <c r="BLI49" s="34"/>
      <c r="BLJ49" s="39"/>
      <c r="BLK49" s="41"/>
      <c r="BLN49" s="32"/>
      <c r="BLP49" s="12"/>
      <c r="BLR49" s="34"/>
      <c r="BLS49" s="39"/>
      <c r="BLT49" s="41"/>
      <c r="BLW49" s="32"/>
      <c r="BLY49" s="12"/>
      <c r="BMA49" s="34"/>
      <c r="BMB49" s="39"/>
      <c r="BMC49" s="41"/>
      <c r="BMF49" s="32"/>
      <c r="BMH49" s="12"/>
      <c r="BMJ49" s="34"/>
      <c r="BMK49" s="39"/>
      <c r="BML49" s="41"/>
      <c r="BMO49" s="32"/>
      <c r="BMQ49" s="12"/>
      <c r="BMS49" s="34"/>
      <c r="BMT49" s="39"/>
      <c r="BMU49" s="41"/>
      <c r="BMX49" s="32"/>
      <c r="BMZ49" s="12"/>
      <c r="BNB49" s="34"/>
      <c r="BNC49" s="39"/>
      <c r="BND49" s="41"/>
      <c r="BNG49" s="32"/>
      <c r="BNI49" s="12"/>
      <c r="BNK49" s="34"/>
      <c r="BNL49" s="39"/>
      <c r="BNM49" s="41"/>
      <c r="BNP49" s="32"/>
      <c r="BNR49" s="12"/>
      <c r="BNT49" s="34"/>
      <c r="BNU49" s="39"/>
      <c r="BNV49" s="41"/>
      <c r="BNY49" s="32"/>
      <c r="BOA49" s="12"/>
      <c r="BOC49" s="34"/>
      <c r="BOD49" s="39"/>
      <c r="BOE49" s="41"/>
      <c r="BOH49" s="32"/>
      <c r="BOJ49" s="12"/>
      <c r="BOL49" s="34"/>
      <c r="BOM49" s="39"/>
      <c r="BON49" s="41"/>
      <c r="BOQ49" s="32"/>
      <c r="BOS49" s="12"/>
      <c r="BOU49" s="34"/>
      <c r="BOV49" s="39"/>
      <c r="BOW49" s="41"/>
      <c r="BOZ49" s="32"/>
      <c r="BPB49" s="12"/>
      <c r="BPD49" s="34"/>
      <c r="BPE49" s="39"/>
      <c r="BPF49" s="41"/>
      <c r="BPI49" s="32"/>
      <c r="BPK49" s="12"/>
      <c r="BPM49" s="34"/>
      <c r="BPN49" s="39"/>
      <c r="BPO49" s="41"/>
      <c r="BPR49" s="32"/>
      <c r="BPT49" s="12"/>
      <c r="BPV49" s="34"/>
      <c r="BPW49" s="39"/>
      <c r="BPX49" s="41"/>
      <c r="BQA49" s="32"/>
      <c r="BQC49" s="12"/>
      <c r="BQE49" s="34"/>
      <c r="BQF49" s="39"/>
      <c r="BQG49" s="41"/>
      <c r="BQJ49" s="32"/>
      <c r="BQL49" s="12"/>
      <c r="BQN49" s="34"/>
      <c r="BQO49" s="39"/>
      <c r="BQP49" s="41"/>
      <c r="BQS49" s="32"/>
      <c r="BQU49" s="12"/>
      <c r="BQW49" s="34"/>
      <c r="BQX49" s="39"/>
      <c r="BQY49" s="41"/>
      <c r="BRB49" s="32"/>
      <c r="BRD49" s="12"/>
      <c r="BRF49" s="34"/>
      <c r="BRG49" s="39"/>
      <c r="BRH49" s="41"/>
      <c r="BRK49" s="32"/>
      <c r="BRM49" s="12"/>
      <c r="BRO49" s="34"/>
      <c r="BRP49" s="39"/>
      <c r="BRQ49" s="41"/>
      <c r="BRT49" s="32"/>
      <c r="BRV49" s="12"/>
      <c r="BRX49" s="34"/>
      <c r="BRY49" s="39"/>
      <c r="BRZ49" s="41"/>
      <c r="BSC49" s="32"/>
      <c r="BSE49" s="12"/>
      <c r="BSG49" s="34"/>
      <c r="BSH49" s="39"/>
      <c r="BSI49" s="41"/>
      <c r="BSL49" s="32"/>
      <c r="BSN49" s="12"/>
      <c r="BSP49" s="34"/>
      <c r="BSQ49" s="39"/>
      <c r="BSR49" s="41"/>
      <c r="BSU49" s="32"/>
      <c r="BSW49" s="12"/>
      <c r="BSY49" s="34"/>
      <c r="BSZ49" s="39"/>
      <c r="BTA49" s="41"/>
      <c r="BTD49" s="32"/>
      <c r="BTF49" s="12"/>
      <c r="BTH49" s="34"/>
      <c r="BTI49" s="39"/>
      <c r="BTJ49" s="41"/>
      <c r="BTM49" s="32"/>
      <c r="BTO49" s="12"/>
      <c r="BTQ49" s="34"/>
      <c r="BTR49" s="39"/>
      <c r="BTS49" s="41"/>
      <c r="BTV49" s="32"/>
      <c r="BTX49" s="12"/>
      <c r="BTZ49" s="34"/>
      <c r="BUA49" s="39"/>
      <c r="BUB49" s="41"/>
      <c r="BUE49" s="32"/>
      <c r="BUG49" s="12"/>
      <c r="BUI49" s="34"/>
      <c r="BUJ49" s="39"/>
      <c r="BUK49" s="41"/>
      <c r="BUN49" s="32"/>
      <c r="BUP49" s="12"/>
      <c r="BUR49" s="34"/>
      <c r="BUS49" s="39"/>
      <c r="BUT49" s="41"/>
      <c r="BUW49" s="32"/>
      <c r="BUY49" s="12"/>
      <c r="BVA49" s="34"/>
      <c r="BVB49" s="39"/>
      <c r="BVC49" s="41"/>
      <c r="BVF49" s="32"/>
      <c r="BVH49" s="12"/>
      <c r="BVJ49" s="34"/>
      <c r="BVK49" s="39"/>
      <c r="BVL49" s="41"/>
      <c r="BVO49" s="32"/>
      <c r="BVQ49" s="12"/>
      <c r="BVS49" s="34"/>
      <c r="BVT49" s="39"/>
      <c r="BVU49" s="41"/>
      <c r="BVX49" s="32"/>
      <c r="BVZ49" s="12"/>
      <c r="BWB49" s="34"/>
      <c r="BWC49" s="39"/>
      <c r="BWD49" s="41"/>
      <c r="BWG49" s="32"/>
      <c r="BWI49" s="12"/>
      <c r="BWK49" s="34"/>
      <c r="BWL49" s="39"/>
      <c r="BWM49" s="41"/>
      <c r="BWP49" s="32"/>
      <c r="BWR49" s="12"/>
      <c r="BWT49" s="34"/>
      <c r="BWU49" s="39"/>
      <c r="BWV49" s="41"/>
      <c r="BWY49" s="32"/>
      <c r="BXA49" s="12"/>
      <c r="BXC49" s="34"/>
      <c r="BXD49" s="39"/>
      <c r="BXE49" s="41"/>
      <c r="BXH49" s="32"/>
      <c r="BXJ49" s="12"/>
      <c r="BXL49" s="34"/>
      <c r="BXM49" s="39"/>
      <c r="BXN49" s="41"/>
      <c r="BXQ49" s="32"/>
      <c r="BXS49" s="12"/>
      <c r="BXU49" s="34"/>
      <c r="BXV49" s="39"/>
      <c r="BXW49" s="41"/>
      <c r="BXZ49" s="32"/>
      <c r="BYB49" s="12"/>
      <c r="BYD49" s="34"/>
      <c r="BYE49" s="39"/>
      <c r="BYF49" s="41"/>
      <c r="BYI49" s="32"/>
      <c r="BYK49" s="12"/>
      <c r="BYM49" s="34"/>
      <c r="BYN49" s="39"/>
      <c r="BYO49" s="41"/>
      <c r="BYR49" s="32"/>
      <c r="BYT49" s="12"/>
      <c r="BYV49" s="34"/>
      <c r="BYW49" s="39"/>
      <c r="BYX49" s="41"/>
      <c r="BZA49" s="32"/>
      <c r="BZC49" s="12"/>
      <c r="BZE49" s="34"/>
      <c r="BZF49" s="39"/>
      <c r="BZG49" s="41"/>
      <c r="BZJ49" s="32"/>
      <c r="BZL49" s="12"/>
      <c r="BZN49" s="34"/>
      <c r="BZO49" s="39"/>
      <c r="BZP49" s="41"/>
      <c r="BZS49" s="32"/>
      <c r="BZU49" s="12"/>
      <c r="BZW49" s="34"/>
      <c r="BZX49" s="39"/>
      <c r="BZY49" s="41"/>
      <c r="CAB49" s="32"/>
      <c r="CAD49" s="12"/>
      <c r="CAF49" s="34"/>
      <c r="CAG49" s="39"/>
      <c r="CAH49" s="41"/>
      <c r="CAK49" s="32"/>
      <c r="CAM49" s="12"/>
      <c r="CAO49" s="34"/>
      <c r="CAP49" s="39"/>
      <c r="CAQ49" s="41"/>
      <c r="CAT49" s="32"/>
      <c r="CAV49" s="12"/>
      <c r="CAX49" s="34"/>
      <c r="CAY49" s="39"/>
      <c r="CAZ49" s="41"/>
      <c r="CBC49" s="32"/>
      <c r="CBE49" s="12"/>
      <c r="CBG49" s="34"/>
      <c r="CBH49" s="39"/>
      <c r="CBI49" s="41"/>
      <c r="CBL49" s="32"/>
      <c r="CBN49" s="12"/>
      <c r="CBP49" s="34"/>
      <c r="CBQ49" s="39"/>
      <c r="CBR49" s="41"/>
      <c r="CBU49" s="32"/>
      <c r="CBW49" s="12"/>
      <c r="CBY49" s="34"/>
      <c r="CBZ49" s="39"/>
      <c r="CCA49" s="41"/>
      <c r="CCD49" s="32"/>
      <c r="CCF49" s="12"/>
      <c r="CCH49" s="34"/>
      <c r="CCI49" s="39"/>
      <c r="CCJ49" s="41"/>
      <c r="CCM49" s="32"/>
      <c r="CCO49" s="12"/>
      <c r="CCQ49" s="34"/>
      <c r="CCR49" s="39"/>
      <c r="CCS49" s="41"/>
      <c r="CCV49" s="32"/>
      <c r="CCX49" s="12"/>
      <c r="CCZ49" s="34"/>
      <c r="CDA49" s="39"/>
      <c r="CDB49" s="41"/>
      <c r="CDE49" s="32"/>
      <c r="CDG49" s="12"/>
      <c r="CDI49" s="34"/>
      <c r="CDJ49" s="39"/>
      <c r="CDK49" s="41"/>
      <c r="CDN49" s="32"/>
      <c r="CDP49" s="12"/>
      <c r="CDR49" s="34"/>
      <c r="CDS49" s="39"/>
      <c r="CDT49" s="41"/>
      <c r="CDW49" s="32"/>
      <c r="CDY49" s="12"/>
      <c r="CEA49" s="34"/>
      <c r="CEB49" s="39"/>
      <c r="CEC49" s="41"/>
      <c r="CEF49" s="32"/>
      <c r="CEH49" s="12"/>
      <c r="CEJ49" s="34"/>
      <c r="CEK49" s="39"/>
      <c r="CEL49" s="41"/>
      <c r="CEO49" s="32"/>
      <c r="CEQ49" s="12"/>
      <c r="CES49" s="34"/>
      <c r="CET49" s="39"/>
      <c r="CEU49" s="41"/>
      <c r="CEX49" s="32"/>
      <c r="CEZ49" s="12"/>
      <c r="CFB49" s="34"/>
      <c r="CFC49" s="39"/>
      <c r="CFD49" s="41"/>
      <c r="CFG49" s="32"/>
      <c r="CFI49" s="12"/>
      <c r="CFK49" s="34"/>
      <c r="CFL49" s="39"/>
      <c r="CFM49" s="41"/>
      <c r="CFP49" s="32"/>
      <c r="CFR49" s="12"/>
      <c r="CFT49" s="34"/>
      <c r="CFU49" s="39"/>
      <c r="CFV49" s="41"/>
      <c r="CFY49" s="32"/>
      <c r="CGA49" s="12"/>
      <c r="CGC49" s="34"/>
      <c r="CGD49" s="39"/>
      <c r="CGE49" s="41"/>
      <c r="CGH49" s="32"/>
      <c r="CGJ49" s="12"/>
      <c r="CGL49" s="34"/>
      <c r="CGM49" s="39"/>
      <c r="CGN49" s="41"/>
      <c r="CGQ49" s="32"/>
      <c r="CGS49" s="12"/>
      <c r="CGU49" s="34"/>
      <c r="CGV49" s="39"/>
      <c r="CGW49" s="41"/>
      <c r="CGZ49" s="32"/>
      <c r="CHB49" s="12"/>
      <c r="CHD49" s="34"/>
      <c r="CHE49" s="39"/>
      <c r="CHF49" s="41"/>
      <c r="CHI49" s="32"/>
      <c r="CHK49" s="12"/>
      <c r="CHM49" s="34"/>
      <c r="CHN49" s="39"/>
      <c r="CHO49" s="41"/>
      <c r="CHR49" s="32"/>
      <c r="CHT49" s="12"/>
      <c r="CHV49" s="34"/>
      <c r="CHW49" s="39"/>
      <c r="CHX49" s="41"/>
      <c r="CIA49" s="32"/>
      <c r="CIC49" s="12"/>
      <c r="CIE49" s="34"/>
      <c r="CIF49" s="39"/>
      <c r="CIG49" s="41"/>
      <c r="CIJ49" s="32"/>
      <c r="CIL49" s="12"/>
      <c r="CIN49" s="34"/>
      <c r="CIO49" s="39"/>
      <c r="CIP49" s="41"/>
      <c r="CIS49" s="32"/>
      <c r="CIU49" s="12"/>
      <c r="CIW49" s="34"/>
      <c r="CIX49" s="39"/>
      <c r="CIY49" s="41"/>
      <c r="CJB49" s="32"/>
      <c r="CJD49" s="12"/>
      <c r="CJF49" s="34"/>
      <c r="CJG49" s="39"/>
      <c r="CJH49" s="41"/>
      <c r="CJK49" s="32"/>
      <c r="CJM49" s="12"/>
      <c r="CJO49" s="34"/>
      <c r="CJP49" s="39"/>
      <c r="CJQ49" s="41"/>
      <c r="CJT49" s="32"/>
      <c r="CJV49" s="12"/>
      <c r="CJX49" s="34"/>
      <c r="CJY49" s="39"/>
      <c r="CJZ49" s="41"/>
      <c r="CKC49" s="32"/>
      <c r="CKE49" s="12"/>
      <c r="CKG49" s="34"/>
      <c r="CKH49" s="39"/>
      <c r="CKI49" s="41"/>
      <c r="CKL49" s="32"/>
      <c r="CKN49" s="12"/>
      <c r="CKP49" s="34"/>
      <c r="CKQ49" s="39"/>
      <c r="CKR49" s="41"/>
      <c r="CKU49" s="32"/>
      <c r="CKW49" s="12"/>
      <c r="CKY49" s="34"/>
      <c r="CKZ49" s="39"/>
      <c r="CLA49" s="41"/>
      <c r="CLD49" s="32"/>
      <c r="CLF49" s="12"/>
      <c r="CLH49" s="34"/>
      <c r="CLI49" s="39"/>
      <c r="CLJ49" s="41"/>
      <c r="CLM49" s="32"/>
      <c r="CLO49" s="12"/>
      <c r="CLQ49" s="34"/>
      <c r="CLR49" s="39"/>
      <c r="CLS49" s="41"/>
      <c r="CLV49" s="32"/>
      <c r="CLX49" s="12"/>
      <c r="CLZ49" s="34"/>
      <c r="CMA49" s="39"/>
      <c r="CMB49" s="41"/>
      <c r="CME49" s="32"/>
      <c r="CMG49" s="12"/>
      <c r="CMI49" s="34"/>
      <c r="CMJ49" s="39"/>
      <c r="CMK49" s="41"/>
      <c r="CMN49" s="32"/>
      <c r="CMP49" s="12"/>
      <c r="CMR49" s="34"/>
      <c r="CMS49" s="39"/>
      <c r="CMT49" s="41"/>
      <c r="CMW49" s="32"/>
      <c r="CMY49" s="12"/>
      <c r="CNA49" s="34"/>
      <c r="CNB49" s="39"/>
      <c r="CNC49" s="41"/>
      <c r="CNF49" s="32"/>
      <c r="CNH49" s="12"/>
      <c r="CNJ49" s="34"/>
      <c r="CNK49" s="39"/>
      <c r="CNL49" s="41"/>
      <c r="CNO49" s="32"/>
      <c r="CNQ49" s="12"/>
      <c r="CNS49" s="34"/>
      <c r="CNT49" s="39"/>
      <c r="CNU49" s="41"/>
      <c r="CNX49" s="32"/>
      <c r="CNZ49" s="12"/>
      <c r="COB49" s="34"/>
      <c r="COC49" s="39"/>
      <c r="COD49" s="41"/>
      <c r="COG49" s="32"/>
      <c r="COI49" s="12"/>
      <c r="COK49" s="34"/>
      <c r="COL49" s="39"/>
      <c r="COM49" s="41"/>
      <c r="COP49" s="32"/>
      <c r="COR49" s="12"/>
      <c r="COT49" s="34"/>
      <c r="COU49" s="39"/>
      <c r="COV49" s="41"/>
      <c r="COY49" s="32"/>
      <c r="CPA49" s="12"/>
      <c r="CPC49" s="34"/>
      <c r="CPD49" s="39"/>
      <c r="CPE49" s="41"/>
      <c r="CPH49" s="32"/>
      <c r="CPJ49" s="12"/>
      <c r="CPL49" s="34"/>
      <c r="CPM49" s="39"/>
      <c r="CPN49" s="41"/>
      <c r="CPQ49" s="32"/>
      <c r="CPS49" s="12"/>
      <c r="CPU49" s="34"/>
      <c r="CPV49" s="39"/>
      <c r="CPW49" s="41"/>
      <c r="CPZ49" s="32"/>
      <c r="CQB49" s="12"/>
      <c r="CQD49" s="34"/>
      <c r="CQE49" s="39"/>
      <c r="CQF49" s="41"/>
      <c r="CQI49" s="32"/>
      <c r="CQK49" s="12"/>
      <c r="CQM49" s="34"/>
      <c r="CQN49" s="39"/>
      <c r="CQO49" s="41"/>
      <c r="CQR49" s="32"/>
      <c r="CQT49" s="12"/>
      <c r="CQV49" s="34"/>
      <c r="CQW49" s="39"/>
      <c r="CQX49" s="41"/>
      <c r="CRA49" s="32"/>
      <c r="CRC49" s="12"/>
      <c r="CRE49" s="34"/>
      <c r="CRF49" s="39"/>
      <c r="CRG49" s="41"/>
      <c r="CRJ49" s="32"/>
      <c r="CRL49" s="12"/>
      <c r="CRN49" s="34"/>
      <c r="CRO49" s="39"/>
      <c r="CRP49" s="41"/>
      <c r="CRS49" s="32"/>
      <c r="CRU49" s="12"/>
      <c r="CRW49" s="34"/>
      <c r="CRX49" s="39"/>
      <c r="CRY49" s="41"/>
      <c r="CSB49" s="32"/>
      <c r="CSD49" s="12"/>
      <c r="CSF49" s="34"/>
      <c r="CSG49" s="39"/>
      <c r="CSH49" s="41"/>
      <c r="CSK49" s="32"/>
      <c r="CSM49" s="12"/>
      <c r="CSO49" s="34"/>
      <c r="CSP49" s="39"/>
      <c r="CSQ49" s="41"/>
      <c r="CST49" s="32"/>
      <c r="CSV49" s="12"/>
      <c r="CSX49" s="34"/>
      <c r="CSY49" s="39"/>
      <c r="CSZ49" s="41"/>
      <c r="CTC49" s="32"/>
      <c r="CTE49" s="12"/>
      <c r="CTG49" s="34"/>
      <c r="CTH49" s="39"/>
      <c r="CTI49" s="41"/>
      <c r="CTL49" s="32"/>
      <c r="CTN49" s="12"/>
      <c r="CTP49" s="34"/>
      <c r="CTQ49" s="39"/>
      <c r="CTR49" s="41"/>
      <c r="CTU49" s="32"/>
      <c r="CTW49" s="12"/>
      <c r="CTY49" s="34"/>
      <c r="CTZ49" s="39"/>
      <c r="CUA49" s="41"/>
      <c r="CUD49" s="32"/>
      <c r="CUF49" s="12"/>
      <c r="CUH49" s="34"/>
      <c r="CUI49" s="39"/>
      <c r="CUJ49" s="41"/>
      <c r="CUM49" s="32"/>
      <c r="CUO49" s="12"/>
      <c r="CUQ49" s="34"/>
      <c r="CUR49" s="39"/>
      <c r="CUS49" s="41"/>
      <c r="CUV49" s="32"/>
      <c r="CUX49" s="12"/>
      <c r="CUZ49" s="34"/>
      <c r="CVA49" s="39"/>
      <c r="CVB49" s="41"/>
      <c r="CVE49" s="32"/>
      <c r="CVG49" s="12"/>
      <c r="CVI49" s="34"/>
      <c r="CVJ49" s="39"/>
      <c r="CVK49" s="41"/>
      <c r="CVN49" s="32"/>
      <c r="CVP49" s="12"/>
      <c r="CVR49" s="34"/>
      <c r="CVS49" s="39"/>
      <c r="CVT49" s="41"/>
      <c r="CVW49" s="32"/>
      <c r="CVY49" s="12"/>
      <c r="CWA49" s="34"/>
      <c r="CWB49" s="39"/>
      <c r="CWC49" s="41"/>
      <c r="CWF49" s="32"/>
      <c r="CWH49" s="12"/>
      <c r="CWJ49" s="34"/>
      <c r="CWK49" s="39"/>
      <c r="CWL49" s="41"/>
      <c r="CWO49" s="32"/>
      <c r="CWQ49" s="12"/>
      <c r="CWS49" s="34"/>
      <c r="CWT49" s="39"/>
      <c r="CWU49" s="41"/>
      <c r="CWX49" s="32"/>
      <c r="CWZ49" s="12"/>
      <c r="CXB49" s="34"/>
      <c r="CXC49" s="39"/>
      <c r="CXD49" s="41"/>
      <c r="CXG49" s="32"/>
      <c r="CXI49" s="12"/>
      <c r="CXK49" s="34"/>
      <c r="CXL49" s="39"/>
      <c r="CXM49" s="41"/>
      <c r="CXP49" s="32"/>
      <c r="CXR49" s="12"/>
      <c r="CXT49" s="34"/>
      <c r="CXU49" s="39"/>
      <c r="CXV49" s="41"/>
      <c r="CXY49" s="32"/>
      <c r="CYA49" s="12"/>
      <c r="CYC49" s="34"/>
      <c r="CYD49" s="39"/>
      <c r="CYE49" s="41"/>
      <c r="CYH49" s="32"/>
      <c r="CYJ49" s="12"/>
      <c r="CYL49" s="34"/>
      <c r="CYM49" s="39"/>
      <c r="CYN49" s="41"/>
      <c r="CYQ49" s="32"/>
      <c r="CYS49" s="12"/>
      <c r="CYU49" s="34"/>
      <c r="CYV49" s="39"/>
      <c r="CYW49" s="41"/>
      <c r="CYZ49" s="32"/>
      <c r="CZB49" s="12"/>
      <c r="CZD49" s="34"/>
      <c r="CZE49" s="39"/>
      <c r="CZF49" s="41"/>
      <c r="CZI49" s="32"/>
      <c r="CZK49" s="12"/>
      <c r="CZM49" s="34"/>
      <c r="CZN49" s="39"/>
      <c r="CZO49" s="41"/>
      <c r="CZR49" s="32"/>
      <c r="CZT49" s="12"/>
      <c r="CZV49" s="34"/>
      <c r="CZW49" s="39"/>
      <c r="CZX49" s="41"/>
      <c r="DAA49" s="32"/>
      <c r="DAC49" s="12"/>
      <c r="DAE49" s="34"/>
      <c r="DAF49" s="39"/>
      <c r="DAG49" s="41"/>
      <c r="DAJ49" s="32"/>
      <c r="DAL49" s="12"/>
      <c r="DAN49" s="34"/>
      <c r="DAO49" s="39"/>
      <c r="DAP49" s="41"/>
      <c r="DAS49" s="32"/>
      <c r="DAU49" s="12"/>
      <c r="DAW49" s="34"/>
      <c r="DAX49" s="39"/>
      <c r="DAY49" s="41"/>
      <c r="DBB49" s="32"/>
      <c r="DBD49" s="12"/>
      <c r="DBF49" s="34"/>
      <c r="DBG49" s="39"/>
      <c r="DBH49" s="41"/>
      <c r="DBK49" s="32"/>
      <c r="DBM49" s="12"/>
      <c r="DBO49" s="34"/>
      <c r="DBP49" s="39"/>
      <c r="DBQ49" s="41"/>
      <c r="DBT49" s="32"/>
      <c r="DBV49" s="12"/>
      <c r="DBX49" s="34"/>
      <c r="DBY49" s="39"/>
      <c r="DBZ49" s="41"/>
      <c r="DCC49" s="32"/>
      <c r="DCE49" s="12"/>
      <c r="DCG49" s="34"/>
      <c r="DCH49" s="39"/>
      <c r="DCI49" s="41"/>
      <c r="DCL49" s="32"/>
      <c r="DCN49" s="12"/>
      <c r="DCP49" s="34"/>
      <c r="DCQ49" s="39"/>
      <c r="DCR49" s="41"/>
      <c r="DCU49" s="32"/>
      <c r="DCW49" s="12"/>
      <c r="DCY49" s="34"/>
      <c r="DCZ49" s="39"/>
      <c r="DDA49" s="41"/>
      <c r="DDD49" s="32"/>
      <c r="DDF49" s="12"/>
      <c r="DDH49" s="34"/>
      <c r="DDI49" s="39"/>
      <c r="DDJ49" s="41"/>
      <c r="DDM49" s="32"/>
      <c r="DDO49" s="12"/>
      <c r="DDQ49" s="34"/>
      <c r="DDR49" s="39"/>
      <c r="DDS49" s="41"/>
      <c r="DDV49" s="32"/>
      <c r="DDX49" s="12"/>
      <c r="DDZ49" s="34"/>
      <c r="DEA49" s="39"/>
      <c r="DEB49" s="41"/>
      <c r="DEE49" s="32"/>
      <c r="DEG49" s="12"/>
      <c r="DEI49" s="34"/>
      <c r="DEJ49" s="39"/>
      <c r="DEK49" s="41"/>
      <c r="DEN49" s="32"/>
      <c r="DEP49" s="12"/>
      <c r="DER49" s="34"/>
      <c r="DES49" s="39"/>
      <c r="DET49" s="41"/>
      <c r="DEW49" s="32"/>
      <c r="DEY49" s="12"/>
      <c r="DFA49" s="34"/>
      <c r="DFB49" s="39"/>
      <c r="DFC49" s="41"/>
      <c r="DFF49" s="32"/>
      <c r="DFH49" s="12"/>
      <c r="DFJ49" s="34"/>
      <c r="DFK49" s="39"/>
      <c r="DFL49" s="41"/>
      <c r="DFO49" s="32"/>
      <c r="DFQ49" s="12"/>
      <c r="DFS49" s="34"/>
      <c r="DFT49" s="39"/>
      <c r="DFU49" s="41"/>
      <c r="DFX49" s="32"/>
      <c r="DFZ49" s="12"/>
      <c r="DGB49" s="34"/>
      <c r="DGC49" s="39"/>
      <c r="DGD49" s="41"/>
      <c r="DGG49" s="32"/>
      <c r="DGI49" s="12"/>
      <c r="DGK49" s="34"/>
      <c r="DGL49" s="39"/>
      <c r="DGM49" s="41"/>
      <c r="DGP49" s="32"/>
      <c r="DGR49" s="12"/>
      <c r="DGT49" s="34"/>
      <c r="DGU49" s="39"/>
      <c r="DGV49" s="41"/>
      <c r="DGY49" s="32"/>
      <c r="DHA49" s="12"/>
      <c r="DHC49" s="34"/>
      <c r="DHD49" s="39"/>
      <c r="DHE49" s="41"/>
      <c r="DHH49" s="32"/>
      <c r="DHJ49" s="12"/>
      <c r="DHL49" s="34"/>
      <c r="DHM49" s="39"/>
      <c r="DHN49" s="41"/>
      <c r="DHQ49" s="32"/>
      <c r="DHS49" s="12"/>
      <c r="DHU49" s="34"/>
      <c r="DHV49" s="39"/>
      <c r="DHW49" s="41"/>
      <c r="DHZ49" s="32"/>
      <c r="DIB49" s="12"/>
      <c r="DID49" s="34"/>
      <c r="DIE49" s="39"/>
      <c r="DIF49" s="41"/>
      <c r="DII49" s="32"/>
      <c r="DIK49" s="12"/>
      <c r="DIM49" s="34"/>
      <c r="DIN49" s="39"/>
      <c r="DIO49" s="41"/>
      <c r="DIR49" s="32"/>
      <c r="DIT49" s="12"/>
      <c r="DIV49" s="34"/>
      <c r="DIW49" s="39"/>
      <c r="DIX49" s="41"/>
      <c r="DJA49" s="32"/>
      <c r="DJC49" s="12"/>
      <c r="DJE49" s="34"/>
      <c r="DJF49" s="39"/>
      <c r="DJG49" s="41"/>
      <c r="DJJ49" s="32"/>
      <c r="DJL49" s="12"/>
      <c r="DJN49" s="34"/>
      <c r="DJO49" s="39"/>
      <c r="DJP49" s="41"/>
      <c r="DJS49" s="32"/>
      <c r="DJU49" s="12"/>
      <c r="DJW49" s="34"/>
      <c r="DJX49" s="39"/>
      <c r="DJY49" s="41"/>
      <c r="DKB49" s="32"/>
      <c r="DKD49" s="12"/>
      <c r="DKF49" s="34"/>
      <c r="DKG49" s="39"/>
      <c r="DKH49" s="41"/>
      <c r="DKK49" s="32"/>
      <c r="DKM49" s="12"/>
      <c r="DKO49" s="34"/>
      <c r="DKP49" s="39"/>
      <c r="DKQ49" s="41"/>
      <c r="DKT49" s="32"/>
      <c r="DKV49" s="12"/>
      <c r="DKX49" s="34"/>
      <c r="DKY49" s="39"/>
      <c r="DKZ49" s="41"/>
      <c r="DLC49" s="32"/>
      <c r="DLE49" s="12"/>
      <c r="DLG49" s="34"/>
      <c r="DLH49" s="39"/>
      <c r="DLI49" s="41"/>
      <c r="DLL49" s="32"/>
      <c r="DLN49" s="12"/>
      <c r="DLP49" s="34"/>
      <c r="DLQ49" s="39"/>
      <c r="DLR49" s="41"/>
      <c r="DLU49" s="32"/>
      <c r="DLW49" s="12"/>
      <c r="DLY49" s="34"/>
      <c r="DLZ49" s="39"/>
      <c r="DMA49" s="41"/>
      <c r="DMD49" s="32"/>
      <c r="DMF49" s="12"/>
      <c r="DMH49" s="34"/>
      <c r="DMI49" s="39"/>
      <c r="DMJ49" s="41"/>
      <c r="DMM49" s="32"/>
      <c r="DMO49" s="12"/>
      <c r="DMQ49" s="34"/>
      <c r="DMR49" s="39"/>
      <c r="DMS49" s="41"/>
      <c r="DMV49" s="32"/>
      <c r="DMX49" s="12"/>
      <c r="DMZ49" s="34"/>
      <c r="DNA49" s="39"/>
      <c r="DNB49" s="41"/>
      <c r="DNE49" s="32"/>
      <c r="DNG49" s="12"/>
      <c r="DNI49" s="34"/>
      <c r="DNJ49" s="39"/>
      <c r="DNK49" s="41"/>
      <c r="DNN49" s="32"/>
      <c r="DNP49" s="12"/>
      <c r="DNR49" s="34"/>
      <c r="DNS49" s="39"/>
      <c r="DNT49" s="41"/>
      <c r="DNW49" s="32"/>
      <c r="DNY49" s="12"/>
      <c r="DOA49" s="34"/>
      <c r="DOB49" s="39"/>
      <c r="DOC49" s="41"/>
      <c r="DOF49" s="32"/>
      <c r="DOH49" s="12"/>
      <c r="DOJ49" s="34"/>
      <c r="DOK49" s="39"/>
      <c r="DOL49" s="41"/>
      <c r="DOO49" s="32"/>
      <c r="DOQ49" s="12"/>
      <c r="DOS49" s="34"/>
      <c r="DOT49" s="39"/>
      <c r="DOU49" s="41"/>
      <c r="DOX49" s="32"/>
      <c r="DOZ49" s="12"/>
      <c r="DPB49" s="34"/>
      <c r="DPC49" s="39"/>
      <c r="DPD49" s="41"/>
      <c r="DPG49" s="32"/>
      <c r="DPI49" s="12"/>
      <c r="DPK49" s="34"/>
      <c r="DPL49" s="39"/>
      <c r="DPM49" s="41"/>
      <c r="DPP49" s="32"/>
      <c r="DPR49" s="12"/>
      <c r="DPT49" s="34"/>
      <c r="DPU49" s="39"/>
      <c r="DPV49" s="41"/>
      <c r="DPY49" s="32"/>
      <c r="DQA49" s="12"/>
      <c r="DQC49" s="34"/>
      <c r="DQD49" s="39"/>
      <c r="DQE49" s="41"/>
      <c r="DQH49" s="32"/>
      <c r="DQJ49" s="12"/>
      <c r="DQL49" s="34"/>
      <c r="DQM49" s="39"/>
      <c r="DQN49" s="41"/>
      <c r="DQQ49" s="32"/>
      <c r="DQS49" s="12"/>
      <c r="DQU49" s="34"/>
      <c r="DQV49" s="39"/>
      <c r="DQW49" s="41"/>
      <c r="DQZ49" s="32"/>
      <c r="DRB49" s="12"/>
      <c r="DRD49" s="34"/>
      <c r="DRE49" s="39"/>
      <c r="DRF49" s="41"/>
      <c r="DRI49" s="32"/>
      <c r="DRK49" s="12"/>
      <c r="DRM49" s="34"/>
      <c r="DRN49" s="39"/>
      <c r="DRO49" s="41"/>
      <c r="DRR49" s="32"/>
      <c r="DRT49" s="12"/>
      <c r="DRV49" s="34"/>
      <c r="DRW49" s="39"/>
      <c r="DRX49" s="41"/>
      <c r="DSA49" s="32"/>
      <c r="DSC49" s="12"/>
      <c r="DSE49" s="34"/>
      <c r="DSF49" s="39"/>
      <c r="DSG49" s="41"/>
      <c r="DSJ49" s="32"/>
      <c r="DSL49" s="12"/>
      <c r="DSN49" s="34"/>
      <c r="DSO49" s="39"/>
      <c r="DSP49" s="41"/>
      <c r="DSS49" s="32"/>
      <c r="DSU49" s="12"/>
      <c r="DSW49" s="34"/>
      <c r="DSX49" s="39"/>
      <c r="DSY49" s="41"/>
      <c r="DTB49" s="32"/>
      <c r="DTD49" s="12"/>
      <c r="DTF49" s="34"/>
      <c r="DTG49" s="39"/>
      <c r="DTH49" s="41"/>
      <c r="DTK49" s="32"/>
      <c r="DTM49" s="12"/>
      <c r="DTO49" s="34"/>
      <c r="DTP49" s="39"/>
      <c r="DTQ49" s="41"/>
      <c r="DTT49" s="32"/>
      <c r="DTV49" s="12"/>
      <c r="DTX49" s="34"/>
      <c r="DTY49" s="39"/>
      <c r="DTZ49" s="41"/>
      <c r="DUC49" s="32"/>
      <c r="DUE49" s="12"/>
      <c r="DUG49" s="34"/>
      <c r="DUH49" s="39"/>
      <c r="DUI49" s="41"/>
      <c r="DUL49" s="32"/>
      <c r="DUN49" s="12"/>
      <c r="DUP49" s="34"/>
      <c r="DUQ49" s="39"/>
      <c r="DUR49" s="41"/>
      <c r="DUU49" s="32"/>
      <c r="DUW49" s="12"/>
      <c r="DUY49" s="34"/>
      <c r="DUZ49" s="39"/>
      <c r="DVA49" s="41"/>
      <c r="DVD49" s="32"/>
      <c r="DVF49" s="12"/>
      <c r="DVH49" s="34"/>
      <c r="DVI49" s="39"/>
      <c r="DVJ49" s="41"/>
      <c r="DVM49" s="32"/>
      <c r="DVO49" s="12"/>
      <c r="DVQ49" s="34"/>
      <c r="DVR49" s="39"/>
      <c r="DVS49" s="41"/>
      <c r="DVV49" s="32"/>
      <c r="DVX49" s="12"/>
      <c r="DVZ49" s="34"/>
      <c r="DWA49" s="39"/>
      <c r="DWB49" s="41"/>
      <c r="DWE49" s="32"/>
      <c r="DWG49" s="12"/>
      <c r="DWI49" s="34"/>
      <c r="DWJ49" s="39"/>
      <c r="DWK49" s="41"/>
      <c r="DWN49" s="32"/>
      <c r="DWP49" s="12"/>
      <c r="DWR49" s="34"/>
      <c r="DWS49" s="39"/>
      <c r="DWT49" s="41"/>
      <c r="DWW49" s="32"/>
      <c r="DWY49" s="12"/>
      <c r="DXA49" s="34"/>
      <c r="DXB49" s="39"/>
      <c r="DXC49" s="41"/>
      <c r="DXF49" s="32"/>
      <c r="DXH49" s="12"/>
      <c r="DXJ49" s="34"/>
      <c r="DXK49" s="39"/>
      <c r="DXL49" s="41"/>
      <c r="DXO49" s="32"/>
      <c r="DXQ49" s="12"/>
      <c r="DXS49" s="34"/>
      <c r="DXT49" s="39"/>
      <c r="DXU49" s="41"/>
      <c r="DXX49" s="32"/>
      <c r="DXZ49" s="12"/>
      <c r="DYB49" s="34"/>
      <c r="DYC49" s="39"/>
      <c r="DYD49" s="41"/>
      <c r="DYG49" s="32"/>
      <c r="DYI49" s="12"/>
      <c r="DYK49" s="34"/>
      <c r="DYL49" s="39"/>
      <c r="DYM49" s="41"/>
      <c r="DYP49" s="32"/>
      <c r="DYR49" s="12"/>
      <c r="DYT49" s="34"/>
      <c r="DYU49" s="39"/>
      <c r="DYV49" s="41"/>
      <c r="DYY49" s="32"/>
      <c r="DZA49" s="12"/>
      <c r="DZC49" s="34"/>
      <c r="DZD49" s="39"/>
      <c r="DZE49" s="41"/>
      <c r="DZH49" s="32"/>
      <c r="DZJ49" s="12"/>
      <c r="DZL49" s="34"/>
      <c r="DZM49" s="39"/>
      <c r="DZN49" s="41"/>
      <c r="DZQ49" s="32"/>
      <c r="DZS49" s="12"/>
      <c r="DZU49" s="34"/>
      <c r="DZV49" s="39"/>
      <c r="DZW49" s="41"/>
      <c r="DZZ49" s="32"/>
      <c r="EAB49" s="12"/>
      <c r="EAD49" s="34"/>
      <c r="EAE49" s="39"/>
      <c r="EAF49" s="41"/>
      <c r="EAI49" s="32"/>
      <c r="EAK49" s="12"/>
      <c r="EAM49" s="34"/>
      <c r="EAN49" s="39"/>
      <c r="EAO49" s="41"/>
      <c r="EAR49" s="32"/>
      <c r="EAT49" s="12"/>
      <c r="EAV49" s="34"/>
      <c r="EAW49" s="39"/>
      <c r="EAX49" s="41"/>
      <c r="EBA49" s="32"/>
      <c r="EBC49" s="12"/>
      <c r="EBE49" s="34"/>
      <c r="EBF49" s="39"/>
      <c r="EBG49" s="41"/>
      <c r="EBJ49" s="32"/>
      <c r="EBL49" s="12"/>
      <c r="EBN49" s="34"/>
      <c r="EBO49" s="39"/>
      <c r="EBP49" s="41"/>
      <c r="EBS49" s="32"/>
      <c r="EBU49" s="12"/>
      <c r="EBW49" s="34"/>
      <c r="EBX49" s="39"/>
      <c r="EBY49" s="41"/>
      <c r="ECB49" s="32"/>
      <c r="ECD49" s="12"/>
      <c r="ECF49" s="34"/>
      <c r="ECG49" s="39"/>
      <c r="ECH49" s="41"/>
      <c r="ECK49" s="32"/>
      <c r="ECM49" s="12"/>
      <c r="ECO49" s="34"/>
      <c r="ECP49" s="39"/>
      <c r="ECQ49" s="41"/>
      <c r="ECT49" s="32"/>
      <c r="ECV49" s="12"/>
      <c r="ECX49" s="34"/>
      <c r="ECY49" s="39"/>
      <c r="ECZ49" s="41"/>
      <c r="EDC49" s="32"/>
      <c r="EDE49" s="12"/>
      <c r="EDG49" s="34"/>
      <c r="EDH49" s="39"/>
      <c r="EDI49" s="41"/>
      <c r="EDL49" s="32"/>
      <c r="EDN49" s="12"/>
      <c r="EDP49" s="34"/>
      <c r="EDQ49" s="39"/>
      <c r="EDR49" s="41"/>
      <c r="EDU49" s="32"/>
      <c r="EDW49" s="12"/>
      <c r="EDY49" s="34"/>
      <c r="EDZ49" s="39"/>
      <c r="EEA49" s="41"/>
      <c r="EED49" s="32"/>
      <c r="EEF49" s="12"/>
      <c r="EEH49" s="34"/>
      <c r="EEI49" s="39"/>
      <c r="EEJ49" s="41"/>
      <c r="EEM49" s="32"/>
      <c r="EEO49" s="12"/>
      <c r="EEQ49" s="34"/>
      <c r="EER49" s="39"/>
      <c r="EES49" s="41"/>
      <c r="EEV49" s="32"/>
      <c r="EEX49" s="12"/>
      <c r="EEZ49" s="34"/>
      <c r="EFA49" s="39"/>
      <c r="EFB49" s="41"/>
      <c r="EFE49" s="32"/>
      <c r="EFG49" s="12"/>
      <c r="EFI49" s="34"/>
      <c r="EFJ49" s="39"/>
      <c r="EFK49" s="41"/>
      <c r="EFN49" s="32"/>
      <c r="EFP49" s="12"/>
      <c r="EFR49" s="34"/>
      <c r="EFS49" s="39"/>
      <c r="EFT49" s="41"/>
      <c r="EFW49" s="32"/>
      <c r="EFY49" s="12"/>
      <c r="EGA49" s="34"/>
      <c r="EGB49" s="39"/>
      <c r="EGC49" s="41"/>
      <c r="EGF49" s="32"/>
      <c r="EGH49" s="12"/>
      <c r="EGJ49" s="34"/>
      <c r="EGK49" s="39"/>
      <c r="EGL49" s="41"/>
      <c r="EGO49" s="32"/>
      <c r="EGQ49" s="12"/>
      <c r="EGS49" s="34"/>
      <c r="EGT49" s="39"/>
      <c r="EGU49" s="41"/>
      <c r="EGX49" s="32"/>
      <c r="EGZ49" s="12"/>
      <c r="EHB49" s="34"/>
      <c r="EHC49" s="39"/>
      <c r="EHD49" s="41"/>
      <c r="EHG49" s="32"/>
      <c r="EHI49" s="12"/>
      <c r="EHK49" s="34"/>
      <c r="EHL49" s="39"/>
      <c r="EHM49" s="41"/>
      <c r="EHP49" s="32"/>
      <c r="EHR49" s="12"/>
      <c r="EHT49" s="34"/>
      <c r="EHU49" s="39"/>
      <c r="EHV49" s="41"/>
      <c r="EHY49" s="32"/>
      <c r="EIA49" s="12"/>
      <c r="EIC49" s="34"/>
      <c r="EID49" s="39"/>
      <c r="EIE49" s="41"/>
      <c r="EIH49" s="32"/>
      <c r="EIJ49" s="12"/>
      <c r="EIL49" s="34"/>
      <c r="EIM49" s="39"/>
      <c r="EIN49" s="41"/>
      <c r="EIQ49" s="32"/>
      <c r="EIS49" s="12"/>
      <c r="EIU49" s="34"/>
      <c r="EIV49" s="39"/>
      <c r="EIW49" s="41"/>
      <c r="EIZ49" s="32"/>
      <c r="EJB49" s="12"/>
      <c r="EJD49" s="34"/>
      <c r="EJE49" s="39"/>
      <c r="EJF49" s="41"/>
      <c r="EJI49" s="32"/>
      <c r="EJK49" s="12"/>
      <c r="EJM49" s="34"/>
      <c r="EJN49" s="39"/>
      <c r="EJO49" s="41"/>
      <c r="EJR49" s="32"/>
      <c r="EJT49" s="12"/>
      <c r="EJV49" s="34"/>
      <c r="EJW49" s="39"/>
      <c r="EJX49" s="41"/>
      <c r="EKA49" s="32"/>
      <c r="EKC49" s="12"/>
      <c r="EKE49" s="34"/>
      <c r="EKF49" s="39"/>
      <c r="EKG49" s="41"/>
      <c r="EKJ49" s="32"/>
      <c r="EKL49" s="12"/>
      <c r="EKN49" s="34"/>
      <c r="EKO49" s="39"/>
      <c r="EKP49" s="41"/>
      <c r="EKS49" s="32"/>
      <c r="EKU49" s="12"/>
      <c r="EKW49" s="34"/>
      <c r="EKX49" s="39"/>
      <c r="EKY49" s="41"/>
      <c r="ELB49" s="32"/>
      <c r="ELD49" s="12"/>
      <c r="ELF49" s="34"/>
      <c r="ELG49" s="39"/>
      <c r="ELH49" s="41"/>
      <c r="ELK49" s="32"/>
      <c r="ELM49" s="12"/>
      <c r="ELO49" s="34"/>
      <c r="ELP49" s="39"/>
      <c r="ELQ49" s="41"/>
      <c r="ELT49" s="32"/>
      <c r="ELV49" s="12"/>
      <c r="ELX49" s="34"/>
      <c r="ELY49" s="39"/>
      <c r="ELZ49" s="41"/>
      <c r="EMC49" s="32"/>
      <c r="EME49" s="12"/>
      <c r="EMG49" s="34"/>
      <c r="EMH49" s="39"/>
      <c r="EMI49" s="41"/>
      <c r="EML49" s="32"/>
      <c r="EMN49" s="12"/>
      <c r="EMP49" s="34"/>
      <c r="EMQ49" s="39"/>
      <c r="EMR49" s="41"/>
      <c r="EMU49" s="32"/>
      <c r="EMW49" s="12"/>
      <c r="EMY49" s="34"/>
      <c r="EMZ49" s="39"/>
      <c r="ENA49" s="41"/>
      <c r="END49" s="32"/>
      <c r="ENF49" s="12"/>
      <c r="ENH49" s="34"/>
      <c r="ENI49" s="39"/>
      <c r="ENJ49" s="41"/>
      <c r="ENM49" s="32"/>
      <c r="ENO49" s="12"/>
      <c r="ENQ49" s="34"/>
      <c r="ENR49" s="39"/>
      <c r="ENS49" s="41"/>
      <c r="ENV49" s="32"/>
      <c r="ENX49" s="12"/>
      <c r="ENZ49" s="34"/>
      <c r="EOA49" s="39"/>
      <c r="EOB49" s="41"/>
      <c r="EOE49" s="32"/>
      <c r="EOG49" s="12"/>
      <c r="EOI49" s="34"/>
      <c r="EOJ49" s="39"/>
      <c r="EOK49" s="41"/>
      <c r="EON49" s="32"/>
      <c r="EOP49" s="12"/>
      <c r="EOR49" s="34"/>
      <c r="EOS49" s="39"/>
      <c r="EOT49" s="41"/>
      <c r="EOW49" s="32"/>
      <c r="EOY49" s="12"/>
      <c r="EPA49" s="34"/>
      <c r="EPB49" s="39"/>
      <c r="EPC49" s="41"/>
      <c r="EPF49" s="32"/>
      <c r="EPH49" s="12"/>
      <c r="EPJ49" s="34"/>
      <c r="EPK49" s="39"/>
      <c r="EPL49" s="41"/>
      <c r="EPO49" s="32"/>
      <c r="EPQ49" s="12"/>
      <c r="EPS49" s="34"/>
      <c r="EPT49" s="39"/>
      <c r="EPU49" s="41"/>
      <c r="EPX49" s="32"/>
      <c r="EPZ49" s="12"/>
      <c r="EQB49" s="34"/>
      <c r="EQC49" s="39"/>
      <c r="EQD49" s="41"/>
      <c r="EQG49" s="32"/>
      <c r="EQI49" s="12"/>
      <c r="EQK49" s="34"/>
      <c r="EQL49" s="39"/>
      <c r="EQM49" s="41"/>
      <c r="EQP49" s="32"/>
      <c r="EQR49" s="12"/>
      <c r="EQT49" s="34"/>
      <c r="EQU49" s="39"/>
      <c r="EQV49" s="41"/>
      <c r="EQY49" s="32"/>
      <c r="ERA49" s="12"/>
      <c r="ERC49" s="34"/>
      <c r="ERD49" s="39"/>
      <c r="ERE49" s="41"/>
      <c r="ERH49" s="32"/>
      <c r="ERJ49" s="12"/>
      <c r="ERL49" s="34"/>
      <c r="ERM49" s="39"/>
      <c r="ERN49" s="41"/>
      <c r="ERQ49" s="32"/>
      <c r="ERS49" s="12"/>
      <c r="ERU49" s="34"/>
      <c r="ERV49" s="39"/>
      <c r="ERW49" s="41"/>
      <c r="ERZ49" s="32"/>
      <c r="ESB49" s="12"/>
      <c r="ESD49" s="34"/>
      <c r="ESE49" s="39"/>
      <c r="ESF49" s="41"/>
      <c r="ESI49" s="32"/>
      <c r="ESK49" s="12"/>
      <c r="ESM49" s="34"/>
      <c r="ESN49" s="39"/>
      <c r="ESO49" s="41"/>
      <c r="ESR49" s="32"/>
      <c r="EST49" s="12"/>
      <c r="ESV49" s="34"/>
      <c r="ESW49" s="39"/>
      <c r="ESX49" s="41"/>
      <c r="ETA49" s="32"/>
      <c r="ETC49" s="12"/>
      <c r="ETE49" s="34"/>
      <c r="ETF49" s="39"/>
      <c r="ETG49" s="41"/>
      <c r="ETJ49" s="32"/>
      <c r="ETL49" s="12"/>
      <c r="ETN49" s="34"/>
      <c r="ETO49" s="39"/>
      <c r="ETP49" s="41"/>
      <c r="ETS49" s="32"/>
      <c r="ETU49" s="12"/>
      <c r="ETW49" s="34"/>
      <c r="ETX49" s="39"/>
      <c r="ETY49" s="41"/>
      <c r="EUB49" s="32"/>
      <c r="EUD49" s="12"/>
      <c r="EUF49" s="34"/>
      <c r="EUG49" s="39"/>
      <c r="EUH49" s="41"/>
      <c r="EUK49" s="32"/>
      <c r="EUM49" s="12"/>
      <c r="EUO49" s="34"/>
      <c r="EUP49" s="39"/>
      <c r="EUQ49" s="41"/>
      <c r="EUT49" s="32"/>
      <c r="EUV49" s="12"/>
      <c r="EUX49" s="34"/>
      <c r="EUY49" s="39"/>
      <c r="EUZ49" s="41"/>
      <c r="EVC49" s="32"/>
      <c r="EVE49" s="12"/>
      <c r="EVG49" s="34"/>
      <c r="EVH49" s="39"/>
      <c r="EVI49" s="41"/>
      <c r="EVL49" s="32"/>
      <c r="EVN49" s="12"/>
      <c r="EVP49" s="34"/>
      <c r="EVQ49" s="39"/>
      <c r="EVR49" s="41"/>
      <c r="EVU49" s="32"/>
      <c r="EVW49" s="12"/>
      <c r="EVY49" s="34"/>
      <c r="EVZ49" s="39"/>
      <c r="EWA49" s="41"/>
      <c r="EWD49" s="32"/>
      <c r="EWF49" s="12"/>
      <c r="EWH49" s="34"/>
      <c r="EWI49" s="39"/>
      <c r="EWJ49" s="41"/>
      <c r="EWM49" s="32"/>
      <c r="EWO49" s="12"/>
      <c r="EWQ49" s="34"/>
      <c r="EWR49" s="39"/>
      <c r="EWS49" s="41"/>
      <c r="EWV49" s="32"/>
      <c r="EWX49" s="12"/>
      <c r="EWZ49" s="34"/>
      <c r="EXA49" s="39"/>
      <c r="EXB49" s="41"/>
      <c r="EXE49" s="32"/>
      <c r="EXG49" s="12"/>
      <c r="EXI49" s="34"/>
      <c r="EXJ49" s="39"/>
      <c r="EXK49" s="41"/>
      <c r="EXN49" s="32"/>
      <c r="EXP49" s="12"/>
      <c r="EXR49" s="34"/>
      <c r="EXS49" s="39"/>
      <c r="EXT49" s="41"/>
      <c r="EXW49" s="32"/>
      <c r="EXY49" s="12"/>
      <c r="EYA49" s="34"/>
      <c r="EYB49" s="39"/>
      <c r="EYC49" s="41"/>
      <c r="EYF49" s="32"/>
      <c r="EYH49" s="12"/>
      <c r="EYJ49" s="34"/>
      <c r="EYK49" s="39"/>
      <c r="EYL49" s="41"/>
      <c r="EYO49" s="32"/>
      <c r="EYQ49" s="12"/>
      <c r="EYS49" s="34"/>
      <c r="EYT49" s="39"/>
      <c r="EYU49" s="41"/>
      <c r="EYX49" s="32"/>
      <c r="EYZ49" s="12"/>
      <c r="EZB49" s="34"/>
      <c r="EZC49" s="39"/>
      <c r="EZD49" s="41"/>
      <c r="EZG49" s="32"/>
      <c r="EZI49" s="12"/>
      <c r="EZK49" s="34"/>
      <c r="EZL49" s="39"/>
      <c r="EZM49" s="41"/>
      <c r="EZP49" s="32"/>
      <c r="EZR49" s="12"/>
      <c r="EZT49" s="34"/>
      <c r="EZU49" s="39"/>
      <c r="EZV49" s="41"/>
      <c r="EZY49" s="32"/>
      <c r="FAA49" s="12"/>
      <c r="FAC49" s="34"/>
      <c r="FAD49" s="39"/>
      <c r="FAE49" s="41"/>
      <c r="FAH49" s="32"/>
      <c r="FAJ49" s="12"/>
      <c r="FAL49" s="34"/>
      <c r="FAM49" s="39"/>
      <c r="FAN49" s="41"/>
      <c r="FAQ49" s="32"/>
      <c r="FAS49" s="12"/>
      <c r="FAU49" s="34"/>
      <c r="FAV49" s="39"/>
      <c r="FAW49" s="41"/>
      <c r="FAZ49" s="32"/>
      <c r="FBB49" s="12"/>
      <c r="FBD49" s="34"/>
      <c r="FBE49" s="39"/>
      <c r="FBF49" s="41"/>
      <c r="FBI49" s="32"/>
      <c r="FBK49" s="12"/>
      <c r="FBM49" s="34"/>
      <c r="FBN49" s="39"/>
      <c r="FBO49" s="41"/>
      <c r="FBR49" s="32"/>
      <c r="FBT49" s="12"/>
      <c r="FBV49" s="34"/>
      <c r="FBW49" s="39"/>
      <c r="FBX49" s="41"/>
      <c r="FCA49" s="32"/>
      <c r="FCC49" s="12"/>
      <c r="FCE49" s="34"/>
      <c r="FCF49" s="39"/>
      <c r="FCG49" s="41"/>
      <c r="FCJ49" s="32"/>
      <c r="FCL49" s="12"/>
      <c r="FCN49" s="34"/>
      <c r="FCO49" s="39"/>
      <c r="FCP49" s="41"/>
      <c r="FCS49" s="32"/>
      <c r="FCU49" s="12"/>
      <c r="FCW49" s="34"/>
      <c r="FCX49" s="39"/>
      <c r="FCY49" s="41"/>
      <c r="FDB49" s="32"/>
      <c r="FDD49" s="12"/>
      <c r="FDF49" s="34"/>
      <c r="FDG49" s="39"/>
      <c r="FDH49" s="41"/>
      <c r="FDK49" s="32"/>
      <c r="FDM49" s="12"/>
      <c r="FDO49" s="34"/>
      <c r="FDP49" s="39"/>
      <c r="FDQ49" s="41"/>
      <c r="FDT49" s="32"/>
      <c r="FDV49" s="12"/>
      <c r="FDX49" s="34"/>
      <c r="FDY49" s="39"/>
      <c r="FDZ49" s="41"/>
      <c r="FEC49" s="32"/>
      <c r="FEE49" s="12"/>
      <c r="FEG49" s="34"/>
      <c r="FEH49" s="39"/>
      <c r="FEI49" s="41"/>
      <c r="FEL49" s="32"/>
      <c r="FEN49" s="12"/>
      <c r="FEP49" s="34"/>
      <c r="FEQ49" s="39"/>
      <c r="FER49" s="41"/>
      <c r="FEU49" s="32"/>
      <c r="FEW49" s="12"/>
      <c r="FEY49" s="34"/>
      <c r="FEZ49" s="39"/>
      <c r="FFA49" s="41"/>
      <c r="FFD49" s="32"/>
      <c r="FFF49" s="12"/>
      <c r="FFH49" s="34"/>
      <c r="FFI49" s="39"/>
      <c r="FFJ49" s="41"/>
      <c r="FFM49" s="32"/>
      <c r="FFO49" s="12"/>
      <c r="FFQ49" s="34"/>
      <c r="FFR49" s="39"/>
      <c r="FFS49" s="41"/>
      <c r="FFV49" s="32"/>
      <c r="FFX49" s="12"/>
      <c r="FFZ49" s="34"/>
      <c r="FGA49" s="39"/>
      <c r="FGB49" s="41"/>
      <c r="FGE49" s="32"/>
      <c r="FGG49" s="12"/>
      <c r="FGI49" s="34"/>
      <c r="FGJ49" s="39"/>
      <c r="FGK49" s="41"/>
      <c r="FGN49" s="32"/>
      <c r="FGP49" s="12"/>
      <c r="FGR49" s="34"/>
      <c r="FGS49" s="39"/>
      <c r="FGT49" s="41"/>
      <c r="FGW49" s="32"/>
      <c r="FGY49" s="12"/>
      <c r="FHA49" s="34"/>
      <c r="FHB49" s="39"/>
      <c r="FHC49" s="41"/>
      <c r="FHF49" s="32"/>
      <c r="FHH49" s="12"/>
      <c r="FHJ49" s="34"/>
      <c r="FHK49" s="39"/>
      <c r="FHL49" s="41"/>
      <c r="FHO49" s="32"/>
      <c r="FHQ49" s="12"/>
      <c r="FHS49" s="34"/>
      <c r="FHT49" s="39"/>
      <c r="FHU49" s="41"/>
      <c r="FHX49" s="32"/>
      <c r="FHZ49" s="12"/>
      <c r="FIB49" s="34"/>
      <c r="FIC49" s="39"/>
      <c r="FID49" s="41"/>
      <c r="FIG49" s="32"/>
      <c r="FII49" s="12"/>
      <c r="FIK49" s="34"/>
      <c r="FIL49" s="39"/>
      <c r="FIM49" s="41"/>
      <c r="FIP49" s="32"/>
      <c r="FIR49" s="12"/>
      <c r="FIT49" s="34"/>
      <c r="FIU49" s="39"/>
      <c r="FIV49" s="41"/>
      <c r="FIY49" s="32"/>
      <c r="FJA49" s="12"/>
      <c r="FJC49" s="34"/>
      <c r="FJD49" s="39"/>
      <c r="FJE49" s="41"/>
      <c r="FJH49" s="32"/>
      <c r="FJJ49" s="12"/>
      <c r="FJL49" s="34"/>
      <c r="FJM49" s="39"/>
      <c r="FJN49" s="41"/>
      <c r="FJQ49" s="32"/>
      <c r="FJS49" s="12"/>
      <c r="FJU49" s="34"/>
      <c r="FJV49" s="39"/>
      <c r="FJW49" s="41"/>
      <c r="FJZ49" s="32"/>
      <c r="FKB49" s="12"/>
      <c r="FKD49" s="34"/>
      <c r="FKE49" s="39"/>
      <c r="FKF49" s="41"/>
      <c r="FKI49" s="32"/>
      <c r="FKK49" s="12"/>
      <c r="FKM49" s="34"/>
      <c r="FKN49" s="39"/>
      <c r="FKO49" s="41"/>
      <c r="FKR49" s="32"/>
      <c r="FKT49" s="12"/>
      <c r="FKV49" s="34"/>
      <c r="FKW49" s="39"/>
      <c r="FKX49" s="41"/>
      <c r="FLA49" s="32"/>
      <c r="FLC49" s="12"/>
      <c r="FLE49" s="34"/>
      <c r="FLF49" s="39"/>
      <c r="FLG49" s="41"/>
      <c r="FLJ49" s="32"/>
      <c r="FLL49" s="12"/>
      <c r="FLN49" s="34"/>
      <c r="FLO49" s="39"/>
      <c r="FLP49" s="41"/>
      <c r="FLS49" s="32"/>
      <c r="FLU49" s="12"/>
      <c r="FLW49" s="34"/>
      <c r="FLX49" s="39"/>
      <c r="FLY49" s="41"/>
      <c r="FMB49" s="32"/>
      <c r="FMD49" s="12"/>
      <c r="FMF49" s="34"/>
      <c r="FMG49" s="39"/>
      <c r="FMH49" s="41"/>
      <c r="FMK49" s="32"/>
      <c r="FMM49" s="12"/>
      <c r="FMO49" s="34"/>
      <c r="FMP49" s="39"/>
      <c r="FMQ49" s="41"/>
      <c r="FMT49" s="32"/>
      <c r="FMV49" s="12"/>
      <c r="FMX49" s="34"/>
      <c r="FMY49" s="39"/>
      <c r="FMZ49" s="41"/>
      <c r="FNC49" s="32"/>
      <c r="FNE49" s="12"/>
      <c r="FNG49" s="34"/>
      <c r="FNH49" s="39"/>
      <c r="FNI49" s="41"/>
      <c r="FNL49" s="32"/>
      <c r="FNN49" s="12"/>
      <c r="FNP49" s="34"/>
      <c r="FNQ49" s="39"/>
      <c r="FNR49" s="41"/>
      <c r="FNU49" s="32"/>
      <c r="FNW49" s="12"/>
      <c r="FNY49" s="34"/>
      <c r="FNZ49" s="39"/>
      <c r="FOA49" s="41"/>
      <c r="FOD49" s="32"/>
      <c r="FOF49" s="12"/>
      <c r="FOH49" s="34"/>
      <c r="FOI49" s="39"/>
      <c r="FOJ49" s="41"/>
      <c r="FOM49" s="32"/>
      <c r="FOO49" s="12"/>
      <c r="FOQ49" s="34"/>
      <c r="FOR49" s="39"/>
      <c r="FOS49" s="41"/>
      <c r="FOV49" s="32"/>
      <c r="FOX49" s="12"/>
      <c r="FOZ49" s="34"/>
      <c r="FPA49" s="39"/>
      <c r="FPB49" s="41"/>
      <c r="FPE49" s="32"/>
      <c r="FPG49" s="12"/>
      <c r="FPI49" s="34"/>
      <c r="FPJ49" s="39"/>
      <c r="FPK49" s="41"/>
      <c r="FPN49" s="32"/>
      <c r="FPP49" s="12"/>
      <c r="FPR49" s="34"/>
      <c r="FPS49" s="39"/>
      <c r="FPT49" s="41"/>
      <c r="FPW49" s="32"/>
      <c r="FPY49" s="12"/>
      <c r="FQA49" s="34"/>
      <c r="FQB49" s="39"/>
      <c r="FQC49" s="41"/>
      <c r="FQF49" s="32"/>
      <c r="FQH49" s="12"/>
      <c r="FQJ49" s="34"/>
      <c r="FQK49" s="39"/>
      <c r="FQL49" s="41"/>
      <c r="FQO49" s="32"/>
      <c r="FQQ49" s="12"/>
      <c r="FQS49" s="34"/>
      <c r="FQT49" s="39"/>
      <c r="FQU49" s="41"/>
      <c r="FQX49" s="32"/>
      <c r="FQZ49" s="12"/>
      <c r="FRB49" s="34"/>
      <c r="FRC49" s="39"/>
      <c r="FRD49" s="41"/>
      <c r="FRG49" s="32"/>
      <c r="FRI49" s="12"/>
      <c r="FRK49" s="34"/>
      <c r="FRL49" s="39"/>
      <c r="FRM49" s="41"/>
      <c r="FRP49" s="32"/>
      <c r="FRR49" s="12"/>
      <c r="FRT49" s="34"/>
      <c r="FRU49" s="39"/>
      <c r="FRV49" s="41"/>
      <c r="FRY49" s="32"/>
      <c r="FSA49" s="12"/>
      <c r="FSC49" s="34"/>
      <c r="FSD49" s="39"/>
      <c r="FSE49" s="41"/>
      <c r="FSH49" s="32"/>
      <c r="FSJ49" s="12"/>
      <c r="FSL49" s="34"/>
      <c r="FSM49" s="39"/>
      <c r="FSN49" s="41"/>
      <c r="FSQ49" s="32"/>
      <c r="FSS49" s="12"/>
      <c r="FSU49" s="34"/>
      <c r="FSV49" s="39"/>
      <c r="FSW49" s="41"/>
      <c r="FSZ49" s="32"/>
      <c r="FTB49" s="12"/>
      <c r="FTD49" s="34"/>
      <c r="FTE49" s="39"/>
      <c r="FTF49" s="41"/>
      <c r="FTI49" s="32"/>
      <c r="FTK49" s="12"/>
      <c r="FTM49" s="34"/>
      <c r="FTN49" s="39"/>
      <c r="FTO49" s="41"/>
      <c r="FTR49" s="32"/>
      <c r="FTT49" s="12"/>
      <c r="FTV49" s="34"/>
      <c r="FTW49" s="39"/>
      <c r="FTX49" s="41"/>
      <c r="FUA49" s="32"/>
      <c r="FUC49" s="12"/>
      <c r="FUE49" s="34"/>
      <c r="FUF49" s="39"/>
      <c r="FUG49" s="41"/>
      <c r="FUJ49" s="32"/>
      <c r="FUL49" s="12"/>
      <c r="FUN49" s="34"/>
      <c r="FUO49" s="39"/>
      <c r="FUP49" s="41"/>
      <c r="FUS49" s="32"/>
      <c r="FUU49" s="12"/>
      <c r="FUW49" s="34"/>
      <c r="FUX49" s="39"/>
      <c r="FUY49" s="41"/>
      <c r="FVB49" s="32"/>
      <c r="FVD49" s="12"/>
      <c r="FVF49" s="34"/>
      <c r="FVG49" s="39"/>
      <c r="FVH49" s="41"/>
      <c r="FVK49" s="32"/>
      <c r="FVM49" s="12"/>
      <c r="FVO49" s="34"/>
      <c r="FVP49" s="39"/>
      <c r="FVQ49" s="41"/>
      <c r="FVT49" s="32"/>
      <c r="FVV49" s="12"/>
      <c r="FVX49" s="34"/>
      <c r="FVY49" s="39"/>
      <c r="FVZ49" s="41"/>
      <c r="FWC49" s="32"/>
      <c r="FWE49" s="12"/>
      <c r="FWG49" s="34"/>
      <c r="FWH49" s="39"/>
      <c r="FWI49" s="41"/>
      <c r="FWL49" s="32"/>
      <c r="FWN49" s="12"/>
      <c r="FWP49" s="34"/>
      <c r="FWQ49" s="39"/>
      <c r="FWR49" s="41"/>
      <c r="FWU49" s="32"/>
      <c r="FWW49" s="12"/>
      <c r="FWY49" s="34"/>
      <c r="FWZ49" s="39"/>
      <c r="FXA49" s="41"/>
      <c r="FXD49" s="32"/>
      <c r="FXF49" s="12"/>
      <c r="FXH49" s="34"/>
      <c r="FXI49" s="39"/>
      <c r="FXJ49" s="41"/>
      <c r="FXM49" s="32"/>
      <c r="FXO49" s="12"/>
      <c r="FXQ49" s="34"/>
      <c r="FXR49" s="39"/>
      <c r="FXS49" s="41"/>
      <c r="FXV49" s="32"/>
      <c r="FXX49" s="12"/>
      <c r="FXZ49" s="34"/>
      <c r="FYA49" s="39"/>
      <c r="FYB49" s="41"/>
      <c r="FYE49" s="32"/>
      <c r="FYG49" s="12"/>
      <c r="FYI49" s="34"/>
      <c r="FYJ49" s="39"/>
      <c r="FYK49" s="41"/>
      <c r="FYN49" s="32"/>
      <c r="FYP49" s="12"/>
      <c r="FYR49" s="34"/>
      <c r="FYS49" s="39"/>
      <c r="FYT49" s="41"/>
      <c r="FYW49" s="32"/>
      <c r="FYY49" s="12"/>
      <c r="FZA49" s="34"/>
      <c r="FZB49" s="39"/>
      <c r="FZC49" s="41"/>
      <c r="FZF49" s="32"/>
      <c r="FZH49" s="12"/>
      <c r="FZJ49" s="34"/>
      <c r="FZK49" s="39"/>
      <c r="FZL49" s="41"/>
      <c r="FZO49" s="32"/>
      <c r="FZQ49" s="12"/>
      <c r="FZS49" s="34"/>
      <c r="FZT49" s="39"/>
      <c r="FZU49" s="41"/>
      <c r="FZX49" s="32"/>
      <c r="FZZ49" s="12"/>
      <c r="GAB49" s="34"/>
      <c r="GAC49" s="39"/>
      <c r="GAD49" s="41"/>
      <c r="GAG49" s="32"/>
      <c r="GAI49" s="12"/>
      <c r="GAK49" s="34"/>
      <c r="GAL49" s="39"/>
      <c r="GAM49" s="41"/>
      <c r="GAP49" s="32"/>
      <c r="GAR49" s="12"/>
      <c r="GAT49" s="34"/>
      <c r="GAU49" s="39"/>
      <c r="GAV49" s="41"/>
      <c r="GAY49" s="32"/>
      <c r="GBA49" s="12"/>
      <c r="GBC49" s="34"/>
      <c r="GBD49" s="39"/>
      <c r="GBE49" s="41"/>
      <c r="GBH49" s="32"/>
      <c r="GBJ49" s="12"/>
      <c r="GBL49" s="34"/>
      <c r="GBM49" s="39"/>
      <c r="GBN49" s="41"/>
      <c r="GBQ49" s="32"/>
      <c r="GBS49" s="12"/>
      <c r="GBU49" s="34"/>
      <c r="GBV49" s="39"/>
      <c r="GBW49" s="41"/>
      <c r="GBZ49" s="32"/>
      <c r="GCB49" s="12"/>
      <c r="GCD49" s="34"/>
      <c r="GCE49" s="39"/>
      <c r="GCF49" s="41"/>
      <c r="GCI49" s="32"/>
      <c r="GCK49" s="12"/>
      <c r="GCM49" s="34"/>
      <c r="GCN49" s="39"/>
      <c r="GCO49" s="41"/>
      <c r="GCR49" s="32"/>
      <c r="GCT49" s="12"/>
      <c r="GCV49" s="34"/>
      <c r="GCW49" s="39"/>
      <c r="GCX49" s="41"/>
      <c r="GDA49" s="32"/>
      <c r="GDC49" s="12"/>
      <c r="GDE49" s="34"/>
      <c r="GDF49" s="39"/>
      <c r="GDG49" s="41"/>
      <c r="GDJ49" s="32"/>
      <c r="GDL49" s="12"/>
      <c r="GDN49" s="34"/>
      <c r="GDO49" s="39"/>
      <c r="GDP49" s="41"/>
      <c r="GDS49" s="32"/>
      <c r="GDU49" s="12"/>
      <c r="GDW49" s="34"/>
      <c r="GDX49" s="39"/>
      <c r="GDY49" s="41"/>
      <c r="GEB49" s="32"/>
      <c r="GED49" s="12"/>
      <c r="GEF49" s="34"/>
      <c r="GEG49" s="39"/>
      <c r="GEH49" s="41"/>
      <c r="GEK49" s="32"/>
      <c r="GEM49" s="12"/>
      <c r="GEO49" s="34"/>
      <c r="GEP49" s="39"/>
      <c r="GEQ49" s="41"/>
      <c r="GET49" s="32"/>
      <c r="GEV49" s="12"/>
      <c r="GEX49" s="34"/>
      <c r="GEY49" s="39"/>
      <c r="GEZ49" s="41"/>
      <c r="GFC49" s="32"/>
      <c r="GFE49" s="12"/>
      <c r="GFG49" s="34"/>
      <c r="GFH49" s="39"/>
      <c r="GFI49" s="41"/>
      <c r="GFL49" s="32"/>
      <c r="GFN49" s="12"/>
      <c r="GFP49" s="34"/>
      <c r="GFQ49" s="39"/>
      <c r="GFR49" s="41"/>
      <c r="GFU49" s="32"/>
      <c r="GFW49" s="12"/>
      <c r="GFY49" s="34"/>
      <c r="GFZ49" s="39"/>
      <c r="GGA49" s="41"/>
      <c r="GGD49" s="32"/>
      <c r="GGF49" s="12"/>
      <c r="GGH49" s="34"/>
      <c r="GGI49" s="39"/>
      <c r="GGJ49" s="41"/>
      <c r="GGM49" s="32"/>
      <c r="GGO49" s="12"/>
      <c r="GGQ49" s="34"/>
      <c r="GGR49" s="39"/>
      <c r="GGS49" s="41"/>
      <c r="GGV49" s="32"/>
      <c r="GGX49" s="12"/>
      <c r="GGZ49" s="34"/>
      <c r="GHA49" s="39"/>
      <c r="GHB49" s="41"/>
      <c r="GHE49" s="32"/>
      <c r="GHG49" s="12"/>
      <c r="GHI49" s="34"/>
      <c r="GHJ49" s="39"/>
      <c r="GHK49" s="41"/>
      <c r="GHN49" s="32"/>
      <c r="GHP49" s="12"/>
      <c r="GHR49" s="34"/>
      <c r="GHS49" s="39"/>
      <c r="GHT49" s="41"/>
      <c r="GHW49" s="32"/>
      <c r="GHY49" s="12"/>
      <c r="GIA49" s="34"/>
      <c r="GIB49" s="39"/>
      <c r="GIC49" s="41"/>
      <c r="GIF49" s="32"/>
      <c r="GIH49" s="12"/>
      <c r="GIJ49" s="34"/>
      <c r="GIK49" s="39"/>
      <c r="GIL49" s="41"/>
      <c r="GIO49" s="32"/>
      <c r="GIQ49" s="12"/>
      <c r="GIS49" s="34"/>
      <c r="GIT49" s="39"/>
      <c r="GIU49" s="41"/>
      <c r="GIX49" s="32"/>
      <c r="GIZ49" s="12"/>
      <c r="GJB49" s="34"/>
      <c r="GJC49" s="39"/>
      <c r="GJD49" s="41"/>
      <c r="GJG49" s="32"/>
      <c r="GJI49" s="12"/>
      <c r="GJK49" s="34"/>
      <c r="GJL49" s="39"/>
      <c r="GJM49" s="41"/>
      <c r="GJP49" s="32"/>
      <c r="GJR49" s="12"/>
      <c r="GJT49" s="34"/>
      <c r="GJU49" s="39"/>
      <c r="GJV49" s="41"/>
      <c r="GJY49" s="32"/>
      <c r="GKA49" s="12"/>
      <c r="GKC49" s="34"/>
      <c r="GKD49" s="39"/>
      <c r="GKE49" s="41"/>
      <c r="GKH49" s="32"/>
      <c r="GKJ49" s="12"/>
      <c r="GKL49" s="34"/>
      <c r="GKM49" s="39"/>
      <c r="GKN49" s="41"/>
      <c r="GKQ49" s="32"/>
      <c r="GKS49" s="12"/>
      <c r="GKU49" s="34"/>
      <c r="GKV49" s="39"/>
      <c r="GKW49" s="41"/>
      <c r="GKZ49" s="32"/>
      <c r="GLB49" s="12"/>
      <c r="GLD49" s="34"/>
      <c r="GLE49" s="39"/>
      <c r="GLF49" s="41"/>
      <c r="GLI49" s="32"/>
      <c r="GLK49" s="12"/>
      <c r="GLM49" s="34"/>
      <c r="GLN49" s="39"/>
      <c r="GLO49" s="41"/>
      <c r="GLR49" s="32"/>
      <c r="GLT49" s="12"/>
      <c r="GLV49" s="34"/>
      <c r="GLW49" s="39"/>
      <c r="GLX49" s="41"/>
      <c r="GMA49" s="32"/>
      <c r="GMC49" s="12"/>
      <c r="GME49" s="34"/>
      <c r="GMF49" s="39"/>
      <c r="GMG49" s="41"/>
      <c r="GMJ49" s="32"/>
      <c r="GML49" s="12"/>
      <c r="GMN49" s="34"/>
      <c r="GMO49" s="39"/>
      <c r="GMP49" s="41"/>
      <c r="GMS49" s="32"/>
      <c r="GMU49" s="12"/>
      <c r="GMW49" s="34"/>
      <c r="GMX49" s="39"/>
      <c r="GMY49" s="41"/>
      <c r="GNB49" s="32"/>
      <c r="GND49" s="12"/>
      <c r="GNF49" s="34"/>
      <c r="GNG49" s="39"/>
      <c r="GNH49" s="41"/>
      <c r="GNK49" s="32"/>
      <c r="GNM49" s="12"/>
      <c r="GNO49" s="34"/>
      <c r="GNP49" s="39"/>
      <c r="GNQ49" s="41"/>
      <c r="GNT49" s="32"/>
      <c r="GNV49" s="12"/>
      <c r="GNX49" s="34"/>
      <c r="GNY49" s="39"/>
      <c r="GNZ49" s="41"/>
      <c r="GOC49" s="32"/>
      <c r="GOE49" s="12"/>
      <c r="GOG49" s="34"/>
      <c r="GOH49" s="39"/>
      <c r="GOI49" s="41"/>
      <c r="GOL49" s="32"/>
      <c r="GON49" s="12"/>
      <c r="GOP49" s="34"/>
      <c r="GOQ49" s="39"/>
      <c r="GOR49" s="41"/>
      <c r="GOU49" s="32"/>
      <c r="GOW49" s="12"/>
      <c r="GOY49" s="34"/>
      <c r="GOZ49" s="39"/>
      <c r="GPA49" s="41"/>
      <c r="GPD49" s="32"/>
      <c r="GPF49" s="12"/>
      <c r="GPH49" s="34"/>
      <c r="GPI49" s="39"/>
      <c r="GPJ49" s="41"/>
      <c r="GPM49" s="32"/>
      <c r="GPO49" s="12"/>
      <c r="GPQ49" s="34"/>
      <c r="GPR49" s="39"/>
      <c r="GPS49" s="41"/>
      <c r="GPV49" s="32"/>
      <c r="GPX49" s="12"/>
      <c r="GPZ49" s="34"/>
      <c r="GQA49" s="39"/>
      <c r="GQB49" s="41"/>
      <c r="GQE49" s="32"/>
      <c r="GQG49" s="12"/>
      <c r="GQI49" s="34"/>
      <c r="GQJ49" s="39"/>
      <c r="GQK49" s="41"/>
      <c r="GQN49" s="32"/>
      <c r="GQP49" s="12"/>
      <c r="GQR49" s="34"/>
      <c r="GQS49" s="39"/>
      <c r="GQT49" s="41"/>
      <c r="GQW49" s="32"/>
      <c r="GQY49" s="12"/>
      <c r="GRA49" s="34"/>
      <c r="GRB49" s="39"/>
      <c r="GRC49" s="41"/>
      <c r="GRF49" s="32"/>
      <c r="GRH49" s="12"/>
      <c r="GRJ49" s="34"/>
      <c r="GRK49" s="39"/>
      <c r="GRL49" s="41"/>
      <c r="GRO49" s="32"/>
      <c r="GRQ49" s="12"/>
      <c r="GRS49" s="34"/>
      <c r="GRT49" s="39"/>
      <c r="GRU49" s="41"/>
      <c r="GRX49" s="32"/>
      <c r="GRZ49" s="12"/>
      <c r="GSB49" s="34"/>
      <c r="GSC49" s="39"/>
      <c r="GSD49" s="41"/>
      <c r="GSG49" s="32"/>
      <c r="GSI49" s="12"/>
      <c r="GSK49" s="34"/>
      <c r="GSL49" s="39"/>
      <c r="GSM49" s="41"/>
      <c r="GSP49" s="32"/>
      <c r="GSR49" s="12"/>
      <c r="GST49" s="34"/>
      <c r="GSU49" s="39"/>
      <c r="GSV49" s="41"/>
      <c r="GSY49" s="32"/>
      <c r="GTA49" s="12"/>
      <c r="GTC49" s="34"/>
      <c r="GTD49" s="39"/>
      <c r="GTE49" s="41"/>
      <c r="GTH49" s="32"/>
      <c r="GTJ49" s="12"/>
      <c r="GTL49" s="34"/>
      <c r="GTM49" s="39"/>
      <c r="GTN49" s="41"/>
      <c r="GTQ49" s="32"/>
      <c r="GTS49" s="12"/>
      <c r="GTU49" s="34"/>
      <c r="GTV49" s="39"/>
      <c r="GTW49" s="41"/>
      <c r="GTZ49" s="32"/>
      <c r="GUB49" s="12"/>
      <c r="GUD49" s="34"/>
      <c r="GUE49" s="39"/>
      <c r="GUF49" s="41"/>
      <c r="GUI49" s="32"/>
      <c r="GUK49" s="12"/>
      <c r="GUM49" s="34"/>
      <c r="GUN49" s="39"/>
      <c r="GUO49" s="41"/>
      <c r="GUR49" s="32"/>
      <c r="GUT49" s="12"/>
      <c r="GUV49" s="34"/>
      <c r="GUW49" s="39"/>
      <c r="GUX49" s="41"/>
      <c r="GVA49" s="32"/>
      <c r="GVC49" s="12"/>
      <c r="GVE49" s="34"/>
      <c r="GVF49" s="39"/>
      <c r="GVG49" s="41"/>
      <c r="GVJ49" s="32"/>
      <c r="GVL49" s="12"/>
      <c r="GVN49" s="34"/>
      <c r="GVO49" s="39"/>
      <c r="GVP49" s="41"/>
      <c r="GVS49" s="32"/>
      <c r="GVU49" s="12"/>
      <c r="GVW49" s="34"/>
      <c r="GVX49" s="39"/>
      <c r="GVY49" s="41"/>
      <c r="GWB49" s="32"/>
      <c r="GWD49" s="12"/>
      <c r="GWF49" s="34"/>
      <c r="GWG49" s="39"/>
      <c r="GWH49" s="41"/>
      <c r="GWK49" s="32"/>
      <c r="GWM49" s="12"/>
      <c r="GWO49" s="34"/>
      <c r="GWP49" s="39"/>
      <c r="GWQ49" s="41"/>
      <c r="GWT49" s="32"/>
      <c r="GWV49" s="12"/>
      <c r="GWX49" s="34"/>
      <c r="GWY49" s="39"/>
      <c r="GWZ49" s="41"/>
      <c r="GXC49" s="32"/>
      <c r="GXE49" s="12"/>
      <c r="GXG49" s="34"/>
      <c r="GXH49" s="39"/>
      <c r="GXI49" s="41"/>
      <c r="GXL49" s="32"/>
      <c r="GXN49" s="12"/>
      <c r="GXP49" s="34"/>
      <c r="GXQ49" s="39"/>
      <c r="GXR49" s="41"/>
      <c r="GXU49" s="32"/>
      <c r="GXW49" s="12"/>
      <c r="GXY49" s="34"/>
      <c r="GXZ49" s="39"/>
      <c r="GYA49" s="41"/>
      <c r="GYD49" s="32"/>
      <c r="GYF49" s="12"/>
      <c r="GYH49" s="34"/>
      <c r="GYI49" s="39"/>
      <c r="GYJ49" s="41"/>
      <c r="GYM49" s="32"/>
      <c r="GYO49" s="12"/>
      <c r="GYQ49" s="34"/>
      <c r="GYR49" s="39"/>
      <c r="GYS49" s="41"/>
      <c r="GYV49" s="32"/>
      <c r="GYX49" s="12"/>
      <c r="GYZ49" s="34"/>
      <c r="GZA49" s="39"/>
      <c r="GZB49" s="41"/>
      <c r="GZE49" s="32"/>
      <c r="GZG49" s="12"/>
      <c r="GZI49" s="34"/>
      <c r="GZJ49" s="39"/>
      <c r="GZK49" s="41"/>
      <c r="GZN49" s="32"/>
      <c r="GZP49" s="12"/>
      <c r="GZR49" s="34"/>
      <c r="GZS49" s="39"/>
      <c r="GZT49" s="41"/>
      <c r="GZW49" s="32"/>
      <c r="GZY49" s="12"/>
      <c r="HAA49" s="34"/>
      <c r="HAB49" s="39"/>
      <c r="HAC49" s="41"/>
      <c r="HAF49" s="32"/>
      <c r="HAH49" s="12"/>
      <c r="HAJ49" s="34"/>
      <c r="HAK49" s="39"/>
      <c r="HAL49" s="41"/>
      <c r="HAO49" s="32"/>
      <c r="HAQ49" s="12"/>
      <c r="HAS49" s="34"/>
      <c r="HAT49" s="39"/>
      <c r="HAU49" s="41"/>
      <c r="HAX49" s="32"/>
      <c r="HAZ49" s="12"/>
      <c r="HBB49" s="34"/>
      <c r="HBC49" s="39"/>
      <c r="HBD49" s="41"/>
      <c r="HBG49" s="32"/>
      <c r="HBI49" s="12"/>
      <c r="HBK49" s="34"/>
      <c r="HBL49" s="39"/>
      <c r="HBM49" s="41"/>
      <c r="HBP49" s="32"/>
      <c r="HBR49" s="12"/>
      <c r="HBT49" s="34"/>
      <c r="HBU49" s="39"/>
      <c r="HBV49" s="41"/>
      <c r="HBY49" s="32"/>
      <c r="HCA49" s="12"/>
      <c r="HCC49" s="34"/>
      <c r="HCD49" s="39"/>
      <c r="HCE49" s="41"/>
      <c r="HCH49" s="32"/>
      <c r="HCJ49" s="12"/>
      <c r="HCL49" s="34"/>
      <c r="HCM49" s="39"/>
      <c r="HCN49" s="41"/>
      <c r="HCQ49" s="32"/>
      <c r="HCS49" s="12"/>
      <c r="HCU49" s="34"/>
      <c r="HCV49" s="39"/>
      <c r="HCW49" s="41"/>
      <c r="HCZ49" s="32"/>
      <c r="HDB49" s="12"/>
      <c r="HDD49" s="34"/>
      <c r="HDE49" s="39"/>
      <c r="HDF49" s="41"/>
      <c r="HDI49" s="32"/>
      <c r="HDK49" s="12"/>
      <c r="HDM49" s="34"/>
      <c r="HDN49" s="39"/>
      <c r="HDO49" s="41"/>
      <c r="HDR49" s="32"/>
      <c r="HDT49" s="12"/>
      <c r="HDV49" s="34"/>
      <c r="HDW49" s="39"/>
      <c r="HDX49" s="41"/>
      <c r="HEA49" s="32"/>
      <c r="HEC49" s="12"/>
      <c r="HEE49" s="34"/>
      <c r="HEF49" s="39"/>
      <c r="HEG49" s="41"/>
      <c r="HEJ49" s="32"/>
      <c r="HEL49" s="12"/>
      <c r="HEN49" s="34"/>
      <c r="HEO49" s="39"/>
      <c r="HEP49" s="41"/>
      <c r="HES49" s="32"/>
      <c r="HEU49" s="12"/>
      <c r="HEW49" s="34"/>
      <c r="HEX49" s="39"/>
      <c r="HEY49" s="41"/>
      <c r="HFB49" s="32"/>
      <c r="HFD49" s="12"/>
      <c r="HFF49" s="34"/>
      <c r="HFG49" s="39"/>
      <c r="HFH49" s="41"/>
      <c r="HFK49" s="32"/>
      <c r="HFM49" s="12"/>
      <c r="HFO49" s="34"/>
      <c r="HFP49" s="39"/>
      <c r="HFQ49" s="41"/>
      <c r="HFT49" s="32"/>
      <c r="HFV49" s="12"/>
      <c r="HFX49" s="34"/>
      <c r="HFY49" s="39"/>
      <c r="HFZ49" s="41"/>
      <c r="HGC49" s="32"/>
      <c r="HGE49" s="12"/>
      <c r="HGG49" s="34"/>
      <c r="HGH49" s="39"/>
      <c r="HGI49" s="41"/>
      <c r="HGL49" s="32"/>
      <c r="HGN49" s="12"/>
      <c r="HGP49" s="34"/>
      <c r="HGQ49" s="39"/>
      <c r="HGR49" s="41"/>
      <c r="HGU49" s="32"/>
      <c r="HGW49" s="12"/>
      <c r="HGY49" s="34"/>
      <c r="HGZ49" s="39"/>
      <c r="HHA49" s="41"/>
      <c r="HHD49" s="32"/>
      <c r="HHF49" s="12"/>
      <c r="HHH49" s="34"/>
      <c r="HHI49" s="39"/>
      <c r="HHJ49" s="41"/>
      <c r="HHM49" s="32"/>
      <c r="HHO49" s="12"/>
      <c r="HHQ49" s="34"/>
      <c r="HHR49" s="39"/>
      <c r="HHS49" s="41"/>
      <c r="HHV49" s="32"/>
      <c r="HHX49" s="12"/>
      <c r="HHZ49" s="34"/>
      <c r="HIA49" s="39"/>
      <c r="HIB49" s="41"/>
      <c r="HIE49" s="32"/>
      <c r="HIG49" s="12"/>
      <c r="HII49" s="34"/>
      <c r="HIJ49" s="39"/>
      <c r="HIK49" s="41"/>
      <c r="HIN49" s="32"/>
      <c r="HIP49" s="12"/>
      <c r="HIR49" s="34"/>
      <c r="HIS49" s="39"/>
      <c r="HIT49" s="41"/>
      <c r="HIW49" s="32"/>
      <c r="HIY49" s="12"/>
      <c r="HJA49" s="34"/>
      <c r="HJB49" s="39"/>
      <c r="HJC49" s="41"/>
      <c r="HJF49" s="32"/>
      <c r="HJH49" s="12"/>
      <c r="HJJ49" s="34"/>
      <c r="HJK49" s="39"/>
      <c r="HJL49" s="41"/>
      <c r="HJO49" s="32"/>
      <c r="HJQ49" s="12"/>
      <c r="HJS49" s="34"/>
      <c r="HJT49" s="39"/>
      <c r="HJU49" s="41"/>
      <c r="HJX49" s="32"/>
      <c r="HJZ49" s="12"/>
      <c r="HKB49" s="34"/>
      <c r="HKC49" s="39"/>
      <c r="HKD49" s="41"/>
      <c r="HKG49" s="32"/>
      <c r="HKI49" s="12"/>
      <c r="HKK49" s="34"/>
      <c r="HKL49" s="39"/>
      <c r="HKM49" s="41"/>
      <c r="HKP49" s="32"/>
      <c r="HKR49" s="12"/>
      <c r="HKT49" s="34"/>
      <c r="HKU49" s="39"/>
      <c r="HKV49" s="41"/>
      <c r="HKY49" s="32"/>
      <c r="HLA49" s="12"/>
      <c r="HLC49" s="34"/>
      <c r="HLD49" s="39"/>
      <c r="HLE49" s="41"/>
      <c r="HLH49" s="32"/>
      <c r="HLJ49" s="12"/>
      <c r="HLL49" s="34"/>
      <c r="HLM49" s="39"/>
      <c r="HLN49" s="41"/>
      <c r="HLQ49" s="32"/>
      <c r="HLS49" s="12"/>
      <c r="HLU49" s="34"/>
      <c r="HLV49" s="39"/>
      <c r="HLW49" s="41"/>
      <c r="HLZ49" s="32"/>
      <c r="HMB49" s="12"/>
      <c r="HMD49" s="34"/>
      <c r="HME49" s="39"/>
      <c r="HMF49" s="41"/>
      <c r="HMI49" s="32"/>
      <c r="HMK49" s="12"/>
      <c r="HMM49" s="34"/>
      <c r="HMN49" s="39"/>
      <c r="HMO49" s="41"/>
      <c r="HMR49" s="32"/>
      <c r="HMT49" s="12"/>
      <c r="HMV49" s="34"/>
      <c r="HMW49" s="39"/>
      <c r="HMX49" s="41"/>
      <c r="HNA49" s="32"/>
      <c r="HNC49" s="12"/>
      <c r="HNE49" s="34"/>
      <c r="HNF49" s="39"/>
      <c r="HNG49" s="41"/>
      <c r="HNJ49" s="32"/>
      <c r="HNL49" s="12"/>
      <c r="HNN49" s="34"/>
      <c r="HNO49" s="39"/>
      <c r="HNP49" s="41"/>
      <c r="HNS49" s="32"/>
      <c r="HNU49" s="12"/>
      <c r="HNW49" s="34"/>
      <c r="HNX49" s="39"/>
      <c r="HNY49" s="41"/>
      <c r="HOB49" s="32"/>
      <c r="HOD49" s="12"/>
      <c r="HOF49" s="34"/>
      <c r="HOG49" s="39"/>
      <c r="HOH49" s="41"/>
      <c r="HOK49" s="32"/>
      <c r="HOM49" s="12"/>
      <c r="HOO49" s="34"/>
      <c r="HOP49" s="39"/>
      <c r="HOQ49" s="41"/>
      <c r="HOT49" s="32"/>
      <c r="HOV49" s="12"/>
      <c r="HOX49" s="34"/>
      <c r="HOY49" s="39"/>
      <c r="HOZ49" s="41"/>
      <c r="HPC49" s="32"/>
      <c r="HPE49" s="12"/>
      <c r="HPG49" s="34"/>
      <c r="HPH49" s="39"/>
      <c r="HPI49" s="41"/>
      <c r="HPL49" s="32"/>
      <c r="HPN49" s="12"/>
      <c r="HPP49" s="34"/>
      <c r="HPQ49" s="39"/>
      <c r="HPR49" s="41"/>
      <c r="HPU49" s="32"/>
      <c r="HPW49" s="12"/>
      <c r="HPY49" s="34"/>
      <c r="HPZ49" s="39"/>
      <c r="HQA49" s="41"/>
      <c r="HQD49" s="32"/>
      <c r="HQF49" s="12"/>
      <c r="HQH49" s="34"/>
      <c r="HQI49" s="39"/>
      <c r="HQJ49" s="41"/>
      <c r="HQM49" s="32"/>
      <c r="HQO49" s="12"/>
      <c r="HQQ49" s="34"/>
      <c r="HQR49" s="39"/>
      <c r="HQS49" s="41"/>
      <c r="HQV49" s="32"/>
      <c r="HQX49" s="12"/>
      <c r="HQZ49" s="34"/>
      <c r="HRA49" s="39"/>
      <c r="HRB49" s="41"/>
      <c r="HRE49" s="32"/>
      <c r="HRG49" s="12"/>
      <c r="HRI49" s="34"/>
      <c r="HRJ49" s="39"/>
      <c r="HRK49" s="41"/>
      <c r="HRN49" s="32"/>
      <c r="HRP49" s="12"/>
      <c r="HRR49" s="34"/>
      <c r="HRS49" s="39"/>
      <c r="HRT49" s="41"/>
      <c r="HRW49" s="32"/>
      <c r="HRY49" s="12"/>
      <c r="HSA49" s="34"/>
      <c r="HSB49" s="39"/>
      <c r="HSC49" s="41"/>
      <c r="HSF49" s="32"/>
      <c r="HSH49" s="12"/>
      <c r="HSJ49" s="34"/>
      <c r="HSK49" s="39"/>
      <c r="HSL49" s="41"/>
      <c r="HSO49" s="32"/>
      <c r="HSQ49" s="12"/>
      <c r="HSS49" s="34"/>
      <c r="HST49" s="39"/>
      <c r="HSU49" s="41"/>
      <c r="HSX49" s="32"/>
      <c r="HSZ49" s="12"/>
      <c r="HTB49" s="34"/>
      <c r="HTC49" s="39"/>
      <c r="HTD49" s="41"/>
      <c r="HTG49" s="32"/>
      <c r="HTI49" s="12"/>
      <c r="HTK49" s="34"/>
      <c r="HTL49" s="39"/>
      <c r="HTM49" s="41"/>
      <c r="HTP49" s="32"/>
      <c r="HTR49" s="12"/>
      <c r="HTT49" s="34"/>
      <c r="HTU49" s="39"/>
      <c r="HTV49" s="41"/>
      <c r="HTY49" s="32"/>
      <c r="HUA49" s="12"/>
      <c r="HUC49" s="34"/>
      <c r="HUD49" s="39"/>
      <c r="HUE49" s="41"/>
      <c r="HUH49" s="32"/>
      <c r="HUJ49" s="12"/>
      <c r="HUL49" s="34"/>
      <c r="HUM49" s="39"/>
      <c r="HUN49" s="41"/>
      <c r="HUQ49" s="32"/>
      <c r="HUS49" s="12"/>
      <c r="HUU49" s="34"/>
      <c r="HUV49" s="39"/>
      <c r="HUW49" s="41"/>
      <c r="HUZ49" s="32"/>
      <c r="HVB49" s="12"/>
      <c r="HVD49" s="34"/>
      <c r="HVE49" s="39"/>
      <c r="HVF49" s="41"/>
      <c r="HVI49" s="32"/>
      <c r="HVK49" s="12"/>
      <c r="HVM49" s="34"/>
      <c r="HVN49" s="39"/>
      <c r="HVO49" s="41"/>
      <c r="HVR49" s="32"/>
      <c r="HVT49" s="12"/>
      <c r="HVV49" s="34"/>
      <c r="HVW49" s="39"/>
      <c r="HVX49" s="41"/>
      <c r="HWA49" s="32"/>
      <c r="HWC49" s="12"/>
      <c r="HWE49" s="34"/>
      <c r="HWF49" s="39"/>
      <c r="HWG49" s="41"/>
      <c r="HWJ49" s="32"/>
      <c r="HWL49" s="12"/>
      <c r="HWN49" s="34"/>
      <c r="HWO49" s="39"/>
      <c r="HWP49" s="41"/>
      <c r="HWS49" s="32"/>
      <c r="HWU49" s="12"/>
      <c r="HWW49" s="34"/>
      <c r="HWX49" s="39"/>
      <c r="HWY49" s="41"/>
      <c r="HXB49" s="32"/>
      <c r="HXD49" s="12"/>
      <c r="HXF49" s="34"/>
      <c r="HXG49" s="39"/>
      <c r="HXH49" s="41"/>
      <c r="HXK49" s="32"/>
      <c r="HXM49" s="12"/>
      <c r="HXO49" s="34"/>
      <c r="HXP49" s="39"/>
      <c r="HXQ49" s="41"/>
      <c r="HXT49" s="32"/>
      <c r="HXV49" s="12"/>
      <c r="HXX49" s="34"/>
      <c r="HXY49" s="39"/>
      <c r="HXZ49" s="41"/>
      <c r="HYC49" s="32"/>
      <c r="HYE49" s="12"/>
      <c r="HYG49" s="34"/>
      <c r="HYH49" s="39"/>
      <c r="HYI49" s="41"/>
      <c r="HYL49" s="32"/>
      <c r="HYN49" s="12"/>
      <c r="HYP49" s="34"/>
      <c r="HYQ49" s="39"/>
      <c r="HYR49" s="41"/>
      <c r="HYU49" s="32"/>
      <c r="HYW49" s="12"/>
      <c r="HYY49" s="34"/>
      <c r="HYZ49" s="39"/>
      <c r="HZA49" s="41"/>
      <c r="HZD49" s="32"/>
      <c r="HZF49" s="12"/>
      <c r="HZH49" s="34"/>
      <c r="HZI49" s="39"/>
      <c r="HZJ49" s="41"/>
      <c r="HZM49" s="32"/>
      <c r="HZO49" s="12"/>
      <c r="HZQ49" s="34"/>
      <c r="HZR49" s="39"/>
      <c r="HZS49" s="41"/>
      <c r="HZV49" s="32"/>
      <c r="HZX49" s="12"/>
      <c r="HZZ49" s="34"/>
      <c r="IAA49" s="39"/>
      <c r="IAB49" s="41"/>
      <c r="IAE49" s="32"/>
      <c r="IAG49" s="12"/>
      <c r="IAI49" s="34"/>
      <c r="IAJ49" s="39"/>
      <c r="IAK49" s="41"/>
      <c r="IAN49" s="32"/>
      <c r="IAP49" s="12"/>
      <c r="IAR49" s="34"/>
      <c r="IAS49" s="39"/>
      <c r="IAT49" s="41"/>
      <c r="IAW49" s="32"/>
      <c r="IAY49" s="12"/>
      <c r="IBA49" s="34"/>
      <c r="IBB49" s="39"/>
      <c r="IBC49" s="41"/>
      <c r="IBF49" s="32"/>
      <c r="IBH49" s="12"/>
      <c r="IBJ49" s="34"/>
      <c r="IBK49" s="39"/>
      <c r="IBL49" s="41"/>
      <c r="IBO49" s="32"/>
      <c r="IBQ49" s="12"/>
      <c r="IBS49" s="34"/>
      <c r="IBT49" s="39"/>
      <c r="IBU49" s="41"/>
      <c r="IBX49" s="32"/>
      <c r="IBZ49" s="12"/>
      <c r="ICB49" s="34"/>
      <c r="ICC49" s="39"/>
      <c r="ICD49" s="41"/>
      <c r="ICG49" s="32"/>
      <c r="ICI49" s="12"/>
      <c r="ICK49" s="34"/>
      <c r="ICL49" s="39"/>
      <c r="ICM49" s="41"/>
      <c r="ICP49" s="32"/>
      <c r="ICR49" s="12"/>
      <c r="ICT49" s="34"/>
      <c r="ICU49" s="39"/>
      <c r="ICV49" s="41"/>
      <c r="ICY49" s="32"/>
      <c r="IDA49" s="12"/>
      <c r="IDC49" s="34"/>
      <c r="IDD49" s="39"/>
      <c r="IDE49" s="41"/>
      <c r="IDH49" s="32"/>
      <c r="IDJ49" s="12"/>
      <c r="IDL49" s="34"/>
      <c r="IDM49" s="39"/>
      <c r="IDN49" s="41"/>
      <c r="IDQ49" s="32"/>
      <c r="IDS49" s="12"/>
      <c r="IDU49" s="34"/>
      <c r="IDV49" s="39"/>
      <c r="IDW49" s="41"/>
      <c r="IDZ49" s="32"/>
      <c r="IEB49" s="12"/>
      <c r="IED49" s="34"/>
      <c r="IEE49" s="39"/>
      <c r="IEF49" s="41"/>
      <c r="IEI49" s="32"/>
      <c r="IEK49" s="12"/>
      <c r="IEM49" s="34"/>
      <c r="IEN49" s="39"/>
      <c r="IEO49" s="41"/>
      <c r="IER49" s="32"/>
      <c r="IET49" s="12"/>
      <c r="IEV49" s="34"/>
      <c r="IEW49" s="39"/>
      <c r="IEX49" s="41"/>
      <c r="IFA49" s="32"/>
      <c r="IFC49" s="12"/>
      <c r="IFE49" s="34"/>
      <c r="IFF49" s="39"/>
      <c r="IFG49" s="41"/>
      <c r="IFJ49" s="32"/>
      <c r="IFL49" s="12"/>
      <c r="IFN49" s="34"/>
      <c r="IFO49" s="39"/>
      <c r="IFP49" s="41"/>
      <c r="IFS49" s="32"/>
      <c r="IFU49" s="12"/>
      <c r="IFW49" s="34"/>
      <c r="IFX49" s="39"/>
      <c r="IFY49" s="41"/>
      <c r="IGB49" s="32"/>
      <c r="IGD49" s="12"/>
      <c r="IGF49" s="34"/>
      <c r="IGG49" s="39"/>
      <c r="IGH49" s="41"/>
      <c r="IGK49" s="32"/>
      <c r="IGM49" s="12"/>
      <c r="IGO49" s="34"/>
      <c r="IGP49" s="39"/>
      <c r="IGQ49" s="41"/>
      <c r="IGT49" s="32"/>
      <c r="IGV49" s="12"/>
      <c r="IGX49" s="34"/>
      <c r="IGY49" s="39"/>
      <c r="IGZ49" s="41"/>
      <c r="IHC49" s="32"/>
      <c r="IHE49" s="12"/>
      <c r="IHG49" s="34"/>
      <c r="IHH49" s="39"/>
      <c r="IHI49" s="41"/>
      <c r="IHL49" s="32"/>
      <c r="IHN49" s="12"/>
      <c r="IHP49" s="34"/>
      <c r="IHQ49" s="39"/>
      <c r="IHR49" s="41"/>
      <c r="IHU49" s="32"/>
      <c r="IHW49" s="12"/>
      <c r="IHY49" s="34"/>
      <c r="IHZ49" s="39"/>
      <c r="IIA49" s="41"/>
      <c r="IID49" s="32"/>
      <c r="IIF49" s="12"/>
      <c r="IIH49" s="34"/>
      <c r="III49" s="39"/>
      <c r="IIJ49" s="41"/>
      <c r="IIM49" s="32"/>
      <c r="IIO49" s="12"/>
      <c r="IIQ49" s="34"/>
      <c r="IIR49" s="39"/>
      <c r="IIS49" s="41"/>
      <c r="IIV49" s="32"/>
      <c r="IIX49" s="12"/>
      <c r="IIZ49" s="34"/>
      <c r="IJA49" s="39"/>
      <c r="IJB49" s="41"/>
      <c r="IJE49" s="32"/>
      <c r="IJG49" s="12"/>
      <c r="IJI49" s="34"/>
      <c r="IJJ49" s="39"/>
      <c r="IJK49" s="41"/>
      <c r="IJN49" s="32"/>
      <c r="IJP49" s="12"/>
      <c r="IJR49" s="34"/>
      <c r="IJS49" s="39"/>
      <c r="IJT49" s="41"/>
      <c r="IJW49" s="32"/>
      <c r="IJY49" s="12"/>
      <c r="IKA49" s="34"/>
      <c r="IKB49" s="39"/>
      <c r="IKC49" s="41"/>
      <c r="IKF49" s="32"/>
      <c r="IKH49" s="12"/>
      <c r="IKJ49" s="34"/>
      <c r="IKK49" s="39"/>
      <c r="IKL49" s="41"/>
      <c r="IKO49" s="32"/>
      <c r="IKQ49" s="12"/>
      <c r="IKS49" s="34"/>
      <c r="IKT49" s="39"/>
      <c r="IKU49" s="41"/>
      <c r="IKX49" s="32"/>
      <c r="IKZ49" s="12"/>
      <c r="ILB49" s="34"/>
      <c r="ILC49" s="39"/>
      <c r="ILD49" s="41"/>
      <c r="ILG49" s="32"/>
      <c r="ILI49" s="12"/>
      <c r="ILK49" s="34"/>
      <c r="ILL49" s="39"/>
      <c r="ILM49" s="41"/>
      <c r="ILP49" s="32"/>
      <c r="ILR49" s="12"/>
      <c r="ILT49" s="34"/>
      <c r="ILU49" s="39"/>
      <c r="ILV49" s="41"/>
      <c r="ILY49" s="32"/>
      <c r="IMA49" s="12"/>
      <c r="IMC49" s="34"/>
      <c r="IMD49" s="39"/>
      <c r="IME49" s="41"/>
      <c r="IMH49" s="32"/>
      <c r="IMJ49" s="12"/>
      <c r="IML49" s="34"/>
      <c r="IMM49" s="39"/>
      <c r="IMN49" s="41"/>
      <c r="IMQ49" s="32"/>
      <c r="IMS49" s="12"/>
      <c r="IMU49" s="34"/>
      <c r="IMV49" s="39"/>
      <c r="IMW49" s="41"/>
      <c r="IMZ49" s="32"/>
      <c r="INB49" s="12"/>
      <c r="IND49" s="34"/>
      <c r="INE49" s="39"/>
      <c r="INF49" s="41"/>
      <c r="INI49" s="32"/>
      <c r="INK49" s="12"/>
      <c r="INM49" s="34"/>
      <c r="INN49" s="39"/>
      <c r="INO49" s="41"/>
      <c r="INR49" s="32"/>
      <c r="INT49" s="12"/>
      <c r="INV49" s="34"/>
      <c r="INW49" s="39"/>
      <c r="INX49" s="41"/>
      <c r="IOA49" s="32"/>
      <c r="IOC49" s="12"/>
      <c r="IOE49" s="34"/>
      <c r="IOF49" s="39"/>
      <c r="IOG49" s="41"/>
      <c r="IOJ49" s="32"/>
      <c r="IOL49" s="12"/>
      <c r="ION49" s="34"/>
      <c r="IOO49" s="39"/>
      <c r="IOP49" s="41"/>
      <c r="IOS49" s="32"/>
      <c r="IOU49" s="12"/>
      <c r="IOW49" s="34"/>
      <c r="IOX49" s="39"/>
      <c r="IOY49" s="41"/>
      <c r="IPB49" s="32"/>
      <c r="IPD49" s="12"/>
      <c r="IPF49" s="34"/>
      <c r="IPG49" s="39"/>
      <c r="IPH49" s="41"/>
      <c r="IPK49" s="32"/>
      <c r="IPM49" s="12"/>
      <c r="IPO49" s="34"/>
      <c r="IPP49" s="39"/>
      <c r="IPQ49" s="41"/>
      <c r="IPT49" s="32"/>
      <c r="IPV49" s="12"/>
      <c r="IPX49" s="34"/>
      <c r="IPY49" s="39"/>
      <c r="IPZ49" s="41"/>
      <c r="IQC49" s="32"/>
      <c r="IQE49" s="12"/>
      <c r="IQG49" s="34"/>
      <c r="IQH49" s="39"/>
      <c r="IQI49" s="41"/>
      <c r="IQL49" s="32"/>
      <c r="IQN49" s="12"/>
      <c r="IQP49" s="34"/>
      <c r="IQQ49" s="39"/>
      <c r="IQR49" s="41"/>
      <c r="IQU49" s="32"/>
      <c r="IQW49" s="12"/>
      <c r="IQY49" s="34"/>
      <c r="IQZ49" s="39"/>
      <c r="IRA49" s="41"/>
      <c r="IRD49" s="32"/>
      <c r="IRF49" s="12"/>
      <c r="IRH49" s="34"/>
      <c r="IRI49" s="39"/>
      <c r="IRJ49" s="41"/>
      <c r="IRM49" s="32"/>
      <c r="IRO49" s="12"/>
      <c r="IRQ49" s="34"/>
      <c r="IRR49" s="39"/>
      <c r="IRS49" s="41"/>
      <c r="IRV49" s="32"/>
      <c r="IRX49" s="12"/>
      <c r="IRZ49" s="34"/>
      <c r="ISA49" s="39"/>
      <c r="ISB49" s="41"/>
      <c r="ISE49" s="32"/>
      <c r="ISG49" s="12"/>
      <c r="ISI49" s="34"/>
      <c r="ISJ49" s="39"/>
      <c r="ISK49" s="41"/>
      <c r="ISN49" s="32"/>
      <c r="ISP49" s="12"/>
      <c r="ISR49" s="34"/>
      <c r="ISS49" s="39"/>
      <c r="IST49" s="41"/>
      <c r="ISW49" s="32"/>
      <c r="ISY49" s="12"/>
      <c r="ITA49" s="34"/>
      <c r="ITB49" s="39"/>
      <c r="ITC49" s="41"/>
      <c r="ITF49" s="32"/>
      <c r="ITH49" s="12"/>
      <c r="ITJ49" s="34"/>
      <c r="ITK49" s="39"/>
      <c r="ITL49" s="41"/>
      <c r="ITO49" s="32"/>
      <c r="ITQ49" s="12"/>
      <c r="ITS49" s="34"/>
      <c r="ITT49" s="39"/>
      <c r="ITU49" s="41"/>
      <c r="ITX49" s="32"/>
      <c r="ITZ49" s="12"/>
      <c r="IUB49" s="34"/>
      <c r="IUC49" s="39"/>
      <c r="IUD49" s="41"/>
      <c r="IUG49" s="32"/>
      <c r="IUI49" s="12"/>
      <c r="IUK49" s="34"/>
      <c r="IUL49" s="39"/>
      <c r="IUM49" s="41"/>
      <c r="IUP49" s="32"/>
      <c r="IUR49" s="12"/>
      <c r="IUT49" s="34"/>
      <c r="IUU49" s="39"/>
      <c r="IUV49" s="41"/>
      <c r="IUY49" s="32"/>
      <c r="IVA49" s="12"/>
      <c r="IVC49" s="34"/>
      <c r="IVD49" s="39"/>
      <c r="IVE49" s="41"/>
      <c r="IVH49" s="32"/>
      <c r="IVJ49" s="12"/>
      <c r="IVL49" s="34"/>
      <c r="IVM49" s="39"/>
      <c r="IVN49" s="41"/>
      <c r="IVQ49" s="32"/>
      <c r="IVS49" s="12"/>
      <c r="IVU49" s="34"/>
      <c r="IVV49" s="39"/>
      <c r="IVW49" s="41"/>
      <c r="IVZ49" s="32"/>
      <c r="IWB49" s="12"/>
      <c r="IWD49" s="34"/>
      <c r="IWE49" s="39"/>
      <c r="IWF49" s="41"/>
      <c r="IWI49" s="32"/>
      <c r="IWK49" s="12"/>
      <c r="IWM49" s="34"/>
      <c r="IWN49" s="39"/>
      <c r="IWO49" s="41"/>
      <c r="IWR49" s="32"/>
      <c r="IWT49" s="12"/>
      <c r="IWV49" s="34"/>
      <c r="IWW49" s="39"/>
      <c r="IWX49" s="41"/>
      <c r="IXA49" s="32"/>
      <c r="IXC49" s="12"/>
      <c r="IXE49" s="34"/>
      <c r="IXF49" s="39"/>
      <c r="IXG49" s="41"/>
      <c r="IXJ49" s="32"/>
      <c r="IXL49" s="12"/>
      <c r="IXN49" s="34"/>
      <c r="IXO49" s="39"/>
      <c r="IXP49" s="41"/>
      <c r="IXS49" s="32"/>
      <c r="IXU49" s="12"/>
      <c r="IXW49" s="34"/>
      <c r="IXX49" s="39"/>
      <c r="IXY49" s="41"/>
      <c r="IYB49" s="32"/>
      <c r="IYD49" s="12"/>
      <c r="IYF49" s="34"/>
      <c r="IYG49" s="39"/>
      <c r="IYH49" s="41"/>
      <c r="IYK49" s="32"/>
      <c r="IYM49" s="12"/>
      <c r="IYO49" s="34"/>
      <c r="IYP49" s="39"/>
      <c r="IYQ49" s="41"/>
      <c r="IYT49" s="32"/>
      <c r="IYV49" s="12"/>
      <c r="IYX49" s="34"/>
      <c r="IYY49" s="39"/>
      <c r="IYZ49" s="41"/>
      <c r="IZC49" s="32"/>
      <c r="IZE49" s="12"/>
      <c r="IZG49" s="34"/>
      <c r="IZH49" s="39"/>
      <c r="IZI49" s="41"/>
      <c r="IZL49" s="32"/>
      <c r="IZN49" s="12"/>
      <c r="IZP49" s="34"/>
      <c r="IZQ49" s="39"/>
      <c r="IZR49" s="41"/>
      <c r="IZU49" s="32"/>
      <c r="IZW49" s="12"/>
      <c r="IZY49" s="34"/>
      <c r="IZZ49" s="39"/>
      <c r="JAA49" s="41"/>
      <c r="JAD49" s="32"/>
      <c r="JAF49" s="12"/>
      <c r="JAH49" s="34"/>
      <c r="JAI49" s="39"/>
      <c r="JAJ49" s="41"/>
      <c r="JAM49" s="32"/>
      <c r="JAO49" s="12"/>
      <c r="JAQ49" s="34"/>
      <c r="JAR49" s="39"/>
      <c r="JAS49" s="41"/>
      <c r="JAV49" s="32"/>
      <c r="JAX49" s="12"/>
      <c r="JAZ49" s="34"/>
      <c r="JBA49" s="39"/>
      <c r="JBB49" s="41"/>
      <c r="JBE49" s="32"/>
      <c r="JBG49" s="12"/>
      <c r="JBI49" s="34"/>
      <c r="JBJ49" s="39"/>
      <c r="JBK49" s="41"/>
      <c r="JBN49" s="32"/>
      <c r="JBP49" s="12"/>
      <c r="JBR49" s="34"/>
      <c r="JBS49" s="39"/>
      <c r="JBT49" s="41"/>
      <c r="JBW49" s="32"/>
      <c r="JBY49" s="12"/>
      <c r="JCA49" s="34"/>
      <c r="JCB49" s="39"/>
      <c r="JCC49" s="41"/>
      <c r="JCF49" s="32"/>
      <c r="JCH49" s="12"/>
      <c r="JCJ49" s="34"/>
      <c r="JCK49" s="39"/>
      <c r="JCL49" s="41"/>
      <c r="JCO49" s="32"/>
      <c r="JCQ49" s="12"/>
      <c r="JCS49" s="34"/>
      <c r="JCT49" s="39"/>
      <c r="JCU49" s="41"/>
      <c r="JCX49" s="32"/>
      <c r="JCZ49" s="12"/>
      <c r="JDB49" s="34"/>
      <c r="JDC49" s="39"/>
      <c r="JDD49" s="41"/>
      <c r="JDG49" s="32"/>
      <c r="JDI49" s="12"/>
      <c r="JDK49" s="34"/>
      <c r="JDL49" s="39"/>
      <c r="JDM49" s="41"/>
      <c r="JDP49" s="32"/>
      <c r="JDR49" s="12"/>
      <c r="JDT49" s="34"/>
      <c r="JDU49" s="39"/>
      <c r="JDV49" s="41"/>
      <c r="JDY49" s="32"/>
      <c r="JEA49" s="12"/>
      <c r="JEC49" s="34"/>
      <c r="JED49" s="39"/>
      <c r="JEE49" s="41"/>
      <c r="JEH49" s="32"/>
      <c r="JEJ49" s="12"/>
      <c r="JEL49" s="34"/>
      <c r="JEM49" s="39"/>
      <c r="JEN49" s="41"/>
      <c r="JEQ49" s="32"/>
      <c r="JES49" s="12"/>
      <c r="JEU49" s="34"/>
      <c r="JEV49" s="39"/>
      <c r="JEW49" s="41"/>
      <c r="JEZ49" s="32"/>
      <c r="JFB49" s="12"/>
      <c r="JFD49" s="34"/>
      <c r="JFE49" s="39"/>
      <c r="JFF49" s="41"/>
      <c r="JFI49" s="32"/>
      <c r="JFK49" s="12"/>
      <c r="JFM49" s="34"/>
      <c r="JFN49" s="39"/>
      <c r="JFO49" s="41"/>
      <c r="JFR49" s="32"/>
      <c r="JFT49" s="12"/>
      <c r="JFV49" s="34"/>
      <c r="JFW49" s="39"/>
      <c r="JFX49" s="41"/>
      <c r="JGA49" s="32"/>
      <c r="JGC49" s="12"/>
      <c r="JGE49" s="34"/>
      <c r="JGF49" s="39"/>
      <c r="JGG49" s="41"/>
      <c r="JGJ49" s="32"/>
      <c r="JGL49" s="12"/>
      <c r="JGN49" s="34"/>
      <c r="JGO49" s="39"/>
      <c r="JGP49" s="41"/>
      <c r="JGS49" s="32"/>
      <c r="JGU49" s="12"/>
      <c r="JGW49" s="34"/>
      <c r="JGX49" s="39"/>
      <c r="JGY49" s="41"/>
      <c r="JHB49" s="32"/>
      <c r="JHD49" s="12"/>
      <c r="JHF49" s="34"/>
      <c r="JHG49" s="39"/>
      <c r="JHH49" s="41"/>
      <c r="JHK49" s="32"/>
      <c r="JHM49" s="12"/>
      <c r="JHO49" s="34"/>
      <c r="JHP49" s="39"/>
      <c r="JHQ49" s="41"/>
      <c r="JHT49" s="32"/>
      <c r="JHV49" s="12"/>
      <c r="JHX49" s="34"/>
      <c r="JHY49" s="39"/>
      <c r="JHZ49" s="41"/>
      <c r="JIC49" s="32"/>
      <c r="JIE49" s="12"/>
      <c r="JIG49" s="34"/>
      <c r="JIH49" s="39"/>
      <c r="JII49" s="41"/>
      <c r="JIL49" s="32"/>
      <c r="JIN49" s="12"/>
      <c r="JIP49" s="34"/>
      <c r="JIQ49" s="39"/>
      <c r="JIR49" s="41"/>
      <c r="JIU49" s="32"/>
      <c r="JIW49" s="12"/>
      <c r="JIY49" s="34"/>
      <c r="JIZ49" s="39"/>
      <c r="JJA49" s="41"/>
      <c r="JJD49" s="32"/>
      <c r="JJF49" s="12"/>
      <c r="JJH49" s="34"/>
      <c r="JJI49" s="39"/>
      <c r="JJJ49" s="41"/>
      <c r="JJM49" s="32"/>
      <c r="JJO49" s="12"/>
      <c r="JJQ49" s="34"/>
      <c r="JJR49" s="39"/>
      <c r="JJS49" s="41"/>
      <c r="JJV49" s="32"/>
      <c r="JJX49" s="12"/>
      <c r="JJZ49" s="34"/>
      <c r="JKA49" s="39"/>
      <c r="JKB49" s="41"/>
      <c r="JKE49" s="32"/>
      <c r="JKG49" s="12"/>
      <c r="JKI49" s="34"/>
      <c r="JKJ49" s="39"/>
      <c r="JKK49" s="41"/>
      <c r="JKN49" s="32"/>
      <c r="JKP49" s="12"/>
      <c r="JKR49" s="34"/>
      <c r="JKS49" s="39"/>
      <c r="JKT49" s="41"/>
      <c r="JKW49" s="32"/>
      <c r="JKY49" s="12"/>
      <c r="JLA49" s="34"/>
      <c r="JLB49" s="39"/>
      <c r="JLC49" s="41"/>
      <c r="JLF49" s="32"/>
      <c r="JLH49" s="12"/>
      <c r="JLJ49" s="34"/>
      <c r="JLK49" s="39"/>
      <c r="JLL49" s="41"/>
      <c r="JLO49" s="32"/>
      <c r="JLQ49" s="12"/>
      <c r="JLS49" s="34"/>
      <c r="JLT49" s="39"/>
      <c r="JLU49" s="41"/>
      <c r="JLX49" s="32"/>
      <c r="JLZ49" s="12"/>
      <c r="JMB49" s="34"/>
      <c r="JMC49" s="39"/>
      <c r="JMD49" s="41"/>
      <c r="JMG49" s="32"/>
      <c r="JMI49" s="12"/>
      <c r="JMK49" s="34"/>
      <c r="JML49" s="39"/>
      <c r="JMM49" s="41"/>
      <c r="JMP49" s="32"/>
      <c r="JMR49" s="12"/>
      <c r="JMT49" s="34"/>
      <c r="JMU49" s="39"/>
      <c r="JMV49" s="41"/>
      <c r="JMY49" s="32"/>
      <c r="JNA49" s="12"/>
      <c r="JNC49" s="34"/>
      <c r="JND49" s="39"/>
      <c r="JNE49" s="41"/>
      <c r="JNH49" s="32"/>
      <c r="JNJ49" s="12"/>
      <c r="JNL49" s="34"/>
      <c r="JNM49" s="39"/>
      <c r="JNN49" s="41"/>
      <c r="JNQ49" s="32"/>
      <c r="JNS49" s="12"/>
      <c r="JNU49" s="34"/>
      <c r="JNV49" s="39"/>
      <c r="JNW49" s="41"/>
      <c r="JNZ49" s="32"/>
      <c r="JOB49" s="12"/>
      <c r="JOD49" s="34"/>
      <c r="JOE49" s="39"/>
      <c r="JOF49" s="41"/>
      <c r="JOI49" s="32"/>
      <c r="JOK49" s="12"/>
      <c r="JOM49" s="34"/>
      <c r="JON49" s="39"/>
      <c r="JOO49" s="41"/>
      <c r="JOR49" s="32"/>
      <c r="JOT49" s="12"/>
      <c r="JOV49" s="34"/>
      <c r="JOW49" s="39"/>
      <c r="JOX49" s="41"/>
      <c r="JPA49" s="32"/>
      <c r="JPC49" s="12"/>
      <c r="JPE49" s="34"/>
      <c r="JPF49" s="39"/>
      <c r="JPG49" s="41"/>
      <c r="JPJ49" s="32"/>
      <c r="JPL49" s="12"/>
      <c r="JPN49" s="34"/>
      <c r="JPO49" s="39"/>
      <c r="JPP49" s="41"/>
      <c r="JPS49" s="32"/>
      <c r="JPU49" s="12"/>
      <c r="JPW49" s="34"/>
      <c r="JPX49" s="39"/>
      <c r="JPY49" s="41"/>
      <c r="JQB49" s="32"/>
      <c r="JQD49" s="12"/>
      <c r="JQF49" s="34"/>
      <c r="JQG49" s="39"/>
      <c r="JQH49" s="41"/>
      <c r="JQK49" s="32"/>
      <c r="JQM49" s="12"/>
      <c r="JQO49" s="34"/>
      <c r="JQP49" s="39"/>
      <c r="JQQ49" s="41"/>
      <c r="JQT49" s="32"/>
      <c r="JQV49" s="12"/>
      <c r="JQX49" s="34"/>
      <c r="JQY49" s="39"/>
      <c r="JQZ49" s="41"/>
      <c r="JRC49" s="32"/>
      <c r="JRE49" s="12"/>
      <c r="JRG49" s="34"/>
      <c r="JRH49" s="39"/>
      <c r="JRI49" s="41"/>
      <c r="JRL49" s="32"/>
      <c r="JRN49" s="12"/>
      <c r="JRP49" s="34"/>
      <c r="JRQ49" s="39"/>
      <c r="JRR49" s="41"/>
      <c r="JRU49" s="32"/>
      <c r="JRW49" s="12"/>
      <c r="JRY49" s="34"/>
      <c r="JRZ49" s="39"/>
      <c r="JSA49" s="41"/>
      <c r="JSD49" s="32"/>
      <c r="JSF49" s="12"/>
      <c r="JSH49" s="34"/>
      <c r="JSI49" s="39"/>
      <c r="JSJ49" s="41"/>
      <c r="JSM49" s="32"/>
      <c r="JSO49" s="12"/>
      <c r="JSQ49" s="34"/>
      <c r="JSR49" s="39"/>
      <c r="JSS49" s="41"/>
      <c r="JSV49" s="32"/>
      <c r="JSX49" s="12"/>
      <c r="JSZ49" s="34"/>
      <c r="JTA49" s="39"/>
      <c r="JTB49" s="41"/>
      <c r="JTE49" s="32"/>
      <c r="JTG49" s="12"/>
      <c r="JTI49" s="34"/>
      <c r="JTJ49" s="39"/>
      <c r="JTK49" s="41"/>
      <c r="JTN49" s="32"/>
      <c r="JTP49" s="12"/>
      <c r="JTR49" s="34"/>
      <c r="JTS49" s="39"/>
      <c r="JTT49" s="41"/>
      <c r="JTW49" s="32"/>
      <c r="JTY49" s="12"/>
      <c r="JUA49" s="34"/>
      <c r="JUB49" s="39"/>
      <c r="JUC49" s="41"/>
      <c r="JUF49" s="32"/>
      <c r="JUH49" s="12"/>
      <c r="JUJ49" s="34"/>
      <c r="JUK49" s="39"/>
      <c r="JUL49" s="41"/>
      <c r="JUO49" s="32"/>
      <c r="JUQ49" s="12"/>
      <c r="JUS49" s="34"/>
      <c r="JUT49" s="39"/>
      <c r="JUU49" s="41"/>
      <c r="JUX49" s="32"/>
      <c r="JUZ49" s="12"/>
      <c r="JVB49" s="34"/>
      <c r="JVC49" s="39"/>
      <c r="JVD49" s="41"/>
      <c r="JVG49" s="32"/>
      <c r="JVI49" s="12"/>
      <c r="JVK49" s="34"/>
      <c r="JVL49" s="39"/>
      <c r="JVM49" s="41"/>
      <c r="JVP49" s="32"/>
      <c r="JVR49" s="12"/>
      <c r="JVT49" s="34"/>
      <c r="JVU49" s="39"/>
      <c r="JVV49" s="41"/>
      <c r="JVY49" s="32"/>
      <c r="JWA49" s="12"/>
      <c r="JWC49" s="34"/>
      <c r="JWD49" s="39"/>
      <c r="JWE49" s="41"/>
      <c r="JWH49" s="32"/>
      <c r="JWJ49" s="12"/>
      <c r="JWL49" s="34"/>
      <c r="JWM49" s="39"/>
      <c r="JWN49" s="41"/>
      <c r="JWQ49" s="32"/>
      <c r="JWS49" s="12"/>
      <c r="JWU49" s="34"/>
      <c r="JWV49" s="39"/>
      <c r="JWW49" s="41"/>
      <c r="JWZ49" s="32"/>
      <c r="JXB49" s="12"/>
      <c r="JXD49" s="34"/>
      <c r="JXE49" s="39"/>
      <c r="JXF49" s="41"/>
      <c r="JXI49" s="32"/>
      <c r="JXK49" s="12"/>
      <c r="JXM49" s="34"/>
      <c r="JXN49" s="39"/>
      <c r="JXO49" s="41"/>
      <c r="JXR49" s="32"/>
      <c r="JXT49" s="12"/>
      <c r="JXV49" s="34"/>
      <c r="JXW49" s="39"/>
      <c r="JXX49" s="41"/>
      <c r="JYA49" s="32"/>
      <c r="JYC49" s="12"/>
      <c r="JYE49" s="34"/>
      <c r="JYF49" s="39"/>
      <c r="JYG49" s="41"/>
      <c r="JYJ49" s="32"/>
      <c r="JYL49" s="12"/>
      <c r="JYN49" s="34"/>
      <c r="JYO49" s="39"/>
      <c r="JYP49" s="41"/>
      <c r="JYS49" s="32"/>
      <c r="JYU49" s="12"/>
      <c r="JYW49" s="34"/>
      <c r="JYX49" s="39"/>
      <c r="JYY49" s="41"/>
      <c r="JZB49" s="32"/>
      <c r="JZD49" s="12"/>
      <c r="JZF49" s="34"/>
      <c r="JZG49" s="39"/>
      <c r="JZH49" s="41"/>
      <c r="JZK49" s="32"/>
      <c r="JZM49" s="12"/>
      <c r="JZO49" s="34"/>
      <c r="JZP49" s="39"/>
      <c r="JZQ49" s="41"/>
      <c r="JZT49" s="32"/>
      <c r="JZV49" s="12"/>
      <c r="JZX49" s="34"/>
      <c r="JZY49" s="39"/>
      <c r="JZZ49" s="41"/>
      <c r="KAC49" s="32"/>
      <c r="KAE49" s="12"/>
      <c r="KAG49" s="34"/>
      <c r="KAH49" s="39"/>
      <c r="KAI49" s="41"/>
      <c r="KAL49" s="32"/>
      <c r="KAN49" s="12"/>
      <c r="KAP49" s="34"/>
      <c r="KAQ49" s="39"/>
      <c r="KAR49" s="41"/>
      <c r="KAU49" s="32"/>
      <c r="KAW49" s="12"/>
      <c r="KAY49" s="34"/>
      <c r="KAZ49" s="39"/>
      <c r="KBA49" s="41"/>
      <c r="KBD49" s="32"/>
      <c r="KBF49" s="12"/>
      <c r="KBH49" s="34"/>
      <c r="KBI49" s="39"/>
      <c r="KBJ49" s="41"/>
      <c r="KBM49" s="32"/>
      <c r="KBO49" s="12"/>
      <c r="KBQ49" s="34"/>
      <c r="KBR49" s="39"/>
      <c r="KBS49" s="41"/>
      <c r="KBV49" s="32"/>
      <c r="KBX49" s="12"/>
      <c r="KBZ49" s="34"/>
      <c r="KCA49" s="39"/>
      <c r="KCB49" s="41"/>
      <c r="KCE49" s="32"/>
      <c r="KCG49" s="12"/>
      <c r="KCI49" s="34"/>
      <c r="KCJ49" s="39"/>
      <c r="KCK49" s="41"/>
      <c r="KCN49" s="32"/>
      <c r="KCP49" s="12"/>
      <c r="KCR49" s="34"/>
      <c r="KCS49" s="39"/>
      <c r="KCT49" s="41"/>
      <c r="KCW49" s="32"/>
      <c r="KCY49" s="12"/>
      <c r="KDA49" s="34"/>
      <c r="KDB49" s="39"/>
      <c r="KDC49" s="41"/>
      <c r="KDF49" s="32"/>
      <c r="KDH49" s="12"/>
      <c r="KDJ49" s="34"/>
      <c r="KDK49" s="39"/>
      <c r="KDL49" s="41"/>
      <c r="KDO49" s="32"/>
      <c r="KDQ49" s="12"/>
      <c r="KDS49" s="34"/>
      <c r="KDT49" s="39"/>
      <c r="KDU49" s="41"/>
      <c r="KDX49" s="32"/>
      <c r="KDZ49" s="12"/>
      <c r="KEB49" s="34"/>
      <c r="KEC49" s="39"/>
      <c r="KED49" s="41"/>
      <c r="KEG49" s="32"/>
      <c r="KEI49" s="12"/>
      <c r="KEK49" s="34"/>
      <c r="KEL49" s="39"/>
      <c r="KEM49" s="41"/>
      <c r="KEP49" s="32"/>
      <c r="KER49" s="12"/>
      <c r="KET49" s="34"/>
      <c r="KEU49" s="39"/>
      <c r="KEV49" s="41"/>
      <c r="KEY49" s="32"/>
      <c r="KFA49" s="12"/>
      <c r="KFC49" s="34"/>
      <c r="KFD49" s="39"/>
      <c r="KFE49" s="41"/>
      <c r="KFH49" s="32"/>
      <c r="KFJ49" s="12"/>
      <c r="KFL49" s="34"/>
      <c r="KFM49" s="39"/>
      <c r="KFN49" s="41"/>
      <c r="KFQ49" s="32"/>
      <c r="KFS49" s="12"/>
      <c r="KFU49" s="34"/>
      <c r="KFV49" s="39"/>
      <c r="KFW49" s="41"/>
      <c r="KFZ49" s="32"/>
      <c r="KGB49" s="12"/>
      <c r="KGD49" s="34"/>
      <c r="KGE49" s="39"/>
      <c r="KGF49" s="41"/>
      <c r="KGI49" s="32"/>
      <c r="KGK49" s="12"/>
      <c r="KGM49" s="34"/>
      <c r="KGN49" s="39"/>
      <c r="KGO49" s="41"/>
      <c r="KGR49" s="32"/>
      <c r="KGT49" s="12"/>
      <c r="KGV49" s="34"/>
      <c r="KGW49" s="39"/>
      <c r="KGX49" s="41"/>
      <c r="KHA49" s="32"/>
      <c r="KHC49" s="12"/>
      <c r="KHE49" s="34"/>
      <c r="KHF49" s="39"/>
      <c r="KHG49" s="41"/>
      <c r="KHJ49" s="32"/>
      <c r="KHL49" s="12"/>
      <c r="KHN49" s="34"/>
      <c r="KHO49" s="39"/>
      <c r="KHP49" s="41"/>
      <c r="KHS49" s="32"/>
      <c r="KHU49" s="12"/>
      <c r="KHW49" s="34"/>
      <c r="KHX49" s="39"/>
      <c r="KHY49" s="41"/>
      <c r="KIB49" s="32"/>
      <c r="KID49" s="12"/>
      <c r="KIF49" s="34"/>
      <c r="KIG49" s="39"/>
      <c r="KIH49" s="41"/>
      <c r="KIK49" s="32"/>
      <c r="KIM49" s="12"/>
      <c r="KIO49" s="34"/>
      <c r="KIP49" s="39"/>
      <c r="KIQ49" s="41"/>
      <c r="KIT49" s="32"/>
      <c r="KIV49" s="12"/>
      <c r="KIX49" s="34"/>
      <c r="KIY49" s="39"/>
      <c r="KIZ49" s="41"/>
      <c r="KJC49" s="32"/>
      <c r="KJE49" s="12"/>
      <c r="KJG49" s="34"/>
      <c r="KJH49" s="39"/>
      <c r="KJI49" s="41"/>
      <c r="KJL49" s="32"/>
      <c r="KJN49" s="12"/>
      <c r="KJP49" s="34"/>
      <c r="KJQ49" s="39"/>
      <c r="KJR49" s="41"/>
      <c r="KJU49" s="32"/>
      <c r="KJW49" s="12"/>
      <c r="KJY49" s="34"/>
      <c r="KJZ49" s="39"/>
      <c r="KKA49" s="41"/>
      <c r="KKD49" s="32"/>
      <c r="KKF49" s="12"/>
      <c r="KKH49" s="34"/>
      <c r="KKI49" s="39"/>
      <c r="KKJ49" s="41"/>
      <c r="KKM49" s="32"/>
      <c r="KKO49" s="12"/>
      <c r="KKQ49" s="34"/>
      <c r="KKR49" s="39"/>
      <c r="KKS49" s="41"/>
      <c r="KKV49" s="32"/>
      <c r="KKX49" s="12"/>
      <c r="KKZ49" s="34"/>
      <c r="KLA49" s="39"/>
      <c r="KLB49" s="41"/>
      <c r="KLE49" s="32"/>
      <c r="KLG49" s="12"/>
      <c r="KLI49" s="34"/>
      <c r="KLJ49" s="39"/>
      <c r="KLK49" s="41"/>
      <c r="KLN49" s="32"/>
      <c r="KLP49" s="12"/>
      <c r="KLR49" s="34"/>
      <c r="KLS49" s="39"/>
      <c r="KLT49" s="41"/>
      <c r="KLW49" s="32"/>
      <c r="KLY49" s="12"/>
      <c r="KMA49" s="34"/>
      <c r="KMB49" s="39"/>
      <c r="KMC49" s="41"/>
      <c r="KMF49" s="32"/>
      <c r="KMH49" s="12"/>
      <c r="KMJ49" s="34"/>
      <c r="KMK49" s="39"/>
      <c r="KML49" s="41"/>
      <c r="KMO49" s="32"/>
      <c r="KMQ49" s="12"/>
      <c r="KMS49" s="34"/>
      <c r="KMT49" s="39"/>
      <c r="KMU49" s="41"/>
      <c r="KMX49" s="32"/>
      <c r="KMZ49" s="12"/>
      <c r="KNB49" s="34"/>
      <c r="KNC49" s="39"/>
      <c r="KND49" s="41"/>
      <c r="KNG49" s="32"/>
      <c r="KNI49" s="12"/>
      <c r="KNK49" s="34"/>
      <c r="KNL49" s="39"/>
      <c r="KNM49" s="41"/>
      <c r="KNP49" s="32"/>
      <c r="KNR49" s="12"/>
      <c r="KNT49" s="34"/>
      <c r="KNU49" s="39"/>
      <c r="KNV49" s="41"/>
      <c r="KNY49" s="32"/>
      <c r="KOA49" s="12"/>
      <c r="KOC49" s="34"/>
      <c r="KOD49" s="39"/>
      <c r="KOE49" s="41"/>
      <c r="KOH49" s="32"/>
      <c r="KOJ49" s="12"/>
      <c r="KOL49" s="34"/>
      <c r="KOM49" s="39"/>
      <c r="KON49" s="41"/>
      <c r="KOQ49" s="32"/>
      <c r="KOS49" s="12"/>
      <c r="KOU49" s="34"/>
      <c r="KOV49" s="39"/>
      <c r="KOW49" s="41"/>
      <c r="KOZ49" s="32"/>
      <c r="KPB49" s="12"/>
      <c r="KPD49" s="34"/>
      <c r="KPE49" s="39"/>
      <c r="KPF49" s="41"/>
      <c r="KPI49" s="32"/>
      <c r="KPK49" s="12"/>
      <c r="KPM49" s="34"/>
      <c r="KPN49" s="39"/>
      <c r="KPO49" s="41"/>
      <c r="KPR49" s="32"/>
      <c r="KPT49" s="12"/>
      <c r="KPV49" s="34"/>
      <c r="KPW49" s="39"/>
      <c r="KPX49" s="41"/>
      <c r="KQA49" s="32"/>
      <c r="KQC49" s="12"/>
      <c r="KQE49" s="34"/>
      <c r="KQF49" s="39"/>
      <c r="KQG49" s="41"/>
      <c r="KQJ49" s="32"/>
      <c r="KQL49" s="12"/>
      <c r="KQN49" s="34"/>
      <c r="KQO49" s="39"/>
      <c r="KQP49" s="41"/>
      <c r="KQS49" s="32"/>
      <c r="KQU49" s="12"/>
      <c r="KQW49" s="34"/>
      <c r="KQX49" s="39"/>
      <c r="KQY49" s="41"/>
      <c r="KRB49" s="32"/>
      <c r="KRD49" s="12"/>
      <c r="KRF49" s="34"/>
      <c r="KRG49" s="39"/>
      <c r="KRH49" s="41"/>
      <c r="KRK49" s="32"/>
      <c r="KRM49" s="12"/>
      <c r="KRO49" s="34"/>
      <c r="KRP49" s="39"/>
      <c r="KRQ49" s="41"/>
      <c r="KRT49" s="32"/>
      <c r="KRV49" s="12"/>
      <c r="KRX49" s="34"/>
      <c r="KRY49" s="39"/>
      <c r="KRZ49" s="41"/>
      <c r="KSC49" s="32"/>
      <c r="KSE49" s="12"/>
      <c r="KSG49" s="34"/>
      <c r="KSH49" s="39"/>
      <c r="KSI49" s="41"/>
      <c r="KSL49" s="32"/>
      <c r="KSN49" s="12"/>
      <c r="KSP49" s="34"/>
      <c r="KSQ49" s="39"/>
      <c r="KSR49" s="41"/>
      <c r="KSU49" s="32"/>
      <c r="KSW49" s="12"/>
      <c r="KSY49" s="34"/>
      <c r="KSZ49" s="39"/>
      <c r="KTA49" s="41"/>
      <c r="KTD49" s="32"/>
      <c r="KTF49" s="12"/>
      <c r="KTH49" s="34"/>
      <c r="KTI49" s="39"/>
      <c r="KTJ49" s="41"/>
      <c r="KTM49" s="32"/>
      <c r="KTO49" s="12"/>
      <c r="KTQ49" s="34"/>
      <c r="KTR49" s="39"/>
      <c r="KTS49" s="41"/>
      <c r="KTV49" s="32"/>
      <c r="KTX49" s="12"/>
      <c r="KTZ49" s="34"/>
      <c r="KUA49" s="39"/>
      <c r="KUB49" s="41"/>
      <c r="KUE49" s="32"/>
      <c r="KUG49" s="12"/>
      <c r="KUI49" s="34"/>
      <c r="KUJ49" s="39"/>
      <c r="KUK49" s="41"/>
      <c r="KUN49" s="32"/>
      <c r="KUP49" s="12"/>
      <c r="KUR49" s="34"/>
      <c r="KUS49" s="39"/>
      <c r="KUT49" s="41"/>
      <c r="KUW49" s="32"/>
      <c r="KUY49" s="12"/>
      <c r="KVA49" s="34"/>
      <c r="KVB49" s="39"/>
      <c r="KVC49" s="41"/>
      <c r="KVF49" s="32"/>
      <c r="KVH49" s="12"/>
      <c r="KVJ49" s="34"/>
      <c r="KVK49" s="39"/>
      <c r="KVL49" s="41"/>
      <c r="KVO49" s="32"/>
      <c r="KVQ49" s="12"/>
      <c r="KVS49" s="34"/>
      <c r="KVT49" s="39"/>
      <c r="KVU49" s="41"/>
      <c r="KVX49" s="32"/>
      <c r="KVZ49" s="12"/>
      <c r="KWB49" s="34"/>
      <c r="KWC49" s="39"/>
      <c r="KWD49" s="41"/>
      <c r="KWG49" s="32"/>
      <c r="KWI49" s="12"/>
      <c r="KWK49" s="34"/>
      <c r="KWL49" s="39"/>
      <c r="KWM49" s="41"/>
      <c r="KWP49" s="32"/>
      <c r="KWR49" s="12"/>
      <c r="KWT49" s="34"/>
      <c r="KWU49" s="39"/>
      <c r="KWV49" s="41"/>
      <c r="KWY49" s="32"/>
      <c r="KXA49" s="12"/>
      <c r="KXC49" s="34"/>
      <c r="KXD49" s="39"/>
      <c r="KXE49" s="41"/>
      <c r="KXH49" s="32"/>
      <c r="KXJ49" s="12"/>
      <c r="KXL49" s="34"/>
      <c r="KXM49" s="39"/>
      <c r="KXN49" s="41"/>
      <c r="KXQ49" s="32"/>
      <c r="KXS49" s="12"/>
      <c r="KXU49" s="34"/>
      <c r="KXV49" s="39"/>
      <c r="KXW49" s="41"/>
      <c r="KXZ49" s="32"/>
      <c r="KYB49" s="12"/>
      <c r="KYD49" s="34"/>
      <c r="KYE49" s="39"/>
      <c r="KYF49" s="41"/>
      <c r="KYI49" s="32"/>
      <c r="KYK49" s="12"/>
      <c r="KYM49" s="34"/>
      <c r="KYN49" s="39"/>
      <c r="KYO49" s="41"/>
      <c r="KYR49" s="32"/>
      <c r="KYT49" s="12"/>
      <c r="KYV49" s="34"/>
      <c r="KYW49" s="39"/>
      <c r="KYX49" s="41"/>
      <c r="KZA49" s="32"/>
      <c r="KZC49" s="12"/>
      <c r="KZE49" s="34"/>
      <c r="KZF49" s="39"/>
      <c r="KZG49" s="41"/>
      <c r="KZJ49" s="32"/>
      <c r="KZL49" s="12"/>
      <c r="KZN49" s="34"/>
      <c r="KZO49" s="39"/>
      <c r="KZP49" s="41"/>
      <c r="KZS49" s="32"/>
      <c r="KZU49" s="12"/>
      <c r="KZW49" s="34"/>
      <c r="KZX49" s="39"/>
      <c r="KZY49" s="41"/>
      <c r="LAB49" s="32"/>
      <c r="LAD49" s="12"/>
      <c r="LAF49" s="34"/>
      <c r="LAG49" s="39"/>
      <c r="LAH49" s="41"/>
      <c r="LAK49" s="32"/>
      <c r="LAM49" s="12"/>
      <c r="LAO49" s="34"/>
      <c r="LAP49" s="39"/>
      <c r="LAQ49" s="41"/>
      <c r="LAT49" s="32"/>
      <c r="LAV49" s="12"/>
      <c r="LAX49" s="34"/>
      <c r="LAY49" s="39"/>
      <c r="LAZ49" s="41"/>
      <c r="LBC49" s="32"/>
      <c r="LBE49" s="12"/>
      <c r="LBG49" s="34"/>
      <c r="LBH49" s="39"/>
      <c r="LBI49" s="41"/>
      <c r="LBL49" s="32"/>
      <c r="LBN49" s="12"/>
      <c r="LBP49" s="34"/>
      <c r="LBQ49" s="39"/>
      <c r="LBR49" s="41"/>
      <c r="LBU49" s="32"/>
      <c r="LBW49" s="12"/>
      <c r="LBY49" s="34"/>
      <c r="LBZ49" s="39"/>
      <c r="LCA49" s="41"/>
      <c r="LCD49" s="32"/>
      <c r="LCF49" s="12"/>
      <c r="LCH49" s="34"/>
      <c r="LCI49" s="39"/>
      <c r="LCJ49" s="41"/>
      <c r="LCM49" s="32"/>
      <c r="LCO49" s="12"/>
      <c r="LCQ49" s="34"/>
      <c r="LCR49" s="39"/>
      <c r="LCS49" s="41"/>
      <c r="LCV49" s="32"/>
      <c r="LCX49" s="12"/>
      <c r="LCZ49" s="34"/>
      <c r="LDA49" s="39"/>
      <c r="LDB49" s="41"/>
      <c r="LDE49" s="32"/>
      <c r="LDG49" s="12"/>
      <c r="LDI49" s="34"/>
      <c r="LDJ49" s="39"/>
      <c r="LDK49" s="41"/>
      <c r="LDN49" s="32"/>
      <c r="LDP49" s="12"/>
      <c r="LDR49" s="34"/>
      <c r="LDS49" s="39"/>
      <c r="LDT49" s="41"/>
      <c r="LDW49" s="32"/>
      <c r="LDY49" s="12"/>
      <c r="LEA49" s="34"/>
      <c r="LEB49" s="39"/>
      <c r="LEC49" s="41"/>
      <c r="LEF49" s="32"/>
      <c r="LEH49" s="12"/>
      <c r="LEJ49" s="34"/>
      <c r="LEK49" s="39"/>
      <c r="LEL49" s="41"/>
      <c r="LEO49" s="32"/>
      <c r="LEQ49" s="12"/>
      <c r="LES49" s="34"/>
      <c r="LET49" s="39"/>
      <c r="LEU49" s="41"/>
      <c r="LEX49" s="32"/>
      <c r="LEZ49" s="12"/>
      <c r="LFB49" s="34"/>
      <c r="LFC49" s="39"/>
      <c r="LFD49" s="41"/>
      <c r="LFG49" s="32"/>
      <c r="LFI49" s="12"/>
      <c r="LFK49" s="34"/>
      <c r="LFL49" s="39"/>
      <c r="LFM49" s="41"/>
      <c r="LFP49" s="32"/>
      <c r="LFR49" s="12"/>
      <c r="LFT49" s="34"/>
      <c r="LFU49" s="39"/>
      <c r="LFV49" s="41"/>
      <c r="LFY49" s="32"/>
      <c r="LGA49" s="12"/>
      <c r="LGC49" s="34"/>
      <c r="LGD49" s="39"/>
      <c r="LGE49" s="41"/>
      <c r="LGH49" s="32"/>
      <c r="LGJ49" s="12"/>
      <c r="LGL49" s="34"/>
      <c r="LGM49" s="39"/>
      <c r="LGN49" s="41"/>
      <c r="LGQ49" s="32"/>
      <c r="LGS49" s="12"/>
      <c r="LGU49" s="34"/>
      <c r="LGV49" s="39"/>
      <c r="LGW49" s="41"/>
      <c r="LGZ49" s="32"/>
      <c r="LHB49" s="12"/>
      <c r="LHD49" s="34"/>
      <c r="LHE49" s="39"/>
      <c r="LHF49" s="41"/>
      <c r="LHI49" s="32"/>
      <c r="LHK49" s="12"/>
      <c r="LHM49" s="34"/>
      <c r="LHN49" s="39"/>
      <c r="LHO49" s="41"/>
      <c r="LHR49" s="32"/>
      <c r="LHT49" s="12"/>
      <c r="LHV49" s="34"/>
      <c r="LHW49" s="39"/>
      <c r="LHX49" s="41"/>
      <c r="LIA49" s="32"/>
      <c r="LIC49" s="12"/>
      <c r="LIE49" s="34"/>
      <c r="LIF49" s="39"/>
      <c r="LIG49" s="41"/>
      <c r="LIJ49" s="32"/>
      <c r="LIL49" s="12"/>
      <c r="LIN49" s="34"/>
      <c r="LIO49" s="39"/>
      <c r="LIP49" s="41"/>
      <c r="LIS49" s="32"/>
      <c r="LIU49" s="12"/>
      <c r="LIW49" s="34"/>
      <c r="LIX49" s="39"/>
      <c r="LIY49" s="41"/>
      <c r="LJB49" s="32"/>
      <c r="LJD49" s="12"/>
      <c r="LJF49" s="34"/>
      <c r="LJG49" s="39"/>
      <c r="LJH49" s="41"/>
      <c r="LJK49" s="32"/>
      <c r="LJM49" s="12"/>
      <c r="LJO49" s="34"/>
      <c r="LJP49" s="39"/>
      <c r="LJQ49" s="41"/>
      <c r="LJT49" s="32"/>
      <c r="LJV49" s="12"/>
      <c r="LJX49" s="34"/>
      <c r="LJY49" s="39"/>
      <c r="LJZ49" s="41"/>
      <c r="LKC49" s="32"/>
      <c r="LKE49" s="12"/>
      <c r="LKG49" s="34"/>
      <c r="LKH49" s="39"/>
      <c r="LKI49" s="41"/>
      <c r="LKL49" s="32"/>
      <c r="LKN49" s="12"/>
      <c r="LKP49" s="34"/>
      <c r="LKQ49" s="39"/>
      <c r="LKR49" s="41"/>
      <c r="LKU49" s="32"/>
      <c r="LKW49" s="12"/>
      <c r="LKY49" s="34"/>
      <c r="LKZ49" s="39"/>
      <c r="LLA49" s="41"/>
      <c r="LLD49" s="32"/>
      <c r="LLF49" s="12"/>
      <c r="LLH49" s="34"/>
      <c r="LLI49" s="39"/>
      <c r="LLJ49" s="41"/>
      <c r="LLM49" s="32"/>
      <c r="LLO49" s="12"/>
      <c r="LLQ49" s="34"/>
      <c r="LLR49" s="39"/>
      <c r="LLS49" s="41"/>
      <c r="LLV49" s="32"/>
      <c r="LLX49" s="12"/>
      <c r="LLZ49" s="34"/>
      <c r="LMA49" s="39"/>
      <c r="LMB49" s="41"/>
      <c r="LME49" s="32"/>
      <c r="LMG49" s="12"/>
      <c r="LMI49" s="34"/>
      <c r="LMJ49" s="39"/>
      <c r="LMK49" s="41"/>
      <c r="LMN49" s="32"/>
      <c r="LMP49" s="12"/>
      <c r="LMR49" s="34"/>
      <c r="LMS49" s="39"/>
      <c r="LMT49" s="41"/>
      <c r="LMW49" s="32"/>
      <c r="LMY49" s="12"/>
      <c r="LNA49" s="34"/>
      <c r="LNB49" s="39"/>
      <c r="LNC49" s="41"/>
      <c r="LNF49" s="32"/>
      <c r="LNH49" s="12"/>
      <c r="LNJ49" s="34"/>
      <c r="LNK49" s="39"/>
      <c r="LNL49" s="41"/>
      <c r="LNO49" s="32"/>
      <c r="LNQ49" s="12"/>
      <c r="LNS49" s="34"/>
      <c r="LNT49" s="39"/>
      <c r="LNU49" s="41"/>
      <c r="LNX49" s="32"/>
      <c r="LNZ49" s="12"/>
      <c r="LOB49" s="34"/>
      <c r="LOC49" s="39"/>
      <c r="LOD49" s="41"/>
      <c r="LOG49" s="32"/>
      <c r="LOI49" s="12"/>
      <c r="LOK49" s="34"/>
      <c r="LOL49" s="39"/>
      <c r="LOM49" s="41"/>
      <c r="LOP49" s="32"/>
      <c r="LOR49" s="12"/>
      <c r="LOT49" s="34"/>
      <c r="LOU49" s="39"/>
      <c r="LOV49" s="41"/>
      <c r="LOY49" s="32"/>
      <c r="LPA49" s="12"/>
      <c r="LPC49" s="34"/>
      <c r="LPD49" s="39"/>
      <c r="LPE49" s="41"/>
      <c r="LPH49" s="32"/>
      <c r="LPJ49" s="12"/>
      <c r="LPL49" s="34"/>
      <c r="LPM49" s="39"/>
      <c r="LPN49" s="41"/>
      <c r="LPQ49" s="32"/>
      <c r="LPS49" s="12"/>
      <c r="LPU49" s="34"/>
      <c r="LPV49" s="39"/>
      <c r="LPW49" s="41"/>
      <c r="LPZ49" s="32"/>
      <c r="LQB49" s="12"/>
      <c r="LQD49" s="34"/>
      <c r="LQE49" s="39"/>
      <c r="LQF49" s="41"/>
      <c r="LQI49" s="32"/>
      <c r="LQK49" s="12"/>
      <c r="LQM49" s="34"/>
      <c r="LQN49" s="39"/>
      <c r="LQO49" s="41"/>
      <c r="LQR49" s="32"/>
      <c r="LQT49" s="12"/>
      <c r="LQV49" s="34"/>
      <c r="LQW49" s="39"/>
      <c r="LQX49" s="41"/>
      <c r="LRA49" s="32"/>
      <c r="LRC49" s="12"/>
      <c r="LRE49" s="34"/>
      <c r="LRF49" s="39"/>
      <c r="LRG49" s="41"/>
      <c r="LRJ49" s="32"/>
      <c r="LRL49" s="12"/>
      <c r="LRN49" s="34"/>
      <c r="LRO49" s="39"/>
      <c r="LRP49" s="41"/>
      <c r="LRS49" s="32"/>
      <c r="LRU49" s="12"/>
      <c r="LRW49" s="34"/>
      <c r="LRX49" s="39"/>
      <c r="LRY49" s="41"/>
      <c r="LSB49" s="32"/>
      <c r="LSD49" s="12"/>
      <c r="LSF49" s="34"/>
      <c r="LSG49" s="39"/>
      <c r="LSH49" s="41"/>
      <c r="LSK49" s="32"/>
      <c r="LSM49" s="12"/>
      <c r="LSO49" s="34"/>
      <c r="LSP49" s="39"/>
      <c r="LSQ49" s="41"/>
      <c r="LST49" s="32"/>
      <c r="LSV49" s="12"/>
      <c r="LSX49" s="34"/>
      <c r="LSY49" s="39"/>
      <c r="LSZ49" s="41"/>
      <c r="LTC49" s="32"/>
      <c r="LTE49" s="12"/>
      <c r="LTG49" s="34"/>
      <c r="LTH49" s="39"/>
      <c r="LTI49" s="41"/>
      <c r="LTL49" s="32"/>
      <c r="LTN49" s="12"/>
      <c r="LTP49" s="34"/>
      <c r="LTQ49" s="39"/>
      <c r="LTR49" s="41"/>
      <c r="LTU49" s="32"/>
      <c r="LTW49" s="12"/>
      <c r="LTY49" s="34"/>
      <c r="LTZ49" s="39"/>
      <c r="LUA49" s="41"/>
      <c r="LUD49" s="32"/>
      <c r="LUF49" s="12"/>
      <c r="LUH49" s="34"/>
      <c r="LUI49" s="39"/>
      <c r="LUJ49" s="41"/>
      <c r="LUM49" s="32"/>
      <c r="LUO49" s="12"/>
      <c r="LUQ49" s="34"/>
      <c r="LUR49" s="39"/>
      <c r="LUS49" s="41"/>
      <c r="LUV49" s="32"/>
      <c r="LUX49" s="12"/>
      <c r="LUZ49" s="34"/>
      <c r="LVA49" s="39"/>
      <c r="LVB49" s="41"/>
      <c r="LVE49" s="32"/>
      <c r="LVG49" s="12"/>
      <c r="LVI49" s="34"/>
      <c r="LVJ49" s="39"/>
      <c r="LVK49" s="41"/>
      <c r="LVN49" s="32"/>
      <c r="LVP49" s="12"/>
      <c r="LVR49" s="34"/>
      <c r="LVS49" s="39"/>
      <c r="LVT49" s="41"/>
      <c r="LVW49" s="32"/>
      <c r="LVY49" s="12"/>
      <c r="LWA49" s="34"/>
      <c r="LWB49" s="39"/>
      <c r="LWC49" s="41"/>
      <c r="LWF49" s="32"/>
      <c r="LWH49" s="12"/>
      <c r="LWJ49" s="34"/>
      <c r="LWK49" s="39"/>
      <c r="LWL49" s="41"/>
      <c r="LWO49" s="32"/>
      <c r="LWQ49" s="12"/>
      <c r="LWS49" s="34"/>
      <c r="LWT49" s="39"/>
      <c r="LWU49" s="41"/>
      <c r="LWX49" s="32"/>
      <c r="LWZ49" s="12"/>
      <c r="LXB49" s="34"/>
      <c r="LXC49" s="39"/>
      <c r="LXD49" s="41"/>
      <c r="LXG49" s="32"/>
      <c r="LXI49" s="12"/>
      <c r="LXK49" s="34"/>
      <c r="LXL49" s="39"/>
      <c r="LXM49" s="41"/>
      <c r="LXP49" s="32"/>
      <c r="LXR49" s="12"/>
      <c r="LXT49" s="34"/>
      <c r="LXU49" s="39"/>
      <c r="LXV49" s="41"/>
      <c r="LXY49" s="32"/>
      <c r="LYA49" s="12"/>
      <c r="LYC49" s="34"/>
      <c r="LYD49" s="39"/>
      <c r="LYE49" s="41"/>
      <c r="LYH49" s="32"/>
      <c r="LYJ49" s="12"/>
      <c r="LYL49" s="34"/>
      <c r="LYM49" s="39"/>
      <c r="LYN49" s="41"/>
      <c r="LYQ49" s="32"/>
      <c r="LYS49" s="12"/>
      <c r="LYU49" s="34"/>
      <c r="LYV49" s="39"/>
      <c r="LYW49" s="41"/>
      <c r="LYZ49" s="32"/>
      <c r="LZB49" s="12"/>
      <c r="LZD49" s="34"/>
      <c r="LZE49" s="39"/>
      <c r="LZF49" s="41"/>
      <c r="LZI49" s="32"/>
      <c r="LZK49" s="12"/>
      <c r="LZM49" s="34"/>
      <c r="LZN49" s="39"/>
      <c r="LZO49" s="41"/>
      <c r="LZR49" s="32"/>
      <c r="LZT49" s="12"/>
      <c r="LZV49" s="34"/>
      <c r="LZW49" s="39"/>
      <c r="LZX49" s="41"/>
      <c r="MAA49" s="32"/>
      <c r="MAC49" s="12"/>
      <c r="MAE49" s="34"/>
      <c r="MAF49" s="39"/>
      <c r="MAG49" s="41"/>
      <c r="MAJ49" s="32"/>
      <c r="MAL49" s="12"/>
      <c r="MAN49" s="34"/>
      <c r="MAO49" s="39"/>
      <c r="MAP49" s="41"/>
      <c r="MAS49" s="32"/>
      <c r="MAU49" s="12"/>
      <c r="MAW49" s="34"/>
      <c r="MAX49" s="39"/>
      <c r="MAY49" s="41"/>
      <c r="MBB49" s="32"/>
      <c r="MBD49" s="12"/>
      <c r="MBF49" s="34"/>
      <c r="MBG49" s="39"/>
      <c r="MBH49" s="41"/>
      <c r="MBK49" s="32"/>
      <c r="MBM49" s="12"/>
      <c r="MBO49" s="34"/>
      <c r="MBP49" s="39"/>
      <c r="MBQ49" s="41"/>
      <c r="MBT49" s="32"/>
      <c r="MBV49" s="12"/>
      <c r="MBX49" s="34"/>
      <c r="MBY49" s="39"/>
      <c r="MBZ49" s="41"/>
      <c r="MCC49" s="32"/>
      <c r="MCE49" s="12"/>
      <c r="MCG49" s="34"/>
      <c r="MCH49" s="39"/>
      <c r="MCI49" s="41"/>
      <c r="MCL49" s="32"/>
      <c r="MCN49" s="12"/>
      <c r="MCP49" s="34"/>
      <c r="MCQ49" s="39"/>
      <c r="MCR49" s="41"/>
      <c r="MCU49" s="32"/>
      <c r="MCW49" s="12"/>
      <c r="MCY49" s="34"/>
      <c r="MCZ49" s="39"/>
      <c r="MDA49" s="41"/>
      <c r="MDD49" s="32"/>
      <c r="MDF49" s="12"/>
      <c r="MDH49" s="34"/>
      <c r="MDI49" s="39"/>
      <c r="MDJ49" s="41"/>
      <c r="MDM49" s="32"/>
      <c r="MDO49" s="12"/>
      <c r="MDQ49" s="34"/>
      <c r="MDR49" s="39"/>
      <c r="MDS49" s="41"/>
      <c r="MDV49" s="32"/>
      <c r="MDX49" s="12"/>
      <c r="MDZ49" s="34"/>
      <c r="MEA49" s="39"/>
      <c r="MEB49" s="41"/>
      <c r="MEE49" s="32"/>
      <c r="MEG49" s="12"/>
      <c r="MEI49" s="34"/>
      <c r="MEJ49" s="39"/>
      <c r="MEK49" s="41"/>
      <c r="MEN49" s="32"/>
      <c r="MEP49" s="12"/>
      <c r="MER49" s="34"/>
      <c r="MES49" s="39"/>
      <c r="MET49" s="41"/>
      <c r="MEW49" s="32"/>
      <c r="MEY49" s="12"/>
      <c r="MFA49" s="34"/>
      <c r="MFB49" s="39"/>
      <c r="MFC49" s="41"/>
      <c r="MFF49" s="32"/>
      <c r="MFH49" s="12"/>
      <c r="MFJ49" s="34"/>
      <c r="MFK49" s="39"/>
      <c r="MFL49" s="41"/>
      <c r="MFO49" s="32"/>
      <c r="MFQ49" s="12"/>
      <c r="MFS49" s="34"/>
      <c r="MFT49" s="39"/>
      <c r="MFU49" s="41"/>
      <c r="MFX49" s="32"/>
      <c r="MFZ49" s="12"/>
      <c r="MGB49" s="34"/>
      <c r="MGC49" s="39"/>
      <c r="MGD49" s="41"/>
      <c r="MGG49" s="32"/>
      <c r="MGI49" s="12"/>
      <c r="MGK49" s="34"/>
      <c r="MGL49" s="39"/>
      <c r="MGM49" s="41"/>
      <c r="MGP49" s="32"/>
      <c r="MGR49" s="12"/>
      <c r="MGT49" s="34"/>
      <c r="MGU49" s="39"/>
      <c r="MGV49" s="41"/>
      <c r="MGY49" s="32"/>
      <c r="MHA49" s="12"/>
      <c r="MHC49" s="34"/>
      <c r="MHD49" s="39"/>
      <c r="MHE49" s="41"/>
      <c r="MHH49" s="32"/>
      <c r="MHJ49" s="12"/>
      <c r="MHL49" s="34"/>
      <c r="MHM49" s="39"/>
      <c r="MHN49" s="41"/>
      <c r="MHQ49" s="32"/>
      <c r="MHS49" s="12"/>
      <c r="MHU49" s="34"/>
      <c r="MHV49" s="39"/>
      <c r="MHW49" s="41"/>
      <c r="MHZ49" s="32"/>
      <c r="MIB49" s="12"/>
      <c r="MID49" s="34"/>
      <c r="MIE49" s="39"/>
      <c r="MIF49" s="41"/>
      <c r="MII49" s="32"/>
      <c r="MIK49" s="12"/>
      <c r="MIM49" s="34"/>
      <c r="MIN49" s="39"/>
      <c r="MIO49" s="41"/>
      <c r="MIR49" s="32"/>
      <c r="MIT49" s="12"/>
      <c r="MIV49" s="34"/>
      <c r="MIW49" s="39"/>
      <c r="MIX49" s="41"/>
      <c r="MJA49" s="32"/>
      <c r="MJC49" s="12"/>
      <c r="MJE49" s="34"/>
      <c r="MJF49" s="39"/>
      <c r="MJG49" s="41"/>
      <c r="MJJ49" s="32"/>
      <c r="MJL49" s="12"/>
      <c r="MJN49" s="34"/>
      <c r="MJO49" s="39"/>
      <c r="MJP49" s="41"/>
      <c r="MJS49" s="32"/>
      <c r="MJU49" s="12"/>
      <c r="MJW49" s="34"/>
      <c r="MJX49" s="39"/>
      <c r="MJY49" s="41"/>
      <c r="MKB49" s="32"/>
      <c r="MKD49" s="12"/>
      <c r="MKF49" s="34"/>
      <c r="MKG49" s="39"/>
      <c r="MKH49" s="41"/>
      <c r="MKK49" s="32"/>
      <c r="MKM49" s="12"/>
      <c r="MKO49" s="34"/>
      <c r="MKP49" s="39"/>
      <c r="MKQ49" s="41"/>
      <c r="MKT49" s="32"/>
      <c r="MKV49" s="12"/>
      <c r="MKX49" s="34"/>
      <c r="MKY49" s="39"/>
      <c r="MKZ49" s="41"/>
      <c r="MLC49" s="32"/>
      <c r="MLE49" s="12"/>
      <c r="MLG49" s="34"/>
      <c r="MLH49" s="39"/>
      <c r="MLI49" s="41"/>
      <c r="MLL49" s="32"/>
      <c r="MLN49" s="12"/>
      <c r="MLP49" s="34"/>
      <c r="MLQ49" s="39"/>
      <c r="MLR49" s="41"/>
      <c r="MLU49" s="32"/>
      <c r="MLW49" s="12"/>
      <c r="MLY49" s="34"/>
      <c r="MLZ49" s="39"/>
      <c r="MMA49" s="41"/>
      <c r="MMD49" s="32"/>
      <c r="MMF49" s="12"/>
      <c r="MMH49" s="34"/>
      <c r="MMI49" s="39"/>
      <c r="MMJ49" s="41"/>
      <c r="MMM49" s="32"/>
      <c r="MMO49" s="12"/>
      <c r="MMQ49" s="34"/>
      <c r="MMR49" s="39"/>
      <c r="MMS49" s="41"/>
      <c r="MMV49" s="32"/>
      <c r="MMX49" s="12"/>
      <c r="MMZ49" s="34"/>
      <c r="MNA49" s="39"/>
      <c r="MNB49" s="41"/>
      <c r="MNE49" s="32"/>
      <c r="MNG49" s="12"/>
      <c r="MNI49" s="34"/>
      <c r="MNJ49" s="39"/>
      <c r="MNK49" s="41"/>
      <c r="MNN49" s="32"/>
      <c r="MNP49" s="12"/>
      <c r="MNR49" s="34"/>
      <c r="MNS49" s="39"/>
      <c r="MNT49" s="41"/>
      <c r="MNW49" s="32"/>
      <c r="MNY49" s="12"/>
      <c r="MOA49" s="34"/>
      <c r="MOB49" s="39"/>
      <c r="MOC49" s="41"/>
      <c r="MOF49" s="32"/>
      <c r="MOH49" s="12"/>
      <c r="MOJ49" s="34"/>
      <c r="MOK49" s="39"/>
      <c r="MOL49" s="41"/>
      <c r="MOO49" s="32"/>
      <c r="MOQ49" s="12"/>
      <c r="MOS49" s="34"/>
      <c r="MOT49" s="39"/>
      <c r="MOU49" s="41"/>
      <c r="MOX49" s="32"/>
      <c r="MOZ49" s="12"/>
      <c r="MPB49" s="34"/>
      <c r="MPC49" s="39"/>
      <c r="MPD49" s="41"/>
      <c r="MPG49" s="32"/>
      <c r="MPI49" s="12"/>
      <c r="MPK49" s="34"/>
      <c r="MPL49" s="39"/>
      <c r="MPM49" s="41"/>
      <c r="MPP49" s="32"/>
      <c r="MPR49" s="12"/>
      <c r="MPT49" s="34"/>
      <c r="MPU49" s="39"/>
      <c r="MPV49" s="41"/>
      <c r="MPY49" s="32"/>
      <c r="MQA49" s="12"/>
      <c r="MQC49" s="34"/>
      <c r="MQD49" s="39"/>
      <c r="MQE49" s="41"/>
      <c r="MQH49" s="32"/>
      <c r="MQJ49" s="12"/>
      <c r="MQL49" s="34"/>
      <c r="MQM49" s="39"/>
      <c r="MQN49" s="41"/>
      <c r="MQQ49" s="32"/>
      <c r="MQS49" s="12"/>
      <c r="MQU49" s="34"/>
      <c r="MQV49" s="39"/>
      <c r="MQW49" s="41"/>
      <c r="MQZ49" s="32"/>
      <c r="MRB49" s="12"/>
      <c r="MRD49" s="34"/>
      <c r="MRE49" s="39"/>
      <c r="MRF49" s="41"/>
      <c r="MRI49" s="32"/>
      <c r="MRK49" s="12"/>
      <c r="MRM49" s="34"/>
      <c r="MRN49" s="39"/>
      <c r="MRO49" s="41"/>
      <c r="MRR49" s="32"/>
      <c r="MRT49" s="12"/>
      <c r="MRV49" s="34"/>
      <c r="MRW49" s="39"/>
      <c r="MRX49" s="41"/>
      <c r="MSA49" s="32"/>
      <c r="MSC49" s="12"/>
      <c r="MSE49" s="34"/>
      <c r="MSF49" s="39"/>
      <c r="MSG49" s="41"/>
      <c r="MSJ49" s="32"/>
      <c r="MSL49" s="12"/>
      <c r="MSN49" s="34"/>
      <c r="MSO49" s="39"/>
      <c r="MSP49" s="41"/>
      <c r="MSS49" s="32"/>
      <c r="MSU49" s="12"/>
      <c r="MSW49" s="34"/>
      <c r="MSX49" s="39"/>
      <c r="MSY49" s="41"/>
      <c r="MTB49" s="32"/>
      <c r="MTD49" s="12"/>
      <c r="MTF49" s="34"/>
      <c r="MTG49" s="39"/>
      <c r="MTH49" s="41"/>
      <c r="MTK49" s="32"/>
      <c r="MTM49" s="12"/>
      <c r="MTO49" s="34"/>
      <c r="MTP49" s="39"/>
      <c r="MTQ49" s="41"/>
      <c r="MTT49" s="32"/>
      <c r="MTV49" s="12"/>
      <c r="MTX49" s="34"/>
      <c r="MTY49" s="39"/>
      <c r="MTZ49" s="41"/>
      <c r="MUC49" s="32"/>
      <c r="MUE49" s="12"/>
      <c r="MUG49" s="34"/>
      <c r="MUH49" s="39"/>
      <c r="MUI49" s="41"/>
      <c r="MUL49" s="32"/>
      <c r="MUN49" s="12"/>
      <c r="MUP49" s="34"/>
      <c r="MUQ49" s="39"/>
      <c r="MUR49" s="41"/>
      <c r="MUU49" s="32"/>
      <c r="MUW49" s="12"/>
      <c r="MUY49" s="34"/>
      <c r="MUZ49" s="39"/>
      <c r="MVA49" s="41"/>
      <c r="MVD49" s="32"/>
      <c r="MVF49" s="12"/>
      <c r="MVH49" s="34"/>
      <c r="MVI49" s="39"/>
      <c r="MVJ49" s="41"/>
      <c r="MVM49" s="32"/>
      <c r="MVO49" s="12"/>
      <c r="MVQ49" s="34"/>
      <c r="MVR49" s="39"/>
      <c r="MVS49" s="41"/>
      <c r="MVV49" s="32"/>
      <c r="MVX49" s="12"/>
      <c r="MVZ49" s="34"/>
      <c r="MWA49" s="39"/>
      <c r="MWB49" s="41"/>
      <c r="MWE49" s="32"/>
      <c r="MWG49" s="12"/>
      <c r="MWI49" s="34"/>
      <c r="MWJ49" s="39"/>
      <c r="MWK49" s="41"/>
      <c r="MWN49" s="32"/>
      <c r="MWP49" s="12"/>
      <c r="MWR49" s="34"/>
      <c r="MWS49" s="39"/>
      <c r="MWT49" s="41"/>
      <c r="MWW49" s="32"/>
      <c r="MWY49" s="12"/>
      <c r="MXA49" s="34"/>
      <c r="MXB49" s="39"/>
      <c r="MXC49" s="41"/>
      <c r="MXF49" s="32"/>
      <c r="MXH49" s="12"/>
      <c r="MXJ49" s="34"/>
      <c r="MXK49" s="39"/>
      <c r="MXL49" s="41"/>
      <c r="MXO49" s="32"/>
      <c r="MXQ49" s="12"/>
      <c r="MXS49" s="34"/>
      <c r="MXT49" s="39"/>
      <c r="MXU49" s="41"/>
      <c r="MXX49" s="32"/>
      <c r="MXZ49" s="12"/>
      <c r="MYB49" s="34"/>
      <c r="MYC49" s="39"/>
      <c r="MYD49" s="41"/>
      <c r="MYG49" s="32"/>
      <c r="MYI49" s="12"/>
      <c r="MYK49" s="34"/>
      <c r="MYL49" s="39"/>
      <c r="MYM49" s="41"/>
      <c r="MYP49" s="32"/>
      <c r="MYR49" s="12"/>
      <c r="MYT49" s="34"/>
      <c r="MYU49" s="39"/>
      <c r="MYV49" s="41"/>
      <c r="MYY49" s="32"/>
      <c r="MZA49" s="12"/>
      <c r="MZC49" s="34"/>
      <c r="MZD49" s="39"/>
      <c r="MZE49" s="41"/>
      <c r="MZH49" s="32"/>
      <c r="MZJ49" s="12"/>
      <c r="MZL49" s="34"/>
      <c r="MZM49" s="39"/>
      <c r="MZN49" s="41"/>
      <c r="MZQ49" s="32"/>
      <c r="MZS49" s="12"/>
      <c r="MZU49" s="34"/>
      <c r="MZV49" s="39"/>
      <c r="MZW49" s="41"/>
      <c r="MZZ49" s="32"/>
      <c r="NAB49" s="12"/>
      <c r="NAD49" s="34"/>
      <c r="NAE49" s="39"/>
      <c r="NAF49" s="41"/>
      <c r="NAI49" s="32"/>
      <c r="NAK49" s="12"/>
      <c r="NAM49" s="34"/>
      <c r="NAN49" s="39"/>
      <c r="NAO49" s="41"/>
      <c r="NAR49" s="32"/>
      <c r="NAT49" s="12"/>
      <c r="NAV49" s="34"/>
      <c r="NAW49" s="39"/>
      <c r="NAX49" s="41"/>
      <c r="NBA49" s="32"/>
      <c r="NBC49" s="12"/>
      <c r="NBE49" s="34"/>
      <c r="NBF49" s="39"/>
      <c r="NBG49" s="41"/>
      <c r="NBJ49" s="32"/>
      <c r="NBL49" s="12"/>
      <c r="NBN49" s="34"/>
      <c r="NBO49" s="39"/>
      <c r="NBP49" s="41"/>
      <c r="NBS49" s="32"/>
      <c r="NBU49" s="12"/>
      <c r="NBW49" s="34"/>
      <c r="NBX49" s="39"/>
      <c r="NBY49" s="41"/>
      <c r="NCB49" s="32"/>
      <c r="NCD49" s="12"/>
      <c r="NCF49" s="34"/>
      <c r="NCG49" s="39"/>
      <c r="NCH49" s="41"/>
      <c r="NCK49" s="32"/>
      <c r="NCM49" s="12"/>
      <c r="NCO49" s="34"/>
      <c r="NCP49" s="39"/>
      <c r="NCQ49" s="41"/>
      <c r="NCT49" s="32"/>
      <c r="NCV49" s="12"/>
      <c r="NCX49" s="34"/>
      <c r="NCY49" s="39"/>
      <c r="NCZ49" s="41"/>
      <c r="NDC49" s="32"/>
      <c r="NDE49" s="12"/>
      <c r="NDG49" s="34"/>
      <c r="NDH49" s="39"/>
      <c r="NDI49" s="41"/>
      <c r="NDL49" s="32"/>
      <c r="NDN49" s="12"/>
      <c r="NDP49" s="34"/>
      <c r="NDQ49" s="39"/>
      <c r="NDR49" s="41"/>
      <c r="NDU49" s="32"/>
      <c r="NDW49" s="12"/>
      <c r="NDY49" s="34"/>
      <c r="NDZ49" s="39"/>
      <c r="NEA49" s="41"/>
      <c r="NED49" s="32"/>
      <c r="NEF49" s="12"/>
      <c r="NEH49" s="34"/>
      <c r="NEI49" s="39"/>
      <c r="NEJ49" s="41"/>
      <c r="NEM49" s="32"/>
      <c r="NEO49" s="12"/>
      <c r="NEQ49" s="34"/>
      <c r="NER49" s="39"/>
      <c r="NES49" s="41"/>
      <c r="NEV49" s="32"/>
      <c r="NEX49" s="12"/>
      <c r="NEZ49" s="34"/>
      <c r="NFA49" s="39"/>
      <c r="NFB49" s="41"/>
      <c r="NFE49" s="32"/>
      <c r="NFG49" s="12"/>
      <c r="NFI49" s="34"/>
      <c r="NFJ49" s="39"/>
      <c r="NFK49" s="41"/>
      <c r="NFN49" s="32"/>
      <c r="NFP49" s="12"/>
      <c r="NFR49" s="34"/>
      <c r="NFS49" s="39"/>
      <c r="NFT49" s="41"/>
      <c r="NFW49" s="32"/>
      <c r="NFY49" s="12"/>
      <c r="NGA49" s="34"/>
      <c r="NGB49" s="39"/>
      <c r="NGC49" s="41"/>
      <c r="NGF49" s="32"/>
      <c r="NGH49" s="12"/>
      <c r="NGJ49" s="34"/>
      <c r="NGK49" s="39"/>
      <c r="NGL49" s="41"/>
      <c r="NGO49" s="32"/>
      <c r="NGQ49" s="12"/>
      <c r="NGS49" s="34"/>
      <c r="NGT49" s="39"/>
      <c r="NGU49" s="41"/>
      <c r="NGX49" s="32"/>
      <c r="NGZ49" s="12"/>
      <c r="NHB49" s="34"/>
      <c r="NHC49" s="39"/>
      <c r="NHD49" s="41"/>
      <c r="NHG49" s="32"/>
      <c r="NHI49" s="12"/>
      <c r="NHK49" s="34"/>
      <c r="NHL49" s="39"/>
      <c r="NHM49" s="41"/>
      <c r="NHP49" s="32"/>
      <c r="NHR49" s="12"/>
      <c r="NHT49" s="34"/>
      <c r="NHU49" s="39"/>
      <c r="NHV49" s="41"/>
      <c r="NHY49" s="32"/>
      <c r="NIA49" s="12"/>
      <c r="NIC49" s="34"/>
      <c r="NID49" s="39"/>
      <c r="NIE49" s="41"/>
      <c r="NIH49" s="32"/>
      <c r="NIJ49" s="12"/>
      <c r="NIL49" s="34"/>
      <c r="NIM49" s="39"/>
      <c r="NIN49" s="41"/>
      <c r="NIQ49" s="32"/>
      <c r="NIS49" s="12"/>
      <c r="NIU49" s="34"/>
      <c r="NIV49" s="39"/>
      <c r="NIW49" s="41"/>
      <c r="NIZ49" s="32"/>
      <c r="NJB49" s="12"/>
      <c r="NJD49" s="34"/>
      <c r="NJE49" s="39"/>
      <c r="NJF49" s="41"/>
      <c r="NJI49" s="32"/>
      <c r="NJK49" s="12"/>
      <c r="NJM49" s="34"/>
      <c r="NJN49" s="39"/>
      <c r="NJO49" s="41"/>
      <c r="NJR49" s="32"/>
      <c r="NJT49" s="12"/>
      <c r="NJV49" s="34"/>
      <c r="NJW49" s="39"/>
      <c r="NJX49" s="41"/>
      <c r="NKA49" s="32"/>
      <c r="NKC49" s="12"/>
      <c r="NKE49" s="34"/>
      <c r="NKF49" s="39"/>
      <c r="NKG49" s="41"/>
      <c r="NKJ49" s="32"/>
      <c r="NKL49" s="12"/>
      <c r="NKN49" s="34"/>
      <c r="NKO49" s="39"/>
      <c r="NKP49" s="41"/>
      <c r="NKS49" s="32"/>
      <c r="NKU49" s="12"/>
      <c r="NKW49" s="34"/>
      <c r="NKX49" s="39"/>
      <c r="NKY49" s="41"/>
      <c r="NLB49" s="32"/>
      <c r="NLD49" s="12"/>
      <c r="NLF49" s="34"/>
      <c r="NLG49" s="39"/>
      <c r="NLH49" s="41"/>
      <c r="NLK49" s="32"/>
      <c r="NLM49" s="12"/>
      <c r="NLO49" s="34"/>
      <c r="NLP49" s="39"/>
      <c r="NLQ49" s="41"/>
      <c r="NLT49" s="32"/>
      <c r="NLV49" s="12"/>
      <c r="NLX49" s="34"/>
      <c r="NLY49" s="39"/>
      <c r="NLZ49" s="41"/>
      <c r="NMC49" s="32"/>
      <c r="NME49" s="12"/>
      <c r="NMG49" s="34"/>
      <c r="NMH49" s="39"/>
      <c r="NMI49" s="41"/>
      <c r="NML49" s="32"/>
      <c r="NMN49" s="12"/>
      <c r="NMP49" s="34"/>
      <c r="NMQ49" s="39"/>
      <c r="NMR49" s="41"/>
      <c r="NMU49" s="32"/>
      <c r="NMW49" s="12"/>
      <c r="NMY49" s="34"/>
      <c r="NMZ49" s="39"/>
      <c r="NNA49" s="41"/>
      <c r="NND49" s="32"/>
      <c r="NNF49" s="12"/>
      <c r="NNH49" s="34"/>
      <c r="NNI49" s="39"/>
      <c r="NNJ49" s="41"/>
      <c r="NNM49" s="32"/>
      <c r="NNO49" s="12"/>
      <c r="NNQ49" s="34"/>
      <c r="NNR49" s="39"/>
      <c r="NNS49" s="41"/>
      <c r="NNV49" s="32"/>
      <c r="NNX49" s="12"/>
      <c r="NNZ49" s="34"/>
      <c r="NOA49" s="39"/>
      <c r="NOB49" s="41"/>
      <c r="NOE49" s="32"/>
      <c r="NOG49" s="12"/>
      <c r="NOI49" s="34"/>
      <c r="NOJ49" s="39"/>
      <c r="NOK49" s="41"/>
      <c r="NON49" s="32"/>
      <c r="NOP49" s="12"/>
      <c r="NOR49" s="34"/>
      <c r="NOS49" s="39"/>
      <c r="NOT49" s="41"/>
      <c r="NOW49" s="32"/>
      <c r="NOY49" s="12"/>
      <c r="NPA49" s="34"/>
      <c r="NPB49" s="39"/>
      <c r="NPC49" s="41"/>
      <c r="NPF49" s="32"/>
      <c r="NPH49" s="12"/>
      <c r="NPJ49" s="34"/>
      <c r="NPK49" s="39"/>
      <c r="NPL49" s="41"/>
      <c r="NPO49" s="32"/>
      <c r="NPQ49" s="12"/>
      <c r="NPS49" s="34"/>
      <c r="NPT49" s="39"/>
      <c r="NPU49" s="41"/>
      <c r="NPX49" s="32"/>
      <c r="NPZ49" s="12"/>
      <c r="NQB49" s="34"/>
      <c r="NQC49" s="39"/>
      <c r="NQD49" s="41"/>
      <c r="NQG49" s="32"/>
      <c r="NQI49" s="12"/>
      <c r="NQK49" s="34"/>
      <c r="NQL49" s="39"/>
      <c r="NQM49" s="41"/>
      <c r="NQP49" s="32"/>
      <c r="NQR49" s="12"/>
      <c r="NQT49" s="34"/>
      <c r="NQU49" s="39"/>
      <c r="NQV49" s="41"/>
      <c r="NQY49" s="32"/>
      <c r="NRA49" s="12"/>
      <c r="NRC49" s="34"/>
      <c r="NRD49" s="39"/>
      <c r="NRE49" s="41"/>
      <c r="NRH49" s="32"/>
      <c r="NRJ49" s="12"/>
      <c r="NRL49" s="34"/>
      <c r="NRM49" s="39"/>
      <c r="NRN49" s="41"/>
      <c r="NRQ49" s="32"/>
      <c r="NRS49" s="12"/>
      <c r="NRU49" s="34"/>
      <c r="NRV49" s="39"/>
      <c r="NRW49" s="41"/>
      <c r="NRZ49" s="32"/>
      <c r="NSB49" s="12"/>
      <c r="NSD49" s="34"/>
      <c r="NSE49" s="39"/>
      <c r="NSF49" s="41"/>
      <c r="NSI49" s="32"/>
      <c r="NSK49" s="12"/>
      <c r="NSM49" s="34"/>
      <c r="NSN49" s="39"/>
      <c r="NSO49" s="41"/>
      <c r="NSR49" s="32"/>
      <c r="NST49" s="12"/>
      <c r="NSV49" s="34"/>
      <c r="NSW49" s="39"/>
      <c r="NSX49" s="41"/>
      <c r="NTA49" s="32"/>
      <c r="NTC49" s="12"/>
      <c r="NTE49" s="34"/>
      <c r="NTF49" s="39"/>
      <c r="NTG49" s="41"/>
      <c r="NTJ49" s="32"/>
      <c r="NTL49" s="12"/>
      <c r="NTN49" s="34"/>
      <c r="NTO49" s="39"/>
      <c r="NTP49" s="41"/>
      <c r="NTS49" s="32"/>
      <c r="NTU49" s="12"/>
      <c r="NTW49" s="34"/>
      <c r="NTX49" s="39"/>
      <c r="NTY49" s="41"/>
      <c r="NUB49" s="32"/>
      <c r="NUD49" s="12"/>
      <c r="NUF49" s="34"/>
      <c r="NUG49" s="39"/>
      <c r="NUH49" s="41"/>
      <c r="NUK49" s="32"/>
      <c r="NUM49" s="12"/>
      <c r="NUO49" s="34"/>
      <c r="NUP49" s="39"/>
      <c r="NUQ49" s="41"/>
      <c r="NUT49" s="32"/>
      <c r="NUV49" s="12"/>
      <c r="NUX49" s="34"/>
      <c r="NUY49" s="39"/>
      <c r="NUZ49" s="41"/>
      <c r="NVC49" s="32"/>
      <c r="NVE49" s="12"/>
      <c r="NVG49" s="34"/>
      <c r="NVH49" s="39"/>
      <c r="NVI49" s="41"/>
      <c r="NVL49" s="32"/>
      <c r="NVN49" s="12"/>
      <c r="NVP49" s="34"/>
      <c r="NVQ49" s="39"/>
      <c r="NVR49" s="41"/>
      <c r="NVU49" s="32"/>
      <c r="NVW49" s="12"/>
      <c r="NVY49" s="34"/>
      <c r="NVZ49" s="39"/>
      <c r="NWA49" s="41"/>
      <c r="NWD49" s="32"/>
      <c r="NWF49" s="12"/>
      <c r="NWH49" s="34"/>
      <c r="NWI49" s="39"/>
      <c r="NWJ49" s="41"/>
      <c r="NWM49" s="32"/>
      <c r="NWO49" s="12"/>
      <c r="NWQ49" s="34"/>
      <c r="NWR49" s="39"/>
      <c r="NWS49" s="41"/>
      <c r="NWV49" s="32"/>
      <c r="NWX49" s="12"/>
      <c r="NWZ49" s="34"/>
      <c r="NXA49" s="39"/>
      <c r="NXB49" s="41"/>
      <c r="NXE49" s="32"/>
      <c r="NXG49" s="12"/>
      <c r="NXI49" s="34"/>
      <c r="NXJ49" s="39"/>
      <c r="NXK49" s="41"/>
      <c r="NXN49" s="32"/>
      <c r="NXP49" s="12"/>
      <c r="NXR49" s="34"/>
      <c r="NXS49" s="39"/>
      <c r="NXT49" s="41"/>
      <c r="NXW49" s="32"/>
      <c r="NXY49" s="12"/>
      <c r="NYA49" s="34"/>
      <c r="NYB49" s="39"/>
      <c r="NYC49" s="41"/>
      <c r="NYF49" s="32"/>
      <c r="NYH49" s="12"/>
      <c r="NYJ49" s="34"/>
      <c r="NYK49" s="39"/>
      <c r="NYL49" s="41"/>
      <c r="NYO49" s="32"/>
      <c r="NYQ49" s="12"/>
      <c r="NYS49" s="34"/>
      <c r="NYT49" s="39"/>
      <c r="NYU49" s="41"/>
      <c r="NYX49" s="32"/>
      <c r="NYZ49" s="12"/>
      <c r="NZB49" s="34"/>
      <c r="NZC49" s="39"/>
      <c r="NZD49" s="41"/>
      <c r="NZG49" s="32"/>
      <c r="NZI49" s="12"/>
      <c r="NZK49" s="34"/>
      <c r="NZL49" s="39"/>
      <c r="NZM49" s="41"/>
      <c r="NZP49" s="32"/>
      <c r="NZR49" s="12"/>
      <c r="NZT49" s="34"/>
      <c r="NZU49" s="39"/>
      <c r="NZV49" s="41"/>
      <c r="NZY49" s="32"/>
      <c r="OAA49" s="12"/>
      <c r="OAC49" s="34"/>
      <c r="OAD49" s="39"/>
      <c r="OAE49" s="41"/>
      <c r="OAH49" s="32"/>
      <c r="OAJ49" s="12"/>
      <c r="OAL49" s="34"/>
      <c r="OAM49" s="39"/>
      <c r="OAN49" s="41"/>
      <c r="OAQ49" s="32"/>
      <c r="OAS49" s="12"/>
      <c r="OAU49" s="34"/>
      <c r="OAV49" s="39"/>
      <c r="OAW49" s="41"/>
      <c r="OAZ49" s="32"/>
      <c r="OBB49" s="12"/>
      <c r="OBD49" s="34"/>
      <c r="OBE49" s="39"/>
      <c r="OBF49" s="41"/>
      <c r="OBI49" s="32"/>
      <c r="OBK49" s="12"/>
      <c r="OBM49" s="34"/>
      <c r="OBN49" s="39"/>
      <c r="OBO49" s="41"/>
      <c r="OBR49" s="32"/>
      <c r="OBT49" s="12"/>
      <c r="OBV49" s="34"/>
      <c r="OBW49" s="39"/>
      <c r="OBX49" s="41"/>
      <c r="OCA49" s="32"/>
      <c r="OCC49" s="12"/>
      <c r="OCE49" s="34"/>
      <c r="OCF49" s="39"/>
      <c r="OCG49" s="41"/>
      <c r="OCJ49" s="32"/>
      <c r="OCL49" s="12"/>
      <c r="OCN49" s="34"/>
      <c r="OCO49" s="39"/>
      <c r="OCP49" s="41"/>
      <c r="OCS49" s="32"/>
      <c r="OCU49" s="12"/>
      <c r="OCW49" s="34"/>
      <c r="OCX49" s="39"/>
      <c r="OCY49" s="41"/>
      <c r="ODB49" s="32"/>
      <c r="ODD49" s="12"/>
      <c r="ODF49" s="34"/>
      <c r="ODG49" s="39"/>
      <c r="ODH49" s="41"/>
      <c r="ODK49" s="32"/>
      <c r="ODM49" s="12"/>
      <c r="ODO49" s="34"/>
      <c r="ODP49" s="39"/>
      <c r="ODQ49" s="41"/>
      <c r="ODT49" s="32"/>
      <c r="ODV49" s="12"/>
      <c r="ODX49" s="34"/>
      <c r="ODY49" s="39"/>
      <c r="ODZ49" s="41"/>
      <c r="OEC49" s="32"/>
      <c r="OEE49" s="12"/>
      <c r="OEG49" s="34"/>
      <c r="OEH49" s="39"/>
      <c r="OEI49" s="41"/>
      <c r="OEL49" s="32"/>
      <c r="OEN49" s="12"/>
      <c r="OEP49" s="34"/>
      <c r="OEQ49" s="39"/>
      <c r="OER49" s="41"/>
      <c r="OEU49" s="32"/>
      <c r="OEW49" s="12"/>
      <c r="OEY49" s="34"/>
      <c r="OEZ49" s="39"/>
      <c r="OFA49" s="41"/>
      <c r="OFD49" s="32"/>
      <c r="OFF49" s="12"/>
      <c r="OFH49" s="34"/>
      <c r="OFI49" s="39"/>
      <c r="OFJ49" s="41"/>
      <c r="OFM49" s="32"/>
      <c r="OFO49" s="12"/>
      <c r="OFQ49" s="34"/>
      <c r="OFR49" s="39"/>
      <c r="OFS49" s="41"/>
      <c r="OFV49" s="32"/>
      <c r="OFX49" s="12"/>
      <c r="OFZ49" s="34"/>
      <c r="OGA49" s="39"/>
      <c r="OGB49" s="41"/>
      <c r="OGE49" s="32"/>
      <c r="OGG49" s="12"/>
      <c r="OGI49" s="34"/>
      <c r="OGJ49" s="39"/>
      <c r="OGK49" s="41"/>
      <c r="OGN49" s="32"/>
      <c r="OGP49" s="12"/>
      <c r="OGR49" s="34"/>
      <c r="OGS49" s="39"/>
      <c r="OGT49" s="41"/>
      <c r="OGW49" s="32"/>
      <c r="OGY49" s="12"/>
      <c r="OHA49" s="34"/>
      <c r="OHB49" s="39"/>
      <c r="OHC49" s="41"/>
      <c r="OHF49" s="32"/>
      <c r="OHH49" s="12"/>
      <c r="OHJ49" s="34"/>
      <c r="OHK49" s="39"/>
      <c r="OHL49" s="41"/>
      <c r="OHO49" s="32"/>
      <c r="OHQ49" s="12"/>
      <c r="OHS49" s="34"/>
      <c r="OHT49" s="39"/>
      <c r="OHU49" s="41"/>
      <c r="OHX49" s="32"/>
      <c r="OHZ49" s="12"/>
      <c r="OIB49" s="34"/>
      <c r="OIC49" s="39"/>
      <c r="OID49" s="41"/>
      <c r="OIG49" s="32"/>
      <c r="OII49" s="12"/>
      <c r="OIK49" s="34"/>
      <c r="OIL49" s="39"/>
      <c r="OIM49" s="41"/>
      <c r="OIP49" s="32"/>
      <c r="OIR49" s="12"/>
      <c r="OIT49" s="34"/>
      <c r="OIU49" s="39"/>
      <c r="OIV49" s="41"/>
      <c r="OIY49" s="32"/>
      <c r="OJA49" s="12"/>
      <c r="OJC49" s="34"/>
      <c r="OJD49" s="39"/>
      <c r="OJE49" s="41"/>
      <c r="OJH49" s="32"/>
      <c r="OJJ49" s="12"/>
      <c r="OJL49" s="34"/>
      <c r="OJM49" s="39"/>
      <c r="OJN49" s="41"/>
      <c r="OJQ49" s="32"/>
      <c r="OJS49" s="12"/>
      <c r="OJU49" s="34"/>
      <c r="OJV49" s="39"/>
      <c r="OJW49" s="41"/>
      <c r="OJZ49" s="32"/>
      <c r="OKB49" s="12"/>
      <c r="OKD49" s="34"/>
      <c r="OKE49" s="39"/>
      <c r="OKF49" s="41"/>
      <c r="OKI49" s="32"/>
      <c r="OKK49" s="12"/>
      <c r="OKM49" s="34"/>
      <c r="OKN49" s="39"/>
      <c r="OKO49" s="41"/>
      <c r="OKR49" s="32"/>
      <c r="OKT49" s="12"/>
      <c r="OKV49" s="34"/>
      <c r="OKW49" s="39"/>
      <c r="OKX49" s="41"/>
      <c r="OLA49" s="32"/>
      <c r="OLC49" s="12"/>
      <c r="OLE49" s="34"/>
      <c r="OLF49" s="39"/>
      <c r="OLG49" s="41"/>
      <c r="OLJ49" s="32"/>
      <c r="OLL49" s="12"/>
      <c r="OLN49" s="34"/>
      <c r="OLO49" s="39"/>
      <c r="OLP49" s="41"/>
      <c r="OLS49" s="32"/>
      <c r="OLU49" s="12"/>
      <c r="OLW49" s="34"/>
      <c r="OLX49" s="39"/>
      <c r="OLY49" s="41"/>
      <c r="OMB49" s="32"/>
      <c r="OMD49" s="12"/>
      <c r="OMF49" s="34"/>
      <c r="OMG49" s="39"/>
      <c r="OMH49" s="41"/>
      <c r="OMK49" s="32"/>
      <c r="OMM49" s="12"/>
      <c r="OMO49" s="34"/>
      <c r="OMP49" s="39"/>
      <c r="OMQ49" s="41"/>
      <c r="OMT49" s="32"/>
      <c r="OMV49" s="12"/>
      <c r="OMX49" s="34"/>
      <c r="OMY49" s="39"/>
      <c r="OMZ49" s="41"/>
      <c r="ONC49" s="32"/>
      <c r="ONE49" s="12"/>
      <c r="ONG49" s="34"/>
      <c r="ONH49" s="39"/>
      <c r="ONI49" s="41"/>
      <c r="ONL49" s="32"/>
      <c r="ONN49" s="12"/>
      <c r="ONP49" s="34"/>
      <c r="ONQ49" s="39"/>
      <c r="ONR49" s="41"/>
      <c r="ONU49" s="32"/>
      <c r="ONW49" s="12"/>
      <c r="ONY49" s="34"/>
      <c r="ONZ49" s="39"/>
      <c r="OOA49" s="41"/>
      <c r="OOD49" s="32"/>
      <c r="OOF49" s="12"/>
      <c r="OOH49" s="34"/>
      <c r="OOI49" s="39"/>
      <c r="OOJ49" s="41"/>
      <c r="OOM49" s="32"/>
      <c r="OOO49" s="12"/>
      <c r="OOQ49" s="34"/>
      <c r="OOR49" s="39"/>
      <c r="OOS49" s="41"/>
      <c r="OOV49" s="32"/>
      <c r="OOX49" s="12"/>
      <c r="OOZ49" s="34"/>
      <c r="OPA49" s="39"/>
      <c r="OPB49" s="41"/>
      <c r="OPE49" s="32"/>
      <c r="OPG49" s="12"/>
      <c r="OPI49" s="34"/>
      <c r="OPJ49" s="39"/>
      <c r="OPK49" s="41"/>
      <c r="OPN49" s="32"/>
      <c r="OPP49" s="12"/>
      <c r="OPR49" s="34"/>
      <c r="OPS49" s="39"/>
      <c r="OPT49" s="41"/>
      <c r="OPW49" s="32"/>
      <c r="OPY49" s="12"/>
      <c r="OQA49" s="34"/>
      <c r="OQB49" s="39"/>
      <c r="OQC49" s="41"/>
      <c r="OQF49" s="32"/>
      <c r="OQH49" s="12"/>
      <c r="OQJ49" s="34"/>
      <c r="OQK49" s="39"/>
      <c r="OQL49" s="41"/>
      <c r="OQO49" s="32"/>
      <c r="OQQ49" s="12"/>
      <c r="OQS49" s="34"/>
      <c r="OQT49" s="39"/>
      <c r="OQU49" s="41"/>
      <c r="OQX49" s="32"/>
      <c r="OQZ49" s="12"/>
      <c r="ORB49" s="34"/>
      <c r="ORC49" s="39"/>
      <c r="ORD49" s="41"/>
      <c r="ORG49" s="32"/>
      <c r="ORI49" s="12"/>
      <c r="ORK49" s="34"/>
      <c r="ORL49" s="39"/>
      <c r="ORM49" s="41"/>
      <c r="ORP49" s="32"/>
      <c r="ORR49" s="12"/>
      <c r="ORT49" s="34"/>
      <c r="ORU49" s="39"/>
      <c r="ORV49" s="41"/>
      <c r="ORY49" s="32"/>
      <c r="OSA49" s="12"/>
      <c r="OSC49" s="34"/>
      <c r="OSD49" s="39"/>
      <c r="OSE49" s="41"/>
      <c r="OSH49" s="32"/>
      <c r="OSJ49" s="12"/>
      <c r="OSL49" s="34"/>
      <c r="OSM49" s="39"/>
      <c r="OSN49" s="41"/>
      <c r="OSQ49" s="32"/>
      <c r="OSS49" s="12"/>
      <c r="OSU49" s="34"/>
      <c r="OSV49" s="39"/>
      <c r="OSW49" s="41"/>
      <c r="OSZ49" s="32"/>
      <c r="OTB49" s="12"/>
      <c r="OTD49" s="34"/>
      <c r="OTE49" s="39"/>
      <c r="OTF49" s="41"/>
      <c r="OTI49" s="32"/>
      <c r="OTK49" s="12"/>
      <c r="OTM49" s="34"/>
      <c r="OTN49" s="39"/>
      <c r="OTO49" s="41"/>
      <c r="OTR49" s="32"/>
      <c r="OTT49" s="12"/>
      <c r="OTV49" s="34"/>
      <c r="OTW49" s="39"/>
      <c r="OTX49" s="41"/>
      <c r="OUA49" s="32"/>
      <c r="OUC49" s="12"/>
      <c r="OUE49" s="34"/>
      <c r="OUF49" s="39"/>
      <c r="OUG49" s="41"/>
      <c r="OUJ49" s="32"/>
      <c r="OUL49" s="12"/>
      <c r="OUN49" s="34"/>
      <c r="OUO49" s="39"/>
      <c r="OUP49" s="41"/>
      <c r="OUS49" s="32"/>
      <c r="OUU49" s="12"/>
      <c r="OUW49" s="34"/>
      <c r="OUX49" s="39"/>
      <c r="OUY49" s="41"/>
      <c r="OVB49" s="32"/>
      <c r="OVD49" s="12"/>
      <c r="OVF49" s="34"/>
      <c r="OVG49" s="39"/>
      <c r="OVH49" s="41"/>
      <c r="OVK49" s="32"/>
      <c r="OVM49" s="12"/>
      <c r="OVO49" s="34"/>
      <c r="OVP49" s="39"/>
      <c r="OVQ49" s="41"/>
      <c r="OVT49" s="32"/>
      <c r="OVV49" s="12"/>
      <c r="OVX49" s="34"/>
      <c r="OVY49" s="39"/>
      <c r="OVZ49" s="41"/>
      <c r="OWC49" s="32"/>
      <c r="OWE49" s="12"/>
      <c r="OWG49" s="34"/>
      <c r="OWH49" s="39"/>
      <c r="OWI49" s="41"/>
      <c r="OWL49" s="32"/>
      <c r="OWN49" s="12"/>
      <c r="OWP49" s="34"/>
      <c r="OWQ49" s="39"/>
      <c r="OWR49" s="41"/>
      <c r="OWU49" s="32"/>
      <c r="OWW49" s="12"/>
      <c r="OWY49" s="34"/>
      <c r="OWZ49" s="39"/>
      <c r="OXA49" s="41"/>
      <c r="OXD49" s="32"/>
      <c r="OXF49" s="12"/>
      <c r="OXH49" s="34"/>
      <c r="OXI49" s="39"/>
      <c r="OXJ49" s="41"/>
      <c r="OXM49" s="32"/>
      <c r="OXO49" s="12"/>
      <c r="OXQ49" s="34"/>
      <c r="OXR49" s="39"/>
      <c r="OXS49" s="41"/>
      <c r="OXV49" s="32"/>
      <c r="OXX49" s="12"/>
      <c r="OXZ49" s="34"/>
      <c r="OYA49" s="39"/>
      <c r="OYB49" s="41"/>
      <c r="OYE49" s="32"/>
      <c r="OYG49" s="12"/>
      <c r="OYI49" s="34"/>
      <c r="OYJ49" s="39"/>
      <c r="OYK49" s="41"/>
      <c r="OYN49" s="32"/>
      <c r="OYP49" s="12"/>
      <c r="OYR49" s="34"/>
      <c r="OYS49" s="39"/>
      <c r="OYT49" s="41"/>
      <c r="OYW49" s="32"/>
      <c r="OYY49" s="12"/>
      <c r="OZA49" s="34"/>
      <c r="OZB49" s="39"/>
      <c r="OZC49" s="41"/>
      <c r="OZF49" s="32"/>
      <c r="OZH49" s="12"/>
      <c r="OZJ49" s="34"/>
      <c r="OZK49" s="39"/>
      <c r="OZL49" s="41"/>
      <c r="OZO49" s="32"/>
      <c r="OZQ49" s="12"/>
      <c r="OZS49" s="34"/>
      <c r="OZT49" s="39"/>
      <c r="OZU49" s="41"/>
      <c r="OZX49" s="32"/>
      <c r="OZZ49" s="12"/>
      <c r="PAB49" s="34"/>
      <c r="PAC49" s="39"/>
      <c r="PAD49" s="41"/>
      <c r="PAG49" s="32"/>
      <c r="PAI49" s="12"/>
      <c r="PAK49" s="34"/>
      <c r="PAL49" s="39"/>
      <c r="PAM49" s="41"/>
      <c r="PAP49" s="32"/>
      <c r="PAR49" s="12"/>
      <c r="PAT49" s="34"/>
      <c r="PAU49" s="39"/>
      <c r="PAV49" s="41"/>
      <c r="PAY49" s="32"/>
      <c r="PBA49" s="12"/>
      <c r="PBC49" s="34"/>
      <c r="PBD49" s="39"/>
      <c r="PBE49" s="41"/>
      <c r="PBH49" s="32"/>
      <c r="PBJ49" s="12"/>
      <c r="PBL49" s="34"/>
      <c r="PBM49" s="39"/>
      <c r="PBN49" s="41"/>
      <c r="PBQ49" s="32"/>
      <c r="PBS49" s="12"/>
      <c r="PBU49" s="34"/>
      <c r="PBV49" s="39"/>
      <c r="PBW49" s="41"/>
      <c r="PBZ49" s="32"/>
      <c r="PCB49" s="12"/>
      <c r="PCD49" s="34"/>
      <c r="PCE49" s="39"/>
      <c r="PCF49" s="41"/>
      <c r="PCI49" s="32"/>
      <c r="PCK49" s="12"/>
      <c r="PCM49" s="34"/>
      <c r="PCN49" s="39"/>
      <c r="PCO49" s="41"/>
      <c r="PCR49" s="32"/>
      <c r="PCT49" s="12"/>
      <c r="PCV49" s="34"/>
      <c r="PCW49" s="39"/>
      <c r="PCX49" s="41"/>
      <c r="PDA49" s="32"/>
      <c r="PDC49" s="12"/>
      <c r="PDE49" s="34"/>
      <c r="PDF49" s="39"/>
      <c r="PDG49" s="41"/>
      <c r="PDJ49" s="32"/>
      <c r="PDL49" s="12"/>
      <c r="PDN49" s="34"/>
      <c r="PDO49" s="39"/>
      <c r="PDP49" s="41"/>
      <c r="PDS49" s="32"/>
      <c r="PDU49" s="12"/>
      <c r="PDW49" s="34"/>
      <c r="PDX49" s="39"/>
      <c r="PDY49" s="41"/>
      <c r="PEB49" s="32"/>
      <c r="PED49" s="12"/>
      <c r="PEF49" s="34"/>
      <c r="PEG49" s="39"/>
      <c r="PEH49" s="41"/>
      <c r="PEK49" s="32"/>
      <c r="PEM49" s="12"/>
      <c r="PEO49" s="34"/>
      <c r="PEP49" s="39"/>
      <c r="PEQ49" s="41"/>
      <c r="PET49" s="32"/>
      <c r="PEV49" s="12"/>
      <c r="PEX49" s="34"/>
      <c r="PEY49" s="39"/>
      <c r="PEZ49" s="41"/>
      <c r="PFC49" s="32"/>
      <c r="PFE49" s="12"/>
      <c r="PFG49" s="34"/>
      <c r="PFH49" s="39"/>
      <c r="PFI49" s="41"/>
      <c r="PFL49" s="32"/>
      <c r="PFN49" s="12"/>
      <c r="PFP49" s="34"/>
      <c r="PFQ49" s="39"/>
      <c r="PFR49" s="41"/>
      <c r="PFU49" s="32"/>
      <c r="PFW49" s="12"/>
      <c r="PFY49" s="34"/>
      <c r="PFZ49" s="39"/>
      <c r="PGA49" s="41"/>
      <c r="PGD49" s="32"/>
      <c r="PGF49" s="12"/>
      <c r="PGH49" s="34"/>
      <c r="PGI49" s="39"/>
      <c r="PGJ49" s="41"/>
      <c r="PGM49" s="32"/>
      <c r="PGO49" s="12"/>
      <c r="PGQ49" s="34"/>
      <c r="PGR49" s="39"/>
      <c r="PGS49" s="41"/>
      <c r="PGV49" s="32"/>
      <c r="PGX49" s="12"/>
      <c r="PGZ49" s="34"/>
      <c r="PHA49" s="39"/>
      <c r="PHB49" s="41"/>
      <c r="PHE49" s="32"/>
      <c r="PHG49" s="12"/>
      <c r="PHI49" s="34"/>
      <c r="PHJ49" s="39"/>
      <c r="PHK49" s="41"/>
      <c r="PHN49" s="32"/>
      <c r="PHP49" s="12"/>
      <c r="PHR49" s="34"/>
      <c r="PHS49" s="39"/>
      <c r="PHT49" s="41"/>
      <c r="PHW49" s="32"/>
      <c r="PHY49" s="12"/>
      <c r="PIA49" s="34"/>
      <c r="PIB49" s="39"/>
      <c r="PIC49" s="41"/>
      <c r="PIF49" s="32"/>
      <c r="PIH49" s="12"/>
      <c r="PIJ49" s="34"/>
      <c r="PIK49" s="39"/>
      <c r="PIL49" s="41"/>
      <c r="PIO49" s="32"/>
      <c r="PIQ49" s="12"/>
      <c r="PIS49" s="34"/>
      <c r="PIT49" s="39"/>
      <c r="PIU49" s="41"/>
      <c r="PIX49" s="32"/>
      <c r="PIZ49" s="12"/>
      <c r="PJB49" s="34"/>
      <c r="PJC49" s="39"/>
      <c r="PJD49" s="41"/>
      <c r="PJG49" s="32"/>
      <c r="PJI49" s="12"/>
      <c r="PJK49" s="34"/>
      <c r="PJL49" s="39"/>
      <c r="PJM49" s="41"/>
      <c r="PJP49" s="32"/>
      <c r="PJR49" s="12"/>
      <c r="PJT49" s="34"/>
      <c r="PJU49" s="39"/>
      <c r="PJV49" s="41"/>
      <c r="PJY49" s="32"/>
      <c r="PKA49" s="12"/>
      <c r="PKC49" s="34"/>
      <c r="PKD49" s="39"/>
      <c r="PKE49" s="41"/>
      <c r="PKH49" s="32"/>
      <c r="PKJ49" s="12"/>
      <c r="PKL49" s="34"/>
      <c r="PKM49" s="39"/>
      <c r="PKN49" s="41"/>
      <c r="PKQ49" s="32"/>
      <c r="PKS49" s="12"/>
      <c r="PKU49" s="34"/>
      <c r="PKV49" s="39"/>
      <c r="PKW49" s="41"/>
      <c r="PKZ49" s="32"/>
      <c r="PLB49" s="12"/>
      <c r="PLD49" s="34"/>
      <c r="PLE49" s="39"/>
      <c r="PLF49" s="41"/>
      <c r="PLI49" s="32"/>
      <c r="PLK49" s="12"/>
      <c r="PLM49" s="34"/>
      <c r="PLN49" s="39"/>
      <c r="PLO49" s="41"/>
      <c r="PLR49" s="32"/>
      <c r="PLT49" s="12"/>
      <c r="PLV49" s="34"/>
      <c r="PLW49" s="39"/>
      <c r="PLX49" s="41"/>
      <c r="PMA49" s="32"/>
      <c r="PMC49" s="12"/>
      <c r="PME49" s="34"/>
      <c r="PMF49" s="39"/>
      <c r="PMG49" s="41"/>
      <c r="PMJ49" s="32"/>
      <c r="PML49" s="12"/>
      <c r="PMN49" s="34"/>
      <c r="PMO49" s="39"/>
      <c r="PMP49" s="41"/>
      <c r="PMS49" s="32"/>
      <c r="PMU49" s="12"/>
      <c r="PMW49" s="34"/>
      <c r="PMX49" s="39"/>
      <c r="PMY49" s="41"/>
      <c r="PNB49" s="32"/>
      <c r="PND49" s="12"/>
      <c r="PNF49" s="34"/>
      <c r="PNG49" s="39"/>
      <c r="PNH49" s="41"/>
      <c r="PNK49" s="32"/>
      <c r="PNM49" s="12"/>
      <c r="PNO49" s="34"/>
      <c r="PNP49" s="39"/>
      <c r="PNQ49" s="41"/>
      <c r="PNT49" s="32"/>
      <c r="PNV49" s="12"/>
      <c r="PNX49" s="34"/>
      <c r="PNY49" s="39"/>
      <c r="PNZ49" s="41"/>
      <c r="POC49" s="32"/>
      <c r="POE49" s="12"/>
      <c r="POG49" s="34"/>
      <c r="POH49" s="39"/>
      <c r="POI49" s="41"/>
      <c r="POL49" s="32"/>
      <c r="PON49" s="12"/>
      <c r="POP49" s="34"/>
      <c r="POQ49" s="39"/>
      <c r="POR49" s="41"/>
      <c r="POU49" s="32"/>
      <c r="POW49" s="12"/>
      <c r="POY49" s="34"/>
      <c r="POZ49" s="39"/>
      <c r="PPA49" s="41"/>
      <c r="PPD49" s="32"/>
      <c r="PPF49" s="12"/>
      <c r="PPH49" s="34"/>
      <c r="PPI49" s="39"/>
      <c r="PPJ49" s="41"/>
      <c r="PPM49" s="32"/>
      <c r="PPO49" s="12"/>
      <c r="PPQ49" s="34"/>
      <c r="PPR49" s="39"/>
      <c r="PPS49" s="41"/>
      <c r="PPV49" s="32"/>
      <c r="PPX49" s="12"/>
      <c r="PPZ49" s="34"/>
      <c r="PQA49" s="39"/>
      <c r="PQB49" s="41"/>
      <c r="PQE49" s="32"/>
      <c r="PQG49" s="12"/>
      <c r="PQI49" s="34"/>
      <c r="PQJ49" s="39"/>
      <c r="PQK49" s="41"/>
      <c r="PQN49" s="32"/>
      <c r="PQP49" s="12"/>
      <c r="PQR49" s="34"/>
      <c r="PQS49" s="39"/>
      <c r="PQT49" s="41"/>
      <c r="PQW49" s="32"/>
      <c r="PQY49" s="12"/>
      <c r="PRA49" s="34"/>
      <c r="PRB49" s="39"/>
      <c r="PRC49" s="41"/>
      <c r="PRF49" s="32"/>
      <c r="PRH49" s="12"/>
      <c r="PRJ49" s="34"/>
      <c r="PRK49" s="39"/>
      <c r="PRL49" s="41"/>
      <c r="PRO49" s="32"/>
      <c r="PRQ49" s="12"/>
      <c r="PRS49" s="34"/>
      <c r="PRT49" s="39"/>
      <c r="PRU49" s="41"/>
      <c r="PRX49" s="32"/>
      <c r="PRZ49" s="12"/>
      <c r="PSB49" s="34"/>
      <c r="PSC49" s="39"/>
      <c r="PSD49" s="41"/>
      <c r="PSG49" s="32"/>
      <c r="PSI49" s="12"/>
      <c r="PSK49" s="34"/>
      <c r="PSL49" s="39"/>
      <c r="PSM49" s="41"/>
      <c r="PSP49" s="32"/>
      <c r="PSR49" s="12"/>
      <c r="PST49" s="34"/>
      <c r="PSU49" s="39"/>
      <c r="PSV49" s="41"/>
      <c r="PSY49" s="32"/>
      <c r="PTA49" s="12"/>
      <c r="PTC49" s="34"/>
      <c r="PTD49" s="39"/>
      <c r="PTE49" s="41"/>
      <c r="PTH49" s="32"/>
      <c r="PTJ49" s="12"/>
      <c r="PTL49" s="34"/>
      <c r="PTM49" s="39"/>
      <c r="PTN49" s="41"/>
      <c r="PTQ49" s="32"/>
      <c r="PTS49" s="12"/>
      <c r="PTU49" s="34"/>
      <c r="PTV49" s="39"/>
      <c r="PTW49" s="41"/>
      <c r="PTZ49" s="32"/>
      <c r="PUB49" s="12"/>
      <c r="PUD49" s="34"/>
      <c r="PUE49" s="39"/>
      <c r="PUF49" s="41"/>
      <c r="PUI49" s="32"/>
      <c r="PUK49" s="12"/>
      <c r="PUM49" s="34"/>
      <c r="PUN49" s="39"/>
      <c r="PUO49" s="41"/>
      <c r="PUR49" s="32"/>
      <c r="PUT49" s="12"/>
      <c r="PUV49" s="34"/>
      <c r="PUW49" s="39"/>
      <c r="PUX49" s="41"/>
      <c r="PVA49" s="32"/>
      <c r="PVC49" s="12"/>
      <c r="PVE49" s="34"/>
      <c r="PVF49" s="39"/>
      <c r="PVG49" s="41"/>
      <c r="PVJ49" s="32"/>
      <c r="PVL49" s="12"/>
      <c r="PVN49" s="34"/>
      <c r="PVO49" s="39"/>
      <c r="PVP49" s="41"/>
      <c r="PVS49" s="32"/>
      <c r="PVU49" s="12"/>
      <c r="PVW49" s="34"/>
      <c r="PVX49" s="39"/>
      <c r="PVY49" s="41"/>
      <c r="PWB49" s="32"/>
      <c r="PWD49" s="12"/>
      <c r="PWF49" s="34"/>
      <c r="PWG49" s="39"/>
      <c r="PWH49" s="41"/>
      <c r="PWK49" s="32"/>
      <c r="PWM49" s="12"/>
      <c r="PWO49" s="34"/>
      <c r="PWP49" s="39"/>
      <c r="PWQ49" s="41"/>
      <c r="PWT49" s="32"/>
      <c r="PWV49" s="12"/>
      <c r="PWX49" s="34"/>
      <c r="PWY49" s="39"/>
      <c r="PWZ49" s="41"/>
      <c r="PXC49" s="32"/>
      <c r="PXE49" s="12"/>
      <c r="PXG49" s="34"/>
      <c r="PXH49" s="39"/>
      <c r="PXI49" s="41"/>
      <c r="PXL49" s="32"/>
      <c r="PXN49" s="12"/>
      <c r="PXP49" s="34"/>
      <c r="PXQ49" s="39"/>
      <c r="PXR49" s="41"/>
      <c r="PXU49" s="32"/>
      <c r="PXW49" s="12"/>
      <c r="PXY49" s="34"/>
      <c r="PXZ49" s="39"/>
      <c r="PYA49" s="41"/>
      <c r="PYD49" s="32"/>
      <c r="PYF49" s="12"/>
      <c r="PYH49" s="34"/>
      <c r="PYI49" s="39"/>
      <c r="PYJ49" s="41"/>
      <c r="PYM49" s="32"/>
      <c r="PYO49" s="12"/>
      <c r="PYQ49" s="34"/>
      <c r="PYR49" s="39"/>
      <c r="PYS49" s="41"/>
      <c r="PYV49" s="32"/>
      <c r="PYX49" s="12"/>
      <c r="PYZ49" s="34"/>
      <c r="PZA49" s="39"/>
      <c r="PZB49" s="41"/>
      <c r="PZE49" s="32"/>
      <c r="PZG49" s="12"/>
      <c r="PZI49" s="34"/>
      <c r="PZJ49" s="39"/>
      <c r="PZK49" s="41"/>
      <c r="PZN49" s="32"/>
      <c r="PZP49" s="12"/>
      <c r="PZR49" s="34"/>
      <c r="PZS49" s="39"/>
      <c r="PZT49" s="41"/>
      <c r="PZW49" s="32"/>
      <c r="PZY49" s="12"/>
      <c r="QAA49" s="34"/>
      <c r="QAB49" s="39"/>
      <c r="QAC49" s="41"/>
      <c r="QAF49" s="32"/>
      <c r="QAH49" s="12"/>
      <c r="QAJ49" s="34"/>
      <c r="QAK49" s="39"/>
      <c r="QAL49" s="41"/>
      <c r="QAO49" s="32"/>
      <c r="QAQ49" s="12"/>
      <c r="QAS49" s="34"/>
      <c r="QAT49" s="39"/>
      <c r="QAU49" s="41"/>
      <c r="QAX49" s="32"/>
      <c r="QAZ49" s="12"/>
      <c r="QBB49" s="34"/>
      <c r="QBC49" s="39"/>
      <c r="QBD49" s="41"/>
      <c r="QBG49" s="32"/>
      <c r="QBI49" s="12"/>
      <c r="QBK49" s="34"/>
      <c r="QBL49" s="39"/>
      <c r="QBM49" s="41"/>
      <c r="QBP49" s="32"/>
      <c r="QBR49" s="12"/>
      <c r="QBT49" s="34"/>
      <c r="QBU49" s="39"/>
      <c r="QBV49" s="41"/>
      <c r="QBY49" s="32"/>
      <c r="QCA49" s="12"/>
      <c r="QCC49" s="34"/>
      <c r="QCD49" s="39"/>
      <c r="QCE49" s="41"/>
      <c r="QCH49" s="32"/>
      <c r="QCJ49" s="12"/>
      <c r="QCL49" s="34"/>
      <c r="QCM49" s="39"/>
      <c r="QCN49" s="41"/>
      <c r="QCQ49" s="32"/>
      <c r="QCS49" s="12"/>
      <c r="QCU49" s="34"/>
      <c r="QCV49" s="39"/>
      <c r="QCW49" s="41"/>
      <c r="QCZ49" s="32"/>
      <c r="QDB49" s="12"/>
      <c r="QDD49" s="34"/>
      <c r="QDE49" s="39"/>
      <c r="QDF49" s="41"/>
      <c r="QDI49" s="32"/>
      <c r="QDK49" s="12"/>
      <c r="QDM49" s="34"/>
      <c r="QDN49" s="39"/>
      <c r="QDO49" s="41"/>
      <c r="QDR49" s="32"/>
      <c r="QDT49" s="12"/>
      <c r="QDV49" s="34"/>
      <c r="QDW49" s="39"/>
      <c r="QDX49" s="41"/>
      <c r="QEA49" s="32"/>
      <c r="QEC49" s="12"/>
      <c r="QEE49" s="34"/>
      <c r="QEF49" s="39"/>
      <c r="QEG49" s="41"/>
      <c r="QEJ49" s="32"/>
      <c r="QEL49" s="12"/>
      <c r="QEN49" s="34"/>
      <c r="QEO49" s="39"/>
      <c r="QEP49" s="41"/>
      <c r="QES49" s="32"/>
      <c r="QEU49" s="12"/>
      <c r="QEW49" s="34"/>
      <c r="QEX49" s="39"/>
      <c r="QEY49" s="41"/>
      <c r="QFB49" s="32"/>
      <c r="QFD49" s="12"/>
      <c r="QFF49" s="34"/>
      <c r="QFG49" s="39"/>
      <c r="QFH49" s="41"/>
      <c r="QFK49" s="32"/>
      <c r="QFM49" s="12"/>
      <c r="QFO49" s="34"/>
      <c r="QFP49" s="39"/>
      <c r="QFQ49" s="41"/>
      <c r="QFT49" s="32"/>
      <c r="QFV49" s="12"/>
      <c r="QFX49" s="34"/>
      <c r="QFY49" s="39"/>
      <c r="QFZ49" s="41"/>
      <c r="QGC49" s="32"/>
      <c r="QGE49" s="12"/>
      <c r="QGG49" s="34"/>
      <c r="QGH49" s="39"/>
      <c r="QGI49" s="41"/>
      <c r="QGL49" s="32"/>
      <c r="QGN49" s="12"/>
      <c r="QGP49" s="34"/>
      <c r="QGQ49" s="39"/>
      <c r="QGR49" s="41"/>
      <c r="QGU49" s="32"/>
      <c r="QGW49" s="12"/>
      <c r="QGY49" s="34"/>
      <c r="QGZ49" s="39"/>
      <c r="QHA49" s="41"/>
      <c r="QHD49" s="32"/>
      <c r="QHF49" s="12"/>
      <c r="QHH49" s="34"/>
      <c r="QHI49" s="39"/>
      <c r="QHJ49" s="41"/>
      <c r="QHM49" s="32"/>
      <c r="QHO49" s="12"/>
      <c r="QHQ49" s="34"/>
      <c r="QHR49" s="39"/>
      <c r="QHS49" s="41"/>
      <c r="QHV49" s="32"/>
      <c r="QHX49" s="12"/>
      <c r="QHZ49" s="34"/>
      <c r="QIA49" s="39"/>
      <c r="QIB49" s="41"/>
      <c r="QIE49" s="32"/>
      <c r="QIG49" s="12"/>
      <c r="QII49" s="34"/>
      <c r="QIJ49" s="39"/>
      <c r="QIK49" s="41"/>
      <c r="QIN49" s="32"/>
      <c r="QIP49" s="12"/>
      <c r="QIR49" s="34"/>
      <c r="QIS49" s="39"/>
      <c r="QIT49" s="41"/>
      <c r="QIW49" s="32"/>
      <c r="QIY49" s="12"/>
      <c r="QJA49" s="34"/>
      <c r="QJB49" s="39"/>
      <c r="QJC49" s="41"/>
      <c r="QJF49" s="32"/>
      <c r="QJH49" s="12"/>
      <c r="QJJ49" s="34"/>
      <c r="QJK49" s="39"/>
      <c r="QJL49" s="41"/>
      <c r="QJO49" s="32"/>
      <c r="QJQ49" s="12"/>
      <c r="QJS49" s="34"/>
      <c r="QJT49" s="39"/>
      <c r="QJU49" s="41"/>
      <c r="QJX49" s="32"/>
      <c r="QJZ49" s="12"/>
      <c r="QKB49" s="34"/>
      <c r="QKC49" s="39"/>
      <c r="QKD49" s="41"/>
      <c r="QKG49" s="32"/>
      <c r="QKI49" s="12"/>
      <c r="QKK49" s="34"/>
      <c r="QKL49" s="39"/>
      <c r="QKM49" s="41"/>
      <c r="QKP49" s="32"/>
      <c r="QKR49" s="12"/>
      <c r="QKT49" s="34"/>
      <c r="QKU49" s="39"/>
      <c r="QKV49" s="41"/>
      <c r="QKY49" s="32"/>
      <c r="QLA49" s="12"/>
      <c r="QLC49" s="34"/>
      <c r="QLD49" s="39"/>
      <c r="QLE49" s="41"/>
      <c r="QLH49" s="32"/>
      <c r="QLJ49" s="12"/>
      <c r="QLL49" s="34"/>
      <c r="QLM49" s="39"/>
      <c r="QLN49" s="41"/>
      <c r="QLQ49" s="32"/>
      <c r="QLS49" s="12"/>
      <c r="QLU49" s="34"/>
      <c r="QLV49" s="39"/>
      <c r="QLW49" s="41"/>
      <c r="QLZ49" s="32"/>
      <c r="QMB49" s="12"/>
      <c r="QMD49" s="34"/>
      <c r="QME49" s="39"/>
      <c r="QMF49" s="41"/>
      <c r="QMI49" s="32"/>
      <c r="QMK49" s="12"/>
      <c r="QMM49" s="34"/>
      <c r="QMN49" s="39"/>
      <c r="QMO49" s="41"/>
      <c r="QMR49" s="32"/>
      <c r="QMT49" s="12"/>
      <c r="QMV49" s="34"/>
      <c r="QMW49" s="39"/>
      <c r="QMX49" s="41"/>
      <c r="QNA49" s="32"/>
      <c r="QNC49" s="12"/>
      <c r="QNE49" s="34"/>
      <c r="QNF49" s="39"/>
      <c r="QNG49" s="41"/>
      <c r="QNJ49" s="32"/>
      <c r="QNL49" s="12"/>
      <c r="QNN49" s="34"/>
      <c r="QNO49" s="39"/>
      <c r="QNP49" s="41"/>
      <c r="QNS49" s="32"/>
      <c r="QNU49" s="12"/>
      <c r="QNW49" s="34"/>
      <c r="QNX49" s="39"/>
      <c r="QNY49" s="41"/>
      <c r="QOB49" s="32"/>
      <c r="QOD49" s="12"/>
      <c r="QOF49" s="34"/>
      <c r="QOG49" s="39"/>
      <c r="QOH49" s="41"/>
      <c r="QOK49" s="32"/>
      <c r="QOM49" s="12"/>
      <c r="QOO49" s="34"/>
      <c r="QOP49" s="39"/>
      <c r="QOQ49" s="41"/>
      <c r="QOT49" s="32"/>
      <c r="QOV49" s="12"/>
      <c r="QOX49" s="34"/>
      <c r="QOY49" s="39"/>
      <c r="QOZ49" s="41"/>
      <c r="QPC49" s="32"/>
      <c r="QPE49" s="12"/>
      <c r="QPG49" s="34"/>
      <c r="QPH49" s="39"/>
      <c r="QPI49" s="41"/>
      <c r="QPL49" s="32"/>
      <c r="QPN49" s="12"/>
      <c r="QPP49" s="34"/>
      <c r="QPQ49" s="39"/>
      <c r="QPR49" s="41"/>
      <c r="QPU49" s="32"/>
      <c r="QPW49" s="12"/>
      <c r="QPY49" s="34"/>
      <c r="QPZ49" s="39"/>
      <c r="QQA49" s="41"/>
      <c r="QQD49" s="32"/>
      <c r="QQF49" s="12"/>
      <c r="QQH49" s="34"/>
      <c r="QQI49" s="39"/>
      <c r="QQJ49" s="41"/>
      <c r="QQM49" s="32"/>
      <c r="QQO49" s="12"/>
      <c r="QQQ49" s="34"/>
      <c r="QQR49" s="39"/>
      <c r="QQS49" s="41"/>
      <c r="QQV49" s="32"/>
      <c r="QQX49" s="12"/>
      <c r="QQZ49" s="34"/>
      <c r="QRA49" s="39"/>
      <c r="QRB49" s="41"/>
      <c r="QRE49" s="32"/>
      <c r="QRG49" s="12"/>
      <c r="QRI49" s="34"/>
      <c r="QRJ49" s="39"/>
      <c r="QRK49" s="41"/>
      <c r="QRN49" s="32"/>
      <c r="QRP49" s="12"/>
      <c r="QRR49" s="34"/>
      <c r="QRS49" s="39"/>
      <c r="QRT49" s="41"/>
      <c r="QRW49" s="32"/>
      <c r="QRY49" s="12"/>
      <c r="QSA49" s="34"/>
      <c r="QSB49" s="39"/>
      <c r="QSC49" s="41"/>
      <c r="QSF49" s="32"/>
      <c r="QSH49" s="12"/>
      <c r="QSJ49" s="34"/>
      <c r="QSK49" s="39"/>
      <c r="QSL49" s="41"/>
      <c r="QSO49" s="32"/>
      <c r="QSQ49" s="12"/>
      <c r="QSS49" s="34"/>
      <c r="QST49" s="39"/>
      <c r="QSU49" s="41"/>
      <c r="QSX49" s="32"/>
      <c r="QSZ49" s="12"/>
      <c r="QTB49" s="34"/>
      <c r="QTC49" s="39"/>
      <c r="QTD49" s="41"/>
      <c r="QTG49" s="32"/>
      <c r="QTI49" s="12"/>
      <c r="QTK49" s="34"/>
      <c r="QTL49" s="39"/>
      <c r="QTM49" s="41"/>
      <c r="QTP49" s="32"/>
      <c r="QTR49" s="12"/>
      <c r="QTT49" s="34"/>
      <c r="QTU49" s="39"/>
      <c r="QTV49" s="41"/>
      <c r="QTY49" s="32"/>
      <c r="QUA49" s="12"/>
      <c r="QUC49" s="34"/>
      <c r="QUD49" s="39"/>
      <c r="QUE49" s="41"/>
      <c r="QUH49" s="32"/>
      <c r="QUJ49" s="12"/>
      <c r="QUL49" s="34"/>
      <c r="QUM49" s="39"/>
      <c r="QUN49" s="41"/>
      <c r="QUQ49" s="32"/>
      <c r="QUS49" s="12"/>
      <c r="QUU49" s="34"/>
      <c r="QUV49" s="39"/>
      <c r="QUW49" s="41"/>
      <c r="QUZ49" s="32"/>
      <c r="QVB49" s="12"/>
      <c r="QVD49" s="34"/>
      <c r="QVE49" s="39"/>
      <c r="QVF49" s="41"/>
      <c r="QVI49" s="32"/>
      <c r="QVK49" s="12"/>
      <c r="QVM49" s="34"/>
      <c r="QVN49" s="39"/>
      <c r="QVO49" s="41"/>
      <c r="QVR49" s="32"/>
      <c r="QVT49" s="12"/>
      <c r="QVV49" s="34"/>
      <c r="QVW49" s="39"/>
      <c r="QVX49" s="41"/>
      <c r="QWA49" s="32"/>
      <c r="QWC49" s="12"/>
      <c r="QWE49" s="34"/>
      <c r="QWF49" s="39"/>
      <c r="QWG49" s="41"/>
      <c r="QWJ49" s="32"/>
      <c r="QWL49" s="12"/>
      <c r="QWN49" s="34"/>
      <c r="QWO49" s="39"/>
      <c r="QWP49" s="41"/>
      <c r="QWS49" s="32"/>
      <c r="QWU49" s="12"/>
      <c r="QWW49" s="34"/>
      <c r="QWX49" s="39"/>
      <c r="QWY49" s="41"/>
      <c r="QXB49" s="32"/>
      <c r="QXD49" s="12"/>
      <c r="QXF49" s="34"/>
      <c r="QXG49" s="39"/>
      <c r="QXH49" s="41"/>
      <c r="QXK49" s="32"/>
      <c r="QXM49" s="12"/>
      <c r="QXO49" s="34"/>
      <c r="QXP49" s="39"/>
      <c r="QXQ49" s="41"/>
      <c r="QXT49" s="32"/>
      <c r="QXV49" s="12"/>
      <c r="QXX49" s="34"/>
      <c r="QXY49" s="39"/>
      <c r="QXZ49" s="41"/>
      <c r="QYC49" s="32"/>
      <c r="QYE49" s="12"/>
      <c r="QYG49" s="34"/>
      <c r="QYH49" s="39"/>
      <c r="QYI49" s="41"/>
      <c r="QYL49" s="32"/>
      <c r="QYN49" s="12"/>
      <c r="QYP49" s="34"/>
      <c r="QYQ49" s="39"/>
      <c r="QYR49" s="41"/>
      <c r="QYU49" s="32"/>
      <c r="QYW49" s="12"/>
      <c r="QYY49" s="34"/>
      <c r="QYZ49" s="39"/>
      <c r="QZA49" s="41"/>
      <c r="QZD49" s="32"/>
      <c r="QZF49" s="12"/>
      <c r="QZH49" s="34"/>
      <c r="QZI49" s="39"/>
      <c r="QZJ49" s="41"/>
      <c r="QZM49" s="32"/>
      <c r="QZO49" s="12"/>
      <c r="QZQ49" s="34"/>
      <c r="QZR49" s="39"/>
      <c r="QZS49" s="41"/>
      <c r="QZV49" s="32"/>
      <c r="QZX49" s="12"/>
      <c r="QZZ49" s="34"/>
      <c r="RAA49" s="39"/>
      <c r="RAB49" s="41"/>
      <c r="RAE49" s="32"/>
      <c r="RAG49" s="12"/>
      <c r="RAI49" s="34"/>
      <c r="RAJ49" s="39"/>
      <c r="RAK49" s="41"/>
      <c r="RAN49" s="32"/>
      <c r="RAP49" s="12"/>
      <c r="RAR49" s="34"/>
      <c r="RAS49" s="39"/>
      <c r="RAT49" s="41"/>
      <c r="RAW49" s="32"/>
      <c r="RAY49" s="12"/>
      <c r="RBA49" s="34"/>
      <c r="RBB49" s="39"/>
      <c r="RBC49" s="41"/>
      <c r="RBF49" s="32"/>
      <c r="RBH49" s="12"/>
      <c r="RBJ49" s="34"/>
      <c r="RBK49" s="39"/>
      <c r="RBL49" s="41"/>
      <c r="RBO49" s="32"/>
      <c r="RBQ49" s="12"/>
      <c r="RBS49" s="34"/>
      <c r="RBT49" s="39"/>
      <c r="RBU49" s="41"/>
      <c r="RBX49" s="32"/>
      <c r="RBZ49" s="12"/>
      <c r="RCB49" s="34"/>
      <c r="RCC49" s="39"/>
      <c r="RCD49" s="41"/>
      <c r="RCG49" s="32"/>
      <c r="RCI49" s="12"/>
      <c r="RCK49" s="34"/>
      <c r="RCL49" s="39"/>
      <c r="RCM49" s="41"/>
      <c r="RCP49" s="32"/>
      <c r="RCR49" s="12"/>
      <c r="RCT49" s="34"/>
      <c r="RCU49" s="39"/>
      <c r="RCV49" s="41"/>
      <c r="RCY49" s="32"/>
      <c r="RDA49" s="12"/>
      <c r="RDC49" s="34"/>
      <c r="RDD49" s="39"/>
      <c r="RDE49" s="41"/>
      <c r="RDH49" s="32"/>
      <c r="RDJ49" s="12"/>
      <c r="RDL49" s="34"/>
      <c r="RDM49" s="39"/>
      <c r="RDN49" s="41"/>
      <c r="RDQ49" s="32"/>
      <c r="RDS49" s="12"/>
      <c r="RDU49" s="34"/>
      <c r="RDV49" s="39"/>
      <c r="RDW49" s="41"/>
      <c r="RDZ49" s="32"/>
      <c r="REB49" s="12"/>
      <c r="RED49" s="34"/>
      <c r="REE49" s="39"/>
      <c r="REF49" s="41"/>
      <c r="REI49" s="32"/>
      <c r="REK49" s="12"/>
      <c r="REM49" s="34"/>
      <c r="REN49" s="39"/>
      <c r="REO49" s="41"/>
      <c r="RER49" s="32"/>
      <c r="RET49" s="12"/>
      <c r="REV49" s="34"/>
      <c r="REW49" s="39"/>
      <c r="REX49" s="41"/>
      <c r="RFA49" s="32"/>
      <c r="RFC49" s="12"/>
      <c r="RFE49" s="34"/>
      <c r="RFF49" s="39"/>
      <c r="RFG49" s="41"/>
      <c r="RFJ49" s="32"/>
      <c r="RFL49" s="12"/>
      <c r="RFN49" s="34"/>
      <c r="RFO49" s="39"/>
      <c r="RFP49" s="41"/>
      <c r="RFS49" s="32"/>
      <c r="RFU49" s="12"/>
      <c r="RFW49" s="34"/>
      <c r="RFX49" s="39"/>
      <c r="RFY49" s="41"/>
      <c r="RGB49" s="32"/>
      <c r="RGD49" s="12"/>
      <c r="RGF49" s="34"/>
      <c r="RGG49" s="39"/>
      <c r="RGH49" s="41"/>
      <c r="RGK49" s="32"/>
      <c r="RGM49" s="12"/>
      <c r="RGO49" s="34"/>
      <c r="RGP49" s="39"/>
      <c r="RGQ49" s="41"/>
      <c r="RGT49" s="32"/>
      <c r="RGV49" s="12"/>
      <c r="RGX49" s="34"/>
      <c r="RGY49" s="39"/>
      <c r="RGZ49" s="41"/>
      <c r="RHC49" s="32"/>
      <c r="RHE49" s="12"/>
      <c r="RHG49" s="34"/>
      <c r="RHH49" s="39"/>
      <c r="RHI49" s="41"/>
      <c r="RHL49" s="32"/>
      <c r="RHN49" s="12"/>
      <c r="RHP49" s="34"/>
      <c r="RHQ49" s="39"/>
      <c r="RHR49" s="41"/>
      <c r="RHU49" s="32"/>
      <c r="RHW49" s="12"/>
      <c r="RHY49" s="34"/>
      <c r="RHZ49" s="39"/>
      <c r="RIA49" s="41"/>
      <c r="RID49" s="32"/>
      <c r="RIF49" s="12"/>
      <c r="RIH49" s="34"/>
      <c r="RII49" s="39"/>
      <c r="RIJ49" s="41"/>
      <c r="RIM49" s="32"/>
      <c r="RIO49" s="12"/>
      <c r="RIQ49" s="34"/>
      <c r="RIR49" s="39"/>
      <c r="RIS49" s="41"/>
      <c r="RIV49" s="32"/>
      <c r="RIX49" s="12"/>
      <c r="RIZ49" s="34"/>
      <c r="RJA49" s="39"/>
      <c r="RJB49" s="41"/>
      <c r="RJE49" s="32"/>
      <c r="RJG49" s="12"/>
      <c r="RJI49" s="34"/>
      <c r="RJJ49" s="39"/>
      <c r="RJK49" s="41"/>
      <c r="RJN49" s="32"/>
      <c r="RJP49" s="12"/>
      <c r="RJR49" s="34"/>
      <c r="RJS49" s="39"/>
      <c r="RJT49" s="41"/>
      <c r="RJW49" s="32"/>
      <c r="RJY49" s="12"/>
      <c r="RKA49" s="34"/>
      <c r="RKB49" s="39"/>
      <c r="RKC49" s="41"/>
      <c r="RKF49" s="32"/>
      <c r="RKH49" s="12"/>
      <c r="RKJ49" s="34"/>
      <c r="RKK49" s="39"/>
      <c r="RKL49" s="41"/>
      <c r="RKO49" s="32"/>
      <c r="RKQ49" s="12"/>
      <c r="RKS49" s="34"/>
      <c r="RKT49" s="39"/>
      <c r="RKU49" s="41"/>
      <c r="RKX49" s="32"/>
      <c r="RKZ49" s="12"/>
      <c r="RLB49" s="34"/>
      <c r="RLC49" s="39"/>
      <c r="RLD49" s="41"/>
      <c r="RLG49" s="32"/>
      <c r="RLI49" s="12"/>
      <c r="RLK49" s="34"/>
      <c r="RLL49" s="39"/>
      <c r="RLM49" s="41"/>
      <c r="RLP49" s="32"/>
      <c r="RLR49" s="12"/>
      <c r="RLT49" s="34"/>
      <c r="RLU49" s="39"/>
      <c r="RLV49" s="41"/>
      <c r="RLY49" s="32"/>
      <c r="RMA49" s="12"/>
      <c r="RMC49" s="34"/>
      <c r="RMD49" s="39"/>
      <c r="RME49" s="41"/>
      <c r="RMH49" s="32"/>
      <c r="RMJ49" s="12"/>
      <c r="RML49" s="34"/>
      <c r="RMM49" s="39"/>
      <c r="RMN49" s="41"/>
      <c r="RMQ49" s="32"/>
      <c r="RMS49" s="12"/>
      <c r="RMU49" s="34"/>
      <c r="RMV49" s="39"/>
      <c r="RMW49" s="41"/>
      <c r="RMZ49" s="32"/>
      <c r="RNB49" s="12"/>
      <c r="RND49" s="34"/>
      <c r="RNE49" s="39"/>
      <c r="RNF49" s="41"/>
      <c r="RNI49" s="32"/>
      <c r="RNK49" s="12"/>
      <c r="RNM49" s="34"/>
      <c r="RNN49" s="39"/>
      <c r="RNO49" s="41"/>
      <c r="RNR49" s="32"/>
      <c r="RNT49" s="12"/>
      <c r="RNV49" s="34"/>
      <c r="RNW49" s="39"/>
      <c r="RNX49" s="41"/>
      <c r="ROA49" s="32"/>
      <c r="ROC49" s="12"/>
      <c r="ROE49" s="34"/>
      <c r="ROF49" s="39"/>
      <c r="ROG49" s="41"/>
      <c r="ROJ49" s="32"/>
      <c r="ROL49" s="12"/>
      <c r="RON49" s="34"/>
      <c r="ROO49" s="39"/>
      <c r="ROP49" s="41"/>
      <c r="ROS49" s="32"/>
      <c r="ROU49" s="12"/>
      <c r="ROW49" s="34"/>
      <c r="ROX49" s="39"/>
      <c r="ROY49" s="41"/>
      <c r="RPB49" s="32"/>
      <c r="RPD49" s="12"/>
      <c r="RPF49" s="34"/>
      <c r="RPG49" s="39"/>
      <c r="RPH49" s="41"/>
      <c r="RPK49" s="32"/>
      <c r="RPM49" s="12"/>
      <c r="RPO49" s="34"/>
      <c r="RPP49" s="39"/>
      <c r="RPQ49" s="41"/>
      <c r="RPT49" s="32"/>
      <c r="RPV49" s="12"/>
      <c r="RPX49" s="34"/>
      <c r="RPY49" s="39"/>
      <c r="RPZ49" s="41"/>
      <c r="RQC49" s="32"/>
      <c r="RQE49" s="12"/>
      <c r="RQG49" s="34"/>
      <c r="RQH49" s="39"/>
      <c r="RQI49" s="41"/>
      <c r="RQL49" s="32"/>
      <c r="RQN49" s="12"/>
      <c r="RQP49" s="34"/>
      <c r="RQQ49" s="39"/>
      <c r="RQR49" s="41"/>
      <c r="RQU49" s="32"/>
      <c r="RQW49" s="12"/>
      <c r="RQY49" s="34"/>
      <c r="RQZ49" s="39"/>
      <c r="RRA49" s="41"/>
      <c r="RRD49" s="32"/>
      <c r="RRF49" s="12"/>
      <c r="RRH49" s="34"/>
      <c r="RRI49" s="39"/>
      <c r="RRJ49" s="41"/>
      <c r="RRM49" s="32"/>
      <c r="RRO49" s="12"/>
      <c r="RRQ49" s="34"/>
      <c r="RRR49" s="39"/>
      <c r="RRS49" s="41"/>
      <c r="RRV49" s="32"/>
      <c r="RRX49" s="12"/>
      <c r="RRZ49" s="34"/>
      <c r="RSA49" s="39"/>
      <c r="RSB49" s="41"/>
      <c r="RSE49" s="32"/>
      <c r="RSG49" s="12"/>
      <c r="RSI49" s="34"/>
      <c r="RSJ49" s="39"/>
      <c r="RSK49" s="41"/>
      <c r="RSN49" s="32"/>
      <c r="RSP49" s="12"/>
      <c r="RSR49" s="34"/>
      <c r="RSS49" s="39"/>
      <c r="RST49" s="41"/>
      <c r="RSW49" s="32"/>
      <c r="RSY49" s="12"/>
      <c r="RTA49" s="34"/>
      <c r="RTB49" s="39"/>
      <c r="RTC49" s="41"/>
      <c r="RTF49" s="32"/>
      <c r="RTH49" s="12"/>
      <c r="RTJ49" s="34"/>
      <c r="RTK49" s="39"/>
      <c r="RTL49" s="41"/>
      <c r="RTO49" s="32"/>
      <c r="RTQ49" s="12"/>
      <c r="RTS49" s="34"/>
      <c r="RTT49" s="39"/>
      <c r="RTU49" s="41"/>
      <c r="RTX49" s="32"/>
      <c r="RTZ49" s="12"/>
      <c r="RUB49" s="34"/>
      <c r="RUC49" s="39"/>
      <c r="RUD49" s="41"/>
      <c r="RUG49" s="32"/>
      <c r="RUI49" s="12"/>
      <c r="RUK49" s="34"/>
      <c r="RUL49" s="39"/>
      <c r="RUM49" s="41"/>
      <c r="RUP49" s="32"/>
      <c r="RUR49" s="12"/>
      <c r="RUT49" s="34"/>
      <c r="RUU49" s="39"/>
      <c r="RUV49" s="41"/>
      <c r="RUY49" s="32"/>
      <c r="RVA49" s="12"/>
      <c r="RVC49" s="34"/>
      <c r="RVD49" s="39"/>
      <c r="RVE49" s="41"/>
      <c r="RVH49" s="32"/>
      <c r="RVJ49" s="12"/>
      <c r="RVL49" s="34"/>
      <c r="RVM49" s="39"/>
      <c r="RVN49" s="41"/>
      <c r="RVQ49" s="32"/>
      <c r="RVS49" s="12"/>
      <c r="RVU49" s="34"/>
      <c r="RVV49" s="39"/>
      <c r="RVW49" s="41"/>
      <c r="RVZ49" s="32"/>
      <c r="RWB49" s="12"/>
      <c r="RWD49" s="34"/>
      <c r="RWE49" s="39"/>
      <c r="RWF49" s="41"/>
      <c r="RWI49" s="32"/>
      <c r="RWK49" s="12"/>
      <c r="RWM49" s="34"/>
      <c r="RWN49" s="39"/>
      <c r="RWO49" s="41"/>
      <c r="RWR49" s="32"/>
      <c r="RWT49" s="12"/>
      <c r="RWV49" s="34"/>
      <c r="RWW49" s="39"/>
      <c r="RWX49" s="41"/>
      <c r="RXA49" s="32"/>
      <c r="RXC49" s="12"/>
      <c r="RXE49" s="34"/>
      <c r="RXF49" s="39"/>
      <c r="RXG49" s="41"/>
      <c r="RXJ49" s="32"/>
      <c r="RXL49" s="12"/>
      <c r="RXN49" s="34"/>
      <c r="RXO49" s="39"/>
      <c r="RXP49" s="41"/>
      <c r="RXS49" s="32"/>
      <c r="RXU49" s="12"/>
      <c r="RXW49" s="34"/>
      <c r="RXX49" s="39"/>
      <c r="RXY49" s="41"/>
      <c r="RYB49" s="32"/>
      <c r="RYD49" s="12"/>
      <c r="RYF49" s="34"/>
      <c r="RYG49" s="39"/>
      <c r="RYH49" s="41"/>
      <c r="RYK49" s="32"/>
      <c r="RYM49" s="12"/>
      <c r="RYO49" s="34"/>
      <c r="RYP49" s="39"/>
      <c r="RYQ49" s="41"/>
      <c r="RYT49" s="32"/>
      <c r="RYV49" s="12"/>
      <c r="RYX49" s="34"/>
      <c r="RYY49" s="39"/>
      <c r="RYZ49" s="41"/>
      <c r="RZC49" s="32"/>
      <c r="RZE49" s="12"/>
      <c r="RZG49" s="34"/>
      <c r="RZH49" s="39"/>
      <c r="RZI49" s="41"/>
      <c r="RZL49" s="32"/>
      <c r="RZN49" s="12"/>
      <c r="RZP49" s="34"/>
      <c r="RZQ49" s="39"/>
      <c r="RZR49" s="41"/>
      <c r="RZU49" s="32"/>
      <c r="RZW49" s="12"/>
      <c r="RZY49" s="34"/>
      <c r="RZZ49" s="39"/>
      <c r="SAA49" s="41"/>
      <c r="SAD49" s="32"/>
      <c r="SAF49" s="12"/>
      <c r="SAH49" s="34"/>
      <c r="SAI49" s="39"/>
      <c r="SAJ49" s="41"/>
      <c r="SAM49" s="32"/>
      <c r="SAO49" s="12"/>
      <c r="SAQ49" s="34"/>
      <c r="SAR49" s="39"/>
      <c r="SAS49" s="41"/>
      <c r="SAV49" s="32"/>
      <c r="SAX49" s="12"/>
      <c r="SAZ49" s="34"/>
      <c r="SBA49" s="39"/>
      <c r="SBB49" s="41"/>
      <c r="SBE49" s="32"/>
      <c r="SBG49" s="12"/>
      <c r="SBI49" s="34"/>
      <c r="SBJ49" s="39"/>
      <c r="SBK49" s="41"/>
      <c r="SBN49" s="32"/>
      <c r="SBP49" s="12"/>
      <c r="SBR49" s="34"/>
      <c r="SBS49" s="39"/>
      <c r="SBT49" s="41"/>
      <c r="SBW49" s="32"/>
      <c r="SBY49" s="12"/>
      <c r="SCA49" s="34"/>
      <c r="SCB49" s="39"/>
      <c r="SCC49" s="41"/>
      <c r="SCF49" s="32"/>
      <c r="SCH49" s="12"/>
      <c r="SCJ49" s="34"/>
      <c r="SCK49" s="39"/>
      <c r="SCL49" s="41"/>
      <c r="SCO49" s="32"/>
      <c r="SCQ49" s="12"/>
      <c r="SCS49" s="34"/>
      <c r="SCT49" s="39"/>
      <c r="SCU49" s="41"/>
      <c r="SCX49" s="32"/>
      <c r="SCZ49" s="12"/>
      <c r="SDB49" s="34"/>
      <c r="SDC49" s="39"/>
      <c r="SDD49" s="41"/>
      <c r="SDG49" s="32"/>
      <c r="SDI49" s="12"/>
      <c r="SDK49" s="34"/>
      <c r="SDL49" s="39"/>
      <c r="SDM49" s="41"/>
      <c r="SDP49" s="32"/>
      <c r="SDR49" s="12"/>
      <c r="SDT49" s="34"/>
      <c r="SDU49" s="39"/>
      <c r="SDV49" s="41"/>
      <c r="SDY49" s="32"/>
      <c r="SEA49" s="12"/>
      <c r="SEC49" s="34"/>
      <c r="SED49" s="39"/>
      <c r="SEE49" s="41"/>
      <c r="SEH49" s="32"/>
      <c r="SEJ49" s="12"/>
      <c r="SEL49" s="34"/>
      <c r="SEM49" s="39"/>
      <c r="SEN49" s="41"/>
      <c r="SEQ49" s="32"/>
      <c r="SES49" s="12"/>
      <c r="SEU49" s="34"/>
      <c r="SEV49" s="39"/>
      <c r="SEW49" s="41"/>
      <c r="SEZ49" s="32"/>
      <c r="SFB49" s="12"/>
      <c r="SFD49" s="34"/>
      <c r="SFE49" s="39"/>
      <c r="SFF49" s="41"/>
      <c r="SFI49" s="32"/>
      <c r="SFK49" s="12"/>
      <c r="SFM49" s="34"/>
      <c r="SFN49" s="39"/>
      <c r="SFO49" s="41"/>
      <c r="SFR49" s="32"/>
      <c r="SFT49" s="12"/>
      <c r="SFV49" s="34"/>
      <c r="SFW49" s="39"/>
      <c r="SFX49" s="41"/>
      <c r="SGA49" s="32"/>
      <c r="SGC49" s="12"/>
      <c r="SGE49" s="34"/>
      <c r="SGF49" s="39"/>
      <c r="SGG49" s="41"/>
      <c r="SGJ49" s="32"/>
      <c r="SGL49" s="12"/>
      <c r="SGN49" s="34"/>
      <c r="SGO49" s="39"/>
      <c r="SGP49" s="41"/>
      <c r="SGS49" s="32"/>
      <c r="SGU49" s="12"/>
      <c r="SGW49" s="34"/>
      <c r="SGX49" s="39"/>
      <c r="SGY49" s="41"/>
      <c r="SHB49" s="32"/>
      <c r="SHD49" s="12"/>
      <c r="SHF49" s="34"/>
      <c r="SHG49" s="39"/>
      <c r="SHH49" s="41"/>
      <c r="SHK49" s="32"/>
      <c r="SHM49" s="12"/>
      <c r="SHO49" s="34"/>
      <c r="SHP49" s="39"/>
      <c r="SHQ49" s="41"/>
      <c r="SHT49" s="32"/>
      <c r="SHV49" s="12"/>
      <c r="SHX49" s="34"/>
      <c r="SHY49" s="39"/>
      <c r="SHZ49" s="41"/>
      <c r="SIC49" s="32"/>
      <c r="SIE49" s="12"/>
      <c r="SIG49" s="34"/>
      <c r="SIH49" s="39"/>
      <c r="SII49" s="41"/>
      <c r="SIL49" s="32"/>
      <c r="SIN49" s="12"/>
      <c r="SIP49" s="34"/>
      <c r="SIQ49" s="39"/>
      <c r="SIR49" s="41"/>
      <c r="SIU49" s="32"/>
      <c r="SIW49" s="12"/>
      <c r="SIY49" s="34"/>
      <c r="SIZ49" s="39"/>
      <c r="SJA49" s="41"/>
      <c r="SJD49" s="32"/>
      <c r="SJF49" s="12"/>
      <c r="SJH49" s="34"/>
      <c r="SJI49" s="39"/>
      <c r="SJJ49" s="41"/>
      <c r="SJM49" s="32"/>
      <c r="SJO49" s="12"/>
      <c r="SJQ49" s="34"/>
      <c r="SJR49" s="39"/>
      <c r="SJS49" s="41"/>
      <c r="SJV49" s="32"/>
      <c r="SJX49" s="12"/>
      <c r="SJZ49" s="34"/>
      <c r="SKA49" s="39"/>
      <c r="SKB49" s="41"/>
      <c r="SKE49" s="32"/>
      <c r="SKG49" s="12"/>
      <c r="SKI49" s="34"/>
      <c r="SKJ49" s="39"/>
      <c r="SKK49" s="41"/>
      <c r="SKN49" s="32"/>
      <c r="SKP49" s="12"/>
      <c r="SKR49" s="34"/>
      <c r="SKS49" s="39"/>
      <c r="SKT49" s="41"/>
      <c r="SKW49" s="32"/>
      <c r="SKY49" s="12"/>
      <c r="SLA49" s="34"/>
      <c r="SLB49" s="39"/>
      <c r="SLC49" s="41"/>
      <c r="SLF49" s="32"/>
      <c r="SLH49" s="12"/>
      <c r="SLJ49" s="34"/>
      <c r="SLK49" s="39"/>
      <c r="SLL49" s="41"/>
      <c r="SLO49" s="32"/>
      <c r="SLQ49" s="12"/>
      <c r="SLS49" s="34"/>
      <c r="SLT49" s="39"/>
      <c r="SLU49" s="41"/>
      <c r="SLX49" s="32"/>
      <c r="SLZ49" s="12"/>
      <c r="SMB49" s="34"/>
      <c r="SMC49" s="39"/>
      <c r="SMD49" s="41"/>
      <c r="SMG49" s="32"/>
      <c r="SMI49" s="12"/>
      <c r="SMK49" s="34"/>
      <c r="SML49" s="39"/>
      <c r="SMM49" s="41"/>
      <c r="SMP49" s="32"/>
      <c r="SMR49" s="12"/>
      <c r="SMT49" s="34"/>
      <c r="SMU49" s="39"/>
      <c r="SMV49" s="41"/>
      <c r="SMY49" s="32"/>
      <c r="SNA49" s="12"/>
      <c r="SNC49" s="34"/>
      <c r="SND49" s="39"/>
      <c r="SNE49" s="41"/>
      <c r="SNH49" s="32"/>
      <c r="SNJ49" s="12"/>
      <c r="SNL49" s="34"/>
      <c r="SNM49" s="39"/>
      <c r="SNN49" s="41"/>
      <c r="SNQ49" s="32"/>
      <c r="SNS49" s="12"/>
      <c r="SNU49" s="34"/>
      <c r="SNV49" s="39"/>
      <c r="SNW49" s="41"/>
      <c r="SNZ49" s="32"/>
      <c r="SOB49" s="12"/>
      <c r="SOD49" s="34"/>
      <c r="SOE49" s="39"/>
      <c r="SOF49" s="41"/>
      <c r="SOI49" s="32"/>
      <c r="SOK49" s="12"/>
      <c r="SOM49" s="34"/>
      <c r="SON49" s="39"/>
      <c r="SOO49" s="41"/>
      <c r="SOR49" s="32"/>
      <c r="SOT49" s="12"/>
      <c r="SOV49" s="34"/>
      <c r="SOW49" s="39"/>
      <c r="SOX49" s="41"/>
      <c r="SPA49" s="32"/>
      <c r="SPC49" s="12"/>
      <c r="SPE49" s="34"/>
      <c r="SPF49" s="39"/>
      <c r="SPG49" s="41"/>
      <c r="SPJ49" s="32"/>
      <c r="SPL49" s="12"/>
      <c r="SPN49" s="34"/>
      <c r="SPO49" s="39"/>
      <c r="SPP49" s="41"/>
      <c r="SPS49" s="32"/>
      <c r="SPU49" s="12"/>
      <c r="SPW49" s="34"/>
      <c r="SPX49" s="39"/>
      <c r="SPY49" s="41"/>
      <c r="SQB49" s="32"/>
      <c r="SQD49" s="12"/>
      <c r="SQF49" s="34"/>
      <c r="SQG49" s="39"/>
      <c r="SQH49" s="41"/>
      <c r="SQK49" s="32"/>
      <c r="SQM49" s="12"/>
      <c r="SQO49" s="34"/>
      <c r="SQP49" s="39"/>
      <c r="SQQ49" s="41"/>
      <c r="SQT49" s="32"/>
      <c r="SQV49" s="12"/>
      <c r="SQX49" s="34"/>
      <c r="SQY49" s="39"/>
      <c r="SQZ49" s="41"/>
      <c r="SRC49" s="32"/>
      <c r="SRE49" s="12"/>
      <c r="SRG49" s="34"/>
      <c r="SRH49" s="39"/>
      <c r="SRI49" s="41"/>
      <c r="SRL49" s="32"/>
      <c r="SRN49" s="12"/>
      <c r="SRP49" s="34"/>
      <c r="SRQ49" s="39"/>
      <c r="SRR49" s="41"/>
      <c r="SRU49" s="32"/>
      <c r="SRW49" s="12"/>
      <c r="SRY49" s="34"/>
      <c r="SRZ49" s="39"/>
      <c r="SSA49" s="41"/>
      <c r="SSD49" s="32"/>
      <c r="SSF49" s="12"/>
      <c r="SSH49" s="34"/>
      <c r="SSI49" s="39"/>
      <c r="SSJ49" s="41"/>
      <c r="SSM49" s="32"/>
      <c r="SSO49" s="12"/>
      <c r="SSQ49" s="34"/>
      <c r="SSR49" s="39"/>
      <c r="SSS49" s="41"/>
      <c r="SSV49" s="32"/>
      <c r="SSX49" s="12"/>
      <c r="SSZ49" s="34"/>
      <c r="STA49" s="39"/>
      <c r="STB49" s="41"/>
      <c r="STE49" s="32"/>
      <c r="STG49" s="12"/>
      <c r="STI49" s="34"/>
      <c r="STJ49" s="39"/>
      <c r="STK49" s="41"/>
      <c r="STN49" s="32"/>
      <c r="STP49" s="12"/>
      <c r="STR49" s="34"/>
      <c r="STS49" s="39"/>
      <c r="STT49" s="41"/>
      <c r="STW49" s="32"/>
      <c r="STY49" s="12"/>
      <c r="SUA49" s="34"/>
      <c r="SUB49" s="39"/>
      <c r="SUC49" s="41"/>
      <c r="SUF49" s="32"/>
      <c r="SUH49" s="12"/>
      <c r="SUJ49" s="34"/>
      <c r="SUK49" s="39"/>
      <c r="SUL49" s="41"/>
      <c r="SUO49" s="32"/>
      <c r="SUQ49" s="12"/>
      <c r="SUS49" s="34"/>
      <c r="SUT49" s="39"/>
      <c r="SUU49" s="41"/>
      <c r="SUX49" s="32"/>
      <c r="SUZ49" s="12"/>
      <c r="SVB49" s="34"/>
      <c r="SVC49" s="39"/>
      <c r="SVD49" s="41"/>
      <c r="SVG49" s="32"/>
      <c r="SVI49" s="12"/>
      <c r="SVK49" s="34"/>
      <c r="SVL49" s="39"/>
      <c r="SVM49" s="41"/>
      <c r="SVP49" s="32"/>
      <c r="SVR49" s="12"/>
      <c r="SVT49" s="34"/>
      <c r="SVU49" s="39"/>
      <c r="SVV49" s="41"/>
      <c r="SVY49" s="32"/>
      <c r="SWA49" s="12"/>
      <c r="SWC49" s="34"/>
      <c r="SWD49" s="39"/>
      <c r="SWE49" s="41"/>
      <c r="SWH49" s="32"/>
      <c r="SWJ49" s="12"/>
      <c r="SWL49" s="34"/>
      <c r="SWM49" s="39"/>
      <c r="SWN49" s="41"/>
      <c r="SWQ49" s="32"/>
      <c r="SWS49" s="12"/>
      <c r="SWU49" s="34"/>
      <c r="SWV49" s="39"/>
      <c r="SWW49" s="41"/>
      <c r="SWZ49" s="32"/>
      <c r="SXB49" s="12"/>
      <c r="SXD49" s="34"/>
      <c r="SXE49" s="39"/>
      <c r="SXF49" s="41"/>
      <c r="SXI49" s="32"/>
      <c r="SXK49" s="12"/>
      <c r="SXM49" s="34"/>
      <c r="SXN49" s="39"/>
      <c r="SXO49" s="41"/>
      <c r="SXR49" s="32"/>
      <c r="SXT49" s="12"/>
      <c r="SXV49" s="34"/>
      <c r="SXW49" s="39"/>
      <c r="SXX49" s="41"/>
      <c r="SYA49" s="32"/>
      <c r="SYC49" s="12"/>
      <c r="SYE49" s="34"/>
      <c r="SYF49" s="39"/>
      <c r="SYG49" s="41"/>
      <c r="SYJ49" s="32"/>
      <c r="SYL49" s="12"/>
      <c r="SYN49" s="34"/>
      <c r="SYO49" s="39"/>
      <c r="SYP49" s="41"/>
      <c r="SYS49" s="32"/>
      <c r="SYU49" s="12"/>
      <c r="SYW49" s="34"/>
      <c r="SYX49" s="39"/>
      <c r="SYY49" s="41"/>
      <c r="SZB49" s="32"/>
      <c r="SZD49" s="12"/>
      <c r="SZF49" s="34"/>
      <c r="SZG49" s="39"/>
      <c r="SZH49" s="41"/>
      <c r="SZK49" s="32"/>
      <c r="SZM49" s="12"/>
      <c r="SZO49" s="34"/>
      <c r="SZP49" s="39"/>
      <c r="SZQ49" s="41"/>
      <c r="SZT49" s="32"/>
      <c r="SZV49" s="12"/>
      <c r="SZX49" s="34"/>
      <c r="SZY49" s="39"/>
      <c r="SZZ49" s="41"/>
      <c r="TAC49" s="32"/>
      <c r="TAE49" s="12"/>
      <c r="TAG49" s="34"/>
      <c r="TAH49" s="39"/>
      <c r="TAI49" s="41"/>
      <c r="TAL49" s="32"/>
      <c r="TAN49" s="12"/>
      <c r="TAP49" s="34"/>
      <c r="TAQ49" s="39"/>
      <c r="TAR49" s="41"/>
      <c r="TAU49" s="32"/>
      <c r="TAW49" s="12"/>
      <c r="TAY49" s="34"/>
      <c r="TAZ49" s="39"/>
      <c r="TBA49" s="41"/>
      <c r="TBD49" s="32"/>
      <c r="TBF49" s="12"/>
      <c r="TBH49" s="34"/>
      <c r="TBI49" s="39"/>
      <c r="TBJ49" s="41"/>
      <c r="TBM49" s="32"/>
      <c r="TBO49" s="12"/>
      <c r="TBQ49" s="34"/>
      <c r="TBR49" s="39"/>
      <c r="TBS49" s="41"/>
      <c r="TBV49" s="32"/>
      <c r="TBX49" s="12"/>
      <c r="TBZ49" s="34"/>
      <c r="TCA49" s="39"/>
      <c r="TCB49" s="41"/>
      <c r="TCE49" s="32"/>
      <c r="TCG49" s="12"/>
      <c r="TCI49" s="34"/>
      <c r="TCJ49" s="39"/>
      <c r="TCK49" s="41"/>
      <c r="TCN49" s="32"/>
      <c r="TCP49" s="12"/>
      <c r="TCR49" s="34"/>
      <c r="TCS49" s="39"/>
      <c r="TCT49" s="41"/>
      <c r="TCW49" s="32"/>
      <c r="TCY49" s="12"/>
      <c r="TDA49" s="34"/>
      <c r="TDB49" s="39"/>
      <c r="TDC49" s="41"/>
      <c r="TDF49" s="32"/>
      <c r="TDH49" s="12"/>
      <c r="TDJ49" s="34"/>
      <c r="TDK49" s="39"/>
      <c r="TDL49" s="41"/>
      <c r="TDO49" s="32"/>
      <c r="TDQ49" s="12"/>
      <c r="TDS49" s="34"/>
      <c r="TDT49" s="39"/>
      <c r="TDU49" s="41"/>
      <c r="TDX49" s="32"/>
      <c r="TDZ49" s="12"/>
      <c r="TEB49" s="34"/>
      <c r="TEC49" s="39"/>
      <c r="TED49" s="41"/>
      <c r="TEG49" s="32"/>
      <c r="TEI49" s="12"/>
      <c r="TEK49" s="34"/>
      <c r="TEL49" s="39"/>
      <c r="TEM49" s="41"/>
      <c r="TEP49" s="32"/>
      <c r="TER49" s="12"/>
      <c r="TET49" s="34"/>
      <c r="TEU49" s="39"/>
      <c r="TEV49" s="41"/>
      <c r="TEY49" s="32"/>
      <c r="TFA49" s="12"/>
      <c r="TFC49" s="34"/>
      <c r="TFD49" s="39"/>
      <c r="TFE49" s="41"/>
      <c r="TFH49" s="32"/>
      <c r="TFJ49" s="12"/>
      <c r="TFL49" s="34"/>
      <c r="TFM49" s="39"/>
      <c r="TFN49" s="41"/>
      <c r="TFQ49" s="32"/>
      <c r="TFS49" s="12"/>
      <c r="TFU49" s="34"/>
      <c r="TFV49" s="39"/>
      <c r="TFW49" s="41"/>
      <c r="TFZ49" s="32"/>
      <c r="TGB49" s="12"/>
      <c r="TGD49" s="34"/>
      <c r="TGE49" s="39"/>
      <c r="TGF49" s="41"/>
      <c r="TGI49" s="32"/>
      <c r="TGK49" s="12"/>
      <c r="TGM49" s="34"/>
      <c r="TGN49" s="39"/>
      <c r="TGO49" s="41"/>
      <c r="TGR49" s="32"/>
      <c r="TGT49" s="12"/>
      <c r="TGV49" s="34"/>
      <c r="TGW49" s="39"/>
      <c r="TGX49" s="41"/>
      <c r="THA49" s="32"/>
      <c r="THC49" s="12"/>
      <c r="THE49" s="34"/>
      <c r="THF49" s="39"/>
      <c r="THG49" s="41"/>
      <c r="THJ49" s="32"/>
      <c r="THL49" s="12"/>
      <c r="THN49" s="34"/>
      <c r="THO49" s="39"/>
      <c r="THP49" s="41"/>
      <c r="THS49" s="32"/>
      <c r="THU49" s="12"/>
      <c r="THW49" s="34"/>
      <c r="THX49" s="39"/>
      <c r="THY49" s="41"/>
      <c r="TIB49" s="32"/>
      <c r="TID49" s="12"/>
      <c r="TIF49" s="34"/>
      <c r="TIG49" s="39"/>
      <c r="TIH49" s="41"/>
      <c r="TIK49" s="32"/>
      <c r="TIM49" s="12"/>
      <c r="TIO49" s="34"/>
      <c r="TIP49" s="39"/>
      <c r="TIQ49" s="41"/>
      <c r="TIT49" s="32"/>
      <c r="TIV49" s="12"/>
      <c r="TIX49" s="34"/>
      <c r="TIY49" s="39"/>
      <c r="TIZ49" s="41"/>
      <c r="TJC49" s="32"/>
      <c r="TJE49" s="12"/>
      <c r="TJG49" s="34"/>
      <c r="TJH49" s="39"/>
      <c r="TJI49" s="41"/>
      <c r="TJL49" s="32"/>
      <c r="TJN49" s="12"/>
      <c r="TJP49" s="34"/>
      <c r="TJQ49" s="39"/>
      <c r="TJR49" s="41"/>
      <c r="TJU49" s="32"/>
      <c r="TJW49" s="12"/>
      <c r="TJY49" s="34"/>
      <c r="TJZ49" s="39"/>
      <c r="TKA49" s="41"/>
      <c r="TKD49" s="32"/>
      <c r="TKF49" s="12"/>
      <c r="TKH49" s="34"/>
      <c r="TKI49" s="39"/>
      <c r="TKJ49" s="41"/>
      <c r="TKM49" s="32"/>
      <c r="TKO49" s="12"/>
      <c r="TKQ49" s="34"/>
      <c r="TKR49" s="39"/>
      <c r="TKS49" s="41"/>
      <c r="TKV49" s="32"/>
      <c r="TKX49" s="12"/>
      <c r="TKZ49" s="34"/>
      <c r="TLA49" s="39"/>
      <c r="TLB49" s="41"/>
      <c r="TLE49" s="32"/>
      <c r="TLG49" s="12"/>
      <c r="TLI49" s="34"/>
      <c r="TLJ49" s="39"/>
      <c r="TLK49" s="41"/>
      <c r="TLN49" s="32"/>
      <c r="TLP49" s="12"/>
      <c r="TLR49" s="34"/>
      <c r="TLS49" s="39"/>
      <c r="TLT49" s="41"/>
      <c r="TLW49" s="32"/>
      <c r="TLY49" s="12"/>
      <c r="TMA49" s="34"/>
      <c r="TMB49" s="39"/>
      <c r="TMC49" s="41"/>
      <c r="TMF49" s="32"/>
      <c r="TMH49" s="12"/>
      <c r="TMJ49" s="34"/>
      <c r="TMK49" s="39"/>
      <c r="TML49" s="41"/>
      <c r="TMO49" s="32"/>
      <c r="TMQ49" s="12"/>
      <c r="TMS49" s="34"/>
      <c r="TMT49" s="39"/>
      <c r="TMU49" s="41"/>
      <c r="TMX49" s="32"/>
      <c r="TMZ49" s="12"/>
      <c r="TNB49" s="34"/>
      <c r="TNC49" s="39"/>
      <c r="TND49" s="41"/>
      <c r="TNG49" s="32"/>
      <c r="TNI49" s="12"/>
      <c r="TNK49" s="34"/>
      <c r="TNL49" s="39"/>
      <c r="TNM49" s="41"/>
      <c r="TNP49" s="32"/>
      <c r="TNR49" s="12"/>
      <c r="TNT49" s="34"/>
      <c r="TNU49" s="39"/>
      <c r="TNV49" s="41"/>
      <c r="TNY49" s="32"/>
      <c r="TOA49" s="12"/>
      <c r="TOC49" s="34"/>
      <c r="TOD49" s="39"/>
      <c r="TOE49" s="41"/>
      <c r="TOH49" s="32"/>
      <c r="TOJ49" s="12"/>
      <c r="TOL49" s="34"/>
      <c r="TOM49" s="39"/>
      <c r="TON49" s="41"/>
      <c r="TOQ49" s="32"/>
      <c r="TOS49" s="12"/>
      <c r="TOU49" s="34"/>
      <c r="TOV49" s="39"/>
      <c r="TOW49" s="41"/>
      <c r="TOZ49" s="32"/>
      <c r="TPB49" s="12"/>
      <c r="TPD49" s="34"/>
      <c r="TPE49" s="39"/>
      <c r="TPF49" s="41"/>
      <c r="TPI49" s="32"/>
      <c r="TPK49" s="12"/>
      <c r="TPM49" s="34"/>
      <c r="TPN49" s="39"/>
      <c r="TPO49" s="41"/>
      <c r="TPR49" s="32"/>
      <c r="TPT49" s="12"/>
      <c r="TPV49" s="34"/>
      <c r="TPW49" s="39"/>
      <c r="TPX49" s="41"/>
      <c r="TQA49" s="32"/>
      <c r="TQC49" s="12"/>
      <c r="TQE49" s="34"/>
      <c r="TQF49" s="39"/>
      <c r="TQG49" s="41"/>
      <c r="TQJ49" s="32"/>
      <c r="TQL49" s="12"/>
      <c r="TQN49" s="34"/>
      <c r="TQO49" s="39"/>
      <c r="TQP49" s="41"/>
      <c r="TQS49" s="32"/>
      <c r="TQU49" s="12"/>
      <c r="TQW49" s="34"/>
      <c r="TQX49" s="39"/>
      <c r="TQY49" s="41"/>
      <c r="TRB49" s="32"/>
      <c r="TRD49" s="12"/>
      <c r="TRF49" s="34"/>
      <c r="TRG49" s="39"/>
      <c r="TRH49" s="41"/>
      <c r="TRK49" s="32"/>
      <c r="TRM49" s="12"/>
      <c r="TRO49" s="34"/>
      <c r="TRP49" s="39"/>
      <c r="TRQ49" s="41"/>
      <c r="TRT49" s="32"/>
      <c r="TRV49" s="12"/>
      <c r="TRX49" s="34"/>
      <c r="TRY49" s="39"/>
      <c r="TRZ49" s="41"/>
      <c r="TSC49" s="32"/>
      <c r="TSE49" s="12"/>
      <c r="TSG49" s="34"/>
      <c r="TSH49" s="39"/>
      <c r="TSI49" s="41"/>
      <c r="TSL49" s="32"/>
      <c r="TSN49" s="12"/>
      <c r="TSP49" s="34"/>
      <c r="TSQ49" s="39"/>
      <c r="TSR49" s="41"/>
      <c r="TSU49" s="32"/>
      <c r="TSW49" s="12"/>
      <c r="TSY49" s="34"/>
      <c r="TSZ49" s="39"/>
      <c r="TTA49" s="41"/>
      <c r="TTD49" s="32"/>
      <c r="TTF49" s="12"/>
      <c r="TTH49" s="34"/>
      <c r="TTI49" s="39"/>
      <c r="TTJ49" s="41"/>
      <c r="TTM49" s="32"/>
      <c r="TTO49" s="12"/>
      <c r="TTQ49" s="34"/>
      <c r="TTR49" s="39"/>
      <c r="TTS49" s="41"/>
      <c r="TTV49" s="32"/>
      <c r="TTX49" s="12"/>
      <c r="TTZ49" s="34"/>
      <c r="TUA49" s="39"/>
      <c r="TUB49" s="41"/>
      <c r="TUE49" s="32"/>
      <c r="TUG49" s="12"/>
      <c r="TUI49" s="34"/>
      <c r="TUJ49" s="39"/>
      <c r="TUK49" s="41"/>
      <c r="TUN49" s="32"/>
      <c r="TUP49" s="12"/>
      <c r="TUR49" s="34"/>
      <c r="TUS49" s="39"/>
      <c r="TUT49" s="41"/>
      <c r="TUW49" s="32"/>
      <c r="TUY49" s="12"/>
      <c r="TVA49" s="34"/>
      <c r="TVB49" s="39"/>
      <c r="TVC49" s="41"/>
      <c r="TVF49" s="32"/>
      <c r="TVH49" s="12"/>
      <c r="TVJ49" s="34"/>
      <c r="TVK49" s="39"/>
      <c r="TVL49" s="41"/>
      <c r="TVO49" s="32"/>
      <c r="TVQ49" s="12"/>
      <c r="TVS49" s="34"/>
      <c r="TVT49" s="39"/>
      <c r="TVU49" s="41"/>
      <c r="TVX49" s="32"/>
      <c r="TVZ49" s="12"/>
      <c r="TWB49" s="34"/>
      <c r="TWC49" s="39"/>
      <c r="TWD49" s="41"/>
      <c r="TWG49" s="32"/>
      <c r="TWI49" s="12"/>
      <c r="TWK49" s="34"/>
      <c r="TWL49" s="39"/>
      <c r="TWM49" s="41"/>
      <c r="TWP49" s="32"/>
      <c r="TWR49" s="12"/>
      <c r="TWT49" s="34"/>
      <c r="TWU49" s="39"/>
      <c r="TWV49" s="41"/>
      <c r="TWY49" s="32"/>
      <c r="TXA49" s="12"/>
      <c r="TXC49" s="34"/>
      <c r="TXD49" s="39"/>
      <c r="TXE49" s="41"/>
      <c r="TXH49" s="32"/>
      <c r="TXJ49" s="12"/>
      <c r="TXL49" s="34"/>
      <c r="TXM49" s="39"/>
      <c r="TXN49" s="41"/>
      <c r="TXQ49" s="32"/>
      <c r="TXS49" s="12"/>
      <c r="TXU49" s="34"/>
      <c r="TXV49" s="39"/>
      <c r="TXW49" s="41"/>
      <c r="TXZ49" s="32"/>
      <c r="TYB49" s="12"/>
      <c r="TYD49" s="34"/>
      <c r="TYE49" s="39"/>
      <c r="TYF49" s="41"/>
      <c r="TYI49" s="32"/>
      <c r="TYK49" s="12"/>
      <c r="TYM49" s="34"/>
      <c r="TYN49" s="39"/>
      <c r="TYO49" s="41"/>
      <c r="TYR49" s="32"/>
      <c r="TYT49" s="12"/>
      <c r="TYV49" s="34"/>
      <c r="TYW49" s="39"/>
      <c r="TYX49" s="41"/>
      <c r="TZA49" s="32"/>
      <c r="TZC49" s="12"/>
      <c r="TZE49" s="34"/>
      <c r="TZF49" s="39"/>
      <c r="TZG49" s="41"/>
      <c r="TZJ49" s="32"/>
      <c r="TZL49" s="12"/>
      <c r="TZN49" s="34"/>
      <c r="TZO49" s="39"/>
      <c r="TZP49" s="41"/>
      <c r="TZS49" s="32"/>
      <c r="TZU49" s="12"/>
      <c r="TZW49" s="34"/>
      <c r="TZX49" s="39"/>
      <c r="TZY49" s="41"/>
      <c r="UAB49" s="32"/>
      <c r="UAD49" s="12"/>
      <c r="UAF49" s="34"/>
      <c r="UAG49" s="39"/>
      <c r="UAH49" s="41"/>
      <c r="UAK49" s="32"/>
      <c r="UAM49" s="12"/>
      <c r="UAO49" s="34"/>
      <c r="UAP49" s="39"/>
      <c r="UAQ49" s="41"/>
      <c r="UAT49" s="32"/>
      <c r="UAV49" s="12"/>
      <c r="UAX49" s="34"/>
      <c r="UAY49" s="39"/>
      <c r="UAZ49" s="41"/>
      <c r="UBC49" s="32"/>
      <c r="UBE49" s="12"/>
      <c r="UBG49" s="34"/>
      <c r="UBH49" s="39"/>
      <c r="UBI49" s="41"/>
      <c r="UBL49" s="32"/>
      <c r="UBN49" s="12"/>
      <c r="UBP49" s="34"/>
      <c r="UBQ49" s="39"/>
      <c r="UBR49" s="41"/>
      <c r="UBU49" s="32"/>
      <c r="UBW49" s="12"/>
      <c r="UBY49" s="34"/>
      <c r="UBZ49" s="39"/>
      <c r="UCA49" s="41"/>
      <c r="UCD49" s="32"/>
      <c r="UCF49" s="12"/>
      <c r="UCH49" s="34"/>
      <c r="UCI49" s="39"/>
      <c r="UCJ49" s="41"/>
      <c r="UCM49" s="32"/>
      <c r="UCO49" s="12"/>
      <c r="UCQ49" s="34"/>
      <c r="UCR49" s="39"/>
      <c r="UCS49" s="41"/>
      <c r="UCV49" s="32"/>
      <c r="UCX49" s="12"/>
      <c r="UCZ49" s="34"/>
      <c r="UDA49" s="39"/>
      <c r="UDB49" s="41"/>
      <c r="UDE49" s="32"/>
      <c r="UDG49" s="12"/>
      <c r="UDI49" s="34"/>
      <c r="UDJ49" s="39"/>
      <c r="UDK49" s="41"/>
      <c r="UDN49" s="32"/>
      <c r="UDP49" s="12"/>
      <c r="UDR49" s="34"/>
      <c r="UDS49" s="39"/>
      <c r="UDT49" s="41"/>
      <c r="UDW49" s="32"/>
      <c r="UDY49" s="12"/>
      <c r="UEA49" s="34"/>
      <c r="UEB49" s="39"/>
      <c r="UEC49" s="41"/>
      <c r="UEF49" s="32"/>
      <c r="UEH49" s="12"/>
      <c r="UEJ49" s="34"/>
      <c r="UEK49" s="39"/>
      <c r="UEL49" s="41"/>
      <c r="UEO49" s="32"/>
      <c r="UEQ49" s="12"/>
      <c r="UES49" s="34"/>
      <c r="UET49" s="39"/>
      <c r="UEU49" s="41"/>
      <c r="UEX49" s="32"/>
      <c r="UEZ49" s="12"/>
      <c r="UFB49" s="34"/>
      <c r="UFC49" s="39"/>
      <c r="UFD49" s="41"/>
      <c r="UFG49" s="32"/>
      <c r="UFI49" s="12"/>
      <c r="UFK49" s="34"/>
      <c r="UFL49" s="39"/>
      <c r="UFM49" s="41"/>
      <c r="UFP49" s="32"/>
      <c r="UFR49" s="12"/>
      <c r="UFT49" s="34"/>
      <c r="UFU49" s="39"/>
      <c r="UFV49" s="41"/>
      <c r="UFY49" s="32"/>
      <c r="UGA49" s="12"/>
      <c r="UGC49" s="34"/>
      <c r="UGD49" s="39"/>
      <c r="UGE49" s="41"/>
      <c r="UGH49" s="32"/>
      <c r="UGJ49" s="12"/>
      <c r="UGL49" s="34"/>
      <c r="UGM49" s="39"/>
      <c r="UGN49" s="41"/>
      <c r="UGQ49" s="32"/>
      <c r="UGS49" s="12"/>
      <c r="UGU49" s="34"/>
      <c r="UGV49" s="39"/>
      <c r="UGW49" s="41"/>
      <c r="UGZ49" s="32"/>
      <c r="UHB49" s="12"/>
      <c r="UHD49" s="34"/>
      <c r="UHE49" s="39"/>
      <c r="UHF49" s="41"/>
      <c r="UHI49" s="32"/>
      <c r="UHK49" s="12"/>
      <c r="UHM49" s="34"/>
      <c r="UHN49" s="39"/>
      <c r="UHO49" s="41"/>
      <c r="UHR49" s="32"/>
      <c r="UHT49" s="12"/>
      <c r="UHV49" s="34"/>
      <c r="UHW49" s="39"/>
      <c r="UHX49" s="41"/>
      <c r="UIA49" s="32"/>
      <c r="UIC49" s="12"/>
      <c r="UIE49" s="34"/>
      <c r="UIF49" s="39"/>
      <c r="UIG49" s="41"/>
      <c r="UIJ49" s="32"/>
      <c r="UIL49" s="12"/>
      <c r="UIN49" s="34"/>
      <c r="UIO49" s="39"/>
      <c r="UIP49" s="41"/>
      <c r="UIS49" s="32"/>
      <c r="UIU49" s="12"/>
      <c r="UIW49" s="34"/>
      <c r="UIX49" s="39"/>
      <c r="UIY49" s="41"/>
      <c r="UJB49" s="32"/>
      <c r="UJD49" s="12"/>
      <c r="UJF49" s="34"/>
      <c r="UJG49" s="39"/>
      <c r="UJH49" s="41"/>
      <c r="UJK49" s="32"/>
      <c r="UJM49" s="12"/>
      <c r="UJO49" s="34"/>
      <c r="UJP49" s="39"/>
      <c r="UJQ49" s="41"/>
      <c r="UJT49" s="32"/>
      <c r="UJV49" s="12"/>
      <c r="UJX49" s="34"/>
      <c r="UJY49" s="39"/>
      <c r="UJZ49" s="41"/>
      <c r="UKC49" s="32"/>
      <c r="UKE49" s="12"/>
      <c r="UKG49" s="34"/>
      <c r="UKH49" s="39"/>
      <c r="UKI49" s="41"/>
      <c r="UKL49" s="32"/>
      <c r="UKN49" s="12"/>
      <c r="UKP49" s="34"/>
      <c r="UKQ49" s="39"/>
      <c r="UKR49" s="41"/>
      <c r="UKU49" s="32"/>
      <c r="UKW49" s="12"/>
      <c r="UKY49" s="34"/>
      <c r="UKZ49" s="39"/>
      <c r="ULA49" s="41"/>
      <c r="ULD49" s="32"/>
      <c r="ULF49" s="12"/>
      <c r="ULH49" s="34"/>
      <c r="ULI49" s="39"/>
      <c r="ULJ49" s="41"/>
      <c r="ULM49" s="32"/>
      <c r="ULO49" s="12"/>
      <c r="ULQ49" s="34"/>
      <c r="ULR49" s="39"/>
      <c r="ULS49" s="41"/>
      <c r="ULV49" s="32"/>
      <c r="ULX49" s="12"/>
      <c r="ULZ49" s="34"/>
      <c r="UMA49" s="39"/>
      <c r="UMB49" s="41"/>
      <c r="UME49" s="32"/>
      <c r="UMG49" s="12"/>
      <c r="UMI49" s="34"/>
      <c r="UMJ49" s="39"/>
      <c r="UMK49" s="41"/>
      <c r="UMN49" s="32"/>
      <c r="UMP49" s="12"/>
      <c r="UMR49" s="34"/>
      <c r="UMS49" s="39"/>
      <c r="UMT49" s="41"/>
      <c r="UMW49" s="32"/>
      <c r="UMY49" s="12"/>
      <c r="UNA49" s="34"/>
      <c r="UNB49" s="39"/>
      <c r="UNC49" s="41"/>
      <c r="UNF49" s="32"/>
      <c r="UNH49" s="12"/>
      <c r="UNJ49" s="34"/>
      <c r="UNK49" s="39"/>
      <c r="UNL49" s="41"/>
      <c r="UNO49" s="32"/>
      <c r="UNQ49" s="12"/>
      <c r="UNS49" s="34"/>
      <c r="UNT49" s="39"/>
      <c r="UNU49" s="41"/>
      <c r="UNX49" s="32"/>
      <c r="UNZ49" s="12"/>
      <c r="UOB49" s="34"/>
      <c r="UOC49" s="39"/>
      <c r="UOD49" s="41"/>
      <c r="UOG49" s="32"/>
      <c r="UOI49" s="12"/>
      <c r="UOK49" s="34"/>
      <c r="UOL49" s="39"/>
      <c r="UOM49" s="41"/>
      <c r="UOP49" s="32"/>
      <c r="UOR49" s="12"/>
      <c r="UOT49" s="34"/>
      <c r="UOU49" s="39"/>
      <c r="UOV49" s="41"/>
      <c r="UOY49" s="32"/>
      <c r="UPA49" s="12"/>
      <c r="UPC49" s="34"/>
      <c r="UPD49" s="39"/>
      <c r="UPE49" s="41"/>
      <c r="UPH49" s="32"/>
      <c r="UPJ49" s="12"/>
      <c r="UPL49" s="34"/>
      <c r="UPM49" s="39"/>
      <c r="UPN49" s="41"/>
      <c r="UPQ49" s="32"/>
      <c r="UPS49" s="12"/>
      <c r="UPU49" s="34"/>
      <c r="UPV49" s="39"/>
      <c r="UPW49" s="41"/>
      <c r="UPZ49" s="32"/>
      <c r="UQB49" s="12"/>
      <c r="UQD49" s="34"/>
      <c r="UQE49" s="39"/>
      <c r="UQF49" s="41"/>
      <c r="UQI49" s="32"/>
      <c r="UQK49" s="12"/>
      <c r="UQM49" s="34"/>
      <c r="UQN49" s="39"/>
      <c r="UQO49" s="41"/>
      <c r="UQR49" s="32"/>
      <c r="UQT49" s="12"/>
      <c r="UQV49" s="34"/>
      <c r="UQW49" s="39"/>
      <c r="UQX49" s="41"/>
      <c r="URA49" s="32"/>
      <c r="URC49" s="12"/>
      <c r="URE49" s="34"/>
      <c r="URF49" s="39"/>
      <c r="URG49" s="41"/>
      <c r="URJ49" s="32"/>
      <c r="URL49" s="12"/>
      <c r="URN49" s="34"/>
      <c r="URO49" s="39"/>
      <c r="URP49" s="41"/>
      <c r="URS49" s="32"/>
      <c r="URU49" s="12"/>
      <c r="URW49" s="34"/>
      <c r="URX49" s="39"/>
      <c r="URY49" s="41"/>
      <c r="USB49" s="32"/>
      <c r="USD49" s="12"/>
      <c r="USF49" s="34"/>
      <c r="USG49" s="39"/>
      <c r="USH49" s="41"/>
      <c r="USK49" s="32"/>
      <c r="USM49" s="12"/>
      <c r="USO49" s="34"/>
      <c r="USP49" s="39"/>
      <c r="USQ49" s="41"/>
      <c r="UST49" s="32"/>
      <c r="USV49" s="12"/>
      <c r="USX49" s="34"/>
      <c r="USY49" s="39"/>
      <c r="USZ49" s="41"/>
      <c r="UTC49" s="32"/>
      <c r="UTE49" s="12"/>
      <c r="UTG49" s="34"/>
      <c r="UTH49" s="39"/>
      <c r="UTI49" s="41"/>
      <c r="UTL49" s="32"/>
      <c r="UTN49" s="12"/>
      <c r="UTP49" s="34"/>
      <c r="UTQ49" s="39"/>
      <c r="UTR49" s="41"/>
      <c r="UTU49" s="32"/>
      <c r="UTW49" s="12"/>
      <c r="UTY49" s="34"/>
      <c r="UTZ49" s="39"/>
      <c r="UUA49" s="41"/>
      <c r="UUD49" s="32"/>
      <c r="UUF49" s="12"/>
      <c r="UUH49" s="34"/>
      <c r="UUI49" s="39"/>
      <c r="UUJ49" s="41"/>
      <c r="UUM49" s="32"/>
      <c r="UUO49" s="12"/>
      <c r="UUQ49" s="34"/>
      <c r="UUR49" s="39"/>
      <c r="UUS49" s="41"/>
      <c r="UUV49" s="32"/>
      <c r="UUX49" s="12"/>
      <c r="UUZ49" s="34"/>
      <c r="UVA49" s="39"/>
      <c r="UVB49" s="41"/>
      <c r="UVE49" s="32"/>
      <c r="UVG49" s="12"/>
      <c r="UVI49" s="34"/>
      <c r="UVJ49" s="39"/>
      <c r="UVK49" s="41"/>
      <c r="UVN49" s="32"/>
      <c r="UVP49" s="12"/>
      <c r="UVR49" s="34"/>
      <c r="UVS49" s="39"/>
      <c r="UVT49" s="41"/>
      <c r="UVW49" s="32"/>
      <c r="UVY49" s="12"/>
      <c r="UWA49" s="34"/>
      <c r="UWB49" s="39"/>
      <c r="UWC49" s="41"/>
      <c r="UWF49" s="32"/>
      <c r="UWH49" s="12"/>
      <c r="UWJ49" s="34"/>
      <c r="UWK49" s="39"/>
      <c r="UWL49" s="41"/>
      <c r="UWO49" s="32"/>
      <c r="UWQ49" s="12"/>
      <c r="UWS49" s="34"/>
      <c r="UWT49" s="39"/>
      <c r="UWU49" s="41"/>
      <c r="UWX49" s="32"/>
      <c r="UWZ49" s="12"/>
      <c r="UXB49" s="34"/>
      <c r="UXC49" s="39"/>
      <c r="UXD49" s="41"/>
      <c r="UXG49" s="32"/>
      <c r="UXI49" s="12"/>
      <c r="UXK49" s="34"/>
      <c r="UXL49" s="39"/>
      <c r="UXM49" s="41"/>
      <c r="UXP49" s="32"/>
      <c r="UXR49" s="12"/>
      <c r="UXT49" s="34"/>
      <c r="UXU49" s="39"/>
      <c r="UXV49" s="41"/>
      <c r="UXY49" s="32"/>
      <c r="UYA49" s="12"/>
      <c r="UYC49" s="34"/>
      <c r="UYD49" s="39"/>
      <c r="UYE49" s="41"/>
      <c r="UYH49" s="32"/>
      <c r="UYJ49" s="12"/>
      <c r="UYL49" s="34"/>
      <c r="UYM49" s="39"/>
      <c r="UYN49" s="41"/>
      <c r="UYQ49" s="32"/>
      <c r="UYS49" s="12"/>
      <c r="UYU49" s="34"/>
      <c r="UYV49" s="39"/>
      <c r="UYW49" s="41"/>
      <c r="UYZ49" s="32"/>
      <c r="UZB49" s="12"/>
      <c r="UZD49" s="34"/>
      <c r="UZE49" s="39"/>
      <c r="UZF49" s="41"/>
      <c r="UZI49" s="32"/>
      <c r="UZK49" s="12"/>
      <c r="UZM49" s="34"/>
      <c r="UZN49" s="39"/>
      <c r="UZO49" s="41"/>
      <c r="UZR49" s="32"/>
      <c r="UZT49" s="12"/>
      <c r="UZV49" s="34"/>
      <c r="UZW49" s="39"/>
      <c r="UZX49" s="41"/>
      <c r="VAA49" s="32"/>
      <c r="VAC49" s="12"/>
      <c r="VAE49" s="34"/>
      <c r="VAF49" s="39"/>
      <c r="VAG49" s="41"/>
      <c r="VAJ49" s="32"/>
      <c r="VAL49" s="12"/>
      <c r="VAN49" s="34"/>
      <c r="VAO49" s="39"/>
      <c r="VAP49" s="41"/>
      <c r="VAS49" s="32"/>
      <c r="VAU49" s="12"/>
      <c r="VAW49" s="34"/>
      <c r="VAX49" s="39"/>
      <c r="VAY49" s="41"/>
      <c r="VBB49" s="32"/>
      <c r="VBD49" s="12"/>
      <c r="VBF49" s="34"/>
      <c r="VBG49" s="39"/>
      <c r="VBH49" s="41"/>
      <c r="VBK49" s="32"/>
      <c r="VBM49" s="12"/>
      <c r="VBO49" s="34"/>
      <c r="VBP49" s="39"/>
      <c r="VBQ49" s="41"/>
      <c r="VBT49" s="32"/>
      <c r="VBV49" s="12"/>
      <c r="VBX49" s="34"/>
      <c r="VBY49" s="39"/>
      <c r="VBZ49" s="41"/>
      <c r="VCC49" s="32"/>
      <c r="VCE49" s="12"/>
      <c r="VCG49" s="34"/>
      <c r="VCH49" s="39"/>
      <c r="VCI49" s="41"/>
      <c r="VCL49" s="32"/>
      <c r="VCN49" s="12"/>
      <c r="VCP49" s="34"/>
      <c r="VCQ49" s="39"/>
      <c r="VCR49" s="41"/>
      <c r="VCU49" s="32"/>
      <c r="VCW49" s="12"/>
      <c r="VCY49" s="34"/>
      <c r="VCZ49" s="39"/>
      <c r="VDA49" s="41"/>
      <c r="VDD49" s="32"/>
      <c r="VDF49" s="12"/>
      <c r="VDH49" s="34"/>
      <c r="VDI49" s="39"/>
      <c r="VDJ49" s="41"/>
      <c r="VDM49" s="32"/>
      <c r="VDO49" s="12"/>
      <c r="VDQ49" s="34"/>
      <c r="VDR49" s="39"/>
      <c r="VDS49" s="41"/>
      <c r="VDV49" s="32"/>
      <c r="VDX49" s="12"/>
      <c r="VDZ49" s="34"/>
      <c r="VEA49" s="39"/>
      <c r="VEB49" s="41"/>
      <c r="VEE49" s="32"/>
      <c r="VEG49" s="12"/>
      <c r="VEI49" s="34"/>
      <c r="VEJ49" s="39"/>
      <c r="VEK49" s="41"/>
      <c r="VEN49" s="32"/>
      <c r="VEP49" s="12"/>
      <c r="VER49" s="34"/>
      <c r="VES49" s="39"/>
      <c r="VET49" s="41"/>
      <c r="VEW49" s="32"/>
      <c r="VEY49" s="12"/>
      <c r="VFA49" s="34"/>
      <c r="VFB49" s="39"/>
      <c r="VFC49" s="41"/>
      <c r="VFF49" s="32"/>
      <c r="VFH49" s="12"/>
      <c r="VFJ49" s="34"/>
      <c r="VFK49" s="39"/>
      <c r="VFL49" s="41"/>
      <c r="VFO49" s="32"/>
      <c r="VFQ49" s="12"/>
      <c r="VFS49" s="34"/>
      <c r="VFT49" s="39"/>
      <c r="VFU49" s="41"/>
      <c r="VFX49" s="32"/>
      <c r="VFZ49" s="12"/>
      <c r="VGB49" s="34"/>
      <c r="VGC49" s="39"/>
      <c r="VGD49" s="41"/>
      <c r="VGG49" s="32"/>
      <c r="VGI49" s="12"/>
      <c r="VGK49" s="34"/>
      <c r="VGL49" s="39"/>
      <c r="VGM49" s="41"/>
      <c r="VGP49" s="32"/>
      <c r="VGR49" s="12"/>
      <c r="VGT49" s="34"/>
      <c r="VGU49" s="39"/>
      <c r="VGV49" s="41"/>
      <c r="VGY49" s="32"/>
      <c r="VHA49" s="12"/>
      <c r="VHC49" s="34"/>
      <c r="VHD49" s="39"/>
      <c r="VHE49" s="41"/>
      <c r="VHH49" s="32"/>
      <c r="VHJ49" s="12"/>
      <c r="VHL49" s="34"/>
      <c r="VHM49" s="39"/>
      <c r="VHN49" s="41"/>
      <c r="VHQ49" s="32"/>
      <c r="VHS49" s="12"/>
      <c r="VHU49" s="34"/>
      <c r="VHV49" s="39"/>
      <c r="VHW49" s="41"/>
      <c r="VHZ49" s="32"/>
      <c r="VIB49" s="12"/>
      <c r="VID49" s="34"/>
      <c r="VIE49" s="39"/>
      <c r="VIF49" s="41"/>
      <c r="VII49" s="32"/>
      <c r="VIK49" s="12"/>
      <c r="VIM49" s="34"/>
      <c r="VIN49" s="39"/>
      <c r="VIO49" s="41"/>
      <c r="VIR49" s="32"/>
      <c r="VIT49" s="12"/>
      <c r="VIV49" s="34"/>
      <c r="VIW49" s="39"/>
      <c r="VIX49" s="41"/>
      <c r="VJA49" s="32"/>
      <c r="VJC49" s="12"/>
      <c r="VJE49" s="34"/>
      <c r="VJF49" s="39"/>
      <c r="VJG49" s="41"/>
      <c r="VJJ49" s="32"/>
      <c r="VJL49" s="12"/>
      <c r="VJN49" s="34"/>
      <c r="VJO49" s="39"/>
      <c r="VJP49" s="41"/>
      <c r="VJS49" s="32"/>
      <c r="VJU49" s="12"/>
      <c r="VJW49" s="34"/>
      <c r="VJX49" s="39"/>
      <c r="VJY49" s="41"/>
      <c r="VKB49" s="32"/>
      <c r="VKD49" s="12"/>
      <c r="VKF49" s="34"/>
      <c r="VKG49" s="39"/>
      <c r="VKH49" s="41"/>
      <c r="VKK49" s="32"/>
      <c r="VKM49" s="12"/>
      <c r="VKO49" s="34"/>
      <c r="VKP49" s="39"/>
      <c r="VKQ49" s="41"/>
      <c r="VKT49" s="32"/>
      <c r="VKV49" s="12"/>
      <c r="VKX49" s="34"/>
      <c r="VKY49" s="39"/>
      <c r="VKZ49" s="41"/>
      <c r="VLC49" s="32"/>
      <c r="VLE49" s="12"/>
      <c r="VLG49" s="34"/>
      <c r="VLH49" s="39"/>
      <c r="VLI49" s="41"/>
      <c r="VLL49" s="32"/>
      <c r="VLN49" s="12"/>
      <c r="VLP49" s="34"/>
      <c r="VLQ49" s="39"/>
      <c r="VLR49" s="41"/>
      <c r="VLU49" s="32"/>
      <c r="VLW49" s="12"/>
      <c r="VLY49" s="34"/>
      <c r="VLZ49" s="39"/>
      <c r="VMA49" s="41"/>
      <c r="VMD49" s="32"/>
      <c r="VMF49" s="12"/>
      <c r="VMH49" s="34"/>
      <c r="VMI49" s="39"/>
      <c r="VMJ49" s="41"/>
      <c r="VMM49" s="32"/>
      <c r="VMO49" s="12"/>
      <c r="VMQ49" s="34"/>
      <c r="VMR49" s="39"/>
      <c r="VMS49" s="41"/>
      <c r="VMV49" s="32"/>
      <c r="VMX49" s="12"/>
      <c r="VMZ49" s="34"/>
      <c r="VNA49" s="39"/>
      <c r="VNB49" s="41"/>
      <c r="VNE49" s="32"/>
      <c r="VNG49" s="12"/>
      <c r="VNI49" s="34"/>
      <c r="VNJ49" s="39"/>
      <c r="VNK49" s="41"/>
      <c r="VNN49" s="32"/>
      <c r="VNP49" s="12"/>
      <c r="VNR49" s="34"/>
      <c r="VNS49" s="39"/>
      <c r="VNT49" s="41"/>
      <c r="VNW49" s="32"/>
      <c r="VNY49" s="12"/>
      <c r="VOA49" s="34"/>
      <c r="VOB49" s="39"/>
      <c r="VOC49" s="41"/>
      <c r="VOF49" s="32"/>
      <c r="VOH49" s="12"/>
      <c r="VOJ49" s="34"/>
      <c r="VOK49" s="39"/>
      <c r="VOL49" s="41"/>
      <c r="VOO49" s="32"/>
      <c r="VOQ49" s="12"/>
      <c r="VOS49" s="34"/>
      <c r="VOT49" s="39"/>
      <c r="VOU49" s="41"/>
      <c r="VOX49" s="32"/>
      <c r="VOZ49" s="12"/>
      <c r="VPB49" s="34"/>
      <c r="VPC49" s="39"/>
      <c r="VPD49" s="41"/>
      <c r="VPG49" s="32"/>
      <c r="VPI49" s="12"/>
      <c r="VPK49" s="34"/>
      <c r="VPL49" s="39"/>
      <c r="VPM49" s="41"/>
      <c r="VPP49" s="32"/>
      <c r="VPR49" s="12"/>
      <c r="VPT49" s="34"/>
      <c r="VPU49" s="39"/>
      <c r="VPV49" s="41"/>
      <c r="VPY49" s="32"/>
      <c r="VQA49" s="12"/>
      <c r="VQC49" s="34"/>
      <c r="VQD49" s="39"/>
      <c r="VQE49" s="41"/>
      <c r="VQH49" s="32"/>
      <c r="VQJ49" s="12"/>
      <c r="VQL49" s="34"/>
      <c r="VQM49" s="39"/>
      <c r="VQN49" s="41"/>
      <c r="VQQ49" s="32"/>
      <c r="VQS49" s="12"/>
      <c r="VQU49" s="34"/>
      <c r="VQV49" s="39"/>
      <c r="VQW49" s="41"/>
      <c r="VQZ49" s="32"/>
      <c r="VRB49" s="12"/>
      <c r="VRD49" s="34"/>
      <c r="VRE49" s="39"/>
      <c r="VRF49" s="41"/>
      <c r="VRI49" s="32"/>
      <c r="VRK49" s="12"/>
      <c r="VRM49" s="34"/>
      <c r="VRN49" s="39"/>
      <c r="VRO49" s="41"/>
      <c r="VRR49" s="32"/>
      <c r="VRT49" s="12"/>
      <c r="VRV49" s="34"/>
      <c r="VRW49" s="39"/>
      <c r="VRX49" s="41"/>
      <c r="VSA49" s="32"/>
      <c r="VSC49" s="12"/>
      <c r="VSE49" s="34"/>
      <c r="VSF49" s="39"/>
      <c r="VSG49" s="41"/>
      <c r="VSJ49" s="32"/>
      <c r="VSL49" s="12"/>
      <c r="VSN49" s="34"/>
      <c r="VSO49" s="39"/>
      <c r="VSP49" s="41"/>
      <c r="VSS49" s="32"/>
      <c r="VSU49" s="12"/>
      <c r="VSW49" s="34"/>
      <c r="VSX49" s="39"/>
      <c r="VSY49" s="41"/>
      <c r="VTB49" s="32"/>
      <c r="VTD49" s="12"/>
      <c r="VTF49" s="34"/>
      <c r="VTG49" s="39"/>
      <c r="VTH49" s="41"/>
      <c r="VTK49" s="32"/>
      <c r="VTM49" s="12"/>
      <c r="VTO49" s="34"/>
      <c r="VTP49" s="39"/>
      <c r="VTQ49" s="41"/>
      <c r="VTT49" s="32"/>
      <c r="VTV49" s="12"/>
      <c r="VTX49" s="34"/>
      <c r="VTY49" s="39"/>
      <c r="VTZ49" s="41"/>
      <c r="VUC49" s="32"/>
      <c r="VUE49" s="12"/>
      <c r="VUG49" s="34"/>
      <c r="VUH49" s="39"/>
      <c r="VUI49" s="41"/>
      <c r="VUL49" s="32"/>
      <c r="VUN49" s="12"/>
      <c r="VUP49" s="34"/>
      <c r="VUQ49" s="39"/>
      <c r="VUR49" s="41"/>
      <c r="VUU49" s="32"/>
      <c r="VUW49" s="12"/>
      <c r="VUY49" s="34"/>
      <c r="VUZ49" s="39"/>
      <c r="VVA49" s="41"/>
      <c r="VVD49" s="32"/>
      <c r="VVF49" s="12"/>
      <c r="VVH49" s="34"/>
      <c r="VVI49" s="39"/>
      <c r="VVJ49" s="41"/>
      <c r="VVM49" s="32"/>
      <c r="VVO49" s="12"/>
      <c r="VVQ49" s="34"/>
      <c r="VVR49" s="39"/>
      <c r="VVS49" s="41"/>
      <c r="VVV49" s="32"/>
      <c r="VVX49" s="12"/>
      <c r="VVZ49" s="34"/>
      <c r="VWA49" s="39"/>
      <c r="VWB49" s="41"/>
      <c r="VWE49" s="32"/>
      <c r="VWG49" s="12"/>
      <c r="VWI49" s="34"/>
      <c r="VWJ49" s="39"/>
      <c r="VWK49" s="41"/>
      <c r="VWN49" s="32"/>
      <c r="VWP49" s="12"/>
      <c r="VWR49" s="34"/>
      <c r="VWS49" s="39"/>
      <c r="VWT49" s="41"/>
      <c r="VWW49" s="32"/>
      <c r="VWY49" s="12"/>
      <c r="VXA49" s="34"/>
      <c r="VXB49" s="39"/>
      <c r="VXC49" s="41"/>
      <c r="VXF49" s="32"/>
      <c r="VXH49" s="12"/>
      <c r="VXJ49" s="34"/>
      <c r="VXK49" s="39"/>
      <c r="VXL49" s="41"/>
      <c r="VXO49" s="32"/>
      <c r="VXQ49" s="12"/>
      <c r="VXS49" s="34"/>
      <c r="VXT49" s="39"/>
      <c r="VXU49" s="41"/>
      <c r="VXX49" s="32"/>
      <c r="VXZ49" s="12"/>
      <c r="VYB49" s="34"/>
      <c r="VYC49" s="39"/>
      <c r="VYD49" s="41"/>
      <c r="VYG49" s="32"/>
      <c r="VYI49" s="12"/>
      <c r="VYK49" s="34"/>
      <c r="VYL49" s="39"/>
      <c r="VYM49" s="41"/>
      <c r="VYP49" s="32"/>
      <c r="VYR49" s="12"/>
      <c r="VYT49" s="34"/>
      <c r="VYU49" s="39"/>
      <c r="VYV49" s="41"/>
      <c r="VYY49" s="32"/>
      <c r="VZA49" s="12"/>
      <c r="VZC49" s="34"/>
      <c r="VZD49" s="39"/>
      <c r="VZE49" s="41"/>
      <c r="VZH49" s="32"/>
      <c r="VZJ49" s="12"/>
      <c r="VZL49" s="34"/>
      <c r="VZM49" s="39"/>
      <c r="VZN49" s="41"/>
      <c r="VZQ49" s="32"/>
      <c r="VZS49" s="12"/>
      <c r="VZU49" s="34"/>
      <c r="VZV49" s="39"/>
      <c r="VZW49" s="41"/>
      <c r="VZZ49" s="32"/>
      <c r="WAB49" s="12"/>
      <c r="WAD49" s="34"/>
      <c r="WAE49" s="39"/>
      <c r="WAF49" s="41"/>
      <c r="WAI49" s="32"/>
      <c r="WAK49" s="12"/>
      <c r="WAM49" s="34"/>
      <c r="WAN49" s="39"/>
      <c r="WAO49" s="41"/>
      <c r="WAR49" s="32"/>
      <c r="WAT49" s="12"/>
      <c r="WAV49" s="34"/>
      <c r="WAW49" s="39"/>
      <c r="WAX49" s="41"/>
      <c r="WBA49" s="32"/>
      <c r="WBC49" s="12"/>
      <c r="WBE49" s="34"/>
      <c r="WBF49" s="39"/>
      <c r="WBG49" s="41"/>
      <c r="WBJ49" s="32"/>
      <c r="WBL49" s="12"/>
      <c r="WBN49" s="34"/>
      <c r="WBO49" s="39"/>
      <c r="WBP49" s="41"/>
      <c r="WBS49" s="32"/>
      <c r="WBU49" s="12"/>
      <c r="WBW49" s="34"/>
      <c r="WBX49" s="39"/>
      <c r="WBY49" s="41"/>
      <c r="WCB49" s="32"/>
      <c r="WCD49" s="12"/>
      <c r="WCF49" s="34"/>
      <c r="WCG49" s="39"/>
      <c r="WCH49" s="41"/>
      <c r="WCK49" s="32"/>
      <c r="WCM49" s="12"/>
      <c r="WCO49" s="34"/>
      <c r="WCP49" s="39"/>
      <c r="WCQ49" s="41"/>
      <c r="WCT49" s="32"/>
      <c r="WCV49" s="12"/>
      <c r="WCX49" s="34"/>
      <c r="WCY49" s="39"/>
      <c r="WCZ49" s="41"/>
      <c r="WDC49" s="32"/>
      <c r="WDE49" s="12"/>
      <c r="WDG49" s="34"/>
      <c r="WDH49" s="39"/>
      <c r="WDI49" s="41"/>
      <c r="WDL49" s="32"/>
      <c r="WDN49" s="12"/>
      <c r="WDP49" s="34"/>
      <c r="WDQ49" s="39"/>
      <c r="WDR49" s="41"/>
      <c r="WDU49" s="32"/>
      <c r="WDW49" s="12"/>
      <c r="WDY49" s="34"/>
      <c r="WDZ49" s="39"/>
      <c r="WEA49" s="41"/>
      <c r="WED49" s="32"/>
      <c r="WEF49" s="12"/>
      <c r="WEH49" s="34"/>
      <c r="WEI49" s="39"/>
      <c r="WEJ49" s="41"/>
      <c r="WEM49" s="32"/>
      <c r="WEO49" s="12"/>
      <c r="WEQ49" s="34"/>
      <c r="WER49" s="39"/>
      <c r="WES49" s="41"/>
      <c r="WEV49" s="32"/>
      <c r="WEX49" s="12"/>
      <c r="WEZ49" s="34"/>
      <c r="WFA49" s="39"/>
      <c r="WFB49" s="41"/>
      <c r="WFE49" s="32"/>
      <c r="WFG49" s="12"/>
      <c r="WFI49" s="34"/>
      <c r="WFJ49" s="39"/>
      <c r="WFK49" s="41"/>
      <c r="WFN49" s="32"/>
      <c r="WFP49" s="12"/>
      <c r="WFR49" s="34"/>
      <c r="WFS49" s="39"/>
      <c r="WFT49" s="41"/>
      <c r="WFW49" s="32"/>
      <c r="WFY49" s="12"/>
      <c r="WGA49" s="34"/>
      <c r="WGB49" s="39"/>
      <c r="WGC49" s="41"/>
      <c r="WGF49" s="32"/>
      <c r="WGH49" s="12"/>
      <c r="WGJ49" s="34"/>
      <c r="WGK49" s="39"/>
      <c r="WGL49" s="41"/>
      <c r="WGO49" s="32"/>
      <c r="WGQ49" s="12"/>
      <c r="WGS49" s="34"/>
      <c r="WGT49" s="39"/>
      <c r="WGU49" s="41"/>
      <c r="WGX49" s="32"/>
      <c r="WGZ49" s="12"/>
      <c r="WHB49" s="34"/>
      <c r="WHC49" s="39"/>
      <c r="WHD49" s="41"/>
      <c r="WHG49" s="32"/>
      <c r="WHI49" s="12"/>
      <c r="WHK49" s="34"/>
      <c r="WHL49" s="39"/>
      <c r="WHM49" s="41"/>
      <c r="WHP49" s="32"/>
      <c r="WHR49" s="12"/>
      <c r="WHT49" s="34"/>
      <c r="WHU49" s="39"/>
      <c r="WHV49" s="41"/>
      <c r="WHY49" s="32"/>
      <c r="WIA49" s="12"/>
      <c r="WIC49" s="34"/>
      <c r="WID49" s="39"/>
      <c r="WIE49" s="41"/>
      <c r="WIH49" s="32"/>
      <c r="WIJ49" s="12"/>
      <c r="WIL49" s="34"/>
      <c r="WIM49" s="39"/>
      <c r="WIN49" s="41"/>
      <c r="WIQ49" s="32"/>
      <c r="WIS49" s="12"/>
      <c r="WIU49" s="34"/>
      <c r="WIV49" s="39"/>
      <c r="WIW49" s="41"/>
      <c r="WIZ49" s="32"/>
      <c r="WJB49" s="12"/>
      <c r="WJD49" s="34"/>
      <c r="WJE49" s="39"/>
      <c r="WJF49" s="41"/>
      <c r="WJI49" s="32"/>
      <c r="WJK49" s="12"/>
      <c r="WJM49" s="34"/>
      <c r="WJN49" s="39"/>
      <c r="WJO49" s="41"/>
      <c r="WJR49" s="32"/>
      <c r="WJT49" s="12"/>
      <c r="WJV49" s="34"/>
      <c r="WJW49" s="39"/>
      <c r="WJX49" s="41"/>
      <c r="WKA49" s="32"/>
      <c r="WKC49" s="12"/>
      <c r="WKE49" s="34"/>
      <c r="WKF49" s="39"/>
      <c r="WKG49" s="41"/>
      <c r="WKJ49" s="32"/>
      <c r="WKL49" s="12"/>
      <c r="WKN49" s="34"/>
      <c r="WKO49" s="39"/>
      <c r="WKP49" s="41"/>
      <c r="WKS49" s="32"/>
      <c r="WKU49" s="12"/>
      <c r="WKW49" s="34"/>
      <c r="WKX49" s="39"/>
      <c r="WKY49" s="41"/>
      <c r="WLB49" s="32"/>
      <c r="WLD49" s="12"/>
      <c r="WLF49" s="34"/>
      <c r="WLG49" s="39"/>
      <c r="WLH49" s="41"/>
      <c r="WLK49" s="32"/>
      <c r="WLM49" s="12"/>
      <c r="WLO49" s="34"/>
      <c r="WLP49" s="39"/>
      <c r="WLQ49" s="41"/>
      <c r="WLT49" s="32"/>
      <c r="WLV49" s="12"/>
      <c r="WLX49" s="34"/>
      <c r="WLY49" s="39"/>
      <c r="WLZ49" s="41"/>
      <c r="WMC49" s="32"/>
      <c r="WME49" s="12"/>
      <c r="WMG49" s="34"/>
      <c r="WMH49" s="39"/>
      <c r="WMI49" s="41"/>
      <c r="WML49" s="32"/>
      <c r="WMN49" s="12"/>
      <c r="WMP49" s="34"/>
      <c r="WMQ49" s="39"/>
      <c r="WMR49" s="41"/>
      <c r="WMU49" s="32"/>
      <c r="WMW49" s="12"/>
      <c r="WMY49" s="34"/>
      <c r="WMZ49" s="39"/>
      <c r="WNA49" s="41"/>
      <c r="WND49" s="32"/>
      <c r="WNF49" s="12"/>
      <c r="WNH49" s="34"/>
      <c r="WNI49" s="39"/>
      <c r="WNJ49" s="41"/>
      <c r="WNM49" s="32"/>
      <c r="WNO49" s="12"/>
      <c r="WNQ49" s="34"/>
      <c r="WNR49" s="39"/>
      <c r="WNS49" s="41"/>
      <c r="WNV49" s="32"/>
      <c r="WNX49" s="12"/>
      <c r="WNZ49" s="34"/>
      <c r="WOA49" s="39"/>
      <c r="WOB49" s="41"/>
      <c r="WOE49" s="32"/>
      <c r="WOG49" s="12"/>
      <c r="WOI49" s="34"/>
      <c r="WOJ49" s="39"/>
      <c r="WOK49" s="41"/>
      <c r="WON49" s="32"/>
      <c r="WOP49" s="12"/>
      <c r="WOR49" s="34"/>
      <c r="WOS49" s="39"/>
      <c r="WOT49" s="41"/>
      <c r="WOW49" s="32"/>
      <c r="WOY49" s="12"/>
      <c r="WPA49" s="34"/>
      <c r="WPB49" s="39"/>
      <c r="WPC49" s="41"/>
      <c r="WPF49" s="32"/>
      <c r="WPH49" s="12"/>
      <c r="WPJ49" s="34"/>
      <c r="WPK49" s="39"/>
      <c r="WPL49" s="41"/>
      <c r="WPO49" s="32"/>
      <c r="WPQ49" s="12"/>
      <c r="WPS49" s="34"/>
      <c r="WPT49" s="39"/>
      <c r="WPU49" s="41"/>
      <c r="WPX49" s="32"/>
      <c r="WPZ49" s="12"/>
      <c r="WQB49" s="34"/>
      <c r="WQC49" s="39"/>
      <c r="WQD49" s="41"/>
      <c r="WQG49" s="32"/>
      <c r="WQI49" s="12"/>
      <c r="WQK49" s="34"/>
      <c r="WQL49" s="39"/>
      <c r="WQM49" s="41"/>
      <c r="WQP49" s="32"/>
      <c r="WQR49" s="12"/>
      <c r="WQT49" s="34"/>
      <c r="WQU49" s="39"/>
      <c r="WQV49" s="41"/>
      <c r="WQY49" s="32"/>
      <c r="WRA49" s="12"/>
      <c r="WRC49" s="34"/>
      <c r="WRD49" s="39"/>
      <c r="WRE49" s="41"/>
      <c r="WRH49" s="32"/>
      <c r="WRJ49" s="12"/>
      <c r="WRL49" s="34"/>
      <c r="WRM49" s="39"/>
      <c r="WRN49" s="41"/>
      <c r="WRQ49" s="32"/>
      <c r="WRS49" s="12"/>
      <c r="WRU49" s="34"/>
      <c r="WRV49" s="39"/>
      <c r="WRW49" s="41"/>
      <c r="WRZ49" s="32"/>
      <c r="WSB49" s="12"/>
      <c r="WSD49" s="34"/>
      <c r="WSE49" s="39"/>
      <c r="WSF49" s="41"/>
      <c r="WSI49" s="32"/>
      <c r="WSK49" s="12"/>
      <c r="WSM49" s="34"/>
      <c r="WSN49" s="39"/>
      <c r="WSO49" s="41"/>
      <c r="WSR49" s="32"/>
      <c r="WST49" s="12"/>
      <c r="WSV49" s="34"/>
      <c r="WSW49" s="39"/>
      <c r="WSX49" s="41"/>
      <c r="WTA49" s="32"/>
      <c r="WTC49" s="12"/>
      <c r="WTE49" s="34"/>
      <c r="WTF49" s="39"/>
      <c r="WTG49" s="41"/>
      <c r="WTJ49" s="32"/>
      <c r="WTL49" s="12"/>
      <c r="WTN49" s="34"/>
      <c r="WTO49" s="39"/>
      <c r="WTP49" s="41"/>
      <c r="WTS49" s="32"/>
      <c r="WTU49" s="12"/>
      <c r="WTW49" s="34"/>
      <c r="WTX49" s="39"/>
      <c r="WTY49" s="41"/>
      <c r="WUB49" s="32"/>
      <c r="WUD49" s="12"/>
      <c r="WUF49" s="34"/>
      <c r="WUG49" s="39"/>
      <c r="WUH49" s="41"/>
      <c r="WUK49" s="32"/>
      <c r="WUM49" s="12"/>
      <c r="WUO49" s="34"/>
      <c r="WUP49" s="39"/>
      <c r="WUQ49" s="41"/>
      <c r="WUT49" s="32"/>
      <c r="WUV49" s="12"/>
      <c r="WUX49" s="34"/>
      <c r="WUY49" s="39"/>
      <c r="WUZ49" s="41"/>
      <c r="WVC49" s="32"/>
      <c r="WVE49" s="12"/>
      <c r="WVG49" s="34"/>
      <c r="WVH49" s="39"/>
      <c r="WVI49" s="41"/>
      <c r="WVL49" s="32"/>
      <c r="WVN49" s="12"/>
      <c r="WVP49" s="34"/>
      <c r="WVQ49" s="39"/>
      <c r="WVR49" s="41"/>
      <c r="WVU49" s="32"/>
      <c r="WVW49" s="12"/>
      <c r="WVY49" s="34"/>
      <c r="WVZ49" s="39"/>
      <c r="WWA49" s="41"/>
      <c r="WWD49" s="32"/>
      <c r="WWF49" s="12"/>
      <c r="WWH49" s="34"/>
      <c r="WWI49" s="39"/>
      <c r="WWJ49" s="41"/>
      <c r="WWM49" s="32"/>
      <c r="WWO49" s="12"/>
      <c r="WWQ49" s="34"/>
      <c r="WWR49" s="39"/>
      <c r="WWS49" s="41"/>
      <c r="WWV49" s="32"/>
      <c r="WWX49" s="12"/>
      <c r="WWZ49" s="34"/>
      <c r="WXA49" s="39"/>
      <c r="WXB49" s="41"/>
      <c r="WXE49" s="32"/>
      <c r="WXG49" s="12"/>
      <c r="WXI49" s="34"/>
      <c r="WXJ49" s="39"/>
      <c r="WXK49" s="41"/>
      <c r="WXN49" s="32"/>
      <c r="WXP49" s="12"/>
      <c r="WXR49" s="34"/>
      <c r="WXS49" s="39"/>
      <c r="WXT49" s="41"/>
      <c r="WXW49" s="32"/>
      <c r="WXY49" s="12"/>
      <c r="WYA49" s="34"/>
      <c r="WYB49" s="39"/>
      <c r="WYC49" s="41"/>
      <c r="WYF49" s="32"/>
      <c r="WYH49" s="12"/>
      <c r="WYJ49" s="34"/>
      <c r="WYK49" s="39"/>
      <c r="WYL49" s="41"/>
      <c r="WYO49" s="32"/>
      <c r="WYQ49" s="12"/>
      <c r="WYS49" s="34"/>
      <c r="WYT49" s="39"/>
      <c r="WYU49" s="41"/>
      <c r="WYX49" s="32"/>
      <c r="WYZ49" s="12"/>
      <c r="WZB49" s="34"/>
      <c r="WZC49" s="39"/>
      <c r="WZD49" s="41"/>
      <c r="WZG49" s="32"/>
      <c r="WZI49" s="12"/>
      <c r="WZK49" s="34"/>
      <c r="WZL49" s="39"/>
      <c r="WZM49" s="41"/>
      <c r="WZP49" s="32"/>
      <c r="WZR49" s="12"/>
      <c r="WZT49" s="34"/>
      <c r="WZU49" s="39"/>
      <c r="WZV49" s="41"/>
      <c r="WZY49" s="32"/>
      <c r="XAA49" s="12"/>
      <c r="XAC49" s="34"/>
      <c r="XAD49" s="39"/>
      <c r="XAE49" s="41"/>
      <c r="XAH49" s="32"/>
      <c r="XAJ49" s="12"/>
      <c r="XAL49" s="34"/>
      <c r="XAM49" s="39"/>
      <c r="XAN49" s="41"/>
      <c r="XAQ49" s="32"/>
      <c r="XAS49" s="12"/>
      <c r="XAU49" s="34"/>
      <c r="XAV49" s="39"/>
      <c r="XAW49" s="41"/>
      <c r="XAZ49" s="32"/>
      <c r="XBB49" s="12"/>
      <c r="XBD49" s="34"/>
      <c r="XBE49" s="39"/>
      <c r="XBF49" s="41"/>
      <c r="XBI49" s="32"/>
      <c r="XBK49" s="12"/>
      <c r="XBM49" s="34"/>
      <c r="XBN49" s="39"/>
      <c r="XBO49" s="41"/>
      <c r="XBR49" s="32"/>
      <c r="XBT49" s="12"/>
      <c r="XBV49" s="34"/>
      <c r="XBW49" s="39"/>
      <c r="XBX49" s="41"/>
      <c r="XCA49" s="32"/>
      <c r="XCC49" s="12"/>
      <c r="XCE49" s="34"/>
      <c r="XCF49" s="39"/>
      <c r="XCG49" s="41"/>
      <c r="XCJ49" s="32"/>
      <c r="XCL49" s="12"/>
      <c r="XCN49" s="34"/>
      <c r="XCO49" s="39"/>
      <c r="XCP49" s="41"/>
      <c r="XCS49" s="32"/>
      <c r="XCU49" s="12"/>
      <c r="XCW49" s="34"/>
      <c r="XCX49" s="39"/>
      <c r="XCY49" s="41"/>
      <c r="XDB49" s="32"/>
      <c r="XDD49" s="12"/>
      <c r="XDF49" s="34"/>
      <c r="XDG49" s="39"/>
      <c r="XDH49" s="41"/>
      <c r="XDK49" s="32"/>
      <c r="XDM49" s="12"/>
      <c r="XDO49" s="34"/>
      <c r="XDP49" s="39"/>
      <c r="XDQ49" s="41"/>
      <c r="XDT49" s="32"/>
      <c r="XDV49" s="12"/>
      <c r="XDX49" s="34"/>
      <c r="XDY49" s="39"/>
      <c r="XDZ49" s="41"/>
      <c r="XEC49" s="32"/>
      <c r="XEE49" s="12"/>
      <c r="XEG49" s="34"/>
      <c r="XEH49" s="39"/>
      <c r="XEI49" s="41"/>
      <c r="XEL49" s="32"/>
      <c r="XEN49" s="12"/>
      <c r="XEP49" s="34"/>
      <c r="XEQ49" s="39"/>
      <c r="XER49" s="41"/>
      <c r="XEU49" s="32"/>
      <c r="XEW49" s="12"/>
      <c r="XEY49" s="34"/>
      <c r="XEZ49" s="39"/>
      <c r="XFA49" s="41"/>
      <c r="XFD49" s="32"/>
    </row>
    <row r="50" spans="1:1023 1025:2047 2049:3070 3073:4096 4099:6144 6146:7168 7170:8191 8194:10239 10241:11263 11265:12286 12289:13312 13315:15360 15362:16384" x14ac:dyDescent="0.25">
      <c r="A50" s="70" t="s">
        <v>146</v>
      </c>
      <c r="B50" s="68"/>
      <c r="C50" s="71" t="s">
        <v>78</v>
      </c>
      <c r="D50" s="67" t="s">
        <v>27</v>
      </c>
      <c r="E50" s="90" t="s">
        <v>192</v>
      </c>
      <c r="F50" s="83">
        <v>26106388768</v>
      </c>
      <c r="G50" s="23">
        <f>'Menu principal'!O$21</f>
        <v>43190</v>
      </c>
      <c r="H50" s="24"/>
      <c r="I50" s="25">
        <f>DAYS360(DEFIS!G38,H50)</f>
        <v>-42570</v>
      </c>
      <c r="J50" s="60">
        <f ca="1">IF(Tabela5[[#This Row],[ENTREGA]]="",Tabela5[[#This Row],[VENCIMENTO]]-TODAY(),"")</f>
        <v>-53</v>
      </c>
      <c r="K50" s="61" t="str">
        <f t="shared" si="0"/>
        <v>No Prazo</v>
      </c>
      <c r="DE50" s="41"/>
      <c r="DH50" s="32"/>
      <c r="DJ50" s="12"/>
      <c r="DL50" s="34"/>
      <c r="DM50" s="39"/>
      <c r="DN50" s="41"/>
      <c r="DQ50" s="32"/>
      <c r="DS50" s="12"/>
      <c r="DU50" s="34"/>
      <c r="DV50" s="39"/>
      <c r="DW50" s="41"/>
      <c r="DZ50" s="32"/>
      <c r="EB50" s="12"/>
      <c r="ED50" s="34"/>
      <c r="EE50" s="39"/>
      <c r="EF50" s="41"/>
      <c r="EI50" s="32"/>
      <c r="EK50" s="12"/>
      <c r="EM50" s="34"/>
      <c r="EN50" s="39"/>
      <c r="EO50" s="41"/>
      <c r="ER50" s="32"/>
      <c r="ET50" s="12"/>
      <c r="EV50" s="34"/>
      <c r="EW50" s="39"/>
      <c r="EX50" s="41"/>
      <c r="FA50" s="32"/>
      <c r="FC50" s="12"/>
      <c r="FE50" s="34"/>
      <c r="FF50" s="39"/>
      <c r="FG50" s="41"/>
      <c r="FJ50" s="32"/>
      <c r="FL50" s="12"/>
      <c r="FN50" s="34"/>
      <c r="FO50" s="39"/>
      <c r="FP50" s="41"/>
      <c r="FS50" s="32"/>
      <c r="FU50" s="12"/>
      <c r="FW50" s="34"/>
      <c r="FX50" s="39"/>
      <c r="FY50" s="41"/>
      <c r="GB50" s="32"/>
      <c r="GD50" s="12"/>
      <c r="GF50" s="34"/>
      <c r="GG50" s="39"/>
      <c r="GH50" s="41"/>
      <c r="GK50" s="32"/>
      <c r="GM50" s="12"/>
      <c r="GO50" s="34"/>
      <c r="GP50" s="39"/>
      <c r="GQ50" s="41"/>
      <c r="GT50" s="32"/>
      <c r="GV50" s="12"/>
      <c r="GX50" s="34"/>
      <c r="GY50" s="39"/>
      <c r="GZ50" s="41"/>
      <c r="HC50" s="32"/>
      <c r="HE50" s="12"/>
      <c r="HG50" s="34"/>
      <c r="HH50" s="39"/>
      <c r="HI50" s="41"/>
      <c r="HL50" s="32"/>
      <c r="HN50" s="12"/>
      <c r="HP50" s="34"/>
      <c r="HQ50" s="39"/>
      <c r="HR50" s="41"/>
      <c r="HU50" s="32"/>
      <c r="HW50" s="12"/>
      <c r="HY50" s="34"/>
      <c r="HZ50" s="39"/>
      <c r="IA50" s="41"/>
      <c r="ID50" s="32"/>
      <c r="IF50" s="12"/>
      <c r="IH50" s="34"/>
      <c r="II50" s="39"/>
      <c r="IJ50" s="41"/>
      <c r="IM50" s="32"/>
      <c r="IO50" s="12"/>
      <c r="IQ50" s="34"/>
      <c r="IR50" s="39"/>
      <c r="IS50" s="41"/>
      <c r="IV50" s="32"/>
      <c r="IX50" s="12"/>
      <c r="IZ50" s="34"/>
      <c r="JA50" s="39"/>
      <c r="JB50" s="41"/>
      <c r="JE50" s="32"/>
      <c r="JG50" s="12"/>
      <c r="JI50" s="34"/>
      <c r="JJ50" s="39"/>
      <c r="JK50" s="41"/>
      <c r="JN50" s="32"/>
      <c r="JP50" s="12"/>
      <c r="JR50" s="34"/>
      <c r="JS50" s="39"/>
      <c r="JT50" s="41"/>
      <c r="JW50" s="32"/>
      <c r="JY50" s="12"/>
      <c r="KA50" s="34"/>
      <c r="KB50" s="39"/>
      <c r="KC50" s="41"/>
      <c r="KF50" s="32"/>
      <c r="KH50" s="12"/>
      <c r="KJ50" s="34"/>
      <c r="KK50" s="39"/>
      <c r="KL50" s="41"/>
      <c r="KO50" s="32"/>
      <c r="KQ50" s="12"/>
      <c r="KS50" s="34"/>
      <c r="KT50" s="39"/>
      <c r="KU50" s="41"/>
      <c r="KX50" s="32"/>
      <c r="KZ50" s="12"/>
      <c r="LB50" s="34"/>
      <c r="LC50" s="39"/>
      <c r="LD50" s="41"/>
      <c r="LG50" s="32"/>
      <c r="LI50" s="12"/>
      <c r="LK50" s="34"/>
      <c r="LL50" s="39"/>
      <c r="LM50" s="41"/>
      <c r="LP50" s="32"/>
      <c r="LR50" s="12"/>
      <c r="LT50" s="34"/>
      <c r="LU50" s="39"/>
      <c r="LV50" s="41"/>
      <c r="LY50" s="32"/>
      <c r="MA50" s="12"/>
      <c r="MC50" s="34"/>
      <c r="MD50" s="39"/>
      <c r="ME50" s="41"/>
      <c r="MH50" s="32"/>
      <c r="MJ50" s="12"/>
      <c r="ML50" s="34"/>
      <c r="MM50" s="39"/>
      <c r="MN50" s="41"/>
      <c r="MQ50" s="32"/>
      <c r="MS50" s="12"/>
      <c r="MU50" s="34"/>
      <c r="MV50" s="39"/>
      <c r="MW50" s="41"/>
      <c r="MZ50" s="32"/>
      <c r="NB50" s="12"/>
      <c r="ND50" s="34"/>
      <c r="NE50" s="39"/>
      <c r="NF50" s="41"/>
      <c r="NI50" s="32"/>
      <c r="NK50" s="12"/>
      <c r="NM50" s="34"/>
      <c r="NN50" s="39"/>
      <c r="NO50" s="41"/>
      <c r="NR50" s="32"/>
      <c r="NT50" s="12"/>
      <c r="NV50" s="34"/>
      <c r="NW50" s="39"/>
      <c r="NX50" s="41"/>
      <c r="OA50" s="32"/>
      <c r="OC50" s="12"/>
      <c r="OE50" s="34"/>
      <c r="OF50" s="39"/>
      <c r="OG50" s="41"/>
      <c r="OJ50" s="32"/>
      <c r="OL50" s="12"/>
      <c r="ON50" s="34"/>
      <c r="OO50" s="39"/>
      <c r="OP50" s="41"/>
      <c r="OS50" s="32"/>
      <c r="OU50" s="12"/>
      <c r="OW50" s="34"/>
      <c r="OX50" s="39"/>
      <c r="OY50" s="41"/>
      <c r="PB50" s="32"/>
      <c r="PD50" s="12"/>
      <c r="PF50" s="34"/>
      <c r="PG50" s="39"/>
      <c r="PH50" s="41"/>
      <c r="PK50" s="32"/>
      <c r="PM50" s="12"/>
      <c r="PO50" s="34"/>
      <c r="PP50" s="39"/>
      <c r="PQ50" s="41"/>
      <c r="PT50" s="32"/>
      <c r="PV50" s="12"/>
      <c r="PX50" s="34"/>
      <c r="PY50" s="39"/>
      <c r="PZ50" s="41"/>
      <c r="QC50" s="32"/>
      <c r="QE50" s="12"/>
      <c r="QG50" s="34"/>
      <c r="QH50" s="39"/>
      <c r="QI50" s="41"/>
      <c r="QL50" s="32"/>
      <c r="QN50" s="12"/>
      <c r="QP50" s="34"/>
      <c r="QQ50" s="39"/>
      <c r="QR50" s="41"/>
      <c r="QU50" s="32"/>
      <c r="QW50" s="12"/>
      <c r="QY50" s="34"/>
      <c r="QZ50" s="39"/>
      <c r="RA50" s="41"/>
      <c r="RD50" s="32"/>
      <c r="RF50" s="12"/>
      <c r="RH50" s="34"/>
      <c r="RI50" s="39"/>
      <c r="RJ50" s="41"/>
      <c r="RM50" s="32"/>
      <c r="RO50" s="12"/>
      <c r="RQ50" s="34"/>
      <c r="RR50" s="39"/>
      <c r="RS50" s="41"/>
      <c r="RV50" s="32"/>
      <c r="RX50" s="12"/>
      <c r="RZ50" s="34"/>
      <c r="SA50" s="39"/>
      <c r="SB50" s="41"/>
      <c r="SE50" s="32"/>
      <c r="SG50" s="12"/>
      <c r="SI50" s="34"/>
      <c r="SJ50" s="39"/>
      <c r="SK50" s="41"/>
      <c r="SN50" s="32"/>
      <c r="SP50" s="12"/>
      <c r="SR50" s="34"/>
      <c r="SS50" s="39"/>
      <c r="ST50" s="41"/>
      <c r="SW50" s="32"/>
      <c r="SY50" s="12"/>
      <c r="TA50" s="34"/>
      <c r="TB50" s="39"/>
      <c r="TC50" s="41"/>
      <c r="TF50" s="32"/>
      <c r="TH50" s="12"/>
      <c r="TJ50" s="34"/>
      <c r="TK50" s="39"/>
      <c r="TL50" s="41"/>
      <c r="TO50" s="32"/>
      <c r="TQ50" s="12"/>
      <c r="TS50" s="34"/>
      <c r="TT50" s="39"/>
      <c r="TU50" s="41"/>
      <c r="TX50" s="32"/>
      <c r="TZ50" s="12"/>
      <c r="UB50" s="34"/>
      <c r="UC50" s="39"/>
      <c r="UD50" s="41"/>
      <c r="UG50" s="32"/>
      <c r="UI50" s="12"/>
      <c r="UK50" s="34"/>
      <c r="UL50" s="39"/>
      <c r="UM50" s="41"/>
      <c r="UP50" s="32"/>
      <c r="UR50" s="12"/>
      <c r="UT50" s="34"/>
      <c r="UU50" s="39"/>
      <c r="UV50" s="41"/>
      <c r="UY50" s="32"/>
      <c r="VA50" s="12"/>
      <c r="VC50" s="34"/>
      <c r="VD50" s="39"/>
      <c r="VE50" s="41"/>
      <c r="VH50" s="32"/>
      <c r="VJ50" s="12"/>
      <c r="VL50" s="34"/>
      <c r="VM50" s="39"/>
      <c r="VN50" s="41"/>
      <c r="VQ50" s="32"/>
      <c r="VS50" s="12"/>
      <c r="VU50" s="34"/>
      <c r="VV50" s="39"/>
      <c r="VW50" s="41"/>
      <c r="VZ50" s="32"/>
      <c r="WB50" s="12"/>
      <c r="WD50" s="34"/>
      <c r="WE50" s="39"/>
      <c r="WF50" s="41"/>
      <c r="WI50" s="32"/>
      <c r="WK50" s="12"/>
      <c r="WM50" s="34"/>
      <c r="WN50" s="39"/>
      <c r="WO50" s="41"/>
      <c r="WR50" s="32"/>
      <c r="WT50" s="12"/>
      <c r="WV50" s="34"/>
      <c r="WW50" s="39"/>
      <c r="WX50" s="41"/>
      <c r="XA50" s="32"/>
      <c r="XC50" s="12"/>
      <c r="XE50" s="34"/>
      <c r="XF50" s="39"/>
      <c r="XG50" s="41"/>
      <c r="XJ50" s="32"/>
      <c r="XL50" s="12"/>
      <c r="XN50" s="34"/>
      <c r="XO50" s="39"/>
      <c r="XP50" s="41"/>
      <c r="XS50" s="32"/>
      <c r="XU50" s="12"/>
      <c r="XW50" s="34"/>
      <c r="XX50" s="39"/>
      <c r="XY50" s="41"/>
      <c r="YB50" s="32"/>
      <c r="YD50" s="12"/>
      <c r="YF50" s="34"/>
      <c r="YG50" s="39"/>
      <c r="YH50" s="41"/>
      <c r="YK50" s="32"/>
      <c r="YM50" s="12"/>
      <c r="YO50" s="34"/>
      <c r="YP50" s="39"/>
      <c r="YQ50" s="41"/>
      <c r="YT50" s="32"/>
      <c r="YV50" s="12"/>
      <c r="YX50" s="34"/>
      <c r="YY50" s="39"/>
      <c r="YZ50" s="41"/>
      <c r="ZC50" s="32"/>
      <c r="ZE50" s="12"/>
      <c r="ZG50" s="34"/>
      <c r="ZH50" s="39"/>
      <c r="ZI50" s="41"/>
      <c r="ZL50" s="32"/>
      <c r="ZN50" s="12"/>
      <c r="ZP50" s="34"/>
      <c r="ZQ50" s="39"/>
      <c r="ZR50" s="41"/>
      <c r="ZU50" s="32"/>
      <c r="ZW50" s="12"/>
      <c r="ZY50" s="34"/>
      <c r="ZZ50" s="39"/>
      <c r="AAA50" s="41"/>
      <c r="AAD50" s="32"/>
      <c r="AAF50" s="12"/>
      <c r="AAH50" s="34"/>
      <c r="AAI50" s="39"/>
      <c r="AAJ50" s="41"/>
      <c r="AAM50" s="32"/>
      <c r="AAO50" s="12"/>
      <c r="AAQ50" s="34"/>
      <c r="AAR50" s="39"/>
      <c r="AAS50" s="41"/>
      <c r="AAV50" s="32"/>
      <c r="AAX50" s="12"/>
      <c r="AAZ50" s="34"/>
      <c r="ABA50" s="39"/>
      <c r="ABB50" s="41"/>
      <c r="ABE50" s="32"/>
      <c r="ABG50" s="12"/>
      <c r="ABI50" s="34"/>
      <c r="ABJ50" s="39"/>
      <c r="ABK50" s="41"/>
      <c r="ABN50" s="32"/>
      <c r="ABP50" s="12"/>
      <c r="ABR50" s="34"/>
      <c r="ABS50" s="39"/>
      <c r="ABT50" s="41"/>
      <c r="ABW50" s="32"/>
      <c r="ABY50" s="12"/>
      <c r="ACA50" s="34"/>
      <c r="ACB50" s="39"/>
      <c r="ACC50" s="41"/>
      <c r="ACF50" s="32"/>
      <c r="ACH50" s="12"/>
      <c r="ACJ50" s="34"/>
      <c r="ACK50" s="39"/>
      <c r="ACL50" s="41"/>
      <c r="ACO50" s="32"/>
      <c r="ACQ50" s="12"/>
      <c r="ACS50" s="34"/>
      <c r="ACT50" s="39"/>
      <c r="ACU50" s="41"/>
      <c r="ACX50" s="32"/>
      <c r="ACZ50" s="12"/>
      <c r="ADB50" s="34"/>
      <c r="ADC50" s="39"/>
      <c r="ADD50" s="41"/>
      <c r="ADG50" s="32"/>
      <c r="ADI50" s="12"/>
      <c r="ADK50" s="34"/>
      <c r="ADL50" s="39"/>
      <c r="ADM50" s="41"/>
      <c r="ADP50" s="32"/>
      <c r="ADR50" s="12"/>
      <c r="ADT50" s="34"/>
      <c r="ADU50" s="39"/>
      <c r="ADV50" s="41"/>
      <c r="ADY50" s="32"/>
      <c r="AEA50" s="12"/>
      <c r="AEC50" s="34"/>
      <c r="AED50" s="39"/>
      <c r="AEE50" s="41"/>
      <c r="AEH50" s="32"/>
      <c r="AEJ50" s="12"/>
      <c r="AEL50" s="34"/>
      <c r="AEM50" s="39"/>
      <c r="AEN50" s="41"/>
      <c r="AEQ50" s="32"/>
      <c r="AES50" s="12"/>
      <c r="AEU50" s="34"/>
      <c r="AEV50" s="39"/>
      <c r="AEW50" s="41"/>
      <c r="AEZ50" s="32"/>
      <c r="AFB50" s="12"/>
      <c r="AFD50" s="34"/>
      <c r="AFE50" s="39"/>
      <c r="AFF50" s="41"/>
      <c r="AFI50" s="32"/>
      <c r="AFK50" s="12"/>
      <c r="AFM50" s="34"/>
      <c r="AFN50" s="39"/>
      <c r="AFO50" s="41"/>
      <c r="AFR50" s="32"/>
      <c r="AFT50" s="12"/>
      <c r="AFV50" s="34"/>
      <c r="AFW50" s="39"/>
      <c r="AFX50" s="41"/>
      <c r="AGA50" s="32"/>
      <c r="AGC50" s="12"/>
      <c r="AGE50" s="34"/>
      <c r="AGF50" s="39"/>
      <c r="AGG50" s="41"/>
      <c r="AGJ50" s="32"/>
      <c r="AGL50" s="12"/>
      <c r="AGN50" s="34"/>
      <c r="AGO50" s="39"/>
      <c r="AGP50" s="41"/>
      <c r="AGS50" s="32"/>
      <c r="AGU50" s="12"/>
      <c r="AGW50" s="34"/>
      <c r="AGX50" s="39"/>
      <c r="AGY50" s="41"/>
      <c r="AHB50" s="32"/>
      <c r="AHD50" s="12"/>
      <c r="AHF50" s="34"/>
      <c r="AHG50" s="39"/>
      <c r="AHH50" s="41"/>
      <c r="AHK50" s="32"/>
      <c r="AHM50" s="12"/>
      <c r="AHO50" s="34"/>
      <c r="AHP50" s="39"/>
      <c r="AHQ50" s="41"/>
      <c r="AHT50" s="32"/>
      <c r="AHV50" s="12"/>
      <c r="AHX50" s="34"/>
      <c r="AHY50" s="39"/>
      <c r="AHZ50" s="41"/>
      <c r="AIC50" s="32"/>
      <c r="AIE50" s="12"/>
      <c r="AIG50" s="34"/>
      <c r="AIH50" s="39"/>
      <c r="AII50" s="41"/>
      <c r="AIL50" s="32"/>
      <c r="AIN50" s="12"/>
      <c r="AIP50" s="34"/>
      <c r="AIQ50" s="39"/>
      <c r="AIR50" s="41"/>
      <c r="AIU50" s="32"/>
      <c r="AIW50" s="12"/>
      <c r="AIY50" s="34"/>
      <c r="AIZ50" s="39"/>
      <c r="AJA50" s="41"/>
      <c r="AJD50" s="32"/>
      <c r="AJF50" s="12"/>
      <c r="AJH50" s="34"/>
      <c r="AJI50" s="39"/>
      <c r="AJJ50" s="41"/>
      <c r="AJM50" s="32"/>
      <c r="AJO50" s="12"/>
      <c r="AJQ50" s="34"/>
      <c r="AJR50" s="39"/>
      <c r="AJS50" s="41"/>
      <c r="AJV50" s="32"/>
      <c r="AJX50" s="12"/>
      <c r="AJZ50" s="34"/>
      <c r="AKA50" s="39"/>
      <c r="AKB50" s="41"/>
      <c r="AKE50" s="32"/>
      <c r="AKG50" s="12"/>
      <c r="AKI50" s="34"/>
      <c r="AKJ50" s="39"/>
      <c r="AKK50" s="41"/>
      <c r="AKN50" s="32"/>
      <c r="AKP50" s="12"/>
      <c r="AKR50" s="34"/>
      <c r="AKS50" s="39"/>
      <c r="AKT50" s="41"/>
      <c r="AKW50" s="32"/>
      <c r="AKY50" s="12"/>
      <c r="ALA50" s="34"/>
      <c r="ALB50" s="39"/>
      <c r="ALC50" s="41"/>
      <c r="ALF50" s="32"/>
      <c r="ALH50" s="12"/>
      <c r="ALJ50" s="34"/>
      <c r="ALK50" s="39"/>
      <c r="ALL50" s="41"/>
      <c r="ALO50" s="32"/>
      <c r="ALQ50" s="12"/>
      <c r="ALS50" s="34"/>
      <c r="ALT50" s="39"/>
      <c r="ALU50" s="41"/>
      <c r="ALX50" s="32"/>
      <c r="ALZ50" s="12"/>
      <c r="AMB50" s="34"/>
      <c r="AMC50" s="39"/>
      <c r="AMD50" s="41"/>
      <c r="AMG50" s="32"/>
      <c r="AMI50" s="12"/>
      <c r="AMK50" s="34"/>
      <c r="AML50" s="39"/>
      <c r="AMM50" s="41"/>
      <c r="AMP50" s="32"/>
      <c r="AMR50" s="12"/>
      <c r="AMT50" s="34"/>
      <c r="AMU50" s="39"/>
      <c r="AMV50" s="41"/>
      <c r="AMY50" s="32"/>
      <c r="ANA50" s="12"/>
      <c r="ANC50" s="34"/>
      <c r="AND50" s="39"/>
      <c r="ANE50" s="41"/>
      <c r="ANH50" s="32"/>
      <c r="ANJ50" s="12"/>
      <c r="ANL50" s="34"/>
      <c r="ANM50" s="39"/>
      <c r="ANN50" s="41"/>
      <c r="ANQ50" s="32"/>
      <c r="ANS50" s="12"/>
      <c r="ANU50" s="34"/>
      <c r="ANV50" s="39"/>
      <c r="ANW50" s="41"/>
      <c r="ANZ50" s="32"/>
      <c r="AOB50" s="12"/>
      <c r="AOD50" s="34"/>
      <c r="AOE50" s="39"/>
      <c r="AOF50" s="41"/>
      <c r="AOI50" s="32"/>
      <c r="AOK50" s="12"/>
      <c r="AOM50" s="34"/>
      <c r="AON50" s="39"/>
      <c r="AOO50" s="41"/>
      <c r="AOR50" s="32"/>
      <c r="AOT50" s="12"/>
      <c r="AOV50" s="34"/>
      <c r="AOW50" s="39"/>
      <c r="AOX50" s="41"/>
      <c r="APA50" s="32"/>
      <c r="APC50" s="12"/>
      <c r="APE50" s="34"/>
      <c r="APF50" s="39"/>
      <c r="APG50" s="41"/>
      <c r="APJ50" s="32"/>
      <c r="APL50" s="12"/>
      <c r="APN50" s="34"/>
      <c r="APO50" s="39"/>
      <c r="APP50" s="41"/>
      <c r="APS50" s="32"/>
      <c r="APU50" s="12"/>
      <c r="APW50" s="34"/>
      <c r="APX50" s="39"/>
      <c r="APY50" s="41"/>
      <c r="AQB50" s="32"/>
      <c r="AQD50" s="12"/>
      <c r="AQF50" s="34"/>
      <c r="AQG50" s="39"/>
      <c r="AQH50" s="41"/>
      <c r="AQK50" s="32"/>
      <c r="AQM50" s="12"/>
      <c r="AQO50" s="34"/>
      <c r="AQP50" s="39"/>
      <c r="AQQ50" s="41"/>
      <c r="AQT50" s="32"/>
      <c r="AQV50" s="12"/>
      <c r="AQX50" s="34"/>
      <c r="AQY50" s="39"/>
      <c r="AQZ50" s="41"/>
      <c r="ARC50" s="32"/>
      <c r="ARE50" s="12"/>
      <c r="ARG50" s="34"/>
      <c r="ARH50" s="39"/>
      <c r="ARI50" s="41"/>
      <c r="ARL50" s="32"/>
      <c r="ARN50" s="12"/>
      <c r="ARP50" s="34"/>
      <c r="ARQ50" s="39"/>
      <c r="ARR50" s="41"/>
      <c r="ARU50" s="32"/>
      <c r="ARW50" s="12"/>
      <c r="ARY50" s="34"/>
      <c r="ARZ50" s="39"/>
      <c r="ASA50" s="41"/>
      <c r="ASD50" s="32"/>
      <c r="ASF50" s="12"/>
      <c r="ASH50" s="34"/>
      <c r="ASI50" s="39"/>
      <c r="ASJ50" s="41"/>
      <c r="ASM50" s="32"/>
      <c r="ASO50" s="12"/>
      <c r="ASQ50" s="34"/>
      <c r="ASR50" s="39"/>
      <c r="ASS50" s="41"/>
      <c r="ASV50" s="32"/>
      <c r="ASX50" s="12"/>
      <c r="ASZ50" s="34"/>
      <c r="ATA50" s="39"/>
      <c r="ATB50" s="41"/>
      <c r="ATE50" s="32"/>
      <c r="ATG50" s="12"/>
      <c r="ATI50" s="34"/>
      <c r="ATJ50" s="39"/>
      <c r="ATK50" s="41"/>
      <c r="ATN50" s="32"/>
      <c r="ATP50" s="12"/>
      <c r="ATR50" s="34"/>
      <c r="ATS50" s="39"/>
      <c r="ATT50" s="41"/>
      <c r="ATW50" s="32"/>
      <c r="ATY50" s="12"/>
      <c r="AUA50" s="34"/>
      <c r="AUB50" s="39"/>
      <c r="AUC50" s="41"/>
      <c r="AUF50" s="32"/>
      <c r="AUH50" s="12"/>
      <c r="AUJ50" s="34"/>
      <c r="AUK50" s="39"/>
      <c r="AUL50" s="41"/>
      <c r="AUO50" s="32"/>
      <c r="AUQ50" s="12"/>
      <c r="AUS50" s="34"/>
      <c r="AUT50" s="39"/>
      <c r="AUU50" s="41"/>
      <c r="AUX50" s="32"/>
      <c r="AUZ50" s="12"/>
      <c r="AVB50" s="34"/>
      <c r="AVC50" s="39"/>
      <c r="AVD50" s="41"/>
      <c r="AVG50" s="32"/>
      <c r="AVI50" s="12"/>
      <c r="AVK50" s="34"/>
      <c r="AVL50" s="39"/>
      <c r="AVM50" s="41"/>
      <c r="AVP50" s="32"/>
      <c r="AVR50" s="12"/>
      <c r="AVT50" s="34"/>
      <c r="AVU50" s="39"/>
      <c r="AVV50" s="41"/>
      <c r="AVY50" s="32"/>
      <c r="AWA50" s="12"/>
      <c r="AWC50" s="34"/>
      <c r="AWD50" s="39"/>
      <c r="AWE50" s="41"/>
      <c r="AWH50" s="32"/>
      <c r="AWJ50" s="12"/>
      <c r="AWL50" s="34"/>
      <c r="AWM50" s="39"/>
      <c r="AWN50" s="41"/>
      <c r="AWQ50" s="32"/>
      <c r="AWS50" s="12"/>
      <c r="AWU50" s="34"/>
      <c r="AWV50" s="39"/>
      <c r="AWW50" s="41"/>
      <c r="AWZ50" s="32"/>
      <c r="AXB50" s="12"/>
      <c r="AXD50" s="34"/>
      <c r="AXE50" s="39"/>
      <c r="AXF50" s="41"/>
      <c r="AXI50" s="32"/>
      <c r="AXK50" s="12"/>
      <c r="AXM50" s="34"/>
      <c r="AXN50" s="39"/>
      <c r="AXO50" s="41"/>
      <c r="AXR50" s="32"/>
      <c r="AXT50" s="12"/>
      <c r="AXV50" s="34"/>
      <c r="AXW50" s="39"/>
      <c r="AXX50" s="41"/>
      <c r="AYA50" s="32"/>
      <c r="AYC50" s="12"/>
      <c r="AYE50" s="34"/>
      <c r="AYF50" s="39"/>
      <c r="AYG50" s="41"/>
      <c r="AYJ50" s="32"/>
      <c r="AYL50" s="12"/>
      <c r="AYN50" s="34"/>
      <c r="AYO50" s="39"/>
      <c r="AYP50" s="41"/>
      <c r="AYS50" s="32"/>
      <c r="AYU50" s="12"/>
      <c r="AYW50" s="34"/>
      <c r="AYX50" s="39"/>
      <c r="AYY50" s="41"/>
      <c r="AZB50" s="32"/>
      <c r="AZD50" s="12"/>
      <c r="AZF50" s="34"/>
      <c r="AZG50" s="39"/>
      <c r="AZH50" s="41"/>
      <c r="AZK50" s="32"/>
      <c r="AZM50" s="12"/>
      <c r="AZO50" s="34"/>
      <c r="AZP50" s="39"/>
      <c r="AZQ50" s="41"/>
      <c r="AZT50" s="32"/>
      <c r="AZV50" s="12"/>
      <c r="AZX50" s="34"/>
      <c r="AZY50" s="39"/>
      <c r="AZZ50" s="41"/>
      <c r="BAC50" s="32"/>
      <c r="BAE50" s="12"/>
      <c r="BAG50" s="34"/>
      <c r="BAH50" s="39"/>
      <c r="BAI50" s="41"/>
      <c r="BAL50" s="32"/>
      <c r="BAN50" s="12"/>
      <c r="BAP50" s="34"/>
      <c r="BAQ50" s="39"/>
      <c r="BAR50" s="41"/>
      <c r="BAU50" s="32"/>
      <c r="BAW50" s="12"/>
      <c r="BAY50" s="34"/>
      <c r="BAZ50" s="39"/>
      <c r="BBA50" s="41"/>
      <c r="BBD50" s="32"/>
      <c r="BBF50" s="12"/>
      <c r="BBH50" s="34"/>
      <c r="BBI50" s="39"/>
      <c r="BBJ50" s="41"/>
      <c r="BBM50" s="32"/>
      <c r="BBO50" s="12"/>
      <c r="BBQ50" s="34"/>
      <c r="BBR50" s="39"/>
      <c r="BBS50" s="41"/>
      <c r="BBV50" s="32"/>
      <c r="BBX50" s="12"/>
      <c r="BBZ50" s="34"/>
      <c r="BCA50" s="39"/>
      <c r="BCB50" s="41"/>
      <c r="BCE50" s="32"/>
      <c r="BCG50" s="12"/>
      <c r="BCI50" s="34"/>
      <c r="BCJ50" s="39"/>
      <c r="BCK50" s="41"/>
      <c r="BCN50" s="32"/>
      <c r="BCP50" s="12"/>
      <c r="BCR50" s="34"/>
      <c r="BCS50" s="39"/>
      <c r="BCT50" s="41"/>
      <c r="BCW50" s="32"/>
      <c r="BCY50" s="12"/>
      <c r="BDA50" s="34"/>
      <c r="BDB50" s="39"/>
      <c r="BDC50" s="41"/>
      <c r="BDF50" s="32"/>
      <c r="BDH50" s="12"/>
      <c r="BDJ50" s="34"/>
      <c r="BDK50" s="39"/>
      <c r="BDL50" s="41"/>
      <c r="BDO50" s="32"/>
      <c r="BDQ50" s="12"/>
      <c r="BDS50" s="34"/>
      <c r="BDT50" s="39"/>
      <c r="BDU50" s="41"/>
      <c r="BDX50" s="32"/>
      <c r="BDZ50" s="12"/>
      <c r="BEB50" s="34"/>
      <c r="BEC50" s="39"/>
      <c r="BED50" s="41"/>
      <c r="BEG50" s="32"/>
      <c r="BEI50" s="12"/>
      <c r="BEK50" s="34"/>
      <c r="BEL50" s="39"/>
      <c r="BEM50" s="41"/>
      <c r="BEP50" s="32"/>
      <c r="BER50" s="12"/>
      <c r="BET50" s="34"/>
      <c r="BEU50" s="39"/>
      <c r="BEV50" s="41"/>
      <c r="BEY50" s="32"/>
      <c r="BFA50" s="12"/>
      <c r="BFC50" s="34"/>
      <c r="BFD50" s="39"/>
      <c r="BFE50" s="41"/>
      <c r="BFH50" s="32"/>
      <c r="BFJ50" s="12"/>
      <c r="BFL50" s="34"/>
      <c r="BFM50" s="39"/>
      <c r="BFN50" s="41"/>
      <c r="BFQ50" s="32"/>
      <c r="BFS50" s="12"/>
      <c r="BFU50" s="34"/>
      <c r="BFV50" s="39"/>
      <c r="BFW50" s="41"/>
      <c r="BFZ50" s="32"/>
      <c r="BGB50" s="12"/>
      <c r="BGD50" s="34"/>
      <c r="BGE50" s="39"/>
      <c r="BGF50" s="41"/>
      <c r="BGI50" s="32"/>
      <c r="BGK50" s="12"/>
      <c r="BGM50" s="34"/>
      <c r="BGN50" s="39"/>
      <c r="BGO50" s="41"/>
      <c r="BGR50" s="32"/>
      <c r="BGT50" s="12"/>
      <c r="BGV50" s="34"/>
      <c r="BGW50" s="39"/>
      <c r="BGX50" s="41"/>
      <c r="BHA50" s="32"/>
      <c r="BHC50" s="12"/>
      <c r="BHE50" s="34"/>
      <c r="BHF50" s="39"/>
      <c r="BHG50" s="41"/>
      <c r="BHJ50" s="32"/>
      <c r="BHL50" s="12"/>
      <c r="BHN50" s="34"/>
      <c r="BHO50" s="39"/>
      <c r="BHP50" s="41"/>
      <c r="BHS50" s="32"/>
      <c r="BHU50" s="12"/>
      <c r="BHW50" s="34"/>
      <c r="BHX50" s="39"/>
      <c r="BHY50" s="41"/>
      <c r="BIB50" s="32"/>
      <c r="BID50" s="12"/>
      <c r="BIF50" s="34"/>
      <c r="BIG50" s="39"/>
      <c r="BIH50" s="41"/>
      <c r="BIK50" s="32"/>
      <c r="BIM50" s="12"/>
      <c r="BIO50" s="34"/>
      <c r="BIP50" s="39"/>
      <c r="BIQ50" s="41"/>
      <c r="BIT50" s="32"/>
      <c r="BIV50" s="12"/>
      <c r="BIX50" s="34"/>
      <c r="BIY50" s="39"/>
      <c r="BIZ50" s="41"/>
      <c r="BJC50" s="32"/>
      <c r="BJE50" s="12"/>
      <c r="BJG50" s="34"/>
      <c r="BJH50" s="39"/>
      <c r="BJI50" s="41"/>
      <c r="BJL50" s="32"/>
      <c r="BJN50" s="12"/>
      <c r="BJP50" s="34"/>
      <c r="BJQ50" s="39"/>
      <c r="BJR50" s="41"/>
      <c r="BJU50" s="32"/>
      <c r="BJW50" s="12"/>
      <c r="BJY50" s="34"/>
      <c r="BJZ50" s="39"/>
      <c r="BKA50" s="41"/>
      <c r="BKD50" s="32"/>
      <c r="BKF50" s="12"/>
      <c r="BKH50" s="34"/>
      <c r="BKI50" s="39"/>
      <c r="BKJ50" s="41"/>
      <c r="BKM50" s="32"/>
      <c r="BKO50" s="12"/>
      <c r="BKQ50" s="34"/>
      <c r="BKR50" s="39"/>
      <c r="BKS50" s="41"/>
      <c r="BKV50" s="32"/>
      <c r="BKX50" s="12"/>
      <c r="BKZ50" s="34"/>
      <c r="BLA50" s="39"/>
      <c r="BLB50" s="41"/>
      <c r="BLE50" s="32"/>
      <c r="BLG50" s="12"/>
      <c r="BLI50" s="34"/>
      <c r="BLJ50" s="39"/>
      <c r="BLK50" s="41"/>
      <c r="BLN50" s="32"/>
      <c r="BLP50" s="12"/>
      <c r="BLR50" s="34"/>
      <c r="BLS50" s="39"/>
      <c r="BLT50" s="41"/>
      <c r="BLW50" s="32"/>
      <c r="BLY50" s="12"/>
      <c r="BMA50" s="34"/>
      <c r="BMB50" s="39"/>
      <c r="BMC50" s="41"/>
      <c r="BMF50" s="32"/>
      <c r="BMH50" s="12"/>
      <c r="BMJ50" s="34"/>
      <c r="BMK50" s="39"/>
      <c r="BML50" s="41"/>
      <c r="BMO50" s="32"/>
      <c r="BMQ50" s="12"/>
      <c r="BMS50" s="34"/>
      <c r="BMT50" s="39"/>
      <c r="BMU50" s="41"/>
      <c r="BMX50" s="32"/>
      <c r="BMZ50" s="12"/>
      <c r="BNB50" s="34"/>
      <c r="BNC50" s="39"/>
      <c r="BND50" s="41"/>
      <c r="BNG50" s="32"/>
      <c r="BNI50" s="12"/>
      <c r="BNK50" s="34"/>
      <c r="BNL50" s="39"/>
      <c r="BNM50" s="41"/>
      <c r="BNP50" s="32"/>
      <c r="BNR50" s="12"/>
      <c r="BNT50" s="34"/>
      <c r="BNU50" s="39"/>
      <c r="BNV50" s="41"/>
      <c r="BNY50" s="32"/>
      <c r="BOA50" s="12"/>
      <c r="BOC50" s="34"/>
      <c r="BOD50" s="39"/>
      <c r="BOE50" s="41"/>
      <c r="BOH50" s="32"/>
      <c r="BOJ50" s="12"/>
      <c r="BOL50" s="34"/>
      <c r="BOM50" s="39"/>
      <c r="BON50" s="41"/>
      <c r="BOQ50" s="32"/>
      <c r="BOS50" s="12"/>
      <c r="BOU50" s="34"/>
      <c r="BOV50" s="39"/>
      <c r="BOW50" s="41"/>
      <c r="BOZ50" s="32"/>
      <c r="BPB50" s="12"/>
      <c r="BPD50" s="34"/>
      <c r="BPE50" s="39"/>
      <c r="BPF50" s="41"/>
      <c r="BPI50" s="32"/>
      <c r="BPK50" s="12"/>
      <c r="BPM50" s="34"/>
      <c r="BPN50" s="39"/>
      <c r="BPO50" s="41"/>
      <c r="BPR50" s="32"/>
      <c r="BPT50" s="12"/>
      <c r="BPV50" s="34"/>
      <c r="BPW50" s="39"/>
      <c r="BPX50" s="41"/>
      <c r="BQA50" s="32"/>
      <c r="BQC50" s="12"/>
      <c r="BQE50" s="34"/>
      <c r="BQF50" s="39"/>
      <c r="BQG50" s="41"/>
      <c r="BQJ50" s="32"/>
      <c r="BQL50" s="12"/>
      <c r="BQN50" s="34"/>
      <c r="BQO50" s="39"/>
      <c r="BQP50" s="41"/>
      <c r="BQS50" s="32"/>
      <c r="BQU50" s="12"/>
      <c r="BQW50" s="34"/>
      <c r="BQX50" s="39"/>
      <c r="BQY50" s="41"/>
      <c r="BRB50" s="32"/>
      <c r="BRD50" s="12"/>
      <c r="BRF50" s="34"/>
      <c r="BRG50" s="39"/>
      <c r="BRH50" s="41"/>
      <c r="BRK50" s="32"/>
      <c r="BRM50" s="12"/>
      <c r="BRO50" s="34"/>
      <c r="BRP50" s="39"/>
      <c r="BRQ50" s="41"/>
      <c r="BRT50" s="32"/>
      <c r="BRV50" s="12"/>
      <c r="BRX50" s="34"/>
      <c r="BRY50" s="39"/>
      <c r="BRZ50" s="41"/>
      <c r="BSC50" s="32"/>
      <c r="BSE50" s="12"/>
      <c r="BSG50" s="34"/>
      <c r="BSH50" s="39"/>
      <c r="BSI50" s="41"/>
      <c r="BSL50" s="32"/>
      <c r="BSN50" s="12"/>
      <c r="BSP50" s="34"/>
      <c r="BSQ50" s="39"/>
      <c r="BSR50" s="41"/>
      <c r="BSU50" s="32"/>
      <c r="BSW50" s="12"/>
      <c r="BSY50" s="34"/>
      <c r="BSZ50" s="39"/>
      <c r="BTA50" s="41"/>
      <c r="BTD50" s="32"/>
      <c r="BTF50" s="12"/>
      <c r="BTH50" s="34"/>
      <c r="BTI50" s="39"/>
      <c r="BTJ50" s="41"/>
      <c r="BTM50" s="32"/>
      <c r="BTO50" s="12"/>
      <c r="BTQ50" s="34"/>
      <c r="BTR50" s="39"/>
      <c r="BTS50" s="41"/>
      <c r="BTV50" s="32"/>
      <c r="BTX50" s="12"/>
      <c r="BTZ50" s="34"/>
      <c r="BUA50" s="39"/>
      <c r="BUB50" s="41"/>
      <c r="BUE50" s="32"/>
      <c r="BUG50" s="12"/>
      <c r="BUI50" s="34"/>
      <c r="BUJ50" s="39"/>
      <c r="BUK50" s="41"/>
      <c r="BUN50" s="32"/>
      <c r="BUP50" s="12"/>
      <c r="BUR50" s="34"/>
      <c r="BUS50" s="39"/>
      <c r="BUT50" s="41"/>
      <c r="BUW50" s="32"/>
      <c r="BUY50" s="12"/>
      <c r="BVA50" s="34"/>
      <c r="BVB50" s="39"/>
      <c r="BVC50" s="41"/>
      <c r="BVF50" s="32"/>
      <c r="BVH50" s="12"/>
      <c r="BVJ50" s="34"/>
      <c r="BVK50" s="39"/>
      <c r="BVL50" s="41"/>
      <c r="BVO50" s="32"/>
      <c r="BVQ50" s="12"/>
      <c r="BVS50" s="34"/>
      <c r="BVT50" s="39"/>
      <c r="BVU50" s="41"/>
      <c r="BVX50" s="32"/>
      <c r="BVZ50" s="12"/>
      <c r="BWB50" s="34"/>
      <c r="BWC50" s="39"/>
      <c r="BWD50" s="41"/>
      <c r="BWG50" s="32"/>
      <c r="BWI50" s="12"/>
      <c r="BWK50" s="34"/>
      <c r="BWL50" s="39"/>
      <c r="BWM50" s="41"/>
      <c r="BWP50" s="32"/>
      <c r="BWR50" s="12"/>
      <c r="BWT50" s="34"/>
      <c r="BWU50" s="39"/>
      <c r="BWV50" s="41"/>
      <c r="BWY50" s="32"/>
      <c r="BXA50" s="12"/>
      <c r="BXC50" s="34"/>
      <c r="BXD50" s="39"/>
      <c r="BXE50" s="41"/>
      <c r="BXH50" s="32"/>
      <c r="BXJ50" s="12"/>
      <c r="BXL50" s="34"/>
      <c r="BXM50" s="39"/>
      <c r="BXN50" s="41"/>
      <c r="BXQ50" s="32"/>
      <c r="BXS50" s="12"/>
      <c r="BXU50" s="34"/>
      <c r="BXV50" s="39"/>
      <c r="BXW50" s="41"/>
      <c r="BXZ50" s="32"/>
      <c r="BYB50" s="12"/>
      <c r="BYD50" s="34"/>
      <c r="BYE50" s="39"/>
      <c r="BYF50" s="41"/>
      <c r="BYI50" s="32"/>
      <c r="BYK50" s="12"/>
      <c r="BYM50" s="34"/>
      <c r="BYN50" s="39"/>
      <c r="BYO50" s="41"/>
      <c r="BYR50" s="32"/>
      <c r="BYT50" s="12"/>
      <c r="BYV50" s="34"/>
      <c r="BYW50" s="39"/>
      <c r="BYX50" s="41"/>
      <c r="BZA50" s="32"/>
      <c r="BZC50" s="12"/>
      <c r="BZE50" s="34"/>
      <c r="BZF50" s="39"/>
      <c r="BZG50" s="41"/>
      <c r="BZJ50" s="32"/>
      <c r="BZL50" s="12"/>
      <c r="BZN50" s="34"/>
      <c r="BZO50" s="39"/>
      <c r="BZP50" s="41"/>
      <c r="BZS50" s="32"/>
      <c r="BZU50" s="12"/>
      <c r="BZW50" s="34"/>
      <c r="BZX50" s="39"/>
      <c r="BZY50" s="41"/>
      <c r="CAB50" s="32"/>
      <c r="CAD50" s="12"/>
      <c r="CAF50" s="34"/>
      <c r="CAG50" s="39"/>
      <c r="CAH50" s="41"/>
      <c r="CAK50" s="32"/>
      <c r="CAM50" s="12"/>
      <c r="CAO50" s="34"/>
      <c r="CAP50" s="39"/>
      <c r="CAQ50" s="41"/>
      <c r="CAT50" s="32"/>
      <c r="CAV50" s="12"/>
      <c r="CAX50" s="34"/>
      <c r="CAY50" s="39"/>
      <c r="CAZ50" s="41"/>
      <c r="CBC50" s="32"/>
      <c r="CBE50" s="12"/>
      <c r="CBG50" s="34"/>
      <c r="CBH50" s="39"/>
      <c r="CBI50" s="41"/>
      <c r="CBL50" s="32"/>
      <c r="CBN50" s="12"/>
      <c r="CBP50" s="34"/>
      <c r="CBQ50" s="39"/>
      <c r="CBR50" s="41"/>
      <c r="CBU50" s="32"/>
      <c r="CBW50" s="12"/>
      <c r="CBY50" s="34"/>
      <c r="CBZ50" s="39"/>
      <c r="CCA50" s="41"/>
      <c r="CCD50" s="32"/>
      <c r="CCF50" s="12"/>
      <c r="CCH50" s="34"/>
      <c r="CCI50" s="39"/>
      <c r="CCJ50" s="41"/>
      <c r="CCM50" s="32"/>
      <c r="CCO50" s="12"/>
      <c r="CCQ50" s="34"/>
      <c r="CCR50" s="39"/>
      <c r="CCS50" s="41"/>
      <c r="CCV50" s="32"/>
      <c r="CCX50" s="12"/>
      <c r="CCZ50" s="34"/>
      <c r="CDA50" s="39"/>
      <c r="CDB50" s="41"/>
      <c r="CDE50" s="32"/>
      <c r="CDG50" s="12"/>
      <c r="CDI50" s="34"/>
      <c r="CDJ50" s="39"/>
      <c r="CDK50" s="41"/>
      <c r="CDN50" s="32"/>
      <c r="CDP50" s="12"/>
      <c r="CDR50" s="34"/>
      <c r="CDS50" s="39"/>
      <c r="CDT50" s="41"/>
      <c r="CDW50" s="32"/>
      <c r="CDY50" s="12"/>
      <c r="CEA50" s="34"/>
      <c r="CEB50" s="39"/>
      <c r="CEC50" s="41"/>
      <c r="CEF50" s="32"/>
      <c r="CEH50" s="12"/>
      <c r="CEJ50" s="34"/>
      <c r="CEK50" s="39"/>
      <c r="CEL50" s="41"/>
      <c r="CEO50" s="32"/>
      <c r="CEQ50" s="12"/>
      <c r="CES50" s="34"/>
      <c r="CET50" s="39"/>
      <c r="CEU50" s="41"/>
      <c r="CEX50" s="32"/>
      <c r="CEZ50" s="12"/>
      <c r="CFB50" s="34"/>
      <c r="CFC50" s="39"/>
      <c r="CFD50" s="41"/>
      <c r="CFG50" s="32"/>
      <c r="CFI50" s="12"/>
      <c r="CFK50" s="34"/>
      <c r="CFL50" s="39"/>
      <c r="CFM50" s="41"/>
      <c r="CFP50" s="32"/>
      <c r="CFR50" s="12"/>
      <c r="CFT50" s="34"/>
      <c r="CFU50" s="39"/>
      <c r="CFV50" s="41"/>
      <c r="CFY50" s="32"/>
      <c r="CGA50" s="12"/>
      <c r="CGC50" s="34"/>
      <c r="CGD50" s="39"/>
      <c r="CGE50" s="41"/>
      <c r="CGH50" s="32"/>
      <c r="CGJ50" s="12"/>
      <c r="CGL50" s="34"/>
      <c r="CGM50" s="39"/>
      <c r="CGN50" s="41"/>
      <c r="CGQ50" s="32"/>
      <c r="CGS50" s="12"/>
      <c r="CGU50" s="34"/>
      <c r="CGV50" s="39"/>
      <c r="CGW50" s="41"/>
      <c r="CGZ50" s="32"/>
      <c r="CHB50" s="12"/>
      <c r="CHD50" s="34"/>
      <c r="CHE50" s="39"/>
      <c r="CHF50" s="41"/>
      <c r="CHI50" s="32"/>
      <c r="CHK50" s="12"/>
      <c r="CHM50" s="34"/>
      <c r="CHN50" s="39"/>
      <c r="CHO50" s="41"/>
      <c r="CHR50" s="32"/>
      <c r="CHT50" s="12"/>
      <c r="CHV50" s="34"/>
      <c r="CHW50" s="39"/>
      <c r="CHX50" s="41"/>
      <c r="CIA50" s="32"/>
      <c r="CIC50" s="12"/>
      <c r="CIE50" s="34"/>
      <c r="CIF50" s="39"/>
      <c r="CIG50" s="41"/>
      <c r="CIJ50" s="32"/>
      <c r="CIL50" s="12"/>
      <c r="CIN50" s="34"/>
      <c r="CIO50" s="39"/>
      <c r="CIP50" s="41"/>
      <c r="CIS50" s="32"/>
      <c r="CIU50" s="12"/>
      <c r="CIW50" s="34"/>
      <c r="CIX50" s="39"/>
      <c r="CIY50" s="41"/>
      <c r="CJB50" s="32"/>
      <c r="CJD50" s="12"/>
      <c r="CJF50" s="34"/>
      <c r="CJG50" s="39"/>
      <c r="CJH50" s="41"/>
      <c r="CJK50" s="32"/>
      <c r="CJM50" s="12"/>
      <c r="CJO50" s="34"/>
      <c r="CJP50" s="39"/>
      <c r="CJQ50" s="41"/>
      <c r="CJT50" s="32"/>
      <c r="CJV50" s="12"/>
      <c r="CJX50" s="34"/>
      <c r="CJY50" s="39"/>
      <c r="CJZ50" s="41"/>
      <c r="CKC50" s="32"/>
      <c r="CKE50" s="12"/>
      <c r="CKG50" s="34"/>
      <c r="CKH50" s="39"/>
      <c r="CKI50" s="41"/>
      <c r="CKL50" s="32"/>
      <c r="CKN50" s="12"/>
      <c r="CKP50" s="34"/>
      <c r="CKQ50" s="39"/>
      <c r="CKR50" s="41"/>
      <c r="CKU50" s="32"/>
      <c r="CKW50" s="12"/>
      <c r="CKY50" s="34"/>
      <c r="CKZ50" s="39"/>
      <c r="CLA50" s="41"/>
      <c r="CLD50" s="32"/>
      <c r="CLF50" s="12"/>
      <c r="CLH50" s="34"/>
      <c r="CLI50" s="39"/>
      <c r="CLJ50" s="41"/>
      <c r="CLM50" s="32"/>
      <c r="CLO50" s="12"/>
      <c r="CLQ50" s="34"/>
      <c r="CLR50" s="39"/>
      <c r="CLS50" s="41"/>
      <c r="CLV50" s="32"/>
      <c r="CLX50" s="12"/>
      <c r="CLZ50" s="34"/>
      <c r="CMA50" s="39"/>
      <c r="CMB50" s="41"/>
      <c r="CME50" s="32"/>
      <c r="CMG50" s="12"/>
      <c r="CMI50" s="34"/>
      <c r="CMJ50" s="39"/>
      <c r="CMK50" s="41"/>
      <c r="CMN50" s="32"/>
      <c r="CMP50" s="12"/>
      <c r="CMR50" s="34"/>
      <c r="CMS50" s="39"/>
      <c r="CMT50" s="41"/>
      <c r="CMW50" s="32"/>
      <c r="CMY50" s="12"/>
      <c r="CNA50" s="34"/>
      <c r="CNB50" s="39"/>
      <c r="CNC50" s="41"/>
      <c r="CNF50" s="32"/>
      <c r="CNH50" s="12"/>
      <c r="CNJ50" s="34"/>
      <c r="CNK50" s="39"/>
      <c r="CNL50" s="41"/>
      <c r="CNO50" s="32"/>
      <c r="CNQ50" s="12"/>
      <c r="CNS50" s="34"/>
      <c r="CNT50" s="39"/>
      <c r="CNU50" s="41"/>
      <c r="CNX50" s="32"/>
      <c r="CNZ50" s="12"/>
      <c r="COB50" s="34"/>
      <c r="COC50" s="39"/>
      <c r="COD50" s="41"/>
      <c r="COG50" s="32"/>
      <c r="COI50" s="12"/>
      <c r="COK50" s="34"/>
      <c r="COL50" s="39"/>
      <c r="COM50" s="41"/>
      <c r="COP50" s="32"/>
      <c r="COR50" s="12"/>
      <c r="COT50" s="34"/>
      <c r="COU50" s="39"/>
      <c r="COV50" s="41"/>
      <c r="COY50" s="32"/>
      <c r="CPA50" s="12"/>
      <c r="CPC50" s="34"/>
      <c r="CPD50" s="39"/>
      <c r="CPE50" s="41"/>
      <c r="CPH50" s="32"/>
      <c r="CPJ50" s="12"/>
      <c r="CPL50" s="34"/>
      <c r="CPM50" s="39"/>
      <c r="CPN50" s="41"/>
      <c r="CPQ50" s="32"/>
      <c r="CPS50" s="12"/>
      <c r="CPU50" s="34"/>
      <c r="CPV50" s="39"/>
      <c r="CPW50" s="41"/>
      <c r="CPZ50" s="32"/>
      <c r="CQB50" s="12"/>
      <c r="CQD50" s="34"/>
      <c r="CQE50" s="39"/>
      <c r="CQF50" s="41"/>
      <c r="CQI50" s="32"/>
      <c r="CQK50" s="12"/>
      <c r="CQM50" s="34"/>
      <c r="CQN50" s="39"/>
      <c r="CQO50" s="41"/>
      <c r="CQR50" s="32"/>
      <c r="CQT50" s="12"/>
      <c r="CQV50" s="34"/>
      <c r="CQW50" s="39"/>
      <c r="CQX50" s="41"/>
      <c r="CRA50" s="32"/>
      <c r="CRC50" s="12"/>
      <c r="CRE50" s="34"/>
      <c r="CRF50" s="39"/>
      <c r="CRG50" s="41"/>
      <c r="CRJ50" s="32"/>
      <c r="CRL50" s="12"/>
      <c r="CRN50" s="34"/>
      <c r="CRO50" s="39"/>
      <c r="CRP50" s="41"/>
      <c r="CRS50" s="32"/>
      <c r="CRU50" s="12"/>
      <c r="CRW50" s="34"/>
      <c r="CRX50" s="39"/>
      <c r="CRY50" s="41"/>
      <c r="CSB50" s="32"/>
      <c r="CSD50" s="12"/>
      <c r="CSF50" s="34"/>
      <c r="CSG50" s="39"/>
      <c r="CSH50" s="41"/>
      <c r="CSK50" s="32"/>
      <c r="CSM50" s="12"/>
      <c r="CSO50" s="34"/>
      <c r="CSP50" s="39"/>
      <c r="CSQ50" s="41"/>
      <c r="CST50" s="32"/>
      <c r="CSV50" s="12"/>
      <c r="CSX50" s="34"/>
      <c r="CSY50" s="39"/>
      <c r="CSZ50" s="41"/>
      <c r="CTC50" s="32"/>
      <c r="CTE50" s="12"/>
      <c r="CTG50" s="34"/>
      <c r="CTH50" s="39"/>
      <c r="CTI50" s="41"/>
      <c r="CTL50" s="32"/>
      <c r="CTN50" s="12"/>
      <c r="CTP50" s="34"/>
      <c r="CTQ50" s="39"/>
      <c r="CTR50" s="41"/>
      <c r="CTU50" s="32"/>
      <c r="CTW50" s="12"/>
      <c r="CTY50" s="34"/>
      <c r="CTZ50" s="39"/>
      <c r="CUA50" s="41"/>
      <c r="CUD50" s="32"/>
      <c r="CUF50" s="12"/>
      <c r="CUH50" s="34"/>
      <c r="CUI50" s="39"/>
      <c r="CUJ50" s="41"/>
      <c r="CUM50" s="32"/>
      <c r="CUO50" s="12"/>
      <c r="CUQ50" s="34"/>
      <c r="CUR50" s="39"/>
      <c r="CUS50" s="41"/>
      <c r="CUV50" s="32"/>
      <c r="CUX50" s="12"/>
      <c r="CUZ50" s="34"/>
      <c r="CVA50" s="39"/>
      <c r="CVB50" s="41"/>
      <c r="CVE50" s="32"/>
      <c r="CVG50" s="12"/>
      <c r="CVI50" s="34"/>
      <c r="CVJ50" s="39"/>
      <c r="CVK50" s="41"/>
      <c r="CVN50" s="32"/>
      <c r="CVP50" s="12"/>
      <c r="CVR50" s="34"/>
      <c r="CVS50" s="39"/>
      <c r="CVT50" s="41"/>
      <c r="CVW50" s="32"/>
      <c r="CVY50" s="12"/>
      <c r="CWA50" s="34"/>
      <c r="CWB50" s="39"/>
      <c r="CWC50" s="41"/>
      <c r="CWF50" s="32"/>
      <c r="CWH50" s="12"/>
      <c r="CWJ50" s="34"/>
      <c r="CWK50" s="39"/>
      <c r="CWL50" s="41"/>
      <c r="CWO50" s="32"/>
      <c r="CWQ50" s="12"/>
      <c r="CWS50" s="34"/>
      <c r="CWT50" s="39"/>
      <c r="CWU50" s="41"/>
      <c r="CWX50" s="32"/>
      <c r="CWZ50" s="12"/>
      <c r="CXB50" s="34"/>
      <c r="CXC50" s="39"/>
      <c r="CXD50" s="41"/>
      <c r="CXG50" s="32"/>
      <c r="CXI50" s="12"/>
      <c r="CXK50" s="34"/>
      <c r="CXL50" s="39"/>
      <c r="CXM50" s="41"/>
      <c r="CXP50" s="32"/>
      <c r="CXR50" s="12"/>
      <c r="CXT50" s="34"/>
      <c r="CXU50" s="39"/>
      <c r="CXV50" s="41"/>
      <c r="CXY50" s="32"/>
      <c r="CYA50" s="12"/>
      <c r="CYC50" s="34"/>
      <c r="CYD50" s="39"/>
      <c r="CYE50" s="41"/>
      <c r="CYH50" s="32"/>
      <c r="CYJ50" s="12"/>
      <c r="CYL50" s="34"/>
      <c r="CYM50" s="39"/>
      <c r="CYN50" s="41"/>
      <c r="CYQ50" s="32"/>
      <c r="CYS50" s="12"/>
      <c r="CYU50" s="34"/>
      <c r="CYV50" s="39"/>
      <c r="CYW50" s="41"/>
      <c r="CYZ50" s="32"/>
      <c r="CZB50" s="12"/>
      <c r="CZD50" s="34"/>
      <c r="CZE50" s="39"/>
      <c r="CZF50" s="41"/>
      <c r="CZI50" s="32"/>
      <c r="CZK50" s="12"/>
      <c r="CZM50" s="34"/>
      <c r="CZN50" s="39"/>
      <c r="CZO50" s="41"/>
      <c r="CZR50" s="32"/>
      <c r="CZT50" s="12"/>
      <c r="CZV50" s="34"/>
      <c r="CZW50" s="39"/>
      <c r="CZX50" s="41"/>
      <c r="DAA50" s="32"/>
      <c r="DAC50" s="12"/>
      <c r="DAE50" s="34"/>
      <c r="DAF50" s="39"/>
      <c r="DAG50" s="41"/>
      <c r="DAJ50" s="32"/>
      <c r="DAL50" s="12"/>
      <c r="DAN50" s="34"/>
      <c r="DAO50" s="39"/>
      <c r="DAP50" s="41"/>
      <c r="DAS50" s="32"/>
      <c r="DAU50" s="12"/>
      <c r="DAW50" s="34"/>
      <c r="DAX50" s="39"/>
      <c r="DAY50" s="41"/>
      <c r="DBB50" s="32"/>
      <c r="DBD50" s="12"/>
      <c r="DBF50" s="34"/>
      <c r="DBG50" s="39"/>
      <c r="DBH50" s="41"/>
      <c r="DBK50" s="32"/>
      <c r="DBM50" s="12"/>
      <c r="DBO50" s="34"/>
      <c r="DBP50" s="39"/>
      <c r="DBQ50" s="41"/>
      <c r="DBT50" s="32"/>
      <c r="DBV50" s="12"/>
      <c r="DBX50" s="34"/>
      <c r="DBY50" s="39"/>
      <c r="DBZ50" s="41"/>
      <c r="DCC50" s="32"/>
      <c r="DCE50" s="12"/>
      <c r="DCG50" s="34"/>
      <c r="DCH50" s="39"/>
      <c r="DCI50" s="41"/>
      <c r="DCL50" s="32"/>
      <c r="DCN50" s="12"/>
      <c r="DCP50" s="34"/>
      <c r="DCQ50" s="39"/>
      <c r="DCR50" s="41"/>
      <c r="DCU50" s="32"/>
      <c r="DCW50" s="12"/>
      <c r="DCY50" s="34"/>
      <c r="DCZ50" s="39"/>
      <c r="DDA50" s="41"/>
      <c r="DDD50" s="32"/>
      <c r="DDF50" s="12"/>
      <c r="DDH50" s="34"/>
      <c r="DDI50" s="39"/>
      <c r="DDJ50" s="41"/>
      <c r="DDM50" s="32"/>
      <c r="DDO50" s="12"/>
      <c r="DDQ50" s="34"/>
      <c r="DDR50" s="39"/>
      <c r="DDS50" s="41"/>
      <c r="DDV50" s="32"/>
      <c r="DDX50" s="12"/>
      <c r="DDZ50" s="34"/>
      <c r="DEA50" s="39"/>
      <c r="DEB50" s="41"/>
      <c r="DEE50" s="32"/>
      <c r="DEG50" s="12"/>
      <c r="DEI50" s="34"/>
      <c r="DEJ50" s="39"/>
      <c r="DEK50" s="41"/>
      <c r="DEN50" s="32"/>
      <c r="DEP50" s="12"/>
      <c r="DER50" s="34"/>
      <c r="DES50" s="39"/>
      <c r="DET50" s="41"/>
      <c r="DEW50" s="32"/>
      <c r="DEY50" s="12"/>
      <c r="DFA50" s="34"/>
      <c r="DFB50" s="39"/>
      <c r="DFC50" s="41"/>
      <c r="DFF50" s="32"/>
      <c r="DFH50" s="12"/>
      <c r="DFJ50" s="34"/>
      <c r="DFK50" s="39"/>
      <c r="DFL50" s="41"/>
      <c r="DFO50" s="32"/>
      <c r="DFQ50" s="12"/>
      <c r="DFS50" s="34"/>
      <c r="DFT50" s="39"/>
      <c r="DFU50" s="41"/>
      <c r="DFX50" s="32"/>
      <c r="DFZ50" s="12"/>
      <c r="DGB50" s="34"/>
      <c r="DGC50" s="39"/>
      <c r="DGD50" s="41"/>
      <c r="DGG50" s="32"/>
      <c r="DGI50" s="12"/>
      <c r="DGK50" s="34"/>
      <c r="DGL50" s="39"/>
      <c r="DGM50" s="41"/>
      <c r="DGP50" s="32"/>
      <c r="DGR50" s="12"/>
      <c r="DGT50" s="34"/>
      <c r="DGU50" s="39"/>
      <c r="DGV50" s="41"/>
      <c r="DGY50" s="32"/>
      <c r="DHA50" s="12"/>
      <c r="DHC50" s="34"/>
      <c r="DHD50" s="39"/>
      <c r="DHE50" s="41"/>
      <c r="DHH50" s="32"/>
      <c r="DHJ50" s="12"/>
      <c r="DHL50" s="34"/>
      <c r="DHM50" s="39"/>
      <c r="DHN50" s="41"/>
      <c r="DHQ50" s="32"/>
      <c r="DHS50" s="12"/>
      <c r="DHU50" s="34"/>
      <c r="DHV50" s="39"/>
      <c r="DHW50" s="41"/>
      <c r="DHZ50" s="32"/>
      <c r="DIB50" s="12"/>
      <c r="DID50" s="34"/>
      <c r="DIE50" s="39"/>
      <c r="DIF50" s="41"/>
      <c r="DII50" s="32"/>
      <c r="DIK50" s="12"/>
      <c r="DIM50" s="34"/>
      <c r="DIN50" s="39"/>
      <c r="DIO50" s="41"/>
      <c r="DIR50" s="32"/>
      <c r="DIT50" s="12"/>
      <c r="DIV50" s="34"/>
      <c r="DIW50" s="39"/>
      <c r="DIX50" s="41"/>
      <c r="DJA50" s="32"/>
      <c r="DJC50" s="12"/>
      <c r="DJE50" s="34"/>
      <c r="DJF50" s="39"/>
      <c r="DJG50" s="41"/>
      <c r="DJJ50" s="32"/>
      <c r="DJL50" s="12"/>
      <c r="DJN50" s="34"/>
      <c r="DJO50" s="39"/>
      <c r="DJP50" s="41"/>
      <c r="DJS50" s="32"/>
      <c r="DJU50" s="12"/>
      <c r="DJW50" s="34"/>
      <c r="DJX50" s="39"/>
      <c r="DJY50" s="41"/>
      <c r="DKB50" s="32"/>
      <c r="DKD50" s="12"/>
      <c r="DKF50" s="34"/>
      <c r="DKG50" s="39"/>
      <c r="DKH50" s="41"/>
      <c r="DKK50" s="32"/>
      <c r="DKM50" s="12"/>
      <c r="DKO50" s="34"/>
      <c r="DKP50" s="39"/>
      <c r="DKQ50" s="41"/>
      <c r="DKT50" s="32"/>
      <c r="DKV50" s="12"/>
      <c r="DKX50" s="34"/>
      <c r="DKY50" s="39"/>
      <c r="DKZ50" s="41"/>
      <c r="DLC50" s="32"/>
      <c r="DLE50" s="12"/>
      <c r="DLG50" s="34"/>
      <c r="DLH50" s="39"/>
      <c r="DLI50" s="41"/>
      <c r="DLL50" s="32"/>
      <c r="DLN50" s="12"/>
      <c r="DLP50" s="34"/>
      <c r="DLQ50" s="39"/>
      <c r="DLR50" s="41"/>
      <c r="DLU50" s="32"/>
      <c r="DLW50" s="12"/>
      <c r="DLY50" s="34"/>
      <c r="DLZ50" s="39"/>
      <c r="DMA50" s="41"/>
      <c r="DMD50" s="32"/>
      <c r="DMF50" s="12"/>
      <c r="DMH50" s="34"/>
      <c r="DMI50" s="39"/>
      <c r="DMJ50" s="41"/>
      <c r="DMM50" s="32"/>
      <c r="DMO50" s="12"/>
      <c r="DMQ50" s="34"/>
      <c r="DMR50" s="39"/>
      <c r="DMS50" s="41"/>
      <c r="DMV50" s="32"/>
      <c r="DMX50" s="12"/>
      <c r="DMZ50" s="34"/>
      <c r="DNA50" s="39"/>
      <c r="DNB50" s="41"/>
      <c r="DNE50" s="32"/>
      <c r="DNG50" s="12"/>
      <c r="DNI50" s="34"/>
      <c r="DNJ50" s="39"/>
      <c r="DNK50" s="41"/>
      <c r="DNN50" s="32"/>
      <c r="DNP50" s="12"/>
      <c r="DNR50" s="34"/>
      <c r="DNS50" s="39"/>
      <c r="DNT50" s="41"/>
      <c r="DNW50" s="32"/>
      <c r="DNY50" s="12"/>
      <c r="DOA50" s="34"/>
      <c r="DOB50" s="39"/>
      <c r="DOC50" s="41"/>
      <c r="DOF50" s="32"/>
      <c r="DOH50" s="12"/>
      <c r="DOJ50" s="34"/>
      <c r="DOK50" s="39"/>
      <c r="DOL50" s="41"/>
      <c r="DOO50" s="32"/>
      <c r="DOQ50" s="12"/>
      <c r="DOS50" s="34"/>
      <c r="DOT50" s="39"/>
      <c r="DOU50" s="41"/>
      <c r="DOX50" s="32"/>
      <c r="DOZ50" s="12"/>
      <c r="DPB50" s="34"/>
      <c r="DPC50" s="39"/>
      <c r="DPD50" s="41"/>
      <c r="DPG50" s="32"/>
      <c r="DPI50" s="12"/>
      <c r="DPK50" s="34"/>
      <c r="DPL50" s="39"/>
      <c r="DPM50" s="41"/>
      <c r="DPP50" s="32"/>
      <c r="DPR50" s="12"/>
      <c r="DPT50" s="34"/>
      <c r="DPU50" s="39"/>
      <c r="DPV50" s="41"/>
      <c r="DPY50" s="32"/>
      <c r="DQA50" s="12"/>
      <c r="DQC50" s="34"/>
      <c r="DQD50" s="39"/>
      <c r="DQE50" s="41"/>
      <c r="DQH50" s="32"/>
      <c r="DQJ50" s="12"/>
      <c r="DQL50" s="34"/>
      <c r="DQM50" s="39"/>
      <c r="DQN50" s="41"/>
      <c r="DQQ50" s="32"/>
      <c r="DQS50" s="12"/>
      <c r="DQU50" s="34"/>
      <c r="DQV50" s="39"/>
      <c r="DQW50" s="41"/>
      <c r="DQZ50" s="32"/>
      <c r="DRB50" s="12"/>
      <c r="DRD50" s="34"/>
      <c r="DRE50" s="39"/>
      <c r="DRF50" s="41"/>
      <c r="DRI50" s="32"/>
      <c r="DRK50" s="12"/>
      <c r="DRM50" s="34"/>
      <c r="DRN50" s="39"/>
      <c r="DRO50" s="41"/>
      <c r="DRR50" s="32"/>
      <c r="DRT50" s="12"/>
      <c r="DRV50" s="34"/>
      <c r="DRW50" s="39"/>
      <c r="DRX50" s="41"/>
      <c r="DSA50" s="32"/>
      <c r="DSC50" s="12"/>
      <c r="DSE50" s="34"/>
      <c r="DSF50" s="39"/>
      <c r="DSG50" s="41"/>
      <c r="DSJ50" s="32"/>
      <c r="DSL50" s="12"/>
      <c r="DSN50" s="34"/>
      <c r="DSO50" s="39"/>
      <c r="DSP50" s="41"/>
      <c r="DSS50" s="32"/>
      <c r="DSU50" s="12"/>
      <c r="DSW50" s="34"/>
      <c r="DSX50" s="39"/>
      <c r="DSY50" s="41"/>
      <c r="DTB50" s="32"/>
      <c r="DTD50" s="12"/>
      <c r="DTF50" s="34"/>
      <c r="DTG50" s="39"/>
      <c r="DTH50" s="41"/>
      <c r="DTK50" s="32"/>
      <c r="DTM50" s="12"/>
      <c r="DTO50" s="34"/>
      <c r="DTP50" s="39"/>
      <c r="DTQ50" s="41"/>
      <c r="DTT50" s="32"/>
      <c r="DTV50" s="12"/>
      <c r="DTX50" s="34"/>
      <c r="DTY50" s="39"/>
      <c r="DTZ50" s="41"/>
      <c r="DUC50" s="32"/>
      <c r="DUE50" s="12"/>
      <c r="DUG50" s="34"/>
      <c r="DUH50" s="39"/>
      <c r="DUI50" s="41"/>
      <c r="DUL50" s="32"/>
      <c r="DUN50" s="12"/>
      <c r="DUP50" s="34"/>
      <c r="DUQ50" s="39"/>
      <c r="DUR50" s="41"/>
      <c r="DUU50" s="32"/>
      <c r="DUW50" s="12"/>
      <c r="DUY50" s="34"/>
      <c r="DUZ50" s="39"/>
      <c r="DVA50" s="41"/>
      <c r="DVD50" s="32"/>
      <c r="DVF50" s="12"/>
      <c r="DVH50" s="34"/>
      <c r="DVI50" s="39"/>
      <c r="DVJ50" s="41"/>
      <c r="DVM50" s="32"/>
      <c r="DVO50" s="12"/>
      <c r="DVQ50" s="34"/>
      <c r="DVR50" s="39"/>
      <c r="DVS50" s="41"/>
      <c r="DVV50" s="32"/>
      <c r="DVX50" s="12"/>
      <c r="DVZ50" s="34"/>
      <c r="DWA50" s="39"/>
      <c r="DWB50" s="41"/>
      <c r="DWE50" s="32"/>
      <c r="DWG50" s="12"/>
      <c r="DWI50" s="34"/>
      <c r="DWJ50" s="39"/>
      <c r="DWK50" s="41"/>
      <c r="DWN50" s="32"/>
      <c r="DWP50" s="12"/>
      <c r="DWR50" s="34"/>
      <c r="DWS50" s="39"/>
      <c r="DWT50" s="41"/>
      <c r="DWW50" s="32"/>
      <c r="DWY50" s="12"/>
      <c r="DXA50" s="34"/>
      <c r="DXB50" s="39"/>
      <c r="DXC50" s="41"/>
      <c r="DXF50" s="32"/>
      <c r="DXH50" s="12"/>
      <c r="DXJ50" s="34"/>
      <c r="DXK50" s="39"/>
      <c r="DXL50" s="41"/>
      <c r="DXO50" s="32"/>
      <c r="DXQ50" s="12"/>
      <c r="DXS50" s="34"/>
      <c r="DXT50" s="39"/>
      <c r="DXU50" s="41"/>
      <c r="DXX50" s="32"/>
      <c r="DXZ50" s="12"/>
      <c r="DYB50" s="34"/>
      <c r="DYC50" s="39"/>
      <c r="DYD50" s="41"/>
      <c r="DYG50" s="32"/>
      <c r="DYI50" s="12"/>
      <c r="DYK50" s="34"/>
      <c r="DYL50" s="39"/>
      <c r="DYM50" s="41"/>
      <c r="DYP50" s="32"/>
      <c r="DYR50" s="12"/>
      <c r="DYT50" s="34"/>
      <c r="DYU50" s="39"/>
      <c r="DYV50" s="41"/>
      <c r="DYY50" s="32"/>
      <c r="DZA50" s="12"/>
      <c r="DZC50" s="34"/>
      <c r="DZD50" s="39"/>
      <c r="DZE50" s="41"/>
      <c r="DZH50" s="32"/>
      <c r="DZJ50" s="12"/>
      <c r="DZL50" s="34"/>
      <c r="DZM50" s="39"/>
      <c r="DZN50" s="41"/>
      <c r="DZQ50" s="32"/>
      <c r="DZS50" s="12"/>
      <c r="DZU50" s="34"/>
      <c r="DZV50" s="39"/>
      <c r="DZW50" s="41"/>
      <c r="DZZ50" s="32"/>
      <c r="EAB50" s="12"/>
      <c r="EAD50" s="34"/>
      <c r="EAE50" s="39"/>
      <c r="EAF50" s="41"/>
      <c r="EAI50" s="32"/>
      <c r="EAK50" s="12"/>
      <c r="EAM50" s="34"/>
      <c r="EAN50" s="39"/>
      <c r="EAO50" s="41"/>
      <c r="EAR50" s="32"/>
      <c r="EAT50" s="12"/>
      <c r="EAV50" s="34"/>
      <c r="EAW50" s="39"/>
      <c r="EAX50" s="41"/>
      <c r="EBA50" s="32"/>
      <c r="EBC50" s="12"/>
      <c r="EBE50" s="34"/>
      <c r="EBF50" s="39"/>
      <c r="EBG50" s="41"/>
      <c r="EBJ50" s="32"/>
      <c r="EBL50" s="12"/>
      <c r="EBN50" s="34"/>
      <c r="EBO50" s="39"/>
      <c r="EBP50" s="41"/>
      <c r="EBS50" s="32"/>
      <c r="EBU50" s="12"/>
      <c r="EBW50" s="34"/>
      <c r="EBX50" s="39"/>
      <c r="EBY50" s="41"/>
      <c r="ECB50" s="32"/>
      <c r="ECD50" s="12"/>
      <c r="ECF50" s="34"/>
      <c r="ECG50" s="39"/>
      <c r="ECH50" s="41"/>
      <c r="ECK50" s="32"/>
      <c r="ECM50" s="12"/>
      <c r="ECO50" s="34"/>
      <c r="ECP50" s="39"/>
      <c r="ECQ50" s="41"/>
      <c r="ECT50" s="32"/>
      <c r="ECV50" s="12"/>
      <c r="ECX50" s="34"/>
      <c r="ECY50" s="39"/>
      <c r="ECZ50" s="41"/>
      <c r="EDC50" s="32"/>
      <c r="EDE50" s="12"/>
      <c r="EDG50" s="34"/>
      <c r="EDH50" s="39"/>
      <c r="EDI50" s="41"/>
      <c r="EDL50" s="32"/>
      <c r="EDN50" s="12"/>
      <c r="EDP50" s="34"/>
      <c r="EDQ50" s="39"/>
      <c r="EDR50" s="41"/>
      <c r="EDU50" s="32"/>
      <c r="EDW50" s="12"/>
      <c r="EDY50" s="34"/>
      <c r="EDZ50" s="39"/>
      <c r="EEA50" s="41"/>
      <c r="EED50" s="32"/>
      <c r="EEF50" s="12"/>
      <c r="EEH50" s="34"/>
      <c r="EEI50" s="39"/>
      <c r="EEJ50" s="41"/>
      <c r="EEM50" s="32"/>
      <c r="EEO50" s="12"/>
      <c r="EEQ50" s="34"/>
      <c r="EER50" s="39"/>
      <c r="EES50" s="41"/>
      <c r="EEV50" s="32"/>
      <c r="EEX50" s="12"/>
      <c r="EEZ50" s="34"/>
      <c r="EFA50" s="39"/>
      <c r="EFB50" s="41"/>
      <c r="EFE50" s="32"/>
      <c r="EFG50" s="12"/>
      <c r="EFI50" s="34"/>
      <c r="EFJ50" s="39"/>
      <c r="EFK50" s="41"/>
      <c r="EFN50" s="32"/>
      <c r="EFP50" s="12"/>
      <c r="EFR50" s="34"/>
      <c r="EFS50" s="39"/>
      <c r="EFT50" s="41"/>
      <c r="EFW50" s="32"/>
      <c r="EFY50" s="12"/>
      <c r="EGA50" s="34"/>
      <c r="EGB50" s="39"/>
      <c r="EGC50" s="41"/>
      <c r="EGF50" s="32"/>
      <c r="EGH50" s="12"/>
      <c r="EGJ50" s="34"/>
      <c r="EGK50" s="39"/>
      <c r="EGL50" s="41"/>
      <c r="EGO50" s="32"/>
      <c r="EGQ50" s="12"/>
      <c r="EGS50" s="34"/>
      <c r="EGT50" s="39"/>
      <c r="EGU50" s="41"/>
      <c r="EGX50" s="32"/>
      <c r="EGZ50" s="12"/>
      <c r="EHB50" s="34"/>
      <c r="EHC50" s="39"/>
      <c r="EHD50" s="41"/>
      <c r="EHG50" s="32"/>
      <c r="EHI50" s="12"/>
      <c r="EHK50" s="34"/>
      <c r="EHL50" s="39"/>
      <c r="EHM50" s="41"/>
      <c r="EHP50" s="32"/>
      <c r="EHR50" s="12"/>
      <c r="EHT50" s="34"/>
      <c r="EHU50" s="39"/>
      <c r="EHV50" s="41"/>
      <c r="EHY50" s="32"/>
      <c r="EIA50" s="12"/>
      <c r="EIC50" s="34"/>
      <c r="EID50" s="39"/>
      <c r="EIE50" s="41"/>
      <c r="EIH50" s="32"/>
      <c r="EIJ50" s="12"/>
      <c r="EIL50" s="34"/>
      <c r="EIM50" s="39"/>
      <c r="EIN50" s="41"/>
      <c r="EIQ50" s="32"/>
      <c r="EIS50" s="12"/>
      <c r="EIU50" s="34"/>
      <c r="EIV50" s="39"/>
      <c r="EIW50" s="41"/>
      <c r="EIZ50" s="32"/>
      <c r="EJB50" s="12"/>
      <c r="EJD50" s="34"/>
      <c r="EJE50" s="39"/>
      <c r="EJF50" s="41"/>
      <c r="EJI50" s="32"/>
      <c r="EJK50" s="12"/>
      <c r="EJM50" s="34"/>
      <c r="EJN50" s="39"/>
      <c r="EJO50" s="41"/>
      <c r="EJR50" s="32"/>
      <c r="EJT50" s="12"/>
      <c r="EJV50" s="34"/>
      <c r="EJW50" s="39"/>
      <c r="EJX50" s="41"/>
      <c r="EKA50" s="32"/>
      <c r="EKC50" s="12"/>
      <c r="EKE50" s="34"/>
      <c r="EKF50" s="39"/>
      <c r="EKG50" s="41"/>
      <c r="EKJ50" s="32"/>
      <c r="EKL50" s="12"/>
      <c r="EKN50" s="34"/>
      <c r="EKO50" s="39"/>
      <c r="EKP50" s="41"/>
      <c r="EKS50" s="32"/>
      <c r="EKU50" s="12"/>
      <c r="EKW50" s="34"/>
      <c r="EKX50" s="39"/>
      <c r="EKY50" s="41"/>
      <c r="ELB50" s="32"/>
      <c r="ELD50" s="12"/>
      <c r="ELF50" s="34"/>
      <c r="ELG50" s="39"/>
      <c r="ELH50" s="41"/>
      <c r="ELK50" s="32"/>
      <c r="ELM50" s="12"/>
      <c r="ELO50" s="34"/>
      <c r="ELP50" s="39"/>
      <c r="ELQ50" s="41"/>
      <c r="ELT50" s="32"/>
      <c r="ELV50" s="12"/>
      <c r="ELX50" s="34"/>
      <c r="ELY50" s="39"/>
      <c r="ELZ50" s="41"/>
      <c r="EMC50" s="32"/>
      <c r="EME50" s="12"/>
      <c r="EMG50" s="34"/>
      <c r="EMH50" s="39"/>
      <c r="EMI50" s="41"/>
      <c r="EML50" s="32"/>
      <c r="EMN50" s="12"/>
      <c r="EMP50" s="34"/>
      <c r="EMQ50" s="39"/>
      <c r="EMR50" s="41"/>
      <c r="EMU50" s="32"/>
      <c r="EMW50" s="12"/>
      <c r="EMY50" s="34"/>
      <c r="EMZ50" s="39"/>
      <c r="ENA50" s="41"/>
      <c r="END50" s="32"/>
      <c r="ENF50" s="12"/>
      <c r="ENH50" s="34"/>
      <c r="ENI50" s="39"/>
      <c r="ENJ50" s="41"/>
      <c r="ENM50" s="32"/>
      <c r="ENO50" s="12"/>
      <c r="ENQ50" s="34"/>
      <c r="ENR50" s="39"/>
      <c r="ENS50" s="41"/>
      <c r="ENV50" s="32"/>
      <c r="ENX50" s="12"/>
      <c r="ENZ50" s="34"/>
      <c r="EOA50" s="39"/>
      <c r="EOB50" s="41"/>
      <c r="EOE50" s="32"/>
      <c r="EOG50" s="12"/>
      <c r="EOI50" s="34"/>
      <c r="EOJ50" s="39"/>
      <c r="EOK50" s="41"/>
      <c r="EON50" s="32"/>
      <c r="EOP50" s="12"/>
      <c r="EOR50" s="34"/>
      <c r="EOS50" s="39"/>
      <c r="EOT50" s="41"/>
      <c r="EOW50" s="32"/>
      <c r="EOY50" s="12"/>
      <c r="EPA50" s="34"/>
      <c r="EPB50" s="39"/>
      <c r="EPC50" s="41"/>
      <c r="EPF50" s="32"/>
      <c r="EPH50" s="12"/>
      <c r="EPJ50" s="34"/>
      <c r="EPK50" s="39"/>
      <c r="EPL50" s="41"/>
      <c r="EPO50" s="32"/>
      <c r="EPQ50" s="12"/>
      <c r="EPS50" s="34"/>
      <c r="EPT50" s="39"/>
      <c r="EPU50" s="41"/>
      <c r="EPX50" s="32"/>
      <c r="EPZ50" s="12"/>
      <c r="EQB50" s="34"/>
      <c r="EQC50" s="39"/>
      <c r="EQD50" s="41"/>
      <c r="EQG50" s="32"/>
      <c r="EQI50" s="12"/>
      <c r="EQK50" s="34"/>
      <c r="EQL50" s="39"/>
      <c r="EQM50" s="41"/>
      <c r="EQP50" s="32"/>
      <c r="EQR50" s="12"/>
      <c r="EQT50" s="34"/>
      <c r="EQU50" s="39"/>
      <c r="EQV50" s="41"/>
      <c r="EQY50" s="32"/>
      <c r="ERA50" s="12"/>
      <c r="ERC50" s="34"/>
      <c r="ERD50" s="39"/>
      <c r="ERE50" s="41"/>
      <c r="ERH50" s="32"/>
      <c r="ERJ50" s="12"/>
      <c r="ERL50" s="34"/>
      <c r="ERM50" s="39"/>
      <c r="ERN50" s="41"/>
      <c r="ERQ50" s="32"/>
      <c r="ERS50" s="12"/>
      <c r="ERU50" s="34"/>
      <c r="ERV50" s="39"/>
      <c r="ERW50" s="41"/>
      <c r="ERZ50" s="32"/>
      <c r="ESB50" s="12"/>
      <c r="ESD50" s="34"/>
      <c r="ESE50" s="39"/>
      <c r="ESF50" s="41"/>
      <c r="ESI50" s="32"/>
      <c r="ESK50" s="12"/>
      <c r="ESM50" s="34"/>
      <c r="ESN50" s="39"/>
      <c r="ESO50" s="41"/>
      <c r="ESR50" s="32"/>
      <c r="EST50" s="12"/>
      <c r="ESV50" s="34"/>
      <c r="ESW50" s="39"/>
      <c r="ESX50" s="41"/>
      <c r="ETA50" s="32"/>
      <c r="ETC50" s="12"/>
      <c r="ETE50" s="34"/>
      <c r="ETF50" s="39"/>
      <c r="ETG50" s="41"/>
      <c r="ETJ50" s="32"/>
      <c r="ETL50" s="12"/>
      <c r="ETN50" s="34"/>
      <c r="ETO50" s="39"/>
      <c r="ETP50" s="41"/>
      <c r="ETS50" s="32"/>
      <c r="ETU50" s="12"/>
      <c r="ETW50" s="34"/>
      <c r="ETX50" s="39"/>
      <c r="ETY50" s="41"/>
      <c r="EUB50" s="32"/>
      <c r="EUD50" s="12"/>
      <c r="EUF50" s="34"/>
      <c r="EUG50" s="39"/>
      <c r="EUH50" s="41"/>
      <c r="EUK50" s="32"/>
      <c r="EUM50" s="12"/>
      <c r="EUO50" s="34"/>
      <c r="EUP50" s="39"/>
      <c r="EUQ50" s="41"/>
      <c r="EUT50" s="32"/>
      <c r="EUV50" s="12"/>
      <c r="EUX50" s="34"/>
      <c r="EUY50" s="39"/>
      <c r="EUZ50" s="41"/>
      <c r="EVC50" s="32"/>
      <c r="EVE50" s="12"/>
      <c r="EVG50" s="34"/>
      <c r="EVH50" s="39"/>
      <c r="EVI50" s="41"/>
      <c r="EVL50" s="32"/>
      <c r="EVN50" s="12"/>
      <c r="EVP50" s="34"/>
      <c r="EVQ50" s="39"/>
      <c r="EVR50" s="41"/>
      <c r="EVU50" s="32"/>
      <c r="EVW50" s="12"/>
      <c r="EVY50" s="34"/>
      <c r="EVZ50" s="39"/>
      <c r="EWA50" s="41"/>
      <c r="EWD50" s="32"/>
      <c r="EWF50" s="12"/>
      <c r="EWH50" s="34"/>
      <c r="EWI50" s="39"/>
      <c r="EWJ50" s="41"/>
      <c r="EWM50" s="32"/>
      <c r="EWO50" s="12"/>
      <c r="EWQ50" s="34"/>
      <c r="EWR50" s="39"/>
      <c r="EWS50" s="41"/>
      <c r="EWV50" s="32"/>
      <c r="EWX50" s="12"/>
      <c r="EWZ50" s="34"/>
      <c r="EXA50" s="39"/>
      <c r="EXB50" s="41"/>
      <c r="EXE50" s="32"/>
      <c r="EXG50" s="12"/>
      <c r="EXI50" s="34"/>
      <c r="EXJ50" s="39"/>
      <c r="EXK50" s="41"/>
      <c r="EXN50" s="32"/>
      <c r="EXP50" s="12"/>
      <c r="EXR50" s="34"/>
      <c r="EXS50" s="39"/>
      <c r="EXT50" s="41"/>
      <c r="EXW50" s="32"/>
      <c r="EXY50" s="12"/>
      <c r="EYA50" s="34"/>
      <c r="EYB50" s="39"/>
      <c r="EYC50" s="41"/>
      <c r="EYF50" s="32"/>
      <c r="EYH50" s="12"/>
      <c r="EYJ50" s="34"/>
      <c r="EYK50" s="39"/>
      <c r="EYL50" s="41"/>
      <c r="EYO50" s="32"/>
      <c r="EYQ50" s="12"/>
      <c r="EYS50" s="34"/>
      <c r="EYT50" s="39"/>
      <c r="EYU50" s="41"/>
      <c r="EYX50" s="32"/>
      <c r="EYZ50" s="12"/>
      <c r="EZB50" s="34"/>
      <c r="EZC50" s="39"/>
      <c r="EZD50" s="41"/>
      <c r="EZG50" s="32"/>
      <c r="EZI50" s="12"/>
      <c r="EZK50" s="34"/>
      <c r="EZL50" s="39"/>
      <c r="EZM50" s="41"/>
      <c r="EZP50" s="32"/>
      <c r="EZR50" s="12"/>
      <c r="EZT50" s="34"/>
      <c r="EZU50" s="39"/>
      <c r="EZV50" s="41"/>
      <c r="EZY50" s="32"/>
      <c r="FAA50" s="12"/>
      <c r="FAC50" s="34"/>
      <c r="FAD50" s="39"/>
      <c r="FAE50" s="41"/>
      <c r="FAH50" s="32"/>
      <c r="FAJ50" s="12"/>
      <c r="FAL50" s="34"/>
      <c r="FAM50" s="39"/>
      <c r="FAN50" s="41"/>
      <c r="FAQ50" s="32"/>
      <c r="FAS50" s="12"/>
      <c r="FAU50" s="34"/>
      <c r="FAV50" s="39"/>
      <c r="FAW50" s="41"/>
      <c r="FAZ50" s="32"/>
      <c r="FBB50" s="12"/>
      <c r="FBD50" s="34"/>
      <c r="FBE50" s="39"/>
      <c r="FBF50" s="41"/>
      <c r="FBI50" s="32"/>
      <c r="FBK50" s="12"/>
      <c r="FBM50" s="34"/>
      <c r="FBN50" s="39"/>
      <c r="FBO50" s="41"/>
      <c r="FBR50" s="32"/>
      <c r="FBT50" s="12"/>
      <c r="FBV50" s="34"/>
      <c r="FBW50" s="39"/>
      <c r="FBX50" s="41"/>
      <c r="FCA50" s="32"/>
      <c r="FCC50" s="12"/>
      <c r="FCE50" s="34"/>
      <c r="FCF50" s="39"/>
      <c r="FCG50" s="41"/>
      <c r="FCJ50" s="32"/>
      <c r="FCL50" s="12"/>
      <c r="FCN50" s="34"/>
      <c r="FCO50" s="39"/>
      <c r="FCP50" s="41"/>
      <c r="FCS50" s="32"/>
      <c r="FCU50" s="12"/>
      <c r="FCW50" s="34"/>
      <c r="FCX50" s="39"/>
      <c r="FCY50" s="41"/>
      <c r="FDB50" s="32"/>
      <c r="FDD50" s="12"/>
      <c r="FDF50" s="34"/>
      <c r="FDG50" s="39"/>
      <c r="FDH50" s="41"/>
      <c r="FDK50" s="32"/>
      <c r="FDM50" s="12"/>
      <c r="FDO50" s="34"/>
      <c r="FDP50" s="39"/>
      <c r="FDQ50" s="41"/>
      <c r="FDT50" s="32"/>
      <c r="FDV50" s="12"/>
      <c r="FDX50" s="34"/>
      <c r="FDY50" s="39"/>
      <c r="FDZ50" s="41"/>
      <c r="FEC50" s="32"/>
      <c r="FEE50" s="12"/>
      <c r="FEG50" s="34"/>
      <c r="FEH50" s="39"/>
      <c r="FEI50" s="41"/>
      <c r="FEL50" s="32"/>
      <c r="FEN50" s="12"/>
      <c r="FEP50" s="34"/>
      <c r="FEQ50" s="39"/>
      <c r="FER50" s="41"/>
      <c r="FEU50" s="32"/>
      <c r="FEW50" s="12"/>
      <c r="FEY50" s="34"/>
      <c r="FEZ50" s="39"/>
      <c r="FFA50" s="41"/>
      <c r="FFD50" s="32"/>
      <c r="FFF50" s="12"/>
      <c r="FFH50" s="34"/>
      <c r="FFI50" s="39"/>
      <c r="FFJ50" s="41"/>
      <c r="FFM50" s="32"/>
      <c r="FFO50" s="12"/>
      <c r="FFQ50" s="34"/>
      <c r="FFR50" s="39"/>
      <c r="FFS50" s="41"/>
      <c r="FFV50" s="32"/>
      <c r="FFX50" s="12"/>
      <c r="FFZ50" s="34"/>
      <c r="FGA50" s="39"/>
      <c r="FGB50" s="41"/>
      <c r="FGE50" s="32"/>
      <c r="FGG50" s="12"/>
      <c r="FGI50" s="34"/>
      <c r="FGJ50" s="39"/>
      <c r="FGK50" s="41"/>
      <c r="FGN50" s="32"/>
      <c r="FGP50" s="12"/>
      <c r="FGR50" s="34"/>
      <c r="FGS50" s="39"/>
      <c r="FGT50" s="41"/>
      <c r="FGW50" s="32"/>
      <c r="FGY50" s="12"/>
      <c r="FHA50" s="34"/>
      <c r="FHB50" s="39"/>
      <c r="FHC50" s="41"/>
      <c r="FHF50" s="32"/>
      <c r="FHH50" s="12"/>
      <c r="FHJ50" s="34"/>
      <c r="FHK50" s="39"/>
      <c r="FHL50" s="41"/>
      <c r="FHO50" s="32"/>
      <c r="FHQ50" s="12"/>
      <c r="FHS50" s="34"/>
      <c r="FHT50" s="39"/>
      <c r="FHU50" s="41"/>
      <c r="FHX50" s="32"/>
      <c r="FHZ50" s="12"/>
      <c r="FIB50" s="34"/>
      <c r="FIC50" s="39"/>
      <c r="FID50" s="41"/>
      <c r="FIG50" s="32"/>
      <c r="FII50" s="12"/>
      <c r="FIK50" s="34"/>
      <c r="FIL50" s="39"/>
      <c r="FIM50" s="41"/>
      <c r="FIP50" s="32"/>
      <c r="FIR50" s="12"/>
      <c r="FIT50" s="34"/>
      <c r="FIU50" s="39"/>
      <c r="FIV50" s="41"/>
      <c r="FIY50" s="32"/>
      <c r="FJA50" s="12"/>
      <c r="FJC50" s="34"/>
      <c r="FJD50" s="39"/>
      <c r="FJE50" s="41"/>
      <c r="FJH50" s="32"/>
      <c r="FJJ50" s="12"/>
      <c r="FJL50" s="34"/>
      <c r="FJM50" s="39"/>
      <c r="FJN50" s="41"/>
      <c r="FJQ50" s="32"/>
      <c r="FJS50" s="12"/>
      <c r="FJU50" s="34"/>
      <c r="FJV50" s="39"/>
      <c r="FJW50" s="41"/>
      <c r="FJZ50" s="32"/>
      <c r="FKB50" s="12"/>
      <c r="FKD50" s="34"/>
      <c r="FKE50" s="39"/>
      <c r="FKF50" s="41"/>
      <c r="FKI50" s="32"/>
      <c r="FKK50" s="12"/>
      <c r="FKM50" s="34"/>
      <c r="FKN50" s="39"/>
      <c r="FKO50" s="41"/>
      <c r="FKR50" s="32"/>
      <c r="FKT50" s="12"/>
      <c r="FKV50" s="34"/>
      <c r="FKW50" s="39"/>
      <c r="FKX50" s="41"/>
      <c r="FLA50" s="32"/>
      <c r="FLC50" s="12"/>
      <c r="FLE50" s="34"/>
      <c r="FLF50" s="39"/>
      <c r="FLG50" s="41"/>
      <c r="FLJ50" s="32"/>
      <c r="FLL50" s="12"/>
      <c r="FLN50" s="34"/>
      <c r="FLO50" s="39"/>
      <c r="FLP50" s="41"/>
      <c r="FLS50" s="32"/>
      <c r="FLU50" s="12"/>
      <c r="FLW50" s="34"/>
      <c r="FLX50" s="39"/>
      <c r="FLY50" s="41"/>
      <c r="FMB50" s="32"/>
      <c r="FMD50" s="12"/>
      <c r="FMF50" s="34"/>
      <c r="FMG50" s="39"/>
      <c r="FMH50" s="41"/>
      <c r="FMK50" s="32"/>
      <c r="FMM50" s="12"/>
      <c r="FMO50" s="34"/>
      <c r="FMP50" s="39"/>
      <c r="FMQ50" s="41"/>
      <c r="FMT50" s="32"/>
      <c r="FMV50" s="12"/>
      <c r="FMX50" s="34"/>
      <c r="FMY50" s="39"/>
      <c r="FMZ50" s="41"/>
      <c r="FNC50" s="32"/>
      <c r="FNE50" s="12"/>
      <c r="FNG50" s="34"/>
      <c r="FNH50" s="39"/>
      <c r="FNI50" s="41"/>
      <c r="FNL50" s="32"/>
      <c r="FNN50" s="12"/>
      <c r="FNP50" s="34"/>
      <c r="FNQ50" s="39"/>
      <c r="FNR50" s="41"/>
      <c r="FNU50" s="32"/>
      <c r="FNW50" s="12"/>
      <c r="FNY50" s="34"/>
      <c r="FNZ50" s="39"/>
      <c r="FOA50" s="41"/>
      <c r="FOD50" s="32"/>
      <c r="FOF50" s="12"/>
      <c r="FOH50" s="34"/>
      <c r="FOI50" s="39"/>
      <c r="FOJ50" s="41"/>
      <c r="FOM50" s="32"/>
      <c r="FOO50" s="12"/>
      <c r="FOQ50" s="34"/>
      <c r="FOR50" s="39"/>
      <c r="FOS50" s="41"/>
      <c r="FOV50" s="32"/>
      <c r="FOX50" s="12"/>
      <c r="FOZ50" s="34"/>
      <c r="FPA50" s="39"/>
      <c r="FPB50" s="41"/>
      <c r="FPE50" s="32"/>
      <c r="FPG50" s="12"/>
      <c r="FPI50" s="34"/>
      <c r="FPJ50" s="39"/>
      <c r="FPK50" s="41"/>
      <c r="FPN50" s="32"/>
      <c r="FPP50" s="12"/>
      <c r="FPR50" s="34"/>
      <c r="FPS50" s="39"/>
      <c r="FPT50" s="41"/>
      <c r="FPW50" s="32"/>
      <c r="FPY50" s="12"/>
      <c r="FQA50" s="34"/>
      <c r="FQB50" s="39"/>
      <c r="FQC50" s="41"/>
      <c r="FQF50" s="32"/>
      <c r="FQH50" s="12"/>
      <c r="FQJ50" s="34"/>
      <c r="FQK50" s="39"/>
      <c r="FQL50" s="41"/>
      <c r="FQO50" s="32"/>
      <c r="FQQ50" s="12"/>
      <c r="FQS50" s="34"/>
      <c r="FQT50" s="39"/>
      <c r="FQU50" s="41"/>
      <c r="FQX50" s="32"/>
      <c r="FQZ50" s="12"/>
      <c r="FRB50" s="34"/>
      <c r="FRC50" s="39"/>
      <c r="FRD50" s="41"/>
      <c r="FRG50" s="32"/>
      <c r="FRI50" s="12"/>
      <c r="FRK50" s="34"/>
      <c r="FRL50" s="39"/>
      <c r="FRM50" s="41"/>
      <c r="FRP50" s="32"/>
      <c r="FRR50" s="12"/>
      <c r="FRT50" s="34"/>
      <c r="FRU50" s="39"/>
      <c r="FRV50" s="41"/>
      <c r="FRY50" s="32"/>
      <c r="FSA50" s="12"/>
      <c r="FSC50" s="34"/>
      <c r="FSD50" s="39"/>
      <c r="FSE50" s="41"/>
      <c r="FSH50" s="32"/>
      <c r="FSJ50" s="12"/>
      <c r="FSL50" s="34"/>
      <c r="FSM50" s="39"/>
      <c r="FSN50" s="41"/>
      <c r="FSQ50" s="32"/>
      <c r="FSS50" s="12"/>
      <c r="FSU50" s="34"/>
      <c r="FSV50" s="39"/>
      <c r="FSW50" s="41"/>
      <c r="FSZ50" s="32"/>
      <c r="FTB50" s="12"/>
      <c r="FTD50" s="34"/>
      <c r="FTE50" s="39"/>
      <c r="FTF50" s="41"/>
      <c r="FTI50" s="32"/>
      <c r="FTK50" s="12"/>
      <c r="FTM50" s="34"/>
      <c r="FTN50" s="39"/>
      <c r="FTO50" s="41"/>
      <c r="FTR50" s="32"/>
      <c r="FTT50" s="12"/>
      <c r="FTV50" s="34"/>
      <c r="FTW50" s="39"/>
      <c r="FTX50" s="41"/>
      <c r="FUA50" s="32"/>
      <c r="FUC50" s="12"/>
      <c r="FUE50" s="34"/>
      <c r="FUF50" s="39"/>
      <c r="FUG50" s="41"/>
      <c r="FUJ50" s="32"/>
      <c r="FUL50" s="12"/>
      <c r="FUN50" s="34"/>
      <c r="FUO50" s="39"/>
      <c r="FUP50" s="41"/>
      <c r="FUS50" s="32"/>
      <c r="FUU50" s="12"/>
      <c r="FUW50" s="34"/>
      <c r="FUX50" s="39"/>
      <c r="FUY50" s="41"/>
      <c r="FVB50" s="32"/>
      <c r="FVD50" s="12"/>
      <c r="FVF50" s="34"/>
      <c r="FVG50" s="39"/>
      <c r="FVH50" s="41"/>
      <c r="FVK50" s="32"/>
      <c r="FVM50" s="12"/>
      <c r="FVO50" s="34"/>
      <c r="FVP50" s="39"/>
      <c r="FVQ50" s="41"/>
      <c r="FVT50" s="32"/>
      <c r="FVV50" s="12"/>
      <c r="FVX50" s="34"/>
      <c r="FVY50" s="39"/>
      <c r="FVZ50" s="41"/>
      <c r="FWC50" s="32"/>
      <c r="FWE50" s="12"/>
      <c r="FWG50" s="34"/>
      <c r="FWH50" s="39"/>
      <c r="FWI50" s="41"/>
      <c r="FWL50" s="32"/>
      <c r="FWN50" s="12"/>
      <c r="FWP50" s="34"/>
      <c r="FWQ50" s="39"/>
      <c r="FWR50" s="41"/>
      <c r="FWU50" s="32"/>
      <c r="FWW50" s="12"/>
      <c r="FWY50" s="34"/>
      <c r="FWZ50" s="39"/>
      <c r="FXA50" s="41"/>
      <c r="FXD50" s="32"/>
      <c r="FXF50" s="12"/>
      <c r="FXH50" s="34"/>
      <c r="FXI50" s="39"/>
      <c r="FXJ50" s="41"/>
      <c r="FXM50" s="32"/>
      <c r="FXO50" s="12"/>
      <c r="FXQ50" s="34"/>
      <c r="FXR50" s="39"/>
      <c r="FXS50" s="41"/>
      <c r="FXV50" s="32"/>
      <c r="FXX50" s="12"/>
      <c r="FXZ50" s="34"/>
      <c r="FYA50" s="39"/>
      <c r="FYB50" s="41"/>
      <c r="FYE50" s="32"/>
      <c r="FYG50" s="12"/>
      <c r="FYI50" s="34"/>
      <c r="FYJ50" s="39"/>
      <c r="FYK50" s="41"/>
      <c r="FYN50" s="32"/>
      <c r="FYP50" s="12"/>
      <c r="FYR50" s="34"/>
      <c r="FYS50" s="39"/>
      <c r="FYT50" s="41"/>
      <c r="FYW50" s="32"/>
      <c r="FYY50" s="12"/>
      <c r="FZA50" s="34"/>
      <c r="FZB50" s="39"/>
      <c r="FZC50" s="41"/>
      <c r="FZF50" s="32"/>
      <c r="FZH50" s="12"/>
      <c r="FZJ50" s="34"/>
      <c r="FZK50" s="39"/>
      <c r="FZL50" s="41"/>
      <c r="FZO50" s="32"/>
      <c r="FZQ50" s="12"/>
      <c r="FZS50" s="34"/>
      <c r="FZT50" s="39"/>
      <c r="FZU50" s="41"/>
      <c r="FZX50" s="32"/>
      <c r="FZZ50" s="12"/>
      <c r="GAB50" s="34"/>
      <c r="GAC50" s="39"/>
      <c r="GAD50" s="41"/>
      <c r="GAG50" s="32"/>
      <c r="GAI50" s="12"/>
      <c r="GAK50" s="34"/>
      <c r="GAL50" s="39"/>
      <c r="GAM50" s="41"/>
      <c r="GAP50" s="32"/>
      <c r="GAR50" s="12"/>
      <c r="GAT50" s="34"/>
      <c r="GAU50" s="39"/>
      <c r="GAV50" s="41"/>
      <c r="GAY50" s="32"/>
      <c r="GBA50" s="12"/>
      <c r="GBC50" s="34"/>
      <c r="GBD50" s="39"/>
      <c r="GBE50" s="41"/>
      <c r="GBH50" s="32"/>
      <c r="GBJ50" s="12"/>
      <c r="GBL50" s="34"/>
      <c r="GBM50" s="39"/>
      <c r="GBN50" s="41"/>
      <c r="GBQ50" s="32"/>
      <c r="GBS50" s="12"/>
      <c r="GBU50" s="34"/>
      <c r="GBV50" s="39"/>
      <c r="GBW50" s="41"/>
      <c r="GBZ50" s="32"/>
      <c r="GCB50" s="12"/>
      <c r="GCD50" s="34"/>
      <c r="GCE50" s="39"/>
      <c r="GCF50" s="41"/>
      <c r="GCI50" s="32"/>
      <c r="GCK50" s="12"/>
      <c r="GCM50" s="34"/>
      <c r="GCN50" s="39"/>
      <c r="GCO50" s="41"/>
      <c r="GCR50" s="32"/>
      <c r="GCT50" s="12"/>
      <c r="GCV50" s="34"/>
      <c r="GCW50" s="39"/>
      <c r="GCX50" s="41"/>
      <c r="GDA50" s="32"/>
      <c r="GDC50" s="12"/>
      <c r="GDE50" s="34"/>
      <c r="GDF50" s="39"/>
      <c r="GDG50" s="41"/>
      <c r="GDJ50" s="32"/>
      <c r="GDL50" s="12"/>
      <c r="GDN50" s="34"/>
      <c r="GDO50" s="39"/>
      <c r="GDP50" s="41"/>
      <c r="GDS50" s="32"/>
      <c r="GDU50" s="12"/>
      <c r="GDW50" s="34"/>
      <c r="GDX50" s="39"/>
      <c r="GDY50" s="41"/>
      <c r="GEB50" s="32"/>
      <c r="GED50" s="12"/>
      <c r="GEF50" s="34"/>
      <c r="GEG50" s="39"/>
      <c r="GEH50" s="41"/>
      <c r="GEK50" s="32"/>
      <c r="GEM50" s="12"/>
      <c r="GEO50" s="34"/>
      <c r="GEP50" s="39"/>
      <c r="GEQ50" s="41"/>
      <c r="GET50" s="32"/>
      <c r="GEV50" s="12"/>
      <c r="GEX50" s="34"/>
      <c r="GEY50" s="39"/>
      <c r="GEZ50" s="41"/>
      <c r="GFC50" s="32"/>
      <c r="GFE50" s="12"/>
      <c r="GFG50" s="34"/>
      <c r="GFH50" s="39"/>
      <c r="GFI50" s="41"/>
      <c r="GFL50" s="32"/>
      <c r="GFN50" s="12"/>
      <c r="GFP50" s="34"/>
      <c r="GFQ50" s="39"/>
      <c r="GFR50" s="41"/>
      <c r="GFU50" s="32"/>
      <c r="GFW50" s="12"/>
      <c r="GFY50" s="34"/>
      <c r="GFZ50" s="39"/>
      <c r="GGA50" s="41"/>
      <c r="GGD50" s="32"/>
      <c r="GGF50" s="12"/>
      <c r="GGH50" s="34"/>
      <c r="GGI50" s="39"/>
      <c r="GGJ50" s="41"/>
      <c r="GGM50" s="32"/>
      <c r="GGO50" s="12"/>
      <c r="GGQ50" s="34"/>
      <c r="GGR50" s="39"/>
      <c r="GGS50" s="41"/>
      <c r="GGV50" s="32"/>
      <c r="GGX50" s="12"/>
      <c r="GGZ50" s="34"/>
      <c r="GHA50" s="39"/>
      <c r="GHB50" s="41"/>
      <c r="GHE50" s="32"/>
      <c r="GHG50" s="12"/>
      <c r="GHI50" s="34"/>
      <c r="GHJ50" s="39"/>
      <c r="GHK50" s="41"/>
      <c r="GHN50" s="32"/>
      <c r="GHP50" s="12"/>
      <c r="GHR50" s="34"/>
      <c r="GHS50" s="39"/>
      <c r="GHT50" s="41"/>
      <c r="GHW50" s="32"/>
      <c r="GHY50" s="12"/>
      <c r="GIA50" s="34"/>
      <c r="GIB50" s="39"/>
      <c r="GIC50" s="41"/>
      <c r="GIF50" s="32"/>
      <c r="GIH50" s="12"/>
      <c r="GIJ50" s="34"/>
      <c r="GIK50" s="39"/>
      <c r="GIL50" s="41"/>
      <c r="GIO50" s="32"/>
      <c r="GIQ50" s="12"/>
      <c r="GIS50" s="34"/>
      <c r="GIT50" s="39"/>
      <c r="GIU50" s="41"/>
      <c r="GIX50" s="32"/>
      <c r="GIZ50" s="12"/>
      <c r="GJB50" s="34"/>
      <c r="GJC50" s="39"/>
      <c r="GJD50" s="41"/>
      <c r="GJG50" s="32"/>
      <c r="GJI50" s="12"/>
      <c r="GJK50" s="34"/>
      <c r="GJL50" s="39"/>
      <c r="GJM50" s="41"/>
      <c r="GJP50" s="32"/>
      <c r="GJR50" s="12"/>
      <c r="GJT50" s="34"/>
      <c r="GJU50" s="39"/>
      <c r="GJV50" s="41"/>
      <c r="GJY50" s="32"/>
      <c r="GKA50" s="12"/>
      <c r="GKC50" s="34"/>
      <c r="GKD50" s="39"/>
      <c r="GKE50" s="41"/>
      <c r="GKH50" s="32"/>
      <c r="GKJ50" s="12"/>
      <c r="GKL50" s="34"/>
      <c r="GKM50" s="39"/>
      <c r="GKN50" s="41"/>
      <c r="GKQ50" s="32"/>
      <c r="GKS50" s="12"/>
      <c r="GKU50" s="34"/>
      <c r="GKV50" s="39"/>
      <c r="GKW50" s="41"/>
      <c r="GKZ50" s="32"/>
      <c r="GLB50" s="12"/>
      <c r="GLD50" s="34"/>
      <c r="GLE50" s="39"/>
      <c r="GLF50" s="41"/>
      <c r="GLI50" s="32"/>
      <c r="GLK50" s="12"/>
      <c r="GLM50" s="34"/>
      <c r="GLN50" s="39"/>
      <c r="GLO50" s="41"/>
      <c r="GLR50" s="32"/>
      <c r="GLT50" s="12"/>
      <c r="GLV50" s="34"/>
      <c r="GLW50" s="39"/>
      <c r="GLX50" s="41"/>
      <c r="GMA50" s="32"/>
      <c r="GMC50" s="12"/>
      <c r="GME50" s="34"/>
      <c r="GMF50" s="39"/>
      <c r="GMG50" s="41"/>
      <c r="GMJ50" s="32"/>
      <c r="GML50" s="12"/>
      <c r="GMN50" s="34"/>
      <c r="GMO50" s="39"/>
      <c r="GMP50" s="41"/>
      <c r="GMS50" s="32"/>
      <c r="GMU50" s="12"/>
      <c r="GMW50" s="34"/>
      <c r="GMX50" s="39"/>
      <c r="GMY50" s="41"/>
      <c r="GNB50" s="32"/>
      <c r="GND50" s="12"/>
      <c r="GNF50" s="34"/>
      <c r="GNG50" s="39"/>
      <c r="GNH50" s="41"/>
      <c r="GNK50" s="32"/>
      <c r="GNM50" s="12"/>
      <c r="GNO50" s="34"/>
      <c r="GNP50" s="39"/>
      <c r="GNQ50" s="41"/>
      <c r="GNT50" s="32"/>
      <c r="GNV50" s="12"/>
      <c r="GNX50" s="34"/>
      <c r="GNY50" s="39"/>
      <c r="GNZ50" s="41"/>
      <c r="GOC50" s="32"/>
      <c r="GOE50" s="12"/>
      <c r="GOG50" s="34"/>
      <c r="GOH50" s="39"/>
      <c r="GOI50" s="41"/>
      <c r="GOL50" s="32"/>
      <c r="GON50" s="12"/>
      <c r="GOP50" s="34"/>
      <c r="GOQ50" s="39"/>
      <c r="GOR50" s="41"/>
      <c r="GOU50" s="32"/>
      <c r="GOW50" s="12"/>
      <c r="GOY50" s="34"/>
      <c r="GOZ50" s="39"/>
      <c r="GPA50" s="41"/>
      <c r="GPD50" s="32"/>
      <c r="GPF50" s="12"/>
      <c r="GPH50" s="34"/>
      <c r="GPI50" s="39"/>
      <c r="GPJ50" s="41"/>
      <c r="GPM50" s="32"/>
      <c r="GPO50" s="12"/>
      <c r="GPQ50" s="34"/>
      <c r="GPR50" s="39"/>
      <c r="GPS50" s="41"/>
      <c r="GPV50" s="32"/>
      <c r="GPX50" s="12"/>
      <c r="GPZ50" s="34"/>
      <c r="GQA50" s="39"/>
      <c r="GQB50" s="41"/>
      <c r="GQE50" s="32"/>
      <c r="GQG50" s="12"/>
      <c r="GQI50" s="34"/>
      <c r="GQJ50" s="39"/>
      <c r="GQK50" s="41"/>
      <c r="GQN50" s="32"/>
      <c r="GQP50" s="12"/>
      <c r="GQR50" s="34"/>
      <c r="GQS50" s="39"/>
      <c r="GQT50" s="41"/>
      <c r="GQW50" s="32"/>
      <c r="GQY50" s="12"/>
      <c r="GRA50" s="34"/>
      <c r="GRB50" s="39"/>
      <c r="GRC50" s="41"/>
      <c r="GRF50" s="32"/>
      <c r="GRH50" s="12"/>
      <c r="GRJ50" s="34"/>
      <c r="GRK50" s="39"/>
      <c r="GRL50" s="41"/>
      <c r="GRO50" s="32"/>
      <c r="GRQ50" s="12"/>
      <c r="GRS50" s="34"/>
      <c r="GRT50" s="39"/>
      <c r="GRU50" s="41"/>
      <c r="GRX50" s="32"/>
      <c r="GRZ50" s="12"/>
      <c r="GSB50" s="34"/>
      <c r="GSC50" s="39"/>
      <c r="GSD50" s="41"/>
      <c r="GSG50" s="32"/>
      <c r="GSI50" s="12"/>
      <c r="GSK50" s="34"/>
      <c r="GSL50" s="39"/>
      <c r="GSM50" s="41"/>
      <c r="GSP50" s="32"/>
      <c r="GSR50" s="12"/>
      <c r="GST50" s="34"/>
      <c r="GSU50" s="39"/>
      <c r="GSV50" s="41"/>
      <c r="GSY50" s="32"/>
      <c r="GTA50" s="12"/>
      <c r="GTC50" s="34"/>
      <c r="GTD50" s="39"/>
      <c r="GTE50" s="41"/>
      <c r="GTH50" s="32"/>
      <c r="GTJ50" s="12"/>
      <c r="GTL50" s="34"/>
      <c r="GTM50" s="39"/>
      <c r="GTN50" s="41"/>
      <c r="GTQ50" s="32"/>
      <c r="GTS50" s="12"/>
      <c r="GTU50" s="34"/>
      <c r="GTV50" s="39"/>
      <c r="GTW50" s="41"/>
      <c r="GTZ50" s="32"/>
      <c r="GUB50" s="12"/>
      <c r="GUD50" s="34"/>
      <c r="GUE50" s="39"/>
      <c r="GUF50" s="41"/>
      <c r="GUI50" s="32"/>
      <c r="GUK50" s="12"/>
      <c r="GUM50" s="34"/>
      <c r="GUN50" s="39"/>
      <c r="GUO50" s="41"/>
      <c r="GUR50" s="32"/>
      <c r="GUT50" s="12"/>
      <c r="GUV50" s="34"/>
      <c r="GUW50" s="39"/>
      <c r="GUX50" s="41"/>
      <c r="GVA50" s="32"/>
      <c r="GVC50" s="12"/>
      <c r="GVE50" s="34"/>
      <c r="GVF50" s="39"/>
      <c r="GVG50" s="41"/>
      <c r="GVJ50" s="32"/>
      <c r="GVL50" s="12"/>
      <c r="GVN50" s="34"/>
      <c r="GVO50" s="39"/>
      <c r="GVP50" s="41"/>
      <c r="GVS50" s="32"/>
      <c r="GVU50" s="12"/>
      <c r="GVW50" s="34"/>
      <c r="GVX50" s="39"/>
      <c r="GVY50" s="41"/>
      <c r="GWB50" s="32"/>
      <c r="GWD50" s="12"/>
      <c r="GWF50" s="34"/>
      <c r="GWG50" s="39"/>
      <c r="GWH50" s="41"/>
      <c r="GWK50" s="32"/>
      <c r="GWM50" s="12"/>
      <c r="GWO50" s="34"/>
      <c r="GWP50" s="39"/>
      <c r="GWQ50" s="41"/>
      <c r="GWT50" s="32"/>
      <c r="GWV50" s="12"/>
      <c r="GWX50" s="34"/>
      <c r="GWY50" s="39"/>
      <c r="GWZ50" s="41"/>
      <c r="GXC50" s="32"/>
      <c r="GXE50" s="12"/>
      <c r="GXG50" s="34"/>
      <c r="GXH50" s="39"/>
      <c r="GXI50" s="41"/>
      <c r="GXL50" s="32"/>
      <c r="GXN50" s="12"/>
      <c r="GXP50" s="34"/>
      <c r="GXQ50" s="39"/>
      <c r="GXR50" s="41"/>
      <c r="GXU50" s="32"/>
      <c r="GXW50" s="12"/>
      <c r="GXY50" s="34"/>
      <c r="GXZ50" s="39"/>
      <c r="GYA50" s="41"/>
      <c r="GYD50" s="32"/>
      <c r="GYF50" s="12"/>
      <c r="GYH50" s="34"/>
      <c r="GYI50" s="39"/>
      <c r="GYJ50" s="41"/>
      <c r="GYM50" s="32"/>
      <c r="GYO50" s="12"/>
      <c r="GYQ50" s="34"/>
      <c r="GYR50" s="39"/>
      <c r="GYS50" s="41"/>
      <c r="GYV50" s="32"/>
      <c r="GYX50" s="12"/>
      <c r="GYZ50" s="34"/>
      <c r="GZA50" s="39"/>
      <c r="GZB50" s="41"/>
      <c r="GZE50" s="32"/>
      <c r="GZG50" s="12"/>
      <c r="GZI50" s="34"/>
      <c r="GZJ50" s="39"/>
      <c r="GZK50" s="41"/>
      <c r="GZN50" s="32"/>
      <c r="GZP50" s="12"/>
      <c r="GZR50" s="34"/>
      <c r="GZS50" s="39"/>
      <c r="GZT50" s="41"/>
      <c r="GZW50" s="32"/>
      <c r="GZY50" s="12"/>
      <c r="HAA50" s="34"/>
      <c r="HAB50" s="39"/>
      <c r="HAC50" s="41"/>
      <c r="HAF50" s="32"/>
      <c r="HAH50" s="12"/>
      <c r="HAJ50" s="34"/>
      <c r="HAK50" s="39"/>
      <c r="HAL50" s="41"/>
      <c r="HAO50" s="32"/>
      <c r="HAQ50" s="12"/>
      <c r="HAS50" s="34"/>
      <c r="HAT50" s="39"/>
      <c r="HAU50" s="41"/>
      <c r="HAX50" s="32"/>
      <c r="HAZ50" s="12"/>
      <c r="HBB50" s="34"/>
      <c r="HBC50" s="39"/>
      <c r="HBD50" s="41"/>
      <c r="HBG50" s="32"/>
      <c r="HBI50" s="12"/>
      <c r="HBK50" s="34"/>
      <c r="HBL50" s="39"/>
      <c r="HBM50" s="41"/>
      <c r="HBP50" s="32"/>
      <c r="HBR50" s="12"/>
      <c r="HBT50" s="34"/>
      <c r="HBU50" s="39"/>
      <c r="HBV50" s="41"/>
      <c r="HBY50" s="32"/>
      <c r="HCA50" s="12"/>
      <c r="HCC50" s="34"/>
      <c r="HCD50" s="39"/>
      <c r="HCE50" s="41"/>
      <c r="HCH50" s="32"/>
      <c r="HCJ50" s="12"/>
      <c r="HCL50" s="34"/>
      <c r="HCM50" s="39"/>
      <c r="HCN50" s="41"/>
      <c r="HCQ50" s="32"/>
      <c r="HCS50" s="12"/>
      <c r="HCU50" s="34"/>
      <c r="HCV50" s="39"/>
      <c r="HCW50" s="41"/>
      <c r="HCZ50" s="32"/>
      <c r="HDB50" s="12"/>
      <c r="HDD50" s="34"/>
      <c r="HDE50" s="39"/>
      <c r="HDF50" s="41"/>
      <c r="HDI50" s="32"/>
      <c r="HDK50" s="12"/>
      <c r="HDM50" s="34"/>
      <c r="HDN50" s="39"/>
      <c r="HDO50" s="41"/>
      <c r="HDR50" s="32"/>
      <c r="HDT50" s="12"/>
      <c r="HDV50" s="34"/>
      <c r="HDW50" s="39"/>
      <c r="HDX50" s="41"/>
      <c r="HEA50" s="32"/>
      <c r="HEC50" s="12"/>
      <c r="HEE50" s="34"/>
      <c r="HEF50" s="39"/>
      <c r="HEG50" s="41"/>
      <c r="HEJ50" s="32"/>
      <c r="HEL50" s="12"/>
      <c r="HEN50" s="34"/>
      <c r="HEO50" s="39"/>
      <c r="HEP50" s="41"/>
      <c r="HES50" s="32"/>
      <c r="HEU50" s="12"/>
      <c r="HEW50" s="34"/>
      <c r="HEX50" s="39"/>
      <c r="HEY50" s="41"/>
      <c r="HFB50" s="32"/>
      <c r="HFD50" s="12"/>
      <c r="HFF50" s="34"/>
      <c r="HFG50" s="39"/>
      <c r="HFH50" s="41"/>
      <c r="HFK50" s="32"/>
      <c r="HFM50" s="12"/>
      <c r="HFO50" s="34"/>
      <c r="HFP50" s="39"/>
      <c r="HFQ50" s="41"/>
      <c r="HFT50" s="32"/>
      <c r="HFV50" s="12"/>
      <c r="HFX50" s="34"/>
      <c r="HFY50" s="39"/>
      <c r="HFZ50" s="41"/>
      <c r="HGC50" s="32"/>
      <c r="HGE50" s="12"/>
      <c r="HGG50" s="34"/>
      <c r="HGH50" s="39"/>
      <c r="HGI50" s="41"/>
      <c r="HGL50" s="32"/>
      <c r="HGN50" s="12"/>
      <c r="HGP50" s="34"/>
      <c r="HGQ50" s="39"/>
      <c r="HGR50" s="41"/>
      <c r="HGU50" s="32"/>
      <c r="HGW50" s="12"/>
      <c r="HGY50" s="34"/>
      <c r="HGZ50" s="39"/>
      <c r="HHA50" s="41"/>
      <c r="HHD50" s="32"/>
      <c r="HHF50" s="12"/>
      <c r="HHH50" s="34"/>
      <c r="HHI50" s="39"/>
      <c r="HHJ50" s="41"/>
      <c r="HHM50" s="32"/>
      <c r="HHO50" s="12"/>
      <c r="HHQ50" s="34"/>
      <c r="HHR50" s="39"/>
      <c r="HHS50" s="41"/>
      <c r="HHV50" s="32"/>
      <c r="HHX50" s="12"/>
      <c r="HHZ50" s="34"/>
      <c r="HIA50" s="39"/>
      <c r="HIB50" s="41"/>
      <c r="HIE50" s="32"/>
      <c r="HIG50" s="12"/>
      <c r="HII50" s="34"/>
      <c r="HIJ50" s="39"/>
      <c r="HIK50" s="41"/>
      <c r="HIN50" s="32"/>
      <c r="HIP50" s="12"/>
      <c r="HIR50" s="34"/>
      <c r="HIS50" s="39"/>
      <c r="HIT50" s="41"/>
      <c r="HIW50" s="32"/>
      <c r="HIY50" s="12"/>
      <c r="HJA50" s="34"/>
      <c r="HJB50" s="39"/>
      <c r="HJC50" s="41"/>
      <c r="HJF50" s="32"/>
      <c r="HJH50" s="12"/>
      <c r="HJJ50" s="34"/>
      <c r="HJK50" s="39"/>
      <c r="HJL50" s="41"/>
      <c r="HJO50" s="32"/>
      <c r="HJQ50" s="12"/>
      <c r="HJS50" s="34"/>
      <c r="HJT50" s="39"/>
      <c r="HJU50" s="41"/>
      <c r="HJX50" s="32"/>
      <c r="HJZ50" s="12"/>
      <c r="HKB50" s="34"/>
      <c r="HKC50" s="39"/>
      <c r="HKD50" s="41"/>
      <c r="HKG50" s="32"/>
      <c r="HKI50" s="12"/>
      <c r="HKK50" s="34"/>
      <c r="HKL50" s="39"/>
      <c r="HKM50" s="41"/>
      <c r="HKP50" s="32"/>
      <c r="HKR50" s="12"/>
      <c r="HKT50" s="34"/>
      <c r="HKU50" s="39"/>
      <c r="HKV50" s="41"/>
      <c r="HKY50" s="32"/>
      <c r="HLA50" s="12"/>
      <c r="HLC50" s="34"/>
      <c r="HLD50" s="39"/>
      <c r="HLE50" s="41"/>
      <c r="HLH50" s="32"/>
      <c r="HLJ50" s="12"/>
      <c r="HLL50" s="34"/>
      <c r="HLM50" s="39"/>
      <c r="HLN50" s="41"/>
      <c r="HLQ50" s="32"/>
      <c r="HLS50" s="12"/>
      <c r="HLU50" s="34"/>
      <c r="HLV50" s="39"/>
      <c r="HLW50" s="41"/>
      <c r="HLZ50" s="32"/>
      <c r="HMB50" s="12"/>
      <c r="HMD50" s="34"/>
      <c r="HME50" s="39"/>
      <c r="HMF50" s="41"/>
      <c r="HMI50" s="32"/>
      <c r="HMK50" s="12"/>
      <c r="HMM50" s="34"/>
      <c r="HMN50" s="39"/>
      <c r="HMO50" s="41"/>
      <c r="HMR50" s="32"/>
      <c r="HMT50" s="12"/>
      <c r="HMV50" s="34"/>
      <c r="HMW50" s="39"/>
      <c r="HMX50" s="41"/>
      <c r="HNA50" s="32"/>
      <c r="HNC50" s="12"/>
      <c r="HNE50" s="34"/>
      <c r="HNF50" s="39"/>
      <c r="HNG50" s="41"/>
      <c r="HNJ50" s="32"/>
      <c r="HNL50" s="12"/>
      <c r="HNN50" s="34"/>
      <c r="HNO50" s="39"/>
      <c r="HNP50" s="41"/>
      <c r="HNS50" s="32"/>
      <c r="HNU50" s="12"/>
      <c r="HNW50" s="34"/>
      <c r="HNX50" s="39"/>
      <c r="HNY50" s="41"/>
      <c r="HOB50" s="32"/>
      <c r="HOD50" s="12"/>
      <c r="HOF50" s="34"/>
      <c r="HOG50" s="39"/>
      <c r="HOH50" s="41"/>
      <c r="HOK50" s="32"/>
      <c r="HOM50" s="12"/>
      <c r="HOO50" s="34"/>
      <c r="HOP50" s="39"/>
      <c r="HOQ50" s="41"/>
      <c r="HOT50" s="32"/>
      <c r="HOV50" s="12"/>
      <c r="HOX50" s="34"/>
      <c r="HOY50" s="39"/>
      <c r="HOZ50" s="41"/>
      <c r="HPC50" s="32"/>
      <c r="HPE50" s="12"/>
      <c r="HPG50" s="34"/>
      <c r="HPH50" s="39"/>
      <c r="HPI50" s="41"/>
      <c r="HPL50" s="32"/>
      <c r="HPN50" s="12"/>
      <c r="HPP50" s="34"/>
      <c r="HPQ50" s="39"/>
      <c r="HPR50" s="41"/>
      <c r="HPU50" s="32"/>
      <c r="HPW50" s="12"/>
      <c r="HPY50" s="34"/>
      <c r="HPZ50" s="39"/>
      <c r="HQA50" s="41"/>
      <c r="HQD50" s="32"/>
      <c r="HQF50" s="12"/>
      <c r="HQH50" s="34"/>
      <c r="HQI50" s="39"/>
      <c r="HQJ50" s="41"/>
      <c r="HQM50" s="32"/>
      <c r="HQO50" s="12"/>
      <c r="HQQ50" s="34"/>
      <c r="HQR50" s="39"/>
      <c r="HQS50" s="41"/>
      <c r="HQV50" s="32"/>
      <c r="HQX50" s="12"/>
      <c r="HQZ50" s="34"/>
      <c r="HRA50" s="39"/>
      <c r="HRB50" s="41"/>
      <c r="HRE50" s="32"/>
      <c r="HRG50" s="12"/>
      <c r="HRI50" s="34"/>
      <c r="HRJ50" s="39"/>
      <c r="HRK50" s="41"/>
      <c r="HRN50" s="32"/>
      <c r="HRP50" s="12"/>
      <c r="HRR50" s="34"/>
      <c r="HRS50" s="39"/>
      <c r="HRT50" s="41"/>
      <c r="HRW50" s="32"/>
      <c r="HRY50" s="12"/>
      <c r="HSA50" s="34"/>
      <c r="HSB50" s="39"/>
      <c r="HSC50" s="41"/>
      <c r="HSF50" s="32"/>
      <c r="HSH50" s="12"/>
      <c r="HSJ50" s="34"/>
      <c r="HSK50" s="39"/>
      <c r="HSL50" s="41"/>
      <c r="HSO50" s="32"/>
      <c r="HSQ50" s="12"/>
      <c r="HSS50" s="34"/>
      <c r="HST50" s="39"/>
      <c r="HSU50" s="41"/>
      <c r="HSX50" s="32"/>
      <c r="HSZ50" s="12"/>
      <c r="HTB50" s="34"/>
      <c r="HTC50" s="39"/>
      <c r="HTD50" s="41"/>
      <c r="HTG50" s="32"/>
      <c r="HTI50" s="12"/>
      <c r="HTK50" s="34"/>
      <c r="HTL50" s="39"/>
      <c r="HTM50" s="41"/>
      <c r="HTP50" s="32"/>
      <c r="HTR50" s="12"/>
      <c r="HTT50" s="34"/>
      <c r="HTU50" s="39"/>
      <c r="HTV50" s="41"/>
      <c r="HTY50" s="32"/>
      <c r="HUA50" s="12"/>
      <c r="HUC50" s="34"/>
      <c r="HUD50" s="39"/>
      <c r="HUE50" s="41"/>
      <c r="HUH50" s="32"/>
      <c r="HUJ50" s="12"/>
      <c r="HUL50" s="34"/>
      <c r="HUM50" s="39"/>
      <c r="HUN50" s="41"/>
      <c r="HUQ50" s="32"/>
      <c r="HUS50" s="12"/>
      <c r="HUU50" s="34"/>
      <c r="HUV50" s="39"/>
      <c r="HUW50" s="41"/>
      <c r="HUZ50" s="32"/>
      <c r="HVB50" s="12"/>
      <c r="HVD50" s="34"/>
      <c r="HVE50" s="39"/>
      <c r="HVF50" s="41"/>
      <c r="HVI50" s="32"/>
      <c r="HVK50" s="12"/>
      <c r="HVM50" s="34"/>
      <c r="HVN50" s="39"/>
      <c r="HVO50" s="41"/>
      <c r="HVR50" s="32"/>
      <c r="HVT50" s="12"/>
      <c r="HVV50" s="34"/>
      <c r="HVW50" s="39"/>
      <c r="HVX50" s="41"/>
      <c r="HWA50" s="32"/>
      <c r="HWC50" s="12"/>
      <c r="HWE50" s="34"/>
      <c r="HWF50" s="39"/>
      <c r="HWG50" s="41"/>
      <c r="HWJ50" s="32"/>
      <c r="HWL50" s="12"/>
      <c r="HWN50" s="34"/>
      <c r="HWO50" s="39"/>
      <c r="HWP50" s="41"/>
      <c r="HWS50" s="32"/>
      <c r="HWU50" s="12"/>
      <c r="HWW50" s="34"/>
      <c r="HWX50" s="39"/>
      <c r="HWY50" s="41"/>
      <c r="HXB50" s="32"/>
      <c r="HXD50" s="12"/>
      <c r="HXF50" s="34"/>
      <c r="HXG50" s="39"/>
      <c r="HXH50" s="41"/>
      <c r="HXK50" s="32"/>
      <c r="HXM50" s="12"/>
      <c r="HXO50" s="34"/>
      <c r="HXP50" s="39"/>
      <c r="HXQ50" s="41"/>
      <c r="HXT50" s="32"/>
      <c r="HXV50" s="12"/>
      <c r="HXX50" s="34"/>
      <c r="HXY50" s="39"/>
      <c r="HXZ50" s="41"/>
      <c r="HYC50" s="32"/>
      <c r="HYE50" s="12"/>
      <c r="HYG50" s="34"/>
      <c r="HYH50" s="39"/>
      <c r="HYI50" s="41"/>
      <c r="HYL50" s="32"/>
      <c r="HYN50" s="12"/>
      <c r="HYP50" s="34"/>
      <c r="HYQ50" s="39"/>
      <c r="HYR50" s="41"/>
      <c r="HYU50" s="32"/>
      <c r="HYW50" s="12"/>
      <c r="HYY50" s="34"/>
      <c r="HYZ50" s="39"/>
      <c r="HZA50" s="41"/>
      <c r="HZD50" s="32"/>
      <c r="HZF50" s="12"/>
      <c r="HZH50" s="34"/>
      <c r="HZI50" s="39"/>
      <c r="HZJ50" s="41"/>
      <c r="HZM50" s="32"/>
      <c r="HZO50" s="12"/>
      <c r="HZQ50" s="34"/>
      <c r="HZR50" s="39"/>
      <c r="HZS50" s="41"/>
      <c r="HZV50" s="32"/>
      <c r="HZX50" s="12"/>
      <c r="HZZ50" s="34"/>
      <c r="IAA50" s="39"/>
      <c r="IAB50" s="41"/>
      <c r="IAE50" s="32"/>
      <c r="IAG50" s="12"/>
      <c r="IAI50" s="34"/>
      <c r="IAJ50" s="39"/>
      <c r="IAK50" s="41"/>
      <c r="IAN50" s="32"/>
      <c r="IAP50" s="12"/>
      <c r="IAR50" s="34"/>
      <c r="IAS50" s="39"/>
      <c r="IAT50" s="41"/>
      <c r="IAW50" s="32"/>
      <c r="IAY50" s="12"/>
      <c r="IBA50" s="34"/>
      <c r="IBB50" s="39"/>
      <c r="IBC50" s="41"/>
      <c r="IBF50" s="32"/>
      <c r="IBH50" s="12"/>
      <c r="IBJ50" s="34"/>
      <c r="IBK50" s="39"/>
      <c r="IBL50" s="41"/>
      <c r="IBO50" s="32"/>
      <c r="IBQ50" s="12"/>
      <c r="IBS50" s="34"/>
      <c r="IBT50" s="39"/>
      <c r="IBU50" s="41"/>
      <c r="IBX50" s="32"/>
      <c r="IBZ50" s="12"/>
      <c r="ICB50" s="34"/>
      <c r="ICC50" s="39"/>
      <c r="ICD50" s="41"/>
      <c r="ICG50" s="32"/>
      <c r="ICI50" s="12"/>
      <c r="ICK50" s="34"/>
      <c r="ICL50" s="39"/>
      <c r="ICM50" s="41"/>
      <c r="ICP50" s="32"/>
      <c r="ICR50" s="12"/>
      <c r="ICT50" s="34"/>
      <c r="ICU50" s="39"/>
      <c r="ICV50" s="41"/>
      <c r="ICY50" s="32"/>
      <c r="IDA50" s="12"/>
      <c r="IDC50" s="34"/>
      <c r="IDD50" s="39"/>
      <c r="IDE50" s="41"/>
      <c r="IDH50" s="32"/>
      <c r="IDJ50" s="12"/>
      <c r="IDL50" s="34"/>
      <c r="IDM50" s="39"/>
      <c r="IDN50" s="41"/>
      <c r="IDQ50" s="32"/>
      <c r="IDS50" s="12"/>
      <c r="IDU50" s="34"/>
      <c r="IDV50" s="39"/>
      <c r="IDW50" s="41"/>
      <c r="IDZ50" s="32"/>
      <c r="IEB50" s="12"/>
      <c r="IED50" s="34"/>
      <c r="IEE50" s="39"/>
      <c r="IEF50" s="41"/>
      <c r="IEI50" s="32"/>
      <c r="IEK50" s="12"/>
      <c r="IEM50" s="34"/>
      <c r="IEN50" s="39"/>
      <c r="IEO50" s="41"/>
      <c r="IER50" s="32"/>
      <c r="IET50" s="12"/>
      <c r="IEV50" s="34"/>
      <c r="IEW50" s="39"/>
      <c r="IEX50" s="41"/>
      <c r="IFA50" s="32"/>
      <c r="IFC50" s="12"/>
      <c r="IFE50" s="34"/>
      <c r="IFF50" s="39"/>
      <c r="IFG50" s="41"/>
      <c r="IFJ50" s="32"/>
      <c r="IFL50" s="12"/>
      <c r="IFN50" s="34"/>
      <c r="IFO50" s="39"/>
      <c r="IFP50" s="41"/>
      <c r="IFS50" s="32"/>
      <c r="IFU50" s="12"/>
      <c r="IFW50" s="34"/>
      <c r="IFX50" s="39"/>
      <c r="IFY50" s="41"/>
      <c r="IGB50" s="32"/>
      <c r="IGD50" s="12"/>
      <c r="IGF50" s="34"/>
      <c r="IGG50" s="39"/>
      <c r="IGH50" s="41"/>
      <c r="IGK50" s="32"/>
      <c r="IGM50" s="12"/>
      <c r="IGO50" s="34"/>
      <c r="IGP50" s="39"/>
      <c r="IGQ50" s="41"/>
      <c r="IGT50" s="32"/>
      <c r="IGV50" s="12"/>
      <c r="IGX50" s="34"/>
      <c r="IGY50" s="39"/>
      <c r="IGZ50" s="41"/>
      <c r="IHC50" s="32"/>
      <c r="IHE50" s="12"/>
      <c r="IHG50" s="34"/>
      <c r="IHH50" s="39"/>
      <c r="IHI50" s="41"/>
      <c r="IHL50" s="32"/>
      <c r="IHN50" s="12"/>
      <c r="IHP50" s="34"/>
      <c r="IHQ50" s="39"/>
      <c r="IHR50" s="41"/>
      <c r="IHU50" s="32"/>
      <c r="IHW50" s="12"/>
      <c r="IHY50" s="34"/>
      <c r="IHZ50" s="39"/>
      <c r="IIA50" s="41"/>
      <c r="IID50" s="32"/>
      <c r="IIF50" s="12"/>
      <c r="IIH50" s="34"/>
      <c r="III50" s="39"/>
      <c r="IIJ50" s="41"/>
      <c r="IIM50" s="32"/>
      <c r="IIO50" s="12"/>
      <c r="IIQ50" s="34"/>
      <c r="IIR50" s="39"/>
      <c r="IIS50" s="41"/>
      <c r="IIV50" s="32"/>
      <c r="IIX50" s="12"/>
      <c r="IIZ50" s="34"/>
      <c r="IJA50" s="39"/>
      <c r="IJB50" s="41"/>
      <c r="IJE50" s="32"/>
      <c r="IJG50" s="12"/>
      <c r="IJI50" s="34"/>
      <c r="IJJ50" s="39"/>
      <c r="IJK50" s="41"/>
      <c r="IJN50" s="32"/>
      <c r="IJP50" s="12"/>
      <c r="IJR50" s="34"/>
      <c r="IJS50" s="39"/>
      <c r="IJT50" s="41"/>
      <c r="IJW50" s="32"/>
      <c r="IJY50" s="12"/>
      <c r="IKA50" s="34"/>
      <c r="IKB50" s="39"/>
      <c r="IKC50" s="41"/>
      <c r="IKF50" s="32"/>
      <c r="IKH50" s="12"/>
      <c r="IKJ50" s="34"/>
      <c r="IKK50" s="39"/>
      <c r="IKL50" s="41"/>
      <c r="IKO50" s="32"/>
      <c r="IKQ50" s="12"/>
      <c r="IKS50" s="34"/>
      <c r="IKT50" s="39"/>
      <c r="IKU50" s="41"/>
      <c r="IKX50" s="32"/>
      <c r="IKZ50" s="12"/>
      <c r="ILB50" s="34"/>
      <c r="ILC50" s="39"/>
      <c r="ILD50" s="41"/>
      <c r="ILG50" s="32"/>
      <c r="ILI50" s="12"/>
      <c r="ILK50" s="34"/>
      <c r="ILL50" s="39"/>
      <c r="ILM50" s="41"/>
      <c r="ILP50" s="32"/>
      <c r="ILR50" s="12"/>
      <c r="ILT50" s="34"/>
      <c r="ILU50" s="39"/>
      <c r="ILV50" s="41"/>
      <c r="ILY50" s="32"/>
      <c r="IMA50" s="12"/>
      <c r="IMC50" s="34"/>
      <c r="IMD50" s="39"/>
      <c r="IME50" s="41"/>
      <c r="IMH50" s="32"/>
      <c r="IMJ50" s="12"/>
      <c r="IML50" s="34"/>
      <c r="IMM50" s="39"/>
      <c r="IMN50" s="41"/>
      <c r="IMQ50" s="32"/>
      <c r="IMS50" s="12"/>
      <c r="IMU50" s="34"/>
      <c r="IMV50" s="39"/>
      <c r="IMW50" s="41"/>
      <c r="IMZ50" s="32"/>
      <c r="INB50" s="12"/>
      <c r="IND50" s="34"/>
      <c r="INE50" s="39"/>
      <c r="INF50" s="41"/>
      <c r="INI50" s="32"/>
      <c r="INK50" s="12"/>
      <c r="INM50" s="34"/>
      <c r="INN50" s="39"/>
      <c r="INO50" s="41"/>
      <c r="INR50" s="32"/>
      <c r="INT50" s="12"/>
      <c r="INV50" s="34"/>
      <c r="INW50" s="39"/>
      <c r="INX50" s="41"/>
      <c r="IOA50" s="32"/>
      <c r="IOC50" s="12"/>
      <c r="IOE50" s="34"/>
      <c r="IOF50" s="39"/>
      <c r="IOG50" s="41"/>
      <c r="IOJ50" s="32"/>
      <c r="IOL50" s="12"/>
      <c r="ION50" s="34"/>
      <c r="IOO50" s="39"/>
      <c r="IOP50" s="41"/>
      <c r="IOS50" s="32"/>
      <c r="IOU50" s="12"/>
      <c r="IOW50" s="34"/>
      <c r="IOX50" s="39"/>
      <c r="IOY50" s="41"/>
      <c r="IPB50" s="32"/>
      <c r="IPD50" s="12"/>
      <c r="IPF50" s="34"/>
      <c r="IPG50" s="39"/>
      <c r="IPH50" s="41"/>
      <c r="IPK50" s="32"/>
      <c r="IPM50" s="12"/>
      <c r="IPO50" s="34"/>
      <c r="IPP50" s="39"/>
      <c r="IPQ50" s="41"/>
      <c r="IPT50" s="32"/>
      <c r="IPV50" s="12"/>
      <c r="IPX50" s="34"/>
      <c r="IPY50" s="39"/>
      <c r="IPZ50" s="41"/>
      <c r="IQC50" s="32"/>
      <c r="IQE50" s="12"/>
      <c r="IQG50" s="34"/>
      <c r="IQH50" s="39"/>
      <c r="IQI50" s="41"/>
      <c r="IQL50" s="32"/>
      <c r="IQN50" s="12"/>
      <c r="IQP50" s="34"/>
      <c r="IQQ50" s="39"/>
      <c r="IQR50" s="41"/>
      <c r="IQU50" s="32"/>
      <c r="IQW50" s="12"/>
      <c r="IQY50" s="34"/>
      <c r="IQZ50" s="39"/>
      <c r="IRA50" s="41"/>
      <c r="IRD50" s="32"/>
      <c r="IRF50" s="12"/>
      <c r="IRH50" s="34"/>
      <c r="IRI50" s="39"/>
      <c r="IRJ50" s="41"/>
      <c r="IRM50" s="32"/>
      <c r="IRO50" s="12"/>
      <c r="IRQ50" s="34"/>
      <c r="IRR50" s="39"/>
      <c r="IRS50" s="41"/>
      <c r="IRV50" s="32"/>
      <c r="IRX50" s="12"/>
      <c r="IRZ50" s="34"/>
      <c r="ISA50" s="39"/>
      <c r="ISB50" s="41"/>
      <c r="ISE50" s="32"/>
      <c r="ISG50" s="12"/>
      <c r="ISI50" s="34"/>
      <c r="ISJ50" s="39"/>
      <c r="ISK50" s="41"/>
      <c r="ISN50" s="32"/>
      <c r="ISP50" s="12"/>
      <c r="ISR50" s="34"/>
      <c r="ISS50" s="39"/>
      <c r="IST50" s="41"/>
      <c r="ISW50" s="32"/>
      <c r="ISY50" s="12"/>
      <c r="ITA50" s="34"/>
      <c r="ITB50" s="39"/>
      <c r="ITC50" s="41"/>
      <c r="ITF50" s="32"/>
      <c r="ITH50" s="12"/>
      <c r="ITJ50" s="34"/>
      <c r="ITK50" s="39"/>
      <c r="ITL50" s="41"/>
      <c r="ITO50" s="32"/>
      <c r="ITQ50" s="12"/>
      <c r="ITS50" s="34"/>
      <c r="ITT50" s="39"/>
      <c r="ITU50" s="41"/>
      <c r="ITX50" s="32"/>
      <c r="ITZ50" s="12"/>
      <c r="IUB50" s="34"/>
      <c r="IUC50" s="39"/>
      <c r="IUD50" s="41"/>
      <c r="IUG50" s="32"/>
      <c r="IUI50" s="12"/>
      <c r="IUK50" s="34"/>
      <c r="IUL50" s="39"/>
      <c r="IUM50" s="41"/>
      <c r="IUP50" s="32"/>
      <c r="IUR50" s="12"/>
      <c r="IUT50" s="34"/>
      <c r="IUU50" s="39"/>
      <c r="IUV50" s="41"/>
      <c r="IUY50" s="32"/>
      <c r="IVA50" s="12"/>
      <c r="IVC50" s="34"/>
      <c r="IVD50" s="39"/>
      <c r="IVE50" s="41"/>
      <c r="IVH50" s="32"/>
      <c r="IVJ50" s="12"/>
      <c r="IVL50" s="34"/>
      <c r="IVM50" s="39"/>
      <c r="IVN50" s="41"/>
      <c r="IVQ50" s="32"/>
      <c r="IVS50" s="12"/>
      <c r="IVU50" s="34"/>
      <c r="IVV50" s="39"/>
      <c r="IVW50" s="41"/>
      <c r="IVZ50" s="32"/>
      <c r="IWB50" s="12"/>
      <c r="IWD50" s="34"/>
      <c r="IWE50" s="39"/>
      <c r="IWF50" s="41"/>
      <c r="IWI50" s="32"/>
      <c r="IWK50" s="12"/>
      <c r="IWM50" s="34"/>
      <c r="IWN50" s="39"/>
      <c r="IWO50" s="41"/>
      <c r="IWR50" s="32"/>
      <c r="IWT50" s="12"/>
      <c r="IWV50" s="34"/>
      <c r="IWW50" s="39"/>
      <c r="IWX50" s="41"/>
      <c r="IXA50" s="32"/>
      <c r="IXC50" s="12"/>
      <c r="IXE50" s="34"/>
      <c r="IXF50" s="39"/>
      <c r="IXG50" s="41"/>
      <c r="IXJ50" s="32"/>
      <c r="IXL50" s="12"/>
      <c r="IXN50" s="34"/>
      <c r="IXO50" s="39"/>
      <c r="IXP50" s="41"/>
      <c r="IXS50" s="32"/>
      <c r="IXU50" s="12"/>
      <c r="IXW50" s="34"/>
      <c r="IXX50" s="39"/>
      <c r="IXY50" s="41"/>
      <c r="IYB50" s="32"/>
      <c r="IYD50" s="12"/>
      <c r="IYF50" s="34"/>
      <c r="IYG50" s="39"/>
      <c r="IYH50" s="41"/>
      <c r="IYK50" s="32"/>
      <c r="IYM50" s="12"/>
      <c r="IYO50" s="34"/>
      <c r="IYP50" s="39"/>
      <c r="IYQ50" s="41"/>
      <c r="IYT50" s="32"/>
      <c r="IYV50" s="12"/>
      <c r="IYX50" s="34"/>
      <c r="IYY50" s="39"/>
      <c r="IYZ50" s="41"/>
      <c r="IZC50" s="32"/>
      <c r="IZE50" s="12"/>
      <c r="IZG50" s="34"/>
      <c r="IZH50" s="39"/>
      <c r="IZI50" s="41"/>
      <c r="IZL50" s="32"/>
      <c r="IZN50" s="12"/>
      <c r="IZP50" s="34"/>
      <c r="IZQ50" s="39"/>
      <c r="IZR50" s="41"/>
      <c r="IZU50" s="32"/>
      <c r="IZW50" s="12"/>
      <c r="IZY50" s="34"/>
      <c r="IZZ50" s="39"/>
      <c r="JAA50" s="41"/>
      <c r="JAD50" s="32"/>
      <c r="JAF50" s="12"/>
      <c r="JAH50" s="34"/>
      <c r="JAI50" s="39"/>
      <c r="JAJ50" s="41"/>
      <c r="JAM50" s="32"/>
      <c r="JAO50" s="12"/>
      <c r="JAQ50" s="34"/>
      <c r="JAR50" s="39"/>
      <c r="JAS50" s="41"/>
      <c r="JAV50" s="32"/>
      <c r="JAX50" s="12"/>
      <c r="JAZ50" s="34"/>
      <c r="JBA50" s="39"/>
      <c r="JBB50" s="41"/>
      <c r="JBE50" s="32"/>
      <c r="JBG50" s="12"/>
      <c r="JBI50" s="34"/>
      <c r="JBJ50" s="39"/>
      <c r="JBK50" s="41"/>
      <c r="JBN50" s="32"/>
      <c r="JBP50" s="12"/>
      <c r="JBR50" s="34"/>
      <c r="JBS50" s="39"/>
      <c r="JBT50" s="41"/>
      <c r="JBW50" s="32"/>
      <c r="JBY50" s="12"/>
      <c r="JCA50" s="34"/>
      <c r="JCB50" s="39"/>
      <c r="JCC50" s="41"/>
      <c r="JCF50" s="32"/>
      <c r="JCH50" s="12"/>
      <c r="JCJ50" s="34"/>
      <c r="JCK50" s="39"/>
      <c r="JCL50" s="41"/>
      <c r="JCO50" s="32"/>
      <c r="JCQ50" s="12"/>
      <c r="JCS50" s="34"/>
      <c r="JCT50" s="39"/>
      <c r="JCU50" s="41"/>
      <c r="JCX50" s="32"/>
      <c r="JCZ50" s="12"/>
      <c r="JDB50" s="34"/>
      <c r="JDC50" s="39"/>
      <c r="JDD50" s="41"/>
      <c r="JDG50" s="32"/>
      <c r="JDI50" s="12"/>
      <c r="JDK50" s="34"/>
      <c r="JDL50" s="39"/>
      <c r="JDM50" s="41"/>
      <c r="JDP50" s="32"/>
      <c r="JDR50" s="12"/>
      <c r="JDT50" s="34"/>
      <c r="JDU50" s="39"/>
      <c r="JDV50" s="41"/>
      <c r="JDY50" s="32"/>
      <c r="JEA50" s="12"/>
      <c r="JEC50" s="34"/>
      <c r="JED50" s="39"/>
      <c r="JEE50" s="41"/>
      <c r="JEH50" s="32"/>
      <c r="JEJ50" s="12"/>
      <c r="JEL50" s="34"/>
      <c r="JEM50" s="39"/>
      <c r="JEN50" s="41"/>
      <c r="JEQ50" s="32"/>
      <c r="JES50" s="12"/>
      <c r="JEU50" s="34"/>
      <c r="JEV50" s="39"/>
      <c r="JEW50" s="41"/>
      <c r="JEZ50" s="32"/>
      <c r="JFB50" s="12"/>
      <c r="JFD50" s="34"/>
      <c r="JFE50" s="39"/>
      <c r="JFF50" s="41"/>
      <c r="JFI50" s="32"/>
      <c r="JFK50" s="12"/>
      <c r="JFM50" s="34"/>
      <c r="JFN50" s="39"/>
      <c r="JFO50" s="41"/>
      <c r="JFR50" s="32"/>
      <c r="JFT50" s="12"/>
      <c r="JFV50" s="34"/>
      <c r="JFW50" s="39"/>
      <c r="JFX50" s="41"/>
      <c r="JGA50" s="32"/>
      <c r="JGC50" s="12"/>
      <c r="JGE50" s="34"/>
      <c r="JGF50" s="39"/>
      <c r="JGG50" s="41"/>
      <c r="JGJ50" s="32"/>
      <c r="JGL50" s="12"/>
      <c r="JGN50" s="34"/>
      <c r="JGO50" s="39"/>
      <c r="JGP50" s="41"/>
      <c r="JGS50" s="32"/>
      <c r="JGU50" s="12"/>
      <c r="JGW50" s="34"/>
      <c r="JGX50" s="39"/>
      <c r="JGY50" s="41"/>
      <c r="JHB50" s="32"/>
      <c r="JHD50" s="12"/>
      <c r="JHF50" s="34"/>
      <c r="JHG50" s="39"/>
      <c r="JHH50" s="41"/>
      <c r="JHK50" s="32"/>
      <c r="JHM50" s="12"/>
      <c r="JHO50" s="34"/>
      <c r="JHP50" s="39"/>
      <c r="JHQ50" s="41"/>
      <c r="JHT50" s="32"/>
      <c r="JHV50" s="12"/>
      <c r="JHX50" s="34"/>
      <c r="JHY50" s="39"/>
      <c r="JHZ50" s="41"/>
      <c r="JIC50" s="32"/>
      <c r="JIE50" s="12"/>
      <c r="JIG50" s="34"/>
      <c r="JIH50" s="39"/>
      <c r="JII50" s="41"/>
      <c r="JIL50" s="32"/>
      <c r="JIN50" s="12"/>
      <c r="JIP50" s="34"/>
      <c r="JIQ50" s="39"/>
      <c r="JIR50" s="41"/>
      <c r="JIU50" s="32"/>
      <c r="JIW50" s="12"/>
      <c r="JIY50" s="34"/>
      <c r="JIZ50" s="39"/>
      <c r="JJA50" s="41"/>
      <c r="JJD50" s="32"/>
      <c r="JJF50" s="12"/>
      <c r="JJH50" s="34"/>
      <c r="JJI50" s="39"/>
      <c r="JJJ50" s="41"/>
      <c r="JJM50" s="32"/>
      <c r="JJO50" s="12"/>
      <c r="JJQ50" s="34"/>
      <c r="JJR50" s="39"/>
      <c r="JJS50" s="41"/>
      <c r="JJV50" s="32"/>
      <c r="JJX50" s="12"/>
      <c r="JJZ50" s="34"/>
      <c r="JKA50" s="39"/>
      <c r="JKB50" s="41"/>
      <c r="JKE50" s="32"/>
      <c r="JKG50" s="12"/>
      <c r="JKI50" s="34"/>
      <c r="JKJ50" s="39"/>
      <c r="JKK50" s="41"/>
      <c r="JKN50" s="32"/>
      <c r="JKP50" s="12"/>
      <c r="JKR50" s="34"/>
      <c r="JKS50" s="39"/>
      <c r="JKT50" s="41"/>
      <c r="JKW50" s="32"/>
      <c r="JKY50" s="12"/>
      <c r="JLA50" s="34"/>
      <c r="JLB50" s="39"/>
      <c r="JLC50" s="41"/>
      <c r="JLF50" s="32"/>
      <c r="JLH50" s="12"/>
      <c r="JLJ50" s="34"/>
      <c r="JLK50" s="39"/>
      <c r="JLL50" s="41"/>
      <c r="JLO50" s="32"/>
      <c r="JLQ50" s="12"/>
      <c r="JLS50" s="34"/>
      <c r="JLT50" s="39"/>
      <c r="JLU50" s="41"/>
      <c r="JLX50" s="32"/>
      <c r="JLZ50" s="12"/>
      <c r="JMB50" s="34"/>
      <c r="JMC50" s="39"/>
      <c r="JMD50" s="41"/>
      <c r="JMG50" s="32"/>
      <c r="JMI50" s="12"/>
      <c r="JMK50" s="34"/>
      <c r="JML50" s="39"/>
      <c r="JMM50" s="41"/>
      <c r="JMP50" s="32"/>
      <c r="JMR50" s="12"/>
      <c r="JMT50" s="34"/>
      <c r="JMU50" s="39"/>
      <c r="JMV50" s="41"/>
      <c r="JMY50" s="32"/>
      <c r="JNA50" s="12"/>
      <c r="JNC50" s="34"/>
      <c r="JND50" s="39"/>
      <c r="JNE50" s="41"/>
      <c r="JNH50" s="32"/>
      <c r="JNJ50" s="12"/>
      <c r="JNL50" s="34"/>
      <c r="JNM50" s="39"/>
      <c r="JNN50" s="41"/>
      <c r="JNQ50" s="32"/>
      <c r="JNS50" s="12"/>
      <c r="JNU50" s="34"/>
      <c r="JNV50" s="39"/>
      <c r="JNW50" s="41"/>
      <c r="JNZ50" s="32"/>
      <c r="JOB50" s="12"/>
      <c r="JOD50" s="34"/>
      <c r="JOE50" s="39"/>
      <c r="JOF50" s="41"/>
      <c r="JOI50" s="32"/>
      <c r="JOK50" s="12"/>
      <c r="JOM50" s="34"/>
      <c r="JON50" s="39"/>
      <c r="JOO50" s="41"/>
      <c r="JOR50" s="32"/>
      <c r="JOT50" s="12"/>
      <c r="JOV50" s="34"/>
      <c r="JOW50" s="39"/>
      <c r="JOX50" s="41"/>
      <c r="JPA50" s="32"/>
      <c r="JPC50" s="12"/>
      <c r="JPE50" s="34"/>
      <c r="JPF50" s="39"/>
      <c r="JPG50" s="41"/>
      <c r="JPJ50" s="32"/>
      <c r="JPL50" s="12"/>
      <c r="JPN50" s="34"/>
      <c r="JPO50" s="39"/>
      <c r="JPP50" s="41"/>
      <c r="JPS50" s="32"/>
      <c r="JPU50" s="12"/>
      <c r="JPW50" s="34"/>
      <c r="JPX50" s="39"/>
      <c r="JPY50" s="41"/>
      <c r="JQB50" s="32"/>
      <c r="JQD50" s="12"/>
      <c r="JQF50" s="34"/>
      <c r="JQG50" s="39"/>
      <c r="JQH50" s="41"/>
      <c r="JQK50" s="32"/>
      <c r="JQM50" s="12"/>
      <c r="JQO50" s="34"/>
      <c r="JQP50" s="39"/>
      <c r="JQQ50" s="41"/>
      <c r="JQT50" s="32"/>
      <c r="JQV50" s="12"/>
      <c r="JQX50" s="34"/>
      <c r="JQY50" s="39"/>
      <c r="JQZ50" s="41"/>
      <c r="JRC50" s="32"/>
      <c r="JRE50" s="12"/>
      <c r="JRG50" s="34"/>
      <c r="JRH50" s="39"/>
      <c r="JRI50" s="41"/>
      <c r="JRL50" s="32"/>
      <c r="JRN50" s="12"/>
      <c r="JRP50" s="34"/>
      <c r="JRQ50" s="39"/>
      <c r="JRR50" s="41"/>
      <c r="JRU50" s="32"/>
      <c r="JRW50" s="12"/>
      <c r="JRY50" s="34"/>
      <c r="JRZ50" s="39"/>
      <c r="JSA50" s="41"/>
      <c r="JSD50" s="32"/>
      <c r="JSF50" s="12"/>
      <c r="JSH50" s="34"/>
      <c r="JSI50" s="39"/>
      <c r="JSJ50" s="41"/>
      <c r="JSM50" s="32"/>
      <c r="JSO50" s="12"/>
      <c r="JSQ50" s="34"/>
      <c r="JSR50" s="39"/>
      <c r="JSS50" s="41"/>
      <c r="JSV50" s="32"/>
      <c r="JSX50" s="12"/>
      <c r="JSZ50" s="34"/>
      <c r="JTA50" s="39"/>
      <c r="JTB50" s="41"/>
      <c r="JTE50" s="32"/>
      <c r="JTG50" s="12"/>
      <c r="JTI50" s="34"/>
      <c r="JTJ50" s="39"/>
      <c r="JTK50" s="41"/>
      <c r="JTN50" s="32"/>
      <c r="JTP50" s="12"/>
      <c r="JTR50" s="34"/>
      <c r="JTS50" s="39"/>
      <c r="JTT50" s="41"/>
      <c r="JTW50" s="32"/>
      <c r="JTY50" s="12"/>
      <c r="JUA50" s="34"/>
      <c r="JUB50" s="39"/>
      <c r="JUC50" s="41"/>
      <c r="JUF50" s="32"/>
      <c r="JUH50" s="12"/>
      <c r="JUJ50" s="34"/>
      <c r="JUK50" s="39"/>
      <c r="JUL50" s="41"/>
      <c r="JUO50" s="32"/>
      <c r="JUQ50" s="12"/>
      <c r="JUS50" s="34"/>
      <c r="JUT50" s="39"/>
      <c r="JUU50" s="41"/>
      <c r="JUX50" s="32"/>
      <c r="JUZ50" s="12"/>
      <c r="JVB50" s="34"/>
      <c r="JVC50" s="39"/>
      <c r="JVD50" s="41"/>
      <c r="JVG50" s="32"/>
      <c r="JVI50" s="12"/>
      <c r="JVK50" s="34"/>
      <c r="JVL50" s="39"/>
      <c r="JVM50" s="41"/>
      <c r="JVP50" s="32"/>
      <c r="JVR50" s="12"/>
      <c r="JVT50" s="34"/>
      <c r="JVU50" s="39"/>
      <c r="JVV50" s="41"/>
      <c r="JVY50" s="32"/>
      <c r="JWA50" s="12"/>
      <c r="JWC50" s="34"/>
      <c r="JWD50" s="39"/>
      <c r="JWE50" s="41"/>
      <c r="JWH50" s="32"/>
      <c r="JWJ50" s="12"/>
      <c r="JWL50" s="34"/>
      <c r="JWM50" s="39"/>
      <c r="JWN50" s="41"/>
      <c r="JWQ50" s="32"/>
      <c r="JWS50" s="12"/>
      <c r="JWU50" s="34"/>
      <c r="JWV50" s="39"/>
      <c r="JWW50" s="41"/>
      <c r="JWZ50" s="32"/>
      <c r="JXB50" s="12"/>
      <c r="JXD50" s="34"/>
      <c r="JXE50" s="39"/>
      <c r="JXF50" s="41"/>
      <c r="JXI50" s="32"/>
      <c r="JXK50" s="12"/>
      <c r="JXM50" s="34"/>
      <c r="JXN50" s="39"/>
      <c r="JXO50" s="41"/>
      <c r="JXR50" s="32"/>
      <c r="JXT50" s="12"/>
      <c r="JXV50" s="34"/>
      <c r="JXW50" s="39"/>
      <c r="JXX50" s="41"/>
      <c r="JYA50" s="32"/>
      <c r="JYC50" s="12"/>
      <c r="JYE50" s="34"/>
      <c r="JYF50" s="39"/>
      <c r="JYG50" s="41"/>
      <c r="JYJ50" s="32"/>
      <c r="JYL50" s="12"/>
      <c r="JYN50" s="34"/>
      <c r="JYO50" s="39"/>
      <c r="JYP50" s="41"/>
      <c r="JYS50" s="32"/>
      <c r="JYU50" s="12"/>
      <c r="JYW50" s="34"/>
      <c r="JYX50" s="39"/>
      <c r="JYY50" s="41"/>
      <c r="JZB50" s="32"/>
      <c r="JZD50" s="12"/>
      <c r="JZF50" s="34"/>
      <c r="JZG50" s="39"/>
      <c r="JZH50" s="41"/>
      <c r="JZK50" s="32"/>
      <c r="JZM50" s="12"/>
      <c r="JZO50" s="34"/>
      <c r="JZP50" s="39"/>
      <c r="JZQ50" s="41"/>
      <c r="JZT50" s="32"/>
      <c r="JZV50" s="12"/>
      <c r="JZX50" s="34"/>
      <c r="JZY50" s="39"/>
      <c r="JZZ50" s="41"/>
      <c r="KAC50" s="32"/>
      <c r="KAE50" s="12"/>
      <c r="KAG50" s="34"/>
      <c r="KAH50" s="39"/>
      <c r="KAI50" s="41"/>
      <c r="KAL50" s="32"/>
      <c r="KAN50" s="12"/>
      <c r="KAP50" s="34"/>
      <c r="KAQ50" s="39"/>
      <c r="KAR50" s="41"/>
      <c r="KAU50" s="32"/>
      <c r="KAW50" s="12"/>
      <c r="KAY50" s="34"/>
      <c r="KAZ50" s="39"/>
      <c r="KBA50" s="41"/>
      <c r="KBD50" s="32"/>
      <c r="KBF50" s="12"/>
      <c r="KBH50" s="34"/>
      <c r="KBI50" s="39"/>
      <c r="KBJ50" s="41"/>
      <c r="KBM50" s="32"/>
      <c r="KBO50" s="12"/>
      <c r="KBQ50" s="34"/>
      <c r="KBR50" s="39"/>
      <c r="KBS50" s="41"/>
      <c r="KBV50" s="32"/>
      <c r="KBX50" s="12"/>
      <c r="KBZ50" s="34"/>
      <c r="KCA50" s="39"/>
      <c r="KCB50" s="41"/>
      <c r="KCE50" s="32"/>
      <c r="KCG50" s="12"/>
      <c r="KCI50" s="34"/>
      <c r="KCJ50" s="39"/>
      <c r="KCK50" s="41"/>
      <c r="KCN50" s="32"/>
      <c r="KCP50" s="12"/>
      <c r="KCR50" s="34"/>
      <c r="KCS50" s="39"/>
      <c r="KCT50" s="41"/>
      <c r="KCW50" s="32"/>
      <c r="KCY50" s="12"/>
      <c r="KDA50" s="34"/>
      <c r="KDB50" s="39"/>
      <c r="KDC50" s="41"/>
      <c r="KDF50" s="32"/>
      <c r="KDH50" s="12"/>
      <c r="KDJ50" s="34"/>
      <c r="KDK50" s="39"/>
      <c r="KDL50" s="41"/>
      <c r="KDO50" s="32"/>
      <c r="KDQ50" s="12"/>
      <c r="KDS50" s="34"/>
      <c r="KDT50" s="39"/>
      <c r="KDU50" s="41"/>
      <c r="KDX50" s="32"/>
      <c r="KDZ50" s="12"/>
      <c r="KEB50" s="34"/>
      <c r="KEC50" s="39"/>
      <c r="KED50" s="41"/>
      <c r="KEG50" s="32"/>
      <c r="KEI50" s="12"/>
      <c r="KEK50" s="34"/>
      <c r="KEL50" s="39"/>
      <c r="KEM50" s="41"/>
      <c r="KEP50" s="32"/>
      <c r="KER50" s="12"/>
      <c r="KET50" s="34"/>
      <c r="KEU50" s="39"/>
      <c r="KEV50" s="41"/>
      <c r="KEY50" s="32"/>
      <c r="KFA50" s="12"/>
      <c r="KFC50" s="34"/>
      <c r="KFD50" s="39"/>
      <c r="KFE50" s="41"/>
      <c r="KFH50" s="32"/>
      <c r="KFJ50" s="12"/>
      <c r="KFL50" s="34"/>
      <c r="KFM50" s="39"/>
      <c r="KFN50" s="41"/>
      <c r="KFQ50" s="32"/>
      <c r="KFS50" s="12"/>
      <c r="KFU50" s="34"/>
      <c r="KFV50" s="39"/>
      <c r="KFW50" s="41"/>
      <c r="KFZ50" s="32"/>
      <c r="KGB50" s="12"/>
      <c r="KGD50" s="34"/>
      <c r="KGE50" s="39"/>
      <c r="KGF50" s="41"/>
      <c r="KGI50" s="32"/>
      <c r="KGK50" s="12"/>
      <c r="KGM50" s="34"/>
      <c r="KGN50" s="39"/>
      <c r="KGO50" s="41"/>
      <c r="KGR50" s="32"/>
      <c r="KGT50" s="12"/>
      <c r="KGV50" s="34"/>
      <c r="KGW50" s="39"/>
      <c r="KGX50" s="41"/>
      <c r="KHA50" s="32"/>
      <c r="KHC50" s="12"/>
      <c r="KHE50" s="34"/>
      <c r="KHF50" s="39"/>
      <c r="KHG50" s="41"/>
      <c r="KHJ50" s="32"/>
      <c r="KHL50" s="12"/>
      <c r="KHN50" s="34"/>
      <c r="KHO50" s="39"/>
      <c r="KHP50" s="41"/>
      <c r="KHS50" s="32"/>
      <c r="KHU50" s="12"/>
      <c r="KHW50" s="34"/>
      <c r="KHX50" s="39"/>
      <c r="KHY50" s="41"/>
      <c r="KIB50" s="32"/>
      <c r="KID50" s="12"/>
      <c r="KIF50" s="34"/>
      <c r="KIG50" s="39"/>
      <c r="KIH50" s="41"/>
      <c r="KIK50" s="32"/>
      <c r="KIM50" s="12"/>
      <c r="KIO50" s="34"/>
      <c r="KIP50" s="39"/>
      <c r="KIQ50" s="41"/>
      <c r="KIT50" s="32"/>
      <c r="KIV50" s="12"/>
      <c r="KIX50" s="34"/>
      <c r="KIY50" s="39"/>
      <c r="KIZ50" s="41"/>
      <c r="KJC50" s="32"/>
      <c r="KJE50" s="12"/>
      <c r="KJG50" s="34"/>
      <c r="KJH50" s="39"/>
      <c r="KJI50" s="41"/>
      <c r="KJL50" s="32"/>
      <c r="KJN50" s="12"/>
      <c r="KJP50" s="34"/>
      <c r="KJQ50" s="39"/>
      <c r="KJR50" s="41"/>
      <c r="KJU50" s="32"/>
      <c r="KJW50" s="12"/>
      <c r="KJY50" s="34"/>
      <c r="KJZ50" s="39"/>
      <c r="KKA50" s="41"/>
      <c r="KKD50" s="32"/>
      <c r="KKF50" s="12"/>
      <c r="KKH50" s="34"/>
      <c r="KKI50" s="39"/>
      <c r="KKJ50" s="41"/>
      <c r="KKM50" s="32"/>
      <c r="KKO50" s="12"/>
      <c r="KKQ50" s="34"/>
      <c r="KKR50" s="39"/>
      <c r="KKS50" s="41"/>
      <c r="KKV50" s="32"/>
      <c r="KKX50" s="12"/>
      <c r="KKZ50" s="34"/>
      <c r="KLA50" s="39"/>
      <c r="KLB50" s="41"/>
      <c r="KLE50" s="32"/>
      <c r="KLG50" s="12"/>
      <c r="KLI50" s="34"/>
      <c r="KLJ50" s="39"/>
      <c r="KLK50" s="41"/>
      <c r="KLN50" s="32"/>
      <c r="KLP50" s="12"/>
      <c r="KLR50" s="34"/>
      <c r="KLS50" s="39"/>
      <c r="KLT50" s="41"/>
      <c r="KLW50" s="32"/>
      <c r="KLY50" s="12"/>
      <c r="KMA50" s="34"/>
      <c r="KMB50" s="39"/>
      <c r="KMC50" s="41"/>
      <c r="KMF50" s="32"/>
      <c r="KMH50" s="12"/>
      <c r="KMJ50" s="34"/>
      <c r="KMK50" s="39"/>
      <c r="KML50" s="41"/>
      <c r="KMO50" s="32"/>
      <c r="KMQ50" s="12"/>
      <c r="KMS50" s="34"/>
      <c r="KMT50" s="39"/>
      <c r="KMU50" s="41"/>
      <c r="KMX50" s="32"/>
      <c r="KMZ50" s="12"/>
      <c r="KNB50" s="34"/>
      <c r="KNC50" s="39"/>
      <c r="KND50" s="41"/>
      <c r="KNG50" s="32"/>
      <c r="KNI50" s="12"/>
      <c r="KNK50" s="34"/>
      <c r="KNL50" s="39"/>
      <c r="KNM50" s="41"/>
      <c r="KNP50" s="32"/>
      <c r="KNR50" s="12"/>
      <c r="KNT50" s="34"/>
      <c r="KNU50" s="39"/>
      <c r="KNV50" s="41"/>
      <c r="KNY50" s="32"/>
      <c r="KOA50" s="12"/>
      <c r="KOC50" s="34"/>
      <c r="KOD50" s="39"/>
      <c r="KOE50" s="41"/>
      <c r="KOH50" s="32"/>
      <c r="KOJ50" s="12"/>
      <c r="KOL50" s="34"/>
      <c r="KOM50" s="39"/>
      <c r="KON50" s="41"/>
      <c r="KOQ50" s="32"/>
      <c r="KOS50" s="12"/>
      <c r="KOU50" s="34"/>
      <c r="KOV50" s="39"/>
      <c r="KOW50" s="41"/>
      <c r="KOZ50" s="32"/>
      <c r="KPB50" s="12"/>
      <c r="KPD50" s="34"/>
      <c r="KPE50" s="39"/>
      <c r="KPF50" s="41"/>
      <c r="KPI50" s="32"/>
      <c r="KPK50" s="12"/>
      <c r="KPM50" s="34"/>
      <c r="KPN50" s="39"/>
      <c r="KPO50" s="41"/>
      <c r="KPR50" s="32"/>
      <c r="KPT50" s="12"/>
      <c r="KPV50" s="34"/>
      <c r="KPW50" s="39"/>
      <c r="KPX50" s="41"/>
      <c r="KQA50" s="32"/>
      <c r="KQC50" s="12"/>
      <c r="KQE50" s="34"/>
      <c r="KQF50" s="39"/>
      <c r="KQG50" s="41"/>
      <c r="KQJ50" s="32"/>
      <c r="KQL50" s="12"/>
      <c r="KQN50" s="34"/>
      <c r="KQO50" s="39"/>
      <c r="KQP50" s="41"/>
      <c r="KQS50" s="32"/>
      <c r="KQU50" s="12"/>
      <c r="KQW50" s="34"/>
      <c r="KQX50" s="39"/>
      <c r="KQY50" s="41"/>
      <c r="KRB50" s="32"/>
      <c r="KRD50" s="12"/>
      <c r="KRF50" s="34"/>
      <c r="KRG50" s="39"/>
      <c r="KRH50" s="41"/>
      <c r="KRK50" s="32"/>
      <c r="KRM50" s="12"/>
      <c r="KRO50" s="34"/>
      <c r="KRP50" s="39"/>
      <c r="KRQ50" s="41"/>
      <c r="KRT50" s="32"/>
      <c r="KRV50" s="12"/>
      <c r="KRX50" s="34"/>
      <c r="KRY50" s="39"/>
      <c r="KRZ50" s="41"/>
      <c r="KSC50" s="32"/>
      <c r="KSE50" s="12"/>
      <c r="KSG50" s="34"/>
      <c r="KSH50" s="39"/>
      <c r="KSI50" s="41"/>
      <c r="KSL50" s="32"/>
      <c r="KSN50" s="12"/>
      <c r="KSP50" s="34"/>
      <c r="KSQ50" s="39"/>
      <c r="KSR50" s="41"/>
      <c r="KSU50" s="32"/>
      <c r="KSW50" s="12"/>
      <c r="KSY50" s="34"/>
      <c r="KSZ50" s="39"/>
      <c r="KTA50" s="41"/>
      <c r="KTD50" s="32"/>
      <c r="KTF50" s="12"/>
      <c r="KTH50" s="34"/>
      <c r="KTI50" s="39"/>
      <c r="KTJ50" s="41"/>
      <c r="KTM50" s="32"/>
      <c r="KTO50" s="12"/>
      <c r="KTQ50" s="34"/>
      <c r="KTR50" s="39"/>
      <c r="KTS50" s="41"/>
      <c r="KTV50" s="32"/>
      <c r="KTX50" s="12"/>
      <c r="KTZ50" s="34"/>
      <c r="KUA50" s="39"/>
      <c r="KUB50" s="41"/>
      <c r="KUE50" s="32"/>
      <c r="KUG50" s="12"/>
      <c r="KUI50" s="34"/>
      <c r="KUJ50" s="39"/>
      <c r="KUK50" s="41"/>
      <c r="KUN50" s="32"/>
      <c r="KUP50" s="12"/>
      <c r="KUR50" s="34"/>
      <c r="KUS50" s="39"/>
      <c r="KUT50" s="41"/>
      <c r="KUW50" s="32"/>
      <c r="KUY50" s="12"/>
      <c r="KVA50" s="34"/>
      <c r="KVB50" s="39"/>
      <c r="KVC50" s="41"/>
      <c r="KVF50" s="32"/>
      <c r="KVH50" s="12"/>
      <c r="KVJ50" s="34"/>
      <c r="KVK50" s="39"/>
      <c r="KVL50" s="41"/>
      <c r="KVO50" s="32"/>
      <c r="KVQ50" s="12"/>
      <c r="KVS50" s="34"/>
      <c r="KVT50" s="39"/>
      <c r="KVU50" s="41"/>
      <c r="KVX50" s="32"/>
      <c r="KVZ50" s="12"/>
      <c r="KWB50" s="34"/>
      <c r="KWC50" s="39"/>
      <c r="KWD50" s="41"/>
      <c r="KWG50" s="32"/>
      <c r="KWI50" s="12"/>
      <c r="KWK50" s="34"/>
      <c r="KWL50" s="39"/>
      <c r="KWM50" s="41"/>
      <c r="KWP50" s="32"/>
      <c r="KWR50" s="12"/>
      <c r="KWT50" s="34"/>
      <c r="KWU50" s="39"/>
      <c r="KWV50" s="41"/>
      <c r="KWY50" s="32"/>
      <c r="KXA50" s="12"/>
      <c r="KXC50" s="34"/>
      <c r="KXD50" s="39"/>
      <c r="KXE50" s="41"/>
      <c r="KXH50" s="32"/>
      <c r="KXJ50" s="12"/>
      <c r="KXL50" s="34"/>
      <c r="KXM50" s="39"/>
      <c r="KXN50" s="41"/>
      <c r="KXQ50" s="32"/>
      <c r="KXS50" s="12"/>
      <c r="KXU50" s="34"/>
      <c r="KXV50" s="39"/>
      <c r="KXW50" s="41"/>
      <c r="KXZ50" s="32"/>
      <c r="KYB50" s="12"/>
      <c r="KYD50" s="34"/>
      <c r="KYE50" s="39"/>
      <c r="KYF50" s="41"/>
      <c r="KYI50" s="32"/>
      <c r="KYK50" s="12"/>
      <c r="KYM50" s="34"/>
      <c r="KYN50" s="39"/>
      <c r="KYO50" s="41"/>
      <c r="KYR50" s="32"/>
      <c r="KYT50" s="12"/>
      <c r="KYV50" s="34"/>
      <c r="KYW50" s="39"/>
      <c r="KYX50" s="41"/>
      <c r="KZA50" s="32"/>
      <c r="KZC50" s="12"/>
      <c r="KZE50" s="34"/>
      <c r="KZF50" s="39"/>
      <c r="KZG50" s="41"/>
      <c r="KZJ50" s="32"/>
      <c r="KZL50" s="12"/>
      <c r="KZN50" s="34"/>
      <c r="KZO50" s="39"/>
      <c r="KZP50" s="41"/>
      <c r="KZS50" s="32"/>
      <c r="KZU50" s="12"/>
      <c r="KZW50" s="34"/>
      <c r="KZX50" s="39"/>
      <c r="KZY50" s="41"/>
      <c r="LAB50" s="32"/>
      <c r="LAD50" s="12"/>
      <c r="LAF50" s="34"/>
      <c r="LAG50" s="39"/>
      <c r="LAH50" s="41"/>
      <c r="LAK50" s="32"/>
      <c r="LAM50" s="12"/>
      <c r="LAO50" s="34"/>
      <c r="LAP50" s="39"/>
      <c r="LAQ50" s="41"/>
      <c r="LAT50" s="32"/>
      <c r="LAV50" s="12"/>
      <c r="LAX50" s="34"/>
      <c r="LAY50" s="39"/>
      <c r="LAZ50" s="41"/>
      <c r="LBC50" s="32"/>
      <c r="LBE50" s="12"/>
      <c r="LBG50" s="34"/>
      <c r="LBH50" s="39"/>
      <c r="LBI50" s="41"/>
      <c r="LBL50" s="32"/>
      <c r="LBN50" s="12"/>
      <c r="LBP50" s="34"/>
      <c r="LBQ50" s="39"/>
      <c r="LBR50" s="41"/>
      <c r="LBU50" s="32"/>
      <c r="LBW50" s="12"/>
      <c r="LBY50" s="34"/>
      <c r="LBZ50" s="39"/>
      <c r="LCA50" s="41"/>
      <c r="LCD50" s="32"/>
      <c r="LCF50" s="12"/>
      <c r="LCH50" s="34"/>
      <c r="LCI50" s="39"/>
      <c r="LCJ50" s="41"/>
      <c r="LCM50" s="32"/>
      <c r="LCO50" s="12"/>
      <c r="LCQ50" s="34"/>
      <c r="LCR50" s="39"/>
      <c r="LCS50" s="41"/>
      <c r="LCV50" s="32"/>
      <c r="LCX50" s="12"/>
      <c r="LCZ50" s="34"/>
      <c r="LDA50" s="39"/>
      <c r="LDB50" s="41"/>
      <c r="LDE50" s="32"/>
      <c r="LDG50" s="12"/>
      <c r="LDI50" s="34"/>
      <c r="LDJ50" s="39"/>
      <c r="LDK50" s="41"/>
      <c r="LDN50" s="32"/>
      <c r="LDP50" s="12"/>
      <c r="LDR50" s="34"/>
      <c r="LDS50" s="39"/>
      <c r="LDT50" s="41"/>
      <c r="LDW50" s="32"/>
      <c r="LDY50" s="12"/>
      <c r="LEA50" s="34"/>
      <c r="LEB50" s="39"/>
      <c r="LEC50" s="41"/>
      <c r="LEF50" s="32"/>
      <c r="LEH50" s="12"/>
      <c r="LEJ50" s="34"/>
      <c r="LEK50" s="39"/>
      <c r="LEL50" s="41"/>
      <c r="LEO50" s="32"/>
      <c r="LEQ50" s="12"/>
      <c r="LES50" s="34"/>
      <c r="LET50" s="39"/>
      <c r="LEU50" s="41"/>
      <c r="LEX50" s="32"/>
      <c r="LEZ50" s="12"/>
      <c r="LFB50" s="34"/>
      <c r="LFC50" s="39"/>
      <c r="LFD50" s="41"/>
      <c r="LFG50" s="32"/>
      <c r="LFI50" s="12"/>
      <c r="LFK50" s="34"/>
      <c r="LFL50" s="39"/>
      <c r="LFM50" s="41"/>
      <c r="LFP50" s="32"/>
      <c r="LFR50" s="12"/>
      <c r="LFT50" s="34"/>
      <c r="LFU50" s="39"/>
      <c r="LFV50" s="41"/>
      <c r="LFY50" s="32"/>
      <c r="LGA50" s="12"/>
      <c r="LGC50" s="34"/>
      <c r="LGD50" s="39"/>
      <c r="LGE50" s="41"/>
      <c r="LGH50" s="32"/>
      <c r="LGJ50" s="12"/>
      <c r="LGL50" s="34"/>
      <c r="LGM50" s="39"/>
      <c r="LGN50" s="41"/>
      <c r="LGQ50" s="32"/>
      <c r="LGS50" s="12"/>
      <c r="LGU50" s="34"/>
      <c r="LGV50" s="39"/>
      <c r="LGW50" s="41"/>
      <c r="LGZ50" s="32"/>
      <c r="LHB50" s="12"/>
      <c r="LHD50" s="34"/>
      <c r="LHE50" s="39"/>
      <c r="LHF50" s="41"/>
      <c r="LHI50" s="32"/>
      <c r="LHK50" s="12"/>
      <c r="LHM50" s="34"/>
      <c r="LHN50" s="39"/>
      <c r="LHO50" s="41"/>
      <c r="LHR50" s="32"/>
      <c r="LHT50" s="12"/>
      <c r="LHV50" s="34"/>
      <c r="LHW50" s="39"/>
      <c r="LHX50" s="41"/>
      <c r="LIA50" s="32"/>
      <c r="LIC50" s="12"/>
      <c r="LIE50" s="34"/>
      <c r="LIF50" s="39"/>
      <c r="LIG50" s="41"/>
      <c r="LIJ50" s="32"/>
      <c r="LIL50" s="12"/>
      <c r="LIN50" s="34"/>
      <c r="LIO50" s="39"/>
      <c r="LIP50" s="41"/>
      <c r="LIS50" s="32"/>
      <c r="LIU50" s="12"/>
      <c r="LIW50" s="34"/>
      <c r="LIX50" s="39"/>
      <c r="LIY50" s="41"/>
      <c r="LJB50" s="32"/>
      <c r="LJD50" s="12"/>
      <c r="LJF50" s="34"/>
      <c r="LJG50" s="39"/>
      <c r="LJH50" s="41"/>
      <c r="LJK50" s="32"/>
      <c r="LJM50" s="12"/>
      <c r="LJO50" s="34"/>
      <c r="LJP50" s="39"/>
      <c r="LJQ50" s="41"/>
      <c r="LJT50" s="32"/>
      <c r="LJV50" s="12"/>
      <c r="LJX50" s="34"/>
      <c r="LJY50" s="39"/>
      <c r="LJZ50" s="41"/>
      <c r="LKC50" s="32"/>
      <c r="LKE50" s="12"/>
      <c r="LKG50" s="34"/>
      <c r="LKH50" s="39"/>
      <c r="LKI50" s="41"/>
      <c r="LKL50" s="32"/>
      <c r="LKN50" s="12"/>
      <c r="LKP50" s="34"/>
      <c r="LKQ50" s="39"/>
      <c r="LKR50" s="41"/>
      <c r="LKU50" s="32"/>
      <c r="LKW50" s="12"/>
      <c r="LKY50" s="34"/>
      <c r="LKZ50" s="39"/>
      <c r="LLA50" s="41"/>
      <c r="LLD50" s="32"/>
      <c r="LLF50" s="12"/>
      <c r="LLH50" s="34"/>
      <c r="LLI50" s="39"/>
      <c r="LLJ50" s="41"/>
      <c r="LLM50" s="32"/>
      <c r="LLO50" s="12"/>
      <c r="LLQ50" s="34"/>
      <c r="LLR50" s="39"/>
      <c r="LLS50" s="41"/>
      <c r="LLV50" s="32"/>
      <c r="LLX50" s="12"/>
      <c r="LLZ50" s="34"/>
      <c r="LMA50" s="39"/>
      <c r="LMB50" s="41"/>
      <c r="LME50" s="32"/>
      <c r="LMG50" s="12"/>
      <c r="LMI50" s="34"/>
      <c r="LMJ50" s="39"/>
      <c r="LMK50" s="41"/>
      <c r="LMN50" s="32"/>
      <c r="LMP50" s="12"/>
      <c r="LMR50" s="34"/>
      <c r="LMS50" s="39"/>
      <c r="LMT50" s="41"/>
      <c r="LMW50" s="32"/>
      <c r="LMY50" s="12"/>
      <c r="LNA50" s="34"/>
      <c r="LNB50" s="39"/>
      <c r="LNC50" s="41"/>
      <c r="LNF50" s="32"/>
      <c r="LNH50" s="12"/>
      <c r="LNJ50" s="34"/>
      <c r="LNK50" s="39"/>
      <c r="LNL50" s="41"/>
      <c r="LNO50" s="32"/>
      <c r="LNQ50" s="12"/>
      <c r="LNS50" s="34"/>
      <c r="LNT50" s="39"/>
      <c r="LNU50" s="41"/>
      <c r="LNX50" s="32"/>
      <c r="LNZ50" s="12"/>
      <c r="LOB50" s="34"/>
      <c r="LOC50" s="39"/>
      <c r="LOD50" s="41"/>
      <c r="LOG50" s="32"/>
      <c r="LOI50" s="12"/>
      <c r="LOK50" s="34"/>
      <c r="LOL50" s="39"/>
      <c r="LOM50" s="41"/>
      <c r="LOP50" s="32"/>
      <c r="LOR50" s="12"/>
      <c r="LOT50" s="34"/>
      <c r="LOU50" s="39"/>
      <c r="LOV50" s="41"/>
      <c r="LOY50" s="32"/>
      <c r="LPA50" s="12"/>
      <c r="LPC50" s="34"/>
      <c r="LPD50" s="39"/>
      <c r="LPE50" s="41"/>
      <c r="LPH50" s="32"/>
      <c r="LPJ50" s="12"/>
      <c r="LPL50" s="34"/>
      <c r="LPM50" s="39"/>
      <c r="LPN50" s="41"/>
      <c r="LPQ50" s="32"/>
      <c r="LPS50" s="12"/>
      <c r="LPU50" s="34"/>
      <c r="LPV50" s="39"/>
      <c r="LPW50" s="41"/>
      <c r="LPZ50" s="32"/>
      <c r="LQB50" s="12"/>
      <c r="LQD50" s="34"/>
      <c r="LQE50" s="39"/>
      <c r="LQF50" s="41"/>
      <c r="LQI50" s="32"/>
      <c r="LQK50" s="12"/>
      <c r="LQM50" s="34"/>
      <c r="LQN50" s="39"/>
      <c r="LQO50" s="41"/>
      <c r="LQR50" s="32"/>
      <c r="LQT50" s="12"/>
      <c r="LQV50" s="34"/>
      <c r="LQW50" s="39"/>
      <c r="LQX50" s="41"/>
      <c r="LRA50" s="32"/>
      <c r="LRC50" s="12"/>
      <c r="LRE50" s="34"/>
      <c r="LRF50" s="39"/>
      <c r="LRG50" s="41"/>
      <c r="LRJ50" s="32"/>
      <c r="LRL50" s="12"/>
      <c r="LRN50" s="34"/>
      <c r="LRO50" s="39"/>
      <c r="LRP50" s="41"/>
      <c r="LRS50" s="32"/>
      <c r="LRU50" s="12"/>
      <c r="LRW50" s="34"/>
      <c r="LRX50" s="39"/>
      <c r="LRY50" s="41"/>
      <c r="LSB50" s="32"/>
      <c r="LSD50" s="12"/>
      <c r="LSF50" s="34"/>
      <c r="LSG50" s="39"/>
      <c r="LSH50" s="41"/>
      <c r="LSK50" s="32"/>
      <c r="LSM50" s="12"/>
      <c r="LSO50" s="34"/>
      <c r="LSP50" s="39"/>
      <c r="LSQ50" s="41"/>
      <c r="LST50" s="32"/>
      <c r="LSV50" s="12"/>
      <c r="LSX50" s="34"/>
      <c r="LSY50" s="39"/>
      <c r="LSZ50" s="41"/>
      <c r="LTC50" s="32"/>
      <c r="LTE50" s="12"/>
      <c r="LTG50" s="34"/>
      <c r="LTH50" s="39"/>
      <c r="LTI50" s="41"/>
      <c r="LTL50" s="32"/>
      <c r="LTN50" s="12"/>
      <c r="LTP50" s="34"/>
      <c r="LTQ50" s="39"/>
      <c r="LTR50" s="41"/>
      <c r="LTU50" s="32"/>
      <c r="LTW50" s="12"/>
      <c r="LTY50" s="34"/>
      <c r="LTZ50" s="39"/>
      <c r="LUA50" s="41"/>
      <c r="LUD50" s="32"/>
      <c r="LUF50" s="12"/>
      <c r="LUH50" s="34"/>
      <c r="LUI50" s="39"/>
      <c r="LUJ50" s="41"/>
      <c r="LUM50" s="32"/>
      <c r="LUO50" s="12"/>
      <c r="LUQ50" s="34"/>
      <c r="LUR50" s="39"/>
      <c r="LUS50" s="41"/>
      <c r="LUV50" s="32"/>
      <c r="LUX50" s="12"/>
      <c r="LUZ50" s="34"/>
      <c r="LVA50" s="39"/>
      <c r="LVB50" s="41"/>
      <c r="LVE50" s="32"/>
      <c r="LVG50" s="12"/>
      <c r="LVI50" s="34"/>
      <c r="LVJ50" s="39"/>
      <c r="LVK50" s="41"/>
      <c r="LVN50" s="32"/>
      <c r="LVP50" s="12"/>
      <c r="LVR50" s="34"/>
      <c r="LVS50" s="39"/>
      <c r="LVT50" s="41"/>
      <c r="LVW50" s="32"/>
      <c r="LVY50" s="12"/>
      <c r="LWA50" s="34"/>
      <c r="LWB50" s="39"/>
      <c r="LWC50" s="41"/>
      <c r="LWF50" s="32"/>
      <c r="LWH50" s="12"/>
      <c r="LWJ50" s="34"/>
      <c r="LWK50" s="39"/>
      <c r="LWL50" s="41"/>
      <c r="LWO50" s="32"/>
      <c r="LWQ50" s="12"/>
      <c r="LWS50" s="34"/>
      <c r="LWT50" s="39"/>
      <c r="LWU50" s="41"/>
      <c r="LWX50" s="32"/>
      <c r="LWZ50" s="12"/>
      <c r="LXB50" s="34"/>
      <c r="LXC50" s="39"/>
      <c r="LXD50" s="41"/>
      <c r="LXG50" s="32"/>
      <c r="LXI50" s="12"/>
      <c r="LXK50" s="34"/>
      <c r="LXL50" s="39"/>
      <c r="LXM50" s="41"/>
      <c r="LXP50" s="32"/>
      <c r="LXR50" s="12"/>
      <c r="LXT50" s="34"/>
      <c r="LXU50" s="39"/>
      <c r="LXV50" s="41"/>
      <c r="LXY50" s="32"/>
      <c r="LYA50" s="12"/>
      <c r="LYC50" s="34"/>
      <c r="LYD50" s="39"/>
      <c r="LYE50" s="41"/>
      <c r="LYH50" s="32"/>
      <c r="LYJ50" s="12"/>
      <c r="LYL50" s="34"/>
      <c r="LYM50" s="39"/>
      <c r="LYN50" s="41"/>
      <c r="LYQ50" s="32"/>
      <c r="LYS50" s="12"/>
      <c r="LYU50" s="34"/>
      <c r="LYV50" s="39"/>
      <c r="LYW50" s="41"/>
      <c r="LYZ50" s="32"/>
      <c r="LZB50" s="12"/>
      <c r="LZD50" s="34"/>
      <c r="LZE50" s="39"/>
      <c r="LZF50" s="41"/>
      <c r="LZI50" s="32"/>
      <c r="LZK50" s="12"/>
      <c r="LZM50" s="34"/>
      <c r="LZN50" s="39"/>
      <c r="LZO50" s="41"/>
      <c r="LZR50" s="32"/>
      <c r="LZT50" s="12"/>
      <c r="LZV50" s="34"/>
      <c r="LZW50" s="39"/>
      <c r="LZX50" s="41"/>
      <c r="MAA50" s="32"/>
      <c r="MAC50" s="12"/>
      <c r="MAE50" s="34"/>
      <c r="MAF50" s="39"/>
      <c r="MAG50" s="41"/>
      <c r="MAJ50" s="32"/>
      <c r="MAL50" s="12"/>
      <c r="MAN50" s="34"/>
      <c r="MAO50" s="39"/>
      <c r="MAP50" s="41"/>
      <c r="MAS50" s="32"/>
      <c r="MAU50" s="12"/>
      <c r="MAW50" s="34"/>
      <c r="MAX50" s="39"/>
      <c r="MAY50" s="41"/>
      <c r="MBB50" s="32"/>
      <c r="MBD50" s="12"/>
      <c r="MBF50" s="34"/>
      <c r="MBG50" s="39"/>
      <c r="MBH50" s="41"/>
      <c r="MBK50" s="32"/>
      <c r="MBM50" s="12"/>
      <c r="MBO50" s="34"/>
      <c r="MBP50" s="39"/>
      <c r="MBQ50" s="41"/>
      <c r="MBT50" s="32"/>
      <c r="MBV50" s="12"/>
      <c r="MBX50" s="34"/>
      <c r="MBY50" s="39"/>
      <c r="MBZ50" s="41"/>
      <c r="MCC50" s="32"/>
      <c r="MCE50" s="12"/>
      <c r="MCG50" s="34"/>
      <c r="MCH50" s="39"/>
      <c r="MCI50" s="41"/>
      <c r="MCL50" s="32"/>
      <c r="MCN50" s="12"/>
      <c r="MCP50" s="34"/>
      <c r="MCQ50" s="39"/>
      <c r="MCR50" s="41"/>
      <c r="MCU50" s="32"/>
      <c r="MCW50" s="12"/>
      <c r="MCY50" s="34"/>
      <c r="MCZ50" s="39"/>
      <c r="MDA50" s="41"/>
      <c r="MDD50" s="32"/>
      <c r="MDF50" s="12"/>
      <c r="MDH50" s="34"/>
      <c r="MDI50" s="39"/>
      <c r="MDJ50" s="41"/>
      <c r="MDM50" s="32"/>
      <c r="MDO50" s="12"/>
      <c r="MDQ50" s="34"/>
      <c r="MDR50" s="39"/>
      <c r="MDS50" s="41"/>
      <c r="MDV50" s="32"/>
      <c r="MDX50" s="12"/>
      <c r="MDZ50" s="34"/>
      <c r="MEA50" s="39"/>
      <c r="MEB50" s="41"/>
      <c r="MEE50" s="32"/>
      <c r="MEG50" s="12"/>
      <c r="MEI50" s="34"/>
      <c r="MEJ50" s="39"/>
      <c r="MEK50" s="41"/>
      <c r="MEN50" s="32"/>
      <c r="MEP50" s="12"/>
      <c r="MER50" s="34"/>
      <c r="MES50" s="39"/>
      <c r="MET50" s="41"/>
      <c r="MEW50" s="32"/>
      <c r="MEY50" s="12"/>
      <c r="MFA50" s="34"/>
      <c r="MFB50" s="39"/>
      <c r="MFC50" s="41"/>
      <c r="MFF50" s="32"/>
      <c r="MFH50" s="12"/>
      <c r="MFJ50" s="34"/>
      <c r="MFK50" s="39"/>
      <c r="MFL50" s="41"/>
      <c r="MFO50" s="32"/>
      <c r="MFQ50" s="12"/>
      <c r="MFS50" s="34"/>
      <c r="MFT50" s="39"/>
      <c r="MFU50" s="41"/>
      <c r="MFX50" s="32"/>
      <c r="MFZ50" s="12"/>
      <c r="MGB50" s="34"/>
      <c r="MGC50" s="39"/>
      <c r="MGD50" s="41"/>
      <c r="MGG50" s="32"/>
      <c r="MGI50" s="12"/>
      <c r="MGK50" s="34"/>
      <c r="MGL50" s="39"/>
      <c r="MGM50" s="41"/>
      <c r="MGP50" s="32"/>
      <c r="MGR50" s="12"/>
      <c r="MGT50" s="34"/>
      <c r="MGU50" s="39"/>
      <c r="MGV50" s="41"/>
      <c r="MGY50" s="32"/>
      <c r="MHA50" s="12"/>
      <c r="MHC50" s="34"/>
      <c r="MHD50" s="39"/>
      <c r="MHE50" s="41"/>
      <c r="MHH50" s="32"/>
      <c r="MHJ50" s="12"/>
      <c r="MHL50" s="34"/>
      <c r="MHM50" s="39"/>
      <c r="MHN50" s="41"/>
      <c r="MHQ50" s="32"/>
      <c r="MHS50" s="12"/>
      <c r="MHU50" s="34"/>
      <c r="MHV50" s="39"/>
      <c r="MHW50" s="41"/>
      <c r="MHZ50" s="32"/>
      <c r="MIB50" s="12"/>
      <c r="MID50" s="34"/>
      <c r="MIE50" s="39"/>
      <c r="MIF50" s="41"/>
      <c r="MII50" s="32"/>
      <c r="MIK50" s="12"/>
      <c r="MIM50" s="34"/>
      <c r="MIN50" s="39"/>
      <c r="MIO50" s="41"/>
      <c r="MIR50" s="32"/>
      <c r="MIT50" s="12"/>
      <c r="MIV50" s="34"/>
      <c r="MIW50" s="39"/>
      <c r="MIX50" s="41"/>
      <c r="MJA50" s="32"/>
      <c r="MJC50" s="12"/>
      <c r="MJE50" s="34"/>
      <c r="MJF50" s="39"/>
      <c r="MJG50" s="41"/>
      <c r="MJJ50" s="32"/>
      <c r="MJL50" s="12"/>
      <c r="MJN50" s="34"/>
      <c r="MJO50" s="39"/>
      <c r="MJP50" s="41"/>
      <c r="MJS50" s="32"/>
      <c r="MJU50" s="12"/>
      <c r="MJW50" s="34"/>
      <c r="MJX50" s="39"/>
      <c r="MJY50" s="41"/>
      <c r="MKB50" s="32"/>
      <c r="MKD50" s="12"/>
      <c r="MKF50" s="34"/>
      <c r="MKG50" s="39"/>
      <c r="MKH50" s="41"/>
      <c r="MKK50" s="32"/>
      <c r="MKM50" s="12"/>
      <c r="MKO50" s="34"/>
      <c r="MKP50" s="39"/>
      <c r="MKQ50" s="41"/>
      <c r="MKT50" s="32"/>
      <c r="MKV50" s="12"/>
      <c r="MKX50" s="34"/>
      <c r="MKY50" s="39"/>
      <c r="MKZ50" s="41"/>
      <c r="MLC50" s="32"/>
      <c r="MLE50" s="12"/>
      <c r="MLG50" s="34"/>
      <c r="MLH50" s="39"/>
      <c r="MLI50" s="41"/>
      <c r="MLL50" s="32"/>
      <c r="MLN50" s="12"/>
      <c r="MLP50" s="34"/>
      <c r="MLQ50" s="39"/>
      <c r="MLR50" s="41"/>
      <c r="MLU50" s="32"/>
      <c r="MLW50" s="12"/>
      <c r="MLY50" s="34"/>
      <c r="MLZ50" s="39"/>
      <c r="MMA50" s="41"/>
      <c r="MMD50" s="32"/>
      <c r="MMF50" s="12"/>
      <c r="MMH50" s="34"/>
      <c r="MMI50" s="39"/>
      <c r="MMJ50" s="41"/>
      <c r="MMM50" s="32"/>
      <c r="MMO50" s="12"/>
      <c r="MMQ50" s="34"/>
      <c r="MMR50" s="39"/>
      <c r="MMS50" s="41"/>
      <c r="MMV50" s="32"/>
      <c r="MMX50" s="12"/>
      <c r="MMZ50" s="34"/>
      <c r="MNA50" s="39"/>
      <c r="MNB50" s="41"/>
      <c r="MNE50" s="32"/>
      <c r="MNG50" s="12"/>
      <c r="MNI50" s="34"/>
      <c r="MNJ50" s="39"/>
      <c r="MNK50" s="41"/>
      <c r="MNN50" s="32"/>
      <c r="MNP50" s="12"/>
      <c r="MNR50" s="34"/>
      <c r="MNS50" s="39"/>
      <c r="MNT50" s="41"/>
      <c r="MNW50" s="32"/>
      <c r="MNY50" s="12"/>
      <c r="MOA50" s="34"/>
      <c r="MOB50" s="39"/>
      <c r="MOC50" s="41"/>
      <c r="MOF50" s="32"/>
      <c r="MOH50" s="12"/>
      <c r="MOJ50" s="34"/>
      <c r="MOK50" s="39"/>
      <c r="MOL50" s="41"/>
      <c r="MOO50" s="32"/>
      <c r="MOQ50" s="12"/>
      <c r="MOS50" s="34"/>
      <c r="MOT50" s="39"/>
      <c r="MOU50" s="41"/>
      <c r="MOX50" s="32"/>
      <c r="MOZ50" s="12"/>
      <c r="MPB50" s="34"/>
      <c r="MPC50" s="39"/>
      <c r="MPD50" s="41"/>
      <c r="MPG50" s="32"/>
      <c r="MPI50" s="12"/>
      <c r="MPK50" s="34"/>
      <c r="MPL50" s="39"/>
      <c r="MPM50" s="41"/>
      <c r="MPP50" s="32"/>
      <c r="MPR50" s="12"/>
      <c r="MPT50" s="34"/>
      <c r="MPU50" s="39"/>
      <c r="MPV50" s="41"/>
      <c r="MPY50" s="32"/>
      <c r="MQA50" s="12"/>
      <c r="MQC50" s="34"/>
      <c r="MQD50" s="39"/>
      <c r="MQE50" s="41"/>
      <c r="MQH50" s="32"/>
      <c r="MQJ50" s="12"/>
      <c r="MQL50" s="34"/>
      <c r="MQM50" s="39"/>
      <c r="MQN50" s="41"/>
      <c r="MQQ50" s="32"/>
      <c r="MQS50" s="12"/>
      <c r="MQU50" s="34"/>
      <c r="MQV50" s="39"/>
      <c r="MQW50" s="41"/>
      <c r="MQZ50" s="32"/>
      <c r="MRB50" s="12"/>
      <c r="MRD50" s="34"/>
      <c r="MRE50" s="39"/>
      <c r="MRF50" s="41"/>
      <c r="MRI50" s="32"/>
      <c r="MRK50" s="12"/>
      <c r="MRM50" s="34"/>
      <c r="MRN50" s="39"/>
      <c r="MRO50" s="41"/>
      <c r="MRR50" s="32"/>
      <c r="MRT50" s="12"/>
      <c r="MRV50" s="34"/>
      <c r="MRW50" s="39"/>
      <c r="MRX50" s="41"/>
      <c r="MSA50" s="32"/>
      <c r="MSC50" s="12"/>
      <c r="MSE50" s="34"/>
      <c r="MSF50" s="39"/>
      <c r="MSG50" s="41"/>
      <c r="MSJ50" s="32"/>
      <c r="MSL50" s="12"/>
      <c r="MSN50" s="34"/>
      <c r="MSO50" s="39"/>
      <c r="MSP50" s="41"/>
      <c r="MSS50" s="32"/>
      <c r="MSU50" s="12"/>
      <c r="MSW50" s="34"/>
      <c r="MSX50" s="39"/>
      <c r="MSY50" s="41"/>
      <c r="MTB50" s="32"/>
      <c r="MTD50" s="12"/>
      <c r="MTF50" s="34"/>
      <c r="MTG50" s="39"/>
      <c r="MTH50" s="41"/>
      <c r="MTK50" s="32"/>
      <c r="MTM50" s="12"/>
      <c r="MTO50" s="34"/>
      <c r="MTP50" s="39"/>
      <c r="MTQ50" s="41"/>
      <c r="MTT50" s="32"/>
      <c r="MTV50" s="12"/>
      <c r="MTX50" s="34"/>
      <c r="MTY50" s="39"/>
      <c r="MTZ50" s="41"/>
      <c r="MUC50" s="32"/>
      <c r="MUE50" s="12"/>
      <c r="MUG50" s="34"/>
      <c r="MUH50" s="39"/>
      <c r="MUI50" s="41"/>
      <c r="MUL50" s="32"/>
      <c r="MUN50" s="12"/>
      <c r="MUP50" s="34"/>
      <c r="MUQ50" s="39"/>
      <c r="MUR50" s="41"/>
      <c r="MUU50" s="32"/>
      <c r="MUW50" s="12"/>
      <c r="MUY50" s="34"/>
      <c r="MUZ50" s="39"/>
      <c r="MVA50" s="41"/>
      <c r="MVD50" s="32"/>
      <c r="MVF50" s="12"/>
      <c r="MVH50" s="34"/>
      <c r="MVI50" s="39"/>
      <c r="MVJ50" s="41"/>
      <c r="MVM50" s="32"/>
      <c r="MVO50" s="12"/>
      <c r="MVQ50" s="34"/>
      <c r="MVR50" s="39"/>
      <c r="MVS50" s="41"/>
      <c r="MVV50" s="32"/>
      <c r="MVX50" s="12"/>
      <c r="MVZ50" s="34"/>
      <c r="MWA50" s="39"/>
      <c r="MWB50" s="41"/>
      <c r="MWE50" s="32"/>
      <c r="MWG50" s="12"/>
      <c r="MWI50" s="34"/>
      <c r="MWJ50" s="39"/>
      <c r="MWK50" s="41"/>
      <c r="MWN50" s="32"/>
      <c r="MWP50" s="12"/>
      <c r="MWR50" s="34"/>
      <c r="MWS50" s="39"/>
      <c r="MWT50" s="41"/>
      <c r="MWW50" s="32"/>
      <c r="MWY50" s="12"/>
      <c r="MXA50" s="34"/>
      <c r="MXB50" s="39"/>
      <c r="MXC50" s="41"/>
      <c r="MXF50" s="32"/>
      <c r="MXH50" s="12"/>
      <c r="MXJ50" s="34"/>
      <c r="MXK50" s="39"/>
      <c r="MXL50" s="41"/>
      <c r="MXO50" s="32"/>
      <c r="MXQ50" s="12"/>
      <c r="MXS50" s="34"/>
      <c r="MXT50" s="39"/>
      <c r="MXU50" s="41"/>
      <c r="MXX50" s="32"/>
      <c r="MXZ50" s="12"/>
      <c r="MYB50" s="34"/>
      <c r="MYC50" s="39"/>
      <c r="MYD50" s="41"/>
      <c r="MYG50" s="32"/>
      <c r="MYI50" s="12"/>
      <c r="MYK50" s="34"/>
      <c r="MYL50" s="39"/>
      <c r="MYM50" s="41"/>
      <c r="MYP50" s="32"/>
      <c r="MYR50" s="12"/>
      <c r="MYT50" s="34"/>
      <c r="MYU50" s="39"/>
      <c r="MYV50" s="41"/>
      <c r="MYY50" s="32"/>
      <c r="MZA50" s="12"/>
      <c r="MZC50" s="34"/>
      <c r="MZD50" s="39"/>
      <c r="MZE50" s="41"/>
      <c r="MZH50" s="32"/>
      <c r="MZJ50" s="12"/>
      <c r="MZL50" s="34"/>
      <c r="MZM50" s="39"/>
      <c r="MZN50" s="41"/>
      <c r="MZQ50" s="32"/>
      <c r="MZS50" s="12"/>
      <c r="MZU50" s="34"/>
      <c r="MZV50" s="39"/>
      <c r="MZW50" s="41"/>
      <c r="MZZ50" s="32"/>
      <c r="NAB50" s="12"/>
      <c r="NAD50" s="34"/>
      <c r="NAE50" s="39"/>
      <c r="NAF50" s="41"/>
      <c r="NAI50" s="32"/>
      <c r="NAK50" s="12"/>
      <c r="NAM50" s="34"/>
      <c r="NAN50" s="39"/>
      <c r="NAO50" s="41"/>
      <c r="NAR50" s="32"/>
      <c r="NAT50" s="12"/>
      <c r="NAV50" s="34"/>
      <c r="NAW50" s="39"/>
      <c r="NAX50" s="41"/>
      <c r="NBA50" s="32"/>
      <c r="NBC50" s="12"/>
      <c r="NBE50" s="34"/>
      <c r="NBF50" s="39"/>
      <c r="NBG50" s="41"/>
      <c r="NBJ50" s="32"/>
      <c r="NBL50" s="12"/>
      <c r="NBN50" s="34"/>
      <c r="NBO50" s="39"/>
      <c r="NBP50" s="41"/>
      <c r="NBS50" s="32"/>
      <c r="NBU50" s="12"/>
      <c r="NBW50" s="34"/>
      <c r="NBX50" s="39"/>
      <c r="NBY50" s="41"/>
      <c r="NCB50" s="32"/>
      <c r="NCD50" s="12"/>
      <c r="NCF50" s="34"/>
      <c r="NCG50" s="39"/>
      <c r="NCH50" s="41"/>
      <c r="NCK50" s="32"/>
      <c r="NCM50" s="12"/>
      <c r="NCO50" s="34"/>
      <c r="NCP50" s="39"/>
      <c r="NCQ50" s="41"/>
      <c r="NCT50" s="32"/>
      <c r="NCV50" s="12"/>
      <c r="NCX50" s="34"/>
      <c r="NCY50" s="39"/>
      <c r="NCZ50" s="41"/>
      <c r="NDC50" s="32"/>
      <c r="NDE50" s="12"/>
      <c r="NDG50" s="34"/>
      <c r="NDH50" s="39"/>
      <c r="NDI50" s="41"/>
      <c r="NDL50" s="32"/>
      <c r="NDN50" s="12"/>
      <c r="NDP50" s="34"/>
      <c r="NDQ50" s="39"/>
      <c r="NDR50" s="41"/>
      <c r="NDU50" s="32"/>
      <c r="NDW50" s="12"/>
      <c r="NDY50" s="34"/>
      <c r="NDZ50" s="39"/>
      <c r="NEA50" s="41"/>
      <c r="NED50" s="32"/>
      <c r="NEF50" s="12"/>
      <c r="NEH50" s="34"/>
      <c r="NEI50" s="39"/>
      <c r="NEJ50" s="41"/>
      <c r="NEM50" s="32"/>
      <c r="NEO50" s="12"/>
      <c r="NEQ50" s="34"/>
      <c r="NER50" s="39"/>
      <c r="NES50" s="41"/>
      <c r="NEV50" s="32"/>
      <c r="NEX50" s="12"/>
      <c r="NEZ50" s="34"/>
      <c r="NFA50" s="39"/>
      <c r="NFB50" s="41"/>
      <c r="NFE50" s="32"/>
      <c r="NFG50" s="12"/>
      <c r="NFI50" s="34"/>
      <c r="NFJ50" s="39"/>
      <c r="NFK50" s="41"/>
      <c r="NFN50" s="32"/>
      <c r="NFP50" s="12"/>
      <c r="NFR50" s="34"/>
      <c r="NFS50" s="39"/>
      <c r="NFT50" s="41"/>
      <c r="NFW50" s="32"/>
      <c r="NFY50" s="12"/>
      <c r="NGA50" s="34"/>
      <c r="NGB50" s="39"/>
      <c r="NGC50" s="41"/>
      <c r="NGF50" s="32"/>
      <c r="NGH50" s="12"/>
      <c r="NGJ50" s="34"/>
      <c r="NGK50" s="39"/>
      <c r="NGL50" s="41"/>
      <c r="NGO50" s="32"/>
      <c r="NGQ50" s="12"/>
      <c r="NGS50" s="34"/>
      <c r="NGT50" s="39"/>
      <c r="NGU50" s="41"/>
      <c r="NGX50" s="32"/>
      <c r="NGZ50" s="12"/>
      <c r="NHB50" s="34"/>
      <c r="NHC50" s="39"/>
      <c r="NHD50" s="41"/>
      <c r="NHG50" s="32"/>
      <c r="NHI50" s="12"/>
      <c r="NHK50" s="34"/>
      <c r="NHL50" s="39"/>
      <c r="NHM50" s="41"/>
      <c r="NHP50" s="32"/>
      <c r="NHR50" s="12"/>
      <c r="NHT50" s="34"/>
      <c r="NHU50" s="39"/>
      <c r="NHV50" s="41"/>
      <c r="NHY50" s="32"/>
      <c r="NIA50" s="12"/>
      <c r="NIC50" s="34"/>
      <c r="NID50" s="39"/>
      <c r="NIE50" s="41"/>
      <c r="NIH50" s="32"/>
      <c r="NIJ50" s="12"/>
      <c r="NIL50" s="34"/>
      <c r="NIM50" s="39"/>
      <c r="NIN50" s="41"/>
      <c r="NIQ50" s="32"/>
      <c r="NIS50" s="12"/>
      <c r="NIU50" s="34"/>
      <c r="NIV50" s="39"/>
      <c r="NIW50" s="41"/>
      <c r="NIZ50" s="32"/>
      <c r="NJB50" s="12"/>
      <c r="NJD50" s="34"/>
      <c r="NJE50" s="39"/>
      <c r="NJF50" s="41"/>
      <c r="NJI50" s="32"/>
      <c r="NJK50" s="12"/>
      <c r="NJM50" s="34"/>
      <c r="NJN50" s="39"/>
      <c r="NJO50" s="41"/>
      <c r="NJR50" s="32"/>
      <c r="NJT50" s="12"/>
      <c r="NJV50" s="34"/>
      <c r="NJW50" s="39"/>
      <c r="NJX50" s="41"/>
      <c r="NKA50" s="32"/>
      <c r="NKC50" s="12"/>
      <c r="NKE50" s="34"/>
      <c r="NKF50" s="39"/>
      <c r="NKG50" s="41"/>
      <c r="NKJ50" s="32"/>
      <c r="NKL50" s="12"/>
      <c r="NKN50" s="34"/>
      <c r="NKO50" s="39"/>
      <c r="NKP50" s="41"/>
      <c r="NKS50" s="32"/>
      <c r="NKU50" s="12"/>
      <c r="NKW50" s="34"/>
      <c r="NKX50" s="39"/>
      <c r="NKY50" s="41"/>
      <c r="NLB50" s="32"/>
      <c r="NLD50" s="12"/>
      <c r="NLF50" s="34"/>
      <c r="NLG50" s="39"/>
      <c r="NLH50" s="41"/>
      <c r="NLK50" s="32"/>
      <c r="NLM50" s="12"/>
      <c r="NLO50" s="34"/>
      <c r="NLP50" s="39"/>
      <c r="NLQ50" s="41"/>
      <c r="NLT50" s="32"/>
      <c r="NLV50" s="12"/>
      <c r="NLX50" s="34"/>
      <c r="NLY50" s="39"/>
      <c r="NLZ50" s="41"/>
      <c r="NMC50" s="32"/>
      <c r="NME50" s="12"/>
      <c r="NMG50" s="34"/>
      <c r="NMH50" s="39"/>
      <c r="NMI50" s="41"/>
      <c r="NML50" s="32"/>
      <c r="NMN50" s="12"/>
      <c r="NMP50" s="34"/>
      <c r="NMQ50" s="39"/>
      <c r="NMR50" s="41"/>
      <c r="NMU50" s="32"/>
      <c r="NMW50" s="12"/>
      <c r="NMY50" s="34"/>
      <c r="NMZ50" s="39"/>
      <c r="NNA50" s="41"/>
      <c r="NND50" s="32"/>
      <c r="NNF50" s="12"/>
      <c r="NNH50" s="34"/>
      <c r="NNI50" s="39"/>
      <c r="NNJ50" s="41"/>
      <c r="NNM50" s="32"/>
      <c r="NNO50" s="12"/>
      <c r="NNQ50" s="34"/>
      <c r="NNR50" s="39"/>
      <c r="NNS50" s="41"/>
      <c r="NNV50" s="32"/>
      <c r="NNX50" s="12"/>
      <c r="NNZ50" s="34"/>
      <c r="NOA50" s="39"/>
      <c r="NOB50" s="41"/>
      <c r="NOE50" s="32"/>
      <c r="NOG50" s="12"/>
      <c r="NOI50" s="34"/>
      <c r="NOJ50" s="39"/>
      <c r="NOK50" s="41"/>
      <c r="NON50" s="32"/>
      <c r="NOP50" s="12"/>
      <c r="NOR50" s="34"/>
      <c r="NOS50" s="39"/>
      <c r="NOT50" s="41"/>
      <c r="NOW50" s="32"/>
      <c r="NOY50" s="12"/>
      <c r="NPA50" s="34"/>
      <c r="NPB50" s="39"/>
      <c r="NPC50" s="41"/>
      <c r="NPF50" s="32"/>
      <c r="NPH50" s="12"/>
      <c r="NPJ50" s="34"/>
      <c r="NPK50" s="39"/>
      <c r="NPL50" s="41"/>
      <c r="NPO50" s="32"/>
      <c r="NPQ50" s="12"/>
      <c r="NPS50" s="34"/>
      <c r="NPT50" s="39"/>
      <c r="NPU50" s="41"/>
      <c r="NPX50" s="32"/>
      <c r="NPZ50" s="12"/>
      <c r="NQB50" s="34"/>
      <c r="NQC50" s="39"/>
      <c r="NQD50" s="41"/>
      <c r="NQG50" s="32"/>
      <c r="NQI50" s="12"/>
      <c r="NQK50" s="34"/>
      <c r="NQL50" s="39"/>
      <c r="NQM50" s="41"/>
      <c r="NQP50" s="32"/>
      <c r="NQR50" s="12"/>
      <c r="NQT50" s="34"/>
      <c r="NQU50" s="39"/>
      <c r="NQV50" s="41"/>
      <c r="NQY50" s="32"/>
      <c r="NRA50" s="12"/>
      <c r="NRC50" s="34"/>
      <c r="NRD50" s="39"/>
      <c r="NRE50" s="41"/>
      <c r="NRH50" s="32"/>
      <c r="NRJ50" s="12"/>
      <c r="NRL50" s="34"/>
      <c r="NRM50" s="39"/>
      <c r="NRN50" s="41"/>
      <c r="NRQ50" s="32"/>
      <c r="NRS50" s="12"/>
      <c r="NRU50" s="34"/>
      <c r="NRV50" s="39"/>
      <c r="NRW50" s="41"/>
      <c r="NRZ50" s="32"/>
      <c r="NSB50" s="12"/>
      <c r="NSD50" s="34"/>
      <c r="NSE50" s="39"/>
      <c r="NSF50" s="41"/>
      <c r="NSI50" s="32"/>
      <c r="NSK50" s="12"/>
      <c r="NSM50" s="34"/>
      <c r="NSN50" s="39"/>
      <c r="NSO50" s="41"/>
      <c r="NSR50" s="32"/>
      <c r="NST50" s="12"/>
      <c r="NSV50" s="34"/>
      <c r="NSW50" s="39"/>
      <c r="NSX50" s="41"/>
      <c r="NTA50" s="32"/>
      <c r="NTC50" s="12"/>
      <c r="NTE50" s="34"/>
      <c r="NTF50" s="39"/>
      <c r="NTG50" s="41"/>
      <c r="NTJ50" s="32"/>
      <c r="NTL50" s="12"/>
      <c r="NTN50" s="34"/>
      <c r="NTO50" s="39"/>
      <c r="NTP50" s="41"/>
      <c r="NTS50" s="32"/>
      <c r="NTU50" s="12"/>
      <c r="NTW50" s="34"/>
      <c r="NTX50" s="39"/>
      <c r="NTY50" s="41"/>
      <c r="NUB50" s="32"/>
      <c r="NUD50" s="12"/>
      <c r="NUF50" s="34"/>
      <c r="NUG50" s="39"/>
      <c r="NUH50" s="41"/>
      <c r="NUK50" s="32"/>
      <c r="NUM50" s="12"/>
      <c r="NUO50" s="34"/>
      <c r="NUP50" s="39"/>
      <c r="NUQ50" s="41"/>
      <c r="NUT50" s="32"/>
      <c r="NUV50" s="12"/>
      <c r="NUX50" s="34"/>
      <c r="NUY50" s="39"/>
      <c r="NUZ50" s="41"/>
      <c r="NVC50" s="32"/>
      <c r="NVE50" s="12"/>
      <c r="NVG50" s="34"/>
      <c r="NVH50" s="39"/>
      <c r="NVI50" s="41"/>
      <c r="NVL50" s="32"/>
      <c r="NVN50" s="12"/>
      <c r="NVP50" s="34"/>
      <c r="NVQ50" s="39"/>
      <c r="NVR50" s="41"/>
      <c r="NVU50" s="32"/>
      <c r="NVW50" s="12"/>
      <c r="NVY50" s="34"/>
      <c r="NVZ50" s="39"/>
      <c r="NWA50" s="41"/>
      <c r="NWD50" s="32"/>
      <c r="NWF50" s="12"/>
      <c r="NWH50" s="34"/>
      <c r="NWI50" s="39"/>
      <c r="NWJ50" s="41"/>
      <c r="NWM50" s="32"/>
      <c r="NWO50" s="12"/>
      <c r="NWQ50" s="34"/>
      <c r="NWR50" s="39"/>
      <c r="NWS50" s="41"/>
      <c r="NWV50" s="32"/>
      <c r="NWX50" s="12"/>
      <c r="NWZ50" s="34"/>
      <c r="NXA50" s="39"/>
      <c r="NXB50" s="41"/>
      <c r="NXE50" s="32"/>
      <c r="NXG50" s="12"/>
      <c r="NXI50" s="34"/>
      <c r="NXJ50" s="39"/>
      <c r="NXK50" s="41"/>
      <c r="NXN50" s="32"/>
      <c r="NXP50" s="12"/>
      <c r="NXR50" s="34"/>
      <c r="NXS50" s="39"/>
      <c r="NXT50" s="41"/>
      <c r="NXW50" s="32"/>
      <c r="NXY50" s="12"/>
      <c r="NYA50" s="34"/>
      <c r="NYB50" s="39"/>
      <c r="NYC50" s="41"/>
      <c r="NYF50" s="32"/>
      <c r="NYH50" s="12"/>
      <c r="NYJ50" s="34"/>
      <c r="NYK50" s="39"/>
      <c r="NYL50" s="41"/>
      <c r="NYO50" s="32"/>
      <c r="NYQ50" s="12"/>
      <c r="NYS50" s="34"/>
      <c r="NYT50" s="39"/>
      <c r="NYU50" s="41"/>
      <c r="NYX50" s="32"/>
      <c r="NYZ50" s="12"/>
      <c r="NZB50" s="34"/>
      <c r="NZC50" s="39"/>
      <c r="NZD50" s="41"/>
      <c r="NZG50" s="32"/>
      <c r="NZI50" s="12"/>
      <c r="NZK50" s="34"/>
      <c r="NZL50" s="39"/>
      <c r="NZM50" s="41"/>
      <c r="NZP50" s="32"/>
      <c r="NZR50" s="12"/>
      <c r="NZT50" s="34"/>
      <c r="NZU50" s="39"/>
      <c r="NZV50" s="41"/>
      <c r="NZY50" s="32"/>
      <c r="OAA50" s="12"/>
      <c r="OAC50" s="34"/>
      <c r="OAD50" s="39"/>
      <c r="OAE50" s="41"/>
      <c r="OAH50" s="32"/>
      <c r="OAJ50" s="12"/>
      <c r="OAL50" s="34"/>
      <c r="OAM50" s="39"/>
      <c r="OAN50" s="41"/>
      <c r="OAQ50" s="32"/>
      <c r="OAS50" s="12"/>
      <c r="OAU50" s="34"/>
      <c r="OAV50" s="39"/>
      <c r="OAW50" s="41"/>
      <c r="OAZ50" s="32"/>
      <c r="OBB50" s="12"/>
      <c r="OBD50" s="34"/>
      <c r="OBE50" s="39"/>
      <c r="OBF50" s="41"/>
      <c r="OBI50" s="32"/>
      <c r="OBK50" s="12"/>
      <c r="OBM50" s="34"/>
      <c r="OBN50" s="39"/>
      <c r="OBO50" s="41"/>
      <c r="OBR50" s="32"/>
      <c r="OBT50" s="12"/>
      <c r="OBV50" s="34"/>
      <c r="OBW50" s="39"/>
      <c r="OBX50" s="41"/>
      <c r="OCA50" s="32"/>
      <c r="OCC50" s="12"/>
      <c r="OCE50" s="34"/>
      <c r="OCF50" s="39"/>
      <c r="OCG50" s="41"/>
      <c r="OCJ50" s="32"/>
      <c r="OCL50" s="12"/>
      <c r="OCN50" s="34"/>
      <c r="OCO50" s="39"/>
      <c r="OCP50" s="41"/>
      <c r="OCS50" s="32"/>
      <c r="OCU50" s="12"/>
      <c r="OCW50" s="34"/>
      <c r="OCX50" s="39"/>
      <c r="OCY50" s="41"/>
      <c r="ODB50" s="32"/>
      <c r="ODD50" s="12"/>
      <c r="ODF50" s="34"/>
      <c r="ODG50" s="39"/>
      <c r="ODH50" s="41"/>
      <c r="ODK50" s="32"/>
      <c r="ODM50" s="12"/>
      <c r="ODO50" s="34"/>
      <c r="ODP50" s="39"/>
      <c r="ODQ50" s="41"/>
      <c r="ODT50" s="32"/>
      <c r="ODV50" s="12"/>
      <c r="ODX50" s="34"/>
      <c r="ODY50" s="39"/>
      <c r="ODZ50" s="41"/>
      <c r="OEC50" s="32"/>
      <c r="OEE50" s="12"/>
      <c r="OEG50" s="34"/>
      <c r="OEH50" s="39"/>
      <c r="OEI50" s="41"/>
      <c r="OEL50" s="32"/>
      <c r="OEN50" s="12"/>
      <c r="OEP50" s="34"/>
      <c r="OEQ50" s="39"/>
      <c r="OER50" s="41"/>
      <c r="OEU50" s="32"/>
      <c r="OEW50" s="12"/>
      <c r="OEY50" s="34"/>
      <c r="OEZ50" s="39"/>
      <c r="OFA50" s="41"/>
      <c r="OFD50" s="32"/>
      <c r="OFF50" s="12"/>
      <c r="OFH50" s="34"/>
      <c r="OFI50" s="39"/>
      <c r="OFJ50" s="41"/>
      <c r="OFM50" s="32"/>
      <c r="OFO50" s="12"/>
      <c r="OFQ50" s="34"/>
      <c r="OFR50" s="39"/>
      <c r="OFS50" s="41"/>
      <c r="OFV50" s="32"/>
      <c r="OFX50" s="12"/>
      <c r="OFZ50" s="34"/>
      <c r="OGA50" s="39"/>
      <c r="OGB50" s="41"/>
      <c r="OGE50" s="32"/>
      <c r="OGG50" s="12"/>
      <c r="OGI50" s="34"/>
      <c r="OGJ50" s="39"/>
      <c r="OGK50" s="41"/>
      <c r="OGN50" s="32"/>
      <c r="OGP50" s="12"/>
      <c r="OGR50" s="34"/>
      <c r="OGS50" s="39"/>
      <c r="OGT50" s="41"/>
      <c r="OGW50" s="32"/>
      <c r="OGY50" s="12"/>
      <c r="OHA50" s="34"/>
      <c r="OHB50" s="39"/>
      <c r="OHC50" s="41"/>
      <c r="OHF50" s="32"/>
      <c r="OHH50" s="12"/>
      <c r="OHJ50" s="34"/>
      <c r="OHK50" s="39"/>
      <c r="OHL50" s="41"/>
      <c r="OHO50" s="32"/>
      <c r="OHQ50" s="12"/>
      <c r="OHS50" s="34"/>
      <c r="OHT50" s="39"/>
      <c r="OHU50" s="41"/>
      <c r="OHX50" s="32"/>
      <c r="OHZ50" s="12"/>
      <c r="OIB50" s="34"/>
      <c r="OIC50" s="39"/>
      <c r="OID50" s="41"/>
      <c r="OIG50" s="32"/>
      <c r="OII50" s="12"/>
      <c r="OIK50" s="34"/>
      <c r="OIL50" s="39"/>
      <c r="OIM50" s="41"/>
      <c r="OIP50" s="32"/>
      <c r="OIR50" s="12"/>
      <c r="OIT50" s="34"/>
      <c r="OIU50" s="39"/>
      <c r="OIV50" s="41"/>
      <c r="OIY50" s="32"/>
      <c r="OJA50" s="12"/>
      <c r="OJC50" s="34"/>
      <c r="OJD50" s="39"/>
      <c r="OJE50" s="41"/>
      <c r="OJH50" s="32"/>
      <c r="OJJ50" s="12"/>
      <c r="OJL50" s="34"/>
      <c r="OJM50" s="39"/>
      <c r="OJN50" s="41"/>
      <c r="OJQ50" s="32"/>
      <c r="OJS50" s="12"/>
      <c r="OJU50" s="34"/>
      <c r="OJV50" s="39"/>
      <c r="OJW50" s="41"/>
      <c r="OJZ50" s="32"/>
      <c r="OKB50" s="12"/>
      <c r="OKD50" s="34"/>
      <c r="OKE50" s="39"/>
      <c r="OKF50" s="41"/>
      <c r="OKI50" s="32"/>
      <c r="OKK50" s="12"/>
      <c r="OKM50" s="34"/>
      <c r="OKN50" s="39"/>
      <c r="OKO50" s="41"/>
      <c r="OKR50" s="32"/>
      <c r="OKT50" s="12"/>
      <c r="OKV50" s="34"/>
      <c r="OKW50" s="39"/>
      <c r="OKX50" s="41"/>
      <c r="OLA50" s="32"/>
      <c r="OLC50" s="12"/>
      <c r="OLE50" s="34"/>
      <c r="OLF50" s="39"/>
      <c r="OLG50" s="41"/>
      <c r="OLJ50" s="32"/>
      <c r="OLL50" s="12"/>
      <c r="OLN50" s="34"/>
      <c r="OLO50" s="39"/>
      <c r="OLP50" s="41"/>
      <c r="OLS50" s="32"/>
      <c r="OLU50" s="12"/>
      <c r="OLW50" s="34"/>
      <c r="OLX50" s="39"/>
      <c r="OLY50" s="41"/>
      <c r="OMB50" s="32"/>
      <c r="OMD50" s="12"/>
      <c r="OMF50" s="34"/>
      <c r="OMG50" s="39"/>
      <c r="OMH50" s="41"/>
      <c r="OMK50" s="32"/>
      <c r="OMM50" s="12"/>
      <c r="OMO50" s="34"/>
      <c r="OMP50" s="39"/>
      <c r="OMQ50" s="41"/>
      <c r="OMT50" s="32"/>
      <c r="OMV50" s="12"/>
      <c r="OMX50" s="34"/>
      <c r="OMY50" s="39"/>
      <c r="OMZ50" s="41"/>
      <c r="ONC50" s="32"/>
      <c r="ONE50" s="12"/>
      <c r="ONG50" s="34"/>
      <c r="ONH50" s="39"/>
      <c r="ONI50" s="41"/>
      <c r="ONL50" s="32"/>
      <c r="ONN50" s="12"/>
      <c r="ONP50" s="34"/>
      <c r="ONQ50" s="39"/>
      <c r="ONR50" s="41"/>
      <c r="ONU50" s="32"/>
      <c r="ONW50" s="12"/>
      <c r="ONY50" s="34"/>
      <c r="ONZ50" s="39"/>
      <c r="OOA50" s="41"/>
      <c r="OOD50" s="32"/>
      <c r="OOF50" s="12"/>
      <c r="OOH50" s="34"/>
      <c r="OOI50" s="39"/>
      <c r="OOJ50" s="41"/>
      <c r="OOM50" s="32"/>
      <c r="OOO50" s="12"/>
      <c r="OOQ50" s="34"/>
      <c r="OOR50" s="39"/>
      <c r="OOS50" s="41"/>
      <c r="OOV50" s="32"/>
      <c r="OOX50" s="12"/>
      <c r="OOZ50" s="34"/>
      <c r="OPA50" s="39"/>
      <c r="OPB50" s="41"/>
      <c r="OPE50" s="32"/>
      <c r="OPG50" s="12"/>
      <c r="OPI50" s="34"/>
      <c r="OPJ50" s="39"/>
      <c r="OPK50" s="41"/>
      <c r="OPN50" s="32"/>
      <c r="OPP50" s="12"/>
      <c r="OPR50" s="34"/>
      <c r="OPS50" s="39"/>
      <c r="OPT50" s="41"/>
      <c r="OPW50" s="32"/>
      <c r="OPY50" s="12"/>
      <c r="OQA50" s="34"/>
      <c r="OQB50" s="39"/>
      <c r="OQC50" s="41"/>
      <c r="OQF50" s="32"/>
      <c r="OQH50" s="12"/>
      <c r="OQJ50" s="34"/>
      <c r="OQK50" s="39"/>
      <c r="OQL50" s="41"/>
      <c r="OQO50" s="32"/>
      <c r="OQQ50" s="12"/>
      <c r="OQS50" s="34"/>
      <c r="OQT50" s="39"/>
      <c r="OQU50" s="41"/>
      <c r="OQX50" s="32"/>
      <c r="OQZ50" s="12"/>
      <c r="ORB50" s="34"/>
      <c r="ORC50" s="39"/>
      <c r="ORD50" s="41"/>
      <c r="ORG50" s="32"/>
      <c r="ORI50" s="12"/>
      <c r="ORK50" s="34"/>
      <c r="ORL50" s="39"/>
      <c r="ORM50" s="41"/>
      <c r="ORP50" s="32"/>
      <c r="ORR50" s="12"/>
      <c r="ORT50" s="34"/>
      <c r="ORU50" s="39"/>
      <c r="ORV50" s="41"/>
      <c r="ORY50" s="32"/>
      <c r="OSA50" s="12"/>
      <c r="OSC50" s="34"/>
      <c r="OSD50" s="39"/>
      <c r="OSE50" s="41"/>
      <c r="OSH50" s="32"/>
      <c r="OSJ50" s="12"/>
      <c r="OSL50" s="34"/>
      <c r="OSM50" s="39"/>
      <c r="OSN50" s="41"/>
      <c r="OSQ50" s="32"/>
      <c r="OSS50" s="12"/>
      <c r="OSU50" s="34"/>
      <c r="OSV50" s="39"/>
      <c r="OSW50" s="41"/>
      <c r="OSZ50" s="32"/>
      <c r="OTB50" s="12"/>
      <c r="OTD50" s="34"/>
      <c r="OTE50" s="39"/>
      <c r="OTF50" s="41"/>
      <c r="OTI50" s="32"/>
      <c r="OTK50" s="12"/>
      <c r="OTM50" s="34"/>
      <c r="OTN50" s="39"/>
      <c r="OTO50" s="41"/>
      <c r="OTR50" s="32"/>
      <c r="OTT50" s="12"/>
      <c r="OTV50" s="34"/>
      <c r="OTW50" s="39"/>
      <c r="OTX50" s="41"/>
      <c r="OUA50" s="32"/>
      <c r="OUC50" s="12"/>
      <c r="OUE50" s="34"/>
      <c r="OUF50" s="39"/>
      <c r="OUG50" s="41"/>
      <c r="OUJ50" s="32"/>
      <c r="OUL50" s="12"/>
      <c r="OUN50" s="34"/>
      <c r="OUO50" s="39"/>
      <c r="OUP50" s="41"/>
      <c r="OUS50" s="32"/>
      <c r="OUU50" s="12"/>
      <c r="OUW50" s="34"/>
      <c r="OUX50" s="39"/>
      <c r="OUY50" s="41"/>
      <c r="OVB50" s="32"/>
      <c r="OVD50" s="12"/>
      <c r="OVF50" s="34"/>
      <c r="OVG50" s="39"/>
      <c r="OVH50" s="41"/>
      <c r="OVK50" s="32"/>
      <c r="OVM50" s="12"/>
      <c r="OVO50" s="34"/>
      <c r="OVP50" s="39"/>
      <c r="OVQ50" s="41"/>
      <c r="OVT50" s="32"/>
      <c r="OVV50" s="12"/>
      <c r="OVX50" s="34"/>
      <c r="OVY50" s="39"/>
      <c r="OVZ50" s="41"/>
      <c r="OWC50" s="32"/>
      <c r="OWE50" s="12"/>
      <c r="OWG50" s="34"/>
      <c r="OWH50" s="39"/>
      <c r="OWI50" s="41"/>
      <c r="OWL50" s="32"/>
      <c r="OWN50" s="12"/>
      <c r="OWP50" s="34"/>
      <c r="OWQ50" s="39"/>
      <c r="OWR50" s="41"/>
      <c r="OWU50" s="32"/>
      <c r="OWW50" s="12"/>
      <c r="OWY50" s="34"/>
      <c r="OWZ50" s="39"/>
      <c r="OXA50" s="41"/>
      <c r="OXD50" s="32"/>
      <c r="OXF50" s="12"/>
      <c r="OXH50" s="34"/>
      <c r="OXI50" s="39"/>
      <c r="OXJ50" s="41"/>
      <c r="OXM50" s="32"/>
      <c r="OXO50" s="12"/>
      <c r="OXQ50" s="34"/>
      <c r="OXR50" s="39"/>
      <c r="OXS50" s="41"/>
      <c r="OXV50" s="32"/>
      <c r="OXX50" s="12"/>
      <c r="OXZ50" s="34"/>
      <c r="OYA50" s="39"/>
      <c r="OYB50" s="41"/>
      <c r="OYE50" s="32"/>
      <c r="OYG50" s="12"/>
      <c r="OYI50" s="34"/>
      <c r="OYJ50" s="39"/>
      <c r="OYK50" s="41"/>
      <c r="OYN50" s="32"/>
      <c r="OYP50" s="12"/>
      <c r="OYR50" s="34"/>
      <c r="OYS50" s="39"/>
      <c r="OYT50" s="41"/>
      <c r="OYW50" s="32"/>
      <c r="OYY50" s="12"/>
      <c r="OZA50" s="34"/>
      <c r="OZB50" s="39"/>
      <c r="OZC50" s="41"/>
      <c r="OZF50" s="32"/>
      <c r="OZH50" s="12"/>
      <c r="OZJ50" s="34"/>
      <c r="OZK50" s="39"/>
      <c r="OZL50" s="41"/>
      <c r="OZO50" s="32"/>
      <c r="OZQ50" s="12"/>
      <c r="OZS50" s="34"/>
      <c r="OZT50" s="39"/>
      <c r="OZU50" s="41"/>
      <c r="OZX50" s="32"/>
      <c r="OZZ50" s="12"/>
      <c r="PAB50" s="34"/>
      <c r="PAC50" s="39"/>
      <c r="PAD50" s="41"/>
      <c r="PAG50" s="32"/>
      <c r="PAI50" s="12"/>
      <c r="PAK50" s="34"/>
      <c r="PAL50" s="39"/>
      <c r="PAM50" s="41"/>
      <c r="PAP50" s="32"/>
      <c r="PAR50" s="12"/>
      <c r="PAT50" s="34"/>
      <c r="PAU50" s="39"/>
      <c r="PAV50" s="41"/>
      <c r="PAY50" s="32"/>
      <c r="PBA50" s="12"/>
      <c r="PBC50" s="34"/>
      <c r="PBD50" s="39"/>
      <c r="PBE50" s="41"/>
      <c r="PBH50" s="32"/>
      <c r="PBJ50" s="12"/>
      <c r="PBL50" s="34"/>
      <c r="PBM50" s="39"/>
      <c r="PBN50" s="41"/>
      <c r="PBQ50" s="32"/>
      <c r="PBS50" s="12"/>
      <c r="PBU50" s="34"/>
      <c r="PBV50" s="39"/>
      <c r="PBW50" s="41"/>
      <c r="PBZ50" s="32"/>
      <c r="PCB50" s="12"/>
      <c r="PCD50" s="34"/>
      <c r="PCE50" s="39"/>
      <c r="PCF50" s="41"/>
      <c r="PCI50" s="32"/>
      <c r="PCK50" s="12"/>
      <c r="PCM50" s="34"/>
      <c r="PCN50" s="39"/>
      <c r="PCO50" s="41"/>
      <c r="PCR50" s="32"/>
      <c r="PCT50" s="12"/>
      <c r="PCV50" s="34"/>
      <c r="PCW50" s="39"/>
      <c r="PCX50" s="41"/>
      <c r="PDA50" s="32"/>
      <c r="PDC50" s="12"/>
      <c r="PDE50" s="34"/>
      <c r="PDF50" s="39"/>
      <c r="PDG50" s="41"/>
      <c r="PDJ50" s="32"/>
      <c r="PDL50" s="12"/>
      <c r="PDN50" s="34"/>
      <c r="PDO50" s="39"/>
      <c r="PDP50" s="41"/>
      <c r="PDS50" s="32"/>
      <c r="PDU50" s="12"/>
      <c r="PDW50" s="34"/>
      <c r="PDX50" s="39"/>
      <c r="PDY50" s="41"/>
      <c r="PEB50" s="32"/>
      <c r="PED50" s="12"/>
      <c r="PEF50" s="34"/>
      <c r="PEG50" s="39"/>
      <c r="PEH50" s="41"/>
      <c r="PEK50" s="32"/>
      <c r="PEM50" s="12"/>
      <c r="PEO50" s="34"/>
      <c r="PEP50" s="39"/>
      <c r="PEQ50" s="41"/>
      <c r="PET50" s="32"/>
      <c r="PEV50" s="12"/>
      <c r="PEX50" s="34"/>
      <c r="PEY50" s="39"/>
      <c r="PEZ50" s="41"/>
      <c r="PFC50" s="32"/>
      <c r="PFE50" s="12"/>
      <c r="PFG50" s="34"/>
      <c r="PFH50" s="39"/>
      <c r="PFI50" s="41"/>
      <c r="PFL50" s="32"/>
      <c r="PFN50" s="12"/>
      <c r="PFP50" s="34"/>
      <c r="PFQ50" s="39"/>
      <c r="PFR50" s="41"/>
      <c r="PFU50" s="32"/>
      <c r="PFW50" s="12"/>
      <c r="PFY50" s="34"/>
      <c r="PFZ50" s="39"/>
      <c r="PGA50" s="41"/>
      <c r="PGD50" s="32"/>
      <c r="PGF50" s="12"/>
      <c r="PGH50" s="34"/>
      <c r="PGI50" s="39"/>
      <c r="PGJ50" s="41"/>
      <c r="PGM50" s="32"/>
      <c r="PGO50" s="12"/>
      <c r="PGQ50" s="34"/>
      <c r="PGR50" s="39"/>
      <c r="PGS50" s="41"/>
      <c r="PGV50" s="32"/>
      <c r="PGX50" s="12"/>
      <c r="PGZ50" s="34"/>
      <c r="PHA50" s="39"/>
      <c r="PHB50" s="41"/>
      <c r="PHE50" s="32"/>
      <c r="PHG50" s="12"/>
      <c r="PHI50" s="34"/>
      <c r="PHJ50" s="39"/>
      <c r="PHK50" s="41"/>
      <c r="PHN50" s="32"/>
      <c r="PHP50" s="12"/>
      <c r="PHR50" s="34"/>
      <c r="PHS50" s="39"/>
      <c r="PHT50" s="41"/>
      <c r="PHW50" s="32"/>
      <c r="PHY50" s="12"/>
      <c r="PIA50" s="34"/>
      <c r="PIB50" s="39"/>
      <c r="PIC50" s="41"/>
      <c r="PIF50" s="32"/>
      <c r="PIH50" s="12"/>
      <c r="PIJ50" s="34"/>
      <c r="PIK50" s="39"/>
      <c r="PIL50" s="41"/>
      <c r="PIO50" s="32"/>
      <c r="PIQ50" s="12"/>
      <c r="PIS50" s="34"/>
      <c r="PIT50" s="39"/>
      <c r="PIU50" s="41"/>
      <c r="PIX50" s="32"/>
      <c r="PIZ50" s="12"/>
      <c r="PJB50" s="34"/>
      <c r="PJC50" s="39"/>
      <c r="PJD50" s="41"/>
      <c r="PJG50" s="32"/>
      <c r="PJI50" s="12"/>
      <c r="PJK50" s="34"/>
      <c r="PJL50" s="39"/>
      <c r="PJM50" s="41"/>
      <c r="PJP50" s="32"/>
      <c r="PJR50" s="12"/>
      <c r="PJT50" s="34"/>
      <c r="PJU50" s="39"/>
      <c r="PJV50" s="41"/>
      <c r="PJY50" s="32"/>
      <c r="PKA50" s="12"/>
      <c r="PKC50" s="34"/>
      <c r="PKD50" s="39"/>
      <c r="PKE50" s="41"/>
      <c r="PKH50" s="32"/>
      <c r="PKJ50" s="12"/>
      <c r="PKL50" s="34"/>
      <c r="PKM50" s="39"/>
      <c r="PKN50" s="41"/>
      <c r="PKQ50" s="32"/>
      <c r="PKS50" s="12"/>
      <c r="PKU50" s="34"/>
      <c r="PKV50" s="39"/>
      <c r="PKW50" s="41"/>
      <c r="PKZ50" s="32"/>
      <c r="PLB50" s="12"/>
      <c r="PLD50" s="34"/>
      <c r="PLE50" s="39"/>
      <c r="PLF50" s="41"/>
      <c r="PLI50" s="32"/>
      <c r="PLK50" s="12"/>
      <c r="PLM50" s="34"/>
      <c r="PLN50" s="39"/>
      <c r="PLO50" s="41"/>
      <c r="PLR50" s="32"/>
      <c r="PLT50" s="12"/>
      <c r="PLV50" s="34"/>
      <c r="PLW50" s="39"/>
      <c r="PLX50" s="41"/>
      <c r="PMA50" s="32"/>
      <c r="PMC50" s="12"/>
      <c r="PME50" s="34"/>
      <c r="PMF50" s="39"/>
      <c r="PMG50" s="41"/>
      <c r="PMJ50" s="32"/>
      <c r="PML50" s="12"/>
      <c r="PMN50" s="34"/>
      <c r="PMO50" s="39"/>
      <c r="PMP50" s="41"/>
      <c r="PMS50" s="32"/>
      <c r="PMU50" s="12"/>
      <c r="PMW50" s="34"/>
      <c r="PMX50" s="39"/>
      <c r="PMY50" s="41"/>
      <c r="PNB50" s="32"/>
      <c r="PND50" s="12"/>
      <c r="PNF50" s="34"/>
      <c r="PNG50" s="39"/>
      <c r="PNH50" s="41"/>
      <c r="PNK50" s="32"/>
      <c r="PNM50" s="12"/>
      <c r="PNO50" s="34"/>
      <c r="PNP50" s="39"/>
      <c r="PNQ50" s="41"/>
      <c r="PNT50" s="32"/>
      <c r="PNV50" s="12"/>
      <c r="PNX50" s="34"/>
      <c r="PNY50" s="39"/>
      <c r="PNZ50" s="41"/>
      <c r="POC50" s="32"/>
      <c r="POE50" s="12"/>
      <c r="POG50" s="34"/>
      <c r="POH50" s="39"/>
      <c r="POI50" s="41"/>
      <c r="POL50" s="32"/>
      <c r="PON50" s="12"/>
      <c r="POP50" s="34"/>
      <c r="POQ50" s="39"/>
      <c r="POR50" s="41"/>
      <c r="POU50" s="32"/>
      <c r="POW50" s="12"/>
      <c r="POY50" s="34"/>
      <c r="POZ50" s="39"/>
      <c r="PPA50" s="41"/>
      <c r="PPD50" s="32"/>
      <c r="PPF50" s="12"/>
      <c r="PPH50" s="34"/>
      <c r="PPI50" s="39"/>
      <c r="PPJ50" s="41"/>
      <c r="PPM50" s="32"/>
      <c r="PPO50" s="12"/>
      <c r="PPQ50" s="34"/>
      <c r="PPR50" s="39"/>
      <c r="PPS50" s="41"/>
      <c r="PPV50" s="32"/>
      <c r="PPX50" s="12"/>
      <c r="PPZ50" s="34"/>
      <c r="PQA50" s="39"/>
      <c r="PQB50" s="41"/>
      <c r="PQE50" s="32"/>
      <c r="PQG50" s="12"/>
      <c r="PQI50" s="34"/>
      <c r="PQJ50" s="39"/>
      <c r="PQK50" s="41"/>
      <c r="PQN50" s="32"/>
      <c r="PQP50" s="12"/>
      <c r="PQR50" s="34"/>
      <c r="PQS50" s="39"/>
      <c r="PQT50" s="41"/>
      <c r="PQW50" s="32"/>
      <c r="PQY50" s="12"/>
      <c r="PRA50" s="34"/>
      <c r="PRB50" s="39"/>
      <c r="PRC50" s="41"/>
      <c r="PRF50" s="32"/>
      <c r="PRH50" s="12"/>
      <c r="PRJ50" s="34"/>
      <c r="PRK50" s="39"/>
      <c r="PRL50" s="41"/>
      <c r="PRO50" s="32"/>
      <c r="PRQ50" s="12"/>
      <c r="PRS50" s="34"/>
      <c r="PRT50" s="39"/>
      <c r="PRU50" s="41"/>
      <c r="PRX50" s="32"/>
      <c r="PRZ50" s="12"/>
      <c r="PSB50" s="34"/>
      <c r="PSC50" s="39"/>
      <c r="PSD50" s="41"/>
      <c r="PSG50" s="32"/>
      <c r="PSI50" s="12"/>
      <c r="PSK50" s="34"/>
      <c r="PSL50" s="39"/>
      <c r="PSM50" s="41"/>
      <c r="PSP50" s="32"/>
      <c r="PSR50" s="12"/>
      <c r="PST50" s="34"/>
      <c r="PSU50" s="39"/>
      <c r="PSV50" s="41"/>
      <c r="PSY50" s="32"/>
      <c r="PTA50" s="12"/>
      <c r="PTC50" s="34"/>
      <c r="PTD50" s="39"/>
      <c r="PTE50" s="41"/>
      <c r="PTH50" s="32"/>
      <c r="PTJ50" s="12"/>
      <c r="PTL50" s="34"/>
      <c r="PTM50" s="39"/>
      <c r="PTN50" s="41"/>
      <c r="PTQ50" s="32"/>
      <c r="PTS50" s="12"/>
      <c r="PTU50" s="34"/>
      <c r="PTV50" s="39"/>
      <c r="PTW50" s="41"/>
      <c r="PTZ50" s="32"/>
      <c r="PUB50" s="12"/>
      <c r="PUD50" s="34"/>
      <c r="PUE50" s="39"/>
      <c r="PUF50" s="41"/>
      <c r="PUI50" s="32"/>
      <c r="PUK50" s="12"/>
      <c r="PUM50" s="34"/>
      <c r="PUN50" s="39"/>
      <c r="PUO50" s="41"/>
      <c r="PUR50" s="32"/>
      <c r="PUT50" s="12"/>
      <c r="PUV50" s="34"/>
      <c r="PUW50" s="39"/>
      <c r="PUX50" s="41"/>
      <c r="PVA50" s="32"/>
      <c r="PVC50" s="12"/>
      <c r="PVE50" s="34"/>
      <c r="PVF50" s="39"/>
      <c r="PVG50" s="41"/>
      <c r="PVJ50" s="32"/>
      <c r="PVL50" s="12"/>
      <c r="PVN50" s="34"/>
      <c r="PVO50" s="39"/>
      <c r="PVP50" s="41"/>
      <c r="PVS50" s="32"/>
      <c r="PVU50" s="12"/>
      <c r="PVW50" s="34"/>
      <c r="PVX50" s="39"/>
      <c r="PVY50" s="41"/>
      <c r="PWB50" s="32"/>
      <c r="PWD50" s="12"/>
      <c r="PWF50" s="34"/>
      <c r="PWG50" s="39"/>
      <c r="PWH50" s="41"/>
      <c r="PWK50" s="32"/>
      <c r="PWM50" s="12"/>
      <c r="PWO50" s="34"/>
      <c r="PWP50" s="39"/>
      <c r="PWQ50" s="41"/>
      <c r="PWT50" s="32"/>
      <c r="PWV50" s="12"/>
      <c r="PWX50" s="34"/>
      <c r="PWY50" s="39"/>
      <c r="PWZ50" s="41"/>
      <c r="PXC50" s="32"/>
      <c r="PXE50" s="12"/>
      <c r="PXG50" s="34"/>
      <c r="PXH50" s="39"/>
      <c r="PXI50" s="41"/>
      <c r="PXL50" s="32"/>
      <c r="PXN50" s="12"/>
      <c r="PXP50" s="34"/>
      <c r="PXQ50" s="39"/>
      <c r="PXR50" s="41"/>
      <c r="PXU50" s="32"/>
      <c r="PXW50" s="12"/>
      <c r="PXY50" s="34"/>
      <c r="PXZ50" s="39"/>
      <c r="PYA50" s="41"/>
      <c r="PYD50" s="32"/>
      <c r="PYF50" s="12"/>
      <c r="PYH50" s="34"/>
      <c r="PYI50" s="39"/>
      <c r="PYJ50" s="41"/>
      <c r="PYM50" s="32"/>
      <c r="PYO50" s="12"/>
      <c r="PYQ50" s="34"/>
      <c r="PYR50" s="39"/>
      <c r="PYS50" s="41"/>
      <c r="PYV50" s="32"/>
      <c r="PYX50" s="12"/>
      <c r="PYZ50" s="34"/>
      <c r="PZA50" s="39"/>
      <c r="PZB50" s="41"/>
      <c r="PZE50" s="32"/>
      <c r="PZG50" s="12"/>
      <c r="PZI50" s="34"/>
      <c r="PZJ50" s="39"/>
      <c r="PZK50" s="41"/>
      <c r="PZN50" s="32"/>
      <c r="PZP50" s="12"/>
      <c r="PZR50" s="34"/>
      <c r="PZS50" s="39"/>
      <c r="PZT50" s="41"/>
      <c r="PZW50" s="32"/>
      <c r="PZY50" s="12"/>
      <c r="QAA50" s="34"/>
      <c r="QAB50" s="39"/>
      <c r="QAC50" s="41"/>
      <c r="QAF50" s="32"/>
      <c r="QAH50" s="12"/>
      <c r="QAJ50" s="34"/>
      <c r="QAK50" s="39"/>
      <c r="QAL50" s="41"/>
      <c r="QAO50" s="32"/>
      <c r="QAQ50" s="12"/>
      <c r="QAS50" s="34"/>
      <c r="QAT50" s="39"/>
      <c r="QAU50" s="41"/>
      <c r="QAX50" s="32"/>
      <c r="QAZ50" s="12"/>
      <c r="QBB50" s="34"/>
      <c r="QBC50" s="39"/>
      <c r="QBD50" s="41"/>
      <c r="QBG50" s="32"/>
      <c r="QBI50" s="12"/>
      <c r="QBK50" s="34"/>
      <c r="QBL50" s="39"/>
      <c r="QBM50" s="41"/>
      <c r="QBP50" s="32"/>
      <c r="QBR50" s="12"/>
      <c r="QBT50" s="34"/>
      <c r="QBU50" s="39"/>
      <c r="QBV50" s="41"/>
      <c r="QBY50" s="32"/>
      <c r="QCA50" s="12"/>
      <c r="QCC50" s="34"/>
      <c r="QCD50" s="39"/>
      <c r="QCE50" s="41"/>
      <c r="QCH50" s="32"/>
      <c r="QCJ50" s="12"/>
      <c r="QCL50" s="34"/>
      <c r="QCM50" s="39"/>
      <c r="QCN50" s="41"/>
      <c r="QCQ50" s="32"/>
      <c r="QCS50" s="12"/>
      <c r="QCU50" s="34"/>
      <c r="QCV50" s="39"/>
      <c r="QCW50" s="41"/>
      <c r="QCZ50" s="32"/>
      <c r="QDB50" s="12"/>
      <c r="QDD50" s="34"/>
      <c r="QDE50" s="39"/>
      <c r="QDF50" s="41"/>
      <c r="QDI50" s="32"/>
      <c r="QDK50" s="12"/>
      <c r="QDM50" s="34"/>
      <c r="QDN50" s="39"/>
      <c r="QDO50" s="41"/>
      <c r="QDR50" s="32"/>
      <c r="QDT50" s="12"/>
      <c r="QDV50" s="34"/>
      <c r="QDW50" s="39"/>
      <c r="QDX50" s="41"/>
      <c r="QEA50" s="32"/>
      <c r="QEC50" s="12"/>
      <c r="QEE50" s="34"/>
      <c r="QEF50" s="39"/>
      <c r="QEG50" s="41"/>
      <c r="QEJ50" s="32"/>
      <c r="QEL50" s="12"/>
      <c r="QEN50" s="34"/>
      <c r="QEO50" s="39"/>
      <c r="QEP50" s="41"/>
      <c r="QES50" s="32"/>
      <c r="QEU50" s="12"/>
      <c r="QEW50" s="34"/>
      <c r="QEX50" s="39"/>
      <c r="QEY50" s="41"/>
      <c r="QFB50" s="32"/>
      <c r="QFD50" s="12"/>
      <c r="QFF50" s="34"/>
      <c r="QFG50" s="39"/>
      <c r="QFH50" s="41"/>
      <c r="QFK50" s="32"/>
      <c r="QFM50" s="12"/>
      <c r="QFO50" s="34"/>
      <c r="QFP50" s="39"/>
      <c r="QFQ50" s="41"/>
      <c r="QFT50" s="32"/>
      <c r="QFV50" s="12"/>
      <c r="QFX50" s="34"/>
      <c r="QFY50" s="39"/>
      <c r="QFZ50" s="41"/>
      <c r="QGC50" s="32"/>
      <c r="QGE50" s="12"/>
      <c r="QGG50" s="34"/>
      <c r="QGH50" s="39"/>
      <c r="QGI50" s="41"/>
      <c r="QGL50" s="32"/>
      <c r="QGN50" s="12"/>
      <c r="QGP50" s="34"/>
      <c r="QGQ50" s="39"/>
      <c r="QGR50" s="41"/>
      <c r="QGU50" s="32"/>
      <c r="QGW50" s="12"/>
      <c r="QGY50" s="34"/>
      <c r="QGZ50" s="39"/>
      <c r="QHA50" s="41"/>
      <c r="QHD50" s="32"/>
      <c r="QHF50" s="12"/>
      <c r="QHH50" s="34"/>
      <c r="QHI50" s="39"/>
      <c r="QHJ50" s="41"/>
      <c r="QHM50" s="32"/>
      <c r="QHO50" s="12"/>
      <c r="QHQ50" s="34"/>
      <c r="QHR50" s="39"/>
      <c r="QHS50" s="41"/>
      <c r="QHV50" s="32"/>
      <c r="QHX50" s="12"/>
      <c r="QHZ50" s="34"/>
      <c r="QIA50" s="39"/>
      <c r="QIB50" s="41"/>
      <c r="QIE50" s="32"/>
      <c r="QIG50" s="12"/>
      <c r="QII50" s="34"/>
      <c r="QIJ50" s="39"/>
      <c r="QIK50" s="41"/>
      <c r="QIN50" s="32"/>
      <c r="QIP50" s="12"/>
      <c r="QIR50" s="34"/>
      <c r="QIS50" s="39"/>
      <c r="QIT50" s="41"/>
      <c r="QIW50" s="32"/>
      <c r="QIY50" s="12"/>
      <c r="QJA50" s="34"/>
      <c r="QJB50" s="39"/>
      <c r="QJC50" s="41"/>
      <c r="QJF50" s="32"/>
      <c r="QJH50" s="12"/>
      <c r="QJJ50" s="34"/>
      <c r="QJK50" s="39"/>
      <c r="QJL50" s="41"/>
      <c r="QJO50" s="32"/>
      <c r="QJQ50" s="12"/>
      <c r="QJS50" s="34"/>
      <c r="QJT50" s="39"/>
      <c r="QJU50" s="41"/>
      <c r="QJX50" s="32"/>
      <c r="QJZ50" s="12"/>
      <c r="QKB50" s="34"/>
      <c r="QKC50" s="39"/>
      <c r="QKD50" s="41"/>
      <c r="QKG50" s="32"/>
      <c r="QKI50" s="12"/>
      <c r="QKK50" s="34"/>
      <c r="QKL50" s="39"/>
      <c r="QKM50" s="41"/>
      <c r="QKP50" s="32"/>
      <c r="QKR50" s="12"/>
      <c r="QKT50" s="34"/>
      <c r="QKU50" s="39"/>
      <c r="QKV50" s="41"/>
      <c r="QKY50" s="32"/>
      <c r="QLA50" s="12"/>
      <c r="QLC50" s="34"/>
      <c r="QLD50" s="39"/>
      <c r="QLE50" s="41"/>
      <c r="QLH50" s="32"/>
      <c r="QLJ50" s="12"/>
      <c r="QLL50" s="34"/>
      <c r="QLM50" s="39"/>
      <c r="QLN50" s="41"/>
      <c r="QLQ50" s="32"/>
      <c r="QLS50" s="12"/>
      <c r="QLU50" s="34"/>
      <c r="QLV50" s="39"/>
      <c r="QLW50" s="41"/>
      <c r="QLZ50" s="32"/>
      <c r="QMB50" s="12"/>
      <c r="QMD50" s="34"/>
      <c r="QME50" s="39"/>
      <c r="QMF50" s="41"/>
      <c r="QMI50" s="32"/>
      <c r="QMK50" s="12"/>
      <c r="QMM50" s="34"/>
      <c r="QMN50" s="39"/>
      <c r="QMO50" s="41"/>
      <c r="QMR50" s="32"/>
      <c r="QMT50" s="12"/>
      <c r="QMV50" s="34"/>
      <c r="QMW50" s="39"/>
      <c r="QMX50" s="41"/>
      <c r="QNA50" s="32"/>
      <c r="QNC50" s="12"/>
      <c r="QNE50" s="34"/>
      <c r="QNF50" s="39"/>
      <c r="QNG50" s="41"/>
      <c r="QNJ50" s="32"/>
      <c r="QNL50" s="12"/>
      <c r="QNN50" s="34"/>
      <c r="QNO50" s="39"/>
      <c r="QNP50" s="41"/>
      <c r="QNS50" s="32"/>
      <c r="QNU50" s="12"/>
      <c r="QNW50" s="34"/>
      <c r="QNX50" s="39"/>
      <c r="QNY50" s="41"/>
      <c r="QOB50" s="32"/>
      <c r="QOD50" s="12"/>
      <c r="QOF50" s="34"/>
      <c r="QOG50" s="39"/>
      <c r="QOH50" s="41"/>
      <c r="QOK50" s="32"/>
      <c r="QOM50" s="12"/>
      <c r="QOO50" s="34"/>
      <c r="QOP50" s="39"/>
      <c r="QOQ50" s="41"/>
      <c r="QOT50" s="32"/>
      <c r="QOV50" s="12"/>
      <c r="QOX50" s="34"/>
      <c r="QOY50" s="39"/>
      <c r="QOZ50" s="41"/>
      <c r="QPC50" s="32"/>
      <c r="QPE50" s="12"/>
      <c r="QPG50" s="34"/>
      <c r="QPH50" s="39"/>
      <c r="QPI50" s="41"/>
      <c r="QPL50" s="32"/>
      <c r="QPN50" s="12"/>
      <c r="QPP50" s="34"/>
      <c r="QPQ50" s="39"/>
      <c r="QPR50" s="41"/>
      <c r="QPU50" s="32"/>
      <c r="QPW50" s="12"/>
      <c r="QPY50" s="34"/>
      <c r="QPZ50" s="39"/>
      <c r="QQA50" s="41"/>
      <c r="QQD50" s="32"/>
      <c r="QQF50" s="12"/>
      <c r="QQH50" s="34"/>
      <c r="QQI50" s="39"/>
      <c r="QQJ50" s="41"/>
      <c r="QQM50" s="32"/>
      <c r="QQO50" s="12"/>
      <c r="QQQ50" s="34"/>
      <c r="QQR50" s="39"/>
      <c r="QQS50" s="41"/>
      <c r="QQV50" s="32"/>
      <c r="QQX50" s="12"/>
      <c r="QQZ50" s="34"/>
      <c r="QRA50" s="39"/>
      <c r="QRB50" s="41"/>
      <c r="QRE50" s="32"/>
      <c r="QRG50" s="12"/>
      <c r="QRI50" s="34"/>
      <c r="QRJ50" s="39"/>
      <c r="QRK50" s="41"/>
      <c r="QRN50" s="32"/>
      <c r="QRP50" s="12"/>
      <c r="QRR50" s="34"/>
      <c r="QRS50" s="39"/>
      <c r="QRT50" s="41"/>
      <c r="QRW50" s="32"/>
      <c r="QRY50" s="12"/>
      <c r="QSA50" s="34"/>
      <c r="QSB50" s="39"/>
      <c r="QSC50" s="41"/>
      <c r="QSF50" s="32"/>
      <c r="QSH50" s="12"/>
      <c r="QSJ50" s="34"/>
      <c r="QSK50" s="39"/>
      <c r="QSL50" s="41"/>
      <c r="QSO50" s="32"/>
      <c r="QSQ50" s="12"/>
      <c r="QSS50" s="34"/>
      <c r="QST50" s="39"/>
      <c r="QSU50" s="41"/>
      <c r="QSX50" s="32"/>
      <c r="QSZ50" s="12"/>
      <c r="QTB50" s="34"/>
      <c r="QTC50" s="39"/>
      <c r="QTD50" s="41"/>
      <c r="QTG50" s="32"/>
      <c r="QTI50" s="12"/>
      <c r="QTK50" s="34"/>
      <c r="QTL50" s="39"/>
      <c r="QTM50" s="41"/>
      <c r="QTP50" s="32"/>
      <c r="QTR50" s="12"/>
      <c r="QTT50" s="34"/>
      <c r="QTU50" s="39"/>
      <c r="QTV50" s="41"/>
      <c r="QTY50" s="32"/>
      <c r="QUA50" s="12"/>
      <c r="QUC50" s="34"/>
      <c r="QUD50" s="39"/>
      <c r="QUE50" s="41"/>
      <c r="QUH50" s="32"/>
      <c r="QUJ50" s="12"/>
      <c r="QUL50" s="34"/>
      <c r="QUM50" s="39"/>
      <c r="QUN50" s="41"/>
      <c r="QUQ50" s="32"/>
      <c r="QUS50" s="12"/>
      <c r="QUU50" s="34"/>
      <c r="QUV50" s="39"/>
      <c r="QUW50" s="41"/>
      <c r="QUZ50" s="32"/>
      <c r="QVB50" s="12"/>
      <c r="QVD50" s="34"/>
      <c r="QVE50" s="39"/>
      <c r="QVF50" s="41"/>
      <c r="QVI50" s="32"/>
      <c r="QVK50" s="12"/>
      <c r="QVM50" s="34"/>
      <c r="QVN50" s="39"/>
      <c r="QVO50" s="41"/>
      <c r="QVR50" s="32"/>
      <c r="QVT50" s="12"/>
      <c r="QVV50" s="34"/>
      <c r="QVW50" s="39"/>
      <c r="QVX50" s="41"/>
      <c r="QWA50" s="32"/>
      <c r="QWC50" s="12"/>
      <c r="QWE50" s="34"/>
      <c r="QWF50" s="39"/>
      <c r="QWG50" s="41"/>
      <c r="QWJ50" s="32"/>
      <c r="QWL50" s="12"/>
      <c r="QWN50" s="34"/>
      <c r="QWO50" s="39"/>
      <c r="QWP50" s="41"/>
      <c r="QWS50" s="32"/>
      <c r="QWU50" s="12"/>
      <c r="QWW50" s="34"/>
      <c r="QWX50" s="39"/>
      <c r="QWY50" s="41"/>
      <c r="QXB50" s="32"/>
      <c r="QXD50" s="12"/>
      <c r="QXF50" s="34"/>
      <c r="QXG50" s="39"/>
      <c r="QXH50" s="41"/>
      <c r="QXK50" s="32"/>
      <c r="QXM50" s="12"/>
      <c r="QXO50" s="34"/>
      <c r="QXP50" s="39"/>
      <c r="QXQ50" s="41"/>
      <c r="QXT50" s="32"/>
      <c r="QXV50" s="12"/>
      <c r="QXX50" s="34"/>
      <c r="QXY50" s="39"/>
      <c r="QXZ50" s="41"/>
      <c r="QYC50" s="32"/>
      <c r="QYE50" s="12"/>
      <c r="QYG50" s="34"/>
      <c r="QYH50" s="39"/>
      <c r="QYI50" s="41"/>
      <c r="QYL50" s="32"/>
      <c r="QYN50" s="12"/>
      <c r="QYP50" s="34"/>
      <c r="QYQ50" s="39"/>
      <c r="QYR50" s="41"/>
      <c r="QYU50" s="32"/>
      <c r="QYW50" s="12"/>
      <c r="QYY50" s="34"/>
      <c r="QYZ50" s="39"/>
      <c r="QZA50" s="41"/>
      <c r="QZD50" s="32"/>
      <c r="QZF50" s="12"/>
      <c r="QZH50" s="34"/>
      <c r="QZI50" s="39"/>
      <c r="QZJ50" s="41"/>
      <c r="QZM50" s="32"/>
      <c r="QZO50" s="12"/>
      <c r="QZQ50" s="34"/>
      <c r="QZR50" s="39"/>
      <c r="QZS50" s="41"/>
      <c r="QZV50" s="32"/>
      <c r="QZX50" s="12"/>
      <c r="QZZ50" s="34"/>
      <c r="RAA50" s="39"/>
      <c r="RAB50" s="41"/>
      <c r="RAE50" s="32"/>
      <c r="RAG50" s="12"/>
      <c r="RAI50" s="34"/>
      <c r="RAJ50" s="39"/>
      <c r="RAK50" s="41"/>
      <c r="RAN50" s="32"/>
      <c r="RAP50" s="12"/>
      <c r="RAR50" s="34"/>
      <c r="RAS50" s="39"/>
      <c r="RAT50" s="41"/>
      <c r="RAW50" s="32"/>
      <c r="RAY50" s="12"/>
      <c r="RBA50" s="34"/>
      <c r="RBB50" s="39"/>
      <c r="RBC50" s="41"/>
      <c r="RBF50" s="32"/>
      <c r="RBH50" s="12"/>
      <c r="RBJ50" s="34"/>
      <c r="RBK50" s="39"/>
      <c r="RBL50" s="41"/>
      <c r="RBO50" s="32"/>
      <c r="RBQ50" s="12"/>
      <c r="RBS50" s="34"/>
      <c r="RBT50" s="39"/>
      <c r="RBU50" s="41"/>
      <c r="RBX50" s="32"/>
      <c r="RBZ50" s="12"/>
      <c r="RCB50" s="34"/>
      <c r="RCC50" s="39"/>
      <c r="RCD50" s="41"/>
      <c r="RCG50" s="32"/>
      <c r="RCI50" s="12"/>
      <c r="RCK50" s="34"/>
      <c r="RCL50" s="39"/>
      <c r="RCM50" s="41"/>
      <c r="RCP50" s="32"/>
      <c r="RCR50" s="12"/>
      <c r="RCT50" s="34"/>
      <c r="RCU50" s="39"/>
      <c r="RCV50" s="41"/>
      <c r="RCY50" s="32"/>
      <c r="RDA50" s="12"/>
      <c r="RDC50" s="34"/>
      <c r="RDD50" s="39"/>
      <c r="RDE50" s="41"/>
      <c r="RDH50" s="32"/>
      <c r="RDJ50" s="12"/>
      <c r="RDL50" s="34"/>
      <c r="RDM50" s="39"/>
      <c r="RDN50" s="41"/>
      <c r="RDQ50" s="32"/>
      <c r="RDS50" s="12"/>
      <c r="RDU50" s="34"/>
      <c r="RDV50" s="39"/>
      <c r="RDW50" s="41"/>
      <c r="RDZ50" s="32"/>
      <c r="REB50" s="12"/>
      <c r="RED50" s="34"/>
      <c r="REE50" s="39"/>
      <c r="REF50" s="41"/>
      <c r="REI50" s="32"/>
      <c r="REK50" s="12"/>
      <c r="REM50" s="34"/>
      <c r="REN50" s="39"/>
      <c r="REO50" s="41"/>
      <c r="RER50" s="32"/>
      <c r="RET50" s="12"/>
      <c r="REV50" s="34"/>
      <c r="REW50" s="39"/>
      <c r="REX50" s="41"/>
      <c r="RFA50" s="32"/>
      <c r="RFC50" s="12"/>
      <c r="RFE50" s="34"/>
      <c r="RFF50" s="39"/>
      <c r="RFG50" s="41"/>
      <c r="RFJ50" s="32"/>
      <c r="RFL50" s="12"/>
      <c r="RFN50" s="34"/>
      <c r="RFO50" s="39"/>
      <c r="RFP50" s="41"/>
      <c r="RFS50" s="32"/>
      <c r="RFU50" s="12"/>
      <c r="RFW50" s="34"/>
      <c r="RFX50" s="39"/>
      <c r="RFY50" s="41"/>
      <c r="RGB50" s="32"/>
      <c r="RGD50" s="12"/>
      <c r="RGF50" s="34"/>
      <c r="RGG50" s="39"/>
      <c r="RGH50" s="41"/>
      <c r="RGK50" s="32"/>
      <c r="RGM50" s="12"/>
      <c r="RGO50" s="34"/>
      <c r="RGP50" s="39"/>
      <c r="RGQ50" s="41"/>
      <c r="RGT50" s="32"/>
      <c r="RGV50" s="12"/>
      <c r="RGX50" s="34"/>
      <c r="RGY50" s="39"/>
      <c r="RGZ50" s="41"/>
      <c r="RHC50" s="32"/>
      <c r="RHE50" s="12"/>
      <c r="RHG50" s="34"/>
      <c r="RHH50" s="39"/>
      <c r="RHI50" s="41"/>
      <c r="RHL50" s="32"/>
      <c r="RHN50" s="12"/>
      <c r="RHP50" s="34"/>
      <c r="RHQ50" s="39"/>
      <c r="RHR50" s="41"/>
      <c r="RHU50" s="32"/>
      <c r="RHW50" s="12"/>
      <c r="RHY50" s="34"/>
      <c r="RHZ50" s="39"/>
      <c r="RIA50" s="41"/>
      <c r="RID50" s="32"/>
      <c r="RIF50" s="12"/>
      <c r="RIH50" s="34"/>
      <c r="RII50" s="39"/>
      <c r="RIJ50" s="41"/>
      <c r="RIM50" s="32"/>
      <c r="RIO50" s="12"/>
      <c r="RIQ50" s="34"/>
      <c r="RIR50" s="39"/>
      <c r="RIS50" s="41"/>
      <c r="RIV50" s="32"/>
      <c r="RIX50" s="12"/>
      <c r="RIZ50" s="34"/>
      <c r="RJA50" s="39"/>
      <c r="RJB50" s="41"/>
      <c r="RJE50" s="32"/>
      <c r="RJG50" s="12"/>
      <c r="RJI50" s="34"/>
      <c r="RJJ50" s="39"/>
      <c r="RJK50" s="41"/>
      <c r="RJN50" s="32"/>
      <c r="RJP50" s="12"/>
      <c r="RJR50" s="34"/>
      <c r="RJS50" s="39"/>
      <c r="RJT50" s="41"/>
      <c r="RJW50" s="32"/>
      <c r="RJY50" s="12"/>
      <c r="RKA50" s="34"/>
      <c r="RKB50" s="39"/>
      <c r="RKC50" s="41"/>
      <c r="RKF50" s="32"/>
      <c r="RKH50" s="12"/>
      <c r="RKJ50" s="34"/>
      <c r="RKK50" s="39"/>
      <c r="RKL50" s="41"/>
      <c r="RKO50" s="32"/>
      <c r="RKQ50" s="12"/>
      <c r="RKS50" s="34"/>
      <c r="RKT50" s="39"/>
      <c r="RKU50" s="41"/>
      <c r="RKX50" s="32"/>
      <c r="RKZ50" s="12"/>
      <c r="RLB50" s="34"/>
      <c r="RLC50" s="39"/>
      <c r="RLD50" s="41"/>
      <c r="RLG50" s="32"/>
      <c r="RLI50" s="12"/>
      <c r="RLK50" s="34"/>
      <c r="RLL50" s="39"/>
      <c r="RLM50" s="41"/>
      <c r="RLP50" s="32"/>
      <c r="RLR50" s="12"/>
      <c r="RLT50" s="34"/>
      <c r="RLU50" s="39"/>
      <c r="RLV50" s="41"/>
      <c r="RLY50" s="32"/>
      <c r="RMA50" s="12"/>
      <c r="RMC50" s="34"/>
      <c r="RMD50" s="39"/>
      <c r="RME50" s="41"/>
      <c r="RMH50" s="32"/>
      <c r="RMJ50" s="12"/>
      <c r="RML50" s="34"/>
      <c r="RMM50" s="39"/>
      <c r="RMN50" s="41"/>
      <c r="RMQ50" s="32"/>
      <c r="RMS50" s="12"/>
      <c r="RMU50" s="34"/>
      <c r="RMV50" s="39"/>
      <c r="RMW50" s="41"/>
      <c r="RMZ50" s="32"/>
      <c r="RNB50" s="12"/>
      <c r="RND50" s="34"/>
      <c r="RNE50" s="39"/>
      <c r="RNF50" s="41"/>
      <c r="RNI50" s="32"/>
      <c r="RNK50" s="12"/>
      <c r="RNM50" s="34"/>
      <c r="RNN50" s="39"/>
      <c r="RNO50" s="41"/>
      <c r="RNR50" s="32"/>
      <c r="RNT50" s="12"/>
      <c r="RNV50" s="34"/>
      <c r="RNW50" s="39"/>
      <c r="RNX50" s="41"/>
      <c r="ROA50" s="32"/>
      <c r="ROC50" s="12"/>
      <c r="ROE50" s="34"/>
      <c r="ROF50" s="39"/>
      <c r="ROG50" s="41"/>
      <c r="ROJ50" s="32"/>
      <c r="ROL50" s="12"/>
      <c r="RON50" s="34"/>
      <c r="ROO50" s="39"/>
      <c r="ROP50" s="41"/>
      <c r="ROS50" s="32"/>
      <c r="ROU50" s="12"/>
      <c r="ROW50" s="34"/>
      <c r="ROX50" s="39"/>
      <c r="ROY50" s="41"/>
      <c r="RPB50" s="32"/>
      <c r="RPD50" s="12"/>
      <c r="RPF50" s="34"/>
      <c r="RPG50" s="39"/>
      <c r="RPH50" s="41"/>
      <c r="RPK50" s="32"/>
      <c r="RPM50" s="12"/>
      <c r="RPO50" s="34"/>
      <c r="RPP50" s="39"/>
      <c r="RPQ50" s="41"/>
      <c r="RPT50" s="32"/>
      <c r="RPV50" s="12"/>
      <c r="RPX50" s="34"/>
      <c r="RPY50" s="39"/>
      <c r="RPZ50" s="41"/>
      <c r="RQC50" s="32"/>
      <c r="RQE50" s="12"/>
      <c r="RQG50" s="34"/>
      <c r="RQH50" s="39"/>
      <c r="RQI50" s="41"/>
      <c r="RQL50" s="32"/>
      <c r="RQN50" s="12"/>
      <c r="RQP50" s="34"/>
      <c r="RQQ50" s="39"/>
      <c r="RQR50" s="41"/>
      <c r="RQU50" s="32"/>
      <c r="RQW50" s="12"/>
      <c r="RQY50" s="34"/>
      <c r="RQZ50" s="39"/>
      <c r="RRA50" s="41"/>
      <c r="RRD50" s="32"/>
      <c r="RRF50" s="12"/>
      <c r="RRH50" s="34"/>
      <c r="RRI50" s="39"/>
      <c r="RRJ50" s="41"/>
      <c r="RRM50" s="32"/>
      <c r="RRO50" s="12"/>
      <c r="RRQ50" s="34"/>
      <c r="RRR50" s="39"/>
      <c r="RRS50" s="41"/>
      <c r="RRV50" s="32"/>
      <c r="RRX50" s="12"/>
      <c r="RRZ50" s="34"/>
      <c r="RSA50" s="39"/>
      <c r="RSB50" s="41"/>
      <c r="RSE50" s="32"/>
      <c r="RSG50" s="12"/>
      <c r="RSI50" s="34"/>
      <c r="RSJ50" s="39"/>
      <c r="RSK50" s="41"/>
      <c r="RSN50" s="32"/>
      <c r="RSP50" s="12"/>
      <c r="RSR50" s="34"/>
      <c r="RSS50" s="39"/>
      <c r="RST50" s="41"/>
      <c r="RSW50" s="32"/>
      <c r="RSY50" s="12"/>
      <c r="RTA50" s="34"/>
      <c r="RTB50" s="39"/>
      <c r="RTC50" s="41"/>
      <c r="RTF50" s="32"/>
      <c r="RTH50" s="12"/>
      <c r="RTJ50" s="34"/>
      <c r="RTK50" s="39"/>
      <c r="RTL50" s="41"/>
      <c r="RTO50" s="32"/>
      <c r="RTQ50" s="12"/>
      <c r="RTS50" s="34"/>
      <c r="RTT50" s="39"/>
      <c r="RTU50" s="41"/>
      <c r="RTX50" s="32"/>
      <c r="RTZ50" s="12"/>
      <c r="RUB50" s="34"/>
      <c r="RUC50" s="39"/>
      <c r="RUD50" s="41"/>
      <c r="RUG50" s="32"/>
      <c r="RUI50" s="12"/>
      <c r="RUK50" s="34"/>
      <c r="RUL50" s="39"/>
      <c r="RUM50" s="41"/>
      <c r="RUP50" s="32"/>
      <c r="RUR50" s="12"/>
      <c r="RUT50" s="34"/>
      <c r="RUU50" s="39"/>
      <c r="RUV50" s="41"/>
      <c r="RUY50" s="32"/>
      <c r="RVA50" s="12"/>
      <c r="RVC50" s="34"/>
      <c r="RVD50" s="39"/>
      <c r="RVE50" s="41"/>
      <c r="RVH50" s="32"/>
      <c r="RVJ50" s="12"/>
      <c r="RVL50" s="34"/>
      <c r="RVM50" s="39"/>
      <c r="RVN50" s="41"/>
      <c r="RVQ50" s="32"/>
      <c r="RVS50" s="12"/>
      <c r="RVU50" s="34"/>
      <c r="RVV50" s="39"/>
      <c r="RVW50" s="41"/>
      <c r="RVZ50" s="32"/>
      <c r="RWB50" s="12"/>
      <c r="RWD50" s="34"/>
      <c r="RWE50" s="39"/>
      <c r="RWF50" s="41"/>
      <c r="RWI50" s="32"/>
      <c r="RWK50" s="12"/>
      <c r="RWM50" s="34"/>
      <c r="RWN50" s="39"/>
      <c r="RWO50" s="41"/>
      <c r="RWR50" s="32"/>
      <c r="RWT50" s="12"/>
      <c r="RWV50" s="34"/>
      <c r="RWW50" s="39"/>
      <c r="RWX50" s="41"/>
      <c r="RXA50" s="32"/>
      <c r="RXC50" s="12"/>
      <c r="RXE50" s="34"/>
      <c r="RXF50" s="39"/>
      <c r="RXG50" s="41"/>
      <c r="RXJ50" s="32"/>
      <c r="RXL50" s="12"/>
      <c r="RXN50" s="34"/>
      <c r="RXO50" s="39"/>
      <c r="RXP50" s="41"/>
      <c r="RXS50" s="32"/>
      <c r="RXU50" s="12"/>
      <c r="RXW50" s="34"/>
      <c r="RXX50" s="39"/>
      <c r="RXY50" s="41"/>
      <c r="RYB50" s="32"/>
      <c r="RYD50" s="12"/>
      <c r="RYF50" s="34"/>
      <c r="RYG50" s="39"/>
      <c r="RYH50" s="41"/>
      <c r="RYK50" s="32"/>
      <c r="RYM50" s="12"/>
      <c r="RYO50" s="34"/>
      <c r="RYP50" s="39"/>
      <c r="RYQ50" s="41"/>
      <c r="RYT50" s="32"/>
      <c r="RYV50" s="12"/>
      <c r="RYX50" s="34"/>
      <c r="RYY50" s="39"/>
      <c r="RYZ50" s="41"/>
      <c r="RZC50" s="32"/>
      <c r="RZE50" s="12"/>
      <c r="RZG50" s="34"/>
      <c r="RZH50" s="39"/>
      <c r="RZI50" s="41"/>
      <c r="RZL50" s="32"/>
      <c r="RZN50" s="12"/>
      <c r="RZP50" s="34"/>
      <c r="RZQ50" s="39"/>
      <c r="RZR50" s="41"/>
      <c r="RZU50" s="32"/>
      <c r="RZW50" s="12"/>
      <c r="RZY50" s="34"/>
      <c r="RZZ50" s="39"/>
      <c r="SAA50" s="41"/>
      <c r="SAD50" s="32"/>
      <c r="SAF50" s="12"/>
      <c r="SAH50" s="34"/>
      <c r="SAI50" s="39"/>
      <c r="SAJ50" s="41"/>
      <c r="SAM50" s="32"/>
      <c r="SAO50" s="12"/>
      <c r="SAQ50" s="34"/>
      <c r="SAR50" s="39"/>
      <c r="SAS50" s="41"/>
      <c r="SAV50" s="32"/>
      <c r="SAX50" s="12"/>
      <c r="SAZ50" s="34"/>
      <c r="SBA50" s="39"/>
      <c r="SBB50" s="41"/>
      <c r="SBE50" s="32"/>
      <c r="SBG50" s="12"/>
      <c r="SBI50" s="34"/>
      <c r="SBJ50" s="39"/>
      <c r="SBK50" s="41"/>
      <c r="SBN50" s="32"/>
      <c r="SBP50" s="12"/>
      <c r="SBR50" s="34"/>
      <c r="SBS50" s="39"/>
      <c r="SBT50" s="41"/>
      <c r="SBW50" s="32"/>
      <c r="SBY50" s="12"/>
      <c r="SCA50" s="34"/>
      <c r="SCB50" s="39"/>
      <c r="SCC50" s="41"/>
      <c r="SCF50" s="32"/>
      <c r="SCH50" s="12"/>
      <c r="SCJ50" s="34"/>
      <c r="SCK50" s="39"/>
      <c r="SCL50" s="41"/>
      <c r="SCO50" s="32"/>
      <c r="SCQ50" s="12"/>
      <c r="SCS50" s="34"/>
      <c r="SCT50" s="39"/>
      <c r="SCU50" s="41"/>
      <c r="SCX50" s="32"/>
      <c r="SCZ50" s="12"/>
      <c r="SDB50" s="34"/>
      <c r="SDC50" s="39"/>
      <c r="SDD50" s="41"/>
      <c r="SDG50" s="32"/>
      <c r="SDI50" s="12"/>
      <c r="SDK50" s="34"/>
      <c r="SDL50" s="39"/>
      <c r="SDM50" s="41"/>
      <c r="SDP50" s="32"/>
      <c r="SDR50" s="12"/>
      <c r="SDT50" s="34"/>
      <c r="SDU50" s="39"/>
      <c r="SDV50" s="41"/>
      <c r="SDY50" s="32"/>
      <c r="SEA50" s="12"/>
      <c r="SEC50" s="34"/>
      <c r="SED50" s="39"/>
      <c r="SEE50" s="41"/>
      <c r="SEH50" s="32"/>
      <c r="SEJ50" s="12"/>
      <c r="SEL50" s="34"/>
      <c r="SEM50" s="39"/>
      <c r="SEN50" s="41"/>
      <c r="SEQ50" s="32"/>
      <c r="SES50" s="12"/>
      <c r="SEU50" s="34"/>
      <c r="SEV50" s="39"/>
      <c r="SEW50" s="41"/>
      <c r="SEZ50" s="32"/>
      <c r="SFB50" s="12"/>
      <c r="SFD50" s="34"/>
      <c r="SFE50" s="39"/>
      <c r="SFF50" s="41"/>
      <c r="SFI50" s="32"/>
      <c r="SFK50" s="12"/>
      <c r="SFM50" s="34"/>
      <c r="SFN50" s="39"/>
      <c r="SFO50" s="41"/>
      <c r="SFR50" s="32"/>
      <c r="SFT50" s="12"/>
      <c r="SFV50" s="34"/>
      <c r="SFW50" s="39"/>
      <c r="SFX50" s="41"/>
      <c r="SGA50" s="32"/>
      <c r="SGC50" s="12"/>
      <c r="SGE50" s="34"/>
      <c r="SGF50" s="39"/>
      <c r="SGG50" s="41"/>
      <c r="SGJ50" s="32"/>
      <c r="SGL50" s="12"/>
      <c r="SGN50" s="34"/>
      <c r="SGO50" s="39"/>
      <c r="SGP50" s="41"/>
      <c r="SGS50" s="32"/>
      <c r="SGU50" s="12"/>
      <c r="SGW50" s="34"/>
      <c r="SGX50" s="39"/>
      <c r="SGY50" s="41"/>
      <c r="SHB50" s="32"/>
      <c r="SHD50" s="12"/>
      <c r="SHF50" s="34"/>
      <c r="SHG50" s="39"/>
      <c r="SHH50" s="41"/>
      <c r="SHK50" s="32"/>
      <c r="SHM50" s="12"/>
      <c r="SHO50" s="34"/>
      <c r="SHP50" s="39"/>
      <c r="SHQ50" s="41"/>
      <c r="SHT50" s="32"/>
      <c r="SHV50" s="12"/>
      <c r="SHX50" s="34"/>
      <c r="SHY50" s="39"/>
      <c r="SHZ50" s="41"/>
      <c r="SIC50" s="32"/>
      <c r="SIE50" s="12"/>
      <c r="SIG50" s="34"/>
      <c r="SIH50" s="39"/>
      <c r="SII50" s="41"/>
      <c r="SIL50" s="32"/>
      <c r="SIN50" s="12"/>
      <c r="SIP50" s="34"/>
      <c r="SIQ50" s="39"/>
      <c r="SIR50" s="41"/>
      <c r="SIU50" s="32"/>
      <c r="SIW50" s="12"/>
      <c r="SIY50" s="34"/>
      <c r="SIZ50" s="39"/>
      <c r="SJA50" s="41"/>
      <c r="SJD50" s="32"/>
      <c r="SJF50" s="12"/>
      <c r="SJH50" s="34"/>
      <c r="SJI50" s="39"/>
      <c r="SJJ50" s="41"/>
      <c r="SJM50" s="32"/>
      <c r="SJO50" s="12"/>
      <c r="SJQ50" s="34"/>
      <c r="SJR50" s="39"/>
      <c r="SJS50" s="41"/>
      <c r="SJV50" s="32"/>
      <c r="SJX50" s="12"/>
      <c r="SJZ50" s="34"/>
      <c r="SKA50" s="39"/>
      <c r="SKB50" s="41"/>
      <c r="SKE50" s="32"/>
      <c r="SKG50" s="12"/>
      <c r="SKI50" s="34"/>
      <c r="SKJ50" s="39"/>
      <c r="SKK50" s="41"/>
      <c r="SKN50" s="32"/>
      <c r="SKP50" s="12"/>
      <c r="SKR50" s="34"/>
      <c r="SKS50" s="39"/>
      <c r="SKT50" s="41"/>
      <c r="SKW50" s="32"/>
      <c r="SKY50" s="12"/>
      <c r="SLA50" s="34"/>
      <c r="SLB50" s="39"/>
      <c r="SLC50" s="41"/>
      <c r="SLF50" s="32"/>
      <c r="SLH50" s="12"/>
      <c r="SLJ50" s="34"/>
      <c r="SLK50" s="39"/>
      <c r="SLL50" s="41"/>
      <c r="SLO50" s="32"/>
      <c r="SLQ50" s="12"/>
      <c r="SLS50" s="34"/>
      <c r="SLT50" s="39"/>
      <c r="SLU50" s="41"/>
      <c r="SLX50" s="32"/>
      <c r="SLZ50" s="12"/>
      <c r="SMB50" s="34"/>
      <c r="SMC50" s="39"/>
      <c r="SMD50" s="41"/>
      <c r="SMG50" s="32"/>
      <c r="SMI50" s="12"/>
      <c r="SMK50" s="34"/>
      <c r="SML50" s="39"/>
      <c r="SMM50" s="41"/>
      <c r="SMP50" s="32"/>
      <c r="SMR50" s="12"/>
      <c r="SMT50" s="34"/>
      <c r="SMU50" s="39"/>
      <c r="SMV50" s="41"/>
      <c r="SMY50" s="32"/>
      <c r="SNA50" s="12"/>
      <c r="SNC50" s="34"/>
      <c r="SND50" s="39"/>
      <c r="SNE50" s="41"/>
      <c r="SNH50" s="32"/>
      <c r="SNJ50" s="12"/>
      <c r="SNL50" s="34"/>
      <c r="SNM50" s="39"/>
      <c r="SNN50" s="41"/>
      <c r="SNQ50" s="32"/>
      <c r="SNS50" s="12"/>
      <c r="SNU50" s="34"/>
      <c r="SNV50" s="39"/>
      <c r="SNW50" s="41"/>
      <c r="SNZ50" s="32"/>
      <c r="SOB50" s="12"/>
      <c r="SOD50" s="34"/>
      <c r="SOE50" s="39"/>
      <c r="SOF50" s="41"/>
      <c r="SOI50" s="32"/>
      <c r="SOK50" s="12"/>
      <c r="SOM50" s="34"/>
      <c r="SON50" s="39"/>
      <c r="SOO50" s="41"/>
      <c r="SOR50" s="32"/>
      <c r="SOT50" s="12"/>
      <c r="SOV50" s="34"/>
      <c r="SOW50" s="39"/>
      <c r="SOX50" s="41"/>
      <c r="SPA50" s="32"/>
      <c r="SPC50" s="12"/>
      <c r="SPE50" s="34"/>
      <c r="SPF50" s="39"/>
      <c r="SPG50" s="41"/>
      <c r="SPJ50" s="32"/>
      <c r="SPL50" s="12"/>
      <c r="SPN50" s="34"/>
      <c r="SPO50" s="39"/>
      <c r="SPP50" s="41"/>
      <c r="SPS50" s="32"/>
      <c r="SPU50" s="12"/>
      <c r="SPW50" s="34"/>
      <c r="SPX50" s="39"/>
      <c r="SPY50" s="41"/>
      <c r="SQB50" s="32"/>
      <c r="SQD50" s="12"/>
      <c r="SQF50" s="34"/>
      <c r="SQG50" s="39"/>
      <c r="SQH50" s="41"/>
      <c r="SQK50" s="32"/>
      <c r="SQM50" s="12"/>
      <c r="SQO50" s="34"/>
      <c r="SQP50" s="39"/>
      <c r="SQQ50" s="41"/>
      <c r="SQT50" s="32"/>
      <c r="SQV50" s="12"/>
      <c r="SQX50" s="34"/>
      <c r="SQY50" s="39"/>
      <c r="SQZ50" s="41"/>
      <c r="SRC50" s="32"/>
      <c r="SRE50" s="12"/>
      <c r="SRG50" s="34"/>
      <c r="SRH50" s="39"/>
      <c r="SRI50" s="41"/>
      <c r="SRL50" s="32"/>
      <c r="SRN50" s="12"/>
      <c r="SRP50" s="34"/>
      <c r="SRQ50" s="39"/>
      <c r="SRR50" s="41"/>
      <c r="SRU50" s="32"/>
      <c r="SRW50" s="12"/>
      <c r="SRY50" s="34"/>
      <c r="SRZ50" s="39"/>
      <c r="SSA50" s="41"/>
      <c r="SSD50" s="32"/>
      <c r="SSF50" s="12"/>
      <c r="SSH50" s="34"/>
      <c r="SSI50" s="39"/>
      <c r="SSJ50" s="41"/>
      <c r="SSM50" s="32"/>
      <c r="SSO50" s="12"/>
      <c r="SSQ50" s="34"/>
      <c r="SSR50" s="39"/>
      <c r="SSS50" s="41"/>
      <c r="SSV50" s="32"/>
      <c r="SSX50" s="12"/>
      <c r="SSZ50" s="34"/>
      <c r="STA50" s="39"/>
      <c r="STB50" s="41"/>
      <c r="STE50" s="32"/>
      <c r="STG50" s="12"/>
      <c r="STI50" s="34"/>
      <c r="STJ50" s="39"/>
      <c r="STK50" s="41"/>
      <c r="STN50" s="32"/>
      <c r="STP50" s="12"/>
      <c r="STR50" s="34"/>
      <c r="STS50" s="39"/>
      <c r="STT50" s="41"/>
      <c r="STW50" s="32"/>
      <c r="STY50" s="12"/>
      <c r="SUA50" s="34"/>
      <c r="SUB50" s="39"/>
      <c r="SUC50" s="41"/>
      <c r="SUF50" s="32"/>
      <c r="SUH50" s="12"/>
      <c r="SUJ50" s="34"/>
      <c r="SUK50" s="39"/>
      <c r="SUL50" s="41"/>
      <c r="SUO50" s="32"/>
      <c r="SUQ50" s="12"/>
      <c r="SUS50" s="34"/>
      <c r="SUT50" s="39"/>
      <c r="SUU50" s="41"/>
      <c r="SUX50" s="32"/>
      <c r="SUZ50" s="12"/>
      <c r="SVB50" s="34"/>
      <c r="SVC50" s="39"/>
      <c r="SVD50" s="41"/>
      <c r="SVG50" s="32"/>
      <c r="SVI50" s="12"/>
      <c r="SVK50" s="34"/>
      <c r="SVL50" s="39"/>
      <c r="SVM50" s="41"/>
      <c r="SVP50" s="32"/>
      <c r="SVR50" s="12"/>
      <c r="SVT50" s="34"/>
      <c r="SVU50" s="39"/>
      <c r="SVV50" s="41"/>
      <c r="SVY50" s="32"/>
      <c r="SWA50" s="12"/>
      <c r="SWC50" s="34"/>
      <c r="SWD50" s="39"/>
      <c r="SWE50" s="41"/>
      <c r="SWH50" s="32"/>
      <c r="SWJ50" s="12"/>
      <c r="SWL50" s="34"/>
      <c r="SWM50" s="39"/>
      <c r="SWN50" s="41"/>
      <c r="SWQ50" s="32"/>
      <c r="SWS50" s="12"/>
      <c r="SWU50" s="34"/>
      <c r="SWV50" s="39"/>
      <c r="SWW50" s="41"/>
      <c r="SWZ50" s="32"/>
      <c r="SXB50" s="12"/>
      <c r="SXD50" s="34"/>
      <c r="SXE50" s="39"/>
      <c r="SXF50" s="41"/>
      <c r="SXI50" s="32"/>
      <c r="SXK50" s="12"/>
      <c r="SXM50" s="34"/>
      <c r="SXN50" s="39"/>
      <c r="SXO50" s="41"/>
      <c r="SXR50" s="32"/>
      <c r="SXT50" s="12"/>
      <c r="SXV50" s="34"/>
      <c r="SXW50" s="39"/>
      <c r="SXX50" s="41"/>
      <c r="SYA50" s="32"/>
      <c r="SYC50" s="12"/>
      <c r="SYE50" s="34"/>
      <c r="SYF50" s="39"/>
      <c r="SYG50" s="41"/>
      <c r="SYJ50" s="32"/>
      <c r="SYL50" s="12"/>
      <c r="SYN50" s="34"/>
      <c r="SYO50" s="39"/>
      <c r="SYP50" s="41"/>
      <c r="SYS50" s="32"/>
      <c r="SYU50" s="12"/>
      <c r="SYW50" s="34"/>
      <c r="SYX50" s="39"/>
      <c r="SYY50" s="41"/>
      <c r="SZB50" s="32"/>
      <c r="SZD50" s="12"/>
      <c r="SZF50" s="34"/>
      <c r="SZG50" s="39"/>
      <c r="SZH50" s="41"/>
      <c r="SZK50" s="32"/>
      <c r="SZM50" s="12"/>
      <c r="SZO50" s="34"/>
      <c r="SZP50" s="39"/>
      <c r="SZQ50" s="41"/>
      <c r="SZT50" s="32"/>
      <c r="SZV50" s="12"/>
      <c r="SZX50" s="34"/>
      <c r="SZY50" s="39"/>
      <c r="SZZ50" s="41"/>
      <c r="TAC50" s="32"/>
      <c r="TAE50" s="12"/>
      <c r="TAG50" s="34"/>
      <c r="TAH50" s="39"/>
      <c r="TAI50" s="41"/>
      <c r="TAL50" s="32"/>
      <c r="TAN50" s="12"/>
      <c r="TAP50" s="34"/>
      <c r="TAQ50" s="39"/>
      <c r="TAR50" s="41"/>
      <c r="TAU50" s="32"/>
      <c r="TAW50" s="12"/>
      <c r="TAY50" s="34"/>
      <c r="TAZ50" s="39"/>
      <c r="TBA50" s="41"/>
      <c r="TBD50" s="32"/>
      <c r="TBF50" s="12"/>
      <c r="TBH50" s="34"/>
      <c r="TBI50" s="39"/>
      <c r="TBJ50" s="41"/>
      <c r="TBM50" s="32"/>
      <c r="TBO50" s="12"/>
      <c r="TBQ50" s="34"/>
      <c r="TBR50" s="39"/>
      <c r="TBS50" s="41"/>
      <c r="TBV50" s="32"/>
      <c r="TBX50" s="12"/>
      <c r="TBZ50" s="34"/>
      <c r="TCA50" s="39"/>
      <c r="TCB50" s="41"/>
      <c r="TCE50" s="32"/>
      <c r="TCG50" s="12"/>
      <c r="TCI50" s="34"/>
      <c r="TCJ50" s="39"/>
      <c r="TCK50" s="41"/>
      <c r="TCN50" s="32"/>
      <c r="TCP50" s="12"/>
      <c r="TCR50" s="34"/>
      <c r="TCS50" s="39"/>
      <c r="TCT50" s="41"/>
      <c r="TCW50" s="32"/>
      <c r="TCY50" s="12"/>
      <c r="TDA50" s="34"/>
      <c r="TDB50" s="39"/>
      <c r="TDC50" s="41"/>
      <c r="TDF50" s="32"/>
      <c r="TDH50" s="12"/>
      <c r="TDJ50" s="34"/>
      <c r="TDK50" s="39"/>
      <c r="TDL50" s="41"/>
      <c r="TDO50" s="32"/>
      <c r="TDQ50" s="12"/>
      <c r="TDS50" s="34"/>
      <c r="TDT50" s="39"/>
      <c r="TDU50" s="41"/>
      <c r="TDX50" s="32"/>
      <c r="TDZ50" s="12"/>
      <c r="TEB50" s="34"/>
      <c r="TEC50" s="39"/>
      <c r="TED50" s="41"/>
      <c r="TEG50" s="32"/>
      <c r="TEI50" s="12"/>
      <c r="TEK50" s="34"/>
      <c r="TEL50" s="39"/>
      <c r="TEM50" s="41"/>
      <c r="TEP50" s="32"/>
      <c r="TER50" s="12"/>
      <c r="TET50" s="34"/>
      <c r="TEU50" s="39"/>
      <c r="TEV50" s="41"/>
      <c r="TEY50" s="32"/>
      <c r="TFA50" s="12"/>
      <c r="TFC50" s="34"/>
      <c r="TFD50" s="39"/>
      <c r="TFE50" s="41"/>
      <c r="TFH50" s="32"/>
      <c r="TFJ50" s="12"/>
      <c r="TFL50" s="34"/>
      <c r="TFM50" s="39"/>
      <c r="TFN50" s="41"/>
      <c r="TFQ50" s="32"/>
      <c r="TFS50" s="12"/>
      <c r="TFU50" s="34"/>
      <c r="TFV50" s="39"/>
      <c r="TFW50" s="41"/>
      <c r="TFZ50" s="32"/>
      <c r="TGB50" s="12"/>
      <c r="TGD50" s="34"/>
      <c r="TGE50" s="39"/>
      <c r="TGF50" s="41"/>
      <c r="TGI50" s="32"/>
      <c r="TGK50" s="12"/>
      <c r="TGM50" s="34"/>
      <c r="TGN50" s="39"/>
      <c r="TGO50" s="41"/>
      <c r="TGR50" s="32"/>
      <c r="TGT50" s="12"/>
      <c r="TGV50" s="34"/>
      <c r="TGW50" s="39"/>
      <c r="TGX50" s="41"/>
      <c r="THA50" s="32"/>
      <c r="THC50" s="12"/>
      <c r="THE50" s="34"/>
      <c r="THF50" s="39"/>
      <c r="THG50" s="41"/>
      <c r="THJ50" s="32"/>
      <c r="THL50" s="12"/>
      <c r="THN50" s="34"/>
      <c r="THO50" s="39"/>
      <c r="THP50" s="41"/>
      <c r="THS50" s="32"/>
      <c r="THU50" s="12"/>
      <c r="THW50" s="34"/>
      <c r="THX50" s="39"/>
      <c r="THY50" s="41"/>
      <c r="TIB50" s="32"/>
      <c r="TID50" s="12"/>
      <c r="TIF50" s="34"/>
      <c r="TIG50" s="39"/>
      <c r="TIH50" s="41"/>
      <c r="TIK50" s="32"/>
      <c r="TIM50" s="12"/>
      <c r="TIO50" s="34"/>
      <c r="TIP50" s="39"/>
      <c r="TIQ50" s="41"/>
      <c r="TIT50" s="32"/>
      <c r="TIV50" s="12"/>
      <c r="TIX50" s="34"/>
      <c r="TIY50" s="39"/>
      <c r="TIZ50" s="41"/>
      <c r="TJC50" s="32"/>
      <c r="TJE50" s="12"/>
      <c r="TJG50" s="34"/>
      <c r="TJH50" s="39"/>
      <c r="TJI50" s="41"/>
      <c r="TJL50" s="32"/>
      <c r="TJN50" s="12"/>
      <c r="TJP50" s="34"/>
      <c r="TJQ50" s="39"/>
      <c r="TJR50" s="41"/>
      <c r="TJU50" s="32"/>
      <c r="TJW50" s="12"/>
      <c r="TJY50" s="34"/>
      <c r="TJZ50" s="39"/>
      <c r="TKA50" s="41"/>
      <c r="TKD50" s="32"/>
      <c r="TKF50" s="12"/>
      <c r="TKH50" s="34"/>
      <c r="TKI50" s="39"/>
      <c r="TKJ50" s="41"/>
      <c r="TKM50" s="32"/>
      <c r="TKO50" s="12"/>
      <c r="TKQ50" s="34"/>
      <c r="TKR50" s="39"/>
      <c r="TKS50" s="41"/>
      <c r="TKV50" s="32"/>
      <c r="TKX50" s="12"/>
      <c r="TKZ50" s="34"/>
      <c r="TLA50" s="39"/>
      <c r="TLB50" s="41"/>
      <c r="TLE50" s="32"/>
      <c r="TLG50" s="12"/>
      <c r="TLI50" s="34"/>
      <c r="TLJ50" s="39"/>
      <c r="TLK50" s="41"/>
      <c r="TLN50" s="32"/>
      <c r="TLP50" s="12"/>
      <c r="TLR50" s="34"/>
      <c r="TLS50" s="39"/>
      <c r="TLT50" s="41"/>
      <c r="TLW50" s="32"/>
      <c r="TLY50" s="12"/>
      <c r="TMA50" s="34"/>
      <c r="TMB50" s="39"/>
      <c r="TMC50" s="41"/>
      <c r="TMF50" s="32"/>
      <c r="TMH50" s="12"/>
      <c r="TMJ50" s="34"/>
      <c r="TMK50" s="39"/>
      <c r="TML50" s="41"/>
      <c r="TMO50" s="32"/>
      <c r="TMQ50" s="12"/>
      <c r="TMS50" s="34"/>
      <c r="TMT50" s="39"/>
      <c r="TMU50" s="41"/>
      <c r="TMX50" s="32"/>
      <c r="TMZ50" s="12"/>
      <c r="TNB50" s="34"/>
      <c r="TNC50" s="39"/>
      <c r="TND50" s="41"/>
      <c r="TNG50" s="32"/>
      <c r="TNI50" s="12"/>
      <c r="TNK50" s="34"/>
      <c r="TNL50" s="39"/>
      <c r="TNM50" s="41"/>
      <c r="TNP50" s="32"/>
      <c r="TNR50" s="12"/>
      <c r="TNT50" s="34"/>
      <c r="TNU50" s="39"/>
      <c r="TNV50" s="41"/>
      <c r="TNY50" s="32"/>
      <c r="TOA50" s="12"/>
      <c r="TOC50" s="34"/>
      <c r="TOD50" s="39"/>
      <c r="TOE50" s="41"/>
      <c r="TOH50" s="32"/>
      <c r="TOJ50" s="12"/>
      <c r="TOL50" s="34"/>
      <c r="TOM50" s="39"/>
      <c r="TON50" s="41"/>
      <c r="TOQ50" s="32"/>
      <c r="TOS50" s="12"/>
      <c r="TOU50" s="34"/>
      <c r="TOV50" s="39"/>
      <c r="TOW50" s="41"/>
      <c r="TOZ50" s="32"/>
      <c r="TPB50" s="12"/>
      <c r="TPD50" s="34"/>
      <c r="TPE50" s="39"/>
      <c r="TPF50" s="41"/>
      <c r="TPI50" s="32"/>
      <c r="TPK50" s="12"/>
      <c r="TPM50" s="34"/>
      <c r="TPN50" s="39"/>
      <c r="TPO50" s="41"/>
      <c r="TPR50" s="32"/>
      <c r="TPT50" s="12"/>
      <c r="TPV50" s="34"/>
      <c r="TPW50" s="39"/>
      <c r="TPX50" s="41"/>
      <c r="TQA50" s="32"/>
      <c r="TQC50" s="12"/>
      <c r="TQE50" s="34"/>
      <c r="TQF50" s="39"/>
      <c r="TQG50" s="41"/>
      <c r="TQJ50" s="32"/>
      <c r="TQL50" s="12"/>
      <c r="TQN50" s="34"/>
      <c r="TQO50" s="39"/>
      <c r="TQP50" s="41"/>
      <c r="TQS50" s="32"/>
      <c r="TQU50" s="12"/>
      <c r="TQW50" s="34"/>
      <c r="TQX50" s="39"/>
      <c r="TQY50" s="41"/>
      <c r="TRB50" s="32"/>
      <c r="TRD50" s="12"/>
      <c r="TRF50" s="34"/>
      <c r="TRG50" s="39"/>
      <c r="TRH50" s="41"/>
      <c r="TRK50" s="32"/>
      <c r="TRM50" s="12"/>
      <c r="TRO50" s="34"/>
      <c r="TRP50" s="39"/>
      <c r="TRQ50" s="41"/>
      <c r="TRT50" s="32"/>
      <c r="TRV50" s="12"/>
      <c r="TRX50" s="34"/>
      <c r="TRY50" s="39"/>
      <c r="TRZ50" s="41"/>
      <c r="TSC50" s="32"/>
      <c r="TSE50" s="12"/>
      <c r="TSG50" s="34"/>
      <c r="TSH50" s="39"/>
      <c r="TSI50" s="41"/>
      <c r="TSL50" s="32"/>
      <c r="TSN50" s="12"/>
      <c r="TSP50" s="34"/>
      <c r="TSQ50" s="39"/>
      <c r="TSR50" s="41"/>
      <c r="TSU50" s="32"/>
      <c r="TSW50" s="12"/>
      <c r="TSY50" s="34"/>
      <c r="TSZ50" s="39"/>
      <c r="TTA50" s="41"/>
      <c r="TTD50" s="32"/>
      <c r="TTF50" s="12"/>
      <c r="TTH50" s="34"/>
      <c r="TTI50" s="39"/>
      <c r="TTJ50" s="41"/>
      <c r="TTM50" s="32"/>
      <c r="TTO50" s="12"/>
      <c r="TTQ50" s="34"/>
      <c r="TTR50" s="39"/>
      <c r="TTS50" s="41"/>
      <c r="TTV50" s="32"/>
      <c r="TTX50" s="12"/>
      <c r="TTZ50" s="34"/>
      <c r="TUA50" s="39"/>
      <c r="TUB50" s="41"/>
      <c r="TUE50" s="32"/>
      <c r="TUG50" s="12"/>
      <c r="TUI50" s="34"/>
      <c r="TUJ50" s="39"/>
      <c r="TUK50" s="41"/>
      <c r="TUN50" s="32"/>
      <c r="TUP50" s="12"/>
      <c r="TUR50" s="34"/>
      <c r="TUS50" s="39"/>
      <c r="TUT50" s="41"/>
      <c r="TUW50" s="32"/>
      <c r="TUY50" s="12"/>
      <c r="TVA50" s="34"/>
      <c r="TVB50" s="39"/>
      <c r="TVC50" s="41"/>
      <c r="TVF50" s="32"/>
      <c r="TVH50" s="12"/>
      <c r="TVJ50" s="34"/>
      <c r="TVK50" s="39"/>
      <c r="TVL50" s="41"/>
      <c r="TVO50" s="32"/>
      <c r="TVQ50" s="12"/>
      <c r="TVS50" s="34"/>
      <c r="TVT50" s="39"/>
      <c r="TVU50" s="41"/>
      <c r="TVX50" s="32"/>
      <c r="TVZ50" s="12"/>
      <c r="TWB50" s="34"/>
      <c r="TWC50" s="39"/>
      <c r="TWD50" s="41"/>
      <c r="TWG50" s="32"/>
      <c r="TWI50" s="12"/>
      <c r="TWK50" s="34"/>
      <c r="TWL50" s="39"/>
      <c r="TWM50" s="41"/>
      <c r="TWP50" s="32"/>
      <c r="TWR50" s="12"/>
      <c r="TWT50" s="34"/>
      <c r="TWU50" s="39"/>
      <c r="TWV50" s="41"/>
      <c r="TWY50" s="32"/>
      <c r="TXA50" s="12"/>
      <c r="TXC50" s="34"/>
      <c r="TXD50" s="39"/>
      <c r="TXE50" s="41"/>
      <c r="TXH50" s="32"/>
      <c r="TXJ50" s="12"/>
      <c r="TXL50" s="34"/>
      <c r="TXM50" s="39"/>
      <c r="TXN50" s="41"/>
      <c r="TXQ50" s="32"/>
      <c r="TXS50" s="12"/>
      <c r="TXU50" s="34"/>
      <c r="TXV50" s="39"/>
      <c r="TXW50" s="41"/>
      <c r="TXZ50" s="32"/>
      <c r="TYB50" s="12"/>
      <c r="TYD50" s="34"/>
      <c r="TYE50" s="39"/>
      <c r="TYF50" s="41"/>
      <c r="TYI50" s="32"/>
      <c r="TYK50" s="12"/>
      <c r="TYM50" s="34"/>
      <c r="TYN50" s="39"/>
      <c r="TYO50" s="41"/>
      <c r="TYR50" s="32"/>
      <c r="TYT50" s="12"/>
      <c r="TYV50" s="34"/>
      <c r="TYW50" s="39"/>
      <c r="TYX50" s="41"/>
      <c r="TZA50" s="32"/>
      <c r="TZC50" s="12"/>
      <c r="TZE50" s="34"/>
      <c r="TZF50" s="39"/>
      <c r="TZG50" s="41"/>
      <c r="TZJ50" s="32"/>
      <c r="TZL50" s="12"/>
      <c r="TZN50" s="34"/>
      <c r="TZO50" s="39"/>
      <c r="TZP50" s="41"/>
      <c r="TZS50" s="32"/>
      <c r="TZU50" s="12"/>
      <c r="TZW50" s="34"/>
      <c r="TZX50" s="39"/>
      <c r="TZY50" s="41"/>
      <c r="UAB50" s="32"/>
      <c r="UAD50" s="12"/>
      <c r="UAF50" s="34"/>
      <c r="UAG50" s="39"/>
      <c r="UAH50" s="41"/>
      <c r="UAK50" s="32"/>
      <c r="UAM50" s="12"/>
      <c r="UAO50" s="34"/>
      <c r="UAP50" s="39"/>
      <c r="UAQ50" s="41"/>
      <c r="UAT50" s="32"/>
      <c r="UAV50" s="12"/>
      <c r="UAX50" s="34"/>
      <c r="UAY50" s="39"/>
      <c r="UAZ50" s="41"/>
      <c r="UBC50" s="32"/>
      <c r="UBE50" s="12"/>
      <c r="UBG50" s="34"/>
      <c r="UBH50" s="39"/>
      <c r="UBI50" s="41"/>
      <c r="UBL50" s="32"/>
      <c r="UBN50" s="12"/>
      <c r="UBP50" s="34"/>
      <c r="UBQ50" s="39"/>
      <c r="UBR50" s="41"/>
      <c r="UBU50" s="32"/>
      <c r="UBW50" s="12"/>
      <c r="UBY50" s="34"/>
      <c r="UBZ50" s="39"/>
      <c r="UCA50" s="41"/>
      <c r="UCD50" s="32"/>
      <c r="UCF50" s="12"/>
      <c r="UCH50" s="34"/>
      <c r="UCI50" s="39"/>
      <c r="UCJ50" s="41"/>
      <c r="UCM50" s="32"/>
      <c r="UCO50" s="12"/>
      <c r="UCQ50" s="34"/>
      <c r="UCR50" s="39"/>
      <c r="UCS50" s="41"/>
      <c r="UCV50" s="32"/>
      <c r="UCX50" s="12"/>
      <c r="UCZ50" s="34"/>
      <c r="UDA50" s="39"/>
      <c r="UDB50" s="41"/>
      <c r="UDE50" s="32"/>
      <c r="UDG50" s="12"/>
      <c r="UDI50" s="34"/>
      <c r="UDJ50" s="39"/>
      <c r="UDK50" s="41"/>
      <c r="UDN50" s="32"/>
      <c r="UDP50" s="12"/>
      <c r="UDR50" s="34"/>
      <c r="UDS50" s="39"/>
      <c r="UDT50" s="41"/>
      <c r="UDW50" s="32"/>
      <c r="UDY50" s="12"/>
      <c r="UEA50" s="34"/>
      <c r="UEB50" s="39"/>
      <c r="UEC50" s="41"/>
      <c r="UEF50" s="32"/>
      <c r="UEH50" s="12"/>
      <c r="UEJ50" s="34"/>
      <c r="UEK50" s="39"/>
      <c r="UEL50" s="41"/>
      <c r="UEO50" s="32"/>
      <c r="UEQ50" s="12"/>
      <c r="UES50" s="34"/>
      <c r="UET50" s="39"/>
      <c r="UEU50" s="41"/>
      <c r="UEX50" s="32"/>
      <c r="UEZ50" s="12"/>
      <c r="UFB50" s="34"/>
      <c r="UFC50" s="39"/>
      <c r="UFD50" s="41"/>
      <c r="UFG50" s="32"/>
      <c r="UFI50" s="12"/>
      <c r="UFK50" s="34"/>
      <c r="UFL50" s="39"/>
      <c r="UFM50" s="41"/>
      <c r="UFP50" s="32"/>
      <c r="UFR50" s="12"/>
      <c r="UFT50" s="34"/>
      <c r="UFU50" s="39"/>
      <c r="UFV50" s="41"/>
      <c r="UFY50" s="32"/>
      <c r="UGA50" s="12"/>
      <c r="UGC50" s="34"/>
      <c r="UGD50" s="39"/>
      <c r="UGE50" s="41"/>
      <c r="UGH50" s="32"/>
      <c r="UGJ50" s="12"/>
      <c r="UGL50" s="34"/>
      <c r="UGM50" s="39"/>
      <c r="UGN50" s="41"/>
      <c r="UGQ50" s="32"/>
      <c r="UGS50" s="12"/>
      <c r="UGU50" s="34"/>
      <c r="UGV50" s="39"/>
      <c r="UGW50" s="41"/>
      <c r="UGZ50" s="32"/>
      <c r="UHB50" s="12"/>
      <c r="UHD50" s="34"/>
      <c r="UHE50" s="39"/>
      <c r="UHF50" s="41"/>
      <c r="UHI50" s="32"/>
      <c r="UHK50" s="12"/>
      <c r="UHM50" s="34"/>
      <c r="UHN50" s="39"/>
      <c r="UHO50" s="41"/>
      <c r="UHR50" s="32"/>
      <c r="UHT50" s="12"/>
      <c r="UHV50" s="34"/>
      <c r="UHW50" s="39"/>
      <c r="UHX50" s="41"/>
      <c r="UIA50" s="32"/>
      <c r="UIC50" s="12"/>
      <c r="UIE50" s="34"/>
      <c r="UIF50" s="39"/>
      <c r="UIG50" s="41"/>
      <c r="UIJ50" s="32"/>
      <c r="UIL50" s="12"/>
      <c r="UIN50" s="34"/>
      <c r="UIO50" s="39"/>
      <c r="UIP50" s="41"/>
      <c r="UIS50" s="32"/>
      <c r="UIU50" s="12"/>
      <c r="UIW50" s="34"/>
      <c r="UIX50" s="39"/>
      <c r="UIY50" s="41"/>
      <c r="UJB50" s="32"/>
      <c r="UJD50" s="12"/>
      <c r="UJF50" s="34"/>
      <c r="UJG50" s="39"/>
      <c r="UJH50" s="41"/>
      <c r="UJK50" s="32"/>
      <c r="UJM50" s="12"/>
      <c r="UJO50" s="34"/>
      <c r="UJP50" s="39"/>
      <c r="UJQ50" s="41"/>
      <c r="UJT50" s="32"/>
      <c r="UJV50" s="12"/>
      <c r="UJX50" s="34"/>
      <c r="UJY50" s="39"/>
      <c r="UJZ50" s="41"/>
      <c r="UKC50" s="32"/>
      <c r="UKE50" s="12"/>
      <c r="UKG50" s="34"/>
      <c r="UKH50" s="39"/>
      <c r="UKI50" s="41"/>
      <c r="UKL50" s="32"/>
      <c r="UKN50" s="12"/>
      <c r="UKP50" s="34"/>
      <c r="UKQ50" s="39"/>
      <c r="UKR50" s="41"/>
      <c r="UKU50" s="32"/>
      <c r="UKW50" s="12"/>
      <c r="UKY50" s="34"/>
      <c r="UKZ50" s="39"/>
      <c r="ULA50" s="41"/>
      <c r="ULD50" s="32"/>
      <c r="ULF50" s="12"/>
      <c r="ULH50" s="34"/>
      <c r="ULI50" s="39"/>
      <c r="ULJ50" s="41"/>
      <c r="ULM50" s="32"/>
      <c r="ULO50" s="12"/>
      <c r="ULQ50" s="34"/>
      <c r="ULR50" s="39"/>
      <c r="ULS50" s="41"/>
      <c r="ULV50" s="32"/>
      <c r="ULX50" s="12"/>
      <c r="ULZ50" s="34"/>
      <c r="UMA50" s="39"/>
      <c r="UMB50" s="41"/>
      <c r="UME50" s="32"/>
      <c r="UMG50" s="12"/>
      <c r="UMI50" s="34"/>
      <c r="UMJ50" s="39"/>
      <c r="UMK50" s="41"/>
      <c r="UMN50" s="32"/>
      <c r="UMP50" s="12"/>
      <c r="UMR50" s="34"/>
      <c r="UMS50" s="39"/>
      <c r="UMT50" s="41"/>
      <c r="UMW50" s="32"/>
      <c r="UMY50" s="12"/>
      <c r="UNA50" s="34"/>
      <c r="UNB50" s="39"/>
      <c r="UNC50" s="41"/>
      <c r="UNF50" s="32"/>
      <c r="UNH50" s="12"/>
      <c r="UNJ50" s="34"/>
      <c r="UNK50" s="39"/>
      <c r="UNL50" s="41"/>
      <c r="UNO50" s="32"/>
      <c r="UNQ50" s="12"/>
      <c r="UNS50" s="34"/>
      <c r="UNT50" s="39"/>
      <c r="UNU50" s="41"/>
      <c r="UNX50" s="32"/>
      <c r="UNZ50" s="12"/>
      <c r="UOB50" s="34"/>
      <c r="UOC50" s="39"/>
      <c r="UOD50" s="41"/>
      <c r="UOG50" s="32"/>
      <c r="UOI50" s="12"/>
      <c r="UOK50" s="34"/>
      <c r="UOL50" s="39"/>
      <c r="UOM50" s="41"/>
      <c r="UOP50" s="32"/>
      <c r="UOR50" s="12"/>
      <c r="UOT50" s="34"/>
      <c r="UOU50" s="39"/>
      <c r="UOV50" s="41"/>
      <c r="UOY50" s="32"/>
      <c r="UPA50" s="12"/>
      <c r="UPC50" s="34"/>
      <c r="UPD50" s="39"/>
      <c r="UPE50" s="41"/>
      <c r="UPH50" s="32"/>
      <c r="UPJ50" s="12"/>
      <c r="UPL50" s="34"/>
      <c r="UPM50" s="39"/>
      <c r="UPN50" s="41"/>
      <c r="UPQ50" s="32"/>
      <c r="UPS50" s="12"/>
      <c r="UPU50" s="34"/>
      <c r="UPV50" s="39"/>
      <c r="UPW50" s="41"/>
      <c r="UPZ50" s="32"/>
      <c r="UQB50" s="12"/>
      <c r="UQD50" s="34"/>
      <c r="UQE50" s="39"/>
      <c r="UQF50" s="41"/>
      <c r="UQI50" s="32"/>
      <c r="UQK50" s="12"/>
      <c r="UQM50" s="34"/>
      <c r="UQN50" s="39"/>
      <c r="UQO50" s="41"/>
      <c r="UQR50" s="32"/>
      <c r="UQT50" s="12"/>
      <c r="UQV50" s="34"/>
      <c r="UQW50" s="39"/>
      <c r="UQX50" s="41"/>
      <c r="URA50" s="32"/>
      <c r="URC50" s="12"/>
      <c r="URE50" s="34"/>
      <c r="URF50" s="39"/>
      <c r="URG50" s="41"/>
      <c r="URJ50" s="32"/>
      <c r="URL50" s="12"/>
      <c r="URN50" s="34"/>
      <c r="URO50" s="39"/>
      <c r="URP50" s="41"/>
      <c r="URS50" s="32"/>
      <c r="URU50" s="12"/>
      <c r="URW50" s="34"/>
      <c r="URX50" s="39"/>
      <c r="URY50" s="41"/>
      <c r="USB50" s="32"/>
      <c r="USD50" s="12"/>
      <c r="USF50" s="34"/>
      <c r="USG50" s="39"/>
      <c r="USH50" s="41"/>
      <c r="USK50" s="32"/>
      <c r="USM50" s="12"/>
      <c r="USO50" s="34"/>
      <c r="USP50" s="39"/>
      <c r="USQ50" s="41"/>
      <c r="UST50" s="32"/>
      <c r="USV50" s="12"/>
      <c r="USX50" s="34"/>
      <c r="USY50" s="39"/>
      <c r="USZ50" s="41"/>
      <c r="UTC50" s="32"/>
      <c r="UTE50" s="12"/>
      <c r="UTG50" s="34"/>
      <c r="UTH50" s="39"/>
      <c r="UTI50" s="41"/>
      <c r="UTL50" s="32"/>
      <c r="UTN50" s="12"/>
      <c r="UTP50" s="34"/>
      <c r="UTQ50" s="39"/>
      <c r="UTR50" s="41"/>
      <c r="UTU50" s="32"/>
      <c r="UTW50" s="12"/>
      <c r="UTY50" s="34"/>
      <c r="UTZ50" s="39"/>
      <c r="UUA50" s="41"/>
      <c r="UUD50" s="32"/>
      <c r="UUF50" s="12"/>
      <c r="UUH50" s="34"/>
      <c r="UUI50" s="39"/>
      <c r="UUJ50" s="41"/>
      <c r="UUM50" s="32"/>
      <c r="UUO50" s="12"/>
      <c r="UUQ50" s="34"/>
      <c r="UUR50" s="39"/>
      <c r="UUS50" s="41"/>
      <c r="UUV50" s="32"/>
      <c r="UUX50" s="12"/>
      <c r="UUZ50" s="34"/>
      <c r="UVA50" s="39"/>
      <c r="UVB50" s="41"/>
      <c r="UVE50" s="32"/>
      <c r="UVG50" s="12"/>
      <c r="UVI50" s="34"/>
      <c r="UVJ50" s="39"/>
      <c r="UVK50" s="41"/>
      <c r="UVN50" s="32"/>
      <c r="UVP50" s="12"/>
      <c r="UVR50" s="34"/>
      <c r="UVS50" s="39"/>
      <c r="UVT50" s="41"/>
      <c r="UVW50" s="32"/>
      <c r="UVY50" s="12"/>
      <c r="UWA50" s="34"/>
      <c r="UWB50" s="39"/>
      <c r="UWC50" s="41"/>
      <c r="UWF50" s="32"/>
      <c r="UWH50" s="12"/>
      <c r="UWJ50" s="34"/>
      <c r="UWK50" s="39"/>
      <c r="UWL50" s="41"/>
      <c r="UWO50" s="32"/>
      <c r="UWQ50" s="12"/>
      <c r="UWS50" s="34"/>
      <c r="UWT50" s="39"/>
      <c r="UWU50" s="41"/>
      <c r="UWX50" s="32"/>
      <c r="UWZ50" s="12"/>
      <c r="UXB50" s="34"/>
      <c r="UXC50" s="39"/>
      <c r="UXD50" s="41"/>
      <c r="UXG50" s="32"/>
      <c r="UXI50" s="12"/>
      <c r="UXK50" s="34"/>
      <c r="UXL50" s="39"/>
      <c r="UXM50" s="41"/>
      <c r="UXP50" s="32"/>
      <c r="UXR50" s="12"/>
      <c r="UXT50" s="34"/>
      <c r="UXU50" s="39"/>
      <c r="UXV50" s="41"/>
      <c r="UXY50" s="32"/>
      <c r="UYA50" s="12"/>
      <c r="UYC50" s="34"/>
      <c r="UYD50" s="39"/>
      <c r="UYE50" s="41"/>
      <c r="UYH50" s="32"/>
      <c r="UYJ50" s="12"/>
      <c r="UYL50" s="34"/>
      <c r="UYM50" s="39"/>
      <c r="UYN50" s="41"/>
      <c r="UYQ50" s="32"/>
      <c r="UYS50" s="12"/>
      <c r="UYU50" s="34"/>
      <c r="UYV50" s="39"/>
      <c r="UYW50" s="41"/>
      <c r="UYZ50" s="32"/>
      <c r="UZB50" s="12"/>
      <c r="UZD50" s="34"/>
      <c r="UZE50" s="39"/>
      <c r="UZF50" s="41"/>
      <c r="UZI50" s="32"/>
      <c r="UZK50" s="12"/>
      <c r="UZM50" s="34"/>
      <c r="UZN50" s="39"/>
      <c r="UZO50" s="41"/>
      <c r="UZR50" s="32"/>
      <c r="UZT50" s="12"/>
      <c r="UZV50" s="34"/>
      <c r="UZW50" s="39"/>
      <c r="UZX50" s="41"/>
      <c r="VAA50" s="32"/>
      <c r="VAC50" s="12"/>
      <c r="VAE50" s="34"/>
      <c r="VAF50" s="39"/>
      <c r="VAG50" s="41"/>
      <c r="VAJ50" s="32"/>
      <c r="VAL50" s="12"/>
      <c r="VAN50" s="34"/>
      <c r="VAO50" s="39"/>
      <c r="VAP50" s="41"/>
      <c r="VAS50" s="32"/>
      <c r="VAU50" s="12"/>
      <c r="VAW50" s="34"/>
      <c r="VAX50" s="39"/>
      <c r="VAY50" s="41"/>
      <c r="VBB50" s="32"/>
      <c r="VBD50" s="12"/>
      <c r="VBF50" s="34"/>
      <c r="VBG50" s="39"/>
      <c r="VBH50" s="41"/>
      <c r="VBK50" s="32"/>
      <c r="VBM50" s="12"/>
      <c r="VBO50" s="34"/>
      <c r="VBP50" s="39"/>
      <c r="VBQ50" s="41"/>
      <c r="VBT50" s="32"/>
      <c r="VBV50" s="12"/>
      <c r="VBX50" s="34"/>
      <c r="VBY50" s="39"/>
      <c r="VBZ50" s="41"/>
      <c r="VCC50" s="32"/>
      <c r="VCE50" s="12"/>
      <c r="VCG50" s="34"/>
      <c r="VCH50" s="39"/>
      <c r="VCI50" s="41"/>
      <c r="VCL50" s="32"/>
      <c r="VCN50" s="12"/>
      <c r="VCP50" s="34"/>
      <c r="VCQ50" s="39"/>
      <c r="VCR50" s="41"/>
      <c r="VCU50" s="32"/>
      <c r="VCW50" s="12"/>
      <c r="VCY50" s="34"/>
      <c r="VCZ50" s="39"/>
      <c r="VDA50" s="41"/>
      <c r="VDD50" s="32"/>
      <c r="VDF50" s="12"/>
      <c r="VDH50" s="34"/>
      <c r="VDI50" s="39"/>
      <c r="VDJ50" s="41"/>
      <c r="VDM50" s="32"/>
      <c r="VDO50" s="12"/>
      <c r="VDQ50" s="34"/>
      <c r="VDR50" s="39"/>
      <c r="VDS50" s="41"/>
      <c r="VDV50" s="32"/>
      <c r="VDX50" s="12"/>
      <c r="VDZ50" s="34"/>
      <c r="VEA50" s="39"/>
      <c r="VEB50" s="41"/>
      <c r="VEE50" s="32"/>
      <c r="VEG50" s="12"/>
      <c r="VEI50" s="34"/>
      <c r="VEJ50" s="39"/>
      <c r="VEK50" s="41"/>
      <c r="VEN50" s="32"/>
      <c r="VEP50" s="12"/>
      <c r="VER50" s="34"/>
      <c r="VES50" s="39"/>
      <c r="VET50" s="41"/>
      <c r="VEW50" s="32"/>
      <c r="VEY50" s="12"/>
      <c r="VFA50" s="34"/>
      <c r="VFB50" s="39"/>
      <c r="VFC50" s="41"/>
      <c r="VFF50" s="32"/>
      <c r="VFH50" s="12"/>
      <c r="VFJ50" s="34"/>
      <c r="VFK50" s="39"/>
      <c r="VFL50" s="41"/>
      <c r="VFO50" s="32"/>
      <c r="VFQ50" s="12"/>
      <c r="VFS50" s="34"/>
      <c r="VFT50" s="39"/>
      <c r="VFU50" s="41"/>
      <c r="VFX50" s="32"/>
      <c r="VFZ50" s="12"/>
      <c r="VGB50" s="34"/>
      <c r="VGC50" s="39"/>
      <c r="VGD50" s="41"/>
      <c r="VGG50" s="32"/>
      <c r="VGI50" s="12"/>
      <c r="VGK50" s="34"/>
      <c r="VGL50" s="39"/>
      <c r="VGM50" s="41"/>
      <c r="VGP50" s="32"/>
      <c r="VGR50" s="12"/>
      <c r="VGT50" s="34"/>
      <c r="VGU50" s="39"/>
      <c r="VGV50" s="41"/>
      <c r="VGY50" s="32"/>
      <c r="VHA50" s="12"/>
      <c r="VHC50" s="34"/>
      <c r="VHD50" s="39"/>
      <c r="VHE50" s="41"/>
      <c r="VHH50" s="32"/>
      <c r="VHJ50" s="12"/>
      <c r="VHL50" s="34"/>
      <c r="VHM50" s="39"/>
      <c r="VHN50" s="41"/>
      <c r="VHQ50" s="32"/>
      <c r="VHS50" s="12"/>
      <c r="VHU50" s="34"/>
      <c r="VHV50" s="39"/>
      <c r="VHW50" s="41"/>
      <c r="VHZ50" s="32"/>
      <c r="VIB50" s="12"/>
      <c r="VID50" s="34"/>
      <c r="VIE50" s="39"/>
      <c r="VIF50" s="41"/>
      <c r="VII50" s="32"/>
      <c r="VIK50" s="12"/>
      <c r="VIM50" s="34"/>
      <c r="VIN50" s="39"/>
      <c r="VIO50" s="41"/>
      <c r="VIR50" s="32"/>
      <c r="VIT50" s="12"/>
      <c r="VIV50" s="34"/>
      <c r="VIW50" s="39"/>
      <c r="VIX50" s="41"/>
      <c r="VJA50" s="32"/>
      <c r="VJC50" s="12"/>
      <c r="VJE50" s="34"/>
      <c r="VJF50" s="39"/>
      <c r="VJG50" s="41"/>
      <c r="VJJ50" s="32"/>
      <c r="VJL50" s="12"/>
      <c r="VJN50" s="34"/>
      <c r="VJO50" s="39"/>
      <c r="VJP50" s="41"/>
      <c r="VJS50" s="32"/>
      <c r="VJU50" s="12"/>
      <c r="VJW50" s="34"/>
      <c r="VJX50" s="39"/>
      <c r="VJY50" s="41"/>
      <c r="VKB50" s="32"/>
      <c r="VKD50" s="12"/>
      <c r="VKF50" s="34"/>
      <c r="VKG50" s="39"/>
      <c r="VKH50" s="41"/>
      <c r="VKK50" s="32"/>
      <c r="VKM50" s="12"/>
      <c r="VKO50" s="34"/>
      <c r="VKP50" s="39"/>
      <c r="VKQ50" s="41"/>
      <c r="VKT50" s="32"/>
      <c r="VKV50" s="12"/>
      <c r="VKX50" s="34"/>
      <c r="VKY50" s="39"/>
      <c r="VKZ50" s="41"/>
      <c r="VLC50" s="32"/>
      <c r="VLE50" s="12"/>
      <c r="VLG50" s="34"/>
      <c r="VLH50" s="39"/>
      <c r="VLI50" s="41"/>
      <c r="VLL50" s="32"/>
      <c r="VLN50" s="12"/>
      <c r="VLP50" s="34"/>
      <c r="VLQ50" s="39"/>
      <c r="VLR50" s="41"/>
      <c r="VLU50" s="32"/>
      <c r="VLW50" s="12"/>
      <c r="VLY50" s="34"/>
      <c r="VLZ50" s="39"/>
      <c r="VMA50" s="41"/>
      <c r="VMD50" s="32"/>
      <c r="VMF50" s="12"/>
      <c r="VMH50" s="34"/>
      <c r="VMI50" s="39"/>
      <c r="VMJ50" s="41"/>
      <c r="VMM50" s="32"/>
      <c r="VMO50" s="12"/>
      <c r="VMQ50" s="34"/>
      <c r="VMR50" s="39"/>
      <c r="VMS50" s="41"/>
      <c r="VMV50" s="32"/>
      <c r="VMX50" s="12"/>
      <c r="VMZ50" s="34"/>
      <c r="VNA50" s="39"/>
      <c r="VNB50" s="41"/>
      <c r="VNE50" s="32"/>
      <c r="VNG50" s="12"/>
      <c r="VNI50" s="34"/>
      <c r="VNJ50" s="39"/>
      <c r="VNK50" s="41"/>
      <c r="VNN50" s="32"/>
      <c r="VNP50" s="12"/>
      <c r="VNR50" s="34"/>
      <c r="VNS50" s="39"/>
      <c r="VNT50" s="41"/>
      <c r="VNW50" s="32"/>
      <c r="VNY50" s="12"/>
      <c r="VOA50" s="34"/>
      <c r="VOB50" s="39"/>
      <c r="VOC50" s="41"/>
      <c r="VOF50" s="32"/>
      <c r="VOH50" s="12"/>
      <c r="VOJ50" s="34"/>
      <c r="VOK50" s="39"/>
      <c r="VOL50" s="41"/>
      <c r="VOO50" s="32"/>
      <c r="VOQ50" s="12"/>
      <c r="VOS50" s="34"/>
      <c r="VOT50" s="39"/>
      <c r="VOU50" s="41"/>
      <c r="VOX50" s="32"/>
      <c r="VOZ50" s="12"/>
      <c r="VPB50" s="34"/>
      <c r="VPC50" s="39"/>
      <c r="VPD50" s="41"/>
      <c r="VPG50" s="32"/>
      <c r="VPI50" s="12"/>
      <c r="VPK50" s="34"/>
      <c r="VPL50" s="39"/>
      <c r="VPM50" s="41"/>
      <c r="VPP50" s="32"/>
      <c r="VPR50" s="12"/>
      <c r="VPT50" s="34"/>
      <c r="VPU50" s="39"/>
      <c r="VPV50" s="41"/>
      <c r="VPY50" s="32"/>
      <c r="VQA50" s="12"/>
      <c r="VQC50" s="34"/>
      <c r="VQD50" s="39"/>
      <c r="VQE50" s="41"/>
      <c r="VQH50" s="32"/>
      <c r="VQJ50" s="12"/>
      <c r="VQL50" s="34"/>
      <c r="VQM50" s="39"/>
      <c r="VQN50" s="41"/>
      <c r="VQQ50" s="32"/>
      <c r="VQS50" s="12"/>
      <c r="VQU50" s="34"/>
      <c r="VQV50" s="39"/>
      <c r="VQW50" s="41"/>
      <c r="VQZ50" s="32"/>
      <c r="VRB50" s="12"/>
      <c r="VRD50" s="34"/>
      <c r="VRE50" s="39"/>
      <c r="VRF50" s="41"/>
      <c r="VRI50" s="32"/>
      <c r="VRK50" s="12"/>
      <c r="VRM50" s="34"/>
      <c r="VRN50" s="39"/>
      <c r="VRO50" s="41"/>
      <c r="VRR50" s="32"/>
      <c r="VRT50" s="12"/>
      <c r="VRV50" s="34"/>
      <c r="VRW50" s="39"/>
      <c r="VRX50" s="41"/>
      <c r="VSA50" s="32"/>
      <c r="VSC50" s="12"/>
      <c r="VSE50" s="34"/>
      <c r="VSF50" s="39"/>
      <c r="VSG50" s="41"/>
      <c r="VSJ50" s="32"/>
      <c r="VSL50" s="12"/>
      <c r="VSN50" s="34"/>
      <c r="VSO50" s="39"/>
      <c r="VSP50" s="41"/>
      <c r="VSS50" s="32"/>
      <c r="VSU50" s="12"/>
      <c r="VSW50" s="34"/>
      <c r="VSX50" s="39"/>
      <c r="VSY50" s="41"/>
      <c r="VTB50" s="32"/>
      <c r="VTD50" s="12"/>
      <c r="VTF50" s="34"/>
      <c r="VTG50" s="39"/>
      <c r="VTH50" s="41"/>
      <c r="VTK50" s="32"/>
      <c r="VTM50" s="12"/>
      <c r="VTO50" s="34"/>
      <c r="VTP50" s="39"/>
      <c r="VTQ50" s="41"/>
      <c r="VTT50" s="32"/>
      <c r="VTV50" s="12"/>
      <c r="VTX50" s="34"/>
      <c r="VTY50" s="39"/>
      <c r="VTZ50" s="41"/>
      <c r="VUC50" s="32"/>
      <c r="VUE50" s="12"/>
      <c r="VUG50" s="34"/>
      <c r="VUH50" s="39"/>
      <c r="VUI50" s="41"/>
      <c r="VUL50" s="32"/>
      <c r="VUN50" s="12"/>
      <c r="VUP50" s="34"/>
      <c r="VUQ50" s="39"/>
      <c r="VUR50" s="41"/>
      <c r="VUU50" s="32"/>
      <c r="VUW50" s="12"/>
      <c r="VUY50" s="34"/>
      <c r="VUZ50" s="39"/>
      <c r="VVA50" s="41"/>
      <c r="VVD50" s="32"/>
      <c r="VVF50" s="12"/>
      <c r="VVH50" s="34"/>
      <c r="VVI50" s="39"/>
      <c r="VVJ50" s="41"/>
      <c r="VVM50" s="32"/>
      <c r="VVO50" s="12"/>
      <c r="VVQ50" s="34"/>
      <c r="VVR50" s="39"/>
      <c r="VVS50" s="41"/>
      <c r="VVV50" s="32"/>
      <c r="VVX50" s="12"/>
      <c r="VVZ50" s="34"/>
      <c r="VWA50" s="39"/>
      <c r="VWB50" s="41"/>
      <c r="VWE50" s="32"/>
      <c r="VWG50" s="12"/>
      <c r="VWI50" s="34"/>
      <c r="VWJ50" s="39"/>
      <c r="VWK50" s="41"/>
      <c r="VWN50" s="32"/>
      <c r="VWP50" s="12"/>
      <c r="VWR50" s="34"/>
      <c r="VWS50" s="39"/>
      <c r="VWT50" s="41"/>
      <c r="VWW50" s="32"/>
      <c r="VWY50" s="12"/>
      <c r="VXA50" s="34"/>
      <c r="VXB50" s="39"/>
      <c r="VXC50" s="41"/>
      <c r="VXF50" s="32"/>
      <c r="VXH50" s="12"/>
      <c r="VXJ50" s="34"/>
      <c r="VXK50" s="39"/>
      <c r="VXL50" s="41"/>
      <c r="VXO50" s="32"/>
      <c r="VXQ50" s="12"/>
      <c r="VXS50" s="34"/>
      <c r="VXT50" s="39"/>
      <c r="VXU50" s="41"/>
      <c r="VXX50" s="32"/>
      <c r="VXZ50" s="12"/>
      <c r="VYB50" s="34"/>
      <c r="VYC50" s="39"/>
      <c r="VYD50" s="41"/>
      <c r="VYG50" s="32"/>
      <c r="VYI50" s="12"/>
      <c r="VYK50" s="34"/>
      <c r="VYL50" s="39"/>
      <c r="VYM50" s="41"/>
      <c r="VYP50" s="32"/>
      <c r="VYR50" s="12"/>
      <c r="VYT50" s="34"/>
      <c r="VYU50" s="39"/>
      <c r="VYV50" s="41"/>
      <c r="VYY50" s="32"/>
      <c r="VZA50" s="12"/>
      <c r="VZC50" s="34"/>
      <c r="VZD50" s="39"/>
      <c r="VZE50" s="41"/>
      <c r="VZH50" s="32"/>
      <c r="VZJ50" s="12"/>
      <c r="VZL50" s="34"/>
      <c r="VZM50" s="39"/>
      <c r="VZN50" s="41"/>
      <c r="VZQ50" s="32"/>
      <c r="VZS50" s="12"/>
      <c r="VZU50" s="34"/>
      <c r="VZV50" s="39"/>
      <c r="VZW50" s="41"/>
      <c r="VZZ50" s="32"/>
      <c r="WAB50" s="12"/>
      <c r="WAD50" s="34"/>
      <c r="WAE50" s="39"/>
      <c r="WAF50" s="41"/>
      <c r="WAI50" s="32"/>
      <c r="WAK50" s="12"/>
      <c r="WAM50" s="34"/>
      <c r="WAN50" s="39"/>
      <c r="WAO50" s="41"/>
      <c r="WAR50" s="32"/>
      <c r="WAT50" s="12"/>
      <c r="WAV50" s="34"/>
      <c r="WAW50" s="39"/>
      <c r="WAX50" s="41"/>
      <c r="WBA50" s="32"/>
      <c r="WBC50" s="12"/>
      <c r="WBE50" s="34"/>
      <c r="WBF50" s="39"/>
      <c r="WBG50" s="41"/>
      <c r="WBJ50" s="32"/>
      <c r="WBL50" s="12"/>
      <c r="WBN50" s="34"/>
      <c r="WBO50" s="39"/>
      <c r="WBP50" s="41"/>
      <c r="WBS50" s="32"/>
      <c r="WBU50" s="12"/>
      <c r="WBW50" s="34"/>
      <c r="WBX50" s="39"/>
      <c r="WBY50" s="41"/>
      <c r="WCB50" s="32"/>
      <c r="WCD50" s="12"/>
      <c r="WCF50" s="34"/>
      <c r="WCG50" s="39"/>
      <c r="WCH50" s="41"/>
      <c r="WCK50" s="32"/>
      <c r="WCM50" s="12"/>
      <c r="WCO50" s="34"/>
      <c r="WCP50" s="39"/>
      <c r="WCQ50" s="41"/>
      <c r="WCT50" s="32"/>
      <c r="WCV50" s="12"/>
      <c r="WCX50" s="34"/>
      <c r="WCY50" s="39"/>
      <c r="WCZ50" s="41"/>
      <c r="WDC50" s="32"/>
      <c r="WDE50" s="12"/>
      <c r="WDG50" s="34"/>
      <c r="WDH50" s="39"/>
      <c r="WDI50" s="41"/>
      <c r="WDL50" s="32"/>
      <c r="WDN50" s="12"/>
      <c r="WDP50" s="34"/>
      <c r="WDQ50" s="39"/>
      <c r="WDR50" s="41"/>
      <c r="WDU50" s="32"/>
      <c r="WDW50" s="12"/>
      <c r="WDY50" s="34"/>
      <c r="WDZ50" s="39"/>
      <c r="WEA50" s="41"/>
      <c r="WED50" s="32"/>
      <c r="WEF50" s="12"/>
      <c r="WEH50" s="34"/>
      <c r="WEI50" s="39"/>
      <c r="WEJ50" s="41"/>
      <c r="WEM50" s="32"/>
      <c r="WEO50" s="12"/>
      <c r="WEQ50" s="34"/>
      <c r="WER50" s="39"/>
      <c r="WES50" s="41"/>
      <c r="WEV50" s="32"/>
      <c r="WEX50" s="12"/>
      <c r="WEZ50" s="34"/>
      <c r="WFA50" s="39"/>
      <c r="WFB50" s="41"/>
      <c r="WFE50" s="32"/>
      <c r="WFG50" s="12"/>
      <c r="WFI50" s="34"/>
      <c r="WFJ50" s="39"/>
      <c r="WFK50" s="41"/>
      <c r="WFN50" s="32"/>
      <c r="WFP50" s="12"/>
      <c r="WFR50" s="34"/>
      <c r="WFS50" s="39"/>
      <c r="WFT50" s="41"/>
      <c r="WFW50" s="32"/>
      <c r="WFY50" s="12"/>
      <c r="WGA50" s="34"/>
      <c r="WGB50" s="39"/>
      <c r="WGC50" s="41"/>
      <c r="WGF50" s="32"/>
      <c r="WGH50" s="12"/>
      <c r="WGJ50" s="34"/>
      <c r="WGK50" s="39"/>
      <c r="WGL50" s="41"/>
      <c r="WGO50" s="32"/>
      <c r="WGQ50" s="12"/>
      <c r="WGS50" s="34"/>
      <c r="WGT50" s="39"/>
      <c r="WGU50" s="41"/>
      <c r="WGX50" s="32"/>
      <c r="WGZ50" s="12"/>
      <c r="WHB50" s="34"/>
      <c r="WHC50" s="39"/>
      <c r="WHD50" s="41"/>
      <c r="WHG50" s="32"/>
      <c r="WHI50" s="12"/>
      <c r="WHK50" s="34"/>
      <c r="WHL50" s="39"/>
      <c r="WHM50" s="41"/>
      <c r="WHP50" s="32"/>
      <c r="WHR50" s="12"/>
      <c r="WHT50" s="34"/>
      <c r="WHU50" s="39"/>
      <c r="WHV50" s="41"/>
      <c r="WHY50" s="32"/>
      <c r="WIA50" s="12"/>
      <c r="WIC50" s="34"/>
      <c r="WID50" s="39"/>
      <c r="WIE50" s="41"/>
      <c r="WIH50" s="32"/>
      <c r="WIJ50" s="12"/>
      <c r="WIL50" s="34"/>
      <c r="WIM50" s="39"/>
      <c r="WIN50" s="41"/>
      <c r="WIQ50" s="32"/>
      <c r="WIS50" s="12"/>
      <c r="WIU50" s="34"/>
      <c r="WIV50" s="39"/>
      <c r="WIW50" s="41"/>
      <c r="WIZ50" s="32"/>
      <c r="WJB50" s="12"/>
      <c r="WJD50" s="34"/>
      <c r="WJE50" s="39"/>
      <c r="WJF50" s="41"/>
      <c r="WJI50" s="32"/>
      <c r="WJK50" s="12"/>
      <c r="WJM50" s="34"/>
      <c r="WJN50" s="39"/>
      <c r="WJO50" s="41"/>
      <c r="WJR50" s="32"/>
      <c r="WJT50" s="12"/>
      <c r="WJV50" s="34"/>
      <c r="WJW50" s="39"/>
      <c r="WJX50" s="41"/>
      <c r="WKA50" s="32"/>
      <c r="WKC50" s="12"/>
      <c r="WKE50" s="34"/>
      <c r="WKF50" s="39"/>
      <c r="WKG50" s="41"/>
      <c r="WKJ50" s="32"/>
      <c r="WKL50" s="12"/>
      <c r="WKN50" s="34"/>
      <c r="WKO50" s="39"/>
      <c r="WKP50" s="41"/>
      <c r="WKS50" s="32"/>
      <c r="WKU50" s="12"/>
      <c r="WKW50" s="34"/>
      <c r="WKX50" s="39"/>
      <c r="WKY50" s="41"/>
      <c r="WLB50" s="32"/>
      <c r="WLD50" s="12"/>
      <c r="WLF50" s="34"/>
      <c r="WLG50" s="39"/>
      <c r="WLH50" s="41"/>
      <c r="WLK50" s="32"/>
      <c r="WLM50" s="12"/>
      <c r="WLO50" s="34"/>
      <c r="WLP50" s="39"/>
      <c r="WLQ50" s="41"/>
      <c r="WLT50" s="32"/>
      <c r="WLV50" s="12"/>
      <c r="WLX50" s="34"/>
      <c r="WLY50" s="39"/>
      <c r="WLZ50" s="41"/>
      <c r="WMC50" s="32"/>
      <c r="WME50" s="12"/>
      <c r="WMG50" s="34"/>
      <c r="WMH50" s="39"/>
      <c r="WMI50" s="41"/>
      <c r="WML50" s="32"/>
      <c r="WMN50" s="12"/>
      <c r="WMP50" s="34"/>
      <c r="WMQ50" s="39"/>
      <c r="WMR50" s="41"/>
      <c r="WMU50" s="32"/>
      <c r="WMW50" s="12"/>
      <c r="WMY50" s="34"/>
      <c r="WMZ50" s="39"/>
      <c r="WNA50" s="41"/>
      <c r="WND50" s="32"/>
      <c r="WNF50" s="12"/>
      <c r="WNH50" s="34"/>
      <c r="WNI50" s="39"/>
      <c r="WNJ50" s="41"/>
      <c r="WNM50" s="32"/>
      <c r="WNO50" s="12"/>
      <c r="WNQ50" s="34"/>
      <c r="WNR50" s="39"/>
      <c r="WNS50" s="41"/>
      <c r="WNV50" s="32"/>
      <c r="WNX50" s="12"/>
      <c r="WNZ50" s="34"/>
      <c r="WOA50" s="39"/>
      <c r="WOB50" s="41"/>
      <c r="WOE50" s="32"/>
      <c r="WOG50" s="12"/>
      <c r="WOI50" s="34"/>
      <c r="WOJ50" s="39"/>
      <c r="WOK50" s="41"/>
      <c r="WON50" s="32"/>
      <c r="WOP50" s="12"/>
      <c r="WOR50" s="34"/>
      <c r="WOS50" s="39"/>
      <c r="WOT50" s="41"/>
      <c r="WOW50" s="32"/>
      <c r="WOY50" s="12"/>
      <c r="WPA50" s="34"/>
      <c r="WPB50" s="39"/>
      <c r="WPC50" s="41"/>
      <c r="WPF50" s="32"/>
      <c r="WPH50" s="12"/>
      <c r="WPJ50" s="34"/>
      <c r="WPK50" s="39"/>
      <c r="WPL50" s="41"/>
      <c r="WPO50" s="32"/>
      <c r="WPQ50" s="12"/>
      <c r="WPS50" s="34"/>
      <c r="WPT50" s="39"/>
      <c r="WPU50" s="41"/>
      <c r="WPX50" s="32"/>
      <c r="WPZ50" s="12"/>
      <c r="WQB50" s="34"/>
      <c r="WQC50" s="39"/>
      <c r="WQD50" s="41"/>
      <c r="WQG50" s="32"/>
      <c r="WQI50" s="12"/>
      <c r="WQK50" s="34"/>
      <c r="WQL50" s="39"/>
      <c r="WQM50" s="41"/>
      <c r="WQP50" s="32"/>
      <c r="WQR50" s="12"/>
      <c r="WQT50" s="34"/>
      <c r="WQU50" s="39"/>
      <c r="WQV50" s="41"/>
      <c r="WQY50" s="32"/>
      <c r="WRA50" s="12"/>
      <c r="WRC50" s="34"/>
      <c r="WRD50" s="39"/>
      <c r="WRE50" s="41"/>
      <c r="WRH50" s="32"/>
      <c r="WRJ50" s="12"/>
      <c r="WRL50" s="34"/>
      <c r="WRM50" s="39"/>
      <c r="WRN50" s="41"/>
      <c r="WRQ50" s="32"/>
      <c r="WRS50" s="12"/>
      <c r="WRU50" s="34"/>
      <c r="WRV50" s="39"/>
      <c r="WRW50" s="41"/>
      <c r="WRZ50" s="32"/>
      <c r="WSB50" s="12"/>
      <c r="WSD50" s="34"/>
      <c r="WSE50" s="39"/>
      <c r="WSF50" s="41"/>
      <c r="WSI50" s="32"/>
      <c r="WSK50" s="12"/>
      <c r="WSM50" s="34"/>
      <c r="WSN50" s="39"/>
      <c r="WSO50" s="41"/>
      <c r="WSR50" s="32"/>
      <c r="WST50" s="12"/>
      <c r="WSV50" s="34"/>
      <c r="WSW50" s="39"/>
      <c r="WSX50" s="41"/>
      <c r="WTA50" s="32"/>
      <c r="WTC50" s="12"/>
      <c r="WTE50" s="34"/>
      <c r="WTF50" s="39"/>
      <c r="WTG50" s="41"/>
      <c r="WTJ50" s="32"/>
      <c r="WTL50" s="12"/>
      <c r="WTN50" s="34"/>
      <c r="WTO50" s="39"/>
      <c r="WTP50" s="41"/>
      <c r="WTS50" s="32"/>
      <c r="WTU50" s="12"/>
      <c r="WTW50" s="34"/>
      <c r="WTX50" s="39"/>
      <c r="WTY50" s="41"/>
      <c r="WUB50" s="32"/>
      <c r="WUD50" s="12"/>
      <c r="WUF50" s="34"/>
      <c r="WUG50" s="39"/>
      <c r="WUH50" s="41"/>
      <c r="WUK50" s="32"/>
      <c r="WUM50" s="12"/>
      <c r="WUO50" s="34"/>
      <c r="WUP50" s="39"/>
      <c r="WUQ50" s="41"/>
      <c r="WUT50" s="32"/>
      <c r="WUV50" s="12"/>
      <c r="WUX50" s="34"/>
      <c r="WUY50" s="39"/>
      <c r="WUZ50" s="41"/>
      <c r="WVC50" s="32"/>
      <c r="WVE50" s="12"/>
      <c r="WVG50" s="34"/>
      <c r="WVH50" s="39"/>
      <c r="WVI50" s="41"/>
      <c r="WVL50" s="32"/>
      <c r="WVN50" s="12"/>
      <c r="WVP50" s="34"/>
      <c r="WVQ50" s="39"/>
      <c r="WVR50" s="41"/>
      <c r="WVU50" s="32"/>
      <c r="WVW50" s="12"/>
      <c r="WVY50" s="34"/>
      <c r="WVZ50" s="39"/>
      <c r="WWA50" s="41"/>
      <c r="WWD50" s="32"/>
      <c r="WWF50" s="12"/>
      <c r="WWH50" s="34"/>
      <c r="WWI50" s="39"/>
      <c r="WWJ50" s="41"/>
      <c r="WWM50" s="32"/>
      <c r="WWO50" s="12"/>
      <c r="WWQ50" s="34"/>
      <c r="WWR50" s="39"/>
      <c r="WWS50" s="41"/>
      <c r="WWV50" s="32"/>
      <c r="WWX50" s="12"/>
      <c r="WWZ50" s="34"/>
      <c r="WXA50" s="39"/>
      <c r="WXB50" s="41"/>
      <c r="WXE50" s="32"/>
      <c r="WXG50" s="12"/>
      <c r="WXI50" s="34"/>
      <c r="WXJ50" s="39"/>
      <c r="WXK50" s="41"/>
      <c r="WXN50" s="32"/>
      <c r="WXP50" s="12"/>
      <c r="WXR50" s="34"/>
      <c r="WXS50" s="39"/>
      <c r="WXT50" s="41"/>
      <c r="WXW50" s="32"/>
      <c r="WXY50" s="12"/>
      <c r="WYA50" s="34"/>
      <c r="WYB50" s="39"/>
      <c r="WYC50" s="41"/>
      <c r="WYF50" s="32"/>
      <c r="WYH50" s="12"/>
      <c r="WYJ50" s="34"/>
      <c r="WYK50" s="39"/>
      <c r="WYL50" s="41"/>
      <c r="WYO50" s="32"/>
      <c r="WYQ50" s="12"/>
      <c r="WYS50" s="34"/>
      <c r="WYT50" s="39"/>
      <c r="WYU50" s="41"/>
      <c r="WYX50" s="32"/>
      <c r="WYZ50" s="12"/>
      <c r="WZB50" s="34"/>
      <c r="WZC50" s="39"/>
      <c r="WZD50" s="41"/>
      <c r="WZG50" s="32"/>
      <c r="WZI50" s="12"/>
      <c r="WZK50" s="34"/>
      <c r="WZL50" s="39"/>
      <c r="WZM50" s="41"/>
      <c r="WZP50" s="32"/>
      <c r="WZR50" s="12"/>
      <c r="WZT50" s="34"/>
      <c r="WZU50" s="39"/>
      <c r="WZV50" s="41"/>
      <c r="WZY50" s="32"/>
      <c r="XAA50" s="12"/>
      <c r="XAC50" s="34"/>
      <c r="XAD50" s="39"/>
      <c r="XAE50" s="41"/>
      <c r="XAH50" s="32"/>
      <c r="XAJ50" s="12"/>
      <c r="XAL50" s="34"/>
      <c r="XAM50" s="39"/>
      <c r="XAN50" s="41"/>
      <c r="XAQ50" s="32"/>
      <c r="XAS50" s="12"/>
      <c r="XAU50" s="34"/>
      <c r="XAV50" s="39"/>
      <c r="XAW50" s="41"/>
      <c r="XAZ50" s="32"/>
      <c r="XBB50" s="12"/>
      <c r="XBD50" s="34"/>
      <c r="XBE50" s="39"/>
      <c r="XBF50" s="41"/>
      <c r="XBI50" s="32"/>
      <c r="XBK50" s="12"/>
      <c r="XBM50" s="34"/>
      <c r="XBN50" s="39"/>
      <c r="XBO50" s="41"/>
      <c r="XBR50" s="32"/>
      <c r="XBT50" s="12"/>
      <c r="XBV50" s="34"/>
      <c r="XBW50" s="39"/>
      <c r="XBX50" s="41"/>
      <c r="XCA50" s="32"/>
      <c r="XCC50" s="12"/>
      <c r="XCE50" s="34"/>
      <c r="XCF50" s="39"/>
      <c r="XCG50" s="41"/>
      <c r="XCJ50" s="32"/>
      <c r="XCL50" s="12"/>
      <c r="XCN50" s="34"/>
      <c r="XCO50" s="39"/>
      <c r="XCP50" s="41"/>
      <c r="XCS50" s="32"/>
      <c r="XCU50" s="12"/>
      <c r="XCW50" s="34"/>
      <c r="XCX50" s="39"/>
      <c r="XCY50" s="41"/>
      <c r="XDB50" s="32"/>
      <c r="XDD50" s="12"/>
      <c r="XDF50" s="34"/>
      <c r="XDG50" s="39"/>
      <c r="XDH50" s="41"/>
      <c r="XDK50" s="32"/>
      <c r="XDM50" s="12"/>
      <c r="XDO50" s="34"/>
      <c r="XDP50" s="39"/>
      <c r="XDQ50" s="41"/>
      <c r="XDT50" s="32"/>
      <c r="XDV50" s="12"/>
      <c r="XDX50" s="34"/>
      <c r="XDY50" s="39"/>
      <c r="XDZ50" s="41"/>
      <c r="XEC50" s="32"/>
      <c r="XEE50" s="12"/>
      <c r="XEG50" s="34"/>
      <c r="XEH50" s="39"/>
      <c r="XEI50" s="41"/>
      <c r="XEL50" s="32"/>
      <c r="XEN50" s="12"/>
      <c r="XEP50" s="34"/>
      <c r="XEQ50" s="39"/>
      <c r="XER50" s="41"/>
      <c r="XEU50" s="32"/>
      <c r="XEW50" s="12"/>
      <c r="XEY50" s="34"/>
      <c r="XEZ50" s="39"/>
      <c r="XFA50" s="41"/>
      <c r="XFD50" s="32"/>
    </row>
    <row r="51" spans="1:1023 1025:2047 2049:3070 3073:4096 4099:6144 6146:7168 7170:8191 8194:10239 10241:11263 11265:12286 12289:13312 13315:15360 15362:16384" x14ac:dyDescent="0.25">
      <c r="A51" s="91" t="s">
        <v>147</v>
      </c>
      <c r="B51" s="68"/>
      <c r="C51" s="71" t="s">
        <v>190</v>
      </c>
      <c r="D51" s="67"/>
      <c r="E51" s="71" t="s">
        <v>192</v>
      </c>
      <c r="F51" s="12"/>
      <c r="G51" s="12">
        <f>'Menu principal'!O$21</f>
        <v>43190</v>
      </c>
      <c r="H51" s="13"/>
      <c r="I51" s="14">
        <f>DAYS360(DEFIS!G39,H51)</f>
        <v>-42570</v>
      </c>
      <c r="J51" s="62">
        <f ca="1">IF(Tabela5[[#This Row],[ENTREGA]]="",Tabela5[[#This Row],[VENCIMENTO]]-TODAY(),"")</f>
        <v>-53</v>
      </c>
      <c r="K51" s="40" t="str">
        <f t="shared" si="0"/>
        <v>No Prazo</v>
      </c>
      <c r="DE51" s="41"/>
      <c r="DH51" s="32"/>
      <c r="DJ51" s="12"/>
      <c r="DL51" s="34"/>
      <c r="DM51" s="39"/>
      <c r="DN51" s="41"/>
      <c r="DQ51" s="32"/>
      <c r="DS51" s="12"/>
      <c r="DU51" s="34"/>
      <c r="DV51" s="39"/>
      <c r="DW51" s="41"/>
      <c r="DZ51" s="32"/>
      <c r="EB51" s="12"/>
      <c r="ED51" s="34"/>
      <c r="EE51" s="39"/>
      <c r="EF51" s="41"/>
      <c r="EI51" s="32"/>
      <c r="EK51" s="12"/>
      <c r="EM51" s="34"/>
      <c r="EN51" s="39"/>
      <c r="EO51" s="41"/>
      <c r="ER51" s="32"/>
      <c r="ET51" s="12"/>
      <c r="EV51" s="34"/>
      <c r="EW51" s="39"/>
      <c r="EX51" s="41"/>
      <c r="FA51" s="32"/>
      <c r="FC51" s="12"/>
      <c r="FE51" s="34"/>
      <c r="FF51" s="39"/>
      <c r="FG51" s="41"/>
      <c r="FJ51" s="32"/>
      <c r="FL51" s="12"/>
      <c r="FN51" s="34"/>
      <c r="FO51" s="39"/>
      <c r="FP51" s="41"/>
      <c r="FS51" s="32"/>
      <c r="FU51" s="12"/>
      <c r="FW51" s="34"/>
      <c r="FX51" s="39"/>
      <c r="FY51" s="41"/>
      <c r="GB51" s="32"/>
      <c r="GD51" s="12"/>
      <c r="GF51" s="34"/>
      <c r="GG51" s="39"/>
      <c r="GH51" s="41"/>
      <c r="GK51" s="32"/>
      <c r="GM51" s="12"/>
      <c r="GO51" s="34"/>
      <c r="GP51" s="39"/>
      <c r="GQ51" s="41"/>
      <c r="GT51" s="32"/>
      <c r="GV51" s="12"/>
      <c r="GX51" s="34"/>
      <c r="GY51" s="39"/>
      <c r="GZ51" s="41"/>
      <c r="HC51" s="32"/>
      <c r="HE51" s="12"/>
      <c r="HG51" s="34"/>
      <c r="HH51" s="39"/>
      <c r="HI51" s="41"/>
      <c r="HL51" s="32"/>
      <c r="HN51" s="12"/>
      <c r="HP51" s="34"/>
      <c r="HQ51" s="39"/>
      <c r="HR51" s="41"/>
      <c r="HU51" s="32"/>
      <c r="HW51" s="12"/>
      <c r="HY51" s="34"/>
      <c r="HZ51" s="39"/>
      <c r="IA51" s="41"/>
      <c r="ID51" s="32"/>
      <c r="IF51" s="12"/>
      <c r="IH51" s="34"/>
      <c r="II51" s="39"/>
      <c r="IJ51" s="41"/>
      <c r="IM51" s="32"/>
      <c r="IO51" s="12"/>
      <c r="IQ51" s="34"/>
      <c r="IR51" s="39"/>
      <c r="IS51" s="41"/>
      <c r="IV51" s="32"/>
      <c r="IX51" s="12"/>
      <c r="IZ51" s="34"/>
      <c r="JA51" s="39"/>
      <c r="JB51" s="41"/>
      <c r="JE51" s="32"/>
      <c r="JG51" s="12"/>
      <c r="JI51" s="34"/>
      <c r="JJ51" s="39"/>
      <c r="JK51" s="41"/>
      <c r="JN51" s="32"/>
      <c r="JP51" s="12"/>
      <c r="JR51" s="34"/>
      <c r="JS51" s="39"/>
      <c r="JT51" s="41"/>
      <c r="JW51" s="32"/>
      <c r="JY51" s="12"/>
      <c r="KA51" s="34"/>
      <c r="KB51" s="39"/>
      <c r="KC51" s="41"/>
      <c r="KF51" s="32"/>
      <c r="KH51" s="12"/>
      <c r="KJ51" s="34"/>
      <c r="KK51" s="39"/>
      <c r="KL51" s="41"/>
      <c r="KO51" s="32"/>
      <c r="KQ51" s="12"/>
      <c r="KS51" s="34"/>
      <c r="KT51" s="39"/>
      <c r="KU51" s="41"/>
      <c r="KX51" s="32"/>
      <c r="KZ51" s="12"/>
      <c r="LB51" s="34"/>
      <c r="LC51" s="39"/>
      <c r="LD51" s="41"/>
      <c r="LG51" s="32"/>
      <c r="LI51" s="12"/>
      <c r="LK51" s="34"/>
      <c r="LL51" s="39"/>
      <c r="LM51" s="41"/>
      <c r="LP51" s="32"/>
      <c r="LR51" s="12"/>
      <c r="LT51" s="34"/>
      <c r="LU51" s="39"/>
      <c r="LV51" s="41"/>
      <c r="LY51" s="32"/>
      <c r="MA51" s="12"/>
      <c r="MC51" s="34"/>
      <c r="MD51" s="39"/>
      <c r="ME51" s="41"/>
      <c r="MH51" s="32"/>
      <c r="MJ51" s="12"/>
      <c r="ML51" s="34"/>
      <c r="MM51" s="39"/>
      <c r="MN51" s="41"/>
      <c r="MQ51" s="32"/>
      <c r="MS51" s="12"/>
      <c r="MU51" s="34"/>
      <c r="MV51" s="39"/>
      <c r="MW51" s="41"/>
      <c r="MZ51" s="32"/>
      <c r="NB51" s="12"/>
      <c r="ND51" s="34"/>
      <c r="NE51" s="39"/>
      <c r="NF51" s="41"/>
      <c r="NI51" s="32"/>
      <c r="NK51" s="12"/>
      <c r="NM51" s="34"/>
      <c r="NN51" s="39"/>
      <c r="NO51" s="41"/>
      <c r="NR51" s="32"/>
      <c r="NT51" s="12"/>
      <c r="NV51" s="34"/>
      <c r="NW51" s="39"/>
      <c r="NX51" s="41"/>
      <c r="OA51" s="32"/>
      <c r="OC51" s="12"/>
      <c r="OE51" s="34"/>
      <c r="OF51" s="39"/>
      <c r="OG51" s="41"/>
      <c r="OJ51" s="32"/>
      <c r="OL51" s="12"/>
      <c r="ON51" s="34"/>
      <c r="OO51" s="39"/>
      <c r="OP51" s="41"/>
      <c r="OS51" s="32"/>
      <c r="OU51" s="12"/>
      <c r="OW51" s="34"/>
      <c r="OX51" s="39"/>
      <c r="OY51" s="41"/>
      <c r="PB51" s="32"/>
      <c r="PD51" s="12"/>
      <c r="PF51" s="34"/>
      <c r="PG51" s="39"/>
      <c r="PH51" s="41"/>
      <c r="PK51" s="32"/>
      <c r="PM51" s="12"/>
      <c r="PO51" s="34"/>
      <c r="PP51" s="39"/>
      <c r="PQ51" s="41"/>
      <c r="PT51" s="32"/>
      <c r="PV51" s="12"/>
      <c r="PX51" s="34"/>
      <c r="PY51" s="39"/>
      <c r="PZ51" s="41"/>
      <c r="QC51" s="32"/>
      <c r="QE51" s="12"/>
      <c r="QG51" s="34"/>
      <c r="QH51" s="39"/>
      <c r="QI51" s="41"/>
      <c r="QL51" s="32"/>
      <c r="QN51" s="12"/>
      <c r="QP51" s="34"/>
      <c r="QQ51" s="39"/>
      <c r="QR51" s="41"/>
      <c r="QU51" s="32"/>
      <c r="QW51" s="12"/>
      <c r="QY51" s="34"/>
      <c r="QZ51" s="39"/>
      <c r="RA51" s="41"/>
      <c r="RD51" s="32"/>
      <c r="RF51" s="12"/>
      <c r="RH51" s="34"/>
      <c r="RI51" s="39"/>
      <c r="RJ51" s="41"/>
      <c r="RM51" s="32"/>
      <c r="RO51" s="12"/>
      <c r="RQ51" s="34"/>
      <c r="RR51" s="39"/>
      <c r="RS51" s="41"/>
      <c r="RV51" s="32"/>
      <c r="RX51" s="12"/>
      <c r="RZ51" s="34"/>
      <c r="SA51" s="39"/>
      <c r="SB51" s="41"/>
      <c r="SE51" s="32"/>
      <c r="SG51" s="12"/>
      <c r="SI51" s="34"/>
      <c r="SJ51" s="39"/>
      <c r="SK51" s="41"/>
      <c r="SN51" s="32"/>
      <c r="SP51" s="12"/>
      <c r="SR51" s="34"/>
      <c r="SS51" s="39"/>
      <c r="ST51" s="41"/>
      <c r="SW51" s="32"/>
      <c r="SY51" s="12"/>
      <c r="TA51" s="34"/>
      <c r="TB51" s="39"/>
      <c r="TC51" s="41"/>
      <c r="TF51" s="32"/>
      <c r="TH51" s="12"/>
      <c r="TJ51" s="34"/>
      <c r="TK51" s="39"/>
      <c r="TL51" s="41"/>
      <c r="TO51" s="32"/>
      <c r="TQ51" s="12"/>
      <c r="TS51" s="34"/>
      <c r="TT51" s="39"/>
      <c r="TU51" s="41"/>
      <c r="TX51" s="32"/>
      <c r="TZ51" s="12"/>
      <c r="UB51" s="34"/>
      <c r="UC51" s="39"/>
      <c r="UD51" s="41"/>
      <c r="UG51" s="32"/>
      <c r="UI51" s="12"/>
      <c r="UK51" s="34"/>
      <c r="UL51" s="39"/>
      <c r="UM51" s="41"/>
      <c r="UP51" s="32"/>
      <c r="UR51" s="12"/>
      <c r="UT51" s="34"/>
      <c r="UU51" s="39"/>
      <c r="UV51" s="41"/>
      <c r="UY51" s="32"/>
      <c r="VA51" s="12"/>
      <c r="VC51" s="34"/>
      <c r="VD51" s="39"/>
      <c r="VE51" s="41"/>
      <c r="VH51" s="32"/>
      <c r="VJ51" s="12"/>
      <c r="VL51" s="34"/>
      <c r="VM51" s="39"/>
      <c r="VN51" s="41"/>
      <c r="VQ51" s="32"/>
      <c r="VS51" s="12"/>
      <c r="VU51" s="34"/>
      <c r="VV51" s="39"/>
      <c r="VW51" s="41"/>
      <c r="VZ51" s="32"/>
      <c r="WB51" s="12"/>
      <c r="WD51" s="34"/>
      <c r="WE51" s="39"/>
      <c r="WF51" s="41"/>
      <c r="WI51" s="32"/>
      <c r="WK51" s="12"/>
      <c r="WM51" s="34"/>
      <c r="WN51" s="39"/>
      <c r="WO51" s="41"/>
      <c r="WR51" s="32"/>
      <c r="WT51" s="12"/>
      <c r="WV51" s="34"/>
      <c r="WW51" s="39"/>
      <c r="WX51" s="41"/>
      <c r="XA51" s="32"/>
      <c r="XC51" s="12"/>
      <c r="XE51" s="34"/>
      <c r="XF51" s="39"/>
      <c r="XG51" s="41"/>
      <c r="XJ51" s="32"/>
      <c r="XL51" s="12"/>
      <c r="XN51" s="34"/>
      <c r="XO51" s="39"/>
      <c r="XP51" s="41"/>
      <c r="XS51" s="32"/>
      <c r="XU51" s="12"/>
      <c r="XW51" s="34"/>
      <c r="XX51" s="39"/>
      <c r="XY51" s="41"/>
      <c r="YB51" s="32"/>
      <c r="YD51" s="12"/>
      <c r="YF51" s="34"/>
      <c r="YG51" s="39"/>
      <c r="YH51" s="41"/>
      <c r="YK51" s="32"/>
      <c r="YM51" s="12"/>
      <c r="YO51" s="34"/>
      <c r="YP51" s="39"/>
      <c r="YQ51" s="41"/>
      <c r="YT51" s="32"/>
      <c r="YV51" s="12"/>
      <c r="YX51" s="34"/>
      <c r="YY51" s="39"/>
      <c r="YZ51" s="41"/>
      <c r="ZC51" s="32"/>
      <c r="ZE51" s="12"/>
      <c r="ZG51" s="34"/>
      <c r="ZH51" s="39"/>
      <c r="ZI51" s="41"/>
      <c r="ZL51" s="32"/>
      <c r="ZN51" s="12"/>
      <c r="ZP51" s="34"/>
      <c r="ZQ51" s="39"/>
      <c r="ZR51" s="41"/>
      <c r="ZU51" s="32"/>
      <c r="ZW51" s="12"/>
      <c r="ZY51" s="34"/>
      <c r="ZZ51" s="39"/>
      <c r="AAA51" s="41"/>
      <c r="AAD51" s="32"/>
      <c r="AAF51" s="12"/>
      <c r="AAH51" s="34"/>
      <c r="AAI51" s="39"/>
      <c r="AAJ51" s="41"/>
      <c r="AAM51" s="32"/>
      <c r="AAO51" s="12"/>
      <c r="AAQ51" s="34"/>
      <c r="AAR51" s="39"/>
      <c r="AAS51" s="41"/>
      <c r="AAV51" s="32"/>
      <c r="AAX51" s="12"/>
      <c r="AAZ51" s="34"/>
      <c r="ABA51" s="39"/>
      <c r="ABB51" s="41"/>
      <c r="ABE51" s="32"/>
      <c r="ABG51" s="12"/>
      <c r="ABI51" s="34"/>
      <c r="ABJ51" s="39"/>
      <c r="ABK51" s="41"/>
      <c r="ABN51" s="32"/>
      <c r="ABP51" s="12"/>
      <c r="ABR51" s="34"/>
      <c r="ABS51" s="39"/>
      <c r="ABT51" s="41"/>
      <c r="ABW51" s="32"/>
      <c r="ABY51" s="12"/>
      <c r="ACA51" s="34"/>
      <c r="ACB51" s="39"/>
      <c r="ACC51" s="41"/>
      <c r="ACF51" s="32"/>
      <c r="ACH51" s="12"/>
      <c r="ACJ51" s="34"/>
      <c r="ACK51" s="39"/>
      <c r="ACL51" s="41"/>
      <c r="ACO51" s="32"/>
      <c r="ACQ51" s="12"/>
      <c r="ACS51" s="34"/>
      <c r="ACT51" s="39"/>
      <c r="ACU51" s="41"/>
      <c r="ACX51" s="32"/>
      <c r="ACZ51" s="12"/>
      <c r="ADB51" s="34"/>
      <c r="ADC51" s="39"/>
      <c r="ADD51" s="41"/>
      <c r="ADG51" s="32"/>
      <c r="ADI51" s="12"/>
      <c r="ADK51" s="34"/>
      <c r="ADL51" s="39"/>
      <c r="ADM51" s="41"/>
      <c r="ADP51" s="32"/>
      <c r="ADR51" s="12"/>
      <c r="ADT51" s="34"/>
      <c r="ADU51" s="39"/>
      <c r="ADV51" s="41"/>
      <c r="ADY51" s="32"/>
      <c r="AEA51" s="12"/>
      <c r="AEC51" s="34"/>
      <c r="AED51" s="39"/>
      <c r="AEE51" s="41"/>
      <c r="AEH51" s="32"/>
      <c r="AEJ51" s="12"/>
      <c r="AEL51" s="34"/>
      <c r="AEM51" s="39"/>
      <c r="AEN51" s="41"/>
      <c r="AEQ51" s="32"/>
      <c r="AES51" s="12"/>
      <c r="AEU51" s="34"/>
      <c r="AEV51" s="39"/>
      <c r="AEW51" s="41"/>
      <c r="AEZ51" s="32"/>
      <c r="AFB51" s="12"/>
      <c r="AFD51" s="34"/>
      <c r="AFE51" s="39"/>
      <c r="AFF51" s="41"/>
      <c r="AFI51" s="32"/>
      <c r="AFK51" s="12"/>
      <c r="AFM51" s="34"/>
      <c r="AFN51" s="39"/>
      <c r="AFO51" s="41"/>
      <c r="AFR51" s="32"/>
      <c r="AFT51" s="12"/>
      <c r="AFV51" s="34"/>
      <c r="AFW51" s="39"/>
      <c r="AFX51" s="41"/>
      <c r="AGA51" s="32"/>
      <c r="AGC51" s="12"/>
      <c r="AGE51" s="34"/>
      <c r="AGF51" s="39"/>
      <c r="AGG51" s="41"/>
      <c r="AGJ51" s="32"/>
      <c r="AGL51" s="12"/>
      <c r="AGN51" s="34"/>
      <c r="AGO51" s="39"/>
      <c r="AGP51" s="41"/>
      <c r="AGS51" s="32"/>
      <c r="AGU51" s="12"/>
      <c r="AGW51" s="34"/>
      <c r="AGX51" s="39"/>
      <c r="AGY51" s="41"/>
      <c r="AHB51" s="32"/>
      <c r="AHD51" s="12"/>
      <c r="AHF51" s="34"/>
      <c r="AHG51" s="39"/>
      <c r="AHH51" s="41"/>
      <c r="AHK51" s="32"/>
      <c r="AHM51" s="12"/>
      <c r="AHO51" s="34"/>
      <c r="AHP51" s="39"/>
      <c r="AHQ51" s="41"/>
      <c r="AHT51" s="32"/>
      <c r="AHV51" s="12"/>
      <c r="AHX51" s="34"/>
      <c r="AHY51" s="39"/>
      <c r="AHZ51" s="41"/>
      <c r="AIC51" s="32"/>
      <c r="AIE51" s="12"/>
      <c r="AIG51" s="34"/>
      <c r="AIH51" s="39"/>
      <c r="AII51" s="41"/>
      <c r="AIL51" s="32"/>
      <c r="AIN51" s="12"/>
      <c r="AIP51" s="34"/>
      <c r="AIQ51" s="39"/>
      <c r="AIR51" s="41"/>
      <c r="AIU51" s="32"/>
      <c r="AIW51" s="12"/>
      <c r="AIY51" s="34"/>
      <c r="AIZ51" s="39"/>
      <c r="AJA51" s="41"/>
      <c r="AJD51" s="32"/>
      <c r="AJF51" s="12"/>
      <c r="AJH51" s="34"/>
      <c r="AJI51" s="39"/>
      <c r="AJJ51" s="41"/>
      <c r="AJM51" s="32"/>
      <c r="AJO51" s="12"/>
      <c r="AJQ51" s="34"/>
      <c r="AJR51" s="39"/>
      <c r="AJS51" s="41"/>
      <c r="AJV51" s="32"/>
      <c r="AJX51" s="12"/>
      <c r="AJZ51" s="34"/>
      <c r="AKA51" s="39"/>
      <c r="AKB51" s="41"/>
      <c r="AKE51" s="32"/>
      <c r="AKG51" s="12"/>
      <c r="AKI51" s="34"/>
      <c r="AKJ51" s="39"/>
      <c r="AKK51" s="41"/>
      <c r="AKN51" s="32"/>
      <c r="AKP51" s="12"/>
      <c r="AKR51" s="34"/>
      <c r="AKS51" s="39"/>
      <c r="AKT51" s="41"/>
      <c r="AKW51" s="32"/>
      <c r="AKY51" s="12"/>
      <c r="ALA51" s="34"/>
      <c r="ALB51" s="39"/>
      <c r="ALC51" s="41"/>
      <c r="ALF51" s="32"/>
      <c r="ALH51" s="12"/>
      <c r="ALJ51" s="34"/>
      <c r="ALK51" s="39"/>
      <c r="ALL51" s="41"/>
      <c r="ALO51" s="32"/>
      <c r="ALQ51" s="12"/>
      <c r="ALS51" s="34"/>
      <c r="ALT51" s="39"/>
      <c r="ALU51" s="41"/>
      <c r="ALX51" s="32"/>
      <c r="ALZ51" s="12"/>
      <c r="AMB51" s="34"/>
      <c r="AMC51" s="39"/>
      <c r="AMD51" s="41"/>
      <c r="AMG51" s="32"/>
      <c r="AMI51" s="12"/>
      <c r="AMK51" s="34"/>
      <c r="AML51" s="39"/>
      <c r="AMM51" s="41"/>
      <c r="AMP51" s="32"/>
      <c r="AMR51" s="12"/>
      <c r="AMT51" s="34"/>
      <c r="AMU51" s="39"/>
      <c r="AMV51" s="41"/>
      <c r="AMY51" s="32"/>
      <c r="ANA51" s="12"/>
      <c r="ANC51" s="34"/>
      <c r="AND51" s="39"/>
      <c r="ANE51" s="41"/>
      <c r="ANH51" s="32"/>
      <c r="ANJ51" s="12"/>
      <c r="ANL51" s="34"/>
      <c r="ANM51" s="39"/>
      <c r="ANN51" s="41"/>
      <c r="ANQ51" s="32"/>
      <c r="ANS51" s="12"/>
      <c r="ANU51" s="34"/>
      <c r="ANV51" s="39"/>
      <c r="ANW51" s="41"/>
      <c r="ANZ51" s="32"/>
      <c r="AOB51" s="12"/>
      <c r="AOD51" s="34"/>
      <c r="AOE51" s="39"/>
      <c r="AOF51" s="41"/>
      <c r="AOI51" s="32"/>
      <c r="AOK51" s="12"/>
      <c r="AOM51" s="34"/>
      <c r="AON51" s="39"/>
      <c r="AOO51" s="41"/>
      <c r="AOR51" s="32"/>
      <c r="AOT51" s="12"/>
      <c r="AOV51" s="34"/>
      <c r="AOW51" s="39"/>
      <c r="AOX51" s="41"/>
      <c r="APA51" s="32"/>
      <c r="APC51" s="12"/>
      <c r="APE51" s="34"/>
      <c r="APF51" s="39"/>
      <c r="APG51" s="41"/>
      <c r="APJ51" s="32"/>
      <c r="APL51" s="12"/>
      <c r="APN51" s="34"/>
      <c r="APO51" s="39"/>
      <c r="APP51" s="41"/>
      <c r="APS51" s="32"/>
      <c r="APU51" s="12"/>
      <c r="APW51" s="34"/>
      <c r="APX51" s="39"/>
      <c r="APY51" s="41"/>
      <c r="AQB51" s="32"/>
      <c r="AQD51" s="12"/>
      <c r="AQF51" s="34"/>
      <c r="AQG51" s="39"/>
      <c r="AQH51" s="41"/>
      <c r="AQK51" s="32"/>
      <c r="AQM51" s="12"/>
      <c r="AQO51" s="34"/>
      <c r="AQP51" s="39"/>
      <c r="AQQ51" s="41"/>
      <c r="AQT51" s="32"/>
      <c r="AQV51" s="12"/>
      <c r="AQX51" s="34"/>
      <c r="AQY51" s="39"/>
      <c r="AQZ51" s="41"/>
      <c r="ARC51" s="32"/>
      <c r="ARE51" s="12"/>
      <c r="ARG51" s="34"/>
      <c r="ARH51" s="39"/>
      <c r="ARI51" s="41"/>
      <c r="ARL51" s="32"/>
      <c r="ARN51" s="12"/>
      <c r="ARP51" s="34"/>
      <c r="ARQ51" s="39"/>
      <c r="ARR51" s="41"/>
      <c r="ARU51" s="32"/>
      <c r="ARW51" s="12"/>
      <c r="ARY51" s="34"/>
      <c r="ARZ51" s="39"/>
      <c r="ASA51" s="41"/>
      <c r="ASD51" s="32"/>
      <c r="ASF51" s="12"/>
      <c r="ASH51" s="34"/>
      <c r="ASI51" s="39"/>
      <c r="ASJ51" s="41"/>
      <c r="ASM51" s="32"/>
      <c r="ASO51" s="12"/>
      <c r="ASQ51" s="34"/>
      <c r="ASR51" s="39"/>
      <c r="ASS51" s="41"/>
      <c r="ASV51" s="32"/>
      <c r="ASX51" s="12"/>
      <c r="ASZ51" s="34"/>
      <c r="ATA51" s="39"/>
      <c r="ATB51" s="41"/>
      <c r="ATE51" s="32"/>
      <c r="ATG51" s="12"/>
      <c r="ATI51" s="34"/>
      <c r="ATJ51" s="39"/>
      <c r="ATK51" s="41"/>
      <c r="ATN51" s="32"/>
      <c r="ATP51" s="12"/>
      <c r="ATR51" s="34"/>
      <c r="ATS51" s="39"/>
      <c r="ATT51" s="41"/>
      <c r="ATW51" s="32"/>
      <c r="ATY51" s="12"/>
      <c r="AUA51" s="34"/>
      <c r="AUB51" s="39"/>
      <c r="AUC51" s="41"/>
      <c r="AUF51" s="32"/>
      <c r="AUH51" s="12"/>
      <c r="AUJ51" s="34"/>
      <c r="AUK51" s="39"/>
      <c r="AUL51" s="41"/>
      <c r="AUO51" s="32"/>
      <c r="AUQ51" s="12"/>
      <c r="AUS51" s="34"/>
      <c r="AUT51" s="39"/>
      <c r="AUU51" s="41"/>
      <c r="AUX51" s="32"/>
      <c r="AUZ51" s="12"/>
      <c r="AVB51" s="34"/>
      <c r="AVC51" s="39"/>
      <c r="AVD51" s="41"/>
      <c r="AVG51" s="32"/>
      <c r="AVI51" s="12"/>
      <c r="AVK51" s="34"/>
      <c r="AVL51" s="39"/>
      <c r="AVM51" s="41"/>
      <c r="AVP51" s="32"/>
      <c r="AVR51" s="12"/>
      <c r="AVT51" s="34"/>
      <c r="AVU51" s="39"/>
      <c r="AVV51" s="41"/>
      <c r="AVY51" s="32"/>
      <c r="AWA51" s="12"/>
      <c r="AWC51" s="34"/>
      <c r="AWD51" s="39"/>
      <c r="AWE51" s="41"/>
      <c r="AWH51" s="32"/>
      <c r="AWJ51" s="12"/>
      <c r="AWL51" s="34"/>
      <c r="AWM51" s="39"/>
      <c r="AWN51" s="41"/>
      <c r="AWQ51" s="32"/>
      <c r="AWS51" s="12"/>
      <c r="AWU51" s="34"/>
      <c r="AWV51" s="39"/>
      <c r="AWW51" s="41"/>
      <c r="AWZ51" s="32"/>
      <c r="AXB51" s="12"/>
      <c r="AXD51" s="34"/>
      <c r="AXE51" s="39"/>
      <c r="AXF51" s="41"/>
      <c r="AXI51" s="32"/>
      <c r="AXK51" s="12"/>
      <c r="AXM51" s="34"/>
      <c r="AXN51" s="39"/>
      <c r="AXO51" s="41"/>
      <c r="AXR51" s="32"/>
      <c r="AXT51" s="12"/>
      <c r="AXV51" s="34"/>
      <c r="AXW51" s="39"/>
      <c r="AXX51" s="41"/>
      <c r="AYA51" s="32"/>
      <c r="AYC51" s="12"/>
      <c r="AYE51" s="34"/>
      <c r="AYF51" s="39"/>
      <c r="AYG51" s="41"/>
      <c r="AYJ51" s="32"/>
      <c r="AYL51" s="12"/>
      <c r="AYN51" s="34"/>
      <c r="AYO51" s="39"/>
      <c r="AYP51" s="41"/>
      <c r="AYS51" s="32"/>
      <c r="AYU51" s="12"/>
      <c r="AYW51" s="34"/>
      <c r="AYX51" s="39"/>
      <c r="AYY51" s="41"/>
      <c r="AZB51" s="32"/>
      <c r="AZD51" s="12"/>
      <c r="AZF51" s="34"/>
      <c r="AZG51" s="39"/>
      <c r="AZH51" s="41"/>
      <c r="AZK51" s="32"/>
      <c r="AZM51" s="12"/>
      <c r="AZO51" s="34"/>
      <c r="AZP51" s="39"/>
      <c r="AZQ51" s="41"/>
      <c r="AZT51" s="32"/>
      <c r="AZV51" s="12"/>
      <c r="AZX51" s="34"/>
      <c r="AZY51" s="39"/>
      <c r="AZZ51" s="41"/>
      <c r="BAC51" s="32"/>
      <c r="BAE51" s="12"/>
      <c r="BAG51" s="34"/>
      <c r="BAH51" s="39"/>
      <c r="BAI51" s="41"/>
      <c r="BAL51" s="32"/>
      <c r="BAN51" s="12"/>
      <c r="BAP51" s="34"/>
      <c r="BAQ51" s="39"/>
      <c r="BAR51" s="41"/>
      <c r="BAU51" s="32"/>
      <c r="BAW51" s="12"/>
      <c r="BAY51" s="34"/>
      <c r="BAZ51" s="39"/>
      <c r="BBA51" s="41"/>
      <c r="BBD51" s="32"/>
      <c r="BBF51" s="12"/>
      <c r="BBH51" s="34"/>
      <c r="BBI51" s="39"/>
      <c r="BBJ51" s="41"/>
      <c r="BBM51" s="32"/>
      <c r="BBO51" s="12"/>
      <c r="BBQ51" s="34"/>
      <c r="BBR51" s="39"/>
      <c r="BBS51" s="41"/>
      <c r="BBV51" s="32"/>
      <c r="BBX51" s="12"/>
      <c r="BBZ51" s="34"/>
      <c r="BCA51" s="39"/>
      <c r="BCB51" s="41"/>
      <c r="BCE51" s="32"/>
      <c r="BCG51" s="12"/>
      <c r="BCI51" s="34"/>
      <c r="BCJ51" s="39"/>
      <c r="BCK51" s="41"/>
      <c r="BCN51" s="32"/>
      <c r="BCP51" s="12"/>
      <c r="BCR51" s="34"/>
      <c r="BCS51" s="39"/>
      <c r="BCT51" s="41"/>
      <c r="BCW51" s="32"/>
      <c r="BCY51" s="12"/>
      <c r="BDA51" s="34"/>
      <c r="BDB51" s="39"/>
      <c r="BDC51" s="41"/>
      <c r="BDF51" s="32"/>
      <c r="BDH51" s="12"/>
      <c r="BDJ51" s="34"/>
      <c r="BDK51" s="39"/>
      <c r="BDL51" s="41"/>
      <c r="BDO51" s="32"/>
      <c r="BDQ51" s="12"/>
      <c r="BDS51" s="34"/>
      <c r="BDT51" s="39"/>
      <c r="BDU51" s="41"/>
      <c r="BDX51" s="32"/>
      <c r="BDZ51" s="12"/>
      <c r="BEB51" s="34"/>
      <c r="BEC51" s="39"/>
      <c r="BED51" s="41"/>
      <c r="BEG51" s="32"/>
      <c r="BEI51" s="12"/>
      <c r="BEK51" s="34"/>
      <c r="BEL51" s="39"/>
      <c r="BEM51" s="41"/>
      <c r="BEP51" s="32"/>
      <c r="BER51" s="12"/>
      <c r="BET51" s="34"/>
      <c r="BEU51" s="39"/>
      <c r="BEV51" s="41"/>
      <c r="BEY51" s="32"/>
      <c r="BFA51" s="12"/>
      <c r="BFC51" s="34"/>
      <c r="BFD51" s="39"/>
      <c r="BFE51" s="41"/>
      <c r="BFH51" s="32"/>
      <c r="BFJ51" s="12"/>
      <c r="BFL51" s="34"/>
      <c r="BFM51" s="39"/>
      <c r="BFN51" s="41"/>
      <c r="BFQ51" s="32"/>
      <c r="BFS51" s="12"/>
      <c r="BFU51" s="34"/>
      <c r="BFV51" s="39"/>
      <c r="BFW51" s="41"/>
      <c r="BFZ51" s="32"/>
      <c r="BGB51" s="12"/>
      <c r="BGD51" s="34"/>
      <c r="BGE51" s="39"/>
      <c r="BGF51" s="41"/>
      <c r="BGI51" s="32"/>
      <c r="BGK51" s="12"/>
      <c r="BGM51" s="34"/>
      <c r="BGN51" s="39"/>
      <c r="BGO51" s="41"/>
      <c r="BGR51" s="32"/>
      <c r="BGT51" s="12"/>
      <c r="BGV51" s="34"/>
      <c r="BGW51" s="39"/>
      <c r="BGX51" s="41"/>
      <c r="BHA51" s="32"/>
      <c r="BHC51" s="12"/>
      <c r="BHE51" s="34"/>
      <c r="BHF51" s="39"/>
      <c r="BHG51" s="41"/>
      <c r="BHJ51" s="32"/>
      <c r="BHL51" s="12"/>
      <c r="BHN51" s="34"/>
      <c r="BHO51" s="39"/>
      <c r="BHP51" s="41"/>
      <c r="BHS51" s="32"/>
      <c r="BHU51" s="12"/>
      <c r="BHW51" s="34"/>
      <c r="BHX51" s="39"/>
      <c r="BHY51" s="41"/>
      <c r="BIB51" s="32"/>
      <c r="BID51" s="12"/>
      <c r="BIF51" s="34"/>
      <c r="BIG51" s="39"/>
      <c r="BIH51" s="41"/>
      <c r="BIK51" s="32"/>
      <c r="BIM51" s="12"/>
      <c r="BIO51" s="34"/>
      <c r="BIP51" s="39"/>
      <c r="BIQ51" s="41"/>
      <c r="BIT51" s="32"/>
      <c r="BIV51" s="12"/>
      <c r="BIX51" s="34"/>
      <c r="BIY51" s="39"/>
      <c r="BIZ51" s="41"/>
      <c r="BJC51" s="32"/>
      <c r="BJE51" s="12"/>
      <c r="BJG51" s="34"/>
      <c r="BJH51" s="39"/>
      <c r="BJI51" s="41"/>
      <c r="BJL51" s="32"/>
      <c r="BJN51" s="12"/>
      <c r="BJP51" s="34"/>
      <c r="BJQ51" s="39"/>
      <c r="BJR51" s="41"/>
      <c r="BJU51" s="32"/>
      <c r="BJW51" s="12"/>
      <c r="BJY51" s="34"/>
      <c r="BJZ51" s="39"/>
      <c r="BKA51" s="41"/>
      <c r="BKD51" s="32"/>
      <c r="BKF51" s="12"/>
      <c r="BKH51" s="34"/>
      <c r="BKI51" s="39"/>
      <c r="BKJ51" s="41"/>
      <c r="BKM51" s="32"/>
      <c r="BKO51" s="12"/>
      <c r="BKQ51" s="34"/>
      <c r="BKR51" s="39"/>
      <c r="BKS51" s="41"/>
      <c r="BKV51" s="32"/>
      <c r="BKX51" s="12"/>
      <c r="BKZ51" s="34"/>
      <c r="BLA51" s="39"/>
      <c r="BLB51" s="41"/>
      <c r="BLE51" s="32"/>
      <c r="BLG51" s="12"/>
      <c r="BLI51" s="34"/>
      <c r="BLJ51" s="39"/>
      <c r="BLK51" s="41"/>
      <c r="BLN51" s="32"/>
      <c r="BLP51" s="12"/>
      <c r="BLR51" s="34"/>
      <c r="BLS51" s="39"/>
      <c r="BLT51" s="41"/>
      <c r="BLW51" s="32"/>
      <c r="BLY51" s="12"/>
      <c r="BMA51" s="34"/>
      <c r="BMB51" s="39"/>
      <c r="BMC51" s="41"/>
      <c r="BMF51" s="32"/>
      <c r="BMH51" s="12"/>
      <c r="BMJ51" s="34"/>
      <c r="BMK51" s="39"/>
      <c r="BML51" s="41"/>
      <c r="BMO51" s="32"/>
      <c r="BMQ51" s="12"/>
      <c r="BMS51" s="34"/>
      <c r="BMT51" s="39"/>
      <c r="BMU51" s="41"/>
      <c r="BMX51" s="32"/>
      <c r="BMZ51" s="12"/>
      <c r="BNB51" s="34"/>
      <c r="BNC51" s="39"/>
      <c r="BND51" s="41"/>
      <c r="BNG51" s="32"/>
      <c r="BNI51" s="12"/>
      <c r="BNK51" s="34"/>
      <c r="BNL51" s="39"/>
      <c r="BNM51" s="41"/>
      <c r="BNP51" s="32"/>
      <c r="BNR51" s="12"/>
      <c r="BNT51" s="34"/>
      <c r="BNU51" s="39"/>
      <c r="BNV51" s="41"/>
      <c r="BNY51" s="32"/>
      <c r="BOA51" s="12"/>
      <c r="BOC51" s="34"/>
      <c r="BOD51" s="39"/>
      <c r="BOE51" s="41"/>
      <c r="BOH51" s="32"/>
      <c r="BOJ51" s="12"/>
      <c r="BOL51" s="34"/>
      <c r="BOM51" s="39"/>
      <c r="BON51" s="41"/>
      <c r="BOQ51" s="32"/>
      <c r="BOS51" s="12"/>
      <c r="BOU51" s="34"/>
      <c r="BOV51" s="39"/>
      <c r="BOW51" s="41"/>
      <c r="BOZ51" s="32"/>
      <c r="BPB51" s="12"/>
      <c r="BPD51" s="34"/>
      <c r="BPE51" s="39"/>
      <c r="BPF51" s="41"/>
      <c r="BPI51" s="32"/>
      <c r="BPK51" s="12"/>
      <c r="BPM51" s="34"/>
      <c r="BPN51" s="39"/>
      <c r="BPO51" s="41"/>
      <c r="BPR51" s="32"/>
      <c r="BPT51" s="12"/>
      <c r="BPV51" s="34"/>
      <c r="BPW51" s="39"/>
      <c r="BPX51" s="41"/>
      <c r="BQA51" s="32"/>
      <c r="BQC51" s="12"/>
      <c r="BQE51" s="34"/>
      <c r="BQF51" s="39"/>
      <c r="BQG51" s="41"/>
      <c r="BQJ51" s="32"/>
      <c r="BQL51" s="12"/>
      <c r="BQN51" s="34"/>
      <c r="BQO51" s="39"/>
      <c r="BQP51" s="41"/>
      <c r="BQS51" s="32"/>
      <c r="BQU51" s="12"/>
      <c r="BQW51" s="34"/>
      <c r="BQX51" s="39"/>
      <c r="BQY51" s="41"/>
      <c r="BRB51" s="32"/>
      <c r="BRD51" s="12"/>
      <c r="BRF51" s="34"/>
      <c r="BRG51" s="39"/>
      <c r="BRH51" s="41"/>
      <c r="BRK51" s="32"/>
      <c r="BRM51" s="12"/>
      <c r="BRO51" s="34"/>
      <c r="BRP51" s="39"/>
      <c r="BRQ51" s="41"/>
      <c r="BRT51" s="32"/>
      <c r="BRV51" s="12"/>
      <c r="BRX51" s="34"/>
      <c r="BRY51" s="39"/>
      <c r="BRZ51" s="41"/>
      <c r="BSC51" s="32"/>
      <c r="BSE51" s="12"/>
      <c r="BSG51" s="34"/>
      <c r="BSH51" s="39"/>
      <c r="BSI51" s="41"/>
      <c r="BSL51" s="32"/>
      <c r="BSN51" s="12"/>
      <c r="BSP51" s="34"/>
      <c r="BSQ51" s="39"/>
      <c r="BSR51" s="41"/>
      <c r="BSU51" s="32"/>
      <c r="BSW51" s="12"/>
      <c r="BSY51" s="34"/>
      <c r="BSZ51" s="39"/>
      <c r="BTA51" s="41"/>
      <c r="BTD51" s="32"/>
      <c r="BTF51" s="12"/>
      <c r="BTH51" s="34"/>
      <c r="BTI51" s="39"/>
      <c r="BTJ51" s="41"/>
      <c r="BTM51" s="32"/>
      <c r="BTO51" s="12"/>
      <c r="BTQ51" s="34"/>
      <c r="BTR51" s="39"/>
      <c r="BTS51" s="41"/>
      <c r="BTV51" s="32"/>
      <c r="BTX51" s="12"/>
      <c r="BTZ51" s="34"/>
      <c r="BUA51" s="39"/>
      <c r="BUB51" s="41"/>
      <c r="BUE51" s="32"/>
      <c r="BUG51" s="12"/>
      <c r="BUI51" s="34"/>
      <c r="BUJ51" s="39"/>
      <c r="BUK51" s="41"/>
      <c r="BUN51" s="32"/>
      <c r="BUP51" s="12"/>
      <c r="BUR51" s="34"/>
      <c r="BUS51" s="39"/>
      <c r="BUT51" s="41"/>
      <c r="BUW51" s="32"/>
      <c r="BUY51" s="12"/>
      <c r="BVA51" s="34"/>
      <c r="BVB51" s="39"/>
      <c r="BVC51" s="41"/>
      <c r="BVF51" s="32"/>
      <c r="BVH51" s="12"/>
      <c r="BVJ51" s="34"/>
      <c r="BVK51" s="39"/>
      <c r="BVL51" s="41"/>
      <c r="BVO51" s="32"/>
      <c r="BVQ51" s="12"/>
      <c r="BVS51" s="34"/>
      <c r="BVT51" s="39"/>
      <c r="BVU51" s="41"/>
      <c r="BVX51" s="32"/>
      <c r="BVZ51" s="12"/>
      <c r="BWB51" s="34"/>
      <c r="BWC51" s="39"/>
      <c r="BWD51" s="41"/>
      <c r="BWG51" s="32"/>
      <c r="BWI51" s="12"/>
      <c r="BWK51" s="34"/>
      <c r="BWL51" s="39"/>
      <c r="BWM51" s="41"/>
      <c r="BWP51" s="32"/>
      <c r="BWR51" s="12"/>
      <c r="BWT51" s="34"/>
      <c r="BWU51" s="39"/>
      <c r="BWV51" s="41"/>
      <c r="BWY51" s="32"/>
      <c r="BXA51" s="12"/>
      <c r="BXC51" s="34"/>
      <c r="BXD51" s="39"/>
      <c r="BXE51" s="41"/>
      <c r="BXH51" s="32"/>
      <c r="BXJ51" s="12"/>
      <c r="BXL51" s="34"/>
      <c r="BXM51" s="39"/>
      <c r="BXN51" s="41"/>
      <c r="BXQ51" s="32"/>
      <c r="BXS51" s="12"/>
      <c r="BXU51" s="34"/>
      <c r="BXV51" s="39"/>
      <c r="BXW51" s="41"/>
      <c r="BXZ51" s="32"/>
      <c r="BYB51" s="12"/>
      <c r="BYD51" s="34"/>
      <c r="BYE51" s="39"/>
      <c r="BYF51" s="41"/>
      <c r="BYI51" s="32"/>
      <c r="BYK51" s="12"/>
      <c r="BYM51" s="34"/>
      <c r="BYN51" s="39"/>
      <c r="BYO51" s="41"/>
      <c r="BYR51" s="32"/>
      <c r="BYT51" s="12"/>
      <c r="BYV51" s="34"/>
      <c r="BYW51" s="39"/>
      <c r="BYX51" s="41"/>
      <c r="BZA51" s="32"/>
      <c r="BZC51" s="12"/>
      <c r="BZE51" s="34"/>
      <c r="BZF51" s="39"/>
      <c r="BZG51" s="41"/>
      <c r="BZJ51" s="32"/>
      <c r="BZL51" s="12"/>
      <c r="BZN51" s="34"/>
      <c r="BZO51" s="39"/>
      <c r="BZP51" s="41"/>
      <c r="BZS51" s="32"/>
      <c r="BZU51" s="12"/>
      <c r="BZW51" s="34"/>
      <c r="BZX51" s="39"/>
      <c r="BZY51" s="41"/>
      <c r="CAB51" s="32"/>
      <c r="CAD51" s="12"/>
      <c r="CAF51" s="34"/>
      <c r="CAG51" s="39"/>
      <c r="CAH51" s="41"/>
      <c r="CAK51" s="32"/>
      <c r="CAM51" s="12"/>
      <c r="CAO51" s="34"/>
      <c r="CAP51" s="39"/>
      <c r="CAQ51" s="41"/>
      <c r="CAT51" s="32"/>
      <c r="CAV51" s="12"/>
      <c r="CAX51" s="34"/>
      <c r="CAY51" s="39"/>
      <c r="CAZ51" s="41"/>
      <c r="CBC51" s="32"/>
      <c r="CBE51" s="12"/>
      <c r="CBG51" s="34"/>
      <c r="CBH51" s="39"/>
      <c r="CBI51" s="41"/>
      <c r="CBL51" s="32"/>
      <c r="CBN51" s="12"/>
      <c r="CBP51" s="34"/>
      <c r="CBQ51" s="39"/>
      <c r="CBR51" s="41"/>
      <c r="CBU51" s="32"/>
      <c r="CBW51" s="12"/>
      <c r="CBY51" s="34"/>
      <c r="CBZ51" s="39"/>
      <c r="CCA51" s="41"/>
      <c r="CCD51" s="32"/>
      <c r="CCF51" s="12"/>
      <c r="CCH51" s="34"/>
      <c r="CCI51" s="39"/>
      <c r="CCJ51" s="41"/>
      <c r="CCM51" s="32"/>
      <c r="CCO51" s="12"/>
      <c r="CCQ51" s="34"/>
      <c r="CCR51" s="39"/>
      <c r="CCS51" s="41"/>
      <c r="CCV51" s="32"/>
      <c r="CCX51" s="12"/>
      <c r="CCZ51" s="34"/>
      <c r="CDA51" s="39"/>
      <c r="CDB51" s="41"/>
      <c r="CDE51" s="32"/>
      <c r="CDG51" s="12"/>
      <c r="CDI51" s="34"/>
      <c r="CDJ51" s="39"/>
      <c r="CDK51" s="41"/>
      <c r="CDN51" s="32"/>
      <c r="CDP51" s="12"/>
      <c r="CDR51" s="34"/>
      <c r="CDS51" s="39"/>
      <c r="CDT51" s="41"/>
      <c r="CDW51" s="32"/>
      <c r="CDY51" s="12"/>
      <c r="CEA51" s="34"/>
      <c r="CEB51" s="39"/>
      <c r="CEC51" s="41"/>
      <c r="CEF51" s="32"/>
      <c r="CEH51" s="12"/>
      <c r="CEJ51" s="34"/>
      <c r="CEK51" s="39"/>
      <c r="CEL51" s="41"/>
      <c r="CEO51" s="32"/>
      <c r="CEQ51" s="12"/>
      <c r="CES51" s="34"/>
      <c r="CET51" s="39"/>
      <c r="CEU51" s="41"/>
      <c r="CEX51" s="32"/>
      <c r="CEZ51" s="12"/>
      <c r="CFB51" s="34"/>
      <c r="CFC51" s="39"/>
      <c r="CFD51" s="41"/>
      <c r="CFG51" s="32"/>
      <c r="CFI51" s="12"/>
      <c r="CFK51" s="34"/>
      <c r="CFL51" s="39"/>
      <c r="CFM51" s="41"/>
      <c r="CFP51" s="32"/>
      <c r="CFR51" s="12"/>
      <c r="CFT51" s="34"/>
      <c r="CFU51" s="39"/>
      <c r="CFV51" s="41"/>
      <c r="CFY51" s="32"/>
      <c r="CGA51" s="12"/>
      <c r="CGC51" s="34"/>
      <c r="CGD51" s="39"/>
      <c r="CGE51" s="41"/>
      <c r="CGH51" s="32"/>
      <c r="CGJ51" s="12"/>
      <c r="CGL51" s="34"/>
      <c r="CGM51" s="39"/>
      <c r="CGN51" s="41"/>
      <c r="CGQ51" s="32"/>
      <c r="CGS51" s="12"/>
      <c r="CGU51" s="34"/>
      <c r="CGV51" s="39"/>
      <c r="CGW51" s="41"/>
      <c r="CGZ51" s="32"/>
      <c r="CHB51" s="12"/>
      <c r="CHD51" s="34"/>
      <c r="CHE51" s="39"/>
      <c r="CHF51" s="41"/>
      <c r="CHI51" s="32"/>
      <c r="CHK51" s="12"/>
      <c r="CHM51" s="34"/>
      <c r="CHN51" s="39"/>
      <c r="CHO51" s="41"/>
      <c r="CHR51" s="32"/>
      <c r="CHT51" s="12"/>
      <c r="CHV51" s="34"/>
      <c r="CHW51" s="39"/>
      <c r="CHX51" s="41"/>
      <c r="CIA51" s="32"/>
      <c r="CIC51" s="12"/>
      <c r="CIE51" s="34"/>
      <c r="CIF51" s="39"/>
      <c r="CIG51" s="41"/>
      <c r="CIJ51" s="32"/>
      <c r="CIL51" s="12"/>
      <c r="CIN51" s="34"/>
      <c r="CIO51" s="39"/>
      <c r="CIP51" s="41"/>
      <c r="CIS51" s="32"/>
      <c r="CIU51" s="12"/>
      <c r="CIW51" s="34"/>
      <c r="CIX51" s="39"/>
      <c r="CIY51" s="41"/>
      <c r="CJB51" s="32"/>
      <c r="CJD51" s="12"/>
      <c r="CJF51" s="34"/>
      <c r="CJG51" s="39"/>
      <c r="CJH51" s="41"/>
      <c r="CJK51" s="32"/>
      <c r="CJM51" s="12"/>
      <c r="CJO51" s="34"/>
      <c r="CJP51" s="39"/>
      <c r="CJQ51" s="41"/>
      <c r="CJT51" s="32"/>
      <c r="CJV51" s="12"/>
      <c r="CJX51" s="34"/>
      <c r="CJY51" s="39"/>
      <c r="CJZ51" s="41"/>
      <c r="CKC51" s="32"/>
      <c r="CKE51" s="12"/>
      <c r="CKG51" s="34"/>
      <c r="CKH51" s="39"/>
      <c r="CKI51" s="41"/>
      <c r="CKL51" s="32"/>
      <c r="CKN51" s="12"/>
      <c r="CKP51" s="34"/>
      <c r="CKQ51" s="39"/>
      <c r="CKR51" s="41"/>
      <c r="CKU51" s="32"/>
      <c r="CKW51" s="12"/>
      <c r="CKY51" s="34"/>
      <c r="CKZ51" s="39"/>
      <c r="CLA51" s="41"/>
      <c r="CLD51" s="32"/>
      <c r="CLF51" s="12"/>
      <c r="CLH51" s="34"/>
      <c r="CLI51" s="39"/>
      <c r="CLJ51" s="41"/>
      <c r="CLM51" s="32"/>
      <c r="CLO51" s="12"/>
      <c r="CLQ51" s="34"/>
      <c r="CLR51" s="39"/>
      <c r="CLS51" s="41"/>
      <c r="CLV51" s="32"/>
      <c r="CLX51" s="12"/>
      <c r="CLZ51" s="34"/>
      <c r="CMA51" s="39"/>
      <c r="CMB51" s="41"/>
      <c r="CME51" s="32"/>
      <c r="CMG51" s="12"/>
      <c r="CMI51" s="34"/>
      <c r="CMJ51" s="39"/>
      <c r="CMK51" s="41"/>
      <c r="CMN51" s="32"/>
      <c r="CMP51" s="12"/>
      <c r="CMR51" s="34"/>
      <c r="CMS51" s="39"/>
      <c r="CMT51" s="41"/>
      <c r="CMW51" s="32"/>
      <c r="CMY51" s="12"/>
      <c r="CNA51" s="34"/>
      <c r="CNB51" s="39"/>
      <c r="CNC51" s="41"/>
      <c r="CNF51" s="32"/>
      <c r="CNH51" s="12"/>
      <c r="CNJ51" s="34"/>
      <c r="CNK51" s="39"/>
      <c r="CNL51" s="41"/>
      <c r="CNO51" s="32"/>
      <c r="CNQ51" s="12"/>
      <c r="CNS51" s="34"/>
      <c r="CNT51" s="39"/>
      <c r="CNU51" s="41"/>
      <c r="CNX51" s="32"/>
      <c r="CNZ51" s="12"/>
      <c r="COB51" s="34"/>
      <c r="COC51" s="39"/>
      <c r="COD51" s="41"/>
      <c r="COG51" s="32"/>
      <c r="COI51" s="12"/>
      <c r="COK51" s="34"/>
      <c r="COL51" s="39"/>
      <c r="COM51" s="41"/>
      <c r="COP51" s="32"/>
      <c r="COR51" s="12"/>
      <c r="COT51" s="34"/>
      <c r="COU51" s="39"/>
      <c r="COV51" s="41"/>
      <c r="COY51" s="32"/>
      <c r="CPA51" s="12"/>
      <c r="CPC51" s="34"/>
      <c r="CPD51" s="39"/>
      <c r="CPE51" s="41"/>
      <c r="CPH51" s="32"/>
      <c r="CPJ51" s="12"/>
      <c r="CPL51" s="34"/>
      <c r="CPM51" s="39"/>
      <c r="CPN51" s="41"/>
      <c r="CPQ51" s="32"/>
      <c r="CPS51" s="12"/>
      <c r="CPU51" s="34"/>
      <c r="CPV51" s="39"/>
      <c r="CPW51" s="41"/>
      <c r="CPZ51" s="32"/>
      <c r="CQB51" s="12"/>
      <c r="CQD51" s="34"/>
      <c r="CQE51" s="39"/>
      <c r="CQF51" s="41"/>
      <c r="CQI51" s="32"/>
      <c r="CQK51" s="12"/>
      <c r="CQM51" s="34"/>
      <c r="CQN51" s="39"/>
      <c r="CQO51" s="41"/>
      <c r="CQR51" s="32"/>
      <c r="CQT51" s="12"/>
      <c r="CQV51" s="34"/>
      <c r="CQW51" s="39"/>
      <c r="CQX51" s="41"/>
      <c r="CRA51" s="32"/>
      <c r="CRC51" s="12"/>
      <c r="CRE51" s="34"/>
      <c r="CRF51" s="39"/>
      <c r="CRG51" s="41"/>
      <c r="CRJ51" s="32"/>
      <c r="CRL51" s="12"/>
      <c r="CRN51" s="34"/>
      <c r="CRO51" s="39"/>
      <c r="CRP51" s="41"/>
      <c r="CRS51" s="32"/>
      <c r="CRU51" s="12"/>
      <c r="CRW51" s="34"/>
      <c r="CRX51" s="39"/>
      <c r="CRY51" s="41"/>
      <c r="CSB51" s="32"/>
      <c r="CSD51" s="12"/>
      <c r="CSF51" s="34"/>
      <c r="CSG51" s="39"/>
      <c r="CSH51" s="41"/>
      <c r="CSK51" s="32"/>
      <c r="CSM51" s="12"/>
      <c r="CSO51" s="34"/>
      <c r="CSP51" s="39"/>
      <c r="CSQ51" s="41"/>
      <c r="CST51" s="32"/>
      <c r="CSV51" s="12"/>
      <c r="CSX51" s="34"/>
      <c r="CSY51" s="39"/>
      <c r="CSZ51" s="41"/>
      <c r="CTC51" s="32"/>
      <c r="CTE51" s="12"/>
      <c r="CTG51" s="34"/>
      <c r="CTH51" s="39"/>
      <c r="CTI51" s="41"/>
      <c r="CTL51" s="32"/>
      <c r="CTN51" s="12"/>
      <c r="CTP51" s="34"/>
      <c r="CTQ51" s="39"/>
      <c r="CTR51" s="41"/>
      <c r="CTU51" s="32"/>
      <c r="CTW51" s="12"/>
      <c r="CTY51" s="34"/>
      <c r="CTZ51" s="39"/>
      <c r="CUA51" s="41"/>
      <c r="CUD51" s="32"/>
      <c r="CUF51" s="12"/>
      <c r="CUH51" s="34"/>
      <c r="CUI51" s="39"/>
      <c r="CUJ51" s="41"/>
      <c r="CUM51" s="32"/>
      <c r="CUO51" s="12"/>
      <c r="CUQ51" s="34"/>
      <c r="CUR51" s="39"/>
      <c r="CUS51" s="41"/>
      <c r="CUV51" s="32"/>
      <c r="CUX51" s="12"/>
      <c r="CUZ51" s="34"/>
      <c r="CVA51" s="39"/>
      <c r="CVB51" s="41"/>
      <c r="CVE51" s="32"/>
      <c r="CVG51" s="12"/>
      <c r="CVI51" s="34"/>
      <c r="CVJ51" s="39"/>
      <c r="CVK51" s="41"/>
      <c r="CVN51" s="32"/>
      <c r="CVP51" s="12"/>
      <c r="CVR51" s="34"/>
      <c r="CVS51" s="39"/>
      <c r="CVT51" s="41"/>
      <c r="CVW51" s="32"/>
      <c r="CVY51" s="12"/>
      <c r="CWA51" s="34"/>
      <c r="CWB51" s="39"/>
      <c r="CWC51" s="41"/>
      <c r="CWF51" s="32"/>
      <c r="CWH51" s="12"/>
      <c r="CWJ51" s="34"/>
      <c r="CWK51" s="39"/>
      <c r="CWL51" s="41"/>
      <c r="CWO51" s="32"/>
      <c r="CWQ51" s="12"/>
      <c r="CWS51" s="34"/>
      <c r="CWT51" s="39"/>
      <c r="CWU51" s="41"/>
      <c r="CWX51" s="32"/>
      <c r="CWZ51" s="12"/>
      <c r="CXB51" s="34"/>
      <c r="CXC51" s="39"/>
      <c r="CXD51" s="41"/>
      <c r="CXG51" s="32"/>
      <c r="CXI51" s="12"/>
      <c r="CXK51" s="34"/>
      <c r="CXL51" s="39"/>
      <c r="CXM51" s="41"/>
      <c r="CXP51" s="32"/>
      <c r="CXR51" s="12"/>
      <c r="CXT51" s="34"/>
      <c r="CXU51" s="39"/>
      <c r="CXV51" s="41"/>
      <c r="CXY51" s="32"/>
      <c r="CYA51" s="12"/>
      <c r="CYC51" s="34"/>
      <c r="CYD51" s="39"/>
      <c r="CYE51" s="41"/>
      <c r="CYH51" s="32"/>
      <c r="CYJ51" s="12"/>
      <c r="CYL51" s="34"/>
      <c r="CYM51" s="39"/>
      <c r="CYN51" s="41"/>
      <c r="CYQ51" s="32"/>
      <c r="CYS51" s="12"/>
      <c r="CYU51" s="34"/>
      <c r="CYV51" s="39"/>
      <c r="CYW51" s="41"/>
      <c r="CYZ51" s="32"/>
      <c r="CZB51" s="12"/>
      <c r="CZD51" s="34"/>
      <c r="CZE51" s="39"/>
      <c r="CZF51" s="41"/>
      <c r="CZI51" s="32"/>
      <c r="CZK51" s="12"/>
      <c r="CZM51" s="34"/>
      <c r="CZN51" s="39"/>
      <c r="CZO51" s="41"/>
      <c r="CZR51" s="32"/>
      <c r="CZT51" s="12"/>
      <c r="CZV51" s="34"/>
      <c r="CZW51" s="39"/>
      <c r="CZX51" s="41"/>
      <c r="DAA51" s="32"/>
      <c r="DAC51" s="12"/>
      <c r="DAE51" s="34"/>
      <c r="DAF51" s="39"/>
      <c r="DAG51" s="41"/>
      <c r="DAJ51" s="32"/>
      <c r="DAL51" s="12"/>
      <c r="DAN51" s="34"/>
      <c r="DAO51" s="39"/>
      <c r="DAP51" s="41"/>
      <c r="DAS51" s="32"/>
      <c r="DAU51" s="12"/>
      <c r="DAW51" s="34"/>
      <c r="DAX51" s="39"/>
      <c r="DAY51" s="41"/>
      <c r="DBB51" s="32"/>
      <c r="DBD51" s="12"/>
      <c r="DBF51" s="34"/>
      <c r="DBG51" s="39"/>
      <c r="DBH51" s="41"/>
      <c r="DBK51" s="32"/>
      <c r="DBM51" s="12"/>
      <c r="DBO51" s="34"/>
      <c r="DBP51" s="39"/>
      <c r="DBQ51" s="41"/>
      <c r="DBT51" s="32"/>
      <c r="DBV51" s="12"/>
      <c r="DBX51" s="34"/>
      <c r="DBY51" s="39"/>
      <c r="DBZ51" s="41"/>
      <c r="DCC51" s="32"/>
      <c r="DCE51" s="12"/>
      <c r="DCG51" s="34"/>
      <c r="DCH51" s="39"/>
      <c r="DCI51" s="41"/>
      <c r="DCL51" s="32"/>
      <c r="DCN51" s="12"/>
      <c r="DCP51" s="34"/>
      <c r="DCQ51" s="39"/>
      <c r="DCR51" s="41"/>
      <c r="DCU51" s="32"/>
      <c r="DCW51" s="12"/>
      <c r="DCY51" s="34"/>
      <c r="DCZ51" s="39"/>
      <c r="DDA51" s="41"/>
      <c r="DDD51" s="32"/>
      <c r="DDF51" s="12"/>
      <c r="DDH51" s="34"/>
      <c r="DDI51" s="39"/>
      <c r="DDJ51" s="41"/>
      <c r="DDM51" s="32"/>
      <c r="DDO51" s="12"/>
      <c r="DDQ51" s="34"/>
      <c r="DDR51" s="39"/>
      <c r="DDS51" s="41"/>
      <c r="DDV51" s="32"/>
      <c r="DDX51" s="12"/>
      <c r="DDZ51" s="34"/>
      <c r="DEA51" s="39"/>
      <c r="DEB51" s="41"/>
      <c r="DEE51" s="32"/>
      <c r="DEG51" s="12"/>
      <c r="DEI51" s="34"/>
      <c r="DEJ51" s="39"/>
      <c r="DEK51" s="41"/>
      <c r="DEN51" s="32"/>
      <c r="DEP51" s="12"/>
      <c r="DER51" s="34"/>
      <c r="DES51" s="39"/>
      <c r="DET51" s="41"/>
      <c r="DEW51" s="32"/>
      <c r="DEY51" s="12"/>
      <c r="DFA51" s="34"/>
      <c r="DFB51" s="39"/>
      <c r="DFC51" s="41"/>
      <c r="DFF51" s="32"/>
      <c r="DFH51" s="12"/>
      <c r="DFJ51" s="34"/>
      <c r="DFK51" s="39"/>
      <c r="DFL51" s="41"/>
      <c r="DFO51" s="32"/>
      <c r="DFQ51" s="12"/>
      <c r="DFS51" s="34"/>
      <c r="DFT51" s="39"/>
      <c r="DFU51" s="41"/>
      <c r="DFX51" s="32"/>
      <c r="DFZ51" s="12"/>
      <c r="DGB51" s="34"/>
      <c r="DGC51" s="39"/>
      <c r="DGD51" s="41"/>
      <c r="DGG51" s="32"/>
      <c r="DGI51" s="12"/>
      <c r="DGK51" s="34"/>
      <c r="DGL51" s="39"/>
      <c r="DGM51" s="41"/>
      <c r="DGP51" s="32"/>
      <c r="DGR51" s="12"/>
      <c r="DGT51" s="34"/>
      <c r="DGU51" s="39"/>
      <c r="DGV51" s="41"/>
      <c r="DGY51" s="32"/>
      <c r="DHA51" s="12"/>
      <c r="DHC51" s="34"/>
      <c r="DHD51" s="39"/>
      <c r="DHE51" s="41"/>
      <c r="DHH51" s="32"/>
      <c r="DHJ51" s="12"/>
      <c r="DHL51" s="34"/>
      <c r="DHM51" s="39"/>
      <c r="DHN51" s="41"/>
      <c r="DHQ51" s="32"/>
      <c r="DHS51" s="12"/>
      <c r="DHU51" s="34"/>
      <c r="DHV51" s="39"/>
      <c r="DHW51" s="41"/>
      <c r="DHZ51" s="32"/>
      <c r="DIB51" s="12"/>
      <c r="DID51" s="34"/>
      <c r="DIE51" s="39"/>
      <c r="DIF51" s="41"/>
      <c r="DII51" s="32"/>
      <c r="DIK51" s="12"/>
      <c r="DIM51" s="34"/>
      <c r="DIN51" s="39"/>
      <c r="DIO51" s="41"/>
      <c r="DIR51" s="32"/>
      <c r="DIT51" s="12"/>
      <c r="DIV51" s="34"/>
      <c r="DIW51" s="39"/>
      <c r="DIX51" s="41"/>
      <c r="DJA51" s="32"/>
      <c r="DJC51" s="12"/>
      <c r="DJE51" s="34"/>
      <c r="DJF51" s="39"/>
      <c r="DJG51" s="41"/>
      <c r="DJJ51" s="32"/>
      <c r="DJL51" s="12"/>
      <c r="DJN51" s="34"/>
      <c r="DJO51" s="39"/>
      <c r="DJP51" s="41"/>
      <c r="DJS51" s="32"/>
      <c r="DJU51" s="12"/>
      <c r="DJW51" s="34"/>
      <c r="DJX51" s="39"/>
      <c r="DJY51" s="41"/>
      <c r="DKB51" s="32"/>
      <c r="DKD51" s="12"/>
      <c r="DKF51" s="34"/>
      <c r="DKG51" s="39"/>
      <c r="DKH51" s="41"/>
      <c r="DKK51" s="32"/>
      <c r="DKM51" s="12"/>
      <c r="DKO51" s="34"/>
      <c r="DKP51" s="39"/>
      <c r="DKQ51" s="41"/>
      <c r="DKT51" s="32"/>
      <c r="DKV51" s="12"/>
      <c r="DKX51" s="34"/>
      <c r="DKY51" s="39"/>
      <c r="DKZ51" s="41"/>
      <c r="DLC51" s="32"/>
      <c r="DLE51" s="12"/>
      <c r="DLG51" s="34"/>
      <c r="DLH51" s="39"/>
      <c r="DLI51" s="41"/>
      <c r="DLL51" s="32"/>
      <c r="DLN51" s="12"/>
      <c r="DLP51" s="34"/>
      <c r="DLQ51" s="39"/>
      <c r="DLR51" s="41"/>
      <c r="DLU51" s="32"/>
      <c r="DLW51" s="12"/>
      <c r="DLY51" s="34"/>
      <c r="DLZ51" s="39"/>
      <c r="DMA51" s="41"/>
      <c r="DMD51" s="32"/>
      <c r="DMF51" s="12"/>
      <c r="DMH51" s="34"/>
      <c r="DMI51" s="39"/>
      <c r="DMJ51" s="41"/>
      <c r="DMM51" s="32"/>
      <c r="DMO51" s="12"/>
      <c r="DMQ51" s="34"/>
      <c r="DMR51" s="39"/>
      <c r="DMS51" s="41"/>
      <c r="DMV51" s="32"/>
      <c r="DMX51" s="12"/>
      <c r="DMZ51" s="34"/>
      <c r="DNA51" s="39"/>
      <c r="DNB51" s="41"/>
      <c r="DNE51" s="32"/>
      <c r="DNG51" s="12"/>
      <c r="DNI51" s="34"/>
      <c r="DNJ51" s="39"/>
      <c r="DNK51" s="41"/>
      <c r="DNN51" s="32"/>
      <c r="DNP51" s="12"/>
      <c r="DNR51" s="34"/>
      <c r="DNS51" s="39"/>
      <c r="DNT51" s="41"/>
      <c r="DNW51" s="32"/>
      <c r="DNY51" s="12"/>
      <c r="DOA51" s="34"/>
      <c r="DOB51" s="39"/>
      <c r="DOC51" s="41"/>
      <c r="DOF51" s="32"/>
      <c r="DOH51" s="12"/>
      <c r="DOJ51" s="34"/>
      <c r="DOK51" s="39"/>
      <c r="DOL51" s="41"/>
      <c r="DOO51" s="32"/>
      <c r="DOQ51" s="12"/>
      <c r="DOS51" s="34"/>
      <c r="DOT51" s="39"/>
      <c r="DOU51" s="41"/>
      <c r="DOX51" s="32"/>
      <c r="DOZ51" s="12"/>
      <c r="DPB51" s="34"/>
      <c r="DPC51" s="39"/>
      <c r="DPD51" s="41"/>
      <c r="DPG51" s="32"/>
      <c r="DPI51" s="12"/>
      <c r="DPK51" s="34"/>
      <c r="DPL51" s="39"/>
      <c r="DPM51" s="41"/>
      <c r="DPP51" s="32"/>
      <c r="DPR51" s="12"/>
      <c r="DPT51" s="34"/>
      <c r="DPU51" s="39"/>
      <c r="DPV51" s="41"/>
      <c r="DPY51" s="32"/>
      <c r="DQA51" s="12"/>
      <c r="DQC51" s="34"/>
      <c r="DQD51" s="39"/>
      <c r="DQE51" s="41"/>
      <c r="DQH51" s="32"/>
      <c r="DQJ51" s="12"/>
      <c r="DQL51" s="34"/>
      <c r="DQM51" s="39"/>
      <c r="DQN51" s="41"/>
      <c r="DQQ51" s="32"/>
      <c r="DQS51" s="12"/>
      <c r="DQU51" s="34"/>
      <c r="DQV51" s="39"/>
      <c r="DQW51" s="41"/>
      <c r="DQZ51" s="32"/>
      <c r="DRB51" s="12"/>
      <c r="DRD51" s="34"/>
      <c r="DRE51" s="39"/>
      <c r="DRF51" s="41"/>
      <c r="DRI51" s="32"/>
      <c r="DRK51" s="12"/>
      <c r="DRM51" s="34"/>
      <c r="DRN51" s="39"/>
      <c r="DRO51" s="41"/>
      <c r="DRR51" s="32"/>
      <c r="DRT51" s="12"/>
      <c r="DRV51" s="34"/>
      <c r="DRW51" s="39"/>
      <c r="DRX51" s="41"/>
      <c r="DSA51" s="32"/>
      <c r="DSC51" s="12"/>
      <c r="DSE51" s="34"/>
      <c r="DSF51" s="39"/>
      <c r="DSG51" s="41"/>
      <c r="DSJ51" s="32"/>
      <c r="DSL51" s="12"/>
      <c r="DSN51" s="34"/>
      <c r="DSO51" s="39"/>
      <c r="DSP51" s="41"/>
      <c r="DSS51" s="32"/>
      <c r="DSU51" s="12"/>
      <c r="DSW51" s="34"/>
      <c r="DSX51" s="39"/>
      <c r="DSY51" s="41"/>
      <c r="DTB51" s="32"/>
      <c r="DTD51" s="12"/>
      <c r="DTF51" s="34"/>
      <c r="DTG51" s="39"/>
      <c r="DTH51" s="41"/>
      <c r="DTK51" s="32"/>
      <c r="DTM51" s="12"/>
      <c r="DTO51" s="34"/>
      <c r="DTP51" s="39"/>
      <c r="DTQ51" s="41"/>
      <c r="DTT51" s="32"/>
      <c r="DTV51" s="12"/>
      <c r="DTX51" s="34"/>
      <c r="DTY51" s="39"/>
      <c r="DTZ51" s="41"/>
      <c r="DUC51" s="32"/>
      <c r="DUE51" s="12"/>
      <c r="DUG51" s="34"/>
      <c r="DUH51" s="39"/>
      <c r="DUI51" s="41"/>
      <c r="DUL51" s="32"/>
      <c r="DUN51" s="12"/>
      <c r="DUP51" s="34"/>
      <c r="DUQ51" s="39"/>
      <c r="DUR51" s="41"/>
      <c r="DUU51" s="32"/>
      <c r="DUW51" s="12"/>
      <c r="DUY51" s="34"/>
      <c r="DUZ51" s="39"/>
      <c r="DVA51" s="41"/>
      <c r="DVD51" s="32"/>
      <c r="DVF51" s="12"/>
      <c r="DVH51" s="34"/>
      <c r="DVI51" s="39"/>
      <c r="DVJ51" s="41"/>
      <c r="DVM51" s="32"/>
      <c r="DVO51" s="12"/>
      <c r="DVQ51" s="34"/>
      <c r="DVR51" s="39"/>
      <c r="DVS51" s="41"/>
      <c r="DVV51" s="32"/>
      <c r="DVX51" s="12"/>
      <c r="DVZ51" s="34"/>
      <c r="DWA51" s="39"/>
      <c r="DWB51" s="41"/>
      <c r="DWE51" s="32"/>
      <c r="DWG51" s="12"/>
      <c r="DWI51" s="34"/>
      <c r="DWJ51" s="39"/>
      <c r="DWK51" s="41"/>
      <c r="DWN51" s="32"/>
      <c r="DWP51" s="12"/>
      <c r="DWR51" s="34"/>
      <c r="DWS51" s="39"/>
      <c r="DWT51" s="41"/>
      <c r="DWW51" s="32"/>
      <c r="DWY51" s="12"/>
      <c r="DXA51" s="34"/>
      <c r="DXB51" s="39"/>
      <c r="DXC51" s="41"/>
      <c r="DXF51" s="32"/>
      <c r="DXH51" s="12"/>
      <c r="DXJ51" s="34"/>
      <c r="DXK51" s="39"/>
      <c r="DXL51" s="41"/>
      <c r="DXO51" s="32"/>
      <c r="DXQ51" s="12"/>
      <c r="DXS51" s="34"/>
      <c r="DXT51" s="39"/>
      <c r="DXU51" s="41"/>
      <c r="DXX51" s="32"/>
      <c r="DXZ51" s="12"/>
      <c r="DYB51" s="34"/>
      <c r="DYC51" s="39"/>
      <c r="DYD51" s="41"/>
      <c r="DYG51" s="32"/>
      <c r="DYI51" s="12"/>
      <c r="DYK51" s="34"/>
      <c r="DYL51" s="39"/>
      <c r="DYM51" s="41"/>
      <c r="DYP51" s="32"/>
      <c r="DYR51" s="12"/>
      <c r="DYT51" s="34"/>
      <c r="DYU51" s="39"/>
      <c r="DYV51" s="41"/>
      <c r="DYY51" s="32"/>
      <c r="DZA51" s="12"/>
      <c r="DZC51" s="34"/>
      <c r="DZD51" s="39"/>
      <c r="DZE51" s="41"/>
      <c r="DZH51" s="32"/>
      <c r="DZJ51" s="12"/>
      <c r="DZL51" s="34"/>
      <c r="DZM51" s="39"/>
      <c r="DZN51" s="41"/>
      <c r="DZQ51" s="32"/>
      <c r="DZS51" s="12"/>
      <c r="DZU51" s="34"/>
      <c r="DZV51" s="39"/>
      <c r="DZW51" s="41"/>
      <c r="DZZ51" s="32"/>
      <c r="EAB51" s="12"/>
      <c r="EAD51" s="34"/>
      <c r="EAE51" s="39"/>
      <c r="EAF51" s="41"/>
      <c r="EAI51" s="32"/>
      <c r="EAK51" s="12"/>
      <c r="EAM51" s="34"/>
      <c r="EAN51" s="39"/>
      <c r="EAO51" s="41"/>
      <c r="EAR51" s="32"/>
      <c r="EAT51" s="12"/>
      <c r="EAV51" s="34"/>
      <c r="EAW51" s="39"/>
      <c r="EAX51" s="41"/>
      <c r="EBA51" s="32"/>
      <c r="EBC51" s="12"/>
      <c r="EBE51" s="34"/>
      <c r="EBF51" s="39"/>
      <c r="EBG51" s="41"/>
      <c r="EBJ51" s="32"/>
      <c r="EBL51" s="12"/>
      <c r="EBN51" s="34"/>
      <c r="EBO51" s="39"/>
      <c r="EBP51" s="41"/>
      <c r="EBS51" s="32"/>
      <c r="EBU51" s="12"/>
      <c r="EBW51" s="34"/>
      <c r="EBX51" s="39"/>
      <c r="EBY51" s="41"/>
      <c r="ECB51" s="32"/>
      <c r="ECD51" s="12"/>
      <c r="ECF51" s="34"/>
      <c r="ECG51" s="39"/>
      <c r="ECH51" s="41"/>
      <c r="ECK51" s="32"/>
      <c r="ECM51" s="12"/>
      <c r="ECO51" s="34"/>
      <c r="ECP51" s="39"/>
      <c r="ECQ51" s="41"/>
      <c r="ECT51" s="32"/>
      <c r="ECV51" s="12"/>
      <c r="ECX51" s="34"/>
      <c r="ECY51" s="39"/>
      <c r="ECZ51" s="41"/>
      <c r="EDC51" s="32"/>
      <c r="EDE51" s="12"/>
      <c r="EDG51" s="34"/>
      <c r="EDH51" s="39"/>
      <c r="EDI51" s="41"/>
      <c r="EDL51" s="32"/>
      <c r="EDN51" s="12"/>
      <c r="EDP51" s="34"/>
      <c r="EDQ51" s="39"/>
      <c r="EDR51" s="41"/>
      <c r="EDU51" s="32"/>
      <c r="EDW51" s="12"/>
      <c r="EDY51" s="34"/>
      <c r="EDZ51" s="39"/>
      <c r="EEA51" s="41"/>
      <c r="EED51" s="32"/>
      <c r="EEF51" s="12"/>
      <c r="EEH51" s="34"/>
      <c r="EEI51" s="39"/>
      <c r="EEJ51" s="41"/>
      <c r="EEM51" s="32"/>
      <c r="EEO51" s="12"/>
      <c r="EEQ51" s="34"/>
      <c r="EER51" s="39"/>
      <c r="EES51" s="41"/>
      <c r="EEV51" s="32"/>
      <c r="EEX51" s="12"/>
      <c r="EEZ51" s="34"/>
      <c r="EFA51" s="39"/>
      <c r="EFB51" s="41"/>
      <c r="EFE51" s="32"/>
      <c r="EFG51" s="12"/>
      <c r="EFI51" s="34"/>
      <c r="EFJ51" s="39"/>
      <c r="EFK51" s="41"/>
      <c r="EFN51" s="32"/>
      <c r="EFP51" s="12"/>
      <c r="EFR51" s="34"/>
      <c r="EFS51" s="39"/>
      <c r="EFT51" s="41"/>
      <c r="EFW51" s="32"/>
      <c r="EFY51" s="12"/>
      <c r="EGA51" s="34"/>
      <c r="EGB51" s="39"/>
      <c r="EGC51" s="41"/>
      <c r="EGF51" s="32"/>
      <c r="EGH51" s="12"/>
      <c r="EGJ51" s="34"/>
      <c r="EGK51" s="39"/>
      <c r="EGL51" s="41"/>
      <c r="EGO51" s="32"/>
      <c r="EGQ51" s="12"/>
      <c r="EGS51" s="34"/>
      <c r="EGT51" s="39"/>
      <c r="EGU51" s="41"/>
      <c r="EGX51" s="32"/>
      <c r="EGZ51" s="12"/>
      <c r="EHB51" s="34"/>
      <c r="EHC51" s="39"/>
      <c r="EHD51" s="41"/>
      <c r="EHG51" s="32"/>
      <c r="EHI51" s="12"/>
      <c r="EHK51" s="34"/>
      <c r="EHL51" s="39"/>
      <c r="EHM51" s="41"/>
      <c r="EHP51" s="32"/>
      <c r="EHR51" s="12"/>
      <c r="EHT51" s="34"/>
      <c r="EHU51" s="39"/>
      <c r="EHV51" s="41"/>
      <c r="EHY51" s="32"/>
      <c r="EIA51" s="12"/>
      <c r="EIC51" s="34"/>
      <c r="EID51" s="39"/>
      <c r="EIE51" s="41"/>
      <c r="EIH51" s="32"/>
      <c r="EIJ51" s="12"/>
      <c r="EIL51" s="34"/>
      <c r="EIM51" s="39"/>
      <c r="EIN51" s="41"/>
      <c r="EIQ51" s="32"/>
      <c r="EIS51" s="12"/>
      <c r="EIU51" s="34"/>
      <c r="EIV51" s="39"/>
      <c r="EIW51" s="41"/>
      <c r="EIZ51" s="32"/>
      <c r="EJB51" s="12"/>
      <c r="EJD51" s="34"/>
      <c r="EJE51" s="39"/>
      <c r="EJF51" s="41"/>
      <c r="EJI51" s="32"/>
      <c r="EJK51" s="12"/>
      <c r="EJM51" s="34"/>
      <c r="EJN51" s="39"/>
      <c r="EJO51" s="41"/>
      <c r="EJR51" s="32"/>
      <c r="EJT51" s="12"/>
      <c r="EJV51" s="34"/>
      <c r="EJW51" s="39"/>
      <c r="EJX51" s="41"/>
      <c r="EKA51" s="32"/>
      <c r="EKC51" s="12"/>
      <c r="EKE51" s="34"/>
      <c r="EKF51" s="39"/>
      <c r="EKG51" s="41"/>
      <c r="EKJ51" s="32"/>
      <c r="EKL51" s="12"/>
      <c r="EKN51" s="34"/>
      <c r="EKO51" s="39"/>
      <c r="EKP51" s="41"/>
      <c r="EKS51" s="32"/>
      <c r="EKU51" s="12"/>
      <c r="EKW51" s="34"/>
      <c r="EKX51" s="39"/>
      <c r="EKY51" s="41"/>
      <c r="ELB51" s="32"/>
      <c r="ELD51" s="12"/>
      <c r="ELF51" s="34"/>
      <c r="ELG51" s="39"/>
      <c r="ELH51" s="41"/>
      <c r="ELK51" s="32"/>
      <c r="ELM51" s="12"/>
      <c r="ELO51" s="34"/>
      <c r="ELP51" s="39"/>
      <c r="ELQ51" s="41"/>
      <c r="ELT51" s="32"/>
      <c r="ELV51" s="12"/>
      <c r="ELX51" s="34"/>
      <c r="ELY51" s="39"/>
      <c r="ELZ51" s="41"/>
      <c r="EMC51" s="32"/>
      <c r="EME51" s="12"/>
      <c r="EMG51" s="34"/>
      <c r="EMH51" s="39"/>
      <c r="EMI51" s="41"/>
      <c r="EML51" s="32"/>
      <c r="EMN51" s="12"/>
      <c r="EMP51" s="34"/>
      <c r="EMQ51" s="39"/>
      <c r="EMR51" s="41"/>
      <c r="EMU51" s="32"/>
      <c r="EMW51" s="12"/>
      <c r="EMY51" s="34"/>
      <c r="EMZ51" s="39"/>
      <c r="ENA51" s="41"/>
      <c r="END51" s="32"/>
      <c r="ENF51" s="12"/>
      <c r="ENH51" s="34"/>
      <c r="ENI51" s="39"/>
      <c r="ENJ51" s="41"/>
      <c r="ENM51" s="32"/>
      <c r="ENO51" s="12"/>
      <c r="ENQ51" s="34"/>
      <c r="ENR51" s="39"/>
      <c r="ENS51" s="41"/>
      <c r="ENV51" s="32"/>
      <c r="ENX51" s="12"/>
      <c r="ENZ51" s="34"/>
      <c r="EOA51" s="39"/>
      <c r="EOB51" s="41"/>
      <c r="EOE51" s="32"/>
      <c r="EOG51" s="12"/>
      <c r="EOI51" s="34"/>
      <c r="EOJ51" s="39"/>
      <c r="EOK51" s="41"/>
      <c r="EON51" s="32"/>
      <c r="EOP51" s="12"/>
      <c r="EOR51" s="34"/>
      <c r="EOS51" s="39"/>
      <c r="EOT51" s="41"/>
      <c r="EOW51" s="32"/>
      <c r="EOY51" s="12"/>
      <c r="EPA51" s="34"/>
      <c r="EPB51" s="39"/>
      <c r="EPC51" s="41"/>
      <c r="EPF51" s="32"/>
      <c r="EPH51" s="12"/>
      <c r="EPJ51" s="34"/>
      <c r="EPK51" s="39"/>
      <c r="EPL51" s="41"/>
      <c r="EPO51" s="32"/>
      <c r="EPQ51" s="12"/>
      <c r="EPS51" s="34"/>
      <c r="EPT51" s="39"/>
      <c r="EPU51" s="41"/>
      <c r="EPX51" s="32"/>
      <c r="EPZ51" s="12"/>
      <c r="EQB51" s="34"/>
      <c r="EQC51" s="39"/>
      <c r="EQD51" s="41"/>
      <c r="EQG51" s="32"/>
      <c r="EQI51" s="12"/>
      <c r="EQK51" s="34"/>
      <c r="EQL51" s="39"/>
      <c r="EQM51" s="41"/>
      <c r="EQP51" s="32"/>
      <c r="EQR51" s="12"/>
      <c r="EQT51" s="34"/>
      <c r="EQU51" s="39"/>
      <c r="EQV51" s="41"/>
      <c r="EQY51" s="32"/>
      <c r="ERA51" s="12"/>
      <c r="ERC51" s="34"/>
      <c r="ERD51" s="39"/>
      <c r="ERE51" s="41"/>
      <c r="ERH51" s="32"/>
      <c r="ERJ51" s="12"/>
      <c r="ERL51" s="34"/>
      <c r="ERM51" s="39"/>
      <c r="ERN51" s="41"/>
      <c r="ERQ51" s="32"/>
      <c r="ERS51" s="12"/>
      <c r="ERU51" s="34"/>
      <c r="ERV51" s="39"/>
      <c r="ERW51" s="41"/>
      <c r="ERZ51" s="32"/>
      <c r="ESB51" s="12"/>
      <c r="ESD51" s="34"/>
      <c r="ESE51" s="39"/>
      <c r="ESF51" s="41"/>
      <c r="ESI51" s="32"/>
      <c r="ESK51" s="12"/>
      <c r="ESM51" s="34"/>
      <c r="ESN51" s="39"/>
      <c r="ESO51" s="41"/>
      <c r="ESR51" s="32"/>
      <c r="EST51" s="12"/>
      <c r="ESV51" s="34"/>
      <c r="ESW51" s="39"/>
      <c r="ESX51" s="41"/>
      <c r="ETA51" s="32"/>
      <c r="ETC51" s="12"/>
      <c r="ETE51" s="34"/>
      <c r="ETF51" s="39"/>
      <c r="ETG51" s="41"/>
      <c r="ETJ51" s="32"/>
      <c r="ETL51" s="12"/>
      <c r="ETN51" s="34"/>
      <c r="ETO51" s="39"/>
      <c r="ETP51" s="41"/>
      <c r="ETS51" s="32"/>
      <c r="ETU51" s="12"/>
      <c r="ETW51" s="34"/>
      <c r="ETX51" s="39"/>
      <c r="ETY51" s="41"/>
      <c r="EUB51" s="32"/>
      <c r="EUD51" s="12"/>
      <c r="EUF51" s="34"/>
      <c r="EUG51" s="39"/>
      <c r="EUH51" s="41"/>
      <c r="EUK51" s="32"/>
      <c r="EUM51" s="12"/>
      <c r="EUO51" s="34"/>
      <c r="EUP51" s="39"/>
      <c r="EUQ51" s="41"/>
      <c r="EUT51" s="32"/>
      <c r="EUV51" s="12"/>
      <c r="EUX51" s="34"/>
      <c r="EUY51" s="39"/>
      <c r="EUZ51" s="41"/>
      <c r="EVC51" s="32"/>
      <c r="EVE51" s="12"/>
      <c r="EVG51" s="34"/>
      <c r="EVH51" s="39"/>
      <c r="EVI51" s="41"/>
      <c r="EVL51" s="32"/>
      <c r="EVN51" s="12"/>
      <c r="EVP51" s="34"/>
      <c r="EVQ51" s="39"/>
      <c r="EVR51" s="41"/>
      <c r="EVU51" s="32"/>
      <c r="EVW51" s="12"/>
      <c r="EVY51" s="34"/>
      <c r="EVZ51" s="39"/>
      <c r="EWA51" s="41"/>
      <c r="EWD51" s="32"/>
      <c r="EWF51" s="12"/>
      <c r="EWH51" s="34"/>
      <c r="EWI51" s="39"/>
      <c r="EWJ51" s="41"/>
      <c r="EWM51" s="32"/>
      <c r="EWO51" s="12"/>
      <c r="EWQ51" s="34"/>
      <c r="EWR51" s="39"/>
      <c r="EWS51" s="41"/>
      <c r="EWV51" s="32"/>
      <c r="EWX51" s="12"/>
      <c r="EWZ51" s="34"/>
      <c r="EXA51" s="39"/>
      <c r="EXB51" s="41"/>
      <c r="EXE51" s="32"/>
      <c r="EXG51" s="12"/>
      <c r="EXI51" s="34"/>
      <c r="EXJ51" s="39"/>
      <c r="EXK51" s="41"/>
      <c r="EXN51" s="32"/>
      <c r="EXP51" s="12"/>
      <c r="EXR51" s="34"/>
      <c r="EXS51" s="39"/>
      <c r="EXT51" s="41"/>
      <c r="EXW51" s="32"/>
      <c r="EXY51" s="12"/>
      <c r="EYA51" s="34"/>
      <c r="EYB51" s="39"/>
      <c r="EYC51" s="41"/>
      <c r="EYF51" s="32"/>
      <c r="EYH51" s="12"/>
      <c r="EYJ51" s="34"/>
      <c r="EYK51" s="39"/>
      <c r="EYL51" s="41"/>
      <c r="EYO51" s="32"/>
      <c r="EYQ51" s="12"/>
      <c r="EYS51" s="34"/>
      <c r="EYT51" s="39"/>
      <c r="EYU51" s="41"/>
      <c r="EYX51" s="32"/>
      <c r="EYZ51" s="12"/>
      <c r="EZB51" s="34"/>
      <c r="EZC51" s="39"/>
      <c r="EZD51" s="41"/>
      <c r="EZG51" s="32"/>
      <c r="EZI51" s="12"/>
      <c r="EZK51" s="34"/>
      <c r="EZL51" s="39"/>
      <c r="EZM51" s="41"/>
      <c r="EZP51" s="32"/>
      <c r="EZR51" s="12"/>
      <c r="EZT51" s="34"/>
      <c r="EZU51" s="39"/>
      <c r="EZV51" s="41"/>
      <c r="EZY51" s="32"/>
      <c r="FAA51" s="12"/>
      <c r="FAC51" s="34"/>
      <c r="FAD51" s="39"/>
      <c r="FAE51" s="41"/>
      <c r="FAH51" s="32"/>
      <c r="FAJ51" s="12"/>
      <c r="FAL51" s="34"/>
      <c r="FAM51" s="39"/>
      <c r="FAN51" s="41"/>
      <c r="FAQ51" s="32"/>
      <c r="FAS51" s="12"/>
      <c r="FAU51" s="34"/>
      <c r="FAV51" s="39"/>
      <c r="FAW51" s="41"/>
      <c r="FAZ51" s="32"/>
      <c r="FBB51" s="12"/>
      <c r="FBD51" s="34"/>
      <c r="FBE51" s="39"/>
      <c r="FBF51" s="41"/>
      <c r="FBI51" s="32"/>
      <c r="FBK51" s="12"/>
      <c r="FBM51" s="34"/>
      <c r="FBN51" s="39"/>
      <c r="FBO51" s="41"/>
      <c r="FBR51" s="32"/>
      <c r="FBT51" s="12"/>
      <c r="FBV51" s="34"/>
      <c r="FBW51" s="39"/>
      <c r="FBX51" s="41"/>
      <c r="FCA51" s="32"/>
      <c r="FCC51" s="12"/>
      <c r="FCE51" s="34"/>
      <c r="FCF51" s="39"/>
      <c r="FCG51" s="41"/>
      <c r="FCJ51" s="32"/>
      <c r="FCL51" s="12"/>
      <c r="FCN51" s="34"/>
      <c r="FCO51" s="39"/>
      <c r="FCP51" s="41"/>
      <c r="FCS51" s="32"/>
      <c r="FCU51" s="12"/>
      <c r="FCW51" s="34"/>
      <c r="FCX51" s="39"/>
      <c r="FCY51" s="41"/>
      <c r="FDB51" s="32"/>
      <c r="FDD51" s="12"/>
      <c r="FDF51" s="34"/>
      <c r="FDG51" s="39"/>
      <c r="FDH51" s="41"/>
      <c r="FDK51" s="32"/>
      <c r="FDM51" s="12"/>
      <c r="FDO51" s="34"/>
      <c r="FDP51" s="39"/>
      <c r="FDQ51" s="41"/>
      <c r="FDT51" s="32"/>
      <c r="FDV51" s="12"/>
      <c r="FDX51" s="34"/>
      <c r="FDY51" s="39"/>
      <c r="FDZ51" s="41"/>
      <c r="FEC51" s="32"/>
      <c r="FEE51" s="12"/>
      <c r="FEG51" s="34"/>
      <c r="FEH51" s="39"/>
      <c r="FEI51" s="41"/>
      <c r="FEL51" s="32"/>
      <c r="FEN51" s="12"/>
      <c r="FEP51" s="34"/>
      <c r="FEQ51" s="39"/>
      <c r="FER51" s="41"/>
      <c r="FEU51" s="32"/>
      <c r="FEW51" s="12"/>
      <c r="FEY51" s="34"/>
      <c r="FEZ51" s="39"/>
      <c r="FFA51" s="41"/>
      <c r="FFD51" s="32"/>
      <c r="FFF51" s="12"/>
      <c r="FFH51" s="34"/>
      <c r="FFI51" s="39"/>
      <c r="FFJ51" s="41"/>
      <c r="FFM51" s="32"/>
      <c r="FFO51" s="12"/>
      <c r="FFQ51" s="34"/>
      <c r="FFR51" s="39"/>
      <c r="FFS51" s="41"/>
      <c r="FFV51" s="32"/>
      <c r="FFX51" s="12"/>
      <c r="FFZ51" s="34"/>
      <c r="FGA51" s="39"/>
      <c r="FGB51" s="41"/>
      <c r="FGE51" s="32"/>
      <c r="FGG51" s="12"/>
      <c r="FGI51" s="34"/>
      <c r="FGJ51" s="39"/>
      <c r="FGK51" s="41"/>
      <c r="FGN51" s="32"/>
      <c r="FGP51" s="12"/>
      <c r="FGR51" s="34"/>
      <c r="FGS51" s="39"/>
      <c r="FGT51" s="41"/>
      <c r="FGW51" s="32"/>
      <c r="FGY51" s="12"/>
      <c r="FHA51" s="34"/>
      <c r="FHB51" s="39"/>
      <c r="FHC51" s="41"/>
      <c r="FHF51" s="32"/>
      <c r="FHH51" s="12"/>
      <c r="FHJ51" s="34"/>
      <c r="FHK51" s="39"/>
      <c r="FHL51" s="41"/>
      <c r="FHO51" s="32"/>
      <c r="FHQ51" s="12"/>
      <c r="FHS51" s="34"/>
      <c r="FHT51" s="39"/>
      <c r="FHU51" s="41"/>
      <c r="FHX51" s="32"/>
      <c r="FHZ51" s="12"/>
      <c r="FIB51" s="34"/>
      <c r="FIC51" s="39"/>
      <c r="FID51" s="41"/>
      <c r="FIG51" s="32"/>
      <c r="FII51" s="12"/>
      <c r="FIK51" s="34"/>
      <c r="FIL51" s="39"/>
      <c r="FIM51" s="41"/>
      <c r="FIP51" s="32"/>
      <c r="FIR51" s="12"/>
      <c r="FIT51" s="34"/>
      <c r="FIU51" s="39"/>
      <c r="FIV51" s="41"/>
      <c r="FIY51" s="32"/>
      <c r="FJA51" s="12"/>
      <c r="FJC51" s="34"/>
      <c r="FJD51" s="39"/>
      <c r="FJE51" s="41"/>
      <c r="FJH51" s="32"/>
      <c r="FJJ51" s="12"/>
      <c r="FJL51" s="34"/>
      <c r="FJM51" s="39"/>
      <c r="FJN51" s="41"/>
      <c r="FJQ51" s="32"/>
      <c r="FJS51" s="12"/>
      <c r="FJU51" s="34"/>
      <c r="FJV51" s="39"/>
      <c r="FJW51" s="41"/>
      <c r="FJZ51" s="32"/>
      <c r="FKB51" s="12"/>
      <c r="FKD51" s="34"/>
      <c r="FKE51" s="39"/>
      <c r="FKF51" s="41"/>
      <c r="FKI51" s="32"/>
      <c r="FKK51" s="12"/>
      <c r="FKM51" s="34"/>
      <c r="FKN51" s="39"/>
      <c r="FKO51" s="41"/>
      <c r="FKR51" s="32"/>
      <c r="FKT51" s="12"/>
      <c r="FKV51" s="34"/>
      <c r="FKW51" s="39"/>
      <c r="FKX51" s="41"/>
      <c r="FLA51" s="32"/>
      <c r="FLC51" s="12"/>
      <c r="FLE51" s="34"/>
      <c r="FLF51" s="39"/>
      <c r="FLG51" s="41"/>
      <c r="FLJ51" s="32"/>
      <c r="FLL51" s="12"/>
      <c r="FLN51" s="34"/>
      <c r="FLO51" s="39"/>
      <c r="FLP51" s="41"/>
      <c r="FLS51" s="32"/>
      <c r="FLU51" s="12"/>
      <c r="FLW51" s="34"/>
      <c r="FLX51" s="39"/>
      <c r="FLY51" s="41"/>
      <c r="FMB51" s="32"/>
      <c r="FMD51" s="12"/>
      <c r="FMF51" s="34"/>
      <c r="FMG51" s="39"/>
      <c r="FMH51" s="41"/>
      <c r="FMK51" s="32"/>
      <c r="FMM51" s="12"/>
      <c r="FMO51" s="34"/>
      <c r="FMP51" s="39"/>
      <c r="FMQ51" s="41"/>
      <c r="FMT51" s="32"/>
      <c r="FMV51" s="12"/>
      <c r="FMX51" s="34"/>
      <c r="FMY51" s="39"/>
      <c r="FMZ51" s="41"/>
      <c r="FNC51" s="32"/>
      <c r="FNE51" s="12"/>
      <c r="FNG51" s="34"/>
      <c r="FNH51" s="39"/>
      <c r="FNI51" s="41"/>
      <c r="FNL51" s="32"/>
      <c r="FNN51" s="12"/>
      <c r="FNP51" s="34"/>
      <c r="FNQ51" s="39"/>
      <c r="FNR51" s="41"/>
      <c r="FNU51" s="32"/>
      <c r="FNW51" s="12"/>
      <c r="FNY51" s="34"/>
      <c r="FNZ51" s="39"/>
      <c r="FOA51" s="41"/>
      <c r="FOD51" s="32"/>
      <c r="FOF51" s="12"/>
      <c r="FOH51" s="34"/>
      <c r="FOI51" s="39"/>
      <c r="FOJ51" s="41"/>
      <c r="FOM51" s="32"/>
      <c r="FOO51" s="12"/>
      <c r="FOQ51" s="34"/>
      <c r="FOR51" s="39"/>
      <c r="FOS51" s="41"/>
      <c r="FOV51" s="32"/>
      <c r="FOX51" s="12"/>
      <c r="FOZ51" s="34"/>
      <c r="FPA51" s="39"/>
      <c r="FPB51" s="41"/>
      <c r="FPE51" s="32"/>
      <c r="FPG51" s="12"/>
      <c r="FPI51" s="34"/>
      <c r="FPJ51" s="39"/>
      <c r="FPK51" s="41"/>
      <c r="FPN51" s="32"/>
      <c r="FPP51" s="12"/>
      <c r="FPR51" s="34"/>
      <c r="FPS51" s="39"/>
      <c r="FPT51" s="41"/>
      <c r="FPW51" s="32"/>
      <c r="FPY51" s="12"/>
      <c r="FQA51" s="34"/>
      <c r="FQB51" s="39"/>
      <c r="FQC51" s="41"/>
      <c r="FQF51" s="32"/>
      <c r="FQH51" s="12"/>
      <c r="FQJ51" s="34"/>
      <c r="FQK51" s="39"/>
      <c r="FQL51" s="41"/>
      <c r="FQO51" s="32"/>
      <c r="FQQ51" s="12"/>
      <c r="FQS51" s="34"/>
      <c r="FQT51" s="39"/>
      <c r="FQU51" s="41"/>
      <c r="FQX51" s="32"/>
      <c r="FQZ51" s="12"/>
      <c r="FRB51" s="34"/>
      <c r="FRC51" s="39"/>
      <c r="FRD51" s="41"/>
      <c r="FRG51" s="32"/>
      <c r="FRI51" s="12"/>
      <c r="FRK51" s="34"/>
      <c r="FRL51" s="39"/>
      <c r="FRM51" s="41"/>
      <c r="FRP51" s="32"/>
      <c r="FRR51" s="12"/>
      <c r="FRT51" s="34"/>
      <c r="FRU51" s="39"/>
      <c r="FRV51" s="41"/>
      <c r="FRY51" s="32"/>
      <c r="FSA51" s="12"/>
      <c r="FSC51" s="34"/>
      <c r="FSD51" s="39"/>
      <c r="FSE51" s="41"/>
      <c r="FSH51" s="32"/>
      <c r="FSJ51" s="12"/>
      <c r="FSL51" s="34"/>
      <c r="FSM51" s="39"/>
      <c r="FSN51" s="41"/>
      <c r="FSQ51" s="32"/>
      <c r="FSS51" s="12"/>
      <c r="FSU51" s="34"/>
      <c r="FSV51" s="39"/>
      <c r="FSW51" s="41"/>
      <c r="FSZ51" s="32"/>
      <c r="FTB51" s="12"/>
      <c r="FTD51" s="34"/>
      <c r="FTE51" s="39"/>
      <c r="FTF51" s="41"/>
      <c r="FTI51" s="32"/>
      <c r="FTK51" s="12"/>
      <c r="FTM51" s="34"/>
      <c r="FTN51" s="39"/>
      <c r="FTO51" s="41"/>
      <c r="FTR51" s="32"/>
      <c r="FTT51" s="12"/>
      <c r="FTV51" s="34"/>
      <c r="FTW51" s="39"/>
      <c r="FTX51" s="41"/>
      <c r="FUA51" s="32"/>
      <c r="FUC51" s="12"/>
      <c r="FUE51" s="34"/>
      <c r="FUF51" s="39"/>
      <c r="FUG51" s="41"/>
      <c r="FUJ51" s="32"/>
      <c r="FUL51" s="12"/>
      <c r="FUN51" s="34"/>
      <c r="FUO51" s="39"/>
      <c r="FUP51" s="41"/>
      <c r="FUS51" s="32"/>
      <c r="FUU51" s="12"/>
      <c r="FUW51" s="34"/>
      <c r="FUX51" s="39"/>
      <c r="FUY51" s="41"/>
      <c r="FVB51" s="32"/>
      <c r="FVD51" s="12"/>
      <c r="FVF51" s="34"/>
      <c r="FVG51" s="39"/>
      <c r="FVH51" s="41"/>
      <c r="FVK51" s="32"/>
      <c r="FVM51" s="12"/>
      <c r="FVO51" s="34"/>
      <c r="FVP51" s="39"/>
      <c r="FVQ51" s="41"/>
      <c r="FVT51" s="32"/>
      <c r="FVV51" s="12"/>
      <c r="FVX51" s="34"/>
      <c r="FVY51" s="39"/>
      <c r="FVZ51" s="41"/>
      <c r="FWC51" s="32"/>
      <c r="FWE51" s="12"/>
      <c r="FWG51" s="34"/>
      <c r="FWH51" s="39"/>
      <c r="FWI51" s="41"/>
      <c r="FWL51" s="32"/>
      <c r="FWN51" s="12"/>
      <c r="FWP51" s="34"/>
      <c r="FWQ51" s="39"/>
      <c r="FWR51" s="41"/>
      <c r="FWU51" s="32"/>
      <c r="FWW51" s="12"/>
      <c r="FWY51" s="34"/>
      <c r="FWZ51" s="39"/>
      <c r="FXA51" s="41"/>
      <c r="FXD51" s="32"/>
      <c r="FXF51" s="12"/>
      <c r="FXH51" s="34"/>
      <c r="FXI51" s="39"/>
      <c r="FXJ51" s="41"/>
      <c r="FXM51" s="32"/>
      <c r="FXO51" s="12"/>
      <c r="FXQ51" s="34"/>
      <c r="FXR51" s="39"/>
      <c r="FXS51" s="41"/>
      <c r="FXV51" s="32"/>
      <c r="FXX51" s="12"/>
      <c r="FXZ51" s="34"/>
      <c r="FYA51" s="39"/>
      <c r="FYB51" s="41"/>
      <c r="FYE51" s="32"/>
      <c r="FYG51" s="12"/>
      <c r="FYI51" s="34"/>
      <c r="FYJ51" s="39"/>
      <c r="FYK51" s="41"/>
      <c r="FYN51" s="32"/>
      <c r="FYP51" s="12"/>
      <c r="FYR51" s="34"/>
      <c r="FYS51" s="39"/>
      <c r="FYT51" s="41"/>
      <c r="FYW51" s="32"/>
      <c r="FYY51" s="12"/>
      <c r="FZA51" s="34"/>
      <c r="FZB51" s="39"/>
      <c r="FZC51" s="41"/>
      <c r="FZF51" s="32"/>
      <c r="FZH51" s="12"/>
      <c r="FZJ51" s="34"/>
      <c r="FZK51" s="39"/>
      <c r="FZL51" s="41"/>
      <c r="FZO51" s="32"/>
      <c r="FZQ51" s="12"/>
      <c r="FZS51" s="34"/>
      <c r="FZT51" s="39"/>
      <c r="FZU51" s="41"/>
      <c r="FZX51" s="32"/>
      <c r="FZZ51" s="12"/>
      <c r="GAB51" s="34"/>
      <c r="GAC51" s="39"/>
      <c r="GAD51" s="41"/>
      <c r="GAG51" s="32"/>
      <c r="GAI51" s="12"/>
      <c r="GAK51" s="34"/>
      <c r="GAL51" s="39"/>
      <c r="GAM51" s="41"/>
      <c r="GAP51" s="32"/>
      <c r="GAR51" s="12"/>
      <c r="GAT51" s="34"/>
      <c r="GAU51" s="39"/>
      <c r="GAV51" s="41"/>
      <c r="GAY51" s="32"/>
      <c r="GBA51" s="12"/>
      <c r="GBC51" s="34"/>
      <c r="GBD51" s="39"/>
      <c r="GBE51" s="41"/>
      <c r="GBH51" s="32"/>
      <c r="GBJ51" s="12"/>
      <c r="GBL51" s="34"/>
      <c r="GBM51" s="39"/>
      <c r="GBN51" s="41"/>
      <c r="GBQ51" s="32"/>
      <c r="GBS51" s="12"/>
      <c r="GBU51" s="34"/>
      <c r="GBV51" s="39"/>
      <c r="GBW51" s="41"/>
      <c r="GBZ51" s="32"/>
      <c r="GCB51" s="12"/>
      <c r="GCD51" s="34"/>
      <c r="GCE51" s="39"/>
      <c r="GCF51" s="41"/>
      <c r="GCI51" s="32"/>
      <c r="GCK51" s="12"/>
      <c r="GCM51" s="34"/>
      <c r="GCN51" s="39"/>
      <c r="GCO51" s="41"/>
      <c r="GCR51" s="32"/>
      <c r="GCT51" s="12"/>
      <c r="GCV51" s="34"/>
      <c r="GCW51" s="39"/>
      <c r="GCX51" s="41"/>
      <c r="GDA51" s="32"/>
      <c r="GDC51" s="12"/>
      <c r="GDE51" s="34"/>
      <c r="GDF51" s="39"/>
      <c r="GDG51" s="41"/>
      <c r="GDJ51" s="32"/>
      <c r="GDL51" s="12"/>
      <c r="GDN51" s="34"/>
      <c r="GDO51" s="39"/>
      <c r="GDP51" s="41"/>
      <c r="GDS51" s="32"/>
      <c r="GDU51" s="12"/>
      <c r="GDW51" s="34"/>
      <c r="GDX51" s="39"/>
      <c r="GDY51" s="41"/>
      <c r="GEB51" s="32"/>
      <c r="GED51" s="12"/>
      <c r="GEF51" s="34"/>
      <c r="GEG51" s="39"/>
      <c r="GEH51" s="41"/>
      <c r="GEK51" s="32"/>
      <c r="GEM51" s="12"/>
      <c r="GEO51" s="34"/>
      <c r="GEP51" s="39"/>
      <c r="GEQ51" s="41"/>
      <c r="GET51" s="32"/>
      <c r="GEV51" s="12"/>
      <c r="GEX51" s="34"/>
      <c r="GEY51" s="39"/>
      <c r="GEZ51" s="41"/>
      <c r="GFC51" s="32"/>
      <c r="GFE51" s="12"/>
      <c r="GFG51" s="34"/>
      <c r="GFH51" s="39"/>
      <c r="GFI51" s="41"/>
      <c r="GFL51" s="32"/>
      <c r="GFN51" s="12"/>
      <c r="GFP51" s="34"/>
      <c r="GFQ51" s="39"/>
      <c r="GFR51" s="41"/>
      <c r="GFU51" s="32"/>
      <c r="GFW51" s="12"/>
      <c r="GFY51" s="34"/>
      <c r="GFZ51" s="39"/>
      <c r="GGA51" s="41"/>
      <c r="GGD51" s="32"/>
      <c r="GGF51" s="12"/>
      <c r="GGH51" s="34"/>
      <c r="GGI51" s="39"/>
      <c r="GGJ51" s="41"/>
      <c r="GGM51" s="32"/>
      <c r="GGO51" s="12"/>
      <c r="GGQ51" s="34"/>
      <c r="GGR51" s="39"/>
      <c r="GGS51" s="41"/>
      <c r="GGV51" s="32"/>
      <c r="GGX51" s="12"/>
      <c r="GGZ51" s="34"/>
      <c r="GHA51" s="39"/>
      <c r="GHB51" s="41"/>
      <c r="GHE51" s="32"/>
      <c r="GHG51" s="12"/>
      <c r="GHI51" s="34"/>
      <c r="GHJ51" s="39"/>
      <c r="GHK51" s="41"/>
      <c r="GHN51" s="32"/>
      <c r="GHP51" s="12"/>
      <c r="GHR51" s="34"/>
      <c r="GHS51" s="39"/>
      <c r="GHT51" s="41"/>
      <c r="GHW51" s="32"/>
      <c r="GHY51" s="12"/>
      <c r="GIA51" s="34"/>
      <c r="GIB51" s="39"/>
      <c r="GIC51" s="41"/>
      <c r="GIF51" s="32"/>
      <c r="GIH51" s="12"/>
      <c r="GIJ51" s="34"/>
      <c r="GIK51" s="39"/>
      <c r="GIL51" s="41"/>
      <c r="GIO51" s="32"/>
      <c r="GIQ51" s="12"/>
      <c r="GIS51" s="34"/>
      <c r="GIT51" s="39"/>
      <c r="GIU51" s="41"/>
      <c r="GIX51" s="32"/>
      <c r="GIZ51" s="12"/>
      <c r="GJB51" s="34"/>
      <c r="GJC51" s="39"/>
      <c r="GJD51" s="41"/>
      <c r="GJG51" s="32"/>
      <c r="GJI51" s="12"/>
      <c r="GJK51" s="34"/>
      <c r="GJL51" s="39"/>
      <c r="GJM51" s="41"/>
      <c r="GJP51" s="32"/>
      <c r="GJR51" s="12"/>
      <c r="GJT51" s="34"/>
      <c r="GJU51" s="39"/>
      <c r="GJV51" s="41"/>
      <c r="GJY51" s="32"/>
      <c r="GKA51" s="12"/>
      <c r="GKC51" s="34"/>
      <c r="GKD51" s="39"/>
      <c r="GKE51" s="41"/>
      <c r="GKH51" s="32"/>
      <c r="GKJ51" s="12"/>
      <c r="GKL51" s="34"/>
      <c r="GKM51" s="39"/>
      <c r="GKN51" s="41"/>
      <c r="GKQ51" s="32"/>
      <c r="GKS51" s="12"/>
      <c r="GKU51" s="34"/>
      <c r="GKV51" s="39"/>
      <c r="GKW51" s="41"/>
      <c r="GKZ51" s="32"/>
      <c r="GLB51" s="12"/>
      <c r="GLD51" s="34"/>
      <c r="GLE51" s="39"/>
      <c r="GLF51" s="41"/>
      <c r="GLI51" s="32"/>
      <c r="GLK51" s="12"/>
      <c r="GLM51" s="34"/>
      <c r="GLN51" s="39"/>
      <c r="GLO51" s="41"/>
      <c r="GLR51" s="32"/>
      <c r="GLT51" s="12"/>
      <c r="GLV51" s="34"/>
      <c r="GLW51" s="39"/>
      <c r="GLX51" s="41"/>
      <c r="GMA51" s="32"/>
      <c r="GMC51" s="12"/>
      <c r="GME51" s="34"/>
      <c r="GMF51" s="39"/>
      <c r="GMG51" s="41"/>
      <c r="GMJ51" s="32"/>
      <c r="GML51" s="12"/>
      <c r="GMN51" s="34"/>
      <c r="GMO51" s="39"/>
      <c r="GMP51" s="41"/>
      <c r="GMS51" s="32"/>
      <c r="GMU51" s="12"/>
      <c r="GMW51" s="34"/>
      <c r="GMX51" s="39"/>
      <c r="GMY51" s="41"/>
      <c r="GNB51" s="32"/>
      <c r="GND51" s="12"/>
      <c r="GNF51" s="34"/>
      <c r="GNG51" s="39"/>
      <c r="GNH51" s="41"/>
      <c r="GNK51" s="32"/>
      <c r="GNM51" s="12"/>
      <c r="GNO51" s="34"/>
      <c r="GNP51" s="39"/>
      <c r="GNQ51" s="41"/>
      <c r="GNT51" s="32"/>
      <c r="GNV51" s="12"/>
      <c r="GNX51" s="34"/>
      <c r="GNY51" s="39"/>
      <c r="GNZ51" s="41"/>
      <c r="GOC51" s="32"/>
      <c r="GOE51" s="12"/>
      <c r="GOG51" s="34"/>
      <c r="GOH51" s="39"/>
      <c r="GOI51" s="41"/>
      <c r="GOL51" s="32"/>
      <c r="GON51" s="12"/>
      <c r="GOP51" s="34"/>
      <c r="GOQ51" s="39"/>
      <c r="GOR51" s="41"/>
      <c r="GOU51" s="32"/>
      <c r="GOW51" s="12"/>
      <c r="GOY51" s="34"/>
      <c r="GOZ51" s="39"/>
      <c r="GPA51" s="41"/>
      <c r="GPD51" s="32"/>
      <c r="GPF51" s="12"/>
      <c r="GPH51" s="34"/>
      <c r="GPI51" s="39"/>
      <c r="GPJ51" s="41"/>
      <c r="GPM51" s="32"/>
      <c r="GPO51" s="12"/>
      <c r="GPQ51" s="34"/>
      <c r="GPR51" s="39"/>
      <c r="GPS51" s="41"/>
      <c r="GPV51" s="32"/>
      <c r="GPX51" s="12"/>
      <c r="GPZ51" s="34"/>
      <c r="GQA51" s="39"/>
      <c r="GQB51" s="41"/>
      <c r="GQE51" s="32"/>
      <c r="GQG51" s="12"/>
      <c r="GQI51" s="34"/>
      <c r="GQJ51" s="39"/>
      <c r="GQK51" s="41"/>
      <c r="GQN51" s="32"/>
      <c r="GQP51" s="12"/>
      <c r="GQR51" s="34"/>
      <c r="GQS51" s="39"/>
      <c r="GQT51" s="41"/>
      <c r="GQW51" s="32"/>
      <c r="GQY51" s="12"/>
      <c r="GRA51" s="34"/>
      <c r="GRB51" s="39"/>
      <c r="GRC51" s="41"/>
      <c r="GRF51" s="32"/>
      <c r="GRH51" s="12"/>
      <c r="GRJ51" s="34"/>
      <c r="GRK51" s="39"/>
      <c r="GRL51" s="41"/>
      <c r="GRO51" s="32"/>
      <c r="GRQ51" s="12"/>
      <c r="GRS51" s="34"/>
      <c r="GRT51" s="39"/>
      <c r="GRU51" s="41"/>
      <c r="GRX51" s="32"/>
      <c r="GRZ51" s="12"/>
      <c r="GSB51" s="34"/>
      <c r="GSC51" s="39"/>
      <c r="GSD51" s="41"/>
      <c r="GSG51" s="32"/>
      <c r="GSI51" s="12"/>
      <c r="GSK51" s="34"/>
      <c r="GSL51" s="39"/>
      <c r="GSM51" s="41"/>
      <c r="GSP51" s="32"/>
      <c r="GSR51" s="12"/>
      <c r="GST51" s="34"/>
      <c r="GSU51" s="39"/>
      <c r="GSV51" s="41"/>
      <c r="GSY51" s="32"/>
      <c r="GTA51" s="12"/>
      <c r="GTC51" s="34"/>
      <c r="GTD51" s="39"/>
      <c r="GTE51" s="41"/>
      <c r="GTH51" s="32"/>
      <c r="GTJ51" s="12"/>
      <c r="GTL51" s="34"/>
      <c r="GTM51" s="39"/>
      <c r="GTN51" s="41"/>
      <c r="GTQ51" s="32"/>
      <c r="GTS51" s="12"/>
      <c r="GTU51" s="34"/>
      <c r="GTV51" s="39"/>
      <c r="GTW51" s="41"/>
      <c r="GTZ51" s="32"/>
      <c r="GUB51" s="12"/>
      <c r="GUD51" s="34"/>
      <c r="GUE51" s="39"/>
      <c r="GUF51" s="41"/>
      <c r="GUI51" s="32"/>
      <c r="GUK51" s="12"/>
      <c r="GUM51" s="34"/>
      <c r="GUN51" s="39"/>
      <c r="GUO51" s="41"/>
      <c r="GUR51" s="32"/>
      <c r="GUT51" s="12"/>
      <c r="GUV51" s="34"/>
      <c r="GUW51" s="39"/>
      <c r="GUX51" s="41"/>
      <c r="GVA51" s="32"/>
      <c r="GVC51" s="12"/>
      <c r="GVE51" s="34"/>
      <c r="GVF51" s="39"/>
      <c r="GVG51" s="41"/>
      <c r="GVJ51" s="32"/>
      <c r="GVL51" s="12"/>
      <c r="GVN51" s="34"/>
      <c r="GVO51" s="39"/>
      <c r="GVP51" s="41"/>
      <c r="GVS51" s="32"/>
      <c r="GVU51" s="12"/>
      <c r="GVW51" s="34"/>
      <c r="GVX51" s="39"/>
      <c r="GVY51" s="41"/>
      <c r="GWB51" s="32"/>
      <c r="GWD51" s="12"/>
      <c r="GWF51" s="34"/>
      <c r="GWG51" s="39"/>
      <c r="GWH51" s="41"/>
      <c r="GWK51" s="32"/>
      <c r="GWM51" s="12"/>
      <c r="GWO51" s="34"/>
      <c r="GWP51" s="39"/>
      <c r="GWQ51" s="41"/>
      <c r="GWT51" s="32"/>
      <c r="GWV51" s="12"/>
      <c r="GWX51" s="34"/>
      <c r="GWY51" s="39"/>
      <c r="GWZ51" s="41"/>
      <c r="GXC51" s="32"/>
      <c r="GXE51" s="12"/>
      <c r="GXG51" s="34"/>
      <c r="GXH51" s="39"/>
      <c r="GXI51" s="41"/>
      <c r="GXL51" s="32"/>
      <c r="GXN51" s="12"/>
      <c r="GXP51" s="34"/>
      <c r="GXQ51" s="39"/>
      <c r="GXR51" s="41"/>
      <c r="GXU51" s="32"/>
      <c r="GXW51" s="12"/>
      <c r="GXY51" s="34"/>
      <c r="GXZ51" s="39"/>
      <c r="GYA51" s="41"/>
      <c r="GYD51" s="32"/>
      <c r="GYF51" s="12"/>
      <c r="GYH51" s="34"/>
      <c r="GYI51" s="39"/>
      <c r="GYJ51" s="41"/>
      <c r="GYM51" s="32"/>
      <c r="GYO51" s="12"/>
      <c r="GYQ51" s="34"/>
      <c r="GYR51" s="39"/>
      <c r="GYS51" s="41"/>
      <c r="GYV51" s="32"/>
      <c r="GYX51" s="12"/>
      <c r="GYZ51" s="34"/>
      <c r="GZA51" s="39"/>
      <c r="GZB51" s="41"/>
      <c r="GZE51" s="32"/>
      <c r="GZG51" s="12"/>
      <c r="GZI51" s="34"/>
      <c r="GZJ51" s="39"/>
      <c r="GZK51" s="41"/>
      <c r="GZN51" s="32"/>
      <c r="GZP51" s="12"/>
      <c r="GZR51" s="34"/>
      <c r="GZS51" s="39"/>
      <c r="GZT51" s="41"/>
      <c r="GZW51" s="32"/>
      <c r="GZY51" s="12"/>
      <c r="HAA51" s="34"/>
      <c r="HAB51" s="39"/>
      <c r="HAC51" s="41"/>
      <c r="HAF51" s="32"/>
      <c r="HAH51" s="12"/>
      <c r="HAJ51" s="34"/>
      <c r="HAK51" s="39"/>
      <c r="HAL51" s="41"/>
      <c r="HAO51" s="32"/>
      <c r="HAQ51" s="12"/>
      <c r="HAS51" s="34"/>
      <c r="HAT51" s="39"/>
      <c r="HAU51" s="41"/>
      <c r="HAX51" s="32"/>
      <c r="HAZ51" s="12"/>
      <c r="HBB51" s="34"/>
      <c r="HBC51" s="39"/>
      <c r="HBD51" s="41"/>
      <c r="HBG51" s="32"/>
      <c r="HBI51" s="12"/>
      <c r="HBK51" s="34"/>
      <c r="HBL51" s="39"/>
      <c r="HBM51" s="41"/>
      <c r="HBP51" s="32"/>
      <c r="HBR51" s="12"/>
      <c r="HBT51" s="34"/>
      <c r="HBU51" s="39"/>
      <c r="HBV51" s="41"/>
      <c r="HBY51" s="32"/>
      <c r="HCA51" s="12"/>
      <c r="HCC51" s="34"/>
      <c r="HCD51" s="39"/>
      <c r="HCE51" s="41"/>
      <c r="HCH51" s="32"/>
      <c r="HCJ51" s="12"/>
      <c r="HCL51" s="34"/>
      <c r="HCM51" s="39"/>
      <c r="HCN51" s="41"/>
      <c r="HCQ51" s="32"/>
      <c r="HCS51" s="12"/>
      <c r="HCU51" s="34"/>
      <c r="HCV51" s="39"/>
      <c r="HCW51" s="41"/>
      <c r="HCZ51" s="32"/>
      <c r="HDB51" s="12"/>
      <c r="HDD51" s="34"/>
      <c r="HDE51" s="39"/>
      <c r="HDF51" s="41"/>
      <c r="HDI51" s="32"/>
      <c r="HDK51" s="12"/>
      <c r="HDM51" s="34"/>
      <c r="HDN51" s="39"/>
      <c r="HDO51" s="41"/>
      <c r="HDR51" s="32"/>
      <c r="HDT51" s="12"/>
      <c r="HDV51" s="34"/>
      <c r="HDW51" s="39"/>
      <c r="HDX51" s="41"/>
      <c r="HEA51" s="32"/>
      <c r="HEC51" s="12"/>
      <c r="HEE51" s="34"/>
      <c r="HEF51" s="39"/>
      <c r="HEG51" s="41"/>
      <c r="HEJ51" s="32"/>
      <c r="HEL51" s="12"/>
      <c r="HEN51" s="34"/>
      <c r="HEO51" s="39"/>
      <c r="HEP51" s="41"/>
      <c r="HES51" s="32"/>
      <c r="HEU51" s="12"/>
      <c r="HEW51" s="34"/>
      <c r="HEX51" s="39"/>
      <c r="HEY51" s="41"/>
      <c r="HFB51" s="32"/>
      <c r="HFD51" s="12"/>
      <c r="HFF51" s="34"/>
      <c r="HFG51" s="39"/>
      <c r="HFH51" s="41"/>
      <c r="HFK51" s="32"/>
      <c r="HFM51" s="12"/>
      <c r="HFO51" s="34"/>
      <c r="HFP51" s="39"/>
      <c r="HFQ51" s="41"/>
      <c r="HFT51" s="32"/>
      <c r="HFV51" s="12"/>
      <c r="HFX51" s="34"/>
      <c r="HFY51" s="39"/>
      <c r="HFZ51" s="41"/>
      <c r="HGC51" s="32"/>
      <c r="HGE51" s="12"/>
      <c r="HGG51" s="34"/>
      <c r="HGH51" s="39"/>
      <c r="HGI51" s="41"/>
      <c r="HGL51" s="32"/>
      <c r="HGN51" s="12"/>
      <c r="HGP51" s="34"/>
      <c r="HGQ51" s="39"/>
      <c r="HGR51" s="41"/>
      <c r="HGU51" s="32"/>
      <c r="HGW51" s="12"/>
      <c r="HGY51" s="34"/>
      <c r="HGZ51" s="39"/>
      <c r="HHA51" s="41"/>
      <c r="HHD51" s="32"/>
      <c r="HHF51" s="12"/>
      <c r="HHH51" s="34"/>
      <c r="HHI51" s="39"/>
      <c r="HHJ51" s="41"/>
      <c r="HHM51" s="32"/>
      <c r="HHO51" s="12"/>
      <c r="HHQ51" s="34"/>
      <c r="HHR51" s="39"/>
      <c r="HHS51" s="41"/>
      <c r="HHV51" s="32"/>
      <c r="HHX51" s="12"/>
      <c r="HHZ51" s="34"/>
      <c r="HIA51" s="39"/>
      <c r="HIB51" s="41"/>
      <c r="HIE51" s="32"/>
      <c r="HIG51" s="12"/>
      <c r="HII51" s="34"/>
      <c r="HIJ51" s="39"/>
      <c r="HIK51" s="41"/>
      <c r="HIN51" s="32"/>
      <c r="HIP51" s="12"/>
      <c r="HIR51" s="34"/>
      <c r="HIS51" s="39"/>
      <c r="HIT51" s="41"/>
      <c r="HIW51" s="32"/>
      <c r="HIY51" s="12"/>
      <c r="HJA51" s="34"/>
      <c r="HJB51" s="39"/>
      <c r="HJC51" s="41"/>
      <c r="HJF51" s="32"/>
      <c r="HJH51" s="12"/>
      <c r="HJJ51" s="34"/>
      <c r="HJK51" s="39"/>
      <c r="HJL51" s="41"/>
      <c r="HJO51" s="32"/>
      <c r="HJQ51" s="12"/>
      <c r="HJS51" s="34"/>
      <c r="HJT51" s="39"/>
      <c r="HJU51" s="41"/>
      <c r="HJX51" s="32"/>
      <c r="HJZ51" s="12"/>
      <c r="HKB51" s="34"/>
      <c r="HKC51" s="39"/>
      <c r="HKD51" s="41"/>
      <c r="HKG51" s="32"/>
      <c r="HKI51" s="12"/>
      <c r="HKK51" s="34"/>
      <c r="HKL51" s="39"/>
      <c r="HKM51" s="41"/>
      <c r="HKP51" s="32"/>
      <c r="HKR51" s="12"/>
      <c r="HKT51" s="34"/>
      <c r="HKU51" s="39"/>
      <c r="HKV51" s="41"/>
      <c r="HKY51" s="32"/>
      <c r="HLA51" s="12"/>
      <c r="HLC51" s="34"/>
      <c r="HLD51" s="39"/>
      <c r="HLE51" s="41"/>
      <c r="HLH51" s="32"/>
      <c r="HLJ51" s="12"/>
      <c r="HLL51" s="34"/>
      <c r="HLM51" s="39"/>
      <c r="HLN51" s="41"/>
      <c r="HLQ51" s="32"/>
      <c r="HLS51" s="12"/>
      <c r="HLU51" s="34"/>
      <c r="HLV51" s="39"/>
      <c r="HLW51" s="41"/>
      <c r="HLZ51" s="32"/>
      <c r="HMB51" s="12"/>
      <c r="HMD51" s="34"/>
      <c r="HME51" s="39"/>
      <c r="HMF51" s="41"/>
      <c r="HMI51" s="32"/>
      <c r="HMK51" s="12"/>
      <c r="HMM51" s="34"/>
      <c r="HMN51" s="39"/>
      <c r="HMO51" s="41"/>
      <c r="HMR51" s="32"/>
      <c r="HMT51" s="12"/>
      <c r="HMV51" s="34"/>
      <c r="HMW51" s="39"/>
      <c r="HMX51" s="41"/>
      <c r="HNA51" s="32"/>
      <c r="HNC51" s="12"/>
      <c r="HNE51" s="34"/>
      <c r="HNF51" s="39"/>
      <c r="HNG51" s="41"/>
      <c r="HNJ51" s="32"/>
      <c r="HNL51" s="12"/>
      <c r="HNN51" s="34"/>
      <c r="HNO51" s="39"/>
      <c r="HNP51" s="41"/>
      <c r="HNS51" s="32"/>
      <c r="HNU51" s="12"/>
      <c r="HNW51" s="34"/>
      <c r="HNX51" s="39"/>
      <c r="HNY51" s="41"/>
      <c r="HOB51" s="32"/>
      <c r="HOD51" s="12"/>
      <c r="HOF51" s="34"/>
      <c r="HOG51" s="39"/>
      <c r="HOH51" s="41"/>
      <c r="HOK51" s="32"/>
      <c r="HOM51" s="12"/>
      <c r="HOO51" s="34"/>
      <c r="HOP51" s="39"/>
      <c r="HOQ51" s="41"/>
      <c r="HOT51" s="32"/>
      <c r="HOV51" s="12"/>
      <c r="HOX51" s="34"/>
      <c r="HOY51" s="39"/>
      <c r="HOZ51" s="41"/>
      <c r="HPC51" s="32"/>
      <c r="HPE51" s="12"/>
      <c r="HPG51" s="34"/>
      <c r="HPH51" s="39"/>
      <c r="HPI51" s="41"/>
      <c r="HPL51" s="32"/>
      <c r="HPN51" s="12"/>
      <c r="HPP51" s="34"/>
      <c r="HPQ51" s="39"/>
      <c r="HPR51" s="41"/>
      <c r="HPU51" s="32"/>
      <c r="HPW51" s="12"/>
      <c r="HPY51" s="34"/>
      <c r="HPZ51" s="39"/>
      <c r="HQA51" s="41"/>
      <c r="HQD51" s="32"/>
      <c r="HQF51" s="12"/>
      <c r="HQH51" s="34"/>
      <c r="HQI51" s="39"/>
      <c r="HQJ51" s="41"/>
      <c r="HQM51" s="32"/>
      <c r="HQO51" s="12"/>
      <c r="HQQ51" s="34"/>
      <c r="HQR51" s="39"/>
      <c r="HQS51" s="41"/>
      <c r="HQV51" s="32"/>
      <c r="HQX51" s="12"/>
      <c r="HQZ51" s="34"/>
      <c r="HRA51" s="39"/>
      <c r="HRB51" s="41"/>
      <c r="HRE51" s="32"/>
      <c r="HRG51" s="12"/>
      <c r="HRI51" s="34"/>
      <c r="HRJ51" s="39"/>
      <c r="HRK51" s="41"/>
      <c r="HRN51" s="32"/>
      <c r="HRP51" s="12"/>
      <c r="HRR51" s="34"/>
      <c r="HRS51" s="39"/>
      <c r="HRT51" s="41"/>
      <c r="HRW51" s="32"/>
      <c r="HRY51" s="12"/>
      <c r="HSA51" s="34"/>
      <c r="HSB51" s="39"/>
      <c r="HSC51" s="41"/>
      <c r="HSF51" s="32"/>
      <c r="HSH51" s="12"/>
      <c r="HSJ51" s="34"/>
      <c r="HSK51" s="39"/>
      <c r="HSL51" s="41"/>
      <c r="HSO51" s="32"/>
      <c r="HSQ51" s="12"/>
      <c r="HSS51" s="34"/>
      <c r="HST51" s="39"/>
      <c r="HSU51" s="41"/>
      <c r="HSX51" s="32"/>
      <c r="HSZ51" s="12"/>
      <c r="HTB51" s="34"/>
      <c r="HTC51" s="39"/>
      <c r="HTD51" s="41"/>
      <c r="HTG51" s="32"/>
      <c r="HTI51" s="12"/>
      <c r="HTK51" s="34"/>
      <c r="HTL51" s="39"/>
      <c r="HTM51" s="41"/>
      <c r="HTP51" s="32"/>
      <c r="HTR51" s="12"/>
      <c r="HTT51" s="34"/>
      <c r="HTU51" s="39"/>
      <c r="HTV51" s="41"/>
      <c r="HTY51" s="32"/>
      <c r="HUA51" s="12"/>
      <c r="HUC51" s="34"/>
      <c r="HUD51" s="39"/>
      <c r="HUE51" s="41"/>
      <c r="HUH51" s="32"/>
      <c r="HUJ51" s="12"/>
      <c r="HUL51" s="34"/>
      <c r="HUM51" s="39"/>
      <c r="HUN51" s="41"/>
      <c r="HUQ51" s="32"/>
      <c r="HUS51" s="12"/>
      <c r="HUU51" s="34"/>
      <c r="HUV51" s="39"/>
      <c r="HUW51" s="41"/>
      <c r="HUZ51" s="32"/>
      <c r="HVB51" s="12"/>
      <c r="HVD51" s="34"/>
      <c r="HVE51" s="39"/>
      <c r="HVF51" s="41"/>
      <c r="HVI51" s="32"/>
      <c r="HVK51" s="12"/>
      <c r="HVM51" s="34"/>
      <c r="HVN51" s="39"/>
      <c r="HVO51" s="41"/>
      <c r="HVR51" s="32"/>
      <c r="HVT51" s="12"/>
      <c r="HVV51" s="34"/>
      <c r="HVW51" s="39"/>
      <c r="HVX51" s="41"/>
      <c r="HWA51" s="32"/>
      <c r="HWC51" s="12"/>
      <c r="HWE51" s="34"/>
      <c r="HWF51" s="39"/>
      <c r="HWG51" s="41"/>
      <c r="HWJ51" s="32"/>
      <c r="HWL51" s="12"/>
      <c r="HWN51" s="34"/>
      <c r="HWO51" s="39"/>
      <c r="HWP51" s="41"/>
      <c r="HWS51" s="32"/>
      <c r="HWU51" s="12"/>
      <c r="HWW51" s="34"/>
      <c r="HWX51" s="39"/>
      <c r="HWY51" s="41"/>
      <c r="HXB51" s="32"/>
      <c r="HXD51" s="12"/>
      <c r="HXF51" s="34"/>
      <c r="HXG51" s="39"/>
      <c r="HXH51" s="41"/>
      <c r="HXK51" s="32"/>
      <c r="HXM51" s="12"/>
      <c r="HXO51" s="34"/>
      <c r="HXP51" s="39"/>
      <c r="HXQ51" s="41"/>
      <c r="HXT51" s="32"/>
      <c r="HXV51" s="12"/>
      <c r="HXX51" s="34"/>
      <c r="HXY51" s="39"/>
      <c r="HXZ51" s="41"/>
      <c r="HYC51" s="32"/>
      <c r="HYE51" s="12"/>
      <c r="HYG51" s="34"/>
      <c r="HYH51" s="39"/>
      <c r="HYI51" s="41"/>
      <c r="HYL51" s="32"/>
      <c r="HYN51" s="12"/>
      <c r="HYP51" s="34"/>
      <c r="HYQ51" s="39"/>
      <c r="HYR51" s="41"/>
      <c r="HYU51" s="32"/>
      <c r="HYW51" s="12"/>
      <c r="HYY51" s="34"/>
      <c r="HYZ51" s="39"/>
      <c r="HZA51" s="41"/>
      <c r="HZD51" s="32"/>
      <c r="HZF51" s="12"/>
      <c r="HZH51" s="34"/>
      <c r="HZI51" s="39"/>
      <c r="HZJ51" s="41"/>
      <c r="HZM51" s="32"/>
      <c r="HZO51" s="12"/>
      <c r="HZQ51" s="34"/>
      <c r="HZR51" s="39"/>
      <c r="HZS51" s="41"/>
      <c r="HZV51" s="32"/>
      <c r="HZX51" s="12"/>
      <c r="HZZ51" s="34"/>
      <c r="IAA51" s="39"/>
      <c r="IAB51" s="41"/>
      <c r="IAE51" s="32"/>
      <c r="IAG51" s="12"/>
      <c r="IAI51" s="34"/>
      <c r="IAJ51" s="39"/>
      <c r="IAK51" s="41"/>
      <c r="IAN51" s="32"/>
      <c r="IAP51" s="12"/>
      <c r="IAR51" s="34"/>
      <c r="IAS51" s="39"/>
      <c r="IAT51" s="41"/>
      <c r="IAW51" s="32"/>
      <c r="IAY51" s="12"/>
      <c r="IBA51" s="34"/>
      <c r="IBB51" s="39"/>
      <c r="IBC51" s="41"/>
      <c r="IBF51" s="32"/>
      <c r="IBH51" s="12"/>
      <c r="IBJ51" s="34"/>
      <c r="IBK51" s="39"/>
      <c r="IBL51" s="41"/>
      <c r="IBO51" s="32"/>
      <c r="IBQ51" s="12"/>
      <c r="IBS51" s="34"/>
      <c r="IBT51" s="39"/>
      <c r="IBU51" s="41"/>
      <c r="IBX51" s="32"/>
      <c r="IBZ51" s="12"/>
      <c r="ICB51" s="34"/>
      <c r="ICC51" s="39"/>
      <c r="ICD51" s="41"/>
      <c r="ICG51" s="32"/>
      <c r="ICI51" s="12"/>
      <c r="ICK51" s="34"/>
      <c r="ICL51" s="39"/>
      <c r="ICM51" s="41"/>
      <c r="ICP51" s="32"/>
      <c r="ICR51" s="12"/>
      <c r="ICT51" s="34"/>
      <c r="ICU51" s="39"/>
      <c r="ICV51" s="41"/>
      <c r="ICY51" s="32"/>
      <c r="IDA51" s="12"/>
      <c r="IDC51" s="34"/>
      <c r="IDD51" s="39"/>
      <c r="IDE51" s="41"/>
      <c r="IDH51" s="32"/>
      <c r="IDJ51" s="12"/>
      <c r="IDL51" s="34"/>
      <c r="IDM51" s="39"/>
      <c r="IDN51" s="41"/>
      <c r="IDQ51" s="32"/>
      <c r="IDS51" s="12"/>
      <c r="IDU51" s="34"/>
      <c r="IDV51" s="39"/>
      <c r="IDW51" s="41"/>
      <c r="IDZ51" s="32"/>
      <c r="IEB51" s="12"/>
      <c r="IED51" s="34"/>
      <c r="IEE51" s="39"/>
      <c r="IEF51" s="41"/>
      <c r="IEI51" s="32"/>
      <c r="IEK51" s="12"/>
      <c r="IEM51" s="34"/>
      <c r="IEN51" s="39"/>
      <c r="IEO51" s="41"/>
      <c r="IER51" s="32"/>
      <c r="IET51" s="12"/>
      <c r="IEV51" s="34"/>
      <c r="IEW51" s="39"/>
      <c r="IEX51" s="41"/>
      <c r="IFA51" s="32"/>
      <c r="IFC51" s="12"/>
      <c r="IFE51" s="34"/>
      <c r="IFF51" s="39"/>
      <c r="IFG51" s="41"/>
      <c r="IFJ51" s="32"/>
      <c r="IFL51" s="12"/>
      <c r="IFN51" s="34"/>
      <c r="IFO51" s="39"/>
      <c r="IFP51" s="41"/>
      <c r="IFS51" s="32"/>
      <c r="IFU51" s="12"/>
      <c r="IFW51" s="34"/>
      <c r="IFX51" s="39"/>
      <c r="IFY51" s="41"/>
      <c r="IGB51" s="32"/>
      <c r="IGD51" s="12"/>
      <c r="IGF51" s="34"/>
      <c r="IGG51" s="39"/>
      <c r="IGH51" s="41"/>
      <c r="IGK51" s="32"/>
      <c r="IGM51" s="12"/>
      <c r="IGO51" s="34"/>
      <c r="IGP51" s="39"/>
      <c r="IGQ51" s="41"/>
      <c r="IGT51" s="32"/>
      <c r="IGV51" s="12"/>
      <c r="IGX51" s="34"/>
      <c r="IGY51" s="39"/>
      <c r="IGZ51" s="41"/>
      <c r="IHC51" s="32"/>
      <c r="IHE51" s="12"/>
      <c r="IHG51" s="34"/>
      <c r="IHH51" s="39"/>
      <c r="IHI51" s="41"/>
      <c r="IHL51" s="32"/>
      <c r="IHN51" s="12"/>
      <c r="IHP51" s="34"/>
      <c r="IHQ51" s="39"/>
      <c r="IHR51" s="41"/>
      <c r="IHU51" s="32"/>
      <c r="IHW51" s="12"/>
      <c r="IHY51" s="34"/>
      <c r="IHZ51" s="39"/>
      <c r="IIA51" s="41"/>
      <c r="IID51" s="32"/>
      <c r="IIF51" s="12"/>
      <c r="IIH51" s="34"/>
      <c r="III51" s="39"/>
      <c r="IIJ51" s="41"/>
      <c r="IIM51" s="32"/>
      <c r="IIO51" s="12"/>
      <c r="IIQ51" s="34"/>
      <c r="IIR51" s="39"/>
      <c r="IIS51" s="41"/>
      <c r="IIV51" s="32"/>
      <c r="IIX51" s="12"/>
      <c r="IIZ51" s="34"/>
      <c r="IJA51" s="39"/>
      <c r="IJB51" s="41"/>
      <c r="IJE51" s="32"/>
      <c r="IJG51" s="12"/>
      <c r="IJI51" s="34"/>
      <c r="IJJ51" s="39"/>
      <c r="IJK51" s="41"/>
      <c r="IJN51" s="32"/>
      <c r="IJP51" s="12"/>
      <c r="IJR51" s="34"/>
      <c r="IJS51" s="39"/>
      <c r="IJT51" s="41"/>
      <c r="IJW51" s="32"/>
      <c r="IJY51" s="12"/>
      <c r="IKA51" s="34"/>
      <c r="IKB51" s="39"/>
      <c r="IKC51" s="41"/>
      <c r="IKF51" s="32"/>
      <c r="IKH51" s="12"/>
      <c r="IKJ51" s="34"/>
      <c r="IKK51" s="39"/>
      <c r="IKL51" s="41"/>
      <c r="IKO51" s="32"/>
      <c r="IKQ51" s="12"/>
      <c r="IKS51" s="34"/>
      <c r="IKT51" s="39"/>
      <c r="IKU51" s="41"/>
      <c r="IKX51" s="32"/>
      <c r="IKZ51" s="12"/>
      <c r="ILB51" s="34"/>
      <c r="ILC51" s="39"/>
      <c r="ILD51" s="41"/>
      <c r="ILG51" s="32"/>
      <c r="ILI51" s="12"/>
      <c r="ILK51" s="34"/>
      <c r="ILL51" s="39"/>
      <c r="ILM51" s="41"/>
      <c r="ILP51" s="32"/>
      <c r="ILR51" s="12"/>
      <c r="ILT51" s="34"/>
      <c r="ILU51" s="39"/>
      <c r="ILV51" s="41"/>
      <c r="ILY51" s="32"/>
      <c r="IMA51" s="12"/>
      <c r="IMC51" s="34"/>
      <c r="IMD51" s="39"/>
      <c r="IME51" s="41"/>
      <c r="IMH51" s="32"/>
      <c r="IMJ51" s="12"/>
      <c r="IML51" s="34"/>
      <c r="IMM51" s="39"/>
      <c r="IMN51" s="41"/>
      <c r="IMQ51" s="32"/>
      <c r="IMS51" s="12"/>
      <c r="IMU51" s="34"/>
      <c r="IMV51" s="39"/>
      <c r="IMW51" s="41"/>
      <c r="IMZ51" s="32"/>
      <c r="INB51" s="12"/>
      <c r="IND51" s="34"/>
      <c r="INE51" s="39"/>
      <c r="INF51" s="41"/>
      <c r="INI51" s="32"/>
      <c r="INK51" s="12"/>
      <c r="INM51" s="34"/>
      <c r="INN51" s="39"/>
      <c r="INO51" s="41"/>
      <c r="INR51" s="32"/>
      <c r="INT51" s="12"/>
      <c r="INV51" s="34"/>
      <c r="INW51" s="39"/>
      <c r="INX51" s="41"/>
      <c r="IOA51" s="32"/>
      <c r="IOC51" s="12"/>
      <c r="IOE51" s="34"/>
      <c r="IOF51" s="39"/>
      <c r="IOG51" s="41"/>
      <c r="IOJ51" s="32"/>
      <c r="IOL51" s="12"/>
      <c r="ION51" s="34"/>
      <c r="IOO51" s="39"/>
      <c r="IOP51" s="41"/>
      <c r="IOS51" s="32"/>
      <c r="IOU51" s="12"/>
      <c r="IOW51" s="34"/>
      <c r="IOX51" s="39"/>
      <c r="IOY51" s="41"/>
      <c r="IPB51" s="32"/>
      <c r="IPD51" s="12"/>
      <c r="IPF51" s="34"/>
      <c r="IPG51" s="39"/>
      <c r="IPH51" s="41"/>
      <c r="IPK51" s="32"/>
      <c r="IPM51" s="12"/>
      <c r="IPO51" s="34"/>
      <c r="IPP51" s="39"/>
      <c r="IPQ51" s="41"/>
      <c r="IPT51" s="32"/>
      <c r="IPV51" s="12"/>
      <c r="IPX51" s="34"/>
      <c r="IPY51" s="39"/>
      <c r="IPZ51" s="41"/>
      <c r="IQC51" s="32"/>
      <c r="IQE51" s="12"/>
      <c r="IQG51" s="34"/>
      <c r="IQH51" s="39"/>
      <c r="IQI51" s="41"/>
      <c r="IQL51" s="32"/>
      <c r="IQN51" s="12"/>
      <c r="IQP51" s="34"/>
      <c r="IQQ51" s="39"/>
      <c r="IQR51" s="41"/>
      <c r="IQU51" s="32"/>
      <c r="IQW51" s="12"/>
      <c r="IQY51" s="34"/>
      <c r="IQZ51" s="39"/>
      <c r="IRA51" s="41"/>
      <c r="IRD51" s="32"/>
      <c r="IRF51" s="12"/>
      <c r="IRH51" s="34"/>
      <c r="IRI51" s="39"/>
      <c r="IRJ51" s="41"/>
      <c r="IRM51" s="32"/>
      <c r="IRO51" s="12"/>
      <c r="IRQ51" s="34"/>
      <c r="IRR51" s="39"/>
      <c r="IRS51" s="41"/>
      <c r="IRV51" s="32"/>
      <c r="IRX51" s="12"/>
      <c r="IRZ51" s="34"/>
      <c r="ISA51" s="39"/>
      <c r="ISB51" s="41"/>
      <c r="ISE51" s="32"/>
      <c r="ISG51" s="12"/>
      <c r="ISI51" s="34"/>
      <c r="ISJ51" s="39"/>
      <c r="ISK51" s="41"/>
      <c r="ISN51" s="32"/>
      <c r="ISP51" s="12"/>
      <c r="ISR51" s="34"/>
      <c r="ISS51" s="39"/>
      <c r="IST51" s="41"/>
      <c r="ISW51" s="32"/>
      <c r="ISY51" s="12"/>
      <c r="ITA51" s="34"/>
      <c r="ITB51" s="39"/>
      <c r="ITC51" s="41"/>
      <c r="ITF51" s="32"/>
      <c r="ITH51" s="12"/>
      <c r="ITJ51" s="34"/>
      <c r="ITK51" s="39"/>
      <c r="ITL51" s="41"/>
      <c r="ITO51" s="32"/>
      <c r="ITQ51" s="12"/>
      <c r="ITS51" s="34"/>
      <c r="ITT51" s="39"/>
      <c r="ITU51" s="41"/>
      <c r="ITX51" s="32"/>
      <c r="ITZ51" s="12"/>
      <c r="IUB51" s="34"/>
      <c r="IUC51" s="39"/>
      <c r="IUD51" s="41"/>
      <c r="IUG51" s="32"/>
      <c r="IUI51" s="12"/>
      <c r="IUK51" s="34"/>
      <c r="IUL51" s="39"/>
      <c r="IUM51" s="41"/>
      <c r="IUP51" s="32"/>
      <c r="IUR51" s="12"/>
      <c r="IUT51" s="34"/>
      <c r="IUU51" s="39"/>
      <c r="IUV51" s="41"/>
      <c r="IUY51" s="32"/>
      <c r="IVA51" s="12"/>
      <c r="IVC51" s="34"/>
      <c r="IVD51" s="39"/>
      <c r="IVE51" s="41"/>
      <c r="IVH51" s="32"/>
      <c r="IVJ51" s="12"/>
      <c r="IVL51" s="34"/>
      <c r="IVM51" s="39"/>
      <c r="IVN51" s="41"/>
      <c r="IVQ51" s="32"/>
      <c r="IVS51" s="12"/>
      <c r="IVU51" s="34"/>
      <c r="IVV51" s="39"/>
      <c r="IVW51" s="41"/>
      <c r="IVZ51" s="32"/>
      <c r="IWB51" s="12"/>
      <c r="IWD51" s="34"/>
      <c r="IWE51" s="39"/>
      <c r="IWF51" s="41"/>
      <c r="IWI51" s="32"/>
      <c r="IWK51" s="12"/>
      <c r="IWM51" s="34"/>
      <c r="IWN51" s="39"/>
      <c r="IWO51" s="41"/>
      <c r="IWR51" s="32"/>
      <c r="IWT51" s="12"/>
      <c r="IWV51" s="34"/>
      <c r="IWW51" s="39"/>
      <c r="IWX51" s="41"/>
      <c r="IXA51" s="32"/>
      <c r="IXC51" s="12"/>
      <c r="IXE51" s="34"/>
      <c r="IXF51" s="39"/>
      <c r="IXG51" s="41"/>
      <c r="IXJ51" s="32"/>
      <c r="IXL51" s="12"/>
      <c r="IXN51" s="34"/>
      <c r="IXO51" s="39"/>
      <c r="IXP51" s="41"/>
      <c r="IXS51" s="32"/>
      <c r="IXU51" s="12"/>
      <c r="IXW51" s="34"/>
      <c r="IXX51" s="39"/>
      <c r="IXY51" s="41"/>
      <c r="IYB51" s="32"/>
      <c r="IYD51" s="12"/>
      <c r="IYF51" s="34"/>
      <c r="IYG51" s="39"/>
      <c r="IYH51" s="41"/>
      <c r="IYK51" s="32"/>
      <c r="IYM51" s="12"/>
      <c r="IYO51" s="34"/>
      <c r="IYP51" s="39"/>
      <c r="IYQ51" s="41"/>
      <c r="IYT51" s="32"/>
      <c r="IYV51" s="12"/>
      <c r="IYX51" s="34"/>
      <c r="IYY51" s="39"/>
      <c r="IYZ51" s="41"/>
      <c r="IZC51" s="32"/>
      <c r="IZE51" s="12"/>
      <c r="IZG51" s="34"/>
      <c r="IZH51" s="39"/>
      <c r="IZI51" s="41"/>
      <c r="IZL51" s="32"/>
      <c r="IZN51" s="12"/>
      <c r="IZP51" s="34"/>
      <c r="IZQ51" s="39"/>
      <c r="IZR51" s="41"/>
      <c r="IZU51" s="32"/>
      <c r="IZW51" s="12"/>
      <c r="IZY51" s="34"/>
      <c r="IZZ51" s="39"/>
      <c r="JAA51" s="41"/>
      <c r="JAD51" s="32"/>
      <c r="JAF51" s="12"/>
      <c r="JAH51" s="34"/>
      <c r="JAI51" s="39"/>
      <c r="JAJ51" s="41"/>
      <c r="JAM51" s="32"/>
      <c r="JAO51" s="12"/>
      <c r="JAQ51" s="34"/>
      <c r="JAR51" s="39"/>
      <c r="JAS51" s="41"/>
      <c r="JAV51" s="32"/>
      <c r="JAX51" s="12"/>
      <c r="JAZ51" s="34"/>
      <c r="JBA51" s="39"/>
      <c r="JBB51" s="41"/>
      <c r="JBE51" s="32"/>
      <c r="JBG51" s="12"/>
      <c r="JBI51" s="34"/>
      <c r="JBJ51" s="39"/>
      <c r="JBK51" s="41"/>
      <c r="JBN51" s="32"/>
      <c r="JBP51" s="12"/>
      <c r="JBR51" s="34"/>
      <c r="JBS51" s="39"/>
      <c r="JBT51" s="41"/>
      <c r="JBW51" s="32"/>
      <c r="JBY51" s="12"/>
      <c r="JCA51" s="34"/>
      <c r="JCB51" s="39"/>
      <c r="JCC51" s="41"/>
      <c r="JCF51" s="32"/>
      <c r="JCH51" s="12"/>
      <c r="JCJ51" s="34"/>
      <c r="JCK51" s="39"/>
      <c r="JCL51" s="41"/>
      <c r="JCO51" s="32"/>
      <c r="JCQ51" s="12"/>
      <c r="JCS51" s="34"/>
      <c r="JCT51" s="39"/>
      <c r="JCU51" s="41"/>
      <c r="JCX51" s="32"/>
      <c r="JCZ51" s="12"/>
      <c r="JDB51" s="34"/>
      <c r="JDC51" s="39"/>
      <c r="JDD51" s="41"/>
      <c r="JDG51" s="32"/>
      <c r="JDI51" s="12"/>
      <c r="JDK51" s="34"/>
      <c r="JDL51" s="39"/>
      <c r="JDM51" s="41"/>
      <c r="JDP51" s="32"/>
      <c r="JDR51" s="12"/>
      <c r="JDT51" s="34"/>
      <c r="JDU51" s="39"/>
      <c r="JDV51" s="41"/>
      <c r="JDY51" s="32"/>
      <c r="JEA51" s="12"/>
      <c r="JEC51" s="34"/>
      <c r="JED51" s="39"/>
      <c r="JEE51" s="41"/>
      <c r="JEH51" s="32"/>
      <c r="JEJ51" s="12"/>
      <c r="JEL51" s="34"/>
      <c r="JEM51" s="39"/>
      <c r="JEN51" s="41"/>
      <c r="JEQ51" s="32"/>
      <c r="JES51" s="12"/>
      <c r="JEU51" s="34"/>
      <c r="JEV51" s="39"/>
      <c r="JEW51" s="41"/>
      <c r="JEZ51" s="32"/>
      <c r="JFB51" s="12"/>
      <c r="JFD51" s="34"/>
      <c r="JFE51" s="39"/>
      <c r="JFF51" s="41"/>
      <c r="JFI51" s="32"/>
      <c r="JFK51" s="12"/>
      <c r="JFM51" s="34"/>
      <c r="JFN51" s="39"/>
      <c r="JFO51" s="41"/>
      <c r="JFR51" s="32"/>
      <c r="JFT51" s="12"/>
      <c r="JFV51" s="34"/>
      <c r="JFW51" s="39"/>
      <c r="JFX51" s="41"/>
      <c r="JGA51" s="32"/>
      <c r="JGC51" s="12"/>
      <c r="JGE51" s="34"/>
      <c r="JGF51" s="39"/>
      <c r="JGG51" s="41"/>
      <c r="JGJ51" s="32"/>
      <c r="JGL51" s="12"/>
      <c r="JGN51" s="34"/>
      <c r="JGO51" s="39"/>
      <c r="JGP51" s="41"/>
      <c r="JGS51" s="32"/>
      <c r="JGU51" s="12"/>
      <c r="JGW51" s="34"/>
      <c r="JGX51" s="39"/>
      <c r="JGY51" s="41"/>
      <c r="JHB51" s="32"/>
      <c r="JHD51" s="12"/>
      <c r="JHF51" s="34"/>
      <c r="JHG51" s="39"/>
      <c r="JHH51" s="41"/>
      <c r="JHK51" s="32"/>
      <c r="JHM51" s="12"/>
      <c r="JHO51" s="34"/>
      <c r="JHP51" s="39"/>
      <c r="JHQ51" s="41"/>
      <c r="JHT51" s="32"/>
      <c r="JHV51" s="12"/>
      <c r="JHX51" s="34"/>
      <c r="JHY51" s="39"/>
      <c r="JHZ51" s="41"/>
      <c r="JIC51" s="32"/>
      <c r="JIE51" s="12"/>
      <c r="JIG51" s="34"/>
      <c r="JIH51" s="39"/>
      <c r="JII51" s="41"/>
      <c r="JIL51" s="32"/>
      <c r="JIN51" s="12"/>
      <c r="JIP51" s="34"/>
      <c r="JIQ51" s="39"/>
      <c r="JIR51" s="41"/>
      <c r="JIU51" s="32"/>
      <c r="JIW51" s="12"/>
      <c r="JIY51" s="34"/>
      <c r="JIZ51" s="39"/>
      <c r="JJA51" s="41"/>
      <c r="JJD51" s="32"/>
      <c r="JJF51" s="12"/>
      <c r="JJH51" s="34"/>
      <c r="JJI51" s="39"/>
      <c r="JJJ51" s="41"/>
      <c r="JJM51" s="32"/>
      <c r="JJO51" s="12"/>
      <c r="JJQ51" s="34"/>
      <c r="JJR51" s="39"/>
      <c r="JJS51" s="41"/>
      <c r="JJV51" s="32"/>
      <c r="JJX51" s="12"/>
      <c r="JJZ51" s="34"/>
      <c r="JKA51" s="39"/>
      <c r="JKB51" s="41"/>
      <c r="JKE51" s="32"/>
      <c r="JKG51" s="12"/>
      <c r="JKI51" s="34"/>
      <c r="JKJ51" s="39"/>
      <c r="JKK51" s="41"/>
      <c r="JKN51" s="32"/>
      <c r="JKP51" s="12"/>
      <c r="JKR51" s="34"/>
      <c r="JKS51" s="39"/>
      <c r="JKT51" s="41"/>
      <c r="JKW51" s="32"/>
      <c r="JKY51" s="12"/>
      <c r="JLA51" s="34"/>
      <c r="JLB51" s="39"/>
      <c r="JLC51" s="41"/>
      <c r="JLF51" s="32"/>
      <c r="JLH51" s="12"/>
      <c r="JLJ51" s="34"/>
      <c r="JLK51" s="39"/>
      <c r="JLL51" s="41"/>
      <c r="JLO51" s="32"/>
      <c r="JLQ51" s="12"/>
      <c r="JLS51" s="34"/>
      <c r="JLT51" s="39"/>
      <c r="JLU51" s="41"/>
      <c r="JLX51" s="32"/>
      <c r="JLZ51" s="12"/>
      <c r="JMB51" s="34"/>
      <c r="JMC51" s="39"/>
      <c r="JMD51" s="41"/>
      <c r="JMG51" s="32"/>
      <c r="JMI51" s="12"/>
      <c r="JMK51" s="34"/>
      <c r="JML51" s="39"/>
      <c r="JMM51" s="41"/>
      <c r="JMP51" s="32"/>
      <c r="JMR51" s="12"/>
      <c r="JMT51" s="34"/>
      <c r="JMU51" s="39"/>
      <c r="JMV51" s="41"/>
      <c r="JMY51" s="32"/>
      <c r="JNA51" s="12"/>
      <c r="JNC51" s="34"/>
      <c r="JND51" s="39"/>
      <c r="JNE51" s="41"/>
      <c r="JNH51" s="32"/>
      <c r="JNJ51" s="12"/>
      <c r="JNL51" s="34"/>
      <c r="JNM51" s="39"/>
      <c r="JNN51" s="41"/>
      <c r="JNQ51" s="32"/>
      <c r="JNS51" s="12"/>
      <c r="JNU51" s="34"/>
      <c r="JNV51" s="39"/>
      <c r="JNW51" s="41"/>
      <c r="JNZ51" s="32"/>
      <c r="JOB51" s="12"/>
      <c r="JOD51" s="34"/>
      <c r="JOE51" s="39"/>
      <c r="JOF51" s="41"/>
      <c r="JOI51" s="32"/>
      <c r="JOK51" s="12"/>
      <c r="JOM51" s="34"/>
      <c r="JON51" s="39"/>
      <c r="JOO51" s="41"/>
      <c r="JOR51" s="32"/>
      <c r="JOT51" s="12"/>
      <c r="JOV51" s="34"/>
      <c r="JOW51" s="39"/>
      <c r="JOX51" s="41"/>
      <c r="JPA51" s="32"/>
      <c r="JPC51" s="12"/>
      <c r="JPE51" s="34"/>
      <c r="JPF51" s="39"/>
      <c r="JPG51" s="41"/>
      <c r="JPJ51" s="32"/>
      <c r="JPL51" s="12"/>
      <c r="JPN51" s="34"/>
      <c r="JPO51" s="39"/>
      <c r="JPP51" s="41"/>
      <c r="JPS51" s="32"/>
      <c r="JPU51" s="12"/>
      <c r="JPW51" s="34"/>
      <c r="JPX51" s="39"/>
      <c r="JPY51" s="41"/>
      <c r="JQB51" s="32"/>
      <c r="JQD51" s="12"/>
      <c r="JQF51" s="34"/>
      <c r="JQG51" s="39"/>
      <c r="JQH51" s="41"/>
      <c r="JQK51" s="32"/>
      <c r="JQM51" s="12"/>
      <c r="JQO51" s="34"/>
      <c r="JQP51" s="39"/>
      <c r="JQQ51" s="41"/>
      <c r="JQT51" s="32"/>
      <c r="JQV51" s="12"/>
      <c r="JQX51" s="34"/>
      <c r="JQY51" s="39"/>
      <c r="JQZ51" s="41"/>
      <c r="JRC51" s="32"/>
      <c r="JRE51" s="12"/>
      <c r="JRG51" s="34"/>
      <c r="JRH51" s="39"/>
      <c r="JRI51" s="41"/>
      <c r="JRL51" s="32"/>
      <c r="JRN51" s="12"/>
      <c r="JRP51" s="34"/>
      <c r="JRQ51" s="39"/>
      <c r="JRR51" s="41"/>
      <c r="JRU51" s="32"/>
      <c r="JRW51" s="12"/>
      <c r="JRY51" s="34"/>
      <c r="JRZ51" s="39"/>
      <c r="JSA51" s="41"/>
      <c r="JSD51" s="32"/>
      <c r="JSF51" s="12"/>
      <c r="JSH51" s="34"/>
      <c r="JSI51" s="39"/>
      <c r="JSJ51" s="41"/>
      <c r="JSM51" s="32"/>
      <c r="JSO51" s="12"/>
      <c r="JSQ51" s="34"/>
      <c r="JSR51" s="39"/>
      <c r="JSS51" s="41"/>
      <c r="JSV51" s="32"/>
      <c r="JSX51" s="12"/>
      <c r="JSZ51" s="34"/>
      <c r="JTA51" s="39"/>
      <c r="JTB51" s="41"/>
      <c r="JTE51" s="32"/>
      <c r="JTG51" s="12"/>
      <c r="JTI51" s="34"/>
      <c r="JTJ51" s="39"/>
      <c r="JTK51" s="41"/>
      <c r="JTN51" s="32"/>
      <c r="JTP51" s="12"/>
      <c r="JTR51" s="34"/>
      <c r="JTS51" s="39"/>
      <c r="JTT51" s="41"/>
      <c r="JTW51" s="32"/>
      <c r="JTY51" s="12"/>
      <c r="JUA51" s="34"/>
      <c r="JUB51" s="39"/>
      <c r="JUC51" s="41"/>
      <c r="JUF51" s="32"/>
      <c r="JUH51" s="12"/>
      <c r="JUJ51" s="34"/>
      <c r="JUK51" s="39"/>
      <c r="JUL51" s="41"/>
      <c r="JUO51" s="32"/>
      <c r="JUQ51" s="12"/>
      <c r="JUS51" s="34"/>
      <c r="JUT51" s="39"/>
      <c r="JUU51" s="41"/>
      <c r="JUX51" s="32"/>
      <c r="JUZ51" s="12"/>
      <c r="JVB51" s="34"/>
      <c r="JVC51" s="39"/>
      <c r="JVD51" s="41"/>
      <c r="JVG51" s="32"/>
      <c r="JVI51" s="12"/>
      <c r="JVK51" s="34"/>
      <c r="JVL51" s="39"/>
      <c r="JVM51" s="41"/>
      <c r="JVP51" s="32"/>
      <c r="JVR51" s="12"/>
      <c r="JVT51" s="34"/>
      <c r="JVU51" s="39"/>
      <c r="JVV51" s="41"/>
      <c r="JVY51" s="32"/>
      <c r="JWA51" s="12"/>
      <c r="JWC51" s="34"/>
      <c r="JWD51" s="39"/>
      <c r="JWE51" s="41"/>
      <c r="JWH51" s="32"/>
      <c r="JWJ51" s="12"/>
      <c r="JWL51" s="34"/>
      <c r="JWM51" s="39"/>
      <c r="JWN51" s="41"/>
      <c r="JWQ51" s="32"/>
      <c r="JWS51" s="12"/>
      <c r="JWU51" s="34"/>
      <c r="JWV51" s="39"/>
      <c r="JWW51" s="41"/>
      <c r="JWZ51" s="32"/>
      <c r="JXB51" s="12"/>
      <c r="JXD51" s="34"/>
      <c r="JXE51" s="39"/>
      <c r="JXF51" s="41"/>
      <c r="JXI51" s="32"/>
      <c r="JXK51" s="12"/>
      <c r="JXM51" s="34"/>
      <c r="JXN51" s="39"/>
      <c r="JXO51" s="41"/>
      <c r="JXR51" s="32"/>
      <c r="JXT51" s="12"/>
      <c r="JXV51" s="34"/>
      <c r="JXW51" s="39"/>
      <c r="JXX51" s="41"/>
      <c r="JYA51" s="32"/>
      <c r="JYC51" s="12"/>
      <c r="JYE51" s="34"/>
      <c r="JYF51" s="39"/>
      <c r="JYG51" s="41"/>
      <c r="JYJ51" s="32"/>
      <c r="JYL51" s="12"/>
      <c r="JYN51" s="34"/>
      <c r="JYO51" s="39"/>
      <c r="JYP51" s="41"/>
      <c r="JYS51" s="32"/>
      <c r="JYU51" s="12"/>
      <c r="JYW51" s="34"/>
      <c r="JYX51" s="39"/>
      <c r="JYY51" s="41"/>
      <c r="JZB51" s="32"/>
      <c r="JZD51" s="12"/>
      <c r="JZF51" s="34"/>
      <c r="JZG51" s="39"/>
      <c r="JZH51" s="41"/>
      <c r="JZK51" s="32"/>
      <c r="JZM51" s="12"/>
      <c r="JZO51" s="34"/>
      <c r="JZP51" s="39"/>
      <c r="JZQ51" s="41"/>
      <c r="JZT51" s="32"/>
      <c r="JZV51" s="12"/>
      <c r="JZX51" s="34"/>
      <c r="JZY51" s="39"/>
      <c r="JZZ51" s="41"/>
      <c r="KAC51" s="32"/>
      <c r="KAE51" s="12"/>
      <c r="KAG51" s="34"/>
      <c r="KAH51" s="39"/>
      <c r="KAI51" s="41"/>
      <c r="KAL51" s="32"/>
      <c r="KAN51" s="12"/>
      <c r="KAP51" s="34"/>
      <c r="KAQ51" s="39"/>
      <c r="KAR51" s="41"/>
      <c r="KAU51" s="32"/>
      <c r="KAW51" s="12"/>
      <c r="KAY51" s="34"/>
      <c r="KAZ51" s="39"/>
      <c r="KBA51" s="41"/>
      <c r="KBD51" s="32"/>
      <c r="KBF51" s="12"/>
      <c r="KBH51" s="34"/>
      <c r="KBI51" s="39"/>
      <c r="KBJ51" s="41"/>
      <c r="KBM51" s="32"/>
      <c r="KBO51" s="12"/>
      <c r="KBQ51" s="34"/>
      <c r="KBR51" s="39"/>
      <c r="KBS51" s="41"/>
      <c r="KBV51" s="32"/>
      <c r="KBX51" s="12"/>
      <c r="KBZ51" s="34"/>
      <c r="KCA51" s="39"/>
      <c r="KCB51" s="41"/>
      <c r="KCE51" s="32"/>
      <c r="KCG51" s="12"/>
      <c r="KCI51" s="34"/>
      <c r="KCJ51" s="39"/>
      <c r="KCK51" s="41"/>
      <c r="KCN51" s="32"/>
      <c r="KCP51" s="12"/>
      <c r="KCR51" s="34"/>
      <c r="KCS51" s="39"/>
      <c r="KCT51" s="41"/>
      <c r="KCW51" s="32"/>
      <c r="KCY51" s="12"/>
      <c r="KDA51" s="34"/>
      <c r="KDB51" s="39"/>
      <c r="KDC51" s="41"/>
      <c r="KDF51" s="32"/>
      <c r="KDH51" s="12"/>
      <c r="KDJ51" s="34"/>
      <c r="KDK51" s="39"/>
      <c r="KDL51" s="41"/>
      <c r="KDO51" s="32"/>
      <c r="KDQ51" s="12"/>
      <c r="KDS51" s="34"/>
      <c r="KDT51" s="39"/>
      <c r="KDU51" s="41"/>
      <c r="KDX51" s="32"/>
      <c r="KDZ51" s="12"/>
      <c r="KEB51" s="34"/>
      <c r="KEC51" s="39"/>
      <c r="KED51" s="41"/>
      <c r="KEG51" s="32"/>
      <c r="KEI51" s="12"/>
      <c r="KEK51" s="34"/>
      <c r="KEL51" s="39"/>
      <c r="KEM51" s="41"/>
      <c r="KEP51" s="32"/>
      <c r="KER51" s="12"/>
      <c r="KET51" s="34"/>
      <c r="KEU51" s="39"/>
      <c r="KEV51" s="41"/>
      <c r="KEY51" s="32"/>
      <c r="KFA51" s="12"/>
      <c r="KFC51" s="34"/>
      <c r="KFD51" s="39"/>
      <c r="KFE51" s="41"/>
      <c r="KFH51" s="32"/>
      <c r="KFJ51" s="12"/>
      <c r="KFL51" s="34"/>
      <c r="KFM51" s="39"/>
      <c r="KFN51" s="41"/>
      <c r="KFQ51" s="32"/>
      <c r="KFS51" s="12"/>
      <c r="KFU51" s="34"/>
      <c r="KFV51" s="39"/>
      <c r="KFW51" s="41"/>
      <c r="KFZ51" s="32"/>
      <c r="KGB51" s="12"/>
      <c r="KGD51" s="34"/>
      <c r="KGE51" s="39"/>
      <c r="KGF51" s="41"/>
      <c r="KGI51" s="32"/>
      <c r="KGK51" s="12"/>
      <c r="KGM51" s="34"/>
      <c r="KGN51" s="39"/>
      <c r="KGO51" s="41"/>
      <c r="KGR51" s="32"/>
      <c r="KGT51" s="12"/>
      <c r="KGV51" s="34"/>
      <c r="KGW51" s="39"/>
      <c r="KGX51" s="41"/>
      <c r="KHA51" s="32"/>
      <c r="KHC51" s="12"/>
      <c r="KHE51" s="34"/>
      <c r="KHF51" s="39"/>
      <c r="KHG51" s="41"/>
      <c r="KHJ51" s="32"/>
      <c r="KHL51" s="12"/>
      <c r="KHN51" s="34"/>
      <c r="KHO51" s="39"/>
      <c r="KHP51" s="41"/>
      <c r="KHS51" s="32"/>
      <c r="KHU51" s="12"/>
      <c r="KHW51" s="34"/>
      <c r="KHX51" s="39"/>
      <c r="KHY51" s="41"/>
      <c r="KIB51" s="32"/>
      <c r="KID51" s="12"/>
      <c r="KIF51" s="34"/>
      <c r="KIG51" s="39"/>
      <c r="KIH51" s="41"/>
      <c r="KIK51" s="32"/>
      <c r="KIM51" s="12"/>
      <c r="KIO51" s="34"/>
      <c r="KIP51" s="39"/>
      <c r="KIQ51" s="41"/>
      <c r="KIT51" s="32"/>
      <c r="KIV51" s="12"/>
      <c r="KIX51" s="34"/>
      <c r="KIY51" s="39"/>
      <c r="KIZ51" s="41"/>
      <c r="KJC51" s="32"/>
      <c r="KJE51" s="12"/>
      <c r="KJG51" s="34"/>
      <c r="KJH51" s="39"/>
      <c r="KJI51" s="41"/>
      <c r="KJL51" s="32"/>
      <c r="KJN51" s="12"/>
      <c r="KJP51" s="34"/>
      <c r="KJQ51" s="39"/>
      <c r="KJR51" s="41"/>
      <c r="KJU51" s="32"/>
      <c r="KJW51" s="12"/>
      <c r="KJY51" s="34"/>
      <c r="KJZ51" s="39"/>
      <c r="KKA51" s="41"/>
      <c r="KKD51" s="32"/>
      <c r="KKF51" s="12"/>
      <c r="KKH51" s="34"/>
      <c r="KKI51" s="39"/>
      <c r="KKJ51" s="41"/>
      <c r="KKM51" s="32"/>
      <c r="KKO51" s="12"/>
      <c r="KKQ51" s="34"/>
      <c r="KKR51" s="39"/>
      <c r="KKS51" s="41"/>
      <c r="KKV51" s="32"/>
      <c r="KKX51" s="12"/>
      <c r="KKZ51" s="34"/>
      <c r="KLA51" s="39"/>
      <c r="KLB51" s="41"/>
      <c r="KLE51" s="32"/>
      <c r="KLG51" s="12"/>
      <c r="KLI51" s="34"/>
      <c r="KLJ51" s="39"/>
      <c r="KLK51" s="41"/>
      <c r="KLN51" s="32"/>
      <c r="KLP51" s="12"/>
      <c r="KLR51" s="34"/>
      <c r="KLS51" s="39"/>
      <c r="KLT51" s="41"/>
      <c r="KLW51" s="32"/>
      <c r="KLY51" s="12"/>
      <c r="KMA51" s="34"/>
      <c r="KMB51" s="39"/>
      <c r="KMC51" s="41"/>
      <c r="KMF51" s="32"/>
      <c r="KMH51" s="12"/>
      <c r="KMJ51" s="34"/>
      <c r="KMK51" s="39"/>
      <c r="KML51" s="41"/>
      <c r="KMO51" s="32"/>
      <c r="KMQ51" s="12"/>
      <c r="KMS51" s="34"/>
      <c r="KMT51" s="39"/>
      <c r="KMU51" s="41"/>
      <c r="KMX51" s="32"/>
      <c r="KMZ51" s="12"/>
      <c r="KNB51" s="34"/>
      <c r="KNC51" s="39"/>
      <c r="KND51" s="41"/>
      <c r="KNG51" s="32"/>
      <c r="KNI51" s="12"/>
      <c r="KNK51" s="34"/>
      <c r="KNL51" s="39"/>
      <c r="KNM51" s="41"/>
      <c r="KNP51" s="32"/>
      <c r="KNR51" s="12"/>
      <c r="KNT51" s="34"/>
      <c r="KNU51" s="39"/>
      <c r="KNV51" s="41"/>
      <c r="KNY51" s="32"/>
      <c r="KOA51" s="12"/>
      <c r="KOC51" s="34"/>
      <c r="KOD51" s="39"/>
      <c r="KOE51" s="41"/>
      <c r="KOH51" s="32"/>
      <c r="KOJ51" s="12"/>
      <c r="KOL51" s="34"/>
      <c r="KOM51" s="39"/>
      <c r="KON51" s="41"/>
      <c r="KOQ51" s="32"/>
      <c r="KOS51" s="12"/>
      <c r="KOU51" s="34"/>
      <c r="KOV51" s="39"/>
      <c r="KOW51" s="41"/>
      <c r="KOZ51" s="32"/>
      <c r="KPB51" s="12"/>
      <c r="KPD51" s="34"/>
      <c r="KPE51" s="39"/>
      <c r="KPF51" s="41"/>
      <c r="KPI51" s="32"/>
      <c r="KPK51" s="12"/>
      <c r="KPM51" s="34"/>
      <c r="KPN51" s="39"/>
      <c r="KPO51" s="41"/>
      <c r="KPR51" s="32"/>
      <c r="KPT51" s="12"/>
      <c r="KPV51" s="34"/>
      <c r="KPW51" s="39"/>
      <c r="KPX51" s="41"/>
      <c r="KQA51" s="32"/>
      <c r="KQC51" s="12"/>
      <c r="KQE51" s="34"/>
      <c r="KQF51" s="39"/>
      <c r="KQG51" s="41"/>
      <c r="KQJ51" s="32"/>
      <c r="KQL51" s="12"/>
      <c r="KQN51" s="34"/>
      <c r="KQO51" s="39"/>
      <c r="KQP51" s="41"/>
      <c r="KQS51" s="32"/>
      <c r="KQU51" s="12"/>
      <c r="KQW51" s="34"/>
      <c r="KQX51" s="39"/>
      <c r="KQY51" s="41"/>
      <c r="KRB51" s="32"/>
      <c r="KRD51" s="12"/>
      <c r="KRF51" s="34"/>
      <c r="KRG51" s="39"/>
      <c r="KRH51" s="41"/>
      <c r="KRK51" s="32"/>
      <c r="KRM51" s="12"/>
      <c r="KRO51" s="34"/>
      <c r="KRP51" s="39"/>
      <c r="KRQ51" s="41"/>
      <c r="KRT51" s="32"/>
      <c r="KRV51" s="12"/>
      <c r="KRX51" s="34"/>
      <c r="KRY51" s="39"/>
      <c r="KRZ51" s="41"/>
      <c r="KSC51" s="32"/>
      <c r="KSE51" s="12"/>
      <c r="KSG51" s="34"/>
      <c r="KSH51" s="39"/>
      <c r="KSI51" s="41"/>
      <c r="KSL51" s="32"/>
      <c r="KSN51" s="12"/>
      <c r="KSP51" s="34"/>
      <c r="KSQ51" s="39"/>
      <c r="KSR51" s="41"/>
      <c r="KSU51" s="32"/>
      <c r="KSW51" s="12"/>
      <c r="KSY51" s="34"/>
      <c r="KSZ51" s="39"/>
      <c r="KTA51" s="41"/>
      <c r="KTD51" s="32"/>
      <c r="KTF51" s="12"/>
      <c r="KTH51" s="34"/>
      <c r="KTI51" s="39"/>
      <c r="KTJ51" s="41"/>
      <c r="KTM51" s="32"/>
      <c r="KTO51" s="12"/>
      <c r="KTQ51" s="34"/>
      <c r="KTR51" s="39"/>
      <c r="KTS51" s="41"/>
      <c r="KTV51" s="32"/>
      <c r="KTX51" s="12"/>
      <c r="KTZ51" s="34"/>
      <c r="KUA51" s="39"/>
      <c r="KUB51" s="41"/>
      <c r="KUE51" s="32"/>
      <c r="KUG51" s="12"/>
      <c r="KUI51" s="34"/>
      <c r="KUJ51" s="39"/>
      <c r="KUK51" s="41"/>
      <c r="KUN51" s="32"/>
      <c r="KUP51" s="12"/>
      <c r="KUR51" s="34"/>
      <c r="KUS51" s="39"/>
      <c r="KUT51" s="41"/>
      <c r="KUW51" s="32"/>
      <c r="KUY51" s="12"/>
      <c r="KVA51" s="34"/>
      <c r="KVB51" s="39"/>
      <c r="KVC51" s="41"/>
      <c r="KVF51" s="32"/>
      <c r="KVH51" s="12"/>
      <c r="KVJ51" s="34"/>
      <c r="KVK51" s="39"/>
      <c r="KVL51" s="41"/>
      <c r="KVO51" s="32"/>
      <c r="KVQ51" s="12"/>
      <c r="KVS51" s="34"/>
      <c r="KVT51" s="39"/>
      <c r="KVU51" s="41"/>
      <c r="KVX51" s="32"/>
      <c r="KVZ51" s="12"/>
      <c r="KWB51" s="34"/>
      <c r="KWC51" s="39"/>
      <c r="KWD51" s="41"/>
      <c r="KWG51" s="32"/>
      <c r="KWI51" s="12"/>
      <c r="KWK51" s="34"/>
      <c r="KWL51" s="39"/>
      <c r="KWM51" s="41"/>
      <c r="KWP51" s="32"/>
      <c r="KWR51" s="12"/>
      <c r="KWT51" s="34"/>
      <c r="KWU51" s="39"/>
      <c r="KWV51" s="41"/>
      <c r="KWY51" s="32"/>
      <c r="KXA51" s="12"/>
      <c r="KXC51" s="34"/>
      <c r="KXD51" s="39"/>
      <c r="KXE51" s="41"/>
      <c r="KXH51" s="32"/>
      <c r="KXJ51" s="12"/>
      <c r="KXL51" s="34"/>
      <c r="KXM51" s="39"/>
      <c r="KXN51" s="41"/>
      <c r="KXQ51" s="32"/>
      <c r="KXS51" s="12"/>
      <c r="KXU51" s="34"/>
      <c r="KXV51" s="39"/>
      <c r="KXW51" s="41"/>
      <c r="KXZ51" s="32"/>
      <c r="KYB51" s="12"/>
      <c r="KYD51" s="34"/>
      <c r="KYE51" s="39"/>
      <c r="KYF51" s="41"/>
      <c r="KYI51" s="32"/>
      <c r="KYK51" s="12"/>
      <c r="KYM51" s="34"/>
      <c r="KYN51" s="39"/>
      <c r="KYO51" s="41"/>
      <c r="KYR51" s="32"/>
      <c r="KYT51" s="12"/>
      <c r="KYV51" s="34"/>
      <c r="KYW51" s="39"/>
      <c r="KYX51" s="41"/>
      <c r="KZA51" s="32"/>
      <c r="KZC51" s="12"/>
      <c r="KZE51" s="34"/>
      <c r="KZF51" s="39"/>
      <c r="KZG51" s="41"/>
      <c r="KZJ51" s="32"/>
      <c r="KZL51" s="12"/>
      <c r="KZN51" s="34"/>
      <c r="KZO51" s="39"/>
      <c r="KZP51" s="41"/>
      <c r="KZS51" s="32"/>
      <c r="KZU51" s="12"/>
      <c r="KZW51" s="34"/>
      <c r="KZX51" s="39"/>
      <c r="KZY51" s="41"/>
      <c r="LAB51" s="32"/>
      <c r="LAD51" s="12"/>
      <c r="LAF51" s="34"/>
      <c r="LAG51" s="39"/>
      <c r="LAH51" s="41"/>
      <c r="LAK51" s="32"/>
      <c r="LAM51" s="12"/>
      <c r="LAO51" s="34"/>
      <c r="LAP51" s="39"/>
      <c r="LAQ51" s="41"/>
      <c r="LAT51" s="32"/>
      <c r="LAV51" s="12"/>
      <c r="LAX51" s="34"/>
      <c r="LAY51" s="39"/>
      <c r="LAZ51" s="41"/>
      <c r="LBC51" s="32"/>
      <c r="LBE51" s="12"/>
      <c r="LBG51" s="34"/>
      <c r="LBH51" s="39"/>
      <c r="LBI51" s="41"/>
      <c r="LBL51" s="32"/>
      <c r="LBN51" s="12"/>
      <c r="LBP51" s="34"/>
      <c r="LBQ51" s="39"/>
      <c r="LBR51" s="41"/>
      <c r="LBU51" s="32"/>
      <c r="LBW51" s="12"/>
      <c r="LBY51" s="34"/>
      <c r="LBZ51" s="39"/>
      <c r="LCA51" s="41"/>
      <c r="LCD51" s="32"/>
      <c r="LCF51" s="12"/>
      <c r="LCH51" s="34"/>
      <c r="LCI51" s="39"/>
      <c r="LCJ51" s="41"/>
      <c r="LCM51" s="32"/>
      <c r="LCO51" s="12"/>
      <c r="LCQ51" s="34"/>
      <c r="LCR51" s="39"/>
      <c r="LCS51" s="41"/>
      <c r="LCV51" s="32"/>
      <c r="LCX51" s="12"/>
      <c r="LCZ51" s="34"/>
      <c r="LDA51" s="39"/>
      <c r="LDB51" s="41"/>
      <c r="LDE51" s="32"/>
      <c r="LDG51" s="12"/>
      <c r="LDI51" s="34"/>
      <c r="LDJ51" s="39"/>
      <c r="LDK51" s="41"/>
      <c r="LDN51" s="32"/>
      <c r="LDP51" s="12"/>
      <c r="LDR51" s="34"/>
      <c r="LDS51" s="39"/>
      <c r="LDT51" s="41"/>
      <c r="LDW51" s="32"/>
      <c r="LDY51" s="12"/>
      <c r="LEA51" s="34"/>
      <c r="LEB51" s="39"/>
      <c r="LEC51" s="41"/>
      <c r="LEF51" s="32"/>
      <c r="LEH51" s="12"/>
      <c r="LEJ51" s="34"/>
      <c r="LEK51" s="39"/>
      <c r="LEL51" s="41"/>
      <c r="LEO51" s="32"/>
      <c r="LEQ51" s="12"/>
      <c r="LES51" s="34"/>
      <c r="LET51" s="39"/>
      <c r="LEU51" s="41"/>
      <c r="LEX51" s="32"/>
      <c r="LEZ51" s="12"/>
      <c r="LFB51" s="34"/>
      <c r="LFC51" s="39"/>
      <c r="LFD51" s="41"/>
      <c r="LFG51" s="32"/>
      <c r="LFI51" s="12"/>
      <c r="LFK51" s="34"/>
      <c r="LFL51" s="39"/>
      <c r="LFM51" s="41"/>
      <c r="LFP51" s="32"/>
      <c r="LFR51" s="12"/>
      <c r="LFT51" s="34"/>
      <c r="LFU51" s="39"/>
      <c r="LFV51" s="41"/>
      <c r="LFY51" s="32"/>
      <c r="LGA51" s="12"/>
      <c r="LGC51" s="34"/>
      <c r="LGD51" s="39"/>
      <c r="LGE51" s="41"/>
      <c r="LGH51" s="32"/>
      <c r="LGJ51" s="12"/>
      <c r="LGL51" s="34"/>
      <c r="LGM51" s="39"/>
      <c r="LGN51" s="41"/>
      <c r="LGQ51" s="32"/>
      <c r="LGS51" s="12"/>
      <c r="LGU51" s="34"/>
      <c r="LGV51" s="39"/>
      <c r="LGW51" s="41"/>
      <c r="LGZ51" s="32"/>
      <c r="LHB51" s="12"/>
      <c r="LHD51" s="34"/>
      <c r="LHE51" s="39"/>
      <c r="LHF51" s="41"/>
      <c r="LHI51" s="32"/>
      <c r="LHK51" s="12"/>
      <c r="LHM51" s="34"/>
      <c r="LHN51" s="39"/>
      <c r="LHO51" s="41"/>
      <c r="LHR51" s="32"/>
      <c r="LHT51" s="12"/>
      <c r="LHV51" s="34"/>
      <c r="LHW51" s="39"/>
      <c r="LHX51" s="41"/>
      <c r="LIA51" s="32"/>
      <c r="LIC51" s="12"/>
      <c r="LIE51" s="34"/>
      <c r="LIF51" s="39"/>
      <c r="LIG51" s="41"/>
      <c r="LIJ51" s="32"/>
      <c r="LIL51" s="12"/>
      <c r="LIN51" s="34"/>
      <c r="LIO51" s="39"/>
      <c r="LIP51" s="41"/>
      <c r="LIS51" s="32"/>
      <c r="LIU51" s="12"/>
      <c r="LIW51" s="34"/>
      <c r="LIX51" s="39"/>
      <c r="LIY51" s="41"/>
      <c r="LJB51" s="32"/>
      <c r="LJD51" s="12"/>
      <c r="LJF51" s="34"/>
      <c r="LJG51" s="39"/>
      <c r="LJH51" s="41"/>
      <c r="LJK51" s="32"/>
      <c r="LJM51" s="12"/>
      <c r="LJO51" s="34"/>
      <c r="LJP51" s="39"/>
      <c r="LJQ51" s="41"/>
      <c r="LJT51" s="32"/>
      <c r="LJV51" s="12"/>
      <c r="LJX51" s="34"/>
      <c r="LJY51" s="39"/>
      <c r="LJZ51" s="41"/>
      <c r="LKC51" s="32"/>
      <c r="LKE51" s="12"/>
      <c r="LKG51" s="34"/>
      <c r="LKH51" s="39"/>
      <c r="LKI51" s="41"/>
      <c r="LKL51" s="32"/>
      <c r="LKN51" s="12"/>
      <c r="LKP51" s="34"/>
      <c r="LKQ51" s="39"/>
      <c r="LKR51" s="41"/>
      <c r="LKU51" s="32"/>
      <c r="LKW51" s="12"/>
      <c r="LKY51" s="34"/>
      <c r="LKZ51" s="39"/>
      <c r="LLA51" s="41"/>
      <c r="LLD51" s="32"/>
      <c r="LLF51" s="12"/>
      <c r="LLH51" s="34"/>
      <c r="LLI51" s="39"/>
      <c r="LLJ51" s="41"/>
      <c r="LLM51" s="32"/>
      <c r="LLO51" s="12"/>
      <c r="LLQ51" s="34"/>
      <c r="LLR51" s="39"/>
      <c r="LLS51" s="41"/>
      <c r="LLV51" s="32"/>
      <c r="LLX51" s="12"/>
      <c r="LLZ51" s="34"/>
      <c r="LMA51" s="39"/>
      <c r="LMB51" s="41"/>
      <c r="LME51" s="32"/>
      <c r="LMG51" s="12"/>
      <c r="LMI51" s="34"/>
      <c r="LMJ51" s="39"/>
      <c r="LMK51" s="41"/>
      <c r="LMN51" s="32"/>
      <c r="LMP51" s="12"/>
      <c r="LMR51" s="34"/>
      <c r="LMS51" s="39"/>
      <c r="LMT51" s="41"/>
      <c r="LMW51" s="32"/>
      <c r="LMY51" s="12"/>
      <c r="LNA51" s="34"/>
      <c r="LNB51" s="39"/>
      <c r="LNC51" s="41"/>
      <c r="LNF51" s="32"/>
      <c r="LNH51" s="12"/>
      <c r="LNJ51" s="34"/>
      <c r="LNK51" s="39"/>
      <c r="LNL51" s="41"/>
      <c r="LNO51" s="32"/>
      <c r="LNQ51" s="12"/>
      <c r="LNS51" s="34"/>
      <c r="LNT51" s="39"/>
      <c r="LNU51" s="41"/>
      <c r="LNX51" s="32"/>
      <c r="LNZ51" s="12"/>
      <c r="LOB51" s="34"/>
      <c r="LOC51" s="39"/>
      <c r="LOD51" s="41"/>
      <c r="LOG51" s="32"/>
      <c r="LOI51" s="12"/>
      <c r="LOK51" s="34"/>
      <c r="LOL51" s="39"/>
      <c r="LOM51" s="41"/>
      <c r="LOP51" s="32"/>
      <c r="LOR51" s="12"/>
      <c r="LOT51" s="34"/>
      <c r="LOU51" s="39"/>
      <c r="LOV51" s="41"/>
      <c r="LOY51" s="32"/>
      <c r="LPA51" s="12"/>
      <c r="LPC51" s="34"/>
      <c r="LPD51" s="39"/>
      <c r="LPE51" s="41"/>
      <c r="LPH51" s="32"/>
      <c r="LPJ51" s="12"/>
      <c r="LPL51" s="34"/>
      <c r="LPM51" s="39"/>
      <c r="LPN51" s="41"/>
      <c r="LPQ51" s="32"/>
      <c r="LPS51" s="12"/>
      <c r="LPU51" s="34"/>
      <c r="LPV51" s="39"/>
      <c r="LPW51" s="41"/>
      <c r="LPZ51" s="32"/>
      <c r="LQB51" s="12"/>
      <c r="LQD51" s="34"/>
      <c r="LQE51" s="39"/>
      <c r="LQF51" s="41"/>
      <c r="LQI51" s="32"/>
      <c r="LQK51" s="12"/>
      <c r="LQM51" s="34"/>
      <c r="LQN51" s="39"/>
      <c r="LQO51" s="41"/>
      <c r="LQR51" s="32"/>
      <c r="LQT51" s="12"/>
      <c r="LQV51" s="34"/>
      <c r="LQW51" s="39"/>
      <c r="LQX51" s="41"/>
      <c r="LRA51" s="32"/>
      <c r="LRC51" s="12"/>
      <c r="LRE51" s="34"/>
      <c r="LRF51" s="39"/>
      <c r="LRG51" s="41"/>
      <c r="LRJ51" s="32"/>
      <c r="LRL51" s="12"/>
      <c r="LRN51" s="34"/>
      <c r="LRO51" s="39"/>
      <c r="LRP51" s="41"/>
      <c r="LRS51" s="32"/>
      <c r="LRU51" s="12"/>
      <c r="LRW51" s="34"/>
      <c r="LRX51" s="39"/>
      <c r="LRY51" s="41"/>
      <c r="LSB51" s="32"/>
      <c r="LSD51" s="12"/>
      <c r="LSF51" s="34"/>
      <c r="LSG51" s="39"/>
      <c r="LSH51" s="41"/>
      <c r="LSK51" s="32"/>
      <c r="LSM51" s="12"/>
      <c r="LSO51" s="34"/>
      <c r="LSP51" s="39"/>
      <c r="LSQ51" s="41"/>
      <c r="LST51" s="32"/>
      <c r="LSV51" s="12"/>
      <c r="LSX51" s="34"/>
      <c r="LSY51" s="39"/>
      <c r="LSZ51" s="41"/>
      <c r="LTC51" s="32"/>
      <c r="LTE51" s="12"/>
      <c r="LTG51" s="34"/>
      <c r="LTH51" s="39"/>
      <c r="LTI51" s="41"/>
      <c r="LTL51" s="32"/>
      <c r="LTN51" s="12"/>
      <c r="LTP51" s="34"/>
      <c r="LTQ51" s="39"/>
      <c r="LTR51" s="41"/>
      <c r="LTU51" s="32"/>
      <c r="LTW51" s="12"/>
      <c r="LTY51" s="34"/>
      <c r="LTZ51" s="39"/>
      <c r="LUA51" s="41"/>
      <c r="LUD51" s="32"/>
      <c r="LUF51" s="12"/>
      <c r="LUH51" s="34"/>
      <c r="LUI51" s="39"/>
      <c r="LUJ51" s="41"/>
      <c r="LUM51" s="32"/>
      <c r="LUO51" s="12"/>
      <c r="LUQ51" s="34"/>
      <c r="LUR51" s="39"/>
      <c r="LUS51" s="41"/>
      <c r="LUV51" s="32"/>
      <c r="LUX51" s="12"/>
      <c r="LUZ51" s="34"/>
      <c r="LVA51" s="39"/>
      <c r="LVB51" s="41"/>
      <c r="LVE51" s="32"/>
      <c r="LVG51" s="12"/>
      <c r="LVI51" s="34"/>
      <c r="LVJ51" s="39"/>
      <c r="LVK51" s="41"/>
      <c r="LVN51" s="32"/>
      <c r="LVP51" s="12"/>
      <c r="LVR51" s="34"/>
      <c r="LVS51" s="39"/>
      <c r="LVT51" s="41"/>
      <c r="LVW51" s="32"/>
      <c r="LVY51" s="12"/>
      <c r="LWA51" s="34"/>
      <c r="LWB51" s="39"/>
      <c r="LWC51" s="41"/>
      <c r="LWF51" s="32"/>
      <c r="LWH51" s="12"/>
      <c r="LWJ51" s="34"/>
      <c r="LWK51" s="39"/>
      <c r="LWL51" s="41"/>
      <c r="LWO51" s="32"/>
      <c r="LWQ51" s="12"/>
      <c r="LWS51" s="34"/>
      <c r="LWT51" s="39"/>
      <c r="LWU51" s="41"/>
      <c r="LWX51" s="32"/>
      <c r="LWZ51" s="12"/>
      <c r="LXB51" s="34"/>
      <c r="LXC51" s="39"/>
      <c r="LXD51" s="41"/>
      <c r="LXG51" s="32"/>
      <c r="LXI51" s="12"/>
      <c r="LXK51" s="34"/>
      <c r="LXL51" s="39"/>
      <c r="LXM51" s="41"/>
      <c r="LXP51" s="32"/>
      <c r="LXR51" s="12"/>
      <c r="LXT51" s="34"/>
      <c r="LXU51" s="39"/>
      <c r="LXV51" s="41"/>
      <c r="LXY51" s="32"/>
      <c r="LYA51" s="12"/>
      <c r="LYC51" s="34"/>
      <c r="LYD51" s="39"/>
      <c r="LYE51" s="41"/>
      <c r="LYH51" s="32"/>
      <c r="LYJ51" s="12"/>
      <c r="LYL51" s="34"/>
      <c r="LYM51" s="39"/>
      <c r="LYN51" s="41"/>
      <c r="LYQ51" s="32"/>
      <c r="LYS51" s="12"/>
      <c r="LYU51" s="34"/>
      <c r="LYV51" s="39"/>
      <c r="LYW51" s="41"/>
      <c r="LYZ51" s="32"/>
      <c r="LZB51" s="12"/>
      <c r="LZD51" s="34"/>
      <c r="LZE51" s="39"/>
      <c r="LZF51" s="41"/>
      <c r="LZI51" s="32"/>
      <c r="LZK51" s="12"/>
      <c r="LZM51" s="34"/>
      <c r="LZN51" s="39"/>
      <c r="LZO51" s="41"/>
      <c r="LZR51" s="32"/>
      <c r="LZT51" s="12"/>
      <c r="LZV51" s="34"/>
      <c r="LZW51" s="39"/>
      <c r="LZX51" s="41"/>
      <c r="MAA51" s="32"/>
      <c r="MAC51" s="12"/>
      <c r="MAE51" s="34"/>
      <c r="MAF51" s="39"/>
      <c r="MAG51" s="41"/>
      <c r="MAJ51" s="32"/>
      <c r="MAL51" s="12"/>
      <c r="MAN51" s="34"/>
      <c r="MAO51" s="39"/>
      <c r="MAP51" s="41"/>
      <c r="MAS51" s="32"/>
      <c r="MAU51" s="12"/>
      <c r="MAW51" s="34"/>
      <c r="MAX51" s="39"/>
      <c r="MAY51" s="41"/>
      <c r="MBB51" s="32"/>
      <c r="MBD51" s="12"/>
      <c r="MBF51" s="34"/>
      <c r="MBG51" s="39"/>
      <c r="MBH51" s="41"/>
      <c r="MBK51" s="32"/>
      <c r="MBM51" s="12"/>
      <c r="MBO51" s="34"/>
      <c r="MBP51" s="39"/>
      <c r="MBQ51" s="41"/>
      <c r="MBT51" s="32"/>
      <c r="MBV51" s="12"/>
      <c r="MBX51" s="34"/>
      <c r="MBY51" s="39"/>
      <c r="MBZ51" s="41"/>
      <c r="MCC51" s="32"/>
      <c r="MCE51" s="12"/>
      <c r="MCG51" s="34"/>
      <c r="MCH51" s="39"/>
      <c r="MCI51" s="41"/>
      <c r="MCL51" s="32"/>
      <c r="MCN51" s="12"/>
      <c r="MCP51" s="34"/>
      <c r="MCQ51" s="39"/>
      <c r="MCR51" s="41"/>
      <c r="MCU51" s="32"/>
      <c r="MCW51" s="12"/>
      <c r="MCY51" s="34"/>
      <c r="MCZ51" s="39"/>
      <c r="MDA51" s="41"/>
      <c r="MDD51" s="32"/>
      <c r="MDF51" s="12"/>
      <c r="MDH51" s="34"/>
      <c r="MDI51" s="39"/>
      <c r="MDJ51" s="41"/>
      <c r="MDM51" s="32"/>
      <c r="MDO51" s="12"/>
      <c r="MDQ51" s="34"/>
      <c r="MDR51" s="39"/>
      <c r="MDS51" s="41"/>
      <c r="MDV51" s="32"/>
      <c r="MDX51" s="12"/>
      <c r="MDZ51" s="34"/>
      <c r="MEA51" s="39"/>
      <c r="MEB51" s="41"/>
      <c r="MEE51" s="32"/>
      <c r="MEG51" s="12"/>
      <c r="MEI51" s="34"/>
      <c r="MEJ51" s="39"/>
      <c r="MEK51" s="41"/>
      <c r="MEN51" s="32"/>
      <c r="MEP51" s="12"/>
      <c r="MER51" s="34"/>
      <c r="MES51" s="39"/>
      <c r="MET51" s="41"/>
      <c r="MEW51" s="32"/>
      <c r="MEY51" s="12"/>
      <c r="MFA51" s="34"/>
      <c r="MFB51" s="39"/>
      <c r="MFC51" s="41"/>
      <c r="MFF51" s="32"/>
      <c r="MFH51" s="12"/>
      <c r="MFJ51" s="34"/>
      <c r="MFK51" s="39"/>
      <c r="MFL51" s="41"/>
      <c r="MFO51" s="32"/>
      <c r="MFQ51" s="12"/>
      <c r="MFS51" s="34"/>
      <c r="MFT51" s="39"/>
      <c r="MFU51" s="41"/>
      <c r="MFX51" s="32"/>
      <c r="MFZ51" s="12"/>
      <c r="MGB51" s="34"/>
      <c r="MGC51" s="39"/>
      <c r="MGD51" s="41"/>
      <c r="MGG51" s="32"/>
      <c r="MGI51" s="12"/>
      <c r="MGK51" s="34"/>
      <c r="MGL51" s="39"/>
      <c r="MGM51" s="41"/>
      <c r="MGP51" s="32"/>
      <c r="MGR51" s="12"/>
      <c r="MGT51" s="34"/>
      <c r="MGU51" s="39"/>
      <c r="MGV51" s="41"/>
      <c r="MGY51" s="32"/>
      <c r="MHA51" s="12"/>
      <c r="MHC51" s="34"/>
      <c r="MHD51" s="39"/>
      <c r="MHE51" s="41"/>
      <c r="MHH51" s="32"/>
      <c r="MHJ51" s="12"/>
      <c r="MHL51" s="34"/>
      <c r="MHM51" s="39"/>
      <c r="MHN51" s="41"/>
      <c r="MHQ51" s="32"/>
      <c r="MHS51" s="12"/>
      <c r="MHU51" s="34"/>
      <c r="MHV51" s="39"/>
      <c r="MHW51" s="41"/>
      <c r="MHZ51" s="32"/>
      <c r="MIB51" s="12"/>
      <c r="MID51" s="34"/>
      <c r="MIE51" s="39"/>
      <c r="MIF51" s="41"/>
      <c r="MII51" s="32"/>
      <c r="MIK51" s="12"/>
      <c r="MIM51" s="34"/>
      <c r="MIN51" s="39"/>
      <c r="MIO51" s="41"/>
      <c r="MIR51" s="32"/>
      <c r="MIT51" s="12"/>
      <c r="MIV51" s="34"/>
      <c r="MIW51" s="39"/>
      <c r="MIX51" s="41"/>
      <c r="MJA51" s="32"/>
      <c r="MJC51" s="12"/>
      <c r="MJE51" s="34"/>
      <c r="MJF51" s="39"/>
      <c r="MJG51" s="41"/>
      <c r="MJJ51" s="32"/>
      <c r="MJL51" s="12"/>
      <c r="MJN51" s="34"/>
      <c r="MJO51" s="39"/>
      <c r="MJP51" s="41"/>
      <c r="MJS51" s="32"/>
      <c r="MJU51" s="12"/>
      <c r="MJW51" s="34"/>
      <c r="MJX51" s="39"/>
      <c r="MJY51" s="41"/>
      <c r="MKB51" s="32"/>
      <c r="MKD51" s="12"/>
      <c r="MKF51" s="34"/>
      <c r="MKG51" s="39"/>
      <c r="MKH51" s="41"/>
      <c r="MKK51" s="32"/>
      <c r="MKM51" s="12"/>
      <c r="MKO51" s="34"/>
      <c r="MKP51" s="39"/>
      <c r="MKQ51" s="41"/>
      <c r="MKT51" s="32"/>
      <c r="MKV51" s="12"/>
      <c r="MKX51" s="34"/>
      <c r="MKY51" s="39"/>
      <c r="MKZ51" s="41"/>
      <c r="MLC51" s="32"/>
      <c r="MLE51" s="12"/>
      <c r="MLG51" s="34"/>
      <c r="MLH51" s="39"/>
      <c r="MLI51" s="41"/>
      <c r="MLL51" s="32"/>
      <c r="MLN51" s="12"/>
      <c r="MLP51" s="34"/>
      <c r="MLQ51" s="39"/>
      <c r="MLR51" s="41"/>
      <c r="MLU51" s="32"/>
      <c r="MLW51" s="12"/>
      <c r="MLY51" s="34"/>
      <c r="MLZ51" s="39"/>
      <c r="MMA51" s="41"/>
      <c r="MMD51" s="32"/>
      <c r="MMF51" s="12"/>
      <c r="MMH51" s="34"/>
      <c r="MMI51" s="39"/>
      <c r="MMJ51" s="41"/>
      <c r="MMM51" s="32"/>
      <c r="MMO51" s="12"/>
      <c r="MMQ51" s="34"/>
      <c r="MMR51" s="39"/>
      <c r="MMS51" s="41"/>
      <c r="MMV51" s="32"/>
      <c r="MMX51" s="12"/>
      <c r="MMZ51" s="34"/>
      <c r="MNA51" s="39"/>
      <c r="MNB51" s="41"/>
      <c r="MNE51" s="32"/>
      <c r="MNG51" s="12"/>
      <c r="MNI51" s="34"/>
      <c r="MNJ51" s="39"/>
      <c r="MNK51" s="41"/>
      <c r="MNN51" s="32"/>
      <c r="MNP51" s="12"/>
      <c r="MNR51" s="34"/>
      <c r="MNS51" s="39"/>
      <c r="MNT51" s="41"/>
      <c r="MNW51" s="32"/>
      <c r="MNY51" s="12"/>
      <c r="MOA51" s="34"/>
      <c r="MOB51" s="39"/>
      <c r="MOC51" s="41"/>
      <c r="MOF51" s="32"/>
      <c r="MOH51" s="12"/>
      <c r="MOJ51" s="34"/>
      <c r="MOK51" s="39"/>
      <c r="MOL51" s="41"/>
      <c r="MOO51" s="32"/>
      <c r="MOQ51" s="12"/>
      <c r="MOS51" s="34"/>
      <c r="MOT51" s="39"/>
      <c r="MOU51" s="41"/>
      <c r="MOX51" s="32"/>
      <c r="MOZ51" s="12"/>
      <c r="MPB51" s="34"/>
      <c r="MPC51" s="39"/>
      <c r="MPD51" s="41"/>
      <c r="MPG51" s="32"/>
      <c r="MPI51" s="12"/>
      <c r="MPK51" s="34"/>
      <c r="MPL51" s="39"/>
      <c r="MPM51" s="41"/>
      <c r="MPP51" s="32"/>
      <c r="MPR51" s="12"/>
      <c r="MPT51" s="34"/>
      <c r="MPU51" s="39"/>
      <c r="MPV51" s="41"/>
      <c r="MPY51" s="32"/>
      <c r="MQA51" s="12"/>
      <c r="MQC51" s="34"/>
      <c r="MQD51" s="39"/>
      <c r="MQE51" s="41"/>
      <c r="MQH51" s="32"/>
      <c r="MQJ51" s="12"/>
      <c r="MQL51" s="34"/>
      <c r="MQM51" s="39"/>
      <c r="MQN51" s="41"/>
      <c r="MQQ51" s="32"/>
      <c r="MQS51" s="12"/>
      <c r="MQU51" s="34"/>
      <c r="MQV51" s="39"/>
      <c r="MQW51" s="41"/>
      <c r="MQZ51" s="32"/>
      <c r="MRB51" s="12"/>
      <c r="MRD51" s="34"/>
      <c r="MRE51" s="39"/>
      <c r="MRF51" s="41"/>
      <c r="MRI51" s="32"/>
      <c r="MRK51" s="12"/>
      <c r="MRM51" s="34"/>
      <c r="MRN51" s="39"/>
      <c r="MRO51" s="41"/>
      <c r="MRR51" s="32"/>
      <c r="MRT51" s="12"/>
      <c r="MRV51" s="34"/>
      <c r="MRW51" s="39"/>
      <c r="MRX51" s="41"/>
      <c r="MSA51" s="32"/>
      <c r="MSC51" s="12"/>
      <c r="MSE51" s="34"/>
      <c r="MSF51" s="39"/>
      <c r="MSG51" s="41"/>
      <c r="MSJ51" s="32"/>
      <c r="MSL51" s="12"/>
      <c r="MSN51" s="34"/>
      <c r="MSO51" s="39"/>
      <c r="MSP51" s="41"/>
      <c r="MSS51" s="32"/>
      <c r="MSU51" s="12"/>
      <c r="MSW51" s="34"/>
      <c r="MSX51" s="39"/>
      <c r="MSY51" s="41"/>
      <c r="MTB51" s="32"/>
      <c r="MTD51" s="12"/>
      <c r="MTF51" s="34"/>
      <c r="MTG51" s="39"/>
      <c r="MTH51" s="41"/>
      <c r="MTK51" s="32"/>
      <c r="MTM51" s="12"/>
      <c r="MTO51" s="34"/>
      <c r="MTP51" s="39"/>
      <c r="MTQ51" s="41"/>
      <c r="MTT51" s="32"/>
      <c r="MTV51" s="12"/>
      <c r="MTX51" s="34"/>
      <c r="MTY51" s="39"/>
      <c r="MTZ51" s="41"/>
      <c r="MUC51" s="32"/>
      <c r="MUE51" s="12"/>
      <c r="MUG51" s="34"/>
      <c r="MUH51" s="39"/>
      <c r="MUI51" s="41"/>
      <c r="MUL51" s="32"/>
      <c r="MUN51" s="12"/>
      <c r="MUP51" s="34"/>
      <c r="MUQ51" s="39"/>
      <c r="MUR51" s="41"/>
      <c r="MUU51" s="32"/>
      <c r="MUW51" s="12"/>
      <c r="MUY51" s="34"/>
      <c r="MUZ51" s="39"/>
      <c r="MVA51" s="41"/>
      <c r="MVD51" s="32"/>
      <c r="MVF51" s="12"/>
      <c r="MVH51" s="34"/>
      <c r="MVI51" s="39"/>
      <c r="MVJ51" s="41"/>
      <c r="MVM51" s="32"/>
      <c r="MVO51" s="12"/>
      <c r="MVQ51" s="34"/>
      <c r="MVR51" s="39"/>
      <c r="MVS51" s="41"/>
      <c r="MVV51" s="32"/>
      <c r="MVX51" s="12"/>
      <c r="MVZ51" s="34"/>
      <c r="MWA51" s="39"/>
      <c r="MWB51" s="41"/>
      <c r="MWE51" s="32"/>
      <c r="MWG51" s="12"/>
      <c r="MWI51" s="34"/>
      <c r="MWJ51" s="39"/>
      <c r="MWK51" s="41"/>
      <c r="MWN51" s="32"/>
      <c r="MWP51" s="12"/>
      <c r="MWR51" s="34"/>
      <c r="MWS51" s="39"/>
      <c r="MWT51" s="41"/>
      <c r="MWW51" s="32"/>
      <c r="MWY51" s="12"/>
      <c r="MXA51" s="34"/>
      <c r="MXB51" s="39"/>
      <c r="MXC51" s="41"/>
      <c r="MXF51" s="32"/>
      <c r="MXH51" s="12"/>
      <c r="MXJ51" s="34"/>
      <c r="MXK51" s="39"/>
      <c r="MXL51" s="41"/>
      <c r="MXO51" s="32"/>
      <c r="MXQ51" s="12"/>
      <c r="MXS51" s="34"/>
      <c r="MXT51" s="39"/>
      <c r="MXU51" s="41"/>
      <c r="MXX51" s="32"/>
      <c r="MXZ51" s="12"/>
      <c r="MYB51" s="34"/>
      <c r="MYC51" s="39"/>
      <c r="MYD51" s="41"/>
      <c r="MYG51" s="32"/>
      <c r="MYI51" s="12"/>
      <c r="MYK51" s="34"/>
      <c r="MYL51" s="39"/>
      <c r="MYM51" s="41"/>
      <c r="MYP51" s="32"/>
      <c r="MYR51" s="12"/>
      <c r="MYT51" s="34"/>
      <c r="MYU51" s="39"/>
      <c r="MYV51" s="41"/>
      <c r="MYY51" s="32"/>
      <c r="MZA51" s="12"/>
      <c r="MZC51" s="34"/>
      <c r="MZD51" s="39"/>
      <c r="MZE51" s="41"/>
      <c r="MZH51" s="32"/>
      <c r="MZJ51" s="12"/>
      <c r="MZL51" s="34"/>
      <c r="MZM51" s="39"/>
      <c r="MZN51" s="41"/>
      <c r="MZQ51" s="32"/>
      <c r="MZS51" s="12"/>
      <c r="MZU51" s="34"/>
      <c r="MZV51" s="39"/>
      <c r="MZW51" s="41"/>
      <c r="MZZ51" s="32"/>
      <c r="NAB51" s="12"/>
      <c r="NAD51" s="34"/>
      <c r="NAE51" s="39"/>
      <c r="NAF51" s="41"/>
      <c r="NAI51" s="32"/>
      <c r="NAK51" s="12"/>
      <c r="NAM51" s="34"/>
      <c r="NAN51" s="39"/>
      <c r="NAO51" s="41"/>
      <c r="NAR51" s="32"/>
      <c r="NAT51" s="12"/>
      <c r="NAV51" s="34"/>
      <c r="NAW51" s="39"/>
      <c r="NAX51" s="41"/>
      <c r="NBA51" s="32"/>
      <c r="NBC51" s="12"/>
      <c r="NBE51" s="34"/>
      <c r="NBF51" s="39"/>
      <c r="NBG51" s="41"/>
      <c r="NBJ51" s="32"/>
      <c r="NBL51" s="12"/>
      <c r="NBN51" s="34"/>
      <c r="NBO51" s="39"/>
      <c r="NBP51" s="41"/>
      <c r="NBS51" s="32"/>
      <c r="NBU51" s="12"/>
      <c r="NBW51" s="34"/>
      <c r="NBX51" s="39"/>
      <c r="NBY51" s="41"/>
      <c r="NCB51" s="32"/>
      <c r="NCD51" s="12"/>
      <c r="NCF51" s="34"/>
      <c r="NCG51" s="39"/>
      <c r="NCH51" s="41"/>
      <c r="NCK51" s="32"/>
      <c r="NCM51" s="12"/>
      <c r="NCO51" s="34"/>
      <c r="NCP51" s="39"/>
      <c r="NCQ51" s="41"/>
      <c r="NCT51" s="32"/>
      <c r="NCV51" s="12"/>
      <c r="NCX51" s="34"/>
      <c r="NCY51" s="39"/>
      <c r="NCZ51" s="41"/>
      <c r="NDC51" s="32"/>
      <c r="NDE51" s="12"/>
      <c r="NDG51" s="34"/>
      <c r="NDH51" s="39"/>
      <c r="NDI51" s="41"/>
      <c r="NDL51" s="32"/>
      <c r="NDN51" s="12"/>
      <c r="NDP51" s="34"/>
      <c r="NDQ51" s="39"/>
      <c r="NDR51" s="41"/>
      <c r="NDU51" s="32"/>
      <c r="NDW51" s="12"/>
      <c r="NDY51" s="34"/>
      <c r="NDZ51" s="39"/>
      <c r="NEA51" s="41"/>
      <c r="NED51" s="32"/>
      <c r="NEF51" s="12"/>
      <c r="NEH51" s="34"/>
      <c r="NEI51" s="39"/>
      <c r="NEJ51" s="41"/>
      <c r="NEM51" s="32"/>
      <c r="NEO51" s="12"/>
      <c r="NEQ51" s="34"/>
      <c r="NER51" s="39"/>
      <c r="NES51" s="41"/>
      <c r="NEV51" s="32"/>
      <c r="NEX51" s="12"/>
      <c r="NEZ51" s="34"/>
      <c r="NFA51" s="39"/>
      <c r="NFB51" s="41"/>
      <c r="NFE51" s="32"/>
      <c r="NFG51" s="12"/>
      <c r="NFI51" s="34"/>
      <c r="NFJ51" s="39"/>
      <c r="NFK51" s="41"/>
      <c r="NFN51" s="32"/>
      <c r="NFP51" s="12"/>
      <c r="NFR51" s="34"/>
      <c r="NFS51" s="39"/>
      <c r="NFT51" s="41"/>
      <c r="NFW51" s="32"/>
      <c r="NFY51" s="12"/>
      <c r="NGA51" s="34"/>
      <c r="NGB51" s="39"/>
      <c r="NGC51" s="41"/>
      <c r="NGF51" s="32"/>
      <c r="NGH51" s="12"/>
      <c r="NGJ51" s="34"/>
      <c r="NGK51" s="39"/>
      <c r="NGL51" s="41"/>
      <c r="NGO51" s="32"/>
      <c r="NGQ51" s="12"/>
      <c r="NGS51" s="34"/>
      <c r="NGT51" s="39"/>
      <c r="NGU51" s="41"/>
      <c r="NGX51" s="32"/>
      <c r="NGZ51" s="12"/>
      <c r="NHB51" s="34"/>
      <c r="NHC51" s="39"/>
      <c r="NHD51" s="41"/>
      <c r="NHG51" s="32"/>
      <c r="NHI51" s="12"/>
      <c r="NHK51" s="34"/>
      <c r="NHL51" s="39"/>
      <c r="NHM51" s="41"/>
      <c r="NHP51" s="32"/>
      <c r="NHR51" s="12"/>
      <c r="NHT51" s="34"/>
      <c r="NHU51" s="39"/>
      <c r="NHV51" s="41"/>
      <c r="NHY51" s="32"/>
      <c r="NIA51" s="12"/>
      <c r="NIC51" s="34"/>
      <c r="NID51" s="39"/>
      <c r="NIE51" s="41"/>
      <c r="NIH51" s="32"/>
      <c r="NIJ51" s="12"/>
      <c r="NIL51" s="34"/>
      <c r="NIM51" s="39"/>
      <c r="NIN51" s="41"/>
      <c r="NIQ51" s="32"/>
      <c r="NIS51" s="12"/>
      <c r="NIU51" s="34"/>
      <c r="NIV51" s="39"/>
      <c r="NIW51" s="41"/>
      <c r="NIZ51" s="32"/>
      <c r="NJB51" s="12"/>
      <c r="NJD51" s="34"/>
      <c r="NJE51" s="39"/>
      <c r="NJF51" s="41"/>
      <c r="NJI51" s="32"/>
      <c r="NJK51" s="12"/>
      <c r="NJM51" s="34"/>
      <c r="NJN51" s="39"/>
      <c r="NJO51" s="41"/>
      <c r="NJR51" s="32"/>
      <c r="NJT51" s="12"/>
      <c r="NJV51" s="34"/>
      <c r="NJW51" s="39"/>
      <c r="NJX51" s="41"/>
      <c r="NKA51" s="32"/>
      <c r="NKC51" s="12"/>
      <c r="NKE51" s="34"/>
      <c r="NKF51" s="39"/>
      <c r="NKG51" s="41"/>
      <c r="NKJ51" s="32"/>
      <c r="NKL51" s="12"/>
      <c r="NKN51" s="34"/>
      <c r="NKO51" s="39"/>
      <c r="NKP51" s="41"/>
      <c r="NKS51" s="32"/>
      <c r="NKU51" s="12"/>
      <c r="NKW51" s="34"/>
      <c r="NKX51" s="39"/>
      <c r="NKY51" s="41"/>
      <c r="NLB51" s="32"/>
      <c r="NLD51" s="12"/>
      <c r="NLF51" s="34"/>
      <c r="NLG51" s="39"/>
      <c r="NLH51" s="41"/>
      <c r="NLK51" s="32"/>
      <c r="NLM51" s="12"/>
      <c r="NLO51" s="34"/>
      <c r="NLP51" s="39"/>
      <c r="NLQ51" s="41"/>
      <c r="NLT51" s="32"/>
      <c r="NLV51" s="12"/>
      <c r="NLX51" s="34"/>
      <c r="NLY51" s="39"/>
      <c r="NLZ51" s="41"/>
      <c r="NMC51" s="32"/>
      <c r="NME51" s="12"/>
      <c r="NMG51" s="34"/>
      <c r="NMH51" s="39"/>
      <c r="NMI51" s="41"/>
      <c r="NML51" s="32"/>
      <c r="NMN51" s="12"/>
      <c r="NMP51" s="34"/>
      <c r="NMQ51" s="39"/>
      <c r="NMR51" s="41"/>
      <c r="NMU51" s="32"/>
      <c r="NMW51" s="12"/>
      <c r="NMY51" s="34"/>
      <c r="NMZ51" s="39"/>
      <c r="NNA51" s="41"/>
      <c r="NND51" s="32"/>
      <c r="NNF51" s="12"/>
      <c r="NNH51" s="34"/>
      <c r="NNI51" s="39"/>
      <c r="NNJ51" s="41"/>
      <c r="NNM51" s="32"/>
      <c r="NNO51" s="12"/>
      <c r="NNQ51" s="34"/>
      <c r="NNR51" s="39"/>
      <c r="NNS51" s="41"/>
      <c r="NNV51" s="32"/>
      <c r="NNX51" s="12"/>
      <c r="NNZ51" s="34"/>
      <c r="NOA51" s="39"/>
      <c r="NOB51" s="41"/>
      <c r="NOE51" s="32"/>
      <c r="NOG51" s="12"/>
      <c r="NOI51" s="34"/>
      <c r="NOJ51" s="39"/>
      <c r="NOK51" s="41"/>
      <c r="NON51" s="32"/>
      <c r="NOP51" s="12"/>
      <c r="NOR51" s="34"/>
      <c r="NOS51" s="39"/>
      <c r="NOT51" s="41"/>
      <c r="NOW51" s="32"/>
      <c r="NOY51" s="12"/>
      <c r="NPA51" s="34"/>
      <c r="NPB51" s="39"/>
      <c r="NPC51" s="41"/>
      <c r="NPF51" s="32"/>
      <c r="NPH51" s="12"/>
      <c r="NPJ51" s="34"/>
      <c r="NPK51" s="39"/>
      <c r="NPL51" s="41"/>
      <c r="NPO51" s="32"/>
      <c r="NPQ51" s="12"/>
      <c r="NPS51" s="34"/>
      <c r="NPT51" s="39"/>
      <c r="NPU51" s="41"/>
      <c r="NPX51" s="32"/>
      <c r="NPZ51" s="12"/>
      <c r="NQB51" s="34"/>
      <c r="NQC51" s="39"/>
      <c r="NQD51" s="41"/>
      <c r="NQG51" s="32"/>
      <c r="NQI51" s="12"/>
      <c r="NQK51" s="34"/>
      <c r="NQL51" s="39"/>
      <c r="NQM51" s="41"/>
      <c r="NQP51" s="32"/>
      <c r="NQR51" s="12"/>
      <c r="NQT51" s="34"/>
      <c r="NQU51" s="39"/>
      <c r="NQV51" s="41"/>
      <c r="NQY51" s="32"/>
      <c r="NRA51" s="12"/>
      <c r="NRC51" s="34"/>
      <c r="NRD51" s="39"/>
      <c r="NRE51" s="41"/>
      <c r="NRH51" s="32"/>
      <c r="NRJ51" s="12"/>
      <c r="NRL51" s="34"/>
      <c r="NRM51" s="39"/>
      <c r="NRN51" s="41"/>
      <c r="NRQ51" s="32"/>
      <c r="NRS51" s="12"/>
      <c r="NRU51" s="34"/>
      <c r="NRV51" s="39"/>
      <c r="NRW51" s="41"/>
      <c r="NRZ51" s="32"/>
      <c r="NSB51" s="12"/>
      <c r="NSD51" s="34"/>
      <c r="NSE51" s="39"/>
      <c r="NSF51" s="41"/>
      <c r="NSI51" s="32"/>
      <c r="NSK51" s="12"/>
      <c r="NSM51" s="34"/>
      <c r="NSN51" s="39"/>
      <c r="NSO51" s="41"/>
      <c r="NSR51" s="32"/>
      <c r="NST51" s="12"/>
      <c r="NSV51" s="34"/>
      <c r="NSW51" s="39"/>
      <c r="NSX51" s="41"/>
      <c r="NTA51" s="32"/>
      <c r="NTC51" s="12"/>
      <c r="NTE51" s="34"/>
      <c r="NTF51" s="39"/>
      <c r="NTG51" s="41"/>
      <c r="NTJ51" s="32"/>
      <c r="NTL51" s="12"/>
      <c r="NTN51" s="34"/>
      <c r="NTO51" s="39"/>
      <c r="NTP51" s="41"/>
      <c r="NTS51" s="32"/>
      <c r="NTU51" s="12"/>
      <c r="NTW51" s="34"/>
      <c r="NTX51" s="39"/>
      <c r="NTY51" s="41"/>
      <c r="NUB51" s="32"/>
      <c r="NUD51" s="12"/>
      <c r="NUF51" s="34"/>
      <c r="NUG51" s="39"/>
      <c r="NUH51" s="41"/>
      <c r="NUK51" s="32"/>
      <c r="NUM51" s="12"/>
      <c r="NUO51" s="34"/>
      <c r="NUP51" s="39"/>
      <c r="NUQ51" s="41"/>
      <c r="NUT51" s="32"/>
      <c r="NUV51" s="12"/>
      <c r="NUX51" s="34"/>
      <c r="NUY51" s="39"/>
      <c r="NUZ51" s="41"/>
      <c r="NVC51" s="32"/>
      <c r="NVE51" s="12"/>
      <c r="NVG51" s="34"/>
      <c r="NVH51" s="39"/>
      <c r="NVI51" s="41"/>
      <c r="NVL51" s="32"/>
      <c r="NVN51" s="12"/>
      <c r="NVP51" s="34"/>
      <c r="NVQ51" s="39"/>
      <c r="NVR51" s="41"/>
      <c r="NVU51" s="32"/>
      <c r="NVW51" s="12"/>
      <c r="NVY51" s="34"/>
      <c r="NVZ51" s="39"/>
      <c r="NWA51" s="41"/>
      <c r="NWD51" s="32"/>
      <c r="NWF51" s="12"/>
      <c r="NWH51" s="34"/>
      <c r="NWI51" s="39"/>
      <c r="NWJ51" s="41"/>
      <c r="NWM51" s="32"/>
      <c r="NWO51" s="12"/>
      <c r="NWQ51" s="34"/>
      <c r="NWR51" s="39"/>
      <c r="NWS51" s="41"/>
      <c r="NWV51" s="32"/>
      <c r="NWX51" s="12"/>
      <c r="NWZ51" s="34"/>
      <c r="NXA51" s="39"/>
      <c r="NXB51" s="41"/>
      <c r="NXE51" s="32"/>
      <c r="NXG51" s="12"/>
      <c r="NXI51" s="34"/>
      <c r="NXJ51" s="39"/>
      <c r="NXK51" s="41"/>
      <c r="NXN51" s="32"/>
      <c r="NXP51" s="12"/>
      <c r="NXR51" s="34"/>
      <c r="NXS51" s="39"/>
      <c r="NXT51" s="41"/>
      <c r="NXW51" s="32"/>
      <c r="NXY51" s="12"/>
      <c r="NYA51" s="34"/>
      <c r="NYB51" s="39"/>
      <c r="NYC51" s="41"/>
      <c r="NYF51" s="32"/>
      <c r="NYH51" s="12"/>
      <c r="NYJ51" s="34"/>
      <c r="NYK51" s="39"/>
      <c r="NYL51" s="41"/>
      <c r="NYO51" s="32"/>
      <c r="NYQ51" s="12"/>
      <c r="NYS51" s="34"/>
      <c r="NYT51" s="39"/>
      <c r="NYU51" s="41"/>
      <c r="NYX51" s="32"/>
      <c r="NYZ51" s="12"/>
      <c r="NZB51" s="34"/>
      <c r="NZC51" s="39"/>
      <c r="NZD51" s="41"/>
      <c r="NZG51" s="32"/>
      <c r="NZI51" s="12"/>
      <c r="NZK51" s="34"/>
      <c r="NZL51" s="39"/>
      <c r="NZM51" s="41"/>
      <c r="NZP51" s="32"/>
      <c r="NZR51" s="12"/>
      <c r="NZT51" s="34"/>
      <c r="NZU51" s="39"/>
      <c r="NZV51" s="41"/>
      <c r="NZY51" s="32"/>
      <c r="OAA51" s="12"/>
      <c r="OAC51" s="34"/>
      <c r="OAD51" s="39"/>
      <c r="OAE51" s="41"/>
      <c r="OAH51" s="32"/>
      <c r="OAJ51" s="12"/>
      <c r="OAL51" s="34"/>
      <c r="OAM51" s="39"/>
      <c r="OAN51" s="41"/>
      <c r="OAQ51" s="32"/>
      <c r="OAS51" s="12"/>
      <c r="OAU51" s="34"/>
      <c r="OAV51" s="39"/>
      <c r="OAW51" s="41"/>
      <c r="OAZ51" s="32"/>
      <c r="OBB51" s="12"/>
      <c r="OBD51" s="34"/>
      <c r="OBE51" s="39"/>
      <c r="OBF51" s="41"/>
      <c r="OBI51" s="32"/>
      <c r="OBK51" s="12"/>
      <c r="OBM51" s="34"/>
      <c r="OBN51" s="39"/>
      <c r="OBO51" s="41"/>
      <c r="OBR51" s="32"/>
      <c r="OBT51" s="12"/>
      <c r="OBV51" s="34"/>
      <c r="OBW51" s="39"/>
      <c r="OBX51" s="41"/>
      <c r="OCA51" s="32"/>
      <c r="OCC51" s="12"/>
      <c r="OCE51" s="34"/>
      <c r="OCF51" s="39"/>
      <c r="OCG51" s="41"/>
      <c r="OCJ51" s="32"/>
      <c r="OCL51" s="12"/>
      <c r="OCN51" s="34"/>
      <c r="OCO51" s="39"/>
      <c r="OCP51" s="41"/>
      <c r="OCS51" s="32"/>
      <c r="OCU51" s="12"/>
      <c r="OCW51" s="34"/>
      <c r="OCX51" s="39"/>
      <c r="OCY51" s="41"/>
      <c r="ODB51" s="32"/>
      <c r="ODD51" s="12"/>
      <c r="ODF51" s="34"/>
      <c r="ODG51" s="39"/>
      <c r="ODH51" s="41"/>
      <c r="ODK51" s="32"/>
      <c r="ODM51" s="12"/>
      <c r="ODO51" s="34"/>
      <c r="ODP51" s="39"/>
      <c r="ODQ51" s="41"/>
      <c r="ODT51" s="32"/>
      <c r="ODV51" s="12"/>
      <c r="ODX51" s="34"/>
      <c r="ODY51" s="39"/>
      <c r="ODZ51" s="41"/>
      <c r="OEC51" s="32"/>
      <c r="OEE51" s="12"/>
      <c r="OEG51" s="34"/>
      <c r="OEH51" s="39"/>
      <c r="OEI51" s="41"/>
      <c r="OEL51" s="32"/>
      <c r="OEN51" s="12"/>
      <c r="OEP51" s="34"/>
      <c r="OEQ51" s="39"/>
      <c r="OER51" s="41"/>
      <c r="OEU51" s="32"/>
      <c r="OEW51" s="12"/>
      <c r="OEY51" s="34"/>
      <c r="OEZ51" s="39"/>
      <c r="OFA51" s="41"/>
      <c r="OFD51" s="32"/>
      <c r="OFF51" s="12"/>
      <c r="OFH51" s="34"/>
      <c r="OFI51" s="39"/>
      <c r="OFJ51" s="41"/>
      <c r="OFM51" s="32"/>
      <c r="OFO51" s="12"/>
      <c r="OFQ51" s="34"/>
      <c r="OFR51" s="39"/>
      <c r="OFS51" s="41"/>
      <c r="OFV51" s="32"/>
      <c r="OFX51" s="12"/>
      <c r="OFZ51" s="34"/>
      <c r="OGA51" s="39"/>
      <c r="OGB51" s="41"/>
      <c r="OGE51" s="32"/>
      <c r="OGG51" s="12"/>
      <c r="OGI51" s="34"/>
      <c r="OGJ51" s="39"/>
      <c r="OGK51" s="41"/>
      <c r="OGN51" s="32"/>
      <c r="OGP51" s="12"/>
      <c r="OGR51" s="34"/>
      <c r="OGS51" s="39"/>
      <c r="OGT51" s="41"/>
      <c r="OGW51" s="32"/>
      <c r="OGY51" s="12"/>
      <c r="OHA51" s="34"/>
      <c r="OHB51" s="39"/>
      <c r="OHC51" s="41"/>
      <c r="OHF51" s="32"/>
      <c r="OHH51" s="12"/>
      <c r="OHJ51" s="34"/>
      <c r="OHK51" s="39"/>
      <c r="OHL51" s="41"/>
      <c r="OHO51" s="32"/>
      <c r="OHQ51" s="12"/>
      <c r="OHS51" s="34"/>
      <c r="OHT51" s="39"/>
      <c r="OHU51" s="41"/>
      <c r="OHX51" s="32"/>
      <c r="OHZ51" s="12"/>
      <c r="OIB51" s="34"/>
      <c r="OIC51" s="39"/>
      <c r="OID51" s="41"/>
      <c r="OIG51" s="32"/>
      <c r="OII51" s="12"/>
      <c r="OIK51" s="34"/>
      <c r="OIL51" s="39"/>
      <c r="OIM51" s="41"/>
      <c r="OIP51" s="32"/>
      <c r="OIR51" s="12"/>
      <c r="OIT51" s="34"/>
      <c r="OIU51" s="39"/>
      <c r="OIV51" s="41"/>
      <c r="OIY51" s="32"/>
      <c r="OJA51" s="12"/>
      <c r="OJC51" s="34"/>
      <c r="OJD51" s="39"/>
      <c r="OJE51" s="41"/>
      <c r="OJH51" s="32"/>
      <c r="OJJ51" s="12"/>
      <c r="OJL51" s="34"/>
      <c r="OJM51" s="39"/>
      <c r="OJN51" s="41"/>
      <c r="OJQ51" s="32"/>
      <c r="OJS51" s="12"/>
      <c r="OJU51" s="34"/>
      <c r="OJV51" s="39"/>
      <c r="OJW51" s="41"/>
      <c r="OJZ51" s="32"/>
      <c r="OKB51" s="12"/>
      <c r="OKD51" s="34"/>
      <c r="OKE51" s="39"/>
      <c r="OKF51" s="41"/>
      <c r="OKI51" s="32"/>
      <c r="OKK51" s="12"/>
      <c r="OKM51" s="34"/>
      <c r="OKN51" s="39"/>
      <c r="OKO51" s="41"/>
      <c r="OKR51" s="32"/>
      <c r="OKT51" s="12"/>
      <c r="OKV51" s="34"/>
      <c r="OKW51" s="39"/>
      <c r="OKX51" s="41"/>
      <c r="OLA51" s="32"/>
      <c r="OLC51" s="12"/>
      <c r="OLE51" s="34"/>
      <c r="OLF51" s="39"/>
      <c r="OLG51" s="41"/>
      <c r="OLJ51" s="32"/>
      <c r="OLL51" s="12"/>
      <c r="OLN51" s="34"/>
      <c r="OLO51" s="39"/>
      <c r="OLP51" s="41"/>
      <c r="OLS51" s="32"/>
      <c r="OLU51" s="12"/>
      <c r="OLW51" s="34"/>
      <c r="OLX51" s="39"/>
      <c r="OLY51" s="41"/>
      <c r="OMB51" s="32"/>
      <c r="OMD51" s="12"/>
      <c r="OMF51" s="34"/>
      <c r="OMG51" s="39"/>
      <c r="OMH51" s="41"/>
      <c r="OMK51" s="32"/>
      <c r="OMM51" s="12"/>
      <c r="OMO51" s="34"/>
      <c r="OMP51" s="39"/>
      <c r="OMQ51" s="41"/>
      <c r="OMT51" s="32"/>
      <c r="OMV51" s="12"/>
      <c r="OMX51" s="34"/>
      <c r="OMY51" s="39"/>
      <c r="OMZ51" s="41"/>
      <c r="ONC51" s="32"/>
      <c r="ONE51" s="12"/>
      <c r="ONG51" s="34"/>
      <c r="ONH51" s="39"/>
      <c r="ONI51" s="41"/>
      <c r="ONL51" s="32"/>
      <c r="ONN51" s="12"/>
      <c r="ONP51" s="34"/>
      <c r="ONQ51" s="39"/>
      <c r="ONR51" s="41"/>
      <c r="ONU51" s="32"/>
      <c r="ONW51" s="12"/>
      <c r="ONY51" s="34"/>
      <c r="ONZ51" s="39"/>
      <c r="OOA51" s="41"/>
      <c r="OOD51" s="32"/>
      <c r="OOF51" s="12"/>
      <c r="OOH51" s="34"/>
      <c r="OOI51" s="39"/>
      <c r="OOJ51" s="41"/>
      <c r="OOM51" s="32"/>
      <c r="OOO51" s="12"/>
      <c r="OOQ51" s="34"/>
      <c r="OOR51" s="39"/>
      <c r="OOS51" s="41"/>
      <c r="OOV51" s="32"/>
      <c r="OOX51" s="12"/>
      <c r="OOZ51" s="34"/>
      <c r="OPA51" s="39"/>
      <c r="OPB51" s="41"/>
      <c r="OPE51" s="32"/>
      <c r="OPG51" s="12"/>
      <c r="OPI51" s="34"/>
      <c r="OPJ51" s="39"/>
      <c r="OPK51" s="41"/>
      <c r="OPN51" s="32"/>
      <c r="OPP51" s="12"/>
      <c r="OPR51" s="34"/>
      <c r="OPS51" s="39"/>
      <c r="OPT51" s="41"/>
      <c r="OPW51" s="32"/>
      <c r="OPY51" s="12"/>
      <c r="OQA51" s="34"/>
      <c r="OQB51" s="39"/>
      <c r="OQC51" s="41"/>
      <c r="OQF51" s="32"/>
      <c r="OQH51" s="12"/>
      <c r="OQJ51" s="34"/>
      <c r="OQK51" s="39"/>
      <c r="OQL51" s="41"/>
      <c r="OQO51" s="32"/>
      <c r="OQQ51" s="12"/>
      <c r="OQS51" s="34"/>
      <c r="OQT51" s="39"/>
      <c r="OQU51" s="41"/>
      <c r="OQX51" s="32"/>
      <c r="OQZ51" s="12"/>
      <c r="ORB51" s="34"/>
      <c r="ORC51" s="39"/>
      <c r="ORD51" s="41"/>
      <c r="ORG51" s="32"/>
      <c r="ORI51" s="12"/>
      <c r="ORK51" s="34"/>
      <c r="ORL51" s="39"/>
      <c r="ORM51" s="41"/>
      <c r="ORP51" s="32"/>
      <c r="ORR51" s="12"/>
      <c r="ORT51" s="34"/>
      <c r="ORU51" s="39"/>
      <c r="ORV51" s="41"/>
      <c r="ORY51" s="32"/>
      <c r="OSA51" s="12"/>
      <c r="OSC51" s="34"/>
      <c r="OSD51" s="39"/>
      <c r="OSE51" s="41"/>
      <c r="OSH51" s="32"/>
      <c r="OSJ51" s="12"/>
      <c r="OSL51" s="34"/>
      <c r="OSM51" s="39"/>
      <c r="OSN51" s="41"/>
      <c r="OSQ51" s="32"/>
      <c r="OSS51" s="12"/>
      <c r="OSU51" s="34"/>
      <c r="OSV51" s="39"/>
      <c r="OSW51" s="41"/>
      <c r="OSZ51" s="32"/>
      <c r="OTB51" s="12"/>
      <c r="OTD51" s="34"/>
      <c r="OTE51" s="39"/>
      <c r="OTF51" s="41"/>
      <c r="OTI51" s="32"/>
      <c r="OTK51" s="12"/>
      <c r="OTM51" s="34"/>
      <c r="OTN51" s="39"/>
      <c r="OTO51" s="41"/>
      <c r="OTR51" s="32"/>
      <c r="OTT51" s="12"/>
      <c r="OTV51" s="34"/>
      <c r="OTW51" s="39"/>
      <c r="OTX51" s="41"/>
      <c r="OUA51" s="32"/>
      <c r="OUC51" s="12"/>
      <c r="OUE51" s="34"/>
      <c r="OUF51" s="39"/>
      <c r="OUG51" s="41"/>
      <c r="OUJ51" s="32"/>
      <c r="OUL51" s="12"/>
      <c r="OUN51" s="34"/>
      <c r="OUO51" s="39"/>
      <c r="OUP51" s="41"/>
      <c r="OUS51" s="32"/>
      <c r="OUU51" s="12"/>
      <c r="OUW51" s="34"/>
      <c r="OUX51" s="39"/>
      <c r="OUY51" s="41"/>
      <c r="OVB51" s="32"/>
      <c r="OVD51" s="12"/>
      <c r="OVF51" s="34"/>
      <c r="OVG51" s="39"/>
      <c r="OVH51" s="41"/>
      <c r="OVK51" s="32"/>
      <c r="OVM51" s="12"/>
      <c r="OVO51" s="34"/>
      <c r="OVP51" s="39"/>
      <c r="OVQ51" s="41"/>
      <c r="OVT51" s="32"/>
      <c r="OVV51" s="12"/>
      <c r="OVX51" s="34"/>
      <c r="OVY51" s="39"/>
      <c r="OVZ51" s="41"/>
      <c r="OWC51" s="32"/>
      <c r="OWE51" s="12"/>
      <c r="OWG51" s="34"/>
      <c r="OWH51" s="39"/>
      <c r="OWI51" s="41"/>
      <c r="OWL51" s="32"/>
      <c r="OWN51" s="12"/>
      <c r="OWP51" s="34"/>
      <c r="OWQ51" s="39"/>
      <c r="OWR51" s="41"/>
      <c r="OWU51" s="32"/>
      <c r="OWW51" s="12"/>
      <c r="OWY51" s="34"/>
      <c r="OWZ51" s="39"/>
      <c r="OXA51" s="41"/>
      <c r="OXD51" s="32"/>
      <c r="OXF51" s="12"/>
      <c r="OXH51" s="34"/>
      <c r="OXI51" s="39"/>
      <c r="OXJ51" s="41"/>
      <c r="OXM51" s="32"/>
      <c r="OXO51" s="12"/>
      <c r="OXQ51" s="34"/>
      <c r="OXR51" s="39"/>
      <c r="OXS51" s="41"/>
      <c r="OXV51" s="32"/>
      <c r="OXX51" s="12"/>
      <c r="OXZ51" s="34"/>
      <c r="OYA51" s="39"/>
      <c r="OYB51" s="41"/>
      <c r="OYE51" s="32"/>
      <c r="OYG51" s="12"/>
      <c r="OYI51" s="34"/>
      <c r="OYJ51" s="39"/>
      <c r="OYK51" s="41"/>
      <c r="OYN51" s="32"/>
      <c r="OYP51" s="12"/>
      <c r="OYR51" s="34"/>
      <c r="OYS51" s="39"/>
      <c r="OYT51" s="41"/>
      <c r="OYW51" s="32"/>
      <c r="OYY51" s="12"/>
      <c r="OZA51" s="34"/>
      <c r="OZB51" s="39"/>
      <c r="OZC51" s="41"/>
      <c r="OZF51" s="32"/>
      <c r="OZH51" s="12"/>
      <c r="OZJ51" s="34"/>
      <c r="OZK51" s="39"/>
      <c r="OZL51" s="41"/>
      <c r="OZO51" s="32"/>
      <c r="OZQ51" s="12"/>
      <c r="OZS51" s="34"/>
      <c r="OZT51" s="39"/>
      <c r="OZU51" s="41"/>
      <c r="OZX51" s="32"/>
      <c r="OZZ51" s="12"/>
      <c r="PAB51" s="34"/>
      <c r="PAC51" s="39"/>
      <c r="PAD51" s="41"/>
      <c r="PAG51" s="32"/>
      <c r="PAI51" s="12"/>
      <c r="PAK51" s="34"/>
      <c r="PAL51" s="39"/>
      <c r="PAM51" s="41"/>
      <c r="PAP51" s="32"/>
      <c r="PAR51" s="12"/>
      <c r="PAT51" s="34"/>
      <c r="PAU51" s="39"/>
      <c r="PAV51" s="41"/>
      <c r="PAY51" s="32"/>
      <c r="PBA51" s="12"/>
      <c r="PBC51" s="34"/>
      <c r="PBD51" s="39"/>
      <c r="PBE51" s="41"/>
      <c r="PBH51" s="32"/>
      <c r="PBJ51" s="12"/>
      <c r="PBL51" s="34"/>
      <c r="PBM51" s="39"/>
      <c r="PBN51" s="41"/>
      <c r="PBQ51" s="32"/>
      <c r="PBS51" s="12"/>
      <c r="PBU51" s="34"/>
      <c r="PBV51" s="39"/>
      <c r="PBW51" s="41"/>
      <c r="PBZ51" s="32"/>
      <c r="PCB51" s="12"/>
      <c r="PCD51" s="34"/>
      <c r="PCE51" s="39"/>
      <c r="PCF51" s="41"/>
      <c r="PCI51" s="32"/>
      <c r="PCK51" s="12"/>
      <c r="PCM51" s="34"/>
      <c r="PCN51" s="39"/>
      <c r="PCO51" s="41"/>
      <c r="PCR51" s="32"/>
      <c r="PCT51" s="12"/>
      <c r="PCV51" s="34"/>
      <c r="PCW51" s="39"/>
      <c r="PCX51" s="41"/>
      <c r="PDA51" s="32"/>
      <c r="PDC51" s="12"/>
      <c r="PDE51" s="34"/>
      <c r="PDF51" s="39"/>
      <c r="PDG51" s="41"/>
      <c r="PDJ51" s="32"/>
      <c r="PDL51" s="12"/>
      <c r="PDN51" s="34"/>
      <c r="PDO51" s="39"/>
      <c r="PDP51" s="41"/>
      <c r="PDS51" s="32"/>
      <c r="PDU51" s="12"/>
      <c r="PDW51" s="34"/>
      <c r="PDX51" s="39"/>
      <c r="PDY51" s="41"/>
      <c r="PEB51" s="32"/>
      <c r="PED51" s="12"/>
      <c r="PEF51" s="34"/>
      <c r="PEG51" s="39"/>
      <c r="PEH51" s="41"/>
      <c r="PEK51" s="32"/>
      <c r="PEM51" s="12"/>
      <c r="PEO51" s="34"/>
      <c r="PEP51" s="39"/>
      <c r="PEQ51" s="41"/>
      <c r="PET51" s="32"/>
      <c r="PEV51" s="12"/>
      <c r="PEX51" s="34"/>
      <c r="PEY51" s="39"/>
      <c r="PEZ51" s="41"/>
      <c r="PFC51" s="32"/>
      <c r="PFE51" s="12"/>
      <c r="PFG51" s="34"/>
      <c r="PFH51" s="39"/>
      <c r="PFI51" s="41"/>
      <c r="PFL51" s="32"/>
      <c r="PFN51" s="12"/>
      <c r="PFP51" s="34"/>
      <c r="PFQ51" s="39"/>
      <c r="PFR51" s="41"/>
      <c r="PFU51" s="32"/>
      <c r="PFW51" s="12"/>
      <c r="PFY51" s="34"/>
      <c r="PFZ51" s="39"/>
      <c r="PGA51" s="41"/>
      <c r="PGD51" s="32"/>
      <c r="PGF51" s="12"/>
      <c r="PGH51" s="34"/>
      <c r="PGI51" s="39"/>
      <c r="PGJ51" s="41"/>
      <c r="PGM51" s="32"/>
      <c r="PGO51" s="12"/>
      <c r="PGQ51" s="34"/>
      <c r="PGR51" s="39"/>
      <c r="PGS51" s="41"/>
      <c r="PGV51" s="32"/>
      <c r="PGX51" s="12"/>
      <c r="PGZ51" s="34"/>
      <c r="PHA51" s="39"/>
      <c r="PHB51" s="41"/>
      <c r="PHE51" s="32"/>
      <c r="PHG51" s="12"/>
      <c r="PHI51" s="34"/>
      <c r="PHJ51" s="39"/>
      <c r="PHK51" s="41"/>
      <c r="PHN51" s="32"/>
      <c r="PHP51" s="12"/>
      <c r="PHR51" s="34"/>
      <c r="PHS51" s="39"/>
      <c r="PHT51" s="41"/>
      <c r="PHW51" s="32"/>
      <c r="PHY51" s="12"/>
      <c r="PIA51" s="34"/>
      <c r="PIB51" s="39"/>
      <c r="PIC51" s="41"/>
      <c r="PIF51" s="32"/>
      <c r="PIH51" s="12"/>
      <c r="PIJ51" s="34"/>
      <c r="PIK51" s="39"/>
      <c r="PIL51" s="41"/>
      <c r="PIO51" s="32"/>
      <c r="PIQ51" s="12"/>
      <c r="PIS51" s="34"/>
      <c r="PIT51" s="39"/>
      <c r="PIU51" s="41"/>
      <c r="PIX51" s="32"/>
      <c r="PIZ51" s="12"/>
      <c r="PJB51" s="34"/>
      <c r="PJC51" s="39"/>
      <c r="PJD51" s="41"/>
      <c r="PJG51" s="32"/>
      <c r="PJI51" s="12"/>
      <c r="PJK51" s="34"/>
      <c r="PJL51" s="39"/>
      <c r="PJM51" s="41"/>
      <c r="PJP51" s="32"/>
      <c r="PJR51" s="12"/>
      <c r="PJT51" s="34"/>
      <c r="PJU51" s="39"/>
      <c r="PJV51" s="41"/>
      <c r="PJY51" s="32"/>
      <c r="PKA51" s="12"/>
      <c r="PKC51" s="34"/>
      <c r="PKD51" s="39"/>
      <c r="PKE51" s="41"/>
      <c r="PKH51" s="32"/>
      <c r="PKJ51" s="12"/>
      <c r="PKL51" s="34"/>
      <c r="PKM51" s="39"/>
      <c r="PKN51" s="41"/>
      <c r="PKQ51" s="32"/>
      <c r="PKS51" s="12"/>
      <c r="PKU51" s="34"/>
      <c r="PKV51" s="39"/>
      <c r="PKW51" s="41"/>
      <c r="PKZ51" s="32"/>
      <c r="PLB51" s="12"/>
      <c r="PLD51" s="34"/>
      <c r="PLE51" s="39"/>
      <c r="PLF51" s="41"/>
      <c r="PLI51" s="32"/>
      <c r="PLK51" s="12"/>
      <c r="PLM51" s="34"/>
      <c r="PLN51" s="39"/>
      <c r="PLO51" s="41"/>
      <c r="PLR51" s="32"/>
      <c r="PLT51" s="12"/>
      <c r="PLV51" s="34"/>
      <c r="PLW51" s="39"/>
      <c r="PLX51" s="41"/>
      <c r="PMA51" s="32"/>
      <c r="PMC51" s="12"/>
      <c r="PME51" s="34"/>
      <c r="PMF51" s="39"/>
      <c r="PMG51" s="41"/>
      <c r="PMJ51" s="32"/>
      <c r="PML51" s="12"/>
      <c r="PMN51" s="34"/>
      <c r="PMO51" s="39"/>
      <c r="PMP51" s="41"/>
      <c r="PMS51" s="32"/>
      <c r="PMU51" s="12"/>
      <c r="PMW51" s="34"/>
      <c r="PMX51" s="39"/>
      <c r="PMY51" s="41"/>
      <c r="PNB51" s="32"/>
      <c r="PND51" s="12"/>
      <c r="PNF51" s="34"/>
      <c r="PNG51" s="39"/>
      <c r="PNH51" s="41"/>
      <c r="PNK51" s="32"/>
      <c r="PNM51" s="12"/>
      <c r="PNO51" s="34"/>
      <c r="PNP51" s="39"/>
      <c r="PNQ51" s="41"/>
      <c r="PNT51" s="32"/>
      <c r="PNV51" s="12"/>
      <c r="PNX51" s="34"/>
      <c r="PNY51" s="39"/>
      <c r="PNZ51" s="41"/>
      <c r="POC51" s="32"/>
      <c r="POE51" s="12"/>
      <c r="POG51" s="34"/>
      <c r="POH51" s="39"/>
      <c r="POI51" s="41"/>
      <c r="POL51" s="32"/>
      <c r="PON51" s="12"/>
      <c r="POP51" s="34"/>
      <c r="POQ51" s="39"/>
      <c r="POR51" s="41"/>
      <c r="POU51" s="32"/>
      <c r="POW51" s="12"/>
      <c r="POY51" s="34"/>
      <c r="POZ51" s="39"/>
      <c r="PPA51" s="41"/>
      <c r="PPD51" s="32"/>
      <c r="PPF51" s="12"/>
      <c r="PPH51" s="34"/>
      <c r="PPI51" s="39"/>
      <c r="PPJ51" s="41"/>
      <c r="PPM51" s="32"/>
      <c r="PPO51" s="12"/>
      <c r="PPQ51" s="34"/>
      <c r="PPR51" s="39"/>
      <c r="PPS51" s="41"/>
      <c r="PPV51" s="32"/>
      <c r="PPX51" s="12"/>
      <c r="PPZ51" s="34"/>
      <c r="PQA51" s="39"/>
      <c r="PQB51" s="41"/>
      <c r="PQE51" s="32"/>
      <c r="PQG51" s="12"/>
      <c r="PQI51" s="34"/>
      <c r="PQJ51" s="39"/>
      <c r="PQK51" s="41"/>
      <c r="PQN51" s="32"/>
      <c r="PQP51" s="12"/>
      <c r="PQR51" s="34"/>
      <c r="PQS51" s="39"/>
      <c r="PQT51" s="41"/>
      <c r="PQW51" s="32"/>
      <c r="PQY51" s="12"/>
      <c r="PRA51" s="34"/>
      <c r="PRB51" s="39"/>
      <c r="PRC51" s="41"/>
      <c r="PRF51" s="32"/>
      <c r="PRH51" s="12"/>
      <c r="PRJ51" s="34"/>
      <c r="PRK51" s="39"/>
      <c r="PRL51" s="41"/>
      <c r="PRO51" s="32"/>
      <c r="PRQ51" s="12"/>
      <c r="PRS51" s="34"/>
      <c r="PRT51" s="39"/>
      <c r="PRU51" s="41"/>
      <c r="PRX51" s="32"/>
      <c r="PRZ51" s="12"/>
      <c r="PSB51" s="34"/>
      <c r="PSC51" s="39"/>
      <c r="PSD51" s="41"/>
      <c r="PSG51" s="32"/>
      <c r="PSI51" s="12"/>
      <c r="PSK51" s="34"/>
      <c r="PSL51" s="39"/>
      <c r="PSM51" s="41"/>
      <c r="PSP51" s="32"/>
      <c r="PSR51" s="12"/>
      <c r="PST51" s="34"/>
      <c r="PSU51" s="39"/>
      <c r="PSV51" s="41"/>
      <c r="PSY51" s="32"/>
      <c r="PTA51" s="12"/>
      <c r="PTC51" s="34"/>
      <c r="PTD51" s="39"/>
      <c r="PTE51" s="41"/>
      <c r="PTH51" s="32"/>
      <c r="PTJ51" s="12"/>
      <c r="PTL51" s="34"/>
      <c r="PTM51" s="39"/>
      <c r="PTN51" s="41"/>
      <c r="PTQ51" s="32"/>
      <c r="PTS51" s="12"/>
      <c r="PTU51" s="34"/>
      <c r="PTV51" s="39"/>
      <c r="PTW51" s="41"/>
      <c r="PTZ51" s="32"/>
      <c r="PUB51" s="12"/>
      <c r="PUD51" s="34"/>
      <c r="PUE51" s="39"/>
      <c r="PUF51" s="41"/>
      <c r="PUI51" s="32"/>
      <c r="PUK51" s="12"/>
      <c r="PUM51" s="34"/>
      <c r="PUN51" s="39"/>
      <c r="PUO51" s="41"/>
      <c r="PUR51" s="32"/>
      <c r="PUT51" s="12"/>
      <c r="PUV51" s="34"/>
      <c r="PUW51" s="39"/>
      <c r="PUX51" s="41"/>
      <c r="PVA51" s="32"/>
      <c r="PVC51" s="12"/>
      <c r="PVE51" s="34"/>
      <c r="PVF51" s="39"/>
      <c r="PVG51" s="41"/>
      <c r="PVJ51" s="32"/>
      <c r="PVL51" s="12"/>
      <c r="PVN51" s="34"/>
      <c r="PVO51" s="39"/>
      <c r="PVP51" s="41"/>
      <c r="PVS51" s="32"/>
      <c r="PVU51" s="12"/>
      <c r="PVW51" s="34"/>
      <c r="PVX51" s="39"/>
      <c r="PVY51" s="41"/>
      <c r="PWB51" s="32"/>
      <c r="PWD51" s="12"/>
      <c r="PWF51" s="34"/>
      <c r="PWG51" s="39"/>
      <c r="PWH51" s="41"/>
      <c r="PWK51" s="32"/>
      <c r="PWM51" s="12"/>
      <c r="PWO51" s="34"/>
      <c r="PWP51" s="39"/>
      <c r="PWQ51" s="41"/>
      <c r="PWT51" s="32"/>
      <c r="PWV51" s="12"/>
      <c r="PWX51" s="34"/>
      <c r="PWY51" s="39"/>
      <c r="PWZ51" s="41"/>
      <c r="PXC51" s="32"/>
      <c r="PXE51" s="12"/>
      <c r="PXG51" s="34"/>
      <c r="PXH51" s="39"/>
      <c r="PXI51" s="41"/>
      <c r="PXL51" s="32"/>
      <c r="PXN51" s="12"/>
      <c r="PXP51" s="34"/>
      <c r="PXQ51" s="39"/>
      <c r="PXR51" s="41"/>
      <c r="PXU51" s="32"/>
      <c r="PXW51" s="12"/>
      <c r="PXY51" s="34"/>
      <c r="PXZ51" s="39"/>
      <c r="PYA51" s="41"/>
      <c r="PYD51" s="32"/>
      <c r="PYF51" s="12"/>
      <c r="PYH51" s="34"/>
      <c r="PYI51" s="39"/>
      <c r="PYJ51" s="41"/>
      <c r="PYM51" s="32"/>
      <c r="PYO51" s="12"/>
      <c r="PYQ51" s="34"/>
      <c r="PYR51" s="39"/>
      <c r="PYS51" s="41"/>
      <c r="PYV51" s="32"/>
      <c r="PYX51" s="12"/>
      <c r="PYZ51" s="34"/>
      <c r="PZA51" s="39"/>
      <c r="PZB51" s="41"/>
      <c r="PZE51" s="32"/>
      <c r="PZG51" s="12"/>
      <c r="PZI51" s="34"/>
      <c r="PZJ51" s="39"/>
      <c r="PZK51" s="41"/>
      <c r="PZN51" s="32"/>
      <c r="PZP51" s="12"/>
      <c r="PZR51" s="34"/>
      <c r="PZS51" s="39"/>
      <c r="PZT51" s="41"/>
      <c r="PZW51" s="32"/>
      <c r="PZY51" s="12"/>
      <c r="QAA51" s="34"/>
      <c r="QAB51" s="39"/>
      <c r="QAC51" s="41"/>
      <c r="QAF51" s="32"/>
      <c r="QAH51" s="12"/>
      <c r="QAJ51" s="34"/>
      <c r="QAK51" s="39"/>
      <c r="QAL51" s="41"/>
      <c r="QAO51" s="32"/>
      <c r="QAQ51" s="12"/>
      <c r="QAS51" s="34"/>
      <c r="QAT51" s="39"/>
      <c r="QAU51" s="41"/>
      <c r="QAX51" s="32"/>
      <c r="QAZ51" s="12"/>
      <c r="QBB51" s="34"/>
      <c r="QBC51" s="39"/>
      <c r="QBD51" s="41"/>
      <c r="QBG51" s="32"/>
      <c r="QBI51" s="12"/>
      <c r="QBK51" s="34"/>
      <c r="QBL51" s="39"/>
      <c r="QBM51" s="41"/>
      <c r="QBP51" s="32"/>
      <c r="QBR51" s="12"/>
      <c r="QBT51" s="34"/>
      <c r="QBU51" s="39"/>
      <c r="QBV51" s="41"/>
      <c r="QBY51" s="32"/>
      <c r="QCA51" s="12"/>
      <c r="QCC51" s="34"/>
      <c r="QCD51" s="39"/>
      <c r="QCE51" s="41"/>
      <c r="QCH51" s="32"/>
      <c r="QCJ51" s="12"/>
      <c r="QCL51" s="34"/>
      <c r="QCM51" s="39"/>
      <c r="QCN51" s="41"/>
      <c r="QCQ51" s="32"/>
      <c r="QCS51" s="12"/>
      <c r="QCU51" s="34"/>
      <c r="QCV51" s="39"/>
      <c r="QCW51" s="41"/>
      <c r="QCZ51" s="32"/>
      <c r="QDB51" s="12"/>
      <c r="QDD51" s="34"/>
      <c r="QDE51" s="39"/>
      <c r="QDF51" s="41"/>
      <c r="QDI51" s="32"/>
      <c r="QDK51" s="12"/>
      <c r="QDM51" s="34"/>
      <c r="QDN51" s="39"/>
      <c r="QDO51" s="41"/>
      <c r="QDR51" s="32"/>
      <c r="QDT51" s="12"/>
      <c r="QDV51" s="34"/>
      <c r="QDW51" s="39"/>
      <c r="QDX51" s="41"/>
      <c r="QEA51" s="32"/>
      <c r="QEC51" s="12"/>
      <c r="QEE51" s="34"/>
      <c r="QEF51" s="39"/>
      <c r="QEG51" s="41"/>
      <c r="QEJ51" s="32"/>
      <c r="QEL51" s="12"/>
      <c r="QEN51" s="34"/>
      <c r="QEO51" s="39"/>
      <c r="QEP51" s="41"/>
      <c r="QES51" s="32"/>
      <c r="QEU51" s="12"/>
      <c r="QEW51" s="34"/>
      <c r="QEX51" s="39"/>
      <c r="QEY51" s="41"/>
      <c r="QFB51" s="32"/>
      <c r="QFD51" s="12"/>
      <c r="QFF51" s="34"/>
      <c r="QFG51" s="39"/>
      <c r="QFH51" s="41"/>
      <c r="QFK51" s="32"/>
      <c r="QFM51" s="12"/>
      <c r="QFO51" s="34"/>
      <c r="QFP51" s="39"/>
      <c r="QFQ51" s="41"/>
      <c r="QFT51" s="32"/>
      <c r="QFV51" s="12"/>
      <c r="QFX51" s="34"/>
      <c r="QFY51" s="39"/>
      <c r="QFZ51" s="41"/>
      <c r="QGC51" s="32"/>
      <c r="QGE51" s="12"/>
      <c r="QGG51" s="34"/>
      <c r="QGH51" s="39"/>
      <c r="QGI51" s="41"/>
      <c r="QGL51" s="32"/>
      <c r="QGN51" s="12"/>
      <c r="QGP51" s="34"/>
      <c r="QGQ51" s="39"/>
      <c r="QGR51" s="41"/>
      <c r="QGU51" s="32"/>
      <c r="QGW51" s="12"/>
      <c r="QGY51" s="34"/>
      <c r="QGZ51" s="39"/>
      <c r="QHA51" s="41"/>
      <c r="QHD51" s="32"/>
      <c r="QHF51" s="12"/>
      <c r="QHH51" s="34"/>
      <c r="QHI51" s="39"/>
      <c r="QHJ51" s="41"/>
      <c r="QHM51" s="32"/>
      <c r="QHO51" s="12"/>
      <c r="QHQ51" s="34"/>
      <c r="QHR51" s="39"/>
      <c r="QHS51" s="41"/>
      <c r="QHV51" s="32"/>
      <c r="QHX51" s="12"/>
      <c r="QHZ51" s="34"/>
      <c r="QIA51" s="39"/>
      <c r="QIB51" s="41"/>
      <c r="QIE51" s="32"/>
      <c r="QIG51" s="12"/>
      <c r="QII51" s="34"/>
      <c r="QIJ51" s="39"/>
      <c r="QIK51" s="41"/>
      <c r="QIN51" s="32"/>
      <c r="QIP51" s="12"/>
      <c r="QIR51" s="34"/>
      <c r="QIS51" s="39"/>
      <c r="QIT51" s="41"/>
      <c r="QIW51" s="32"/>
      <c r="QIY51" s="12"/>
      <c r="QJA51" s="34"/>
      <c r="QJB51" s="39"/>
      <c r="QJC51" s="41"/>
      <c r="QJF51" s="32"/>
      <c r="QJH51" s="12"/>
      <c r="QJJ51" s="34"/>
      <c r="QJK51" s="39"/>
      <c r="QJL51" s="41"/>
      <c r="QJO51" s="32"/>
      <c r="QJQ51" s="12"/>
      <c r="QJS51" s="34"/>
      <c r="QJT51" s="39"/>
      <c r="QJU51" s="41"/>
      <c r="QJX51" s="32"/>
      <c r="QJZ51" s="12"/>
      <c r="QKB51" s="34"/>
      <c r="QKC51" s="39"/>
      <c r="QKD51" s="41"/>
      <c r="QKG51" s="32"/>
      <c r="QKI51" s="12"/>
      <c r="QKK51" s="34"/>
      <c r="QKL51" s="39"/>
      <c r="QKM51" s="41"/>
      <c r="QKP51" s="32"/>
      <c r="QKR51" s="12"/>
      <c r="QKT51" s="34"/>
      <c r="QKU51" s="39"/>
      <c r="QKV51" s="41"/>
      <c r="QKY51" s="32"/>
      <c r="QLA51" s="12"/>
      <c r="QLC51" s="34"/>
      <c r="QLD51" s="39"/>
      <c r="QLE51" s="41"/>
      <c r="QLH51" s="32"/>
      <c r="QLJ51" s="12"/>
      <c r="QLL51" s="34"/>
      <c r="QLM51" s="39"/>
      <c r="QLN51" s="41"/>
      <c r="QLQ51" s="32"/>
      <c r="QLS51" s="12"/>
      <c r="QLU51" s="34"/>
      <c r="QLV51" s="39"/>
      <c r="QLW51" s="41"/>
      <c r="QLZ51" s="32"/>
      <c r="QMB51" s="12"/>
      <c r="QMD51" s="34"/>
      <c r="QME51" s="39"/>
      <c r="QMF51" s="41"/>
      <c r="QMI51" s="32"/>
      <c r="QMK51" s="12"/>
      <c r="QMM51" s="34"/>
      <c r="QMN51" s="39"/>
      <c r="QMO51" s="41"/>
      <c r="QMR51" s="32"/>
      <c r="QMT51" s="12"/>
      <c r="QMV51" s="34"/>
      <c r="QMW51" s="39"/>
      <c r="QMX51" s="41"/>
      <c r="QNA51" s="32"/>
      <c r="QNC51" s="12"/>
      <c r="QNE51" s="34"/>
      <c r="QNF51" s="39"/>
      <c r="QNG51" s="41"/>
      <c r="QNJ51" s="32"/>
      <c r="QNL51" s="12"/>
      <c r="QNN51" s="34"/>
      <c r="QNO51" s="39"/>
      <c r="QNP51" s="41"/>
      <c r="QNS51" s="32"/>
      <c r="QNU51" s="12"/>
      <c r="QNW51" s="34"/>
      <c r="QNX51" s="39"/>
      <c r="QNY51" s="41"/>
      <c r="QOB51" s="32"/>
      <c r="QOD51" s="12"/>
      <c r="QOF51" s="34"/>
      <c r="QOG51" s="39"/>
      <c r="QOH51" s="41"/>
      <c r="QOK51" s="32"/>
      <c r="QOM51" s="12"/>
      <c r="QOO51" s="34"/>
      <c r="QOP51" s="39"/>
      <c r="QOQ51" s="41"/>
      <c r="QOT51" s="32"/>
      <c r="QOV51" s="12"/>
      <c r="QOX51" s="34"/>
      <c r="QOY51" s="39"/>
      <c r="QOZ51" s="41"/>
      <c r="QPC51" s="32"/>
      <c r="QPE51" s="12"/>
      <c r="QPG51" s="34"/>
      <c r="QPH51" s="39"/>
      <c r="QPI51" s="41"/>
      <c r="QPL51" s="32"/>
      <c r="QPN51" s="12"/>
      <c r="QPP51" s="34"/>
      <c r="QPQ51" s="39"/>
      <c r="QPR51" s="41"/>
      <c r="QPU51" s="32"/>
      <c r="QPW51" s="12"/>
      <c r="QPY51" s="34"/>
      <c r="QPZ51" s="39"/>
      <c r="QQA51" s="41"/>
      <c r="QQD51" s="32"/>
      <c r="QQF51" s="12"/>
      <c r="QQH51" s="34"/>
      <c r="QQI51" s="39"/>
      <c r="QQJ51" s="41"/>
      <c r="QQM51" s="32"/>
      <c r="QQO51" s="12"/>
      <c r="QQQ51" s="34"/>
      <c r="QQR51" s="39"/>
      <c r="QQS51" s="41"/>
      <c r="QQV51" s="32"/>
      <c r="QQX51" s="12"/>
      <c r="QQZ51" s="34"/>
      <c r="QRA51" s="39"/>
      <c r="QRB51" s="41"/>
      <c r="QRE51" s="32"/>
      <c r="QRG51" s="12"/>
      <c r="QRI51" s="34"/>
      <c r="QRJ51" s="39"/>
      <c r="QRK51" s="41"/>
      <c r="QRN51" s="32"/>
      <c r="QRP51" s="12"/>
      <c r="QRR51" s="34"/>
      <c r="QRS51" s="39"/>
      <c r="QRT51" s="41"/>
      <c r="QRW51" s="32"/>
      <c r="QRY51" s="12"/>
      <c r="QSA51" s="34"/>
      <c r="QSB51" s="39"/>
      <c r="QSC51" s="41"/>
      <c r="QSF51" s="32"/>
      <c r="QSH51" s="12"/>
      <c r="QSJ51" s="34"/>
      <c r="QSK51" s="39"/>
      <c r="QSL51" s="41"/>
      <c r="QSO51" s="32"/>
      <c r="QSQ51" s="12"/>
      <c r="QSS51" s="34"/>
      <c r="QST51" s="39"/>
      <c r="QSU51" s="41"/>
      <c r="QSX51" s="32"/>
      <c r="QSZ51" s="12"/>
      <c r="QTB51" s="34"/>
      <c r="QTC51" s="39"/>
      <c r="QTD51" s="41"/>
      <c r="QTG51" s="32"/>
      <c r="QTI51" s="12"/>
      <c r="QTK51" s="34"/>
      <c r="QTL51" s="39"/>
      <c r="QTM51" s="41"/>
      <c r="QTP51" s="32"/>
      <c r="QTR51" s="12"/>
      <c r="QTT51" s="34"/>
      <c r="QTU51" s="39"/>
      <c r="QTV51" s="41"/>
      <c r="QTY51" s="32"/>
      <c r="QUA51" s="12"/>
      <c r="QUC51" s="34"/>
      <c r="QUD51" s="39"/>
      <c r="QUE51" s="41"/>
      <c r="QUH51" s="32"/>
      <c r="QUJ51" s="12"/>
      <c r="QUL51" s="34"/>
      <c r="QUM51" s="39"/>
      <c r="QUN51" s="41"/>
      <c r="QUQ51" s="32"/>
      <c r="QUS51" s="12"/>
      <c r="QUU51" s="34"/>
      <c r="QUV51" s="39"/>
      <c r="QUW51" s="41"/>
      <c r="QUZ51" s="32"/>
      <c r="QVB51" s="12"/>
      <c r="QVD51" s="34"/>
      <c r="QVE51" s="39"/>
      <c r="QVF51" s="41"/>
      <c r="QVI51" s="32"/>
      <c r="QVK51" s="12"/>
      <c r="QVM51" s="34"/>
      <c r="QVN51" s="39"/>
      <c r="QVO51" s="41"/>
      <c r="QVR51" s="32"/>
      <c r="QVT51" s="12"/>
      <c r="QVV51" s="34"/>
      <c r="QVW51" s="39"/>
      <c r="QVX51" s="41"/>
      <c r="QWA51" s="32"/>
      <c r="QWC51" s="12"/>
      <c r="QWE51" s="34"/>
      <c r="QWF51" s="39"/>
      <c r="QWG51" s="41"/>
      <c r="QWJ51" s="32"/>
      <c r="QWL51" s="12"/>
      <c r="QWN51" s="34"/>
      <c r="QWO51" s="39"/>
      <c r="QWP51" s="41"/>
      <c r="QWS51" s="32"/>
      <c r="QWU51" s="12"/>
      <c r="QWW51" s="34"/>
      <c r="QWX51" s="39"/>
      <c r="QWY51" s="41"/>
      <c r="QXB51" s="32"/>
      <c r="QXD51" s="12"/>
      <c r="QXF51" s="34"/>
      <c r="QXG51" s="39"/>
      <c r="QXH51" s="41"/>
      <c r="QXK51" s="32"/>
      <c r="QXM51" s="12"/>
      <c r="QXO51" s="34"/>
      <c r="QXP51" s="39"/>
      <c r="QXQ51" s="41"/>
      <c r="QXT51" s="32"/>
      <c r="QXV51" s="12"/>
      <c r="QXX51" s="34"/>
      <c r="QXY51" s="39"/>
      <c r="QXZ51" s="41"/>
      <c r="QYC51" s="32"/>
      <c r="QYE51" s="12"/>
      <c r="QYG51" s="34"/>
      <c r="QYH51" s="39"/>
      <c r="QYI51" s="41"/>
      <c r="QYL51" s="32"/>
      <c r="QYN51" s="12"/>
      <c r="QYP51" s="34"/>
      <c r="QYQ51" s="39"/>
      <c r="QYR51" s="41"/>
      <c r="QYU51" s="32"/>
      <c r="QYW51" s="12"/>
      <c r="QYY51" s="34"/>
      <c r="QYZ51" s="39"/>
      <c r="QZA51" s="41"/>
      <c r="QZD51" s="32"/>
      <c r="QZF51" s="12"/>
      <c r="QZH51" s="34"/>
      <c r="QZI51" s="39"/>
      <c r="QZJ51" s="41"/>
      <c r="QZM51" s="32"/>
      <c r="QZO51" s="12"/>
      <c r="QZQ51" s="34"/>
      <c r="QZR51" s="39"/>
      <c r="QZS51" s="41"/>
      <c r="QZV51" s="32"/>
      <c r="QZX51" s="12"/>
      <c r="QZZ51" s="34"/>
      <c r="RAA51" s="39"/>
      <c r="RAB51" s="41"/>
      <c r="RAE51" s="32"/>
      <c r="RAG51" s="12"/>
      <c r="RAI51" s="34"/>
      <c r="RAJ51" s="39"/>
      <c r="RAK51" s="41"/>
      <c r="RAN51" s="32"/>
      <c r="RAP51" s="12"/>
      <c r="RAR51" s="34"/>
      <c r="RAS51" s="39"/>
      <c r="RAT51" s="41"/>
      <c r="RAW51" s="32"/>
      <c r="RAY51" s="12"/>
      <c r="RBA51" s="34"/>
      <c r="RBB51" s="39"/>
      <c r="RBC51" s="41"/>
      <c r="RBF51" s="32"/>
      <c r="RBH51" s="12"/>
      <c r="RBJ51" s="34"/>
      <c r="RBK51" s="39"/>
      <c r="RBL51" s="41"/>
      <c r="RBO51" s="32"/>
      <c r="RBQ51" s="12"/>
      <c r="RBS51" s="34"/>
      <c r="RBT51" s="39"/>
      <c r="RBU51" s="41"/>
      <c r="RBX51" s="32"/>
      <c r="RBZ51" s="12"/>
      <c r="RCB51" s="34"/>
      <c r="RCC51" s="39"/>
      <c r="RCD51" s="41"/>
      <c r="RCG51" s="32"/>
      <c r="RCI51" s="12"/>
      <c r="RCK51" s="34"/>
      <c r="RCL51" s="39"/>
      <c r="RCM51" s="41"/>
      <c r="RCP51" s="32"/>
      <c r="RCR51" s="12"/>
      <c r="RCT51" s="34"/>
      <c r="RCU51" s="39"/>
      <c r="RCV51" s="41"/>
      <c r="RCY51" s="32"/>
      <c r="RDA51" s="12"/>
      <c r="RDC51" s="34"/>
      <c r="RDD51" s="39"/>
      <c r="RDE51" s="41"/>
      <c r="RDH51" s="32"/>
      <c r="RDJ51" s="12"/>
      <c r="RDL51" s="34"/>
      <c r="RDM51" s="39"/>
      <c r="RDN51" s="41"/>
      <c r="RDQ51" s="32"/>
      <c r="RDS51" s="12"/>
      <c r="RDU51" s="34"/>
      <c r="RDV51" s="39"/>
      <c r="RDW51" s="41"/>
      <c r="RDZ51" s="32"/>
      <c r="REB51" s="12"/>
      <c r="RED51" s="34"/>
      <c r="REE51" s="39"/>
      <c r="REF51" s="41"/>
      <c r="REI51" s="32"/>
      <c r="REK51" s="12"/>
      <c r="REM51" s="34"/>
      <c r="REN51" s="39"/>
      <c r="REO51" s="41"/>
      <c r="RER51" s="32"/>
      <c r="RET51" s="12"/>
      <c r="REV51" s="34"/>
      <c r="REW51" s="39"/>
      <c r="REX51" s="41"/>
      <c r="RFA51" s="32"/>
      <c r="RFC51" s="12"/>
      <c r="RFE51" s="34"/>
      <c r="RFF51" s="39"/>
      <c r="RFG51" s="41"/>
      <c r="RFJ51" s="32"/>
      <c r="RFL51" s="12"/>
      <c r="RFN51" s="34"/>
      <c r="RFO51" s="39"/>
      <c r="RFP51" s="41"/>
      <c r="RFS51" s="32"/>
      <c r="RFU51" s="12"/>
      <c r="RFW51" s="34"/>
      <c r="RFX51" s="39"/>
      <c r="RFY51" s="41"/>
      <c r="RGB51" s="32"/>
      <c r="RGD51" s="12"/>
      <c r="RGF51" s="34"/>
      <c r="RGG51" s="39"/>
      <c r="RGH51" s="41"/>
      <c r="RGK51" s="32"/>
      <c r="RGM51" s="12"/>
      <c r="RGO51" s="34"/>
      <c r="RGP51" s="39"/>
      <c r="RGQ51" s="41"/>
      <c r="RGT51" s="32"/>
      <c r="RGV51" s="12"/>
      <c r="RGX51" s="34"/>
      <c r="RGY51" s="39"/>
      <c r="RGZ51" s="41"/>
      <c r="RHC51" s="32"/>
      <c r="RHE51" s="12"/>
      <c r="RHG51" s="34"/>
      <c r="RHH51" s="39"/>
      <c r="RHI51" s="41"/>
      <c r="RHL51" s="32"/>
      <c r="RHN51" s="12"/>
      <c r="RHP51" s="34"/>
      <c r="RHQ51" s="39"/>
      <c r="RHR51" s="41"/>
      <c r="RHU51" s="32"/>
      <c r="RHW51" s="12"/>
      <c r="RHY51" s="34"/>
      <c r="RHZ51" s="39"/>
      <c r="RIA51" s="41"/>
      <c r="RID51" s="32"/>
      <c r="RIF51" s="12"/>
      <c r="RIH51" s="34"/>
      <c r="RII51" s="39"/>
      <c r="RIJ51" s="41"/>
      <c r="RIM51" s="32"/>
      <c r="RIO51" s="12"/>
      <c r="RIQ51" s="34"/>
      <c r="RIR51" s="39"/>
      <c r="RIS51" s="41"/>
      <c r="RIV51" s="32"/>
      <c r="RIX51" s="12"/>
      <c r="RIZ51" s="34"/>
      <c r="RJA51" s="39"/>
      <c r="RJB51" s="41"/>
      <c r="RJE51" s="32"/>
      <c r="RJG51" s="12"/>
      <c r="RJI51" s="34"/>
      <c r="RJJ51" s="39"/>
      <c r="RJK51" s="41"/>
      <c r="RJN51" s="32"/>
      <c r="RJP51" s="12"/>
      <c r="RJR51" s="34"/>
      <c r="RJS51" s="39"/>
      <c r="RJT51" s="41"/>
      <c r="RJW51" s="32"/>
      <c r="RJY51" s="12"/>
      <c r="RKA51" s="34"/>
      <c r="RKB51" s="39"/>
      <c r="RKC51" s="41"/>
      <c r="RKF51" s="32"/>
      <c r="RKH51" s="12"/>
      <c r="RKJ51" s="34"/>
      <c r="RKK51" s="39"/>
      <c r="RKL51" s="41"/>
      <c r="RKO51" s="32"/>
      <c r="RKQ51" s="12"/>
      <c r="RKS51" s="34"/>
      <c r="RKT51" s="39"/>
      <c r="RKU51" s="41"/>
      <c r="RKX51" s="32"/>
      <c r="RKZ51" s="12"/>
      <c r="RLB51" s="34"/>
      <c r="RLC51" s="39"/>
      <c r="RLD51" s="41"/>
      <c r="RLG51" s="32"/>
      <c r="RLI51" s="12"/>
      <c r="RLK51" s="34"/>
      <c r="RLL51" s="39"/>
      <c r="RLM51" s="41"/>
      <c r="RLP51" s="32"/>
      <c r="RLR51" s="12"/>
      <c r="RLT51" s="34"/>
      <c r="RLU51" s="39"/>
      <c r="RLV51" s="41"/>
      <c r="RLY51" s="32"/>
      <c r="RMA51" s="12"/>
      <c r="RMC51" s="34"/>
      <c r="RMD51" s="39"/>
      <c r="RME51" s="41"/>
      <c r="RMH51" s="32"/>
      <c r="RMJ51" s="12"/>
      <c r="RML51" s="34"/>
      <c r="RMM51" s="39"/>
      <c r="RMN51" s="41"/>
      <c r="RMQ51" s="32"/>
      <c r="RMS51" s="12"/>
      <c r="RMU51" s="34"/>
      <c r="RMV51" s="39"/>
      <c r="RMW51" s="41"/>
      <c r="RMZ51" s="32"/>
      <c r="RNB51" s="12"/>
      <c r="RND51" s="34"/>
      <c r="RNE51" s="39"/>
      <c r="RNF51" s="41"/>
      <c r="RNI51" s="32"/>
      <c r="RNK51" s="12"/>
      <c r="RNM51" s="34"/>
      <c r="RNN51" s="39"/>
      <c r="RNO51" s="41"/>
      <c r="RNR51" s="32"/>
      <c r="RNT51" s="12"/>
      <c r="RNV51" s="34"/>
      <c r="RNW51" s="39"/>
      <c r="RNX51" s="41"/>
      <c r="ROA51" s="32"/>
      <c r="ROC51" s="12"/>
      <c r="ROE51" s="34"/>
      <c r="ROF51" s="39"/>
      <c r="ROG51" s="41"/>
      <c r="ROJ51" s="32"/>
      <c r="ROL51" s="12"/>
      <c r="RON51" s="34"/>
      <c r="ROO51" s="39"/>
      <c r="ROP51" s="41"/>
      <c r="ROS51" s="32"/>
      <c r="ROU51" s="12"/>
      <c r="ROW51" s="34"/>
      <c r="ROX51" s="39"/>
      <c r="ROY51" s="41"/>
      <c r="RPB51" s="32"/>
      <c r="RPD51" s="12"/>
      <c r="RPF51" s="34"/>
      <c r="RPG51" s="39"/>
      <c r="RPH51" s="41"/>
      <c r="RPK51" s="32"/>
      <c r="RPM51" s="12"/>
      <c r="RPO51" s="34"/>
      <c r="RPP51" s="39"/>
      <c r="RPQ51" s="41"/>
      <c r="RPT51" s="32"/>
      <c r="RPV51" s="12"/>
      <c r="RPX51" s="34"/>
      <c r="RPY51" s="39"/>
      <c r="RPZ51" s="41"/>
      <c r="RQC51" s="32"/>
      <c r="RQE51" s="12"/>
      <c r="RQG51" s="34"/>
      <c r="RQH51" s="39"/>
      <c r="RQI51" s="41"/>
      <c r="RQL51" s="32"/>
      <c r="RQN51" s="12"/>
      <c r="RQP51" s="34"/>
      <c r="RQQ51" s="39"/>
      <c r="RQR51" s="41"/>
      <c r="RQU51" s="32"/>
      <c r="RQW51" s="12"/>
      <c r="RQY51" s="34"/>
      <c r="RQZ51" s="39"/>
      <c r="RRA51" s="41"/>
      <c r="RRD51" s="32"/>
      <c r="RRF51" s="12"/>
      <c r="RRH51" s="34"/>
      <c r="RRI51" s="39"/>
      <c r="RRJ51" s="41"/>
      <c r="RRM51" s="32"/>
      <c r="RRO51" s="12"/>
      <c r="RRQ51" s="34"/>
      <c r="RRR51" s="39"/>
      <c r="RRS51" s="41"/>
      <c r="RRV51" s="32"/>
      <c r="RRX51" s="12"/>
      <c r="RRZ51" s="34"/>
      <c r="RSA51" s="39"/>
      <c r="RSB51" s="41"/>
      <c r="RSE51" s="32"/>
      <c r="RSG51" s="12"/>
      <c r="RSI51" s="34"/>
      <c r="RSJ51" s="39"/>
      <c r="RSK51" s="41"/>
      <c r="RSN51" s="32"/>
      <c r="RSP51" s="12"/>
      <c r="RSR51" s="34"/>
      <c r="RSS51" s="39"/>
      <c r="RST51" s="41"/>
      <c r="RSW51" s="32"/>
      <c r="RSY51" s="12"/>
      <c r="RTA51" s="34"/>
      <c r="RTB51" s="39"/>
      <c r="RTC51" s="41"/>
      <c r="RTF51" s="32"/>
      <c r="RTH51" s="12"/>
      <c r="RTJ51" s="34"/>
      <c r="RTK51" s="39"/>
      <c r="RTL51" s="41"/>
      <c r="RTO51" s="32"/>
      <c r="RTQ51" s="12"/>
      <c r="RTS51" s="34"/>
      <c r="RTT51" s="39"/>
      <c r="RTU51" s="41"/>
      <c r="RTX51" s="32"/>
      <c r="RTZ51" s="12"/>
      <c r="RUB51" s="34"/>
      <c r="RUC51" s="39"/>
      <c r="RUD51" s="41"/>
      <c r="RUG51" s="32"/>
      <c r="RUI51" s="12"/>
      <c r="RUK51" s="34"/>
      <c r="RUL51" s="39"/>
      <c r="RUM51" s="41"/>
      <c r="RUP51" s="32"/>
      <c r="RUR51" s="12"/>
      <c r="RUT51" s="34"/>
      <c r="RUU51" s="39"/>
      <c r="RUV51" s="41"/>
      <c r="RUY51" s="32"/>
      <c r="RVA51" s="12"/>
      <c r="RVC51" s="34"/>
      <c r="RVD51" s="39"/>
      <c r="RVE51" s="41"/>
      <c r="RVH51" s="32"/>
      <c r="RVJ51" s="12"/>
      <c r="RVL51" s="34"/>
      <c r="RVM51" s="39"/>
      <c r="RVN51" s="41"/>
      <c r="RVQ51" s="32"/>
      <c r="RVS51" s="12"/>
      <c r="RVU51" s="34"/>
      <c r="RVV51" s="39"/>
      <c r="RVW51" s="41"/>
      <c r="RVZ51" s="32"/>
      <c r="RWB51" s="12"/>
      <c r="RWD51" s="34"/>
      <c r="RWE51" s="39"/>
      <c r="RWF51" s="41"/>
      <c r="RWI51" s="32"/>
      <c r="RWK51" s="12"/>
      <c r="RWM51" s="34"/>
      <c r="RWN51" s="39"/>
      <c r="RWO51" s="41"/>
      <c r="RWR51" s="32"/>
      <c r="RWT51" s="12"/>
      <c r="RWV51" s="34"/>
      <c r="RWW51" s="39"/>
      <c r="RWX51" s="41"/>
      <c r="RXA51" s="32"/>
      <c r="RXC51" s="12"/>
      <c r="RXE51" s="34"/>
      <c r="RXF51" s="39"/>
      <c r="RXG51" s="41"/>
      <c r="RXJ51" s="32"/>
      <c r="RXL51" s="12"/>
      <c r="RXN51" s="34"/>
      <c r="RXO51" s="39"/>
      <c r="RXP51" s="41"/>
      <c r="RXS51" s="32"/>
      <c r="RXU51" s="12"/>
      <c r="RXW51" s="34"/>
      <c r="RXX51" s="39"/>
      <c r="RXY51" s="41"/>
      <c r="RYB51" s="32"/>
      <c r="RYD51" s="12"/>
      <c r="RYF51" s="34"/>
      <c r="RYG51" s="39"/>
      <c r="RYH51" s="41"/>
      <c r="RYK51" s="32"/>
      <c r="RYM51" s="12"/>
      <c r="RYO51" s="34"/>
      <c r="RYP51" s="39"/>
      <c r="RYQ51" s="41"/>
      <c r="RYT51" s="32"/>
      <c r="RYV51" s="12"/>
      <c r="RYX51" s="34"/>
      <c r="RYY51" s="39"/>
      <c r="RYZ51" s="41"/>
      <c r="RZC51" s="32"/>
      <c r="RZE51" s="12"/>
      <c r="RZG51" s="34"/>
      <c r="RZH51" s="39"/>
      <c r="RZI51" s="41"/>
      <c r="RZL51" s="32"/>
      <c r="RZN51" s="12"/>
      <c r="RZP51" s="34"/>
      <c r="RZQ51" s="39"/>
      <c r="RZR51" s="41"/>
      <c r="RZU51" s="32"/>
      <c r="RZW51" s="12"/>
      <c r="RZY51" s="34"/>
      <c r="RZZ51" s="39"/>
      <c r="SAA51" s="41"/>
      <c r="SAD51" s="32"/>
      <c r="SAF51" s="12"/>
      <c r="SAH51" s="34"/>
      <c r="SAI51" s="39"/>
      <c r="SAJ51" s="41"/>
      <c r="SAM51" s="32"/>
      <c r="SAO51" s="12"/>
      <c r="SAQ51" s="34"/>
      <c r="SAR51" s="39"/>
      <c r="SAS51" s="41"/>
      <c r="SAV51" s="32"/>
      <c r="SAX51" s="12"/>
      <c r="SAZ51" s="34"/>
      <c r="SBA51" s="39"/>
      <c r="SBB51" s="41"/>
      <c r="SBE51" s="32"/>
      <c r="SBG51" s="12"/>
      <c r="SBI51" s="34"/>
      <c r="SBJ51" s="39"/>
      <c r="SBK51" s="41"/>
      <c r="SBN51" s="32"/>
      <c r="SBP51" s="12"/>
      <c r="SBR51" s="34"/>
      <c r="SBS51" s="39"/>
      <c r="SBT51" s="41"/>
      <c r="SBW51" s="32"/>
      <c r="SBY51" s="12"/>
      <c r="SCA51" s="34"/>
      <c r="SCB51" s="39"/>
      <c r="SCC51" s="41"/>
      <c r="SCF51" s="32"/>
      <c r="SCH51" s="12"/>
      <c r="SCJ51" s="34"/>
      <c r="SCK51" s="39"/>
      <c r="SCL51" s="41"/>
      <c r="SCO51" s="32"/>
      <c r="SCQ51" s="12"/>
      <c r="SCS51" s="34"/>
      <c r="SCT51" s="39"/>
      <c r="SCU51" s="41"/>
      <c r="SCX51" s="32"/>
      <c r="SCZ51" s="12"/>
      <c r="SDB51" s="34"/>
      <c r="SDC51" s="39"/>
      <c r="SDD51" s="41"/>
      <c r="SDG51" s="32"/>
      <c r="SDI51" s="12"/>
      <c r="SDK51" s="34"/>
      <c r="SDL51" s="39"/>
      <c r="SDM51" s="41"/>
      <c r="SDP51" s="32"/>
      <c r="SDR51" s="12"/>
      <c r="SDT51" s="34"/>
      <c r="SDU51" s="39"/>
      <c r="SDV51" s="41"/>
      <c r="SDY51" s="32"/>
      <c r="SEA51" s="12"/>
      <c r="SEC51" s="34"/>
      <c r="SED51" s="39"/>
      <c r="SEE51" s="41"/>
      <c r="SEH51" s="32"/>
      <c r="SEJ51" s="12"/>
      <c r="SEL51" s="34"/>
      <c r="SEM51" s="39"/>
      <c r="SEN51" s="41"/>
      <c r="SEQ51" s="32"/>
      <c r="SES51" s="12"/>
      <c r="SEU51" s="34"/>
      <c r="SEV51" s="39"/>
      <c r="SEW51" s="41"/>
      <c r="SEZ51" s="32"/>
      <c r="SFB51" s="12"/>
      <c r="SFD51" s="34"/>
      <c r="SFE51" s="39"/>
      <c r="SFF51" s="41"/>
      <c r="SFI51" s="32"/>
      <c r="SFK51" s="12"/>
      <c r="SFM51" s="34"/>
      <c r="SFN51" s="39"/>
      <c r="SFO51" s="41"/>
      <c r="SFR51" s="32"/>
      <c r="SFT51" s="12"/>
      <c r="SFV51" s="34"/>
      <c r="SFW51" s="39"/>
      <c r="SFX51" s="41"/>
      <c r="SGA51" s="32"/>
      <c r="SGC51" s="12"/>
      <c r="SGE51" s="34"/>
      <c r="SGF51" s="39"/>
      <c r="SGG51" s="41"/>
      <c r="SGJ51" s="32"/>
      <c r="SGL51" s="12"/>
      <c r="SGN51" s="34"/>
      <c r="SGO51" s="39"/>
      <c r="SGP51" s="41"/>
      <c r="SGS51" s="32"/>
      <c r="SGU51" s="12"/>
      <c r="SGW51" s="34"/>
      <c r="SGX51" s="39"/>
      <c r="SGY51" s="41"/>
      <c r="SHB51" s="32"/>
      <c r="SHD51" s="12"/>
      <c r="SHF51" s="34"/>
      <c r="SHG51" s="39"/>
      <c r="SHH51" s="41"/>
      <c r="SHK51" s="32"/>
      <c r="SHM51" s="12"/>
      <c r="SHO51" s="34"/>
      <c r="SHP51" s="39"/>
      <c r="SHQ51" s="41"/>
      <c r="SHT51" s="32"/>
      <c r="SHV51" s="12"/>
      <c r="SHX51" s="34"/>
      <c r="SHY51" s="39"/>
      <c r="SHZ51" s="41"/>
      <c r="SIC51" s="32"/>
      <c r="SIE51" s="12"/>
      <c r="SIG51" s="34"/>
      <c r="SIH51" s="39"/>
      <c r="SII51" s="41"/>
      <c r="SIL51" s="32"/>
      <c r="SIN51" s="12"/>
      <c r="SIP51" s="34"/>
      <c r="SIQ51" s="39"/>
      <c r="SIR51" s="41"/>
      <c r="SIU51" s="32"/>
      <c r="SIW51" s="12"/>
      <c r="SIY51" s="34"/>
      <c r="SIZ51" s="39"/>
      <c r="SJA51" s="41"/>
      <c r="SJD51" s="32"/>
      <c r="SJF51" s="12"/>
      <c r="SJH51" s="34"/>
      <c r="SJI51" s="39"/>
      <c r="SJJ51" s="41"/>
      <c r="SJM51" s="32"/>
      <c r="SJO51" s="12"/>
      <c r="SJQ51" s="34"/>
      <c r="SJR51" s="39"/>
      <c r="SJS51" s="41"/>
      <c r="SJV51" s="32"/>
      <c r="SJX51" s="12"/>
      <c r="SJZ51" s="34"/>
      <c r="SKA51" s="39"/>
      <c r="SKB51" s="41"/>
      <c r="SKE51" s="32"/>
      <c r="SKG51" s="12"/>
      <c r="SKI51" s="34"/>
      <c r="SKJ51" s="39"/>
      <c r="SKK51" s="41"/>
      <c r="SKN51" s="32"/>
      <c r="SKP51" s="12"/>
      <c r="SKR51" s="34"/>
      <c r="SKS51" s="39"/>
      <c r="SKT51" s="41"/>
      <c r="SKW51" s="32"/>
      <c r="SKY51" s="12"/>
      <c r="SLA51" s="34"/>
      <c r="SLB51" s="39"/>
      <c r="SLC51" s="41"/>
      <c r="SLF51" s="32"/>
      <c r="SLH51" s="12"/>
      <c r="SLJ51" s="34"/>
      <c r="SLK51" s="39"/>
      <c r="SLL51" s="41"/>
      <c r="SLO51" s="32"/>
      <c r="SLQ51" s="12"/>
      <c r="SLS51" s="34"/>
      <c r="SLT51" s="39"/>
      <c r="SLU51" s="41"/>
      <c r="SLX51" s="32"/>
      <c r="SLZ51" s="12"/>
      <c r="SMB51" s="34"/>
      <c r="SMC51" s="39"/>
      <c r="SMD51" s="41"/>
      <c r="SMG51" s="32"/>
      <c r="SMI51" s="12"/>
      <c r="SMK51" s="34"/>
      <c r="SML51" s="39"/>
      <c r="SMM51" s="41"/>
      <c r="SMP51" s="32"/>
      <c r="SMR51" s="12"/>
      <c r="SMT51" s="34"/>
      <c r="SMU51" s="39"/>
      <c r="SMV51" s="41"/>
      <c r="SMY51" s="32"/>
      <c r="SNA51" s="12"/>
      <c r="SNC51" s="34"/>
      <c r="SND51" s="39"/>
      <c r="SNE51" s="41"/>
      <c r="SNH51" s="32"/>
      <c r="SNJ51" s="12"/>
      <c r="SNL51" s="34"/>
      <c r="SNM51" s="39"/>
      <c r="SNN51" s="41"/>
      <c r="SNQ51" s="32"/>
      <c r="SNS51" s="12"/>
      <c r="SNU51" s="34"/>
      <c r="SNV51" s="39"/>
      <c r="SNW51" s="41"/>
      <c r="SNZ51" s="32"/>
      <c r="SOB51" s="12"/>
      <c r="SOD51" s="34"/>
      <c r="SOE51" s="39"/>
      <c r="SOF51" s="41"/>
      <c r="SOI51" s="32"/>
      <c r="SOK51" s="12"/>
      <c r="SOM51" s="34"/>
      <c r="SON51" s="39"/>
      <c r="SOO51" s="41"/>
      <c r="SOR51" s="32"/>
      <c r="SOT51" s="12"/>
      <c r="SOV51" s="34"/>
      <c r="SOW51" s="39"/>
      <c r="SOX51" s="41"/>
      <c r="SPA51" s="32"/>
      <c r="SPC51" s="12"/>
      <c r="SPE51" s="34"/>
      <c r="SPF51" s="39"/>
      <c r="SPG51" s="41"/>
      <c r="SPJ51" s="32"/>
      <c r="SPL51" s="12"/>
      <c r="SPN51" s="34"/>
      <c r="SPO51" s="39"/>
      <c r="SPP51" s="41"/>
      <c r="SPS51" s="32"/>
      <c r="SPU51" s="12"/>
      <c r="SPW51" s="34"/>
      <c r="SPX51" s="39"/>
      <c r="SPY51" s="41"/>
      <c r="SQB51" s="32"/>
      <c r="SQD51" s="12"/>
      <c r="SQF51" s="34"/>
      <c r="SQG51" s="39"/>
      <c r="SQH51" s="41"/>
      <c r="SQK51" s="32"/>
      <c r="SQM51" s="12"/>
      <c r="SQO51" s="34"/>
      <c r="SQP51" s="39"/>
      <c r="SQQ51" s="41"/>
      <c r="SQT51" s="32"/>
      <c r="SQV51" s="12"/>
      <c r="SQX51" s="34"/>
      <c r="SQY51" s="39"/>
      <c r="SQZ51" s="41"/>
      <c r="SRC51" s="32"/>
      <c r="SRE51" s="12"/>
      <c r="SRG51" s="34"/>
      <c r="SRH51" s="39"/>
      <c r="SRI51" s="41"/>
      <c r="SRL51" s="32"/>
      <c r="SRN51" s="12"/>
      <c r="SRP51" s="34"/>
      <c r="SRQ51" s="39"/>
      <c r="SRR51" s="41"/>
      <c r="SRU51" s="32"/>
      <c r="SRW51" s="12"/>
      <c r="SRY51" s="34"/>
      <c r="SRZ51" s="39"/>
      <c r="SSA51" s="41"/>
      <c r="SSD51" s="32"/>
      <c r="SSF51" s="12"/>
      <c r="SSH51" s="34"/>
      <c r="SSI51" s="39"/>
      <c r="SSJ51" s="41"/>
      <c r="SSM51" s="32"/>
      <c r="SSO51" s="12"/>
      <c r="SSQ51" s="34"/>
      <c r="SSR51" s="39"/>
      <c r="SSS51" s="41"/>
      <c r="SSV51" s="32"/>
      <c r="SSX51" s="12"/>
      <c r="SSZ51" s="34"/>
      <c r="STA51" s="39"/>
      <c r="STB51" s="41"/>
      <c r="STE51" s="32"/>
      <c r="STG51" s="12"/>
      <c r="STI51" s="34"/>
      <c r="STJ51" s="39"/>
      <c r="STK51" s="41"/>
      <c r="STN51" s="32"/>
      <c r="STP51" s="12"/>
      <c r="STR51" s="34"/>
      <c r="STS51" s="39"/>
      <c r="STT51" s="41"/>
      <c r="STW51" s="32"/>
      <c r="STY51" s="12"/>
      <c r="SUA51" s="34"/>
      <c r="SUB51" s="39"/>
      <c r="SUC51" s="41"/>
      <c r="SUF51" s="32"/>
      <c r="SUH51" s="12"/>
      <c r="SUJ51" s="34"/>
      <c r="SUK51" s="39"/>
      <c r="SUL51" s="41"/>
      <c r="SUO51" s="32"/>
      <c r="SUQ51" s="12"/>
      <c r="SUS51" s="34"/>
      <c r="SUT51" s="39"/>
      <c r="SUU51" s="41"/>
      <c r="SUX51" s="32"/>
      <c r="SUZ51" s="12"/>
      <c r="SVB51" s="34"/>
      <c r="SVC51" s="39"/>
      <c r="SVD51" s="41"/>
      <c r="SVG51" s="32"/>
      <c r="SVI51" s="12"/>
      <c r="SVK51" s="34"/>
      <c r="SVL51" s="39"/>
      <c r="SVM51" s="41"/>
      <c r="SVP51" s="32"/>
      <c r="SVR51" s="12"/>
      <c r="SVT51" s="34"/>
      <c r="SVU51" s="39"/>
      <c r="SVV51" s="41"/>
      <c r="SVY51" s="32"/>
      <c r="SWA51" s="12"/>
      <c r="SWC51" s="34"/>
      <c r="SWD51" s="39"/>
      <c r="SWE51" s="41"/>
      <c r="SWH51" s="32"/>
      <c r="SWJ51" s="12"/>
      <c r="SWL51" s="34"/>
      <c r="SWM51" s="39"/>
      <c r="SWN51" s="41"/>
      <c r="SWQ51" s="32"/>
      <c r="SWS51" s="12"/>
      <c r="SWU51" s="34"/>
      <c r="SWV51" s="39"/>
      <c r="SWW51" s="41"/>
      <c r="SWZ51" s="32"/>
      <c r="SXB51" s="12"/>
      <c r="SXD51" s="34"/>
      <c r="SXE51" s="39"/>
      <c r="SXF51" s="41"/>
      <c r="SXI51" s="32"/>
      <c r="SXK51" s="12"/>
      <c r="SXM51" s="34"/>
      <c r="SXN51" s="39"/>
      <c r="SXO51" s="41"/>
      <c r="SXR51" s="32"/>
      <c r="SXT51" s="12"/>
      <c r="SXV51" s="34"/>
      <c r="SXW51" s="39"/>
      <c r="SXX51" s="41"/>
      <c r="SYA51" s="32"/>
      <c r="SYC51" s="12"/>
      <c r="SYE51" s="34"/>
      <c r="SYF51" s="39"/>
      <c r="SYG51" s="41"/>
      <c r="SYJ51" s="32"/>
      <c r="SYL51" s="12"/>
      <c r="SYN51" s="34"/>
      <c r="SYO51" s="39"/>
      <c r="SYP51" s="41"/>
      <c r="SYS51" s="32"/>
      <c r="SYU51" s="12"/>
      <c r="SYW51" s="34"/>
      <c r="SYX51" s="39"/>
      <c r="SYY51" s="41"/>
      <c r="SZB51" s="32"/>
      <c r="SZD51" s="12"/>
      <c r="SZF51" s="34"/>
      <c r="SZG51" s="39"/>
      <c r="SZH51" s="41"/>
      <c r="SZK51" s="32"/>
      <c r="SZM51" s="12"/>
      <c r="SZO51" s="34"/>
      <c r="SZP51" s="39"/>
      <c r="SZQ51" s="41"/>
      <c r="SZT51" s="32"/>
      <c r="SZV51" s="12"/>
      <c r="SZX51" s="34"/>
      <c r="SZY51" s="39"/>
      <c r="SZZ51" s="41"/>
      <c r="TAC51" s="32"/>
      <c r="TAE51" s="12"/>
      <c r="TAG51" s="34"/>
      <c r="TAH51" s="39"/>
      <c r="TAI51" s="41"/>
      <c r="TAL51" s="32"/>
      <c r="TAN51" s="12"/>
      <c r="TAP51" s="34"/>
      <c r="TAQ51" s="39"/>
      <c r="TAR51" s="41"/>
      <c r="TAU51" s="32"/>
      <c r="TAW51" s="12"/>
      <c r="TAY51" s="34"/>
      <c r="TAZ51" s="39"/>
      <c r="TBA51" s="41"/>
      <c r="TBD51" s="32"/>
      <c r="TBF51" s="12"/>
      <c r="TBH51" s="34"/>
      <c r="TBI51" s="39"/>
      <c r="TBJ51" s="41"/>
      <c r="TBM51" s="32"/>
      <c r="TBO51" s="12"/>
      <c r="TBQ51" s="34"/>
      <c r="TBR51" s="39"/>
      <c r="TBS51" s="41"/>
      <c r="TBV51" s="32"/>
      <c r="TBX51" s="12"/>
      <c r="TBZ51" s="34"/>
      <c r="TCA51" s="39"/>
      <c r="TCB51" s="41"/>
      <c r="TCE51" s="32"/>
      <c r="TCG51" s="12"/>
      <c r="TCI51" s="34"/>
      <c r="TCJ51" s="39"/>
      <c r="TCK51" s="41"/>
      <c r="TCN51" s="32"/>
      <c r="TCP51" s="12"/>
      <c r="TCR51" s="34"/>
      <c r="TCS51" s="39"/>
      <c r="TCT51" s="41"/>
      <c r="TCW51" s="32"/>
      <c r="TCY51" s="12"/>
      <c r="TDA51" s="34"/>
      <c r="TDB51" s="39"/>
      <c r="TDC51" s="41"/>
      <c r="TDF51" s="32"/>
      <c r="TDH51" s="12"/>
      <c r="TDJ51" s="34"/>
      <c r="TDK51" s="39"/>
      <c r="TDL51" s="41"/>
      <c r="TDO51" s="32"/>
      <c r="TDQ51" s="12"/>
      <c r="TDS51" s="34"/>
      <c r="TDT51" s="39"/>
      <c r="TDU51" s="41"/>
      <c r="TDX51" s="32"/>
      <c r="TDZ51" s="12"/>
      <c r="TEB51" s="34"/>
      <c r="TEC51" s="39"/>
      <c r="TED51" s="41"/>
      <c r="TEG51" s="32"/>
      <c r="TEI51" s="12"/>
      <c r="TEK51" s="34"/>
      <c r="TEL51" s="39"/>
      <c r="TEM51" s="41"/>
      <c r="TEP51" s="32"/>
      <c r="TER51" s="12"/>
      <c r="TET51" s="34"/>
      <c r="TEU51" s="39"/>
      <c r="TEV51" s="41"/>
      <c r="TEY51" s="32"/>
      <c r="TFA51" s="12"/>
      <c r="TFC51" s="34"/>
      <c r="TFD51" s="39"/>
      <c r="TFE51" s="41"/>
      <c r="TFH51" s="32"/>
      <c r="TFJ51" s="12"/>
      <c r="TFL51" s="34"/>
      <c r="TFM51" s="39"/>
      <c r="TFN51" s="41"/>
      <c r="TFQ51" s="32"/>
      <c r="TFS51" s="12"/>
      <c r="TFU51" s="34"/>
      <c r="TFV51" s="39"/>
      <c r="TFW51" s="41"/>
      <c r="TFZ51" s="32"/>
      <c r="TGB51" s="12"/>
      <c r="TGD51" s="34"/>
      <c r="TGE51" s="39"/>
      <c r="TGF51" s="41"/>
      <c r="TGI51" s="32"/>
      <c r="TGK51" s="12"/>
      <c r="TGM51" s="34"/>
      <c r="TGN51" s="39"/>
      <c r="TGO51" s="41"/>
      <c r="TGR51" s="32"/>
      <c r="TGT51" s="12"/>
      <c r="TGV51" s="34"/>
      <c r="TGW51" s="39"/>
      <c r="TGX51" s="41"/>
      <c r="THA51" s="32"/>
      <c r="THC51" s="12"/>
      <c r="THE51" s="34"/>
      <c r="THF51" s="39"/>
      <c r="THG51" s="41"/>
      <c r="THJ51" s="32"/>
      <c r="THL51" s="12"/>
      <c r="THN51" s="34"/>
      <c r="THO51" s="39"/>
      <c r="THP51" s="41"/>
      <c r="THS51" s="32"/>
      <c r="THU51" s="12"/>
      <c r="THW51" s="34"/>
      <c r="THX51" s="39"/>
      <c r="THY51" s="41"/>
      <c r="TIB51" s="32"/>
      <c r="TID51" s="12"/>
      <c r="TIF51" s="34"/>
      <c r="TIG51" s="39"/>
      <c r="TIH51" s="41"/>
      <c r="TIK51" s="32"/>
      <c r="TIM51" s="12"/>
      <c r="TIO51" s="34"/>
      <c r="TIP51" s="39"/>
      <c r="TIQ51" s="41"/>
      <c r="TIT51" s="32"/>
      <c r="TIV51" s="12"/>
      <c r="TIX51" s="34"/>
      <c r="TIY51" s="39"/>
      <c r="TIZ51" s="41"/>
      <c r="TJC51" s="32"/>
      <c r="TJE51" s="12"/>
      <c r="TJG51" s="34"/>
      <c r="TJH51" s="39"/>
      <c r="TJI51" s="41"/>
      <c r="TJL51" s="32"/>
      <c r="TJN51" s="12"/>
      <c r="TJP51" s="34"/>
      <c r="TJQ51" s="39"/>
      <c r="TJR51" s="41"/>
      <c r="TJU51" s="32"/>
      <c r="TJW51" s="12"/>
      <c r="TJY51" s="34"/>
      <c r="TJZ51" s="39"/>
      <c r="TKA51" s="41"/>
      <c r="TKD51" s="32"/>
      <c r="TKF51" s="12"/>
      <c r="TKH51" s="34"/>
      <c r="TKI51" s="39"/>
      <c r="TKJ51" s="41"/>
      <c r="TKM51" s="32"/>
      <c r="TKO51" s="12"/>
      <c r="TKQ51" s="34"/>
      <c r="TKR51" s="39"/>
      <c r="TKS51" s="41"/>
      <c r="TKV51" s="32"/>
      <c r="TKX51" s="12"/>
      <c r="TKZ51" s="34"/>
      <c r="TLA51" s="39"/>
      <c r="TLB51" s="41"/>
      <c r="TLE51" s="32"/>
      <c r="TLG51" s="12"/>
      <c r="TLI51" s="34"/>
      <c r="TLJ51" s="39"/>
      <c r="TLK51" s="41"/>
      <c r="TLN51" s="32"/>
      <c r="TLP51" s="12"/>
      <c r="TLR51" s="34"/>
      <c r="TLS51" s="39"/>
      <c r="TLT51" s="41"/>
      <c r="TLW51" s="32"/>
      <c r="TLY51" s="12"/>
      <c r="TMA51" s="34"/>
      <c r="TMB51" s="39"/>
      <c r="TMC51" s="41"/>
      <c r="TMF51" s="32"/>
      <c r="TMH51" s="12"/>
      <c r="TMJ51" s="34"/>
      <c r="TMK51" s="39"/>
      <c r="TML51" s="41"/>
      <c r="TMO51" s="32"/>
      <c r="TMQ51" s="12"/>
      <c r="TMS51" s="34"/>
      <c r="TMT51" s="39"/>
      <c r="TMU51" s="41"/>
      <c r="TMX51" s="32"/>
      <c r="TMZ51" s="12"/>
      <c r="TNB51" s="34"/>
      <c r="TNC51" s="39"/>
      <c r="TND51" s="41"/>
      <c r="TNG51" s="32"/>
      <c r="TNI51" s="12"/>
      <c r="TNK51" s="34"/>
      <c r="TNL51" s="39"/>
      <c r="TNM51" s="41"/>
      <c r="TNP51" s="32"/>
      <c r="TNR51" s="12"/>
      <c r="TNT51" s="34"/>
      <c r="TNU51" s="39"/>
      <c r="TNV51" s="41"/>
      <c r="TNY51" s="32"/>
      <c r="TOA51" s="12"/>
      <c r="TOC51" s="34"/>
      <c r="TOD51" s="39"/>
      <c r="TOE51" s="41"/>
      <c r="TOH51" s="32"/>
      <c r="TOJ51" s="12"/>
      <c r="TOL51" s="34"/>
      <c r="TOM51" s="39"/>
      <c r="TON51" s="41"/>
      <c r="TOQ51" s="32"/>
      <c r="TOS51" s="12"/>
      <c r="TOU51" s="34"/>
      <c r="TOV51" s="39"/>
      <c r="TOW51" s="41"/>
      <c r="TOZ51" s="32"/>
      <c r="TPB51" s="12"/>
      <c r="TPD51" s="34"/>
      <c r="TPE51" s="39"/>
      <c r="TPF51" s="41"/>
      <c r="TPI51" s="32"/>
      <c r="TPK51" s="12"/>
      <c r="TPM51" s="34"/>
      <c r="TPN51" s="39"/>
      <c r="TPO51" s="41"/>
      <c r="TPR51" s="32"/>
      <c r="TPT51" s="12"/>
      <c r="TPV51" s="34"/>
      <c r="TPW51" s="39"/>
      <c r="TPX51" s="41"/>
      <c r="TQA51" s="32"/>
      <c r="TQC51" s="12"/>
      <c r="TQE51" s="34"/>
      <c r="TQF51" s="39"/>
      <c r="TQG51" s="41"/>
      <c r="TQJ51" s="32"/>
      <c r="TQL51" s="12"/>
      <c r="TQN51" s="34"/>
      <c r="TQO51" s="39"/>
      <c r="TQP51" s="41"/>
      <c r="TQS51" s="32"/>
      <c r="TQU51" s="12"/>
      <c r="TQW51" s="34"/>
      <c r="TQX51" s="39"/>
      <c r="TQY51" s="41"/>
      <c r="TRB51" s="32"/>
      <c r="TRD51" s="12"/>
      <c r="TRF51" s="34"/>
      <c r="TRG51" s="39"/>
      <c r="TRH51" s="41"/>
      <c r="TRK51" s="32"/>
      <c r="TRM51" s="12"/>
      <c r="TRO51" s="34"/>
      <c r="TRP51" s="39"/>
      <c r="TRQ51" s="41"/>
      <c r="TRT51" s="32"/>
      <c r="TRV51" s="12"/>
      <c r="TRX51" s="34"/>
      <c r="TRY51" s="39"/>
      <c r="TRZ51" s="41"/>
      <c r="TSC51" s="32"/>
      <c r="TSE51" s="12"/>
      <c r="TSG51" s="34"/>
      <c r="TSH51" s="39"/>
      <c r="TSI51" s="41"/>
      <c r="TSL51" s="32"/>
      <c r="TSN51" s="12"/>
      <c r="TSP51" s="34"/>
      <c r="TSQ51" s="39"/>
      <c r="TSR51" s="41"/>
      <c r="TSU51" s="32"/>
      <c r="TSW51" s="12"/>
      <c r="TSY51" s="34"/>
      <c r="TSZ51" s="39"/>
      <c r="TTA51" s="41"/>
      <c r="TTD51" s="32"/>
      <c r="TTF51" s="12"/>
      <c r="TTH51" s="34"/>
      <c r="TTI51" s="39"/>
      <c r="TTJ51" s="41"/>
      <c r="TTM51" s="32"/>
      <c r="TTO51" s="12"/>
      <c r="TTQ51" s="34"/>
      <c r="TTR51" s="39"/>
      <c r="TTS51" s="41"/>
      <c r="TTV51" s="32"/>
      <c r="TTX51" s="12"/>
      <c r="TTZ51" s="34"/>
      <c r="TUA51" s="39"/>
      <c r="TUB51" s="41"/>
      <c r="TUE51" s="32"/>
      <c r="TUG51" s="12"/>
      <c r="TUI51" s="34"/>
      <c r="TUJ51" s="39"/>
      <c r="TUK51" s="41"/>
      <c r="TUN51" s="32"/>
      <c r="TUP51" s="12"/>
      <c r="TUR51" s="34"/>
      <c r="TUS51" s="39"/>
      <c r="TUT51" s="41"/>
      <c r="TUW51" s="32"/>
      <c r="TUY51" s="12"/>
      <c r="TVA51" s="34"/>
      <c r="TVB51" s="39"/>
      <c r="TVC51" s="41"/>
      <c r="TVF51" s="32"/>
      <c r="TVH51" s="12"/>
      <c r="TVJ51" s="34"/>
      <c r="TVK51" s="39"/>
      <c r="TVL51" s="41"/>
      <c r="TVO51" s="32"/>
      <c r="TVQ51" s="12"/>
      <c r="TVS51" s="34"/>
      <c r="TVT51" s="39"/>
      <c r="TVU51" s="41"/>
      <c r="TVX51" s="32"/>
      <c r="TVZ51" s="12"/>
      <c r="TWB51" s="34"/>
      <c r="TWC51" s="39"/>
      <c r="TWD51" s="41"/>
      <c r="TWG51" s="32"/>
      <c r="TWI51" s="12"/>
      <c r="TWK51" s="34"/>
      <c r="TWL51" s="39"/>
      <c r="TWM51" s="41"/>
      <c r="TWP51" s="32"/>
      <c r="TWR51" s="12"/>
      <c r="TWT51" s="34"/>
      <c r="TWU51" s="39"/>
      <c r="TWV51" s="41"/>
      <c r="TWY51" s="32"/>
      <c r="TXA51" s="12"/>
      <c r="TXC51" s="34"/>
      <c r="TXD51" s="39"/>
      <c r="TXE51" s="41"/>
      <c r="TXH51" s="32"/>
      <c r="TXJ51" s="12"/>
      <c r="TXL51" s="34"/>
      <c r="TXM51" s="39"/>
      <c r="TXN51" s="41"/>
      <c r="TXQ51" s="32"/>
      <c r="TXS51" s="12"/>
      <c r="TXU51" s="34"/>
      <c r="TXV51" s="39"/>
      <c r="TXW51" s="41"/>
      <c r="TXZ51" s="32"/>
      <c r="TYB51" s="12"/>
      <c r="TYD51" s="34"/>
      <c r="TYE51" s="39"/>
      <c r="TYF51" s="41"/>
      <c r="TYI51" s="32"/>
      <c r="TYK51" s="12"/>
      <c r="TYM51" s="34"/>
      <c r="TYN51" s="39"/>
      <c r="TYO51" s="41"/>
      <c r="TYR51" s="32"/>
      <c r="TYT51" s="12"/>
      <c r="TYV51" s="34"/>
      <c r="TYW51" s="39"/>
      <c r="TYX51" s="41"/>
      <c r="TZA51" s="32"/>
      <c r="TZC51" s="12"/>
      <c r="TZE51" s="34"/>
      <c r="TZF51" s="39"/>
      <c r="TZG51" s="41"/>
      <c r="TZJ51" s="32"/>
      <c r="TZL51" s="12"/>
      <c r="TZN51" s="34"/>
      <c r="TZO51" s="39"/>
      <c r="TZP51" s="41"/>
      <c r="TZS51" s="32"/>
      <c r="TZU51" s="12"/>
      <c r="TZW51" s="34"/>
      <c r="TZX51" s="39"/>
      <c r="TZY51" s="41"/>
      <c r="UAB51" s="32"/>
      <c r="UAD51" s="12"/>
      <c r="UAF51" s="34"/>
      <c r="UAG51" s="39"/>
      <c r="UAH51" s="41"/>
      <c r="UAK51" s="32"/>
      <c r="UAM51" s="12"/>
      <c r="UAO51" s="34"/>
      <c r="UAP51" s="39"/>
      <c r="UAQ51" s="41"/>
      <c r="UAT51" s="32"/>
      <c r="UAV51" s="12"/>
      <c r="UAX51" s="34"/>
      <c r="UAY51" s="39"/>
      <c r="UAZ51" s="41"/>
      <c r="UBC51" s="32"/>
      <c r="UBE51" s="12"/>
      <c r="UBG51" s="34"/>
      <c r="UBH51" s="39"/>
      <c r="UBI51" s="41"/>
      <c r="UBL51" s="32"/>
      <c r="UBN51" s="12"/>
      <c r="UBP51" s="34"/>
      <c r="UBQ51" s="39"/>
      <c r="UBR51" s="41"/>
      <c r="UBU51" s="32"/>
      <c r="UBW51" s="12"/>
      <c r="UBY51" s="34"/>
      <c r="UBZ51" s="39"/>
      <c r="UCA51" s="41"/>
      <c r="UCD51" s="32"/>
      <c r="UCF51" s="12"/>
      <c r="UCH51" s="34"/>
      <c r="UCI51" s="39"/>
      <c r="UCJ51" s="41"/>
      <c r="UCM51" s="32"/>
      <c r="UCO51" s="12"/>
      <c r="UCQ51" s="34"/>
      <c r="UCR51" s="39"/>
      <c r="UCS51" s="41"/>
      <c r="UCV51" s="32"/>
      <c r="UCX51" s="12"/>
      <c r="UCZ51" s="34"/>
      <c r="UDA51" s="39"/>
      <c r="UDB51" s="41"/>
      <c r="UDE51" s="32"/>
      <c r="UDG51" s="12"/>
      <c r="UDI51" s="34"/>
      <c r="UDJ51" s="39"/>
      <c r="UDK51" s="41"/>
      <c r="UDN51" s="32"/>
      <c r="UDP51" s="12"/>
      <c r="UDR51" s="34"/>
      <c r="UDS51" s="39"/>
      <c r="UDT51" s="41"/>
      <c r="UDW51" s="32"/>
      <c r="UDY51" s="12"/>
      <c r="UEA51" s="34"/>
      <c r="UEB51" s="39"/>
      <c r="UEC51" s="41"/>
      <c r="UEF51" s="32"/>
      <c r="UEH51" s="12"/>
      <c r="UEJ51" s="34"/>
      <c r="UEK51" s="39"/>
      <c r="UEL51" s="41"/>
      <c r="UEO51" s="32"/>
      <c r="UEQ51" s="12"/>
      <c r="UES51" s="34"/>
      <c r="UET51" s="39"/>
      <c r="UEU51" s="41"/>
      <c r="UEX51" s="32"/>
      <c r="UEZ51" s="12"/>
      <c r="UFB51" s="34"/>
      <c r="UFC51" s="39"/>
      <c r="UFD51" s="41"/>
      <c r="UFG51" s="32"/>
      <c r="UFI51" s="12"/>
      <c r="UFK51" s="34"/>
      <c r="UFL51" s="39"/>
      <c r="UFM51" s="41"/>
      <c r="UFP51" s="32"/>
      <c r="UFR51" s="12"/>
      <c r="UFT51" s="34"/>
      <c r="UFU51" s="39"/>
      <c r="UFV51" s="41"/>
      <c r="UFY51" s="32"/>
      <c r="UGA51" s="12"/>
      <c r="UGC51" s="34"/>
      <c r="UGD51" s="39"/>
      <c r="UGE51" s="41"/>
      <c r="UGH51" s="32"/>
      <c r="UGJ51" s="12"/>
      <c r="UGL51" s="34"/>
      <c r="UGM51" s="39"/>
      <c r="UGN51" s="41"/>
      <c r="UGQ51" s="32"/>
      <c r="UGS51" s="12"/>
      <c r="UGU51" s="34"/>
      <c r="UGV51" s="39"/>
      <c r="UGW51" s="41"/>
      <c r="UGZ51" s="32"/>
      <c r="UHB51" s="12"/>
      <c r="UHD51" s="34"/>
      <c r="UHE51" s="39"/>
      <c r="UHF51" s="41"/>
      <c r="UHI51" s="32"/>
      <c r="UHK51" s="12"/>
      <c r="UHM51" s="34"/>
      <c r="UHN51" s="39"/>
      <c r="UHO51" s="41"/>
      <c r="UHR51" s="32"/>
      <c r="UHT51" s="12"/>
      <c r="UHV51" s="34"/>
      <c r="UHW51" s="39"/>
      <c r="UHX51" s="41"/>
      <c r="UIA51" s="32"/>
      <c r="UIC51" s="12"/>
      <c r="UIE51" s="34"/>
      <c r="UIF51" s="39"/>
      <c r="UIG51" s="41"/>
      <c r="UIJ51" s="32"/>
      <c r="UIL51" s="12"/>
      <c r="UIN51" s="34"/>
      <c r="UIO51" s="39"/>
      <c r="UIP51" s="41"/>
      <c r="UIS51" s="32"/>
      <c r="UIU51" s="12"/>
      <c r="UIW51" s="34"/>
      <c r="UIX51" s="39"/>
      <c r="UIY51" s="41"/>
      <c r="UJB51" s="32"/>
      <c r="UJD51" s="12"/>
      <c r="UJF51" s="34"/>
      <c r="UJG51" s="39"/>
      <c r="UJH51" s="41"/>
      <c r="UJK51" s="32"/>
      <c r="UJM51" s="12"/>
      <c r="UJO51" s="34"/>
      <c r="UJP51" s="39"/>
      <c r="UJQ51" s="41"/>
      <c r="UJT51" s="32"/>
      <c r="UJV51" s="12"/>
      <c r="UJX51" s="34"/>
      <c r="UJY51" s="39"/>
      <c r="UJZ51" s="41"/>
      <c r="UKC51" s="32"/>
      <c r="UKE51" s="12"/>
      <c r="UKG51" s="34"/>
      <c r="UKH51" s="39"/>
      <c r="UKI51" s="41"/>
      <c r="UKL51" s="32"/>
      <c r="UKN51" s="12"/>
      <c r="UKP51" s="34"/>
      <c r="UKQ51" s="39"/>
      <c r="UKR51" s="41"/>
      <c r="UKU51" s="32"/>
      <c r="UKW51" s="12"/>
      <c r="UKY51" s="34"/>
      <c r="UKZ51" s="39"/>
      <c r="ULA51" s="41"/>
      <c r="ULD51" s="32"/>
      <c r="ULF51" s="12"/>
      <c r="ULH51" s="34"/>
      <c r="ULI51" s="39"/>
      <c r="ULJ51" s="41"/>
      <c r="ULM51" s="32"/>
      <c r="ULO51" s="12"/>
      <c r="ULQ51" s="34"/>
      <c r="ULR51" s="39"/>
      <c r="ULS51" s="41"/>
      <c r="ULV51" s="32"/>
      <c r="ULX51" s="12"/>
      <c r="ULZ51" s="34"/>
      <c r="UMA51" s="39"/>
      <c r="UMB51" s="41"/>
      <c r="UME51" s="32"/>
      <c r="UMG51" s="12"/>
      <c r="UMI51" s="34"/>
      <c r="UMJ51" s="39"/>
      <c r="UMK51" s="41"/>
      <c r="UMN51" s="32"/>
      <c r="UMP51" s="12"/>
      <c r="UMR51" s="34"/>
      <c r="UMS51" s="39"/>
      <c r="UMT51" s="41"/>
      <c r="UMW51" s="32"/>
      <c r="UMY51" s="12"/>
      <c r="UNA51" s="34"/>
      <c r="UNB51" s="39"/>
      <c r="UNC51" s="41"/>
      <c r="UNF51" s="32"/>
      <c r="UNH51" s="12"/>
      <c r="UNJ51" s="34"/>
      <c r="UNK51" s="39"/>
      <c r="UNL51" s="41"/>
      <c r="UNO51" s="32"/>
      <c r="UNQ51" s="12"/>
      <c r="UNS51" s="34"/>
      <c r="UNT51" s="39"/>
      <c r="UNU51" s="41"/>
      <c r="UNX51" s="32"/>
      <c r="UNZ51" s="12"/>
      <c r="UOB51" s="34"/>
      <c r="UOC51" s="39"/>
      <c r="UOD51" s="41"/>
      <c r="UOG51" s="32"/>
      <c r="UOI51" s="12"/>
      <c r="UOK51" s="34"/>
      <c r="UOL51" s="39"/>
      <c r="UOM51" s="41"/>
      <c r="UOP51" s="32"/>
      <c r="UOR51" s="12"/>
      <c r="UOT51" s="34"/>
      <c r="UOU51" s="39"/>
      <c r="UOV51" s="41"/>
      <c r="UOY51" s="32"/>
      <c r="UPA51" s="12"/>
      <c r="UPC51" s="34"/>
      <c r="UPD51" s="39"/>
      <c r="UPE51" s="41"/>
      <c r="UPH51" s="32"/>
      <c r="UPJ51" s="12"/>
      <c r="UPL51" s="34"/>
      <c r="UPM51" s="39"/>
      <c r="UPN51" s="41"/>
      <c r="UPQ51" s="32"/>
      <c r="UPS51" s="12"/>
      <c r="UPU51" s="34"/>
      <c r="UPV51" s="39"/>
      <c r="UPW51" s="41"/>
      <c r="UPZ51" s="32"/>
      <c r="UQB51" s="12"/>
      <c r="UQD51" s="34"/>
      <c r="UQE51" s="39"/>
      <c r="UQF51" s="41"/>
      <c r="UQI51" s="32"/>
      <c r="UQK51" s="12"/>
      <c r="UQM51" s="34"/>
      <c r="UQN51" s="39"/>
      <c r="UQO51" s="41"/>
      <c r="UQR51" s="32"/>
      <c r="UQT51" s="12"/>
      <c r="UQV51" s="34"/>
      <c r="UQW51" s="39"/>
      <c r="UQX51" s="41"/>
      <c r="URA51" s="32"/>
      <c r="URC51" s="12"/>
      <c r="URE51" s="34"/>
      <c r="URF51" s="39"/>
      <c r="URG51" s="41"/>
      <c r="URJ51" s="32"/>
      <c r="URL51" s="12"/>
      <c r="URN51" s="34"/>
      <c r="URO51" s="39"/>
      <c r="URP51" s="41"/>
      <c r="URS51" s="32"/>
      <c r="URU51" s="12"/>
      <c r="URW51" s="34"/>
      <c r="URX51" s="39"/>
      <c r="URY51" s="41"/>
      <c r="USB51" s="32"/>
      <c r="USD51" s="12"/>
      <c r="USF51" s="34"/>
      <c r="USG51" s="39"/>
      <c r="USH51" s="41"/>
      <c r="USK51" s="32"/>
      <c r="USM51" s="12"/>
      <c r="USO51" s="34"/>
      <c r="USP51" s="39"/>
      <c r="USQ51" s="41"/>
      <c r="UST51" s="32"/>
      <c r="USV51" s="12"/>
      <c r="USX51" s="34"/>
      <c r="USY51" s="39"/>
      <c r="USZ51" s="41"/>
      <c r="UTC51" s="32"/>
      <c r="UTE51" s="12"/>
      <c r="UTG51" s="34"/>
      <c r="UTH51" s="39"/>
      <c r="UTI51" s="41"/>
      <c r="UTL51" s="32"/>
      <c r="UTN51" s="12"/>
      <c r="UTP51" s="34"/>
      <c r="UTQ51" s="39"/>
      <c r="UTR51" s="41"/>
      <c r="UTU51" s="32"/>
      <c r="UTW51" s="12"/>
      <c r="UTY51" s="34"/>
      <c r="UTZ51" s="39"/>
      <c r="UUA51" s="41"/>
      <c r="UUD51" s="32"/>
      <c r="UUF51" s="12"/>
      <c r="UUH51" s="34"/>
      <c r="UUI51" s="39"/>
      <c r="UUJ51" s="41"/>
      <c r="UUM51" s="32"/>
      <c r="UUO51" s="12"/>
      <c r="UUQ51" s="34"/>
      <c r="UUR51" s="39"/>
      <c r="UUS51" s="41"/>
      <c r="UUV51" s="32"/>
      <c r="UUX51" s="12"/>
      <c r="UUZ51" s="34"/>
      <c r="UVA51" s="39"/>
      <c r="UVB51" s="41"/>
      <c r="UVE51" s="32"/>
      <c r="UVG51" s="12"/>
      <c r="UVI51" s="34"/>
      <c r="UVJ51" s="39"/>
      <c r="UVK51" s="41"/>
      <c r="UVN51" s="32"/>
      <c r="UVP51" s="12"/>
      <c r="UVR51" s="34"/>
      <c r="UVS51" s="39"/>
      <c r="UVT51" s="41"/>
      <c r="UVW51" s="32"/>
      <c r="UVY51" s="12"/>
      <c r="UWA51" s="34"/>
      <c r="UWB51" s="39"/>
      <c r="UWC51" s="41"/>
      <c r="UWF51" s="32"/>
      <c r="UWH51" s="12"/>
      <c r="UWJ51" s="34"/>
      <c r="UWK51" s="39"/>
      <c r="UWL51" s="41"/>
      <c r="UWO51" s="32"/>
      <c r="UWQ51" s="12"/>
      <c r="UWS51" s="34"/>
      <c r="UWT51" s="39"/>
      <c r="UWU51" s="41"/>
      <c r="UWX51" s="32"/>
      <c r="UWZ51" s="12"/>
      <c r="UXB51" s="34"/>
      <c r="UXC51" s="39"/>
      <c r="UXD51" s="41"/>
      <c r="UXG51" s="32"/>
      <c r="UXI51" s="12"/>
      <c r="UXK51" s="34"/>
      <c r="UXL51" s="39"/>
      <c r="UXM51" s="41"/>
      <c r="UXP51" s="32"/>
      <c r="UXR51" s="12"/>
      <c r="UXT51" s="34"/>
      <c r="UXU51" s="39"/>
      <c r="UXV51" s="41"/>
      <c r="UXY51" s="32"/>
      <c r="UYA51" s="12"/>
      <c r="UYC51" s="34"/>
      <c r="UYD51" s="39"/>
      <c r="UYE51" s="41"/>
      <c r="UYH51" s="32"/>
      <c r="UYJ51" s="12"/>
      <c r="UYL51" s="34"/>
      <c r="UYM51" s="39"/>
      <c r="UYN51" s="41"/>
      <c r="UYQ51" s="32"/>
      <c r="UYS51" s="12"/>
      <c r="UYU51" s="34"/>
      <c r="UYV51" s="39"/>
      <c r="UYW51" s="41"/>
      <c r="UYZ51" s="32"/>
      <c r="UZB51" s="12"/>
      <c r="UZD51" s="34"/>
      <c r="UZE51" s="39"/>
      <c r="UZF51" s="41"/>
      <c r="UZI51" s="32"/>
      <c r="UZK51" s="12"/>
      <c r="UZM51" s="34"/>
      <c r="UZN51" s="39"/>
      <c r="UZO51" s="41"/>
      <c r="UZR51" s="32"/>
      <c r="UZT51" s="12"/>
      <c r="UZV51" s="34"/>
      <c r="UZW51" s="39"/>
      <c r="UZX51" s="41"/>
      <c r="VAA51" s="32"/>
      <c r="VAC51" s="12"/>
      <c r="VAE51" s="34"/>
      <c r="VAF51" s="39"/>
      <c r="VAG51" s="41"/>
      <c r="VAJ51" s="32"/>
      <c r="VAL51" s="12"/>
      <c r="VAN51" s="34"/>
      <c r="VAO51" s="39"/>
      <c r="VAP51" s="41"/>
      <c r="VAS51" s="32"/>
      <c r="VAU51" s="12"/>
      <c r="VAW51" s="34"/>
      <c r="VAX51" s="39"/>
      <c r="VAY51" s="41"/>
      <c r="VBB51" s="32"/>
      <c r="VBD51" s="12"/>
      <c r="VBF51" s="34"/>
      <c r="VBG51" s="39"/>
      <c r="VBH51" s="41"/>
      <c r="VBK51" s="32"/>
      <c r="VBM51" s="12"/>
      <c r="VBO51" s="34"/>
      <c r="VBP51" s="39"/>
      <c r="VBQ51" s="41"/>
      <c r="VBT51" s="32"/>
      <c r="VBV51" s="12"/>
      <c r="VBX51" s="34"/>
      <c r="VBY51" s="39"/>
      <c r="VBZ51" s="41"/>
      <c r="VCC51" s="32"/>
      <c r="VCE51" s="12"/>
      <c r="VCG51" s="34"/>
      <c r="VCH51" s="39"/>
      <c r="VCI51" s="41"/>
      <c r="VCL51" s="32"/>
      <c r="VCN51" s="12"/>
      <c r="VCP51" s="34"/>
      <c r="VCQ51" s="39"/>
      <c r="VCR51" s="41"/>
      <c r="VCU51" s="32"/>
      <c r="VCW51" s="12"/>
      <c r="VCY51" s="34"/>
      <c r="VCZ51" s="39"/>
      <c r="VDA51" s="41"/>
      <c r="VDD51" s="32"/>
      <c r="VDF51" s="12"/>
      <c r="VDH51" s="34"/>
      <c r="VDI51" s="39"/>
      <c r="VDJ51" s="41"/>
      <c r="VDM51" s="32"/>
      <c r="VDO51" s="12"/>
      <c r="VDQ51" s="34"/>
      <c r="VDR51" s="39"/>
      <c r="VDS51" s="41"/>
      <c r="VDV51" s="32"/>
      <c r="VDX51" s="12"/>
      <c r="VDZ51" s="34"/>
      <c r="VEA51" s="39"/>
      <c r="VEB51" s="41"/>
      <c r="VEE51" s="32"/>
      <c r="VEG51" s="12"/>
      <c r="VEI51" s="34"/>
      <c r="VEJ51" s="39"/>
      <c r="VEK51" s="41"/>
      <c r="VEN51" s="32"/>
      <c r="VEP51" s="12"/>
      <c r="VER51" s="34"/>
      <c r="VES51" s="39"/>
      <c r="VET51" s="41"/>
      <c r="VEW51" s="32"/>
      <c r="VEY51" s="12"/>
      <c r="VFA51" s="34"/>
      <c r="VFB51" s="39"/>
      <c r="VFC51" s="41"/>
      <c r="VFF51" s="32"/>
      <c r="VFH51" s="12"/>
      <c r="VFJ51" s="34"/>
      <c r="VFK51" s="39"/>
      <c r="VFL51" s="41"/>
      <c r="VFO51" s="32"/>
      <c r="VFQ51" s="12"/>
      <c r="VFS51" s="34"/>
      <c r="VFT51" s="39"/>
      <c r="VFU51" s="41"/>
      <c r="VFX51" s="32"/>
      <c r="VFZ51" s="12"/>
      <c r="VGB51" s="34"/>
      <c r="VGC51" s="39"/>
      <c r="VGD51" s="41"/>
      <c r="VGG51" s="32"/>
      <c r="VGI51" s="12"/>
      <c r="VGK51" s="34"/>
      <c r="VGL51" s="39"/>
      <c r="VGM51" s="41"/>
      <c r="VGP51" s="32"/>
      <c r="VGR51" s="12"/>
      <c r="VGT51" s="34"/>
      <c r="VGU51" s="39"/>
      <c r="VGV51" s="41"/>
      <c r="VGY51" s="32"/>
      <c r="VHA51" s="12"/>
      <c r="VHC51" s="34"/>
      <c r="VHD51" s="39"/>
      <c r="VHE51" s="41"/>
      <c r="VHH51" s="32"/>
      <c r="VHJ51" s="12"/>
      <c r="VHL51" s="34"/>
      <c r="VHM51" s="39"/>
      <c r="VHN51" s="41"/>
      <c r="VHQ51" s="32"/>
      <c r="VHS51" s="12"/>
      <c r="VHU51" s="34"/>
      <c r="VHV51" s="39"/>
      <c r="VHW51" s="41"/>
      <c r="VHZ51" s="32"/>
      <c r="VIB51" s="12"/>
      <c r="VID51" s="34"/>
      <c r="VIE51" s="39"/>
      <c r="VIF51" s="41"/>
      <c r="VII51" s="32"/>
      <c r="VIK51" s="12"/>
      <c r="VIM51" s="34"/>
      <c r="VIN51" s="39"/>
      <c r="VIO51" s="41"/>
      <c r="VIR51" s="32"/>
      <c r="VIT51" s="12"/>
      <c r="VIV51" s="34"/>
      <c r="VIW51" s="39"/>
      <c r="VIX51" s="41"/>
      <c r="VJA51" s="32"/>
      <c r="VJC51" s="12"/>
      <c r="VJE51" s="34"/>
      <c r="VJF51" s="39"/>
      <c r="VJG51" s="41"/>
      <c r="VJJ51" s="32"/>
      <c r="VJL51" s="12"/>
      <c r="VJN51" s="34"/>
      <c r="VJO51" s="39"/>
      <c r="VJP51" s="41"/>
      <c r="VJS51" s="32"/>
      <c r="VJU51" s="12"/>
      <c r="VJW51" s="34"/>
      <c r="VJX51" s="39"/>
      <c r="VJY51" s="41"/>
      <c r="VKB51" s="32"/>
      <c r="VKD51" s="12"/>
      <c r="VKF51" s="34"/>
      <c r="VKG51" s="39"/>
      <c r="VKH51" s="41"/>
      <c r="VKK51" s="32"/>
      <c r="VKM51" s="12"/>
      <c r="VKO51" s="34"/>
      <c r="VKP51" s="39"/>
      <c r="VKQ51" s="41"/>
      <c r="VKT51" s="32"/>
      <c r="VKV51" s="12"/>
      <c r="VKX51" s="34"/>
      <c r="VKY51" s="39"/>
      <c r="VKZ51" s="41"/>
      <c r="VLC51" s="32"/>
      <c r="VLE51" s="12"/>
      <c r="VLG51" s="34"/>
      <c r="VLH51" s="39"/>
      <c r="VLI51" s="41"/>
      <c r="VLL51" s="32"/>
      <c r="VLN51" s="12"/>
      <c r="VLP51" s="34"/>
      <c r="VLQ51" s="39"/>
      <c r="VLR51" s="41"/>
      <c r="VLU51" s="32"/>
      <c r="VLW51" s="12"/>
      <c r="VLY51" s="34"/>
      <c r="VLZ51" s="39"/>
      <c r="VMA51" s="41"/>
      <c r="VMD51" s="32"/>
      <c r="VMF51" s="12"/>
      <c r="VMH51" s="34"/>
      <c r="VMI51" s="39"/>
      <c r="VMJ51" s="41"/>
      <c r="VMM51" s="32"/>
      <c r="VMO51" s="12"/>
      <c r="VMQ51" s="34"/>
      <c r="VMR51" s="39"/>
      <c r="VMS51" s="41"/>
      <c r="VMV51" s="32"/>
      <c r="VMX51" s="12"/>
      <c r="VMZ51" s="34"/>
      <c r="VNA51" s="39"/>
      <c r="VNB51" s="41"/>
      <c r="VNE51" s="32"/>
      <c r="VNG51" s="12"/>
      <c r="VNI51" s="34"/>
      <c r="VNJ51" s="39"/>
      <c r="VNK51" s="41"/>
      <c r="VNN51" s="32"/>
      <c r="VNP51" s="12"/>
      <c r="VNR51" s="34"/>
      <c r="VNS51" s="39"/>
      <c r="VNT51" s="41"/>
      <c r="VNW51" s="32"/>
      <c r="VNY51" s="12"/>
      <c r="VOA51" s="34"/>
      <c r="VOB51" s="39"/>
      <c r="VOC51" s="41"/>
      <c r="VOF51" s="32"/>
      <c r="VOH51" s="12"/>
      <c r="VOJ51" s="34"/>
      <c r="VOK51" s="39"/>
      <c r="VOL51" s="41"/>
      <c r="VOO51" s="32"/>
      <c r="VOQ51" s="12"/>
      <c r="VOS51" s="34"/>
      <c r="VOT51" s="39"/>
      <c r="VOU51" s="41"/>
      <c r="VOX51" s="32"/>
      <c r="VOZ51" s="12"/>
      <c r="VPB51" s="34"/>
      <c r="VPC51" s="39"/>
      <c r="VPD51" s="41"/>
      <c r="VPG51" s="32"/>
      <c r="VPI51" s="12"/>
      <c r="VPK51" s="34"/>
      <c r="VPL51" s="39"/>
      <c r="VPM51" s="41"/>
      <c r="VPP51" s="32"/>
      <c r="VPR51" s="12"/>
      <c r="VPT51" s="34"/>
      <c r="VPU51" s="39"/>
      <c r="VPV51" s="41"/>
      <c r="VPY51" s="32"/>
      <c r="VQA51" s="12"/>
      <c r="VQC51" s="34"/>
      <c r="VQD51" s="39"/>
      <c r="VQE51" s="41"/>
      <c r="VQH51" s="32"/>
      <c r="VQJ51" s="12"/>
      <c r="VQL51" s="34"/>
      <c r="VQM51" s="39"/>
      <c r="VQN51" s="41"/>
      <c r="VQQ51" s="32"/>
      <c r="VQS51" s="12"/>
      <c r="VQU51" s="34"/>
      <c r="VQV51" s="39"/>
      <c r="VQW51" s="41"/>
      <c r="VQZ51" s="32"/>
      <c r="VRB51" s="12"/>
      <c r="VRD51" s="34"/>
      <c r="VRE51" s="39"/>
      <c r="VRF51" s="41"/>
      <c r="VRI51" s="32"/>
      <c r="VRK51" s="12"/>
      <c r="VRM51" s="34"/>
      <c r="VRN51" s="39"/>
      <c r="VRO51" s="41"/>
      <c r="VRR51" s="32"/>
      <c r="VRT51" s="12"/>
      <c r="VRV51" s="34"/>
      <c r="VRW51" s="39"/>
      <c r="VRX51" s="41"/>
      <c r="VSA51" s="32"/>
      <c r="VSC51" s="12"/>
      <c r="VSE51" s="34"/>
      <c r="VSF51" s="39"/>
      <c r="VSG51" s="41"/>
      <c r="VSJ51" s="32"/>
      <c r="VSL51" s="12"/>
      <c r="VSN51" s="34"/>
      <c r="VSO51" s="39"/>
      <c r="VSP51" s="41"/>
      <c r="VSS51" s="32"/>
      <c r="VSU51" s="12"/>
      <c r="VSW51" s="34"/>
      <c r="VSX51" s="39"/>
      <c r="VSY51" s="41"/>
      <c r="VTB51" s="32"/>
      <c r="VTD51" s="12"/>
      <c r="VTF51" s="34"/>
      <c r="VTG51" s="39"/>
      <c r="VTH51" s="41"/>
      <c r="VTK51" s="32"/>
      <c r="VTM51" s="12"/>
      <c r="VTO51" s="34"/>
      <c r="VTP51" s="39"/>
      <c r="VTQ51" s="41"/>
      <c r="VTT51" s="32"/>
      <c r="VTV51" s="12"/>
      <c r="VTX51" s="34"/>
      <c r="VTY51" s="39"/>
      <c r="VTZ51" s="41"/>
      <c r="VUC51" s="32"/>
      <c r="VUE51" s="12"/>
      <c r="VUG51" s="34"/>
      <c r="VUH51" s="39"/>
      <c r="VUI51" s="41"/>
      <c r="VUL51" s="32"/>
      <c r="VUN51" s="12"/>
      <c r="VUP51" s="34"/>
      <c r="VUQ51" s="39"/>
      <c r="VUR51" s="41"/>
      <c r="VUU51" s="32"/>
      <c r="VUW51" s="12"/>
      <c r="VUY51" s="34"/>
      <c r="VUZ51" s="39"/>
      <c r="VVA51" s="41"/>
      <c r="VVD51" s="32"/>
      <c r="VVF51" s="12"/>
      <c r="VVH51" s="34"/>
      <c r="VVI51" s="39"/>
      <c r="VVJ51" s="41"/>
      <c r="VVM51" s="32"/>
      <c r="VVO51" s="12"/>
      <c r="VVQ51" s="34"/>
      <c r="VVR51" s="39"/>
      <c r="VVS51" s="41"/>
      <c r="VVV51" s="32"/>
      <c r="VVX51" s="12"/>
      <c r="VVZ51" s="34"/>
      <c r="VWA51" s="39"/>
      <c r="VWB51" s="41"/>
      <c r="VWE51" s="32"/>
      <c r="VWG51" s="12"/>
      <c r="VWI51" s="34"/>
      <c r="VWJ51" s="39"/>
      <c r="VWK51" s="41"/>
      <c r="VWN51" s="32"/>
      <c r="VWP51" s="12"/>
      <c r="VWR51" s="34"/>
      <c r="VWS51" s="39"/>
      <c r="VWT51" s="41"/>
      <c r="VWW51" s="32"/>
      <c r="VWY51" s="12"/>
      <c r="VXA51" s="34"/>
      <c r="VXB51" s="39"/>
      <c r="VXC51" s="41"/>
      <c r="VXF51" s="32"/>
      <c r="VXH51" s="12"/>
      <c r="VXJ51" s="34"/>
      <c r="VXK51" s="39"/>
      <c r="VXL51" s="41"/>
      <c r="VXO51" s="32"/>
      <c r="VXQ51" s="12"/>
      <c r="VXS51" s="34"/>
      <c r="VXT51" s="39"/>
      <c r="VXU51" s="41"/>
      <c r="VXX51" s="32"/>
      <c r="VXZ51" s="12"/>
      <c r="VYB51" s="34"/>
      <c r="VYC51" s="39"/>
      <c r="VYD51" s="41"/>
      <c r="VYG51" s="32"/>
      <c r="VYI51" s="12"/>
      <c r="VYK51" s="34"/>
      <c r="VYL51" s="39"/>
      <c r="VYM51" s="41"/>
      <c r="VYP51" s="32"/>
      <c r="VYR51" s="12"/>
      <c r="VYT51" s="34"/>
      <c r="VYU51" s="39"/>
      <c r="VYV51" s="41"/>
      <c r="VYY51" s="32"/>
      <c r="VZA51" s="12"/>
      <c r="VZC51" s="34"/>
      <c r="VZD51" s="39"/>
      <c r="VZE51" s="41"/>
      <c r="VZH51" s="32"/>
      <c r="VZJ51" s="12"/>
      <c r="VZL51" s="34"/>
      <c r="VZM51" s="39"/>
      <c r="VZN51" s="41"/>
      <c r="VZQ51" s="32"/>
      <c r="VZS51" s="12"/>
      <c r="VZU51" s="34"/>
      <c r="VZV51" s="39"/>
      <c r="VZW51" s="41"/>
      <c r="VZZ51" s="32"/>
      <c r="WAB51" s="12"/>
      <c r="WAD51" s="34"/>
      <c r="WAE51" s="39"/>
      <c r="WAF51" s="41"/>
      <c r="WAI51" s="32"/>
      <c r="WAK51" s="12"/>
      <c r="WAM51" s="34"/>
      <c r="WAN51" s="39"/>
      <c r="WAO51" s="41"/>
      <c r="WAR51" s="32"/>
      <c r="WAT51" s="12"/>
      <c r="WAV51" s="34"/>
      <c r="WAW51" s="39"/>
      <c r="WAX51" s="41"/>
      <c r="WBA51" s="32"/>
      <c r="WBC51" s="12"/>
      <c r="WBE51" s="34"/>
      <c r="WBF51" s="39"/>
      <c r="WBG51" s="41"/>
      <c r="WBJ51" s="32"/>
      <c r="WBL51" s="12"/>
      <c r="WBN51" s="34"/>
      <c r="WBO51" s="39"/>
      <c r="WBP51" s="41"/>
      <c r="WBS51" s="32"/>
      <c r="WBU51" s="12"/>
      <c r="WBW51" s="34"/>
      <c r="WBX51" s="39"/>
      <c r="WBY51" s="41"/>
      <c r="WCB51" s="32"/>
      <c r="WCD51" s="12"/>
      <c r="WCF51" s="34"/>
      <c r="WCG51" s="39"/>
      <c r="WCH51" s="41"/>
      <c r="WCK51" s="32"/>
      <c r="WCM51" s="12"/>
      <c r="WCO51" s="34"/>
      <c r="WCP51" s="39"/>
      <c r="WCQ51" s="41"/>
      <c r="WCT51" s="32"/>
      <c r="WCV51" s="12"/>
      <c r="WCX51" s="34"/>
      <c r="WCY51" s="39"/>
      <c r="WCZ51" s="41"/>
      <c r="WDC51" s="32"/>
      <c r="WDE51" s="12"/>
      <c r="WDG51" s="34"/>
      <c r="WDH51" s="39"/>
      <c r="WDI51" s="41"/>
      <c r="WDL51" s="32"/>
      <c r="WDN51" s="12"/>
      <c r="WDP51" s="34"/>
      <c r="WDQ51" s="39"/>
      <c r="WDR51" s="41"/>
      <c r="WDU51" s="32"/>
      <c r="WDW51" s="12"/>
      <c r="WDY51" s="34"/>
      <c r="WDZ51" s="39"/>
      <c r="WEA51" s="41"/>
      <c r="WED51" s="32"/>
      <c r="WEF51" s="12"/>
      <c r="WEH51" s="34"/>
      <c r="WEI51" s="39"/>
      <c r="WEJ51" s="41"/>
      <c r="WEM51" s="32"/>
      <c r="WEO51" s="12"/>
      <c r="WEQ51" s="34"/>
      <c r="WER51" s="39"/>
      <c r="WES51" s="41"/>
      <c r="WEV51" s="32"/>
      <c r="WEX51" s="12"/>
      <c r="WEZ51" s="34"/>
      <c r="WFA51" s="39"/>
      <c r="WFB51" s="41"/>
      <c r="WFE51" s="32"/>
      <c r="WFG51" s="12"/>
      <c r="WFI51" s="34"/>
      <c r="WFJ51" s="39"/>
      <c r="WFK51" s="41"/>
      <c r="WFN51" s="32"/>
      <c r="WFP51" s="12"/>
      <c r="WFR51" s="34"/>
      <c r="WFS51" s="39"/>
      <c r="WFT51" s="41"/>
      <c r="WFW51" s="32"/>
      <c r="WFY51" s="12"/>
      <c r="WGA51" s="34"/>
      <c r="WGB51" s="39"/>
      <c r="WGC51" s="41"/>
      <c r="WGF51" s="32"/>
      <c r="WGH51" s="12"/>
      <c r="WGJ51" s="34"/>
      <c r="WGK51" s="39"/>
      <c r="WGL51" s="41"/>
      <c r="WGO51" s="32"/>
      <c r="WGQ51" s="12"/>
      <c r="WGS51" s="34"/>
      <c r="WGT51" s="39"/>
      <c r="WGU51" s="41"/>
      <c r="WGX51" s="32"/>
      <c r="WGZ51" s="12"/>
      <c r="WHB51" s="34"/>
      <c r="WHC51" s="39"/>
      <c r="WHD51" s="41"/>
      <c r="WHG51" s="32"/>
      <c r="WHI51" s="12"/>
      <c r="WHK51" s="34"/>
      <c r="WHL51" s="39"/>
      <c r="WHM51" s="41"/>
      <c r="WHP51" s="32"/>
      <c r="WHR51" s="12"/>
      <c r="WHT51" s="34"/>
      <c r="WHU51" s="39"/>
      <c r="WHV51" s="41"/>
      <c r="WHY51" s="32"/>
      <c r="WIA51" s="12"/>
      <c r="WIC51" s="34"/>
      <c r="WID51" s="39"/>
      <c r="WIE51" s="41"/>
      <c r="WIH51" s="32"/>
      <c r="WIJ51" s="12"/>
      <c r="WIL51" s="34"/>
      <c r="WIM51" s="39"/>
      <c r="WIN51" s="41"/>
      <c r="WIQ51" s="32"/>
      <c r="WIS51" s="12"/>
      <c r="WIU51" s="34"/>
      <c r="WIV51" s="39"/>
      <c r="WIW51" s="41"/>
      <c r="WIZ51" s="32"/>
      <c r="WJB51" s="12"/>
      <c r="WJD51" s="34"/>
      <c r="WJE51" s="39"/>
      <c r="WJF51" s="41"/>
      <c r="WJI51" s="32"/>
      <c r="WJK51" s="12"/>
      <c r="WJM51" s="34"/>
      <c r="WJN51" s="39"/>
      <c r="WJO51" s="41"/>
      <c r="WJR51" s="32"/>
      <c r="WJT51" s="12"/>
      <c r="WJV51" s="34"/>
      <c r="WJW51" s="39"/>
      <c r="WJX51" s="41"/>
      <c r="WKA51" s="32"/>
      <c r="WKC51" s="12"/>
      <c r="WKE51" s="34"/>
      <c r="WKF51" s="39"/>
      <c r="WKG51" s="41"/>
      <c r="WKJ51" s="32"/>
      <c r="WKL51" s="12"/>
      <c r="WKN51" s="34"/>
      <c r="WKO51" s="39"/>
      <c r="WKP51" s="41"/>
      <c r="WKS51" s="32"/>
      <c r="WKU51" s="12"/>
      <c r="WKW51" s="34"/>
      <c r="WKX51" s="39"/>
      <c r="WKY51" s="41"/>
      <c r="WLB51" s="32"/>
      <c r="WLD51" s="12"/>
      <c r="WLF51" s="34"/>
      <c r="WLG51" s="39"/>
      <c r="WLH51" s="41"/>
      <c r="WLK51" s="32"/>
      <c r="WLM51" s="12"/>
      <c r="WLO51" s="34"/>
      <c r="WLP51" s="39"/>
      <c r="WLQ51" s="41"/>
      <c r="WLT51" s="32"/>
      <c r="WLV51" s="12"/>
      <c r="WLX51" s="34"/>
      <c r="WLY51" s="39"/>
      <c r="WLZ51" s="41"/>
      <c r="WMC51" s="32"/>
      <c r="WME51" s="12"/>
      <c r="WMG51" s="34"/>
      <c r="WMH51" s="39"/>
      <c r="WMI51" s="41"/>
      <c r="WML51" s="32"/>
      <c r="WMN51" s="12"/>
      <c r="WMP51" s="34"/>
      <c r="WMQ51" s="39"/>
      <c r="WMR51" s="41"/>
      <c r="WMU51" s="32"/>
      <c r="WMW51" s="12"/>
      <c r="WMY51" s="34"/>
      <c r="WMZ51" s="39"/>
      <c r="WNA51" s="41"/>
      <c r="WND51" s="32"/>
      <c r="WNF51" s="12"/>
      <c r="WNH51" s="34"/>
      <c r="WNI51" s="39"/>
      <c r="WNJ51" s="41"/>
      <c r="WNM51" s="32"/>
      <c r="WNO51" s="12"/>
      <c r="WNQ51" s="34"/>
      <c r="WNR51" s="39"/>
      <c r="WNS51" s="41"/>
      <c r="WNV51" s="32"/>
      <c r="WNX51" s="12"/>
      <c r="WNZ51" s="34"/>
      <c r="WOA51" s="39"/>
      <c r="WOB51" s="41"/>
      <c r="WOE51" s="32"/>
      <c r="WOG51" s="12"/>
      <c r="WOI51" s="34"/>
      <c r="WOJ51" s="39"/>
      <c r="WOK51" s="41"/>
      <c r="WON51" s="32"/>
      <c r="WOP51" s="12"/>
      <c r="WOR51" s="34"/>
      <c r="WOS51" s="39"/>
      <c r="WOT51" s="41"/>
      <c r="WOW51" s="32"/>
      <c r="WOY51" s="12"/>
      <c r="WPA51" s="34"/>
      <c r="WPB51" s="39"/>
      <c r="WPC51" s="41"/>
      <c r="WPF51" s="32"/>
      <c r="WPH51" s="12"/>
      <c r="WPJ51" s="34"/>
      <c r="WPK51" s="39"/>
      <c r="WPL51" s="41"/>
      <c r="WPO51" s="32"/>
      <c r="WPQ51" s="12"/>
      <c r="WPS51" s="34"/>
      <c r="WPT51" s="39"/>
      <c r="WPU51" s="41"/>
      <c r="WPX51" s="32"/>
      <c r="WPZ51" s="12"/>
      <c r="WQB51" s="34"/>
      <c r="WQC51" s="39"/>
      <c r="WQD51" s="41"/>
      <c r="WQG51" s="32"/>
      <c r="WQI51" s="12"/>
      <c r="WQK51" s="34"/>
      <c r="WQL51" s="39"/>
      <c r="WQM51" s="41"/>
      <c r="WQP51" s="32"/>
      <c r="WQR51" s="12"/>
      <c r="WQT51" s="34"/>
      <c r="WQU51" s="39"/>
      <c r="WQV51" s="41"/>
      <c r="WQY51" s="32"/>
      <c r="WRA51" s="12"/>
      <c r="WRC51" s="34"/>
      <c r="WRD51" s="39"/>
      <c r="WRE51" s="41"/>
      <c r="WRH51" s="32"/>
      <c r="WRJ51" s="12"/>
      <c r="WRL51" s="34"/>
      <c r="WRM51" s="39"/>
      <c r="WRN51" s="41"/>
      <c r="WRQ51" s="32"/>
      <c r="WRS51" s="12"/>
      <c r="WRU51" s="34"/>
      <c r="WRV51" s="39"/>
      <c r="WRW51" s="41"/>
      <c r="WRZ51" s="32"/>
      <c r="WSB51" s="12"/>
      <c r="WSD51" s="34"/>
      <c r="WSE51" s="39"/>
      <c r="WSF51" s="41"/>
      <c r="WSI51" s="32"/>
      <c r="WSK51" s="12"/>
      <c r="WSM51" s="34"/>
      <c r="WSN51" s="39"/>
      <c r="WSO51" s="41"/>
      <c r="WSR51" s="32"/>
      <c r="WST51" s="12"/>
      <c r="WSV51" s="34"/>
      <c r="WSW51" s="39"/>
      <c r="WSX51" s="41"/>
      <c r="WTA51" s="32"/>
      <c r="WTC51" s="12"/>
      <c r="WTE51" s="34"/>
      <c r="WTF51" s="39"/>
      <c r="WTG51" s="41"/>
      <c r="WTJ51" s="32"/>
      <c r="WTL51" s="12"/>
      <c r="WTN51" s="34"/>
      <c r="WTO51" s="39"/>
      <c r="WTP51" s="41"/>
      <c r="WTS51" s="32"/>
      <c r="WTU51" s="12"/>
      <c r="WTW51" s="34"/>
      <c r="WTX51" s="39"/>
      <c r="WTY51" s="41"/>
      <c r="WUB51" s="32"/>
      <c r="WUD51" s="12"/>
      <c r="WUF51" s="34"/>
      <c r="WUG51" s="39"/>
      <c r="WUH51" s="41"/>
      <c r="WUK51" s="32"/>
      <c r="WUM51" s="12"/>
      <c r="WUO51" s="34"/>
      <c r="WUP51" s="39"/>
      <c r="WUQ51" s="41"/>
      <c r="WUT51" s="32"/>
      <c r="WUV51" s="12"/>
      <c r="WUX51" s="34"/>
      <c r="WUY51" s="39"/>
      <c r="WUZ51" s="41"/>
      <c r="WVC51" s="32"/>
      <c r="WVE51" s="12"/>
      <c r="WVG51" s="34"/>
      <c r="WVH51" s="39"/>
      <c r="WVI51" s="41"/>
      <c r="WVL51" s="32"/>
      <c r="WVN51" s="12"/>
      <c r="WVP51" s="34"/>
      <c r="WVQ51" s="39"/>
      <c r="WVR51" s="41"/>
      <c r="WVU51" s="32"/>
      <c r="WVW51" s="12"/>
      <c r="WVY51" s="34"/>
      <c r="WVZ51" s="39"/>
      <c r="WWA51" s="41"/>
      <c r="WWD51" s="32"/>
      <c r="WWF51" s="12"/>
      <c r="WWH51" s="34"/>
      <c r="WWI51" s="39"/>
      <c r="WWJ51" s="41"/>
      <c r="WWM51" s="32"/>
      <c r="WWO51" s="12"/>
      <c r="WWQ51" s="34"/>
      <c r="WWR51" s="39"/>
      <c r="WWS51" s="41"/>
      <c r="WWV51" s="32"/>
      <c r="WWX51" s="12"/>
      <c r="WWZ51" s="34"/>
      <c r="WXA51" s="39"/>
      <c r="WXB51" s="41"/>
      <c r="WXE51" s="32"/>
      <c r="WXG51" s="12"/>
      <c r="WXI51" s="34"/>
      <c r="WXJ51" s="39"/>
      <c r="WXK51" s="41"/>
      <c r="WXN51" s="32"/>
      <c r="WXP51" s="12"/>
      <c r="WXR51" s="34"/>
      <c r="WXS51" s="39"/>
      <c r="WXT51" s="41"/>
      <c r="WXW51" s="32"/>
      <c r="WXY51" s="12"/>
      <c r="WYA51" s="34"/>
      <c r="WYB51" s="39"/>
      <c r="WYC51" s="41"/>
      <c r="WYF51" s="32"/>
      <c r="WYH51" s="12"/>
      <c r="WYJ51" s="34"/>
      <c r="WYK51" s="39"/>
      <c r="WYL51" s="41"/>
      <c r="WYO51" s="32"/>
      <c r="WYQ51" s="12"/>
      <c r="WYS51" s="34"/>
      <c r="WYT51" s="39"/>
      <c r="WYU51" s="41"/>
      <c r="WYX51" s="32"/>
      <c r="WYZ51" s="12"/>
      <c r="WZB51" s="34"/>
      <c r="WZC51" s="39"/>
      <c r="WZD51" s="41"/>
      <c r="WZG51" s="32"/>
      <c r="WZI51" s="12"/>
      <c r="WZK51" s="34"/>
      <c r="WZL51" s="39"/>
      <c r="WZM51" s="41"/>
      <c r="WZP51" s="32"/>
      <c r="WZR51" s="12"/>
      <c r="WZT51" s="34"/>
      <c r="WZU51" s="39"/>
      <c r="WZV51" s="41"/>
      <c r="WZY51" s="32"/>
      <c r="XAA51" s="12"/>
      <c r="XAC51" s="34"/>
      <c r="XAD51" s="39"/>
      <c r="XAE51" s="41"/>
      <c r="XAH51" s="32"/>
      <c r="XAJ51" s="12"/>
      <c r="XAL51" s="34"/>
      <c r="XAM51" s="39"/>
      <c r="XAN51" s="41"/>
      <c r="XAQ51" s="32"/>
      <c r="XAS51" s="12"/>
      <c r="XAU51" s="34"/>
      <c r="XAV51" s="39"/>
      <c r="XAW51" s="41"/>
      <c r="XAZ51" s="32"/>
      <c r="XBB51" s="12"/>
      <c r="XBD51" s="34"/>
      <c r="XBE51" s="39"/>
      <c r="XBF51" s="41"/>
      <c r="XBI51" s="32"/>
      <c r="XBK51" s="12"/>
      <c r="XBM51" s="34"/>
      <c r="XBN51" s="39"/>
      <c r="XBO51" s="41"/>
      <c r="XBR51" s="32"/>
      <c r="XBT51" s="12"/>
      <c r="XBV51" s="34"/>
      <c r="XBW51" s="39"/>
      <c r="XBX51" s="41"/>
      <c r="XCA51" s="32"/>
      <c r="XCC51" s="12"/>
      <c r="XCE51" s="34"/>
      <c r="XCF51" s="39"/>
      <c r="XCG51" s="41"/>
      <c r="XCJ51" s="32"/>
      <c r="XCL51" s="12"/>
      <c r="XCN51" s="34"/>
      <c r="XCO51" s="39"/>
      <c r="XCP51" s="41"/>
      <c r="XCS51" s="32"/>
      <c r="XCU51" s="12"/>
      <c r="XCW51" s="34"/>
      <c r="XCX51" s="39"/>
      <c r="XCY51" s="41"/>
      <c r="XDB51" s="32"/>
      <c r="XDD51" s="12"/>
      <c r="XDF51" s="34"/>
      <c r="XDG51" s="39"/>
      <c r="XDH51" s="41"/>
      <c r="XDK51" s="32"/>
      <c r="XDM51" s="12"/>
      <c r="XDO51" s="34"/>
      <c r="XDP51" s="39"/>
      <c r="XDQ51" s="41"/>
      <c r="XDT51" s="32"/>
      <c r="XDV51" s="12"/>
      <c r="XDX51" s="34"/>
      <c r="XDY51" s="39"/>
      <c r="XDZ51" s="41"/>
      <c r="XEC51" s="32"/>
      <c r="XEE51" s="12"/>
      <c r="XEG51" s="34"/>
      <c r="XEH51" s="39"/>
      <c r="XEI51" s="41"/>
      <c r="XEL51" s="32"/>
      <c r="XEN51" s="12"/>
      <c r="XEP51" s="34"/>
      <c r="XEQ51" s="39"/>
      <c r="XER51" s="41"/>
      <c r="XEU51" s="32"/>
      <c r="XEW51" s="12"/>
      <c r="XEY51" s="34"/>
      <c r="XEZ51" s="39"/>
      <c r="XFA51" s="41"/>
      <c r="XFD51" s="32"/>
    </row>
  </sheetData>
  <conditionalFormatting sqref="J2:J3">
    <cfRule type="timePeriod" dxfId="31" priority="15" timePeriod="today">
      <formula>FLOOR(J2,1)=TODAY()</formula>
    </cfRule>
    <cfRule type="cellIs" dxfId="30" priority="16" operator="greaterThanOrEqual">
      <formula>-2</formula>
    </cfRule>
    <cfRule type="cellIs" dxfId="29" priority="17" operator="lessThan">
      <formula>-2</formula>
    </cfRule>
  </conditionalFormatting>
  <conditionalFormatting sqref="I2:I3 I4:J50 DL47:DM51 DU47:DV51 ED47:EE51 EM47:EN51 EV47:EW51 FE47:FF51 FN47:FO51 FW47:FX51 GF47:GG51 GO47:GP51 GX47:GY51 HG47:HH51 HP47:HQ51 HY47:HZ51 IH47:II51 IQ47:IR51 IZ47:JA51 JI47:JJ51 JR47:JS51 KA47:KB51 KJ47:KK51 KS47:KT51 LB47:LC51 LK47:LL51 LT47:LU51 MC47:MD51 ML47:MM51 MU47:MV51 ND47:NE51 NM47:NN51 NV47:NW51 OE47:OF51 ON47:OO51 OW47:OX51 PF47:PG51 PO47:PP51 PX47:PY51 QG47:QH51 QP47:QQ51 QY47:QZ51 RH47:RI51 RQ47:RR51 RZ47:SA51 SI47:SJ51 SR47:SS51 TA47:TB51 TJ47:TK51 TS47:TT51 UB47:UC51 UK47:UL51 UT47:UU51 VC47:VD51 VL47:VM51 VU47:VV51 WD47:WE51 WM47:WN51 WV47:WW51 XE47:XF51 XN47:XO51 XW47:XX51 YF47:YG51 YO47:YP51 YX47:YY51 ZG47:ZH51 ZP47:ZQ51 ZY47:ZZ51 AAH47:AAI51 AAQ47:AAR51 AAZ47:ABA51 ABI47:ABJ51 ABR47:ABS51 ACA47:ACB51 ACJ47:ACK51 ACS47:ACT51 ADB47:ADC51 ADK47:ADL51 ADT47:ADU51 AEC47:AED51 AEL47:AEM51 AEU47:AEV51 AFD47:AFE51 AFM47:AFN51 AFV47:AFW51 AGE47:AGF51 AGN47:AGO51 AGW47:AGX51 AHF47:AHG51 AHO47:AHP51 AHX47:AHY51 AIG47:AIH51 AIP47:AIQ51 AIY47:AIZ51 AJH47:AJI51 AJQ47:AJR51 AJZ47:AKA51 AKI47:AKJ51 AKR47:AKS51 ALA47:ALB51 ALJ47:ALK51 ALS47:ALT51 AMB47:AMC51 AMK47:AML51 AMT47:AMU51 ANC47:AND51 ANL47:ANM51 ANU47:ANV51 AOD47:AOE51 AOM47:AON51 AOV47:AOW51 APE47:APF51 APN47:APO51 APW47:APX51 AQF47:AQG51 AQO47:AQP51 AQX47:AQY51 ARG47:ARH51 ARP47:ARQ51 ARY47:ARZ51 ASH47:ASI51 ASQ47:ASR51 ASZ47:ATA51 ATI47:ATJ51 ATR47:ATS51 AUA47:AUB51 AUJ47:AUK51 AUS47:AUT51 AVB47:AVC51 AVK47:AVL51 AVT47:AVU51 AWC47:AWD51 AWL47:AWM51 AWU47:AWV51 AXD47:AXE51 AXM47:AXN51 AXV47:AXW51 AYE47:AYF51 AYN47:AYO51 AYW47:AYX51 AZF47:AZG51 AZO47:AZP51 AZX47:AZY51 BAG47:BAH51 BAP47:BAQ51 BAY47:BAZ51 BBH47:BBI51 BBQ47:BBR51 BBZ47:BCA51 BCI47:BCJ51 BCR47:BCS51 BDA47:BDB51 BDJ47:BDK51 BDS47:BDT51 BEB47:BEC51 BEK47:BEL51 BET47:BEU51 BFC47:BFD51 BFL47:BFM51 BFU47:BFV51 BGD47:BGE51 BGM47:BGN51 BGV47:BGW51 BHE47:BHF51 BHN47:BHO51 BHW47:BHX51 BIF47:BIG51 BIO47:BIP51 BIX47:BIY51 BJG47:BJH51 BJP47:BJQ51 BJY47:BJZ51 BKH47:BKI51 BKQ47:BKR51 BKZ47:BLA51 BLI47:BLJ51 BLR47:BLS51 BMA47:BMB51 BMJ47:BMK51 BMS47:BMT51 BNB47:BNC51 BNK47:BNL51 BNT47:BNU51 BOC47:BOD51 BOL47:BOM51 BOU47:BOV51 BPD47:BPE51 BPM47:BPN51 BPV47:BPW51 BQE47:BQF51 BQN47:BQO51 BQW47:BQX51 BRF47:BRG51 BRO47:BRP51 BRX47:BRY51 BSG47:BSH51 BSP47:BSQ51 BSY47:BSZ51 BTH47:BTI51 BTQ47:BTR51 BTZ47:BUA51 BUI47:BUJ51 BUR47:BUS51 BVA47:BVB51 BVJ47:BVK51 BVS47:BVT51 BWB47:BWC51 BWK47:BWL51 BWT47:BWU51 BXC47:BXD51 BXL47:BXM51 BXU47:BXV51 BYD47:BYE51 BYM47:BYN51 BYV47:BYW51 BZE47:BZF51 BZN47:BZO51 BZW47:BZX51 CAF47:CAG51 CAO47:CAP51 CAX47:CAY51 CBG47:CBH51 CBP47:CBQ51 CBY47:CBZ51 CCH47:CCI51 CCQ47:CCR51 CCZ47:CDA51 CDI47:CDJ51 CDR47:CDS51 CEA47:CEB51 CEJ47:CEK51 CES47:CET51 CFB47:CFC51 CFK47:CFL51 CFT47:CFU51 CGC47:CGD51 CGL47:CGM51 CGU47:CGV51 CHD47:CHE51 CHM47:CHN51 CHV47:CHW51 CIE47:CIF51 CIN47:CIO51 CIW47:CIX51 CJF47:CJG51 CJO47:CJP51 CJX47:CJY51 CKG47:CKH51 CKP47:CKQ51 CKY47:CKZ51 CLH47:CLI51 CLQ47:CLR51 CLZ47:CMA51 CMI47:CMJ51 CMR47:CMS51 CNA47:CNB51 CNJ47:CNK51 CNS47:CNT51 COB47:COC51 COK47:COL51 COT47:COU51 CPC47:CPD51 CPL47:CPM51 CPU47:CPV51 CQD47:CQE51 CQM47:CQN51 CQV47:CQW51 CRE47:CRF51 CRN47:CRO51 CRW47:CRX51 CSF47:CSG51 CSO47:CSP51 CSX47:CSY51 CTG47:CTH51 CTP47:CTQ51 CTY47:CTZ51 CUH47:CUI51 CUQ47:CUR51 CUZ47:CVA51 CVI47:CVJ51 CVR47:CVS51 CWA47:CWB51 CWJ47:CWK51 CWS47:CWT51 CXB47:CXC51 CXK47:CXL51 CXT47:CXU51 CYC47:CYD51 CYL47:CYM51 CYU47:CYV51 CZD47:CZE51 CZM47:CZN51 CZV47:CZW51 DAE47:DAF51 DAN47:DAO51 DAW47:DAX51 DBF47:DBG51 DBO47:DBP51 DBX47:DBY51 DCG47:DCH51 DCP47:DCQ51 DCY47:DCZ51 DDH47:DDI51 DDQ47:DDR51 DDZ47:DEA51 DEI47:DEJ51 DER47:DES51 DFA47:DFB51 DFJ47:DFK51 DFS47:DFT51 DGB47:DGC51 DGK47:DGL51 DGT47:DGU51 DHC47:DHD51 DHL47:DHM51 DHU47:DHV51 DID47:DIE51 DIM47:DIN51 DIV47:DIW51 DJE47:DJF51 DJN47:DJO51 DJW47:DJX51 DKF47:DKG51 DKO47:DKP51 DKX47:DKY51 DLG47:DLH51 DLP47:DLQ51 DLY47:DLZ51 DMH47:DMI51 DMQ47:DMR51 DMZ47:DNA51 DNI47:DNJ51 DNR47:DNS51 DOA47:DOB51 DOJ47:DOK51 DOS47:DOT51 DPB47:DPC51 DPK47:DPL51 DPT47:DPU51 DQC47:DQD51 DQL47:DQM51 DQU47:DQV51 DRD47:DRE51 DRM47:DRN51 DRV47:DRW51 DSE47:DSF51 DSN47:DSO51 DSW47:DSX51 DTF47:DTG51 DTO47:DTP51 DTX47:DTY51 DUG47:DUH51 DUP47:DUQ51 DUY47:DUZ51 DVH47:DVI51 DVQ47:DVR51 DVZ47:DWA51 DWI47:DWJ51 DWR47:DWS51 DXA47:DXB51 DXJ47:DXK51 DXS47:DXT51 DYB47:DYC51 DYK47:DYL51 DYT47:DYU51 DZC47:DZD51 DZL47:DZM51 DZU47:DZV51 EAD47:EAE51 EAM47:EAN51 EAV47:EAW51 EBE47:EBF51 EBN47:EBO51 EBW47:EBX51 ECF47:ECG51 ECO47:ECP51 ECX47:ECY51 EDG47:EDH51 EDP47:EDQ51 EDY47:EDZ51 EEH47:EEI51 EEQ47:EER51 EEZ47:EFA51 EFI47:EFJ51 EFR47:EFS51 EGA47:EGB51 EGJ47:EGK51 EGS47:EGT51 EHB47:EHC51 EHK47:EHL51 EHT47:EHU51 EIC47:EID51 EIL47:EIM51 EIU47:EIV51 EJD47:EJE51 EJM47:EJN51 EJV47:EJW51 EKE47:EKF51 EKN47:EKO51 EKW47:EKX51 ELF47:ELG51 ELO47:ELP51 ELX47:ELY51 EMG47:EMH51 EMP47:EMQ51 EMY47:EMZ51 ENH47:ENI51 ENQ47:ENR51 ENZ47:EOA51 EOI47:EOJ51 EOR47:EOS51 EPA47:EPB51 EPJ47:EPK51 EPS47:EPT51 EQB47:EQC51 EQK47:EQL51 EQT47:EQU51 ERC47:ERD51 ERL47:ERM51 ERU47:ERV51 ESD47:ESE51 ESM47:ESN51 ESV47:ESW51 ETE47:ETF51 ETN47:ETO51 ETW47:ETX51 EUF47:EUG51 EUO47:EUP51 EUX47:EUY51 EVG47:EVH51 EVP47:EVQ51 EVY47:EVZ51 EWH47:EWI51 EWQ47:EWR51 EWZ47:EXA51 EXI47:EXJ51 EXR47:EXS51 EYA47:EYB51 EYJ47:EYK51 EYS47:EYT51 EZB47:EZC51 EZK47:EZL51 EZT47:EZU51 FAC47:FAD51 FAL47:FAM51 FAU47:FAV51 FBD47:FBE51 FBM47:FBN51 FBV47:FBW51 FCE47:FCF51 FCN47:FCO51 FCW47:FCX51 FDF47:FDG51 FDO47:FDP51 FDX47:FDY51 FEG47:FEH51 FEP47:FEQ51 FEY47:FEZ51 FFH47:FFI51 FFQ47:FFR51 FFZ47:FGA51 FGI47:FGJ51 FGR47:FGS51 FHA47:FHB51 FHJ47:FHK51 FHS47:FHT51 FIB47:FIC51 FIK47:FIL51 FIT47:FIU51 FJC47:FJD51 FJL47:FJM51 FJU47:FJV51 FKD47:FKE51 FKM47:FKN51 FKV47:FKW51 FLE47:FLF51 FLN47:FLO51 FLW47:FLX51 FMF47:FMG51 FMO47:FMP51 FMX47:FMY51 FNG47:FNH51 FNP47:FNQ51 FNY47:FNZ51 FOH47:FOI51 FOQ47:FOR51 FOZ47:FPA51 FPI47:FPJ51 FPR47:FPS51 FQA47:FQB51 FQJ47:FQK51 FQS47:FQT51 FRB47:FRC51 FRK47:FRL51 FRT47:FRU51 FSC47:FSD51 FSL47:FSM51 FSU47:FSV51 FTD47:FTE51 FTM47:FTN51 FTV47:FTW51 FUE47:FUF51 FUN47:FUO51 FUW47:FUX51 FVF47:FVG51 FVO47:FVP51 FVX47:FVY51 FWG47:FWH51 FWP47:FWQ51 FWY47:FWZ51 FXH47:FXI51 FXQ47:FXR51 FXZ47:FYA51 FYI47:FYJ51 FYR47:FYS51 FZA47:FZB51 FZJ47:FZK51 FZS47:FZT51 GAB47:GAC51 GAK47:GAL51 GAT47:GAU51 GBC47:GBD51 GBL47:GBM51 GBU47:GBV51 GCD47:GCE51 GCM47:GCN51 GCV47:GCW51 GDE47:GDF51 GDN47:GDO51 GDW47:GDX51 GEF47:GEG51 GEO47:GEP51 GEX47:GEY51 GFG47:GFH51 GFP47:GFQ51 GFY47:GFZ51 GGH47:GGI51 GGQ47:GGR51 GGZ47:GHA51 GHI47:GHJ51 GHR47:GHS51 GIA47:GIB51 GIJ47:GIK51 GIS47:GIT51 GJB47:GJC51 GJK47:GJL51 GJT47:GJU51 GKC47:GKD51 GKL47:GKM51 GKU47:GKV51 GLD47:GLE51 GLM47:GLN51 GLV47:GLW51 GME47:GMF51 GMN47:GMO51 GMW47:GMX51 GNF47:GNG51 GNO47:GNP51 GNX47:GNY51 GOG47:GOH51 GOP47:GOQ51 GOY47:GOZ51 GPH47:GPI51 GPQ47:GPR51 GPZ47:GQA51 GQI47:GQJ51 GQR47:GQS51 GRA47:GRB51 GRJ47:GRK51 GRS47:GRT51 GSB47:GSC51 GSK47:GSL51 GST47:GSU51 GTC47:GTD51 GTL47:GTM51 GTU47:GTV51 GUD47:GUE51 GUM47:GUN51 GUV47:GUW51 GVE47:GVF51 GVN47:GVO51 GVW47:GVX51 GWF47:GWG51 GWO47:GWP51 GWX47:GWY51 GXG47:GXH51 GXP47:GXQ51 GXY47:GXZ51 GYH47:GYI51 GYQ47:GYR51 GYZ47:GZA51 GZI47:GZJ51 GZR47:GZS51 HAA47:HAB51 HAJ47:HAK51 HAS47:HAT51 HBB47:HBC51 HBK47:HBL51 HBT47:HBU51 HCC47:HCD51 HCL47:HCM51 HCU47:HCV51 HDD47:HDE51 HDM47:HDN51 HDV47:HDW51 HEE47:HEF51 HEN47:HEO51 HEW47:HEX51 HFF47:HFG51 HFO47:HFP51 HFX47:HFY51 HGG47:HGH51 HGP47:HGQ51 HGY47:HGZ51 HHH47:HHI51 HHQ47:HHR51 HHZ47:HIA51 HII47:HIJ51 HIR47:HIS51 HJA47:HJB51 HJJ47:HJK51 HJS47:HJT51 HKB47:HKC51 HKK47:HKL51 HKT47:HKU51 HLC47:HLD51 HLL47:HLM51 HLU47:HLV51 HMD47:HME51 HMM47:HMN51 HMV47:HMW51 HNE47:HNF51 HNN47:HNO51 HNW47:HNX51 HOF47:HOG51 HOO47:HOP51 HOX47:HOY51 HPG47:HPH51 HPP47:HPQ51 HPY47:HPZ51 HQH47:HQI51 HQQ47:HQR51 HQZ47:HRA51 HRI47:HRJ51 HRR47:HRS51 HSA47:HSB51 HSJ47:HSK51 HSS47:HST51 HTB47:HTC51 HTK47:HTL51 HTT47:HTU51 HUC47:HUD51 HUL47:HUM51 HUU47:HUV51 HVD47:HVE51 HVM47:HVN51 HVV47:HVW51 HWE47:HWF51 HWN47:HWO51 HWW47:HWX51 HXF47:HXG51 HXO47:HXP51 HXX47:HXY51 HYG47:HYH51 HYP47:HYQ51 HYY47:HYZ51 HZH47:HZI51 HZQ47:HZR51 HZZ47:IAA51 IAI47:IAJ51 IAR47:IAS51 IBA47:IBB51 IBJ47:IBK51 IBS47:IBT51 ICB47:ICC51 ICK47:ICL51 ICT47:ICU51 IDC47:IDD51 IDL47:IDM51 IDU47:IDV51 IED47:IEE51 IEM47:IEN51 IEV47:IEW51 IFE47:IFF51 IFN47:IFO51 IFW47:IFX51 IGF47:IGG51 IGO47:IGP51 IGX47:IGY51 IHG47:IHH51 IHP47:IHQ51 IHY47:IHZ51 IIH47:III51 IIQ47:IIR51 IIZ47:IJA51 IJI47:IJJ51 IJR47:IJS51 IKA47:IKB51 IKJ47:IKK51 IKS47:IKT51 ILB47:ILC51 ILK47:ILL51 ILT47:ILU51 IMC47:IMD51 IML47:IMM51 IMU47:IMV51 IND47:INE51 INM47:INN51 INV47:INW51 IOE47:IOF51 ION47:IOO51 IOW47:IOX51 IPF47:IPG51 IPO47:IPP51 IPX47:IPY51 IQG47:IQH51 IQP47:IQQ51 IQY47:IQZ51 IRH47:IRI51 IRQ47:IRR51 IRZ47:ISA51 ISI47:ISJ51 ISR47:ISS51 ITA47:ITB51 ITJ47:ITK51 ITS47:ITT51 IUB47:IUC51 IUK47:IUL51 IUT47:IUU51 IVC47:IVD51 IVL47:IVM51 IVU47:IVV51 IWD47:IWE51 IWM47:IWN51 IWV47:IWW51 IXE47:IXF51 IXN47:IXO51 IXW47:IXX51 IYF47:IYG51 IYO47:IYP51 IYX47:IYY51 IZG47:IZH51 IZP47:IZQ51 IZY47:IZZ51 JAH47:JAI51 JAQ47:JAR51 JAZ47:JBA51 JBI47:JBJ51 JBR47:JBS51 JCA47:JCB51 JCJ47:JCK51 JCS47:JCT51 JDB47:JDC51 JDK47:JDL51 JDT47:JDU51 JEC47:JED51 JEL47:JEM51 JEU47:JEV51 JFD47:JFE51 JFM47:JFN51 JFV47:JFW51 JGE47:JGF51 JGN47:JGO51 JGW47:JGX51 JHF47:JHG51 JHO47:JHP51 JHX47:JHY51 JIG47:JIH51 JIP47:JIQ51 JIY47:JIZ51 JJH47:JJI51 JJQ47:JJR51 JJZ47:JKA51 JKI47:JKJ51 JKR47:JKS51 JLA47:JLB51 JLJ47:JLK51 JLS47:JLT51 JMB47:JMC51 JMK47:JML51 JMT47:JMU51 JNC47:JND51 JNL47:JNM51 JNU47:JNV51 JOD47:JOE51 JOM47:JON51 JOV47:JOW51 JPE47:JPF51 JPN47:JPO51 JPW47:JPX51 JQF47:JQG51 JQO47:JQP51 JQX47:JQY51 JRG47:JRH51 JRP47:JRQ51 JRY47:JRZ51 JSH47:JSI51 JSQ47:JSR51 JSZ47:JTA51 JTI47:JTJ51 JTR47:JTS51 JUA47:JUB51 JUJ47:JUK51 JUS47:JUT51 JVB47:JVC51 JVK47:JVL51 JVT47:JVU51 JWC47:JWD51 JWL47:JWM51 JWU47:JWV51 JXD47:JXE51 JXM47:JXN51 JXV47:JXW51 JYE47:JYF51 JYN47:JYO51 JYW47:JYX51 JZF47:JZG51 JZO47:JZP51 JZX47:JZY51 KAG47:KAH51 KAP47:KAQ51 KAY47:KAZ51 KBH47:KBI51 KBQ47:KBR51 KBZ47:KCA51 KCI47:KCJ51 KCR47:KCS51 KDA47:KDB51 KDJ47:KDK51 KDS47:KDT51 KEB47:KEC51 KEK47:KEL51 KET47:KEU51 KFC47:KFD51 KFL47:KFM51 KFU47:KFV51 KGD47:KGE51 KGM47:KGN51 KGV47:KGW51 KHE47:KHF51 KHN47:KHO51 KHW47:KHX51 KIF47:KIG51 KIO47:KIP51 KIX47:KIY51 KJG47:KJH51 KJP47:KJQ51 KJY47:KJZ51 KKH47:KKI51 KKQ47:KKR51 KKZ47:KLA51 KLI47:KLJ51 KLR47:KLS51 KMA47:KMB51 KMJ47:KMK51 KMS47:KMT51 KNB47:KNC51 KNK47:KNL51 KNT47:KNU51 KOC47:KOD51 KOL47:KOM51 KOU47:KOV51 KPD47:KPE51 KPM47:KPN51 KPV47:KPW51 KQE47:KQF51 KQN47:KQO51 KQW47:KQX51 KRF47:KRG51 KRO47:KRP51 KRX47:KRY51 KSG47:KSH51 KSP47:KSQ51 KSY47:KSZ51 KTH47:KTI51 KTQ47:KTR51 KTZ47:KUA51 KUI47:KUJ51 KUR47:KUS51 KVA47:KVB51 KVJ47:KVK51 KVS47:KVT51 KWB47:KWC51 KWK47:KWL51 KWT47:KWU51 KXC47:KXD51 KXL47:KXM51 KXU47:KXV51 KYD47:KYE51 KYM47:KYN51 KYV47:KYW51 KZE47:KZF51 KZN47:KZO51 KZW47:KZX51 LAF47:LAG51 LAO47:LAP51 LAX47:LAY51 LBG47:LBH51 LBP47:LBQ51 LBY47:LBZ51 LCH47:LCI51 LCQ47:LCR51 LCZ47:LDA51 LDI47:LDJ51 LDR47:LDS51 LEA47:LEB51 LEJ47:LEK51 LES47:LET51 LFB47:LFC51 LFK47:LFL51 LFT47:LFU51 LGC47:LGD51 LGL47:LGM51 LGU47:LGV51 LHD47:LHE51 LHM47:LHN51 LHV47:LHW51 LIE47:LIF51 LIN47:LIO51 LIW47:LIX51 LJF47:LJG51 LJO47:LJP51 LJX47:LJY51 LKG47:LKH51 LKP47:LKQ51 LKY47:LKZ51 LLH47:LLI51 LLQ47:LLR51 LLZ47:LMA51 LMI47:LMJ51 LMR47:LMS51 LNA47:LNB51 LNJ47:LNK51 LNS47:LNT51 LOB47:LOC51 LOK47:LOL51 LOT47:LOU51 LPC47:LPD51 LPL47:LPM51 LPU47:LPV51 LQD47:LQE51 LQM47:LQN51 LQV47:LQW51 LRE47:LRF51 LRN47:LRO51 LRW47:LRX51 LSF47:LSG51 LSO47:LSP51 LSX47:LSY51 LTG47:LTH51 LTP47:LTQ51 LTY47:LTZ51 LUH47:LUI51 LUQ47:LUR51 LUZ47:LVA51 LVI47:LVJ51 LVR47:LVS51 LWA47:LWB51 LWJ47:LWK51 LWS47:LWT51 LXB47:LXC51 LXK47:LXL51 LXT47:LXU51 LYC47:LYD51 LYL47:LYM51 LYU47:LYV51 LZD47:LZE51 LZM47:LZN51 LZV47:LZW51 MAE47:MAF51 MAN47:MAO51 MAW47:MAX51 MBF47:MBG51 MBO47:MBP51 MBX47:MBY51 MCG47:MCH51 MCP47:MCQ51 MCY47:MCZ51 MDH47:MDI51 MDQ47:MDR51 MDZ47:MEA51 MEI47:MEJ51 MER47:MES51 MFA47:MFB51 MFJ47:MFK51 MFS47:MFT51 MGB47:MGC51 MGK47:MGL51 MGT47:MGU51 MHC47:MHD51 MHL47:MHM51 MHU47:MHV51 MID47:MIE51 MIM47:MIN51 MIV47:MIW51 MJE47:MJF51 MJN47:MJO51 MJW47:MJX51 MKF47:MKG51 MKO47:MKP51 MKX47:MKY51 MLG47:MLH51 MLP47:MLQ51 MLY47:MLZ51 MMH47:MMI51 MMQ47:MMR51 MMZ47:MNA51 MNI47:MNJ51 MNR47:MNS51 MOA47:MOB51 MOJ47:MOK51 MOS47:MOT51 MPB47:MPC51 MPK47:MPL51 MPT47:MPU51 MQC47:MQD51 MQL47:MQM51 MQU47:MQV51 MRD47:MRE51 MRM47:MRN51 MRV47:MRW51 MSE47:MSF51 MSN47:MSO51 MSW47:MSX51 MTF47:MTG51 MTO47:MTP51 MTX47:MTY51 MUG47:MUH51 MUP47:MUQ51 MUY47:MUZ51 MVH47:MVI51 MVQ47:MVR51 MVZ47:MWA51 MWI47:MWJ51 MWR47:MWS51 MXA47:MXB51 MXJ47:MXK51 MXS47:MXT51 MYB47:MYC51 MYK47:MYL51 MYT47:MYU51 MZC47:MZD51 MZL47:MZM51 MZU47:MZV51 NAD47:NAE51 NAM47:NAN51 NAV47:NAW51 NBE47:NBF51 NBN47:NBO51 NBW47:NBX51 NCF47:NCG51 NCO47:NCP51 NCX47:NCY51 NDG47:NDH51 NDP47:NDQ51 NDY47:NDZ51 NEH47:NEI51 NEQ47:NER51 NEZ47:NFA51 NFI47:NFJ51 NFR47:NFS51 NGA47:NGB51 NGJ47:NGK51 NGS47:NGT51 NHB47:NHC51 NHK47:NHL51 NHT47:NHU51 NIC47:NID51 NIL47:NIM51 NIU47:NIV51 NJD47:NJE51 NJM47:NJN51 NJV47:NJW51 NKE47:NKF51 NKN47:NKO51 NKW47:NKX51 NLF47:NLG51 NLO47:NLP51 NLX47:NLY51 NMG47:NMH51 NMP47:NMQ51 NMY47:NMZ51 NNH47:NNI51 NNQ47:NNR51 NNZ47:NOA51 NOI47:NOJ51 NOR47:NOS51 NPA47:NPB51 NPJ47:NPK51 NPS47:NPT51 NQB47:NQC51 NQK47:NQL51 NQT47:NQU51 NRC47:NRD51 NRL47:NRM51 NRU47:NRV51 NSD47:NSE51 NSM47:NSN51 NSV47:NSW51 NTE47:NTF51 NTN47:NTO51 NTW47:NTX51 NUF47:NUG51 NUO47:NUP51 NUX47:NUY51 NVG47:NVH51 NVP47:NVQ51 NVY47:NVZ51 NWH47:NWI51 NWQ47:NWR51 NWZ47:NXA51 NXI47:NXJ51 NXR47:NXS51 NYA47:NYB51 NYJ47:NYK51 NYS47:NYT51 NZB47:NZC51 NZK47:NZL51 NZT47:NZU51 OAC47:OAD51 OAL47:OAM51 OAU47:OAV51 OBD47:OBE51 OBM47:OBN51 OBV47:OBW51 OCE47:OCF51 OCN47:OCO51 OCW47:OCX51 ODF47:ODG51 ODO47:ODP51 ODX47:ODY51 OEG47:OEH51 OEP47:OEQ51 OEY47:OEZ51 OFH47:OFI51 OFQ47:OFR51 OFZ47:OGA51 OGI47:OGJ51 OGR47:OGS51 OHA47:OHB51 OHJ47:OHK51 OHS47:OHT51 OIB47:OIC51 OIK47:OIL51 OIT47:OIU51 OJC47:OJD51 OJL47:OJM51 OJU47:OJV51 OKD47:OKE51 OKM47:OKN51 OKV47:OKW51 OLE47:OLF51 OLN47:OLO51 OLW47:OLX51 OMF47:OMG51 OMO47:OMP51 OMX47:OMY51 ONG47:ONH51 ONP47:ONQ51 ONY47:ONZ51 OOH47:OOI51 OOQ47:OOR51 OOZ47:OPA51 OPI47:OPJ51 OPR47:OPS51 OQA47:OQB51 OQJ47:OQK51 OQS47:OQT51 ORB47:ORC51 ORK47:ORL51 ORT47:ORU51 OSC47:OSD51 OSL47:OSM51 OSU47:OSV51 OTD47:OTE51 OTM47:OTN51 OTV47:OTW51 OUE47:OUF51 OUN47:OUO51 OUW47:OUX51 OVF47:OVG51 OVO47:OVP51 OVX47:OVY51 OWG47:OWH51 OWP47:OWQ51 OWY47:OWZ51 OXH47:OXI51 OXQ47:OXR51 OXZ47:OYA51 OYI47:OYJ51 OYR47:OYS51 OZA47:OZB51 OZJ47:OZK51 OZS47:OZT51 PAB47:PAC51 PAK47:PAL51 PAT47:PAU51 PBC47:PBD51 PBL47:PBM51 PBU47:PBV51 PCD47:PCE51 PCM47:PCN51 PCV47:PCW51 PDE47:PDF51 PDN47:PDO51 PDW47:PDX51 PEF47:PEG51 PEO47:PEP51 PEX47:PEY51 PFG47:PFH51 PFP47:PFQ51 PFY47:PFZ51 PGH47:PGI51 PGQ47:PGR51 PGZ47:PHA51 PHI47:PHJ51 PHR47:PHS51 PIA47:PIB51 PIJ47:PIK51 PIS47:PIT51 PJB47:PJC51 PJK47:PJL51 PJT47:PJU51 PKC47:PKD51 PKL47:PKM51 PKU47:PKV51 PLD47:PLE51 PLM47:PLN51 PLV47:PLW51 PME47:PMF51 PMN47:PMO51 PMW47:PMX51 PNF47:PNG51 PNO47:PNP51 PNX47:PNY51 POG47:POH51 POP47:POQ51 POY47:POZ51 PPH47:PPI51 PPQ47:PPR51 PPZ47:PQA51 PQI47:PQJ51 PQR47:PQS51 PRA47:PRB51 PRJ47:PRK51 PRS47:PRT51 PSB47:PSC51 PSK47:PSL51 PST47:PSU51 PTC47:PTD51 PTL47:PTM51 PTU47:PTV51 PUD47:PUE51 PUM47:PUN51 PUV47:PUW51 PVE47:PVF51 PVN47:PVO51 PVW47:PVX51 PWF47:PWG51 PWO47:PWP51 PWX47:PWY51 PXG47:PXH51 PXP47:PXQ51 PXY47:PXZ51 PYH47:PYI51 PYQ47:PYR51 PYZ47:PZA51 PZI47:PZJ51 PZR47:PZS51 QAA47:QAB51 QAJ47:QAK51 QAS47:QAT51 QBB47:QBC51 QBK47:QBL51 QBT47:QBU51 QCC47:QCD51 QCL47:QCM51 QCU47:QCV51 QDD47:QDE51 QDM47:QDN51 QDV47:QDW51 QEE47:QEF51 QEN47:QEO51 QEW47:QEX51 QFF47:QFG51 QFO47:QFP51 QFX47:QFY51 QGG47:QGH51 QGP47:QGQ51 QGY47:QGZ51 QHH47:QHI51 QHQ47:QHR51 QHZ47:QIA51 QII47:QIJ51 QIR47:QIS51 QJA47:QJB51 QJJ47:QJK51 QJS47:QJT51 QKB47:QKC51 QKK47:QKL51 QKT47:QKU51 QLC47:QLD51 QLL47:QLM51 QLU47:QLV51 QMD47:QME51 QMM47:QMN51 QMV47:QMW51 QNE47:QNF51 QNN47:QNO51 QNW47:QNX51 QOF47:QOG51 QOO47:QOP51 QOX47:QOY51 QPG47:QPH51 QPP47:QPQ51 QPY47:QPZ51 QQH47:QQI51 QQQ47:QQR51 QQZ47:QRA51 QRI47:QRJ51 QRR47:QRS51 QSA47:QSB51 QSJ47:QSK51 QSS47:QST51 QTB47:QTC51 QTK47:QTL51 QTT47:QTU51 QUC47:QUD51 QUL47:QUM51 QUU47:QUV51 QVD47:QVE51 QVM47:QVN51 QVV47:QVW51 QWE47:QWF51 QWN47:QWO51 QWW47:QWX51 QXF47:QXG51 QXO47:QXP51 QXX47:QXY51 QYG47:QYH51 QYP47:QYQ51 QYY47:QYZ51 QZH47:QZI51 QZQ47:QZR51 QZZ47:RAA51 RAI47:RAJ51 RAR47:RAS51 RBA47:RBB51 RBJ47:RBK51 RBS47:RBT51 RCB47:RCC51 RCK47:RCL51 RCT47:RCU51 RDC47:RDD51 RDL47:RDM51 RDU47:RDV51 RED47:REE51 REM47:REN51 REV47:REW51 RFE47:RFF51 RFN47:RFO51 RFW47:RFX51 RGF47:RGG51 RGO47:RGP51 RGX47:RGY51 RHG47:RHH51 RHP47:RHQ51 RHY47:RHZ51 RIH47:RII51 RIQ47:RIR51 RIZ47:RJA51 RJI47:RJJ51 RJR47:RJS51 RKA47:RKB51 RKJ47:RKK51 RKS47:RKT51 RLB47:RLC51 RLK47:RLL51 RLT47:RLU51 RMC47:RMD51 RML47:RMM51 RMU47:RMV51 RND47:RNE51 RNM47:RNN51 RNV47:RNW51 ROE47:ROF51 RON47:ROO51 ROW47:ROX51 RPF47:RPG51 RPO47:RPP51 RPX47:RPY51 RQG47:RQH51 RQP47:RQQ51 RQY47:RQZ51 RRH47:RRI51 RRQ47:RRR51 RRZ47:RSA51 RSI47:RSJ51 RSR47:RSS51 RTA47:RTB51 RTJ47:RTK51 RTS47:RTT51 RUB47:RUC51 RUK47:RUL51 RUT47:RUU51 RVC47:RVD51 RVL47:RVM51 RVU47:RVV51 RWD47:RWE51 RWM47:RWN51 RWV47:RWW51 RXE47:RXF51 RXN47:RXO51 RXW47:RXX51 RYF47:RYG51 RYO47:RYP51 RYX47:RYY51 RZG47:RZH51 RZP47:RZQ51 RZY47:RZZ51 SAH47:SAI51 SAQ47:SAR51 SAZ47:SBA51 SBI47:SBJ51 SBR47:SBS51 SCA47:SCB51 SCJ47:SCK51 SCS47:SCT51 SDB47:SDC51 SDK47:SDL51 SDT47:SDU51 SEC47:SED51 SEL47:SEM51 SEU47:SEV51 SFD47:SFE51 SFM47:SFN51 SFV47:SFW51 SGE47:SGF51 SGN47:SGO51 SGW47:SGX51 SHF47:SHG51 SHO47:SHP51 SHX47:SHY51 SIG47:SIH51 SIP47:SIQ51 SIY47:SIZ51 SJH47:SJI51 SJQ47:SJR51 SJZ47:SKA51 SKI47:SKJ51 SKR47:SKS51 SLA47:SLB51 SLJ47:SLK51 SLS47:SLT51 SMB47:SMC51 SMK47:SML51 SMT47:SMU51 SNC47:SND51 SNL47:SNM51 SNU47:SNV51 SOD47:SOE51 SOM47:SON51 SOV47:SOW51 SPE47:SPF51 SPN47:SPO51 SPW47:SPX51 SQF47:SQG51 SQO47:SQP51 SQX47:SQY51 SRG47:SRH51 SRP47:SRQ51 SRY47:SRZ51 SSH47:SSI51 SSQ47:SSR51 SSZ47:STA51 STI47:STJ51 STR47:STS51 SUA47:SUB51 SUJ47:SUK51 SUS47:SUT51 SVB47:SVC51 SVK47:SVL51 SVT47:SVU51 SWC47:SWD51 SWL47:SWM51 SWU47:SWV51 SXD47:SXE51 SXM47:SXN51 SXV47:SXW51 SYE47:SYF51 SYN47:SYO51 SYW47:SYX51 SZF47:SZG51 SZO47:SZP51 SZX47:SZY51 TAG47:TAH51 TAP47:TAQ51 TAY47:TAZ51 TBH47:TBI51 TBQ47:TBR51 TBZ47:TCA51 TCI47:TCJ51 TCR47:TCS51 TDA47:TDB51 TDJ47:TDK51 TDS47:TDT51 TEB47:TEC51 TEK47:TEL51 TET47:TEU51 TFC47:TFD51 TFL47:TFM51 TFU47:TFV51 TGD47:TGE51 TGM47:TGN51 TGV47:TGW51 THE47:THF51 THN47:THO51 THW47:THX51 TIF47:TIG51 TIO47:TIP51 TIX47:TIY51 TJG47:TJH51 TJP47:TJQ51 TJY47:TJZ51 TKH47:TKI51 TKQ47:TKR51 TKZ47:TLA51 TLI47:TLJ51 TLR47:TLS51 TMA47:TMB51 TMJ47:TMK51 TMS47:TMT51 TNB47:TNC51 TNK47:TNL51 TNT47:TNU51 TOC47:TOD51 TOL47:TOM51 TOU47:TOV51 TPD47:TPE51 TPM47:TPN51 TPV47:TPW51 TQE47:TQF51 TQN47:TQO51 TQW47:TQX51 TRF47:TRG51 TRO47:TRP51 TRX47:TRY51 TSG47:TSH51 TSP47:TSQ51 TSY47:TSZ51 TTH47:TTI51 TTQ47:TTR51 TTZ47:TUA51 TUI47:TUJ51 TUR47:TUS51 TVA47:TVB51 TVJ47:TVK51 TVS47:TVT51 TWB47:TWC51 TWK47:TWL51 TWT47:TWU51 TXC47:TXD51 TXL47:TXM51 TXU47:TXV51 TYD47:TYE51 TYM47:TYN51 TYV47:TYW51 TZE47:TZF51 TZN47:TZO51 TZW47:TZX51 UAF47:UAG51 UAO47:UAP51 UAX47:UAY51 UBG47:UBH51 UBP47:UBQ51 UBY47:UBZ51 UCH47:UCI51 UCQ47:UCR51 UCZ47:UDA51 UDI47:UDJ51 UDR47:UDS51 UEA47:UEB51 UEJ47:UEK51 UES47:UET51 UFB47:UFC51 UFK47:UFL51 UFT47:UFU51 UGC47:UGD51 UGL47:UGM51 UGU47:UGV51 UHD47:UHE51 UHM47:UHN51 UHV47:UHW51 UIE47:UIF51 UIN47:UIO51 UIW47:UIX51 UJF47:UJG51 UJO47:UJP51 UJX47:UJY51 UKG47:UKH51 UKP47:UKQ51 UKY47:UKZ51 ULH47:ULI51 ULQ47:ULR51 ULZ47:UMA51 UMI47:UMJ51 UMR47:UMS51 UNA47:UNB51 UNJ47:UNK51 UNS47:UNT51 UOB47:UOC51 UOK47:UOL51 UOT47:UOU51 UPC47:UPD51 UPL47:UPM51 UPU47:UPV51 UQD47:UQE51 UQM47:UQN51 UQV47:UQW51 URE47:URF51 URN47:URO51 URW47:URX51 USF47:USG51 USO47:USP51 USX47:USY51 UTG47:UTH51 UTP47:UTQ51 UTY47:UTZ51 UUH47:UUI51 UUQ47:UUR51 UUZ47:UVA51 UVI47:UVJ51 UVR47:UVS51 UWA47:UWB51 UWJ47:UWK51 UWS47:UWT51 UXB47:UXC51 UXK47:UXL51 UXT47:UXU51 UYC47:UYD51 UYL47:UYM51 UYU47:UYV51 UZD47:UZE51 UZM47:UZN51 UZV47:UZW51 VAE47:VAF51 VAN47:VAO51 VAW47:VAX51 VBF47:VBG51 VBO47:VBP51 VBX47:VBY51 VCG47:VCH51 VCP47:VCQ51 VCY47:VCZ51 VDH47:VDI51 VDQ47:VDR51 VDZ47:VEA51 VEI47:VEJ51 VER47:VES51 VFA47:VFB51 VFJ47:VFK51 VFS47:VFT51 VGB47:VGC51 VGK47:VGL51 VGT47:VGU51 VHC47:VHD51 VHL47:VHM51 VHU47:VHV51 VID47:VIE51 VIM47:VIN51 VIV47:VIW51 VJE47:VJF51 VJN47:VJO51 VJW47:VJX51 VKF47:VKG51 VKO47:VKP51 VKX47:VKY51 VLG47:VLH51 VLP47:VLQ51 VLY47:VLZ51 VMH47:VMI51 VMQ47:VMR51 VMZ47:VNA51 VNI47:VNJ51 VNR47:VNS51 VOA47:VOB51 VOJ47:VOK51 VOS47:VOT51 VPB47:VPC51 VPK47:VPL51 VPT47:VPU51 VQC47:VQD51 VQL47:VQM51 VQU47:VQV51 VRD47:VRE51 VRM47:VRN51 VRV47:VRW51 VSE47:VSF51 VSN47:VSO51 VSW47:VSX51 VTF47:VTG51 VTO47:VTP51 VTX47:VTY51 VUG47:VUH51 VUP47:VUQ51 VUY47:VUZ51 VVH47:VVI51 VVQ47:VVR51 VVZ47:VWA51 VWI47:VWJ51 VWR47:VWS51 VXA47:VXB51 VXJ47:VXK51 VXS47:VXT51 VYB47:VYC51 VYK47:VYL51 VYT47:VYU51 VZC47:VZD51 VZL47:VZM51 VZU47:VZV51 WAD47:WAE51 WAM47:WAN51 WAV47:WAW51 WBE47:WBF51 WBN47:WBO51 WBW47:WBX51 WCF47:WCG51 WCO47:WCP51 WCX47:WCY51 WDG47:WDH51 WDP47:WDQ51 WDY47:WDZ51 WEH47:WEI51 WEQ47:WER51 WEZ47:WFA51 WFI47:WFJ51 WFR47:WFS51 WGA47:WGB51 WGJ47:WGK51 WGS47:WGT51 WHB47:WHC51 WHK47:WHL51 WHT47:WHU51 WIC47:WID51 WIL47:WIM51 WIU47:WIV51 WJD47:WJE51 WJM47:WJN51 WJV47:WJW51 WKE47:WKF51 WKN47:WKO51 WKW47:WKX51 WLF47:WLG51 WLO47:WLP51 WLX47:WLY51 WMG47:WMH51 WMP47:WMQ51 WMY47:WMZ51 WNH47:WNI51 WNQ47:WNR51 WNZ47:WOA51 WOI47:WOJ51 WOR47:WOS51 WPA47:WPB51 WPJ47:WPK51 WPS47:WPT51 WQB47:WQC51 WQK47:WQL51 WQT47:WQU51 WRC47:WRD51 WRL47:WRM51 WRU47:WRV51 WSD47:WSE51 WSM47:WSN51 WSV47:WSW51 WTE47:WTF51 WTN47:WTO51 WTW47:WTX51 WUF47:WUG51 WUO47:WUP51 WUX47:WUY51 WVG47:WVH51 WVP47:WVQ51 WVY47:WVZ51 WWH47:WWI51 WWQ47:WWR51 WWZ47:WXA51 WXI47:WXJ51 WXR47:WXS51 WYA47:WYB51 WYJ47:WYK51 WYS47:WYT51 WZB47:WZC51 WZK47:WZL51 WZT47:WZU51 XAC47:XAD51 XAL47:XAM51 XAU47:XAV51 XBD47:XBE51 XBM47:XBN51 XBV47:XBW51 XCE47:XCF51 XCN47:XCO51 XCW47:XCX51 XDF47:XDG51 XDO47:XDP51 XDX47:XDY51 XEG47:XEH51 XEP47:XEQ51 XEY47:XEZ51">
    <cfRule type="cellIs" dxfId="28" priority="24" operator="greaterThanOrEqual">
      <formula>-2</formula>
    </cfRule>
    <cfRule type="cellIs" dxfId="27" priority="25" operator="lessThan">
      <formula>-2</formula>
    </cfRule>
  </conditionalFormatting>
  <conditionalFormatting sqref="K2:K50 DE47:DE51 DN47:DN51 DW47:DW51 EF47:EF51 EO47:EO51 EX47:EX51 FG47:FG51 FP47:FP51 FY47:FY51 GH47:GH51 GQ47:GQ51 GZ47:GZ51 HI47:HI51 HR47:HR51 IA47:IA51 IJ47:IJ51 IS47:IS51 JB47:JB51 JK47:JK51 JT47:JT51 KC47:KC51 KL47:KL51 KU47:KU51 LD47:LD51 LM47:LM51 LV47:LV51 ME47:ME51 MN47:MN51 MW47:MW51 NF47:NF51 NO47:NO51 NX47:NX51 OG47:OG51 OP47:OP51 OY47:OY51 PH47:PH51 PQ47:PQ51 PZ47:PZ51 QI47:QI51 QR47:QR51 RA47:RA51 RJ47:RJ51 RS47:RS51 SB47:SB51 SK47:SK51 ST47:ST51 TC47:TC51 TL47:TL51 TU47:TU51 UD47:UD51 UM47:UM51 UV47:UV51 VE47:VE51 VN47:VN51 VW47:VW51 WF47:WF51 WO47:WO51 WX47:WX51 XG47:XG51 XP47:XP51 XY47:XY51 YH47:YH51 YQ47:YQ51 YZ47:YZ51 ZI47:ZI51 ZR47:ZR51 AAA47:AAA51 AAJ47:AAJ51 AAS47:AAS51 ABB47:ABB51 ABK47:ABK51 ABT47:ABT51 ACC47:ACC51 ACL47:ACL51 ACU47:ACU51 ADD47:ADD51 ADM47:ADM51 ADV47:ADV51 AEE47:AEE51 AEN47:AEN51 AEW47:AEW51 AFF47:AFF51 AFO47:AFO51 AFX47:AFX51 AGG47:AGG51 AGP47:AGP51 AGY47:AGY51 AHH47:AHH51 AHQ47:AHQ51 AHZ47:AHZ51 AII47:AII51 AIR47:AIR51 AJA47:AJA51 AJJ47:AJJ51 AJS47:AJS51 AKB47:AKB51 AKK47:AKK51 AKT47:AKT51 ALC47:ALC51 ALL47:ALL51 ALU47:ALU51 AMD47:AMD51 AMM47:AMM51 AMV47:AMV51 ANE47:ANE51 ANN47:ANN51 ANW47:ANW51 AOF47:AOF51 AOO47:AOO51 AOX47:AOX51 APG47:APG51 APP47:APP51 APY47:APY51 AQH47:AQH51 AQQ47:AQQ51 AQZ47:AQZ51 ARI47:ARI51 ARR47:ARR51 ASA47:ASA51 ASJ47:ASJ51 ASS47:ASS51 ATB47:ATB51 ATK47:ATK51 ATT47:ATT51 AUC47:AUC51 AUL47:AUL51 AUU47:AUU51 AVD47:AVD51 AVM47:AVM51 AVV47:AVV51 AWE47:AWE51 AWN47:AWN51 AWW47:AWW51 AXF47:AXF51 AXO47:AXO51 AXX47:AXX51 AYG47:AYG51 AYP47:AYP51 AYY47:AYY51 AZH47:AZH51 AZQ47:AZQ51 AZZ47:AZZ51 BAI47:BAI51 BAR47:BAR51 BBA47:BBA51 BBJ47:BBJ51 BBS47:BBS51 BCB47:BCB51 BCK47:BCK51 BCT47:BCT51 BDC47:BDC51 BDL47:BDL51 BDU47:BDU51 BED47:BED51 BEM47:BEM51 BEV47:BEV51 BFE47:BFE51 BFN47:BFN51 BFW47:BFW51 BGF47:BGF51 BGO47:BGO51 BGX47:BGX51 BHG47:BHG51 BHP47:BHP51 BHY47:BHY51 BIH47:BIH51 BIQ47:BIQ51 BIZ47:BIZ51 BJI47:BJI51 BJR47:BJR51 BKA47:BKA51 BKJ47:BKJ51 BKS47:BKS51 BLB47:BLB51 BLK47:BLK51 BLT47:BLT51 BMC47:BMC51 BML47:BML51 BMU47:BMU51 BND47:BND51 BNM47:BNM51 BNV47:BNV51 BOE47:BOE51 BON47:BON51 BOW47:BOW51 BPF47:BPF51 BPO47:BPO51 BPX47:BPX51 BQG47:BQG51 BQP47:BQP51 BQY47:BQY51 BRH47:BRH51 BRQ47:BRQ51 BRZ47:BRZ51 BSI47:BSI51 BSR47:BSR51 BTA47:BTA51 BTJ47:BTJ51 BTS47:BTS51 BUB47:BUB51 BUK47:BUK51 BUT47:BUT51 BVC47:BVC51 BVL47:BVL51 BVU47:BVU51 BWD47:BWD51 BWM47:BWM51 BWV47:BWV51 BXE47:BXE51 BXN47:BXN51 BXW47:BXW51 BYF47:BYF51 BYO47:BYO51 BYX47:BYX51 BZG47:BZG51 BZP47:BZP51 BZY47:BZY51 CAH47:CAH51 CAQ47:CAQ51 CAZ47:CAZ51 CBI47:CBI51 CBR47:CBR51 CCA47:CCA51 CCJ47:CCJ51 CCS47:CCS51 CDB47:CDB51 CDK47:CDK51 CDT47:CDT51 CEC47:CEC51 CEL47:CEL51 CEU47:CEU51 CFD47:CFD51 CFM47:CFM51 CFV47:CFV51 CGE47:CGE51 CGN47:CGN51 CGW47:CGW51 CHF47:CHF51 CHO47:CHO51 CHX47:CHX51 CIG47:CIG51 CIP47:CIP51 CIY47:CIY51 CJH47:CJH51 CJQ47:CJQ51 CJZ47:CJZ51 CKI47:CKI51 CKR47:CKR51 CLA47:CLA51 CLJ47:CLJ51 CLS47:CLS51 CMB47:CMB51 CMK47:CMK51 CMT47:CMT51 CNC47:CNC51 CNL47:CNL51 CNU47:CNU51 COD47:COD51 COM47:COM51 COV47:COV51 CPE47:CPE51 CPN47:CPN51 CPW47:CPW51 CQF47:CQF51 CQO47:CQO51 CQX47:CQX51 CRG47:CRG51 CRP47:CRP51 CRY47:CRY51 CSH47:CSH51 CSQ47:CSQ51 CSZ47:CSZ51 CTI47:CTI51 CTR47:CTR51 CUA47:CUA51 CUJ47:CUJ51 CUS47:CUS51 CVB47:CVB51 CVK47:CVK51 CVT47:CVT51 CWC47:CWC51 CWL47:CWL51 CWU47:CWU51 CXD47:CXD51 CXM47:CXM51 CXV47:CXV51 CYE47:CYE51 CYN47:CYN51 CYW47:CYW51 CZF47:CZF51 CZO47:CZO51 CZX47:CZX51 DAG47:DAG51 DAP47:DAP51 DAY47:DAY51 DBH47:DBH51 DBQ47:DBQ51 DBZ47:DBZ51 DCI47:DCI51 DCR47:DCR51 DDA47:DDA51 DDJ47:DDJ51 DDS47:DDS51 DEB47:DEB51 DEK47:DEK51 DET47:DET51 DFC47:DFC51 DFL47:DFL51 DFU47:DFU51 DGD47:DGD51 DGM47:DGM51 DGV47:DGV51 DHE47:DHE51 DHN47:DHN51 DHW47:DHW51 DIF47:DIF51 DIO47:DIO51 DIX47:DIX51 DJG47:DJG51 DJP47:DJP51 DJY47:DJY51 DKH47:DKH51 DKQ47:DKQ51 DKZ47:DKZ51 DLI47:DLI51 DLR47:DLR51 DMA47:DMA51 DMJ47:DMJ51 DMS47:DMS51 DNB47:DNB51 DNK47:DNK51 DNT47:DNT51 DOC47:DOC51 DOL47:DOL51 DOU47:DOU51 DPD47:DPD51 DPM47:DPM51 DPV47:DPV51 DQE47:DQE51 DQN47:DQN51 DQW47:DQW51 DRF47:DRF51 DRO47:DRO51 DRX47:DRX51 DSG47:DSG51 DSP47:DSP51 DSY47:DSY51 DTH47:DTH51 DTQ47:DTQ51 DTZ47:DTZ51 DUI47:DUI51 DUR47:DUR51 DVA47:DVA51 DVJ47:DVJ51 DVS47:DVS51 DWB47:DWB51 DWK47:DWK51 DWT47:DWT51 DXC47:DXC51 DXL47:DXL51 DXU47:DXU51 DYD47:DYD51 DYM47:DYM51 DYV47:DYV51 DZE47:DZE51 DZN47:DZN51 DZW47:DZW51 EAF47:EAF51 EAO47:EAO51 EAX47:EAX51 EBG47:EBG51 EBP47:EBP51 EBY47:EBY51 ECH47:ECH51 ECQ47:ECQ51 ECZ47:ECZ51 EDI47:EDI51 EDR47:EDR51 EEA47:EEA51 EEJ47:EEJ51 EES47:EES51 EFB47:EFB51 EFK47:EFK51 EFT47:EFT51 EGC47:EGC51 EGL47:EGL51 EGU47:EGU51 EHD47:EHD51 EHM47:EHM51 EHV47:EHV51 EIE47:EIE51 EIN47:EIN51 EIW47:EIW51 EJF47:EJF51 EJO47:EJO51 EJX47:EJX51 EKG47:EKG51 EKP47:EKP51 EKY47:EKY51 ELH47:ELH51 ELQ47:ELQ51 ELZ47:ELZ51 EMI47:EMI51 EMR47:EMR51 ENA47:ENA51 ENJ47:ENJ51 ENS47:ENS51 EOB47:EOB51 EOK47:EOK51 EOT47:EOT51 EPC47:EPC51 EPL47:EPL51 EPU47:EPU51 EQD47:EQD51 EQM47:EQM51 EQV47:EQV51 ERE47:ERE51 ERN47:ERN51 ERW47:ERW51 ESF47:ESF51 ESO47:ESO51 ESX47:ESX51 ETG47:ETG51 ETP47:ETP51 ETY47:ETY51 EUH47:EUH51 EUQ47:EUQ51 EUZ47:EUZ51 EVI47:EVI51 EVR47:EVR51 EWA47:EWA51 EWJ47:EWJ51 EWS47:EWS51 EXB47:EXB51 EXK47:EXK51 EXT47:EXT51 EYC47:EYC51 EYL47:EYL51 EYU47:EYU51 EZD47:EZD51 EZM47:EZM51 EZV47:EZV51 FAE47:FAE51 FAN47:FAN51 FAW47:FAW51 FBF47:FBF51 FBO47:FBO51 FBX47:FBX51 FCG47:FCG51 FCP47:FCP51 FCY47:FCY51 FDH47:FDH51 FDQ47:FDQ51 FDZ47:FDZ51 FEI47:FEI51 FER47:FER51 FFA47:FFA51 FFJ47:FFJ51 FFS47:FFS51 FGB47:FGB51 FGK47:FGK51 FGT47:FGT51 FHC47:FHC51 FHL47:FHL51 FHU47:FHU51 FID47:FID51 FIM47:FIM51 FIV47:FIV51 FJE47:FJE51 FJN47:FJN51 FJW47:FJW51 FKF47:FKF51 FKO47:FKO51 FKX47:FKX51 FLG47:FLG51 FLP47:FLP51 FLY47:FLY51 FMH47:FMH51 FMQ47:FMQ51 FMZ47:FMZ51 FNI47:FNI51 FNR47:FNR51 FOA47:FOA51 FOJ47:FOJ51 FOS47:FOS51 FPB47:FPB51 FPK47:FPK51 FPT47:FPT51 FQC47:FQC51 FQL47:FQL51 FQU47:FQU51 FRD47:FRD51 FRM47:FRM51 FRV47:FRV51 FSE47:FSE51 FSN47:FSN51 FSW47:FSW51 FTF47:FTF51 FTO47:FTO51 FTX47:FTX51 FUG47:FUG51 FUP47:FUP51 FUY47:FUY51 FVH47:FVH51 FVQ47:FVQ51 FVZ47:FVZ51 FWI47:FWI51 FWR47:FWR51 FXA47:FXA51 FXJ47:FXJ51 FXS47:FXS51 FYB47:FYB51 FYK47:FYK51 FYT47:FYT51 FZC47:FZC51 FZL47:FZL51 FZU47:FZU51 GAD47:GAD51 GAM47:GAM51 GAV47:GAV51 GBE47:GBE51 GBN47:GBN51 GBW47:GBW51 GCF47:GCF51 GCO47:GCO51 GCX47:GCX51 GDG47:GDG51 GDP47:GDP51 GDY47:GDY51 GEH47:GEH51 GEQ47:GEQ51 GEZ47:GEZ51 GFI47:GFI51 GFR47:GFR51 GGA47:GGA51 GGJ47:GGJ51 GGS47:GGS51 GHB47:GHB51 GHK47:GHK51 GHT47:GHT51 GIC47:GIC51 GIL47:GIL51 GIU47:GIU51 GJD47:GJD51 GJM47:GJM51 GJV47:GJV51 GKE47:GKE51 GKN47:GKN51 GKW47:GKW51 GLF47:GLF51 GLO47:GLO51 GLX47:GLX51 GMG47:GMG51 GMP47:GMP51 GMY47:GMY51 GNH47:GNH51 GNQ47:GNQ51 GNZ47:GNZ51 GOI47:GOI51 GOR47:GOR51 GPA47:GPA51 GPJ47:GPJ51 GPS47:GPS51 GQB47:GQB51 GQK47:GQK51 GQT47:GQT51 GRC47:GRC51 GRL47:GRL51 GRU47:GRU51 GSD47:GSD51 GSM47:GSM51 GSV47:GSV51 GTE47:GTE51 GTN47:GTN51 GTW47:GTW51 GUF47:GUF51 GUO47:GUO51 GUX47:GUX51 GVG47:GVG51 GVP47:GVP51 GVY47:GVY51 GWH47:GWH51 GWQ47:GWQ51 GWZ47:GWZ51 GXI47:GXI51 GXR47:GXR51 GYA47:GYA51 GYJ47:GYJ51 GYS47:GYS51 GZB47:GZB51 GZK47:GZK51 GZT47:GZT51 HAC47:HAC51 HAL47:HAL51 HAU47:HAU51 HBD47:HBD51 HBM47:HBM51 HBV47:HBV51 HCE47:HCE51 HCN47:HCN51 HCW47:HCW51 HDF47:HDF51 HDO47:HDO51 HDX47:HDX51 HEG47:HEG51 HEP47:HEP51 HEY47:HEY51 HFH47:HFH51 HFQ47:HFQ51 HFZ47:HFZ51 HGI47:HGI51 HGR47:HGR51 HHA47:HHA51 HHJ47:HHJ51 HHS47:HHS51 HIB47:HIB51 HIK47:HIK51 HIT47:HIT51 HJC47:HJC51 HJL47:HJL51 HJU47:HJU51 HKD47:HKD51 HKM47:HKM51 HKV47:HKV51 HLE47:HLE51 HLN47:HLN51 HLW47:HLW51 HMF47:HMF51 HMO47:HMO51 HMX47:HMX51 HNG47:HNG51 HNP47:HNP51 HNY47:HNY51 HOH47:HOH51 HOQ47:HOQ51 HOZ47:HOZ51 HPI47:HPI51 HPR47:HPR51 HQA47:HQA51 HQJ47:HQJ51 HQS47:HQS51 HRB47:HRB51 HRK47:HRK51 HRT47:HRT51 HSC47:HSC51 HSL47:HSL51 HSU47:HSU51 HTD47:HTD51 HTM47:HTM51 HTV47:HTV51 HUE47:HUE51 HUN47:HUN51 HUW47:HUW51 HVF47:HVF51 HVO47:HVO51 HVX47:HVX51 HWG47:HWG51 HWP47:HWP51 HWY47:HWY51 HXH47:HXH51 HXQ47:HXQ51 HXZ47:HXZ51 HYI47:HYI51 HYR47:HYR51 HZA47:HZA51 HZJ47:HZJ51 HZS47:HZS51 IAB47:IAB51 IAK47:IAK51 IAT47:IAT51 IBC47:IBC51 IBL47:IBL51 IBU47:IBU51 ICD47:ICD51 ICM47:ICM51 ICV47:ICV51 IDE47:IDE51 IDN47:IDN51 IDW47:IDW51 IEF47:IEF51 IEO47:IEO51 IEX47:IEX51 IFG47:IFG51 IFP47:IFP51 IFY47:IFY51 IGH47:IGH51 IGQ47:IGQ51 IGZ47:IGZ51 IHI47:IHI51 IHR47:IHR51 IIA47:IIA51 IIJ47:IIJ51 IIS47:IIS51 IJB47:IJB51 IJK47:IJK51 IJT47:IJT51 IKC47:IKC51 IKL47:IKL51 IKU47:IKU51 ILD47:ILD51 ILM47:ILM51 ILV47:ILV51 IME47:IME51 IMN47:IMN51 IMW47:IMW51 INF47:INF51 INO47:INO51 INX47:INX51 IOG47:IOG51 IOP47:IOP51 IOY47:IOY51 IPH47:IPH51 IPQ47:IPQ51 IPZ47:IPZ51 IQI47:IQI51 IQR47:IQR51 IRA47:IRA51 IRJ47:IRJ51 IRS47:IRS51 ISB47:ISB51 ISK47:ISK51 IST47:IST51 ITC47:ITC51 ITL47:ITL51 ITU47:ITU51 IUD47:IUD51 IUM47:IUM51 IUV47:IUV51 IVE47:IVE51 IVN47:IVN51 IVW47:IVW51 IWF47:IWF51 IWO47:IWO51 IWX47:IWX51 IXG47:IXG51 IXP47:IXP51 IXY47:IXY51 IYH47:IYH51 IYQ47:IYQ51 IYZ47:IYZ51 IZI47:IZI51 IZR47:IZR51 JAA47:JAA51 JAJ47:JAJ51 JAS47:JAS51 JBB47:JBB51 JBK47:JBK51 JBT47:JBT51 JCC47:JCC51 JCL47:JCL51 JCU47:JCU51 JDD47:JDD51 JDM47:JDM51 JDV47:JDV51 JEE47:JEE51 JEN47:JEN51 JEW47:JEW51 JFF47:JFF51 JFO47:JFO51 JFX47:JFX51 JGG47:JGG51 JGP47:JGP51 JGY47:JGY51 JHH47:JHH51 JHQ47:JHQ51 JHZ47:JHZ51 JII47:JII51 JIR47:JIR51 JJA47:JJA51 JJJ47:JJJ51 JJS47:JJS51 JKB47:JKB51 JKK47:JKK51 JKT47:JKT51 JLC47:JLC51 JLL47:JLL51 JLU47:JLU51 JMD47:JMD51 JMM47:JMM51 JMV47:JMV51 JNE47:JNE51 JNN47:JNN51 JNW47:JNW51 JOF47:JOF51 JOO47:JOO51 JOX47:JOX51 JPG47:JPG51 JPP47:JPP51 JPY47:JPY51 JQH47:JQH51 JQQ47:JQQ51 JQZ47:JQZ51 JRI47:JRI51 JRR47:JRR51 JSA47:JSA51 JSJ47:JSJ51 JSS47:JSS51 JTB47:JTB51 JTK47:JTK51 JTT47:JTT51 JUC47:JUC51 JUL47:JUL51 JUU47:JUU51 JVD47:JVD51 JVM47:JVM51 JVV47:JVV51 JWE47:JWE51 JWN47:JWN51 JWW47:JWW51 JXF47:JXF51 JXO47:JXO51 JXX47:JXX51 JYG47:JYG51 JYP47:JYP51 JYY47:JYY51 JZH47:JZH51 JZQ47:JZQ51 JZZ47:JZZ51 KAI47:KAI51 KAR47:KAR51 KBA47:KBA51 KBJ47:KBJ51 KBS47:KBS51 KCB47:KCB51 KCK47:KCK51 KCT47:KCT51 KDC47:KDC51 KDL47:KDL51 KDU47:KDU51 KED47:KED51 KEM47:KEM51 KEV47:KEV51 KFE47:KFE51 KFN47:KFN51 KFW47:KFW51 KGF47:KGF51 KGO47:KGO51 KGX47:KGX51 KHG47:KHG51 KHP47:KHP51 KHY47:KHY51 KIH47:KIH51 KIQ47:KIQ51 KIZ47:KIZ51 KJI47:KJI51 KJR47:KJR51 KKA47:KKA51 KKJ47:KKJ51 KKS47:KKS51 KLB47:KLB51 KLK47:KLK51 KLT47:KLT51 KMC47:KMC51 KML47:KML51 KMU47:KMU51 KND47:KND51 KNM47:KNM51 KNV47:KNV51 KOE47:KOE51 KON47:KON51 KOW47:KOW51 KPF47:KPF51 KPO47:KPO51 KPX47:KPX51 KQG47:KQG51 KQP47:KQP51 KQY47:KQY51 KRH47:KRH51 KRQ47:KRQ51 KRZ47:KRZ51 KSI47:KSI51 KSR47:KSR51 KTA47:KTA51 KTJ47:KTJ51 KTS47:KTS51 KUB47:KUB51 KUK47:KUK51 KUT47:KUT51 KVC47:KVC51 KVL47:KVL51 KVU47:KVU51 KWD47:KWD51 KWM47:KWM51 KWV47:KWV51 KXE47:KXE51 KXN47:KXN51 KXW47:KXW51 KYF47:KYF51 KYO47:KYO51 KYX47:KYX51 KZG47:KZG51 KZP47:KZP51 KZY47:KZY51 LAH47:LAH51 LAQ47:LAQ51 LAZ47:LAZ51 LBI47:LBI51 LBR47:LBR51 LCA47:LCA51 LCJ47:LCJ51 LCS47:LCS51 LDB47:LDB51 LDK47:LDK51 LDT47:LDT51 LEC47:LEC51 LEL47:LEL51 LEU47:LEU51 LFD47:LFD51 LFM47:LFM51 LFV47:LFV51 LGE47:LGE51 LGN47:LGN51 LGW47:LGW51 LHF47:LHF51 LHO47:LHO51 LHX47:LHX51 LIG47:LIG51 LIP47:LIP51 LIY47:LIY51 LJH47:LJH51 LJQ47:LJQ51 LJZ47:LJZ51 LKI47:LKI51 LKR47:LKR51 LLA47:LLA51 LLJ47:LLJ51 LLS47:LLS51 LMB47:LMB51 LMK47:LMK51 LMT47:LMT51 LNC47:LNC51 LNL47:LNL51 LNU47:LNU51 LOD47:LOD51 LOM47:LOM51 LOV47:LOV51 LPE47:LPE51 LPN47:LPN51 LPW47:LPW51 LQF47:LQF51 LQO47:LQO51 LQX47:LQX51 LRG47:LRG51 LRP47:LRP51 LRY47:LRY51 LSH47:LSH51 LSQ47:LSQ51 LSZ47:LSZ51 LTI47:LTI51 LTR47:LTR51 LUA47:LUA51 LUJ47:LUJ51 LUS47:LUS51 LVB47:LVB51 LVK47:LVK51 LVT47:LVT51 LWC47:LWC51 LWL47:LWL51 LWU47:LWU51 LXD47:LXD51 LXM47:LXM51 LXV47:LXV51 LYE47:LYE51 LYN47:LYN51 LYW47:LYW51 LZF47:LZF51 LZO47:LZO51 LZX47:LZX51 MAG47:MAG51 MAP47:MAP51 MAY47:MAY51 MBH47:MBH51 MBQ47:MBQ51 MBZ47:MBZ51 MCI47:MCI51 MCR47:MCR51 MDA47:MDA51 MDJ47:MDJ51 MDS47:MDS51 MEB47:MEB51 MEK47:MEK51 MET47:MET51 MFC47:MFC51 MFL47:MFL51 MFU47:MFU51 MGD47:MGD51 MGM47:MGM51 MGV47:MGV51 MHE47:MHE51 MHN47:MHN51 MHW47:MHW51 MIF47:MIF51 MIO47:MIO51 MIX47:MIX51 MJG47:MJG51 MJP47:MJP51 MJY47:MJY51 MKH47:MKH51 MKQ47:MKQ51 MKZ47:MKZ51 MLI47:MLI51 MLR47:MLR51 MMA47:MMA51 MMJ47:MMJ51 MMS47:MMS51 MNB47:MNB51 MNK47:MNK51 MNT47:MNT51 MOC47:MOC51 MOL47:MOL51 MOU47:MOU51 MPD47:MPD51 MPM47:MPM51 MPV47:MPV51 MQE47:MQE51 MQN47:MQN51 MQW47:MQW51 MRF47:MRF51 MRO47:MRO51 MRX47:MRX51 MSG47:MSG51 MSP47:MSP51 MSY47:MSY51 MTH47:MTH51 MTQ47:MTQ51 MTZ47:MTZ51 MUI47:MUI51 MUR47:MUR51 MVA47:MVA51 MVJ47:MVJ51 MVS47:MVS51 MWB47:MWB51 MWK47:MWK51 MWT47:MWT51 MXC47:MXC51 MXL47:MXL51 MXU47:MXU51 MYD47:MYD51 MYM47:MYM51 MYV47:MYV51 MZE47:MZE51 MZN47:MZN51 MZW47:MZW51 NAF47:NAF51 NAO47:NAO51 NAX47:NAX51 NBG47:NBG51 NBP47:NBP51 NBY47:NBY51 NCH47:NCH51 NCQ47:NCQ51 NCZ47:NCZ51 NDI47:NDI51 NDR47:NDR51 NEA47:NEA51 NEJ47:NEJ51 NES47:NES51 NFB47:NFB51 NFK47:NFK51 NFT47:NFT51 NGC47:NGC51 NGL47:NGL51 NGU47:NGU51 NHD47:NHD51 NHM47:NHM51 NHV47:NHV51 NIE47:NIE51 NIN47:NIN51 NIW47:NIW51 NJF47:NJF51 NJO47:NJO51 NJX47:NJX51 NKG47:NKG51 NKP47:NKP51 NKY47:NKY51 NLH47:NLH51 NLQ47:NLQ51 NLZ47:NLZ51 NMI47:NMI51 NMR47:NMR51 NNA47:NNA51 NNJ47:NNJ51 NNS47:NNS51 NOB47:NOB51 NOK47:NOK51 NOT47:NOT51 NPC47:NPC51 NPL47:NPL51 NPU47:NPU51 NQD47:NQD51 NQM47:NQM51 NQV47:NQV51 NRE47:NRE51 NRN47:NRN51 NRW47:NRW51 NSF47:NSF51 NSO47:NSO51 NSX47:NSX51 NTG47:NTG51 NTP47:NTP51 NTY47:NTY51 NUH47:NUH51 NUQ47:NUQ51 NUZ47:NUZ51 NVI47:NVI51 NVR47:NVR51 NWA47:NWA51 NWJ47:NWJ51 NWS47:NWS51 NXB47:NXB51 NXK47:NXK51 NXT47:NXT51 NYC47:NYC51 NYL47:NYL51 NYU47:NYU51 NZD47:NZD51 NZM47:NZM51 NZV47:NZV51 OAE47:OAE51 OAN47:OAN51 OAW47:OAW51 OBF47:OBF51 OBO47:OBO51 OBX47:OBX51 OCG47:OCG51 OCP47:OCP51 OCY47:OCY51 ODH47:ODH51 ODQ47:ODQ51 ODZ47:ODZ51 OEI47:OEI51 OER47:OER51 OFA47:OFA51 OFJ47:OFJ51 OFS47:OFS51 OGB47:OGB51 OGK47:OGK51 OGT47:OGT51 OHC47:OHC51 OHL47:OHL51 OHU47:OHU51 OID47:OID51 OIM47:OIM51 OIV47:OIV51 OJE47:OJE51 OJN47:OJN51 OJW47:OJW51 OKF47:OKF51 OKO47:OKO51 OKX47:OKX51 OLG47:OLG51 OLP47:OLP51 OLY47:OLY51 OMH47:OMH51 OMQ47:OMQ51 OMZ47:OMZ51 ONI47:ONI51 ONR47:ONR51 OOA47:OOA51 OOJ47:OOJ51 OOS47:OOS51 OPB47:OPB51 OPK47:OPK51 OPT47:OPT51 OQC47:OQC51 OQL47:OQL51 OQU47:OQU51 ORD47:ORD51 ORM47:ORM51 ORV47:ORV51 OSE47:OSE51 OSN47:OSN51 OSW47:OSW51 OTF47:OTF51 OTO47:OTO51 OTX47:OTX51 OUG47:OUG51 OUP47:OUP51 OUY47:OUY51 OVH47:OVH51 OVQ47:OVQ51 OVZ47:OVZ51 OWI47:OWI51 OWR47:OWR51 OXA47:OXA51 OXJ47:OXJ51 OXS47:OXS51 OYB47:OYB51 OYK47:OYK51 OYT47:OYT51 OZC47:OZC51 OZL47:OZL51 OZU47:OZU51 PAD47:PAD51 PAM47:PAM51 PAV47:PAV51 PBE47:PBE51 PBN47:PBN51 PBW47:PBW51 PCF47:PCF51 PCO47:PCO51 PCX47:PCX51 PDG47:PDG51 PDP47:PDP51 PDY47:PDY51 PEH47:PEH51 PEQ47:PEQ51 PEZ47:PEZ51 PFI47:PFI51 PFR47:PFR51 PGA47:PGA51 PGJ47:PGJ51 PGS47:PGS51 PHB47:PHB51 PHK47:PHK51 PHT47:PHT51 PIC47:PIC51 PIL47:PIL51 PIU47:PIU51 PJD47:PJD51 PJM47:PJM51 PJV47:PJV51 PKE47:PKE51 PKN47:PKN51 PKW47:PKW51 PLF47:PLF51 PLO47:PLO51 PLX47:PLX51 PMG47:PMG51 PMP47:PMP51 PMY47:PMY51 PNH47:PNH51 PNQ47:PNQ51 PNZ47:PNZ51 POI47:POI51 POR47:POR51 PPA47:PPA51 PPJ47:PPJ51 PPS47:PPS51 PQB47:PQB51 PQK47:PQK51 PQT47:PQT51 PRC47:PRC51 PRL47:PRL51 PRU47:PRU51 PSD47:PSD51 PSM47:PSM51 PSV47:PSV51 PTE47:PTE51 PTN47:PTN51 PTW47:PTW51 PUF47:PUF51 PUO47:PUO51 PUX47:PUX51 PVG47:PVG51 PVP47:PVP51 PVY47:PVY51 PWH47:PWH51 PWQ47:PWQ51 PWZ47:PWZ51 PXI47:PXI51 PXR47:PXR51 PYA47:PYA51 PYJ47:PYJ51 PYS47:PYS51 PZB47:PZB51 PZK47:PZK51 PZT47:PZT51 QAC47:QAC51 QAL47:QAL51 QAU47:QAU51 QBD47:QBD51 QBM47:QBM51 QBV47:QBV51 QCE47:QCE51 QCN47:QCN51 QCW47:QCW51 QDF47:QDF51 QDO47:QDO51 QDX47:QDX51 QEG47:QEG51 QEP47:QEP51 QEY47:QEY51 QFH47:QFH51 QFQ47:QFQ51 QFZ47:QFZ51 QGI47:QGI51 QGR47:QGR51 QHA47:QHA51 QHJ47:QHJ51 QHS47:QHS51 QIB47:QIB51 QIK47:QIK51 QIT47:QIT51 QJC47:QJC51 QJL47:QJL51 QJU47:QJU51 QKD47:QKD51 QKM47:QKM51 QKV47:QKV51 QLE47:QLE51 QLN47:QLN51 QLW47:QLW51 QMF47:QMF51 QMO47:QMO51 QMX47:QMX51 QNG47:QNG51 QNP47:QNP51 QNY47:QNY51 QOH47:QOH51 QOQ47:QOQ51 QOZ47:QOZ51 QPI47:QPI51 QPR47:QPR51 QQA47:QQA51 QQJ47:QQJ51 QQS47:QQS51 QRB47:QRB51 QRK47:QRK51 QRT47:QRT51 QSC47:QSC51 QSL47:QSL51 QSU47:QSU51 QTD47:QTD51 QTM47:QTM51 QTV47:QTV51 QUE47:QUE51 QUN47:QUN51 QUW47:QUW51 QVF47:QVF51 QVO47:QVO51 QVX47:QVX51 QWG47:QWG51 QWP47:QWP51 QWY47:QWY51 QXH47:QXH51 QXQ47:QXQ51 QXZ47:QXZ51 QYI47:QYI51 QYR47:QYR51 QZA47:QZA51 QZJ47:QZJ51 QZS47:QZS51 RAB47:RAB51 RAK47:RAK51 RAT47:RAT51 RBC47:RBC51 RBL47:RBL51 RBU47:RBU51 RCD47:RCD51 RCM47:RCM51 RCV47:RCV51 RDE47:RDE51 RDN47:RDN51 RDW47:RDW51 REF47:REF51 REO47:REO51 REX47:REX51 RFG47:RFG51 RFP47:RFP51 RFY47:RFY51 RGH47:RGH51 RGQ47:RGQ51 RGZ47:RGZ51 RHI47:RHI51 RHR47:RHR51 RIA47:RIA51 RIJ47:RIJ51 RIS47:RIS51 RJB47:RJB51 RJK47:RJK51 RJT47:RJT51 RKC47:RKC51 RKL47:RKL51 RKU47:RKU51 RLD47:RLD51 RLM47:RLM51 RLV47:RLV51 RME47:RME51 RMN47:RMN51 RMW47:RMW51 RNF47:RNF51 RNO47:RNO51 RNX47:RNX51 ROG47:ROG51 ROP47:ROP51 ROY47:ROY51 RPH47:RPH51 RPQ47:RPQ51 RPZ47:RPZ51 RQI47:RQI51 RQR47:RQR51 RRA47:RRA51 RRJ47:RRJ51 RRS47:RRS51 RSB47:RSB51 RSK47:RSK51 RST47:RST51 RTC47:RTC51 RTL47:RTL51 RTU47:RTU51 RUD47:RUD51 RUM47:RUM51 RUV47:RUV51 RVE47:RVE51 RVN47:RVN51 RVW47:RVW51 RWF47:RWF51 RWO47:RWO51 RWX47:RWX51 RXG47:RXG51 RXP47:RXP51 RXY47:RXY51 RYH47:RYH51 RYQ47:RYQ51 RYZ47:RYZ51 RZI47:RZI51 RZR47:RZR51 SAA47:SAA51 SAJ47:SAJ51 SAS47:SAS51 SBB47:SBB51 SBK47:SBK51 SBT47:SBT51 SCC47:SCC51 SCL47:SCL51 SCU47:SCU51 SDD47:SDD51 SDM47:SDM51 SDV47:SDV51 SEE47:SEE51 SEN47:SEN51 SEW47:SEW51 SFF47:SFF51 SFO47:SFO51 SFX47:SFX51 SGG47:SGG51 SGP47:SGP51 SGY47:SGY51 SHH47:SHH51 SHQ47:SHQ51 SHZ47:SHZ51 SII47:SII51 SIR47:SIR51 SJA47:SJA51 SJJ47:SJJ51 SJS47:SJS51 SKB47:SKB51 SKK47:SKK51 SKT47:SKT51 SLC47:SLC51 SLL47:SLL51 SLU47:SLU51 SMD47:SMD51 SMM47:SMM51 SMV47:SMV51 SNE47:SNE51 SNN47:SNN51 SNW47:SNW51 SOF47:SOF51 SOO47:SOO51 SOX47:SOX51 SPG47:SPG51 SPP47:SPP51 SPY47:SPY51 SQH47:SQH51 SQQ47:SQQ51 SQZ47:SQZ51 SRI47:SRI51 SRR47:SRR51 SSA47:SSA51 SSJ47:SSJ51 SSS47:SSS51 STB47:STB51 STK47:STK51 STT47:STT51 SUC47:SUC51 SUL47:SUL51 SUU47:SUU51 SVD47:SVD51 SVM47:SVM51 SVV47:SVV51 SWE47:SWE51 SWN47:SWN51 SWW47:SWW51 SXF47:SXF51 SXO47:SXO51 SXX47:SXX51 SYG47:SYG51 SYP47:SYP51 SYY47:SYY51 SZH47:SZH51 SZQ47:SZQ51 SZZ47:SZZ51 TAI47:TAI51 TAR47:TAR51 TBA47:TBA51 TBJ47:TBJ51 TBS47:TBS51 TCB47:TCB51 TCK47:TCK51 TCT47:TCT51 TDC47:TDC51 TDL47:TDL51 TDU47:TDU51 TED47:TED51 TEM47:TEM51 TEV47:TEV51 TFE47:TFE51 TFN47:TFN51 TFW47:TFW51 TGF47:TGF51 TGO47:TGO51 TGX47:TGX51 THG47:THG51 THP47:THP51 THY47:THY51 TIH47:TIH51 TIQ47:TIQ51 TIZ47:TIZ51 TJI47:TJI51 TJR47:TJR51 TKA47:TKA51 TKJ47:TKJ51 TKS47:TKS51 TLB47:TLB51 TLK47:TLK51 TLT47:TLT51 TMC47:TMC51 TML47:TML51 TMU47:TMU51 TND47:TND51 TNM47:TNM51 TNV47:TNV51 TOE47:TOE51 TON47:TON51 TOW47:TOW51 TPF47:TPF51 TPO47:TPO51 TPX47:TPX51 TQG47:TQG51 TQP47:TQP51 TQY47:TQY51 TRH47:TRH51 TRQ47:TRQ51 TRZ47:TRZ51 TSI47:TSI51 TSR47:TSR51 TTA47:TTA51 TTJ47:TTJ51 TTS47:TTS51 TUB47:TUB51 TUK47:TUK51 TUT47:TUT51 TVC47:TVC51 TVL47:TVL51 TVU47:TVU51 TWD47:TWD51 TWM47:TWM51 TWV47:TWV51 TXE47:TXE51 TXN47:TXN51 TXW47:TXW51 TYF47:TYF51 TYO47:TYO51 TYX47:TYX51 TZG47:TZG51 TZP47:TZP51 TZY47:TZY51 UAH47:UAH51 UAQ47:UAQ51 UAZ47:UAZ51 UBI47:UBI51 UBR47:UBR51 UCA47:UCA51 UCJ47:UCJ51 UCS47:UCS51 UDB47:UDB51 UDK47:UDK51 UDT47:UDT51 UEC47:UEC51 UEL47:UEL51 UEU47:UEU51 UFD47:UFD51 UFM47:UFM51 UFV47:UFV51 UGE47:UGE51 UGN47:UGN51 UGW47:UGW51 UHF47:UHF51 UHO47:UHO51 UHX47:UHX51 UIG47:UIG51 UIP47:UIP51 UIY47:UIY51 UJH47:UJH51 UJQ47:UJQ51 UJZ47:UJZ51 UKI47:UKI51 UKR47:UKR51 ULA47:ULA51 ULJ47:ULJ51 ULS47:ULS51 UMB47:UMB51 UMK47:UMK51 UMT47:UMT51 UNC47:UNC51 UNL47:UNL51 UNU47:UNU51 UOD47:UOD51 UOM47:UOM51 UOV47:UOV51 UPE47:UPE51 UPN47:UPN51 UPW47:UPW51 UQF47:UQF51 UQO47:UQO51 UQX47:UQX51 URG47:URG51 URP47:URP51 URY47:URY51 USH47:USH51 USQ47:USQ51 USZ47:USZ51 UTI47:UTI51 UTR47:UTR51 UUA47:UUA51 UUJ47:UUJ51 UUS47:UUS51 UVB47:UVB51 UVK47:UVK51 UVT47:UVT51 UWC47:UWC51 UWL47:UWL51 UWU47:UWU51 UXD47:UXD51 UXM47:UXM51 UXV47:UXV51 UYE47:UYE51 UYN47:UYN51 UYW47:UYW51 UZF47:UZF51 UZO47:UZO51 UZX47:UZX51 VAG47:VAG51 VAP47:VAP51 VAY47:VAY51 VBH47:VBH51 VBQ47:VBQ51 VBZ47:VBZ51 VCI47:VCI51 VCR47:VCR51 VDA47:VDA51 VDJ47:VDJ51 VDS47:VDS51 VEB47:VEB51 VEK47:VEK51 VET47:VET51 VFC47:VFC51 VFL47:VFL51 VFU47:VFU51 VGD47:VGD51 VGM47:VGM51 VGV47:VGV51 VHE47:VHE51 VHN47:VHN51 VHW47:VHW51 VIF47:VIF51 VIO47:VIO51 VIX47:VIX51 VJG47:VJG51 VJP47:VJP51 VJY47:VJY51 VKH47:VKH51 VKQ47:VKQ51 VKZ47:VKZ51 VLI47:VLI51 VLR47:VLR51 VMA47:VMA51 VMJ47:VMJ51 VMS47:VMS51 VNB47:VNB51 VNK47:VNK51 VNT47:VNT51 VOC47:VOC51 VOL47:VOL51 VOU47:VOU51 VPD47:VPD51 VPM47:VPM51 VPV47:VPV51 VQE47:VQE51 VQN47:VQN51 VQW47:VQW51 VRF47:VRF51 VRO47:VRO51 VRX47:VRX51 VSG47:VSG51 VSP47:VSP51 VSY47:VSY51 VTH47:VTH51 VTQ47:VTQ51 VTZ47:VTZ51 VUI47:VUI51 VUR47:VUR51 VVA47:VVA51 VVJ47:VVJ51 VVS47:VVS51 VWB47:VWB51 VWK47:VWK51 VWT47:VWT51 VXC47:VXC51 VXL47:VXL51 VXU47:VXU51 VYD47:VYD51 VYM47:VYM51 VYV47:VYV51 VZE47:VZE51 VZN47:VZN51 VZW47:VZW51 WAF47:WAF51 WAO47:WAO51 WAX47:WAX51 WBG47:WBG51 WBP47:WBP51 WBY47:WBY51 WCH47:WCH51 WCQ47:WCQ51 WCZ47:WCZ51 WDI47:WDI51 WDR47:WDR51 WEA47:WEA51 WEJ47:WEJ51 WES47:WES51 WFB47:WFB51 WFK47:WFK51 WFT47:WFT51 WGC47:WGC51 WGL47:WGL51 WGU47:WGU51 WHD47:WHD51 WHM47:WHM51 WHV47:WHV51 WIE47:WIE51 WIN47:WIN51 WIW47:WIW51 WJF47:WJF51 WJO47:WJO51 WJX47:WJX51 WKG47:WKG51 WKP47:WKP51 WKY47:WKY51 WLH47:WLH51 WLQ47:WLQ51 WLZ47:WLZ51 WMI47:WMI51 WMR47:WMR51 WNA47:WNA51 WNJ47:WNJ51 WNS47:WNS51 WOB47:WOB51 WOK47:WOK51 WOT47:WOT51 WPC47:WPC51 WPL47:WPL51 WPU47:WPU51 WQD47:WQD51 WQM47:WQM51 WQV47:WQV51 WRE47:WRE51 WRN47:WRN51 WRW47:WRW51 WSF47:WSF51 WSO47:WSO51 WSX47:WSX51 WTG47:WTG51 WTP47:WTP51 WTY47:WTY51 WUH47:WUH51 WUQ47:WUQ51 WUZ47:WUZ51 WVI47:WVI51 WVR47:WVR51 WWA47:WWA51 WWJ47:WWJ51 WWS47:WWS51 WXB47:WXB51 WXK47:WXK51 WXT47:WXT51 WYC47:WYC51 WYL47:WYL51 WYU47:WYU51 WZD47:WZD51 WZM47:WZM51 WZV47:WZV51 XAE47:XAE51 XAN47:XAN51 XAW47:XAW51 XBF47:XBF51 XBO47:XBO51 XBX47:XBX51 XCG47:XCG51 XCP47:XCP51 XCY47:XCY51 XDH47:XDH51 XDQ47:XDQ51 XDZ47:XDZ51 XEI47:XEI51 XER47:XER51 XFA47:XFA51">
    <cfRule type="containsText" dxfId="26" priority="22" operator="containsText" text="VENCIDA">
      <formula>NOT(ISERROR(SEARCH("VENCIDA",K2)))</formula>
    </cfRule>
    <cfRule type="containsText" dxfId="25" priority="23" operator="containsText" text="NO PRAZO">
      <formula>NOT(ISERROR(SEARCH("NO PRAZO",K2)))</formula>
    </cfRule>
  </conditionalFormatting>
  <conditionalFormatting sqref="I51:J51">
    <cfRule type="cellIs" dxfId="24" priority="7" operator="greaterThanOrEqual">
      <formula>-2</formula>
    </cfRule>
    <cfRule type="cellIs" dxfId="23" priority="8" operator="lessThan">
      <formula>-2</formula>
    </cfRule>
  </conditionalFormatting>
  <conditionalFormatting sqref="K51">
    <cfRule type="containsText" dxfId="22" priority="5" operator="containsText" text="VENCIDA">
      <formula>NOT(ISERROR(SEARCH("VENCIDA",K51)))</formula>
    </cfRule>
    <cfRule type="containsText" dxfId="21" priority="6" operator="containsText" text="NO PRAZO">
      <formula>NOT(ISERROR(SEARCH("NO PRAZO",K51)))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J67"/>
  <sheetViews>
    <sheetView workbookViewId="0">
      <selection activeCell="B2" sqref="B2:B36"/>
    </sheetView>
  </sheetViews>
  <sheetFormatPr defaultRowHeight="15" x14ac:dyDescent="0.25"/>
  <cols>
    <col min="1" max="1" width="51.7109375" bestFit="1" customWidth="1"/>
    <col min="2" max="2" width="18" bestFit="1" customWidth="1"/>
    <col min="3" max="3" width="20.7109375" bestFit="1" customWidth="1"/>
    <col min="4" max="4" width="18.5703125" bestFit="1" customWidth="1"/>
    <col min="5" max="5" width="13.7109375" bestFit="1" customWidth="1"/>
    <col min="6" max="6" width="13.140625" bestFit="1" customWidth="1"/>
    <col min="7" max="7" width="20.140625" customWidth="1"/>
    <col min="8" max="8" width="14.85546875" customWidth="1"/>
    <col min="9" max="9" width="32.28515625" customWidth="1"/>
    <col min="10" max="11" width="24.5703125" customWidth="1"/>
  </cols>
  <sheetData>
    <row r="1" spans="1:10" x14ac:dyDescent="0.25">
      <c r="A1" s="113" t="s">
        <v>81</v>
      </c>
      <c r="B1" s="47" t="s">
        <v>37</v>
      </c>
      <c r="C1" s="47" t="s">
        <v>38</v>
      </c>
      <c r="D1" s="47" t="s">
        <v>119</v>
      </c>
      <c r="E1" s="47" t="s">
        <v>45</v>
      </c>
      <c r="F1" s="47" t="s">
        <v>39</v>
      </c>
      <c r="G1" s="47" t="s">
        <v>42</v>
      </c>
      <c r="H1" s="47" t="s">
        <v>47</v>
      </c>
      <c r="I1" s="47" t="s">
        <v>50</v>
      </c>
      <c r="J1" s="47" t="s">
        <v>44</v>
      </c>
    </row>
    <row r="2" spans="1:10" x14ac:dyDescent="0.25">
      <c r="A2" s="32" t="s">
        <v>53</v>
      </c>
      <c r="B2" s="32"/>
      <c r="C2" s="32" t="s">
        <v>78</v>
      </c>
      <c r="D2" s="32" t="s">
        <v>120</v>
      </c>
      <c r="E2" s="32"/>
      <c r="F2" s="12">
        <f>'Menu principal'!O$25</f>
        <v>43250</v>
      </c>
      <c r="G2" s="36">
        <v>43237</v>
      </c>
      <c r="H2" s="9">
        <f>DAYS360(F2,G2)</f>
        <v>-13</v>
      </c>
      <c r="I2" s="114" t="str">
        <f ca="1">IF(G2="",F2-TODAY( ),"")</f>
        <v/>
      </c>
      <c r="J2" s="9" t="str">
        <f t="shared" ref="J2:J16" si="0">IF(H2&gt;0.99,"Vencida","No Prazo")</f>
        <v>No Prazo</v>
      </c>
    </row>
    <row r="3" spans="1:10" x14ac:dyDescent="0.25">
      <c r="A3" s="95" t="s">
        <v>55</v>
      </c>
      <c r="B3" s="100"/>
      <c r="C3" s="95" t="s">
        <v>79</v>
      </c>
      <c r="D3" s="100" t="s">
        <v>120</v>
      </c>
      <c r="E3" s="95"/>
      <c r="F3" s="12">
        <f>'Menu principal'!O$25</f>
        <v>43250</v>
      </c>
      <c r="G3" s="36">
        <v>43235</v>
      </c>
      <c r="H3" s="9">
        <f t="shared" ref="H3:H35" si="1">DAYS360(F3,G3)</f>
        <v>-15</v>
      </c>
      <c r="I3" s="9">
        <f ca="1">IF(Tabela1[[#This Row],[ENTREGA]]="",Tabela1[[#This Row],[VENCIMENTO]]-TODAY( ),"")</f>
        <v>-1</v>
      </c>
      <c r="J3" s="9" t="str">
        <f t="shared" si="0"/>
        <v>No Prazo</v>
      </c>
    </row>
    <row r="4" spans="1:10" x14ac:dyDescent="0.25">
      <c r="A4" s="97" t="s">
        <v>54</v>
      </c>
      <c r="B4" s="32"/>
      <c r="C4" s="97" t="s">
        <v>79</v>
      </c>
      <c r="D4" s="32" t="s">
        <v>120</v>
      </c>
      <c r="E4" s="97"/>
      <c r="F4" s="12">
        <f>'Menu principal'!O$25</f>
        <v>43250</v>
      </c>
      <c r="G4" s="36">
        <v>43239</v>
      </c>
      <c r="H4" s="9">
        <f t="shared" si="1"/>
        <v>-11</v>
      </c>
      <c r="I4" s="9">
        <f ca="1">IF(Tabela1[[#This Row],[ENTREGA]]="",Tabela1[[#This Row],[VENCIMENTO]]-TODAY( ),"")</f>
        <v>-1</v>
      </c>
      <c r="J4" s="9" t="str">
        <f t="shared" si="0"/>
        <v>No Prazo</v>
      </c>
    </row>
    <row r="5" spans="1:10" x14ac:dyDescent="0.25">
      <c r="A5" s="100" t="s">
        <v>56</v>
      </c>
      <c r="B5" s="100"/>
      <c r="C5" s="100" t="s">
        <v>79</v>
      </c>
      <c r="D5" s="100" t="s">
        <v>120</v>
      </c>
      <c r="E5" s="100"/>
      <c r="F5" s="12">
        <f>'Menu principal'!O$25</f>
        <v>43250</v>
      </c>
      <c r="G5" s="36">
        <v>43240</v>
      </c>
      <c r="H5" s="9">
        <f t="shared" si="1"/>
        <v>-10</v>
      </c>
      <c r="I5" s="9">
        <f ca="1">IF(Tabela1[[#This Row],[ENTREGA]]="",Tabela1[[#This Row],[VENCIMENTO]]-TODAY( ),"")</f>
        <v>-1</v>
      </c>
      <c r="J5" s="9" t="str">
        <f t="shared" si="0"/>
        <v>No Prazo</v>
      </c>
    </row>
    <row r="6" spans="1:10" x14ac:dyDescent="0.25">
      <c r="A6" s="97" t="s">
        <v>57</v>
      </c>
      <c r="B6" s="32"/>
      <c r="C6" s="97" t="s">
        <v>137</v>
      </c>
      <c r="D6" s="32" t="s">
        <v>120</v>
      </c>
      <c r="E6" s="97"/>
      <c r="F6" s="12">
        <f>'Menu principal'!O$25</f>
        <v>43250</v>
      </c>
      <c r="G6" s="36">
        <v>43241</v>
      </c>
      <c r="H6" s="9">
        <f t="shared" si="1"/>
        <v>-9</v>
      </c>
      <c r="I6" s="9" t="str">
        <f ca="1">IF(Tabela1[[#This Row],[ENTREGA]]="",Tabela1[[#This Row],[VENCIMENTO]]-TODAY( ),"")</f>
        <v/>
      </c>
      <c r="J6" s="9" t="str">
        <f t="shared" si="0"/>
        <v>No Prazo</v>
      </c>
    </row>
    <row r="7" spans="1:10" x14ac:dyDescent="0.25">
      <c r="A7" s="95" t="s">
        <v>58</v>
      </c>
      <c r="B7" s="100"/>
      <c r="C7" s="95" t="s">
        <v>137</v>
      </c>
      <c r="D7" s="100" t="s">
        <v>120</v>
      </c>
      <c r="E7" s="95"/>
      <c r="F7" s="12">
        <f>'Menu principal'!O$25</f>
        <v>43250</v>
      </c>
      <c r="G7" s="36">
        <v>43242</v>
      </c>
      <c r="H7" s="9">
        <f t="shared" si="1"/>
        <v>-8</v>
      </c>
      <c r="I7" s="9" t="str">
        <f ca="1">IF(Tabela1[[#This Row],[ENTREGA]]="",Tabela1[[#This Row],[VENCIMENTO]]-TODAY( ),"")</f>
        <v/>
      </c>
      <c r="J7" s="9" t="str">
        <f t="shared" si="0"/>
        <v>No Prazo</v>
      </c>
    </row>
    <row r="8" spans="1:10" x14ac:dyDescent="0.25">
      <c r="A8" s="32" t="s">
        <v>60</v>
      </c>
      <c r="B8" s="32"/>
      <c r="C8" s="32" t="s">
        <v>137</v>
      </c>
      <c r="D8" s="32" t="s">
        <v>120</v>
      </c>
      <c r="E8" s="32"/>
      <c r="F8" s="12">
        <f>'Menu principal'!O$25</f>
        <v>43250</v>
      </c>
      <c r="G8" s="36">
        <v>43243</v>
      </c>
      <c r="H8" s="9">
        <f t="shared" si="1"/>
        <v>-7</v>
      </c>
      <c r="I8" s="9" t="str">
        <f ca="1">IF(Tabela1[[#This Row],[ENTREGA]]="",Tabela1[[#This Row],[VENCIMENTO]]-TODAY( ),"")</f>
        <v/>
      </c>
      <c r="J8" s="9" t="str">
        <f t="shared" si="0"/>
        <v>No Prazo</v>
      </c>
    </row>
    <row r="9" spans="1:10" x14ac:dyDescent="0.25">
      <c r="A9" s="98" t="s">
        <v>59</v>
      </c>
      <c r="B9" s="98"/>
      <c r="C9" s="98" t="s">
        <v>79</v>
      </c>
      <c r="D9" s="98" t="s">
        <v>120</v>
      </c>
      <c r="E9" s="98"/>
      <c r="F9" s="12">
        <f>'Menu principal'!O$25</f>
        <v>43250</v>
      </c>
      <c r="G9" s="36">
        <v>43251</v>
      </c>
      <c r="H9" s="9">
        <f>DAYS360(F9,G9)</f>
        <v>0</v>
      </c>
      <c r="I9" s="9">
        <f ca="1">IF(Tabela1[[#This Row],[ENTREGA]]="",Tabela1[[#This Row],[VENCIMENTO]]-TODAY( ),"")</f>
        <v>-1</v>
      </c>
      <c r="J9" s="9" t="str">
        <f t="shared" si="0"/>
        <v>No Prazo</v>
      </c>
    </row>
    <row r="10" spans="1:10" x14ac:dyDescent="0.25">
      <c r="A10" s="32" t="s">
        <v>61</v>
      </c>
      <c r="B10" s="32"/>
      <c r="C10" s="32" t="s">
        <v>137</v>
      </c>
      <c r="D10" s="32" t="s">
        <v>120</v>
      </c>
      <c r="E10" s="32"/>
      <c r="F10" s="12">
        <f>'Menu principal'!O$25</f>
        <v>43250</v>
      </c>
      <c r="G10" s="36">
        <v>43245</v>
      </c>
      <c r="H10" s="9">
        <f t="shared" si="1"/>
        <v>-5</v>
      </c>
      <c r="I10" s="9" t="str">
        <f ca="1">IF(Tabela1[[#This Row],[ENTREGA]]="",Tabela1[[#This Row],[VENCIMENTO]]-TODAY( ),"")</f>
        <v/>
      </c>
      <c r="J10" s="9" t="str">
        <f t="shared" si="0"/>
        <v>No Prazo</v>
      </c>
    </row>
    <row r="11" spans="1:10" x14ac:dyDescent="0.25">
      <c r="A11" s="100" t="s">
        <v>62</v>
      </c>
      <c r="B11" s="100"/>
      <c r="C11" s="100" t="s">
        <v>137</v>
      </c>
      <c r="D11" s="100" t="s">
        <v>120</v>
      </c>
      <c r="E11" s="100"/>
      <c r="F11" s="12">
        <f>'Menu principal'!O$25</f>
        <v>43250</v>
      </c>
      <c r="G11" s="36">
        <v>43246</v>
      </c>
      <c r="H11" s="9">
        <f t="shared" si="1"/>
        <v>-4</v>
      </c>
      <c r="I11" s="9" t="str">
        <f ca="1">IF(Tabela1[[#This Row],[ENTREGA]]="",Tabela1[[#This Row],[VENCIMENTO]]-TODAY( ),"")</f>
        <v/>
      </c>
      <c r="J11" s="9" t="str">
        <f t="shared" si="0"/>
        <v>No Prazo</v>
      </c>
    </row>
    <row r="12" spans="1:10" x14ac:dyDescent="0.25">
      <c r="A12" s="32" t="s">
        <v>63</v>
      </c>
      <c r="B12" s="32"/>
      <c r="C12" s="32" t="s">
        <v>137</v>
      </c>
      <c r="D12" s="32" t="s">
        <v>120</v>
      </c>
      <c r="E12" s="32"/>
      <c r="F12" s="12">
        <f>'Menu principal'!O$25</f>
        <v>43250</v>
      </c>
      <c r="G12" s="36">
        <v>43250</v>
      </c>
      <c r="H12" s="9">
        <f>DAYS360(F12,G12)</f>
        <v>0</v>
      </c>
      <c r="I12" s="9" t="str">
        <f ca="1">IF(Tabela1[[#This Row],[ENTREGA]]="",Tabela1[[#This Row],[VENCIMENTO]]-TODAY( ),"")</f>
        <v/>
      </c>
      <c r="J12" s="9" t="str">
        <f t="shared" si="0"/>
        <v>No Prazo</v>
      </c>
    </row>
    <row r="13" spans="1:10" x14ac:dyDescent="0.25">
      <c r="A13" s="98" t="s">
        <v>64</v>
      </c>
      <c r="B13" s="98"/>
      <c r="C13" s="98" t="s">
        <v>79</v>
      </c>
      <c r="D13" s="98" t="s">
        <v>123</v>
      </c>
      <c r="E13" s="98"/>
      <c r="F13" s="12">
        <f>'Menu principal'!O$25</f>
        <v>43250</v>
      </c>
      <c r="G13" s="36">
        <v>43248</v>
      </c>
      <c r="H13" s="9">
        <f>DAYS360(F13,G13)</f>
        <v>-2</v>
      </c>
      <c r="I13" s="9">
        <f ca="1">IF(Tabela1[[#This Row],[ENTREGA]]="",Tabela1[[#This Row],[VENCIMENTO]]-TODAY( ),"")</f>
        <v>-1</v>
      </c>
      <c r="J13" s="9" t="str">
        <f t="shared" si="0"/>
        <v>No Prazo</v>
      </c>
    </row>
    <row r="14" spans="1:10" x14ac:dyDescent="0.25">
      <c r="A14" s="97" t="s">
        <v>65</v>
      </c>
      <c r="B14" s="32"/>
      <c r="C14" s="97" t="s">
        <v>78</v>
      </c>
      <c r="D14" s="32" t="s">
        <v>120</v>
      </c>
      <c r="E14" s="97"/>
      <c r="F14" s="12">
        <f>'Menu principal'!O$25</f>
        <v>43250</v>
      </c>
      <c r="G14" s="36">
        <v>43249</v>
      </c>
      <c r="H14" s="9">
        <f t="shared" si="1"/>
        <v>-1</v>
      </c>
      <c r="I14" s="9" t="str">
        <f ca="1">IF(Tabela1[[#This Row],[ENTREGA]]="",Tabela1[[#This Row],[VENCIMENTO]]-TODAY( ),"")</f>
        <v/>
      </c>
      <c r="J14" s="9" t="str">
        <f t="shared" si="0"/>
        <v>No Prazo</v>
      </c>
    </row>
    <row r="15" spans="1:10" x14ac:dyDescent="0.25">
      <c r="A15" s="105" t="s">
        <v>102</v>
      </c>
      <c r="B15" s="98"/>
      <c r="C15" s="99" t="s">
        <v>78</v>
      </c>
      <c r="D15" s="99" t="s">
        <v>197</v>
      </c>
      <c r="E15" s="99"/>
      <c r="F15" s="48">
        <f>'Menu principal'!O$25</f>
        <v>43250</v>
      </c>
      <c r="G15" s="36">
        <v>43250</v>
      </c>
      <c r="H15" s="9">
        <f t="shared" si="1"/>
        <v>0</v>
      </c>
      <c r="I15" s="9" t="str">
        <f ca="1">IF(Tabela1[[#This Row],[ENTREGA]]="",Tabela1[[#This Row],[VENCIMENTO]]-TODAY( ),"")</f>
        <v/>
      </c>
      <c r="J15" s="9" t="str">
        <f t="shared" si="0"/>
        <v>No Prazo</v>
      </c>
    </row>
    <row r="16" spans="1:10" x14ac:dyDescent="0.25">
      <c r="A16" s="97" t="s">
        <v>66</v>
      </c>
      <c r="B16" s="32"/>
      <c r="C16" s="97" t="s">
        <v>78</v>
      </c>
      <c r="D16" s="97" t="s">
        <v>120</v>
      </c>
      <c r="E16" s="97"/>
      <c r="F16" s="12">
        <f>'Menu principal'!O$25</f>
        <v>43250</v>
      </c>
      <c r="G16" s="36">
        <v>43251</v>
      </c>
      <c r="H16" s="9">
        <f t="shared" si="1"/>
        <v>0</v>
      </c>
      <c r="I16" s="9" t="str">
        <f ca="1">IF(Tabela1[[#This Row],[ENTREGA]]="",Tabela1[[#This Row],[VENCIMENTO]]-TODAY( ),"")</f>
        <v/>
      </c>
      <c r="J16" s="9" t="str">
        <f t="shared" si="0"/>
        <v>No Prazo</v>
      </c>
    </row>
    <row r="17" spans="1:10" x14ac:dyDescent="0.25">
      <c r="A17" s="100" t="s">
        <v>69</v>
      </c>
      <c r="B17" s="100"/>
      <c r="C17" s="100" t="s">
        <v>79</v>
      </c>
      <c r="D17" s="100" t="s">
        <v>120</v>
      </c>
      <c r="E17" s="100"/>
      <c r="F17" s="12">
        <f>'Menu principal'!O$25</f>
        <v>43250</v>
      </c>
      <c r="G17" s="36">
        <v>43252</v>
      </c>
      <c r="H17" s="9">
        <f t="shared" si="1"/>
        <v>1</v>
      </c>
      <c r="I17" s="9">
        <f ca="1">IF(Tabela1[[#This Row],[ENTREGA]]="",Tabela1[[#This Row],[VENCIMENTO]]-TODAY( ),"")</f>
        <v>-1</v>
      </c>
      <c r="J17" s="9" t="str">
        <f>IF(H17&gt;0.99,"Vencida","No Prazo")</f>
        <v>Vencida</v>
      </c>
    </row>
    <row r="18" spans="1:10" x14ac:dyDescent="0.25">
      <c r="A18" s="32" t="s">
        <v>70</v>
      </c>
      <c r="B18" s="32"/>
      <c r="C18" s="32" t="s">
        <v>79</v>
      </c>
      <c r="D18" s="32" t="s">
        <v>120</v>
      </c>
      <c r="E18" s="32"/>
      <c r="F18" s="12">
        <f>'Menu principal'!O$25</f>
        <v>43250</v>
      </c>
      <c r="G18" s="36">
        <v>43253</v>
      </c>
      <c r="H18" s="9">
        <f t="shared" si="1"/>
        <v>2</v>
      </c>
      <c r="I18" s="9">
        <f ca="1">IF(Tabela1[[#This Row],[ENTREGA]]="",Tabela1[[#This Row],[VENCIMENTO]]-TODAY( ),"")</f>
        <v>-1</v>
      </c>
      <c r="J18" s="9" t="str">
        <f t="shared" ref="J18:J36" si="2">IF(H18&gt;0.99,"Vencida","No Prazo")</f>
        <v>Vencida</v>
      </c>
    </row>
    <row r="19" spans="1:10" x14ac:dyDescent="0.25">
      <c r="A19" s="100" t="s">
        <v>80</v>
      </c>
      <c r="B19" s="100"/>
      <c r="C19" s="100" t="s">
        <v>78</v>
      </c>
      <c r="D19" s="100" t="s">
        <v>120</v>
      </c>
      <c r="E19" s="100"/>
      <c r="F19" s="12">
        <f>'Menu principal'!O$25</f>
        <v>43250</v>
      </c>
      <c r="G19" s="36">
        <v>43254</v>
      </c>
      <c r="H19" s="9">
        <f t="shared" si="1"/>
        <v>3</v>
      </c>
      <c r="I19" s="9" t="str">
        <f ca="1">IF(Tabela1[[#This Row],[ENTREGA]]="",Tabela1[[#This Row],[VENCIMENTO]]-TODAY( ),"")</f>
        <v/>
      </c>
      <c r="J19" s="9" t="str">
        <f t="shared" si="2"/>
        <v>Vencida</v>
      </c>
    </row>
    <row r="20" spans="1:10" x14ac:dyDescent="0.25">
      <c r="A20" s="32" t="s">
        <v>71</v>
      </c>
      <c r="B20" s="32"/>
      <c r="C20" s="32" t="s">
        <v>79</v>
      </c>
      <c r="D20" s="32" t="s">
        <v>120</v>
      </c>
      <c r="E20" s="32"/>
      <c r="F20" s="12">
        <f>'Menu principal'!O$25</f>
        <v>43250</v>
      </c>
      <c r="G20" s="36">
        <v>43255</v>
      </c>
      <c r="H20" s="9">
        <f t="shared" si="1"/>
        <v>4</v>
      </c>
      <c r="I20" s="9">
        <f ca="1">IF(Tabela1[[#This Row],[ENTREGA]]="",Tabela1[[#This Row],[VENCIMENTO]]-TODAY( ),"")</f>
        <v>-1</v>
      </c>
      <c r="J20" s="9" t="str">
        <f t="shared" si="2"/>
        <v>Vencida</v>
      </c>
    </row>
    <row r="21" spans="1:10" x14ac:dyDescent="0.25">
      <c r="A21" s="98" t="s">
        <v>82</v>
      </c>
      <c r="B21" s="98"/>
      <c r="C21" s="98" t="s">
        <v>79</v>
      </c>
      <c r="D21" s="98" t="s">
        <v>123</v>
      </c>
      <c r="E21" s="98"/>
      <c r="F21" s="12">
        <f>'Menu principal'!O$25</f>
        <v>43250</v>
      </c>
      <c r="G21" s="36">
        <v>43256</v>
      </c>
      <c r="H21" s="9">
        <f t="shared" si="1"/>
        <v>5</v>
      </c>
      <c r="I21" s="9">
        <f ca="1">IF(Tabela1[[#This Row],[ENTREGA]]="",Tabela1[[#This Row],[VENCIMENTO]]-TODAY( ),"")</f>
        <v>-1</v>
      </c>
      <c r="J21" s="9" t="str">
        <f t="shared" si="2"/>
        <v>Vencida</v>
      </c>
    </row>
    <row r="22" spans="1:10" x14ac:dyDescent="0.25">
      <c r="A22" s="99" t="s">
        <v>73</v>
      </c>
      <c r="B22" s="98"/>
      <c r="C22" s="99" t="s">
        <v>79</v>
      </c>
      <c r="D22" s="98" t="s">
        <v>120</v>
      </c>
      <c r="E22" s="99"/>
      <c r="F22" s="12">
        <f>'Menu principal'!O$25</f>
        <v>43250</v>
      </c>
      <c r="G22" s="36">
        <v>43245</v>
      </c>
      <c r="H22" s="9">
        <f t="shared" si="1"/>
        <v>-5</v>
      </c>
      <c r="I22" s="9">
        <f ca="1">IF(Tabela1[[#This Row],[ENTREGA]]="",Tabela1[[#This Row],[VENCIMENTO]]-TODAY( ),"")</f>
        <v>-1</v>
      </c>
      <c r="J22" s="9" t="str">
        <f t="shared" si="2"/>
        <v>No Prazo</v>
      </c>
    </row>
    <row r="23" spans="1:10" x14ac:dyDescent="0.25">
      <c r="A23" s="100" t="s">
        <v>72</v>
      </c>
      <c r="B23" s="100"/>
      <c r="C23" s="100" t="s">
        <v>79</v>
      </c>
      <c r="D23" s="100" t="s">
        <v>120</v>
      </c>
      <c r="E23" s="100"/>
      <c r="F23" s="12">
        <f>'Menu principal'!O$25</f>
        <v>43250</v>
      </c>
      <c r="G23" s="36">
        <v>43258</v>
      </c>
      <c r="H23" s="9">
        <f t="shared" si="1"/>
        <v>7</v>
      </c>
      <c r="I23" s="9">
        <f ca="1">IF(Tabela1[[#This Row],[ENTREGA]]="",Tabela1[[#This Row],[VENCIMENTO]]-TODAY( ),"")</f>
        <v>-1</v>
      </c>
      <c r="J23" s="9" t="str">
        <f t="shared" si="2"/>
        <v>Vencida</v>
      </c>
    </row>
    <row r="24" spans="1:10" x14ac:dyDescent="0.25">
      <c r="A24" s="97" t="s">
        <v>74</v>
      </c>
      <c r="B24" s="32"/>
      <c r="C24" s="97" t="s">
        <v>79</v>
      </c>
      <c r="D24" s="32" t="s">
        <v>120</v>
      </c>
      <c r="E24" s="97"/>
      <c r="F24" s="12">
        <f>'Menu principal'!O$25</f>
        <v>43250</v>
      </c>
      <c r="G24" s="36">
        <v>43259</v>
      </c>
      <c r="H24" s="9">
        <f t="shared" si="1"/>
        <v>8</v>
      </c>
      <c r="I24" s="9">
        <f ca="1">IF(Tabela1[[#This Row],[ENTREGA]]="",Tabela1[[#This Row],[VENCIMENTO]]-TODAY( ),"")</f>
        <v>-1</v>
      </c>
      <c r="J24" s="9" t="str">
        <f t="shared" si="2"/>
        <v>Vencida</v>
      </c>
    </row>
    <row r="25" spans="1:10" x14ac:dyDescent="0.25">
      <c r="A25" s="98" t="s">
        <v>83</v>
      </c>
      <c r="B25" s="98"/>
      <c r="C25" s="98" t="s">
        <v>79</v>
      </c>
      <c r="D25" s="98" t="s">
        <v>123</v>
      </c>
      <c r="E25" s="98"/>
      <c r="F25" s="12">
        <f>'Menu principal'!O$25</f>
        <v>43250</v>
      </c>
      <c r="G25" s="36">
        <v>43260</v>
      </c>
      <c r="H25" s="9">
        <f t="shared" si="1"/>
        <v>9</v>
      </c>
      <c r="I25" s="9">
        <f ca="1">IF(Tabela1[[#This Row],[ENTREGA]]="",Tabela1[[#This Row],[VENCIMENTO]]-TODAY( ),"")</f>
        <v>-1</v>
      </c>
      <c r="J25" s="9" t="str">
        <f t="shared" si="2"/>
        <v>Vencida</v>
      </c>
    </row>
    <row r="26" spans="1:10" x14ac:dyDescent="0.25">
      <c r="A26" s="97" t="s">
        <v>75</v>
      </c>
      <c r="B26" s="32"/>
      <c r="C26" s="97" t="s">
        <v>79</v>
      </c>
      <c r="D26" s="32" t="s">
        <v>120</v>
      </c>
      <c r="E26" s="97"/>
      <c r="F26" s="12">
        <f>'Menu principal'!O$25</f>
        <v>43250</v>
      </c>
      <c r="G26" s="36">
        <v>43261</v>
      </c>
      <c r="H26" s="9">
        <f t="shared" si="1"/>
        <v>10</v>
      </c>
      <c r="I26" s="9">
        <f ca="1">IF(Tabela1[[#This Row],[ENTREGA]]="",Tabela1[[#This Row],[VENCIMENTO]]-TODAY( ),"")</f>
        <v>-1</v>
      </c>
      <c r="J26" s="9" t="str">
        <f t="shared" si="2"/>
        <v>Vencida</v>
      </c>
    </row>
    <row r="27" spans="1:10" x14ac:dyDescent="0.25">
      <c r="A27" s="98" t="s">
        <v>76</v>
      </c>
      <c r="B27" s="98"/>
      <c r="C27" s="98" t="s">
        <v>79</v>
      </c>
      <c r="D27" s="98" t="s">
        <v>120</v>
      </c>
      <c r="E27" s="98"/>
      <c r="F27" s="12">
        <f>'Menu principal'!O$25</f>
        <v>43250</v>
      </c>
      <c r="G27" s="36">
        <v>43262</v>
      </c>
      <c r="H27" s="9">
        <f t="shared" si="1"/>
        <v>11</v>
      </c>
      <c r="I27" s="9">
        <f ca="1">IF(Tabela1[[#This Row],[ENTREGA]]="",Tabela1[[#This Row],[VENCIMENTO]]-TODAY( ),"")</f>
        <v>-1</v>
      </c>
      <c r="J27" s="9" t="str">
        <f t="shared" si="2"/>
        <v>Vencida</v>
      </c>
    </row>
    <row r="28" spans="1:10" x14ac:dyDescent="0.25">
      <c r="A28" s="32" t="s">
        <v>77</v>
      </c>
      <c r="B28" s="32"/>
      <c r="C28" s="32" t="s">
        <v>79</v>
      </c>
      <c r="D28" s="32" t="s">
        <v>120</v>
      </c>
      <c r="E28" s="32"/>
      <c r="F28" s="12">
        <f>'Menu principal'!O$25</f>
        <v>43250</v>
      </c>
      <c r="G28" s="36">
        <v>43263</v>
      </c>
      <c r="H28" s="9">
        <f t="shared" si="1"/>
        <v>12</v>
      </c>
      <c r="I28" s="9">
        <f ca="1">IF(Tabela1[[#This Row],[ENTREGA]]="",Tabela1[[#This Row],[VENCIMENTO]]-TODAY( ),"")</f>
        <v>-1</v>
      </c>
      <c r="J28" s="9" t="str">
        <f t="shared" si="2"/>
        <v>Vencida</v>
      </c>
    </row>
    <row r="29" spans="1:10" x14ac:dyDescent="0.25">
      <c r="A29" s="95" t="s">
        <v>67</v>
      </c>
      <c r="B29" s="100"/>
      <c r="C29" s="95" t="s">
        <v>78</v>
      </c>
      <c r="D29" s="100" t="s">
        <v>120</v>
      </c>
      <c r="E29" s="95"/>
      <c r="F29" s="12">
        <f>'Menu principal'!O$25</f>
        <v>43250</v>
      </c>
      <c r="G29" s="36">
        <v>43264</v>
      </c>
      <c r="H29" s="9">
        <f t="shared" si="1"/>
        <v>13</v>
      </c>
      <c r="I29" s="9" t="str">
        <f ca="1">IF(Tabela1[[#This Row],[ENTREGA]]="",Tabela1[[#This Row],[VENCIMENTO]]-TODAY( ),"")</f>
        <v/>
      </c>
      <c r="J29" s="9" t="str">
        <f t="shared" si="2"/>
        <v>Vencida</v>
      </c>
    </row>
    <row r="30" spans="1:10" x14ac:dyDescent="0.25">
      <c r="A30" s="99" t="s">
        <v>68</v>
      </c>
      <c r="B30" s="101"/>
      <c r="C30" s="99" t="s">
        <v>122</v>
      </c>
      <c r="D30" s="98" t="s">
        <v>196</v>
      </c>
      <c r="E30" s="99"/>
      <c r="F30" s="12">
        <f>'Menu principal'!O$25</f>
        <v>43250</v>
      </c>
      <c r="G30" s="36">
        <v>43265</v>
      </c>
      <c r="H30" s="9">
        <f t="shared" si="1"/>
        <v>14</v>
      </c>
      <c r="I30" s="9">
        <f ca="1">IF(Tabela1[[#This Row],[ENTREGA]]="",Tabela1[[#This Row],[VENCIMENTO]]-TODAY( ),"")</f>
        <v>-1</v>
      </c>
      <c r="J30" s="9" t="str">
        <f t="shared" si="2"/>
        <v>Vencida</v>
      </c>
    </row>
    <row r="31" spans="1:10" x14ac:dyDescent="0.25">
      <c r="A31" s="99" t="s">
        <v>121</v>
      </c>
      <c r="B31" s="101"/>
      <c r="C31" s="99" t="s">
        <v>122</v>
      </c>
      <c r="D31" s="99" t="s">
        <v>123</v>
      </c>
      <c r="E31" s="99"/>
      <c r="F31" s="12">
        <f>'Menu principal'!O$25</f>
        <v>43250</v>
      </c>
      <c r="G31" s="36">
        <v>43266</v>
      </c>
      <c r="H31" s="9">
        <f t="shared" si="1"/>
        <v>15</v>
      </c>
      <c r="I31" s="9">
        <f ca="1">IF(Tabela1[[#This Row],[ENTREGA]]="",Tabela1[[#This Row],[VENCIMENTO]]-TODAY( ),"")</f>
        <v>-1</v>
      </c>
      <c r="J31" s="9" t="str">
        <f t="shared" si="2"/>
        <v>Vencida</v>
      </c>
    </row>
    <row r="32" spans="1:10" x14ac:dyDescent="0.25">
      <c r="A32" s="99" t="s">
        <v>124</v>
      </c>
      <c r="B32" s="101"/>
      <c r="C32" s="99" t="s">
        <v>122</v>
      </c>
      <c r="D32" s="99" t="s">
        <v>123</v>
      </c>
      <c r="E32" s="99"/>
      <c r="F32" s="12">
        <f>'Menu principal'!O$25</f>
        <v>43250</v>
      </c>
      <c r="G32" s="36">
        <v>43267</v>
      </c>
      <c r="H32" s="9">
        <f t="shared" si="1"/>
        <v>16</v>
      </c>
      <c r="I32" s="9">
        <f ca="1">IF(Tabela1[[#This Row],[ENTREGA]]="",Tabela1[[#This Row],[VENCIMENTO]]-TODAY( ),"")</f>
        <v>-1</v>
      </c>
      <c r="J32" s="9" t="str">
        <f t="shared" si="2"/>
        <v>Vencida</v>
      </c>
    </row>
    <row r="33" spans="1:10" x14ac:dyDescent="0.25">
      <c r="A33" s="99" t="s">
        <v>125</v>
      </c>
      <c r="B33" s="101"/>
      <c r="C33" s="99" t="s">
        <v>122</v>
      </c>
      <c r="D33" s="99" t="s">
        <v>123</v>
      </c>
      <c r="E33" s="99"/>
      <c r="F33" s="12">
        <f>'Menu principal'!O$25</f>
        <v>43250</v>
      </c>
      <c r="G33" s="36">
        <v>43268</v>
      </c>
      <c r="H33" s="9">
        <f t="shared" si="1"/>
        <v>17</v>
      </c>
      <c r="I33" s="9">
        <f ca="1">IF(Tabela1[[#This Row],[ENTREGA]]="",Tabela1[[#This Row],[VENCIMENTO]]-TODAY( ),"")</f>
        <v>-1</v>
      </c>
      <c r="J33" s="9" t="str">
        <f t="shared" si="2"/>
        <v>Vencida</v>
      </c>
    </row>
    <row r="34" spans="1:10" x14ac:dyDescent="0.25">
      <c r="A34" s="103" t="s">
        <v>135</v>
      </c>
      <c r="B34" s="102"/>
      <c r="C34" s="103" t="s">
        <v>78</v>
      </c>
      <c r="D34" s="103" t="s">
        <v>123</v>
      </c>
      <c r="E34" s="103"/>
      <c r="F34" s="59">
        <f>'Menu principal'!O$25</f>
        <v>43250</v>
      </c>
      <c r="G34" s="36">
        <v>43269</v>
      </c>
      <c r="H34" s="9">
        <f t="shared" si="1"/>
        <v>18</v>
      </c>
      <c r="I34" s="9" t="str">
        <f ca="1">IF(Tabela1[[#This Row],[ENTREGA]]="",Tabela1[[#This Row],[VENCIMENTO]]-TODAY( ),"")</f>
        <v/>
      </c>
      <c r="J34" s="9" t="str">
        <f t="shared" si="2"/>
        <v>Vencida</v>
      </c>
    </row>
    <row r="35" spans="1:10" x14ac:dyDescent="0.25">
      <c r="A35" s="111" t="s">
        <v>136</v>
      </c>
      <c r="B35" s="68"/>
      <c r="C35" s="95" t="s">
        <v>78</v>
      </c>
      <c r="D35" s="95" t="s">
        <v>120</v>
      </c>
      <c r="E35" s="95"/>
      <c r="F35" s="96">
        <f>'Menu principal'!O$25</f>
        <v>43250</v>
      </c>
      <c r="G35" s="36">
        <v>43270</v>
      </c>
      <c r="H35" s="9">
        <f t="shared" si="1"/>
        <v>19</v>
      </c>
      <c r="I35" s="9" t="str">
        <f ca="1">IF(Tabela1[[#This Row],[ENTREGA]]="",Tabela1[[#This Row],[VENCIMENTO]]-TODAY( ),"")</f>
        <v/>
      </c>
      <c r="J35" s="9" t="str">
        <f t="shared" si="2"/>
        <v>Vencida</v>
      </c>
    </row>
    <row r="36" spans="1:10" x14ac:dyDescent="0.25">
      <c r="A36" s="112" t="s">
        <v>93</v>
      </c>
      <c r="B36" s="104"/>
      <c r="C36" s="32" t="s">
        <v>78</v>
      </c>
      <c r="D36" s="32" t="s">
        <v>120</v>
      </c>
      <c r="E36" s="32"/>
      <c r="F36" s="12">
        <f>'Menu principal'!O$25</f>
        <v>43250</v>
      </c>
      <c r="G36" s="36">
        <v>43271</v>
      </c>
      <c r="H36" s="9">
        <f>DAYS360(F36,G36)</f>
        <v>20</v>
      </c>
      <c r="I36" s="9" t="str">
        <f ca="1">IF(Tabela1[[#This Row],[ENTREGA]]="",Tabela1[[#This Row],[VENCIMENTO]]-TODAY( ),"")</f>
        <v/>
      </c>
      <c r="J36" s="9" t="str">
        <f t="shared" si="2"/>
        <v>Vencida</v>
      </c>
    </row>
    <row r="37" spans="1:10" x14ac:dyDescent="0.25">
      <c r="G37" s="106"/>
    </row>
    <row r="38" spans="1:10" x14ac:dyDescent="0.25">
      <c r="G38" s="106"/>
    </row>
    <row r="39" spans="1:10" x14ac:dyDescent="0.25">
      <c r="G39" s="106"/>
    </row>
    <row r="40" spans="1:10" x14ac:dyDescent="0.25">
      <c r="G40" s="106"/>
    </row>
    <row r="41" spans="1:10" x14ac:dyDescent="0.25">
      <c r="G41" s="106"/>
    </row>
    <row r="42" spans="1:10" x14ac:dyDescent="0.25">
      <c r="G42" s="106"/>
    </row>
    <row r="43" spans="1:10" x14ac:dyDescent="0.25">
      <c r="G43" s="106"/>
    </row>
    <row r="44" spans="1:10" x14ac:dyDescent="0.25">
      <c r="G44" s="106"/>
    </row>
    <row r="45" spans="1:10" x14ac:dyDescent="0.25">
      <c r="G45" s="106"/>
    </row>
    <row r="46" spans="1:10" x14ac:dyDescent="0.25">
      <c r="G46" s="106"/>
    </row>
    <row r="47" spans="1:10" x14ac:dyDescent="0.25">
      <c r="G47" s="106"/>
    </row>
    <row r="48" spans="1:10" x14ac:dyDescent="0.25">
      <c r="G48" s="106"/>
    </row>
    <row r="49" spans="7:7" x14ac:dyDescent="0.25">
      <c r="G49" s="106"/>
    </row>
    <row r="50" spans="7:7" x14ac:dyDescent="0.25">
      <c r="G50" s="106"/>
    </row>
    <row r="51" spans="7:7" x14ac:dyDescent="0.25">
      <c r="G51" s="106"/>
    </row>
    <row r="52" spans="7:7" x14ac:dyDescent="0.25">
      <c r="G52" s="106"/>
    </row>
    <row r="53" spans="7:7" x14ac:dyDescent="0.25">
      <c r="G53" s="106"/>
    </row>
    <row r="54" spans="7:7" x14ac:dyDescent="0.25">
      <c r="G54" s="106"/>
    </row>
    <row r="55" spans="7:7" x14ac:dyDescent="0.25">
      <c r="G55" s="106"/>
    </row>
    <row r="56" spans="7:7" x14ac:dyDescent="0.25">
      <c r="G56" s="106"/>
    </row>
    <row r="57" spans="7:7" x14ac:dyDescent="0.25">
      <c r="G57" s="106"/>
    </row>
    <row r="58" spans="7:7" x14ac:dyDescent="0.25">
      <c r="G58" s="106"/>
    </row>
    <row r="59" spans="7:7" x14ac:dyDescent="0.25">
      <c r="G59" s="106"/>
    </row>
    <row r="60" spans="7:7" x14ac:dyDescent="0.25">
      <c r="G60" s="106"/>
    </row>
    <row r="61" spans="7:7" x14ac:dyDescent="0.25">
      <c r="G61" s="106"/>
    </row>
    <row r="62" spans="7:7" x14ac:dyDescent="0.25">
      <c r="G62" s="106"/>
    </row>
    <row r="63" spans="7:7" x14ac:dyDescent="0.25">
      <c r="G63" s="106"/>
    </row>
    <row r="64" spans="7:7" x14ac:dyDescent="0.25">
      <c r="G64" s="106"/>
    </row>
    <row r="65" spans="7:7" x14ac:dyDescent="0.25">
      <c r="G65" s="106"/>
    </row>
    <row r="66" spans="7:7" x14ac:dyDescent="0.25">
      <c r="G66" s="106"/>
    </row>
    <row r="67" spans="7:7" x14ac:dyDescent="0.25">
      <c r="G67" s="106"/>
    </row>
  </sheetData>
  <autoFilter ref="A1:J1"/>
  <conditionalFormatting sqref="H2">
    <cfRule type="cellIs" dxfId="10" priority="8" operator="greaterThan">
      <formula>-2</formula>
    </cfRule>
    <cfRule type="cellIs" dxfId="9" priority="9" operator="lessThan">
      <formula>-13</formula>
    </cfRule>
    <cfRule type="cellIs" dxfId="8" priority="10" operator="lessThan">
      <formula>-2</formula>
    </cfRule>
    <cfRule type="cellIs" dxfId="7" priority="11" operator="greaterThan">
      <formula>-2</formula>
    </cfRule>
  </conditionalFormatting>
  <conditionalFormatting sqref="H3:H36">
    <cfRule type="cellIs" dxfId="6" priority="7" operator="lessThan">
      <formula>-2</formula>
    </cfRule>
  </conditionalFormatting>
  <conditionalFormatting sqref="H2:H36">
    <cfRule type="cellIs" dxfId="5" priority="6" operator="greaterThan">
      <formula>-2</formula>
    </cfRule>
  </conditionalFormatting>
  <conditionalFormatting sqref="H11">
    <cfRule type="cellIs" dxfId="4" priority="5" operator="greaterThan">
      <formula>-2</formula>
    </cfRule>
  </conditionalFormatting>
  <conditionalFormatting sqref="J2:J36">
    <cfRule type="containsText" dxfId="3" priority="4" operator="containsText" text="No Prazo">
      <formula>NOT(ISERROR(SEARCH("No Prazo",J2)))</formula>
    </cfRule>
  </conditionalFormatting>
  <conditionalFormatting sqref="J9">
    <cfRule type="containsText" dxfId="2" priority="3" operator="containsText" text="Vencida">
      <formula>NOT(ISERROR(SEARCH("Vencida",J9)))</formula>
    </cfRule>
  </conditionalFormatting>
  <conditionalFormatting sqref="J2:J36">
    <cfRule type="containsText" dxfId="1" priority="2" operator="containsText" text="vencida">
      <formula>NOT(ISERROR(SEARCH("vencida",J2)))</formula>
    </cfRule>
  </conditionalFormatting>
  <conditionalFormatting sqref="J2:J35">
    <cfRule type="containsText" dxfId="0" priority="1" operator="containsText" text="No Prazo">
      <formula>NOT(ISERROR(SEARCH("No Prazo",J2)))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"/>
  <sheetViews>
    <sheetView workbookViewId="0">
      <selection sqref="A1:G2"/>
    </sheetView>
  </sheetViews>
  <sheetFormatPr defaultRowHeight="15" x14ac:dyDescent="0.25"/>
  <cols>
    <col min="4" max="4" width="13.140625" bestFit="1" customWidth="1"/>
    <col min="5" max="5" width="17.42578125" bestFit="1" customWidth="1"/>
    <col min="6" max="6" width="17.42578125" customWidth="1"/>
    <col min="7" max="7" width="8.85546875" bestFit="1" customWidth="1"/>
  </cols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4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7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8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9"/>
  <dimension ref="A1"/>
  <sheetViews>
    <sheetView workbookViewId="0"/>
  </sheetViews>
  <sheetFormatPr defaultRowHeight="15" x14ac:dyDescent="0.25"/>
  <sheetData>
    <row r="1" spans="1:1" x14ac:dyDescent="0.25">
      <c r="A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0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4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5"/>
  <dimension ref="A1"/>
  <sheetViews>
    <sheetView workbookViewId="0">
      <selection activeCell="L19" sqref="L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5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25</vt:i4>
      </vt:variant>
      <vt:variant>
        <vt:lpstr>Intervalos nomeados</vt:lpstr>
      </vt:variant>
      <vt:variant>
        <vt:i4>1</vt:i4>
      </vt:variant>
    </vt:vector>
  </HeadingPairs>
  <TitlesOfParts>
    <vt:vector size="26" baseType="lpstr">
      <vt:lpstr>Menu principal</vt:lpstr>
      <vt:lpstr>DCTF</vt:lpstr>
      <vt:lpstr>EFD CONT</vt:lpstr>
      <vt:lpstr>DIRF</vt:lpstr>
      <vt:lpstr>DIMOB</vt:lpstr>
      <vt:lpstr>DEFIS</vt:lpstr>
      <vt:lpstr>DMED</vt:lpstr>
      <vt:lpstr>DSPJ</vt:lpstr>
      <vt:lpstr>ECD</vt:lpstr>
      <vt:lpstr>ECF</vt:lpstr>
      <vt:lpstr>EFD ICMS_IPI</vt:lpstr>
      <vt:lpstr>GIA ST</vt:lpstr>
      <vt:lpstr>REDF</vt:lpstr>
      <vt:lpstr>GIA</vt:lpstr>
      <vt:lpstr>STDA</vt:lpstr>
      <vt:lpstr>GISS</vt:lpstr>
      <vt:lpstr>DEISS</vt:lpstr>
      <vt:lpstr>ISS SP</vt:lpstr>
      <vt:lpstr>ISS BARUERI</vt:lpstr>
      <vt:lpstr>ALVARÁ</vt:lpstr>
      <vt:lpstr>CERTIFICADO</vt:lpstr>
      <vt:lpstr>CND FED</vt:lpstr>
      <vt:lpstr>CND EST</vt:lpstr>
      <vt:lpstr>CND MUN</vt:lpstr>
      <vt:lpstr>Plan1</vt:lpstr>
      <vt:lpstr>DEFIS!Area_de_impressao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</dc:creator>
  <cp:lastModifiedBy>Est-06</cp:lastModifiedBy>
  <cp:lastPrinted>2018-05-17T12:30:25Z</cp:lastPrinted>
  <dcterms:created xsi:type="dcterms:W3CDTF">2015-02-21T11:40:30Z</dcterms:created>
  <dcterms:modified xsi:type="dcterms:W3CDTF">2018-05-23T13:25:02Z</dcterms:modified>
</cp:coreProperties>
</file>