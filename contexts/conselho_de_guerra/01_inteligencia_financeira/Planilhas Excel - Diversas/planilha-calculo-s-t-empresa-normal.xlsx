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b0f\AC\Temp\"/>
    </mc:Choice>
  </mc:AlternateContent>
  <xr:revisionPtr revIDLastSave="0" documentId="8_{80063924-7004-6742-A234-BA1475C035D6}" xr6:coauthVersionLast="28" xr6:coauthVersionMax="28" xr10:uidLastSave="{00000000-0000-0000-0000-000000000000}"/>
  <bookViews>
    <workbookView xWindow="0" yWindow="0" windowWidth="28800" windowHeight="12135" firstSheet="1" activeTab="1" xr2:uid="{00000000-000D-0000-FFFF-FFFF00000000}"/>
  </bookViews>
  <sheets>
    <sheet name="PLANILHA DE CALCULO INTER" sheetId="2" r:id="rId1"/>
    <sheet name="PLANÍLHA DE CALCULO ESTADUAL" sheetId="3" r:id="rId2"/>
    <sheet name="S.T. VENDA PARA ATIVO OU CONSUM" sheetId="4" r:id="rId3"/>
  </sheets>
  <calcPr calcId="171026"/>
</workbook>
</file>

<file path=xl/calcChain.xml><?xml version="1.0" encoding="utf-8"?>
<calcChain xmlns="http://schemas.openxmlformats.org/spreadsheetml/2006/main">
  <c r="C20" i="4" l="1"/>
  <c r="C24" i="4"/>
  <c r="C17" i="2"/>
  <c r="C22" i="2"/>
  <c r="C23" i="2"/>
  <c r="C24" i="2"/>
  <c r="C25" i="2"/>
  <c r="E25" i="2"/>
  <c r="C28" i="2"/>
  <c r="C29" i="2"/>
  <c r="C30" i="2"/>
  <c r="C20" i="3"/>
  <c r="C22" i="3"/>
  <c r="C24" i="3"/>
  <c r="E24" i="4"/>
  <c r="C28" i="4"/>
  <c r="C29" i="4"/>
  <c r="C30" i="4"/>
  <c r="E24" i="3"/>
  <c r="C28" i="3"/>
  <c r="C29" i="3"/>
  <c r="C30" i="3"/>
</calcChain>
</file>

<file path=xl/sharedStrings.xml><?xml version="1.0" encoding="utf-8"?>
<sst xmlns="http://schemas.openxmlformats.org/spreadsheetml/2006/main" count="58" uniqueCount="27">
  <si>
    <t>ALQ Intra</t>
  </si>
  <si>
    <t>ICMS da Operação Própria</t>
  </si>
  <si>
    <t xml:space="preserve">MVA Original % </t>
  </si>
  <si>
    <t xml:space="preserve">ALQ Interestadual %  </t>
  </si>
  <si>
    <t xml:space="preserve">ALQ Intra % </t>
  </si>
  <si>
    <t xml:space="preserve">Valor da Mercadoria  </t>
  </si>
  <si>
    <t xml:space="preserve">Seguro   </t>
  </si>
  <si>
    <t xml:space="preserve">Frete  </t>
  </si>
  <si>
    <t xml:space="preserve">IPI   </t>
  </si>
  <si>
    <t xml:space="preserve">Taxas   </t>
  </si>
  <si>
    <t xml:space="preserve">Outros Encargos  </t>
  </si>
  <si>
    <t>MVA AJUSTADA</t>
  </si>
  <si>
    <t>Calculo da MVA Ajustada</t>
  </si>
  <si>
    <t>MVA original</t>
  </si>
  <si>
    <t>ALQ Inter</t>
  </si>
  <si>
    <t>Resultado ICMS Substituição Tributária</t>
  </si>
  <si>
    <t>ICMS sobre a BC S.T.</t>
  </si>
  <si>
    <t>Base de Calculo da S.T.</t>
  </si>
  <si>
    <t>ICMS devido S.T.</t>
  </si>
  <si>
    <t>Total</t>
  </si>
  <si>
    <t>PLANILHA DE CALCULO</t>
  </si>
  <si>
    <t xml:space="preserve">ALQ ICMS Próprio %  </t>
  </si>
  <si>
    <t xml:space="preserve">ALQ Interna da Merc.% </t>
  </si>
  <si>
    <t>MVA</t>
  </si>
  <si>
    <t>PLANÍLHA DE CALCULO - INTERESTADUAL</t>
  </si>
  <si>
    <t>PLANILHA DE CALCULO - ATIVO IMOBILIZADO E USO E CONSUMO</t>
  </si>
  <si>
    <t>Nota: O que estiver em vermelho não alterar, calculo automático.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</si>
</sst>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&quot;-&quot;??_);_(@_)"/>
  </numFmts>
  <fonts count="15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sz val="10"/>
      <color indexed="56"/>
      <name val="Arial"/>
      <family val="2"/>
    </font>
    <font>
      <sz val="10"/>
      <color indexed="10"/>
      <name val="Arial"/>
      <family val="2"/>
    </font>
    <font>
      <b/>
      <sz val="12"/>
      <color indexed="58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0" xfId="0" applyFill="1" applyBorder="1"/>
    <xf numFmtId="0" fontId="0" fillId="2" borderId="3" xfId="0" applyFill="1" applyBorder="1"/>
    <xf numFmtId="0" fontId="2" fillId="2" borderId="0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4" fillId="2" borderId="0" xfId="0" applyFont="1" applyFill="1" applyBorder="1"/>
    <xf numFmtId="0" fontId="0" fillId="3" borderId="0" xfId="0" applyFill="1" applyBorder="1"/>
    <xf numFmtId="0" fontId="0" fillId="3" borderId="3" xfId="0" applyFill="1" applyBorder="1"/>
    <xf numFmtId="10" fontId="5" fillId="2" borderId="1" xfId="0" applyNumberFormat="1" applyFont="1" applyFill="1" applyBorder="1"/>
    <xf numFmtId="9" fontId="5" fillId="2" borderId="0" xfId="0" applyNumberFormat="1" applyFont="1" applyFill="1" applyBorder="1"/>
    <xf numFmtId="9" fontId="5" fillId="2" borderId="5" xfId="0" applyNumberFormat="1" applyFont="1" applyFill="1" applyBorder="1"/>
    <xf numFmtId="0" fontId="5" fillId="3" borderId="0" xfId="0" applyFont="1" applyFill="1" applyBorder="1"/>
    <xf numFmtId="164" fontId="5" fillId="2" borderId="1" xfId="1" applyFont="1" applyFill="1" applyBorder="1"/>
    <xf numFmtId="164" fontId="5" fillId="2" borderId="0" xfId="1" applyFont="1" applyFill="1" applyBorder="1"/>
    <xf numFmtId="0" fontId="5" fillId="2" borderId="0" xfId="0" applyFont="1" applyFill="1" applyBorder="1"/>
    <xf numFmtId="0" fontId="6" fillId="2" borderId="7" xfId="0" applyFont="1" applyFill="1" applyBorder="1"/>
    <xf numFmtId="0" fontId="7" fillId="2" borderId="3" xfId="0" applyFont="1" applyFill="1" applyBorder="1"/>
    <xf numFmtId="0" fontId="7" fillId="2" borderId="6" xfId="0" applyFont="1" applyFill="1" applyBorder="1"/>
    <xf numFmtId="0" fontId="7" fillId="3" borderId="3" xfId="0" applyFont="1" applyFill="1" applyBorder="1"/>
    <xf numFmtId="0" fontId="7" fillId="2" borderId="2" xfId="0" applyFont="1" applyFill="1" applyBorder="1"/>
    <xf numFmtId="0" fontId="8" fillId="3" borderId="8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left"/>
    </xf>
    <xf numFmtId="0" fontId="9" fillId="3" borderId="0" xfId="0" applyFont="1" applyFill="1" applyBorder="1" applyAlignment="1">
      <alignment horizontal="left"/>
    </xf>
    <xf numFmtId="0" fontId="9" fillId="2" borderId="1" xfId="0" applyFont="1" applyFill="1" applyBorder="1"/>
    <xf numFmtId="0" fontId="8" fillId="2" borderId="0" xfId="0" applyFont="1" applyFill="1" applyBorder="1"/>
    <xf numFmtId="0" fontId="8" fillId="2" borderId="5" xfId="0" applyFont="1" applyFill="1" applyBorder="1"/>
    <xf numFmtId="0" fontId="8" fillId="2" borderId="9" xfId="0" applyFont="1" applyFill="1" applyBorder="1"/>
    <xf numFmtId="164" fontId="9" fillId="3" borderId="0" xfId="0" applyNumberFormat="1" applyFont="1" applyFill="1" applyBorder="1"/>
    <xf numFmtId="0" fontId="9" fillId="3" borderId="0" xfId="0" applyFont="1" applyFill="1" applyBorder="1"/>
    <xf numFmtId="164" fontId="9" fillId="3" borderId="0" xfId="1" applyFont="1" applyFill="1" applyBorder="1"/>
    <xf numFmtId="0" fontId="9" fillId="2" borderId="0" xfId="0" applyFont="1" applyFill="1" applyBorder="1"/>
    <xf numFmtId="0" fontId="9" fillId="2" borderId="5" xfId="0" applyFont="1" applyFill="1" applyBorder="1"/>
    <xf numFmtId="0" fontId="5" fillId="2" borderId="1" xfId="0" applyFont="1" applyFill="1" applyBorder="1"/>
    <xf numFmtId="0" fontId="5" fillId="2" borderId="5" xfId="0" applyFont="1" applyFill="1" applyBorder="1"/>
    <xf numFmtId="0" fontId="10" fillId="2" borderId="10" xfId="0" applyFont="1" applyFill="1" applyBorder="1"/>
    <xf numFmtId="0" fontId="10" fillId="2" borderId="1" xfId="0" applyFont="1" applyFill="1" applyBorder="1"/>
    <xf numFmtId="0" fontId="8" fillId="2" borderId="7" xfId="0" applyFont="1" applyFill="1" applyBorder="1"/>
    <xf numFmtId="0" fontId="9" fillId="3" borderId="3" xfId="0" applyFont="1" applyFill="1" applyBorder="1"/>
    <xf numFmtId="0" fontId="9" fillId="2" borderId="9" xfId="0" applyFont="1" applyFill="1" applyBorder="1"/>
    <xf numFmtId="0" fontId="9" fillId="2" borderId="7" xfId="0" applyFont="1" applyFill="1" applyBorder="1"/>
    <xf numFmtId="164" fontId="5" fillId="2" borderId="9" xfId="1" applyFont="1" applyFill="1" applyBorder="1"/>
    <xf numFmtId="0" fontId="4" fillId="3" borderId="8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164" fontId="4" fillId="2" borderId="11" xfId="0" applyNumberFormat="1" applyFont="1" applyFill="1" applyBorder="1"/>
    <xf numFmtId="0" fontId="4" fillId="2" borderId="3" xfId="0" applyFont="1" applyFill="1" applyBorder="1"/>
    <xf numFmtId="10" fontId="4" fillId="2" borderId="12" xfId="0" applyNumberFormat="1" applyFont="1" applyFill="1" applyBorder="1"/>
    <xf numFmtId="0" fontId="4" fillId="2" borderId="11" xfId="0" applyFont="1" applyFill="1" applyBorder="1"/>
    <xf numFmtId="164" fontId="4" fillId="2" borderId="9" xfId="0" applyNumberFormat="1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11" fillId="2" borderId="0" xfId="0" applyFont="1" applyFill="1" applyBorder="1"/>
    <xf numFmtId="0" fontId="11" fillId="2" borderId="3" xfId="0" applyFont="1" applyFill="1" applyBorder="1"/>
    <xf numFmtId="164" fontId="4" fillId="2" borderId="0" xfId="0" applyNumberFormat="1" applyFont="1" applyFill="1" applyBorder="1"/>
    <xf numFmtId="0" fontId="11" fillId="2" borderId="8" xfId="0" applyFont="1" applyFill="1" applyBorder="1"/>
    <xf numFmtId="0" fontId="4" fillId="0" borderId="8" xfId="0" applyFont="1" applyFill="1" applyBorder="1"/>
    <xf numFmtId="0" fontId="4" fillId="0" borderId="0" xfId="0" applyFont="1" applyFill="1" applyBorder="1"/>
    <xf numFmtId="164" fontId="4" fillId="0" borderId="0" xfId="0" applyNumberFormat="1" applyFont="1" applyFill="1" applyBorder="1"/>
    <xf numFmtId="10" fontId="2" fillId="2" borderId="1" xfId="0" applyNumberFormat="1" applyFont="1" applyFill="1" applyBorder="1"/>
    <xf numFmtId="9" fontId="2" fillId="2" borderId="0" xfId="0" applyNumberFormat="1" applyFont="1" applyFill="1" applyBorder="1"/>
    <xf numFmtId="9" fontId="2" fillId="2" borderId="5" xfId="0" applyNumberFormat="1" applyFont="1" applyFill="1" applyBorder="1"/>
    <xf numFmtId="0" fontId="2" fillId="3" borderId="0" xfId="0" applyFont="1" applyFill="1" applyBorder="1"/>
    <xf numFmtId="164" fontId="2" fillId="2" borderId="1" xfId="1" applyFont="1" applyFill="1" applyBorder="1"/>
    <xf numFmtId="164" fontId="2" fillId="2" borderId="0" xfId="1" applyFont="1" applyFill="1" applyBorder="1"/>
    <xf numFmtId="164" fontId="2" fillId="2" borderId="9" xfId="1" applyFont="1" applyFill="1" applyBorder="1"/>
    <xf numFmtId="0" fontId="12" fillId="2" borderId="0" xfId="0" applyFont="1" applyFill="1"/>
    <xf numFmtId="0" fontId="11" fillId="3" borderId="8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13" fillId="2" borderId="8" xfId="0" applyFont="1" applyFill="1" applyBorder="1"/>
    <xf numFmtId="0" fontId="13" fillId="2" borderId="0" xfId="0" applyFont="1" applyFill="1" applyBorder="1"/>
    <xf numFmtId="164" fontId="13" fillId="2" borderId="0" xfId="0" applyNumberFormat="1" applyFont="1" applyFill="1" applyBorder="1"/>
    <xf numFmtId="0" fontId="13" fillId="2" borderId="5" xfId="0" applyFont="1" applyFill="1" applyBorder="1"/>
    <xf numFmtId="0" fontId="13" fillId="0" borderId="11" xfId="0" applyFont="1" applyFill="1" applyBorder="1"/>
    <xf numFmtId="0" fontId="13" fillId="0" borderId="9" xfId="0" applyFont="1" applyFill="1" applyBorder="1"/>
    <xf numFmtId="164" fontId="13" fillId="0" borderId="7" xfId="0" applyNumberFormat="1" applyFont="1" applyFill="1" applyBorder="1"/>
    <xf numFmtId="0" fontId="11" fillId="2" borderId="10" xfId="0" applyFont="1" applyFill="1" applyBorder="1"/>
    <xf numFmtId="0" fontId="11" fillId="2" borderId="1" xfId="0" applyFont="1" applyFill="1" applyBorder="1"/>
    <xf numFmtId="0" fontId="4" fillId="0" borderId="11" xfId="0" applyFont="1" applyFill="1" applyBorder="1"/>
    <xf numFmtId="0" fontId="4" fillId="0" borderId="9" xfId="0" applyFont="1" applyFill="1" applyBorder="1"/>
    <xf numFmtId="164" fontId="4" fillId="0" borderId="7" xfId="0" applyNumberFormat="1" applyFont="1" applyFill="1" applyBorder="1"/>
    <xf numFmtId="164" fontId="14" fillId="2" borderId="9" xfId="1" applyFont="1" applyFill="1" applyBorder="1"/>
    <xf numFmtId="0" fontId="4" fillId="2" borderId="8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0</xdr:rowOff>
    </xdr:from>
    <xdr:to>
      <xdr:col>4</xdr:col>
      <xdr:colOff>314325</xdr:colOff>
      <xdr:row>5</xdr:row>
      <xdr:rowOff>0</xdr:rowOff>
    </xdr:to>
    <xdr:pic>
      <xdr:nvPicPr>
        <xdr:cNvPr id="4102" name="Picture 1" descr="modelo6">
          <a:extLst>
            <a:ext uri="{FF2B5EF4-FFF2-40B4-BE49-F238E27FC236}">
              <a16:creationId xmlns:a16="http://schemas.microsoft.com/office/drawing/2014/main" id="{B2BBF56B-FFFF-4885-B752-36F782582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3838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66675</xdr:rowOff>
    </xdr:from>
    <xdr:to>
      <xdr:col>4</xdr:col>
      <xdr:colOff>581025</xdr:colOff>
      <xdr:row>7</xdr:row>
      <xdr:rowOff>66675</xdr:rowOff>
    </xdr:to>
    <xdr:pic>
      <xdr:nvPicPr>
        <xdr:cNvPr id="3078" name="Picture 1" descr="modelo6">
          <a:extLst>
            <a:ext uri="{FF2B5EF4-FFF2-40B4-BE49-F238E27FC236}">
              <a16:creationId xmlns:a16="http://schemas.microsoft.com/office/drawing/2014/main" id="{224F4578-13AF-4802-9503-3E6A48CD9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66675"/>
          <a:ext cx="3838575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opLeftCell="A4" workbookViewId="0" xr3:uid="{AEA406A1-0E4B-5B11-9CD5-51D6E497D94C}">
      <selection activeCell="A33" sqref="A33"/>
    </sheetView>
  </sheetViews>
  <sheetFormatPr defaultColWidth="9.16796875" defaultRowHeight="11.1" customHeight="1" x14ac:dyDescent="0.15"/>
  <cols>
    <col min="1" max="1" width="9.16796875" style="1"/>
    <col min="2" max="2" width="16.85546875" style="1" customWidth="1"/>
    <col min="3" max="3" width="14.15625" style="1" customWidth="1"/>
    <col min="4" max="4" width="14.42578125" style="1" customWidth="1"/>
    <col min="5" max="5" width="14.15625" style="1" customWidth="1"/>
    <col min="6" max="16384" width="9.16796875" style="1"/>
  </cols>
  <sheetData>
    <row r="1" spans="1:6" ht="12.75" x14ac:dyDescent="0.15">
      <c r="A1" s="6"/>
      <c r="B1" s="6"/>
      <c r="C1" s="6"/>
      <c r="D1" s="6"/>
      <c r="E1" s="6"/>
      <c r="F1" s="6"/>
    </row>
    <row r="2" spans="1:6" ht="12.75" x14ac:dyDescent="0.15">
      <c r="A2" s="6"/>
      <c r="B2" s="6"/>
      <c r="C2" s="6"/>
      <c r="D2" s="6"/>
      <c r="E2" s="6"/>
      <c r="F2" s="6"/>
    </row>
    <row r="3" spans="1:6" ht="12.75" x14ac:dyDescent="0.15">
      <c r="A3" s="6"/>
      <c r="B3" s="6"/>
      <c r="C3" s="6"/>
      <c r="D3" s="6"/>
      <c r="E3" s="6"/>
      <c r="F3" s="6"/>
    </row>
    <row r="4" spans="1:6" ht="12.75" x14ac:dyDescent="0.15">
      <c r="A4" s="6"/>
      <c r="B4" s="6"/>
      <c r="C4" s="6"/>
      <c r="D4" s="6"/>
      <c r="E4" s="6"/>
      <c r="F4" s="6"/>
    </row>
    <row r="5" spans="1:6" ht="13.5" thickBot="1" x14ac:dyDescent="0.2">
      <c r="A5" s="6"/>
      <c r="B5" s="6"/>
      <c r="C5" s="6"/>
      <c r="D5" s="6"/>
      <c r="E5" s="6"/>
      <c r="F5" s="6"/>
    </row>
    <row r="6" spans="1:6" ht="18" customHeight="1" thickBot="1" x14ac:dyDescent="0.2">
      <c r="A6" s="100" t="s">
        <v>24</v>
      </c>
      <c r="B6" s="101"/>
      <c r="C6" s="101"/>
      <c r="D6" s="101"/>
      <c r="E6" s="101"/>
      <c r="F6" s="102"/>
    </row>
    <row r="7" spans="1:6" ht="12.75" x14ac:dyDescent="0.15">
      <c r="A7" s="98" t="s">
        <v>2</v>
      </c>
      <c r="B7" s="99"/>
      <c r="C7" s="63">
        <v>0.26190000000000002</v>
      </c>
      <c r="D7" s="38"/>
      <c r="E7" s="2"/>
      <c r="F7" s="3"/>
    </row>
    <row r="8" spans="1:6" ht="12.75" x14ac:dyDescent="0.15">
      <c r="A8" s="86" t="s">
        <v>3</v>
      </c>
      <c r="B8" s="95"/>
      <c r="C8" s="64">
        <v>0.12</v>
      </c>
      <c r="D8" s="19"/>
      <c r="E8" s="4"/>
      <c r="F8" s="5"/>
    </row>
    <row r="9" spans="1:6" ht="13.5" thickBot="1" x14ac:dyDescent="0.2">
      <c r="A9" s="103" t="s">
        <v>4</v>
      </c>
      <c r="B9" s="104"/>
      <c r="C9" s="65">
        <v>0.17</v>
      </c>
      <c r="D9" s="39"/>
      <c r="E9" s="8"/>
      <c r="F9" s="9"/>
    </row>
    <row r="10" spans="1:6" ht="13.5" thickBot="1" x14ac:dyDescent="0.2">
      <c r="A10" s="96"/>
      <c r="B10" s="97"/>
      <c r="C10" s="66"/>
      <c r="D10" s="16"/>
      <c r="E10" s="11"/>
      <c r="F10" s="12"/>
    </row>
    <row r="11" spans="1:6" ht="12.75" x14ac:dyDescent="0.15">
      <c r="A11" s="98" t="s">
        <v>5</v>
      </c>
      <c r="B11" s="99"/>
      <c r="C11" s="67">
        <v>629.9</v>
      </c>
      <c r="D11" s="38"/>
      <c r="E11" s="2"/>
      <c r="F11" s="3"/>
    </row>
    <row r="12" spans="1:6" ht="12.75" x14ac:dyDescent="0.15">
      <c r="A12" s="86" t="s">
        <v>6</v>
      </c>
      <c r="B12" s="95"/>
      <c r="C12" s="68">
        <v>0</v>
      </c>
      <c r="D12" s="19"/>
      <c r="E12" s="4"/>
      <c r="F12" s="5"/>
    </row>
    <row r="13" spans="1:6" ht="12.75" x14ac:dyDescent="0.15">
      <c r="A13" s="86" t="s">
        <v>7</v>
      </c>
      <c r="B13" s="95"/>
      <c r="C13" s="68">
        <v>0</v>
      </c>
      <c r="D13" s="19"/>
      <c r="E13" s="4"/>
      <c r="F13" s="5"/>
    </row>
    <row r="14" spans="1:6" ht="12.75" x14ac:dyDescent="0.15">
      <c r="A14" s="86" t="s">
        <v>8</v>
      </c>
      <c r="B14" s="95"/>
      <c r="C14" s="68">
        <v>0</v>
      </c>
      <c r="D14" s="19"/>
      <c r="E14" s="4"/>
      <c r="F14" s="5"/>
    </row>
    <row r="15" spans="1:6" ht="12.75" x14ac:dyDescent="0.15">
      <c r="A15" s="86" t="s">
        <v>9</v>
      </c>
      <c r="B15" s="95"/>
      <c r="C15" s="68">
        <v>0</v>
      </c>
      <c r="D15" s="19"/>
      <c r="E15" s="4"/>
      <c r="F15" s="5"/>
    </row>
    <row r="16" spans="1:6" ht="13.5" thickBot="1" x14ac:dyDescent="0.2">
      <c r="A16" s="86" t="s">
        <v>10</v>
      </c>
      <c r="B16" s="95"/>
      <c r="C16" s="68">
        <v>0</v>
      </c>
      <c r="D16" s="19"/>
      <c r="E16" s="4"/>
      <c r="F16" s="5"/>
    </row>
    <row r="17" spans="1:6" ht="13.5" thickBot="1" x14ac:dyDescent="0.2">
      <c r="A17" s="88" t="s">
        <v>19</v>
      </c>
      <c r="B17" s="89"/>
      <c r="C17" s="49">
        <f>SUM(C11:C16)</f>
        <v>629.9</v>
      </c>
      <c r="D17" s="32"/>
      <c r="E17" s="32"/>
      <c r="F17" s="42"/>
    </row>
    <row r="18" spans="1:6" ht="11.1" customHeight="1" thickBot="1" x14ac:dyDescent="0.2">
      <c r="A18" s="25"/>
      <c r="B18" s="26"/>
      <c r="C18" s="33"/>
      <c r="D18" s="34"/>
      <c r="E18" s="34"/>
      <c r="F18" s="43"/>
    </row>
    <row r="19" spans="1:6" ht="13.5" thickBot="1" x14ac:dyDescent="0.2">
      <c r="A19" s="90" t="s">
        <v>1</v>
      </c>
      <c r="B19" s="91"/>
      <c r="C19" s="69">
        <v>75.58</v>
      </c>
      <c r="D19" s="44"/>
      <c r="E19" s="44"/>
      <c r="F19" s="45"/>
    </row>
    <row r="20" spans="1:6" ht="11.1" customHeight="1" thickBot="1" x14ac:dyDescent="0.2">
      <c r="A20" s="27"/>
      <c r="B20" s="28"/>
      <c r="C20" s="35"/>
      <c r="D20" s="34"/>
      <c r="E20" s="34"/>
      <c r="F20" s="43"/>
    </row>
    <row r="21" spans="1:6" ht="11.1" customHeight="1" x14ac:dyDescent="0.15">
      <c r="A21" s="92" t="s">
        <v>12</v>
      </c>
      <c r="B21" s="93"/>
      <c r="C21" s="93"/>
      <c r="D21" s="93"/>
      <c r="E21" s="93"/>
      <c r="F21" s="94"/>
    </row>
    <row r="22" spans="1:6" ht="12.75" x14ac:dyDescent="0.15">
      <c r="A22" s="86" t="s">
        <v>13</v>
      </c>
      <c r="B22" s="87"/>
      <c r="C22" s="10">
        <f>1+C7</f>
        <v>1.2619</v>
      </c>
      <c r="D22" s="10"/>
      <c r="E22" s="10"/>
      <c r="F22" s="50"/>
    </row>
    <row r="23" spans="1:6" ht="12.75" x14ac:dyDescent="0.15">
      <c r="A23" s="86" t="s">
        <v>14</v>
      </c>
      <c r="B23" s="87"/>
      <c r="C23" s="10">
        <f>1-C8</f>
        <v>0.88</v>
      </c>
      <c r="D23" s="10"/>
      <c r="E23" s="10"/>
      <c r="F23" s="50"/>
    </row>
    <row r="24" spans="1:6" ht="13.5" thickBot="1" x14ac:dyDescent="0.2">
      <c r="A24" s="86" t="s">
        <v>0</v>
      </c>
      <c r="B24" s="87"/>
      <c r="C24" s="10">
        <f>1-C9</f>
        <v>0.83</v>
      </c>
      <c r="D24" s="10"/>
      <c r="E24" s="10"/>
      <c r="F24" s="50"/>
    </row>
    <row r="25" spans="1:6" ht="13.5" thickBot="1" x14ac:dyDescent="0.2">
      <c r="A25" s="88" t="s">
        <v>11</v>
      </c>
      <c r="B25" s="89"/>
      <c r="C25" s="51">
        <f>C22*C23/C24-1</f>
        <v>0.33791807228915682</v>
      </c>
      <c r="D25" s="52"/>
      <c r="E25" s="53">
        <f>C17*C25</f>
        <v>212.85459373493987</v>
      </c>
      <c r="F25" s="54"/>
    </row>
    <row r="26" spans="1:6" ht="12.75" customHeight="1" x14ac:dyDescent="0.15">
      <c r="A26" s="55" t="s">
        <v>15</v>
      </c>
      <c r="B26" s="10"/>
      <c r="C26" s="10"/>
      <c r="D26" s="10"/>
      <c r="E26" s="56"/>
      <c r="F26" s="57"/>
    </row>
    <row r="27" spans="1:6" ht="11.1" customHeight="1" x14ac:dyDescent="0.15">
      <c r="A27" s="55"/>
      <c r="B27" s="10"/>
      <c r="C27" s="10"/>
      <c r="D27" s="10"/>
      <c r="E27" s="56"/>
      <c r="F27" s="57"/>
    </row>
    <row r="28" spans="1:6" ht="12.75" customHeight="1" x14ac:dyDescent="0.15">
      <c r="A28" s="60" t="s">
        <v>17</v>
      </c>
      <c r="B28" s="61"/>
      <c r="C28" s="62">
        <f>C17+E25</f>
        <v>842.75459373493982</v>
      </c>
      <c r="D28" s="10"/>
      <c r="E28" s="56"/>
      <c r="F28" s="57"/>
    </row>
    <row r="29" spans="1:6" ht="14.25" customHeight="1" x14ac:dyDescent="0.15">
      <c r="A29" s="55" t="s">
        <v>16</v>
      </c>
      <c r="B29" s="10"/>
      <c r="C29" s="58">
        <f>C28*C9</f>
        <v>143.26828093493978</v>
      </c>
      <c r="D29" s="10"/>
      <c r="E29" s="56"/>
      <c r="F29" s="57"/>
    </row>
    <row r="30" spans="1:6" ht="12" customHeight="1" x14ac:dyDescent="0.15">
      <c r="A30" s="60" t="s">
        <v>18</v>
      </c>
      <c r="B30" s="61"/>
      <c r="C30" s="62">
        <f>C29-C19</f>
        <v>67.688280934939783</v>
      </c>
      <c r="D30" s="10"/>
      <c r="E30" s="56"/>
      <c r="F30" s="57"/>
    </row>
    <row r="31" spans="1:6" ht="11.1" customHeight="1" x14ac:dyDescent="0.15">
      <c r="A31" s="59"/>
      <c r="B31" s="56"/>
      <c r="C31" s="56"/>
      <c r="D31" s="56"/>
      <c r="E31" s="56"/>
      <c r="F31" s="57"/>
    </row>
    <row r="32" spans="1:6" ht="11.1" customHeight="1" thickBot="1" x14ac:dyDescent="0.2">
      <c r="A32" s="7"/>
      <c r="B32" s="8"/>
      <c r="C32" s="8"/>
      <c r="D32" s="8"/>
      <c r="E32" s="8"/>
      <c r="F32" s="9"/>
    </row>
    <row r="33" spans="1:6" ht="16.5" customHeight="1" x14ac:dyDescent="0.15">
      <c r="A33" s="70" t="s">
        <v>26</v>
      </c>
      <c r="B33" s="70"/>
      <c r="C33" s="70"/>
      <c r="D33" s="70"/>
      <c r="E33" s="70"/>
      <c r="F33" s="70"/>
    </row>
  </sheetData>
  <mergeCells count="18">
    <mergeCell ref="A6:F6"/>
    <mergeCell ref="A7:B7"/>
    <mergeCell ref="A8:B8"/>
    <mergeCell ref="A9:B9"/>
    <mergeCell ref="A14:B14"/>
    <mergeCell ref="A16:B16"/>
    <mergeCell ref="A17:B17"/>
    <mergeCell ref="A10:B10"/>
    <mergeCell ref="A11:B11"/>
    <mergeCell ref="A12:B12"/>
    <mergeCell ref="A13:B13"/>
    <mergeCell ref="A15:B15"/>
    <mergeCell ref="A24:B24"/>
    <mergeCell ref="A25:B25"/>
    <mergeCell ref="A19:B19"/>
    <mergeCell ref="A21:F21"/>
    <mergeCell ref="A22:B22"/>
    <mergeCell ref="A23:B23"/>
  </mergeCells>
  <phoneticPr fontId="3" type="noConversion"/>
  <pageMargins left="0.78740157499999996" right="0.78740157499999996" top="0.984251969" bottom="0.984251969" header="0.49212598499999999" footer="0.49212598499999999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31"/>
  <sheetViews>
    <sheetView tabSelected="1" workbookViewId="0" xr3:uid="{958C4451-9541-5A59-BF78-D2F731DF1C81}">
      <selection activeCell="C15" sqref="C15"/>
    </sheetView>
  </sheetViews>
  <sheetFormatPr defaultColWidth="9.16796875" defaultRowHeight="12.75" x14ac:dyDescent="0.15"/>
  <cols>
    <col min="1" max="1" width="9.16796875" style="1"/>
    <col min="2" max="2" width="16.046875" style="1" customWidth="1"/>
    <col min="3" max="3" width="14.42578125" style="1" customWidth="1"/>
    <col min="4" max="4" width="11.0546875" style="1" customWidth="1"/>
    <col min="5" max="5" width="16.71875" style="1" customWidth="1"/>
    <col min="6" max="16384" width="9.16796875" style="1"/>
  </cols>
  <sheetData>
    <row r="2" spans="1:7" x14ac:dyDescent="0.15">
      <c r="A2" s="6"/>
      <c r="B2" s="6"/>
      <c r="C2" s="6"/>
      <c r="D2" s="6"/>
      <c r="E2" s="6"/>
      <c r="F2" s="6"/>
      <c r="G2" s="4"/>
    </row>
    <row r="3" spans="1:7" x14ac:dyDescent="0.15">
      <c r="A3" s="6"/>
      <c r="B3" s="6"/>
      <c r="C3" s="6"/>
      <c r="D3" s="6"/>
      <c r="E3" s="6"/>
      <c r="F3" s="6"/>
      <c r="G3" s="4"/>
    </row>
    <row r="4" spans="1:7" x14ac:dyDescent="0.15">
      <c r="A4" s="6"/>
      <c r="B4" s="6"/>
      <c r="C4" s="6"/>
      <c r="D4" s="6"/>
      <c r="E4" s="6"/>
      <c r="F4" s="6"/>
      <c r="G4" s="4"/>
    </row>
    <row r="5" spans="1:7" x14ac:dyDescent="0.15">
      <c r="A5" s="6"/>
      <c r="B5" s="6"/>
      <c r="C5" s="6"/>
      <c r="D5" s="6"/>
      <c r="E5" s="6"/>
      <c r="F5" s="6"/>
      <c r="G5" s="4"/>
    </row>
    <row r="6" spans="1:7" x14ac:dyDescent="0.15">
      <c r="A6" s="6"/>
      <c r="B6" s="6"/>
      <c r="C6" s="6"/>
      <c r="D6" s="6"/>
      <c r="E6" s="6"/>
      <c r="F6" s="6"/>
      <c r="G6" s="4"/>
    </row>
    <row r="7" spans="1:7" x14ac:dyDescent="0.15">
      <c r="A7" s="6"/>
      <c r="B7" s="6"/>
      <c r="C7" s="6"/>
      <c r="D7" s="6"/>
      <c r="E7" s="6"/>
      <c r="F7" s="6"/>
      <c r="G7" s="4"/>
    </row>
    <row r="8" spans="1:7" ht="13.5" thickBot="1" x14ac:dyDescent="0.2">
      <c r="A8" s="6"/>
      <c r="B8" s="6"/>
      <c r="C8" s="6"/>
      <c r="D8" s="6"/>
      <c r="E8" s="6"/>
      <c r="F8" s="6"/>
      <c r="G8" s="4"/>
    </row>
    <row r="9" spans="1:7" ht="13.5" thickBot="1" x14ac:dyDescent="0.2">
      <c r="A9" s="100" t="s">
        <v>20</v>
      </c>
      <c r="B9" s="101"/>
      <c r="C9" s="101"/>
      <c r="D9" s="101"/>
      <c r="E9" s="101"/>
      <c r="F9" s="102"/>
    </row>
    <row r="10" spans="1:7" x14ac:dyDescent="0.15">
      <c r="A10" s="98" t="s">
        <v>2</v>
      </c>
      <c r="B10" s="99"/>
      <c r="C10" s="13">
        <v>0.28000000000000003</v>
      </c>
      <c r="D10" s="38"/>
      <c r="E10" s="2"/>
      <c r="F10" s="3"/>
    </row>
    <row r="11" spans="1:7" x14ac:dyDescent="0.15">
      <c r="A11" s="86" t="s">
        <v>21</v>
      </c>
      <c r="B11" s="95"/>
      <c r="C11" s="14">
        <v>0.12</v>
      </c>
      <c r="D11" s="19"/>
      <c r="E11" s="4"/>
      <c r="F11" s="5"/>
    </row>
    <row r="12" spans="1:7" ht="13.5" thickBot="1" x14ac:dyDescent="0.2">
      <c r="A12" s="103" t="s">
        <v>22</v>
      </c>
      <c r="B12" s="104"/>
      <c r="C12" s="15">
        <v>0.25</v>
      </c>
      <c r="D12" s="39"/>
      <c r="E12" s="8"/>
      <c r="F12" s="9"/>
    </row>
    <row r="13" spans="1:7" ht="13.5" thickBot="1" x14ac:dyDescent="0.2">
      <c r="A13" s="96"/>
      <c r="B13" s="97"/>
      <c r="C13" s="16"/>
      <c r="D13" s="16"/>
      <c r="E13" s="11"/>
      <c r="F13" s="12"/>
    </row>
    <row r="14" spans="1:7" x14ac:dyDescent="0.15">
      <c r="A14" s="98" t="s">
        <v>5</v>
      </c>
      <c r="B14" s="99"/>
      <c r="C14" s="17">
        <v>30.16</v>
      </c>
      <c r="D14" s="38"/>
      <c r="E14" s="2"/>
      <c r="F14" s="3"/>
    </row>
    <row r="15" spans="1:7" x14ac:dyDescent="0.15">
      <c r="A15" s="86" t="s">
        <v>6</v>
      </c>
      <c r="B15" s="95"/>
      <c r="C15" s="18">
        <v>0</v>
      </c>
      <c r="D15" s="19"/>
      <c r="E15" s="4"/>
      <c r="F15" s="5"/>
    </row>
    <row r="16" spans="1:7" x14ac:dyDescent="0.15">
      <c r="A16" s="86" t="s">
        <v>7</v>
      </c>
      <c r="B16" s="95"/>
      <c r="C16" s="18">
        <v>0</v>
      </c>
      <c r="D16" s="19"/>
      <c r="E16" s="4"/>
      <c r="F16" s="5"/>
    </row>
    <row r="17" spans="1:6" x14ac:dyDescent="0.15">
      <c r="A17" s="86" t="s">
        <v>8</v>
      </c>
      <c r="B17" s="95"/>
      <c r="C17" s="18">
        <v>0</v>
      </c>
      <c r="D17" s="19"/>
      <c r="E17" s="4"/>
      <c r="F17" s="5"/>
    </row>
    <row r="18" spans="1:6" x14ac:dyDescent="0.15">
      <c r="A18" s="86" t="s">
        <v>9</v>
      </c>
      <c r="B18" s="95"/>
      <c r="C18" s="18">
        <v>0</v>
      </c>
      <c r="D18" s="19"/>
      <c r="E18" s="4"/>
      <c r="F18" s="5"/>
    </row>
    <row r="19" spans="1:6" ht="13.5" thickBot="1" x14ac:dyDescent="0.2">
      <c r="A19" s="86" t="s">
        <v>10</v>
      </c>
      <c r="B19" s="95"/>
      <c r="C19" s="18">
        <v>0</v>
      </c>
      <c r="D19" s="19"/>
      <c r="E19" s="4"/>
      <c r="F19" s="5"/>
    </row>
    <row r="20" spans="1:6" ht="13.5" thickBot="1" x14ac:dyDescent="0.2">
      <c r="A20" s="88" t="s">
        <v>19</v>
      </c>
      <c r="B20" s="89"/>
      <c r="C20" s="49">
        <f>SUM(C14:C19)</f>
        <v>30.16</v>
      </c>
      <c r="D20" s="32"/>
      <c r="E20" s="32"/>
      <c r="F20" s="42"/>
    </row>
    <row r="21" spans="1:6" ht="13.5" thickBot="1" x14ac:dyDescent="0.2">
      <c r="A21" s="47"/>
      <c r="B21" s="48"/>
      <c r="C21" s="33"/>
      <c r="D21" s="34"/>
      <c r="E21" s="34"/>
      <c r="F21" s="43"/>
    </row>
    <row r="22" spans="1:6" ht="13.5" thickBot="1" x14ac:dyDescent="0.2">
      <c r="A22" s="90" t="s">
        <v>1</v>
      </c>
      <c r="B22" s="91"/>
      <c r="C22" s="85">
        <f>C20*C11</f>
        <v>3.6191999999999998</v>
      </c>
      <c r="D22" s="32"/>
      <c r="E22" s="32"/>
      <c r="F22" s="42"/>
    </row>
    <row r="23" spans="1:6" ht="13.5" thickBot="1" x14ac:dyDescent="0.2">
      <c r="A23" s="71"/>
      <c r="B23" s="72"/>
      <c r="C23" s="35"/>
      <c r="D23" s="34"/>
      <c r="E23" s="34"/>
      <c r="F23" s="43"/>
    </row>
    <row r="24" spans="1:6" ht="13.5" thickBot="1" x14ac:dyDescent="0.2">
      <c r="A24" s="88" t="s">
        <v>23</v>
      </c>
      <c r="B24" s="89"/>
      <c r="C24" s="51">
        <f>C10</f>
        <v>0.28000000000000003</v>
      </c>
      <c r="D24" s="52"/>
      <c r="E24" s="53">
        <f>C20*C24</f>
        <v>8.4448000000000008</v>
      </c>
      <c r="F24" s="54"/>
    </row>
    <row r="25" spans="1:6" x14ac:dyDescent="0.15">
      <c r="A25" s="40"/>
      <c r="B25" s="41"/>
      <c r="C25" s="2"/>
      <c r="D25" s="2"/>
      <c r="E25" s="2"/>
      <c r="F25" s="3"/>
    </row>
    <row r="26" spans="1:6" x14ac:dyDescent="0.15">
      <c r="A26" s="73" t="s">
        <v>15</v>
      </c>
      <c r="B26" s="74"/>
      <c r="C26" s="74"/>
      <c r="D26" s="74"/>
      <c r="E26" s="4"/>
      <c r="F26" s="5"/>
    </row>
    <row r="27" spans="1:6" ht="13.5" thickBot="1" x14ac:dyDescent="0.2">
      <c r="A27" s="73"/>
      <c r="B27" s="74"/>
      <c r="C27" s="74"/>
      <c r="D27" s="74"/>
      <c r="E27" s="4"/>
      <c r="F27" s="5"/>
    </row>
    <row r="28" spans="1:6" ht="13.5" thickBot="1" x14ac:dyDescent="0.2">
      <c r="A28" s="77" t="s">
        <v>17</v>
      </c>
      <c r="B28" s="78"/>
      <c r="C28" s="79">
        <f>C20+E24</f>
        <v>38.604799999999997</v>
      </c>
      <c r="D28" s="74"/>
      <c r="E28" s="4"/>
      <c r="F28" s="5"/>
    </row>
    <row r="29" spans="1:6" ht="13.5" thickBot="1" x14ac:dyDescent="0.2">
      <c r="A29" s="73" t="s">
        <v>16</v>
      </c>
      <c r="B29" s="74"/>
      <c r="C29" s="75">
        <f>C28*C12</f>
        <v>9.6511999999999993</v>
      </c>
      <c r="D29" s="74"/>
      <c r="E29" s="4"/>
      <c r="F29" s="5"/>
    </row>
    <row r="30" spans="1:6" ht="13.5" thickBot="1" x14ac:dyDescent="0.2">
      <c r="A30" s="77" t="s">
        <v>18</v>
      </c>
      <c r="B30" s="78"/>
      <c r="C30" s="79">
        <f>C29-C22</f>
        <v>6.032</v>
      </c>
      <c r="D30" s="76"/>
      <c r="E30" s="8"/>
      <c r="F30" s="9"/>
    </row>
    <row r="31" spans="1:6" ht="14.25" x14ac:dyDescent="0.15">
      <c r="A31" s="70" t="s">
        <v>26</v>
      </c>
    </row>
  </sheetData>
  <mergeCells count="14">
    <mergeCell ref="A13:B13"/>
    <mergeCell ref="A14:B14"/>
    <mergeCell ref="A15:B15"/>
    <mergeCell ref="A16:B16"/>
    <mergeCell ref="A9:F9"/>
    <mergeCell ref="A10:B10"/>
    <mergeCell ref="A11:B11"/>
    <mergeCell ref="A12:B12"/>
    <mergeCell ref="A24:B24"/>
    <mergeCell ref="A22:B22"/>
    <mergeCell ref="A17:B17"/>
    <mergeCell ref="A18:B18"/>
    <mergeCell ref="A19:B19"/>
    <mergeCell ref="A20:B20"/>
  </mergeCells>
  <phoneticPr fontId="3" type="noConversion"/>
  <pageMargins left="0.78740157499999996" right="0.78740157499999996" top="0.984251969" bottom="0.984251969" header="0.49212598499999999" footer="0.49212598499999999"/>
  <pageSetup paperSize="0" orientation="portrait" horizontalDpi="203" verticalDpi="203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topLeftCell="A4" workbookViewId="0" xr3:uid="{842E5F09-E766-5B8D-85AF-A39847EA96FD}">
      <selection activeCell="C22" sqref="C22"/>
    </sheetView>
  </sheetViews>
  <sheetFormatPr defaultColWidth="9.16796875" defaultRowHeight="12.75" x14ac:dyDescent="0.15"/>
  <cols>
    <col min="1" max="1" width="9.16796875" style="1"/>
    <col min="2" max="2" width="16.046875" style="1" customWidth="1"/>
    <col min="3" max="3" width="12.40625" style="1" customWidth="1"/>
    <col min="4" max="4" width="11.0546875" style="1" customWidth="1"/>
    <col min="5" max="5" width="16.71875" style="1" customWidth="1"/>
    <col min="6" max="16384" width="9.16796875" style="1"/>
  </cols>
  <sheetData>
    <row r="1" spans="1:8" x14ac:dyDescent="0.15">
      <c r="A1" s="4"/>
      <c r="B1" s="4"/>
      <c r="C1" s="4"/>
      <c r="D1" s="4"/>
      <c r="E1" s="4"/>
      <c r="F1" s="4"/>
      <c r="G1" s="4"/>
      <c r="H1" s="4"/>
    </row>
    <row r="2" spans="1:8" x14ac:dyDescent="0.15">
      <c r="A2" s="6"/>
      <c r="B2" s="6"/>
      <c r="C2" s="6"/>
      <c r="D2" s="6"/>
      <c r="E2" s="6"/>
      <c r="F2" s="6"/>
      <c r="G2" s="4"/>
      <c r="H2" s="4"/>
    </row>
    <row r="3" spans="1:8" x14ac:dyDescent="0.15">
      <c r="A3" s="6"/>
      <c r="B3" s="6"/>
      <c r="C3" s="6"/>
      <c r="D3" s="6"/>
      <c r="E3" s="6"/>
      <c r="F3" s="6"/>
      <c r="G3" s="4"/>
      <c r="H3" s="4"/>
    </row>
    <row r="4" spans="1:8" x14ac:dyDescent="0.15">
      <c r="A4" s="6"/>
      <c r="B4" s="6"/>
      <c r="C4" s="6"/>
      <c r="D4" s="6"/>
      <c r="E4" s="6"/>
      <c r="F4" s="6"/>
      <c r="G4" s="4"/>
      <c r="H4" s="4"/>
    </row>
    <row r="5" spans="1:8" x14ac:dyDescent="0.15">
      <c r="A5" s="6"/>
      <c r="B5" s="6"/>
      <c r="C5" s="6"/>
      <c r="D5" s="6"/>
      <c r="E5" s="6"/>
      <c r="F5" s="6"/>
      <c r="G5" s="4"/>
      <c r="H5" s="4"/>
    </row>
    <row r="6" spans="1:8" x14ac:dyDescent="0.15">
      <c r="A6" s="6"/>
      <c r="B6" s="6"/>
      <c r="C6" s="6"/>
      <c r="D6" s="6"/>
      <c r="E6" s="6"/>
      <c r="F6" s="6"/>
      <c r="G6" s="4"/>
      <c r="H6" s="4"/>
    </row>
    <row r="7" spans="1:8" x14ac:dyDescent="0.15">
      <c r="A7" s="6"/>
      <c r="B7" s="6"/>
      <c r="C7" s="6"/>
      <c r="D7" s="6"/>
      <c r="E7" s="6"/>
      <c r="F7" s="6"/>
      <c r="G7" s="4"/>
      <c r="H7" s="4"/>
    </row>
    <row r="8" spans="1:8" ht="13.5" thickBot="1" x14ac:dyDescent="0.2">
      <c r="A8" s="6"/>
      <c r="B8" s="6"/>
      <c r="C8" s="6"/>
      <c r="D8" s="6"/>
      <c r="E8" s="6"/>
      <c r="F8" s="6"/>
      <c r="G8" s="4"/>
      <c r="H8" s="4"/>
    </row>
    <row r="9" spans="1:8" ht="13.5" thickBot="1" x14ac:dyDescent="0.2">
      <c r="A9" s="100" t="s">
        <v>25</v>
      </c>
      <c r="B9" s="101"/>
      <c r="C9" s="101"/>
      <c r="D9" s="101"/>
      <c r="E9" s="101"/>
      <c r="F9" s="102"/>
    </row>
    <row r="10" spans="1:8" x14ac:dyDescent="0.15">
      <c r="A10" s="98" t="s">
        <v>2</v>
      </c>
      <c r="B10" s="99"/>
      <c r="C10" s="13">
        <v>0.56799999999999995</v>
      </c>
      <c r="D10" s="2"/>
      <c r="E10" s="2"/>
      <c r="F10" s="3"/>
    </row>
    <row r="11" spans="1:8" x14ac:dyDescent="0.15">
      <c r="A11" s="86" t="s">
        <v>21</v>
      </c>
      <c r="B11" s="95"/>
      <c r="C11" s="14">
        <v>0.12</v>
      </c>
      <c r="D11" s="4"/>
      <c r="E11" s="4"/>
      <c r="F11" s="5"/>
    </row>
    <row r="12" spans="1:8" ht="13.5" thickBot="1" x14ac:dyDescent="0.2">
      <c r="A12" s="103" t="s">
        <v>22</v>
      </c>
      <c r="B12" s="104"/>
      <c r="C12" s="15">
        <v>0.18</v>
      </c>
      <c r="D12" s="8"/>
      <c r="E12" s="8"/>
      <c r="F12" s="9"/>
    </row>
    <row r="13" spans="1:8" ht="13.5" thickBot="1" x14ac:dyDescent="0.2">
      <c r="A13" s="96"/>
      <c r="B13" s="97"/>
      <c r="C13" s="16"/>
      <c r="D13" s="11"/>
      <c r="E13" s="11"/>
      <c r="F13" s="12"/>
    </row>
    <row r="14" spans="1:8" x14ac:dyDescent="0.15">
      <c r="A14" s="98" t="s">
        <v>5</v>
      </c>
      <c r="B14" s="99"/>
      <c r="C14" s="17">
        <v>65.72</v>
      </c>
      <c r="D14" s="2"/>
      <c r="E14" s="2"/>
      <c r="F14" s="3"/>
    </row>
    <row r="15" spans="1:8" x14ac:dyDescent="0.15">
      <c r="A15" s="86" t="s">
        <v>6</v>
      </c>
      <c r="B15" s="95"/>
      <c r="C15" s="18">
        <v>0</v>
      </c>
      <c r="D15" s="4"/>
      <c r="E15" s="4"/>
      <c r="F15" s="5"/>
    </row>
    <row r="16" spans="1:8" x14ac:dyDescent="0.15">
      <c r="A16" s="86" t="s">
        <v>7</v>
      </c>
      <c r="B16" s="95"/>
      <c r="C16" s="18">
        <v>0</v>
      </c>
      <c r="D16" s="4"/>
      <c r="E16" s="4"/>
      <c r="F16" s="5"/>
    </row>
    <row r="17" spans="1:6" x14ac:dyDescent="0.15">
      <c r="A17" s="86" t="s">
        <v>8</v>
      </c>
      <c r="B17" s="95"/>
      <c r="C17" s="18">
        <v>0</v>
      </c>
      <c r="D17" s="4"/>
      <c r="E17" s="4"/>
      <c r="F17" s="5"/>
    </row>
    <row r="18" spans="1:6" x14ac:dyDescent="0.15">
      <c r="A18" s="86" t="s">
        <v>9</v>
      </c>
      <c r="B18" s="95"/>
      <c r="C18" s="18">
        <v>0</v>
      </c>
      <c r="D18" s="4"/>
      <c r="E18" s="4"/>
      <c r="F18" s="5"/>
    </row>
    <row r="19" spans="1:6" ht="13.5" thickBot="1" x14ac:dyDescent="0.2">
      <c r="A19" s="86" t="s">
        <v>10</v>
      </c>
      <c r="B19" s="95"/>
      <c r="C19" s="18">
        <v>0</v>
      </c>
      <c r="D19" s="4"/>
      <c r="E19" s="4"/>
      <c r="F19" s="5"/>
    </row>
    <row r="20" spans="1:6" ht="13.5" thickBot="1" x14ac:dyDescent="0.2">
      <c r="A20" s="88" t="s">
        <v>19</v>
      </c>
      <c r="B20" s="89"/>
      <c r="C20" s="49">
        <f>SUM(C14:C19)</f>
        <v>65.72</v>
      </c>
      <c r="D20" s="32"/>
      <c r="E20" s="32"/>
      <c r="F20" s="20"/>
    </row>
    <row r="21" spans="1:6" ht="13.5" thickBot="1" x14ac:dyDescent="0.2">
      <c r="A21" s="47"/>
      <c r="B21" s="48"/>
      <c r="C21" s="33"/>
      <c r="D21" s="34"/>
      <c r="E21" s="34"/>
      <c r="F21" s="23"/>
    </row>
    <row r="22" spans="1:6" ht="13.5" thickBot="1" x14ac:dyDescent="0.2">
      <c r="A22" s="90" t="s">
        <v>1</v>
      </c>
      <c r="B22" s="91"/>
      <c r="C22" s="46">
        <v>12</v>
      </c>
      <c r="D22" s="32"/>
      <c r="E22" s="32"/>
      <c r="F22" s="20"/>
    </row>
    <row r="23" spans="1:6" ht="13.5" thickBot="1" x14ac:dyDescent="0.2">
      <c r="A23" s="71"/>
      <c r="B23" s="72"/>
      <c r="C23" s="35"/>
      <c r="D23" s="34"/>
      <c r="E23" s="34"/>
      <c r="F23" s="23"/>
    </row>
    <row r="24" spans="1:6" ht="13.5" thickBot="1" x14ac:dyDescent="0.2">
      <c r="A24" s="88" t="s">
        <v>23</v>
      </c>
      <c r="B24" s="89"/>
      <c r="C24" s="51">
        <f>C10</f>
        <v>0.56799999999999995</v>
      </c>
      <c r="D24" s="52"/>
      <c r="E24" s="53">
        <f>C20*C24</f>
        <v>37.328959999999995</v>
      </c>
      <c r="F24" s="20"/>
    </row>
    <row r="25" spans="1:6" x14ac:dyDescent="0.15">
      <c r="A25" s="80"/>
      <c r="B25" s="81"/>
      <c r="C25" s="29"/>
      <c r="D25" s="29"/>
      <c r="E25" s="29"/>
      <c r="F25" s="24"/>
    </row>
    <row r="26" spans="1:6" x14ac:dyDescent="0.15">
      <c r="A26" s="55" t="s">
        <v>15</v>
      </c>
      <c r="B26" s="10"/>
      <c r="C26" s="30"/>
      <c r="D26" s="30"/>
      <c r="E26" s="36"/>
      <c r="F26" s="21"/>
    </row>
    <row r="27" spans="1:6" ht="13.5" thickBot="1" x14ac:dyDescent="0.2">
      <c r="A27" s="55"/>
      <c r="B27" s="10"/>
      <c r="C27" s="30"/>
      <c r="D27" s="30"/>
      <c r="E27" s="36"/>
      <c r="F27" s="21"/>
    </row>
    <row r="28" spans="1:6" ht="13.5" thickBot="1" x14ac:dyDescent="0.2">
      <c r="A28" s="82" t="s">
        <v>17</v>
      </c>
      <c r="B28" s="83"/>
      <c r="C28" s="84">
        <f>C20+E24</f>
        <v>103.04895999999999</v>
      </c>
      <c r="D28" s="30"/>
      <c r="E28" s="36"/>
      <c r="F28" s="21"/>
    </row>
    <row r="29" spans="1:6" ht="13.5" thickBot="1" x14ac:dyDescent="0.2">
      <c r="A29" s="55" t="s">
        <v>16</v>
      </c>
      <c r="B29" s="10"/>
      <c r="C29" s="58">
        <f>C28*C12</f>
        <v>18.548812799999997</v>
      </c>
      <c r="D29" s="30"/>
      <c r="E29" s="36"/>
      <c r="F29" s="21"/>
    </row>
    <row r="30" spans="1:6" ht="13.5" thickBot="1" x14ac:dyDescent="0.2">
      <c r="A30" s="82" t="s">
        <v>18</v>
      </c>
      <c r="B30" s="83"/>
      <c r="C30" s="84">
        <f>C29-C22</f>
        <v>6.5488127999999968</v>
      </c>
      <c r="D30" s="31"/>
      <c r="E30" s="37"/>
      <c r="F30" s="22"/>
    </row>
    <row r="31" spans="1:6" ht="14.25" x14ac:dyDescent="0.15">
      <c r="A31" s="70" t="s">
        <v>26</v>
      </c>
    </row>
  </sheetData>
  <mergeCells count="14">
    <mergeCell ref="A13:B13"/>
    <mergeCell ref="A14:B14"/>
    <mergeCell ref="A15:B15"/>
    <mergeCell ref="A16:B16"/>
    <mergeCell ref="A9:F9"/>
    <mergeCell ref="A10:B10"/>
    <mergeCell ref="A11:B11"/>
    <mergeCell ref="A12:B12"/>
    <mergeCell ref="A22:B22"/>
    <mergeCell ref="A24:B24"/>
    <mergeCell ref="A17:B17"/>
    <mergeCell ref="A18:B18"/>
    <mergeCell ref="A19:B19"/>
    <mergeCell ref="A20:B20"/>
  </mergeCells>
  <phoneticPr fontId="3" type="noConversion"/>
  <pageMargins left="0.78740157499999996" right="0.78740157499999996" top="0.984251969" bottom="0.984251969" header="0.49212598499999999" footer="0.49212598499999999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 DE CALCULO INTER</vt:lpstr>
      <vt:lpstr>PLANÍLHA DE CALCULO ESTADUAL</vt:lpstr>
      <vt:lpstr>S.T. VENDA PARA ATIVO OU CONSUM</vt:lpstr>
    </vt:vector>
  </TitlesOfParts>
  <Company>Contabilize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fiscal1</dc:creator>
  <cp:lastModifiedBy>X</cp:lastModifiedBy>
  <cp:lastPrinted>2010-05-05T18:30:01Z</cp:lastPrinted>
  <dcterms:created xsi:type="dcterms:W3CDTF">2010-04-20T19:53:06Z</dcterms:created>
  <dcterms:modified xsi:type="dcterms:W3CDTF">2018-02-26T02:37:59Z</dcterms:modified>
</cp:coreProperties>
</file>