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TRI_02\Desktop\Tabelas e Calendários\"/>
    </mc:Choice>
  </mc:AlternateContent>
  <bookViews>
    <workbookView xWindow="0" yWindow="0" windowWidth="20400" windowHeight="7755" activeTab="1"/>
  </bookViews>
  <sheets>
    <sheet name="DICAS" sheetId="4" r:id="rId1"/>
    <sheet name="Custo Produção" sheetId="2" r:id="rId2"/>
    <sheet name="Custo Prod Vendidos" sheetId="3" r:id="rId3"/>
  </sheets>
  <calcPr calcId="152511"/>
</workbook>
</file>

<file path=xl/calcChain.xml><?xml version="1.0" encoding="utf-8"?>
<calcChain xmlns="http://schemas.openxmlformats.org/spreadsheetml/2006/main">
  <c r="F12" i="3" l="1"/>
  <c r="F13" i="3" s="1"/>
  <c r="F15" i="3" s="1"/>
  <c r="F28" i="3" s="1"/>
  <c r="E12" i="3"/>
  <c r="E13" i="3" s="1"/>
  <c r="E15" i="3" s="1"/>
  <c r="E28" i="3" s="1"/>
  <c r="D12" i="3"/>
  <c r="D13" i="3" s="1"/>
  <c r="D15" i="3" s="1"/>
  <c r="D28" i="3" s="1"/>
  <c r="F27" i="3"/>
  <c r="E27" i="3"/>
  <c r="D27" i="3"/>
  <c r="F2" i="3"/>
  <c r="C5" i="3"/>
  <c r="C23" i="3" s="1"/>
  <c r="E9" i="2"/>
  <c r="E11" i="2"/>
  <c r="E22" i="2" s="1"/>
  <c r="E19" i="2"/>
  <c r="E20" i="2"/>
  <c r="F9" i="2"/>
  <c r="F11" i="2"/>
  <c r="F22" i="2" s="1"/>
  <c r="F19" i="2"/>
  <c r="F20" i="2"/>
  <c r="D9" i="2"/>
  <c r="D11" i="2" s="1"/>
  <c r="D19" i="2"/>
  <c r="D20" i="2"/>
  <c r="F27" i="2"/>
  <c r="E27" i="2"/>
  <c r="D45" i="2"/>
  <c r="E45" i="2"/>
  <c r="F45" i="2"/>
  <c r="F44" i="2"/>
  <c r="E44" i="2"/>
  <c r="D44" i="2"/>
  <c r="C10" i="2"/>
  <c r="C40" i="2"/>
  <c r="C5" i="2"/>
  <c r="D29" i="2" s="1"/>
  <c r="C28" i="2" s="1"/>
  <c r="C41" i="2" s="1"/>
  <c r="C6" i="2"/>
  <c r="C9" i="2" s="1"/>
  <c r="D30" i="2"/>
  <c r="C7" i="2"/>
  <c r="D31" i="2" s="1"/>
  <c r="C8" i="2"/>
  <c r="D32" i="2"/>
  <c r="F21" i="2"/>
  <c r="E21" i="2"/>
  <c r="D21" i="2"/>
  <c r="E24" i="2" l="1"/>
  <c r="E23" i="2"/>
  <c r="E25" i="2" s="1"/>
  <c r="E46" i="2" s="1"/>
  <c r="E47" i="2" s="1"/>
  <c r="E6" i="3"/>
  <c r="E7" i="3" s="1"/>
  <c r="F23" i="2"/>
  <c r="F25" i="2" s="1"/>
  <c r="F46" i="2" s="1"/>
  <c r="F47" i="2" s="1"/>
  <c r="F24" i="2"/>
  <c r="F6" i="3"/>
  <c r="F7" i="3" s="1"/>
  <c r="D22" i="2"/>
  <c r="C11" i="2"/>
  <c r="F16" i="3" l="1"/>
  <c r="E16" i="3"/>
  <c r="D6" i="3"/>
  <c r="C22" i="2"/>
  <c r="C35" i="2" s="1"/>
  <c r="D36" i="2" s="1"/>
  <c r="C42" i="2" s="1"/>
  <c r="C43" i="2" s="1"/>
  <c r="D24" i="2"/>
  <c r="D23" i="2"/>
  <c r="E29" i="3" l="1"/>
  <c r="E30" i="3" s="1"/>
  <c r="E8" i="3"/>
  <c r="E9" i="3" s="1"/>
  <c r="D25" i="2"/>
  <c r="D46" i="2" s="1"/>
  <c r="D47" i="2" s="1"/>
  <c r="C47" i="2" s="1"/>
  <c r="C23" i="2"/>
  <c r="F29" i="3"/>
  <c r="F30" i="3" s="1"/>
  <c r="F8" i="3"/>
  <c r="F9" i="3" s="1"/>
  <c r="C6" i="3"/>
  <c r="C24" i="3" s="1"/>
  <c r="D7" i="3"/>
  <c r="C7" i="3" l="1"/>
  <c r="D16" i="3"/>
  <c r="D29" i="3" l="1"/>
  <c r="D30" i="3" s="1"/>
  <c r="C30" i="3" s="1"/>
  <c r="D8" i="3"/>
  <c r="C8" i="3" l="1"/>
  <c r="D9" i="3"/>
  <c r="C9" i="3" s="1"/>
  <c r="C25" i="3" l="1"/>
  <c r="C26" i="3" s="1"/>
  <c r="C19" i="3"/>
  <c r="D20" i="3"/>
</calcChain>
</file>

<file path=xl/sharedStrings.xml><?xml version="1.0" encoding="utf-8"?>
<sst xmlns="http://schemas.openxmlformats.org/spreadsheetml/2006/main" count="89" uniqueCount="76">
  <si>
    <t>PLANILHA DE CUSTO DE PRODUÇÃO</t>
  </si>
  <si>
    <t>Vl. Total</t>
  </si>
  <si>
    <t>Produto A</t>
  </si>
  <si>
    <t>Produto B</t>
  </si>
  <si>
    <t>Produto C</t>
  </si>
  <si>
    <t>Lançamentos contábeis:</t>
  </si>
  <si>
    <t>C. Estoques Matérias Primas</t>
  </si>
  <si>
    <t>C. Estoques Materiais Embalagem</t>
  </si>
  <si>
    <t>Histórico: pela transferência de custos apurados no mês a produtos em elaboração</t>
  </si>
  <si>
    <t>Histórico: pela transferência de custos apurados no mês a produtos acabados</t>
  </si>
  <si>
    <t>Valor da Transferência de Produção no mês</t>
  </si>
  <si>
    <t>Saldo Contábil Final em Elaboração</t>
  </si>
  <si>
    <t>Saldo Contábil Anterior de Produtos em Elaboração</t>
  </si>
  <si>
    <t>Saldo Contábil Acumulado de Prod. Elaboração</t>
  </si>
  <si>
    <t>Custo Unitário do Produto Acabado Transferido</t>
  </si>
  <si>
    <t>Débito</t>
  </si>
  <si>
    <t>Crédito</t>
  </si>
  <si>
    <t>Conciliação do Saldo em Estoque de Produtos Acabados:</t>
  </si>
  <si>
    <t>Saldo Inicial Contábil</t>
  </si>
  <si>
    <t>Custos Apurados no mês</t>
  </si>
  <si>
    <t>Transferências a Produtos Acabados</t>
  </si>
  <si>
    <t>Saldo Final em Elaboração</t>
  </si>
  <si>
    <t>Valor transferido Prod. Elaboração</t>
  </si>
  <si>
    <t>Valor apurado do Custo dos Produtos Vendidos</t>
  </si>
  <si>
    <t>Saldo Contábil Final</t>
  </si>
  <si>
    <t>Estoques Transferidos Prod. Elaboração (Unidades)</t>
  </si>
  <si>
    <t>Saldo Estoques Finais (Unidades)</t>
  </si>
  <si>
    <t>Estoques Baixados por Venda (Unidades)</t>
  </si>
  <si>
    <t>D. Custo dos Produtos Vendidos</t>
  </si>
  <si>
    <t>C. Estoques Produtos Acabados</t>
  </si>
  <si>
    <t>Custos Transferidos de Estoques Elaboração</t>
  </si>
  <si>
    <t>Custos Baixados a Custo Produtos Vendidos</t>
  </si>
  <si>
    <t>Saldo Final Contábil</t>
  </si>
  <si>
    <t>Custo Médio Unitário Estoques Finais R$</t>
  </si>
  <si>
    <t>TOTAL DO CUSTO DE PRODUÇÃO DO MÊS</t>
  </si>
  <si>
    <t>Digite as informações nos campos AMARELOS</t>
  </si>
  <si>
    <t>% de Acabamento dos Estoques em Elaboração Iniciais</t>
  </si>
  <si>
    <t>% de Acabamento dos Estoques em Elaboração Finais</t>
  </si>
  <si>
    <t>Produção Equivalente no mês (Unidades Transferidas Acabadas)</t>
  </si>
  <si>
    <t>Custo Unitário do Produto em Elaboração no Estoque Final</t>
  </si>
  <si>
    <t>D. Estoques de Produtos Acabados</t>
  </si>
  <si>
    <t>C. Estoques de Produtos em Elaboração</t>
  </si>
  <si>
    <t>C. Cta. Transferência - Gastos Gerais de Produção</t>
  </si>
  <si>
    <t>D. Estoques de Produtos em Elaboração</t>
  </si>
  <si>
    <t>CUSTOS APURADOS NA CONTA ESTOQUES EM ELABORAÇÃO</t>
  </si>
  <si>
    <t>PLANILHA DE CUSTO DE PRODUTOS VENDIDOS</t>
  </si>
  <si>
    <t>CUSTOS APURADOS NA CONTA ESTOQUES DE PRODUTOS ACABADOS</t>
  </si>
  <si>
    <t>Total dos Estoques Acumulados na Conta (R$)</t>
  </si>
  <si>
    <t>Saldo Estoques Iniciais de Produtos Acabados (Unidades)</t>
  </si>
  <si>
    <t>Total dos Estoques Acumulados na Conta (Unidades)</t>
  </si>
  <si>
    <t>Saldo Contábil Inicial de Estoques Produtos Acabados</t>
  </si>
  <si>
    <t>Produção Acabada Transferida no mês (Unidades)</t>
  </si>
  <si>
    <t>Matérias Primas transferidas para produção</t>
  </si>
  <si>
    <t>Gastos Gerais de Produção apurados no mês</t>
  </si>
  <si>
    <t>Materiais de Embalagem transferidos para produção</t>
  </si>
  <si>
    <t>C. Cta. Transferência - Mão de Obra da Produção</t>
  </si>
  <si>
    <t>Custo da Mão de Obra da Produção apurada no mês</t>
  </si>
  <si>
    <t>Conciliação do Saldo Contábil dos Estoques de Produtos em Elaboração:</t>
  </si>
  <si>
    <t>Distribuição do Saldo Final:</t>
  </si>
  <si>
    <t>Em unidades</t>
  </si>
  <si>
    <t>Em valor R$</t>
  </si>
  <si>
    <t>Custo Médio Unitário Final Apurado</t>
  </si>
  <si>
    <t>Mês/ANO</t>
  </si>
  <si>
    <t>Estoques Iniciais de Estoques de Prod. em Elaboração (Unidades)</t>
  </si>
  <si>
    <t>Estoques Finais de Estoques de Prod. em Elaboração (Unidades)</t>
  </si>
  <si>
    <t>Mês de</t>
  </si>
  <si>
    <t>Produção Equivalente no mês (Unidades Consideradas Acabadas)</t>
  </si>
  <si>
    <t>Produção Equivalente no mês (Unidades em Elaboração no Estoque)</t>
  </si>
  <si>
    <t>DICAS DE COMO APURAR CONTABILMENTE OS CUSTOS</t>
  </si>
  <si>
    <t>1. Estruture adequadamente as informações contábeis. Para saber como fazê-lo, sugerimos a seguinte obra:</t>
  </si>
  <si>
    <t>CONTABILIDADE DE CUSTOS</t>
  </si>
  <si>
    <t>2. Verifique se todos os custos estão sendo contabilizados adequadamente</t>
  </si>
  <si>
    <t>3. Dê especial atenção à metodologia de rateio dos custos indiretos</t>
  </si>
  <si>
    <t>4. Não esqueça de revisar o Plano de Contas, para ajustá-lo à necessidade de informações</t>
  </si>
  <si>
    <t>5. Utilize custos padrões para aferir a eficácia do sistema</t>
  </si>
  <si>
    <t>6. Não basta calcular custos. É preciso observar atentamente distorções e desperdícios - possibilitando gerenciar custos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</si>
</sst>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1" formatCode="_(* #,##0.00_);_(* \(#,##0.00\);_(* &quot;-&quot;??_);_(@_)"/>
    <numFmt numFmtId="173" formatCode="_(* #,##0_);_(* \(#,##0\);_(* &quot;-&quot;??_);_(@_)"/>
    <numFmt numFmtId="174" formatCode="_(* #,##0.000_);_(* \(#,##0.000\);_(* &quot;-&quot;??_);_(@_)"/>
    <numFmt numFmtId="175" formatCode="mmm\-yy"/>
  </numFmts>
  <fonts count="5" x14ac:knownFonts="1">
    <font>
      <sz val="12"/>
      <name val="Times New Roman"/>
    </font>
    <font>
      <sz val="12"/>
      <name val="Times New Roman"/>
    </font>
    <font>
      <i/>
      <sz val="12"/>
      <name val="Times New Roman"/>
      <family val="1"/>
    </font>
    <font>
      <b/>
      <sz val="12"/>
      <name val="Times New Roman"/>
      <family val="1"/>
    </font>
    <font>
      <u/>
      <sz val="12"/>
      <color indexed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171" fontId="1" fillId="0" borderId="0" xfId="3"/>
    <xf numFmtId="171" fontId="1" fillId="0" borderId="0" xfId="3" applyAlignment="1">
      <alignment horizontal="center"/>
    </xf>
    <xf numFmtId="173" fontId="1" fillId="0" borderId="0" xfId="3" applyNumberFormat="1"/>
    <xf numFmtId="171" fontId="1" fillId="0" borderId="1" xfId="3" applyBorder="1"/>
    <xf numFmtId="171" fontId="1" fillId="0" borderId="0" xfId="3" applyFont="1" applyAlignment="1">
      <alignment horizontal="center"/>
    </xf>
    <xf numFmtId="171" fontId="1" fillId="0" borderId="0" xfId="3" applyNumberFormat="1"/>
    <xf numFmtId="171" fontId="1" fillId="2" borderId="2" xfId="3" applyFill="1" applyBorder="1"/>
    <xf numFmtId="171" fontId="1" fillId="2" borderId="3" xfId="3" applyFill="1" applyBorder="1"/>
    <xf numFmtId="171" fontId="1" fillId="2" borderId="4" xfId="3" applyFill="1" applyBorder="1"/>
    <xf numFmtId="171" fontId="1" fillId="2" borderId="5" xfId="3" applyFill="1" applyBorder="1"/>
    <xf numFmtId="171" fontId="1" fillId="2" borderId="0" xfId="3" applyFill="1" applyBorder="1"/>
    <xf numFmtId="171" fontId="1" fillId="2" borderId="6" xfId="3" applyFill="1" applyBorder="1"/>
    <xf numFmtId="171" fontId="1" fillId="2" borderId="7" xfId="3" applyFill="1" applyBorder="1"/>
    <xf numFmtId="171" fontId="1" fillId="2" borderId="8" xfId="3" applyFill="1" applyBorder="1"/>
    <xf numFmtId="171" fontId="1" fillId="2" borderId="9" xfId="3" applyFill="1" applyBorder="1"/>
    <xf numFmtId="171" fontId="1" fillId="2" borderId="10" xfId="3" applyFill="1" applyBorder="1"/>
    <xf numFmtId="171" fontId="1" fillId="2" borderId="11" xfId="3" applyFill="1" applyBorder="1"/>
    <xf numFmtId="171" fontId="1" fillId="2" borderId="12" xfId="3" applyFill="1" applyBorder="1"/>
    <xf numFmtId="173" fontId="1" fillId="2" borderId="2" xfId="3" applyNumberFormat="1" applyFill="1" applyBorder="1"/>
    <xf numFmtId="173" fontId="1" fillId="2" borderId="3" xfId="3" applyNumberFormat="1" applyFill="1" applyBorder="1"/>
    <xf numFmtId="173" fontId="1" fillId="2" borderId="4" xfId="3" applyNumberFormat="1" applyFill="1" applyBorder="1"/>
    <xf numFmtId="173" fontId="1" fillId="2" borderId="7" xfId="3" applyNumberFormat="1" applyFill="1" applyBorder="1"/>
    <xf numFmtId="173" fontId="1" fillId="2" borderId="8" xfId="3" applyNumberFormat="1" applyFill="1" applyBorder="1"/>
    <xf numFmtId="173" fontId="1" fillId="2" borderId="9" xfId="3" applyNumberFormat="1" applyFill="1" applyBorder="1"/>
    <xf numFmtId="173" fontId="1" fillId="2" borderId="0" xfId="3" applyNumberFormat="1" applyFill="1" applyBorder="1"/>
    <xf numFmtId="173" fontId="1" fillId="2" borderId="5" xfId="3" applyNumberFormat="1" applyFill="1" applyBorder="1"/>
    <xf numFmtId="173" fontId="1" fillId="2" borderId="6" xfId="3" applyNumberFormat="1" applyFill="1" applyBorder="1"/>
    <xf numFmtId="9" fontId="1" fillId="2" borderId="2" xfId="2" applyFill="1" applyBorder="1"/>
    <xf numFmtId="9" fontId="1" fillId="2" borderId="3" xfId="2" applyFill="1" applyBorder="1"/>
    <xf numFmtId="9" fontId="1" fillId="2" borderId="4" xfId="2" applyFill="1" applyBorder="1"/>
    <xf numFmtId="9" fontId="1" fillId="2" borderId="7" xfId="2" applyFill="1" applyBorder="1"/>
    <xf numFmtId="9" fontId="1" fillId="2" borderId="8" xfId="2" applyFill="1" applyBorder="1"/>
    <xf numFmtId="9" fontId="1" fillId="2" borderId="9" xfId="2" applyFill="1" applyBorder="1"/>
    <xf numFmtId="0" fontId="0" fillId="2" borderId="1" xfId="0" applyFill="1" applyBorder="1"/>
    <xf numFmtId="173" fontId="1" fillId="2" borderId="10" xfId="3" applyNumberFormat="1" applyFill="1" applyBorder="1"/>
    <xf numFmtId="173" fontId="1" fillId="2" borderId="11" xfId="3" applyNumberFormat="1" applyFill="1" applyBorder="1"/>
    <xf numFmtId="173" fontId="1" fillId="2" borderId="12" xfId="3" applyNumberFormat="1" applyFill="1" applyBorder="1"/>
    <xf numFmtId="173" fontId="1" fillId="2" borderId="12" xfId="3" applyNumberFormat="1" applyFont="1" applyFill="1" applyBorder="1"/>
    <xf numFmtId="173" fontId="1" fillId="0" borderId="0" xfId="3" applyNumberFormat="1" applyAlignment="1">
      <alignment horizontal="left" indent="2"/>
    </xf>
    <xf numFmtId="174" fontId="1" fillId="0" borderId="0" xfId="3" applyNumberFormat="1" applyAlignment="1">
      <alignment horizontal="left" indent="2"/>
    </xf>
    <xf numFmtId="171" fontId="1" fillId="0" borderId="0" xfId="3" applyFont="1"/>
    <xf numFmtId="17" fontId="1" fillId="2" borderId="1" xfId="3" applyNumberFormat="1" applyFill="1" applyBorder="1"/>
    <xf numFmtId="175" fontId="1" fillId="0" borderId="1" xfId="3" applyNumberFormat="1" applyBorder="1"/>
    <xf numFmtId="17" fontId="1" fillId="0" borderId="1" xfId="3" applyNumberFormat="1" applyBorder="1"/>
    <xf numFmtId="174" fontId="1" fillId="0" borderId="0" xfId="3" applyNumberFormat="1"/>
    <xf numFmtId="0" fontId="4" fillId="0" borderId="0" xfId="1" applyAlignment="1" applyProtection="1"/>
  </cellXfs>
  <cellStyles count="4">
    <cellStyle name="Hiperlink" xfId="1" builtinId="8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ortaldecontabilidade.com.br/obras/custos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opLeftCell="A4" workbookViewId="0"/>
  </sheetViews>
  <sheetFormatPr defaultRowHeight="15.75" x14ac:dyDescent="0.25"/>
  <cols>
    <col min="1" max="1" width="84.875" customWidth="1"/>
  </cols>
  <sheetData>
    <row r="1" spans="1:1" x14ac:dyDescent="0.25">
      <c r="A1" t="s">
        <v>68</v>
      </c>
    </row>
    <row r="2" spans="1:1" x14ac:dyDescent="0.25">
      <c r="A2" t="s">
        <v>69</v>
      </c>
    </row>
    <row r="3" spans="1:1" x14ac:dyDescent="0.25">
      <c r="A3" s="48" t="s">
        <v>70</v>
      </c>
    </row>
    <row r="5" spans="1:1" x14ac:dyDescent="0.25">
      <c r="A5" t="s">
        <v>71</v>
      </c>
    </row>
    <row r="7" spans="1:1" x14ac:dyDescent="0.25">
      <c r="A7" t="s">
        <v>72</v>
      </c>
    </row>
    <row r="9" spans="1:1" x14ac:dyDescent="0.25">
      <c r="A9" t="s">
        <v>73</v>
      </c>
    </row>
    <row r="11" spans="1:1" x14ac:dyDescent="0.25">
      <c r="A11" t="s">
        <v>74</v>
      </c>
    </row>
    <row r="13" spans="1:1" x14ac:dyDescent="0.25">
      <c r="A13" t="s">
        <v>75</v>
      </c>
    </row>
  </sheetData>
  <phoneticPr fontId="0" type="noConversion"/>
  <hyperlinks>
    <hyperlink ref="A3" r:id="rId1" display="http://www.portaldecontabilidade.com.br/obras/custos.htm"/>
  </hyperlinks>
  <pageMargins left="0.78740157499999996" right="0.78740157499999996" top="0.984251969" bottom="0.984251969" header="0.49212598499999999" footer="0.49212598499999999"/>
  <pageSetup paperSize="9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9"/>
  <sheetViews>
    <sheetView tabSelected="1" workbookViewId="0">
      <selection activeCell="K10" sqref="K10"/>
    </sheetView>
  </sheetViews>
  <sheetFormatPr defaultRowHeight="15.75" x14ac:dyDescent="0.25"/>
  <cols>
    <col min="2" max="2" width="43.375" customWidth="1"/>
    <col min="3" max="3" width="10.75" style="3" bestFit="1" customWidth="1"/>
    <col min="4" max="5" width="10.625" style="3" bestFit="1" customWidth="1"/>
    <col min="6" max="6" width="10" style="3" customWidth="1"/>
    <col min="7" max="7" width="9" style="3"/>
  </cols>
  <sheetData>
    <row r="2" spans="2:7" x14ac:dyDescent="0.25">
      <c r="B2" s="2" t="s">
        <v>0</v>
      </c>
      <c r="E2" s="43" t="s">
        <v>62</v>
      </c>
      <c r="F2" s="44">
        <v>43739</v>
      </c>
      <c r="G2"/>
    </row>
    <row r="3" spans="2:7" x14ac:dyDescent="0.25">
      <c r="B3" s="2" t="s">
        <v>44</v>
      </c>
      <c r="G3"/>
    </row>
    <row r="4" spans="2:7" x14ac:dyDescent="0.25">
      <c r="B4" s="36" t="s">
        <v>35</v>
      </c>
      <c r="C4" s="4" t="s">
        <v>1</v>
      </c>
      <c r="D4" s="4" t="s">
        <v>2</v>
      </c>
      <c r="E4" s="4" t="s">
        <v>3</v>
      </c>
      <c r="F4" s="4" t="s">
        <v>4</v>
      </c>
      <c r="G4"/>
    </row>
    <row r="5" spans="2:7" x14ac:dyDescent="0.25">
      <c r="B5" t="s">
        <v>52</v>
      </c>
      <c r="C5" s="3">
        <f>SUM(D5:F5)</f>
        <v>14050</v>
      </c>
      <c r="D5" s="9">
        <v>5000</v>
      </c>
      <c r="E5" s="10">
        <v>4000</v>
      </c>
      <c r="F5" s="11">
        <v>5050</v>
      </c>
      <c r="G5"/>
    </row>
    <row r="6" spans="2:7" x14ac:dyDescent="0.25">
      <c r="B6" t="s">
        <v>54</v>
      </c>
      <c r="C6" s="3">
        <f>SUM(D6:F6)</f>
        <v>2925</v>
      </c>
      <c r="D6" s="12">
        <v>1770</v>
      </c>
      <c r="E6" s="13">
        <v>400</v>
      </c>
      <c r="F6" s="14">
        <v>755</v>
      </c>
      <c r="G6"/>
    </row>
    <row r="7" spans="2:7" x14ac:dyDescent="0.25">
      <c r="B7" t="s">
        <v>56</v>
      </c>
      <c r="C7" s="3">
        <f>SUM(D7:F7)</f>
        <v>5766</v>
      </c>
      <c r="D7" s="12">
        <v>2990</v>
      </c>
      <c r="E7" s="13">
        <v>988</v>
      </c>
      <c r="F7" s="14">
        <v>1788</v>
      </c>
      <c r="G7"/>
    </row>
    <row r="8" spans="2:7" x14ac:dyDescent="0.25">
      <c r="B8" t="s">
        <v>53</v>
      </c>
      <c r="C8" s="3">
        <f>SUM(D8:F8)</f>
        <v>2265</v>
      </c>
      <c r="D8" s="15">
        <v>600</v>
      </c>
      <c r="E8" s="16">
        <v>888</v>
      </c>
      <c r="F8" s="17">
        <v>777</v>
      </c>
      <c r="G8"/>
    </row>
    <row r="9" spans="2:7" x14ac:dyDescent="0.25">
      <c r="B9" t="s">
        <v>34</v>
      </c>
      <c r="C9" s="3">
        <f>SUM(C5:C8)</f>
        <v>25006</v>
      </c>
      <c r="D9" s="3">
        <f>SUM(D5:D8)</f>
        <v>10360</v>
      </c>
      <c r="E9" s="3">
        <f>SUM(E5:E8)</f>
        <v>6276</v>
      </c>
      <c r="F9" s="3">
        <f>SUM(F5:F8)</f>
        <v>8370</v>
      </c>
      <c r="G9"/>
    </row>
    <row r="10" spans="2:7" x14ac:dyDescent="0.25">
      <c r="B10" t="s">
        <v>12</v>
      </c>
      <c r="C10" s="3">
        <f>SUM(D10:F10)</f>
        <v>2071.5</v>
      </c>
      <c r="D10" s="18">
        <v>1269.5</v>
      </c>
      <c r="E10" s="19">
        <v>635</v>
      </c>
      <c r="F10" s="20">
        <v>167</v>
      </c>
      <c r="G10"/>
    </row>
    <row r="11" spans="2:7" x14ac:dyDescent="0.25">
      <c r="B11" t="s">
        <v>13</v>
      </c>
      <c r="C11" s="3">
        <f>SUM(D11:F11)</f>
        <v>27077.5</v>
      </c>
      <c r="D11" s="3">
        <f>D9+D10</f>
        <v>11629.5</v>
      </c>
      <c r="E11" s="3">
        <f>E9+E10</f>
        <v>6911</v>
      </c>
      <c r="F11" s="3">
        <f>F9+F10</f>
        <v>8537</v>
      </c>
      <c r="G11"/>
    </row>
    <row r="13" spans="2:7" x14ac:dyDescent="0.25">
      <c r="B13" t="s">
        <v>63</v>
      </c>
      <c r="C13" s="5"/>
      <c r="D13" s="21">
        <v>500</v>
      </c>
      <c r="E13" s="22">
        <v>350</v>
      </c>
      <c r="F13" s="23">
        <v>28</v>
      </c>
      <c r="G13"/>
    </row>
    <row r="14" spans="2:7" x14ac:dyDescent="0.25">
      <c r="B14" t="s">
        <v>51</v>
      </c>
      <c r="C14" s="5"/>
      <c r="D14" s="28">
        <v>1800</v>
      </c>
      <c r="E14" s="27">
        <v>2500</v>
      </c>
      <c r="F14" s="29">
        <v>890</v>
      </c>
      <c r="G14"/>
    </row>
    <row r="15" spans="2:7" x14ac:dyDescent="0.25">
      <c r="B15" t="s">
        <v>64</v>
      </c>
      <c r="C15" s="5"/>
      <c r="D15" s="24">
        <v>400</v>
      </c>
      <c r="E15" s="25">
        <v>390</v>
      </c>
      <c r="F15" s="26">
        <v>75</v>
      </c>
      <c r="G15"/>
    </row>
    <row r="16" spans="2:7" x14ac:dyDescent="0.25">
      <c r="C16" s="5"/>
      <c r="D16" s="5"/>
      <c r="E16" s="5"/>
      <c r="F16" s="5"/>
      <c r="G16"/>
    </row>
    <row r="17" spans="2:7" x14ac:dyDescent="0.25">
      <c r="B17" t="s">
        <v>36</v>
      </c>
      <c r="C17" s="5"/>
      <c r="D17" s="30">
        <v>0.44</v>
      </c>
      <c r="E17" s="31">
        <v>0.72</v>
      </c>
      <c r="F17" s="32">
        <v>0.62</v>
      </c>
      <c r="G17"/>
    </row>
    <row r="18" spans="2:7" x14ac:dyDescent="0.25">
      <c r="B18" t="s">
        <v>37</v>
      </c>
      <c r="C18" s="5"/>
      <c r="D18" s="33">
        <v>0.51</v>
      </c>
      <c r="E18" s="34">
        <v>0.45</v>
      </c>
      <c r="F18" s="35">
        <v>0.69</v>
      </c>
      <c r="G18"/>
    </row>
    <row r="19" spans="2:7" x14ac:dyDescent="0.25">
      <c r="B19" t="s">
        <v>66</v>
      </c>
      <c r="D19" s="5">
        <f>ROUND(D15*D18+D14-D13*D17,0)</f>
        <v>1784</v>
      </c>
      <c r="E19" s="5">
        <f>ROUND(E15*E18+E14-E13*E17,0)</f>
        <v>2424</v>
      </c>
      <c r="F19" s="5">
        <f>ROUND(F15*F18+F14-F13*F17,0)</f>
        <v>924</v>
      </c>
      <c r="G19"/>
    </row>
    <row r="20" spans="2:7" x14ac:dyDescent="0.25">
      <c r="B20" t="s">
        <v>38</v>
      </c>
      <c r="D20" s="5">
        <f>(ROUND((D14-D13*D17),0))</f>
        <v>1580</v>
      </c>
      <c r="E20" s="5">
        <f>(ROUND((E14-E13*E17),0))</f>
        <v>2248</v>
      </c>
      <c r="F20" s="5">
        <f>(ROUND((F14-F13*F17),0))</f>
        <v>873</v>
      </c>
      <c r="G20"/>
    </row>
    <row r="21" spans="2:7" x14ac:dyDescent="0.25">
      <c r="B21" t="s">
        <v>67</v>
      </c>
      <c r="D21" s="5">
        <f>D19-D20</f>
        <v>204</v>
      </c>
      <c r="E21" s="5">
        <f>E19-E20</f>
        <v>176</v>
      </c>
      <c r="F21" s="5">
        <f>F19-F20</f>
        <v>51</v>
      </c>
      <c r="G21"/>
    </row>
    <row r="22" spans="2:7" x14ac:dyDescent="0.25">
      <c r="B22" t="s">
        <v>10</v>
      </c>
      <c r="C22" s="3">
        <f>SUM(D22:F22)</f>
        <v>24774.68</v>
      </c>
      <c r="D22" s="6">
        <f>ROUND(D11/D19*D20,2)</f>
        <v>10299.67</v>
      </c>
      <c r="E22" s="6">
        <f>ROUND(E11/E19*E20,2)</f>
        <v>6409.21</v>
      </c>
      <c r="F22" s="6">
        <f>ROUND(F11/F19*F20,2)</f>
        <v>8065.8</v>
      </c>
      <c r="G22"/>
    </row>
    <row r="23" spans="2:7" x14ac:dyDescent="0.25">
      <c r="B23" t="s">
        <v>11</v>
      </c>
      <c r="C23" s="3">
        <f>SUM(D23:F23)</f>
        <v>2302.8199999999997</v>
      </c>
      <c r="D23" s="3">
        <f>ROUND(D11-D22,2)</f>
        <v>1329.83</v>
      </c>
      <c r="E23" s="3">
        <f>ROUND(E11-E22,2)</f>
        <v>501.79</v>
      </c>
      <c r="F23" s="3">
        <f>ROUND(F11-F22,2)</f>
        <v>471.2</v>
      </c>
      <c r="G23"/>
    </row>
    <row r="24" spans="2:7" x14ac:dyDescent="0.25">
      <c r="B24" t="s">
        <v>14</v>
      </c>
      <c r="D24" s="47">
        <f t="shared" ref="D24:F25" si="0">D22/D14</f>
        <v>5.7220388888888891</v>
      </c>
      <c r="E24" s="47">
        <f t="shared" si="0"/>
        <v>2.5636839999999999</v>
      </c>
      <c r="F24" s="47">
        <f t="shared" si="0"/>
        <v>9.0626966292134838</v>
      </c>
      <c r="G24"/>
    </row>
    <row r="25" spans="2:7" x14ac:dyDescent="0.25">
      <c r="B25" t="s">
        <v>39</v>
      </c>
      <c r="D25" s="47">
        <f t="shared" si="0"/>
        <v>3.3245749999999998</v>
      </c>
      <c r="E25" s="47">
        <f t="shared" si="0"/>
        <v>1.2866410256410257</v>
      </c>
      <c r="F25" s="47">
        <f t="shared" si="0"/>
        <v>6.2826666666666666</v>
      </c>
      <c r="G25"/>
    </row>
    <row r="27" spans="2:7" x14ac:dyDescent="0.25">
      <c r="B27" t="s">
        <v>5</v>
      </c>
      <c r="C27" s="7" t="s">
        <v>15</v>
      </c>
      <c r="D27" s="7" t="s">
        <v>16</v>
      </c>
      <c r="E27" s="3" t="str">
        <f>E2</f>
        <v>Mês/ANO</v>
      </c>
      <c r="F27" s="45">
        <f>F2</f>
        <v>43739</v>
      </c>
      <c r="G27"/>
    </row>
    <row r="28" spans="2:7" x14ac:dyDescent="0.25">
      <c r="B28" t="s">
        <v>43</v>
      </c>
      <c r="C28" s="3">
        <f>SUM(D29:D32)</f>
        <v>25006</v>
      </c>
      <c r="G28"/>
    </row>
    <row r="29" spans="2:7" x14ac:dyDescent="0.25">
      <c r="B29" t="s">
        <v>6</v>
      </c>
      <c r="D29" s="3">
        <f>C5</f>
        <v>14050</v>
      </c>
      <c r="G29"/>
    </row>
    <row r="30" spans="2:7" x14ac:dyDescent="0.25">
      <c r="B30" t="s">
        <v>7</v>
      </c>
      <c r="D30" s="3">
        <f>C6</f>
        <v>2925</v>
      </c>
      <c r="G30"/>
    </row>
    <row r="31" spans="2:7" x14ac:dyDescent="0.25">
      <c r="B31" t="s">
        <v>55</v>
      </c>
      <c r="D31" s="3">
        <f>C7</f>
        <v>5766</v>
      </c>
      <c r="G31"/>
    </row>
    <row r="32" spans="2:7" x14ac:dyDescent="0.25">
      <c r="B32" t="s">
        <v>42</v>
      </c>
      <c r="D32" s="3">
        <f>C8</f>
        <v>2265</v>
      </c>
      <c r="G32"/>
    </row>
    <row r="33" spans="2:7" x14ac:dyDescent="0.25">
      <c r="B33" t="s">
        <v>8</v>
      </c>
      <c r="G33"/>
    </row>
    <row r="34" spans="2:7" x14ac:dyDescent="0.25">
      <c r="G34"/>
    </row>
    <row r="35" spans="2:7" x14ac:dyDescent="0.25">
      <c r="B35" t="s">
        <v>40</v>
      </c>
      <c r="C35" s="3">
        <f>C22</f>
        <v>24774.68</v>
      </c>
      <c r="G35"/>
    </row>
    <row r="36" spans="2:7" x14ac:dyDescent="0.25">
      <c r="B36" t="s">
        <v>41</v>
      </c>
      <c r="D36" s="3">
        <f>C35</f>
        <v>24774.68</v>
      </c>
      <c r="G36"/>
    </row>
    <row r="37" spans="2:7" x14ac:dyDescent="0.25">
      <c r="B37" t="s">
        <v>9</v>
      </c>
      <c r="G37"/>
    </row>
    <row r="39" spans="2:7" x14ac:dyDescent="0.25">
      <c r="B39" t="s">
        <v>57</v>
      </c>
      <c r="G39"/>
    </row>
    <row r="40" spans="2:7" x14ac:dyDescent="0.25">
      <c r="B40" t="s">
        <v>18</v>
      </c>
      <c r="C40" s="3">
        <f>C10</f>
        <v>2071.5</v>
      </c>
      <c r="G40"/>
    </row>
    <row r="41" spans="2:7" x14ac:dyDescent="0.25">
      <c r="B41" t="s">
        <v>19</v>
      </c>
      <c r="C41" s="3">
        <f>C28</f>
        <v>25006</v>
      </c>
      <c r="G41"/>
    </row>
    <row r="42" spans="2:7" x14ac:dyDescent="0.25">
      <c r="B42" t="s">
        <v>20</v>
      </c>
      <c r="C42" s="3">
        <f>-D36</f>
        <v>-24774.68</v>
      </c>
      <c r="G42"/>
    </row>
    <row r="43" spans="2:7" x14ac:dyDescent="0.25">
      <c r="B43" t="s">
        <v>21</v>
      </c>
      <c r="C43" s="3">
        <f>SUM(C40:C42)</f>
        <v>2302.8199999999997</v>
      </c>
      <c r="G43"/>
    </row>
    <row r="44" spans="2:7" x14ac:dyDescent="0.25">
      <c r="B44" t="s">
        <v>58</v>
      </c>
      <c r="D44" s="3" t="str">
        <f>D4</f>
        <v>Produto A</v>
      </c>
      <c r="E44" s="3" t="str">
        <f>E4</f>
        <v>Produto B</v>
      </c>
      <c r="F44" s="3" t="str">
        <f>F4</f>
        <v>Produto C</v>
      </c>
      <c r="G44"/>
    </row>
    <row r="45" spans="2:7" x14ac:dyDescent="0.25">
      <c r="B45" t="s">
        <v>59</v>
      </c>
      <c r="D45" s="41">
        <f>D15</f>
        <v>400</v>
      </c>
      <c r="E45" s="41">
        <f>E15</f>
        <v>390</v>
      </c>
      <c r="F45" s="41">
        <f>F15</f>
        <v>75</v>
      </c>
    </row>
    <row r="46" spans="2:7" x14ac:dyDescent="0.25">
      <c r="B46" t="s">
        <v>61</v>
      </c>
      <c r="D46" s="42">
        <f>D25</f>
        <v>3.3245749999999998</v>
      </c>
      <c r="E46" s="42">
        <f>E25</f>
        <v>1.2866410256410257</v>
      </c>
      <c r="F46" s="42">
        <f>F25</f>
        <v>6.2826666666666666</v>
      </c>
    </row>
    <row r="47" spans="2:7" x14ac:dyDescent="0.25">
      <c r="B47" t="s">
        <v>60</v>
      </c>
      <c r="C47" s="3">
        <f>SUM(D47:F47)</f>
        <v>2302.8199999999997</v>
      </c>
      <c r="D47" s="3">
        <f>D45*D46</f>
        <v>1329.83</v>
      </c>
      <c r="E47" s="3">
        <f>E45*E46</f>
        <v>501.79</v>
      </c>
      <c r="F47" s="3">
        <f>F45*F46</f>
        <v>471.2</v>
      </c>
    </row>
    <row r="48" spans="2:7" x14ac:dyDescent="0.25">
      <c r="G48"/>
    </row>
    <row r="49" spans="2:2" x14ac:dyDescent="0.25">
      <c r="B49" s="1"/>
    </row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horizontalDpi="4294967294" verticalDpi="0" r:id="rId1"/>
  <headerFooter alignWithMargins="0">
    <oddHeader>&amp;CCUSTO DE PRODUÇÃO APURADO</oddHeader>
  </headerFooter>
  <rowBreaks count="1" manualBreakCount="1">
    <brk id="2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2"/>
  <sheetViews>
    <sheetView topLeftCell="A2" workbookViewId="0">
      <selection activeCell="F32" sqref="F32"/>
    </sheetView>
  </sheetViews>
  <sheetFormatPr defaultRowHeight="15.75" x14ac:dyDescent="0.25"/>
  <cols>
    <col min="2" max="2" width="43.125" customWidth="1"/>
    <col min="3" max="3" width="10.75" style="3" bestFit="1" customWidth="1"/>
    <col min="4" max="5" width="10.125" style="3" bestFit="1" customWidth="1"/>
    <col min="6" max="6" width="10" style="3" customWidth="1"/>
  </cols>
  <sheetData>
    <row r="2" spans="2:6" x14ac:dyDescent="0.25">
      <c r="B2" s="2" t="s">
        <v>45</v>
      </c>
      <c r="E2" s="7" t="s">
        <v>65</v>
      </c>
      <c r="F2" s="46">
        <f>'Custo Produção'!F2</f>
        <v>43739</v>
      </c>
    </row>
    <row r="3" spans="2:6" x14ac:dyDescent="0.25">
      <c r="B3" s="2" t="s">
        <v>46</v>
      </c>
    </row>
    <row r="4" spans="2:6" x14ac:dyDescent="0.25">
      <c r="B4" s="36" t="s">
        <v>35</v>
      </c>
      <c r="C4" s="4" t="s">
        <v>1</v>
      </c>
      <c r="D4" s="4" t="s">
        <v>2</v>
      </c>
      <c r="E4" s="4" t="s">
        <v>3</v>
      </c>
      <c r="F4" s="4" t="s">
        <v>4</v>
      </c>
    </row>
    <row r="5" spans="2:6" x14ac:dyDescent="0.25">
      <c r="B5" t="s">
        <v>50</v>
      </c>
      <c r="C5" s="3">
        <f>SUM(D5:F5)</f>
        <v>13750</v>
      </c>
      <c r="D5" s="18">
        <v>4700</v>
      </c>
      <c r="E5" s="19">
        <v>4000</v>
      </c>
      <c r="F5" s="20">
        <v>5050</v>
      </c>
    </row>
    <row r="6" spans="2:6" x14ac:dyDescent="0.25">
      <c r="B6" t="s">
        <v>22</v>
      </c>
      <c r="C6" s="3">
        <f>SUM(D6:F6)</f>
        <v>24774.68</v>
      </c>
      <c r="D6" s="3">
        <f>'Custo Produção'!D22</f>
        <v>10299.67</v>
      </c>
      <c r="E6" s="3">
        <f>'Custo Produção'!E22</f>
        <v>6409.21</v>
      </c>
      <c r="F6" s="3">
        <f>'Custo Produção'!F22</f>
        <v>8065.8</v>
      </c>
    </row>
    <row r="7" spans="2:6" x14ac:dyDescent="0.25">
      <c r="B7" t="s">
        <v>47</v>
      </c>
      <c r="C7" s="3">
        <f>SUM(D7:F7)</f>
        <v>38524.679999999993</v>
      </c>
      <c r="D7" s="3">
        <f>D5+D6</f>
        <v>14999.67</v>
      </c>
      <c r="E7" s="3">
        <f>E5+E6</f>
        <v>10409.209999999999</v>
      </c>
      <c r="F7" s="3">
        <f>F5+F6</f>
        <v>13115.8</v>
      </c>
    </row>
    <row r="8" spans="2:6" x14ac:dyDescent="0.25">
      <c r="B8" t="s">
        <v>23</v>
      </c>
      <c r="C8" s="3">
        <f>SUM(D8:F8)</f>
        <v>22029.405005517241</v>
      </c>
      <c r="D8" s="3">
        <f>D16*D14</f>
        <v>8565.5258400000002</v>
      </c>
      <c r="E8" s="3">
        <f>E16*E14</f>
        <v>6453.7101999999995</v>
      </c>
      <c r="F8" s="3">
        <f>F16*F14</f>
        <v>7010.1689655172413</v>
      </c>
    </row>
    <row r="9" spans="2:6" x14ac:dyDescent="0.25">
      <c r="B9" t="s">
        <v>24</v>
      </c>
      <c r="C9" s="3">
        <f>SUM(D9:F9)</f>
        <v>16495.274994482759</v>
      </c>
      <c r="D9" s="3">
        <f>D7-D8</f>
        <v>6434.1441599999998</v>
      </c>
      <c r="E9" s="3">
        <f>E7-E8</f>
        <v>3955.4997999999996</v>
      </c>
      <c r="F9" s="3">
        <f>F7-F8</f>
        <v>6105.631034482758</v>
      </c>
    </row>
    <row r="11" spans="2:6" x14ac:dyDescent="0.25">
      <c r="B11" t="s">
        <v>48</v>
      </c>
      <c r="D11" s="37">
        <v>825</v>
      </c>
      <c r="E11" s="38">
        <v>1500</v>
      </c>
      <c r="F11" s="39">
        <v>560</v>
      </c>
    </row>
    <row r="12" spans="2:6" x14ac:dyDescent="0.25">
      <c r="B12" t="s">
        <v>25</v>
      </c>
      <c r="D12" s="5">
        <f>'Custo Produção'!D14</f>
        <v>1800</v>
      </c>
      <c r="E12" s="5">
        <f>'Custo Produção'!E14</f>
        <v>2500</v>
      </c>
      <c r="F12" s="5">
        <f>'Custo Produção'!F14</f>
        <v>890</v>
      </c>
    </row>
    <row r="13" spans="2:6" x14ac:dyDescent="0.25">
      <c r="B13" t="s">
        <v>49</v>
      </c>
      <c r="D13" s="5">
        <f>SUM(D11:D12)</f>
        <v>2625</v>
      </c>
      <c r="E13" s="5">
        <f>SUM(E11:E12)</f>
        <v>4000</v>
      </c>
      <c r="F13" s="5">
        <f>SUM(F11:F12)</f>
        <v>1450</v>
      </c>
    </row>
    <row r="14" spans="2:6" x14ac:dyDescent="0.25">
      <c r="B14" t="s">
        <v>27</v>
      </c>
      <c r="D14" s="37">
        <v>1499</v>
      </c>
      <c r="E14" s="38">
        <v>2480</v>
      </c>
      <c r="F14" s="40">
        <v>775</v>
      </c>
    </row>
    <row r="15" spans="2:6" x14ac:dyDescent="0.25">
      <c r="B15" t="s">
        <v>26</v>
      </c>
      <c r="D15" s="5">
        <f>D13-D14</f>
        <v>1126</v>
      </c>
      <c r="E15" s="5">
        <f>E13-E14</f>
        <v>1520</v>
      </c>
      <c r="F15" s="5">
        <f>F13-F14</f>
        <v>675</v>
      </c>
    </row>
    <row r="16" spans="2:6" x14ac:dyDescent="0.25">
      <c r="B16" t="s">
        <v>33</v>
      </c>
      <c r="C16" s="5"/>
      <c r="D16" s="47">
        <f>D7/D13</f>
        <v>5.7141599999999997</v>
      </c>
      <c r="E16" s="47">
        <f>E7/E13</f>
        <v>2.6023025</v>
      </c>
      <c r="F16" s="47">
        <f>F7/F13</f>
        <v>9.0453793103448277</v>
      </c>
    </row>
    <row r="17" spans="2:6" x14ac:dyDescent="0.25">
      <c r="C17" s="5"/>
      <c r="D17" s="8"/>
      <c r="E17" s="8"/>
      <c r="F17" s="8"/>
    </row>
    <row r="18" spans="2:6" x14ac:dyDescent="0.25">
      <c r="B18" t="s">
        <v>5</v>
      </c>
      <c r="C18" s="7" t="s">
        <v>15</v>
      </c>
      <c r="D18" s="7" t="s">
        <v>16</v>
      </c>
    </row>
    <row r="19" spans="2:6" x14ac:dyDescent="0.25">
      <c r="B19" t="s">
        <v>28</v>
      </c>
      <c r="C19" s="3">
        <f>C8</f>
        <v>22029.405005517241</v>
      </c>
    </row>
    <row r="20" spans="2:6" x14ac:dyDescent="0.25">
      <c r="B20" t="s">
        <v>29</v>
      </c>
      <c r="C20" s="7"/>
      <c r="D20" s="7">
        <f>C8</f>
        <v>22029.405005517241</v>
      </c>
    </row>
    <row r="22" spans="2:6" x14ac:dyDescent="0.25">
      <c r="B22" t="s">
        <v>17</v>
      </c>
    </row>
    <row r="23" spans="2:6" x14ac:dyDescent="0.25">
      <c r="B23" t="s">
        <v>18</v>
      </c>
      <c r="C23" s="3">
        <f>C5</f>
        <v>13750</v>
      </c>
    </row>
    <row r="24" spans="2:6" x14ac:dyDescent="0.25">
      <c r="B24" t="s">
        <v>30</v>
      </c>
      <c r="C24" s="3">
        <f>C6</f>
        <v>24774.68</v>
      </c>
    </row>
    <row r="25" spans="2:6" x14ac:dyDescent="0.25">
      <c r="B25" t="s">
        <v>31</v>
      </c>
      <c r="C25" s="3">
        <f>C8</f>
        <v>22029.405005517241</v>
      </c>
    </row>
    <row r="26" spans="2:6" x14ac:dyDescent="0.25">
      <c r="B26" t="s">
        <v>32</v>
      </c>
      <c r="C26" s="3">
        <f>C23+C24-C25</f>
        <v>16495.274994482759</v>
      </c>
    </row>
    <row r="27" spans="2:6" x14ac:dyDescent="0.25">
      <c r="B27" t="s">
        <v>58</v>
      </c>
      <c r="D27" s="3" t="str">
        <f>D4</f>
        <v>Produto A</v>
      </c>
      <c r="E27" s="3" t="str">
        <f>E4</f>
        <v>Produto B</v>
      </c>
      <c r="F27" s="3" t="str">
        <f>F4</f>
        <v>Produto C</v>
      </c>
    </row>
    <row r="28" spans="2:6" s="3" customFormat="1" x14ac:dyDescent="0.25">
      <c r="B28" t="s">
        <v>59</v>
      </c>
      <c r="D28" s="41">
        <f t="shared" ref="D28:F29" si="0">D15</f>
        <v>1126</v>
      </c>
      <c r="E28" s="41">
        <f t="shared" si="0"/>
        <v>1520</v>
      </c>
      <c r="F28" s="41">
        <f t="shared" si="0"/>
        <v>675</v>
      </c>
    </row>
    <row r="29" spans="2:6" s="3" customFormat="1" x14ac:dyDescent="0.25">
      <c r="B29" t="s">
        <v>61</v>
      </c>
      <c r="D29" s="42">
        <f t="shared" si="0"/>
        <v>5.7141599999999997</v>
      </c>
      <c r="E29" s="42">
        <f t="shared" si="0"/>
        <v>2.6023025</v>
      </c>
      <c r="F29" s="42">
        <f t="shared" si="0"/>
        <v>9.0453793103448277</v>
      </c>
    </row>
    <row r="30" spans="2:6" s="3" customFormat="1" x14ac:dyDescent="0.25">
      <c r="B30" t="s">
        <v>60</v>
      </c>
      <c r="C30" s="3">
        <f>SUM(D30:F30)</f>
        <v>16495.274994482759</v>
      </c>
      <c r="D30" s="3">
        <f>D28*D29</f>
        <v>6434.1441599999998</v>
      </c>
      <c r="E30" s="3">
        <f>E28*E29</f>
        <v>3955.4998000000001</v>
      </c>
      <c r="F30" s="3">
        <f>F28*F29</f>
        <v>6105.6310344827589</v>
      </c>
    </row>
    <row r="32" spans="2:6" x14ac:dyDescent="0.25">
      <c r="B32" s="1"/>
    </row>
  </sheetData>
  <phoneticPr fontId="0" type="noConversion"/>
  <printOptions horizontalCentered="1"/>
  <pageMargins left="0.78740157480314965" right="0.78740157480314965" top="0.78740157480314965" bottom="0.59055118110236227" header="0.51181102362204722" footer="0.51181102362204722"/>
  <pageSetup paperSize="9" orientation="landscape" horizontalDpi="4294967294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DICAS</vt:lpstr>
      <vt:lpstr>Custo Produção</vt:lpstr>
      <vt:lpstr>Custo Prod Vendidos</vt:lpstr>
    </vt:vector>
  </TitlesOfParts>
  <Company>WWW.PORTALTRIBUTARIO.COM.BR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PLANILHAS DE CUSTO DE PRODUÇÃO E CUSTO DOS PRODUTOS VENDIDOS</dc:title>
  <dc:creator>PORTAL TRIBUTÁRIO</dc:creator>
  <cp:lastModifiedBy>CATRI_02</cp:lastModifiedBy>
  <cp:lastPrinted>2001-11-23T14:30:21Z</cp:lastPrinted>
  <dcterms:created xsi:type="dcterms:W3CDTF">2000-09-05T16:33:53Z</dcterms:created>
  <dcterms:modified xsi:type="dcterms:W3CDTF">2019-10-03T18:09:25Z</dcterms:modified>
</cp:coreProperties>
</file>