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e1e\AC\Temp\"/>
    </mc:Choice>
  </mc:AlternateContent>
  <xr:revisionPtr revIDLastSave="0" documentId="8_{2211ED10-7236-1549-BEA7-58936BE5233B}" xr6:coauthVersionLast="32" xr6:coauthVersionMax="32" xr10:uidLastSave="{00000000-0000-0000-0000-000000000000}"/>
  <bookViews>
    <workbookView xWindow="32760" yWindow="32760" windowWidth="16380" windowHeight="8190" xr2:uid="{00000000-000D-0000-FFFF-FFFF00000000}"/>
  </bookViews>
  <sheets>
    <sheet name="RPA" sheetId="1" r:id="rId1"/>
    <sheet name="Imposto_de_Renda" sheetId="2" r:id="rId2"/>
  </sheets>
  <definedNames>
    <definedName name="_1Excel_BuiltIn_Print_Area_1_1">RPA!$A$1:$K$32</definedName>
    <definedName name="_xlnm.Print_Area" localSheetId="0">RPA!$A$1:$K$63</definedName>
    <definedName name="Excel_BuiltIn_Print_Area_1_1">RPA!$A$1:$K$32</definedName>
  </definedNames>
  <calcPr calcId="179016"/>
</workbook>
</file>

<file path=xl/calcChain.xml><?xml version="1.0" encoding="utf-8"?>
<calcChain xmlns="http://schemas.openxmlformats.org/spreadsheetml/2006/main">
  <c r="F14" i="1" l="1"/>
  <c r="B1" i="2"/>
  <c r="A6" i="2"/>
  <c r="C6" i="2"/>
  <c r="F6" i="2"/>
  <c r="A7" i="2"/>
  <c r="C7" i="2"/>
  <c r="F7" i="2"/>
  <c r="A8" i="2"/>
  <c r="C8" i="2"/>
  <c r="F8" i="2"/>
  <c r="A9" i="2"/>
  <c r="C9" i="2"/>
  <c r="F9" i="2"/>
  <c r="F10" i="2"/>
  <c r="B2" i="2"/>
  <c r="C5" i="2"/>
  <c r="G6" i="2"/>
  <c r="H6" i="2"/>
  <c r="G7" i="2"/>
  <c r="H7" i="2"/>
  <c r="G8" i="2"/>
  <c r="H8" i="2"/>
  <c r="G9" i="2"/>
  <c r="H9" i="2"/>
  <c r="G10" i="2"/>
  <c r="H10" i="2"/>
  <c r="K11" i="1"/>
  <c r="K13" i="1"/>
  <c r="F17" i="1"/>
  <c r="K17" i="1"/>
  <c r="F25" i="1"/>
  <c r="K18" i="1"/>
  <c r="F19" i="1"/>
  <c r="K19" i="1"/>
  <c r="K20" i="1"/>
  <c r="K21" i="1"/>
  <c r="F22" i="1"/>
  <c r="F23" i="1"/>
  <c r="F24" i="1"/>
  <c r="K27" i="1"/>
  <c r="A33" i="1"/>
  <c r="A34" i="1"/>
  <c r="A35" i="1"/>
  <c r="D35" i="1"/>
  <c r="A36" i="1"/>
  <c r="D36" i="1"/>
  <c r="I36" i="1"/>
  <c r="K36" i="1"/>
  <c r="A37" i="1"/>
  <c r="B37" i="1"/>
  <c r="A38" i="1"/>
  <c r="A39" i="1"/>
  <c r="B39" i="1"/>
  <c r="A40" i="1"/>
  <c r="B40" i="1"/>
  <c r="H40" i="1"/>
  <c r="I40" i="1"/>
  <c r="A41" i="1"/>
  <c r="B41" i="1"/>
  <c r="A42" i="1"/>
  <c r="H42" i="1"/>
  <c r="A43" i="1"/>
  <c r="E43" i="1"/>
  <c r="F43" i="1"/>
  <c r="H43" i="1"/>
  <c r="J43" i="1"/>
  <c r="K43" i="1"/>
  <c r="A44" i="1"/>
  <c r="E44" i="1"/>
  <c r="F44" i="1"/>
  <c r="H44" i="1"/>
  <c r="J44" i="1"/>
  <c r="K44" i="1"/>
  <c r="A45" i="1"/>
  <c r="E45" i="1"/>
  <c r="F45" i="1"/>
  <c r="H45" i="1"/>
  <c r="J45" i="1"/>
  <c r="K45" i="1"/>
  <c r="E46" i="1"/>
  <c r="F46" i="1"/>
  <c r="H48" i="1"/>
  <c r="F49" i="1"/>
  <c r="H49" i="1"/>
  <c r="J49" i="1"/>
  <c r="K49" i="1"/>
  <c r="F50" i="1"/>
  <c r="H50" i="1"/>
  <c r="J50" i="1"/>
  <c r="K50" i="1"/>
  <c r="F51" i="1"/>
  <c r="H51" i="1"/>
  <c r="J51" i="1"/>
  <c r="K51" i="1"/>
  <c r="H52" i="1"/>
  <c r="J52" i="1"/>
  <c r="K52" i="1"/>
  <c r="H53" i="1"/>
  <c r="J53" i="1"/>
  <c r="K53" i="1"/>
  <c r="F54" i="1"/>
  <c r="H54" i="1"/>
  <c r="F55" i="1"/>
  <c r="F56" i="1"/>
  <c r="F57" i="1"/>
  <c r="A59" i="1"/>
  <c r="J59" i="1"/>
  <c r="K59" i="1"/>
  <c r="A61" i="1"/>
  <c r="B61" i="1"/>
  <c r="H61" i="1"/>
  <c r="I61" i="1"/>
  <c r="A63" i="1"/>
</calcChain>
</file>

<file path=xl/sharedStrings.xml><?xml version="1.0" encoding="utf-8"?>
<sst xmlns="http://schemas.openxmlformats.org/spreadsheetml/2006/main" count="88" uniqueCount="50">
  <si>
    <t>RPA – RECIBO DE PAGAMENTO A AUTÔNOMO</t>
  </si>
  <si>
    <t>DADOS DO EMITENTE</t>
  </si>
  <si>
    <t>Nome ou Razão Social:</t>
  </si>
  <si>
    <t>1ª Via</t>
  </si>
  <si>
    <t>Matrícula (CNPJ/INSS):</t>
  </si>
  <si>
    <t>Recibo Nº ou Mês/Ano:</t>
  </si>
  <si>
    <t>Endereço:</t>
  </si>
  <si>
    <t>DADOS DO PRESTADOR DE SERVIÇOS</t>
  </si>
  <si>
    <t>Nome:</t>
  </si>
  <si>
    <t>Nº do CPF:</t>
  </si>
  <si>
    <t>Nº do RG:</t>
  </si>
  <si>
    <t>BASE DE CÁLCULO</t>
  </si>
  <si>
    <t>CÁLCULO DO ISS</t>
  </si>
  <si>
    <t>Valor dos Serviços Prestados........</t>
  </si>
  <si>
    <t>R$</t>
  </si>
  <si>
    <t>Base de Cálculo........................</t>
  </si>
  <si>
    <t>Alíquota....................................</t>
  </si>
  <si>
    <t>%</t>
  </si>
  <si>
    <t>Valor a Recolher........................</t>
  </si>
  <si>
    <t>Soma.......................................</t>
  </si>
  <si>
    <t>CÁLCULO DO INSS:</t>
  </si>
  <si>
    <t>DESCONTOS</t>
  </si>
  <si>
    <t>Base de Cálculo...........................</t>
  </si>
  <si>
    <t>Alíquota.......................................</t>
  </si>
  <si>
    <t>IRPF Retido..............................</t>
  </si>
  <si>
    <t>Valor a Recolher..........................</t>
  </si>
  <si>
    <t>ISS Retido................................</t>
  </si>
  <si>
    <t>INSS Retido..............................</t>
  </si>
  <si>
    <t>CALCULO DO IRPF</t>
  </si>
  <si>
    <t>Valor Líquido a Receber</t>
  </si>
  <si>
    <t>Base de Calculo</t>
  </si>
  <si>
    <t>SERVIÇO PRESTADO</t>
  </si>
  <si>
    <t>Alíquota</t>
  </si>
  <si>
    <t>Dedução</t>
  </si>
  <si>
    <t>Valor a Recolher</t>
  </si>
  <si>
    <t>Recebi do ente acima identificado pela prestação dos serviços a importância de:</t>
  </si>
  <si>
    <t>Local:</t>
  </si>
  <si>
    <t>Data:</t>
  </si>
  <si>
    <t>Assinatura:</t>
  </si>
  <si>
    <t>------------------------------------------------------------------------------------------------------------------------------------------------------------------</t>
  </si>
  <si>
    <t>Base de Cálculo</t>
  </si>
  <si>
    <t>Valor IRPF</t>
  </si>
  <si>
    <t>VALOR MIN</t>
  </si>
  <si>
    <t>VALOR MAX</t>
  </si>
  <si>
    <t>VALOR</t>
  </si>
  <si>
    <t>TAXA</t>
  </si>
  <si>
    <t>DEDUCAO</t>
  </si>
  <si>
    <t>IMPOSTO</t>
  </si>
  <si>
    <t>TRANSPORTAR RPA</t>
  </si>
  <si>
    <t>Totais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</si>
</sst>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"/>
    <numFmt numFmtId="165" formatCode="_(* #,##0.00_);_(* \(#,##0.00\);_(* \-??_);_(@_)"/>
    <numFmt numFmtId="166" formatCode="#,###.00"/>
    <numFmt numFmtId="167" formatCode="[$R$-416]\ #,##0.00;[Red]\-[$R$-416]\ #,##0.00"/>
  </numFmts>
  <fonts count="5" x14ac:knownFonts="1">
    <font>
      <sz val="10"/>
      <name val="Arial"/>
      <family val="2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6"/>
        <bgColor indexed="9"/>
      </patternFill>
    </fill>
  </fills>
  <borders count="2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/>
      <right style="hair">
        <color indexed="8"/>
      </right>
      <top/>
      <bottom/>
      <diagonal/>
    </border>
    <border>
      <left style="hair">
        <color indexed="8"/>
      </left>
      <right/>
      <top/>
      <bottom/>
      <diagonal/>
    </border>
    <border>
      <left style="thin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 style="thin">
        <color indexed="8"/>
      </right>
      <top/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3" xfId="0" applyFont="1" applyFill="1" applyBorder="1" applyAlignment="1">
      <alignment horizontal="left" vertical="center"/>
    </xf>
    <xf numFmtId="0" fontId="2" fillId="0" borderId="0" xfId="0" applyFont="1" applyFill="1" applyBorder="1" applyAlignment="1" applyProtection="1">
      <alignment horizontal="left" vertical="center"/>
      <protection locked="0"/>
    </xf>
    <xf numFmtId="0" fontId="3" fillId="0" borderId="4" xfId="0" applyFont="1" applyFill="1" applyBorder="1" applyAlignment="1" applyProtection="1">
      <alignment horizontal="right" vertical="center"/>
    </xf>
    <xf numFmtId="0" fontId="1" fillId="0" borderId="0" xfId="0" applyFont="1" applyFill="1" applyBorder="1" applyAlignment="1">
      <alignment horizontal="right" vertical="center"/>
    </xf>
    <xf numFmtId="164" fontId="4" fillId="0" borderId="4" xfId="0" applyNumberFormat="1" applyFont="1" applyBorder="1" applyAlignment="1" applyProtection="1">
      <alignment horizontal="right"/>
      <protection locked="0"/>
    </xf>
    <xf numFmtId="0" fontId="1" fillId="0" borderId="0" xfId="0" applyFont="1" applyFill="1" applyBorder="1" applyAlignment="1" applyProtection="1">
      <alignment horizontal="left" vertical="center"/>
    </xf>
    <xf numFmtId="0" fontId="0" fillId="0" borderId="3" xfId="0" applyFont="1" applyBorder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5" fontId="1" fillId="0" borderId="7" xfId="0" applyNumberFormat="1" applyFont="1" applyFill="1" applyBorder="1" applyAlignment="1" applyProtection="1">
      <alignment horizontal="right" vertical="center"/>
      <protection locked="0"/>
    </xf>
    <xf numFmtId="165" fontId="1" fillId="0" borderId="4" xfId="0" applyNumberFormat="1" applyFont="1" applyFill="1" applyBorder="1" applyAlignment="1" applyProtection="1">
      <alignment horizontal="right" vertical="center"/>
    </xf>
    <xf numFmtId="166" fontId="1" fillId="0" borderId="4" xfId="0" applyNumberFormat="1" applyFont="1" applyFill="1" applyBorder="1" applyAlignment="1" applyProtection="1">
      <alignment horizontal="right" vertical="center"/>
    </xf>
    <xf numFmtId="0" fontId="1" fillId="0" borderId="0" xfId="0" applyFont="1" applyFill="1" applyBorder="1" applyAlignment="1" applyProtection="1">
      <alignment horizontal="center" vertical="center"/>
    </xf>
    <xf numFmtId="0" fontId="2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165" fontId="4" fillId="0" borderId="7" xfId="0" applyNumberFormat="1" applyFont="1" applyBorder="1" applyAlignment="1">
      <alignment vertical="center"/>
    </xf>
    <xf numFmtId="0" fontId="0" fillId="0" borderId="8" xfId="0" applyBorder="1"/>
    <xf numFmtId="0" fontId="0" fillId="0" borderId="4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10" xfId="0" applyFont="1" applyFill="1" applyBorder="1" applyAlignment="1">
      <alignment horizontal="right" vertical="center"/>
    </xf>
    <xf numFmtId="0" fontId="2" fillId="0" borderId="10" xfId="0" applyFont="1" applyFill="1" applyBorder="1" applyAlignment="1">
      <alignment horizontal="center" vertical="center"/>
    </xf>
    <xf numFmtId="165" fontId="2" fillId="0" borderId="13" xfId="0" applyNumberFormat="1" applyFont="1" applyFill="1" applyBorder="1" applyAlignment="1">
      <alignment vertical="center"/>
    </xf>
    <xf numFmtId="165" fontId="1" fillId="0" borderId="7" xfId="0" applyNumberFormat="1" applyFont="1" applyFill="1" applyBorder="1" applyAlignment="1" applyProtection="1">
      <alignment horizontal="right" vertical="center"/>
    </xf>
    <xf numFmtId="165" fontId="0" fillId="0" borderId="4" xfId="0" applyNumberFormat="1" applyFont="1" applyBorder="1" applyAlignment="1" applyProtection="1">
      <alignment vertical="center"/>
    </xf>
    <xf numFmtId="4" fontId="1" fillId="0" borderId="7" xfId="0" applyNumberFormat="1" applyFont="1" applyFill="1" applyBorder="1" applyAlignment="1" applyProtection="1">
      <alignment horizontal="right" vertical="center"/>
      <protection locked="0"/>
    </xf>
    <xf numFmtId="165" fontId="1" fillId="0" borderId="7" xfId="0" applyNumberFormat="1" applyFont="1" applyFill="1" applyBorder="1" applyAlignment="1">
      <alignment horizontal="right" vertical="center"/>
    </xf>
    <xf numFmtId="165" fontId="0" fillId="0" borderId="4" xfId="0" applyNumberFormat="1" applyBorder="1" applyProtection="1"/>
    <xf numFmtId="0" fontId="2" fillId="0" borderId="0" xfId="0" applyFont="1" applyFill="1" applyBorder="1" applyAlignment="1" applyProtection="1">
      <alignment horizontal="center" vertical="center"/>
    </xf>
    <xf numFmtId="165" fontId="4" fillId="0" borderId="4" xfId="0" applyNumberFormat="1" applyFont="1" applyBorder="1" applyAlignment="1" applyProtection="1">
      <alignment vertical="center"/>
    </xf>
    <xf numFmtId="0" fontId="0" fillId="0" borderId="3" xfId="0" applyFont="1" applyBorder="1" applyAlignment="1" applyProtection="1">
      <alignment vertical="center"/>
      <protection hidden="1"/>
    </xf>
    <xf numFmtId="0" fontId="0" fillId="0" borderId="0" xfId="0" applyFont="1" applyAlignment="1" applyProtection="1">
      <alignment vertical="center"/>
      <protection hidden="1"/>
    </xf>
    <xf numFmtId="0" fontId="1" fillId="0" borderId="0" xfId="0" applyFont="1" applyFill="1" applyBorder="1" applyAlignment="1" applyProtection="1">
      <alignment horizontal="center" vertical="center"/>
      <protection hidden="1"/>
    </xf>
    <xf numFmtId="165" fontId="0" fillId="0" borderId="7" xfId="0" applyNumberFormat="1" applyFont="1" applyBorder="1" applyAlignment="1" applyProtection="1">
      <alignment vertical="center"/>
      <protection hidden="1"/>
    </xf>
    <xf numFmtId="10" fontId="0" fillId="0" borderId="7" xfId="0" applyNumberFormat="1" applyFont="1" applyBorder="1" applyAlignment="1" applyProtection="1">
      <alignment vertical="center"/>
      <protection hidden="1"/>
    </xf>
    <xf numFmtId="0" fontId="2" fillId="0" borderId="20" xfId="0" applyFont="1" applyFill="1" applyBorder="1" applyAlignment="1" applyProtection="1">
      <alignment horizontal="left" vertical="center"/>
      <protection hidden="1"/>
    </xf>
    <xf numFmtId="4" fontId="2" fillId="0" borderId="21" xfId="0" applyNumberFormat="1" applyFont="1" applyFill="1" applyBorder="1" applyAlignment="1" applyProtection="1">
      <alignment horizontal="right" vertical="center"/>
    </xf>
    <xf numFmtId="165" fontId="2" fillId="0" borderId="4" xfId="0" applyNumberFormat="1" applyFont="1" applyFill="1" applyBorder="1" applyAlignment="1">
      <alignment vertical="center"/>
    </xf>
    <xf numFmtId="0" fontId="1" fillId="0" borderId="3" xfId="0" applyFont="1" applyFill="1" applyBorder="1" applyAlignment="1">
      <alignment horizontal="justify" vertical="center"/>
    </xf>
    <xf numFmtId="0" fontId="1" fillId="0" borderId="0" xfId="0" applyFont="1" applyFill="1" applyBorder="1" applyAlignment="1">
      <alignment vertical="center"/>
    </xf>
    <xf numFmtId="0" fontId="1" fillId="2" borderId="23" xfId="0" applyFont="1" applyFill="1" applyBorder="1" applyAlignment="1">
      <alignment horizontal="left" vertical="center"/>
    </xf>
    <xf numFmtId="164" fontId="4" fillId="0" borderId="4" xfId="0" applyNumberFormat="1" applyFont="1" applyBorder="1" applyAlignment="1">
      <alignment horizontal="right"/>
    </xf>
    <xf numFmtId="0" fontId="1" fillId="0" borderId="0" xfId="0" applyFont="1" applyFill="1" applyBorder="1" applyAlignment="1" applyProtection="1">
      <alignment horizontal="left" vertical="center"/>
      <protection locked="0"/>
    </xf>
    <xf numFmtId="0" fontId="0" fillId="0" borderId="0" xfId="0" applyNumberFormat="1"/>
    <xf numFmtId="0" fontId="4" fillId="0" borderId="25" xfId="0" applyFont="1" applyBorder="1" applyAlignment="1">
      <alignment horizontal="center"/>
    </xf>
    <xf numFmtId="0" fontId="0" fillId="0" borderId="25" xfId="0" applyBorder="1"/>
    <xf numFmtId="10" fontId="0" fillId="0" borderId="25" xfId="0" applyNumberFormat="1" applyBorder="1"/>
    <xf numFmtId="0" fontId="4" fillId="0" borderId="25" xfId="0" applyFont="1" applyBorder="1" applyAlignment="1">
      <alignment horizontal="right"/>
    </xf>
    <xf numFmtId="0" fontId="4" fillId="0" borderId="25" xfId="0" applyFont="1" applyBorder="1"/>
    <xf numFmtId="10" fontId="4" fillId="0" borderId="25" xfId="0" applyNumberFormat="1" applyFont="1" applyBorder="1"/>
    <xf numFmtId="167" fontId="4" fillId="0" borderId="25" xfId="0" applyNumberFormat="1" applyFont="1" applyBorder="1"/>
    <xf numFmtId="0" fontId="2" fillId="0" borderId="3" xfId="0" applyFont="1" applyFill="1" applyBorder="1" applyAlignment="1" applyProtection="1">
      <alignment horizontal="left" vertical="center"/>
      <protection locked="0"/>
    </xf>
    <xf numFmtId="0" fontId="2" fillId="0" borderId="0" xfId="0" applyFont="1" applyFill="1" applyBorder="1" applyAlignment="1" applyProtection="1">
      <alignment horizontal="left" vertical="center"/>
    </xf>
    <xf numFmtId="0" fontId="4" fillId="0" borderId="4" xfId="0" applyFont="1" applyBorder="1" applyAlignment="1" applyProtection="1">
      <alignment horizontal="left"/>
    </xf>
    <xf numFmtId="0" fontId="1" fillId="0" borderId="22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justify" vertical="center"/>
    </xf>
    <xf numFmtId="0" fontId="2" fillId="0" borderId="6" xfId="0" applyFont="1" applyFill="1" applyBorder="1" applyAlignment="1" applyProtection="1">
      <alignment horizontal="center" vertical="center"/>
      <protection hidden="1"/>
    </xf>
    <xf numFmtId="0" fontId="4" fillId="0" borderId="8" xfId="0" applyFont="1" applyBorder="1" applyAlignment="1" applyProtection="1">
      <alignment vertical="center"/>
    </xf>
    <xf numFmtId="0" fontId="4" fillId="0" borderId="16" xfId="0" applyFont="1" applyBorder="1" applyAlignment="1">
      <alignment horizontal="center"/>
    </xf>
    <xf numFmtId="0" fontId="0" fillId="0" borderId="17" xfId="0" applyBorder="1" applyAlignment="1" applyProtection="1">
      <alignment vertical="center"/>
      <protection locked="0"/>
    </xf>
    <xf numFmtId="0" fontId="0" fillId="0" borderId="18" xfId="0" applyBorder="1" applyProtection="1">
      <protection hidden="1"/>
    </xf>
    <xf numFmtId="0" fontId="1" fillId="0" borderId="19" xfId="0" applyFont="1" applyFill="1" applyBorder="1" applyAlignment="1" applyProtection="1">
      <alignment horizontal="left" vertical="center"/>
      <protection hidden="1"/>
    </xf>
    <xf numFmtId="0" fontId="1" fillId="0" borderId="3" xfId="0" applyFont="1" applyFill="1" applyBorder="1" applyAlignment="1">
      <alignment horizontal="left" vertical="center"/>
    </xf>
    <xf numFmtId="0" fontId="1" fillId="0" borderId="8" xfId="0" applyFont="1" applyFill="1" applyBorder="1" applyAlignment="1" applyProtection="1">
      <alignment horizontal="left" vertical="center"/>
    </xf>
    <xf numFmtId="0" fontId="1" fillId="0" borderId="15" xfId="0" applyFont="1" applyFill="1" applyBorder="1" applyAlignment="1">
      <alignment horizontal="center" vertical="center"/>
    </xf>
    <xf numFmtId="0" fontId="0" fillId="0" borderId="3" xfId="0" applyFont="1" applyBorder="1"/>
    <xf numFmtId="0" fontId="1" fillId="0" borderId="3" xfId="0" applyFont="1" applyFill="1" applyBorder="1" applyAlignment="1" applyProtection="1">
      <alignment horizontal="left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14" xfId="0" applyFont="1" applyFill="1" applyBorder="1" applyAlignment="1" applyProtection="1">
      <alignment horizontal="center" vertical="center"/>
    </xf>
    <xf numFmtId="0" fontId="0" fillId="0" borderId="8" xfId="0" applyFont="1" applyBorder="1" applyAlignment="1" applyProtection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 applyProtection="1">
      <alignment horizontal="left" vertical="center"/>
      <protection locked="0"/>
    </xf>
    <xf numFmtId="0" fontId="2" fillId="0" borderId="4" xfId="0" applyFont="1" applyFill="1" applyBorder="1" applyAlignment="1" applyProtection="1">
      <alignment horizontal="left" vertical="center"/>
      <protection locked="0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0" xfId="0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Border="1" applyAlignment="1">
      <alignment horizontal="right" vertical="center"/>
    </xf>
    <xf numFmtId="49" fontId="4" fillId="0" borderId="4" xfId="0" applyNumberFormat="1" applyFont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 applyProtection="1">
      <alignment horizontal="left" vertical="center"/>
      <protection locked="0"/>
    </xf>
    <xf numFmtId="10" fontId="4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E6E6E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3"/>
  <sheetViews>
    <sheetView showGridLines="0" tabSelected="1" workbookViewId="0" xr3:uid="{AEA406A1-0E4B-5B11-9CD5-51D6E497D94C}">
      <selection activeCell="H14" sqref="H14"/>
    </sheetView>
  </sheetViews>
  <sheetFormatPr defaultColWidth="9.16796875" defaultRowHeight="11.85" customHeight="1" x14ac:dyDescent="0.15"/>
  <cols>
    <col min="1" max="1" width="11.73046875" style="1" customWidth="1"/>
    <col min="2" max="3" width="4.44921875" style="1" customWidth="1"/>
    <col min="4" max="4" width="9.16796875" style="1"/>
    <col min="5" max="5" width="3.37109375" style="2" customWidth="1"/>
    <col min="6" max="6" width="13.75390625" style="1" customWidth="1"/>
    <col min="7" max="7" width="1.48046875" style="1" customWidth="1"/>
    <col min="8" max="8" width="11.0546875" style="1" customWidth="1"/>
    <col min="9" max="9" width="16.98828125" style="1" customWidth="1"/>
    <col min="10" max="10" width="3.37109375" style="2" customWidth="1"/>
    <col min="11" max="11" width="13.75390625" style="1" customWidth="1"/>
    <col min="12" max="16384" width="9.16796875" style="1"/>
  </cols>
  <sheetData>
    <row r="1" spans="1:17" ht="17.100000000000001" customHeight="1" x14ac:dyDescent="0.15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</row>
    <row r="2" spans="1:17" ht="11.85" customHeight="1" x14ac:dyDescent="0.15">
      <c r="A2" s="83" t="s">
        <v>1</v>
      </c>
      <c r="B2" s="83"/>
      <c r="C2" s="83"/>
      <c r="D2" s="83"/>
      <c r="E2" s="83"/>
      <c r="F2" s="83"/>
      <c r="G2" s="83"/>
      <c r="H2" s="83"/>
      <c r="I2" s="83"/>
      <c r="J2" s="83"/>
      <c r="K2" s="83"/>
    </row>
    <row r="3" spans="1:17" ht="11.85" customHeight="1" x14ac:dyDescent="0.15">
      <c r="A3" s="68" t="s">
        <v>2</v>
      </c>
      <c r="B3" s="68"/>
      <c r="C3" s="68"/>
      <c r="D3" s="84"/>
      <c r="E3" s="84"/>
      <c r="F3" s="84"/>
      <c r="G3" s="84"/>
      <c r="H3" s="84"/>
      <c r="I3" s="84"/>
      <c r="J3" s="84"/>
      <c r="K3" s="5" t="s">
        <v>3</v>
      </c>
    </row>
    <row r="4" spans="1:17" ht="11.85" customHeight="1" x14ac:dyDescent="0.15">
      <c r="A4" s="68" t="s">
        <v>4</v>
      </c>
      <c r="B4" s="68"/>
      <c r="C4" s="68"/>
      <c r="D4" s="84"/>
      <c r="E4" s="84"/>
      <c r="F4" s="84"/>
      <c r="G4" s="84"/>
      <c r="H4" s="84"/>
      <c r="I4" s="85" t="s">
        <v>5</v>
      </c>
      <c r="J4" s="85"/>
      <c r="K4" s="7"/>
    </row>
    <row r="5" spans="1:17" ht="11.85" customHeight="1" x14ac:dyDescent="0.15">
      <c r="A5" s="3" t="s">
        <v>6</v>
      </c>
      <c r="B5" s="78"/>
      <c r="C5" s="78"/>
      <c r="D5" s="78"/>
      <c r="E5" s="78"/>
      <c r="F5" s="78"/>
      <c r="G5" s="78"/>
      <c r="H5" s="78"/>
      <c r="I5" s="78"/>
      <c r="J5" s="78"/>
      <c r="K5" s="78"/>
    </row>
    <row r="6" spans="1:17" ht="11.85" customHeight="1" x14ac:dyDescent="0.15">
      <c r="A6" s="79" t="s">
        <v>7</v>
      </c>
      <c r="B6" s="79"/>
      <c r="C6" s="79"/>
      <c r="D6" s="79"/>
      <c r="E6" s="79"/>
      <c r="F6" s="79"/>
      <c r="G6" s="79"/>
      <c r="H6" s="79"/>
      <c r="I6" s="79"/>
      <c r="J6" s="79"/>
      <c r="K6" s="79"/>
    </row>
    <row r="7" spans="1:17" ht="11.85" customHeight="1" x14ac:dyDescent="0.15">
      <c r="A7" s="3" t="s">
        <v>8</v>
      </c>
      <c r="B7" s="78"/>
      <c r="C7" s="78"/>
      <c r="D7" s="78"/>
      <c r="E7" s="78"/>
      <c r="F7" s="78"/>
      <c r="G7" s="78"/>
      <c r="H7" s="78"/>
      <c r="I7" s="78"/>
      <c r="J7" s="78"/>
      <c r="K7" s="78"/>
    </row>
    <row r="8" spans="1:17" ht="11.85" customHeight="1" x14ac:dyDescent="0.15">
      <c r="A8" s="3" t="s">
        <v>9</v>
      </c>
      <c r="B8" s="84"/>
      <c r="C8" s="84"/>
      <c r="D8" s="84"/>
      <c r="E8" s="84"/>
      <c r="F8" s="84"/>
      <c r="G8" s="4"/>
      <c r="H8" s="8" t="s">
        <v>10</v>
      </c>
      <c r="I8" s="78"/>
      <c r="J8" s="78"/>
      <c r="K8" s="78"/>
    </row>
    <row r="9" spans="1:17" ht="11.85" customHeight="1" x14ac:dyDescent="0.15">
      <c r="A9" s="9" t="s">
        <v>6</v>
      </c>
      <c r="B9" s="89"/>
      <c r="C9" s="89"/>
      <c r="D9" s="89"/>
      <c r="E9" s="89"/>
      <c r="F9" s="89"/>
      <c r="G9" s="89"/>
      <c r="H9" s="89"/>
      <c r="I9" s="89"/>
      <c r="J9" s="89"/>
      <c r="K9" s="89"/>
    </row>
    <row r="10" spans="1:17" ht="11.85" customHeight="1" x14ac:dyDescent="0.15">
      <c r="A10" s="73" t="s">
        <v>11</v>
      </c>
      <c r="B10" s="73"/>
      <c r="C10" s="73"/>
      <c r="D10" s="73"/>
      <c r="E10" s="73"/>
      <c r="F10" s="73"/>
      <c r="G10" s="10"/>
      <c r="H10" s="76" t="s">
        <v>12</v>
      </c>
      <c r="I10" s="76"/>
      <c r="J10" s="76"/>
      <c r="K10" s="76"/>
      <c r="L10"/>
      <c r="M10"/>
      <c r="N10" s="11"/>
      <c r="O10" s="11"/>
      <c r="P10" s="11"/>
      <c r="Q10" s="11"/>
    </row>
    <row r="11" spans="1:17" ht="11.85" customHeight="1" x14ac:dyDescent="0.15">
      <c r="A11" s="68" t="s">
        <v>13</v>
      </c>
      <c r="B11" s="68"/>
      <c r="C11" s="68"/>
      <c r="D11" s="68"/>
      <c r="E11" s="12" t="s">
        <v>14</v>
      </c>
      <c r="F11" s="13">
        <v>0</v>
      </c>
      <c r="G11" s="10"/>
      <c r="H11" s="72" t="s">
        <v>15</v>
      </c>
      <c r="I11" s="72"/>
      <c r="J11" s="12" t="s">
        <v>14</v>
      </c>
      <c r="K11" s="14">
        <f>F14</f>
        <v>0</v>
      </c>
      <c r="L11" s="88"/>
      <c r="M11" s="88"/>
      <c r="N11" s="88"/>
      <c r="O11" s="88"/>
      <c r="P11" s="88"/>
      <c r="Q11" s="88"/>
    </row>
    <row r="12" spans="1:17" ht="11.85" customHeight="1" x14ac:dyDescent="0.15">
      <c r="A12" s="68" t="s">
        <v>13</v>
      </c>
      <c r="B12" s="68"/>
      <c r="C12" s="68"/>
      <c r="D12" s="68"/>
      <c r="E12" s="12" t="s">
        <v>14</v>
      </c>
      <c r="F12" s="13">
        <v>0</v>
      </c>
      <c r="G12" s="10"/>
      <c r="H12" s="77" t="s">
        <v>16</v>
      </c>
      <c r="I12" s="77"/>
      <c r="J12" s="12" t="s">
        <v>17</v>
      </c>
      <c r="K12" s="15">
        <v>5</v>
      </c>
      <c r="L12"/>
      <c r="M12"/>
      <c r="N12"/>
      <c r="O12"/>
      <c r="P12"/>
      <c r="Q12"/>
    </row>
    <row r="13" spans="1:17" ht="11.85" customHeight="1" x14ac:dyDescent="0.15">
      <c r="A13" s="71" t="s">
        <v>13</v>
      </c>
      <c r="B13" s="71"/>
      <c r="C13" s="71"/>
      <c r="D13" s="71"/>
      <c r="E13" s="12" t="s">
        <v>14</v>
      </c>
      <c r="F13" s="13">
        <v>0</v>
      </c>
      <c r="G13" s="10"/>
      <c r="H13" s="72" t="s">
        <v>18</v>
      </c>
      <c r="I13" s="72"/>
      <c r="J13" s="16" t="s">
        <v>14</v>
      </c>
      <c r="K13" s="14">
        <f>0+K11*K12%</f>
        <v>0</v>
      </c>
      <c r="L13"/>
      <c r="M13"/>
      <c r="N13"/>
      <c r="O13"/>
      <c r="P13"/>
      <c r="Q13"/>
    </row>
    <row r="14" spans="1:17" ht="11.85" customHeight="1" x14ac:dyDescent="0.15">
      <c r="A14" s="17" t="s">
        <v>19</v>
      </c>
      <c r="B14" s="18"/>
      <c r="C14"/>
      <c r="D14"/>
      <c r="E14" s="11" t="s">
        <v>14</v>
      </c>
      <c r="F14" s="19">
        <f>SUM(F11:F13)</f>
        <v>0</v>
      </c>
      <c r="G14" s="10"/>
      <c r="H14" s="20"/>
      <c r="I14"/>
      <c r="J14"/>
      <c r="K14" s="21"/>
      <c r="L14"/>
      <c r="M14"/>
      <c r="N14"/>
      <c r="O14"/>
      <c r="P14"/>
      <c r="Q14"/>
    </row>
    <row r="15" spans="1:17" ht="11.85" customHeight="1" x14ac:dyDescent="0.15">
      <c r="A15" s="22"/>
      <c r="B15" s="23"/>
      <c r="C15" s="23"/>
      <c r="D15" s="23"/>
      <c r="E15" s="23"/>
      <c r="F15" s="24"/>
      <c r="G15" s="10"/>
      <c r="H15" s="25"/>
      <c r="I15" s="26"/>
      <c r="J15" s="27"/>
      <c r="K15" s="28"/>
      <c r="L15" s="77"/>
      <c r="M15" s="77"/>
      <c r="N15" s="77"/>
      <c r="O15" s="77"/>
      <c r="P15" s="77"/>
      <c r="Q15" s="77"/>
    </row>
    <row r="16" spans="1:17" ht="11.85" customHeight="1" x14ac:dyDescent="0.15">
      <c r="A16" s="73" t="s">
        <v>20</v>
      </c>
      <c r="B16" s="73"/>
      <c r="C16" s="73"/>
      <c r="D16" s="73"/>
      <c r="E16" s="73"/>
      <c r="F16" s="73"/>
      <c r="G16" s="10"/>
      <c r="H16" s="74" t="s">
        <v>21</v>
      </c>
      <c r="I16" s="74"/>
      <c r="J16" s="74"/>
      <c r="K16" s="74"/>
    </row>
    <row r="17" spans="1:11" ht="11.85" customHeight="1" x14ac:dyDescent="0.15">
      <c r="A17" s="68" t="s">
        <v>22</v>
      </c>
      <c r="B17" s="68"/>
      <c r="C17" s="68"/>
      <c r="D17" s="68"/>
      <c r="E17" s="12" t="s">
        <v>14</v>
      </c>
      <c r="F17" s="29">
        <f>F14</f>
        <v>0</v>
      </c>
      <c r="G17" s="10"/>
      <c r="H17" s="75" t="s">
        <v>15</v>
      </c>
      <c r="I17" s="75"/>
      <c r="J17" s="16" t="s">
        <v>14</v>
      </c>
      <c r="K17" s="30">
        <f>F14</f>
        <v>0</v>
      </c>
    </row>
    <row r="18" spans="1:11" ht="11.85" customHeight="1" x14ac:dyDescent="0.15">
      <c r="A18" s="68" t="s">
        <v>23</v>
      </c>
      <c r="B18" s="68"/>
      <c r="C18" s="68"/>
      <c r="D18" s="68"/>
      <c r="E18" s="12" t="s">
        <v>17</v>
      </c>
      <c r="F18" s="31">
        <v>11</v>
      </c>
      <c r="G18" s="10"/>
      <c r="H18" s="69" t="s">
        <v>24</v>
      </c>
      <c r="I18" s="69"/>
      <c r="J18" s="16" t="s">
        <v>14</v>
      </c>
      <c r="K18" s="14">
        <f>F25</f>
        <v>0</v>
      </c>
    </row>
    <row r="19" spans="1:11" ht="11.85" customHeight="1" x14ac:dyDescent="0.15">
      <c r="A19" s="68" t="s">
        <v>25</v>
      </c>
      <c r="B19" s="68"/>
      <c r="C19" s="68"/>
      <c r="D19" s="68"/>
      <c r="E19" s="12" t="s">
        <v>14</v>
      </c>
      <c r="F19" s="32">
        <f>0+F17*F18%</f>
        <v>0</v>
      </c>
      <c r="G19" s="10"/>
      <c r="H19" s="69" t="s">
        <v>26</v>
      </c>
      <c r="I19" s="69"/>
      <c r="J19" s="16" t="s">
        <v>14</v>
      </c>
      <c r="K19" s="14">
        <f>K13</f>
        <v>0</v>
      </c>
    </row>
    <row r="20" spans="1:11" ht="11.85" customHeight="1" x14ac:dyDescent="0.15">
      <c r="A20" s="70"/>
      <c r="B20" s="70"/>
      <c r="C20" s="70"/>
      <c r="D20" s="70"/>
      <c r="E20" s="70"/>
      <c r="F20" s="70"/>
      <c r="G20" s="10"/>
      <c r="H20" s="69" t="s">
        <v>27</v>
      </c>
      <c r="I20" s="69"/>
      <c r="J20" s="16" t="s">
        <v>14</v>
      </c>
      <c r="K20" s="33">
        <f>F19</f>
        <v>0</v>
      </c>
    </row>
    <row r="21" spans="1:11" ht="11.85" customHeight="1" x14ac:dyDescent="0.15">
      <c r="A21" s="62" t="s">
        <v>28</v>
      </c>
      <c r="B21" s="62"/>
      <c r="C21" s="62"/>
      <c r="D21" s="62"/>
      <c r="E21" s="62"/>
      <c r="F21" s="62"/>
      <c r="G21" s="10"/>
      <c r="H21" s="63" t="s">
        <v>29</v>
      </c>
      <c r="I21" s="63"/>
      <c r="J21" s="34" t="s">
        <v>14</v>
      </c>
      <c r="K21" s="35">
        <f>K17-(SUM(K18:K20))</f>
        <v>0</v>
      </c>
    </row>
    <row r="22" spans="1:11" ht="11.85" customHeight="1" x14ac:dyDescent="0.15">
      <c r="A22" s="36" t="s">
        <v>30</v>
      </c>
      <c r="B22" s="37"/>
      <c r="C22" s="37"/>
      <c r="D22" s="37"/>
      <c r="E22" s="38" t="s">
        <v>14</v>
      </c>
      <c r="F22" s="39">
        <f>Imposto_de_Renda!B1</f>
        <v>0</v>
      </c>
      <c r="G22" s="10"/>
      <c r="H22" s="64" t="s">
        <v>31</v>
      </c>
      <c r="I22" s="64"/>
      <c r="J22" s="64"/>
      <c r="K22" s="64"/>
    </row>
    <row r="23" spans="1:11" ht="11.85" customHeight="1" x14ac:dyDescent="0.15">
      <c r="A23" s="36" t="s">
        <v>32</v>
      </c>
      <c r="B23" s="37"/>
      <c r="C23" s="37"/>
      <c r="D23" s="37"/>
      <c r="E23" s="38" t="s">
        <v>17</v>
      </c>
      <c r="F23" s="40">
        <f>Imposto_de_Renda!G10</f>
        <v>0</v>
      </c>
      <c r="G23" s="10"/>
      <c r="H23" s="65"/>
      <c r="I23" s="65"/>
      <c r="J23" s="65"/>
      <c r="K23" s="65"/>
    </row>
    <row r="24" spans="1:11" ht="11.85" customHeight="1" x14ac:dyDescent="0.15">
      <c r="A24" s="36" t="s">
        <v>33</v>
      </c>
      <c r="B24" s="37"/>
      <c r="C24" s="37"/>
      <c r="D24" s="37"/>
      <c r="E24" s="38" t="s">
        <v>14</v>
      </c>
      <c r="F24" s="39">
        <f>Imposto_de_Renda!H10</f>
        <v>0</v>
      </c>
      <c r="G24" s="10"/>
      <c r="H24" s="65"/>
      <c r="I24" s="65"/>
      <c r="J24" s="65"/>
      <c r="K24" s="65"/>
    </row>
    <row r="25" spans="1:11" ht="11.85" customHeight="1" x14ac:dyDescent="0.15">
      <c r="A25" s="36" t="s">
        <v>34</v>
      </c>
      <c r="B25" s="37"/>
      <c r="C25" s="37"/>
      <c r="D25" s="37"/>
      <c r="E25" s="37"/>
      <c r="F25" s="39">
        <f>Imposto_de_Renda!B2</f>
        <v>0</v>
      </c>
      <c r="G25" s="10"/>
      <c r="H25" s="65"/>
      <c r="I25" s="65"/>
      <c r="J25" s="65"/>
      <c r="K25" s="65"/>
    </row>
    <row r="26" spans="1:11" ht="11.85" customHeight="1" x14ac:dyDescent="0.15">
      <c r="A26" s="66"/>
      <c r="B26" s="66"/>
      <c r="C26" s="66"/>
      <c r="D26" s="66"/>
      <c r="E26" s="66"/>
      <c r="F26" s="66"/>
      <c r="G26" s="10"/>
      <c r="H26" s="65"/>
      <c r="I26" s="65"/>
      <c r="J26" s="65"/>
      <c r="K26" s="65"/>
    </row>
    <row r="27" spans="1:11" ht="11.85" customHeight="1" x14ac:dyDescent="0.15">
      <c r="A27" s="67" t="s">
        <v>35</v>
      </c>
      <c r="B27" s="67"/>
      <c r="C27" s="67"/>
      <c r="D27" s="67"/>
      <c r="E27" s="67"/>
      <c r="F27" s="67"/>
      <c r="G27" s="67"/>
      <c r="H27" s="67"/>
      <c r="I27" s="67"/>
      <c r="J27" s="41" t="s">
        <v>14</v>
      </c>
      <c r="K27" s="42">
        <f>K21</f>
        <v>0</v>
      </c>
    </row>
    <row r="28" spans="1:11" ht="11.85" customHeight="1" x14ac:dyDescent="0.15">
      <c r="A28" s="57"/>
      <c r="B28" s="57"/>
      <c r="C28" s="57"/>
      <c r="D28" s="57"/>
      <c r="E28" s="57"/>
      <c r="F28" s="57"/>
      <c r="G28" s="57"/>
      <c r="H28" s="57"/>
      <c r="I28" s="6"/>
      <c r="J28" s="12"/>
      <c r="K28" s="43"/>
    </row>
    <row r="29" spans="1:11" ht="11.85" customHeight="1" x14ac:dyDescent="0.15">
      <c r="A29" s="44" t="s">
        <v>36</v>
      </c>
      <c r="B29" s="84"/>
      <c r="C29" s="84"/>
      <c r="D29" s="84"/>
      <c r="E29" s="84"/>
      <c r="F29" s="84"/>
      <c r="G29" s="45"/>
      <c r="H29" s="6" t="s">
        <v>37</v>
      </c>
      <c r="I29" s="86"/>
      <c r="J29" s="86"/>
      <c r="K29" s="86"/>
    </row>
    <row r="30" spans="1:11" ht="11.85" customHeight="1" x14ac:dyDescent="0.15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</row>
    <row r="31" spans="1:11" ht="11.85" customHeight="1" x14ac:dyDescent="0.15">
      <c r="A31" s="46" t="s">
        <v>38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</row>
    <row r="32" spans="1:11" ht="30.6" customHeight="1" x14ac:dyDescent="0.15">
      <c r="A32" s="87" t="s">
        <v>39</v>
      </c>
      <c r="B32" s="87"/>
      <c r="C32" s="87"/>
      <c r="D32" s="87"/>
      <c r="E32" s="87"/>
      <c r="F32" s="87"/>
      <c r="G32" s="87"/>
      <c r="H32" s="87"/>
      <c r="I32" s="87"/>
      <c r="J32" s="87"/>
      <c r="K32" s="87"/>
    </row>
    <row r="33" spans="1:11" ht="11.85" customHeight="1" x14ac:dyDescent="0.15">
      <c r="A33" s="82" t="str">
        <f t="shared" ref="A33:A45" si="0">A1</f>
        <v>RPA – RECIBO DE PAGAMENTO A AUTÔNOMO</v>
      </c>
      <c r="B33" s="82"/>
      <c r="C33" s="82"/>
      <c r="D33" s="82"/>
      <c r="E33" s="82"/>
      <c r="F33" s="82"/>
      <c r="G33" s="82"/>
      <c r="H33" s="82"/>
      <c r="I33" s="82"/>
      <c r="J33" s="82"/>
      <c r="K33" s="82"/>
    </row>
    <row r="34" spans="1:11" ht="11.85" customHeight="1" x14ac:dyDescent="0.15">
      <c r="A34" s="83" t="str">
        <f t="shared" si="0"/>
        <v>DADOS DO EMITENTE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</row>
    <row r="35" spans="1:11" ht="11.85" customHeight="1" x14ac:dyDescent="0.15">
      <c r="A35" s="68" t="str">
        <f t="shared" si="0"/>
        <v>Nome ou Razão Social:</v>
      </c>
      <c r="B35" s="68"/>
      <c r="C35" s="68"/>
      <c r="D35" s="84">
        <f>D3</f>
        <v>0</v>
      </c>
      <c r="E35" s="84"/>
      <c r="F35" s="84"/>
      <c r="G35" s="84"/>
      <c r="H35" s="84"/>
      <c r="I35" s="84"/>
      <c r="J35" s="84"/>
      <c r="K35" s="5" t="s">
        <v>3</v>
      </c>
    </row>
    <row r="36" spans="1:11" ht="11.85" customHeight="1" x14ac:dyDescent="0.15">
      <c r="A36" s="68" t="str">
        <f t="shared" si="0"/>
        <v>Matrícula (CNPJ/INSS):</v>
      </c>
      <c r="B36" s="68"/>
      <c r="C36" s="68"/>
      <c r="D36" s="84">
        <f>D4</f>
        <v>0</v>
      </c>
      <c r="E36" s="84"/>
      <c r="F36" s="84"/>
      <c r="G36" s="84"/>
      <c r="H36" s="84"/>
      <c r="I36" s="85" t="str">
        <f>I4</f>
        <v>Recibo Nº ou Mês/Ano:</v>
      </c>
      <c r="J36" s="85"/>
      <c r="K36" s="47">
        <f>K4</f>
        <v>0</v>
      </c>
    </row>
    <row r="37" spans="1:11" ht="11.85" customHeight="1" x14ac:dyDescent="0.15">
      <c r="A37" s="3" t="str">
        <f t="shared" si="0"/>
        <v>Endereço:</v>
      </c>
      <c r="B37" s="78">
        <f>B5</f>
        <v>0</v>
      </c>
      <c r="C37" s="78"/>
      <c r="D37" s="78"/>
      <c r="E37" s="78"/>
      <c r="F37" s="78"/>
      <c r="G37" s="78"/>
      <c r="H37" s="78"/>
      <c r="I37" s="78"/>
      <c r="J37" s="78"/>
      <c r="K37" s="78"/>
    </row>
    <row r="38" spans="1:11" ht="11.85" customHeight="1" x14ac:dyDescent="0.15">
      <c r="A38" s="79" t="str">
        <f t="shared" si="0"/>
        <v>DADOS DO PRESTADOR DE SERVIÇOS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</row>
    <row r="39" spans="1:11" ht="11.85" customHeight="1" x14ac:dyDescent="0.15">
      <c r="A39" s="3" t="str">
        <f t="shared" si="0"/>
        <v>Nome:</v>
      </c>
      <c r="B39" s="80">
        <f>B7</f>
        <v>0</v>
      </c>
      <c r="C39" s="80"/>
      <c r="D39" s="80"/>
      <c r="E39" s="80"/>
      <c r="F39" s="80"/>
      <c r="G39" s="80"/>
      <c r="H39" s="80"/>
      <c r="I39" s="80"/>
      <c r="J39" s="80"/>
      <c r="K39" s="80"/>
    </row>
    <row r="40" spans="1:11" ht="11.85" customHeight="1" x14ac:dyDescent="0.15">
      <c r="A40" s="3" t="str">
        <f t="shared" si="0"/>
        <v>Nº do CPF:</v>
      </c>
      <c r="B40" s="81">
        <f>B8</f>
        <v>0</v>
      </c>
      <c r="C40" s="81"/>
      <c r="D40" s="81"/>
      <c r="E40" s="81"/>
      <c r="F40" s="81"/>
      <c r="G40" s="4"/>
      <c r="H40" s="48" t="str">
        <f>H8</f>
        <v>Nº do RG:</v>
      </c>
      <c r="I40" s="80">
        <f>I8</f>
        <v>0</v>
      </c>
      <c r="J40" s="80"/>
      <c r="K40" s="80"/>
    </row>
    <row r="41" spans="1:11" ht="11.85" customHeight="1" x14ac:dyDescent="0.15">
      <c r="A41" s="9" t="str">
        <f t="shared" si="0"/>
        <v>Endereço:</v>
      </c>
      <c r="B41" s="80">
        <f>B9</f>
        <v>0</v>
      </c>
      <c r="C41" s="80"/>
      <c r="D41" s="80"/>
      <c r="E41" s="80"/>
      <c r="F41" s="80"/>
      <c r="G41" s="80"/>
      <c r="H41" s="80"/>
      <c r="I41" s="80"/>
      <c r="J41" s="80"/>
      <c r="K41" s="80"/>
    </row>
    <row r="42" spans="1:11" ht="11.85" customHeight="1" x14ac:dyDescent="0.15">
      <c r="A42" s="73" t="str">
        <f t="shared" si="0"/>
        <v>BASE DE CÁLCULO</v>
      </c>
      <c r="B42" s="73"/>
      <c r="C42" s="73"/>
      <c r="D42" s="73"/>
      <c r="E42" s="73"/>
      <c r="F42" s="73"/>
      <c r="G42" s="10"/>
      <c r="H42" s="76" t="str">
        <f>H10</f>
        <v>CÁLCULO DO ISS</v>
      </c>
      <c r="I42" s="76"/>
      <c r="J42" s="76"/>
      <c r="K42" s="76"/>
    </row>
    <row r="43" spans="1:11" ht="11.85" customHeight="1" x14ac:dyDescent="0.15">
      <c r="A43" s="68" t="str">
        <f t="shared" si="0"/>
        <v>Valor dos Serviços Prestados........</v>
      </c>
      <c r="B43" s="68"/>
      <c r="C43" s="68"/>
      <c r="D43" s="68"/>
      <c r="E43" s="12" t="str">
        <f t="shared" ref="E43:F46" si="1">E11</f>
        <v>R$</v>
      </c>
      <c r="F43" s="13">
        <f t="shared" si="1"/>
        <v>0</v>
      </c>
      <c r="G43" s="10"/>
      <c r="H43" s="72" t="str">
        <f>H11</f>
        <v>Base de Cálculo........................</v>
      </c>
      <c r="I43" s="72"/>
      <c r="J43" s="12" t="str">
        <f t="shared" ref="J43:K45" si="2">J11</f>
        <v>R$</v>
      </c>
      <c r="K43" s="14">
        <f t="shared" si="2"/>
        <v>0</v>
      </c>
    </row>
    <row r="44" spans="1:11" ht="11.85" customHeight="1" x14ac:dyDescent="0.15">
      <c r="A44" s="68" t="str">
        <f t="shared" si="0"/>
        <v>Valor dos Serviços Prestados........</v>
      </c>
      <c r="B44" s="68"/>
      <c r="C44" s="68"/>
      <c r="D44" s="68"/>
      <c r="E44" s="12" t="str">
        <f t="shared" si="1"/>
        <v>R$</v>
      </c>
      <c r="F44" s="13">
        <f t="shared" si="1"/>
        <v>0</v>
      </c>
      <c r="G44" s="10"/>
      <c r="H44" s="77" t="str">
        <f>H12</f>
        <v>Alíquota....................................</v>
      </c>
      <c r="I44" s="77"/>
      <c r="J44" s="12" t="str">
        <f t="shared" si="2"/>
        <v>%</v>
      </c>
      <c r="K44" s="15">
        <f t="shared" si="2"/>
        <v>5</v>
      </c>
    </row>
    <row r="45" spans="1:11" ht="11.85" customHeight="1" x14ac:dyDescent="0.15">
      <c r="A45" s="71" t="str">
        <f t="shared" si="0"/>
        <v>Valor dos Serviços Prestados........</v>
      </c>
      <c r="B45" s="71"/>
      <c r="C45" s="71"/>
      <c r="D45" s="71"/>
      <c r="E45" s="12" t="str">
        <f t="shared" si="1"/>
        <v>R$</v>
      </c>
      <c r="F45" s="13">
        <f t="shared" si="1"/>
        <v>0</v>
      </c>
      <c r="G45" s="10"/>
      <c r="H45" s="72" t="str">
        <f>H13</f>
        <v>Valor a Recolher........................</v>
      </c>
      <c r="I45" s="72"/>
      <c r="J45" s="16" t="str">
        <f t="shared" si="2"/>
        <v>R$</v>
      </c>
      <c r="K45" s="14">
        <f t="shared" si="2"/>
        <v>0</v>
      </c>
    </row>
    <row r="46" spans="1:11" ht="11.85" customHeight="1" x14ac:dyDescent="0.15">
      <c r="A46" s="17" t="s">
        <v>19</v>
      </c>
      <c r="B46" s="18"/>
      <c r="C46"/>
      <c r="D46"/>
      <c r="E46" s="11" t="str">
        <f t="shared" si="1"/>
        <v>R$</v>
      </c>
      <c r="F46" s="19">
        <f t="shared" si="1"/>
        <v>0</v>
      </c>
      <c r="G46" s="10"/>
      <c r="H46" s="20"/>
      <c r="I46"/>
      <c r="J46"/>
      <c r="K46" s="21"/>
    </row>
    <row r="47" spans="1:11" ht="11.85" customHeight="1" x14ac:dyDescent="0.15">
      <c r="A47" s="22"/>
      <c r="B47" s="23"/>
      <c r="C47" s="23"/>
      <c r="D47" s="23"/>
      <c r="E47" s="23"/>
      <c r="F47" s="24"/>
      <c r="G47" s="10"/>
      <c r="H47" s="25"/>
      <c r="I47" s="26"/>
      <c r="J47" s="27"/>
      <c r="K47" s="28"/>
    </row>
    <row r="48" spans="1:11" ht="11.85" customHeight="1" x14ac:dyDescent="0.15">
      <c r="A48" s="73" t="s">
        <v>20</v>
      </c>
      <c r="B48" s="73"/>
      <c r="C48" s="73"/>
      <c r="D48" s="73"/>
      <c r="E48" s="73"/>
      <c r="F48" s="73"/>
      <c r="G48" s="10"/>
      <c r="H48" s="74" t="str">
        <f t="shared" ref="H48:H54" si="3">H16</f>
        <v>DESCONTOS</v>
      </c>
      <c r="I48" s="74"/>
      <c r="J48" s="74"/>
      <c r="K48" s="74"/>
    </row>
    <row r="49" spans="1:11" ht="11.85" customHeight="1" x14ac:dyDescent="0.15">
      <c r="A49" s="68" t="s">
        <v>22</v>
      </c>
      <c r="B49" s="68"/>
      <c r="C49" s="68"/>
      <c r="D49" s="68"/>
      <c r="E49" s="12" t="s">
        <v>14</v>
      </c>
      <c r="F49" s="29">
        <f>F17</f>
        <v>0</v>
      </c>
      <c r="G49" s="10"/>
      <c r="H49" s="75" t="str">
        <f t="shared" si="3"/>
        <v>Base de Cálculo........................</v>
      </c>
      <c r="I49" s="75"/>
      <c r="J49" s="16" t="str">
        <f t="shared" ref="J49:K51" si="4">J17</f>
        <v>R$</v>
      </c>
      <c r="K49" s="30">
        <f t="shared" si="4"/>
        <v>0</v>
      </c>
    </row>
    <row r="50" spans="1:11" ht="11.85" customHeight="1" x14ac:dyDescent="0.15">
      <c r="A50" s="68" t="s">
        <v>23</v>
      </c>
      <c r="B50" s="68"/>
      <c r="C50" s="68"/>
      <c r="D50" s="68"/>
      <c r="E50" s="12" t="s">
        <v>17</v>
      </c>
      <c r="F50" s="31">
        <f>F18</f>
        <v>11</v>
      </c>
      <c r="G50" s="10"/>
      <c r="H50" s="69" t="str">
        <f t="shared" si="3"/>
        <v>IRPF Retido..............................</v>
      </c>
      <c r="I50" s="69"/>
      <c r="J50" s="16" t="str">
        <f t="shared" si="4"/>
        <v>R$</v>
      </c>
      <c r="K50" s="14">
        <f t="shared" si="4"/>
        <v>0</v>
      </c>
    </row>
    <row r="51" spans="1:11" ht="11.85" customHeight="1" x14ac:dyDescent="0.15">
      <c r="A51" s="68" t="s">
        <v>25</v>
      </c>
      <c r="B51" s="68"/>
      <c r="C51" s="68"/>
      <c r="D51" s="68"/>
      <c r="E51" s="12" t="s">
        <v>14</v>
      </c>
      <c r="F51" s="32">
        <f>F19</f>
        <v>0</v>
      </c>
      <c r="G51" s="10"/>
      <c r="H51" s="69" t="str">
        <f t="shared" si="3"/>
        <v>ISS Retido................................</v>
      </c>
      <c r="I51" s="69"/>
      <c r="J51" s="16" t="str">
        <f t="shared" si="4"/>
        <v>R$</v>
      </c>
      <c r="K51" s="14">
        <f t="shared" si="4"/>
        <v>0</v>
      </c>
    </row>
    <row r="52" spans="1:11" ht="11.85" customHeight="1" x14ac:dyDescent="0.15">
      <c r="A52" s="70"/>
      <c r="B52" s="70"/>
      <c r="C52" s="70"/>
      <c r="D52" s="70"/>
      <c r="E52" s="70"/>
      <c r="F52" s="70"/>
      <c r="G52" s="10"/>
      <c r="H52" s="69" t="str">
        <f t="shared" si="3"/>
        <v>INSS Retido..............................</v>
      </c>
      <c r="I52" s="69"/>
      <c r="J52" s="16" t="str">
        <f>J20</f>
        <v>R$</v>
      </c>
      <c r="K52" s="33">
        <f>F51</f>
        <v>0</v>
      </c>
    </row>
    <row r="53" spans="1:11" ht="11.85" customHeight="1" x14ac:dyDescent="0.15">
      <c r="A53" s="62" t="s">
        <v>28</v>
      </c>
      <c r="B53" s="62"/>
      <c r="C53" s="62"/>
      <c r="D53" s="62"/>
      <c r="E53" s="62"/>
      <c r="F53" s="62"/>
      <c r="G53" s="10"/>
      <c r="H53" s="63" t="str">
        <f t="shared" si="3"/>
        <v>Valor Líquido a Receber</v>
      </c>
      <c r="I53" s="63"/>
      <c r="J53" s="34" t="str">
        <f>J21</f>
        <v>R$</v>
      </c>
      <c r="K53" s="35">
        <f>K21</f>
        <v>0</v>
      </c>
    </row>
    <row r="54" spans="1:11" ht="11.85" customHeight="1" x14ac:dyDescent="0.15">
      <c r="A54" s="36" t="s">
        <v>30</v>
      </c>
      <c r="B54" s="37"/>
      <c r="C54" s="37"/>
      <c r="D54" s="37"/>
      <c r="E54" s="38" t="s">
        <v>14</v>
      </c>
      <c r="F54" s="39">
        <f>F22</f>
        <v>0</v>
      </c>
      <c r="G54" s="10"/>
      <c r="H54" s="64" t="str">
        <f t="shared" si="3"/>
        <v>SERVIÇO PRESTADO</v>
      </c>
      <c r="I54" s="64"/>
      <c r="J54" s="64"/>
      <c r="K54" s="64"/>
    </row>
    <row r="55" spans="1:11" ht="11.85" customHeight="1" x14ac:dyDescent="0.15">
      <c r="A55" s="36" t="s">
        <v>32</v>
      </c>
      <c r="B55" s="37"/>
      <c r="C55" s="37"/>
      <c r="D55" s="37"/>
      <c r="E55" s="38" t="s">
        <v>17</v>
      </c>
      <c r="F55" s="40">
        <f>F23</f>
        <v>0</v>
      </c>
      <c r="G55" s="10"/>
      <c r="H55" s="65"/>
      <c r="I55" s="65"/>
      <c r="J55" s="65"/>
      <c r="K55" s="65"/>
    </row>
    <row r="56" spans="1:11" ht="11.85" customHeight="1" x14ac:dyDescent="0.15">
      <c r="A56" s="36" t="s">
        <v>33</v>
      </c>
      <c r="B56" s="37"/>
      <c r="C56" s="37"/>
      <c r="D56" s="37"/>
      <c r="E56" s="38" t="s">
        <v>14</v>
      </c>
      <c r="F56" s="39">
        <f>F24</f>
        <v>0</v>
      </c>
      <c r="G56" s="10"/>
      <c r="H56" s="65"/>
      <c r="I56" s="65"/>
      <c r="J56" s="65"/>
      <c r="K56" s="65"/>
    </row>
    <row r="57" spans="1:11" ht="11.85" customHeight="1" x14ac:dyDescent="0.15">
      <c r="A57" s="36" t="s">
        <v>34</v>
      </c>
      <c r="B57" s="37"/>
      <c r="C57" s="37"/>
      <c r="D57" s="37"/>
      <c r="E57" s="37"/>
      <c r="F57" s="39">
        <f>F25</f>
        <v>0</v>
      </c>
      <c r="G57" s="10"/>
      <c r="H57" s="65"/>
      <c r="I57" s="65"/>
      <c r="J57" s="65"/>
      <c r="K57" s="65"/>
    </row>
    <row r="58" spans="1:11" ht="11.85" customHeight="1" x14ac:dyDescent="0.15">
      <c r="A58" s="66"/>
      <c r="B58" s="66"/>
      <c r="C58" s="66"/>
      <c r="D58" s="66"/>
      <c r="E58" s="66"/>
      <c r="F58" s="66"/>
      <c r="G58" s="10"/>
      <c r="H58" s="65"/>
      <c r="I58" s="65"/>
      <c r="J58" s="65"/>
      <c r="K58" s="65"/>
    </row>
    <row r="59" spans="1:11" ht="11.85" customHeight="1" x14ac:dyDescent="0.15">
      <c r="A59" s="67" t="str">
        <f>A27</f>
        <v>Recebi do ente acima identificado pela prestação dos serviços a importância de:</v>
      </c>
      <c r="B59" s="67"/>
      <c r="C59" s="67"/>
      <c r="D59" s="67"/>
      <c r="E59" s="67"/>
      <c r="F59" s="67"/>
      <c r="G59" s="67"/>
      <c r="H59" s="67"/>
      <c r="I59" s="67"/>
      <c r="J59" s="41" t="str">
        <f>J27</f>
        <v>R$</v>
      </c>
      <c r="K59" s="42">
        <f>K27</f>
        <v>0</v>
      </c>
    </row>
    <row r="60" spans="1:11" ht="11.85" customHeight="1" x14ac:dyDescent="0.15">
      <c r="A60" s="57"/>
      <c r="B60" s="57"/>
      <c r="C60" s="57"/>
      <c r="D60" s="57"/>
      <c r="E60" s="57"/>
      <c r="F60" s="57"/>
      <c r="G60" s="57"/>
      <c r="H60" s="57"/>
      <c r="I60" s="6"/>
      <c r="J60" s="12"/>
      <c r="K60" s="43"/>
    </row>
    <row r="61" spans="1:11" ht="11.85" customHeight="1" x14ac:dyDescent="0.15">
      <c r="A61" s="44" t="str">
        <f>A29</f>
        <v>Local:</v>
      </c>
      <c r="B61" s="58">
        <f>B29</f>
        <v>0</v>
      </c>
      <c r="C61" s="58"/>
      <c r="D61" s="58"/>
      <c r="E61" s="58"/>
      <c r="F61" s="58"/>
      <c r="G61" s="45"/>
      <c r="H61" s="6" t="str">
        <f>H29</f>
        <v>Data:</v>
      </c>
      <c r="I61" s="59">
        <f>I29</f>
        <v>0</v>
      </c>
      <c r="J61" s="59"/>
      <c r="K61" s="59"/>
    </row>
    <row r="62" spans="1:11" ht="11.85" customHeight="1" x14ac:dyDescent="0.1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</row>
    <row r="63" spans="1:11" ht="11.85" customHeight="1" x14ac:dyDescent="0.15">
      <c r="A63" s="46" t="str">
        <f>A31</f>
        <v>Assinatura:</v>
      </c>
      <c r="B63" s="61"/>
      <c r="C63" s="61"/>
      <c r="D63" s="61"/>
      <c r="E63" s="61"/>
      <c r="F63" s="61"/>
      <c r="G63" s="61"/>
      <c r="H63" s="61"/>
      <c r="I63" s="61"/>
      <c r="J63" s="61"/>
      <c r="K63" s="61"/>
    </row>
  </sheetData>
  <sheetProtection sheet="1"/>
  <mergeCells count="87">
    <mergeCell ref="A1:K1"/>
    <mergeCell ref="A2:K2"/>
    <mergeCell ref="A3:C3"/>
    <mergeCell ref="D3:J3"/>
    <mergeCell ref="A4:C4"/>
    <mergeCell ref="D4:H4"/>
    <mergeCell ref="I4:J4"/>
    <mergeCell ref="L11:Q11"/>
    <mergeCell ref="A12:D12"/>
    <mergeCell ref="H12:I12"/>
    <mergeCell ref="B5:K5"/>
    <mergeCell ref="A6:K6"/>
    <mergeCell ref="B7:K7"/>
    <mergeCell ref="B8:F8"/>
    <mergeCell ref="I8:K8"/>
    <mergeCell ref="B9:K9"/>
    <mergeCell ref="A17:D17"/>
    <mergeCell ref="H17:I17"/>
    <mergeCell ref="A10:F10"/>
    <mergeCell ref="H10:K10"/>
    <mergeCell ref="A11:D11"/>
    <mergeCell ref="H11:I11"/>
    <mergeCell ref="A13:D13"/>
    <mergeCell ref="H13:I13"/>
    <mergeCell ref="L15:Q15"/>
    <mergeCell ref="A16:F16"/>
    <mergeCell ref="H16:K16"/>
    <mergeCell ref="A18:D18"/>
    <mergeCell ref="H18:I18"/>
    <mergeCell ref="A19:D19"/>
    <mergeCell ref="H19:I19"/>
    <mergeCell ref="A20:F20"/>
    <mergeCell ref="H20:I20"/>
    <mergeCell ref="A32:K32"/>
    <mergeCell ref="A21:F21"/>
    <mergeCell ref="H21:I21"/>
    <mergeCell ref="H22:K22"/>
    <mergeCell ref="H23:K26"/>
    <mergeCell ref="A26:F26"/>
    <mergeCell ref="A27:I27"/>
    <mergeCell ref="A28:H28"/>
    <mergeCell ref="B29:F29"/>
    <mergeCell ref="I29:K29"/>
    <mergeCell ref="A30:K30"/>
    <mergeCell ref="B31:K31"/>
    <mergeCell ref="B41:K41"/>
    <mergeCell ref="A33:K33"/>
    <mergeCell ref="A34:K34"/>
    <mergeCell ref="A35:C35"/>
    <mergeCell ref="D35:J35"/>
    <mergeCell ref="A36:C36"/>
    <mergeCell ref="D36:H36"/>
    <mergeCell ref="I36:J36"/>
    <mergeCell ref="B37:K37"/>
    <mergeCell ref="A38:K38"/>
    <mergeCell ref="B39:K39"/>
    <mergeCell ref="B40:F40"/>
    <mergeCell ref="I40:K40"/>
    <mergeCell ref="A42:F42"/>
    <mergeCell ref="H42:K42"/>
    <mergeCell ref="A43:D43"/>
    <mergeCell ref="H43:I43"/>
    <mergeCell ref="A44:D44"/>
    <mergeCell ref="H44:I44"/>
    <mergeCell ref="A45:D45"/>
    <mergeCell ref="H45:I45"/>
    <mergeCell ref="A48:F48"/>
    <mergeCell ref="H48:K48"/>
    <mergeCell ref="A49:D49"/>
    <mergeCell ref="H49:I49"/>
    <mergeCell ref="A59:I59"/>
    <mergeCell ref="A50:D50"/>
    <mergeCell ref="H50:I50"/>
    <mergeCell ref="A51:D51"/>
    <mergeCell ref="H51:I51"/>
    <mergeCell ref="A52:F52"/>
    <mergeCell ref="H52:I52"/>
    <mergeCell ref="A53:F53"/>
    <mergeCell ref="H53:I53"/>
    <mergeCell ref="H54:K54"/>
    <mergeCell ref="H55:K58"/>
    <mergeCell ref="A58:F58"/>
    <mergeCell ref="A60:H60"/>
    <mergeCell ref="B61:F61"/>
    <mergeCell ref="I61:K61"/>
    <mergeCell ref="A62:K62"/>
    <mergeCell ref="B63:K63"/>
  </mergeCells>
  <printOptions horizontalCentered="1"/>
  <pageMargins left="0.51180555555555551" right="0.31527777777777777" top="0.39374999999999999" bottom="0.39374999999999999" header="0.51180555555555551" footer="0.51180555555555551"/>
  <pageSetup paperSize="9"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showGridLines="0" workbookViewId="0" xr3:uid="{958C4451-9541-5A59-BF78-D2F731DF1C81}">
      <selection activeCell="E10" sqref="E10"/>
    </sheetView>
  </sheetViews>
  <sheetFormatPr defaultColWidth="11.59375" defaultRowHeight="12.75" x14ac:dyDescent="0.15"/>
  <cols>
    <col min="1" max="1" width="18.203125" customWidth="1"/>
    <col min="2" max="2" width="15.23828125" customWidth="1"/>
  </cols>
  <sheetData>
    <row r="1" spans="1:8" x14ac:dyDescent="0.15">
      <c r="A1" t="s">
        <v>40</v>
      </c>
      <c r="B1" s="49">
        <f>RPA!F14</f>
        <v>0</v>
      </c>
    </row>
    <row r="2" spans="1:8" x14ac:dyDescent="0.15">
      <c r="A2" t="s">
        <v>41</v>
      </c>
      <c r="B2" s="49">
        <f>F10</f>
        <v>0</v>
      </c>
    </row>
    <row r="4" spans="1:8" x14ac:dyDescent="0.15">
      <c r="A4" s="50" t="s">
        <v>42</v>
      </c>
      <c r="B4" s="50" t="s">
        <v>43</v>
      </c>
      <c r="C4" s="50" t="s">
        <v>44</v>
      </c>
      <c r="D4" s="50" t="s">
        <v>45</v>
      </c>
      <c r="E4" s="50" t="s">
        <v>46</v>
      </c>
      <c r="F4" s="50" t="s">
        <v>47</v>
      </c>
      <c r="G4" s="90" t="s">
        <v>48</v>
      </c>
      <c r="H4" s="90"/>
    </row>
    <row r="5" spans="1:8" x14ac:dyDescent="0.15">
      <c r="A5" s="51">
        <v>0</v>
      </c>
      <c r="B5" s="51">
        <v>1434.59</v>
      </c>
      <c r="C5" s="51">
        <f>IF(AND($B$1&gt;$A5,$B$1&lt;=$B5),$B$1,0)</f>
        <v>0</v>
      </c>
      <c r="D5" s="52">
        <v>0</v>
      </c>
      <c r="E5" s="51">
        <v>0</v>
      </c>
      <c r="F5" s="51">
        <v>0</v>
      </c>
      <c r="G5" s="51">
        <v>0</v>
      </c>
      <c r="H5" s="51">
        <v>0</v>
      </c>
    </row>
    <row r="6" spans="1:8" x14ac:dyDescent="0.15">
      <c r="A6" s="51">
        <f>B5</f>
        <v>1434.59</v>
      </c>
      <c r="B6" s="51">
        <v>2150</v>
      </c>
      <c r="C6" s="51">
        <f>IF(AND($B$1&gt;$A6,$B$1&lt;=$B6),$B$1,0)</f>
        <v>0</v>
      </c>
      <c r="D6" s="52">
        <v>7.4999999999999997E-2</v>
      </c>
      <c r="E6" s="51">
        <v>107.59</v>
      </c>
      <c r="F6" s="51">
        <f>IF(((D6*C6)-E6)&lt;=0,0,(D6*C6)-E6)</f>
        <v>0</v>
      </c>
      <c r="G6" s="51">
        <f>IF(F6&lt;&gt;0,D6,0)</f>
        <v>0</v>
      </c>
      <c r="H6" s="51">
        <f>IF(F6&lt;&gt;0,E6,0)</f>
        <v>0</v>
      </c>
    </row>
    <row r="7" spans="1:8" x14ac:dyDescent="0.15">
      <c r="A7" s="51">
        <f>B6</f>
        <v>2150</v>
      </c>
      <c r="B7" s="51">
        <v>2866.7</v>
      </c>
      <c r="C7" s="51">
        <f>IF(AND($B$1&gt;$A7,$B$1&lt;=$B7),$B$1,0)</f>
        <v>0</v>
      </c>
      <c r="D7" s="52">
        <v>0.15</v>
      </c>
      <c r="E7" s="51">
        <v>268.83999999999997</v>
      </c>
      <c r="F7" s="51">
        <f>IF(((D7*C7)-E7)&lt;=0,0,(D7*C7)-E7)</f>
        <v>0</v>
      </c>
      <c r="G7" s="51">
        <f>IF(F7&lt;&gt;0,D7,0)</f>
        <v>0</v>
      </c>
      <c r="H7" s="51">
        <f>IF(F7&lt;&gt;0,E7,0)</f>
        <v>0</v>
      </c>
    </row>
    <row r="8" spans="1:8" x14ac:dyDescent="0.15">
      <c r="A8" s="51">
        <f>B7</f>
        <v>2866.7</v>
      </c>
      <c r="B8" s="51">
        <v>3582</v>
      </c>
      <c r="C8" s="51">
        <f>IF(AND($B$1&gt;$A8,$B$1&lt;=$B8),$B$1,0)</f>
        <v>0</v>
      </c>
      <c r="D8" s="52">
        <v>0.22500000000000001</v>
      </c>
      <c r="E8" s="51">
        <v>483.84</v>
      </c>
      <c r="F8" s="51">
        <f>IF(((D8*C8)-E8)&lt;=0,0,(D8*C8)-E8)</f>
        <v>0</v>
      </c>
      <c r="G8" s="51">
        <f>IF(F8&lt;&gt;0,D8,0)</f>
        <v>0</v>
      </c>
      <c r="H8" s="51">
        <f>IF(F8&lt;&gt;0,E8,0)</f>
        <v>0</v>
      </c>
    </row>
    <row r="9" spans="1:8" x14ac:dyDescent="0.15">
      <c r="A9" s="51">
        <f>B8</f>
        <v>3582</v>
      </c>
      <c r="B9" s="51">
        <v>999999</v>
      </c>
      <c r="C9" s="51">
        <f>IF(AND($B$1&gt;$A9,$B$1&lt;=$B9),$B$1,0)</f>
        <v>0</v>
      </c>
      <c r="D9" s="52">
        <v>0.27500000000000002</v>
      </c>
      <c r="E9" s="51">
        <v>662.94</v>
      </c>
      <c r="F9" s="51">
        <f>IF(((D9*C9)-E9)&lt;=0,0,(D9*C9)-E9)</f>
        <v>0</v>
      </c>
      <c r="G9" s="51">
        <f>IF(F9&lt;&gt;0,D9,0)</f>
        <v>0</v>
      </c>
      <c r="H9" s="51">
        <f>IF(F9&lt;&gt;0,E9,0)</f>
        <v>0</v>
      </c>
    </row>
    <row r="10" spans="1:8" x14ac:dyDescent="0.15">
      <c r="E10" s="53" t="s">
        <v>49</v>
      </c>
      <c r="F10" s="54">
        <f>SUM(F5:F9)</f>
        <v>0</v>
      </c>
      <c r="G10" s="55">
        <f>SUM(G5:G9)</f>
        <v>0</v>
      </c>
      <c r="H10" s="56">
        <f>SUM(H5:H9)</f>
        <v>0</v>
      </c>
    </row>
  </sheetData>
  <sheetProtection selectLockedCells="1" selectUnlockedCells="1"/>
  <mergeCells count="1">
    <mergeCell ref="G4:H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RPA</vt:lpstr>
      <vt:lpstr>Imposto_de_Renda</vt:lpstr>
      <vt:lpstr>_1Excel_BuiltIn_Print_Area_1_1</vt:lpstr>
      <vt:lpstr>RPA!Area_de_impressao</vt:lpstr>
      <vt:lpstr>Excel_BuiltIn_Print_Area_1_1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Jadir Carlos de Sousa</dc:creator>
  <cp:lastModifiedBy>X</cp:lastModifiedBy>
  <dcterms:created xsi:type="dcterms:W3CDTF">2018-04-24T02:01:28Z</dcterms:created>
  <dcterms:modified xsi:type="dcterms:W3CDTF">2018-04-24T02:01:28Z</dcterms:modified>
</cp:coreProperties>
</file>