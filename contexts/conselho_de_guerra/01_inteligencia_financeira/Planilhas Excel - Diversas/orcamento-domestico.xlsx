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1\"/>
    </mc:Choice>
  </mc:AlternateContent>
  <bookViews>
    <workbookView xWindow="0" yWindow="0" windowWidth="28800" windowHeight="12885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1" l="1"/>
  <c r="C6" i="1"/>
  <c r="D6" i="1"/>
  <c r="E6" i="1"/>
  <c r="F6" i="1"/>
  <c r="G6" i="1"/>
  <c r="H6" i="1"/>
  <c r="I6" i="1"/>
  <c r="J6" i="1"/>
  <c r="K6" i="1"/>
  <c r="L6" i="1"/>
  <c r="M6" i="1"/>
  <c r="N7" i="1"/>
  <c r="N8" i="1"/>
  <c r="N9" i="1"/>
  <c r="N10" i="1"/>
  <c r="N13" i="1" l="1"/>
  <c r="N14" i="1"/>
  <c r="N15" i="1"/>
  <c r="N18" i="1"/>
  <c r="N19" i="1"/>
  <c r="N20" i="1"/>
  <c r="N21" i="1"/>
  <c r="N22" i="1"/>
  <c r="N25" i="1"/>
  <c r="N26" i="1"/>
  <c r="N27" i="1"/>
  <c r="N28" i="1"/>
  <c r="N29" i="1"/>
  <c r="N30" i="1"/>
  <c r="N33" i="1"/>
  <c r="N34" i="1"/>
  <c r="N35" i="1"/>
  <c r="N37" i="1"/>
  <c r="N4" i="1"/>
  <c r="C32" i="1"/>
  <c r="D32" i="1"/>
  <c r="E32" i="1"/>
  <c r="F32" i="1"/>
  <c r="G32" i="1"/>
  <c r="H32" i="1"/>
  <c r="I32" i="1"/>
  <c r="J32" i="1"/>
  <c r="K32" i="1"/>
  <c r="L32" i="1"/>
  <c r="M32" i="1"/>
  <c r="B32" i="1"/>
  <c r="M24" i="1"/>
  <c r="L24" i="1"/>
  <c r="K24" i="1"/>
  <c r="J24" i="1"/>
  <c r="I24" i="1"/>
  <c r="H24" i="1"/>
  <c r="G24" i="1"/>
  <c r="F24" i="1"/>
  <c r="E24" i="1"/>
  <c r="D24" i="1"/>
  <c r="C24" i="1"/>
  <c r="B24" i="1"/>
  <c r="C17" i="1"/>
  <c r="D17" i="1"/>
  <c r="E17" i="1"/>
  <c r="F17" i="1"/>
  <c r="G17" i="1"/>
  <c r="H17" i="1"/>
  <c r="I17" i="1"/>
  <c r="J17" i="1"/>
  <c r="K17" i="1"/>
  <c r="L17" i="1"/>
  <c r="M17" i="1"/>
  <c r="B17" i="1"/>
  <c r="C12" i="1"/>
  <c r="C39" i="1" s="1"/>
  <c r="C40" i="1" s="1"/>
  <c r="D12" i="1"/>
  <c r="D39" i="1" s="1"/>
  <c r="D40" i="1" s="1"/>
  <c r="E12" i="1"/>
  <c r="F12" i="1"/>
  <c r="F39" i="1" s="1"/>
  <c r="F40" i="1" s="1"/>
  <c r="G12" i="1"/>
  <c r="G39" i="1" s="1"/>
  <c r="G40" i="1" s="1"/>
  <c r="H12" i="1"/>
  <c r="H39" i="1" s="1"/>
  <c r="H40" i="1" s="1"/>
  <c r="I12" i="1"/>
  <c r="J12" i="1"/>
  <c r="J39" i="1" s="1"/>
  <c r="J40" i="1" s="1"/>
  <c r="K12" i="1"/>
  <c r="K39" i="1" s="1"/>
  <c r="K40" i="1" s="1"/>
  <c r="L12" i="1"/>
  <c r="L39" i="1" s="1"/>
  <c r="L40" i="1" s="1"/>
  <c r="M12" i="1"/>
  <c r="B12" i="1"/>
  <c r="B6" i="1"/>
  <c r="N6" i="1" s="1"/>
  <c r="N12" i="1" l="1"/>
  <c r="N17" i="1"/>
  <c r="N24" i="1"/>
  <c r="M39" i="1"/>
  <c r="M40" i="1" s="1"/>
  <c r="I39" i="1"/>
  <c r="I40" i="1" s="1"/>
  <c r="E39" i="1"/>
  <c r="E40" i="1" s="1"/>
  <c r="N32" i="1"/>
  <c r="B39" i="1"/>
  <c r="B40" i="1" s="1"/>
  <c r="B41" i="1" s="1"/>
  <c r="C41" i="1" s="1"/>
  <c r="D41" i="1" s="1"/>
  <c r="N39" i="1" l="1"/>
  <c r="E41" i="1"/>
  <c r="F41" i="1" s="1"/>
  <c r="G41" i="1" s="1"/>
  <c r="H41" i="1" s="1"/>
  <c r="I41" i="1" s="1"/>
  <c r="J41" i="1" s="1"/>
  <c r="K41" i="1" s="1"/>
  <c r="L41" i="1" s="1"/>
  <c r="M41" i="1" s="1"/>
  <c r="N40" i="1"/>
</calcChain>
</file>

<file path=xl/sharedStrings.xml><?xml version="1.0" encoding="utf-8"?>
<sst xmlns="http://schemas.openxmlformats.org/spreadsheetml/2006/main" count="46" uniqueCount="43">
  <si>
    <t>Despesas Pessoais</t>
  </si>
  <si>
    <t>Salários/Rendimentos</t>
  </si>
  <si>
    <t>Habitação</t>
  </si>
  <si>
    <t>Prestação/Aluguel</t>
  </si>
  <si>
    <t>Condomínio</t>
  </si>
  <si>
    <t>IPTU</t>
  </si>
  <si>
    <t>Reforma/Manutenção</t>
  </si>
  <si>
    <t>Alimentação</t>
  </si>
  <si>
    <t>Supermercado</t>
  </si>
  <si>
    <t>Restaurante/Bar/Café</t>
  </si>
  <si>
    <t>Outros</t>
  </si>
  <si>
    <t>Serviços</t>
  </si>
  <si>
    <t>Telefone fixo</t>
  </si>
  <si>
    <t>Luz (energia)</t>
  </si>
  <si>
    <t>Gás</t>
  </si>
  <si>
    <t>Água / esgoto</t>
  </si>
  <si>
    <t>TV a cabo/Internet</t>
  </si>
  <si>
    <t>Saúde</t>
  </si>
  <si>
    <t>Plano de Saúde</t>
  </si>
  <si>
    <t>Dentista</t>
  </si>
  <si>
    <t>Farmácia/Medicamentos</t>
  </si>
  <si>
    <t>Higiene Pessoal</t>
  </si>
  <si>
    <t>Cinema/Teatro/Show</t>
  </si>
  <si>
    <t>Passagens</t>
  </si>
  <si>
    <t>Passeios</t>
  </si>
  <si>
    <t>Total das despesas</t>
  </si>
  <si>
    <t>Saldo do mês</t>
  </si>
  <si>
    <t>Saldo acumulado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</si>
  <si>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</si>
  <si>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</si>
  <si>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</si>
  <si>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</si>
  <si>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</si>
  <si>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</si>
  <si>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</si>
  <si>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</si>
  <si>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</si>
  <si>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</si>
  <si>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</si>
  <si>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</si>
  <si>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</si>
  <si>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Orçamento Doméstico</t>
  </si>
  <si>
    <t>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</si>
</sst>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43" fontId="1" fillId="0" borderId="0" xfId="1" applyFont="1"/>
    <xf numFmtId="0" fontId="5" fillId="0" borderId="0" xfId="0" applyFont="1"/>
    <xf numFmtId="43" fontId="5" fillId="0" borderId="0" xfId="1" applyFont="1"/>
    <xf numFmtId="0" fontId="4" fillId="0" borderId="0" xfId="0" applyFont="1" applyAlignment="1">
      <alignment horizontal="center"/>
    </xf>
    <xf numFmtId="43" fontId="5" fillId="0" borderId="1" xfId="1" applyFont="1" applyBorder="1"/>
    <xf numFmtId="43" fontId="1" fillId="0" borderId="1" xfId="1" applyFont="1" applyBorder="1"/>
    <xf numFmtId="43" fontId="5" fillId="3" borderId="1" xfId="1" applyFont="1" applyFill="1" applyBorder="1"/>
    <xf numFmtId="0" fontId="6" fillId="0" borderId="0" xfId="0" applyFont="1" applyAlignment="1">
      <alignment horizontal="left" inden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showGridLines="0" tabSelected="1" workbookViewId="0">
      <selection activeCell="B4" sqref="B4"/>
    </sheetView>
  </sheetViews>
  <sheetFormatPr defaultRowHeight="12.75" x14ac:dyDescent="0.2"/>
  <cols>
    <col min="1" max="1" width="22.7109375" style="1" customWidth="1"/>
    <col min="2" max="13" width="10.7109375" style="1" customWidth="1"/>
    <col min="14" max="14" width="12.7109375" style="1" customWidth="1"/>
    <col min="15" max="16384" width="9.140625" style="1"/>
  </cols>
  <sheetData>
    <row r="1" spans="1:14" ht="23.25" x14ac:dyDescent="0.35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>
        <v>2016</v>
      </c>
    </row>
    <row r="3" spans="1:14" ht="15" x14ac:dyDescent="0.25">
      <c r="A3" s="4"/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</row>
    <row r="4" spans="1:14" x14ac:dyDescent="0.2">
      <c r="A4" s="4" t="s">
        <v>1</v>
      </c>
      <c r="B4" s="9">
        <v>7250</v>
      </c>
      <c r="C4" s="9">
        <v>5200</v>
      </c>
      <c r="D4" s="9">
        <v>5200</v>
      </c>
      <c r="E4" s="9">
        <v>5200</v>
      </c>
      <c r="F4" s="9">
        <v>5200</v>
      </c>
      <c r="G4" s="9">
        <v>5200</v>
      </c>
      <c r="H4" s="9"/>
      <c r="I4" s="9"/>
      <c r="J4" s="9"/>
      <c r="K4" s="9"/>
      <c r="L4" s="9"/>
      <c r="M4" s="9"/>
      <c r="N4" s="9">
        <f>SUM(B4:M4)</f>
        <v>33250</v>
      </c>
    </row>
    <row r="5" spans="1:14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</row>
    <row r="6" spans="1:14" x14ac:dyDescent="0.2">
      <c r="A6" s="4" t="s">
        <v>2</v>
      </c>
      <c r="B6" s="9">
        <f>SUM(B7:B10)</f>
        <v>2230</v>
      </c>
      <c r="C6" s="9">
        <f t="shared" ref="C6:M6" si="0">SUM(C7:C10)</f>
        <v>2625</v>
      </c>
      <c r="D6" s="9">
        <f t="shared" si="0"/>
        <v>2345</v>
      </c>
      <c r="E6" s="9">
        <f t="shared" si="0"/>
        <v>3145</v>
      </c>
      <c r="F6" s="9">
        <f t="shared" si="0"/>
        <v>2345</v>
      </c>
      <c r="G6" s="9">
        <f t="shared" si="0"/>
        <v>2345</v>
      </c>
      <c r="H6" s="9">
        <f t="shared" si="0"/>
        <v>0</v>
      </c>
      <c r="I6" s="9">
        <f t="shared" si="0"/>
        <v>0</v>
      </c>
      <c r="J6" s="9">
        <f t="shared" si="0"/>
        <v>0</v>
      </c>
      <c r="K6" s="9">
        <f t="shared" si="0"/>
        <v>0</v>
      </c>
      <c r="L6" s="9">
        <f t="shared" si="0"/>
        <v>0</v>
      </c>
      <c r="M6" s="9">
        <f t="shared" si="0"/>
        <v>0</v>
      </c>
      <c r="N6" s="9">
        <f t="shared" ref="N6:N40" si="1">SUM(B6:M6)</f>
        <v>15035</v>
      </c>
    </row>
    <row r="7" spans="1:14" x14ac:dyDescent="0.2">
      <c r="A7" s="10" t="s">
        <v>3</v>
      </c>
      <c r="B7" s="8">
        <v>1750</v>
      </c>
      <c r="C7" s="8">
        <v>1750</v>
      </c>
      <c r="D7" s="8">
        <v>1750</v>
      </c>
      <c r="E7" s="8">
        <v>1750</v>
      </c>
      <c r="F7" s="8">
        <v>1750</v>
      </c>
      <c r="G7" s="8">
        <v>1750</v>
      </c>
      <c r="H7" s="8"/>
      <c r="I7" s="8"/>
      <c r="J7" s="8"/>
      <c r="K7" s="8"/>
      <c r="L7" s="8"/>
      <c r="M7" s="8"/>
      <c r="N7" s="7">
        <f t="shared" si="1"/>
        <v>10500</v>
      </c>
    </row>
    <row r="8" spans="1:14" x14ac:dyDescent="0.2">
      <c r="A8" s="10" t="s">
        <v>4</v>
      </c>
      <c r="B8" s="8">
        <v>480</v>
      </c>
      <c r="C8" s="8">
        <v>480</v>
      </c>
      <c r="D8" s="8">
        <v>480</v>
      </c>
      <c r="E8" s="8">
        <v>480</v>
      </c>
      <c r="F8" s="8">
        <v>480</v>
      </c>
      <c r="G8" s="8">
        <v>480</v>
      </c>
      <c r="H8" s="8"/>
      <c r="I8" s="8"/>
      <c r="J8" s="8"/>
      <c r="K8" s="8"/>
      <c r="L8" s="8"/>
      <c r="M8" s="8"/>
      <c r="N8" s="7">
        <f t="shared" si="1"/>
        <v>2880</v>
      </c>
    </row>
    <row r="9" spans="1:14" x14ac:dyDescent="0.2">
      <c r="A9" s="10" t="s">
        <v>5</v>
      </c>
      <c r="B9" s="8"/>
      <c r="C9" s="8">
        <v>115</v>
      </c>
      <c r="D9" s="8">
        <v>115</v>
      </c>
      <c r="E9" s="8">
        <v>115</v>
      </c>
      <c r="F9" s="8">
        <v>115</v>
      </c>
      <c r="G9" s="8">
        <v>115</v>
      </c>
      <c r="H9" s="8"/>
      <c r="I9" s="8"/>
      <c r="J9" s="8"/>
      <c r="K9" s="8"/>
      <c r="L9" s="8"/>
      <c r="M9" s="8"/>
      <c r="N9" s="7">
        <f t="shared" si="1"/>
        <v>575</v>
      </c>
    </row>
    <row r="10" spans="1:14" x14ac:dyDescent="0.2">
      <c r="A10" s="10" t="s">
        <v>6</v>
      </c>
      <c r="B10" s="8"/>
      <c r="C10" s="8">
        <v>280</v>
      </c>
      <c r="D10" s="8"/>
      <c r="E10" s="8">
        <v>800</v>
      </c>
      <c r="F10" s="8"/>
      <c r="G10" s="8"/>
      <c r="H10" s="8"/>
      <c r="I10" s="8"/>
      <c r="J10" s="8"/>
      <c r="K10" s="8"/>
      <c r="L10" s="8"/>
      <c r="M10" s="8"/>
      <c r="N10" s="7">
        <f t="shared" si="1"/>
        <v>1080</v>
      </c>
    </row>
    <row r="11" spans="1:14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5"/>
    </row>
    <row r="12" spans="1:14" x14ac:dyDescent="0.2">
      <c r="A12" s="4" t="s">
        <v>7</v>
      </c>
      <c r="B12" s="9">
        <f>SUM(B13:B15)</f>
        <v>485</v>
      </c>
      <c r="C12" s="9">
        <f t="shared" ref="C12:M12" si="2">SUM(C13:C15)</f>
        <v>682.5</v>
      </c>
      <c r="D12" s="9">
        <f t="shared" si="2"/>
        <v>540</v>
      </c>
      <c r="E12" s="9">
        <f t="shared" si="2"/>
        <v>501</v>
      </c>
      <c r="F12" s="9">
        <f t="shared" si="2"/>
        <v>598.29999999999995</v>
      </c>
      <c r="G12" s="9">
        <f t="shared" si="2"/>
        <v>743</v>
      </c>
      <c r="H12" s="9">
        <f t="shared" si="2"/>
        <v>0</v>
      </c>
      <c r="I12" s="9">
        <f t="shared" si="2"/>
        <v>0</v>
      </c>
      <c r="J12" s="9">
        <f t="shared" si="2"/>
        <v>0</v>
      </c>
      <c r="K12" s="9">
        <f t="shared" si="2"/>
        <v>0</v>
      </c>
      <c r="L12" s="9">
        <f t="shared" si="2"/>
        <v>0</v>
      </c>
      <c r="M12" s="9">
        <f t="shared" si="2"/>
        <v>0</v>
      </c>
      <c r="N12" s="9">
        <f t="shared" si="1"/>
        <v>3549.8</v>
      </c>
    </row>
    <row r="13" spans="1:14" x14ac:dyDescent="0.2">
      <c r="A13" s="10" t="s">
        <v>8</v>
      </c>
      <c r="B13" s="8">
        <v>450</v>
      </c>
      <c r="C13" s="8">
        <v>580</v>
      </c>
      <c r="D13" s="8">
        <v>525</v>
      </c>
      <c r="E13" s="8">
        <v>479</v>
      </c>
      <c r="F13" s="8">
        <v>574</v>
      </c>
      <c r="G13" s="8">
        <v>620</v>
      </c>
      <c r="H13" s="8"/>
      <c r="I13" s="8"/>
      <c r="J13" s="8"/>
      <c r="K13" s="8"/>
      <c r="L13" s="8"/>
      <c r="M13" s="8"/>
      <c r="N13" s="7">
        <f t="shared" si="1"/>
        <v>3228</v>
      </c>
    </row>
    <row r="14" spans="1:14" x14ac:dyDescent="0.2">
      <c r="A14" s="10" t="s">
        <v>9</v>
      </c>
      <c r="B14" s="8">
        <v>35</v>
      </c>
      <c r="C14" s="8">
        <v>102.5</v>
      </c>
      <c r="D14" s="8"/>
      <c r="E14" s="8">
        <v>22</v>
      </c>
      <c r="F14" s="8"/>
      <c r="G14" s="8">
        <v>123</v>
      </c>
      <c r="H14" s="8"/>
      <c r="I14" s="8"/>
      <c r="J14" s="8"/>
      <c r="K14" s="8"/>
      <c r="L14" s="8"/>
      <c r="M14" s="8"/>
      <c r="N14" s="7">
        <f t="shared" si="1"/>
        <v>282.5</v>
      </c>
    </row>
    <row r="15" spans="1:14" x14ac:dyDescent="0.2">
      <c r="A15" s="10" t="s">
        <v>10</v>
      </c>
      <c r="B15" s="8"/>
      <c r="C15" s="8"/>
      <c r="D15" s="8">
        <v>15</v>
      </c>
      <c r="E15" s="8"/>
      <c r="F15" s="8">
        <v>24.3</v>
      </c>
      <c r="G15" s="8"/>
      <c r="H15" s="8"/>
      <c r="I15" s="8"/>
      <c r="J15" s="8"/>
      <c r="K15" s="8"/>
      <c r="L15" s="8"/>
      <c r="M15" s="8"/>
      <c r="N15" s="7">
        <f t="shared" si="1"/>
        <v>39.299999999999997</v>
      </c>
    </row>
    <row r="16" spans="1:14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5"/>
    </row>
    <row r="17" spans="1:14" x14ac:dyDescent="0.2">
      <c r="A17" s="4" t="s">
        <v>17</v>
      </c>
      <c r="B17" s="9">
        <f>SUM(B18:B22)</f>
        <v>236.25</v>
      </c>
      <c r="C17" s="9">
        <f t="shared" ref="C17:M17" si="3">SUM(C18:C22)</f>
        <v>493.25</v>
      </c>
      <c r="D17" s="9">
        <f t="shared" si="3"/>
        <v>255.64999999999998</v>
      </c>
      <c r="E17" s="9">
        <f t="shared" si="3"/>
        <v>615.25</v>
      </c>
      <c r="F17" s="9">
        <f t="shared" si="3"/>
        <v>203.25</v>
      </c>
      <c r="G17" s="9">
        <f t="shared" si="3"/>
        <v>257.64999999999998</v>
      </c>
      <c r="H17" s="9">
        <f t="shared" si="3"/>
        <v>0</v>
      </c>
      <c r="I17" s="9">
        <f t="shared" si="3"/>
        <v>0</v>
      </c>
      <c r="J17" s="9">
        <f t="shared" si="3"/>
        <v>0</v>
      </c>
      <c r="K17" s="9">
        <f t="shared" si="3"/>
        <v>0</v>
      </c>
      <c r="L17" s="9">
        <f t="shared" si="3"/>
        <v>0</v>
      </c>
      <c r="M17" s="9">
        <f t="shared" si="3"/>
        <v>0</v>
      </c>
      <c r="N17" s="9">
        <f t="shared" si="1"/>
        <v>2061.3000000000002</v>
      </c>
    </row>
    <row r="18" spans="1:14" x14ac:dyDescent="0.2">
      <c r="A18" s="10" t="s">
        <v>18</v>
      </c>
      <c r="B18" s="8">
        <v>178.25</v>
      </c>
      <c r="C18" s="8">
        <v>178.25</v>
      </c>
      <c r="D18" s="8">
        <v>178.25</v>
      </c>
      <c r="E18" s="8">
        <v>178.25</v>
      </c>
      <c r="F18" s="8">
        <v>178.25</v>
      </c>
      <c r="G18" s="8">
        <v>178.25</v>
      </c>
      <c r="H18" s="8"/>
      <c r="I18" s="8"/>
      <c r="J18" s="8"/>
      <c r="K18" s="8"/>
      <c r="L18" s="8"/>
      <c r="M18" s="8"/>
      <c r="N18" s="7">
        <f t="shared" si="1"/>
        <v>1069.5</v>
      </c>
    </row>
    <row r="19" spans="1:14" x14ac:dyDescent="0.2">
      <c r="A19" s="10" t="s">
        <v>19</v>
      </c>
      <c r="B19" s="8"/>
      <c r="C19" s="8">
        <v>250</v>
      </c>
      <c r="D19" s="8"/>
      <c r="E19" s="8">
        <v>425</v>
      </c>
      <c r="F19" s="8"/>
      <c r="G19" s="8"/>
      <c r="H19" s="8"/>
      <c r="I19" s="8"/>
      <c r="J19" s="8"/>
      <c r="K19" s="8"/>
      <c r="L19" s="8"/>
      <c r="M19" s="8"/>
      <c r="N19" s="7">
        <f t="shared" si="1"/>
        <v>675</v>
      </c>
    </row>
    <row r="20" spans="1:14" x14ac:dyDescent="0.2">
      <c r="A20" s="10" t="s">
        <v>20</v>
      </c>
      <c r="B20" s="8">
        <v>35</v>
      </c>
      <c r="C20" s="8"/>
      <c r="D20" s="8">
        <v>21.5</v>
      </c>
      <c r="E20" s="8"/>
      <c r="F20" s="8"/>
      <c r="G20" s="8">
        <v>38</v>
      </c>
      <c r="H20" s="8"/>
      <c r="I20" s="8"/>
      <c r="J20" s="8"/>
      <c r="K20" s="8"/>
      <c r="L20" s="8"/>
      <c r="M20" s="8"/>
      <c r="N20" s="7">
        <f t="shared" si="1"/>
        <v>94.5</v>
      </c>
    </row>
    <row r="21" spans="1:14" x14ac:dyDescent="0.2">
      <c r="A21" s="10" t="s">
        <v>21</v>
      </c>
      <c r="B21" s="8">
        <v>23</v>
      </c>
      <c r="C21" s="8">
        <v>32.5</v>
      </c>
      <c r="D21" s="8">
        <v>43.2</v>
      </c>
      <c r="E21" s="8">
        <v>12</v>
      </c>
      <c r="F21" s="8"/>
      <c r="G21" s="8">
        <v>41.4</v>
      </c>
      <c r="H21" s="8"/>
      <c r="I21" s="8"/>
      <c r="J21" s="8"/>
      <c r="K21" s="8"/>
      <c r="L21" s="8"/>
      <c r="M21" s="8"/>
      <c r="N21" s="7">
        <f t="shared" si="1"/>
        <v>152.1</v>
      </c>
    </row>
    <row r="22" spans="1:14" x14ac:dyDescent="0.2">
      <c r="A22" s="10" t="s">
        <v>10</v>
      </c>
      <c r="B22" s="8"/>
      <c r="C22" s="8">
        <v>32.5</v>
      </c>
      <c r="D22" s="8">
        <v>12.7</v>
      </c>
      <c r="E22" s="8"/>
      <c r="F22" s="8">
        <v>25</v>
      </c>
      <c r="G22" s="8"/>
      <c r="H22" s="8"/>
      <c r="I22" s="8"/>
      <c r="J22" s="8"/>
      <c r="K22" s="8"/>
      <c r="L22" s="8"/>
      <c r="M22" s="8"/>
      <c r="N22" s="7">
        <f t="shared" si="1"/>
        <v>70.2</v>
      </c>
    </row>
    <row r="23" spans="1:1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</row>
    <row r="24" spans="1:14" x14ac:dyDescent="0.2">
      <c r="A24" s="4" t="s">
        <v>11</v>
      </c>
      <c r="B24" s="9">
        <f>SUM(B25:B30)</f>
        <v>239.70000000000002</v>
      </c>
      <c r="C24" s="9">
        <f t="shared" ref="C24:M24" si="4">SUM(C25:C30)</f>
        <v>273.24</v>
      </c>
      <c r="D24" s="9">
        <f t="shared" si="4"/>
        <v>217.35</v>
      </c>
      <c r="E24" s="9">
        <f t="shared" si="4"/>
        <v>317.71000000000004</v>
      </c>
      <c r="F24" s="9">
        <f t="shared" si="4"/>
        <v>253.63</v>
      </c>
      <c r="G24" s="9">
        <f t="shared" si="4"/>
        <v>240.46</v>
      </c>
      <c r="H24" s="9">
        <f t="shared" si="4"/>
        <v>0</v>
      </c>
      <c r="I24" s="9">
        <f t="shared" si="4"/>
        <v>0</v>
      </c>
      <c r="J24" s="9">
        <f t="shared" si="4"/>
        <v>0</v>
      </c>
      <c r="K24" s="9">
        <f t="shared" si="4"/>
        <v>0</v>
      </c>
      <c r="L24" s="9">
        <f t="shared" si="4"/>
        <v>0</v>
      </c>
      <c r="M24" s="9">
        <f t="shared" si="4"/>
        <v>0</v>
      </c>
      <c r="N24" s="9">
        <f t="shared" si="1"/>
        <v>1542.0900000000001</v>
      </c>
    </row>
    <row r="25" spans="1:14" x14ac:dyDescent="0.2">
      <c r="A25" s="10" t="s">
        <v>12</v>
      </c>
      <c r="B25" s="8">
        <v>29.9</v>
      </c>
      <c r="C25" s="8">
        <v>29.9</v>
      </c>
      <c r="D25" s="8">
        <v>29.9</v>
      </c>
      <c r="E25" s="8">
        <v>29.9</v>
      </c>
      <c r="F25" s="8">
        <v>29.9</v>
      </c>
      <c r="G25" s="8">
        <v>29.9</v>
      </c>
      <c r="H25" s="8"/>
      <c r="I25" s="8"/>
      <c r="J25" s="8"/>
      <c r="K25" s="8"/>
      <c r="L25" s="8"/>
      <c r="M25" s="8"/>
      <c r="N25" s="7">
        <f t="shared" si="1"/>
        <v>179.4</v>
      </c>
    </row>
    <row r="26" spans="1:14" x14ac:dyDescent="0.2">
      <c r="A26" s="10" t="s">
        <v>13</v>
      </c>
      <c r="B26" s="8">
        <v>102</v>
      </c>
      <c r="C26" s="8">
        <v>97.34</v>
      </c>
      <c r="D26" s="8">
        <v>82.8</v>
      </c>
      <c r="E26" s="8">
        <v>103.75</v>
      </c>
      <c r="F26" s="8">
        <v>105.23</v>
      </c>
      <c r="G26" s="8">
        <v>101.12</v>
      </c>
      <c r="H26" s="8"/>
      <c r="I26" s="8"/>
      <c r="J26" s="8"/>
      <c r="K26" s="8"/>
      <c r="L26" s="8"/>
      <c r="M26" s="8"/>
      <c r="N26" s="7">
        <f t="shared" si="1"/>
        <v>592.24</v>
      </c>
    </row>
    <row r="27" spans="1:14" x14ac:dyDescent="0.2">
      <c r="A27" s="10" t="s">
        <v>14</v>
      </c>
      <c r="B27" s="8">
        <v>12.6</v>
      </c>
      <c r="C27" s="8">
        <v>18.2</v>
      </c>
      <c r="D27" s="8">
        <v>14.35</v>
      </c>
      <c r="E27" s="8">
        <v>13.79</v>
      </c>
      <c r="F27" s="8">
        <v>21.4</v>
      </c>
      <c r="G27" s="8">
        <v>18.2</v>
      </c>
      <c r="H27" s="8"/>
      <c r="I27" s="8"/>
      <c r="J27" s="8"/>
      <c r="K27" s="8"/>
      <c r="L27" s="8"/>
      <c r="M27" s="8"/>
      <c r="N27" s="7">
        <f t="shared" si="1"/>
        <v>98.54</v>
      </c>
    </row>
    <row r="28" spans="1:14" x14ac:dyDescent="0.2">
      <c r="A28" s="10" t="s">
        <v>15</v>
      </c>
      <c r="B28" s="8">
        <v>25.3</v>
      </c>
      <c r="C28" s="8">
        <v>22.9</v>
      </c>
      <c r="D28" s="8">
        <v>20.399999999999999</v>
      </c>
      <c r="E28" s="8">
        <v>22.12</v>
      </c>
      <c r="F28" s="8">
        <v>27.2</v>
      </c>
      <c r="G28" s="8">
        <v>21.34</v>
      </c>
      <c r="H28" s="8"/>
      <c r="I28" s="8"/>
      <c r="J28" s="8"/>
      <c r="K28" s="8"/>
      <c r="L28" s="8"/>
      <c r="M28" s="8"/>
      <c r="N28" s="7">
        <f t="shared" si="1"/>
        <v>139.26</v>
      </c>
    </row>
    <row r="29" spans="1:14" x14ac:dyDescent="0.2">
      <c r="A29" s="10" t="s">
        <v>16</v>
      </c>
      <c r="B29" s="8">
        <v>69.900000000000006</v>
      </c>
      <c r="C29" s="8">
        <v>69.900000000000006</v>
      </c>
      <c r="D29" s="8">
        <v>69.900000000000006</v>
      </c>
      <c r="E29" s="8">
        <v>69.900000000000006</v>
      </c>
      <c r="F29" s="8">
        <v>69.900000000000006</v>
      </c>
      <c r="G29" s="8">
        <v>69.900000000000006</v>
      </c>
      <c r="H29" s="8"/>
      <c r="I29" s="8"/>
      <c r="J29" s="8"/>
      <c r="K29" s="8"/>
      <c r="L29" s="8"/>
      <c r="M29" s="8"/>
      <c r="N29" s="7">
        <f t="shared" si="1"/>
        <v>419.4</v>
      </c>
    </row>
    <row r="30" spans="1:14" x14ac:dyDescent="0.2">
      <c r="A30" s="10" t="s">
        <v>10</v>
      </c>
      <c r="B30" s="8"/>
      <c r="C30" s="8">
        <v>35</v>
      </c>
      <c r="D30" s="8"/>
      <c r="E30" s="8">
        <v>78.25</v>
      </c>
      <c r="F30" s="8"/>
      <c r="G30" s="8"/>
      <c r="H30" s="8"/>
      <c r="I30" s="8"/>
      <c r="J30" s="8"/>
      <c r="K30" s="8"/>
      <c r="L30" s="8"/>
      <c r="M30" s="8"/>
      <c r="N30" s="7">
        <f t="shared" si="1"/>
        <v>113.25</v>
      </c>
    </row>
    <row r="31" spans="1:1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5"/>
    </row>
    <row r="32" spans="1:14" x14ac:dyDescent="0.2">
      <c r="A32" s="4" t="s">
        <v>0</v>
      </c>
      <c r="B32" s="9">
        <f>SUM(B33:B37)</f>
        <v>1022</v>
      </c>
      <c r="C32" s="9">
        <f t="shared" ref="C32:M32" si="5">SUM(C33:C37)</f>
        <v>25</v>
      </c>
      <c r="D32" s="9">
        <f t="shared" si="5"/>
        <v>110</v>
      </c>
      <c r="E32" s="9">
        <f t="shared" si="5"/>
        <v>915</v>
      </c>
      <c r="F32" s="9">
        <f t="shared" si="5"/>
        <v>25</v>
      </c>
      <c r="G32" s="9">
        <f t="shared" si="5"/>
        <v>1500</v>
      </c>
      <c r="H32" s="9">
        <f t="shared" si="5"/>
        <v>0</v>
      </c>
      <c r="I32" s="9">
        <f t="shared" si="5"/>
        <v>0</v>
      </c>
      <c r="J32" s="9">
        <f t="shared" si="5"/>
        <v>0</v>
      </c>
      <c r="K32" s="9">
        <f t="shared" si="5"/>
        <v>0</v>
      </c>
      <c r="L32" s="9">
        <f t="shared" si="5"/>
        <v>0</v>
      </c>
      <c r="M32" s="9">
        <f t="shared" si="5"/>
        <v>0</v>
      </c>
      <c r="N32" s="9">
        <f t="shared" si="1"/>
        <v>3597</v>
      </c>
    </row>
    <row r="33" spans="1:14" x14ac:dyDescent="0.2">
      <c r="A33" s="10" t="s">
        <v>22</v>
      </c>
      <c r="B33" s="8">
        <v>50</v>
      </c>
      <c r="C33" s="8">
        <v>25</v>
      </c>
      <c r="D33" s="8">
        <v>50</v>
      </c>
      <c r="E33" s="8"/>
      <c r="F33" s="8">
        <v>25</v>
      </c>
      <c r="G33" s="8"/>
      <c r="H33" s="8"/>
      <c r="I33" s="8"/>
      <c r="J33" s="8"/>
      <c r="K33" s="8"/>
      <c r="L33" s="8"/>
      <c r="M33" s="8"/>
      <c r="N33" s="7">
        <f t="shared" si="1"/>
        <v>150</v>
      </c>
    </row>
    <row r="34" spans="1:14" x14ac:dyDescent="0.2">
      <c r="A34" s="10" t="s">
        <v>23</v>
      </c>
      <c r="B34" s="8">
        <v>780</v>
      </c>
      <c r="C34" s="8"/>
      <c r="D34" s="8"/>
      <c r="E34" s="8">
        <v>790</v>
      </c>
      <c r="F34" s="8"/>
      <c r="G34" s="8"/>
      <c r="H34" s="8"/>
      <c r="I34" s="8"/>
      <c r="J34" s="8"/>
      <c r="K34" s="8"/>
      <c r="L34" s="8"/>
      <c r="M34" s="8"/>
      <c r="N34" s="7">
        <f t="shared" si="1"/>
        <v>1570</v>
      </c>
    </row>
    <row r="35" spans="1:14" x14ac:dyDescent="0.2">
      <c r="A35" s="10" t="s">
        <v>24</v>
      </c>
      <c r="B35" s="8">
        <v>120</v>
      </c>
      <c r="C35" s="8"/>
      <c r="D35" s="8">
        <v>60</v>
      </c>
      <c r="E35" s="8"/>
      <c r="F35" s="8"/>
      <c r="G35" s="8"/>
      <c r="H35" s="8"/>
      <c r="I35" s="8"/>
      <c r="J35" s="8"/>
      <c r="K35" s="8"/>
      <c r="L35" s="8"/>
      <c r="M35" s="8"/>
      <c r="N35" s="7">
        <f t="shared" si="1"/>
        <v>180</v>
      </c>
    </row>
    <row r="36" spans="1:14" x14ac:dyDescent="0.2">
      <c r="A36" s="10" t="s">
        <v>42</v>
      </c>
      <c r="B36" s="8"/>
      <c r="C36" s="8"/>
      <c r="D36" s="8"/>
      <c r="E36" s="8"/>
      <c r="F36" s="8"/>
      <c r="G36" s="8">
        <v>1500</v>
      </c>
      <c r="H36" s="8"/>
      <c r="I36" s="8"/>
      <c r="J36" s="8"/>
      <c r="K36" s="8"/>
      <c r="L36" s="8"/>
      <c r="M36" s="8"/>
      <c r="N36" s="7">
        <f t="shared" si="1"/>
        <v>1500</v>
      </c>
    </row>
    <row r="37" spans="1:14" x14ac:dyDescent="0.2">
      <c r="A37" s="10" t="s">
        <v>10</v>
      </c>
      <c r="B37" s="8">
        <v>72</v>
      </c>
      <c r="C37" s="8"/>
      <c r="D37" s="8"/>
      <c r="E37" s="8">
        <v>125</v>
      </c>
      <c r="F37" s="8"/>
      <c r="G37" s="8"/>
      <c r="H37" s="8"/>
      <c r="I37" s="8"/>
      <c r="J37" s="8"/>
      <c r="K37" s="8"/>
      <c r="L37" s="8"/>
      <c r="M37" s="8"/>
      <c r="N37" s="7">
        <f t="shared" si="1"/>
        <v>197</v>
      </c>
    </row>
    <row r="38" spans="1:14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</row>
    <row r="39" spans="1:14" x14ac:dyDescent="0.2">
      <c r="A39" s="4" t="s">
        <v>25</v>
      </c>
      <c r="B39" s="9">
        <f>B6+B12+B17+B24+B32</f>
        <v>4212.95</v>
      </c>
      <c r="C39" s="9">
        <f t="shared" ref="C39:M39" si="6">C6+C12+C17+C24+C32</f>
        <v>4098.99</v>
      </c>
      <c r="D39" s="9">
        <f t="shared" si="6"/>
        <v>3468</v>
      </c>
      <c r="E39" s="9">
        <f t="shared" si="6"/>
        <v>5493.96</v>
      </c>
      <c r="F39" s="9">
        <f t="shared" si="6"/>
        <v>3425.1800000000003</v>
      </c>
      <c r="G39" s="9">
        <f t="shared" si="6"/>
        <v>5086.1100000000006</v>
      </c>
      <c r="H39" s="9">
        <f t="shared" si="6"/>
        <v>0</v>
      </c>
      <c r="I39" s="9">
        <f t="shared" si="6"/>
        <v>0</v>
      </c>
      <c r="J39" s="9">
        <f t="shared" si="6"/>
        <v>0</v>
      </c>
      <c r="K39" s="9">
        <f t="shared" si="6"/>
        <v>0</v>
      </c>
      <c r="L39" s="9">
        <f t="shared" si="6"/>
        <v>0</v>
      </c>
      <c r="M39" s="9">
        <f t="shared" si="6"/>
        <v>0</v>
      </c>
      <c r="N39" s="9">
        <f t="shared" si="1"/>
        <v>25785.19</v>
      </c>
    </row>
    <row r="40" spans="1:14" x14ac:dyDescent="0.2">
      <c r="A40" s="4" t="s">
        <v>26</v>
      </c>
      <c r="B40" s="9">
        <f>B4-B39</f>
        <v>3037.05</v>
      </c>
      <c r="C40" s="9">
        <f t="shared" ref="C40:M40" si="7">C4-C39</f>
        <v>1101.0100000000002</v>
      </c>
      <c r="D40" s="9">
        <f t="shared" si="7"/>
        <v>1732</v>
      </c>
      <c r="E40" s="9">
        <f t="shared" si="7"/>
        <v>-293.96000000000004</v>
      </c>
      <c r="F40" s="9">
        <f t="shared" si="7"/>
        <v>1774.8199999999997</v>
      </c>
      <c r="G40" s="9">
        <f t="shared" si="7"/>
        <v>113.88999999999942</v>
      </c>
      <c r="H40" s="9">
        <f t="shared" si="7"/>
        <v>0</v>
      </c>
      <c r="I40" s="9">
        <f t="shared" si="7"/>
        <v>0</v>
      </c>
      <c r="J40" s="9">
        <f t="shared" si="7"/>
        <v>0</v>
      </c>
      <c r="K40" s="9">
        <f t="shared" si="7"/>
        <v>0</v>
      </c>
      <c r="L40" s="9">
        <f t="shared" si="7"/>
        <v>0</v>
      </c>
      <c r="M40" s="9">
        <f t="shared" si="7"/>
        <v>0</v>
      </c>
      <c r="N40" s="9">
        <f t="shared" si="1"/>
        <v>7464.8099999999995</v>
      </c>
    </row>
    <row r="41" spans="1:14" x14ac:dyDescent="0.2">
      <c r="A41" s="4" t="s">
        <v>27</v>
      </c>
      <c r="B41" s="9">
        <f>B40</f>
        <v>3037.05</v>
      </c>
      <c r="C41" s="9">
        <f>B41+C40</f>
        <v>4138.0600000000004</v>
      </c>
      <c r="D41" s="9">
        <f t="shared" ref="D41:M41" si="8">C41+D40</f>
        <v>5870.06</v>
      </c>
      <c r="E41" s="9">
        <f t="shared" si="8"/>
        <v>5576.1</v>
      </c>
      <c r="F41" s="9">
        <f t="shared" si="8"/>
        <v>7350.92</v>
      </c>
      <c r="G41" s="9">
        <f t="shared" si="8"/>
        <v>7464.8099999999995</v>
      </c>
      <c r="H41" s="9">
        <f t="shared" si="8"/>
        <v>7464.8099999999995</v>
      </c>
      <c r="I41" s="9">
        <f t="shared" si="8"/>
        <v>7464.8099999999995</v>
      </c>
      <c r="J41" s="9">
        <f t="shared" si="8"/>
        <v>7464.8099999999995</v>
      </c>
      <c r="K41" s="9">
        <f t="shared" si="8"/>
        <v>7464.8099999999995</v>
      </c>
      <c r="L41" s="9">
        <f t="shared" si="8"/>
        <v>7464.8099999999995</v>
      </c>
      <c r="M41" s="9">
        <f t="shared" si="8"/>
        <v>7464.8099999999995</v>
      </c>
      <c r="N41" s="9"/>
    </row>
  </sheetData>
  <pageMargins left="0.511811024" right="0.511811024" top="0.78740157499999996" bottom="0.78740157499999996" header="0.31496062000000002" footer="0.31496062000000002"/>
  <pageSetup paperSize="9" scale="84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cp:lastPrinted>2015-12-22T22:44:48Z</cp:lastPrinted>
  <dcterms:created xsi:type="dcterms:W3CDTF">2015-12-22T16:32:27Z</dcterms:created>
  <dcterms:modified xsi:type="dcterms:W3CDTF">2016-03-29T17:44:09Z</dcterms:modified>
</cp:coreProperties>
</file>