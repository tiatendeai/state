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uditoriaGlobal\Desktop\"/>
    </mc:Choice>
  </mc:AlternateContent>
  <bookViews>
    <workbookView xWindow="0" yWindow="0" windowWidth="10215" windowHeight="7650" tabRatio="813" firstSheet="8" activeTab="12"/>
  </bookViews>
  <sheets>
    <sheet name="Morar Sozinha" sheetId="10" r:id="rId1"/>
    <sheet name="Plan2" sheetId="11" r:id="rId2"/>
    <sheet name="OUTUBRO" sheetId="12" r:id="rId3"/>
    <sheet name="NOVEMBRO" sheetId="13" r:id="rId4"/>
    <sheet name="DEZEMBRO" sheetId="15" r:id="rId5"/>
    <sheet name="A RECEBER" sheetId="23" r:id="rId6"/>
    <sheet name="CARTÃO DE CRÉDITO - NUBANK" sheetId="22" r:id="rId7"/>
    <sheet name="CARTÃO DE CRÉDITO - ITAÚ" sheetId="21" r:id="rId8"/>
    <sheet name="CARTÃO DE CRÉDITO - OUTROS" sheetId="2" r:id="rId9"/>
    <sheet name="PLANO DENTAL-SAÚDE" sheetId="20" r:id="rId10"/>
    <sheet name="FINANCIAMENTOS" sheetId="17" r:id="rId11"/>
    <sheet name="EMPRÉSTIMOS" sheetId="16" r:id="rId12"/>
    <sheet name="Receita x Despesa" sheetId="18" r:id="rId13"/>
    <sheet name="DENTISTA" sheetId="8" r:id="rId14"/>
    <sheet name="Receitaaa x Despesa" sheetId="3" r:id="rId15"/>
    <sheet name="ADIANTAMENTOS" sheetId="14" r:id="rId16"/>
    <sheet name="VT E VR" sheetId="5" r:id="rId17"/>
    <sheet name="PLANO DE SAÚDE" sheetId="6" r:id="rId18"/>
  </sheets>
  <definedNames>
    <definedName name="_xlnm._FilterDatabase" localSheetId="7" hidden="1">'CARTÃO DE CRÉDITO - ITAÚ'!$A$2:$S$62</definedName>
    <definedName name="_xlnm._FilterDatabase" localSheetId="6" hidden="1">'CARTÃO DE CRÉDITO - NUBANK'!$A$2:$S$35</definedName>
    <definedName name="_xlnm._FilterDatabase" localSheetId="8" hidden="1">'CARTÃO DE CRÉDITO - OUTROS'!$A$2:$S$6</definedName>
    <definedName name="_xlnm._FilterDatabase" localSheetId="4" hidden="1">DEZEMBRO!$A$3:$D$29</definedName>
    <definedName name="_xlnm._FilterDatabase" localSheetId="3" hidden="1">NOVEMBRO!$A$3:$D$31</definedName>
    <definedName name="_xlnm._FilterDatabase" localSheetId="2" hidden="1">OUTUBRO!$A$3:$E$82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" i="18" l="1"/>
  <c r="M8" i="18"/>
  <c r="K8" i="18"/>
  <c r="E19" i="23"/>
  <c r="F19" i="23"/>
  <c r="G19" i="23"/>
  <c r="H19" i="23"/>
  <c r="I19" i="23"/>
  <c r="J19" i="23"/>
  <c r="K19" i="23"/>
  <c r="L19" i="23"/>
  <c r="M19" i="23"/>
  <c r="N19" i="23"/>
  <c r="O19" i="23"/>
  <c r="D19" i="23"/>
  <c r="K6" i="18" l="1"/>
  <c r="L69" i="18"/>
  <c r="M69" i="18"/>
  <c r="K69" i="18"/>
  <c r="N69" i="18" s="1"/>
  <c r="K68" i="18"/>
  <c r="N68" i="18" s="1"/>
  <c r="N66" i="18"/>
  <c r="N70" i="18"/>
  <c r="N71" i="18"/>
  <c r="N72" i="18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P4" i="22"/>
  <c r="P1" i="22" s="1"/>
  <c r="E4" i="22"/>
  <c r="E3" i="22"/>
  <c r="S1" i="22"/>
  <c r="M68" i="18" s="1"/>
  <c r="R1" i="22"/>
  <c r="L68" i="18" s="1"/>
  <c r="Q1" i="22"/>
  <c r="O1" i="22"/>
  <c r="N1" i="22"/>
  <c r="M1" i="22"/>
  <c r="L1" i="22"/>
  <c r="K1" i="22"/>
  <c r="J1" i="22"/>
  <c r="I1" i="22"/>
  <c r="H1" i="22"/>
  <c r="G1" i="22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G37" i="21"/>
  <c r="E37" i="21" s="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S1" i="21"/>
  <c r="M67" i="18" s="1"/>
  <c r="R1" i="21"/>
  <c r="L67" i="18" s="1"/>
  <c r="Q1" i="21"/>
  <c r="K67" i="18" s="1"/>
  <c r="P1" i="21"/>
  <c r="O1" i="21"/>
  <c r="N1" i="21"/>
  <c r="M1" i="21"/>
  <c r="L1" i="21"/>
  <c r="K1" i="21"/>
  <c r="J1" i="21"/>
  <c r="I1" i="21"/>
  <c r="H1" i="21"/>
  <c r="N67" i="18" l="1"/>
  <c r="G1" i="21"/>
  <c r="E1" i="21"/>
  <c r="E1" i="22"/>
  <c r="L37" i="18"/>
  <c r="M37" i="18"/>
  <c r="K37" i="18"/>
  <c r="C63" i="20"/>
  <c r="B63" i="20"/>
  <c r="A63" i="20"/>
  <c r="F14" i="20"/>
  <c r="F15" i="20"/>
  <c r="F16" i="20"/>
  <c r="F17" i="20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13" i="20"/>
  <c r="G5" i="20"/>
  <c r="B14" i="20"/>
  <c r="B15" i="20" s="1"/>
  <c r="B16" i="20" s="1"/>
  <c r="B17" i="20" s="1"/>
  <c r="B18" i="20" s="1"/>
  <c r="B19" i="20" s="1"/>
  <c r="B20" i="20" s="1"/>
  <c r="B21" i="20" s="1"/>
  <c r="B22" i="20" s="1"/>
  <c r="B13" i="20"/>
  <c r="C5" i="20"/>
  <c r="M65" i="18"/>
  <c r="L65" i="18"/>
  <c r="L64" i="18" l="1"/>
  <c r="L93" i="18" s="1"/>
  <c r="K65" i="18"/>
  <c r="C74" i="18"/>
  <c r="D74" i="18"/>
  <c r="E74" i="18"/>
  <c r="F74" i="18"/>
  <c r="G74" i="18"/>
  <c r="H74" i="18"/>
  <c r="B74" i="18"/>
  <c r="K64" i="18"/>
  <c r="Z102" i="18"/>
  <c r="Y102" i="18"/>
  <c r="X102" i="18"/>
  <c r="W102" i="18"/>
  <c r="V102" i="18"/>
  <c r="U102" i="18"/>
  <c r="T102" i="18"/>
  <c r="S102" i="18"/>
  <c r="R102" i="18"/>
  <c r="Q102" i="18"/>
  <c r="P102" i="18"/>
  <c r="O102" i="18"/>
  <c r="M102" i="18"/>
  <c r="L102" i="18"/>
  <c r="K102" i="18"/>
  <c r="J102" i="18"/>
  <c r="I100" i="18"/>
  <c r="I102" i="18" s="1"/>
  <c r="I105" i="18" s="1"/>
  <c r="W88" i="18"/>
  <c r="O88" i="18"/>
  <c r="G88" i="18"/>
  <c r="R85" i="18"/>
  <c r="Q82" i="18"/>
  <c r="AA73" i="18"/>
  <c r="N73" i="18"/>
  <c r="AA72" i="18"/>
  <c r="AA71" i="18"/>
  <c r="Z70" i="18"/>
  <c r="Y70" i="18"/>
  <c r="X70" i="18"/>
  <c r="W70" i="18"/>
  <c r="V70" i="18"/>
  <c r="U70" i="18"/>
  <c r="T70" i="18"/>
  <c r="S70" i="18"/>
  <c r="R70" i="18"/>
  <c r="Q70" i="18"/>
  <c r="P70" i="18"/>
  <c r="O70" i="18"/>
  <c r="AA70" i="18" s="1"/>
  <c r="B64" i="18"/>
  <c r="B93" i="18" s="1"/>
  <c r="Z65" i="18"/>
  <c r="Z64" i="18" s="1"/>
  <c r="Z93" i="18" s="1"/>
  <c r="Y65" i="18"/>
  <c r="X65" i="18"/>
  <c r="X64" i="18" s="1"/>
  <c r="X93" i="18" s="1"/>
  <c r="W65" i="18"/>
  <c r="W64" i="18" s="1"/>
  <c r="W93" i="18" s="1"/>
  <c r="V65" i="18"/>
  <c r="V64" i="18" s="1"/>
  <c r="V93" i="18" s="1"/>
  <c r="U65" i="18"/>
  <c r="U64" i="18" s="1"/>
  <c r="U93" i="18" s="1"/>
  <c r="T65" i="18"/>
  <c r="T64" i="18" s="1"/>
  <c r="T93" i="18" s="1"/>
  <c r="S65" i="18"/>
  <c r="S64" i="18" s="1"/>
  <c r="S93" i="18" s="1"/>
  <c r="R65" i="18"/>
  <c r="Q65" i="18"/>
  <c r="Q64" i="18" s="1"/>
  <c r="Q93" i="18" s="1"/>
  <c r="P65" i="18"/>
  <c r="P64" i="18" s="1"/>
  <c r="P93" i="18" s="1"/>
  <c r="O65" i="18"/>
  <c r="O64" i="18" s="1"/>
  <c r="O93" i="18" s="1"/>
  <c r="AA93" i="18" s="1"/>
  <c r="M64" i="18"/>
  <c r="M93" i="18" s="1"/>
  <c r="J64" i="18"/>
  <c r="J93" i="18" s="1"/>
  <c r="I64" i="18"/>
  <c r="I93" i="18" s="1"/>
  <c r="H64" i="18"/>
  <c r="H93" i="18" s="1"/>
  <c r="G64" i="18"/>
  <c r="G93" i="18" s="1"/>
  <c r="F64" i="18"/>
  <c r="F93" i="18" s="1"/>
  <c r="E64" i="18"/>
  <c r="E93" i="18" s="1"/>
  <c r="Y64" i="18"/>
  <c r="Y93" i="18" s="1"/>
  <c r="R64" i="18"/>
  <c r="R93" i="18" s="1"/>
  <c r="D64" i="18"/>
  <c r="D93" i="18" s="1"/>
  <c r="C64" i="18"/>
  <c r="C93" i="18" s="1"/>
  <c r="AA63" i="18"/>
  <c r="N63" i="18"/>
  <c r="AA62" i="18"/>
  <c r="N62" i="18"/>
  <c r="AA61" i="18"/>
  <c r="N61" i="18"/>
  <c r="AA60" i="18"/>
  <c r="N60" i="18"/>
  <c r="AA59" i="18"/>
  <c r="N59" i="18"/>
  <c r="Z58" i="18"/>
  <c r="Z92" i="18" s="1"/>
  <c r="Y58" i="18"/>
  <c r="Y92" i="18" s="1"/>
  <c r="X58" i="18"/>
  <c r="X92" i="18" s="1"/>
  <c r="W58" i="18"/>
  <c r="W92" i="18" s="1"/>
  <c r="V58" i="18"/>
  <c r="V92" i="18" s="1"/>
  <c r="U58" i="18"/>
  <c r="U92" i="18" s="1"/>
  <c r="T58" i="18"/>
  <c r="T92" i="18" s="1"/>
  <c r="S58" i="18"/>
  <c r="S92" i="18" s="1"/>
  <c r="R58" i="18"/>
  <c r="R92" i="18" s="1"/>
  <c r="Q58" i="18"/>
  <c r="Q92" i="18" s="1"/>
  <c r="P58" i="18"/>
  <c r="P92" i="18" s="1"/>
  <c r="O58" i="18"/>
  <c r="O92" i="18" s="1"/>
  <c r="M58" i="18"/>
  <c r="M92" i="18" s="1"/>
  <c r="L58" i="18"/>
  <c r="L92" i="18" s="1"/>
  <c r="K58" i="18"/>
  <c r="K92" i="18" s="1"/>
  <c r="J58" i="18"/>
  <c r="J92" i="18" s="1"/>
  <c r="I58" i="18"/>
  <c r="I92" i="18" s="1"/>
  <c r="H58" i="18"/>
  <c r="H92" i="18" s="1"/>
  <c r="G58" i="18"/>
  <c r="G92" i="18" s="1"/>
  <c r="F58" i="18"/>
  <c r="F92" i="18" s="1"/>
  <c r="E58" i="18"/>
  <c r="E92" i="18" s="1"/>
  <c r="D58" i="18"/>
  <c r="D92" i="18" s="1"/>
  <c r="C58" i="18"/>
  <c r="C92" i="18" s="1"/>
  <c r="B58" i="18"/>
  <c r="B92" i="18" s="1"/>
  <c r="AA57" i="18"/>
  <c r="N57" i="18"/>
  <c r="AA56" i="18"/>
  <c r="N56" i="18"/>
  <c r="AA55" i="18"/>
  <c r="N55" i="18"/>
  <c r="N53" i="18" s="1"/>
  <c r="AA54" i="18"/>
  <c r="N54" i="18"/>
  <c r="Z53" i="18"/>
  <c r="Z91" i="18" s="1"/>
  <c r="Y53" i="18"/>
  <c r="Y91" i="18" s="1"/>
  <c r="X53" i="18"/>
  <c r="X91" i="18" s="1"/>
  <c r="W53" i="18"/>
  <c r="W91" i="18" s="1"/>
  <c r="V53" i="18"/>
  <c r="V91" i="18" s="1"/>
  <c r="U53" i="18"/>
  <c r="U91" i="18" s="1"/>
  <c r="T53" i="18"/>
  <c r="T91" i="18" s="1"/>
  <c r="S53" i="18"/>
  <c r="S91" i="18" s="1"/>
  <c r="R53" i="18"/>
  <c r="R91" i="18" s="1"/>
  <c r="Q53" i="18"/>
  <c r="Q91" i="18" s="1"/>
  <c r="P53" i="18"/>
  <c r="P91" i="18" s="1"/>
  <c r="O53" i="18"/>
  <c r="O91" i="18" s="1"/>
  <c r="M53" i="18"/>
  <c r="M91" i="18" s="1"/>
  <c r="L53" i="18"/>
  <c r="L91" i="18" s="1"/>
  <c r="K53" i="18"/>
  <c r="K91" i="18" s="1"/>
  <c r="J53" i="18"/>
  <c r="J91" i="18" s="1"/>
  <c r="H53" i="18"/>
  <c r="H91" i="18" s="1"/>
  <c r="G53" i="18"/>
  <c r="G91" i="18" s="1"/>
  <c r="F53" i="18"/>
  <c r="F91" i="18" s="1"/>
  <c r="E53" i="18"/>
  <c r="E91" i="18" s="1"/>
  <c r="D53" i="18"/>
  <c r="D91" i="18" s="1"/>
  <c r="C53" i="18"/>
  <c r="C91" i="18" s="1"/>
  <c r="B53" i="18"/>
  <c r="B91" i="18" s="1"/>
  <c r="AA52" i="18"/>
  <c r="N52" i="18"/>
  <c r="AA51" i="18"/>
  <c r="N51" i="18"/>
  <c r="AA50" i="18"/>
  <c r="AA49" i="18"/>
  <c r="N49" i="18"/>
  <c r="AA48" i="18"/>
  <c r="N48" i="18"/>
  <c r="AA47" i="18"/>
  <c r="N47" i="18"/>
  <c r="AA46" i="18"/>
  <c r="N46" i="18"/>
  <c r="AA45" i="18"/>
  <c r="N45" i="18"/>
  <c r="AA44" i="18"/>
  <c r="N44" i="18"/>
  <c r="Z43" i="18"/>
  <c r="Z90" i="18" s="1"/>
  <c r="Y43" i="18"/>
  <c r="Y90" i="18" s="1"/>
  <c r="X43" i="18"/>
  <c r="X90" i="18" s="1"/>
  <c r="W43" i="18"/>
  <c r="W90" i="18" s="1"/>
  <c r="V43" i="18"/>
  <c r="V90" i="18" s="1"/>
  <c r="U43" i="18"/>
  <c r="U90" i="18" s="1"/>
  <c r="T43" i="18"/>
  <c r="T90" i="18" s="1"/>
  <c r="S43" i="18"/>
  <c r="S90" i="18" s="1"/>
  <c r="R43" i="18"/>
  <c r="R90" i="18" s="1"/>
  <c r="Q43" i="18"/>
  <c r="Q90" i="18" s="1"/>
  <c r="P43" i="18"/>
  <c r="P90" i="18" s="1"/>
  <c r="O43" i="18"/>
  <c r="O90" i="18" s="1"/>
  <c r="M43" i="18"/>
  <c r="M90" i="18" s="1"/>
  <c r="L43" i="18"/>
  <c r="L90" i="18" s="1"/>
  <c r="K43" i="18"/>
  <c r="K90" i="18" s="1"/>
  <c r="J43" i="18"/>
  <c r="J90" i="18" s="1"/>
  <c r="H43" i="18"/>
  <c r="H90" i="18" s="1"/>
  <c r="G43" i="18"/>
  <c r="G90" i="18" s="1"/>
  <c r="F43" i="18"/>
  <c r="F90" i="18" s="1"/>
  <c r="E43" i="18"/>
  <c r="E90" i="18" s="1"/>
  <c r="D43" i="18"/>
  <c r="D90" i="18" s="1"/>
  <c r="C43" i="18"/>
  <c r="C90" i="18" s="1"/>
  <c r="B43" i="18"/>
  <c r="B90" i="18" s="1"/>
  <c r="AA42" i="18"/>
  <c r="N42" i="18"/>
  <c r="AA41" i="18"/>
  <c r="N41" i="18"/>
  <c r="AA40" i="18"/>
  <c r="N40" i="18"/>
  <c r="Z39" i="18"/>
  <c r="Y39" i="18"/>
  <c r="Y36" i="18" s="1"/>
  <c r="Y89" i="18" s="1"/>
  <c r="X39" i="18"/>
  <c r="X36" i="18" s="1"/>
  <c r="X89" i="18" s="1"/>
  <c r="W39" i="18"/>
  <c r="W36" i="18" s="1"/>
  <c r="W89" i="18" s="1"/>
  <c r="V39" i="18"/>
  <c r="V36" i="18" s="1"/>
  <c r="V89" i="18" s="1"/>
  <c r="U39" i="18"/>
  <c r="U36" i="18" s="1"/>
  <c r="U89" i="18" s="1"/>
  <c r="T39" i="18"/>
  <c r="T36" i="18" s="1"/>
  <c r="T89" i="18" s="1"/>
  <c r="S39" i="18"/>
  <c r="S36" i="18" s="1"/>
  <c r="S89" i="18" s="1"/>
  <c r="R39" i="18"/>
  <c r="Q39" i="18"/>
  <c r="Q36" i="18" s="1"/>
  <c r="Q89" i="18" s="1"/>
  <c r="P39" i="18"/>
  <c r="P36" i="18" s="1"/>
  <c r="P89" i="18" s="1"/>
  <c r="O39" i="18"/>
  <c r="O36" i="18" s="1"/>
  <c r="O89" i="18" s="1"/>
  <c r="M39" i="18"/>
  <c r="M36" i="18" s="1"/>
  <c r="M89" i="18" s="1"/>
  <c r="L36" i="18"/>
  <c r="L89" i="18" s="1"/>
  <c r="K36" i="18"/>
  <c r="K89" i="18" s="1"/>
  <c r="J36" i="18"/>
  <c r="J89" i="18" s="1"/>
  <c r="I36" i="18"/>
  <c r="I89" i="18" s="1"/>
  <c r="H36" i="18"/>
  <c r="H89" i="18" s="1"/>
  <c r="G36" i="18"/>
  <c r="G89" i="18" s="1"/>
  <c r="F36" i="18"/>
  <c r="F89" i="18" s="1"/>
  <c r="E36" i="18"/>
  <c r="E89" i="18" s="1"/>
  <c r="D36" i="18"/>
  <c r="D89" i="18" s="1"/>
  <c r="B39" i="18"/>
  <c r="AA38" i="18"/>
  <c r="N38" i="18"/>
  <c r="AA37" i="18"/>
  <c r="N37" i="18"/>
  <c r="Z36" i="18"/>
  <c r="Z89" i="18" s="1"/>
  <c r="R36" i="18"/>
  <c r="R89" i="18" s="1"/>
  <c r="C36" i="18"/>
  <c r="C89" i="18" s="1"/>
  <c r="B36" i="18"/>
  <c r="B89" i="18" s="1"/>
  <c r="Z88" i="18"/>
  <c r="Y88" i="18"/>
  <c r="X88" i="18"/>
  <c r="V88" i="18"/>
  <c r="U88" i="18"/>
  <c r="T88" i="18"/>
  <c r="S88" i="18"/>
  <c r="R88" i="18"/>
  <c r="Q88" i="18"/>
  <c r="P88" i="18"/>
  <c r="M88" i="18"/>
  <c r="L88" i="18"/>
  <c r="K88" i="18"/>
  <c r="J88" i="18"/>
  <c r="I88" i="18"/>
  <c r="H88" i="18"/>
  <c r="F88" i="18"/>
  <c r="E88" i="18"/>
  <c r="D88" i="18"/>
  <c r="C88" i="18"/>
  <c r="B88" i="18"/>
  <c r="AA35" i="18"/>
  <c r="N35" i="18"/>
  <c r="AA34" i="18"/>
  <c r="N34" i="18"/>
  <c r="AA33" i="18"/>
  <c r="N33" i="18"/>
  <c r="N31" i="18" s="1"/>
  <c r="AA32" i="18"/>
  <c r="N32" i="18"/>
  <c r="Z31" i="18"/>
  <c r="Z87" i="18" s="1"/>
  <c r="Y31" i="18"/>
  <c r="Y87" i="18" s="1"/>
  <c r="X31" i="18"/>
  <c r="X87" i="18" s="1"/>
  <c r="W31" i="18"/>
  <c r="W87" i="18" s="1"/>
  <c r="V31" i="18"/>
  <c r="V87" i="18" s="1"/>
  <c r="U31" i="18"/>
  <c r="U87" i="18" s="1"/>
  <c r="T31" i="18"/>
  <c r="T87" i="18" s="1"/>
  <c r="S31" i="18"/>
  <c r="S87" i="18" s="1"/>
  <c r="R31" i="18"/>
  <c r="R87" i="18" s="1"/>
  <c r="Q31" i="18"/>
  <c r="Q87" i="18" s="1"/>
  <c r="P31" i="18"/>
  <c r="P87" i="18" s="1"/>
  <c r="O31" i="18"/>
  <c r="O87" i="18" s="1"/>
  <c r="M31" i="18"/>
  <c r="M87" i="18" s="1"/>
  <c r="L31" i="18"/>
  <c r="L87" i="18" s="1"/>
  <c r="K31" i="18"/>
  <c r="K87" i="18" s="1"/>
  <c r="J31" i="18"/>
  <c r="J87" i="18" s="1"/>
  <c r="I31" i="18"/>
  <c r="I87" i="18" s="1"/>
  <c r="H31" i="18"/>
  <c r="H87" i="18" s="1"/>
  <c r="G31" i="18"/>
  <c r="G87" i="18" s="1"/>
  <c r="F31" i="18"/>
  <c r="F87" i="18" s="1"/>
  <c r="E31" i="18"/>
  <c r="E87" i="18" s="1"/>
  <c r="D31" i="18"/>
  <c r="D87" i="18" s="1"/>
  <c r="C31" i="18"/>
  <c r="C87" i="18" s="1"/>
  <c r="B31" i="18"/>
  <c r="B87" i="18" s="1"/>
  <c r="AA30" i="18"/>
  <c r="N30" i="18"/>
  <c r="AA29" i="18"/>
  <c r="N29" i="18"/>
  <c r="AA28" i="18"/>
  <c r="N28" i="18"/>
  <c r="AA27" i="18"/>
  <c r="N27" i="18"/>
  <c r="AA26" i="18"/>
  <c r="N26" i="18"/>
  <c r="AA25" i="18"/>
  <c r="N25" i="18"/>
  <c r="AA24" i="18"/>
  <c r="N24" i="18"/>
  <c r="AA23" i="18"/>
  <c r="N23" i="18"/>
  <c r="AA22" i="18"/>
  <c r="N22" i="18"/>
  <c r="AA21" i="18"/>
  <c r="N21" i="18"/>
  <c r="AA20" i="18"/>
  <c r="N20" i="18"/>
  <c r="AA19" i="18"/>
  <c r="N19" i="18"/>
  <c r="Z18" i="18"/>
  <c r="Z86" i="18" s="1"/>
  <c r="Y18" i="18"/>
  <c r="Y86" i="18" s="1"/>
  <c r="X18" i="18"/>
  <c r="X86" i="18" s="1"/>
  <c r="W18" i="18"/>
  <c r="W86" i="18" s="1"/>
  <c r="W84" i="18" s="1"/>
  <c r="V18" i="18"/>
  <c r="V86" i="18" s="1"/>
  <c r="U18" i="18"/>
  <c r="U86" i="18" s="1"/>
  <c r="T18" i="18"/>
  <c r="T86" i="18" s="1"/>
  <c r="S18" i="18"/>
  <c r="S86" i="18" s="1"/>
  <c r="R18" i="18"/>
  <c r="R86" i="18" s="1"/>
  <c r="R84" i="18" s="1"/>
  <c r="Q18" i="18"/>
  <c r="Q86" i="18" s="1"/>
  <c r="P18" i="18"/>
  <c r="P86" i="18" s="1"/>
  <c r="O18" i="18"/>
  <c r="O86" i="18" s="1"/>
  <c r="M18" i="18"/>
  <c r="M86" i="18" s="1"/>
  <c r="L18" i="18"/>
  <c r="L86" i="18" s="1"/>
  <c r="K18" i="18"/>
  <c r="K86" i="18" s="1"/>
  <c r="J18" i="18"/>
  <c r="J86" i="18" s="1"/>
  <c r="I18" i="18"/>
  <c r="I86" i="18" s="1"/>
  <c r="H18" i="18"/>
  <c r="H86" i="18" s="1"/>
  <c r="G18" i="18"/>
  <c r="G86" i="18" s="1"/>
  <c r="F18" i="18"/>
  <c r="F86" i="18" s="1"/>
  <c r="E18" i="18"/>
  <c r="E86" i="18" s="1"/>
  <c r="D18" i="18"/>
  <c r="D86" i="18" s="1"/>
  <c r="C18" i="18"/>
  <c r="C86" i="18" s="1"/>
  <c r="B18" i="18"/>
  <c r="B86" i="18" s="1"/>
  <c r="AA17" i="18"/>
  <c r="N17" i="18"/>
  <c r="AA16" i="18"/>
  <c r="N16" i="18"/>
  <c r="AA15" i="18"/>
  <c r="N15" i="18"/>
  <c r="AA14" i="18"/>
  <c r="N14" i="18"/>
  <c r="AA13" i="18"/>
  <c r="N13" i="18"/>
  <c r="Z12" i="18"/>
  <c r="Z85" i="18" s="1"/>
  <c r="Y12" i="18"/>
  <c r="Y85" i="18" s="1"/>
  <c r="X12" i="18"/>
  <c r="X74" i="18" s="1"/>
  <c r="W12" i="18"/>
  <c r="W85" i="18" s="1"/>
  <c r="V12" i="18"/>
  <c r="V85" i="18" s="1"/>
  <c r="U12" i="18"/>
  <c r="U85" i="18" s="1"/>
  <c r="T12" i="18"/>
  <c r="S12" i="18"/>
  <c r="S85" i="18" s="1"/>
  <c r="R12" i="18"/>
  <c r="Q12" i="18"/>
  <c r="Q85" i="18" s="1"/>
  <c r="P12" i="18"/>
  <c r="O12" i="18"/>
  <c r="O85" i="18" s="1"/>
  <c r="M12" i="18"/>
  <c r="M85" i="18" s="1"/>
  <c r="L12" i="18"/>
  <c r="K12" i="18"/>
  <c r="K85" i="18" s="1"/>
  <c r="K84" i="18" s="1"/>
  <c r="J12" i="18"/>
  <c r="J85" i="18" s="1"/>
  <c r="I12" i="18"/>
  <c r="I85" i="18" s="1"/>
  <c r="H12" i="18"/>
  <c r="H85" i="18" s="1"/>
  <c r="G12" i="18"/>
  <c r="G85" i="18" s="1"/>
  <c r="G84" i="18" s="1"/>
  <c r="F12" i="18"/>
  <c r="F85" i="18" s="1"/>
  <c r="E12" i="18"/>
  <c r="E85" i="18" s="1"/>
  <c r="D12" i="18"/>
  <c r="C12" i="18"/>
  <c r="C85" i="18" s="1"/>
  <c r="B12" i="18"/>
  <c r="B85" i="18" s="1"/>
  <c r="Z9" i="18"/>
  <c r="Y9" i="18"/>
  <c r="Y82" i="18" s="1"/>
  <c r="X9" i="18"/>
  <c r="X82" i="18" s="1"/>
  <c r="W9" i="18"/>
  <c r="W82" i="18" s="1"/>
  <c r="V9" i="18"/>
  <c r="U9" i="18"/>
  <c r="U82" i="18" s="1"/>
  <c r="T9" i="18"/>
  <c r="T82" i="18" s="1"/>
  <c r="S9" i="18"/>
  <c r="S82" i="18" s="1"/>
  <c r="R9" i="18"/>
  <c r="Q9" i="18"/>
  <c r="P9" i="18"/>
  <c r="P82" i="18" s="1"/>
  <c r="O9" i="18"/>
  <c r="O82" i="18" s="1"/>
  <c r="H9" i="18"/>
  <c r="H82" i="18" s="1"/>
  <c r="G9" i="18"/>
  <c r="G82" i="18" s="1"/>
  <c r="F9" i="18"/>
  <c r="E9" i="18"/>
  <c r="E82" i="18" s="1"/>
  <c r="D9" i="18"/>
  <c r="D82" i="18" s="1"/>
  <c r="C9" i="18"/>
  <c r="C82" i="18" s="1"/>
  <c r="B9" i="18"/>
  <c r="AA8" i="18"/>
  <c r="J8" i="18"/>
  <c r="AA7" i="18"/>
  <c r="M7" i="18"/>
  <c r="L7" i="18"/>
  <c r="K7" i="18"/>
  <c r="J7" i="18"/>
  <c r="AA6" i="18"/>
  <c r="N6" i="18"/>
  <c r="AA5" i="18"/>
  <c r="N5" i="18"/>
  <c r="AA4" i="18"/>
  <c r="N4" i="18"/>
  <c r="N3" i="18"/>
  <c r="AA2" i="18"/>
  <c r="L9" i="18"/>
  <c r="L82" i="18" s="1"/>
  <c r="J2" i="18"/>
  <c r="I74" i="18" l="1"/>
  <c r="K74" i="18"/>
  <c r="K93" i="18"/>
  <c r="N93" i="18" s="1"/>
  <c r="N65" i="18"/>
  <c r="N64" i="18" s="1"/>
  <c r="M74" i="18"/>
  <c r="L74" i="18"/>
  <c r="L76" i="18" s="1"/>
  <c r="J74" i="18"/>
  <c r="N58" i="18"/>
  <c r="C84" i="18"/>
  <c r="AA31" i="18"/>
  <c r="AA58" i="18"/>
  <c r="AA53" i="18"/>
  <c r="J9" i="18"/>
  <c r="AA43" i="18"/>
  <c r="N18" i="18"/>
  <c r="AA9" i="18"/>
  <c r="N7" i="18"/>
  <c r="AA18" i="18"/>
  <c r="AA91" i="18"/>
  <c r="H84" i="18"/>
  <c r="H96" i="18" s="1"/>
  <c r="N12" i="18"/>
  <c r="F84" i="18"/>
  <c r="AA92" i="18"/>
  <c r="K9" i="18"/>
  <c r="K82" i="18" s="1"/>
  <c r="J82" i="18"/>
  <c r="T94" i="18"/>
  <c r="T74" i="18"/>
  <c r="T76" i="18" s="1"/>
  <c r="T85" i="18"/>
  <c r="T84" i="18" s="1"/>
  <c r="T96" i="18" s="1"/>
  <c r="U74" i="18"/>
  <c r="U76" i="18" s="1"/>
  <c r="X85" i="18"/>
  <c r="X84" i="18" s="1"/>
  <c r="X94" i="18" s="1"/>
  <c r="D76" i="18"/>
  <c r="D85" i="18"/>
  <c r="D84" i="18" s="1"/>
  <c r="D96" i="18" s="1"/>
  <c r="L85" i="18"/>
  <c r="L84" i="18" s="1"/>
  <c r="L94" i="18" s="1"/>
  <c r="U84" i="18"/>
  <c r="U96" i="18" s="1"/>
  <c r="N86" i="18"/>
  <c r="AA86" i="18"/>
  <c r="N87" i="18"/>
  <c r="AA65" i="18"/>
  <c r="AA64" i="18" s="1"/>
  <c r="Y74" i="18"/>
  <c r="Y76" i="18" s="1"/>
  <c r="AA88" i="18"/>
  <c r="Q84" i="18"/>
  <c r="Q96" i="18" s="1"/>
  <c r="Y84" i="18"/>
  <c r="Y94" i="18" s="1"/>
  <c r="N8" i="18"/>
  <c r="B82" i="18"/>
  <c r="R82" i="18"/>
  <c r="Z82" i="18"/>
  <c r="E84" i="18"/>
  <c r="E96" i="18" s="1"/>
  <c r="R74" i="18"/>
  <c r="R76" i="18" s="1"/>
  <c r="V84" i="18"/>
  <c r="Z84" i="18"/>
  <c r="N39" i="18"/>
  <c r="N36" i="18" s="1"/>
  <c r="AA39" i="18"/>
  <c r="AA36" i="18" s="1"/>
  <c r="V82" i="18"/>
  <c r="M84" i="18"/>
  <c r="X96" i="18"/>
  <c r="P74" i="18"/>
  <c r="P76" i="18" s="1"/>
  <c r="P85" i="18"/>
  <c r="P84" i="18" s="1"/>
  <c r="P96" i="18" s="1"/>
  <c r="I9" i="18"/>
  <c r="M9" i="18"/>
  <c r="J84" i="18"/>
  <c r="O84" i="18"/>
  <c r="AA84" i="18" s="1"/>
  <c r="S84" i="18"/>
  <c r="S94" i="18" s="1"/>
  <c r="N89" i="18"/>
  <c r="AA90" i="18"/>
  <c r="N50" i="18"/>
  <c r="N43" i="18" s="1"/>
  <c r="I43" i="18"/>
  <c r="I53" i="18"/>
  <c r="I91" i="18" s="1"/>
  <c r="N91" i="18" s="1"/>
  <c r="Q74" i="18"/>
  <c r="Q76" i="18" s="1"/>
  <c r="F82" i="18"/>
  <c r="B84" i="18"/>
  <c r="N84" i="18" s="1"/>
  <c r="G96" i="18"/>
  <c r="W96" i="18"/>
  <c r="AA87" i="18"/>
  <c r="AA89" i="18"/>
  <c r="F76" i="18"/>
  <c r="V74" i="18"/>
  <c r="V76" i="18" s="1"/>
  <c r="Z74" i="18"/>
  <c r="Z76" i="18" s="1"/>
  <c r="H76" i="18"/>
  <c r="X76" i="18"/>
  <c r="C96" i="18"/>
  <c r="N88" i="18"/>
  <c r="C76" i="18"/>
  <c r="G76" i="18"/>
  <c r="O74" i="18"/>
  <c r="S74" i="18"/>
  <c r="S76" i="18" s="1"/>
  <c r="W74" i="18"/>
  <c r="W76" i="18" s="1"/>
  <c r="E76" i="18"/>
  <c r="C94" i="18"/>
  <c r="S96" i="18"/>
  <c r="N2" i="18"/>
  <c r="AA12" i="18"/>
  <c r="N92" i="18"/>
  <c r="G94" i="18"/>
  <c r="W94" i="18"/>
  <c r="C21" i="16"/>
  <c r="D21" i="16"/>
  <c r="B21" i="16"/>
  <c r="C7" i="17"/>
  <c r="B16" i="17"/>
  <c r="B17" i="17" s="1"/>
  <c r="B18" i="17" s="1"/>
  <c r="B19" i="17" s="1"/>
  <c r="B20" i="17" s="1"/>
  <c r="B21" i="17" s="1"/>
  <c r="B22" i="17" s="1"/>
  <c r="B23" i="17" s="1"/>
  <c r="B24" i="17" s="1"/>
  <c r="B15" i="17"/>
  <c r="B14" i="17"/>
  <c r="C6" i="17"/>
  <c r="N74" i="18" l="1"/>
  <c r="J76" i="18"/>
  <c r="L96" i="18"/>
  <c r="Y96" i="18"/>
  <c r="H94" i="18"/>
  <c r="K94" i="18"/>
  <c r="K96" i="18"/>
  <c r="D94" i="18"/>
  <c r="N9" i="18"/>
  <c r="N76" i="18" s="1"/>
  <c r="K76" i="18"/>
  <c r="O96" i="18"/>
  <c r="R94" i="18"/>
  <c r="R96" i="18"/>
  <c r="AA82" i="18"/>
  <c r="I90" i="18"/>
  <c r="I76" i="18"/>
  <c r="P94" i="18"/>
  <c r="U94" i="18"/>
  <c r="E94" i="18"/>
  <c r="J94" i="18"/>
  <c r="J96" i="18"/>
  <c r="I82" i="18"/>
  <c r="B76" i="18"/>
  <c r="B78" i="18" s="1"/>
  <c r="C78" i="18" s="1"/>
  <c r="D78" i="18" s="1"/>
  <c r="E78" i="18" s="1"/>
  <c r="F78" i="18" s="1"/>
  <c r="G78" i="18" s="1"/>
  <c r="H78" i="18" s="1"/>
  <c r="AA85" i="18"/>
  <c r="AA74" i="18"/>
  <c r="AA76" i="18" s="1"/>
  <c r="O76" i="18"/>
  <c r="F94" i="18"/>
  <c r="F96" i="18"/>
  <c r="O94" i="18"/>
  <c r="AA94" i="18" s="1"/>
  <c r="V94" i="18"/>
  <c r="V96" i="18"/>
  <c r="Z94" i="18"/>
  <c r="Z96" i="18"/>
  <c r="N85" i="18"/>
  <c r="Q94" i="18"/>
  <c r="M76" i="18"/>
  <c r="M82" i="18"/>
  <c r="B94" i="18"/>
  <c r="N94" i="18" s="1"/>
  <c r="B96" i="18"/>
  <c r="B25" i="17"/>
  <c r="K6" i="16"/>
  <c r="G6" i="16"/>
  <c r="C6" i="16"/>
  <c r="M94" i="18" l="1"/>
  <c r="M96" i="18"/>
  <c r="N82" i="18"/>
  <c r="I94" i="18"/>
  <c r="I104" i="18" s="1"/>
  <c r="I84" i="18"/>
  <c r="I96" i="18" s="1"/>
  <c r="N90" i="18"/>
  <c r="I78" i="18"/>
  <c r="J78" i="18" s="1"/>
  <c r="K78" i="18" s="1"/>
  <c r="L78" i="18" s="1"/>
  <c r="M78" i="18" s="1"/>
  <c r="O78" i="18" s="1"/>
  <c r="P78" i="18" s="1"/>
  <c r="Q78" i="18" s="1"/>
  <c r="R78" i="18" s="1"/>
  <c r="S78" i="18" s="1"/>
  <c r="T78" i="18" s="1"/>
  <c r="U78" i="18" s="1"/>
  <c r="V78" i="18" s="1"/>
  <c r="W78" i="18" s="1"/>
  <c r="X78" i="18" s="1"/>
  <c r="Y78" i="18" s="1"/>
  <c r="Z78" i="18" s="1"/>
  <c r="B26" i="17"/>
  <c r="B27" i="17" s="1"/>
  <c r="K6" i="5"/>
  <c r="K5" i="5"/>
  <c r="K3" i="5"/>
  <c r="I22" i="5"/>
  <c r="B28" i="17" l="1"/>
  <c r="B29" i="17" s="1"/>
  <c r="C83" i="12"/>
  <c r="B30" i="17" l="1"/>
  <c r="B31" i="17" s="1"/>
  <c r="B32" i="17" s="1"/>
  <c r="B33" i="17" s="1"/>
  <c r="B34" i="17" s="1"/>
  <c r="C49" i="15"/>
  <c r="C31" i="15"/>
  <c r="C50" i="15" s="1"/>
  <c r="C2" i="15"/>
  <c r="C1" i="14"/>
  <c r="C3" i="14"/>
  <c r="L5" i="8"/>
  <c r="C2" i="14"/>
  <c r="C4" i="14" s="1"/>
  <c r="E6" i="14" s="1"/>
  <c r="C2" i="13"/>
  <c r="C33" i="13"/>
  <c r="C51" i="13"/>
  <c r="C2" i="12"/>
  <c r="C98" i="12"/>
  <c r="C78" i="12"/>
  <c r="C79" i="12"/>
  <c r="C80" i="12" s="1"/>
  <c r="C100" i="12" s="1"/>
  <c r="B35" i="17" l="1"/>
  <c r="B36" i="17" s="1"/>
  <c r="B37" i="17" s="1"/>
  <c r="C53" i="13"/>
  <c r="C24" i="6"/>
  <c r="N6" i="6"/>
  <c r="O6" i="6"/>
  <c r="P6" i="6"/>
  <c r="H6" i="6"/>
  <c r="I6" i="6"/>
  <c r="J6" i="6"/>
  <c r="K6" i="6"/>
  <c r="L6" i="6"/>
  <c r="M6" i="6"/>
  <c r="G22" i="6"/>
  <c r="F22" i="6"/>
  <c r="F20" i="6"/>
  <c r="F18" i="6"/>
  <c r="F19" i="6"/>
  <c r="C23" i="6"/>
  <c r="B23" i="6"/>
  <c r="C22" i="6"/>
  <c r="B22" i="6"/>
  <c r="B20" i="6"/>
  <c r="B38" i="17" l="1"/>
  <c r="B39" i="17" s="1"/>
  <c r="I9" i="5"/>
  <c r="I10" i="5"/>
  <c r="I11" i="5"/>
  <c r="I12" i="5"/>
  <c r="I13" i="5"/>
  <c r="I14" i="5"/>
  <c r="I15" i="5"/>
  <c r="I16" i="5"/>
  <c r="I17" i="5"/>
  <c r="I18" i="5"/>
  <c r="J28" i="5"/>
  <c r="I21" i="5"/>
  <c r="I20" i="5"/>
  <c r="I19" i="5"/>
  <c r="I8" i="5"/>
  <c r="I7" i="5"/>
  <c r="I6" i="5"/>
  <c r="I5" i="5"/>
  <c r="I4" i="5"/>
  <c r="I3" i="5"/>
  <c r="B40" i="17" l="1"/>
  <c r="B41" i="17" s="1"/>
  <c r="B42" i="17" s="1"/>
  <c r="I28" i="5"/>
  <c r="B43" i="17" l="1"/>
  <c r="B44" i="17" s="1"/>
  <c r="D28" i="5"/>
  <c r="C27" i="5"/>
  <c r="C26" i="5"/>
  <c r="B45" i="17" l="1"/>
  <c r="B46" i="17" s="1"/>
  <c r="AA13" i="3"/>
  <c r="N3" i="3"/>
  <c r="K8" i="3"/>
  <c r="B47" i="17" l="1"/>
  <c r="B48" i="17" s="1"/>
  <c r="B49" i="17" s="1"/>
  <c r="N4" i="10"/>
  <c r="B50" i="17" l="1"/>
  <c r="B51" i="17" s="1"/>
  <c r="M7" i="3"/>
  <c r="L7" i="3"/>
  <c r="K7" i="3"/>
  <c r="J7" i="3"/>
  <c r="B52" i="17" l="1"/>
  <c r="B53" i="17" s="1"/>
  <c r="B54" i="17" s="1"/>
  <c r="G9" i="8"/>
  <c r="F12" i="8"/>
  <c r="F9" i="8"/>
  <c r="J8" i="3"/>
  <c r="P6" i="2"/>
  <c r="E6" i="2"/>
  <c r="B55" i="17" l="1"/>
  <c r="B56" i="17" s="1"/>
  <c r="P44" i="3"/>
  <c r="Q44" i="3"/>
  <c r="R44" i="3"/>
  <c r="S44" i="3"/>
  <c r="T44" i="3"/>
  <c r="U44" i="3"/>
  <c r="V44" i="3"/>
  <c r="W44" i="3"/>
  <c r="X44" i="3"/>
  <c r="Y44" i="3"/>
  <c r="Z44" i="3"/>
  <c r="O44" i="3"/>
  <c r="C44" i="3"/>
  <c r="D44" i="3"/>
  <c r="E44" i="3"/>
  <c r="F44" i="3"/>
  <c r="G44" i="3"/>
  <c r="H44" i="3"/>
  <c r="I44" i="3"/>
  <c r="J44" i="3"/>
  <c r="K44" i="3"/>
  <c r="L44" i="3"/>
  <c r="M44" i="3"/>
  <c r="B44" i="3"/>
  <c r="P72" i="3"/>
  <c r="Q72" i="3"/>
  <c r="R72" i="3"/>
  <c r="S72" i="3"/>
  <c r="T72" i="3"/>
  <c r="U72" i="3"/>
  <c r="V72" i="3"/>
  <c r="W72" i="3"/>
  <c r="X72" i="3"/>
  <c r="Y72" i="3"/>
  <c r="Z72" i="3"/>
  <c r="O72" i="3"/>
  <c r="B57" i="17" l="1"/>
  <c r="B58" i="17" s="1"/>
  <c r="I8" i="3"/>
  <c r="B59" i="17" l="1"/>
  <c r="B60" i="17" s="1"/>
  <c r="P71" i="3"/>
  <c r="Q71" i="3"/>
  <c r="R71" i="3"/>
  <c r="S71" i="3"/>
  <c r="T71" i="3"/>
  <c r="U71" i="3"/>
  <c r="V71" i="3"/>
  <c r="W71" i="3"/>
  <c r="X71" i="3"/>
  <c r="Y71" i="3"/>
  <c r="Z71" i="3"/>
  <c r="AA2" i="3"/>
  <c r="AA76" i="3"/>
  <c r="AA75" i="3"/>
  <c r="AA74" i="3"/>
  <c r="AA73" i="3"/>
  <c r="AA72" i="3"/>
  <c r="AA68" i="3"/>
  <c r="AA67" i="3"/>
  <c r="AA66" i="3"/>
  <c r="AA65" i="3"/>
  <c r="AA64" i="3"/>
  <c r="AA62" i="3"/>
  <c r="AA61" i="3"/>
  <c r="AA60" i="3"/>
  <c r="AA59" i="3"/>
  <c r="AA57" i="3"/>
  <c r="AA56" i="3"/>
  <c r="AA55" i="3"/>
  <c r="AA54" i="3"/>
  <c r="AA53" i="3"/>
  <c r="AA52" i="3"/>
  <c r="AA51" i="3"/>
  <c r="AA50" i="3"/>
  <c r="AA49" i="3"/>
  <c r="AA47" i="3"/>
  <c r="AA46" i="3"/>
  <c r="AA45" i="3"/>
  <c r="AA44" i="3"/>
  <c r="AA43" i="3"/>
  <c r="AA42" i="3"/>
  <c r="AA40" i="3"/>
  <c r="AA39" i="3"/>
  <c r="AA38" i="3"/>
  <c r="AA37" i="3"/>
  <c r="AA35" i="3"/>
  <c r="AA34" i="3"/>
  <c r="AA33" i="3"/>
  <c r="AA32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7" i="3"/>
  <c r="AA16" i="3"/>
  <c r="AA15" i="3"/>
  <c r="AA14" i="3"/>
  <c r="AA8" i="3"/>
  <c r="AA7" i="3"/>
  <c r="AA6" i="3"/>
  <c r="AA5" i="3"/>
  <c r="AA4" i="3"/>
  <c r="Z9" i="3"/>
  <c r="Z85" i="3" s="1"/>
  <c r="Z12" i="3"/>
  <c r="Z88" i="3" s="1"/>
  <c r="Z18" i="3"/>
  <c r="Z89" i="3" s="1"/>
  <c r="Z31" i="3"/>
  <c r="Z90" i="3" s="1"/>
  <c r="Z36" i="3"/>
  <c r="Z91" i="3" s="1"/>
  <c r="Z41" i="3"/>
  <c r="Z92" i="3" s="1"/>
  <c r="Z48" i="3"/>
  <c r="Z93" i="3" s="1"/>
  <c r="Z58" i="3"/>
  <c r="Z94" i="3" s="1"/>
  <c r="Z63" i="3"/>
  <c r="Z95" i="3" s="1"/>
  <c r="Z105" i="3"/>
  <c r="P9" i="3"/>
  <c r="Q9" i="3"/>
  <c r="Q85" i="3" s="1"/>
  <c r="R9" i="3"/>
  <c r="R85" i="3" s="1"/>
  <c r="S9" i="3"/>
  <c r="T9" i="3"/>
  <c r="T85" i="3" s="1"/>
  <c r="U9" i="3"/>
  <c r="U85" i="3" s="1"/>
  <c r="V9" i="3"/>
  <c r="V85" i="3" s="1"/>
  <c r="W9" i="3"/>
  <c r="X9" i="3"/>
  <c r="X85" i="3" s="1"/>
  <c r="Y9" i="3"/>
  <c r="Y85" i="3" s="1"/>
  <c r="P12" i="3"/>
  <c r="Q12" i="3"/>
  <c r="R12" i="3"/>
  <c r="R88" i="3" s="1"/>
  <c r="S12" i="3"/>
  <c r="S88" i="3" s="1"/>
  <c r="T12" i="3"/>
  <c r="T88" i="3" s="1"/>
  <c r="U12" i="3"/>
  <c r="U88" i="3" s="1"/>
  <c r="V12" i="3"/>
  <c r="V88" i="3" s="1"/>
  <c r="W12" i="3"/>
  <c r="W88" i="3" s="1"/>
  <c r="X12" i="3"/>
  <c r="X88" i="3" s="1"/>
  <c r="Y12" i="3"/>
  <c r="P18" i="3"/>
  <c r="P89" i="3" s="1"/>
  <c r="Q18" i="3"/>
  <c r="Q89" i="3" s="1"/>
  <c r="R18" i="3"/>
  <c r="R89" i="3" s="1"/>
  <c r="S18" i="3"/>
  <c r="S89" i="3" s="1"/>
  <c r="T18" i="3"/>
  <c r="T89" i="3" s="1"/>
  <c r="U18" i="3"/>
  <c r="U89" i="3" s="1"/>
  <c r="V18" i="3"/>
  <c r="W18" i="3"/>
  <c r="X18" i="3"/>
  <c r="X89" i="3" s="1"/>
  <c r="Y18" i="3"/>
  <c r="Y89" i="3" s="1"/>
  <c r="P31" i="3"/>
  <c r="P90" i="3" s="1"/>
  <c r="Q31" i="3"/>
  <c r="Q90" i="3" s="1"/>
  <c r="R31" i="3"/>
  <c r="R90" i="3" s="1"/>
  <c r="S31" i="3"/>
  <c r="S90" i="3" s="1"/>
  <c r="T31" i="3"/>
  <c r="T90" i="3" s="1"/>
  <c r="U31" i="3"/>
  <c r="U90" i="3" s="1"/>
  <c r="V31" i="3"/>
  <c r="V90" i="3" s="1"/>
  <c r="W31" i="3"/>
  <c r="W90" i="3" s="1"/>
  <c r="X31" i="3"/>
  <c r="X90" i="3" s="1"/>
  <c r="Y31" i="3"/>
  <c r="Y90" i="3" s="1"/>
  <c r="P36" i="3"/>
  <c r="P91" i="3" s="1"/>
  <c r="Q36" i="3"/>
  <c r="Q91" i="3" s="1"/>
  <c r="R36" i="3"/>
  <c r="S36" i="3"/>
  <c r="T36" i="3"/>
  <c r="T91" i="3" s="1"/>
  <c r="U36" i="3"/>
  <c r="U91" i="3" s="1"/>
  <c r="V36" i="3"/>
  <c r="V91" i="3" s="1"/>
  <c r="W36" i="3"/>
  <c r="W91" i="3" s="1"/>
  <c r="X36" i="3"/>
  <c r="X91" i="3" s="1"/>
  <c r="Y36" i="3"/>
  <c r="Y91" i="3" s="1"/>
  <c r="P41" i="3"/>
  <c r="Q41" i="3"/>
  <c r="R41" i="3"/>
  <c r="R92" i="3" s="1"/>
  <c r="S41" i="3"/>
  <c r="S92" i="3" s="1"/>
  <c r="T41" i="3"/>
  <c r="T92" i="3" s="1"/>
  <c r="U41" i="3"/>
  <c r="U92" i="3" s="1"/>
  <c r="V41" i="3"/>
  <c r="W41" i="3"/>
  <c r="W92" i="3" s="1"/>
  <c r="X41" i="3"/>
  <c r="X92" i="3" s="1"/>
  <c r="Y41" i="3"/>
  <c r="Y92" i="3" s="1"/>
  <c r="P48" i="3"/>
  <c r="Q48" i="3"/>
  <c r="R48" i="3"/>
  <c r="R93" i="3" s="1"/>
  <c r="S48" i="3"/>
  <c r="S93" i="3" s="1"/>
  <c r="T48" i="3"/>
  <c r="T93" i="3" s="1"/>
  <c r="U48" i="3"/>
  <c r="U93" i="3" s="1"/>
  <c r="V48" i="3"/>
  <c r="V93" i="3" s="1"/>
  <c r="W48" i="3"/>
  <c r="W93" i="3" s="1"/>
  <c r="X48" i="3"/>
  <c r="X93" i="3" s="1"/>
  <c r="Y48" i="3"/>
  <c r="P58" i="3"/>
  <c r="P94" i="3" s="1"/>
  <c r="Q58" i="3"/>
  <c r="Q94" i="3" s="1"/>
  <c r="R58" i="3"/>
  <c r="S58" i="3"/>
  <c r="T58" i="3"/>
  <c r="T94" i="3" s="1"/>
  <c r="U58" i="3"/>
  <c r="U94" i="3" s="1"/>
  <c r="V58" i="3"/>
  <c r="W58" i="3"/>
  <c r="X58" i="3"/>
  <c r="X94" i="3" s="1"/>
  <c r="Y58" i="3"/>
  <c r="Y94" i="3" s="1"/>
  <c r="P63" i="3"/>
  <c r="Q63" i="3"/>
  <c r="R63" i="3"/>
  <c r="R95" i="3" s="1"/>
  <c r="S63" i="3"/>
  <c r="S95" i="3" s="1"/>
  <c r="T63" i="3"/>
  <c r="U63" i="3"/>
  <c r="V63" i="3"/>
  <c r="V95" i="3" s="1"/>
  <c r="W63" i="3"/>
  <c r="W95" i="3" s="1"/>
  <c r="X63" i="3"/>
  <c r="Y63" i="3"/>
  <c r="P85" i="3"/>
  <c r="P88" i="3"/>
  <c r="Q88" i="3"/>
  <c r="Y88" i="3"/>
  <c r="V89" i="3"/>
  <c r="W89" i="3"/>
  <c r="R91" i="3"/>
  <c r="S91" i="3"/>
  <c r="P92" i="3"/>
  <c r="Q92" i="3"/>
  <c r="V92" i="3"/>
  <c r="P93" i="3"/>
  <c r="Q93" i="3"/>
  <c r="Y93" i="3"/>
  <c r="R94" i="3"/>
  <c r="S94" i="3"/>
  <c r="V94" i="3"/>
  <c r="W94" i="3"/>
  <c r="P95" i="3"/>
  <c r="Q95" i="3"/>
  <c r="T95" i="3"/>
  <c r="U95" i="3"/>
  <c r="X95" i="3"/>
  <c r="Y95" i="3"/>
  <c r="P105" i="3"/>
  <c r="Q105" i="3"/>
  <c r="R105" i="3"/>
  <c r="S105" i="3"/>
  <c r="T105" i="3"/>
  <c r="U105" i="3"/>
  <c r="V105" i="3"/>
  <c r="W105" i="3"/>
  <c r="X105" i="3"/>
  <c r="Y105" i="3"/>
  <c r="O105" i="3"/>
  <c r="O63" i="3"/>
  <c r="O95" i="3" s="1"/>
  <c r="O58" i="3"/>
  <c r="O94" i="3" s="1"/>
  <c r="O48" i="3"/>
  <c r="O93" i="3" s="1"/>
  <c r="O41" i="3"/>
  <c r="O92" i="3" s="1"/>
  <c r="O36" i="3"/>
  <c r="O91" i="3" s="1"/>
  <c r="O31" i="3"/>
  <c r="O90" i="3" s="1"/>
  <c r="O18" i="3"/>
  <c r="O89" i="3" s="1"/>
  <c r="O12" i="3"/>
  <c r="O88" i="3" s="1"/>
  <c r="O9" i="3"/>
  <c r="AA93" i="3" l="1"/>
  <c r="AA89" i="3"/>
  <c r="AA31" i="3"/>
  <c r="AA94" i="3"/>
  <c r="AA91" i="3"/>
  <c r="AA95" i="3"/>
  <c r="AA9" i="3"/>
  <c r="AA63" i="3"/>
  <c r="AA92" i="3"/>
  <c r="AA58" i="3"/>
  <c r="AA48" i="3"/>
  <c r="AA41" i="3"/>
  <c r="AA36" i="3"/>
  <c r="AA90" i="3"/>
  <c r="AA18" i="3"/>
  <c r="AA88" i="3"/>
  <c r="AA12" i="3"/>
  <c r="W85" i="3"/>
  <c r="S85" i="3"/>
  <c r="O85" i="3"/>
  <c r="P1" i="2"/>
  <c r="AA85" i="3" l="1"/>
  <c r="L11" i="6"/>
  <c r="L7" i="6"/>
  <c r="M7" i="6"/>
  <c r="I2" i="3" l="1"/>
  <c r="K17" i="6"/>
  <c r="B3" i="6" l="1"/>
  <c r="H7" i="6"/>
  <c r="H9" i="6" s="1"/>
  <c r="H13" i="6" s="1"/>
  <c r="I7" i="6"/>
  <c r="I9" i="6" s="1"/>
  <c r="I13" i="6" s="1"/>
  <c r="K7" i="6" l="1"/>
  <c r="N7" i="6"/>
  <c r="O7" i="6"/>
  <c r="P7" i="6"/>
  <c r="J7" i="6"/>
  <c r="C5" i="6"/>
  <c r="E5" i="6" s="1"/>
  <c r="C6" i="6"/>
  <c r="E6" i="6" s="1"/>
  <c r="M8" i="6" s="1"/>
  <c r="C9" i="6"/>
  <c r="E9" i="6" s="1"/>
  <c r="P8" i="6" s="1"/>
  <c r="E3" i="6"/>
  <c r="K8" i="6" s="1"/>
  <c r="B4" i="6"/>
  <c r="C4" i="6" s="1"/>
  <c r="E4" i="6" s="1"/>
  <c r="B5" i="6"/>
  <c r="B6" i="6"/>
  <c r="B7" i="6"/>
  <c r="C7" i="6" s="1"/>
  <c r="E7" i="6" s="1"/>
  <c r="N8" i="6" s="1"/>
  <c r="B8" i="6"/>
  <c r="C8" i="6" s="1"/>
  <c r="E8" i="6" s="1"/>
  <c r="O8" i="6" s="1"/>
  <c r="B9" i="6"/>
  <c r="O9" i="6" l="1"/>
  <c r="L2" i="3"/>
  <c r="O13" i="6"/>
  <c r="L8" i="6"/>
  <c r="F3" i="6"/>
  <c r="P9" i="6"/>
  <c r="N9" i="6"/>
  <c r="K9" i="6"/>
  <c r="K13" i="6" s="1"/>
  <c r="J9" i="6"/>
  <c r="J13" i="6" s="1"/>
  <c r="M9" i="6"/>
  <c r="K2" i="3" l="1"/>
  <c r="N13" i="6"/>
  <c r="L9" i="6"/>
  <c r="L13" i="6" s="1"/>
  <c r="K18" i="6"/>
  <c r="M2" i="3"/>
  <c r="P13" i="6"/>
  <c r="J2" i="3"/>
  <c r="M13" i="6"/>
  <c r="C25" i="5"/>
  <c r="C24" i="5"/>
  <c r="C23" i="5"/>
  <c r="C22" i="5"/>
  <c r="C21" i="5"/>
  <c r="C20" i="5"/>
  <c r="C19" i="5"/>
  <c r="C18" i="5"/>
  <c r="C17" i="5"/>
  <c r="C11" i="5"/>
  <c r="C10" i="5"/>
  <c r="C9" i="5"/>
  <c r="C8" i="5"/>
  <c r="C7" i="5"/>
  <c r="C6" i="5"/>
  <c r="C5" i="5"/>
  <c r="C4" i="5"/>
  <c r="C3" i="5"/>
  <c r="C28" i="5" l="1"/>
  <c r="I60" i="3"/>
  <c r="I103" i="3" l="1"/>
  <c r="I62" i="3" l="1"/>
  <c r="J105" i="3"/>
  <c r="K105" i="3"/>
  <c r="L105" i="3"/>
  <c r="M105" i="3"/>
  <c r="I105" i="3"/>
  <c r="I108" i="3" s="1"/>
  <c r="I55" i="3" l="1"/>
  <c r="I70" i="3"/>
  <c r="J70" i="3"/>
  <c r="K70" i="3"/>
  <c r="L70" i="3"/>
  <c r="M70" i="3"/>
  <c r="O70" i="3"/>
  <c r="P70" i="3"/>
  <c r="P69" i="3" s="1"/>
  <c r="Q70" i="3"/>
  <c r="Q69" i="3" s="1"/>
  <c r="R70" i="3"/>
  <c r="R69" i="3" s="1"/>
  <c r="S70" i="3"/>
  <c r="S69" i="3" s="1"/>
  <c r="T70" i="3"/>
  <c r="T69" i="3" s="1"/>
  <c r="U70" i="3"/>
  <c r="U69" i="3" s="1"/>
  <c r="V70" i="3"/>
  <c r="V69" i="3" s="1"/>
  <c r="W70" i="3"/>
  <c r="W69" i="3" s="1"/>
  <c r="X70" i="3"/>
  <c r="X69" i="3" s="1"/>
  <c r="Y70" i="3"/>
  <c r="Y69" i="3" s="1"/>
  <c r="Z70" i="3"/>
  <c r="Z69" i="3" s="1"/>
  <c r="I7" i="3"/>
  <c r="H71" i="3"/>
  <c r="G71" i="3"/>
  <c r="F71" i="3"/>
  <c r="E71" i="3"/>
  <c r="D71" i="3"/>
  <c r="C71" i="3"/>
  <c r="B71" i="3"/>
  <c r="U96" i="3" l="1"/>
  <c r="U87" i="3" s="1"/>
  <c r="U77" i="3"/>
  <c r="U79" i="3" s="1"/>
  <c r="X77" i="3"/>
  <c r="X79" i="3" s="1"/>
  <c r="X96" i="3"/>
  <c r="X87" i="3" s="1"/>
  <c r="P96" i="3"/>
  <c r="P87" i="3" s="1"/>
  <c r="P77" i="3"/>
  <c r="P79" i="3" s="1"/>
  <c r="W77" i="3"/>
  <c r="W79" i="3" s="1"/>
  <c r="W96" i="3"/>
  <c r="W87" i="3" s="1"/>
  <c r="S96" i="3"/>
  <c r="S87" i="3" s="1"/>
  <c r="S77" i="3"/>
  <c r="S79" i="3" s="1"/>
  <c r="AA70" i="3"/>
  <c r="Y96" i="3"/>
  <c r="Y87" i="3" s="1"/>
  <c r="Y77" i="3"/>
  <c r="Y79" i="3" s="1"/>
  <c r="Q96" i="3"/>
  <c r="Q87" i="3" s="1"/>
  <c r="Q77" i="3"/>
  <c r="Q79" i="3" s="1"/>
  <c r="T96" i="3"/>
  <c r="T87" i="3" s="1"/>
  <c r="T77" i="3"/>
  <c r="T79" i="3" s="1"/>
  <c r="Z96" i="3"/>
  <c r="Z87" i="3" s="1"/>
  <c r="Z77" i="3"/>
  <c r="Z79" i="3" s="1"/>
  <c r="V96" i="3"/>
  <c r="V87" i="3" s="1"/>
  <c r="V77" i="3"/>
  <c r="V79" i="3" s="1"/>
  <c r="R77" i="3"/>
  <c r="R79" i="3" s="1"/>
  <c r="R96" i="3"/>
  <c r="R87" i="3" s="1"/>
  <c r="E4" i="2"/>
  <c r="E5" i="2"/>
  <c r="E3" i="2"/>
  <c r="E70" i="3"/>
  <c r="F70" i="3"/>
  <c r="G70" i="3"/>
  <c r="H70" i="3"/>
  <c r="D70" i="3"/>
  <c r="C12" i="3"/>
  <c r="C88" i="3" s="1"/>
  <c r="C18" i="3"/>
  <c r="C89" i="3" s="1"/>
  <c r="D18" i="3"/>
  <c r="D89" i="3" s="1"/>
  <c r="E18" i="3"/>
  <c r="E89" i="3" s="1"/>
  <c r="F18" i="3"/>
  <c r="F89" i="3" s="1"/>
  <c r="G18" i="3"/>
  <c r="G89" i="3" s="1"/>
  <c r="H18" i="3"/>
  <c r="H89" i="3" s="1"/>
  <c r="I18" i="3"/>
  <c r="I89" i="3" s="1"/>
  <c r="J18" i="3"/>
  <c r="J89" i="3" s="1"/>
  <c r="K18" i="3"/>
  <c r="K89" i="3" s="1"/>
  <c r="L18" i="3"/>
  <c r="L89" i="3" s="1"/>
  <c r="M18" i="3"/>
  <c r="M89" i="3" s="1"/>
  <c r="C31" i="3"/>
  <c r="C90" i="3" s="1"/>
  <c r="D31" i="3"/>
  <c r="D90" i="3" s="1"/>
  <c r="E31" i="3"/>
  <c r="E90" i="3" s="1"/>
  <c r="F31" i="3"/>
  <c r="F90" i="3" s="1"/>
  <c r="G31" i="3"/>
  <c r="G90" i="3" s="1"/>
  <c r="H31" i="3"/>
  <c r="H90" i="3" s="1"/>
  <c r="I31" i="3"/>
  <c r="I90" i="3" s="1"/>
  <c r="J31" i="3"/>
  <c r="J90" i="3" s="1"/>
  <c r="K31" i="3"/>
  <c r="K90" i="3" s="1"/>
  <c r="L31" i="3"/>
  <c r="L90" i="3" s="1"/>
  <c r="M31" i="3"/>
  <c r="M90" i="3" s="1"/>
  <c r="C36" i="3"/>
  <c r="C91" i="3" s="1"/>
  <c r="D36" i="3"/>
  <c r="D91" i="3" s="1"/>
  <c r="E36" i="3"/>
  <c r="E91" i="3" s="1"/>
  <c r="F36" i="3"/>
  <c r="F91" i="3" s="1"/>
  <c r="G36" i="3"/>
  <c r="G91" i="3" s="1"/>
  <c r="H36" i="3"/>
  <c r="H91" i="3" s="1"/>
  <c r="I36" i="3"/>
  <c r="I91" i="3" s="1"/>
  <c r="J36" i="3"/>
  <c r="J91" i="3" s="1"/>
  <c r="K36" i="3"/>
  <c r="K91" i="3" s="1"/>
  <c r="L36" i="3"/>
  <c r="L91" i="3" s="1"/>
  <c r="M36" i="3"/>
  <c r="M91" i="3" s="1"/>
  <c r="C41" i="3"/>
  <c r="C92" i="3" s="1"/>
  <c r="D41" i="3"/>
  <c r="D92" i="3" s="1"/>
  <c r="E41" i="3"/>
  <c r="E92" i="3" s="1"/>
  <c r="F41" i="3"/>
  <c r="F92" i="3" s="1"/>
  <c r="G41" i="3"/>
  <c r="G92" i="3" s="1"/>
  <c r="H41" i="3"/>
  <c r="H92" i="3" s="1"/>
  <c r="I41" i="3"/>
  <c r="I92" i="3" s="1"/>
  <c r="J41" i="3"/>
  <c r="J92" i="3" s="1"/>
  <c r="K41" i="3"/>
  <c r="K92" i="3" s="1"/>
  <c r="L41" i="3"/>
  <c r="L92" i="3" s="1"/>
  <c r="M41" i="3"/>
  <c r="M92" i="3" s="1"/>
  <c r="C48" i="3"/>
  <c r="C93" i="3" s="1"/>
  <c r="D48" i="3"/>
  <c r="D93" i="3" s="1"/>
  <c r="E48" i="3"/>
  <c r="E93" i="3" s="1"/>
  <c r="F48" i="3"/>
  <c r="F93" i="3" s="1"/>
  <c r="G48" i="3"/>
  <c r="G93" i="3" s="1"/>
  <c r="H48" i="3"/>
  <c r="H93" i="3" s="1"/>
  <c r="I48" i="3"/>
  <c r="I93" i="3" s="1"/>
  <c r="J48" i="3"/>
  <c r="J93" i="3" s="1"/>
  <c r="K48" i="3"/>
  <c r="K93" i="3" s="1"/>
  <c r="L48" i="3"/>
  <c r="L93" i="3" s="1"/>
  <c r="M48" i="3"/>
  <c r="M93" i="3" s="1"/>
  <c r="B63" i="3"/>
  <c r="B95" i="3" s="1"/>
  <c r="C58" i="3"/>
  <c r="C94" i="3" s="1"/>
  <c r="D58" i="3"/>
  <c r="D94" i="3" s="1"/>
  <c r="E58" i="3"/>
  <c r="E94" i="3" s="1"/>
  <c r="F58" i="3"/>
  <c r="F94" i="3" s="1"/>
  <c r="G58" i="3"/>
  <c r="G94" i="3" s="1"/>
  <c r="H58" i="3"/>
  <c r="H94" i="3" s="1"/>
  <c r="I58" i="3"/>
  <c r="J58" i="3"/>
  <c r="J94" i="3" s="1"/>
  <c r="K58" i="3"/>
  <c r="K94" i="3" s="1"/>
  <c r="L58" i="3"/>
  <c r="L94" i="3" s="1"/>
  <c r="M58" i="3"/>
  <c r="M94" i="3" s="1"/>
  <c r="C63" i="3"/>
  <c r="C95" i="3" s="1"/>
  <c r="D63" i="3"/>
  <c r="D95" i="3" s="1"/>
  <c r="E63" i="3"/>
  <c r="E95" i="3" s="1"/>
  <c r="F63" i="3"/>
  <c r="F95" i="3" s="1"/>
  <c r="G63" i="3"/>
  <c r="G95" i="3" s="1"/>
  <c r="H63" i="3"/>
  <c r="H95" i="3" s="1"/>
  <c r="I63" i="3"/>
  <c r="I95" i="3" s="1"/>
  <c r="J63" i="3"/>
  <c r="J95" i="3" s="1"/>
  <c r="K63" i="3"/>
  <c r="K95" i="3" s="1"/>
  <c r="L63" i="3"/>
  <c r="L95" i="3" s="1"/>
  <c r="M63" i="3"/>
  <c r="M95" i="3" s="1"/>
  <c r="N4" i="3"/>
  <c r="N5" i="3"/>
  <c r="N6" i="3"/>
  <c r="N7" i="3"/>
  <c r="N2" i="3"/>
  <c r="C9" i="3"/>
  <c r="C85" i="3" s="1"/>
  <c r="D9" i="3"/>
  <c r="D85" i="3" s="1"/>
  <c r="E9" i="3"/>
  <c r="F9" i="3"/>
  <c r="G9" i="3"/>
  <c r="G85" i="3" s="1"/>
  <c r="H9" i="3"/>
  <c r="I9" i="3"/>
  <c r="J9" i="3"/>
  <c r="B9" i="3"/>
  <c r="B85" i="3" s="1"/>
  <c r="B58" i="3"/>
  <c r="B94" i="3" s="1"/>
  <c r="B48" i="3"/>
  <c r="B93" i="3" s="1"/>
  <c r="B41" i="3"/>
  <c r="B92" i="3" s="1"/>
  <c r="B36" i="3"/>
  <c r="B91" i="3" s="1"/>
  <c r="B31" i="3"/>
  <c r="B90" i="3" s="1"/>
  <c r="B18" i="3"/>
  <c r="B89" i="3" s="1"/>
  <c r="N9" i="3" l="1"/>
  <c r="X97" i="3"/>
  <c r="X99" i="3"/>
  <c r="Z99" i="3"/>
  <c r="Z97" i="3"/>
  <c r="R97" i="3"/>
  <c r="R99" i="3"/>
  <c r="W99" i="3"/>
  <c r="W97" i="3"/>
  <c r="Q99" i="3"/>
  <c r="Q97" i="3"/>
  <c r="H85" i="3"/>
  <c r="V99" i="3"/>
  <c r="V97" i="3"/>
  <c r="T97" i="3"/>
  <c r="T99" i="3"/>
  <c r="Y99" i="3"/>
  <c r="Y97" i="3"/>
  <c r="S99" i="3"/>
  <c r="S97" i="3"/>
  <c r="P97" i="3"/>
  <c r="P99" i="3"/>
  <c r="U99" i="3"/>
  <c r="U97" i="3"/>
  <c r="N92" i="3"/>
  <c r="I94" i="3"/>
  <c r="N94" i="3" s="1"/>
  <c r="N93" i="3"/>
  <c r="N91" i="3"/>
  <c r="N89" i="3"/>
  <c r="N90" i="3"/>
  <c r="N95" i="3"/>
  <c r="F85" i="3"/>
  <c r="J85" i="3"/>
  <c r="E85" i="3"/>
  <c r="I85" i="3"/>
  <c r="D12" i="3"/>
  <c r="D88" i="3" s="1"/>
  <c r="E12" i="3"/>
  <c r="E88" i="3" s="1"/>
  <c r="F12" i="3"/>
  <c r="F88" i="3" s="1"/>
  <c r="G12" i="3"/>
  <c r="G88" i="3" s="1"/>
  <c r="H12" i="3"/>
  <c r="H88" i="3" s="1"/>
  <c r="I12" i="3"/>
  <c r="I88" i="3" s="1"/>
  <c r="J12" i="3"/>
  <c r="J88" i="3" s="1"/>
  <c r="K12" i="3"/>
  <c r="K88" i="3" s="1"/>
  <c r="L12" i="3"/>
  <c r="L88" i="3" s="1"/>
  <c r="M12" i="3"/>
  <c r="M88" i="3" s="1"/>
  <c r="B12" i="3"/>
  <c r="B88" i="3" s="1"/>
  <c r="N13" i="3"/>
  <c r="N14" i="3"/>
  <c r="N15" i="3"/>
  <c r="N16" i="3"/>
  <c r="N17" i="3"/>
  <c r="N19" i="3"/>
  <c r="N20" i="3"/>
  <c r="N21" i="3"/>
  <c r="N22" i="3"/>
  <c r="N23" i="3"/>
  <c r="N24" i="3"/>
  <c r="N25" i="3"/>
  <c r="N26" i="3"/>
  <c r="N27" i="3"/>
  <c r="N28" i="3"/>
  <c r="N29" i="3"/>
  <c r="N30" i="3"/>
  <c r="N32" i="3"/>
  <c r="N33" i="3"/>
  <c r="N34" i="3"/>
  <c r="N35" i="3"/>
  <c r="N37" i="3"/>
  <c r="N38" i="3"/>
  <c r="N39" i="3"/>
  <c r="N40" i="3"/>
  <c r="N42" i="3"/>
  <c r="N43" i="3"/>
  <c r="N44" i="3"/>
  <c r="N45" i="3"/>
  <c r="N46" i="3"/>
  <c r="N47" i="3"/>
  <c r="N49" i="3"/>
  <c r="N50" i="3"/>
  <c r="N51" i="3"/>
  <c r="N52" i="3"/>
  <c r="N53" i="3"/>
  <c r="N54" i="3"/>
  <c r="N55" i="3"/>
  <c r="N56" i="3"/>
  <c r="N57" i="3"/>
  <c r="N59" i="3"/>
  <c r="N60" i="3"/>
  <c r="N61" i="3"/>
  <c r="N62" i="3"/>
  <c r="N64" i="3"/>
  <c r="N65" i="3"/>
  <c r="N66" i="3"/>
  <c r="N67" i="3"/>
  <c r="N68" i="3"/>
  <c r="N70" i="3"/>
  <c r="N73" i="3"/>
  <c r="N74" i="3"/>
  <c r="N75" i="3"/>
  <c r="N76" i="3"/>
  <c r="H1" i="2"/>
  <c r="I1" i="2"/>
  <c r="J1" i="2"/>
  <c r="K1" i="2"/>
  <c r="L1" i="2"/>
  <c r="M1" i="2"/>
  <c r="N1" i="2"/>
  <c r="O1" i="2"/>
  <c r="Q1" i="2"/>
  <c r="R1" i="2"/>
  <c r="S1" i="2"/>
  <c r="G1" i="2"/>
  <c r="E1" i="2"/>
  <c r="N88" i="3" l="1"/>
  <c r="E69" i="3"/>
  <c r="H69" i="3"/>
  <c r="D69" i="3"/>
  <c r="F69" i="3"/>
  <c r="G69" i="3"/>
  <c r="C69" i="3"/>
  <c r="N36" i="3"/>
  <c r="N63" i="3"/>
  <c r="N58" i="3"/>
  <c r="N41" i="3"/>
  <c r="N31" i="3"/>
  <c r="N18" i="3"/>
  <c r="N48" i="3"/>
  <c r="N12" i="3"/>
  <c r="E96" i="3" l="1"/>
  <c r="E87" i="3" s="1"/>
  <c r="E99" i="3" s="1"/>
  <c r="E77" i="3"/>
  <c r="E79" i="3" s="1"/>
  <c r="F96" i="3"/>
  <c r="F87" i="3" s="1"/>
  <c r="F99" i="3" s="1"/>
  <c r="F77" i="3"/>
  <c r="F79" i="3" s="1"/>
  <c r="D96" i="3"/>
  <c r="D87" i="3" s="1"/>
  <c r="D97" i="3" s="1"/>
  <c r="D77" i="3"/>
  <c r="D79" i="3" s="1"/>
  <c r="G96" i="3"/>
  <c r="G87" i="3" s="1"/>
  <c r="G97" i="3" s="1"/>
  <c r="G77" i="3"/>
  <c r="G79" i="3" s="1"/>
  <c r="C96" i="3"/>
  <c r="C87" i="3" s="1"/>
  <c r="C97" i="3" s="1"/>
  <c r="C77" i="3"/>
  <c r="C79" i="3" s="1"/>
  <c r="H96" i="3"/>
  <c r="H87" i="3" s="1"/>
  <c r="H97" i="3" s="1"/>
  <c r="H77" i="3"/>
  <c r="H79" i="3" s="1"/>
  <c r="B69" i="3"/>
  <c r="B77" i="3" s="1"/>
  <c r="H99" i="3" l="1"/>
  <c r="F97" i="3"/>
  <c r="D99" i="3"/>
  <c r="E97" i="3"/>
  <c r="C99" i="3"/>
  <c r="G99" i="3"/>
  <c r="B96" i="3"/>
  <c r="B79" i="3" l="1"/>
  <c r="B81" i="3" s="1"/>
  <c r="C81" i="3" s="1"/>
  <c r="D81" i="3" s="1"/>
  <c r="E81" i="3" s="1"/>
  <c r="F81" i="3" s="1"/>
  <c r="G81" i="3" s="1"/>
  <c r="H81" i="3" s="1"/>
  <c r="B87" i="3"/>
  <c r="B97" i="3" l="1"/>
  <c r="B99" i="3"/>
  <c r="N72" i="3" l="1"/>
  <c r="L9" i="3" l="1"/>
  <c r="M9" i="3"/>
  <c r="K9" i="3"/>
  <c r="K85" i="3" s="1"/>
  <c r="N8" i="3"/>
  <c r="L85" i="3" l="1"/>
  <c r="M85" i="3"/>
  <c r="N85" i="3" l="1"/>
  <c r="I71" i="3"/>
  <c r="L71" i="3"/>
  <c r="L69" i="3" s="1"/>
  <c r="L96" i="3" s="1"/>
  <c r="L87" i="3" s="1"/>
  <c r="O71" i="3" l="1"/>
  <c r="L77" i="3"/>
  <c r="L79" i="3" s="1"/>
  <c r="M71" i="3"/>
  <c r="M69" i="3" s="1"/>
  <c r="M96" i="3" s="1"/>
  <c r="M87" i="3" s="1"/>
  <c r="K71" i="3"/>
  <c r="K69" i="3" s="1"/>
  <c r="K96" i="3" s="1"/>
  <c r="K87" i="3" s="1"/>
  <c r="J71" i="3"/>
  <c r="J69" i="3" s="1"/>
  <c r="J96" i="3" s="1"/>
  <c r="J87" i="3" s="1"/>
  <c r="I69" i="3"/>
  <c r="L97" i="3"/>
  <c r="L99" i="3"/>
  <c r="M77" i="3" l="1"/>
  <c r="M79" i="3" s="1"/>
  <c r="K77" i="3"/>
  <c r="K79" i="3" s="1"/>
  <c r="AA71" i="3"/>
  <c r="AA69" i="3" s="1"/>
  <c r="O69" i="3"/>
  <c r="J77" i="3"/>
  <c r="J79" i="3" s="1"/>
  <c r="N71" i="3"/>
  <c r="N69" i="3" s="1"/>
  <c r="K99" i="3"/>
  <c r="K97" i="3"/>
  <c r="M99" i="3"/>
  <c r="M97" i="3"/>
  <c r="J99" i="3"/>
  <c r="J97" i="3"/>
  <c r="I96" i="3"/>
  <c r="I77" i="3"/>
  <c r="O96" i="3" l="1"/>
  <c r="O77" i="3"/>
  <c r="I79" i="3"/>
  <c r="I81" i="3" s="1"/>
  <c r="J81" i="3" s="1"/>
  <c r="K81" i="3" s="1"/>
  <c r="L81" i="3" s="1"/>
  <c r="M81" i="3" s="1"/>
  <c r="N77" i="3"/>
  <c r="N79" i="3" s="1"/>
  <c r="N96" i="3"/>
  <c r="I87" i="3"/>
  <c r="O79" i="3" l="1"/>
  <c r="O81" i="3" s="1"/>
  <c r="P81" i="3" s="1"/>
  <c r="Q81" i="3" s="1"/>
  <c r="R81" i="3" s="1"/>
  <c r="S81" i="3" s="1"/>
  <c r="T81" i="3" s="1"/>
  <c r="U81" i="3" s="1"/>
  <c r="V81" i="3" s="1"/>
  <c r="W81" i="3" s="1"/>
  <c r="X81" i="3" s="1"/>
  <c r="Y81" i="3" s="1"/>
  <c r="Z81" i="3" s="1"/>
  <c r="AA77" i="3"/>
  <c r="AA79" i="3" s="1"/>
  <c r="O87" i="3"/>
  <c r="AA96" i="3"/>
  <c r="I97" i="3"/>
  <c r="I99" i="3"/>
  <c r="N87" i="3"/>
  <c r="O99" i="3" l="1"/>
  <c r="O97" i="3"/>
  <c r="AA97" i="3" s="1"/>
  <c r="AA87" i="3"/>
  <c r="I107" i="3"/>
  <c r="N97" i="3"/>
</calcChain>
</file>

<file path=xl/sharedStrings.xml><?xml version="1.0" encoding="utf-8"?>
<sst xmlns="http://schemas.openxmlformats.org/spreadsheetml/2006/main" count="1243" uniqueCount="386">
  <si>
    <t>Data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</si>
  <si>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</si>
  <si>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</si>
  <si>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</si>
  <si>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</si>
  <si>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</si>
  <si>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</si>
  <si>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</si>
  <si>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</si>
  <si>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</si>
  <si>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</si>
  <si>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</si>
  <si>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</si>
  <si>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Cód.</t>
  </si>
  <si>
    <t>Nome</t>
  </si>
  <si>
    <t>Descrição</t>
  </si>
  <si>
    <t>Valor Total</t>
  </si>
  <si>
    <t>Parcelas</t>
  </si>
  <si>
    <t>Valor Parcelado</t>
  </si>
  <si>
    <t>Nubank</t>
  </si>
  <si>
    <t>Natália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</si>
  <si>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</si>
  <si>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</si>
  <si>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</si>
  <si>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</si>
  <si>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</si>
  <si>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</si>
  <si>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</si>
  <si>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</si>
  <si>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</si>
  <si>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</si>
  <si>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</si>
  <si>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</si>
  <si>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Total </t>
  </si>
  <si>
    <t>Total da Receita   Líquida</t>
  </si>
  <si>
    <t xml:space="preserve">Total das despesas </t>
  </si>
  <si>
    <t>Saldo Mensal Receitas (-) Despesas</t>
  </si>
  <si>
    <t>Saldo acumulado no ano</t>
  </si>
  <si>
    <t>Total de Receitas</t>
  </si>
  <si>
    <t>Total de Despesas</t>
  </si>
  <si>
    <t>Saldo Acumulado no ano</t>
  </si>
  <si>
    <t>Receita</t>
  </si>
  <si>
    <t>Salário  / Adiantamento</t>
  </si>
  <si>
    <t>Férias</t>
  </si>
  <si>
    <t>13º salário</t>
  </si>
  <si>
    <t>Aposentadoria</t>
  </si>
  <si>
    <t>Receita extra (aluguel, restituição IR)</t>
  </si>
  <si>
    <t>Outras Receitas</t>
  </si>
  <si>
    <t>Despesa</t>
  </si>
  <si>
    <t>Alimentação</t>
  </si>
  <si>
    <t>Supermercado</t>
  </si>
  <si>
    <t>Feira  / Sacolão</t>
  </si>
  <si>
    <t>Padaria</t>
  </si>
  <si>
    <t>Refeição fora de casa</t>
  </si>
  <si>
    <t>Outros (café, água, sorvetes, etc)</t>
  </si>
  <si>
    <t>Moradia</t>
  </si>
  <si>
    <t>Prestação /Aluguel de imóvel</t>
  </si>
  <si>
    <t>Condomínio</t>
  </si>
  <si>
    <t>Consumo de água</t>
  </si>
  <si>
    <t>Energia Elétrica</t>
  </si>
  <si>
    <t>Gás</t>
  </si>
  <si>
    <t>IPTU</t>
  </si>
  <si>
    <t>Decoração da casa</t>
  </si>
  <si>
    <t>Manutenção / Reforma da casa</t>
  </si>
  <si>
    <t>Celular</t>
  </si>
  <si>
    <t>Telefone fixo</t>
  </si>
  <si>
    <t>Internet / TV a cabo</t>
  </si>
  <si>
    <t>Educação</t>
  </si>
  <si>
    <t xml:space="preserve">Matricula Escolar/ Mensalidade </t>
  </si>
  <si>
    <t>Material Escolar</t>
  </si>
  <si>
    <t>Outros cursos</t>
  </si>
  <si>
    <t>Transporte escolar</t>
  </si>
  <si>
    <t>Animal de Estimação</t>
  </si>
  <si>
    <t xml:space="preserve">Ração </t>
  </si>
  <si>
    <t>Banho / Tosa</t>
  </si>
  <si>
    <t>Veterinário / medicamento</t>
  </si>
  <si>
    <t>Outros (acessórios, brinquedos, hotel, dog walker)</t>
  </si>
  <si>
    <t>Saúde</t>
  </si>
  <si>
    <t>Plano de saúde</t>
  </si>
  <si>
    <t>Medicamentos</t>
  </si>
  <si>
    <t>Dentista</t>
  </si>
  <si>
    <t>Terapia / Psicólogo  / Acupuntura</t>
  </si>
  <si>
    <t>Médicos/Exames fora do plano de saúde</t>
  </si>
  <si>
    <t>Academia / Tratamento Estético</t>
  </si>
  <si>
    <t>Transporte</t>
  </si>
  <si>
    <t>Ônibus / Metrô</t>
  </si>
  <si>
    <t>Taxi</t>
  </si>
  <si>
    <t>Combustível</t>
  </si>
  <si>
    <t>Estacionamento</t>
  </si>
  <si>
    <t>Seguro Auto</t>
  </si>
  <si>
    <t>Manutenção / Lavagem / Troca de óleo</t>
  </si>
  <si>
    <t>Licenciamento</t>
  </si>
  <si>
    <t>Pedágio</t>
  </si>
  <si>
    <t>IPVA</t>
  </si>
  <si>
    <t>Pessoais</t>
  </si>
  <si>
    <t>Vestuário / Calçados / Acessórios</t>
  </si>
  <si>
    <t>Cabeleireiro / Manicure / Higiene pessoal</t>
  </si>
  <si>
    <t xml:space="preserve">Presentes </t>
  </si>
  <si>
    <t xml:space="preserve">Outros  </t>
  </si>
  <si>
    <t>Lazer</t>
  </si>
  <si>
    <t>Cinema / Teatro / Shows</t>
  </si>
  <si>
    <t xml:space="preserve">Livros / Revistas / Cd´s </t>
  </si>
  <si>
    <t>Clube / Parques / Casa Noturna</t>
  </si>
  <si>
    <t xml:space="preserve">Viagens </t>
  </si>
  <si>
    <t>Restaurantes / Bares / Festas</t>
  </si>
  <si>
    <t>Serviços Financeiros</t>
  </si>
  <si>
    <t>Empréstimos</t>
  </si>
  <si>
    <t>Aplicações (Poupança/ Prev.Privada/ Outros)</t>
  </si>
  <si>
    <t>Juros Cheque Especial</t>
  </si>
  <si>
    <t>Tarifas bancárias</t>
  </si>
  <si>
    <t>Financiamento de veículo</t>
  </si>
  <si>
    <t xml:space="preserve">Imposto de Renda a Pagar </t>
  </si>
  <si>
    <t xml:space="preserve">Resumo mensal das receitas e despesas realizadas no ano </t>
  </si>
  <si>
    <t>Cartão de Crédito</t>
  </si>
  <si>
    <t>Banco</t>
  </si>
  <si>
    <t>Valor a ser pago</t>
  </si>
  <si>
    <t>Itaú</t>
  </si>
  <si>
    <t>Renner</t>
  </si>
  <si>
    <t>Riachuelo</t>
  </si>
  <si>
    <t>Roupas</t>
  </si>
  <si>
    <t>Bolsa Protegida</t>
  </si>
  <si>
    <t>Parcelamento</t>
  </si>
  <si>
    <t>Baggaio</t>
  </si>
  <si>
    <t>GooglePlay</t>
  </si>
  <si>
    <t>Sky</t>
  </si>
  <si>
    <t>Microsoft</t>
  </si>
  <si>
    <t>Restaurante</t>
  </si>
  <si>
    <t>Qconcursos</t>
  </si>
  <si>
    <t>Rio Beleza</t>
  </si>
  <si>
    <t>Netflix</t>
  </si>
  <si>
    <t>Lojas Americanas</t>
  </si>
  <si>
    <t>Burguer King</t>
  </si>
  <si>
    <t>Doce Pelicula</t>
  </si>
  <si>
    <t>Rafael</t>
  </si>
  <si>
    <t>Elizabeth</t>
  </si>
  <si>
    <t>Calças</t>
  </si>
  <si>
    <t>Uber Do Brasil Tecnolo</t>
  </si>
  <si>
    <t>UNISUAM</t>
  </si>
  <si>
    <t>Weslley</t>
  </si>
  <si>
    <t>Zattini</t>
  </si>
  <si>
    <t>Máquina de Cartão</t>
  </si>
  <si>
    <t>C&amp;A</t>
  </si>
  <si>
    <t>O Amigão</t>
  </si>
  <si>
    <t>Leader</t>
  </si>
  <si>
    <t>Mercado Pago</t>
  </si>
  <si>
    <t>Xtrem</t>
  </si>
  <si>
    <t>UCB</t>
  </si>
  <si>
    <t>Drogaria Pop</t>
  </si>
  <si>
    <t>Anuidade</t>
  </si>
  <si>
    <t>Espaço Laser</t>
  </si>
  <si>
    <t>Alfa Concursos</t>
  </si>
  <si>
    <t>Kalunga</t>
  </si>
  <si>
    <t>Seguro Maxi Proteção</t>
  </si>
  <si>
    <t>Lig Bloqueio</t>
  </si>
  <si>
    <t>Seg Renda</t>
  </si>
  <si>
    <t>Mecanico</t>
  </si>
  <si>
    <t>Lojas Magal</t>
  </si>
  <si>
    <t>MR Protter</t>
  </si>
  <si>
    <t>Tec Concursos</t>
  </si>
  <si>
    <t>Mercadinho da Divisa</t>
  </si>
  <si>
    <t>Recreio</t>
  </si>
  <si>
    <t>Drogaria Atual</t>
  </si>
  <si>
    <t>Banco Inter</t>
  </si>
  <si>
    <t>Banco Itaú</t>
  </si>
  <si>
    <t>Caixa</t>
  </si>
  <si>
    <t>Banco Caixa</t>
  </si>
  <si>
    <t>Total</t>
  </si>
  <si>
    <t>Serviço de limpeza (diarista ou mensalista)</t>
  </si>
  <si>
    <t>DATA</t>
  </si>
  <si>
    <t>Quinta-feira</t>
  </si>
  <si>
    <t>Sexta-feira</t>
  </si>
  <si>
    <t>Segunda-feira</t>
  </si>
  <si>
    <t>Terça-feira</t>
  </si>
  <si>
    <t>Quarta-feira</t>
  </si>
  <si>
    <t>Dia</t>
  </si>
  <si>
    <t>VT</t>
  </si>
  <si>
    <t>VR</t>
  </si>
  <si>
    <t>Total Setembro</t>
  </si>
  <si>
    <t>SETEMBRO</t>
  </si>
  <si>
    <t>MÊS DE AQUISIÇÃO</t>
  </si>
  <si>
    <t xml:space="preserve">Mês </t>
  </si>
  <si>
    <t>Valor Cooparticipação</t>
  </si>
  <si>
    <t>Taxa</t>
  </si>
  <si>
    <t>Valor a ser descontado</t>
  </si>
  <si>
    <t>INSS</t>
  </si>
  <si>
    <t>TOTAL</t>
  </si>
  <si>
    <t>PLANO DE SAÚDE</t>
  </si>
  <si>
    <t>SALÁRIO A RECEBER</t>
  </si>
  <si>
    <t>SALÁRIO</t>
  </si>
  <si>
    <t>SALÁRIO RECEBIDO</t>
  </si>
  <si>
    <t>DIFERENÇA</t>
  </si>
  <si>
    <t>julho</t>
  </si>
  <si>
    <t>total desc.</t>
  </si>
  <si>
    <t>DIFERENÇA A SER DEVOLVIDA</t>
  </si>
  <si>
    <t>Lidiane</t>
  </si>
  <si>
    <t>Japa</t>
  </si>
  <si>
    <t>Spotify</t>
  </si>
  <si>
    <t>DATA DE PAGAMENTO</t>
  </si>
  <si>
    <t>VALOR</t>
  </si>
  <si>
    <t>MÊS</t>
  </si>
  <si>
    <t>Instituto Daniel</t>
  </si>
  <si>
    <t>Outros lanches</t>
  </si>
  <si>
    <t>Popoarismo</t>
  </si>
  <si>
    <t>Cris</t>
  </si>
  <si>
    <t>Marcela</t>
  </si>
  <si>
    <t>Bruna</t>
  </si>
  <si>
    <t>Escrita Fiscal</t>
  </si>
  <si>
    <t>Estrategia Concurso</t>
  </si>
  <si>
    <t>Palestra</t>
  </si>
  <si>
    <t>Rebeca</t>
  </si>
  <si>
    <t>Pizza</t>
  </si>
  <si>
    <t>DESAFIO MORAR SOZINHA</t>
  </si>
  <si>
    <t>1 Mês</t>
  </si>
  <si>
    <t>2 Mês</t>
  </si>
  <si>
    <t>3 Mês</t>
  </si>
  <si>
    <t>4 Mês</t>
  </si>
  <si>
    <t>5 Mês</t>
  </si>
  <si>
    <t>6 Mês</t>
  </si>
  <si>
    <t>7 Mês</t>
  </si>
  <si>
    <t>8 Mês</t>
  </si>
  <si>
    <t>9 Mês</t>
  </si>
  <si>
    <t>10 Mês</t>
  </si>
  <si>
    <t>11 Mês</t>
  </si>
  <si>
    <t>12 Mês</t>
  </si>
  <si>
    <t>Valor</t>
  </si>
  <si>
    <t>Mês</t>
  </si>
  <si>
    <t>Dia do Deposito</t>
  </si>
  <si>
    <t>Data de Compra</t>
  </si>
  <si>
    <t>Valor de Compra</t>
  </si>
  <si>
    <t>Código</t>
  </si>
  <si>
    <t>Variação</t>
  </si>
  <si>
    <t>Horário</t>
  </si>
  <si>
    <t>ITSA3F</t>
  </si>
  <si>
    <t>Verificação</t>
  </si>
  <si>
    <t xml:space="preserve">ITAUSA </t>
  </si>
  <si>
    <t>Vale Refeição</t>
  </si>
  <si>
    <t>EQUATORIAL</t>
  </si>
  <si>
    <t>EQTL3</t>
  </si>
  <si>
    <t>JBSS3</t>
  </si>
  <si>
    <t>ALPA4</t>
  </si>
  <si>
    <t>ALPARGATAS</t>
  </si>
  <si>
    <t>JBS</t>
  </si>
  <si>
    <t>CVC</t>
  </si>
  <si>
    <t>CVCB3</t>
  </si>
  <si>
    <t>MGLU3</t>
  </si>
  <si>
    <t>MAGAZINELUIZ</t>
  </si>
  <si>
    <t>FALTA</t>
  </si>
  <si>
    <t>Atual Clube - Seguro</t>
  </si>
  <si>
    <t>Lançamentos nacionais</t>
  </si>
  <si>
    <t>MAURO ELIR DE SOUZA (3189)</t>
  </si>
  <si>
    <t>MOVIMENTAÇÃO</t>
  </si>
  <si>
    <t>VALOR EM R$</t>
  </si>
  <si>
    <t>NETSHOES ZATTINI*Z08/10</t>
  </si>
  <si>
    <t>ame dig-AME Digita07/12</t>
  </si>
  <si>
    <t>PAG*MaquinaCartao 07/12</t>
  </si>
  <si>
    <t>MERCADO PAGO 04/04</t>
  </si>
  <si>
    <t>HOTMART *Xtrem04/05</t>
  </si>
  <si>
    <t>RIACHUELO 157 03/03</t>
  </si>
  <si>
    <t>KALUNGA MADUREIRA 03/03</t>
  </si>
  <si>
    <t>VIA VAREJO S A 03/08</t>
  </si>
  <si>
    <t>DROGARIA ATUAL 02/02</t>
  </si>
  <si>
    <t>PAG*InstitutoDanie02/06</t>
  </si>
  <si>
    <t>PG *TEC CONCURSOS</t>
  </si>
  <si>
    <t>PAG*JoseHenriqueVieir</t>
  </si>
  <si>
    <t>PARCELA DE ANUIDAD03/12</t>
  </si>
  <si>
    <t>MERCADINHO DIVISA</t>
  </si>
  <si>
    <t>MC DONALDS SJO</t>
  </si>
  <si>
    <t>VNE LANCHES DIVERSOS</t>
  </si>
  <si>
    <t>LUEL</t>
  </si>
  <si>
    <t>COMPUSA 01/02</t>
  </si>
  <si>
    <t>RECREIO</t>
  </si>
  <si>
    <t>HTM*HOTMART hotmar01/07</t>
  </si>
  <si>
    <t>PAG*MoriaGrill</t>
  </si>
  <si>
    <t>MR POTTIER</t>
  </si>
  <si>
    <t>AGAPE PIZZARIA</t>
  </si>
  <si>
    <t>PAG*Magazzino</t>
  </si>
  <si>
    <t>LANCHE URBANO</t>
  </si>
  <si>
    <t>SKY</t>
  </si>
  <si>
    <t>PAGOLIVRE*ESPLASE12X18</t>
  </si>
  <si>
    <t>LOJAS AMERICANAS 258</t>
  </si>
  <si>
    <t>PG *ESTRATEGIACON 01/12</t>
  </si>
  <si>
    <t>PG *ESTRATEGIACON 01/06</t>
  </si>
  <si>
    <t>MERCPAGO</t>
  </si>
  <si>
    <t>MERCPAGO*QCONCURSO01/12</t>
  </si>
  <si>
    <t>MERCPAGO*QCONCURSO02/12</t>
  </si>
  <si>
    <t>MERCPAGO*QCONCURSO03/12</t>
  </si>
  <si>
    <t>MERCPAGO*QCONCURSO04/12</t>
  </si>
  <si>
    <t>MERCPAGO*QCONCURSO05/12</t>
  </si>
  <si>
    <t>MERCPAGO*QCONCURSO06/12</t>
  </si>
  <si>
    <t>MERCPAGO*QCONCURSO07/12</t>
  </si>
  <si>
    <t>MERCPAGO*QCONCURSO08/12</t>
  </si>
  <si>
    <t>MERCPAGO*QCONCURSO09/12</t>
  </si>
  <si>
    <t>MERCPAGO*QCONCURSO10/12</t>
  </si>
  <si>
    <t>MERCPAGO*QCONCURSO11/12</t>
  </si>
  <si>
    <t>MERCPAGO*QCONCURSO12/12</t>
  </si>
  <si>
    <t>PAG*JoaoWilsonFaria</t>
  </si>
  <si>
    <t>HOTMART*ESCRITA FI01/05</t>
  </si>
  <si>
    <t>BURGER KING</t>
  </si>
  <si>
    <t>ZP *SYMPLA 1N601/03</t>
  </si>
  <si>
    <t>LUAR REDE DE POSTOS</t>
  </si>
  <si>
    <t>SUPERMERCADO GUANABARA</t>
  </si>
  <si>
    <t>CARLA LARISSA DE SANTA</t>
  </si>
  <si>
    <t>SEGURO MAXI PROTECAO</t>
  </si>
  <si>
    <t>LIG BLOQUEIO</t>
  </si>
  <si>
    <t>SEG RENDA EXTRA HOSP</t>
  </si>
  <si>
    <t>EBANX *SPOTIFY</t>
  </si>
  <si>
    <t>Crédito do cartão final (3189)</t>
  </si>
  <si>
    <t>Débito do cartão final (3189)</t>
  </si>
  <si>
    <t>natalia</t>
  </si>
  <si>
    <t>weslley</t>
  </si>
  <si>
    <t>elizabeth</t>
  </si>
  <si>
    <t>rafael</t>
  </si>
  <si>
    <t>lidane</t>
  </si>
  <si>
    <t>rebeca</t>
  </si>
  <si>
    <t>cancelado</t>
  </si>
  <si>
    <t>cris</t>
  </si>
  <si>
    <t>bruna</t>
  </si>
  <si>
    <t>marcela</t>
  </si>
  <si>
    <t>catia</t>
  </si>
  <si>
    <t>yuri</t>
  </si>
  <si>
    <t>mauro</t>
  </si>
  <si>
    <t>lidiane</t>
  </si>
  <si>
    <t>Catia</t>
  </si>
  <si>
    <t>Yuri</t>
  </si>
  <si>
    <t>OUTUBRO</t>
  </si>
  <si>
    <t>Drogaria Raia</t>
  </si>
  <si>
    <t>Mc Donalds</t>
  </si>
  <si>
    <t>DISSIDIO</t>
  </si>
  <si>
    <t>AGOSTO</t>
  </si>
  <si>
    <t>Adiantamento</t>
  </si>
  <si>
    <t>EMPRSTIMOS</t>
  </si>
  <si>
    <t>CARTÃO DE CRÉDITO</t>
  </si>
  <si>
    <t>DENTISTA</t>
  </si>
  <si>
    <t>NETSHOES ZATTINI*Z09/10</t>
  </si>
  <si>
    <t>ame dig-AME Digita08/12</t>
  </si>
  <si>
    <t>PAG*MaquinaCartao 08/12</t>
  </si>
  <si>
    <t>HOTMART *Xtrem05/05</t>
  </si>
  <si>
    <t>VIA VAREJO S A 04/08</t>
  </si>
  <si>
    <t>PAG*InstitutoDanie03/06</t>
  </si>
  <si>
    <t>PARCELA DE ANUIDAD04/12</t>
  </si>
  <si>
    <t>COMPUSA 02/02</t>
  </si>
  <si>
    <t>HTM*HOTMART hotmar02/07</t>
  </si>
  <si>
    <t>PAGOLIVRE*ESPLASE13X18</t>
  </si>
  <si>
    <t>PG *ESTRATEGIACON 02/12</t>
  </si>
  <si>
    <t>PG *ESTRATEGIACON 02/06</t>
  </si>
  <si>
    <t>HOTMART*ESCRITA FI02/05</t>
  </si>
  <si>
    <t>ZP *SYMPLA 1N602/03</t>
  </si>
  <si>
    <t>Valores</t>
  </si>
  <si>
    <t>Valor Contratado</t>
  </si>
  <si>
    <t>Data Inicio do Empréstimo</t>
  </si>
  <si>
    <t>Pagamento Mensal</t>
  </si>
  <si>
    <t>Tipo</t>
  </si>
  <si>
    <t>Déito na CC</t>
  </si>
  <si>
    <t>Taxa de Juros Mensal</t>
  </si>
  <si>
    <t>Descrição - 001</t>
  </si>
  <si>
    <t>N</t>
  </si>
  <si>
    <t>Data de Pagamento</t>
  </si>
  <si>
    <t>Valor da Parcela</t>
  </si>
  <si>
    <t>Período do empr. em meses</t>
  </si>
  <si>
    <t>Descrição - 002</t>
  </si>
  <si>
    <t>Descrição - 003</t>
  </si>
  <si>
    <t>Cheque Especial</t>
  </si>
  <si>
    <t>Descrição - Carro</t>
  </si>
  <si>
    <t>BV Financeira</t>
  </si>
  <si>
    <t>Carnê</t>
  </si>
  <si>
    <t>Ok</t>
  </si>
  <si>
    <t>Valor da Entrada</t>
  </si>
  <si>
    <t>Período do finan. em meses</t>
  </si>
  <si>
    <t>Salário</t>
  </si>
  <si>
    <t>Vale Refeição/Alimentação</t>
  </si>
  <si>
    <t>Aluguel</t>
  </si>
  <si>
    <t>Outros Cartões de Crédito</t>
  </si>
  <si>
    <t>Financiamentos</t>
  </si>
  <si>
    <t>Indeterminado</t>
  </si>
  <si>
    <t>Boleto</t>
  </si>
  <si>
    <t>Descrição - Plano Dental</t>
  </si>
  <si>
    <t>Data Inicio do Plano</t>
  </si>
  <si>
    <t>Seguradora</t>
  </si>
  <si>
    <t>Amil</t>
  </si>
  <si>
    <t>Ortopride</t>
  </si>
  <si>
    <t>Carne</t>
  </si>
  <si>
    <t>Descrição - Plano Odontológico</t>
  </si>
  <si>
    <t>Plano de saúde / Dental / Odontológico</t>
  </si>
  <si>
    <t xml:space="preserve">Receita extra </t>
  </si>
  <si>
    <t>Outras Receitas (Terceiros)</t>
  </si>
  <si>
    <t>Cartão - Itaú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</si>
</sst>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.00_-;\-* #,##0.00_-;_-* \-??_-;_-@_-"/>
    <numFmt numFmtId="165" formatCode="_(* #,##0.00_);_(* \(#,##0.00\);_(* \-??_);_(@_)"/>
    <numFmt numFmtId="166" formatCode="_(* #,##0.00_);_(* \(#,##0.00\);_(* &quot;-&quot;_);_(@_)"/>
    <numFmt numFmtId="167" formatCode="_(* #,##0_);_(* \(#,##0\);_(* &quot;-&quot;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rgb="FF00234C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88402966399123"/>
      </left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/>
      <top/>
      <bottom style="medium">
        <color rgb="FF00234C"/>
      </bottom>
      <diagonal/>
    </border>
    <border>
      <left/>
      <right/>
      <top/>
      <bottom style="medium">
        <color rgb="FF6E6E6E"/>
      </bottom>
      <diagonal/>
    </border>
    <border>
      <left/>
      <right/>
      <top style="medium">
        <color rgb="FF00234C"/>
      </top>
      <bottom style="medium">
        <color rgb="FF6E6E6E"/>
      </bottom>
      <diagonal/>
    </border>
    <border>
      <left/>
      <right/>
      <top style="medium">
        <color rgb="FF6E6E6E"/>
      </top>
      <bottom style="medium">
        <color rgb="FF6E6E6E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Font="1" applyFill="1"/>
    <xf numFmtId="165" fontId="0" fillId="0" borderId="0" xfId="1" applyNumberFormat="1" applyFont="1" applyFill="1"/>
    <xf numFmtId="0" fontId="7" fillId="0" borderId="0" xfId="0" applyFont="1" applyFill="1"/>
    <xf numFmtId="165" fontId="7" fillId="0" borderId="0" xfId="1" applyNumberFormat="1" applyFont="1" applyFill="1"/>
    <xf numFmtId="43" fontId="7" fillId="0" borderId="0" xfId="1" applyFont="1" applyFill="1"/>
    <xf numFmtId="166" fontId="7" fillId="0" borderId="0" xfId="0" applyNumberFormat="1" applyFont="1" applyFill="1"/>
    <xf numFmtId="0" fontId="6" fillId="0" borderId="0" xfId="0" applyFont="1" applyFill="1"/>
    <xf numFmtId="164" fontId="7" fillId="0" borderId="0" xfId="0" applyNumberFormat="1" applyFont="1" applyFill="1"/>
    <xf numFmtId="167" fontId="7" fillId="0" borderId="0" xfId="0" applyNumberFormat="1" applyFont="1" applyFill="1"/>
    <xf numFmtId="0" fontId="7" fillId="0" borderId="0" xfId="0" applyFont="1" applyFill="1" applyAlignment="1">
      <alignment horizontal="center" vertical="center"/>
    </xf>
    <xf numFmtId="43" fontId="6" fillId="0" borderId="1" xfId="1" applyFont="1" applyFill="1" applyBorder="1"/>
    <xf numFmtId="165" fontId="6" fillId="0" borderId="1" xfId="1" applyNumberFormat="1" applyFont="1" applyFill="1" applyBorder="1"/>
    <xf numFmtId="0" fontId="7" fillId="0" borderId="1" xfId="0" applyFont="1" applyFill="1" applyBorder="1"/>
    <xf numFmtId="165" fontId="7" fillId="0" borderId="1" xfId="1" applyNumberFormat="1" applyFont="1" applyFill="1" applyBorder="1"/>
    <xf numFmtId="43" fontId="6" fillId="0" borderId="1" xfId="1" applyFont="1" applyFill="1" applyBorder="1" applyAlignment="1">
      <alignment horizontal="left" vertical="center"/>
    </xf>
    <xf numFmtId="0" fontId="2" fillId="0" borderId="0" xfId="0" applyFont="1" applyFill="1"/>
    <xf numFmtId="0" fontId="7" fillId="2" borderId="1" xfId="0" applyFont="1" applyFill="1" applyBorder="1"/>
    <xf numFmtId="165" fontId="7" fillId="2" borderId="1" xfId="1" applyNumberFormat="1" applyFont="1" applyFill="1" applyBorder="1"/>
    <xf numFmtId="43" fontId="7" fillId="2" borderId="1" xfId="1" applyFont="1" applyFill="1" applyBorder="1"/>
    <xf numFmtId="166" fontId="7" fillId="2" borderId="1" xfId="0" applyNumberFormat="1" applyFont="1" applyFill="1" applyBorder="1"/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/>
    <xf numFmtId="0" fontId="0" fillId="0" borderId="1" xfId="0" applyFill="1" applyBorder="1"/>
    <xf numFmtId="4" fontId="0" fillId="0" borderId="1" xfId="0" applyNumberFormat="1" applyFill="1" applyBorder="1"/>
    <xf numFmtId="43" fontId="7" fillId="0" borderId="0" xfId="0" applyNumberFormat="1" applyFont="1" applyFill="1"/>
    <xf numFmtId="0" fontId="7" fillId="5" borderId="1" xfId="0" applyFont="1" applyFill="1" applyBorder="1"/>
    <xf numFmtId="165" fontId="7" fillId="5" borderId="1" xfId="1" applyNumberFormat="1" applyFont="1" applyFill="1" applyBorder="1"/>
    <xf numFmtId="4" fontId="0" fillId="0" borderId="0" xfId="0" applyNumberFormat="1"/>
    <xf numFmtId="165" fontId="9" fillId="0" borderId="1" xfId="1" applyNumberFormat="1" applyFont="1" applyFill="1" applyBorder="1"/>
    <xf numFmtId="43" fontId="0" fillId="0" borderId="0" xfId="0" applyNumberFormat="1" applyFont="1" applyFill="1"/>
    <xf numFmtId="14" fontId="0" fillId="0" borderId="1" xfId="0" applyNumberFormat="1" applyBorder="1"/>
    <xf numFmtId="0" fontId="11" fillId="0" borderId="1" xfId="0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4" fontId="12" fillId="3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3" fontId="0" fillId="0" borderId="5" xfId="1" applyFont="1" applyBorder="1"/>
    <xf numFmtId="0" fontId="0" fillId="0" borderId="5" xfId="0" applyBorder="1"/>
    <xf numFmtId="0" fontId="4" fillId="0" borderId="5" xfId="0" applyFont="1" applyBorder="1"/>
    <xf numFmtId="43" fontId="4" fillId="0" borderId="5" xfId="0" applyNumberFormat="1" applyFont="1" applyBorder="1"/>
    <xf numFmtId="43" fontId="0" fillId="0" borderId="0" xfId="0" applyNumberFormat="1" applyAlignment="1">
      <alignment horizontal="center" vertical="center" wrapText="1"/>
    </xf>
    <xf numFmtId="43" fontId="4" fillId="3" borderId="5" xfId="1" applyFont="1" applyFill="1" applyBorder="1"/>
    <xf numFmtId="43" fontId="4" fillId="3" borderId="5" xfId="0" applyNumberFormat="1" applyFont="1" applyFill="1" applyBorder="1" applyAlignment="1">
      <alignment horizontal="center" vertical="center" wrapText="1"/>
    </xf>
    <xf numFmtId="43" fontId="0" fillId="6" borderId="5" xfId="1" applyFont="1" applyFill="1" applyBorder="1"/>
    <xf numFmtId="0" fontId="14" fillId="0" borderId="0" xfId="0" applyFont="1"/>
    <xf numFmtId="0" fontId="13" fillId="4" borderId="6" xfId="0" applyFont="1" applyFill="1" applyBorder="1" applyAlignment="1">
      <alignment horizontal="center" vertical="center" wrapText="1"/>
    </xf>
    <xf numFmtId="17" fontId="13" fillId="4" borderId="6" xfId="0" applyNumberFormat="1" applyFont="1" applyFill="1" applyBorder="1" applyAlignment="1">
      <alignment horizontal="center" vertical="center" wrapText="1"/>
    </xf>
    <xf numFmtId="4" fontId="0" fillId="0" borderId="6" xfId="0" applyNumberFormat="1" applyBorder="1"/>
    <xf numFmtId="0" fontId="0" fillId="0" borderId="6" xfId="0" applyBorder="1"/>
    <xf numFmtId="14" fontId="0" fillId="0" borderId="1" xfId="0" applyNumberFormat="1" applyFill="1" applyBorder="1"/>
    <xf numFmtId="43" fontId="0" fillId="0" borderId="0" xfId="1" applyFont="1"/>
    <xf numFmtId="43" fontId="0" fillId="0" borderId="0" xfId="0" applyNumberFormat="1"/>
    <xf numFmtId="4" fontId="11" fillId="5" borderId="1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7" fillId="7" borderId="12" xfId="0" applyFont="1" applyFill="1" applyBorder="1" applyAlignment="1">
      <alignment horizontal="left" vertical="center"/>
    </xf>
    <xf numFmtId="16" fontId="18" fillId="7" borderId="12" xfId="0" applyNumberFormat="1" applyFont="1" applyFill="1" applyBorder="1" applyAlignment="1">
      <alignment horizontal="left" vertical="center" wrapText="1"/>
    </xf>
    <xf numFmtId="0" fontId="18" fillId="7" borderId="12" xfId="0" applyFont="1" applyFill="1" applyBorder="1" applyAlignment="1">
      <alignment horizontal="left" vertical="center"/>
    </xf>
    <xf numFmtId="0" fontId="18" fillId="7" borderId="12" xfId="0" applyFont="1" applyFill="1" applyBorder="1" applyAlignment="1">
      <alignment horizontal="left" vertical="center" wrapText="1"/>
    </xf>
    <xf numFmtId="43" fontId="17" fillId="7" borderId="12" xfId="1" applyFont="1" applyFill="1" applyBorder="1" applyAlignment="1">
      <alignment horizontal="right" vertical="center"/>
    </xf>
    <xf numFmtId="43" fontId="18" fillId="7" borderId="12" xfId="1" applyFont="1" applyFill="1" applyBorder="1" applyAlignment="1">
      <alignment horizontal="right" vertical="center" wrapText="1"/>
    </xf>
    <xf numFmtId="43" fontId="17" fillId="7" borderId="12" xfId="1" applyFont="1" applyFill="1" applyBorder="1" applyAlignment="1">
      <alignment horizontal="right" vertical="center" wrapText="1"/>
    </xf>
    <xf numFmtId="43" fontId="18" fillId="3" borderId="12" xfId="1" applyFont="1" applyFill="1" applyBorder="1" applyAlignment="1">
      <alignment horizontal="right" vertical="center" wrapText="1"/>
    </xf>
    <xf numFmtId="0" fontId="0" fillId="3" borderId="0" xfId="0" applyFill="1"/>
    <xf numFmtId="43" fontId="17" fillId="7" borderId="13" xfId="1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5" borderId="0" xfId="0" applyFill="1"/>
    <xf numFmtId="16" fontId="18" fillId="8" borderId="12" xfId="0" applyNumberFormat="1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43" fontId="18" fillId="8" borderId="12" xfId="1" applyFont="1" applyFill="1" applyBorder="1" applyAlignment="1">
      <alignment horizontal="right" vertical="center" wrapText="1"/>
    </xf>
    <xf numFmtId="0" fontId="0" fillId="8" borderId="0" xfId="0" applyFill="1"/>
    <xf numFmtId="16" fontId="18" fillId="9" borderId="12" xfId="0" applyNumberFormat="1" applyFont="1" applyFill="1" applyBorder="1" applyAlignment="1">
      <alignment horizontal="left" vertical="center" wrapText="1"/>
    </xf>
    <xf numFmtId="0" fontId="18" fillId="9" borderId="12" xfId="0" applyFont="1" applyFill="1" applyBorder="1" applyAlignment="1">
      <alignment horizontal="left" vertical="center" wrapText="1"/>
    </xf>
    <xf numFmtId="43" fontId="18" fillId="9" borderId="12" xfId="1" applyFont="1" applyFill="1" applyBorder="1" applyAlignment="1">
      <alignment horizontal="right" vertical="center" wrapText="1"/>
    </xf>
    <xf numFmtId="0" fontId="0" fillId="9" borderId="0" xfId="0" applyFill="1"/>
    <xf numFmtId="4" fontId="0" fillId="9" borderId="6" xfId="0" applyNumberFormat="1" applyFill="1" applyBorder="1"/>
    <xf numFmtId="0" fontId="18" fillId="9" borderId="12" xfId="0" applyFont="1" applyFill="1" applyBorder="1" applyAlignment="1">
      <alignment horizontal="left" vertical="center"/>
    </xf>
    <xf numFmtId="16" fontId="18" fillId="0" borderId="12" xfId="0" applyNumberFormat="1" applyFont="1" applyFill="1" applyBorder="1" applyAlignment="1">
      <alignment horizontal="left" vertical="center" wrapText="1"/>
    </xf>
    <xf numFmtId="0" fontId="18" fillId="0" borderId="12" xfId="0" applyFont="1" applyFill="1" applyBorder="1" applyAlignment="1">
      <alignment horizontal="left" vertical="center" wrapText="1"/>
    </xf>
    <xf numFmtId="43" fontId="18" fillId="0" borderId="12" xfId="1" applyFont="1" applyFill="1" applyBorder="1" applyAlignment="1">
      <alignment horizontal="right" vertical="center" wrapText="1"/>
    </xf>
    <xf numFmtId="0" fontId="0" fillId="0" borderId="0" xfId="0" applyFill="1"/>
    <xf numFmtId="0" fontId="11" fillId="3" borderId="1" xfId="0" applyFont="1" applyFill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4" fontId="11" fillId="3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4" fontId="11" fillId="9" borderId="1" xfId="0" applyNumberFormat="1" applyFont="1" applyFill="1" applyBorder="1" applyAlignment="1">
      <alignment horizontal="center"/>
    </xf>
    <xf numFmtId="4" fontId="11" fillId="9" borderId="1" xfId="0" applyNumberFormat="1" applyFont="1" applyFill="1" applyBorder="1" applyAlignment="1">
      <alignment horizontal="center"/>
    </xf>
    <xf numFmtId="4" fontId="11" fillId="0" borderId="0" xfId="0" applyNumberFormat="1" applyFont="1"/>
    <xf numFmtId="9" fontId="11" fillId="0" borderId="0" xfId="0" applyNumberFormat="1" applyFont="1"/>
    <xf numFmtId="4" fontId="0" fillId="0" borderId="5" xfId="1" applyNumberFormat="1" applyFont="1" applyBorder="1"/>
    <xf numFmtId="10" fontId="0" fillId="0" borderId="5" xfId="2" applyNumberFormat="1" applyFont="1" applyBorder="1"/>
    <xf numFmtId="4" fontId="0" fillId="0" borderId="5" xfId="0" applyNumberFormat="1" applyBorder="1"/>
    <xf numFmtId="14" fontId="0" fillId="0" borderId="5" xfId="0" applyNumberFormat="1" applyBorder="1"/>
    <xf numFmtId="0" fontId="15" fillId="0" borderId="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4" fontId="0" fillId="0" borderId="5" xfId="0" applyNumberFormat="1" applyFill="1" applyBorder="1"/>
    <xf numFmtId="4" fontId="0" fillId="0" borderId="19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7" fontId="8" fillId="0" borderId="0" xfId="0" applyNumberFormat="1" applyFont="1" applyAlignment="1"/>
    <xf numFmtId="17" fontId="19" fillId="0" borderId="0" xfId="0" applyNumberFormat="1" applyFont="1" applyAlignment="1"/>
    <xf numFmtId="4" fontId="19" fillId="0" borderId="0" xfId="0" applyNumberFormat="1" applyFont="1"/>
    <xf numFmtId="0" fontId="0" fillId="0" borderId="19" xfId="0" applyFont="1" applyBorder="1" applyAlignment="1">
      <alignment horizontal="center"/>
    </xf>
    <xf numFmtId="4" fontId="0" fillId="0" borderId="19" xfId="0" applyNumberFormat="1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4" fontId="0" fillId="0" borderId="20" xfId="0" applyNumberFormat="1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4" fontId="0" fillId="0" borderId="21" xfId="0" applyNumberFormat="1" applyFont="1" applyBorder="1" applyAlignment="1">
      <alignment horizontal="center"/>
    </xf>
    <xf numFmtId="14" fontId="0" fillId="0" borderId="19" xfId="0" applyNumberFormat="1" applyFont="1" applyBorder="1" applyAlignment="1">
      <alignment horizontal="center"/>
    </xf>
    <xf numFmtId="14" fontId="0" fillId="0" borderId="20" xfId="0" applyNumberFormat="1" applyFont="1" applyBorder="1" applyAlignment="1">
      <alignment horizontal="center"/>
    </xf>
    <xf numFmtId="14" fontId="0" fillId="0" borderId="21" xfId="0" applyNumberFormat="1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7" fontId="14" fillId="0" borderId="0" xfId="0" applyNumberFormat="1" applyFont="1"/>
    <xf numFmtId="4" fontId="14" fillId="0" borderId="0" xfId="0" applyNumberFormat="1" applyFont="1"/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6" fillId="7" borderId="11" xfId="0" applyFont="1" applyFill="1" applyBorder="1" applyAlignment="1">
      <alignment horizontal="left" vertical="center" wrapText="1"/>
    </xf>
    <xf numFmtId="43" fontId="16" fillId="7" borderId="11" xfId="1" applyFont="1" applyFill="1" applyBorder="1" applyAlignment="1">
      <alignment horizontal="left" vertical="center" wrapText="1"/>
    </xf>
    <xf numFmtId="0" fontId="17" fillId="7" borderId="14" xfId="0" applyFont="1" applyFill="1" applyBorder="1" applyAlignment="1">
      <alignment horizontal="left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Normal="100" workbookViewId="0">
      <selection activeCell="N7" sqref="N7"/>
    </sheetView>
  </sheetViews>
  <sheetFormatPr defaultRowHeight="15" x14ac:dyDescent="0.25"/>
  <cols>
    <col min="1" max="1" width="15.5703125" bestFit="1" customWidth="1"/>
    <col min="2" max="2" width="10.7109375" bestFit="1" customWidth="1"/>
    <col min="14" max="14" width="12" bestFit="1" customWidth="1"/>
  </cols>
  <sheetData>
    <row r="1" spans="1:14" ht="18.75" x14ac:dyDescent="0.25">
      <c r="A1" s="142" t="s">
        <v>211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4"/>
    </row>
    <row r="2" spans="1:14" x14ac:dyDescent="0.25">
      <c r="A2" s="65" t="s">
        <v>225</v>
      </c>
      <c r="B2" s="65" t="s">
        <v>212</v>
      </c>
      <c r="C2" s="65" t="s">
        <v>213</v>
      </c>
      <c r="D2" s="65" t="s">
        <v>214</v>
      </c>
      <c r="E2" s="65" t="s">
        <v>215</v>
      </c>
      <c r="F2" s="65" t="s">
        <v>216</v>
      </c>
      <c r="G2" s="65" t="s">
        <v>217</v>
      </c>
      <c r="H2" s="65" t="s">
        <v>218</v>
      </c>
      <c r="I2" s="65" t="s">
        <v>219</v>
      </c>
      <c r="J2" s="65" t="s">
        <v>220</v>
      </c>
      <c r="K2" s="65" t="s">
        <v>221</v>
      </c>
      <c r="L2" s="65" t="s">
        <v>222</v>
      </c>
      <c r="M2" s="65" t="s">
        <v>223</v>
      </c>
      <c r="N2" s="65" t="s">
        <v>166</v>
      </c>
    </row>
    <row r="3" spans="1:14" x14ac:dyDescent="0.25">
      <c r="A3" s="65"/>
      <c r="B3" s="70">
        <v>43739</v>
      </c>
      <c r="C3" s="70">
        <v>43770</v>
      </c>
      <c r="D3" s="70">
        <v>43800</v>
      </c>
      <c r="E3" s="70">
        <v>43831</v>
      </c>
      <c r="F3" s="70">
        <v>43862</v>
      </c>
      <c r="G3" s="70">
        <v>43891</v>
      </c>
      <c r="H3" s="70">
        <v>43922</v>
      </c>
      <c r="I3" s="70">
        <v>43952</v>
      </c>
      <c r="J3" s="70">
        <v>43983</v>
      </c>
      <c r="K3" s="70">
        <v>44013</v>
      </c>
      <c r="L3" s="70">
        <v>44044</v>
      </c>
      <c r="M3" s="70">
        <v>44075</v>
      </c>
      <c r="N3" s="65"/>
    </row>
    <row r="4" spans="1:14" x14ac:dyDescent="0.25">
      <c r="A4" s="2" t="s">
        <v>224</v>
      </c>
      <c r="B4" s="2">
        <v>37.5</v>
      </c>
      <c r="C4" s="2">
        <v>75</v>
      </c>
      <c r="D4" s="2">
        <v>115</v>
      </c>
      <c r="E4" s="2">
        <v>200</v>
      </c>
      <c r="F4" s="2">
        <v>205</v>
      </c>
      <c r="G4" s="2">
        <v>1000</v>
      </c>
      <c r="H4" s="2">
        <v>1362.5</v>
      </c>
      <c r="I4" s="2">
        <v>1365</v>
      </c>
      <c r="J4" s="2">
        <v>1375</v>
      </c>
      <c r="K4" s="2">
        <v>1525</v>
      </c>
      <c r="L4" s="2">
        <v>1687</v>
      </c>
      <c r="M4" s="2">
        <v>1838</v>
      </c>
      <c r="N4" s="2">
        <f>SUM(B4:M4)</f>
        <v>10785</v>
      </c>
    </row>
    <row r="5" spans="1:14" x14ac:dyDescent="0.25">
      <c r="A5" s="2" t="s">
        <v>226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C6" s="63"/>
    </row>
    <row r="7" spans="1:14" x14ac:dyDescent="0.25">
      <c r="C7" s="63"/>
    </row>
    <row r="8" spans="1:14" x14ac:dyDescent="0.25">
      <c r="C8" s="63"/>
    </row>
    <row r="9" spans="1:14" x14ac:dyDescent="0.25">
      <c r="C9" s="63"/>
    </row>
    <row r="10" spans="1:14" x14ac:dyDescent="0.25">
      <c r="C10" s="63"/>
    </row>
    <row r="11" spans="1:14" x14ac:dyDescent="0.25">
      <c r="C11" s="63"/>
    </row>
    <row r="12" spans="1:14" x14ac:dyDescent="0.25">
      <c r="B12" s="62"/>
    </row>
    <row r="13" spans="1:14" x14ac:dyDescent="0.25">
      <c r="F13" s="62"/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26" sqref="B26"/>
    </sheetView>
  </sheetViews>
  <sheetFormatPr defaultRowHeight="15" x14ac:dyDescent="0.25"/>
  <cols>
    <col min="1" max="4" width="16.140625" customWidth="1"/>
    <col min="6" max="9" width="16.140625" customWidth="1"/>
  </cols>
  <sheetData>
    <row r="1" spans="1:9" x14ac:dyDescent="0.25">
      <c r="A1" s="66" t="s">
        <v>229</v>
      </c>
      <c r="B1" s="67" t="s">
        <v>232</v>
      </c>
      <c r="C1" s="66" t="s">
        <v>230</v>
      </c>
      <c r="D1" s="68">
        <v>3.8E-3</v>
      </c>
      <c r="F1" s="66" t="s">
        <v>229</v>
      </c>
      <c r="G1" s="67" t="s">
        <v>232</v>
      </c>
      <c r="H1" s="66" t="s">
        <v>230</v>
      </c>
      <c r="I1" s="68">
        <v>3.8E-3</v>
      </c>
    </row>
    <row r="2" spans="1:9" x14ac:dyDescent="0.25">
      <c r="A2" s="66" t="s">
        <v>224</v>
      </c>
      <c r="B2" s="67">
        <v>13.05</v>
      </c>
      <c r="C2" s="66" t="s">
        <v>231</v>
      </c>
      <c r="D2" s="69">
        <v>0.47569444444444442</v>
      </c>
      <c r="F2" s="66" t="s">
        <v>224</v>
      </c>
      <c r="G2" s="67">
        <v>13.05</v>
      </c>
      <c r="H2" s="66" t="s">
        <v>231</v>
      </c>
      <c r="I2" s="69">
        <v>0.47569444444444442</v>
      </c>
    </row>
    <row r="3" spans="1:9" x14ac:dyDescent="0.25">
      <c r="A3" s="66" t="s">
        <v>227</v>
      </c>
      <c r="B3" s="67"/>
      <c r="C3" s="149" t="s">
        <v>234</v>
      </c>
      <c r="D3" s="150"/>
      <c r="F3" s="66" t="s">
        <v>227</v>
      </c>
      <c r="G3" s="67"/>
      <c r="H3" s="66"/>
      <c r="I3" s="67"/>
    </row>
    <row r="4" spans="1:9" x14ac:dyDescent="0.25">
      <c r="A4" s="66" t="s">
        <v>228</v>
      </c>
      <c r="B4" s="67"/>
      <c r="C4" s="151"/>
      <c r="D4" s="152"/>
      <c r="F4" s="66" t="s">
        <v>228</v>
      </c>
      <c r="G4" s="67"/>
      <c r="H4" s="66"/>
      <c r="I4" s="67"/>
    </row>
    <row r="5" spans="1:9" x14ac:dyDescent="0.25">
      <c r="A5" s="145" t="s">
        <v>233</v>
      </c>
      <c r="B5" s="145"/>
      <c r="C5" s="145" t="s">
        <v>224</v>
      </c>
      <c r="D5" s="145"/>
      <c r="F5" s="145" t="s">
        <v>233</v>
      </c>
      <c r="G5" s="145"/>
      <c r="H5" s="145" t="s">
        <v>224</v>
      </c>
      <c r="I5" s="145"/>
    </row>
    <row r="6" spans="1:9" x14ac:dyDescent="0.25">
      <c r="A6" s="147"/>
      <c r="B6" s="148"/>
      <c r="C6" s="146"/>
      <c r="D6" s="146"/>
      <c r="F6" s="147"/>
      <c r="G6" s="148"/>
      <c r="H6" s="146"/>
      <c r="I6" s="146"/>
    </row>
    <row r="7" spans="1:9" x14ac:dyDescent="0.25">
      <c r="A7" s="147"/>
      <c r="B7" s="148"/>
      <c r="C7" s="147"/>
      <c r="D7" s="148"/>
      <c r="F7" s="147"/>
      <c r="G7" s="148"/>
      <c r="H7" s="147"/>
      <c r="I7" s="148"/>
    </row>
    <row r="8" spans="1:9" x14ac:dyDescent="0.25">
      <c r="A8" s="147"/>
      <c r="B8" s="148"/>
      <c r="C8" s="147"/>
      <c r="D8" s="148"/>
      <c r="F8" s="147"/>
      <c r="G8" s="148"/>
      <c r="H8" s="147"/>
      <c r="I8" s="148"/>
    </row>
    <row r="9" spans="1:9" x14ac:dyDescent="0.25">
      <c r="A9" s="147"/>
      <c r="B9" s="148"/>
      <c r="C9" s="147"/>
      <c r="D9" s="148"/>
      <c r="F9" s="147"/>
      <c r="G9" s="148"/>
      <c r="H9" s="147"/>
      <c r="I9" s="148"/>
    </row>
    <row r="10" spans="1:9" x14ac:dyDescent="0.25">
      <c r="A10" s="147"/>
      <c r="B10" s="148"/>
      <c r="C10" s="147"/>
      <c r="D10" s="148"/>
      <c r="F10" s="147"/>
      <c r="G10" s="148"/>
      <c r="H10" s="147"/>
      <c r="I10" s="148"/>
    </row>
    <row r="11" spans="1:9" x14ac:dyDescent="0.25">
      <c r="A11" s="147"/>
      <c r="B11" s="148"/>
      <c r="C11" s="146"/>
      <c r="D11" s="146"/>
      <c r="F11" s="147"/>
      <c r="G11" s="148"/>
      <c r="H11" s="146"/>
      <c r="I11" s="146"/>
    </row>
    <row r="12" spans="1:9" x14ac:dyDescent="0.25">
      <c r="A12" s="147"/>
      <c r="B12" s="148"/>
      <c r="C12" s="146"/>
      <c r="D12" s="146"/>
      <c r="F12" s="147"/>
      <c r="G12" s="148"/>
      <c r="H12" s="146"/>
      <c r="I12" s="146"/>
    </row>
    <row r="13" spans="1:9" x14ac:dyDescent="0.25">
      <c r="A13" s="147"/>
      <c r="B13" s="148"/>
      <c r="C13" s="146"/>
      <c r="D13" s="146"/>
      <c r="F13" s="147"/>
      <c r="G13" s="148"/>
      <c r="H13" s="146"/>
      <c r="I13" s="146"/>
    </row>
    <row r="14" spans="1:9" x14ac:dyDescent="0.25">
      <c r="A14" s="147"/>
      <c r="B14" s="148"/>
      <c r="C14" s="146"/>
      <c r="D14" s="146"/>
      <c r="F14" s="147"/>
      <c r="G14" s="148"/>
      <c r="H14" s="146"/>
      <c r="I14" s="146"/>
    </row>
    <row r="15" spans="1:9" x14ac:dyDescent="0.25">
      <c r="A15" s="147"/>
      <c r="B15" s="148"/>
      <c r="C15" s="146"/>
      <c r="D15" s="146"/>
      <c r="F15" s="147"/>
      <c r="G15" s="148"/>
      <c r="H15" s="146"/>
      <c r="I15" s="146"/>
    </row>
    <row r="16" spans="1:9" x14ac:dyDescent="0.25">
      <c r="A16" s="147"/>
      <c r="B16" s="148"/>
      <c r="C16" s="146"/>
      <c r="D16" s="146"/>
      <c r="F16" s="147"/>
      <c r="G16" s="148"/>
      <c r="H16" s="146"/>
      <c r="I16" s="146"/>
    </row>
    <row r="17" spans="1:9" x14ac:dyDescent="0.25">
      <c r="A17" s="147"/>
      <c r="B17" s="148"/>
      <c r="C17" s="146"/>
      <c r="D17" s="146"/>
      <c r="F17" s="147"/>
      <c r="G17" s="148"/>
      <c r="H17" s="146"/>
      <c r="I17" s="146"/>
    </row>
    <row r="18" spans="1:9" x14ac:dyDescent="0.25">
      <c r="A18" s="147"/>
      <c r="B18" s="148"/>
      <c r="C18" s="146"/>
      <c r="D18" s="146"/>
      <c r="F18" s="147"/>
      <c r="G18" s="148"/>
      <c r="H18" s="146"/>
      <c r="I18" s="146"/>
    </row>
    <row r="19" spans="1:9" x14ac:dyDescent="0.25">
      <c r="A19" s="147"/>
      <c r="B19" s="148"/>
      <c r="C19" s="146"/>
      <c r="D19" s="146"/>
      <c r="F19" s="147"/>
      <c r="G19" s="148"/>
      <c r="H19" s="146"/>
      <c r="I19" s="146"/>
    </row>
    <row r="21" spans="1:9" x14ac:dyDescent="0.25">
      <c r="B21" t="s">
        <v>236</v>
      </c>
      <c r="C21" t="s">
        <v>237</v>
      </c>
    </row>
    <row r="22" spans="1:9" x14ac:dyDescent="0.25">
      <c r="B22" t="s">
        <v>241</v>
      </c>
      <c r="C22" t="s">
        <v>238</v>
      </c>
    </row>
    <row r="23" spans="1:9" x14ac:dyDescent="0.25">
      <c r="B23" t="s">
        <v>240</v>
      </c>
      <c r="C23" t="s">
        <v>239</v>
      </c>
    </row>
    <row r="24" spans="1:9" x14ac:dyDescent="0.25">
      <c r="B24" t="s">
        <v>242</v>
      </c>
      <c r="C24" t="s">
        <v>243</v>
      </c>
    </row>
    <row r="25" spans="1:9" x14ac:dyDescent="0.25">
      <c r="B25" t="s">
        <v>245</v>
      </c>
      <c r="C25" t="s">
        <v>244</v>
      </c>
    </row>
  </sheetData>
  <mergeCells count="61">
    <mergeCell ref="F18:G18"/>
    <mergeCell ref="H18:I18"/>
    <mergeCell ref="F19:G19"/>
    <mergeCell ref="H19:I19"/>
    <mergeCell ref="C3:D4"/>
    <mergeCell ref="F15:G15"/>
    <mergeCell ref="H15:I15"/>
    <mergeCell ref="F16:G16"/>
    <mergeCell ref="H16:I16"/>
    <mergeCell ref="F17:G17"/>
    <mergeCell ref="H17:I17"/>
    <mergeCell ref="F12:G12"/>
    <mergeCell ref="H12:I12"/>
    <mergeCell ref="F13:G13"/>
    <mergeCell ref="H13:I13"/>
    <mergeCell ref="F14:G14"/>
    <mergeCell ref="F8:G8"/>
    <mergeCell ref="H8:I8"/>
    <mergeCell ref="A16:B16"/>
    <mergeCell ref="C16:D16"/>
    <mergeCell ref="A17:B17"/>
    <mergeCell ref="C17:D17"/>
    <mergeCell ref="H14:I14"/>
    <mergeCell ref="F9:G9"/>
    <mergeCell ref="H9:I9"/>
    <mergeCell ref="F10:G10"/>
    <mergeCell ref="H10:I10"/>
    <mergeCell ref="F11:G11"/>
    <mergeCell ref="H11:I11"/>
    <mergeCell ref="A14:B14"/>
    <mergeCell ref="C14:D14"/>
    <mergeCell ref="A15:B15"/>
    <mergeCell ref="F5:G5"/>
    <mergeCell ref="H5:I5"/>
    <mergeCell ref="F6:G6"/>
    <mergeCell ref="H6:I6"/>
    <mergeCell ref="F7:G7"/>
    <mergeCell ref="H7:I7"/>
    <mergeCell ref="C15:D15"/>
    <mergeCell ref="A19:B19"/>
    <mergeCell ref="C19:D19"/>
    <mergeCell ref="A18:B18"/>
    <mergeCell ref="C18:D18"/>
    <mergeCell ref="A11:B11"/>
    <mergeCell ref="C11:D11"/>
    <mergeCell ref="A12:B12"/>
    <mergeCell ref="C12:D12"/>
    <mergeCell ref="A13:B13"/>
    <mergeCell ref="C13:D13"/>
    <mergeCell ref="C5:D5"/>
    <mergeCell ref="A5:B5"/>
    <mergeCell ref="C6:D6"/>
    <mergeCell ref="C10:D10"/>
    <mergeCell ref="C9:D9"/>
    <mergeCell ref="C8:D8"/>
    <mergeCell ref="C7:D7"/>
    <mergeCell ref="A10:B10"/>
    <mergeCell ref="A9:B9"/>
    <mergeCell ref="A8:B8"/>
    <mergeCell ref="A7:B7"/>
    <mergeCell ref="A6:B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2"/>
  <sheetViews>
    <sheetView topLeftCell="A58" workbookViewId="0">
      <selection activeCell="C77" sqref="A76:C77"/>
    </sheetView>
  </sheetViews>
  <sheetFormatPr defaultColWidth="29.140625" defaultRowHeight="15" x14ac:dyDescent="0.25"/>
  <cols>
    <col min="1" max="1" width="5.7109375" bestFit="1" customWidth="1"/>
    <col min="2" max="2" width="23.5703125" bestFit="1" customWidth="1"/>
    <col min="3" max="3" width="11.42578125" style="62" bestFit="1" customWidth="1"/>
    <col min="4" max="4" width="14.42578125" customWidth="1"/>
    <col min="5" max="5" width="17.140625" customWidth="1"/>
  </cols>
  <sheetData>
    <row r="1" spans="1:4" ht="15.75" customHeight="1" thickBot="1" x14ac:dyDescent="0.3">
      <c r="A1" s="153" t="s">
        <v>248</v>
      </c>
      <c r="B1" s="153"/>
      <c r="C1" s="154"/>
    </row>
    <row r="2" spans="1:4" ht="15.75" customHeight="1" thickBot="1" x14ac:dyDescent="0.3">
      <c r="A2" s="156" t="s">
        <v>249</v>
      </c>
      <c r="B2" s="156"/>
      <c r="C2" s="82">
        <f>SUBTOTAL(9,C4:C77)</f>
        <v>2655.9449999999993</v>
      </c>
    </row>
    <row r="3" spans="1:4" ht="15.75" thickBot="1" x14ac:dyDescent="0.3">
      <c r="A3" s="73" t="s">
        <v>168</v>
      </c>
      <c r="B3" s="73" t="s">
        <v>250</v>
      </c>
      <c r="C3" s="77" t="s">
        <v>251</v>
      </c>
    </row>
    <row r="4" spans="1:4" ht="15.75" thickBot="1" x14ac:dyDescent="0.3">
      <c r="A4" s="74">
        <v>43509</v>
      </c>
      <c r="B4" s="75" t="s">
        <v>252</v>
      </c>
      <c r="C4" s="80">
        <v>51.06</v>
      </c>
      <c r="D4" s="86" t="s">
        <v>308</v>
      </c>
    </row>
    <row r="5" spans="1:4" ht="15.75" thickBot="1" x14ac:dyDescent="0.3">
      <c r="A5" s="74">
        <v>43525</v>
      </c>
      <c r="B5" s="76" t="s">
        <v>253</v>
      </c>
      <c r="C5" s="78">
        <v>104.83</v>
      </c>
      <c r="D5" s="86" t="s">
        <v>309</v>
      </c>
    </row>
    <row r="6" spans="1:4" ht="15.75" thickBot="1" x14ac:dyDescent="0.3">
      <c r="A6" s="74">
        <v>43552</v>
      </c>
      <c r="B6" s="76" t="s">
        <v>254</v>
      </c>
      <c r="C6" s="80">
        <v>4.9000000000000004</v>
      </c>
      <c r="D6" s="86" t="s">
        <v>308</v>
      </c>
    </row>
    <row r="7" spans="1:4" ht="15.75" thickBot="1" x14ac:dyDescent="0.3">
      <c r="A7" s="91">
        <v>43634</v>
      </c>
      <c r="B7" s="92" t="s">
        <v>255</v>
      </c>
      <c r="C7" s="93">
        <v>54.3</v>
      </c>
      <c r="D7" s="94" t="s">
        <v>310</v>
      </c>
    </row>
    <row r="8" spans="1:4" ht="15.75" thickBot="1" x14ac:dyDescent="0.3">
      <c r="A8" s="74">
        <v>43643</v>
      </c>
      <c r="B8" s="76" t="s">
        <v>256</v>
      </c>
      <c r="C8" s="78">
        <v>66.040000000000006</v>
      </c>
      <c r="D8" s="86" t="s">
        <v>311</v>
      </c>
    </row>
    <row r="9" spans="1:4" ht="15.75" thickBot="1" x14ac:dyDescent="0.3">
      <c r="A9" s="91">
        <v>43666</v>
      </c>
      <c r="B9" s="92" t="s">
        <v>257</v>
      </c>
      <c r="C9" s="93">
        <v>59.9</v>
      </c>
      <c r="D9" s="94" t="s">
        <v>308</v>
      </c>
    </row>
    <row r="10" spans="1:4" ht="15.75" thickBot="1" x14ac:dyDescent="0.3">
      <c r="A10" s="91">
        <v>43666</v>
      </c>
      <c r="B10" s="92" t="s">
        <v>258</v>
      </c>
      <c r="C10" s="93">
        <v>67.47</v>
      </c>
      <c r="D10" s="94" t="s">
        <v>308</v>
      </c>
    </row>
    <row r="11" spans="1:4" ht="15.75" hidden="1" thickBot="1" x14ac:dyDescent="0.3">
      <c r="A11" s="97">
        <v>43670</v>
      </c>
      <c r="B11" s="98" t="s">
        <v>259</v>
      </c>
      <c r="C11" s="99">
        <v>191.11</v>
      </c>
      <c r="D11" s="100" t="s">
        <v>312</v>
      </c>
    </row>
    <row r="12" spans="1:4" ht="15.75" thickBot="1" x14ac:dyDescent="0.3">
      <c r="A12" s="91">
        <v>43679</v>
      </c>
      <c r="B12" s="92" t="s">
        <v>260</v>
      </c>
      <c r="C12" s="93">
        <v>39.799999999999997</v>
      </c>
      <c r="D12" s="94" t="s">
        <v>308</v>
      </c>
    </row>
    <row r="13" spans="1:4" ht="15.75" thickBot="1" x14ac:dyDescent="0.3">
      <c r="A13" s="74">
        <v>43684</v>
      </c>
      <c r="B13" s="76" t="s">
        <v>261</v>
      </c>
      <c r="C13" s="80">
        <v>58.1</v>
      </c>
      <c r="D13" s="86" t="s">
        <v>308</v>
      </c>
    </row>
    <row r="14" spans="1:4" ht="15.75" thickBot="1" x14ac:dyDescent="0.3">
      <c r="A14" s="91">
        <v>43708</v>
      </c>
      <c r="B14" s="92" t="s">
        <v>262</v>
      </c>
      <c r="C14" s="93">
        <v>29.9</v>
      </c>
      <c r="D14" s="94" t="s">
        <v>308</v>
      </c>
    </row>
    <row r="15" spans="1:4" ht="15.75" thickBot="1" x14ac:dyDescent="0.3">
      <c r="A15" s="91">
        <v>43708</v>
      </c>
      <c r="B15" s="92" t="s">
        <v>263</v>
      </c>
      <c r="C15" s="93">
        <v>25</v>
      </c>
      <c r="D15" s="94" t="s">
        <v>308</v>
      </c>
    </row>
    <row r="16" spans="1:4" ht="15.75" thickBot="1" x14ac:dyDescent="0.3">
      <c r="A16" s="74">
        <v>43709</v>
      </c>
      <c r="B16" s="76" t="s">
        <v>264</v>
      </c>
      <c r="C16" s="80">
        <v>20.66</v>
      </c>
      <c r="D16" s="86" t="s">
        <v>308</v>
      </c>
    </row>
    <row r="17" spans="1:4" ht="15.75" thickBot="1" x14ac:dyDescent="0.3">
      <c r="A17" s="91">
        <v>43709</v>
      </c>
      <c r="B17" s="92" t="s">
        <v>265</v>
      </c>
      <c r="C17" s="93">
        <v>25.94</v>
      </c>
      <c r="D17" s="94" t="s">
        <v>308</v>
      </c>
    </row>
    <row r="18" spans="1:4" ht="15.75" thickBot="1" x14ac:dyDescent="0.3">
      <c r="A18" s="91">
        <v>43710</v>
      </c>
      <c r="B18" s="92" t="s">
        <v>266</v>
      </c>
      <c r="C18" s="93">
        <v>23.9</v>
      </c>
      <c r="D18" s="94" t="s">
        <v>308</v>
      </c>
    </row>
    <row r="19" spans="1:4" ht="15.75" thickBot="1" x14ac:dyDescent="0.3">
      <c r="A19" s="91">
        <v>43710</v>
      </c>
      <c r="B19" s="92" t="s">
        <v>267</v>
      </c>
      <c r="C19" s="93">
        <v>5</v>
      </c>
      <c r="D19" s="94" t="s">
        <v>308</v>
      </c>
    </row>
    <row r="20" spans="1:4" ht="15.75" thickBot="1" x14ac:dyDescent="0.3">
      <c r="A20" s="91">
        <v>43710</v>
      </c>
      <c r="B20" s="92" t="s">
        <v>268</v>
      </c>
      <c r="C20" s="93">
        <v>8.5</v>
      </c>
      <c r="D20" s="94" t="s">
        <v>308</v>
      </c>
    </row>
    <row r="21" spans="1:4" ht="15.75" thickBot="1" x14ac:dyDescent="0.3">
      <c r="A21" s="74">
        <v>43710</v>
      </c>
      <c r="B21" s="76" t="s">
        <v>269</v>
      </c>
      <c r="C21" s="80">
        <v>70</v>
      </c>
      <c r="D21" s="86" t="s">
        <v>308</v>
      </c>
    </row>
    <row r="22" spans="1:4" ht="15.75" thickBot="1" x14ac:dyDescent="0.3">
      <c r="A22" s="91">
        <v>43711</v>
      </c>
      <c r="B22" s="92" t="s">
        <v>270</v>
      </c>
      <c r="C22" s="93">
        <v>8.24</v>
      </c>
      <c r="D22" s="94" t="s">
        <v>308</v>
      </c>
    </row>
    <row r="23" spans="1:4" ht="15.75" thickBot="1" x14ac:dyDescent="0.3">
      <c r="A23" s="74">
        <v>43711</v>
      </c>
      <c r="B23" s="76" t="s">
        <v>271</v>
      </c>
      <c r="C23" s="80">
        <v>78.25</v>
      </c>
      <c r="D23" s="86" t="s">
        <v>308</v>
      </c>
    </row>
    <row r="24" spans="1:4" ht="15.75" thickBot="1" x14ac:dyDescent="0.3">
      <c r="A24" s="91">
        <v>43712</v>
      </c>
      <c r="B24" s="92" t="s">
        <v>272</v>
      </c>
      <c r="C24" s="93">
        <v>30.32</v>
      </c>
      <c r="D24" s="94" t="s">
        <v>308</v>
      </c>
    </row>
    <row r="25" spans="1:4" ht="15.75" thickBot="1" x14ac:dyDescent="0.3">
      <c r="A25" s="91">
        <v>43712</v>
      </c>
      <c r="B25" s="92" t="s">
        <v>267</v>
      </c>
      <c r="C25" s="93">
        <v>5</v>
      </c>
      <c r="D25" s="94" t="s">
        <v>308</v>
      </c>
    </row>
    <row r="26" spans="1:4" ht="15.75" thickBot="1" x14ac:dyDescent="0.3">
      <c r="A26" s="91">
        <v>43714</v>
      </c>
      <c r="B26" s="92" t="s">
        <v>273</v>
      </c>
      <c r="C26" s="93">
        <v>12</v>
      </c>
      <c r="D26" s="94" t="s">
        <v>308</v>
      </c>
    </row>
    <row r="27" spans="1:4" ht="15.75" thickBot="1" x14ac:dyDescent="0.3">
      <c r="A27" s="91">
        <v>43716</v>
      </c>
      <c r="B27" s="92" t="s">
        <v>274</v>
      </c>
      <c r="C27" s="93">
        <v>15</v>
      </c>
      <c r="D27" s="94" t="s">
        <v>308</v>
      </c>
    </row>
    <row r="28" spans="1:4" ht="15.75" thickBot="1" x14ac:dyDescent="0.3">
      <c r="A28" s="91">
        <v>43716</v>
      </c>
      <c r="B28" s="92" t="s">
        <v>274</v>
      </c>
      <c r="C28" s="93">
        <v>15</v>
      </c>
      <c r="D28" s="94" t="s">
        <v>313</v>
      </c>
    </row>
    <row r="29" spans="1:4" ht="15.75" thickBot="1" x14ac:dyDescent="0.3">
      <c r="A29" s="74">
        <v>43717</v>
      </c>
      <c r="B29" s="76" t="s">
        <v>137</v>
      </c>
      <c r="C29" s="80">
        <v>460.36</v>
      </c>
      <c r="D29" s="86" t="s">
        <v>308</v>
      </c>
    </row>
    <row r="30" spans="1:4" ht="15.75" thickBot="1" x14ac:dyDescent="0.3">
      <c r="A30" s="91">
        <v>43717</v>
      </c>
      <c r="B30" s="92" t="s">
        <v>275</v>
      </c>
      <c r="C30" s="93">
        <v>20</v>
      </c>
      <c r="D30" s="94" t="s">
        <v>308</v>
      </c>
    </row>
    <row r="31" spans="1:4" ht="15.75" thickBot="1" x14ac:dyDescent="0.3">
      <c r="A31" s="91">
        <v>43718</v>
      </c>
      <c r="B31" s="92" t="s">
        <v>276</v>
      </c>
      <c r="C31" s="93">
        <v>7.5</v>
      </c>
      <c r="D31" s="94" t="s">
        <v>308</v>
      </c>
    </row>
    <row r="32" spans="1:4" ht="15.75" thickBot="1" x14ac:dyDescent="0.3">
      <c r="A32" s="91">
        <v>43720</v>
      </c>
      <c r="B32" s="92" t="s">
        <v>277</v>
      </c>
      <c r="C32" s="93">
        <v>64.900000000000006</v>
      </c>
      <c r="D32" s="94" t="s">
        <v>310</v>
      </c>
    </row>
    <row r="33" spans="1:4" ht="15.75" thickBot="1" x14ac:dyDescent="0.3">
      <c r="A33" s="74">
        <v>43721</v>
      </c>
      <c r="B33" s="76" t="s">
        <v>278</v>
      </c>
      <c r="C33" s="80">
        <v>228.16</v>
      </c>
      <c r="D33" s="86" t="s">
        <v>308</v>
      </c>
    </row>
    <row r="34" spans="1:4" ht="15.75" thickBot="1" x14ac:dyDescent="0.3">
      <c r="A34" s="91">
        <v>43721</v>
      </c>
      <c r="B34" s="92" t="s">
        <v>279</v>
      </c>
      <c r="C34" s="93">
        <v>75.75</v>
      </c>
      <c r="D34" s="94" t="s">
        <v>308</v>
      </c>
    </row>
    <row r="35" spans="1:4" ht="15.75" thickBot="1" x14ac:dyDescent="0.3">
      <c r="A35" s="74">
        <v>43721</v>
      </c>
      <c r="B35" s="76" t="s">
        <v>280</v>
      </c>
      <c r="C35" s="80">
        <v>48.12</v>
      </c>
      <c r="D35" s="86" t="s">
        <v>308</v>
      </c>
    </row>
    <row r="36" spans="1:4" ht="15.75" thickBot="1" x14ac:dyDescent="0.3">
      <c r="A36" s="74">
        <v>43722</v>
      </c>
      <c r="B36" s="76" t="s">
        <v>281</v>
      </c>
      <c r="C36" s="80">
        <v>5.75</v>
      </c>
      <c r="D36" s="86" t="s">
        <v>308</v>
      </c>
    </row>
    <row r="37" spans="1:4" ht="15.75" thickBot="1" x14ac:dyDescent="0.3">
      <c r="A37" s="91">
        <v>43723</v>
      </c>
      <c r="B37" s="92" t="s">
        <v>265</v>
      </c>
      <c r="C37" s="93">
        <v>72.2</v>
      </c>
      <c r="D37" s="94" t="s">
        <v>308</v>
      </c>
    </row>
    <row r="38" spans="1:4" ht="15.75" thickBot="1" x14ac:dyDescent="0.3">
      <c r="A38" s="91">
        <v>43723</v>
      </c>
      <c r="B38" s="92" t="s">
        <v>265</v>
      </c>
      <c r="C38" s="93">
        <v>35.64</v>
      </c>
      <c r="D38" s="94" t="s">
        <v>308</v>
      </c>
    </row>
    <row r="39" spans="1:4" ht="15.75" thickBot="1" x14ac:dyDescent="0.3">
      <c r="A39" s="87">
        <v>43724</v>
      </c>
      <c r="B39" s="88" t="s">
        <v>282</v>
      </c>
      <c r="C39" s="89">
        <v>-264</v>
      </c>
      <c r="D39" s="90" t="s">
        <v>314</v>
      </c>
    </row>
    <row r="40" spans="1:4" ht="15.75" thickBot="1" x14ac:dyDescent="0.3">
      <c r="A40" s="87">
        <v>43724</v>
      </c>
      <c r="B40" s="88" t="s">
        <v>283</v>
      </c>
      <c r="C40" s="89">
        <v>22</v>
      </c>
      <c r="D40" s="90" t="s">
        <v>314</v>
      </c>
    </row>
    <row r="41" spans="1:4" ht="15.75" thickBot="1" x14ac:dyDescent="0.3">
      <c r="A41" s="87">
        <v>43724</v>
      </c>
      <c r="B41" s="88" t="s">
        <v>284</v>
      </c>
      <c r="C41" s="89">
        <v>22</v>
      </c>
      <c r="D41" s="90" t="s">
        <v>314</v>
      </c>
    </row>
    <row r="42" spans="1:4" ht="15.75" thickBot="1" x14ac:dyDescent="0.3">
      <c r="A42" s="87">
        <v>43724</v>
      </c>
      <c r="B42" s="88" t="s">
        <v>285</v>
      </c>
      <c r="C42" s="89">
        <v>22</v>
      </c>
      <c r="D42" s="90" t="s">
        <v>314</v>
      </c>
    </row>
    <row r="43" spans="1:4" ht="15.75" thickBot="1" x14ac:dyDescent="0.3">
      <c r="A43" s="87">
        <v>43724</v>
      </c>
      <c r="B43" s="88" t="s">
        <v>286</v>
      </c>
      <c r="C43" s="89">
        <v>22</v>
      </c>
      <c r="D43" s="90" t="s">
        <v>314</v>
      </c>
    </row>
    <row r="44" spans="1:4" ht="15.75" thickBot="1" x14ac:dyDescent="0.3">
      <c r="A44" s="87">
        <v>43724</v>
      </c>
      <c r="B44" s="88" t="s">
        <v>287</v>
      </c>
      <c r="C44" s="89">
        <v>22</v>
      </c>
      <c r="D44" s="90" t="s">
        <v>314</v>
      </c>
    </row>
    <row r="45" spans="1:4" ht="15.75" thickBot="1" x14ac:dyDescent="0.3">
      <c r="A45" s="87">
        <v>43724</v>
      </c>
      <c r="B45" s="88" t="s">
        <v>288</v>
      </c>
      <c r="C45" s="89">
        <v>22</v>
      </c>
      <c r="D45" s="90" t="s">
        <v>314</v>
      </c>
    </row>
    <row r="46" spans="1:4" ht="15.75" thickBot="1" x14ac:dyDescent="0.3">
      <c r="A46" s="87">
        <v>43724</v>
      </c>
      <c r="B46" s="88" t="s">
        <v>289</v>
      </c>
      <c r="C46" s="89">
        <v>22</v>
      </c>
      <c r="D46" s="90" t="s">
        <v>314</v>
      </c>
    </row>
    <row r="47" spans="1:4" ht="15.75" thickBot="1" x14ac:dyDescent="0.3">
      <c r="A47" s="87">
        <v>43724</v>
      </c>
      <c r="B47" s="88" t="s">
        <v>290</v>
      </c>
      <c r="C47" s="89">
        <v>22</v>
      </c>
      <c r="D47" s="90" t="s">
        <v>314</v>
      </c>
    </row>
    <row r="48" spans="1:4" ht="15.75" thickBot="1" x14ac:dyDescent="0.3">
      <c r="A48" s="87">
        <v>43724</v>
      </c>
      <c r="B48" s="88" t="s">
        <v>291</v>
      </c>
      <c r="C48" s="89">
        <v>22</v>
      </c>
      <c r="D48" s="90" t="s">
        <v>314</v>
      </c>
    </row>
    <row r="49" spans="1:5" ht="15.75" thickBot="1" x14ac:dyDescent="0.3">
      <c r="A49" s="87">
        <v>43724</v>
      </c>
      <c r="B49" s="88" t="s">
        <v>292</v>
      </c>
      <c r="C49" s="89">
        <v>22</v>
      </c>
      <c r="D49" s="90" t="s">
        <v>314</v>
      </c>
    </row>
    <row r="50" spans="1:5" ht="15.75" thickBot="1" x14ac:dyDescent="0.3">
      <c r="A50" s="87">
        <v>43724</v>
      </c>
      <c r="B50" s="88" t="s">
        <v>293</v>
      </c>
      <c r="C50" s="89">
        <v>22</v>
      </c>
      <c r="D50" s="90" t="s">
        <v>314</v>
      </c>
    </row>
    <row r="51" spans="1:5" ht="15.75" thickBot="1" x14ac:dyDescent="0.3">
      <c r="A51" s="87">
        <v>43724</v>
      </c>
      <c r="B51" s="88" t="s">
        <v>294</v>
      </c>
      <c r="C51" s="89">
        <v>22</v>
      </c>
      <c r="D51" s="90" t="s">
        <v>314</v>
      </c>
    </row>
    <row r="52" spans="1:5" ht="15.75" thickBot="1" x14ac:dyDescent="0.3">
      <c r="A52" s="74">
        <v>43725</v>
      </c>
      <c r="B52" s="76" t="s">
        <v>283</v>
      </c>
      <c r="C52" s="80">
        <v>17.600000000000001</v>
      </c>
      <c r="D52" s="86" t="s">
        <v>308</v>
      </c>
    </row>
    <row r="53" spans="1:5" ht="15.75" thickBot="1" x14ac:dyDescent="0.3">
      <c r="A53" s="91">
        <v>43726</v>
      </c>
      <c r="B53" s="92" t="s">
        <v>295</v>
      </c>
      <c r="C53" s="93">
        <v>5.5</v>
      </c>
      <c r="D53" s="94" t="s">
        <v>308</v>
      </c>
    </row>
    <row r="54" spans="1:5" ht="15.75" thickBot="1" x14ac:dyDescent="0.3">
      <c r="A54" s="74">
        <v>43726</v>
      </c>
      <c r="B54" s="76" t="s">
        <v>296</v>
      </c>
      <c r="C54" s="78">
        <v>14.238333333333335</v>
      </c>
      <c r="D54" s="86" t="s">
        <v>315</v>
      </c>
    </row>
    <row r="55" spans="1:5" ht="15.75" thickBot="1" x14ac:dyDescent="0.3">
      <c r="A55" s="74">
        <v>43726</v>
      </c>
      <c r="B55" s="76" t="s">
        <v>296</v>
      </c>
      <c r="C55" s="80">
        <v>14.238333333333335</v>
      </c>
      <c r="D55" s="86" t="s">
        <v>308</v>
      </c>
    </row>
    <row r="56" spans="1:5" ht="15.75" thickBot="1" x14ac:dyDescent="0.3">
      <c r="A56" s="74">
        <v>43726</v>
      </c>
      <c r="B56" s="76" t="s">
        <v>296</v>
      </c>
      <c r="C56" s="78">
        <v>14.238333333333335</v>
      </c>
      <c r="D56" s="86" t="s">
        <v>316</v>
      </c>
    </row>
    <row r="57" spans="1:5" ht="15.75" thickBot="1" x14ac:dyDescent="0.3">
      <c r="A57" s="74">
        <v>43726</v>
      </c>
      <c r="B57" s="76" t="s">
        <v>296</v>
      </c>
      <c r="C57" s="78">
        <v>14.238333333333335</v>
      </c>
      <c r="D57" s="86" t="s">
        <v>317</v>
      </c>
    </row>
    <row r="58" spans="1:5" ht="15.75" thickBot="1" x14ac:dyDescent="0.3">
      <c r="A58" s="74">
        <v>43726</v>
      </c>
      <c r="B58" s="76" t="s">
        <v>296</v>
      </c>
      <c r="C58" s="78">
        <v>14.238333333333335</v>
      </c>
      <c r="D58" s="86" t="s">
        <v>311</v>
      </c>
    </row>
    <row r="59" spans="1:5" ht="15.75" thickBot="1" x14ac:dyDescent="0.3">
      <c r="A59" s="74">
        <v>43726</v>
      </c>
      <c r="B59" s="76" t="s">
        <v>296</v>
      </c>
      <c r="C59" s="78">
        <v>14.238333333333335</v>
      </c>
      <c r="D59" s="86" t="s">
        <v>318</v>
      </c>
    </row>
    <row r="60" spans="1:5" ht="15.75" thickBot="1" x14ac:dyDescent="0.3">
      <c r="A60" s="91">
        <v>43728</v>
      </c>
      <c r="B60" s="92" t="s">
        <v>297</v>
      </c>
      <c r="C60" s="93">
        <v>24.4</v>
      </c>
      <c r="D60" s="94" t="s">
        <v>308</v>
      </c>
    </row>
    <row r="61" spans="1:5" ht="15.75" thickBot="1" x14ac:dyDescent="0.3">
      <c r="A61" s="74">
        <v>43728</v>
      </c>
      <c r="B61" s="76" t="s">
        <v>298</v>
      </c>
      <c r="C61" s="80">
        <v>21.21</v>
      </c>
      <c r="D61" s="86" t="s">
        <v>308</v>
      </c>
    </row>
    <row r="62" spans="1:5" ht="15.75" thickBot="1" x14ac:dyDescent="0.3">
      <c r="A62" s="91">
        <v>43729</v>
      </c>
      <c r="B62" s="92" t="s">
        <v>299</v>
      </c>
      <c r="C62" s="93">
        <v>20</v>
      </c>
      <c r="D62" s="94" t="s">
        <v>308</v>
      </c>
    </row>
    <row r="63" spans="1:5" ht="15.75" thickBot="1" x14ac:dyDescent="0.3">
      <c r="A63" s="91">
        <v>43729</v>
      </c>
      <c r="B63" s="92" t="s">
        <v>265</v>
      </c>
      <c r="C63" s="93">
        <v>20.04</v>
      </c>
      <c r="D63" s="94" t="s">
        <v>308</v>
      </c>
    </row>
    <row r="64" spans="1:5" ht="15.75" thickBot="1" x14ac:dyDescent="0.3">
      <c r="A64" s="91">
        <v>43729</v>
      </c>
      <c r="B64" s="92" t="s">
        <v>300</v>
      </c>
      <c r="C64" s="93">
        <v>223.32499999999999</v>
      </c>
      <c r="D64" s="94" t="s">
        <v>308</v>
      </c>
      <c r="E64" s="81">
        <v>446.65</v>
      </c>
    </row>
    <row r="65" spans="1:5" ht="15.75" hidden="1" thickBot="1" x14ac:dyDescent="0.3">
      <c r="A65" s="97">
        <v>43729</v>
      </c>
      <c r="B65" s="98" t="s">
        <v>300</v>
      </c>
      <c r="C65" s="99">
        <v>223.32499999999999</v>
      </c>
      <c r="D65" s="100" t="s">
        <v>312</v>
      </c>
      <c r="E65" s="81"/>
    </row>
    <row r="66" spans="1:5" ht="15.75" thickBot="1" x14ac:dyDescent="0.3">
      <c r="A66" s="91">
        <v>43729</v>
      </c>
      <c r="B66" s="92" t="s">
        <v>301</v>
      </c>
      <c r="C66" s="93">
        <v>14</v>
      </c>
      <c r="D66" s="94" t="s">
        <v>308</v>
      </c>
      <c r="E66" s="81"/>
    </row>
    <row r="67" spans="1:5" ht="15.75" hidden="1" customHeight="1" thickBot="1" x14ac:dyDescent="0.3">
      <c r="A67" s="97">
        <v>43729</v>
      </c>
      <c r="B67" s="98" t="s">
        <v>301</v>
      </c>
      <c r="C67" s="99">
        <v>14</v>
      </c>
      <c r="D67" s="100" t="s">
        <v>312</v>
      </c>
    </row>
    <row r="68" spans="1:5" ht="15.75" customHeight="1" thickBot="1" x14ac:dyDescent="0.3">
      <c r="A68" s="91">
        <v>43730</v>
      </c>
      <c r="B68" s="92" t="s">
        <v>301</v>
      </c>
      <c r="C68" s="93">
        <v>25.05</v>
      </c>
      <c r="D68" s="94" t="s">
        <v>308</v>
      </c>
    </row>
    <row r="69" spans="1:5" ht="15.75" thickBot="1" x14ac:dyDescent="0.3">
      <c r="A69" s="74">
        <v>43731</v>
      </c>
      <c r="B69" s="76" t="s">
        <v>302</v>
      </c>
      <c r="C69" s="80">
        <v>10.06</v>
      </c>
      <c r="D69" s="86" t="s">
        <v>308</v>
      </c>
    </row>
    <row r="70" spans="1:5" ht="15.75" thickBot="1" x14ac:dyDescent="0.3">
      <c r="A70" s="74">
        <v>43731</v>
      </c>
      <c r="B70" s="76" t="s">
        <v>303</v>
      </c>
      <c r="C70" s="80">
        <v>1.5</v>
      </c>
      <c r="D70" s="86" t="s">
        <v>308</v>
      </c>
    </row>
    <row r="71" spans="1:5" ht="15.75" thickBot="1" x14ac:dyDescent="0.3">
      <c r="A71" s="74">
        <v>43731</v>
      </c>
      <c r="B71" s="76" t="s">
        <v>304</v>
      </c>
      <c r="C71" s="80">
        <v>15.65</v>
      </c>
      <c r="D71" s="86" t="s">
        <v>308</v>
      </c>
    </row>
    <row r="72" spans="1:5" ht="15.75" thickBot="1" x14ac:dyDescent="0.3">
      <c r="A72" s="74">
        <v>43735</v>
      </c>
      <c r="B72" s="76" t="s">
        <v>305</v>
      </c>
      <c r="C72" s="78">
        <v>6.7249999999999996</v>
      </c>
      <c r="D72" s="86" t="s">
        <v>311</v>
      </c>
    </row>
    <row r="73" spans="1:5" ht="15.75" thickBot="1" x14ac:dyDescent="0.3">
      <c r="A73" s="74">
        <v>43735</v>
      </c>
      <c r="B73" s="76" t="s">
        <v>305</v>
      </c>
      <c r="C73" s="78">
        <v>6.7249999999999996</v>
      </c>
      <c r="D73" s="86" t="s">
        <v>319</v>
      </c>
    </row>
    <row r="74" spans="1:5" ht="15.75" thickBot="1" x14ac:dyDescent="0.3">
      <c r="A74" s="74">
        <v>43735</v>
      </c>
      <c r="B74" s="76" t="s">
        <v>305</v>
      </c>
      <c r="C74" s="80">
        <v>6.7249999999999996</v>
      </c>
      <c r="D74" s="86" t="s">
        <v>308</v>
      </c>
    </row>
    <row r="75" spans="1:5" ht="15.75" thickBot="1" x14ac:dyDescent="0.3">
      <c r="A75" s="74">
        <v>43735</v>
      </c>
      <c r="B75" s="76" t="s">
        <v>305</v>
      </c>
      <c r="C75" s="78">
        <v>6.7249999999999996</v>
      </c>
      <c r="D75" s="86" t="s">
        <v>315</v>
      </c>
    </row>
    <row r="76" spans="1:5" ht="15.75" thickBot="1" x14ac:dyDescent="0.3">
      <c r="A76" s="97">
        <v>43736</v>
      </c>
      <c r="B76" s="98" t="s">
        <v>136</v>
      </c>
      <c r="C76" s="99">
        <v>97.79</v>
      </c>
      <c r="D76" s="94" t="s">
        <v>310</v>
      </c>
    </row>
    <row r="77" spans="1:5" ht="15.75" thickBot="1" x14ac:dyDescent="0.3">
      <c r="A77" s="97">
        <v>43737</v>
      </c>
      <c r="B77" s="98" t="s">
        <v>300</v>
      </c>
      <c r="C77" s="99">
        <v>150</v>
      </c>
      <c r="D77" s="94" t="s">
        <v>310</v>
      </c>
    </row>
    <row r="78" spans="1:5" ht="15.75" thickBot="1" x14ac:dyDescent="0.3">
      <c r="A78" s="155" t="s">
        <v>306</v>
      </c>
      <c r="B78" s="155"/>
      <c r="C78" s="79">
        <f>C39</f>
        <v>-264</v>
      </c>
    </row>
    <row r="79" spans="1:5" ht="15.75" thickBot="1" x14ac:dyDescent="0.3">
      <c r="A79" s="155" t="s">
        <v>307</v>
      </c>
      <c r="B79" s="155"/>
      <c r="C79" s="79">
        <f>SUM(C4:C38,C40:C77)</f>
        <v>3348.3799999999987</v>
      </c>
    </row>
    <row r="80" spans="1:5" x14ac:dyDescent="0.25">
      <c r="C80" s="62">
        <f>SUM(C78:C79)</f>
        <v>3084.3799999999987</v>
      </c>
    </row>
    <row r="82" spans="2:5" x14ac:dyDescent="0.25">
      <c r="E82">
        <v>548.98</v>
      </c>
    </row>
    <row r="83" spans="2:5" x14ac:dyDescent="0.25">
      <c r="C83" s="62">
        <f>SUM(C11,C65,C67)</f>
        <v>428.435</v>
      </c>
    </row>
    <row r="85" spans="2:5" x14ac:dyDescent="0.25">
      <c r="B85" t="s">
        <v>308</v>
      </c>
      <c r="C85" s="62">
        <v>2011.7183333333335</v>
      </c>
    </row>
    <row r="86" spans="2:5" x14ac:dyDescent="0.25">
      <c r="B86" t="s">
        <v>321</v>
      </c>
      <c r="C86" s="62">
        <v>428.435</v>
      </c>
    </row>
    <row r="87" spans="2:5" x14ac:dyDescent="0.25">
      <c r="B87" t="s">
        <v>320</v>
      </c>
    </row>
    <row r="88" spans="2:5" x14ac:dyDescent="0.25">
      <c r="B88" t="s">
        <v>310</v>
      </c>
      <c r="C88" s="62">
        <v>366.99</v>
      </c>
    </row>
    <row r="89" spans="2:5" x14ac:dyDescent="0.25">
      <c r="B89" t="s">
        <v>309</v>
      </c>
      <c r="C89" s="62">
        <v>104.83</v>
      </c>
    </row>
    <row r="90" spans="2:5" x14ac:dyDescent="0.25">
      <c r="B90" t="s">
        <v>311</v>
      </c>
      <c r="C90" s="62">
        <v>87.00333333333333</v>
      </c>
    </row>
    <row r="91" spans="2:5" x14ac:dyDescent="0.25">
      <c r="B91" t="s">
        <v>315</v>
      </c>
      <c r="C91" s="62">
        <v>20.963333333333335</v>
      </c>
    </row>
    <row r="92" spans="2:5" x14ac:dyDescent="0.25">
      <c r="B92" t="s">
        <v>317</v>
      </c>
      <c r="C92" s="62">
        <v>14.238333333333335</v>
      </c>
    </row>
    <row r="93" spans="2:5" x14ac:dyDescent="0.25">
      <c r="B93" t="s">
        <v>316</v>
      </c>
      <c r="C93" s="62">
        <v>14.238333333333335</v>
      </c>
    </row>
    <row r="94" spans="2:5" x14ac:dyDescent="0.25">
      <c r="B94" t="s">
        <v>318</v>
      </c>
      <c r="C94" s="62">
        <v>14.238333333333335</v>
      </c>
    </row>
    <row r="95" spans="2:5" x14ac:dyDescent="0.25">
      <c r="B95" t="s">
        <v>313</v>
      </c>
      <c r="C95" s="62">
        <v>15</v>
      </c>
    </row>
    <row r="96" spans="2:5" x14ac:dyDescent="0.25">
      <c r="B96" t="s">
        <v>319</v>
      </c>
      <c r="C96" s="62">
        <v>6.7249999999999996</v>
      </c>
    </row>
    <row r="98" spans="3:5" x14ac:dyDescent="0.25">
      <c r="C98" s="62">
        <f>SUM(C85:C96)</f>
        <v>3084.3799999999992</v>
      </c>
    </row>
    <row r="100" spans="3:5" x14ac:dyDescent="0.25">
      <c r="C100" s="62">
        <f>C98-C80</f>
        <v>0</v>
      </c>
    </row>
    <row r="102" spans="3:5" x14ac:dyDescent="0.25">
      <c r="E102">
        <v>396.47</v>
      </c>
    </row>
  </sheetData>
  <autoFilter ref="A3:E82">
    <filterColumn colId="3">
      <filters blank="1">
        <filter val="bruna"/>
        <filter val="cancelado"/>
        <filter val="catia"/>
        <filter val="cris"/>
        <filter val="elizabeth"/>
        <filter val="marcela"/>
        <filter val="natalia"/>
        <filter val="rafael"/>
        <filter val="rebeca"/>
        <filter val="weslley"/>
        <filter val="yuri"/>
      </filters>
    </filterColumn>
  </autoFilter>
  <mergeCells count="4">
    <mergeCell ref="A1:C1"/>
    <mergeCell ref="A78:B78"/>
    <mergeCell ref="A79:B79"/>
    <mergeCell ref="A2:B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3"/>
  <sheetViews>
    <sheetView workbookViewId="0">
      <selection activeCell="A7" sqref="A7:D7"/>
    </sheetView>
  </sheetViews>
  <sheetFormatPr defaultRowHeight="15" x14ac:dyDescent="0.25"/>
  <cols>
    <col min="1" max="1" width="5.7109375" bestFit="1" customWidth="1"/>
    <col min="2" max="2" width="37.140625" customWidth="1"/>
    <col min="3" max="3" width="12.5703125" style="62" bestFit="1" customWidth="1"/>
    <col min="4" max="4" width="18.28515625" customWidth="1"/>
  </cols>
  <sheetData>
    <row r="1" spans="1:4" ht="15.75" thickBot="1" x14ac:dyDescent="0.3">
      <c r="A1" s="153" t="s">
        <v>248</v>
      </c>
      <c r="B1" s="153"/>
      <c r="C1" s="154"/>
    </row>
    <row r="2" spans="1:4" ht="15.75" thickBot="1" x14ac:dyDescent="0.3">
      <c r="A2" s="156" t="s">
        <v>249</v>
      </c>
      <c r="B2" s="156"/>
      <c r="C2" s="82">
        <f>SUBTOTAL(9,C4:C31)</f>
        <v>1495.6899999999989</v>
      </c>
    </row>
    <row r="3" spans="1:4" ht="15.75" thickBot="1" x14ac:dyDescent="0.3">
      <c r="A3" s="73" t="s">
        <v>168</v>
      </c>
      <c r="B3" s="73" t="s">
        <v>250</v>
      </c>
      <c r="C3" s="77" t="s">
        <v>251</v>
      </c>
    </row>
    <row r="4" spans="1:4" ht="15.75" thickBot="1" x14ac:dyDescent="0.3">
      <c r="A4" s="74">
        <v>43509</v>
      </c>
      <c r="B4" s="75" t="s">
        <v>333</v>
      </c>
      <c r="C4" s="80">
        <v>51.06</v>
      </c>
      <c r="D4" s="86" t="s">
        <v>308</v>
      </c>
    </row>
    <row r="5" spans="1:4" ht="15.75" thickBot="1" x14ac:dyDescent="0.3">
      <c r="A5" s="74">
        <v>43525</v>
      </c>
      <c r="B5" s="76" t="s">
        <v>334</v>
      </c>
      <c r="C5" s="78">
        <v>104.83</v>
      </c>
      <c r="D5" s="86" t="s">
        <v>309</v>
      </c>
    </row>
    <row r="6" spans="1:4" ht="15.75" thickBot="1" x14ac:dyDescent="0.3">
      <c r="A6" s="74">
        <v>43552</v>
      </c>
      <c r="B6" s="76" t="s">
        <v>335</v>
      </c>
      <c r="C6" s="80">
        <v>4.9000000000000004</v>
      </c>
      <c r="D6" s="86" t="s">
        <v>308</v>
      </c>
    </row>
    <row r="7" spans="1:4" ht="15.75" thickBot="1" x14ac:dyDescent="0.3">
      <c r="A7" s="91">
        <v>43643</v>
      </c>
      <c r="B7" s="92" t="s">
        <v>336</v>
      </c>
      <c r="C7" s="93">
        <v>66.040000000000006</v>
      </c>
      <c r="D7" s="94" t="s">
        <v>311</v>
      </c>
    </row>
    <row r="8" spans="1:4" ht="15.75" thickBot="1" x14ac:dyDescent="0.3">
      <c r="A8" s="74">
        <v>43670</v>
      </c>
      <c r="B8" s="76" t="s">
        <v>337</v>
      </c>
      <c r="C8" s="78">
        <v>191.11</v>
      </c>
      <c r="D8" s="86" t="s">
        <v>312</v>
      </c>
    </row>
    <row r="9" spans="1:4" ht="15.75" thickBot="1" x14ac:dyDescent="0.3">
      <c r="A9" s="74">
        <v>43684</v>
      </c>
      <c r="B9" s="76" t="s">
        <v>338</v>
      </c>
      <c r="C9" s="80">
        <v>58.1</v>
      </c>
      <c r="D9" s="86" t="s">
        <v>308</v>
      </c>
    </row>
    <row r="10" spans="1:4" ht="15.75" thickBot="1" x14ac:dyDescent="0.3">
      <c r="A10" s="74">
        <v>43709</v>
      </c>
      <c r="B10" s="76" t="s">
        <v>339</v>
      </c>
      <c r="C10" s="80">
        <v>20.66</v>
      </c>
      <c r="D10" s="86" t="s">
        <v>308</v>
      </c>
    </row>
    <row r="11" spans="1:4" ht="15.75" hidden="1" thickBot="1" x14ac:dyDescent="0.3">
      <c r="A11" s="91">
        <v>43710</v>
      </c>
      <c r="B11" s="92" t="s">
        <v>340</v>
      </c>
      <c r="C11" s="93">
        <v>70</v>
      </c>
      <c r="D11" s="94" t="s">
        <v>308</v>
      </c>
    </row>
    <row r="12" spans="1:4" ht="15.75" thickBot="1" x14ac:dyDescent="0.3">
      <c r="A12" s="74">
        <v>43711</v>
      </c>
      <c r="B12" s="76" t="s">
        <v>341</v>
      </c>
      <c r="C12" s="80">
        <v>78.25</v>
      </c>
      <c r="D12" s="86" t="s">
        <v>308</v>
      </c>
    </row>
    <row r="13" spans="1:4" ht="15.75" thickBot="1" x14ac:dyDescent="0.3">
      <c r="A13" s="74">
        <v>43717</v>
      </c>
      <c r="B13" s="76" t="s">
        <v>137</v>
      </c>
      <c r="C13" s="80">
        <v>460.36</v>
      </c>
      <c r="D13" s="86" t="s">
        <v>308</v>
      </c>
    </row>
    <row r="14" spans="1:4" ht="15.75" thickBot="1" x14ac:dyDescent="0.3">
      <c r="A14" s="74">
        <v>43721</v>
      </c>
      <c r="B14" s="76" t="s">
        <v>342</v>
      </c>
      <c r="C14" s="80">
        <v>228.16</v>
      </c>
      <c r="D14" s="86" t="s">
        <v>308</v>
      </c>
    </row>
    <row r="15" spans="1:4" ht="15.75" thickBot="1" x14ac:dyDescent="0.3">
      <c r="A15" s="74">
        <v>43721</v>
      </c>
      <c r="B15" s="76" t="s">
        <v>343</v>
      </c>
      <c r="C15" s="80">
        <v>48.12</v>
      </c>
      <c r="D15" s="86" t="s">
        <v>308</v>
      </c>
    </row>
    <row r="16" spans="1:4" ht="15.75" thickBot="1" x14ac:dyDescent="0.3">
      <c r="A16" s="74">
        <v>43722</v>
      </c>
      <c r="B16" s="76" t="s">
        <v>344</v>
      </c>
      <c r="C16" s="80">
        <v>5.75</v>
      </c>
      <c r="D16" s="86" t="s">
        <v>308</v>
      </c>
    </row>
    <row r="17" spans="1:4" ht="15.75" thickBot="1" x14ac:dyDescent="0.3">
      <c r="A17" s="74">
        <v>43725</v>
      </c>
      <c r="B17" s="76" t="s">
        <v>284</v>
      </c>
      <c r="C17" s="80">
        <v>17.600000000000001</v>
      </c>
      <c r="D17" s="86" t="s">
        <v>308</v>
      </c>
    </row>
    <row r="18" spans="1:4" ht="15.75" thickBot="1" x14ac:dyDescent="0.3">
      <c r="A18" s="74">
        <v>43726</v>
      </c>
      <c r="B18" s="76" t="s">
        <v>345</v>
      </c>
      <c r="C18" s="78">
        <v>14.238333333333335</v>
      </c>
      <c r="D18" s="86" t="s">
        <v>315</v>
      </c>
    </row>
    <row r="19" spans="1:4" ht="15.75" thickBot="1" x14ac:dyDescent="0.3">
      <c r="A19" s="74">
        <v>43726</v>
      </c>
      <c r="B19" s="76" t="s">
        <v>345</v>
      </c>
      <c r="C19" s="80">
        <v>14.238333333333335</v>
      </c>
      <c r="D19" s="86" t="s">
        <v>308</v>
      </c>
    </row>
    <row r="20" spans="1:4" ht="15.75" thickBot="1" x14ac:dyDescent="0.3">
      <c r="A20" s="74">
        <v>43726</v>
      </c>
      <c r="B20" s="76" t="s">
        <v>345</v>
      </c>
      <c r="C20" s="78">
        <v>14.238333333333335</v>
      </c>
      <c r="D20" s="86" t="s">
        <v>316</v>
      </c>
    </row>
    <row r="21" spans="1:4" ht="15.75" thickBot="1" x14ac:dyDescent="0.3">
      <c r="A21" s="74">
        <v>43726</v>
      </c>
      <c r="B21" s="76" t="s">
        <v>345</v>
      </c>
      <c r="C21" s="78">
        <v>14.238333333333335</v>
      </c>
      <c r="D21" s="86" t="s">
        <v>317</v>
      </c>
    </row>
    <row r="22" spans="1:4" ht="15.75" thickBot="1" x14ac:dyDescent="0.3">
      <c r="A22" s="74">
        <v>43726</v>
      </c>
      <c r="B22" s="76" t="s">
        <v>345</v>
      </c>
      <c r="C22" s="78">
        <v>14.238333333333335</v>
      </c>
      <c r="D22" s="86" t="s">
        <v>311</v>
      </c>
    </row>
    <row r="23" spans="1:4" ht="15.75" thickBot="1" x14ac:dyDescent="0.3">
      <c r="A23" s="74">
        <v>43726</v>
      </c>
      <c r="B23" s="76" t="s">
        <v>345</v>
      </c>
      <c r="C23" s="78">
        <v>14.238333333333335</v>
      </c>
      <c r="D23" s="86" t="s">
        <v>318</v>
      </c>
    </row>
    <row r="24" spans="1:4" ht="15.75" thickBot="1" x14ac:dyDescent="0.3">
      <c r="A24" s="74">
        <v>43728</v>
      </c>
      <c r="B24" s="76" t="s">
        <v>346</v>
      </c>
      <c r="C24" s="80">
        <v>21.21</v>
      </c>
      <c r="D24" s="86" t="s">
        <v>308</v>
      </c>
    </row>
    <row r="25" spans="1:4" ht="15.75" thickBot="1" x14ac:dyDescent="0.3">
      <c r="A25" s="74">
        <v>43731</v>
      </c>
      <c r="B25" s="76" t="s">
        <v>302</v>
      </c>
      <c r="C25" s="80">
        <v>10.06</v>
      </c>
      <c r="D25" s="86" t="s">
        <v>308</v>
      </c>
    </row>
    <row r="26" spans="1:4" ht="15.75" thickBot="1" x14ac:dyDescent="0.3">
      <c r="A26" s="74">
        <v>43731</v>
      </c>
      <c r="B26" s="76" t="s">
        <v>303</v>
      </c>
      <c r="C26" s="80">
        <v>1.5</v>
      </c>
      <c r="D26" s="86" t="s">
        <v>308</v>
      </c>
    </row>
    <row r="27" spans="1:4" ht="15.75" thickBot="1" x14ac:dyDescent="0.3">
      <c r="A27" s="74">
        <v>43731</v>
      </c>
      <c r="B27" s="76" t="s">
        <v>304</v>
      </c>
      <c r="C27" s="80">
        <v>15.65</v>
      </c>
      <c r="D27" s="86" t="s">
        <v>308</v>
      </c>
    </row>
    <row r="28" spans="1:4" ht="15.75" thickBot="1" x14ac:dyDescent="0.3">
      <c r="A28" s="74">
        <v>43735</v>
      </c>
      <c r="B28" s="76" t="s">
        <v>305</v>
      </c>
      <c r="C28" s="78">
        <v>6.7249999999999996</v>
      </c>
      <c r="D28" s="86" t="s">
        <v>311</v>
      </c>
    </row>
    <row r="29" spans="1:4" ht="15.75" thickBot="1" x14ac:dyDescent="0.3">
      <c r="A29" s="74">
        <v>43735</v>
      </c>
      <c r="B29" s="76" t="s">
        <v>305</v>
      </c>
      <c r="C29" s="78">
        <v>6.7249999999999996</v>
      </c>
      <c r="D29" s="86" t="s">
        <v>319</v>
      </c>
    </row>
    <row r="30" spans="1:4" ht="15.75" thickBot="1" x14ac:dyDescent="0.3">
      <c r="A30" s="74">
        <v>43735</v>
      </c>
      <c r="B30" s="76" t="s">
        <v>305</v>
      </c>
      <c r="C30" s="80">
        <v>6.7249999999999996</v>
      </c>
      <c r="D30" s="86" t="s">
        <v>308</v>
      </c>
    </row>
    <row r="31" spans="1:4" ht="15.75" thickBot="1" x14ac:dyDescent="0.3">
      <c r="A31" s="74">
        <v>43735</v>
      </c>
      <c r="B31" s="76" t="s">
        <v>305</v>
      </c>
      <c r="C31" s="78">
        <v>6.7249999999999996</v>
      </c>
      <c r="D31" s="86" t="s">
        <v>315</v>
      </c>
    </row>
    <row r="33" spans="2:3" x14ac:dyDescent="0.25">
      <c r="C33" s="62">
        <f>SUM(C4:C31)</f>
        <v>1565.6899999999989</v>
      </c>
    </row>
    <row r="39" spans="2:3" x14ac:dyDescent="0.25">
      <c r="B39" t="s">
        <v>308</v>
      </c>
      <c r="C39" s="62">
        <v>1112.3433333333332</v>
      </c>
    </row>
    <row r="40" spans="2:3" x14ac:dyDescent="0.25">
      <c r="B40" t="s">
        <v>321</v>
      </c>
      <c r="C40" s="62">
        <v>191.11</v>
      </c>
    </row>
    <row r="41" spans="2:3" x14ac:dyDescent="0.25">
      <c r="B41" t="s">
        <v>320</v>
      </c>
    </row>
    <row r="42" spans="2:3" x14ac:dyDescent="0.25">
      <c r="B42" t="s">
        <v>310</v>
      </c>
    </row>
    <row r="43" spans="2:3" x14ac:dyDescent="0.25">
      <c r="B43" t="s">
        <v>309</v>
      </c>
      <c r="C43" s="62">
        <v>104.83</v>
      </c>
    </row>
    <row r="44" spans="2:3" x14ac:dyDescent="0.25">
      <c r="B44" t="s">
        <v>311</v>
      </c>
      <c r="C44" s="62">
        <v>87.00333333333333</v>
      </c>
    </row>
    <row r="45" spans="2:3" x14ac:dyDescent="0.25">
      <c r="B45" t="s">
        <v>315</v>
      </c>
      <c r="C45" s="62">
        <v>20.963333333333335</v>
      </c>
    </row>
    <row r="46" spans="2:3" x14ac:dyDescent="0.25">
      <c r="B46" t="s">
        <v>317</v>
      </c>
      <c r="C46" s="62">
        <v>14.238333333333335</v>
      </c>
    </row>
    <row r="47" spans="2:3" x14ac:dyDescent="0.25">
      <c r="B47" t="s">
        <v>316</v>
      </c>
      <c r="C47" s="62">
        <v>14.238333333333335</v>
      </c>
    </row>
    <row r="48" spans="2:3" x14ac:dyDescent="0.25">
      <c r="B48" t="s">
        <v>318</v>
      </c>
      <c r="C48" s="62">
        <v>14.238333333333335</v>
      </c>
    </row>
    <row r="49" spans="2:3" x14ac:dyDescent="0.25">
      <c r="B49" t="s">
        <v>313</v>
      </c>
    </row>
    <row r="50" spans="2:3" x14ac:dyDescent="0.25">
      <c r="B50" t="s">
        <v>319</v>
      </c>
      <c r="C50" s="62">
        <v>6.7249999999999996</v>
      </c>
    </row>
    <row r="51" spans="2:3" x14ac:dyDescent="0.25">
      <c r="C51" s="62">
        <f>SUM(C39:C50)</f>
        <v>1565.6899999999996</v>
      </c>
    </row>
    <row r="53" spans="2:3" x14ac:dyDescent="0.25">
      <c r="C53" s="62">
        <f>C51-C33</f>
        <v>0</v>
      </c>
    </row>
  </sheetData>
  <autoFilter ref="A3:D31">
    <filterColumn colId="3">
      <colorFilter dxfId="0"/>
    </filterColumn>
  </autoFilter>
  <mergeCells count="2">
    <mergeCell ref="A1:C1"/>
    <mergeCell ref="A2:B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E12" sqref="E12"/>
    </sheetView>
  </sheetViews>
  <sheetFormatPr defaultRowHeight="15" x14ac:dyDescent="0.25"/>
  <cols>
    <col min="2" max="2" width="37.140625" customWidth="1"/>
    <col min="3" max="3" width="13.85546875" customWidth="1"/>
    <col min="4" max="4" width="16" customWidth="1"/>
  </cols>
  <sheetData>
    <row r="1" spans="1:4" ht="15.75" thickBot="1" x14ac:dyDescent="0.3">
      <c r="A1" s="153" t="s">
        <v>248</v>
      </c>
      <c r="B1" s="153"/>
      <c r="C1" s="154"/>
    </row>
    <row r="2" spans="1:4" ht="15.75" thickBot="1" x14ac:dyDescent="0.3">
      <c r="A2" s="156" t="s">
        <v>249</v>
      </c>
      <c r="B2" s="156"/>
      <c r="C2" s="82">
        <f>SUBTOTAL(9,C4:C29)</f>
        <v>1429.649999999999</v>
      </c>
    </row>
    <row r="3" spans="1:4" ht="15.75" thickBot="1" x14ac:dyDescent="0.3">
      <c r="A3" s="73" t="s">
        <v>168</v>
      </c>
      <c r="B3" s="73" t="s">
        <v>250</v>
      </c>
      <c r="C3" s="77" t="s">
        <v>251</v>
      </c>
    </row>
    <row r="4" spans="1:4" ht="15.75" thickBot="1" x14ac:dyDescent="0.3">
      <c r="A4" s="91">
        <v>43509</v>
      </c>
      <c r="B4" s="96" t="s">
        <v>333</v>
      </c>
      <c r="C4" s="93">
        <v>51.06</v>
      </c>
      <c r="D4" s="94" t="s">
        <v>308</v>
      </c>
    </row>
    <row r="5" spans="1:4" ht="15.75" thickBot="1" x14ac:dyDescent="0.3">
      <c r="A5" s="74">
        <v>43525</v>
      </c>
      <c r="B5" s="76" t="s">
        <v>334</v>
      </c>
      <c r="C5" s="78">
        <v>104.83</v>
      </c>
      <c r="D5" s="86" t="s">
        <v>309</v>
      </c>
    </row>
    <row r="6" spans="1:4" ht="15.75" thickBot="1" x14ac:dyDescent="0.3">
      <c r="A6" s="74">
        <v>43552</v>
      </c>
      <c r="B6" s="76" t="s">
        <v>335</v>
      </c>
      <c r="C6" s="80">
        <v>4.9000000000000004</v>
      </c>
      <c r="D6" s="86" t="s">
        <v>308</v>
      </c>
    </row>
    <row r="7" spans="1:4" ht="15.75" thickBot="1" x14ac:dyDescent="0.3">
      <c r="A7" s="74">
        <v>43670</v>
      </c>
      <c r="B7" s="76" t="s">
        <v>337</v>
      </c>
      <c r="C7" s="78">
        <v>191.11</v>
      </c>
      <c r="D7" s="86" t="s">
        <v>312</v>
      </c>
    </row>
    <row r="8" spans="1:4" ht="15.75" thickBot="1" x14ac:dyDescent="0.3">
      <c r="A8" s="74">
        <v>43684</v>
      </c>
      <c r="B8" s="76" t="s">
        <v>338</v>
      </c>
      <c r="C8" s="80">
        <v>58.1</v>
      </c>
      <c r="D8" s="86" t="s">
        <v>308</v>
      </c>
    </row>
    <row r="9" spans="1:4" ht="15.75" thickBot="1" x14ac:dyDescent="0.3">
      <c r="A9" s="74">
        <v>43709</v>
      </c>
      <c r="B9" s="76" t="s">
        <v>339</v>
      </c>
      <c r="C9" s="80">
        <v>20.66</v>
      </c>
      <c r="D9" s="86" t="s">
        <v>308</v>
      </c>
    </row>
    <row r="10" spans="1:4" ht="15.75" thickBot="1" x14ac:dyDescent="0.3">
      <c r="A10" s="74">
        <v>43711</v>
      </c>
      <c r="B10" s="76" t="s">
        <v>341</v>
      </c>
      <c r="C10" s="80">
        <v>78.25</v>
      </c>
      <c r="D10" s="86" t="s">
        <v>308</v>
      </c>
    </row>
    <row r="11" spans="1:4" ht="15.75" thickBot="1" x14ac:dyDescent="0.3">
      <c r="A11" s="74">
        <v>43717</v>
      </c>
      <c r="B11" s="76" t="s">
        <v>137</v>
      </c>
      <c r="C11" s="80">
        <v>460.36</v>
      </c>
      <c r="D11" s="86" t="s">
        <v>308</v>
      </c>
    </row>
    <row r="12" spans="1:4" ht="15.75" thickBot="1" x14ac:dyDescent="0.3">
      <c r="A12" s="74">
        <v>43721</v>
      </c>
      <c r="B12" s="76" t="s">
        <v>342</v>
      </c>
      <c r="C12" s="80">
        <v>228.16</v>
      </c>
      <c r="D12" s="86" t="s">
        <v>308</v>
      </c>
    </row>
    <row r="13" spans="1:4" ht="15.75" thickBot="1" x14ac:dyDescent="0.3">
      <c r="A13" s="74">
        <v>43721</v>
      </c>
      <c r="B13" s="76" t="s">
        <v>343</v>
      </c>
      <c r="C13" s="80">
        <v>48.12</v>
      </c>
      <c r="D13" s="86" t="s">
        <v>308</v>
      </c>
    </row>
    <row r="14" spans="1:4" ht="15.75" thickBot="1" x14ac:dyDescent="0.3">
      <c r="A14" s="74">
        <v>43722</v>
      </c>
      <c r="B14" s="76" t="s">
        <v>344</v>
      </c>
      <c r="C14" s="80">
        <v>5.75</v>
      </c>
      <c r="D14" s="86" t="s">
        <v>308</v>
      </c>
    </row>
    <row r="15" spans="1:4" ht="15.75" thickBot="1" x14ac:dyDescent="0.3">
      <c r="A15" s="74">
        <v>43725</v>
      </c>
      <c r="B15" s="76" t="s">
        <v>284</v>
      </c>
      <c r="C15" s="80">
        <v>17.600000000000001</v>
      </c>
      <c r="D15" s="86" t="s">
        <v>308</v>
      </c>
    </row>
    <row r="16" spans="1:4" ht="15.75" thickBot="1" x14ac:dyDescent="0.3">
      <c r="A16" s="74">
        <v>43726</v>
      </c>
      <c r="B16" s="76" t="s">
        <v>345</v>
      </c>
      <c r="C16" s="78">
        <v>14.238333333333335</v>
      </c>
      <c r="D16" s="86" t="s">
        <v>315</v>
      </c>
    </row>
    <row r="17" spans="1:4" ht="15.75" thickBot="1" x14ac:dyDescent="0.3">
      <c r="A17" s="74">
        <v>43726</v>
      </c>
      <c r="B17" s="76" t="s">
        <v>345</v>
      </c>
      <c r="C17" s="80">
        <v>14.238333333333335</v>
      </c>
      <c r="D17" s="86" t="s">
        <v>308</v>
      </c>
    </row>
    <row r="18" spans="1:4" ht="15.75" thickBot="1" x14ac:dyDescent="0.3">
      <c r="A18" s="74">
        <v>43726</v>
      </c>
      <c r="B18" s="76" t="s">
        <v>345</v>
      </c>
      <c r="C18" s="78">
        <v>14.238333333333335</v>
      </c>
      <c r="D18" s="86" t="s">
        <v>316</v>
      </c>
    </row>
    <row r="19" spans="1:4" ht="15.75" thickBot="1" x14ac:dyDescent="0.3">
      <c r="A19" s="74">
        <v>43726</v>
      </c>
      <c r="B19" s="76" t="s">
        <v>345</v>
      </c>
      <c r="C19" s="78">
        <v>14.238333333333335</v>
      </c>
      <c r="D19" s="86" t="s">
        <v>317</v>
      </c>
    </row>
    <row r="20" spans="1:4" ht="15.75" thickBot="1" x14ac:dyDescent="0.3">
      <c r="A20" s="74">
        <v>43726</v>
      </c>
      <c r="B20" s="76" t="s">
        <v>345</v>
      </c>
      <c r="C20" s="78">
        <v>14.238333333333335</v>
      </c>
      <c r="D20" s="86" t="s">
        <v>311</v>
      </c>
    </row>
    <row r="21" spans="1:4" ht="15.75" thickBot="1" x14ac:dyDescent="0.3">
      <c r="A21" s="74">
        <v>43726</v>
      </c>
      <c r="B21" s="76" t="s">
        <v>345</v>
      </c>
      <c r="C21" s="78">
        <v>14.238333333333335</v>
      </c>
      <c r="D21" s="86" t="s">
        <v>318</v>
      </c>
    </row>
    <row r="22" spans="1:4" ht="15.75" thickBot="1" x14ac:dyDescent="0.3">
      <c r="A22" s="91">
        <v>43728</v>
      </c>
      <c r="B22" s="92" t="s">
        <v>346</v>
      </c>
      <c r="C22" s="93">
        <v>21.21</v>
      </c>
      <c r="D22" s="94" t="s">
        <v>308</v>
      </c>
    </row>
    <row r="23" spans="1:4" ht="15.75" thickBot="1" x14ac:dyDescent="0.3">
      <c r="A23" s="74">
        <v>43731</v>
      </c>
      <c r="B23" s="76" t="s">
        <v>302</v>
      </c>
      <c r="C23" s="80">
        <v>10.06</v>
      </c>
      <c r="D23" s="86" t="s">
        <v>308</v>
      </c>
    </row>
    <row r="24" spans="1:4" ht="15.75" thickBot="1" x14ac:dyDescent="0.3">
      <c r="A24" s="74">
        <v>43731</v>
      </c>
      <c r="B24" s="76" t="s">
        <v>303</v>
      </c>
      <c r="C24" s="80">
        <v>1.5</v>
      </c>
      <c r="D24" s="86" t="s">
        <v>308</v>
      </c>
    </row>
    <row r="25" spans="1:4" ht="15.75" thickBot="1" x14ac:dyDescent="0.3">
      <c r="A25" s="74">
        <v>43731</v>
      </c>
      <c r="B25" s="76" t="s">
        <v>304</v>
      </c>
      <c r="C25" s="80">
        <v>15.65</v>
      </c>
      <c r="D25" s="86" t="s">
        <v>308</v>
      </c>
    </row>
    <row r="26" spans="1:4" ht="15.75" thickBot="1" x14ac:dyDescent="0.3">
      <c r="A26" s="74">
        <v>43735</v>
      </c>
      <c r="B26" s="76" t="s">
        <v>305</v>
      </c>
      <c r="C26" s="78">
        <v>6.7249999999999996</v>
      </c>
      <c r="D26" s="86" t="s">
        <v>311</v>
      </c>
    </row>
    <row r="27" spans="1:4" ht="15.75" thickBot="1" x14ac:dyDescent="0.3">
      <c r="A27" s="74">
        <v>43735</v>
      </c>
      <c r="B27" s="76" t="s">
        <v>305</v>
      </c>
      <c r="C27" s="78">
        <v>6.7249999999999996</v>
      </c>
      <c r="D27" s="86" t="s">
        <v>319</v>
      </c>
    </row>
    <row r="28" spans="1:4" ht="15.75" thickBot="1" x14ac:dyDescent="0.3">
      <c r="A28" s="74">
        <v>43735</v>
      </c>
      <c r="B28" s="76" t="s">
        <v>305</v>
      </c>
      <c r="C28" s="80">
        <v>6.7249999999999996</v>
      </c>
      <c r="D28" s="86" t="s">
        <v>308</v>
      </c>
    </row>
    <row r="29" spans="1:4" ht="15.75" thickBot="1" x14ac:dyDescent="0.3">
      <c r="A29" s="74">
        <v>43735</v>
      </c>
      <c r="B29" s="76" t="s">
        <v>305</v>
      </c>
      <c r="C29" s="78">
        <v>6.7249999999999996</v>
      </c>
      <c r="D29" s="86" t="s">
        <v>315</v>
      </c>
    </row>
    <row r="30" spans="1:4" x14ac:dyDescent="0.25">
      <c r="C30" s="62"/>
    </row>
    <row r="31" spans="1:4" x14ac:dyDescent="0.25">
      <c r="C31" s="62">
        <f>SUM(C4:C29)</f>
        <v>1429.649999999999</v>
      </c>
    </row>
    <row r="32" spans="1:4" x14ac:dyDescent="0.25">
      <c r="C32" s="62"/>
    </row>
    <row r="33" spans="2:3" x14ac:dyDescent="0.25">
      <c r="C33" s="62"/>
    </row>
    <row r="34" spans="2:3" x14ac:dyDescent="0.25">
      <c r="C34" s="62"/>
    </row>
    <row r="35" spans="2:3" x14ac:dyDescent="0.25">
      <c r="C35" s="62"/>
    </row>
    <row r="36" spans="2:3" x14ac:dyDescent="0.25">
      <c r="C36" s="62"/>
    </row>
    <row r="37" spans="2:3" x14ac:dyDescent="0.25">
      <c r="B37" t="s">
        <v>308</v>
      </c>
      <c r="C37" s="62">
        <v>1042.3433333333332</v>
      </c>
    </row>
    <row r="38" spans="2:3" x14ac:dyDescent="0.25">
      <c r="B38" t="s">
        <v>321</v>
      </c>
      <c r="C38" s="62">
        <v>191.11</v>
      </c>
    </row>
    <row r="39" spans="2:3" x14ac:dyDescent="0.25">
      <c r="B39" t="s">
        <v>320</v>
      </c>
      <c r="C39" s="62"/>
    </row>
    <row r="40" spans="2:3" x14ac:dyDescent="0.25">
      <c r="B40" t="s">
        <v>310</v>
      </c>
      <c r="C40" s="62"/>
    </row>
    <row r="41" spans="2:3" x14ac:dyDescent="0.25">
      <c r="B41" t="s">
        <v>309</v>
      </c>
      <c r="C41" s="62">
        <v>104.83</v>
      </c>
    </row>
    <row r="42" spans="2:3" x14ac:dyDescent="0.25">
      <c r="B42" t="s">
        <v>311</v>
      </c>
      <c r="C42" s="62">
        <v>20.963333333333335</v>
      </c>
    </row>
    <row r="43" spans="2:3" x14ac:dyDescent="0.25">
      <c r="B43" t="s">
        <v>315</v>
      </c>
      <c r="C43" s="62">
        <v>20.963333333333335</v>
      </c>
    </row>
    <row r="44" spans="2:3" x14ac:dyDescent="0.25">
      <c r="B44" t="s">
        <v>317</v>
      </c>
      <c r="C44" s="62">
        <v>14.238333333333335</v>
      </c>
    </row>
    <row r="45" spans="2:3" x14ac:dyDescent="0.25">
      <c r="B45" t="s">
        <v>316</v>
      </c>
      <c r="C45" s="62">
        <v>14.238333333333335</v>
      </c>
    </row>
    <row r="46" spans="2:3" x14ac:dyDescent="0.25">
      <c r="B46" t="s">
        <v>318</v>
      </c>
      <c r="C46" s="62">
        <v>14.238333333333335</v>
      </c>
    </row>
    <row r="47" spans="2:3" x14ac:dyDescent="0.25">
      <c r="B47" t="s">
        <v>313</v>
      </c>
      <c r="C47" s="62"/>
    </row>
    <row r="48" spans="2:3" x14ac:dyDescent="0.25">
      <c r="B48" t="s">
        <v>319</v>
      </c>
      <c r="C48" s="62">
        <v>6.7249999999999996</v>
      </c>
    </row>
    <row r="49" spans="3:3" x14ac:dyDescent="0.25">
      <c r="C49" s="62">
        <f>SUM(C37:C48)</f>
        <v>1429.6499999999996</v>
      </c>
    </row>
    <row r="50" spans="3:3" x14ac:dyDescent="0.25">
      <c r="C50" s="62">
        <f>C31-C49</f>
        <v>0</v>
      </c>
    </row>
  </sheetData>
  <autoFilter ref="A3:D29"/>
  <mergeCells count="2">
    <mergeCell ref="A1:C1"/>
    <mergeCell ref="A2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G13" sqref="G13"/>
    </sheetView>
  </sheetViews>
  <sheetFormatPr defaultRowHeight="15" x14ac:dyDescent="0.25"/>
  <cols>
    <col min="1" max="1" width="11.7109375" bestFit="1" customWidth="1"/>
    <col min="3" max="15" width="10.7109375" customWidth="1"/>
  </cols>
  <sheetData>
    <row r="1" spans="1:15" x14ac:dyDescent="0.25">
      <c r="A1" s="27" t="s">
        <v>351</v>
      </c>
      <c r="B1" s="27" t="s">
        <v>14</v>
      </c>
      <c r="C1" s="27" t="s">
        <v>224</v>
      </c>
      <c r="D1" s="27" t="s">
        <v>21</v>
      </c>
      <c r="E1" s="27" t="s">
        <v>22</v>
      </c>
      <c r="F1" s="27" t="s">
        <v>23</v>
      </c>
      <c r="G1" s="27" t="s">
        <v>24</v>
      </c>
      <c r="H1" s="27" t="s">
        <v>25</v>
      </c>
      <c r="I1" s="27" t="s">
        <v>26</v>
      </c>
      <c r="J1" s="27" t="s">
        <v>27</v>
      </c>
      <c r="K1" s="27" t="s">
        <v>28</v>
      </c>
      <c r="L1" s="27" t="s">
        <v>29</v>
      </c>
      <c r="M1" s="27" t="s">
        <v>30</v>
      </c>
      <c r="N1" s="27" t="s">
        <v>31</v>
      </c>
      <c r="O1" s="27" t="s">
        <v>32</v>
      </c>
    </row>
    <row r="2" spans="1:15" x14ac:dyDescent="0.25">
      <c r="A2" t="s">
        <v>385</v>
      </c>
      <c r="B2" t="s">
        <v>138</v>
      </c>
      <c r="C2" s="35">
        <v>104.83</v>
      </c>
      <c r="D2" s="35"/>
      <c r="E2" s="35"/>
      <c r="F2" s="35"/>
      <c r="G2" s="35"/>
      <c r="H2" s="35"/>
      <c r="I2" s="35"/>
      <c r="J2" s="35"/>
      <c r="K2" s="35"/>
      <c r="L2" s="35"/>
      <c r="M2" s="35">
        <v>104.83</v>
      </c>
      <c r="N2" s="35">
        <v>104.83</v>
      </c>
      <c r="O2" s="35">
        <v>104.83</v>
      </c>
    </row>
    <row r="3" spans="1:15" x14ac:dyDescent="0.25">
      <c r="B3" t="s">
        <v>134</v>
      </c>
      <c r="C3" s="35">
        <v>54.3</v>
      </c>
      <c r="D3" s="35"/>
      <c r="E3" s="35"/>
      <c r="F3" s="35"/>
      <c r="G3" s="35"/>
      <c r="H3" s="35"/>
      <c r="I3" s="35"/>
      <c r="J3" s="35"/>
      <c r="K3" s="35"/>
      <c r="L3" s="35"/>
      <c r="M3" s="35">
        <v>54.3</v>
      </c>
      <c r="N3" s="35"/>
      <c r="O3" s="35"/>
    </row>
    <row r="4" spans="1:15" x14ac:dyDescent="0.25">
      <c r="B4" t="s">
        <v>133</v>
      </c>
      <c r="C4" s="35">
        <v>66.040000000000006</v>
      </c>
      <c r="D4" s="35"/>
      <c r="E4" s="35"/>
      <c r="F4" s="35"/>
      <c r="G4" s="35"/>
      <c r="H4" s="35"/>
      <c r="I4" s="35"/>
      <c r="J4" s="35"/>
      <c r="K4" s="35"/>
      <c r="L4" s="35"/>
      <c r="M4" s="35">
        <v>66.040000000000006</v>
      </c>
      <c r="N4" s="35">
        <v>66.040000000000006</v>
      </c>
      <c r="O4" s="35"/>
    </row>
    <row r="5" spans="1:15" x14ac:dyDescent="0.25">
      <c r="B5" t="s">
        <v>203</v>
      </c>
      <c r="C5" s="35">
        <v>6.73</v>
      </c>
      <c r="D5" s="35"/>
      <c r="E5" s="35"/>
      <c r="F5" s="35"/>
      <c r="G5" s="35"/>
      <c r="H5" s="35"/>
      <c r="I5" s="35"/>
      <c r="J5" s="35"/>
      <c r="K5" s="35"/>
      <c r="L5" s="35"/>
      <c r="M5" s="35">
        <v>6.73</v>
      </c>
      <c r="N5" s="35">
        <v>6.73</v>
      </c>
      <c r="O5" s="35">
        <v>6.73</v>
      </c>
    </row>
    <row r="6" spans="1:15" x14ac:dyDescent="0.25">
      <c r="B6" t="s">
        <v>133</v>
      </c>
      <c r="C6" s="35">
        <v>6.73</v>
      </c>
      <c r="D6" s="35"/>
      <c r="E6" s="35"/>
      <c r="F6" s="35"/>
      <c r="G6" s="35"/>
      <c r="H6" s="35"/>
      <c r="I6" s="35"/>
      <c r="J6" s="35"/>
      <c r="K6" s="35"/>
      <c r="L6" s="35"/>
      <c r="M6" s="35">
        <v>6.73</v>
      </c>
      <c r="N6" s="35">
        <v>6.73</v>
      </c>
      <c r="O6" s="35">
        <v>6.73</v>
      </c>
    </row>
    <row r="7" spans="1:15" x14ac:dyDescent="0.25">
      <c r="B7" t="s">
        <v>323</v>
      </c>
      <c r="C7" s="35">
        <v>6.73</v>
      </c>
      <c r="D7" s="35"/>
      <c r="E7" s="35"/>
      <c r="F7" s="35"/>
      <c r="G7" s="35"/>
      <c r="H7" s="35"/>
      <c r="I7" s="35"/>
      <c r="J7" s="35"/>
      <c r="K7" s="35"/>
      <c r="L7" s="35"/>
      <c r="M7" s="35">
        <v>6.73</v>
      </c>
      <c r="N7" s="35">
        <v>6.73</v>
      </c>
      <c r="O7" s="35">
        <v>6.73</v>
      </c>
    </row>
    <row r="8" spans="1:15" x14ac:dyDescent="0.25">
      <c r="B8" t="s">
        <v>134</v>
      </c>
      <c r="C8" s="35">
        <v>64.900000000000006</v>
      </c>
      <c r="D8" s="35"/>
      <c r="E8" s="35"/>
      <c r="F8" s="35"/>
      <c r="G8" s="35"/>
      <c r="H8" s="35"/>
      <c r="I8" s="35"/>
      <c r="J8" s="35"/>
      <c r="K8" s="35"/>
      <c r="L8" s="35"/>
      <c r="M8" s="35">
        <v>64.900000000000006</v>
      </c>
      <c r="N8" s="35"/>
      <c r="O8" s="35"/>
    </row>
    <row r="9" spans="1:15" x14ac:dyDescent="0.25">
      <c r="B9" t="s">
        <v>203</v>
      </c>
      <c r="C9" s="35">
        <v>14.241666666666667</v>
      </c>
      <c r="D9" s="35"/>
      <c r="E9" s="35"/>
      <c r="F9" s="35"/>
      <c r="G9" s="35"/>
      <c r="H9" s="35"/>
      <c r="I9" s="35"/>
      <c r="J9" s="35"/>
      <c r="K9" s="35"/>
      <c r="L9" s="35"/>
      <c r="M9" s="35">
        <v>14.241666666666667</v>
      </c>
      <c r="N9" s="35">
        <v>14.241666666666667</v>
      </c>
      <c r="O9" s="35">
        <v>14.241666666666667</v>
      </c>
    </row>
    <row r="10" spans="1:15" x14ac:dyDescent="0.25">
      <c r="B10" t="s">
        <v>204</v>
      </c>
      <c r="C10" s="35">
        <v>14.241666666666667</v>
      </c>
      <c r="D10" s="35"/>
      <c r="E10" s="35"/>
      <c r="F10" s="35"/>
      <c r="G10" s="35"/>
      <c r="H10" s="35"/>
      <c r="I10" s="35"/>
      <c r="J10" s="35"/>
      <c r="K10" s="35"/>
      <c r="L10" s="35"/>
      <c r="M10" s="35">
        <v>14.241666666666667</v>
      </c>
      <c r="N10" s="35">
        <v>14.241666666666667</v>
      </c>
      <c r="O10" s="35">
        <v>14.241666666666667</v>
      </c>
    </row>
    <row r="11" spans="1:15" x14ac:dyDescent="0.25">
      <c r="B11" t="s">
        <v>322</v>
      </c>
      <c r="C11" s="35">
        <v>14.241666666666667</v>
      </c>
      <c r="D11" s="35"/>
      <c r="E11" s="35"/>
      <c r="F11" s="35"/>
      <c r="G11" s="35"/>
      <c r="H11" s="35"/>
      <c r="I11" s="35"/>
      <c r="J11" s="35"/>
      <c r="K11" s="35"/>
      <c r="L11" s="35"/>
      <c r="M11" s="35">
        <v>14.241666666666667</v>
      </c>
      <c r="N11" s="35">
        <v>14.241666666666667</v>
      </c>
      <c r="O11" s="35">
        <v>14.241666666666667</v>
      </c>
    </row>
    <row r="12" spans="1:15" x14ac:dyDescent="0.25">
      <c r="B12" t="s">
        <v>133</v>
      </c>
      <c r="C12" s="35">
        <v>14.241666666666667</v>
      </c>
      <c r="D12" s="35"/>
      <c r="E12" s="35"/>
      <c r="F12" s="35"/>
      <c r="G12" s="35"/>
      <c r="H12" s="35"/>
      <c r="I12" s="35"/>
      <c r="J12" s="35"/>
      <c r="K12" s="35"/>
      <c r="L12" s="35"/>
      <c r="M12" s="35">
        <v>14.241666666666667</v>
      </c>
      <c r="N12" s="35">
        <v>14.241666666666667</v>
      </c>
      <c r="O12" s="35">
        <v>14.241666666666667</v>
      </c>
    </row>
    <row r="13" spans="1:15" x14ac:dyDescent="0.25">
      <c r="B13" t="s">
        <v>205</v>
      </c>
      <c r="C13" s="35">
        <v>14.241666666666667</v>
      </c>
      <c r="D13" s="35"/>
      <c r="E13" s="35"/>
      <c r="F13" s="35"/>
      <c r="G13" s="35"/>
      <c r="H13" s="35"/>
      <c r="I13" s="35"/>
      <c r="J13" s="35"/>
      <c r="K13" s="35"/>
      <c r="L13" s="35"/>
      <c r="M13" s="35">
        <v>14.241666666666667</v>
      </c>
      <c r="N13" s="35">
        <v>14.241666666666667</v>
      </c>
      <c r="O13" s="35">
        <v>14.241666666666667</v>
      </c>
    </row>
    <row r="14" spans="1:15" x14ac:dyDescent="0.25">
      <c r="B14" t="s">
        <v>209</v>
      </c>
      <c r="C14" s="35">
        <v>15</v>
      </c>
      <c r="D14" s="35"/>
      <c r="E14" s="35"/>
      <c r="F14" s="35"/>
      <c r="G14" s="35"/>
      <c r="H14" s="35"/>
      <c r="I14" s="35"/>
      <c r="J14" s="35"/>
      <c r="K14" s="35"/>
      <c r="L14" s="35"/>
      <c r="M14" s="35">
        <v>15</v>
      </c>
      <c r="N14" s="35"/>
      <c r="O14" s="35"/>
    </row>
    <row r="15" spans="1:15" x14ac:dyDescent="0.25">
      <c r="B15" t="s">
        <v>133</v>
      </c>
      <c r="C15" s="35">
        <v>17.600000000000001</v>
      </c>
      <c r="D15" s="35"/>
      <c r="E15" s="35"/>
      <c r="F15" s="35"/>
      <c r="G15" s="35"/>
      <c r="H15" s="35"/>
      <c r="I15" s="35"/>
      <c r="J15" s="35"/>
      <c r="K15" s="35"/>
      <c r="L15" s="35"/>
      <c r="M15" s="35">
        <v>17.600000000000001</v>
      </c>
      <c r="N15" s="35">
        <v>17.600000000000001</v>
      </c>
      <c r="O15" s="35">
        <v>17.600000000000001</v>
      </c>
    </row>
    <row r="16" spans="1:15" x14ac:dyDescent="0.25">
      <c r="B16" t="s">
        <v>138</v>
      </c>
      <c r="C16" s="35">
        <v>11.7</v>
      </c>
      <c r="D16" s="35"/>
      <c r="E16" s="35"/>
      <c r="F16" s="35"/>
      <c r="G16" s="35"/>
      <c r="H16" s="35"/>
      <c r="I16" s="35"/>
      <c r="J16" s="35"/>
      <c r="K16" s="35"/>
      <c r="L16" s="35"/>
      <c r="M16" s="35">
        <v>11.7</v>
      </c>
      <c r="N16" s="35">
        <v>11.7</v>
      </c>
      <c r="O16" s="35"/>
    </row>
    <row r="17" spans="2:15" x14ac:dyDescent="0.25">
      <c r="B17" t="s">
        <v>138</v>
      </c>
      <c r="C17" s="35">
        <v>33.81</v>
      </c>
      <c r="D17" s="35"/>
      <c r="E17" s="35"/>
      <c r="F17" s="35"/>
      <c r="G17" s="35"/>
      <c r="H17" s="35"/>
      <c r="I17" s="35"/>
      <c r="J17" s="35"/>
      <c r="K17" s="35"/>
      <c r="L17" s="35"/>
      <c r="M17" s="35">
        <v>33.81</v>
      </c>
      <c r="N17" s="35">
        <v>33.81</v>
      </c>
      <c r="O17" s="35">
        <v>33.81</v>
      </c>
    </row>
    <row r="19" spans="2:15" x14ac:dyDescent="0.25">
      <c r="D19" s="35">
        <f>SUM(D2:D17)</f>
        <v>0</v>
      </c>
      <c r="E19" s="35">
        <f t="shared" ref="E19:O19" si="0">SUM(E2:E17)</f>
        <v>0</v>
      </c>
      <c r="F19" s="35">
        <f t="shared" si="0"/>
        <v>0</v>
      </c>
      <c r="G19" s="35">
        <f t="shared" si="0"/>
        <v>0</v>
      </c>
      <c r="H19" s="35">
        <f t="shared" si="0"/>
        <v>0</v>
      </c>
      <c r="I19" s="35">
        <f t="shared" si="0"/>
        <v>0</v>
      </c>
      <c r="J19" s="35">
        <f t="shared" si="0"/>
        <v>0</v>
      </c>
      <c r="K19" s="35">
        <f t="shared" si="0"/>
        <v>0</v>
      </c>
      <c r="L19" s="35">
        <f t="shared" si="0"/>
        <v>0</v>
      </c>
      <c r="M19" s="35">
        <f t="shared" si="0"/>
        <v>459.57833333333338</v>
      </c>
      <c r="N19" s="35">
        <f t="shared" si="0"/>
        <v>325.37833333333333</v>
      </c>
      <c r="O19" s="35">
        <f t="shared" si="0"/>
        <v>247.63833333333338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37"/>
  <sheetViews>
    <sheetView showGridLines="0" workbookViewId="0">
      <pane xSplit="7" ySplit="2" topLeftCell="P3" activePane="bottomRight" state="frozen"/>
      <selection pane="topRight" activeCell="H1" sqref="H1"/>
      <selection pane="bottomLeft" activeCell="A3" sqref="A3"/>
      <selection pane="bottomRight" activeCell="Q9" sqref="Q9:S15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1" bestFit="1" customWidth="1"/>
    <col min="4" max="4" width="21.140625" bestFit="1" customWidth="1"/>
    <col min="5" max="5" width="9.85546875" customWidth="1"/>
    <col min="6" max="6" width="8.5703125" customWidth="1"/>
    <col min="7" max="7" width="9.85546875" customWidth="1"/>
    <col min="8" max="16" width="9.85546875" hidden="1" customWidth="1"/>
    <col min="17" max="19" width="9.85546875" customWidth="1"/>
  </cols>
  <sheetData>
    <row r="1" spans="1:19" x14ac:dyDescent="0.25">
      <c r="E1" s="29">
        <f>SUBTOTAL(9,E3:E35)</f>
        <v>633.68000000000006</v>
      </c>
      <c r="F1" s="4"/>
      <c r="G1" s="29">
        <f t="shared" ref="G1:S1" si="0">SUBTOTAL(9,G3:G35)</f>
        <v>180.01</v>
      </c>
      <c r="H1" s="29">
        <f t="shared" si="0"/>
        <v>0</v>
      </c>
      <c r="I1" s="29">
        <f t="shared" si="0"/>
        <v>0</v>
      </c>
      <c r="J1" s="29">
        <f t="shared" si="0"/>
        <v>0</v>
      </c>
      <c r="K1" s="29">
        <f t="shared" si="0"/>
        <v>0</v>
      </c>
      <c r="L1" s="29">
        <f t="shared" si="0"/>
        <v>0</v>
      </c>
      <c r="M1" s="29">
        <f t="shared" si="0"/>
        <v>0</v>
      </c>
      <c r="N1" s="29">
        <f t="shared" si="0"/>
        <v>0</v>
      </c>
      <c r="O1" s="29">
        <f t="shared" si="0"/>
        <v>76.5</v>
      </c>
      <c r="P1" s="29">
        <f t="shared" si="0"/>
        <v>120.96</v>
      </c>
      <c r="Q1" s="29">
        <f t="shared" si="0"/>
        <v>63.11</v>
      </c>
      <c r="R1" s="29">
        <f t="shared" si="0"/>
        <v>63.11</v>
      </c>
      <c r="S1" s="29">
        <f t="shared" si="0"/>
        <v>51.410000000000004</v>
      </c>
    </row>
    <row r="2" spans="1:19" s="3" customFormat="1" ht="30" x14ac:dyDescent="0.25">
      <c r="A2" s="124" t="s">
        <v>13</v>
      </c>
      <c r="B2" s="124" t="s">
        <v>0</v>
      </c>
      <c r="C2" s="124" t="s">
        <v>14</v>
      </c>
      <c r="D2" s="124" t="s">
        <v>15</v>
      </c>
      <c r="E2" s="124" t="s">
        <v>16</v>
      </c>
      <c r="F2" s="124" t="s">
        <v>17</v>
      </c>
      <c r="G2" s="124" t="s">
        <v>18</v>
      </c>
      <c r="H2" s="124" t="s">
        <v>1</v>
      </c>
      <c r="I2" s="124" t="s">
        <v>2</v>
      </c>
      <c r="J2" s="124" t="s">
        <v>3</v>
      </c>
      <c r="K2" s="124" t="s">
        <v>4</v>
      </c>
      <c r="L2" s="124" t="s">
        <v>5</v>
      </c>
      <c r="M2" s="124" t="s">
        <v>6</v>
      </c>
      <c r="N2" s="124" t="s">
        <v>7</v>
      </c>
      <c r="O2" s="124" t="s">
        <v>8</v>
      </c>
      <c r="P2" s="124" t="s">
        <v>9</v>
      </c>
      <c r="Q2" s="124" t="s">
        <v>10</v>
      </c>
      <c r="R2" s="124" t="s">
        <v>11</v>
      </c>
      <c r="S2" s="124" t="s">
        <v>12</v>
      </c>
    </row>
    <row r="3" spans="1:19" hidden="1" x14ac:dyDescent="0.25">
      <c r="A3" s="1" t="s">
        <v>19</v>
      </c>
      <c r="B3" s="1"/>
      <c r="C3" s="1" t="s">
        <v>20</v>
      </c>
      <c r="D3" s="1" t="s">
        <v>121</v>
      </c>
      <c r="E3" s="2">
        <f t="shared" ref="E3:E13" si="1">F3*G3</f>
        <v>1147.7</v>
      </c>
      <c r="F3" s="1">
        <v>10</v>
      </c>
      <c r="G3" s="31">
        <v>114.77</v>
      </c>
      <c r="H3" s="2"/>
      <c r="I3" s="2"/>
      <c r="J3" s="2"/>
      <c r="K3" s="2"/>
      <c r="L3" s="2"/>
      <c r="M3" s="2"/>
      <c r="N3" s="2"/>
      <c r="O3" s="2">
        <v>114.77</v>
      </c>
      <c r="P3" s="31">
        <v>114.77</v>
      </c>
      <c r="Q3" s="2">
        <v>114.77</v>
      </c>
      <c r="R3" s="31">
        <v>114.77</v>
      </c>
      <c r="S3" s="31">
        <v>114.77</v>
      </c>
    </row>
    <row r="4" spans="1:19" hidden="1" x14ac:dyDescent="0.25">
      <c r="A4" s="1" t="s">
        <v>19</v>
      </c>
      <c r="B4" s="1"/>
      <c r="C4" s="1" t="s">
        <v>20</v>
      </c>
      <c r="D4" s="1" t="s">
        <v>122</v>
      </c>
      <c r="E4" s="2">
        <f t="shared" si="1"/>
        <v>147.76</v>
      </c>
      <c r="F4" s="1">
        <v>4</v>
      </c>
      <c r="G4" s="31">
        <v>36.94</v>
      </c>
      <c r="H4" s="2"/>
      <c r="I4" s="2"/>
      <c r="J4" s="2"/>
      <c r="K4" s="2"/>
      <c r="L4" s="2"/>
      <c r="M4" s="2"/>
      <c r="N4" s="2"/>
      <c r="O4" s="2">
        <v>36.94</v>
      </c>
      <c r="P4" s="31">
        <f>36.92+36.92</f>
        <v>73.84</v>
      </c>
      <c r="Q4" s="2"/>
      <c r="R4" s="31"/>
      <c r="S4" s="31"/>
    </row>
    <row r="5" spans="1:19" hidden="1" x14ac:dyDescent="0.25">
      <c r="A5" s="1" t="s">
        <v>19</v>
      </c>
      <c r="B5" s="1"/>
      <c r="C5" s="1" t="s">
        <v>20</v>
      </c>
      <c r="D5" s="1" t="s">
        <v>123</v>
      </c>
      <c r="E5" s="2">
        <f t="shared" si="1"/>
        <v>6.99</v>
      </c>
      <c r="F5" s="1">
        <v>1</v>
      </c>
      <c r="G5" s="31">
        <v>6.99</v>
      </c>
      <c r="H5" s="2"/>
      <c r="I5" s="2"/>
      <c r="J5" s="2"/>
      <c r="K5" s="2"/>
      <c r="L5" s="2"/>
      <c r="M5" s="2"/>
      <c r="N5" s="2"/>
      <c r="O5" s="2">
        <v>6.99</v>
      </c>
      <c r="P5" s="31">
        <v>0</v>
      </c>
      <c r="Q5" s="2"/>
      <c r="R5" s="31"/>
      <c r="S5" s="31"/>
    </row>
    <row r="6" spans="1:19" x14ac:dyDescent="0.25">
      <c r="A6" s="1" t="s">
        <v>19</v>
      </c>
      <c r="B6" s="1"/>
      <c r="C6" s="1" t="s">
        <v>134</v>
      </c>
      <c r="D6" s="1" t="s">
        <v>124</v>
      </c>
      <c r="E6" s="2">
        <f t="shared" si="1"/>
        <v>58.9</v>
      </c>
      <c r="F6" s="1">
        <v>1</v>
      </c>
      <c r="G6" s="31">
        <v>58.9</v>
      </c>
      <c r="H6" s="2"/>
      <c r="I6" s="2"/>
      <c r="J6" s="2"/>
      <c r="K6" s="2"/>
      <c r="L6" s="2"/>
      <c r="M6" s="2"/>
      <c r="N6" s="2"/>
      <c r="O6" s="2">
        <v>58.9</v>
      </c>
      <c r="P6" s="31">
        <v>0</v>
      </c>
      <c r="Q6" s="2">
        <v>0</v>
      </c>
      <c r="R6" s="31">
        <v>0</v>
      </c>
      <c r="S6" s="31">
        <v>0</v>
      </c>
    </row>
    <row r="7" spans="1:19" hidden="1" x14ac:dyDescent="0.25">
      <c r="A7" s="1" t="s">
        <v>19</v>
      </c>
      <c r="B7" s="1"/>
      <c r="C7" s="1" t="s">
        <v>20</v>
      </c>
      <c r="D7" s="1" t="s">
        <v>125</v>
      </c>
      <c r="E7" s="2">
        <f t="shared" si="1"/>
        <v>29</v>
      </c>
      <c r="F7" s="1">
        <v>1</v>
      </c>
      <c r="G7" s="31">
        <v>29</v>
      </c>
      <c r="H7" s="2"/>
      <c r="I7" s="2"/>
      <c r="J7" s="2"/>
      <c r="K7" s="2"/>
      <c r="L7" s="2"/>
      <c r="M7" s="2"/>
      <c r="N7" s="2"/>
      <c r="O7" s="2">
        <v>29</v>
      </c>
      <c r="P7" s="31">
        <v>29</v>
      </c>
      <c r="Q7" s="2"/>
      <c r="R7" s="31"/>
      <c r="S7" s="31"/>
    </row>
    <row r="8" spans="1:19" hidden="1" x14ac:dyDescent="0.25">
      <c r="A8" s="1" t="s">
        <v>19</v>
      </c>
      <c r="B8" s="1"/>
      <c r="C8" s="1" t="s">
        <v>20</v>
      </c>
      <c r="D8" s="1" t="s">
        <v>126</v>
      </c>
      <c r="E8" s="2">
        <f t="shared" si="1"/>
        <v>78.56</v>
      </c>
      <c r="F8" s="1">
        <v>1</v>
      </c>
      <c r="G8" s="31">
        <v>78.56</v>
      </c>
      <c r="H8" s="2"/>
      <c r="I8" s="2"/>
      <c r="J8" s="2"/>
      <c r="K8" s="2"/>
      <c r="L8" s="2"/>
      <c r="M8" s="2"/>
      <c r="N8" s="2"/>
      <c r="O8" s="2">
        <v>78.56</v>
      </c>
      <c r="P8" s="31">
        <v>0</v>
      </c>
      <c r="Q8" s="2"/>
      <c r="R8" s="31"/>
      <c r="S8" s="31"/>
    </row>
    <row r="9" spans="1:19" x14ac:dyDescent="0.25">
      <c r="A9" s="1" t="s">
        <v>19</v>
      </c>
      <c r="B9" s="1"/>
      <c r="C9" s="1" t="s">
        <v>133</v>
      </c>
      <c r="D9" s="1" t="s">
        <v>127</v>
      </c>
      <c r="E9" s="2">
        <f t="shared" si="1"/>
        <v>211.20000000000002</v>
      </c>
      <c r="F9" s="1">
        <v>12</v>
      </c>
      <c r="G9" s="31">
        <v>17.600000000000001</v>
      </c>
      <c r="H9" s="2"/>
      <c r="I9" s="2"/>
      <c r="J9" s="2"/>
      <c r="K9" s="2"/>
      <c r="L9" s="2"/>
      <c r="M9" s="2"/>
      <c r="N9" s="2"/>
      <c r="O9" s="2">
        <v>17.600000000000001</v>
      </c>
      <c r="P9" s="31">
        <v>17.600000000000001</v>
      </c>
      <c r="Q9" s="2">
        <v>17.600000000000001</v>
      </c>
      <c r="R9" s="31">
        <v>17.600000000000001</v>
      </c>
      <c r="S9" s="31">
        <v>17.600000000000001</v>
      </c>
    </row>
    <row r="10" spans="1:19" hidden="1" x14ac:dyDescent="0.25">
      <c r="A10" s="1" t="s">
        <v>19</v>
      </c>
      <c r="B10" s="1"/>
      <c r="C10" s="1" t="s">
        <v>20</v>
      </c>
      <c r="D10" s="1" t="s">
        <v>128</v>
      </c>
      <c r="E10" s="2">
        <f t="shared" si="1"/>
        <v>70.959999999999994</v>
      </c>
      <c r="F10" s="1">
        <v>2</v>
      </c>
      <c r="G10" s="31">
        <v>35.479999999999997</v>
      </c>
      <c r="H10" s="2"/>
      <c r="I10" s="2"/>
      <c r="J10" s="2"/>
      <c r="K10" s="2"/>
      <c r="L10" s="2"/>
      <c r="M10" s="2"/>
      <c r="N10" s="2"/>
      <c r="O10" s="2">
        <v>35.479999999999997</v>
      </c>
      <c r="P10" s="31">
        <v>35.479999999999997</v>
      </c>
      <c r="Q10" s="2"/>
      <c r="R10" s="31"/>
      <c r="S10" s="31"/>
    </row>
    <row r="11" spans="1:19" ht="14.25" hidden="1" customHeight="1" x14ac:dyDescent="0.25">
      <c r="A11" s="1" t="s">
        <v>19</v>
      </c>
      <c r="B11" s="1"/>
      <c r="C11" s="1" t="s">
        <v>20</v>
      </c>
      <c r="D11" s="1" t="s">
        <v>129</v>
      </c>
      <c r="E11" s="2">
        <f t="shared" si="1"/>
        <v>262.79999999999995</v>
      </c>
      <c r="F11" s="1">
        <v>12</v>
      </c>
      <c r="G11" s="2">
        <v>21.9</v>
      </c>
      <c r="H11" s="2"/>
      <c r="I11" s="2"/>
      <c r="J11" s="2"/>
      <c r="K11" s="2"/>
      <c r="L11" s="2"/>
      <c r="M11" s="2"/>
      <c r="N11" s="2"/>
      <c r="O11" s="2">
        <v>0</v>
      </c>
      <c r="P11" s="31">
        <v>21.9</v>
      </c>
      <c r="Q11" s="2">
        <v>21.9</v>
      </c>
      <c r="R11" s="31">
        <v>21.9</v>
      </c>
      <c r="S11" s="31">
        <v>21.9</v>
      </c>
    </row>
    <row r="12" spans="1:19" hidden="1" x14ac:dyDescent="0.25">
      <c r="A12" s="1" t="s">
        <v>19</v>
      </c>
      <c r="B12" s="1"/>
      <c r="C12" s="1" t="s">
        <v>20</v>
      </c>
      <c r="D12" s="1" t="s">
        <v>131</v>
      </c>
      <c r="E12" s="2">
        <f t="shared" si="1"/>
        <v>20.9</v>
      </c>
      <c r="F12" s="1">
        <v>1</v>
      </c>
      <c r="G12" s="2">
        <v>20.9</v>
      </c>
      <c r="H12" s="2"/>
      <c r="I12" s="2"/>
      <c r="J12" s="2"/>
      <c r="K12" s="2"/>
      <c r="L12" s="2"/>
      <c r="M12" s="2"/>
      <c r="N12" s="2"/>
      <c r="O12" s="2">
        <v>0</v>
      </c>
      <c r="P12" s="31">
        <v>20.9</v>
      </c>
      <c r="Q12" s="2"/>
      <c r="R12" s="31"/>
      <c r="S12" s="31"/>
    </row>
    <row r="13" spans="1:19" hidden="1" x14ac:dyDescent="0.25">
      <c r="A13" s="1" t="s">
        <v>19</v>
      </c>
      <c r="B13" s="1"/>
      <c r="C13" s="1" t="s">
        <v>20</v>
      </c>
      <c r="D13" s="1" t="s">
        <v>132</v>
      </c>
      <c r="E13" s="2">
        <f t="shared" si="1"/>
        <v>94.69</v>
      </c>
      <c r="F13" s="1">
        <v>1</v>
      </c>
      <c r="G13" s="2">
        <v>94.69</v>
      </c>
      <c r="H13" s="2"/>
      <c r="I13" s="2"/>
      <c r="J13" s="2"/>
      <c r="K13" s="2"/>
      <c r="L13" s="2"/>
      <c r="M13" s="2"/>
      <c r="N13" s="2"/>
      <c r="O13" s="2">
        <v>94.69</v>
      </c>
      <c r="P13" s="31">
        <v>0</v>
      </c>
      <c r="Q13" s="2"/>
      <c r="R13" s="31"/>
      <c r="S13" s="31"/>
    </row>
    <row r="14" spans="1:19" x14ac:dyDescent="0.25">
      <c r="A14" s="1" t="s">
        <v>19</v>
      </c>
      <c r="B14" s="1"/>
      <c r="C14" s="1" t="s">
        <v>138</v>
      </c>
      <c r="D14" s="1" t="s">
        <v>130</v>
      </c>
      <c r="E14" s="2">
        <f t="shared" ref="E14:E16" si="2">F14*G14</f>
        <v>35.099999999999994</v>
      </c>
      <c r="F14" s="1">
        <v>3</v>
      </c>
      <c r="G14" s="2">
        <v>11.7</v>
      </c>
      <c r="H14" s="2"/>
      <c r="I14" s="2"/>
      <c r="J14" s="2"/>
      <c r="K14" s="2"/>
      <c r="L14" s="2"/>
      <c r="M14" s="2"/>
      <c r="N14" s="2"/>
      <c r="O14" s="2">
        <v>0</v>
      </c>
      <c r="P14" s="31">
        <v>11.7</v>
      </c>
      <c r="Q14" s="2">
        <v>11.7</v>
      </c>
      <c r="R14" s="31">
        <v>11.7</v>
      </c>
      <c r="S14" s="31">
        <v>0</v>
      </c>
    </row>
    <row r="15" spans="1:19" x14ac:dyDescent="0.25">
      <c r="A15" s="1" t="s">
        <v>19</v>
      </c>
      <c r="B15" s="1"/>
      <c r="C15" s="1" t="s">
        <v>138</v>
      </c>
      <c r="D15" s="1" t="s">
        <v>130</v>
      </c>
      <c r="E15" s="2">
        <f t="shared" si="2"/>
        <v>270.48</v>
      </c>
      <c r="F15" s="1">
        <v>8</v>
      </c>
      <c r="G15" s="2">
        <v>33.81</v>
      </c>
      <c r="H15" s="2"/>
      <c r="I15" s="2"/>
      <c r="J15" s="2"/>
      <c r="K15" s="2"/>
      <c r="L15" s="2"/>
      <c r="M15" s="2"/>
      <c r="N15" s="2"/>
      <c r="O15" s="2">
        <v>0</v>
      </c>
      <c r="P15" s="31">
        <v>33.659999999999997</v>
      </c>
      <c r="Q15" s="2">
        <v>33.81</v>
      </c>
      <c r="R15" s="31">
        <v>33.81</v>
      </c>
      <c r="S15" s="31">
        <v>33.81</v>
      </c>
    </row>
    <row r="16" spans="1:19" x14ac:dyDescent="0.25">
      <c r="A16" s="1" t="s">
        <v>19</v>
      </c>
      <c r="B16" s="1"/>
      <c r="C16" s="1" t="s">
        <v>194</v>
      </c>
      <c r="D16" s="1" t="s">
        <v>195</v>
      </c>
      <c r="E16" s="2">
        <f t="shared" si="2"/>
        <v>58</v>
      </c>
      <c r="F16" s="1">
        <v>1</v>
      </c>
      <c r="G16" s="2">
        <v>58</v>
      </c>
      <c r="H16" s="2"/>
      <c r="I16" s="2"/>
      <c r="J16" s="2"/>
      <c r="K16" s="2"/>
      <c r="L16" s="2"/>
      <c r="M16" s="2"/>
      <c r="N16" s="2"/>
      <c r="O16" s="2">
        <v>0</v>
      </c>
      <c r="P16" s="31">
        <v>58</v>
      </c>
      <c r="Q16" s="2">
        <v>0</v>
      </c>
      <c r="R16" s="31">
        <v>0</v>
      </c>
      <c r="S16" s="31">
        <v>0</v>
      </c>
    </row>
    <row r="17" spans="1:19" hidden="1" x14ac:dyDescent="0.25">
      <c r="A17" s="1"/>
      <c r="B17" s="1"/>
      <c r="C17" s="1"/>
      <c r="D17" s="1"/>
      <c r="E17" s="2">
        <f t="shared" ref="E17:E35" si="3">F17*G17</f>
        <v>0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1"/>
      <c r="S17" s="31"/>
    </row>
    <row r="18" spans="1:19" hidden="1" x14ac:dyDescent="0.25">
      <c r="A18" s="1"/>
      <c r="B18" s="1"/>
      <c r="C18" s="1"/>
      <c r="D18" s="1"/>
      <c r="E18" s="2">
        <f t="shared" si="3"/>
        <v>0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1"/>
      <c r="S18" s="31"/>
    </row>
    <row r="19" spans="1:19" hidden="1" x14ac:dyDescent="0.25">
      <c r="A19" s="1"/>
      <c r="B19" s="1"/>
      <c r="C19" s="1"/>
      <c r="D19" s="1"/>
      <c r="E19" s="2">
        <f t="shared" si="3"/>
        <v>0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1"/>
      <c r="S19" s="31"/>
    </row>
    <row r="20" spans="1:19" hidden="1" x14ac:dyDescent="0.25">
      <c r="A20" s="1"/>
      <c r="B20" s="1"/>
      <c r="C20" s="1"/>
      <c r="D20" s="1"/>
      <c r="E20" s="2">
        <f t="shared" si="3"/>
        <v>0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1"/>
      <c r="S20" s="31"/>
    </row>
    <row r="21" spans="1:19" hidden="1" x14ac:dyDescent="0.25">
      <c r="A21" s="1"/>
      <c r="B21" s="1"/>
      <c r="C21" s="1"/>
      <c r="D21" s="1"/>
      <c r="E21" s="2">
        <f t="shared" si="3"/>
        <v>0</v>
      </c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1"/>
      <c r="S21" s="31"/>
    </row>
    <row r="22" spans="1:19" hidden="1" x14ac:dyDescent="0.25">
      <c r="A22" s="1"/>
      <c r="B22" s="1"/>
      <c r="C22" s="1"/>
      <c r="D22" s="1"/>
      <c r="E22" s="2">
        <f t="shared" si="3"/>
        <v>0</v>
      </c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idden="1" x14ac:dyDescent="0.25">
      <c r="A23" s="1"/>
      <c r="B23" s="1"/>
      <c r="C23" s="1"/>
      <c r="D23" s="1"/>
      <c r="E23" s="2">
        <f t="shared" si="3"/>
        <v>0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idden="1" x14ac:dyDescent="0.25">
      <c r="A24" s="1"/>
      <c r="B24" s="1"/>
      <c r="C24" s="1"/>
      <c r="D24" s="1"/>
      <c r="E24" s="2">
        <f t="shared" si="3"/>
        <v>0</v>
      </c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idden="1" x14ac:dyDescent="0.25">
      <c r="A25" s="1"/>
      <c r="B25" s="1"/>
      <c r="C25" s="1"/>
      <c r="D25" s="1"/>
      <c r="E25" s="2">
        <f t="shared" si="3"/>
        <v>0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idden="1" x14ac:dyDescent="0.25">
      <c r="A26" s="1"/>
      <c r="B26" s="1"/>
      <c r="C26" s="1"/>
      <c r="D26" s="1"/>
      <c r="E26" s="2">
        <f t="shared" si="3"/>
        <v>0</v>
      </c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idden="1" x14ac:dyDescent="0.25">
      <c r="A27" s="1"/>
      <c r="B27" s="1"/>
      <c r="C27" s="1"/>
      <c r="D27" s="1"/>
      <c r="E27" s="2">
        <f t="shared" si="3"/>
        <v>0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idden="1" x14ac:dyDescent="0.25">
      <c r="A28" s="1"/>
      <c r="B28" s="1"/>
      <c r="C28" s="1"/>
      <c r="D28" s="1"/>
      <c r="E28" s="2">
        <f t="shared" si="3"/>
        <v>0</v>
      </c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idden="1" x14ac:dyDescent="0.25">
      <c r="A29" s="1"/>
      <c r="B29" s="1"/>
      <c r="C29" s="1"/>
      <c r="D29" s="1"/>
      <c r="E29" s="2">
        <f t="shared" si="3"/>
        <v>0</v>
      </c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idden="1" x14ac:dyDescent="0.25">
      <c r="A30" s="1"/>
      <c r="B30" s="1"/>
      <c r="C30" s="1"/>
      <c r="D30" s="1"/>
      <c r="E30" s="2">
        <f t="shared" si="3"/>
        <v>0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idden="1" x14ac:dyDescent="0.25">
      <c r="A31" s="1"/>
      <c r="B31" s="1"/>
      <c r="C31" s="1"/>
      <c r="D31" s="1"/>
      <c r="E31" s="2">
        <f t="shared" si="3"/>
        <v>0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idden="1" x14ac:dyDescent="0.25">
      <c r="A32" s="1"/>
      <c r="B32" s="1"/>
      <c r="C32" s="1"/>
      <c r="D32" s="1"/>
      <c r="E32" s="2">
        <f t="shared" si="3"/>
        <v>0</v>
      </c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idden="1" x14ac:dyDescent="0.25">
      <c r="A33" s="1"/>
      <c r="B33" s="1"/>
      <c r="C33" s="1"/>
      <c r="D33" s="1"/>
      <c r="E33" s="2">
        <f t="shared" si="3"/>
        <v>0</v>
      </c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idden="1" x14ac:dyDescent="0.25">
      <c r="A34" s="1"/>
      <c r="B34" s="1"/>
      <c r="C34" s="1"/>
      <c r="D34" s="1"/>
      <c r="E34" s="2">
        <f t="shared" si="3"/>
        <v>0</v>
      </c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idden="1" x14ac:dyDescent="0.25">
      <c r="A35" s="1"/>
      <c r="B35" s="1"/>
      <c r="C35" s="1"/>
      <c r="D35" s="1"/>
      <c r="E35" s="2">
        <f t="shared" si="3"/>
        <v>0</v>
      </c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P36" s="35"/>
      <c r="R36" s="35"/>
    </row>
    <row r="37" spans="1:19" x14ac:dyDescent="0.25">
      <c r="D37" s="62"/>
      <c r="P37" s="35"/>
      <c r="Q37" s="35"/>
      <c r="R37" s="35"/>
      <c r="S37" s="35"/>
    </row>
  </sheetData>
  <autoFilter ref="A2:S35">
    <filterColumn colId="2">
      <filters>
        <filter val="Elizabeth"/>
        <filter val="Lidiane"/>
        <filter val="Rafael"/>
        <filter val="Weslley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62"/>
  <sheetViews>
    <sheetView showGridLines="0" workbookViewId="0">
      <pane xSplit="7" ySplit="2" topLeftCell="Q3" activePane="bottomRight" state="frozen"/>
      <selection pane="topRight" activeCell="H1" sqref="H1"/>
      <selection pane="bottomLeft" activeCell="A3" sqref="A3"/>
      <selection pane="bottomRight" activeCell="Q11" sqref="Q11:S59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1" bestFit="1" customWidth="1"/>
    <col min="4" max="4" width="21.140625" bestFit="1" customWidth="1"/>
    <col min="5" max="5" width="9.85546875" customWidth="1"/>
    <col min="6" max="6" width="8.5703125" customWidth="1"/>
    <col min="7" max="7" width="9.85546875" customWidth="1"/>
    <col min="8" max="16" width="9.85546875" hidden="1" customWidth="1"/>
    <col min="17" max="19" width="9.85546875" customWidth="1"/>
  </cols>
  <sheetData>
    <row r="1" spans="1:19" x14ac:dyDescent="0.25">
      <c r="E1" s="29">
        <f>SUBTOTAL(9,E3:E62)</f>
        <v>1173.4016666666666</v>
      </c>
      <c r="F1" s="4"/>
      <c r="G1" s="29">
        <f t="shared" ref="G1:S1" si="0">SUBTOTAL(9,G3:G62)</f>
        <v>380.74833333333333</v>
      </c>
      <c r="H1" s="29">
        <f t="shared" si="0"/>
        <v>0</v>
      </c>
      <c r="I1" s="29">
        <f t="shared" si="0"/>
        <v>0</v>
      </c>
      <c r="J1" s="29">
        <f t="shared" si="0"/>
        <v>0</v>
      </c>
      <c r="K1" s="29">
        <f t="shared" si="0"/>
        <v>0</v>
      </c>
      <c r="L1" s="29">
        <f t="shared" si="0"/>
        <v>0</v>
      </c>
      <c r="M1" s="29">
        <f t="shared" si="0"/>
        <v>0</v>
      </c>
      <c r="N1" s="29">
        <f t="shared" si="0"/>
        <v>0</v>
      </c>
      <c r="O1" s="29">
        <f t="shared" si="0"/>
        <v>120.34</v>
      </c>
      <c r="P1" s="29">
        <f t="shared" si="0"/>
        <v>209.45</v>
      </c>
      <c r="Q1" s="29">
        <f t="shared" si="0"/>
        <v>291.63833333333338</v>
      </c>
      <c r="R1" s="29">
        <f t="shared" si="0"/>
        <v>157.43833333333339</v>
      </c>
      <c r="S1" s="29">
        <f t="shared" si="0"/>
        <v>91.398333333333341</v>
      </c>
    </row>
    <row r="2" spans="1:19" s="3" customFormat="1" ht="30" x14ac:dyDescent="0.25">
      <c r="A2" s="124" t="s">
        <v>13</v>
      </c>
      <c r="B2" s="124" t="s">
        <v>0</v>
      </c>
      <c r="C2" s="124" t="s">
        <v>14</v>
      </c>
      <c r="D2" s="124" t="s">
        <v>15</v>
      </c>
      <c r="E2" s="124" t="s">
        <v>16</v>
      </c>
      <c r="F2" s="124" t="s">
        <v>17</v>
      </c>
      <c r="G2" s="124" t="s">
        <v>18</v>
      </c>
      <c r="H2" s="124" t="s">
        <v>1</v>
      </c>
      <c r="I2" s="124" t="s">
        <v>2</v>
      </c>
      <c r="J2" s="124" t="s">
        <v>3</v>
      </c>
      <c r="K2" s="124" t="s">
        <v>4</v>
      </c>
      <c r="L2" s="124" t="s">
        <v>5</v>
      </c>
      <c r="M2" s="124" t="s">
        <v>6</v>
      </c>
      <c r="N2" s="124" t="s">
        <v>7</v>
      </c>
      <c r="O2" s="124" t="s">
        <v>8</v>
      </c>
      <c r="P2" s="124" t="s">
        <v>9</v>
      </c>
      <c r="Q2" s="124" t="s">
        <v>10</v>
      </c>
      <c r="R2" s="124" t="s">
        <v>11</v>
      </c>
      <c r="S2" s="124" t="s">
        <v>12</v>
      </c>
    </row>
    <row r="3" spans="1:19" hidden="1" x14ac:dyDescent="0.25">
      <c r="A3" s="1" t="s">
        <v>116</v>
      </c>
      <c r="B3" s="1"/>
      <c r="C3" s="1" t="s">
        <v>20</v>
      </c>
      <c r="D3" s="1" t="s">
        <v>139</v>
      </c>
      <c r="E3" s="2">
        <f t="shared" ref="E3:E48" si="1">F3*G3</f>
        <v>510.6</v>
      </c>
      <c r="F3" s="1">
        <v>10</v>
      </c>
      <c r="G3" s="2">
        <v>51.06</v>
      </c>
      <c r="H3" s="2"/>
      <c r="I3" s="2"/>
      <c r="J3" s="2"/>
      <c r="K3" s="2"/>
      <c r="L3" s="2"/>
      <c r="M3" s="2"/>
      <c r="N3" s="2"/>
      <c r="O3" s="2">
        <v>51.06</v>
      </c>
      <c r="P3" s="31">
        <v>51.06</v>
      </c>
      <c r="Q3" s="31">
        <v>51.06</v>
      </c>
      <c r="R3" s="31">
        <v>51.06</v>
      </c>
      <c r="S3" s="31">
        <v>51.06</v>
      </c>
    </row>
    <row r="4" spans="1:19" hidden="1" x14ac:dyDescent="0.25">
      <c r="A4" s="1" t="s">
        <v>116</v>
      </c>
      <c r="B4" s="1"/>
      <c r="C4" s="1" t="s">
        <v>138</v>
      </c>
      <c r="D4" s="1" t="s">
        <v>64</v>
      </c>
      <c r="E4" s="2">
        <f t="shared" si="1"/>
        <v>1257.96</v>
      </c>
      <c r="F4" s="1">
        <v>12</v>
      </c>
      <c r="G4" s="2">
        <v>104.83</v>
      </c>
      <c r="H4" s="2"/>
      <c r="I4" s="2"/>
      <c r="J4" s="2"/>
      <c r="K4" s="2"/>
      <c r="L4" s="2"/>
      <c r="M4" s="2"/>
      <c r="N4" s="2"/>
      <c r="O4" s="2">
        <v>104.83</v>
      </c>
      <c r="P4" s="31">
        <v>104.83</v>
      </c>
      <c r="Q4" s="31">
        <v>104.83</v>
      </c>
      <c r="R4" s="31">
        <v>104.83</v>
      </c>
      <c r="S4" s="31">
        <v>104.83</v>
      </c>
    </row>
    <row r="5" spans="1:19" hidden="1" x14ac:dyDescent="0.25">
      <c r="A5" s="1" t="s">
        <v>116</v>
      </c>
      <c r="B5" s="1"/>
      <c r="C5" s="1" t="s">
        <v>20</v>
      </c>
      <c r="D5" s="1" t="s">
        <v>140</v>
      </c>
      <c r="E5" s="2">
        <f t="shared" si="1"/>
        <v>58.800000000000004</v>
      </c>
      <c r="F5" s="1">
        <v>12</v>
      </c>
      <c r="G5" s="2">
        <v>4.9000000000000004</v>
      </c>
      <c r="H5" s="2"/>
      <c r="I5" s="2"/>
      <c r="J5" s="2"/>
      <c r="K5" s="2"/>
      <c r="L5" s="2"/>
      <c r="M5" s="2"/>
      <c r="N5" s="2"/>
      <c r="O5" s="2">
        <v>4.9000000000000004</v>
      </c>
      <c r="P5" s="31">
        <v>4.9000000000000004</v>
      </c>
      <c r="Q5" s="31">
        <v>4.9000000000000004</v>
      </c>
      <c r="R5" s="31">
        <v>4.9000000000000004</v>
      </c>
      <c r="S5" s="31">
        <v>4.9000000000000004</v>
      </c>
    </row>
    <row r="6" spans="1:19" hidden="1" x14ac:dyDescent="0.25">
      <c r="A6" s="1" t="s">
        <v>116</v>
      </c>
      <c r="B6" s="1"/>
      <c r="C6" s="1" t="s">
        <v>20</v>
      </c>
      <c r="D6" s="1" t="s">
        <v>141</v>
      </c>
      <c r="E6" s="2">
        <f t="shared" si="1"/>
        <v>261.93</v>
      </c>
      <c r="F6" s="1">
        <v>3</v>
      </c>
      <c r="G6" s="2">
        <v>87.31</v>
      </c>
      <c r="H6" s="2"/>
      <c r="I6" s="2"/>
      <c r="J6" s="2"/>
      <c r="K6" s="2"/>
      <c r="L6" s="2"/>
      <c r="M6" s="2"/>
      <c r="N6" s="2"/>
      <c r="O6" s="2">
        <v>87.31</v>
      </c>
      <c r="P6" s="31">
        <v>0</v>
      </c>
      <c r="Q6" s="31"/>
      <c r="R6" s="31"/>
      <c r="S6" s="31"/>
    </row>
    <row r="7" spans="1:19" hidden="1" x14ac:dyDescent="0.25">
      <c r="A7" s="1" t="s">
        <v>116</v>
      </c>
      <c r="B7" s="1"/>
      <c r="C7" s="1" t="s">
        <v>20</v>
      </c>
      <c r="D7" s="1" t="s">
        <v>142</v>
      </c>
      <c r="E7" s="2">
        <f t="shared" si="1"/>
        <v>114.06</v>
      </c>
      <c r="F7" s="1">
        <v>3</v>
      </c>
      <c r="G7" s="2">
        <v>38.020000000000003</v>
      </c>
      <c r="H7" s="2"/>
      <c r="I7" s="2"/>
      <c r="J7" s="2"/>
      <c r="K7" s="2"/>
      <c r="L7" s="2"/>
      <c r="M7" s="2"/>
      <c r="N7" s="2"/>
      <c r="O7" s="2">
        <v>38.020000000000003</v>
      </c>
      <c r="P7" s="31">
        <v>0</v>
      </c>
      <c r="Q7" s="31"/>
      <c r="R7" s="31"/>
      <c r="S7" s="31"/>
    </row>
    <row r="8" spans="1:19" hidden="1" x14ac:dyDescent="0.25">
      <c r="A8" s="1" t="s">
        <v>116</v>
      </c>
      <c r="B8" s="1"/>
      <c r="C8" s="1" t="s">
        <v>20</v>
      </c>
      <c r="D8" s="1" t="s">
        <v>143</v>
      </c>
      <c r="E8" s="2">
        <f t="shared" si="1"/>
        <v>149.97</v>
      </c>
      <c r="F8" s="1">
        <v>3</v>
      </c>
      <c r="G8" s="2">
        <v>49.99</v>
      </c>
      <c r="H8" s="2"/>
      <c r="I8" s="2"/>
      <c r="J8" s="2"/>
      <c r="K8" s="2"/>
      <c r="L8" s="2"/>
      <c r="M8" s="2"/>
      <c r="N8" s="2"/>
      <c r="O8" s="2">
        <v>49.99</v>
      </c>
      <c r="P8" s="31">
        <v>0</v>
      </c>
      <c r="Q8" s="31"/>
      <c r="R8" s="31"/>
      <c r="S8" s="31"/>
    </row>
    <row r="9" spans="1:19" hidden="1" x14ac:dyDescent="0.25">
      <c r="A9" s="1" t="s">
        <v>116</v>
      </c>
      <c r="B9" s="1"/>
      <c r="C9" s="1" t="s">
        <v>20</v>
      </c>
      <c r="D9" s="1" t="s">
        <v>118</v>
      </c>
      <c r="E9" s="2">
        <f t="shared" si="1"/>
        <v>161.64000000000001</v>
      </c>
      <c r="F9" s="1">
        <v>3</v>
      </c>
      <c r="G9" s="2">
        <v>53.88</v>
      </c>
      <c r="H9" s="2"/>
      <c r="I9" s="2"/>
      <c r="J9" s="2"/>
      <c r="K9" s="2"/>
      <c r="L9" s="2"/>
      <c r="M9" s="2"/>
      <c r="N9" s="2"/>
      <c r="O9" s="2">
        <v>53.88</v>
      </c>
      <c r="P9" s="31">
        <v>0</v>
      </c>
      <c r="Q9" s="31"/>
      <c r="R9" s="31"/>
      <c r="S9" s="31"/>
    </row>
    <row r="10" spans="1:19" hidden="1" x14ac:dyDescent="0.25">
      <c r="A10" s="1" t="s">
        <v>116</v>
      </c>
      <c r="B10" s="1"/>
      <c r="C10" s="1" t="s">
        <v>20</v>
      </c>
      <c r="D10" s="1" t="s">
        <v>144</v>
      </c>
      <c r="E10" s="2">
        <f t="shared" si="1"/>
        <v>-0.09</v>
      </c>
      <c r="F10" s="1">
        <v>1</v>
      </c>
      <c r="G10" s="2">
        <v>-0.09</v>
      </c>
      <c r="H10" s="2"/>
      <c r="I10" s="2"/>
      <c r="J10" s="2"/>
      <c r="K10" s="2"/>
      <c r="L10" s="2"/>
      <c r="M10" s="2"/>
      <c r="N10" s="2"/>
      <c r="O10" s="2">
        <v>-0.09</v>
      </c>
      <c r="P10" s="31">
        <v>0</v>
      </c>
      <c r="Q10" s="31"/>
      <c r="R10" s="31"/>
      <c r="S10" s="31"/>
    </row>
    <row r="11" spans="1:19" x14ac:dyDescent="0.25">
      <c r="A11" s="1" t="s">
        <v>116</v>
      </c>
      <c r="B11" s="1"/>
      <c r="C11" s="1" t="s">
        <v>134</v>
      </c>
      <c r="D11" s="1" t="s">
        <v>144</v>
      </c>
      <c r="E11" s="2">
        <f t="shared" si="1"/>
        <v>217.2</v>
      </c>
      <c r="F11" s="1">
        <v>4</v>
      </c>
      <c r="G11" s="2">
        <v>54.3</v>
      </c>
      <c r="H11" s="2"/>
      <c r="I11" s="2"/>
      <c r="J11" s="2"/>
      <c r="K11" s="2"/>
      <c r="L11" s="2"/>
      <c r="M11" s="2"/>
      <c r="N11" s="2"/>
      <c r="O11" s="2">
        <v>54.3</v>
      </c>
      <c r="P11" s="31">
        <v>54.3</v>
      </c>
      <c r="Q11" s="31">
        <v>54.3</v>
      </c>
      <c r="R11" s="31">
        <v>0</v>
      </c>
      <c r="S11" s="31">
        <v>0</v>
      </c>
    </row>
    <row r="12" spans="1:19" x14ac:dyDescent="0.25">
      <c r="A12" s="1" t="s">
        <v>116</v>
      </c>
      <c r="B12" s="1"/>
      <c r="C12" s="1" t="s">
        <v>133</v>
      </c>
      <c r="D12" s="1" t="s">
        <v>145</v>
      </c>
      <c r="E12" s="2">
        <f t="shared" si="1"/>
        <v>330.20000000000005</v>
      </c>
      <c r="F12" s="1">
        <v>5</v>
      </c>
      <c r="G12" s="2">
        <v>66.040000000000006</v>
      </c>
      <c r="H12" s="2"/>
      <c r="I12" s="2"/>
      <c r="J12" s="2"/>
      <c r="K12" s="2"/>
      <c r="L12" s="2"/>
      <c r="M12" s="2"/>
      <c r="N12" s="2"/>
      <c r="O12" s="2">
        <v>66.040000000000006</v>
      </c>
      <c r="P12" s="31">
        <v>66.040000000000006</v>
      </c>
      <c r="Q12" s="31">
        <v>66.040000000000006</v>
      </c>
      <c r="R12" s="31">
        <v>66.040000000000006</v>
      </c>
      <c r="S12" s="31">
        <v>0</v>
      </c>
    </row>
    <row r="13" spans="1:19" hidden="1" x14ac:dyDescent="0.25">
      <c r="A13" s="1" t="s">
        <v>116</v>
      </c>
      <c r="B13" s="1"/>
      <c r="C13" s="1" t="s">
        <v>20</v>
      </c>
      <c r="D13" s="1" t="s">
        <v>146</v>
      </c>
      <c r="E13" s="2">
        <f t="shared" si="1"/>
        <v>510.97</v>
      </c>
      <c r="F13" s="1">
        <v>1</v>
      </c>
      <c r="G13" s="2">
        <v>510.97</v>
      </c>
      <c r="H13" s="2"/>
      <c r="I13" s="2"/>
      <c r="J13" s="2"/>
      <c r="K13" s="2"/>
      <c r="L13" s="2"/>
      <c r="M13" s="2"/>
      <c r="N13" s="2"/>
      <c r="O13" s="2">
        <v>510.97</v>
      </c>
      <c r="P13" s="31">
        <v>0</v>
      </c>
      <c r="Q13" s="31"/>
      <c r="R13" s="31"/>
      <c r="S13" s="31"/>
    </row>
    <row r="14" spans="1:19" hidden="1" x14ac:dyDescent="0.25">
      <c r="A14" s="1" t="s">
        <v>116</v>
      </c>
      <c r="B14" s="1"/>
      <c r="C14" s="1" t="s">
        <v>20</v>
      </c>
      <c r="D14" s="1" t="s">
        <v>136</v>
      </c>
      <c r="E14" s="2">
        <f t="shared" si="1"/>
        <v>19.97</v>
      </c>
      <c r="F14" s="1">
        <v>1</v>
      </c>
      <c r="G14" s="2">
        <v>19.97</v>
      </c>
      <c r="H14" s="2"/>
      <c r="I14" s="2"/>
      <c r="J14" s="2"/>
      <c r="K14" s="2"/>
      <c r="L14" s="2"/>
      <c r="M14" s="2"/>
      <c r="N14" s="2"/>
      <c r="O14" s="2">
        <v>19.97</v>
      </c>
      <c r="P14" s="31">
        <v>0</v>
      </c>
      <c r="Q14" s="31"/>
      <c r="R14" s="31"/>
      <c r="S14" s="31"/>
    </row>
    <row r="15" spans="1:19" hidden="1" x14ac:dyDescent="0.25">
      <c r="A15" s="1" t="s">
        <v>116</v>
      </c>
      <c r="B15" s="1"/>
      <c r="C15" s="1" t="s">
        <v>20</v>
      </c>
      <c r="D15" s="1" t="s">
        <v>136</v>
      </c>
      <c r="E15" s="2">
        <f t="shared" si="1"/>
        <v>20.2</v>
      </c>
      <c r="F15" s="1">
        <v>1</v>
      </c>
      <c r="G15" s="2">
        <v>20.2</v>
      </c>
      <c r="H15" s="2"/>
      <c r="I15" s="2"/>
      <c r="J15" s="2"/>
      <c r="K15" s="2"/>
      <c r="L15" s="2"/>
      <c r="M15" s="2"/>
      <c r="N15" s="2"/>
      <c r="O15" s="2">
        <v>20.2</v>
      </c>
      <c r="P15" s="31">
        <v>0</v>
      </c>
      <c r="Q15" s="31"/>
      <c r="R15" s="31"/>
      <c r="S15" s="31"/>
    </row>
    <row r="16" spans="1:19" hidden="1" x14ac:dyDescent="0.25">
      <c r="A16" s="1" t="s">
        <v>116</v>
      </c>
      <c r="B16" s="1"/>
      <c r="C16" s="1" t="s">
        <v>20</v>
      </c>
      <c r="D16" s="1" t="s">
        <v>147</v>
      </c>
      <c r="E16" s="2">
        <f t="shared" si="1"/>
        <v>68.08</v>
      </c>
      <c r="F16" s="1">
        <v>2</v>
      </c>
      <c r="G16" s="2">
        <v>34.04</v>
      </c>
      <c r="H16" s="2"/>
      <c r="I16" s="2"/>
      <c r="J16" s="2"/>
      <c r="K16" s="2"/>
      <c r="L16" s="2"/>
      <c r="M16" s="2"/>
      <c r="N16" s="2"/>
      <c r="O16" s="2">
        <v>34.04</v>
      </c>
      <c r="P16" s="31">
        <v>34.04</v>
      </c>
      <c r="Q16" s="31"/>
      <c r="R16" s="31"/>
      <c r="S16" s="31"/>
    </row>
    <row r="17" spans="1:19" hidden="1" x14ac:dyDescent="0.25">
      <c r="A17" s="1" t="s">
        <v>116</v>
      </c>
      <c r="B17" s="1"/>
      <c r="C17" s="1" t="s">
        <v>20</v>
      </c>
      <c r="D17" s="1" t="s">
        <v>147</v>
      </c>
      <c r="E17" s="2">
        <f t="shared" si="1"/>
        <v>86.42</v>
      </c>
      <c r="F17" s="1">
        <v>2</v>
      </c>
      <c r="G17" s="2">
        <v>43.21</v>
      </c>
      <c r="H17" s="2"/>
      <c r="I17" s="2"/>
      <c r="J17" s="2"/>
      <c r="K17" s="2"/>
      <c r="L17" s="2"/>
      <c r="M17" s="2"/>
      <c r="N17" s="2"/>
      <c r="O17" s="2">
        <v>43.21</v>
      </c>
      <c r="P17" s="31">
        <v>43.21</v>
      </c>
      <c r="Q17" s="31"/>
      <c r="R17" s="31"/>
      <c r="S17" s="31"/>
    </row>
    <row r="18" spans="1:19" hidden="1" x14ac:dyDescent="0.25">
      <c r="A18" s="1" t="s">
        <v>116</v>
      </c>
      <c r="B18" s="1"/>
      <c r="C18" s="1" t="s">
        <v>20</v>
      </c>
      <c r="D18" s="1" t="s">
        <v>148</v>
      </c>
      <c r="E18" s="2">
        <f t="shared" si="1"/>
        <v>248.88</v>
      </c>
      <c r="F18" s="1">
        <v>12</v>
      </c>
      <c r="G18" s="2">
        <v>20.74</v>
      </c>
      <c r="H18" s="2"/>
      <c r="I18" s="2"/>
      <c r="J18" s="2"/>
      <c r="K18" s="2"/>
      <c r="L18" s="2"/>
      <c r="M18" s="2"/>
      <c r="N18" s="2"/>
      <c r="O18" s="2">
        <v>20.74</v>
      </c>
      <c r="P18" s="31">
        <v>20.66</v>
      </c>
      <c r="Q18" s="31">
        <v>20.66</v>
      </c>
      <c r="R18" s="31">
        <v>20.74</v>
      </c>
      <c r="S18" s="31">
        <v>20.74</v>
      </c>
    </row>
    <row r="19" spans="1:19" hidden="1" x14ac:dyDescent="0.25">
      <c r="A19" s="1" t="s">
        <v>116</v>
      </c>
      <c r="B19" s="1"/>
      <c r="C19" s="1" t="s">
        <v>20</v>
      </c>
      <c r="D19" s="1" t="s">
        <v>149</v>
      </c>
      <c r="E19" s="2">
        <f t="shared" si="1"/>
        <v>4106.88</v>
      </c>
      <c r="F19" s="1">
        <v>18</v>
      </c>
      <c r="G19" s="2">
        <v>228.16</v>
      </c>
      <c r="H19" s="2"/>
      <c r="I19" s="2"/>
      <c r="J19" s="2"/>
      <c r="K19" s="2"/>
      <c r="L19" s="2"/>
      <c r="M19" s="2"/>
      <c r="N19" s="2"/>
      <c r="O19" s="2">
        <v>228.16</v>
      </c>
      <c r="P19" s="31">
        <v>228.16</v>
      </c>
      <c r="Q19" s="31">
        <v>228.16</v>
      </c>
      <c r="R19" s="31">
        <v>228.16</v>
      </c>
      <c r="S19" s="31">
        <v>228.16</v>
      </c>
    </row>
    <row r="20" spans="1:19" hidden="1" x14ac:dyDescent="0.25">
      <c r="A20" s="1" t="s">
        <v>116</v>
      </c>
      <c r="B20" s="1"/>
      <c r="C20" s="1" t="s">
        <v>20</v>
      </c>
      <c r="D20" s="1" t="s">
        <v>150</v>
      </c>
      <c r="E20" s="2">
        <f t="shared" si="1"/>
        <v>-450.4</v>
      </c>
      <c r="F20" s="1">
        <v>1</v>
      </c>
      <c r="G20" s="2">
        <v>-450.4</v>
      </c>
      <c r="H20" s="2"/>
      <c r="I20" s="2"/>
      <c r="J20" s="2"/>
      <c r="K20" s="2"/>
      <c r="L20" s="2"/>
      <c r="M20" s="2"/>
      <c r="N20" s="2"/>
      <c r="O20" s="2">
        <v>-450.4</v>
      </c>
      <c r="P20" s="31">
        <v>0</v>
      </c>
      <c r="Q20" s="31"/>
      <c r="R20" s="31"/>
      <c r="S20" s="31"/>
    </row>
    <row r="21" spans="1:19" hidden="1" x14ac:dyDescent="0.25">
      <c r="A21" s="1" t="s">
        <v>116</v>
      </c>
      <c r="B21" s="1"/>
      <c r="C21" s="1" t="s">
        <v>20</v>
      </c>
      <c r="D21" s="1" t="s">
        <v>150</v>
      </c>
      <c r="E21" s="2">
        <f t="shared" si="1"/>
        <v>450.4</v>
      </c>
      <c r="F21" s="1">
        <v>1</v>
      </c>
      <c r="G21" s="2">
        <v>450.4</v>
      </c>
      <c r="H21" s="2"/>
      <c r="I21" s="2"/>
      <c r="J21" s="2"/>
      <c r="K21" s="2"/>
      <c r="L21" s="2"/>
      <c r="M21" s="2"/>
      <c r="N21" s="2"/>
      <c r="O21" s="2">
        <v>450.4</v>
      </c>
      <c r="P21" s="31">
        <v>0</v>
      </c>
      <c r="Q21" s="31"/>
      <c r="R21" s="31"/>
      <c r="S21" s="31"/>
    </row>
    <row r="22" spans="1:19" hidden="1" x14ac:dyDescent="0.25">
      <c r="A22" s="1" t="s">
        <v>116</v>
      </c>
      <c r="B22" s="1"/>
      <c r="C22" s="1" t="s">
        <v>20</v>
      </c>
      <c r="D22" s="1" t="s">
        <v>118</v>
      </c>
      <c r="E22" s="2">
        <f t="shared" si="1"/>
        <v>179.7</v>
      </c>
      <c r="F22" s="1">
        <v>3</v>
      </c>
      <c r="G22" s="2">
        <v>59.9</v>
      </c>
      <c r="H22" s="2"/>
      <c r="I22" s="2"/>
      <c r="J22" s="2"/>
      <c r="K22" s="2"/>
      <c r="L22" s="2"/>
      <c r="M22" s="2"/>
      <c r="N22" s="2"/>
      <c r="O22" s="2">
        <v>59.9</v>
      </c>
      <c r="P22" s="31">
        <v>59.9</v>
      </c>
      <c r="Q22" s="31">
        <v>59.9</v>
      </c>
      <c r="R22" s="31"/>
      <c r="S22" s="31"/>
    </row>
    <row r="23" spans="1:19" hidden="1" x14ac:dyDescent="0.25">
      <c r="A23" s="1" t="s">
        <v>116</v>
      </c>
      <c r="B23" s="1"/>
      <c r="C23" s="1" t="s">
        <v>20</v>
      </c>
      <c r="D23" s="1" t="s">
        <v>151</v>
      </c>
      <c r="E23" s="2">
        <f t="shared" si="1"/>
        <v>202.41</v>
      </c>
      <c r="F23" s="1">
        <v>3</v>
      </c>
      <c r="G23" s="2">
        <v>67.47</v>
      </c>
      <c r="H23" s="2"/>
      <c r="I23" s="2"/>
      <c r="J23" s="2"/>
      <c r="K23" s="2"/>
      <c r="L23" s="2"/>
      <c r="M23" s="2"/>
      <c r="N23" s="2"/>
      <c r="O23" s="2">
        <v>67.47</v>
      </c>
      <c r="P23" s="31">
        <v>67.47</v>
      </c>
      <c r="Q23" s="31">
        <v>67.47</v>
      </c>
      <c r="R23" s="31"/>
      <c r="S23" s="31"/>
    </row>
    <row r="24" spans="1:19" hidden="1" x14ac:dyDescent="0.25">
      <c r="A24" s="1" t="s">
        <v>116</v>
      </c>
      <c r="B24" s="1"/>
      <c r="C24" s="1" t="s">
        <v>20</v>
      </c>
      <c r="D24" s="1" t="s">
        <v>152</v>
      </c>
      <c r="E24" s="2">
        <f t="shared" si="1"/>
        <v>9.76</v>
      </c>
      <c r="F24" s="1">
        <v>1</v>
      </c>
      <c r="G24" s="2">
        <v>9.76</v>
      </c>
      <c r="H24" s="2"/>
      <c r="I24" s="2"/>
      <c r="J24" s="2"/>
      <c r="K24" s="2"/>
      <c r="L24" s="2"/>
      <c r="M24" s="2"/>
      <c r="N24" s="2"/>
      <c r="O24" s="2">
        <v>9.76</v>
      </c>
      <c r="P24" s="31">
        <v>9.76</v>
      </c>
      <c r="Q24" s="31">
        <v>6.73</v>
      </c>
      <c r="R24" s="31">
        <v>9.76</v>
      </c>
      <c r="S24" s="31">
        <v>9.76</v>
      </c>
    </row>
    <row r="25" spans="1:19" hidden="1" x14ac:dyDescent="0.25">
      <c r="A25" s="1" t="s">
        <v>116</v>
      </c>
      <c r="B25" s="1"/>
      <c r="C25" s="1" t="s">
        <v>20</v>
      </c>
      <c r="D25" s="1" t="s">
        <v>153</v>
      </c>
      <c r="E25" s="2">
        <f t="shared" si="1"/>
        <v>1.5</v>
      </c>
      <c r="F25" s="1">
        <v>1</v>
      </c>
      <c r="G25" s="2">
        <v>1.5</v>
      </c>
      <c r="H25" s="2"/>
      <c r="I25" s="2"/>
      <c r="J25" s="2"/>
      <c r="K25" s="2"/>
      <c r="L25" s="2"/>
      <c r="M25" s="2"/>
      <c r="N25" s="2"/>
      <c r="O25" s="2">
        <v>1.5</v>
      </c>
      <c r="P25" s="31">
        <v>1.5</v>
      </c>
      <c r="Q25" s="31">
        <v>1.5</v>
      </c>
      <c r="R25" s="31">
        <v>1.5</v>
      </c>
      <c r="S25" s="31">
        <v>1.5</v>
      </c>
    </row>
    <row r="26" spans="1:19" hidden="1" x14ac:dyDescent="0.25">
      <c r="A26" s="1" t="s">
        <v>116</v>
      </c>
      <c r="B26" s="1"/>
      <c r="C26" s="1" t="s">
        <v>20</v>
      </c>
      <c r="D26" s="1" t="s">
        <v>154</v>
      </c>
      <c r="E26" s="2">
        <f t="shared" si="1"/>
        <v>15.65</v>
      </c>
      <c r="F26" s="1">
        <v>1</v>
      </c>
      <c r="G26" s="2">
        <v>15.65</v>
      </c>
      <c r="H26" s="2"/>
      <c r="I26" s="2"/>
      <c r="J26" s="2"/>
      <c r="K26" s="2"/>
      <c r="L26" s="2"/>
      <c r="M26" s="2"/>
      <c r="N26" s="2"/>
      <c r="O26" s="2">
        <v>15.65</v>
      </c>
      <c r="P26" s="31">
        <v>15.65</v>
      </c>
      <c r="Q26" s="31">
        <v>15.65</v>
      </c>
      <c r="R26" s="31">
        <v>15.65</v>
      </c>
      <c r="S26" s="31">
        <v>15.65</v>
      </c>
    </row>
    <row r="27" spans="1:19" hidden="1" x14ac:dyDescent="0.25">
      <c r="A27" s="1" t="s">
        <v>116</v>
      </c>
      <c r="B27" s="1"/>
      <c r="C27" s="1" t="s">
        <v>20</v>
      </c>
      <c r="D27" s="1" t="s">
        <v>142</v>
      </c>
      <c r="E27" s="2">
        <f t="shared" si="1"/>
        <v>68.92</v>
      </c>
      <c r="F27" s="1">
        <v>2</v>
      </c>
      <c r="G27" s="2">
        <v>34.46</v>
      </c>
      <c r="H27" s="2"/>
      <c r="I27" s="2"/>
      <c r="J27" s="2"/>
      <c r="K27" s="2"/>
      <c r="L27" s="2"/>
      <c r="M27" s="2"/>
      <c r="N27" s="2"/>
      <c r="O27" s="2">
        <v>34.46</v>
      </c>
      <c r="P27" s="31">
        <v>34.46</v>
      </c>
      <c r="Q27" s="31"/>
      <c r="R27" s="31"/>
      <c r="S27" s="31"/>
    </row>
    <row r="28" spans="1:19" hidden="1" x14ac:dyDescent="0.25">
      <c r="A28" s="1" t="s">
        <v>116</v>
      </c>
      <c r="B28" s="1"/>
      <c r="C28" s="1" t="s">
        <v>20</v>
      </c>
      <c r="D28" s="1" t="s">
        <v>155</v>
      </c>
      <c r="E28" s="2">
        <f t="shared" si="1"/>
        <v>500.01</v>
      </c>
      <c r="F28" s="1">
        <v>3</v>
      </c>
      <c r="G28" s="2">
        <v>166.67</v>
      </c>
      <c r="H28" s="2"/>
      <c r="I28" s="2"/>
      <c r="J28" s="2"/>
      <c r="K28" s="2"/>
      <c r="L28" s="2"/>
      <c r="M28" s="2"/>
      <c r="N28" s="2"/>
      <c r="O28" s="2">
        <v>166.67</v>
      </c>
      <c r="P28" s="31">
        <v>166.67</v>
      </c>
      <c r="Q28" s="31">
        <v>166.67</v>
      </c>
      <c r="R28" s="31"/>
      <c r="S28" s="31"/>
    </row>
    <row r="29" spans="1:19" hidden="1" x14ac:dyDescent="0.25">
      <c r="A29" s="1" t="s">
        <v>116</v>
      </c>
      <c r="B29" s="1"/>
      <c r="C29" s="1" t="s">
        <v>20</v>
      </c>
      <c r="D29" s="1" t="s">
        <v>147</v>
      </c>
      <c r="E29" s="2">
        <f t="shared" si="1"/>
        <v>-0.01</v>
      </c>
      <c r="F29" s="1">
        <v>1</v>
      </c>
      <c r="G29" s="2">
        <v>-0.01</v>
      </c>
      <c r="H29" s="2"/>
      <c r="I29" s="2"/>
      <c r="J29" s="2"/>
      <c r="K29" s="2"/>
      <c r="L29" s="2"/>
      <c r="M29" s="2"/>
      <c r="N29" s="2"/>
      <c r="O29" s="2">
        <v>0</v>
      </c>
      <c r="P29" s="31">
        <v>-0.02</v>
      </c>
      <c r="Q29" s="31"/>
      <c r="R29" s="31"/>
      <c r="S29" s="31"/>
    </row>
    <row r="30" spans="1:19" hidden="1" x14ac:dyDescent="0.25">
      <c r="A30" s="1" t="s">
        <v>116</v>
      </c>
      <c r="B30" s="1"/>
      <c r="C30" s="1" t="s">
        <v>20</v>
      </c>
      <c r="D30" s="1" t="s">
        <v>137</v>
      </c>
      <c r="E30" s="2">
        <f t="shared" si="1"/>
        <v>511.5</v>
      </c>
      <c r="F30" s="1">
        <v>1</v>
      </c>
      <c r="G30" s="2">
        <v>511.5</v>
      </c>
      <c r="H30" s="2"/>
      <c r="I30" s="2"/>
      <c r="J30" s="2"/>
      <c r="K30" s="2"/>
      <c r="L30" s="2"/>
      <c r="M30" s="2"/>
      <c r="N30" s="2"/>
      <c r="O30" s="2">
        <v>0</v>
      </c>
      <c r="P30" s="31">
        <v>511.5</v>
      </c>
      <c r="Q30" s="31">
        <v>460.36</v>
      </c>
      <c r="R30" s="31">
        <v>511.5</v>
      </c>
      <c r="S30" s="31">
        <v>511.5</v>
      </c>
    </row>
    <row r="31" spans="1:19" hidden="1" x14ac:dyDescent="0.25">
      <c r="A31" s="1" t="s">
        <v>116</v>
      </c>
      <c r="B31" s="1"/>
      <c r="C31" s="1" t="s">
        <v>20</v>
      </c>
      <c r="D31" s="1" t="s">
        <v>156</v>
      </c>
      <c r="E31" s="2">
        <f t="shared" si="1"/>
        <v>24.05</v>
      </c>
      <c r="F31" s="1">
        <v>1</v>
      </c>
      <c r="G31" s="2">
        <v>24.05</v>
      </c>
      <c r="H31" s="2"/>
      <c r="I31" s="2"/>
      <c r="J31" s="2"/>
      <c r="K31" s="2"/>
      <c r="L31" s="2"/>
      <c r="M31" s="2"/>
      <c r="N31" s="2"/>
      <c r="O31" s="2">
        <v>0</v>
      </c>
      <c r="P31" s="31">
        <v>24.05</v>
      </c>
      <c r="Q31" s="31"/>
      <c r="R31" s="31"/>
      <c r="S31" s="31"/>
    </row>
    <row r="32" spans="1:19" hidden="1" x14ac:dyDescent="0.25">
      <c r="A32" s="1" t="s">
        <v>116</v>
      </c>
      <c r="B32" s="1"/>
      <c r="C32" s="1" t="s">
        <v>20</v>
      </c>
      <c r="D32" s="1" t="s">
        <v>157</v>
      </c>
      <c r="E32" s="2">
        <f t="shared" si="1"/>
        <v>12</v>
      </c>
      <c r="F32" s="1">
        <v>1</v>
      </c>
      <c r="G32" s="2">
        <v>12</v>
      </c>
      <c r="H32" s="2"/>
      <c r="I32" s="2"/>
      <c r="J32" s="2"/>
      <c r="K32" s="2"/>
      <c r="L32" s="2"/>
      <c r="M32" s="2"/>
      <c r="N32" s="2"/>
      <c r="O32" s="2">
        <v>0</v>
      </c>
      <c r="P32" s="31">
        <v>12</v>
      </c>
      <c r="Q32" s="31"/>
      <c r="R32" s="31"/>
      <c r="S32" s="31"/>
    </row>
    <row r="33" spans="1:19" hidden="1" x14ac:dyDescent="0.25">
      <c r="A33" s="1" t="s">
        <v>116</v>
      </c>
      <c r="B33" s="1"/>
      <c r="C33" s="1" t="s">
        <v>20</v>
      </c>
      <c r="D33" s="1" t="s">
        <v>158</v>
      </c>
      <c r="E33" s="2">
        <f t="shared" si="1"/>
        <v>119.6</v>
      </c>
      <c r="F33" s="1">
        <v>4</v>
      </c>
      <c r="G33" s="2">
        <v>29.9</v>
      </c>
      <c r="H33" s="2"/>
      <c r="I33" s="2"/>
      <c r="J33" s="2"/>
      <c r="K33" s="2"/>
      <c r="L33" s="2"/>
      <c r="M33" s="2"/>
      <c r="N33" s="2"/>
      <c r="O33" s="2">
        <v>0</v>
      </c>
      <c r="P33" s="31">
        <v>29.9</v>
      </c>
      <c r="Q33" s="31">
        <v>29.9</v>
      </c>
      <c r="R33" s="31">
        <v>29.9</v>
      </c>
      <c r="S33" s="31">
        <v>29.9</v>
      </c>
    </row>
    <row r="34" spans="1:19" hidden="1" x14ac:dyDescent="0.25">
      <c r="A34" s="1" t="s">
        <v>116</v>
      </c>
      <c r="B34" s="1"/>
      <c r="C34" s="1" t="s">
        <v>20</v>
      </c>
      <c r="D34" s="1" t="s">
        <v>159</v>
      </c>
      <c r="E34" s="2">
        <f t="shared" si="1"/>
        <v>28.29</v>
      </c>
      <c r="F34" s="1">
        <v>1</v>
      </c>
      <c r="G34" s="2">
        <v>28.29</v>
      </c>
      <c r="H34" s="2"/>
      <c r="I34" s="2"/>
      <c r="J34" s="2"/>
      <c r="K34" s="2"/>
      <c r="L34" s="2"/>
      <c r="M34" s="2"/>
      <c r="N34" s="2"/>
      <c r="O34" s="2">
        <v>0</v>
      </c>
      <c r="P34" s="31">
        <v>28.29</v>
      </c>
      <c r="Q34" s="31"/>
      <c r="R34" s="31"/>
      <c r="S34" s="31"/>
    </row>
    <row r="35" spans="1:19" hidden="1" x14ac:dyDescent="0.25">
      <c r="A35" s="1" t="s">
        <v>116</v>
      </c>
      <c r="B35" s="1"/>
      <c r="C35" s="1" t="s">
        <v>20</v>
      </c>
      <c r="D35" s="1" t="s">
        <v>160</v>
      </c>
      <c r="E35" s="2">
        <f t="shared" si="1"/>
        <v>4.78</v>
      </c>
      <c r="F35" s="1">
        <v>1</v>
      </c>
      <c r="G35" s="2">
        <v>4.78</v>
      </c>
      <c r="H35" s="2"/>
      <c r="I35" s="2"/>
      <c r="J35" s="2"/>
      <c r="K35" s="2"/>
      <c r="L35" s="2"/>
      <c r="M35" s="2"/>
      <c r="N35" s="2"/>
      <c r="O35" s="2">
        <v>0</v>
      </c>
      <c r="P35" s="31">
        <v>4.78</v>
      </c>
      <c r="Q35" s="31"/>
      <c r="R35" s="31"/>
      <c r="S35" s="31"/>
    </row>
    <row r="36" spans="1:19" hidden="1" x14ac:dyDescent="0.25">
      <c r="A36" s="1" t="s">
        <v>116</v>
      </c>
      <c r="B36" s="1"/>
      <c r="C36" s="1" t="s">
        <v>20</v>
      </c>
      <c r="D36" s="1" t="s">
        <v>161</v>
      </c>
      <c r="E36" s="2">
        <f t="shared" si="1"/>
        <v>79.599999999999994</v>
      </c>
      <c r="F36" s="1">
        <v>2</v>
      </c>
      <c r="G36" s="2">
        <v>39.799999999999997</v>
      </c>
      <c r="H36" s="2"/>
      <c r="I36" s="2"/>
      <c r="J36" s="2"/>
      <c r="K36" s="2"/>
      <c r="L36" s="2"/>
      <c r="M36" s="2"/>
      <c r="N36" s="2"/>
      <c r="O36" s="2">
        <v>0</v>
      </c>
      <c r="P36" s="31">
        <v>39.799999999999997</v>
      </c>
      <c r="Q36" s="31">
        <v>39.799999999999997</v>
      </c>
      <c r="R36" s="31"/>
      <c r="S36" s="31"/>
    </row>
    <row r="37" spans="1:19" hidden="1" x14ac:dyDescent="0.25">
      <c r="A37" s="1" t="s">
        <v>116</v>
      </c>
      <c r="B37" s="1"/>
      <c r="C37" s="1" t="s">
        <v>20</v>
      </c>
      <c r="D37" s="1" t="s">
        <v>126</v>
      </c>
      <c r="E37" s="2">
        <f t="shared" si="1"/>
        <v>87.81</v>
      </c>
      <c r="F37" s="1">
        <v>1</v>
      </c>
      <c r="G37" s="2">
        <f>19.9+26.56+16.45+24.9</f>
        <v>87.81</v>
      </c>
      <c r="H37" s="2"/>
      <c r="I37" s="2"/>
      <c r="J37" s="2"/>
      <c r="K37" s="2"/>
      <c r="L37" s="2"/>
      <c r="M37" s="2"/>
      <c r="N37" s="2"/>
      <c r="O37" s="2">
        <v>0</v>
      </c>
      <c r="P37" s="31">
        <v>87.81</v>
      </c>
      <c r="Q37" s="31"/>
      <c r="R37" s="31"/>
      <c r="S37" s="31"/>
    </row>
    <row r="38" spans="1:19" hidden="1" x14ac:dyDescent="0.25">
      <c r="A38" s="1" t="s">
        <v>116</v>
      </c>
      <c r="B38" s="1"/>
      <c r="C38" s="1" t="s">
        <v>20</v>
      </c>
      <c r="D38" s="1" t="s">
        <v>136</v>
      </c>
      <c r="E38" s="2">
        <f t="shared" si="1"/>
        <v>42.04</v>
      </c>
      <c r="F38" s="1">
        <v>1</v>
      </c>
      <c r="G38" s="2">
        <v>42.04</v>
      </c>
      <c r="H38" s="2"/>
      <c r="I38" s="2"/>
      <c r="J38" s="2"/>
      <c r="K38" s="2"/>
      <c r="L38" s="2"/>
      <c r="M38" s="2"/>
      <c r="N38" s="2"/>
      <c r="O38" s="2">
        <v>0</v>
      </c>
      <c r="P38" s="31">
        <v>42.04</v>
      </c>
      <c r="Q38" s="31"/>
      <c r="R38" s="31"/>
      <c r="S38" s="31"/>
    </row>
    <row r="39" spans="1:19" x14ac:dyDescent="0.25">
      <c r="A39" s="1" t="s">
        <v>116</v>
      </c>
      <c r="B39" s="1"/>
      <c r="C39" s="1" t="s">
        <v>134</v>
      </c>
      <c r="D39" s="1" t="s">
        <v>136</v>
      </c>
      <c r="E39" s="2">
        <f t="shared" si="1"/>
        <v>89.11</v>
      </c>
      <c r="F39" s="1">
        <v>1</v>
      </c>
      <c r="G39" s="2">
        <v>89.11</v>
      </c>
      <c r="H39" s="2"/>
      <c r="I39" s="2"/>
      <c r="J39" s="2"/>
      <c r="K39" s="2"/>
      <c r="L39" s="2"/>
      <c r="M39" s="2"/>
      <c r="N39" s="2"/>
      <c r="O39" s="2">
        <v>0</v>
      </c>
      <c r="P39" s="31">
        <v>89.11</v>
      </c>
      <c r="Q39" s="31">
        <v>0</v>
      </c>
      <c r="R39" s="31">
        <v>0</v>
      </c>
      <c r="S39" s="31">
        <v>0</v>
      </c>
    </row>
    <row r="40" spans="1:19" hidden="1" x14ac:dyDescent="0.25">
      <c r="A40" s="1" t="s">
        <v>116</v>
      </c>
      <c r="B40" s="38">
        <v>43704</v>
      </c>
      <c r="C40" s="1" t="s">
        <v>20</v>
      </c>
      <c r="D40" s="1" t="s">
        <v>196</v>
      </c>
      <c r="E40" s="2">
        <f t="shared" ref="E40:E45" si="2">F40*G40</f>
        <v>33.650000000000006</v>
      </c>
      <c r="F40" s="1">
        <v>5</v>
      </c>
      <c r="G40" s="2">
        <v>6.73</v>
      </c>
      <c r="H40" s="2"/>
      <c r="I40" s="2"/>
      <c r="J40" s="2"/>
      <c r="K40" s="2"/>
      <c r="L40" s="2"/>
      <c r="M40" s="2"/>
      <c r="N40" s="2"/>
      <c r="O40" s="2">
        <v>0</v>
      </c>
      <c r="P40" s="31">
        <v>26.9</v>
      </c>
      <c r="Q40" s="31">
        <v>6.73</v>
      </c>
      <c r="R40" s="31">
        <v>6.73</v>
      </c>
      <c r="S40" s="31">
        <v>6.73</v>
      </c>
    </row>
    <row r="41" spans="1:19" x14ac:dyDescent="0.25">
      <c r="A41" s="1" t="s">
        <v>116</v>
      </c>
      <c r="B41" s="38"/>
      <c r="C41" s="1" t="s">
        <v>203</v>
      </c>
      <c r="D41" s="1" t="s">
        <v>196</v>
      </c>
      <c r="E41" s="2">
        <f t="shared" si="2"/>
        <v>33.650000000000006</v>
      </c>
      <c r="F41" s="1">
        <v>5</v>
      </c>
      <c r="G41" s="2">
        <v>6.73</v>
      </c>
      <c r="H41" s="2"/>
      <c r="I41" s="2"/>
      <c r="J41" s="2"/>
      <c r="K41" s="2"/>
      <c r="L41" s="2"/>
      <c r="M41" s="2"/>
      <c r="N41" s="2"/>
      <c r="O41" s="2"/>
      <c r="P41" s="31"/>
      <c r="Q41" s="31">
        <v>6.73</v>
      </c>
      <c r="R41" s="31">
        <v>6.73</v>
      </c>
      <c r="S41" s="31">
        <v>6.73</v>
      </c>
    </row>
    <row r="42" spans="1:19" x14ac:dyDescent="0.25">
      <c r="A42" s="1" t="s">
        <v>116</v>
      </c>
      <c r="B42" s="38"/>
      <c r="C42" s="1" t="s">
        <v>133</v>
      </c>
      <c r="D42" s="1" t="s">
        <v>196</v>
      </c>
      <c r="E42" s="2">
        <f t="shared" si="2"/>
        <v>33.650000000000006</v>
      </c>
      <c r="F42" s="1">
        <v>5</v>
      </c>
      <c r="G42" s="2">
        <v>6.73</v>
      </c>
      <c r="H42" s="2"/>
      <c r="I42" s="2"/>
      <c r="J42" s="2"/>
      <c r="K42" s="2"/>
      <c r="L42" s="2"/>
      <c r="M42" s="2"/>
      <c r="N42" s="2"/>
      <c r="O42" s="2"/>
      <c r="P42" s="31"/>
      <c r="Q42" s="31">
        <v>6.73</v>
      </c>
      <c r="R42" s="31">
        <v>6.73</v>
      </c>
      <c r="S42" s="31">
        <v>6.73</v>
      </c>
    </row>
    <row r="43" spans="1:19" x14ac:dyDescent="0.25">
      <c r="A43" s="1" t="s">
        <v>116</v>
      </c>
      <c r="B43" s="38"/>
      <c r="C43" s="1" t="s">
        <v>323</v>
      </c>
      <c r="D43" s="1" t="s">
        <v>196</v>
      </c>
      <c r="E43" s="2">
        <f t="shared" si="2"/>
        <v>33.650000000000006</v>
      </c>
      <c r="F43" s="1">
        <v>5</v>
      </c>
      <c r="G43" s="2">
        <v>6.73</v>
      </c>
      <c r="H43" s="2"/>
      <c r="I43" s="2"/>
      <c r="J43" s="2"/>
      <c r="K43" s="2"/>
      <c r="L43" s="2"/>
      <c r="M43" s="2"/>
      <c r="N43" s="2"/>
      <c r="O43" s="2"/>
      <c r="P43" s="31"/>
      <c r="Q43" s="31">
        <v>6.73</v>
      </c>
      <c r="R43" s="31">
        <v>6.73</v>
      </c>
      <c r="S43" s="31">
        <v>6.73</v>
      </c>
    </row>
    <row r="44" spans="1:19" hidden="1" x14ac:dyDescent="0.25">
      <c r="A44" s="1" t="s">
        <v>116</v>
      </c>
      <c r="B44" s="61"/>
      <c r="C44" s="1" t="s">
        <v>20</v>
      </c>
      <c r="D44" s="30" t="s">
        <v>200</v>
      </c>
      <c r="E44" s="2">
        <f t="shared" si="2"/>
        <v>348.6</v>
      </c>
      <c r="F44" s="30">
        <v>6</v>
      </c>
      <c r="G44" s="31">
        <v>58.1</v>
      </c>
      <c r="H44" s="31"/>
      <c r="I44" s="31"/>
      <c r="J44" s="31"/>
      <c r="K44" s="31"/>
      <c r="L44" s="2"/>
      <c r="M44" s="2"/>
      <c r="N44" s="2"/>
      <c r="O44" s="2">
        <v>0</v>
      </c>
      <c r="P44" s="31">
        <v>58.1</v>
      </c>
      <c r="Q44" s="31">
        <v>58.1</v>
      </c>
      <c r="R44" s="31">
        <v>58.1</v>
      </c>
      <c r="S44" s="31">
        <v>58.1</v>
      </c>
    </row>
    <row r="45" spans="1:19" hidden="1" x14ac:dyDescent="0.25">
      <c r="A45" s="1" t="s">
        <v>116</v>
      </c>
      <c r="B45" s="1"/>
      <c r="C45" s="1" t="s">
        <v>20</v>
      </c>
      <c r="D45" s="30" t="s">
        <v>200</v>
      </c>
      <c r="E45" s="2">
        <f t="shared" si="2"/>
        <v>-348.88</v>
      </c>
      <c r="F45" s="1">
        <v>1</v>
      </c>
      <c r="G45" s="2">
        <v>-348.88</v>
      </c>
      <c r="H45" s="2"/>
      <c r="I45" s="2"/>
      <c r="J45" s="2"/>
      <c r="K45" s="2"/>
      <c r="L45" s="2"/>
      <c r="M45" s="2"/>
      <c r="N45" s="2"/>
      <c r="O45" s="2"/>
      <c r="P45" s="31">
        <v>-348.88</v>
      </c>
      <c r="Q45" s="31"/>
      <c r="R45" s="31"/>
      <c r="S45" s="31"/>
    </row>
    <row r="46" spans="1:19" x14ac:dyDescent="0.25">
      <c r="A46" s="1" t="s">
        <v>116</v>
      </c>
      <c r="B46" s="1"/>
      <c r="C46" s="1" t="s">
        <v>134</v>
      </c>
      <c r="D46" s="1" t="s">
        <v>124</v>
      </c>
      <c r="E46" s="2">
        <f t="shared" si="1"/>
        <v>64.900000000000006</v>
      </c>
      <c r="F46" s="1">
        <v>1</v>
      </c>
      <c r="G46" s="2">
        <v>64.900000000000006</v>
      </c>
      <c r="H46" s="2"/>
      <c r="I46" s="2"/>
      <c r="J46" s="2"/>
      <c r="K46" s="2"/>
      <c r="L46" s="2"/>
      <c r="M46" s="2"/>
      <c r="N46" s="2"/>
      <c r="O46" s="2"/>
      <c r="P46" s="2"/>
      <c r="Q46" s="31">
        <v>64.900000000000006</v>
      </c>
      <c r="R46" s="31"/>
      <c r="S46" s="31"/>
    </row>
    <row r="47" spans="1:19" hidden="1" x14ac:dyDescent="0.25">
      <c r="A47" s="1" t="s">
        <v>116</v>
      </c>
      <c r="B47" s="1"/>
      <c r="C47" s="1" t="s">
        <v>20</v>
      </c>
      <c r="D47" s="1" t="s">
        <v>201</v>
      </c>
      <c r="E47" s="2">
        <f t="shared" si="1"/>
        <v>454.89</v>
      </c>
      <c r="F47" s="1">
        <v>1</v>
      </c>
      <c r="G47" s="2">
        <v>454.89</v>
      </c>
      <c r="H47" s="2"/>
      <c r="I47" s="2"/>
      <c r="J47" s="2"/>
      <c r="K47" s="2"/>
      <c r="L47" s="2"/>
      <c r="M47" s="2"/>
      <c r="N47" s="2"/>
      <c r="O47" s="2"/>
      <c r="P47" s="2"/>
      <c r="Q47" s="31">
        <v>548.98</v>
      </c>
      <c r="R47" s="31"/>
      <c r="S47" s="31"/>
    </row>
    <row r="48" spans="1:19" hidden="1" x14ac:dyDescent="0.25">
      <c r="A48" s="1" t="s">
        <v>116</v>
      </c>
      <c r="B48" s="1"/>
      <c r="C48" s="1" t="s">
        <v>20</v>
      </c>
      <c r="D48" s="1" t="s">
        <v>202</v>
      </c>
      <c r="E48" s="2">
        <f t="shared" si="1"/>
        <v>547.75</v>
      </c>
      <c r="F48" s="1">
        <v>7</v>
      </c>
      <c r="G48" s="2">
        <v>78.25</v>
      </c>
      <c r="H48" s="2"/>
      <c r="I48" s="2"/>
      <c r="J48" s="2"/>
      <c r="K48" s="2"/>
      <c r="L48" s="2"/>
      <c r="M48" s="2"/>
      <c r="N48" s="2"/>
      <c r="O48" s="2"/>
      <c r="P48" s="2"/>
      <c r="Q48" s="31">
        <v>78.25</v>
      </c>
      <c r="R48" s="31">
        <v>78.25</v>
      </c>
      <c r="S48" s="31">
        <v>78.25</v>
      </c>
    </row>
    <row r="49" spans="1:19" hidden="1" x14ac:dyDescent="0.25">
      <c r="A49" s="1" t="s">
        <v>116</v>
      </c>
      <c r="B49" s="1"/>
      <c r="C49" s="1" t="s">
        <v>20</v>
      </c>
      <c r="D49" s="1" t="s">
        <v>127</v>
      </c>
      <c r="E49" s="2">
        <f t="shared" ref="E49:E62" si="3">F49*G49</f>
        <v>211.20000000000002</v>
      </c>
      <c r="F49" s="1">
        <v>12</v>
      </c>
      <c r="G49" s="2">
        <v>17.600000000000001</v>
      </c>
      <c r="H49" s="2"/>
      <c r="I49" s="2"/>
      <c r="J49" s="2"/>
      <c r="K49" s="2"/>
      <c r="L49" s="2"/>
      <c r="M49" s="2"/>
      <c r="N49" s="2"/>
      <c r="O49" s="2"/>
      <c r="P49" s="2"/>
      <c r="Q49" s="31">
        <v>17.600000000000001</v>
      </c>
      <c r="R49" s="31">
        <v>17.600000000000001</v>
      </c>
      <c r="S49" s="31">
        <v>17.600000000000001</v>
      </c>
    </row>
    <row r="50" spans="1:19" hidden="1" x14ac:dyDescent="0.25">
      <c r="A50" s="1" t="s">
        <v>116</v>
      </c>
      <c r="B50" s="1"/>
      <c r="C50" s="1" t="s">
        <v>20</v>
      </c>
      <c r="D50" s="1" t="s">
        <v>206</v>
      </c>
      <c r="E50" s="2">
        <f t="shared" si="3"/>
        <v>71.208333333333343</v>
      </c>
      <c r="F50" s="1">
        <v>5</v>
      </c>
      <c r="G50" s="2">
        <v>14.241666666666667</v>
      </c>
      <c r="H50" s="2"/>
      <c r="I50" s="2"/>
      <c r="J50" s="2"/>
      <c r="K50" s="2"/>
      <c r="L50" s="2"/>
      <c r="M50" s="2"/>
      <c r="N50" s="2"/>
      <c r="O50" s="2"/>
      <c r="P50" s="2"/>
      <c r="Q50" s="31">
        <v>14.241666666666667</v>
      </c>
      <c r="R50" s="31">
        <v>14.241666666666667</v>
      </c>
      <c r="S50" s="31">
        <v>14.241666666666667</v>
      </c>
    </row>
    <row r="51" spans="1:19" x14ac:dyDescent="0.25">
      <c r="A51" s="1" t="s">
        <v>116</v>
      </c>
      <c r="B51" s="1"/>
      <c r="C51" s="1" t="s">
        <v>203</v>
      </c>
      <c r="D51" s="1" t="s">
        <v>206</v>
      </c>
      <c r="E51" s="2">
        <f t="shared" si="3"/>
        <v>71.208333333333343</v>
      </c>
      <c r="F51" s="1">
        <v>5</v>
      </c>
      <c r="G51" s="2">
        <v>14.241666666666667</v>
      </c>
      <c r="H51" s="2"/>
      <c r="I51" s="2"/>
      <c r="J51" s="2"/>
      <c r="K51" s="2"/>
      <c r="L51" s="2"/>
      <c r="M51" s="2"/>
      <c r="N51" s="2"/>
      <c r="O51" s="2"/>
      <c r="P51" s="2"/>
      <c r="Q51" s="31">
        <v>14.241666666666667</v>
      </c>
      <c r="R51" s="31">
        <v>14.241666666666667</v>
      </c>
      <c r="S51" s="31">
        <v>14.241666666666667</v>
      </c>
    </row>
    <row r="52" spans="1:19" x14ac:dyDescent="0.25">
      <c r="A52" s="1" t="s">
        <v>116</v>
      </c>
      <c r="B52" s="1"/>
      <c r="C52" s="1" t="s">
        <v>204</v>
      </c>
      <c r="D52" s="1" t="s">
        <v>206</v>
      </c>
      <c r="E52" s="2">
        <f t="shared" si="3"/>
        <v>71.208333333333343</v>
      </c>
      <c r="F52" s="1">
        <v>5</v>
      </c>
      <c r="G52" s="2">
        <v>14.241666666666667</v>
      </c>
      <c r="H52" s="2"/>
      <c r="I52" s="2"/>
      <c r="J52" s="2"/>
      <c r="K52" s="2"/>
      <c r="L52" s="2"/>
      <c r="M52" s="2"/>
      <c r="N52" s="2"/>
      <c r="O52" s="2"/>
      <c r="P52" s="2"/>
      <c r="Q52" s="31">
        <v>14.241666666666667</v>
      </c>
      <c r="R52" s="31">
        <v>14.241666666666667</v>
      </c>
      <c r="S52" s="31">
        <v>14.241666666666667</v>
      </c>
    </row>
    <row r="53" spans="1:19" x14ac:dyDescent="0.25">
      <c r="A53" s="1" t="s">
        <v>116</v>
      </c>
      <c r="B53" s="1"/>
      <c r="C53" s="1" t="s">
        <v>322</v>
      </c>
      <c r="D53" s="1" t="s">
        <v>206</v>
      </c>
      <c r="E53" s="2">
        <f t="shared" si="3"/>
        <v>71.208333333333343</v>
      </c>
      <c r="F53" s="1">
        <v>5</v>
      </c>
      <c r="G53" s="2">
        <v>14.241666666666667</v>
      </c>
      <c r="H53" s="2"/>
      <c r="I53" s="2"/>
      <c r="J53" s="2"/>
      <c r="K53" s="2"/>
      <c r="L53" s="2"/>
      <c r="M53" s="2"/>
      <c r="N53" s="2"/>
      <c r="O53" s="2"/>
      <c r="P53" s="2"/>
      <c r="Q53" s="31">
        <v>14.241666666666667</v>
      </c>
      <c r="R53" s="31">
        <v>14.241666666666667</v>
      </c>
      <c r="S53" s="31">
        <v>14.241666666666667</v>
      </c>
    </row>
    <row r="54" spans="1:19" x14ac:dyDescent="0.25">
      <c r="A54" s="1" t="s">
        <v>116</v>
      </c>
      <c r="B54" s="1"/>
      <c r="C54" s="1" t="s">
        <v>133</v>
      </c>
      <c r="D54" s="1" t="s">
        <v>206</v>
      </c>
      <c r="E54" s="2">
        <f t="shared" si="3"/>
        <v>71.208333333333343</v>
      </c>
      <c r="F54" s="1">
        <v>5</v>
      </c>
      <c r="G54" s="2">
        <v>14.241666666666667</v>
      </c>
      <c r="H54" s="2"/>
      <c r="I54" s="2"/>
      <c r="J54" s="2"/>
      <c r="K54" s="2"/>
      <c r="L54" s="2"/>
      <c r="M54" s="2"/>
      <c r="N54" s="2"/>
      <c r="O54" s="2"/>
      <c r="P54" s="2"/>
      <c r="Q54" s="31">
        <v>14.241666666666667</v>
      </c>
      <c r="R54" s="31">
        <v>14.241666666666667</v>
      </c>
      <c r="S54" s="31">
        <v>14.241666666666667</v>
      </c>
    </row>
    <row r="55" spans="1:19" x14ac:dyDescent="0.25">
      <c r="A55" s="1" t="s">
        <v>116</v>
      </c>
      <c r="B55" s="1"/>
      <c r="C55" s="1" t="s">
        <v>205</v>
      </c>
      <c r="D55" s="1" t="s">
        <v>206</v>
      </c>
      <c r="E55" s="2">
        <f t="shared" si="3"/>
        <v>71.208333333333343</v>
      </c>
      <c r="F55" s="1">
        <v>5</v>
      </c>
      <c r="G55" s="2">
        <v>14.241666666666667</v>
      </c>
      <c r="H55" s="2"/>
      <c r="I55" s="2"/>
      <c r="J55" s="2"/>
      <c r="K55" s="2"/>
      <c r="L55" s="2"/>
      <c r="M55" s="2"/>
      <c r="N55" s="2"/>
      <c r="O55" s="2"/>
      <c r="P55" s="2"/>
      <c r="Q55" s="31">
        <v>14.241666666666667</v>
      </c>
      <c r="R55" s="31">
        <v>14.241666666666667</v>
      </c>
      <c r="S55" s="31">
        <v>14.241666666666667</v>
      </c>
    </row>
    <row r="56" spans="1:19" hidden="1" x14ac:dyDescent="0.25">
      <c r="A56" s="1" t="s">
        <v>116</v>
      </c>
      <c r="B56" s="1"/>
      <c r="C56" s="1" t="s">
        <v>20</v>
      </c>
      <c r="D56" s="1" t="s">
        <v>207</v>
      </c>
      <c r="E56" s="2">
        <f t="shared" si="3"/>
        <v>577.43999999999994</v>
      </c>
      <c r="F56" s="1">
        <v>12</v>
      </c>
      <c r="G56" s="2">
        <v>48.12</v>
      </c>
      <c r="H56" s="2"/>
      <c r="I56" s="2"/>
      <c r="J56" s="2"/>
      <c r="K56" s="2"/>
      <c r="L56" s="2"/>
      <c r="M56" s="2"/>
      <c r="N56" s="2"/>
      <c r="O56" s="2"/>
      <c r="P56" s="2"/>
      <c r="Q56" s="31">
        <v>48.12</v>
      </c>
      <c r="R56" s="31">
        <v>48.12</v>
      </c>
      <c r="S56" s="31">
        <v>48.12</v>
      </c>
    </row>
    <row r="57" spans="1:19" hidden="1" x14ac:dyDescent="0.25">
      <c r="A57" s="1" t="s">
        <v>116</v>
      </c>
      <c r="B57" s="1"/>
      <c r="C57" s="1" t="s">
        <v>20</v>
      </c>
      <c r="D57" s="1" t="s">
        <v>207</v>
      </c>
      <c r="E57" s="2">
        <f t="shared" si="3"/>
        <v>34.5</v>
      </c>
      <c r="F57" s="1">
        <v>6</v>
      </c>
      <c r="G57" s="2">
        <v>5.75</v>
      </c>
      <c r="H57" s="2"/>
      <c r="I57" s="2"/>
      <c r="J57" s="2"/>
      <c r="K57" s="2"/>
      <c r="L57" s="2"/>
      <c r="M57" s="2"/>
      <c r="N57" s="2"/>
      <c r="O57" s="2"/>
      <c r="P57" s="2"/>
      <c r="Q57" s="31">
        <v>5.75</v>
      </c>
      <c r="R57" s="31">
        <v>5.75</v>
      </c>
      <c r="S57" s="31">
        <v>5.75</v>
      </c>
    </row>
    <row r="58" spans="1:19" hidden="1" x14ac:dyDescent="0.25">
      <c r="A58" s="1" t="s">
        <v>116</v>
      </c>
      <c r="B58" s="1"/>
      <c r="C58" s="1" t="s">
        <v>20</v>
      </c>
      <c r="D58" s="1" t="s">
        <v>208</v>
      </c>
      <c r="E58" s="2">
        <f t="shared" si="3"/>
        <v>63.63</v>
      </c>
      <c r="F58" s="1">
        <v>3</v>
      </c>
      <c r="G58" s="2">
        <v>21.21</v>
      </c>
      <c r="H58" s="2"/>
      <c r="I58" s="2"/>
      <c r="J58" s="2"/>
      <c r="K58" s="2"/>
      <c r="L58" s="2"/>
      <c r="M58" s="2"/>
      <c r="N58" s="2"/>
      <c r="O58" s="2"/>
      <c r="P58" s="2"/>
      <c r="Q58" s="31">
        <v>21.21</v>
      </c>
      <c r="R58" s="31">
        <v>21.21</v>
      </c>
      <c r="S58" s="31">
        <v>21.21</v>
      </c>
    </row>
    <row r="59" spans="1:19" x14ac:dyDescent="0.25">
      <c r="A59" s="1" t="s">
        <v>116</v>
      </c>
      <c r="B59" s="1"/>
      <c r="C59" s="1" t="s">
        <v>209</v>
      </c>
      <c r="D59" s="1" t="s">
        <v>210</v>
      </c>
      <c r="E59" s="2">
        <f t="shared" si="3"/>
        <v>15</v>
      </c>
      <c r="F59" s="1">
        <v>1</v>
      </c>
      <c r="G59" s="2">
        <v>15</v>
      </c>
      <c r="H59" s="2"/>
      <c r="I59" s="2"/>
      <c r="J59" s="2"/>
      <c r="K59" s="2"/>
      <c r="L59" s="2"/>
      <c r="M59" s="2"/>
      <c r="N59" s="2"/>
      <c r="O59" s="2"/>
      <c r="P59" s="2"/>
      <c r="Q59" s="31">
        <v>15</v>
      </c>
      <c r="R59" s="31"/>
      <c r="S59" s="31"/>
    </row>
    <row r="60" spans="1:19" hidden="1" x14ac:dyDescent="0.25">
      <c r="A60" s="1" t="s">
        <v>116</v>
      </c>
      <c r="B60" s="1"/>
      <c r="C60" s="1" t="s">
        <v>20</v>
      </c>
      <c r="D60" s="1" t="s">
        <v>247</v>
      </c>
      <c r="E60" s="2">
        <f t="shared" si="3"/>
        <v>757.15000000000009</v>
      </c>
      <c r="F60" s="1">
        <v>5</v>
      </c>
      <c r="G60" s="2">
        <v>151.43</v>
      </c>
      <c r="H60" s="2"/>
      <c r="I60" s="2"/>
      <c r="J60" s="2"/>
      <c r="K60" s="2"/>
      <c r="L60" s="2"/>
      <c r="M60" s="2"/>
      <c r="N60" s="2"/>
      <c r="O60" s="2"/>
      <c r="P60" s="2"/>
      <c r="Q60" s="31"/>
      <c r="R60" s="31">
        <v>154.9</v>
      </c>
      <c r="S60" s="31">
        <v>151.43</v>
      </c>
    </row>
    <row r="61" spans="1:19" hidden="1" x14ac:dyDescent="0.25">
      <c r="A61" s="1" t="s">
        <v>116</v>
      </c>
      <c r="B61" s="1"/>
      <c r="C61" s="1" t="s">
        <v>20</v>
      </c>
      <c r="D61" s="1" t="s">
        <v>325</v>
      </c>
      <c r="E61" s="2">
        <f t="shared" si="3"/>
        <v>64.06</v>
      </c>
      <c r="F61" s="1">
        <v>1</v>
      </c>
      <c r="G61" s="2">
        <v>64.06</v>
      </c>
      <c r="H61" s="2"/>
      <c r="I61" s="2"/>
      <c r="J61" s="2"/>
      <c r="K61" s="2"/>
      <c r="L61" s="2"/>
      <c r="M61" s="2"/>
      <c r="N61" s="2"/>
      <c r="O61" s="2"/>
      <c r="P61" s="2"/>
      <c r="Q61" s="31"/>
      <c r="R61" s="31">
        <v>64.06</v>
      </c>
      <c r="S61" s="31"/>
    </row>
    <row r="62" spans="1:19" hidden="1" x14ac:dyDescent="0.25">
      <c r="A62" s="1" t="s">
        <v>116</v>
      </c>
      <c r="B62" s="1"/>
      <c r="C62" s="1" t="s">
        <v>20</v>
      </c>
      <c r="D62" s="1" t="s">
        <v>326</v>
      </c>
      <c r="E62" s="2">
        <f t="shared" si="3"/>
        <v>23.9</v>
      </c>
      <c r="F62" s="1">
        <v>1</v>
      </c>
      <c r="G62" s="2">
        <v>23.9</v>
      </c>
      <c r="H62" s="2"/>
      <c r="I62" s="2"/>
      <c r="J62" s="2"/>
      <c r="K62" s="2"/>
      <c r="L62" s="2"/>
      <c r="M62" s="2"/>
      <c r="N62" s="2"/>
      <c r="O62" s="2"/>
      <c r="P62" s="2"/>
      <c r="Q62" s="31"/>
      <c r="R62" s="31">
        <v>23.9</v>
      </c>
      <c r="S62" s="31"/>
    </row>
  </sheetData>
  <autoFilter ref="A2:S62">
    <filterColumn colId="2">
      <filters>
        <filter val="Bruna"/>
        <filter val="Catia"/>
        <filter val="Cris"/>
        <filter val="Elizabeth"/>
        <filter val="Marcela"/>
        <filter val="Rafael"/>
        <filter val="Rebeca"/>
        <filter val="Yuri"/>
      </filters>
    </filterColumn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showGridLines="0" workbookViewId="0">
      <pane xSplit="7" ySplit="2" topLeftCell="Q3" activePane="bottomRight" state="frozen"/>
      <selection pane="topRight" activeCell="H1" sqref="H1"/>
      <selection pane="bottomLeft" activeCell="A3" sqref="A3"/>
      <selection pane="bottomRight" activeCell="C10" sqref="C10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11" bestFit="1" customWidth="1"/>
    <col min="4" max="4" width="21.140625" bestFit="1" customWidth="1"/>
    <col min="5" max="5" width="9.85546875" customWidth="1"/>
    <col min="6" max="6" width="8.5703125" customWidth="1"/>
    <col min="7" max="7" width="9.85546875" customWidth="1"/>
    <col min="8" max="16" width="9.85546875" hidden="1" customWidth="1"/>
    <col min="17" max="19" width="9.85546875" customWidth="1"/>
  </cols>
  <sheetData>
    <row r="1" spans="1:19" x14ac:dyDescent="0.25">
      <c r="E1" s="29">
        <f>SUBTOTAL(9,E3:E6)</f>
        <v>1525.51</v>
      </c>
      <c r="F1" s="4"/>
      <c r="G1" s="29">
        <f t="shared" ref="G1:S1" si="0">SUBTOTAL(9,G3:G6)</f>
        <v>241.57000000000002</v>
      </c>
      <c r="H1" s="29">
        <f t="shared" si="0"/>
        <v>0</v>
      </c>
      <c r="I1" s="29">
        <f t="shared" si="0"/>
        <v>0</v>
      </c>
      <c r="J1" s="29">
        <f t="shared" si="0"/>
        <v>0</v>
      </c>
      <c r="K1" s="29">
        <f t="shared" si="0"/>
        <v>0</v>
      </c>
      <c r="L1" s="29">
        <f t="shared" si="0"/>
        <v>0</v>
      </c>
      <c r="M1" s="29">
        <f t="shared" si="0"/>
        <v>0</v>
      </c>
      <c r="N1" s="29">
        <f t="shared" si="0"/>
        <v>0</v>
      </c>
      <c r="O1" s="29">
        <f t="shared" si="0"/>
        <v>403.32000000000005</v>
      </c>
      <c r="P1" s="29">
        <f t="shared" si="0"/>
        <v>229.72</v>
      </c>
      <c r="Q1" s="29">
        <f t="shared" si="0"/>
        <v>115.72</v>
      </c>
      <c r="R1" s="29">
        <f t="shared" si="0"/>
        <v>53.9</v>
      </c>
      <c r="S1" s="29">
        <f t="shared" si="0"/>
        <v>53.9</v>
      </c>
    </row>
    <row r="2" spans="1:19" s="3" customFormat="1" ht="30" x14ac:dyDescent="0.25">
      <c r="A2" s="28" t="s">
        <v>13</v>
      </c>
      <c r="B2" s="28" t="s">
        <v>0</v>
      </c>
      <c r="C2" s="28" t="s">
        <v>14</v>
      </c>
      <c r="D2" s="28" t="s">
        <v>15</v>
      </c>
      <c r="E2" s="28" t="s">
        <v>16</v>
      </c>
      <c r="F2" s="28" t="s">
        <v>17</v>
      </c>
      <c r="G2" s="28" t="s">
        <v>18</v>
      </c>
      <c r="H2" s="28" t="s">
        <v>1</v>
      </c>
      <c r="I2" s="28" t="s">
        <v>2</v>
      </c>
      <c r="J2" s="28" t="s">
        <v>3</v>
      </c>
      <c r="K2" s="28" t="s">
        <v>4</v>
      </c>
      <c r="L2" s="28" t="s">
        <v>5</v>
      </c>
      <c r="M2" s="28" t="s">
        <v>6</v>
      </c>
      <c r="N2" s="28" t="s">
        <v>7</v>
      </c>
      <c r="O2" s="28" t="s">
        <v>8</v>
      </c>
      <c r="P2" s="28" t="s">
        <v>9</v>
      </c>
      <c r="Q2" s="28" t="s">
        <v>10</v>
      </c>
      <c r="R2" s="28" t="s">
        <v>11</v>
      </c>
      <c r="S2" s="28" t="s">
        <v>12</v>
      </c>
    </row>
    <row r="3" spans="1:19" x14ac:dyDescent="0.25">
      <c r="A3" s="1" t="s">
        <v>118</v>
      </c>
      <c r="B3" s="1"/>
      <c r="C3" s="1" t="s">
        <v>20</v>
      </c>
      <c r="D3" s="1" t="s">
        <v>119</v>
      </c>
      <c r="E3" s="2">
        <f>F3*G3</f>
        <v>878.56</v>
      </c>
      <c r="F3" s="1">
        <v>8</v>
      </c>
      <c r="G3" s="2">
        <v>109.82</v>
      </c>
      <c r="H3" s="2"/>
      <c r="I3" s="2"/>
      <c r="J3" s="2"/>
      <c r="K3" s="2"/>
      <c r="L3" s="2"/>
      <c r="M3" s="2"/>
      <c r="N3" s="2"/>
      <c r="O3" s="2">
        <v>109.82</v>
      </c>
      <c r="P3" s="31">
        <v>115.72</v>
      </c>
      <c r="Q3" s="2">
        <v>115.72</v>
      </c>
      <c r="R3" s="2"/>
      <c r="S3" s="2"/>
    </row>
    <row r="4" spans="1:19" x14ac:dyDescent="0.25">
      <c r="A4" s="1" t="s">
        <v>118</v>
      </c>
      <c r="B4" s="1"/>
      <c r="C4" s="1" t="s">
        <v>20</v>
      </c>
      <c r="D4" s="1" t="s">
        <v>120</v>
      </c>
      <c r="E4" s="2">
        <f t="shared" ref="E4:E5" si="1">F4*G4</f>
        <v>17.700000000000003</v>
      </c>
      <c r="F4" s="1">
        <v>3</v>
      </c>
      <c r="G4" s="2">
        <v>5.9</v>
      </c>
      <c r="H4" s="2"/>
      <c r="I4" s="2"/>
      <c r="J4" s="2"/>
      <c r="K4" s="2"/>
      <c r="L4" s="2"/>
      <c r="M4" s="2"/>
      <c r="N4" s="2"/>
      <c r="O4" s="2">
        <v>5.9</v>
      </c>
      <c r="P4" s="31">
        <v>5.9</v>
      </c>
      <c r="Q4" s="2"/>
      <c r="R4" s="2"/>
      <c r="S4" s="2"/>
    </row>
    <row r="5" spans="1:19" x14ac:dyDescent="0.25">
      <c r="A5" s="1" t="s">
        <v>117</v>
      </c>
      <c r="B5" s="1"/>
      <c r="C5" s="1" t="s">
        <v>20</v>
      </c>
      <c r="D5" s="1" t="s">
        <v>135</v>
      </c>
      <c r="E5" s="2">
        <f t="shared" si="1"/>
        <v>359.75</v>
      </c>
      <c r="F5" s="1">
        <v>5</v>
      </c>
      <c r="G5" s="2">
        <v>71.95</v>
      </c>
      <c r="H5" s="2"/>
      <c r="I5" s="2"/>
      <c r="J5" s="2"/>
      <c r="K5" s="2"/>
      <c r="L5" s="2"/>
      <c r="M5" s="2"/>
      <c r="N5" s="2"/>
      <c r="O5" s="2">
        <v>287.60000000000002</v>
      </c>
      <c r="P5" s="31">
        <v>0</v>
      </c>
      <c r="Q5" s="2"/>
      <c r="R5" s="31"/>
      <c r="S5" s="31"/>
    </row>
    <row r="6" spans="1:19" x14ac:dyDescent="0.25">
      <c r="A6" s="1" t="s">
        <v>117</v>
      </c>
      <c r="B6" s="38">
        <v>43691</v>
      </c>
      <c r="C6" s="1" t="s">
        <v>20</v>
      </c>
      <c r="D6" s="1" t="s">
        <v>119</v>
      </c>
      <c r="E6" s="2">
        <f>F6*G6</f>
        <v>269.5</v>
      </c>
      <c r="F6" s="1">
        <v>5</v>
      </c>
      <c r="G6" s="2">
        <v>53.9</v>
      </c>
      <c r="H6" s="2"/>
      <c r="I6" s="2"/>
      <c r="J6" s="2"/>
      <c r="K6" s="2"/>
      <c r="L6" s="2"/>
      <c r="M6" s="2"/>
      <c r="N6" s="2"/>
      <c r="O6" s="2">
        <v>0</v>
      </c>
      <c r="P6" s="31">
        <f>54.2+53.9</f>
        <v>108.1</v>
      </c>
      <c r="Q6" s="2"/>
      <c r="R6" s="31">
        <v>53.9</v>
      </c>
      <c r="S6" s="31">
        <v>53.9</v>
      </c>
    </row>
  </sheetData>
  <autoFilter ref="A2:S6"/>
  <phoneticPr fontId="3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63"/>
  <sheetViews>
    <sheetView showGridLines="0" topLeftCell="A42" workbookViewId="0">
      <selection activeCell="C64" sqref="C64"/>
    </sheetView>
  </sheetViews>
  <sheetFormatPr defaultRowHeight="15" x14ac:dyDescent="0.25"/>
  <cols>
    <col min="1" max="1" width="5.28515625" customWidth="1"/>
    <col min="2" max="2" width="23.28515625" customWidth="1"/>
    <col min="3" max="3" width="15.28515625" bestFit="1" customWidth="1"/>
    <col min="4" max="4" width="3.140625" customWidth="1"/>
    <col min="5" max="5" width="5.28515625" customWidth="1"/>
    <col min="6" max="6" width="31.28515625" customWidth="1"/>
    <col min="7" max="7" width="15.28515625" bestFit="1" customWidth="1"/>
    <col min="8" max="8" width="3.140625" customWidth="1"/>
  </cols>
  <sheetData>
    <row r="1" spans="1:8" ht="18.75" x14ac:dyDescent="0.3">
      <c r="A1" s="157" t="s">
        <v>375</v>
      </c>
      <c r="B1" s="158"/>
      <c r="C1" s="113" t="s">
        <v>347</v>
      </c>
      <c r="E1" s="157" t="s">
        <v>381</v>
      </c>
      <c r="F1" s="158"/>
      <c r="G1" s="113" t="s">
        <v>347</v>
      </c>
    </row>
    <row r="2" spans="1:8" x14ac:dyDescent="0.25">
      <c r="A2" s="159" t="s">
        <v>348</v>
      </c>
      <c r="B2" s="159"/>
      <c r="C2" s="111">
        <v>50</v>
      </c>
      <c r="E2" s="159" t="s">
        <v>348</v>
      </c>
      <c r="F2" s="159"/>
      <c r="G2" s="111">
        <v>119.9</v>
      </c>
    </row>
    <row r="3" spans="1:8" x14ac:dyDescent="0.25">
      <c r="A3" s="159" t="s">
        <v>353</v>
      </c>
      <c r="B3" s="159"/>
      <c r="C3" s="110"/>
      <c r="E3" s="159" t="s">
        <v>353</v>
      </c>
      <c r="F3" s="159"/>
      <c r="G3" s="110"/>
    </row>
    <row r="4" spans="1:8" x14ac:dyDescent="0.25">
      <c r="A4" s="159" t="s">
        <v>367</v>
      </c>
      <c r="B4" s="159"/>
      <c r="C4" s="49" t="s">
        <v>373</v>
      </c>
      <c r="E4" s="159" t="s">
        <v>367</v>
      </c>
      <c r="F4" s="159"/>
      <c r="G4" s="49" t="s">
        <v>373</v>
      </c>
    </row>
    <row r="5" spans="1:8" x14ac:dyDescent="0.25">
      <c r="A5" s="159" t="s">
        <v>350</v>
      </c>
      <c r="B5" s="159"/>
      <c r="C5" s="111">
        <f>C2</f>
        <v>50</v>
      </c>
      <c r="E5" s="159" t="s">
        <v>350</v>
      </c>
      <c r="F5" s="159"/>
      <c r="G5" s="111">
        <f>G2</f>
        <v>119.9</v>
      </c>
    </row>
    <row r="6" spans="1:8" x14ac:dyDescent="0.25">
      <c r="A6" s="159" t="s">
        <v>376</v>
      </c>
      <c r="B6" s="159"/>
      <c r="C6" s="112">
        <v>43774</v>
      </c>
      <c r="E6" s="159" t="s">
        <v>376</v>
      </c>
      <c r="F6" s="159"/>
      <c r="G6" s="112"/>
    </row>
    <row r="7" spans="1:8" x14ac:dyDescent="0.25">
      <c r="A7" s="159" t="s">
        <v>377</v>
      </c>
      <c r="B7" s="159"/>
      <c r="C7" s="49" t="s">
        <v>378</v>
      </c>
      <c r="E7" s="159" t="s">
        <v>377</v>
      </c>
      <c r="F7" s="159"/>
      <c r="G7" s="49" t="s">
        <v>379</v>
      </c>
    </row>
    <row r="8" spans="1:8" x14ac:dyDescent="0.25">
      <c r="A8" s="159" t="s">
        <v>351</v>
      </c>
      <c r="B8" s="159"/>
      <c r="C8" s="49" t="s">
        <v>374</v>
      </c>
      <c r="E8" s="159" t="s">
        <v>351</v>
      </c>
      <c r="F8" s="159"/>
      <c r="G8" s="49" t="s">
        <v>380</v>
      </c>
    </row>
    <row r="9" spans="1:8" ht="15.75" thickBot="1" x14ac:dyDescent="0.3"/>
    <row r="10" spans="1:8" ht="15.75" thickBot="1" x14ac:dyDescent="0.3">
      <c r="A10" s="114" t="s">
        <v>355</v>
      </c>
      <c r="B10" s="114" t="s">
        <v>356</v>
      </c>
      <c r="C10" s="114" t="s">
        <v>357</v>
      </c>
      <c r="E10" s="114" t="s">
        <v>355</v>
      </c>
      <c r="F10" s="114" t="s">
        <v>356</v>
      </c>
      <c r="G10" s="114" t="s">
        <v>357</v>
      </c>
    </row>
    <row r="11" spans="1:8" x14ac:dyDescent="0.25">
      <c r="A11" s="128">
        <v>1</v>
      </c>
      <c r="B11" s="134">
        <v>43779</v>
      </c>
      <c r="C11" s="129">
        <v>50</v>
      </c>
      <c r="E11" s="116">
        <v>1</v>
      </c>
      <c r="F11" s="137">
        <v>43322</v>
      </c>
      <c r="G11" s="122">
        <v>119.9</v>
      </c>
      <c r="H11" t="s">
        <v>365</v>
      </c>
    </row>
    <row r="12" spans="1:8" x14ac:dyDescent="0.25">
      <c r="A12" s="130">
        <v>2</v>
      </c>
      <c r="B12" s="135">
        <v>43809</v>
      </c>
      <c r="C12" s="131">
        <v>50</v>
      </c>
      <c r="E12" s="116">
        <v>2</v>
      </c>
      <c r="F12" s="138">
        <v>43322</v>
      </c>
      <c r="G12" s="122">
        <v>119.9</v>
      </c>
      <c r="H12" t="s">
        <v>365</v>
      </c>
    </row>
    <row r="13" spans="1:8" x14ac:dyDescent="0.25">
      <c r="A13" s="130">
        <v>3</v>
      </c>
      <c r="B13" s="135">
        <f>B12+30</f>
        <v>43839</v>
      </c>
      <c r="C13" s="131">
        <v>50</v>
      </c>
      <c r="E13" s="116">
        <v>3</v>
      </c>
      <c r="F13" s="138">
        <f>F12+30</f>
        <v>43352</v>
      </c>
      <c r="G13" s="122"/>
    </row>
    <row r="14" spans="1:8" x14ac:dyDescent="0.25">
      <c r="A14" s="130">
        <v>4</v>
      </c>
      <c r="B14" s="135">
        <f t="shared" ref="B14:B22" si="0">B13+30</f>
        <v>43869</v>
      </c>
      <c r="C14" s="131">
        <v>50</v>
      </c>
      <c r="E14" s="116">
        <v>4</v>
      </c>
      <c r="F14" s="138">
        <f t="shared" ref="F14:F58" si="1">F13+30</f>
        <v>43382</v>
      </c>
      <c r="G14" s="122"/>
    </row>
    <row r="15" spans="1:8" x14ac:dyDescent="0.25">
      <c r="A15" s="130">
        <v>5</v>
      </c>
      <c r="B15" s="135">
        <f t="shared" si="0"/>
        <v>43899</v>
      </c>
      <c r="C15" s="131">
        <v>50</v>
      </c>
      <c r="E15" s="116">
        <v>5</v>
      </c>
      <c r="F15" s="138">
        <f t="shared" si="1"/>
        <v>43412</v>
      </c>
      <c r="G15" s="122"/>
    </row>
    <row r="16" spans="1:8" x14ac:dyDescent="0.25">
      <c r="A16" s="130">
        <v>6</v>
      </c>
      <c r="B16" s="135">
        <f t="shared" si="0"/>
        <v>43929</v>
      </c>
      <c r="C16" s="131">
        <v>50</v>
      </c>
      <c r="E16" s="116">
        <v>6</v>
      </c>
      <c r="F16" s="138">
        <f t="shared" si="1"/>
        <v>43442</v>
      </c>
      <c r="G16" s="122"/>
    </row>
    <row r="17" spans="1:7" x14ac:dyDescent="0.25">
      <c r="A17" s="130">
        <v>7</v>
      </c>
      <c r="B17" s="135">
        <f t="shared" si="0"/>
        <v>43959</v>
      </c>
      <c r="C17" s="131">
        <v>50</v>
      </c>
      <c r="E17" s="116">
        <v>7</v>
      </c>
      <c r="F17" s="138">
        <f t="shared" si="1"/>
        <v>43472</v>
      </c>
      <c r="G17" s="122"/>
    </row>
    <row r="18" spans="1:7" x14ac:dyDescent="0.25">
      <c r="A18" s="130">
        <v>8</v>
      </c>
      <c r="B18" s="135">
        <f t="shared" si="0"/>
        <v>43989</v>
      </c>
      <c r="C18" s="131">
        <v>50</v>
      </c>
      <c r="E18" s="116">
        <v>8</v>
      </c>
      <c r="F18" s="138">
        <f t="shared" si="1"/>
        <v>43502</v>
      </c>
      <c r="G18" s="122"/>
    </row>
    <row r="19" spans="1:7" x14ac:dyDescent="0.25">
      <c r="A19" s="130">
        <v>9</v>
      </c>
      <c r="B19" s="135">
        <f t="shared" si="0"/>
        <v>44019</v>
      </c>
      <c r="C19" s="131">
        <v>50</v>
      </c>
      <c r="E19" s="116">
        <v>9</v>
      </c>
      <c r="F19" s="138">
        <f t="shared" si="1"/>
        <v>43532</v>
      </c>
      <c r="G19" s="122"/>
    </row>
    <row r="20" spans="1:7" x14ac:dyDescent="0.25">
      <c r="A20" s="130">
        <v>10</v>
      </c>
      <c r="B20" s="135">
        <f t="shared" si="0"/>
        <v>44049</v>
      </c>
      <c r="C20" s="131">
        <v>50</v>
      </c>
      <c r="E20" s="116">
        <v>10</v>
      </c>
      <c r="F20" s="138">
        <f t="shared" si="1"/>
        <v>43562</v>
      </c>
      <c r="G20" s="122"/>
    </row>
    <row r="21" spans="1:7" x14ac:dyDescent="0.25">
      <c r="A21" s="130">
        <v>11</v>
      </c>
      <c r="B21" s="135">
        <f t="shared" si="0"/>
        <v>44079</v>
      </c>
      <c r="C21" s="131">
        <v>50</v>
      </c>
      <c r="E21" s="116">
        <v>11</v>
      </c>
      <c r="F21" s="138">
        <f t="shared" si="1"/>
        <v>43592</v>
      </c>
      <c r="G21" s="122"/>
    </row>
    <row r="22" spans="1:7" ht="15.75" thickBot="1" x14ac:dyDescent="0.3">
      <c r="A22" s="132">
        <v>12</v>
      </c>
      <c r="B22" s="136">
        <f t="shared" si="0"/>
        <v>44109</v>
      </c>
      <c r="C22" s="133">
        <v>50</v>
      </c>
      <c r="E22" s="116">
        <v>12</v>
      </c>
      <c r="F22" s="138">
        <f t="shared" si="1"/>
        <v>43622</v>
      </c>
      <c r="G22" s="122"/>
    </row>
    <row r="23" spans="1:7" x14ac:dyDescent="0.25">
      <c r="E23" s="116">
        <v>13</v>
      </c>
      <c r="F23" s="138">
        <f t="shared" si="1"/>
        <v>43652</v>
      </c>
      <c r="G23" s="122"/>
    </row>
    <row r="24" spans="1:7" x14ac:dyDescent="0.25">
      <c r="E24" s="116">
        <v>14</v>
      </c>
      <c r="F24" s="138">
        <f t="shared" si="1"/>
        <v>43682</v>
      </c>
      <c r="G24" s="122"/>
    </row>
    <row r="25" spans="1:7" x14ac:dyDescent="0.25">
      <c r="E25" s="116">
        <v>15</v>
      </c>
      <c r="F25" s="138">
        <f t="shared" si="1"/>
        <v>43712</v>
      </c>
      <c r="G25" s="122"/>
    </row>
    <row r="26" spans="1:7" x14ac:dyDescent="0.25">
      <c r="E26" s="116">
        <v>16</v>
      </c>
      <c r="F26" s="138">
        <f t="shared" si="1"/>
        <v>43742</v>
      </c>
      <c r="G26" s="122"/>
    </row>
    <row r="27" spans="1:7" x14ac:dyDescent="0.25">
      <c r="E27" s="116">
        <v>17</v>
      </c>
      <c r="F27" s="138">
        <f t="shared" si="1"/>
        <v>43772</v>
      </c>
      <c r="G27" s="122"/>
    </row>
    <row r="28" spans="1:7" x14ac:dyDescent="0.25">
      <c r="E28" s="116">
        <v>18</v>
      </c>
      <c r="F28" s="138">
        <f t="shared" si="1"/>
        <v>43802</v>
      </c>
      <c r="G28" s="122"/>
    </row>
    <row r="29" spans="1:7" x14ac:dyDescent="0.25">
      <c r="E29" s="116">
        <v>19</v>
      </c>
      <c r="F29" s="138">
        <f t="shared" si="1"/>
        <v>43832</v>
      </c>
      <c r="G29" s="122"/>
    </row>
    <row r="30" spans="1:7" x14ac:dyDescent="0.25">
      <c r="E30" s="116">
        <v>20</v>
      </c>
      <c r="F30" s="138">
        <f t="shared" si="1"/>
        <v>43862</v>
      </c>
      <c r="G30" s="122"/>
    </row>
    <row r="31" spans="1:7" x14ac:dyDescent="0.25">
      <c r="E31" s="116">
        <v>21</v>
      </c>
      <c r="F31" s="138">
        <f t="shared" si="1"/>
        <v>43892</v>
      </c>
      <c r="G31" s="122"/>
    </row>
    <row r="32" spans="1:7" x14ac:dyDescent="0.25">
      <c r="E32" s="116">
        <v>22</v>
      </c>
      <c r="F32" s="138">
        <f t="shared" si="1"/>
        <v>43922</v>
      </c>
      <c r="G32" s="122"/>
    </row>
    <row r="33" spans="5:7" x14ac:dyDescent="0.25">
      <c r="E33" s="116">
        <v>23</v>
      </c>
      <c r="F33" s="138">
        <f t="shared" si="1"/>
        <v>43952</v>
      </c>
      <c r="G33" s="122"/>
    </row>
    <row r="34" spans="5:7" x14ac:dyDescent="0.25">
      <c r="E34" s="116">
        <v>24</v>
      </c>
      <c r="F34" s="138">
        <f t="shared" si="1"/>
        <v>43982</v>
      </c>
      <c r="G34" s="122"/>
    </row>
    <row r="35" spans="5:7" x14ac:dyDescent="0.25">
      <c r="E35" s="116">
        <v>25</v>
      </c>
      <c r="F35" s="138">
        <f t="shared" si="1"/>
        <v>44012</v>
      </c>
      <c r="G35" s="122"/>
    </row>
    <row r="36" spans="5:7" x14ac:dyDescent="0.25">
      <c r="E36" s="116">
        <v>26</v>
      </c>
      <c r="F36" s="138">
        <f t="shared" si="1"/>
        <v>44042</v>
      </c>
      <c r="G36" s="122"/>
    </row>
    <row r="37" spans="5:7" x14ac:dyDescent="0.25">
      <c r="E37" s="116">
        <v>27</v>
      </c>
      <c r="F37" s="138">
        <f t="shared" si="1"/>
        <v>44072</v>
      </c>
      <c r="G37" s="122"/>
    </row>
    <row r="38" spans="5:7" x14ac:dyDescent="0.25">
      <c r="E38" s="116">
        <v>28</v>
      </c>
      <c r="F38" s="138">
        <f t="shared" si="1"/>
        <v>44102</v>
      </c>
      <c r="G38" s="122"/>
    </row>
    <row r="39" spans="5:7" x14ac:dyDescent="0.25">
      <c r="E39" s="116">
        <v>29</v>
      </c>
      <c r="F39" s="138">
        <f t="shared" si="1"/>
        <v>44132</v>
      </c>
      <c r="G39" s="122"/>
    </row>
    <row r="40" spans="5:7" x14ac:dyDescent="0.25">
      <c r="E40" s="116">
        <v>30</v>
      </c>
      <c r="F40" s="138">
        <f t="shared" si="1"/>
        <v>44162</v>
      </c>
      <c r="G40" s="122"/>
    </row>
    <row r="41" spans="5:7" x14ac:dyDescent="0.25">
      <c r="E41" s="116">
        <v>31</v>
      </c>
      <c r="F41" s="138">
        <f t="shared" si="1"/>
        <v>44192</v>
      </c>
      <c r="G41" s="122"/>
    </row>
    <row r="42" spans="5:7" x14ac:dyDescent="0.25">
      <c r="E42" s="116">
        <v>32</v>
      </c>
      <c r="F42" s="138">
        <f t="shared" si="1"/>
        <v>44222</v>
      </c>
      <c r="G42" s="122"/>
    </row>
    <row r="43" spans="5:7" x14ac:dyDescent="0.25">
      <c r="E43" s="116">
        <v>33</v>
      </c>
      <c r="F43" s="138">
        <f t="shared" si="1"/>
        <v>44252</v>
      </c>
      <c r="G43" s="122"/>
    </row>
    <row r="44" spans="5:7" x14ac:dyDescent="0.25">
      <c r="E44" s="116">
        <v>34</v>
      </c>
      <c r="F44" s="138">
        <f t="shared" si="1"/>
        <v>44282</v>
      </c>
      <c r="G44" s="122"/>
    </row>
    <row r="45" spans="5:7" x14ac:dyDescent="0.25">
      <c r="E45" s="116">
        <v>35</v>
      </c>
      <c r="F45" s="138">
        <f t="shared" si="1"/>
        <v>44312</v>
      </c>
      <c r="G45" s="122"/>
    </row>
    <row r="46" spans="5:7" x14ac:dyDescent="0.25">
      <c r="E46" s="116">
        <v>36</v>
      </c>
      <c r="F46" s="138">
        <f t="shared" si="1"/>
        <v>44342</v>
      </c>
      <c r="G46" s="122"/>
    </row>
    <row r="47" spans="5:7" x14ac:dyDescent="0.25">
      <c r="E47" s="116">
        <v>37</v>
      </c>
      <c r="F47" s="138">
        <f t="shared" si="1"/>
        <v>44372</v>
      </c>
      <c r="G47" s="122"/>
    </row>
    <row r="48" spans="5:7" x14ac:dyDescent="0.25">
      <c r="E48" s="116">
        <v>38</v>
      </c>
      <c r="F48" s="138">
        <f t="shared" si="1"/>
        <v>44402</v>
      </c>
      <c r="G48" s="122"/>
    </row>
    <row r="49" spans="1:7" x14ac:dyDescent="0.25">
      <c r="E49" s="116">
        <v>39</v>
      </c>
      <c r="F49" s="138">
        <f t="shared" si="1"/>
        <v>44432</v>
      </c>
      <c r="G49" s="122"/>
    </row>
    <row r="50" spans="1:7" x14ac:dyDescent="0.25">
      <c r="E50" s="116">
        <v>40</v>
      </c>
      <c r="F50" s="138">
        <f t="shared" si="1"/>
        <v>44462</v>
      </c>
      <c r="G50" s="122"/>
    </row>
    <row r="51" spans="1:7" x14ac:dyDescent="0.25">
      <c r="E51" s="116">
        <v>41</v>
      </c>
      <c r="F51" s="138">
        <f t="shared" si="1"/>
        <v>44492</v>
      </c>
      <c r="G51" s="122"/>
    </row>
    <row r="52" spans="1:7" x14ac:dyDescent="0.25">
      <c r="E52" s="116">
        <v>42</v>
      </c>
      <c r="F52" s="138">
        <f t="shared" si="1"/>
        <v>44522</v>
      </c>
      <c r="G52" s="122"/>
    </row>
    <row r="53" spans="1:7" x14ac:dyDescent="0.25">
      <c r="E53" s="116">
        <v>43</v>
      </c>
      <c r="F53" s="138">
        <f t="shared" si="1"/>
        <v>44552</v>
      </c>
      <c r="G53" s="122"/>
    </row>
    <row r="54" spans="1:7" x14ac:dyDescent="0.25">
      <c r="E54" s="116">
        <v>44</v>
      </c>
      <c r="F54" s="138">
        <f t="shared" si="1"/>
        <v>44582</v>
      </c>
      <c r="G54" s="122"/>
    </row>
    <row r="55" spans="1:7" x14ac:dyDescent="0.25">
      <c r="E55" s="116">
        <v>45</v>
      </c>
      <c r="F55" s="138">
        <f t="shared" si="1"/>
        <v>44612</v>
      </c>
      <c r="G55" s="122"/>
    </row>
    <row r="56" spans="1:7" x14ac:dyDescent="0.25">
      <c r="E56" s="116">
        <v>46</v>
      </c>
      <c r="F56" s="138">
        <f t="shared" si="1"/>
        <v>44642</v>
      </c>
      <c r="G56" s="122"/>
    </row>
    <row r="57" spans="1:7" x14ac:dyDescent="0.25">
      <c r="E57" s="116">
        <v>47</v>
      </c>
      <c r="F57" s="138">
        <f t="shared" si="1"/>
        <v>44672</v>
      </c>
      <c r="G57" s="122"/>
    </row>
    <row r="58" spans="1:7" ht="15.75" thickBot="1" x14ac:dyDescent="0.3">
      <c r="E58" s="117">
        <v>48</v>
      </c>
      <c r="F58" s="139">
        <f t="shared" si="1"/>
        <v>44702</v>
      </c>
      <c r="G58" s="123"/>
    </row>
    <row r="62" spans="1:7" x14ac:dyDescent="0.25">
      <c r="A62" s="140">
        <v>43739</v>
      </c>
      <c r="B62" s="140">
        <v>43770</v>
      </c>
      <c r="C62" s="140">
        <v>43800</v>
      </c>
    </row>
    <row r="63" spans="1:7" x14ac:dyDescent="0.25">
      <c r="A63" s="141">
        <f>SUM(G26)</f>
        <v>0</v>
      </c>
      <c r="B63" s="141">
        <f>SUM(C11,G27)</f>
        <v>50</v>
      </c>
      <c r="C63" s="141">
        <f>SUM(C12,G27)</f>
        <v>50</v>
      </c>
    </row>
  </sheetData>
  <mergeCells count="16">
    <mergeCell ref="E7:F7"/>
    <mergeCell ref="E8:F8"/>
    <mergeCell ref="A6:B6"/>
    <mergeCell ref="A7:B7"/>
    <mergeCell ref="A8:B8"/>
    <mergeCell ref="E6:F6"/>
    <mergeCell ref="E1:F1"/>
    <mergeCell ref="E2:F2"/>
    <mergeCell ref="E3:F3"/>
    <mergeCell ref="E4:F4"/>
    <mergeCell ref="E5:F5"/>
    <mergeCell ref="A1:B1"/>
    <mergeCell ref="A2:B2"/>
    <mergeCell ref="A3:B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0"/>
  <sheetViews>
    <sheetView showGridLines="0" topLeftCell="A38" workbookViewId="0">
      <selection activeCell="A12" sqref="A12:C60"/>
    </sheetView>
  </sheetViews>
  <sheetFormatPr defaultRowHeight="15" x14ac:dyDescent="0.25"/>
  <cols>
    <col min="1" max="1" width="5.28515625" customWidth="1"/>
    <col min="2" max="2" width="20.42578125" customWidth="1"/>
    <col min="3" max="3" width="15.28515625" bestFit="1" customWidth="1"/>
    <col min="4" max="5" width="6.140625" customWidth="1"/>
  </cols>
  <sheetData>
    <row r="1" spans="1:4" ht="18.75" x14ac:dyDescent="0.3">
      <c r="A1" s="157" t="s">
        <v>362</v>
      </c>
      <c r="B1" s="158"/>
      <c r="C1" s="113" t="s">
        <v>347</v>
      </c>
    </row>
    <row r="2" spans="1:4" x14ac:dyDescent="0.25">
      <c r="A2" s="159" t="s">
        <v>366</v>
      </c>
      <c r="B2" s="159"/>
      <c r="C2" s="111">
        <v>10000</v>
      </c>
    </row>
    <row r="3" spans="1:4" x14ac:dyDescent="0.25">
      <c r="A3" s="159" t="s">
        <v>348</v>
      </c>
      <c r="B3" s="159"/>
      <c r="C3" s="111">
        <v>21936</v>
      </c>
    </row>
    <row r="4" spans="1:4" x14ac:dyDescent="0.25">
      <c r="A4" s="159" t="s">
        <v>353</v>
      </c>
      <c r="B4" s="159"/>
      <c r="C4" s="110"/>
    </row>
    <row r="5" spans="1:4" x14ac:dyDescent="0.25">
      <c r="A5" s="159" t="s">
        <v>367</v>
      </c>
      <c r="B5" s="159"/>
      <c r="C5" s="49">
        <v>48</v>
      </c>
    </row>
    <row r="6" spans="1:4" x14ac:dyDescent="0.25">
      <c r="A6" s="159" t="s">
        <v>350</v>
      </c>
      <c r="B6" s="159"/>
      <c r="C6" s="111">
        <f>C3/C5</f>
        <v>457</v>
      </c>
    </row>
    <row r="7" spans="1:4" x14ac:dyDescent="0.25">
      <c r="A7" s="159" t="s">
        <v>115</v>
      </c>
      <c r="B7" s="159"/>
      <c r="C7" s="111">
        <f>SUM(C2:C3)</f>
        <v>31936</v>
      </c>
    </row>
    <row r="8" spans="1:4" x14ac:dyDescent="0.25">
      <c r="A8" s="159" t="s">
        <v>349</v>
      </c>
      <c r="B8" s="159"/>
      <c r="C8" s="112">
        <v>43311</v>
      </c>
    </row>
    <row r="9" spans="1:4" x14ac:dyDescent="0.25">
      <c r="A9" s="159" t="s">
        <v>114</v>
      </c>
      <c r="B9" s="159"/>
      <c r="C9" s="49" t="s">
        <v>363</v>
      </c>
    </row>
    <row r="10" spans="1:4" x14ac:dyDescent="0.25">
      <c r="A10" s="159" t="s">
        <v>351</v>
      </c>
      <c r="B10" s="159"/>
      <c r="C10" s="49" t="s">
        <v>364</v>
      </c>
    </row>
    <row r="11" spans="1:4" ht="15.75" thickBot="1" x14ac:dyDescent="0.3"/>
    <row r="12" spans="1:4" ht="15.75" thickBot="1" x14ac:dyDescent="0.3">
      <c r="A12" s="114" t="s">
        <v>355</v>
      </c>
      <c r="B12" s="114" t="s">
        <v>356</v>
      </c>
      <c r="C12" s="114" t="s">
        <v>357</v>
      </c>
    </row>
    <row r="13" spans="1:4" x14ac:dyDescent="0.25">
      <c r="A13" s="116">
        <v>1</v>
      </c>
      <c r="B13" s="118">
        <v>43342</v>
      </c>
      <c r="C13" s="122">
        <v>457</v>
      </c>
      <c r="D13" t="s">
        <v>365</v>
      </c>
    </row>
    <row r="14" spans="1:4" x14ac:dyDescent="0.25">
      <c r="A14" s="116">
        <v>2</v>
      </c>
      <c r="B14" s="118">
        <f>B13+31</f>
        <v>43373</v>
      </c>
      <c r="C14" s="122">
        <v>457</v>
      </c>
      <c r="D14" t="s">
        <v>365</v>
      </c>
    </row>
    <row r="15" spans="1:4" x14ac:dyDescent="0.25">
      <c r="A15" s="116">
        <v>3</v>
      </c>
      <c r="B15" s="118">
        <f t="shared" ref="B15:B60" si="0">B14+31</f>
        <v>43404</v>
      </c>
      <c r="C15" s="122">
        <v>457</v>
      </c>
      <c r="D15" t="s">
        <v>365</v>
      </c>
    </row>
    <row r="16" spans="1:4" x14ac:dyDescent="0.25">
      <c r="A16" s="116">
        <v>4</v>
      </c>
      <c r="B16" s="118">
        <f>B15+30</f>
        <v>43434</v>
      </c>
      <c r="C16" s="122">
        <v>457</v>
      </c>
      <c r="D16" t="s">
        <v>365</v>
      </c>
    </row>
    <row r="17" spans="1:4" x14ac:dyDescent="0.25">
      <c r="A17" s="116">
        <v>5</v>
      </c>
      <c r="B17" s="118">
        <f t="shared" si="0"/>
        <v>43465</v>
      </c>
      <c r="C17" s="122">
        <v>457</v>
      </c>
      <c r="D17" t="s">
        <v>365</v>
      </c>
    </row>
    <row r="18" spans="1:4" x14ac:dyDescent="0.25">
      <c r="A18" s="116">
        <v>6</v>
      </c>
      <c r="B18" s="118">
        <f t="shared" si="0"/>
        <v>43496</v>
      </c>
      <c r="C18" s="122">
        <v>457</v>
      </c>
      <c r="D18" t="s">
        <v>365</v>
      </c>
    </row>
    <row r="19" spans="1:4" x14ac:dyDescent="0.25">
      <c r="A19" s="116">
        <v>7</v>
      </c>
      <c r="B19" s="118">
        <f>B18+28</f>
        <v>43524</v>
      </c>
      <c r="C19" s="122">
        <v>457</v>
      </c>
      <c r="D19" t="s">
        <v>365</v>
      </c>
    </row>
    <row r="20" spans="1:4" x14ac:dyDescent="0.25">
      <c r="A20" s="116">
        <v>8</v>
      </c>
      <c r="B20" s="118">
        <f>B19+31</f>
        <v>43555</v>
      </c>
      <c r="C20" s="122">
        <v>457</v>
      </c>
      <c r="D20" t="s">
        <v>365</v>
      </c>
    </row>
    <row r="21" spans="1:4" x14ac:dyDescent="0.25">
      <c r="A21" s="116">
        <v>9</v>
      </c>
      <c r="B21" s="118">
        <f>B20+30</f>
        <v>43585</v>
      </c>
      <c r="C21" s="122">
        <v>457</v>
      </c>
      <c r="D21" t="s">
        <v>365</v>
      </c>
    </row>
    <row r="22" spans="1:4" x14ac:dyDescent="0.25">
      <c r="A22" s="116">
        <v>10</v>
      </c>
      <c r="B22" s="118">
        <f>B21+31</f>
        <v>43616</v>
      </c>
      <c r="C22" s="122">
        <v>457</v>
      </c>
      <c r="D22" t="s">
        <v>365</v>
      </c>
    </row>
    <row r="23" spans="1:4" x14ac:dyDescent="0.25">
      <c r="A23" s="116">
        <v>11</v>
      </c>
      <c r="B23" s="118">
        <f>B22+30</f>
        <v>43646</v>
      </c>
      <c r="C23" s="122">
        <v>457</v>
      </c>
      <c r="D23" t="s">
        <v>365</v>
      </c>
    </row>
    <row r="24" spans="1:4" x14ac:dyDescent="0.25">
      <c r="A24" s="116">
        <v>12</v>
      </c>
      <c r="B24" s="118">
        <f>B23+31</f>
        <v>43677</v>
      </c>
      <c r="C24" s="122">
        <v>457</v>
      </c>
      <c r="D24" t="s">
        <v>365</v>
      </c>
    </row>
    <row r="25" spans="1:4" x14ac:dyDescent="0.25">
      <c r="A25" s="116">
        <v>13</v>
      </c>
      <c r="B25" s="118">
        <f t="shared" si="0"/>
        <v>43708</v>
      </c>
      <c r="C25" s="122">
        <v>457</v>
      </c>
      <c r="D25" t="s">
        <v>365</v>
      </c>
    </row>
    <row r="26" spans="1:4" x14ac:dyDescent="0.25">
      <c r="A26" s="116">
        <v>14</v>
      </c>
      <c r="B26" s="118">
        <f>B25+30</f>
        <v>43738</v>
      </c>
      <c r="C26" s="122">
        <v>457</v>
      </c>
      <c r="D26" t="s">
        <v>365</v>
      </c>
    </row>
    <row r="27" spans="1:4" x14ac:dyDescent="0.25">
      <c r="A27" s="116">
        <v>15</v>
      </c>
      <c r="B27" s="118">
        <f t="shared" si="0"/>
        <v>43769</v>
      </c>
      <c r="C27" s="122">
        <v>457</v>
      </c>
    </row>
    <row r="28" spans="1:4" x14ac:dyDescent="0.25">
      <c r="A28" s="116">
        <v>16</v>
      </c>
      <c r="B28" s="118">
        <f>B27+30</f>
        <v>43799</v>
      </c>
      <c r="C28" s="122">
        <v>457</v>
      </c>
    </row>
    <row r="29" spans="1:4" x14ac:dyDescent="0.25">
      <c r="A29" s="116">
        <v>17</v>
      </c>
      <c r="B29" s="118">
        <f t="shared" si="0"/>
        <v>43830</v>
      </c>
      <c r="C29" s="122">
        <v>457</v>
      </c>
    </row>
    <row r="30" spans="1:4" x14ac:dyDescent="0.25">
      <c r="A30" s="116">
        <v>18</v>
      </c>
      <c r="B30" s="118">
        <f>B29+31</f>
        <v>43861</v>
      </c>
      <c r="C30" s="122">
        <v>457</v>
      </c>
    </row>
    <row r="31" spans="1:4" x14ac:dyDescent="0.25">
      <c r="A31" s="116">
        <v>19</v>
      </c>
      <c r="B31" s="118">
        <f>B30+29</f>
        <v>43890</v>
      </c>
      <c r="C31" s="122">
        <v>457</v>
      </c>
    </row>
    <row r="32" spans="1:4" x14ac:dyDescent="0.25">
      <c r="A32" s="116">
        <v>20</v>
      </c>
      <c r="B32" s="118">
        <f>B31+31</f>
        <v>43921</v>
      </c>
      <c r="C32" s="122">
        <v>457</v>
      </c>
    </row>
    <row r="33" spans="1:3" x14ac:dyDescent="0.25">
      <c r="A33" s="116">
        <v>21</v>
      </c>
      <c r="B33" s="118">
        <f>B32+30</f>
        <v>43951</v>
      </c>
      <c r="C33" s="122">
        <v>457</v>
      </c>
    </row>
    <row r="34" spans="1:3" x14ac:dyDescent="0.25">
      <c r="A34" s="116">
        <v>22</v>
      </c>
      <c r="B34" s="118">
        <f t="shared" si="0"/>
        <v>43982</v>
      </c>
      <c r="C34" s="122">
        <v>457</v>
      </c>
    </row>
    <row r="35" spans="1:3" x14ac:dyDescent="0.25">
      <c r="A35" s="116">
        <v>23</v>
      </c>
      <c r="B35" s="118">
        <f>B34+30</f>
        <v>44012</v>
      </c>
      <c r="C35" s="122">
        <v>457</v>
      </c>
    </row>
    <row r="36" spans="1:3" x14ac:dyDescent="0.25">
      <c r="A36" s="116">
        <v>24</v>
      </c>
      <c r="B36" s="118">
        <f t="shared" si="0"/>
        <v>44043</v>
      </c>
      <c r="C36" s="122">
        <v>457</v>
      </c>
    </row>
    <row r="37" spans="1:3" x14ac:dyDescent="0.25">
      <c r="A37" s="116">
        <v>25</v>
      </c>
      <c r="B37" s="118">
        <f t="shared" si="0"/>
        <v>44074</v>
      </c>
      <c r="C37" s="122">
        <v>457</v>
      </c>
    </row>
    <row r="38" spans="1:3" x14ac:dyDescent="0.25">
      <c r="A38" s="116">
        <v>26</v>
      </c>
      <c r="B38" s="118">
        <f>B37+30</f>
        <v>44104</v>
      </c>
      <c r="C38" s="122">
        <v>457</v>
      </c>
    </row>
    <row r="39" spans="1:3" x14ac:dyDescent="0.25">
      <c r="A39" s="116">
        <v>27</v>
      </c>
      <c r="B39" s="118">
        <f t="shared" si="0"/>
        <v>44135</v>
      </c>
      <c r="C39" s="122">
        <v>457</v>
      </c>
    </row>
    <row r="40" spans="1:3" x14ac:dyDescent="0.25">
      <c r="A40" s="116">
        <v>28</v>
      </c>
      <c r="B40" s="118">
        <f>B39+30</f>
        <v>44165</v>
      </c>
      <c r="C40" s="122">
        <v>457</v>
      </c>
    </row>
    <row r="41" spans="1:3" x14ac:dyDescent="0.25">
      <c r="A41" s="116">
        <v>29</v>
      </c>
      <c r="B41" s="118">
        <f t="shared" si="0"/>
        <v>44196</v>
      </c>
      <c r="C41" s="122">
        <v>457</v>
      </c>
    </row>
    <row r="42" spans="1:3" x14ac:dyDescent="0.25">
      <c r="A42" s="116">
        <v>30</v>
      </c>
      <c r="B42" s="118">
        <f t="shared" si="0"/>
        <v>44227</v>
      </c>
      <c r="C42" s="122">
        <v>457</v>
      </c>
    </row>
    <row r="43" spans="1:3" x14ac:dyDescent="0.25">
      <c r="A43" s="116">
        <v>31</v>
      </c>
      <c r="B43" s="118">
        <f>B42+28</f>
        <v>44255</v>
      </c>
      <c r="C43" s="122">
        <v>457</v>
      </c>
    </row>
    <row r="44" spans="1:3" x14ac:dyDescent="0.25">
      <c r="A44" s="116">
        <v>32</v>
      </c>
      <c r="B44" s="118">
        <f t="shared" si="0"/>
        <v>44286</v>
      </c>
      <c r="C44" s="122">
        <v>457</v>
      </c>
    </row>
    <row r="45" spans="1:3" x14ac:dyDescent="0.25">
      <c r="A45" s="116">
        <v>33</v>
      </c>
      <c r="B45" s="118">
        <f>B44+30</f>
        <v>44316</v>
      </c>
      <c r="C45" s="122">
        <v>457</v>
      </c>
    </row>
    <row r="46" spans="1:3" x14ac:dyDescent="0.25">
      <c r="A46" s="116">
        <v>34</v>
      </c>
      <c r="B46" s="118">
        <f t="shared" si="0"/>
        <v>44347</v>
      </c>
      <c r="C46" s="122">
        <v>457</v>
      </c>
    </row>
    <row r="47" spans="1:3" x14ac:dyDescent="0.25">
      <c r="A47" s="116">
        <v>35</v>
      </c>
      <c r="B47" s="118">
        <f>B46+30</f>
        <v>44377</v>
      </c>
      <c r="C47" s="122">
        <v>457</v>
      </c>
    </row>
    <row r="48" spans="1:3" x14ac:dyDescent="0.25">
      <c r="A48" s="116">
        <v>36</v>
      </c>
      <c r="B48" s="118">
        <f t="shared" si="0"/>
        <v>44408</v>
      </c>
      <c r="C48" s="122">
        <v>457</v>
      </c>
    </row>
    <row r="49" spans="1:3" x14ac:dyDescent="0.25">
      <c r="A49" s="116">
        <v>37</v>
      </c>
      <c r="B49" s="118">
        <f t="shared" si="0"/>
        <v>44439</v>
      </c>
      <c r="C49" s="122">
        <v>457</v>
      </c>
    </row>
    <row r="50" spans="1:3" x14ac:dyDescent="0.25">
      <c r="A50" s="116">
        <v>38</v>
      </c>
      <c r="B50" s="118">
        <f>B49+30</f>
        <v>44469</v>
      </c>
      <c r="C50" s="122">
        <v>457</v>
      </c>
    </row>
    <row r="51" spans="1:3" x14ac:dyDescent="0.25">
      <c r="A51" s="116">
        <v>39</v>
      </c>
      <c r="B51" s="118">
        <f t="shared" si="0"/>
        <v>44500</v>
      </c>
      <c r="C51" s="122">
        <v>457</v>
      </c>
    </row>
    <row r="52" spans="1:3" x14ac:dyDescent="0.25">
      <c r="A52" s="116">
        <v>40</v>
      </c>
      <c r="B52" s="118">
        <f>B51+30</f>
        <v>44530</v>
      </c>
      <c r="C52" s="122">
        <v>457</v>
      </c>
    </row>
    <row r="53" spans="1:3" x14ac:dyDescent="0.25">
      <c r="A53" s="116">
        <v>41</v>
      </c>
      <c r="B53" s="118">
        <f t="shared" si="0"/>
        <v>44561</v>
      </c>
      <c r="C53" s="122">
        <v>457</v>
      </c>
    </row>
    <row r="54" spans="1:3" x14ac:dyDescent="0.25">
      <c r="A54" s="116">
        <v>42</v>
      </c>
      <c r="B54" s="118">
        <f t="shared" si="0"/>
        <v>44592</v>
      </c>
      <c r="C54" s="122">
        <v>457</v>
      </c>
    </row>
    <row r="55" spans="1:3" x14ac:dyDescent="0.25">
      <c r="A55" s="116">
        <v>43</v>
      </c>
      <c r="B55" s="118">
        <f>B54+28</f>
        <v>44620</v>
      </c>
      <c r="C55" s="122">
        <v>457</v>
      </c>
    </row>
    <row r="56" spans="1:3" x14ac:dyDescent="0.25">
      <c r="A56" s="116">
        <v>44</v>
      </c>
      <c r="B56" s="118">
        <f t="shared" si="0"/>
        <v>44651</v>
      </c>
      <c r="C56" s="122">
        <v>457</v>
      </c>
    </row>
    <row r="57" spans="1:3" x14ac:dyDescent="0.25">
      <c r="A57" s="116">
        <v>45</v>
      </c>
      <c r="B57" s="118">
        <f>B56+30</f>
        <v>44681</v>
      </c>
      <c r="C57" s="122">
        <v>457</v>
      </c>
    </row>
    <row r="58" spans="1:3" x14ac:dyDescent="0.25">
      <c r="A58" s="116">
        <v>46</v>
      </c>
      <c r="B58" s="118">
        <f t="shared" si="0"/>
        <v>44712</v>
      </c>
      <c r="C58" s="122">
        <v>457</v>
      </c>
    </row>
    <row r="59" spans="1:3" x14ac:dyDescent="0.25">
      <c r="A59" s="116">
        <v>47</v>
      </c>
      <c r="B59" s="118">
        <f>B58+30</f>
        <v>44742</v>
      </c>
      <c r="C59" s="122">
        <v>457</v>
      </c>
    </row>
    <row r="60" spans="1:3" ht="15.75" thickBot="1" x14ac:dyDescent="0.3">
      <c r="A60" s="117">
        <v>48</v>
      </c>
      <c r="B60" s="119">
        <f t="shared" si="0"/>
        <v>44773</v>
      </c>
      <c r="C60" s="123">
        <v>457</v>
      </c>
    </row>
  </sheetData>
  <mergeCells count="10">
    <mergeCell ref="A4:B4"/>
    <mergeCell ref="A5:B5"/>
    <mergeCell ref="A1:B1"/>
    <mergeCell ref="A3:B3"/>
    <mergeCell ref="A2:B2"/>
    <mergeCell ref="A10:B10"/>
    <mergeCell ref="A8:B8"/>
    <mergeCell ref="A9:B9"/>
    <mergeCell ref="A6:B6"/>
    <mergeCell ref="A7:B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3"/>
  <sheetViews>
    <sheetView showGridLines="0" topLeftCell="E1" workbookViewId="0">
      <selection activeCell="F20" sqref="F20"/>
    </sheetView>
  </sheetViews>
  <sheetFormatPr defaultRowHeight="15" x14ac:dyDescent="0.25"/>
  <cols>
    <col min="1" max="1" width="5.28515625" customWidth="1"/>
    <col min="2" max="2" width="20.42578125" customWidth="1"/>
    <col min="3" max="3" width="15.28515625" bestFit="1" customWidth="1"/>
    <col min="4" max="4" width="7.5703125" bestFit="1" customWidth="1"/>
    <col min="5" max="5" width="5.28515625" customWidth="1"/>
    <col min="6" max="6" width="20.42578125" customWidth="1"/>
    <col min="7" max="7" width="15.28515625" bestFit="1" customWidth="1"/>
    <col min="8" max="8" width="6.140625" customWidth="1"/>
    <col min="9" max="9" width="5.28515625" customWidth="1"/>
    <col min="10" max="10" width="20.42578125" customWidth="1"/>
    <col min="11" max="11" width="15.28515625" bestFit="1" customWidth="1"/>
    <col min="12" max="12" width="6.140625" customWidth="1"/>
  </cols>
  <sheetData>
    <row r="1" spans="1:11" ht="18.75" x14ac:dyDescent="0.3">
      <c r="A1" s="157" t="s">
        <v>354</v>
      </c>
      <c r="B1" s="158"/>
      <c r="C1" s="113" t="s">
        <v>347</v>
      </c>
      <c r="E1" s="157" t="s">
        <v>359</v>
      </c>
      <c r="F1" s="158"/>
      <c r="G1" s="113" t="s">
        <v>347</v>
      </c>
      <c r="I1" s="157" t="s">
        <v>360</v>
      </c>
      <c r="J1" s="158"/>
      <c r="K1" s="113" t="s">
        <v>347</v>
      </c>
    </row>
    <row r="2" spans="1:11" x14ac:dyDescent="0.25">
      <c r="A2" s="159" t="s">
        <v>348</v>
      </c>
      <c r="B2" s="159"/>
      <c r="C2" s="109">
        <v>2000</v>
      </c>
      <c r="E2" s="159" t="s">
        <v>348</v>
      </c>
      <c r="F2" s="159"/>
      <c r="G2" s="109">
        <v>2001</v>
      </c>
      <c r="I2" s="159" t="s">
        <v>348</v>
      </c>
      <c r="J2" s="159"/>
      <c r="K2" s="109">
        <v>700</v>
      </c>
    </row>
    <row r="3" spans="1:11" x14ac:dyDescent="0.25">
      <c r="A3" s="159" t="s">
        <v>353</v>
      </c>
      <c r="B3" s="159"/>
      <c r="C3" s="110"/>
      <c r="E3" s="159" t="s">
        <v>353</v>
      </c>
      <c r="F3" s="159"/>
      <c r="G3" s="110"/>
      <c r="I3" s="159" t="s">
        <v>353</v>
      </c>
      <c r="J3" s="159"/>
      <c r="K3" s="110"/>
    </row>
    <row r="4" spans="1:11" x14ac:dyDescent="0.25">
      <c r="A4" s="159" t="s">
        <v>358</v>
      </c>
      <c r="B4" s="159"/>
      <c r="C4" s="49">
        <v>7</v>
      </c>
      <c r="E4" s="159" t="s">
        <v>358</v>
      </c>
      <c r="F4" s="159"/>
      <c r="G4" s="49">
        <v>6</v>
      </c>
      <c r="I4" s="159" t="s">
        <v>358</v>
      </c>
      <c r="J4" s="159"/>
      <c r="K4" s="49">
        <v>1</v>
      </c>
    </row>
    <row r="5" spans="1:11" x14ac:dyDescent="0.25">
      <c r="A5" s="159" t="s">
        <v>350</v>
      </c>
      <c r="B5" s="159"/>
      <c r="C5" s="111">
        <v>405.86</v>
      </c>
      <c r="E5" s="159" t="s">
        <v>350</v>
      </c>
      <c r="F5" s="159"/>
      <c r="G5" s="120">
        <v>222.23500000000001</v>
      </c>
      <c r="I5" s="159" t="s">
        <v>350</v>
      </c>
      <c r="J5" s="159"/>
      <c r="K5" s="120">
        <v>700</v>
      </c>
    </row>
    <row r="6" spans="1:11" x14ac:dyDescent="0.25">
      <c r="A6" s="159" t="s">
        <v>115</v>
      </c>
      <c r="B6" s="159"/>
      <c r="C6" s="111">
        <f>C4*C5</f>
        <v>2841.02</v>
      </c>
      <c r="E6" s="159" t="s">
        <v>115</v>
      </c>
      <c r="F6" s="159"/>
      <c r="G6" s="111">
        <f>G4*G5</f>
        <v>1333.41</v>
      </c>
      <c r="I6" s="159" t="s">
        <v>115</v>
      </c>
      <c r="J6" s="159"/>
      <c r="K6" s="111">
        <f>K4*K5</f>
        <v>700</v>
      </c>
    </row>
    <row r="7" spans="1:11" x14ac:dyDescent="0.25">
      <c r="A7" s="159" t="s">
        <v>349</v>
      </c>
      <c r="B7" s="159"/>
      <c r="C7" s="112">
        <v>43678</v>
      </c>
      <c r="E7" s="159" t="s">
        <v>349</v>
      </c>
      <c r="F7" s="159"/>
      <c r="G7" s="112">
        <v>43678</v>
      </c>
      <c r="I7" s="159" t="s">
        <v>349</v>
      </c>
      <c r="J7" s="159"/>
      <c r="K7" s="112"/>
    </row>
    <row r="8" spans="1:11" x14ac:dyDescent="0.25">
      <c r="A8" s="159" t="s">
        <v>114</v>
      </c>
      <c r="B8" s="159"/>
      <c r="C8" s="49" t="s">
        <v>116</v>
      </c>
      <c r="E8" s="159" t="s">
        <v>114</v>
      </c>
      <c r="F8" s="159"/>
      <c r="G8" s="49" t="s">
        <v>116</v>
      </c>
      <c r="I8" s="159" t="s">
        <v>114</v>
      </c>
      <c r="J8" s="159"/>
      <c r="K8" s="49" t="s">
        <v>116</v>
      </c>
    </row>
    <row r="9" spans="1:11" x14ac:dyDescent="0.25">
      <c r="A9" s="159" t="s">
        <v>351</v>
      </c>
      <c r="B9" s="159"/>
      <c r="C9" s="49" t="s">
        <v>352</v>
      </c>
      <c r="E9" s="159" t="s">
        <v>351</v>
      </c>
      <c r="F9" s="159"/>
      <c r="G9" s="49" t="s">
        <v>352</v>
      </c>
      <c r="I9" s="159" t="s">
        <v>351</v>
      </c>
      <c r="J9" s="159"/>
      <c r="K9" s="49" t="s">
        <v>361</v>
      </c>
    </row>
    <row r="10" spans="1:11" ht="15.75" thickBot="1" x14ac:dyDescent="0.3"/>
    <row r="11" spans="1:11" ht="15.75" thickBot="1" x14ac:dyDescent="0.3">
      <c r="A11" s="114" t="s">
        <v>355</v>
      </c>
      <c r="B11" s="114" t="s">
        <v>356</v>
      </c>
      <c r="C11" s="114" t="s">
        <v>357</v>
      </c>
      <c r="E11" s="114" t="s">
        <v>355</v>
      </c>
      <c r="F11" s="114" t="s">
        <v>356</v>
      </c>
      <c r="G11" s="114" t="s">
        <v>357</v>
      </c>
      <c r="I11" s="114" t="s">
        <v>355</v>
      </c>
      <c r="J11" s="114" t="s">
        <v>356</v>
      </c>
      <c r="K11" s="114" t="s">
        <v>357</v>
      </c>
    </row>
    <row r="12" spans="1:11" x14ac:dyDescent="0.25">
      <c r="A12" s="115">
        <v>1</v>
      </c>
      <c r="B12" s="118">
        <v>43718</v>
      </c>
      <c r="C12" s="115">
        <v>405.86</v>
      </c>
      <c r="E12" s="115">
        <v>1</v>
      </c>
      <c r="F12" s="118">
        <v>43718</v>
      </c>
      <c r="G12" s="121">
        <v>222.23500000000001</v>
      </c>
      <c r="I12" s="115">
        <v>1</v>
      </c>
      <c r="J12" s="118">
        <v>43718</v>
      </c>
      <c r="K12" s="121">
        <v>700</v>
      </c>
    </row>
    <row r="13" spans="1:11" x14ac:dyDescent="0.25">
      <c r="A13" s="116">
        <v>2</v>
      </c>
      <c r="B13" s="118">
        <v>43748</v>
      </c>
      <c r="C13" s="116">
        <v>405.86</v>
      </c>
      <c r="E13" s="116">
        <v>2</v>
      </c>
      <c r="F13" s="118">
        <v>43748</v>
      </c>
      <c r="G13" s="122">
        <v>222.23500000000001</v>
      </c>
      <c r="I13" s="116">
        <v>2</v>
      </c>
      <c r="J13" s="118">
        <v>43748</v>
      </c>
      <c r="K13" s="122">
        <v>700</v>
      </c>
    </row>
    <row r="14" spans="1:11" x14ac:dyDescent="0.25">
      <c r="A14" s="116">
        <v>3</v>
      </c>
      <c r="B14" s="118">
        <v>43779</v>
      </c>
      <c r="C14" s="116">
        <v>405.86</v>
      </c>
      <c r="E14" s="116">
        <v>3</v>
      </c>
      <c r="F14" s="118">
        <v>43779</v>
      </c>
      <c r="G14" s="122">
        <v>222.23500000000001</v>
      </c>
      <c r="I14" s="116">
        <v>3</v>
      </c>
      <c r="J14" s="118">
        <v>43779</v>
      </c>
      <c r="K14" s="122">
        <v>700</v>
      </c>
    </row>
    <row r="15" spans="1:11" x14ac:dyDescent="0.25">
      <c r="A15" s="116">
        <v>4</v>
      </c>
      <c r="B15" s="118">
        <v>43809</v>
      </c>
      <c r="C15" s="116">
        <v>405.86</v>
      </c>
      <c r="E15" s="116">
        <v>4</v>
      </c>
      <c r="F15" s="118">
        <v>43809</v>
      </c>
      <c r="G15" s="122">
        <v>222.23500000000001</v>
      </c>
      <c r="I15" s="116">
        <v>4</v>
      </c>
      <c r="J15" s="118">
        <v>43809</v>
      </c>
      <c r="K15" s="122">
        <v>700</v>
      </c>
    </row>
    <row r="16" spans="1:11" x14ac:dyDescent="0.25">
      <c r="A16" s="116">
        <v>5</v>
      </c>
      <c r="B16" s="118">
        <v>43840</v>
      </c>
      <c r="C16" s="116">
        <v>405.86</v>
      </c>
      <c r="E16" s="116">
        <v>5</v>
      </c>
      <c r="F16" s="118">
        <v>43840</v>
      </c>
      <c r="G16" s="122">
        <v>222.23500000000001</v>
      </c>
      <c r="I16" s="116">
        <v>5</v>
      </c>
      <c r="J16" s="118">
        <v>43840</v>
      </c>
      <c r="K16" s="122">
        <v>700</v>
      </c>
    </row>
    <row r="17" spans="1:11" ht="15.75" thickBot="1" x14ac:dyDescent="0.3">
      <c r="A17" s="116">
        <v>6</v>
      </c>
      <c r="B17" s="118">
        <v>43871</v>
      </c>
      <c r="C17" s="116">
        <v>405.86</v>
      </c>
      <c r="E17" s="117">
        <v>6</v>
      </c>
      <c r="F17" s="119">
        <v>43871</v>
      </c>
      <c r="G17" s="123">
        <v>222.23500000000001</v>
      </c>
      <c r="I17" s="116">
        <v>6</v>
      </c>
      <c r="J17" s="118">
        <v>43871</v>
      </c>
      <c r="K17" s="122">
        <v>700</v>
      </c>
    </row>
    <row r="18" spans="1:11" ht="15.75" thickBot="1" x14ac:dyDescent="0.3">
      <c r="A18" s="117">
        <v>7</v>
      </c>
      <c r="B18" s="119">
        <v>43900</v>
      </c>
      <c r="C18" s="117">
        <v>405.86</v>
      </c>
      <c r="I18" s="117">
        <v>7</v>
      </c>
      <c r="J18" s="119">
        <v>43900</v>
      </c>
      <c r="K18" s="123">
        <v>700</v>
      </c>
    </row>
    <row r="20" spans="1:11" x14ac:dyDescent="0.25">
      <c r="B20" s="126">
        <v>43739</v>
      </c>
      <c r="C20" s="126">
        <v>43770</v>
      </c>
      <c r="D20" s="126">
        <v>43800</v>
      </c>
    </row>
    <row r="21" spans="1:11" x14ac:dyDescent="0.25">
      <c r="A21" s="125"/>
      <c r="B21" s="127">
        <f>SUM(C13,G13,K13)</f>
        <v>1328.095</v>
      </c>
      <c r="C21" s="127">
        <f>SUM(C14,G14,K14)</f>
        <v>1328.095</v>
      </c>
      <c r="D21" s="127">
        <f>SUM(C15,G15,K15)</f>
        <v>1328.095</v>
      </c>
    </row>
    <row r="22" spans="1:11" x14ac:dyDescent="0.25">
      <c r="A22" s="125"/>
      <c r="B22" s="125"/>
    </row>
    <row r="23" spans="1:11" x14ac:dyDescent="0.25">
      <c r="A23" s="125"/>
      <c r="B23" s="125"/>
    </row>
  </sheetData>
  <mergeCells count="27">
    <mergeCell ref="I8:J8"/>
    <mergeCell ref="I9:J9"/>
    <mergeCell ref="E7:F7"/>
    <mergeCell ref="E8:F8"/>
    <mergeCell ref="E9:F9"/>
    <mergeCell ref="I6:J6"/>
    <mergeCell ref="I7:J7"/>
    <mergeCell ref="E1:F1"/>
    <mergeCell ref="E2:F2"/>
    <mergeCell ref="E3:F3"/>
    <mergeCell ref="E4:F4"/>
    <mergeCell ref="E5:F5"/>
    <mergeCell ref="E6:F6"/>
    <mergeCell ref="I1:J1"/>
    <mergeCell ref="I2:J2"/>
    <mergeCell ref="I3:J3"/>
    <mergeCell ref="I4:J4"/>
    <mergeCell ref="I5:J5"/>
    <mergeCell ref="A1:B1"/>
    <mergeCell ref="A9:B9"/>
    <mergeCell ref="A8:B8"/>
    <mergeCell ref="A7:B7"/>
    <mergeCell ref="A6:B6"/>
    <mergeCell ref="A5:B5"/>
    <mergeCell ref="A4:B4"/>
    <mergeCell ref="A3:B3"/>
    <mergeCell ref="A2:B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showGridLines="0"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D13" sqref="AD13"/>
    </sheetView>
  </sheetViews>
  <sheetFormatPr defaultRowHeight="15" x14ac:dyDescent="0.25"/>
  <cols>
    <col min="1" max="1" width="52.28515625" style="5" customWidth="1"/>
    <col min="2" max="10" width="12.7109375" style="5" hidden="1" customWidth="1"/>
    <col min="11" max="14" width="12.7109375" style="5" customWidth="1"/>
    <col min="15" max="27" width="12.7109375" style="5" hidden="1" customWidth="1"/>
    <col min="28" max="16384" width="9.140625" style="5"/>
  </cols>
  <sheetData>
    <row r="1" spans="1:27" x14ac:dyDescent="0.25">
      <c r="A1" s="26" t="s">
        <v>41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27" t="s">
        <v>27</v>
      </c>
      <c r="I1" s="27" t="s">
        <v>28</v>
      </c>
      <c r="J1" s="27" t="s">
        <v>29</v>
      </c>
      <c r="K1" s="27" t="s">
        <v>30</v>
      </c>
      <c r="L1" s="27" t="s">
        <v>31</v>
      </c>
      <c r="M1" s="27" t="s">
        <v>32</v>
      </c>
      <c r="N1" s="27" t="s">
        <v>33</v>
      </c>
      <c r="O1" s="27" t="s">
        <v>21</v>
      </c>
      <c r="P1" s="27" t="s">
        <v>22</v>
      </c>
      <c r="Q1" s="27" t="s">
        <v>23</v>
      </c>
      <c r="R1" s="27" t="s">
        <v>24</v>
      </c>
      <c r="S1" s="27" t="s">
        <v>25</v>
      </c>
      <c r="T1" s="27" t="s">
        <v>26</v>
      </c>
      <c r="U1" s="27" t="s">
        <v>27</v>
      </c>
      <c r="V1" s="27" t="s">
        <v>28</v>
      </c>
      <c r="W1" s="27" t="s">
        <v>29</v>
      </c>
      <c r="X1" s="27" t="s">
        <v>30</v>
      </c>
      <c r="Y1" s="27" t="s">
        <v>31</v>
      </c>
      <c r="Z1" s="27" t="s">
        <v>32</v>
      </c>
      <c r="AA1" s="27" t="s">
        <v>33</v>
      </c>
    </row>
    <row r="2" spans="1:27" x14ac:dyDescent="0.25">
      <c r="A2" s="15" t="s">
        <v>368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f>'PLANO DE SAÚDE'!M9</f>
        <v>1151.5494080000003</v>
      </c>
      <c r="K2" s="16">
        <v>1084.57</v>
      </c>
      <c r="L2" s="16"/>
      <c r="M2" s="16"/>
      <c r="N2" s="15">
        <f t="shared" ref="N2:N8" si="0">SUM(B2:M2)</f>
        <v>2236.1194080000005</v>
      </c>
      <c r="O2" s="16"/>
      <c r="P2" s="16"/>
      <c r="Q2" s="16">
        <v>4000</v>
      </c>
      <c r="R2" s="16">
        <v>4000</v>
      </c>
      <c r="S2" s="16">
        <v>4000</v>
      </c>
      <c r="T2" s="16">
        <v>4000</v>
      </c>
      <c r="U2" s="16">
        <v>4000</v>
      </c>
      <c r="V2" s="16">
        <v>4000</v>
      </c>
      <c r="W2" s="16">
        <v>4000</v>
      </c>
      <c r="X2" s="16">
        <v>4000</v>
      </c>
      <c r="Y2" s="16">
        <v>4000</v>
      </c>
      <c r="Z2" s="16">
        <v>4000</v>
      </c>
      <c r="AA2" s="15">
        <f>SUM(O2:Z2)</f>
        <v>40000</v>
      </c>
    </row>
    <row r="3" spans="1:27" x14ac:dyDescent="0.25">
      <c r="A3" s="15" t="s">
        <v>43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/>
      <c r="L3" s="16">
        <v>0</v>
      </c>
      <c r="M3" s="16">
        <v>0</v>
      </c>
      <c r="N3" s="15">
        <f t="shared" si="0"/>
        <v>0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5"/>
    </row>
    <row r="4" spans="1:27" x14ac:dyDescent="0.25">
      <c r="A4" s="15" t="s">
        <v>44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/>
      <c r="K4" s="16">
        <v>0</v>
      </c>
      <c r="L4" s="16">
        <v>0</v>
      </c>
      <c r="M4" s="16">
        <v>0</v>
      </c>
      <c r="N4" s="15">
        <f t="shared" si="0"/>
        <v>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5">
        <f t="shared" ref="AA4:AA8" si="1">SUM(O4:Z4)</f>
        <v>0</v>
      </c>
    </row>
    <row r="5" spans="1:27" x14ac:dyDescent="0.25">
      <c r="A5" s="15" t="s">
        <v>369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5">
        <f t="shared" si="0"/>
        <v>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5">
        <f t="shared" si="1"/>
        <v>0</v>
      </c>
    </row>
    <row r="6" spans="1:27" x14ac:dyDescent="0.25">
      <c r="A6" s="15" t="s">
        <v>383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1573.69</v>
      </c>
      <c r="K6" s="16">
        <f>55+700</f>
        <v>755</v>
      </c>
      <c r="L6" s="16">
        <v>700</v>
      </c>
      <c r="M6" s="16">
        <v>700</v>
      </c>
      <c r="N6" s="15">
        <f t="shared" si="0"/>
        <v>3728.69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5">
        <f t="shared" si="1"/>
        <v>0</v>
      </c>
    </row>
    <row r="7" spans="1:27" x14ac:dyDescent="0.25">
      <c r="A7" s="15" t="s">
        <v>370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f>650+260</f>
        <v>910</v>
      </c>
      <c r="K7" s="16">
        <f>650</f>
        <v>650</v>
      </c>
      <c r="L7" s="16">
        <f>650</f>
        <v>650</v>
      </c>
      <c r="M7" s="16">
        <f>650</f>
        <v>650</v>
      </c>
      <c r="N7" s="15">
        <f t="shared" si="0"/>
        <v>2860</v>
      </c>
      <c r="O7" s="16">
        <v>650</v>
      </c>
      <c r="P7" s="16">
        <v>650</v>
      </c>
      <c r="Q7" s="16">
        <v>650</v>
      </c>
      <c r="R7" s="16">
        <v>650</v>
      </c>
      <c r="S7" s="16">
        <v>650</v>
      </c>
      <c r="T7" s="16">
        <v>650</v>
      </c>
      <c r="U7" s="16">
        <v>650</v>
      </c>
      <c r="V7" s="16">
        <v>650</v>
      </c>
      <c r="W7" s="16">
        <v>650</v>
      </c>
      <c r="X7" s="16">
        <v>650</v>
      </c>
      <c r="Y7" s="16">
        <v>650</v>
      </c>
      <c r="Z7" s="16">
        <v>650</v>
      </c>
      <c r="AA7" s="15">
        <f t="shared" si="1"/>
        <v>7800</v>
      </c>
    </row>
    <row r="8" spans="1:27" x14ac:dyDescent="0.25">
      <c r="A8" s="15" t="s">
        <v>384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f>377.24</f>
        <v>377.24</v>
      </c>
      <c r="K8" s="16">
        <f>'A RECEBER'!M19</f>
        <v>459.57833333333338</v>
      </c>
      <c r="L8" s="16">
        <f>'A RECEBER'!N19</f>
        <v>325.37833333333333</v>
      </c>
      <c r="M8" s="16">
        <f>'A RECEBER'!O19</f>
        <v>247.63833333333338</v>
      </c>
      <c r="N8" s="15">
        <f t="shared" si="0"/>
        <v>1409.835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5">
        <f t="shared" si="1"/>
        <v>0</v>
      </c>
    </row>
    <row r="9" spans="1:27" x14ac:dyDescent="0.25">
      <c r="A9" s="21" t="s">
        <v>34</v>
      </c>
      <c r="B9" s="22">
        <f>SUM(B2:B8)</f>
        <v>0</v>
      </c>
      <c r="C9" s="22">
        <f t="shared" ref="C9:M9" si="2">SUM(C2:C8)</f>
        <v>0</v>
      </c>
      <c r="D9" s="22">
        <f t="shared" si="2"/>
        <v>0</v>
      </c>
      <c r="E9" s="22">
        <f t="shared" si="2"/>
        <v>0</v>
      </c>
      <c r="F9" s="22">
        <f t="shared" si="2"/>
        <v>0</v>
      </c>
      <c r="G9" s="22">
        <f t="shared" si="2"/>
        <v>0</v>
      </c>
      <c r="H9" s="22">
        <f t="shared" si="2"/>
        <v>0</v>
      </c>
      <c r="I9" s="22">
        <f>SUM(I2:I8)</f>
        <v>0</v>
      </c>
      <c r="J9" s="22">
        <f t="shared" si="2"/>
        <v>4012.4794080000001</v>
      </c>
      <c r="K9" s="22">
        <f>SUM(K2:K8)</f>
        <v>2949.1483333333331</v>
      </c>
      <c r="L9" s="22">
        <f t="shared" si="2"/>
        <v>1675.3783333333333</v>
      </c>
      <c r="M9" s="22">
        <f t="shared" si="2"/>
        <v>1597.6383333333333</v>
      </c>
      <c r="N9" s="22">
        <f>SUM(N2:N8)</f>
        <v>10234.644408</v>
      </c>
      <c r="O9" s="22">
        <f t="shared" ref="O9:AA9" si="3">SUM(O2:O8)</f>
        <v>650</v>
      </c>
      <c r="P9" s="22">
        <f t="shared" si="3"/>
        <v>650</v>
      </c>
      <c r="Q9" s="22">
        <f t="shared" si="3"/>
        <v>4650</v>
      </c>
      <c r="R9" s="22">
        <f t="shared" si="3"/>
        <v>4650</v>
      </c>
      <c r="S9" s="22">
        <f t="shared" si="3"/>
        <v>4650</v>
      </c>
      <c r="T9" s="22">
        <f t="shared" si="3"/>
        <v>4650</v>
      </c>
      <c r="U9" s="22">
        <f t="shared" si="3"/>
        <v>4650</v>
      </c>
      <c r="V9" s="22">
        <f t="shared" si="3"/>
        <v>4650</v>
      </c>
      <c r="W9" s="22">
        <f t="shared" si="3"/>
        <v>4650</v>
      </c>
      <c r="X9" s="22">
        <f t="shared" si="3"/>
        <v>4650</v>
      </c>
      <c r="Y9" s="22">
        <f t="shared" si="3"/>
        <v>4650</v>
      </c>
      <c r="Z9" s="22">
        <f t="shared" si="3"/>
        <v>4650</v>
      </c>
      <c r="AA9" s="22">
        <f t="shared" si="3"/>
        <v>47800</v>
      </c>
    </row>
    <row r="10" spans="1:27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9"/>
    </row>
    <row r="11" spans="1:27" x14ac:dyDescent="0.25">
      <c r="A11" s="26" t="s">
        <v>48</v>
      </c>
      <c r="B11" s="27" t="s">
        <v>21</v>
      </c>
      <c r="C11" s="27" t="s">
        <v>22</v>
      </c>
      <c r="D11" s="27" t="s">
        <v>23</v>
      </c>
      <c r="E11" s="27" t="s">
        <v>24</v>
      </c>
      <c r="F11" s="27" t="s">
        <v>25</v>
      </c>
      <c r="G11" s="27" t="s">
        <v>26</v>
      </c>
      <c r="H11" s="27" t="s">
        <v>27</v>
      </c>
      <c r="I11" s="27" t="s">
        <v>28</v>
      </c>
      <c r="J11" s="27" t="s">
        <v>29</v>
      </c>
      <c r="K11" s="27" t="s">
        <v>30</v>
      </c>
      <c r="L11" s="27" t="s">
        <v>31</v>
      </c>
      <c r="M11" s="27" t="s">
        <v>32</v>
      </c>
      <c r="N11" s="27" t="s">
        <v>33</v>
      </c>
      <c r="O11" s="27" t="s">
        <v>21</v>
      </c>
      <c r="P11" s="27" t="s">
        <v>22</v>
      </c>
      <c r="Q11" s="27" t="s">
        <v>23</v>
      </c>
      <c r="R11" s="27" t="s">
        <v>24</v>
      </c>
      <c r="S11" s="27" t="s">
        <v>25</v>
      </c>
      <c r="T11" s="27" t="s">
        <v>26</v>
      </c>
      <c r="U11" s="27" t="s">
        <v>27</v>
      </c>
      <c r="V11" s="27" t="s">
        <v>28</v>
      </c>
      <c r="W11" s="27" t="s">
        <v>29</v>
      </c>
      <c r="X11" s="27" t="s">
        <v>30</v>
      </c>
      <c r="Y11" s="27" t="s">
        <v>31</v>
      </c>
      <c r="Z11" s="27" t="s">
        <v>32</v>
      </c>
      <c r="AA11" s="27" t="s">
        <v>33</v>
      </c>
    </row>
    <row r="12" spans="1:27" x14ac:dyDescent="0.25">
      <c r="A12" s="21" t="s">
        <v>49</v>
      </c>
      <c r="B12" s="22">
        <f>SUM(B13:B17)</f>
        <v>0</v>
      </c>
      <c r="C12" s="22">
        <f>SUM(C13:C17)</f>
        <v>0</v>
      </c>
      <c r="D12" s="22">
        <f t="shared" ref="D12:M12" si="4">SUM(D13:D17)</f>
        <v>0</v>
      </c>
      <c r="E12" s="22">
        <f t="shared" si="4"/>
        <v>0</v>
      </c>
      <c r="F12" s="22">
        <f t="shared" si="4"/>
        <v>0</v>
      </c>
      <c r="G12" s="22">
        <f t="shared" si="4"/>
        <v>0</v>
      </c>
      <c r="H12" s="22">
        <f t="shared" si="4"/>
        <v>0</v>
      </c>
      <c r="I12" s="22">
        <f t="shared" si="4"/>
        <v>0</v>
      </c>
      <c r="J12" s="22">
        <f t="shared" si="4"/>
        <v>0</v>
      </c>
      <c r="K12" s="22">
        <f t="shared" si="4"/>
        <v>0</v>
      </c>
      <c r="L12" s="22">
        <f t="shared" si="4"/>
        <v>0</v>
      </c>
      <c r="M12" s="22">
        <f t="shared" si="4"/>
        <v>0</v>
      </c>
      <c r="N12" s="23">
        <f t="shared" ref="N12:N17" si="5">SUM(B12:M12)</f>
        <v>0</v>
      </c>
      <c r="O12" s="22">
        <f t="shared" ref="O12:Z12" si="6">SUM(O13:O17)</f>
        <v>0</v>
      </c>
      <c r="P12" s="22">
        <f t="shared" si="6"/>
        <v>0</v>
      </c>
      <c r="Q12" s="22">
        <f t="shared" si="6"/>
        <v>300</v>
      </c>
      <c r="R12" s="22">
        <f t="shared" si="6"/>
        <v>300</v>
      </c>
      <c r="S12" s="22">
        <f t="shared" si="6"/>
        <v>300</v>
      </c>
      <c r="T12" s="22">
        <f t="shared" si="6"/>
        <v>300</v>
      </c>
      <c r="U12" s="22">
        <f t="shared" si="6"/>
        <v>300</v>
      </c>
      <c r="V12" s="22">
        <f t="shared" si="6"/>
        <v>300</v>
      </c>
      <c r="W12" s="22">
        <f t="shared" si="6"/>
        <v>300</v>
      </c>
      <c r="X12" s="22">
        <f t="shared" si="6"/>
        <v>300</v>
      </c>
      <c r="Y12" s="22">
        <f t="shared" si="6"/>
        <v>300</v>
      </c>
      <c r="Z12" s="22">
        <f t="shared" si="6"/>
        <v>300</v>
      </c>
      <c r="AA12" s="23">
        <f>SUM(O12:Z12)</f>
        <v>3000</v>
      </c>
    </row>
    <row r="13" spans="1:27" x14ac:dyDescent="0.25">
      <c r="A13" s="15" t="s">
        <v>50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5">
        <f t="shared" si="5"/>
        <v>0</v>
      </c>
      <c r="O13" s="16"/>
      <c r="P13" s="16"/>
      <c r="Q13" s="16">
        <v>300</v>
      </c>
      <c r="R13" s="16">
        <v>300</v>
      </c>
      <c r="S13" s="16">
        <v>300</v>
      </c>
      <c r="T13" s="16">
        <v>300</v>
      </c>
      <c r="U13" s="16">
        <v>300</v>
      </c>
      <c r="V13" s="16">
        <v>300</v>
      </c>
      <c r="W13" s="16">
        <v>300</v>
      </c>
      <c r="X13" s="16">
        <v>300</v>
      </c>
      <c r="Y13" s="16">
        <v>300</v>
      </c>
      <c r="Z13" s="16">
        <v>300</v>
      </c>
      <c r="AA13" s="15">
        <f>SUM(O13:Z13)</f>
        <v>3000</v>
      </c>
    </row>
    <row r="14" spans="1:27" x14ac:dyDescent="0.25">
      <c r="A14" s="15" t="s">
        <v>51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5">
        <f t="shared" si="5"/>
        <v>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5">
        <f t="shared" ref="AA14:AA73" si="7">SUM(O14:Z14)</f>
        <v>0</v>
      </c>
    </row>
    <row r="15" spans="1:27" x14ac:dyDescent="0.25">
      <c r="A15" s="15" t="s">
        <v>52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5">
        <f t="shared" si="5"/>
        <v>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5">
        <f t="shared" si="7"/>
        <v>0</v>
      </c>
    </row>
    <row r="16" spans="1:27" x14ac:dyDescent="0.25">
      <c r="A16" s="15" t="s">
        <v>53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5">
        <f t="shared" si="5"/>
        <v>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5">
        <f t="shared" si="7"/>
        <v>0</v>
      </c>
    </row>
    <row r="17" spans="1:27" x14ac:dyDescent="0.25">
      <c r="A17" s="15" t="s">
        <v>54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5">
        <f t="shared" si="5"/>
        <v>0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5">
        <f t="shared" si="7"/>
        <v>0</v>
      </c>
    </row>
    <row r="18" spans="1:27" s="20" customFormat="1" x14ac:dyDescent="0.25">
      <c r="A18" s="21" t="s">
        <v>55</v>
      </c>
      <c r="B18" s="22">
        <f>SUM(B19:B30)</f>
        <v>0</v>
      </c>
      <c r="C18" s="22">
        <f t="shared" ref="C18:AA18" si="8">SUM(C19:C30)</f>
        <v>0</v>
      </c>
      <c r="D18" s="22">
        <f t="shared" si="8"/>
        <v>0</v>
      </c>
      <c r="E18" s="22">
        <f t="shared" si="8"/>
        <v>0</v>
      </c>
      <c r="F18" s="22">
        <f t="shared" si="8"/>
        <v>0</v>
      </c>
      <c r="G18" s="22">
        <f t="shared" si="8"/>
        <v>0</v>
      </c>
      <c r="H18" s="22">
        <f t="shared" si="8"/>
        <v>0</v>
      </c>
      <c r="I18" s="22">
        <f t="shared" si="8"/>
        <v>0</v>
      </c>
      <c r="J18" s="22">
        <f t="shared" si="8"/>
        <v>109.99000000000001</v>
      </c>
      <c r="K18" s="22">
        <f t="shared" si="8"/>
        <v>109.99000000000001</v>
      </c>
      <c r="L18" s="22">
        <f t="shared" si="8"/>
        <v>109.99000000000001</v>
      </c>
      <c r="M18" s="22">
        <f t="shared" si="8"/>
        <v>109.99000000000001</v>
      </c>
      <c r="N18" s="22">
        <f t="shared" si="8"/>
        <v>439.96000000000004</v>
      </c>
      <c r="O18" s="22">
        <f t="shared" si="8"/>
        <v>0</v>
      </c>
      <c r="P18" s="22">
        <f t="shared" si="8"/>
        <v>0</v>
      </c>
      <c r="Q18" s="22">
        <f t="shared" si="8"/>
        <v>269.99</v>
      </c>
      <c r="R18" s="22">
        <f t="shared" si="8"/>
        <v>199.99</v>
      </c>
      <c r="S18" s="22">
        <f t="shared" si="8"/>
        <v>199.99</v>
      </c>
      <c r="T18" s="22">
        <f t="shared" si="8"/>
        <v>269.99</v>
      </c>
      <c r="U18" s="22">
        <f t="shared" si="8"/>
        <v>199.99</v>
      </c>
      <c r="V18" s="22">
        <f t="shared" si="8"/>
        <v>199.99</v>
      </c>
      <c r="W18" s="22">
        <f t="shared" si="8"/>
        <v>269.99</v>
      </c>
      <c r="X18" s="22">
        <f t="shared" si="8"/>
        <v>199.99</v>
      </c>
      <c r="Y18" s="22">
        <f t="shared" si="8"/>
        <v>199.99</v>
      </c>
      <c r="Z18" s="22">
        <f t="shared" si="8"/>
        <v>269.99</v>
      </c>
      <c r="AA18" s="22">
        <f t="shared" si="8"/>
        <v>2279.9</v>
      </c>
    </row>
    <row r="19" spans="1:27" x14ac:dyDescent="0.25">
      <c r="A19" s="15" t="s">
        <v>56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5">
        <f t="shared" ref="N19:N30" si="9">SUM(B19:M19)</f>
        <v>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5">
        <f t="shared" si="7"/>
        <v>0</v>
      </c>
    </row>
    <row r="20" spans="1:27" x14ac:dyDescent="0.25">
      <c r="A20" s="15" t="s">
        <v>57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5">
        <f t="shared" si="9"/>
        <v>0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5">
        <f t="shared" si="7"/>
        <v>0</v>
      </c>
    </row>
    <row r="21" spans="1:27" x14ac:dyDescent="0.25">
      <c r="A21" s="15" t="s">
        <v>58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5">
        <f t="shared" si="9"/>
        <v>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5">
        <f t="shared" si="7"/>
        <v>0</v>
      </c>
    </row>
    <row r="22" spans="1:27" x14ac:dyDescent="0.25">
      <c r="A22" s="15" t="s">
        <v>167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5">
        <f t="shared" si="9"/>
        <v>0</v>
      </c>
      <c r="O22" s="16"/>
      <c r="P22" s="16"/>
      <c r="Q22" s="16">
        <v>140</v>
      </c>
      <c r="R22" s="16">
        <v>140</v>
      </c>
      <c r="S22" s="16">
        <v>140</v>
      </c>
      <c r="T22" s="16">
        <v>140</v>
      </c>
      <c r="U22" s="16">
        <v>140</v>
      </c>
      <c r="V22" s="16">
        <v>140</v>
      </c>
      <c r="W22" s="16">
        <v>140</v>
      </c>
      <c r="X22" s="16">
        <v>140</v>
      </c>
      <c r="Y22" s="16">
        <v>140</v>
      </c>
      <c r="Z22" s="16">
        <v>140</v>
      </c>
      <c r="AA22" s="15">
        <f t="shared" si="7"/>
        <v>1400</v>
      </c>
    </row>
    <row r="23" spans="1:27" x14ac:dyDescent="0.25">
      <c r="A23" s="15" t="s">
        <v>59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5">
        <f t="shared" si="9"/>
        <v>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5">
        <f t="shared" si="7"/>
        <v>0</v>
      </c>
    </row>
    <row r="24" spans="1:27" x14ac:dyDescent="0.25">
      <c r="A24" s="15" t="s">
        <v>60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5">
        <f t="shared" si="9"/>
        <v>0</v>
      </c>
      <c r="O24" s="16"/>
      <c r="P24" s="16"/>
      <c r="Q24" s="16">
        <v>70</v>
      </c>
      <c r="R24" s="16"/>
      <c r="S24" s="16"/>
      <c r="T24" s="16">
        <v>70</v>
      </c>
      <c r="U24" s="16"/>
      <c r="V24" s="16"/>
      <c r="W24" s="16">
        <v>70</v>
      </c>
      <c r="X24" s="16"/>
      <c r="Y24" s="16"/>
      <c r="Z24" s="16">
        <v>70</v>
      </c>
      <c r="AA24" s="15">
        <f t="shared" si="7"/>
        <v>280</v>
      </c>
    </row>
    <row r="25" spans="1:27" x14ac:dyDescent="0.25">
      <c r="A25" s="15" t="s">
        <v>61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5">
        <f t="shared" si="9"/>
        <v>0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5">
        <f t="shared" si="7"/>
        <v>0</v>
      </c>
    </row>
    <row r="26" spans="1:27" x14ac:dyDescent="0.25">
      <c r="A26" s="15" t="s">
        <v>62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5">
        <f t="shared" si="9"/>
        <v>0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5">
        <f t="shared" si="7"/>
        <v>0</v>
      </c>
    </row>
    <row r="27" spans="1:27" x14ac:dyDescent="0.25">
      <c r="A27" s="15" t="s">
        <v>63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5">
        <f t="shared" si="9"/>
        <v>0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5">
        <f t="shared" si="7"/>
        <v>0</v>
      </c>
    </row>
    <row r="28" spans="1:27" x14ac:dyDescent="0.25">
      <c r="A28" s="15" t="s">
        <v>64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59.99</v>
      </c>
      <c r="K28" s="16">
        <v>59.99</v>
      </c>
      <c r="L28" s="16">
        <v>59.99</v>
      </c>
      <c r="M28" s="16">
        <v>59.99</v>
      </c>
      <c r="N28" s="15">
        <f t="shared" si="9"/>
        <v>239.96</v>
      </c>
      <c r="O28" s="16"/>
      <c r="P28" s="16"/>
      <c r="Q28" s="16">
        <v>59.99</v>
      </c>
      <c r="R28" s="16">
        <v>59.99</v>
      </c>
      <c r="S28" s="16">
        <v>59.99</v>
      </c>
      <c r="T28" s="16">
        <v>59.99</v>
      </c>
      <c r="U28" s="16">
        <v>59.99</v>
      </c>
      <c r="V28" s="16">
        <v>59.99</v>
      </c>
      <c r="W28" s="16">
        <v>59.99</v>
      </c>
      <c r="X28" s="16">
        <v>59.99</v>
      </c>
      <c r="Y28" s="16">
        <v>59.99</v>
      </c>
      <c r="Z28" s="16">
        <v>59.99</v>
      </c>
      <c r="AA28" s="15">
        <f t="shared" si="7"/>
        <v>599.9</v>
      </c>
    </row>
    <row r="29" spans="1:27" x14ac:dyDescent="0.25">
      <c r="A29" s="15" t="s">
        <v>65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5">
        <f t="shared" si="9"/>
        <v>0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5">
        <f t="shared" si="7"/>
        <v>0</v>
      </c>
    </row>
    <row r="30" spans="1:27" x14ac:dyDescent="0.25">
      <c r="A30" s="15" t="s">
        <v>66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50</v>
      </c>
      <c r="K30" s="16">
        <v>50</v>
      </c>
      <c r="L30" s="16">
        <v>50</v>
      </c>
      <c r="M30" s="16">
        <v>50</v>
      </c>
      <c r="N30" s="15">
        <f t="shared" si="9"/>
        <v>200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5">
        <f t="shared" si="7"/>
        <v>0</v>
      </c>
    </row>
    <row r="31" spans="1:27" s="20" customFormat="1" x14ac:dyDescent="0.25">
      <c r="A31" s="21" t="s">
        <v>67</v>
      </c>
      <c r="B31" s="22">
        <f>SUM(B32:B35)</f>
        <v>0</v>
      </c>
      <c r="C31" s="22">
        <f t="shared" ref="C31:AA31" si="10">SUM(C32:C35)</f>
        <v>0</v>
      </c>
      <c r="D31" s="22">
        <f t="shared" si="10"/>
        <v>0</v>
      </c>
      <c r="E31" s="22">
        <f t="shared" si="10"/>
        <v>0</v>
      </c>
      <c r="F31" s="22">
        <f t="shared" si="10"/>
        <v>0</v>
      </c>
      <c r="G31" s="22">
        <f t="shared" si="10"/>
        <v>0</v>
      </c>
      <c r="H31" s="22">
        <f t="shared" si="10"/>
        <v>0</v>
      </c>
      <c r="I31" s="22">
        <f t="shared" si="10"/>
        <v>0</v>
      </c>
      <c r="J31" s="22">
        <f t="shared" si="10"/>
        <v>0</v>
      </c>
      <c r="K31" s="22">
        <f t="shared" si="10"/>
        <v>0</v>
      </c>
      <c r="L31" s="22">
        <f t="shared" si="10"/>
        <v>0</v>
      </c>
      <c r="M31" s="22">
        <f t="shared" si="10"/>
        <v>0</v>
      </c>
      <c r="N31" s="22">
        <f t="shared" si="10"/>
        <v>0</v>
      </c>
      <c r="O31" s="22">
        <f t="shared" si="10"/>
        <v>0</v>
      </c>
      <c r="P31" s="22">
        <f t="shared" si="10"/>
        <v>0</v>
      </c>
      <c r="Q31" s="22">
        <f t="shared" si="10"/>
        <v>700</v>
      </c>
      <c r="R31" s="22">
        <f t="shared" si="10"/>
        <v>700</v>
      </c>
      <c r="S31" s="22">
        <f t="shared" si="10"/>
        <v>700</v>
      </c>
      <c r="T31" s="22">
        <f t="shared" si="10"/>
        <v>700</v>
      </c>
      <c r="U31" s="22">
        <f t="shared" si="10"/>
        <v>700</v>
      </c>
      <c r="V31" s="22">
        <f t="shared" si="10"/>
        <v>700</v>
      </c>
      <c r="W31" s="22">
        <f t="shared" si="10"/>
        <v>700</v>
      </c>
      <c r="X31" s="22">
        <f t="shared" si="10"/>
        <v>700</v>
      </c>
      <c r="Y31" s="22">
        <f t="shared" si="10"/>
        <v>700</v>
      </c>
      <c r="Z31" s="22">
        <f t="shared" si="10"/>
        <v>700</v>
      </c>
      <c r="AA31" s="22">
        <f t="shared" si="10"/>
        <v>7000</v>
      </c>
    </row>
    <row r="32" spans="1:27" x14ac:dyDescent="0.25">
      <c r="A32" s="15" t="s">
        <v>68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5">
        <f>SUM(B32:M32)</f>
        <v>0</v>
      </c>
      <c r="O32" s="16"/>
      <c r="P32" s="16"/>
      <c r="Q32" s="16">
        <v>700</v>
      </c>
      <c r="R32" s="16">
        <v>700</v>
      </c>
      <c r="S32" s="16">
        <v>700</v>
      </c>
      <c r="T32" s="16">
        <v>700</v>
      </c>
      <c r="U32" s="16">
        <v>700</v>
      </c>
      <c r="V32" s="16">
        <v>700</v>
      </c>
      <c r="W32" s="16">
        <v>700</v>
      </c>
      <c r="X32" s="16">
        <v>700</v>
      </c>
      <c r="Y32" s="16">
        <v>700</v>
      </c>
      <c r="Z32" s="16">
        <v>700</v>
      </c>
      <c r="AA32" s="15">
        <f t="shared" si="7"/>
        <v>7000</v>
      </c>
    </row>
    <row r="33" spans="1:27" x14ac:dyDescent="0.25">
      <c r="A33" s="15" t="s">
        <v>69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5">
        <f>SUM(B33:M33)</f>
        <v>0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5">
        <f t="shared" si="7"/>
        <v>0</v>
      </c>
    </row>
    <row r="34" spans="1:27" x14ac:dyDescent="0.25">
      <c r="A34" s="15" t="s">
        <v>70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5">
        <f>SUM(B34:M34)</f>
        <v>0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5">
        <f t="shared" si="7"/>
        <v>0</v>
      </c>
    </row>
    <row r="35" spans="1:27" x14ac:dyDescent="0.25">
      <c r="A35" s="15" t="s">
        <v>71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5">
        <f>SUM(B35:M35)</f>
        <v>0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5">
        <f t="shared" si="7"/>
        <v>0</v>
      </c>
    </row>
    <row r="36" spans="1:27" s="20" customFormat="1" x14ac:dyDescent="0.25">
      <c r="A36" s="21" t="s">
        <v>77</v>
      </c>
      <c r="B36" s="22">
        <f>SUM(B37:B42)</f>
        <v>0</v>
      </c>
      <c r="C36" s="22">
        <f t="shared" ref="C36:AA36" si="11">SUM(C37:C42)</f>
        <v>0</v>
      </c>
      <c r="D36" s="22">
        <f t="shared" si="11"/>
        <v>0</v>
      </c>
      <c r="E36" s="22">
        <f t="shared" si="11"/>
        <v>0</v>
      </c>
      <c r="F36" s="22">
        <f t="shared" si="11"/>
        <v>0</v>
      </c>
      <c r="G36" s="22">
        <f t="shared" si="11"/>
        <v>0</v>
      </c>
      <c r="H36" s="22">
        <f t="shared" si="11"/>
        <v>0</v>
      </c>
      <c r="I36" s="22">
        <f t="shared" si="11"/>
        <v>0</v>
      </c>
      <c r="J36" s="22">
        <f t="shared" si="11"/>
        <v>0</v>
      </c>
      <c r="K36" s="22">
        <f t="shared" si="11"/>
        <v>0</v>
      </c>
      <c r="L36" s="22">
        <f t="shared" si="11"/>
        <v>50</v>
      </c>
      <c r="M36" s="22">
        <f t="shared" si="11"/>
        <v>50</v>
      </c>
      <c r="N36" s="22">
        <f t="shared" si="11"/>
        <v>100</v>
      </c>
      <c r="O36" s="22">
        <f t="shared" si="11"/>
        <v>119</v>
      </c>
      <c r="P36" s="22">
        <f t="shared" si="11"/>
        <v>119</v>
      </c>
      <c r="Q36" s="22">
        <f t="shared" si="11"/>
        <v>589</v>
      </c>
      <c r="R36" s="22">
        <f t="shared" si="11"/>
        <v>589</v>
      </c>
      <c r="S36" s="22">
        <f t="shared" si="11"/>
        <v>589</v>
      </c>
      <c r="T36" s="22">
        <f t="shared" si="11"/>
        <v>589</v>
      </c>
      <c r="U36" s="22">
        <f t="shared" si="11"/>
        <v>589</v>
      </c>
      <c r="V36" s="22">
        <f t="shared" si="11"/>
        <v>589</v>
      </c>
      <c r="W36" s="22">
        <f t="shared" si="11"/>
        <v>589</v>
      </c>
      <c r="X36" s="22">
        <f t="shared" si="11"/>
        <v>589</v>
      </c>
      <c r="Y36" s="22">
        <f t="shared" si="11"/>
        <v>589</v>
      </c>
      <c r="Z36" s="22">
        <f t="shared" si="11"/>
        <v>589</v>
      </c>
      <c r="AA36" s="22">
        <f t="shared" si="11"/>
        <v>6128</v>
      </c>
    </row>
    <row r="37" spans="1:27" x14ac:dyDescent="0.25">
      <c r="A37" s="15" t="s">
        <v>382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f>'PLANO DENTAL-SAÚDE'!A63</f>
        <v>0</v>
      </c>
      <c r="L37" s="16">
        <f>'PLANO DENTAL-SAÚDE'!B63</f>
        <v>50</v>
      </c>
      <c r="M37" s="16">
        <f>'PLANO DENTAL-SAÚDE'!C63</f>
        <v>50</v>
      </c>
      <c r="N37" s="15">
        <f t="shared" ref="N37:N42" si="12">SUM(B37:M37)</f>
        <v>100</v>
      </c>
      <c r="O37" s="16"/>
      <c r="P37" s="16"/>
      <c r="Q37" s="16">
        <v>390</v>
      </c>
      <c r="R37" s="16">
        <v>390</v>
      </c>
      <c r="S37" s="16">
        <v>390</v>
      </c>
      <c r="T37" s="16">
        <v>390</v>
      </c>
      <c r="U37" s="16">
        <v>390</v>
      </c>
      <c r="V37" s="16">
        <v>390</v>
      </c>
      <c r="W37" s="16">
        <v>390</v>
      </c>
      <c r="X37" s="16">
        <v>390</v>
      </c>
      <c r="Y37" s="16">
        <v>390</v>
      </c>
      <c r="Z37" s="16">
        <v>390</v>
      </c>
      <c r="AA37" s="15">
        <f t="shared" si="7"/>
        <v>3900</v>
      </c>
    </row>
    <row r="38" spans="1:27" x14ac:dyDescent="0.25">
      <c r="A38" s="15" t="s">
        <v>79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5">
        <f t="shared" si="12"/>
        <v>0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5">
        <f t="shared" si="7"/>
        <v>0</v>
      </c>
    </row>
    <row r="39" spans="1:27" x14ac:dyDescent="0.25">
      <c r="A39" s="15" t="s">
        <v>80</v>
      </c>
      <c r="B39" s="16">
        <f>DENTISTA!I2</f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f>DENTISTA!T2</f>
        <v>0</v>
      </c>
      <c r="N39" s="15">
        <f t="shared" si="12"/>
        <v>0</v>
      </c>
      <c r="O39" s="16">
        <f>DENTISTA!U2</f>
        <v>119</v>
      </c>
      <c r="P39" s="16">
        <f>DENTISTA!V2</f>
        <v>119</v>
      </c>
      <c r="Q39" s="16">
        <f>DENTISTA!W2</f>
        <v>119</v>
      </c>
      <c r="R39" s="16">
        <f>DENTISTA!X2</f>
        <v>119</v>
      </c>
      <c r="S39" s="16">
        <f>DENTISTA!Y2</f>
        <v>119</v>
      </c>
      <c r="T39" s="16">
        <f>DENTISTA!Z2</f>
        <v>119</v>
      </c>
      <c r="U39" s="16">
        <f>DENTISTA!AA2</f>
        <v>119</v>
      </c>
      <c r="V39" s="16">
        <f>DENTISTA!AB2</f>
        <v>119</v>
      </c>
      <c r="W39" s="16">
        <f>DENTISTA!AC2</f>
        <v>119</v>
      </c>
      <c r="X39" s="16">
        <f>DENTISTA!AD2</f>
        <v>119</v>
      </c>
      <c r="Y39" s="16">
        <f>DENTISTA!AE2</f>
        <v>119</v>
      </c>
      <c r="Z39" s="16">
        <f>DENTISTA!AF2</f>
        <v>119</v>
      </c>
      <c r="AA39" s="15">
        <f t="shared" si="7"/>
        <v>1428</v>
      </c>
    </row>
    <row r="40" spans="1:27" x14ac:dyDescent="0.25">
      <c r="A40" s="15" t="s">
        <v>81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5">
        <f t="shared" si="12"/>
        <v>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5">
        <f t="shared" si="7"/>
        <v>0</v>
      </c>
    </row>
    <row r="41" spans="1:27" x14ac:dyDescent="0.25">
      <c r="A41" s="15" t="s">
        <v>82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5">
        <f t="shared" si="12"/>
        <v>0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5">
        <f t="shared" si="7"/>
        <v>0</v>
      </c>
    </row>
    <row r="42" spans="1:27" x14ac:dyDescent="0.25">
      <c r="A42" s="15" t="s">
        <v>83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5">
        <f t="shared" si="12"/>
        <v>0</v>
      </c>
      <c r="O42" s="16"/>
      <c r="P42" s="16"/>
      <c r="Q42" s="16">
        <v>80</v>
      </c>
      <c r="R42" s="16">
        <v>80</v>
      </c>
      <c r="S42" s="16">
        <v>80</v>
      </c>
      <c r="T42" s="16">
        <v>80</v>
      </c>
      <c r="U42" s="16">
        <v>80</v>
      </c>
      <c r="V42" s="16">
        <v>80</v>
      </c>
      <c r="W42" s="16">
        <v>80</v>
      </c>
      <c r="X42" s="16">
        <v>80</v>
      </c>
      <c r="Y42" s="16">
        <v>80</v>
      </c>
      <c r="Z42" s="16">
        <v>80</v>
      </c>
      <c r="AA42" s="15">
        <f t="shared" si="7"/>
        <v>800</v>
      </c>
    </row>
    <row r="43" spans="1:27" s="20" customFormat="1" x14ac:dyDescent="0.25">
      <c r="A43" s="21" t="s">
        <v>84</v>
      </c>
      <c r="B43" s="22">
        <f>SUM(B44:B52)</f>
        <v>0</v>
      </c>
      <c r="C43" s="22">
        <f t="shared" ref="C43:AA43" si="13">SUM(C44:C52)</f>
        <v>0</v>
      </c>
      <c r="D43" s="22">
        <f t="shared" si="13"/>
        <v>0</v>
      </c>
      <c r="E43" s="22">
        <f t="shared" si="13"/>
        <v>0</v>
      </c>
      <c r="F43" s="22">
        <f t="shared" si="13"/>
        <v>0</v>
      </c>
      <c r="G43" s="22">
        <f t="shared" si="13"/>
        <v>0</v>
      </c>
      <c r="H43" s="22">
        <f t="shared" si="13"/>
        <v>0</v>
      </c>
      <c r="I43" s="22">
        <f t="shared" si="13"/>
        <v>0</v>
      </c>
      <c r="J43" s="22">
        <f t="shared" si="13"/>
        <v>301.55</v>
      </c>
      <c r="K43" s="22">
        <f t="shared" si="13"/>
        <v>305</v>
      </c>
      <c r="L43" s="22">
        <f t="shared" si="13"/>
        <v>150</v>
      </c>
      <c r="M43" s="22">
        <f t="shared" si="13"/>
        <v>150</v>
      </c>
      <c r="N43" s="22">
        <f t="shared" si="13"/>
        <v>906.55</v>
      </c>
      <c r="O43" s="22">
        <f t="shared" si="13"/>
        <v>0</v>
      </c>
      <c r="P43" s="22">
        <f t="shared" si="13"/>
        <v>0</v>
      </c>
      <c r="Q43" s="22">
        <f t="shared" si="13"/>
        <v>470</v>
      </c>
      <c r="R43" s="22">
        <f t="shared" si="13"/>
        <v>470</v>
      </c>
      <c r="S43" s="22">
        <f t="shared" si="13"/>
        <v>470</v>
      </c>
      <c r="T43" s="22">
        <f t="shared" si="13"/>
        <v>470</v>
      </c>
      <c r="U43" s="22">
        <f t="shared" si="13"/>
        <v>470</v>
      </c>
      <c r="V43" s="22">
        <f t="shared" si="13"/>
        <v>470</v>
      </c>
      <c r="W43" s="22">
        <f t="shared" si="13"/>
        <v>470</v>
      </c>
      <c r="X43" s="22">
        <f t="shared" si="13"/>
        <v>470</v>
      </c>
      <c r="Y43" s="22">
        <f t="shared" si="13"/>
        <v>470</v>
      </c>
      <c r="Z43" s="22">
        <f t="shared" si="13"/>
        <v>470</v>
      </c>
      <c r="AA43" s="22">
        <f t="shared" si="13"/>
        <v>4700</v>
      </c>
    </row>
    <row r="44" spans="1:27" x14ac:dyDescent="0.25">
      <c r="A44" s="15" t="s">
        <v>85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150</v>
      </c>
      <c r="K44" s="16">
        <v>150</v>
      </c>
      <c r="L44" s="16">
        <v>150</v>
      </c>
      <c r="M44" s="16">
        <v>150</v>
      </c>
      <c r="N44" s="15">
        <f t="shared" ref="N44:N52" si="14">SUM(B44:M44)</f>
        <v>600</v>
      </c>
      <c r="O44" s="16"/>
      <c r="P44" s="16"/>
      <c r="Q44" s="16">
        <v>300</v>
      </c>
      <c r="R44" s="16">
        <v>300</v>
      </c>
      <c r="S44" s="16">
        <v>300</v>
      </c>
      <c r="T44" s="16">
        <v>300</v>
      </c>
      <c r="U44" s="16">
        <v>300</v>
      </c>
      <c r="V44" s="16">
        <v>300</v>
      </c>
      <c r="W44" s="16">
        <v>300</v>
      </c>
      <c r="X44" s="16">
        <v>300</v>
      </c>
      <c r="Y44" s="16">
        <v>300</v>
      </c>
      <c r="Z44" s="16">
        <v>300</v>
      </c>
      <c r="AA44" s="15">
        <f t="shared" si="7"/>
        <v>3000</v>
      </c>
    </row>
    <row r="45" spans="1:27" x14ac:dyDescent="0.25">
      <c r="A45" s="15" t="s">
        <v>86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5">
        <f t="shared" si="14"/>
        <v>0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5">
        <f t="shared" si="7"/>
        <v>0</v>
      </c>
    </row>
    <row r="46" spans="1:27" x14ac:dyDescent="0.25">
      <c r="A46" s="15" t="s">
        <v>87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5">
        <f t="shared" si="14"/>
        <v>0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5">
        <f t="shared" si="7"/>
        <v>0</v>
      </c>
    </row>
    <row r="47" spans="1:27" x14ac:dyDescent="0.25">
      <c r="A47" s="15" t="s">
        <v>88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5">
        <f t="shared" si="14"/>
        <v>0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5">
        <f t="shared" si="7"/>
        <v>0</v>
      </c>
    </row>
    <row r="48" spans="1:27" x14ac:dyDescent="0.25">
      <c r="A48" s="15" t="s">
        <v>89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151.55000000000001</v>
      </c>
      <c r="K48" s="16">
        <v>155</v>
      </c>
      <c r="L48" s="16">
        <v>0</v>
      </c>
      <c r="M48" s="16">
        <v>0</v>
      </c>
      <c r="N48" s="15">
        <f t="shared" si="14"/>
        <v>306.55</v>
      </c>
      <c r="O48" s="16"/>
      <c r="P48" s="16"/>
      <c r="Q48" s="16">
        <v>170</v>
      </c>
      <c r="R48" s="16">
        <v>170</v>
      </c>
      <c r="S48" s="16">
        <v>170</v>
      </c>
      <c r="T48" s="16">
        <v>170</v>
      </c>
      <c r="U48" s="16">
        <v>170</v>
      </c>
      <c r="V48" s="16">
        <v>170</v>
      </c>
      <c r="W48" s="16">
        <v>170</v>
      </c>
      <c r="X48" s="16">
        <v>170</v>
      </c>
      <c r="Y48" s="16">
        <v>170</v>
      </c>
      <c r="Z48" s="16">
        <v>170</v>
      </c>
      <c r="AA48" s="15">
        <f t="shared" si="7"/>
        <v>1700</v>
      </c>
    </row>
    <row r="49" spans="1:27" x14ac:dyDescent="0.25">
      <c r="A49" s="15" t="s">
        <v>90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5">
        <f t="shared" si="14"/>
        <v>0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5">
        <f t="shared" si="7"/>
        <v>0</v>
      </c>
    </row>
    <row r="50" spans="1:27" x14ac:dyDescent="0.25">
      <c r="A50" s="15" t="s">
        <v>91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5">
        <f t="shared" si="14"/>
        <v>0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5">
        <f t="shared" si="7"/>
        <v>0</v>
      </c>
    </row>
    <row r="51" spans="1:27" x14ac:dyDescent="0.25">
      <c r="A51" s="15" t="s">
        <v>92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5">
        <f t="shared" si="14"/>
        <v>0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5">
        <f t="shared" si="7"/>
        <v>0</v>
      </c>
    </row>
    <row r="52" spans="1:27" x14ac:dyDescent="0.25">
      <c r="A52" s="15" t="s">
        <v>93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5">
        <f t="shared" si="14"/>
        <v>0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5">
        <f t="shared" si="7"/>
        <v>0</v>
      </c>
    </row>
    <row r="53" spans="1:27" s="20" customFormat="1" x14ac:dyDescent="0.25">
      <c r="A53" s="21" t="s">
        <v>94</v>
      </c>
      <c r="B53" s="22">
        <f>SUM(B54:B57)</f>
        <v>0</v>
      </c>
      <c r="C53" s="22">
        <f t="shared" ref="C53:AA53" si="15">SUM(C54:C57)</f>
        <v>0</v>
      </c>
      <c r="D53" s="22">
        <f t="shared" si="15"/>
        <v>0</v>
      </c>
      <c r="E53" s="22">
        <f t="shared" si="15"/>
        <v>0</v>
      </c>
      <c r="F53" s="22">
        <f t="shared" si="15"/>
        <v>0</v>
      </c>
      <c r="G53" s="22">
        <f t="shared" si="15"/>
        <v>0</v>
      </c>
      <c r="H53" s="22">
        <f t="shared" si="15"/>
        <v>0</v>
      </c>
      <c r="I53" s="22">
        <f t="shared" si="15"/>
        <v>0</v>
      </c>
      <c r="J53" s="22">
        <f t="shared" si="15"/>
        <v>0</v>
      </c>
      <c r="K53" s="22">
        <f t="shared" si="15"/>
        <v>0</v>
      </c>
      <c r="L53" s="22">
        <f t="shared" si="15"/>
        <v>0</v>
      </c>
      <c r="M53" s="22">
        <f t="shared" si="15"/>
        <v>0</v>
      </c>
      <c r="N53" s="22">
        <f t="shared" si="15"/>
        <v>0</v>
      </c>
      <c r="O53" s="22">
        <f t="shared" si="15"/>
        <v>0</v>
      </c>
      <c r="P53" s="22">
        <f t="shared" si="15"/>
        <v>0</v>
      </c>
      <c r="Q53" s="22">
        <f t="shared" si="15"/>
        <v>0</v>
      </c>
      <c r="R53" s="22">
        <f t="shared" si="15"/>
        <v>0</v>
      </c>
      <c r="S53" s="22">
        <f t="shared" si="15"/>
        <v>0</v>
      </c>
      <c r="T53" s="22">
        <f t="shared" si="15"/>
        <v>0</v>
      </c>
      <c r="U53" s="22">
        <f t="shared" si="15"/>
        <v>0</v>
      </c>
      <c r="V53" s="22">
        <f t="shared" si="15"/>
        <v>0</v>
      </c>
      <c r="W53" s="22">
        <f t="shared" si="15"/>
        <v>0</v>
      </c>
      <c r="X53" s="22">
        <f t="shared" si="15"/>
        <v>0</v>
      </c>
      <c r="Y53" s="22">
        <f t="shared" si="15"/>
        <v>0</v>
      </c>
      <c r="Z53" s="22">
        <f t="shared" si="15"/>
        <v>0</v>
      </c>
      <c r="AA53" s="22">
        <f t="shared" si="15"/>
        <v>0</v>
      </c>
    </row>
    <row r="54" spans="1:27" x14ac:dyDescent="0.25">
      <c r="A54" s="15" t="s">
        <v>95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5">
        <f>SUM(B54:M54)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5">
        <f t="shared" si="7"/>
        <v>0</v>
      </c>
    </row>
    <row r="55" spans="1:27" x14ac:dyDescent="0.25">
      <c r="A55" s="15" t="s">
        <v>96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5">
        <f>SUM(B55:M55)</f>
        <v>0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5">
        <f t="shared" si="7"/>
        <v>0</v>
      </c>
    </row>
    <row r="56" spans="1:27" x14ac:dyDescent="0.25">
      <c r="A56" s="15" t="s">
        <v>97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5">
        <f>SUM(B56:M56)</f>
        <v>0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5">
        <f t="shared" si="7"/>
        <v>0</v>
      </c>
    </row>
    <row r="57" spans="1:27" x14ac:dyDescent="0.25">
      <c r="A57" s="15" t="s">
        <v>98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5">
        <f>SUM(B57:M57)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5">
        <f t="shared" si="7"/>
        <v>0</v>
      </c>
    </row>
    <row r="58" spans="1:27" s="20" customFormat="1" x14ac:dyDescent="0.25">
      <c r="A58" s="21" t="s">
        <v>99</v>
      </c>
      <c r="B58" s="22">
        <f>SUM(B59:B63)</f>
        <v>0</v>
      </c>
      <c r="C58" s="22">
        <f t="shared" ref="C58:AA58" si="16">SUM(C59:C63)</f>
        <v>0</v>
      </c>
      <c r="D58" s="22">
        <f t="shared" si="16"/>
        <v>0</v>
      </c>
      <c r="E58" s="22">
        <f t="shared" si="16"/>
        <v>0</v>
      </c>
      <c r="F58" s="22">
        <f t="shared" si="16"/>
        <v>0</v>
      </c>
      <c r="G58" s="22">
        <f t="shared" si="16"/>
        <v>0</v>
      </c>
      <c r="H58" s="22">
        <f t="shared" si="16"/>
        <v>0</v>
      </c>
      <c r="I58" s="22">
        <f t="shared" si="16"/>
        <v>0</v>
      </c>
      <c r="J58" s="22">
        <f t="shared" si="16"/>
        <v>0</v>
      </c>
      <c r="K58" s="22">
        <f t="shared" si="16"/>
        <v>0</v>
      </c>
      <c r="L58" s="22">
        <f t="shared" si="16"/>
        <v>0</v>
      </c>
      <c r="M58" s="22">
        <f t="shared" si="16"/>
        <v>0</v>
      </c>
      <c r="N58" s="22">
        <f t="shared" si="16"/>
        <v>0</v>
      </c>
      <c r="O58" s="22">
        <f t="shared" si="16"/>
        <v>0</v>
      </c>
      <c r="P58" s="22">
        <f t="shared" si="16"/>
        <v>0</v>
      </c>
      <c r="Q58" s="22">
        <f t="shared" si="16"/>
        <v>0</v>
      </c>
      <c r="R58" s="22">
        <f t="shared" si="16"/>
        <v>0</v>
      </c>
      <c r="S58" s="22">
        <f t="shared" si="16"/>
        <v>0</v>
      </c>
      <c r="T58" s="22">
        <f t="shared" si="16"/>
        <v>0</v>
      </c>
      <c r="U58" s="22">
        <f t="shared" si="16"/>
        <v>0</v>
      </c>
      <c r="V58" s="22">
        <f t="shared" si="16"/>
        <v>0</v>
      </c>
      <c r="W58" s="22">
        <f t="shared" si="16"/>
        <v>0</v>
      </c>
      <c r="X58" s="22">
        <f t="shared" si="16"/>
        <v>0</v>
      </c>
      <c r="Y58" s="22">
        <f t="shared" si="16"/>
        <v>0</v>
      </c>
      <c r="Z58" s="22">
        <f t="shared" si="16"/>
        <v>0</v>
      </c>
      <c r="AA58" s="22">
        <f t="shared" si="16"/>
        <v>0</v>
      </c>
    </row>
    <row r="59" spans="1:27" x14ac:dyDescent="0.25">
      <c r="A59" s="15" t="s">
        <v>100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5">
        <f>SUM(B59:M59)</f>
        <v>0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5">
        <f t="shared" si="7"/>
        <v>0</v>
      </c>
    </row>
    <row r="60" spans="1:27" x14ac:dyDescent="0.25">
      <c r="A60" s="15" t="s">
        <v>101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5">
        <f>SUM(B60:M60)</f>
        <v>0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5">
        <f t="shared" si="7"/>
        <v>0</v>
      </c>
    </row>
    <row r="61" spans="1:27" x14ac:dyDescent="0.25">
      <c r="A61" s="15" t="s">
        <v>102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5">
        <f>SUM(B61:M61)</f>
        <v>0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5">
        <f t="shared" si="7"/>
        <v>0</v>
      </c>
    </row>
    <row r="62" spans="1:27" x14ac:dyDescent="0.25">
      <c r="A62" s="15" t="s">
        <v>103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5">
        <f>SUM(B62:M62)</f>
        <v>0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5">
        <f t="shared" si="7"/>
        <v>0</v>
      </c>
    </row>
    <row r="63" spans="1:27" x14ac:dyDescent="0.25">
      <c r="A63" s="15" t="s">
        <v>104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5">
        <f>SUM(B63:M63)</f>
        <v>0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5">
        <f t="shared" si="7"/>
        <v>0</v>
      </c>
    </row>
    <row r="64" spans="1:27" s="20" customFormat="1" x14ac:dyDescent="0.25">
      <c r="A64" s="21" t="s">
        <v>105</v>
      </c>
      <c r="B64" s="22">
        <f t="shared" ref="B64:AA64" si="17">SUM(B65:B73)</f>
        <v>0</v>
      </c>
      <c r="C64" s="22">
        <f t="shared" si="17"/>
        <v>0</v>
      </c>
      <c r="D64" s="22">
        <f t="shared" si="17"/>
        <v>0</v>
      </c>
      <c r="E64" s="22">
        <f t="shared" si="17"/>
        <v>0</v>
      </c>
      <c r="F64" s="22">
        <f t="shared" si="17"/>
        <v>0</v>
      </c>
      <c r="G64" s="22">
        <f t="shared" si="17"/>
        <v>0</v>
      </c>
      <c r="H64" s="22">
        <f t="shared" si="17"/>
        <v>0</v>
      </c>
      <c r="I64" s="22">
        <f t="shared" si="17"/>
        <v>0</v>
      </c>
      <c r="J64" s="22">
        <f t="shared" si="17"/>
        <v>3600.94</v>
      </c>
      <c r="K64" s="22">
        <f t="shared" si="17"/>
        <v>1798.5633333333333</v>
      </c>
      <c r="L64" s="22">
        <f t="shared" si="17"/>
        <v>1602.5433333333333</v>
      </c>
      <c r="M64" s="22">
        <f t="shared" si="17"/>
        <v>1524.8033333333335</v>
      </c>
      <c r="N64" s="22">
        <f t="shared" si="17"/>
        <v>8526.85</v>
      </c>
      <c r="O64" s="22" t="e">
        <f t="shared" si="17"/>
        <v>#REF!</v>
      </c>
      <c r="P64" s="22" t="e">
        <f t="shared" si="17"/>
        <v>#REF!</v>
      </c>
      <c r="Q64" s="22" t="e">
        <f t="shared" si="17"/>
        <v>#REF!</v>
      </c>
      <c r="R64" s="22" t="e">
        <f t="shared" si="17"/>
        <v>#REF!</v>
      </c>
      <c r="S64" s="22" t="e">
        <f t="shared" si="17"/>
        <v>#REF!</v>
      </c>
      <c r="T64" s="22" t="e">
        <f t="shared" si="17"/>
        <v>#REF!</v>
      </c>
      <c r="U64" s="22" t="e">
        <f t="shared" si="17"/>
        <v>#REF!</v>
      </c>
      <c r="V64" s="22" t="e">
        <f t="shared" si="17"/>
        <v>#REF!</v>
      </c>
      <c r="W64" s="22" t="e">
        <f t="shared" si="17"/>
        <v>#REF!</v>
      </c>
      <c r="X64" s="22" t="e">
        <f t="shared" si="17"/>
        <v>#REF!</v>
      </c>
      <c r="Y64" s="22" t="e">
        <f t="shared" si="17"/>
        <v>#REF!</v>
      </c>
      <c r="Z64" s="22" t="e">
        <f t="shared" si="17"/>
        <v>#REF!</v>
      </c>
      <c r="AA64" s="22" t="e">
        <f t="shared" si="17"/>
        <v>#REF!</v>
      </c>
    </row>
    <row r="65" spans="1:27" x14ac:dyDescent="0.25">
      <c r="A65" s="15" t="s">
        <v>106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f>EMPRÉSTIMOS!B21</f>
        <v>1328.095</v>
      </c>
      <c r="L65" s="16">
        <f>EMPRÉSTIMOS!C21</f>
        <v>1328.095</v>
      </c>
      <c r="M65" s="16">
        <f>EMPRÉSTIMOS!D21</f>
        <v>1328.095</v>
      </c>
      <c r="N65" s="15">
        <f t="shared" ref="N65:N74" si="18">SUM(B65:M65)</f>
        <v>3984.2849999999999</v>
      </c>
      <c r="O65" s="16" t="e">
        <f>#REF!</f>
        <v>#REF!</v>
      </c>
      <c r="P65" s="16" t="e">
        <f>#REF!</f>
        <v>#REF!</v>
      </c>
      <c r="Q65" s="16" t="e">
        <f>#REF!</f>
        <v>#REF!</v>
      </c>
      <c r="R65" s="16" t="e">
        <f>#REF!</f>
        <v>#REF!</v>
      </c>
      <c r="S65" s="16" t="e">
        <f>#REF!</f>
        <v>#REF!</v>
      </c>
      <c r="T65" s="16" t="e">
        <f>#REF!</f>
        <v>#REF!</v>
      </c>
      <c r="U65" s="16" t="e">
        <f>#REF!</f>
        <v>#REF!</v>
      </c>
      <c r="V65" s="16" t="e">
        <f>#REF!</f>
        <v>#REF!</v>
      </c>
      <c r="W65" s="16" t="e">
        <f>#REF!</f>
        <v>#REF!</v>
      </c>
      <c r="X65" s="16" t="e">
        <f>#REF!</f>
        <v>#REF!</v>
      </c>
      <c r="Y65" s="16" t="e">
        <f>#REF!</f>
        <v>#REF!</v>
      </c>
      <c r="Z65" s="16" t="e">
        <f>#REF!</f>
        <v>#REF!</v>
      </c>
      <c r="AA65" s="15" t="e">
        <f t="shared" si="7"/>
        <v>#REF!</v>
      </c>
    </row>
    <row r="66" spans="1:27" x14ac:dyDescent="0.25">
      <c r="A66" s="15" t="s">
        <v>372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/>
      <c r="L66" s="16"/>
      <c r="M66" s="16"/>
      <c r="N66" s="15">
        <f t="shared" si="18"/>
        <v>0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5"/>
    </row>
    <row r="67" spans="1:27" x14ac:dyDescent="0.25">
      <c r="A67" s="15" t="s">
        <v>116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f>'CARTÃO DE CRÉDITO - ITAÚ'!Q1</f>
        <v>291.63833333333338</v>
      </c>
      <c r="L67" s="16">
        <f>'CARTÃO DE CRÉDITO - ITAÚ'!R1</f>
        <v>157.43833333333339</v>
      </c>
      <c r="M67" s="16">
        <f>'CARTÃO DE CRÉDITO - ITAÚ'!S1</f>
        <v>91.398333333333341</v>
      </c>
      <c r="N67" s="15">
        <f t="shared" si="18"/>
        <v>540.47500000000014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5"/>
    </row>
    <row r="68" spans="1:27" x14ac:dyDescent="0.25">
      <c r="A68" s="15" t="s">
        <v>19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f>'CARTÃO DE CRÉDITO - NUBANK'!Q1</f>
        <v>63.11</v>
      </c>
      <c r="L68" s="16">
        <f>'CARTÃO DE CRÉDITO - NUBANK'!R1</f>
        <v>63.11</v>
      </c>
      <c r="M68" s="16">
        <f>'CARTÃO DE CRÉDITO - NUBANK'!S1</f>
        <v>51.410000000000004</v>
      </c>
      <c r="N68" s="15">
        <f t="shared" si="18"/>
        <v>177.63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5"/>
    </row>
    <row r="69" spans="1:27" x14ac:dyDescent="0.25">
      <c r="A69" s="15" t="s">
        <v>371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f>'CARTÃO DE CRÉDITO - OUTROS'!Q1</f>
        <v>115.72</v>
      </c>
      <c r="L69" s="16">
        <f>'CARTÃO DE CRÉDITO - OUTROS'!R1</f>
        <v>53.9</v>
      </c>
      <c r="M69" s="16">
        <f>'CARTÃO DE CRÉDITO - OUTROS'!S1</f>
        <v>53.9</v>
      </c>
      <c r="N69" s="15">
        <f t="shared" si="18"/>
        <v>223.52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5"/>
    </row>
    <row r="70" spans="1:27" x14ac:dyDescent="0.25">
      <c r="A70" s="15" t="s">
        <v>107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5">
        <f t="shared" si="18"/>
        <v>0</v>
      </c>
      <c r="O70" s="16" t="e">
        <f>SUM(#REF!,#REF!,#REF!,#REF!)</f>
        <v>#REF!</v>
      </c>
      <c r="P70" s="16" t="e">
        <f>SUM(#REF!,#REF!,#REF!,#REF!)</f>
        <v>#REF!</v>
      </c>
      <c r="Q70" s="16" t="e">
        <f>SUM(#REF!,#REF!,#REF!,#REF!)</f>
        <v>#REF!</v>
      </c>
      <c r="R70" s="16" t="e">
        <f>SUM(#REF!,#REF!,#REF!,#REF!)</f>
        <v>#REF!</v>
      </c>
      <c r="S70" s="16" t="e">
        <f>SUM(#REF!,#REF!,#REF!,#REF!)</f>
        <v>#REF!</v>
      </c>
      <c r="T70" s="16" t="e">
        <f>SUM(#REF!,#REF!,#REF!,#REF!)</f>
        <v>#REF!</v>
      </c>
      <c r="U70" s="16" t="e">
        <f>SUM(#REF!,#REF!,#REF!,#REF!)</f>
        <v>#REF!</v>
      </c>
      <c r="V70" s="16" t="e">
        <f>SUM(#REF!,#REF!,#REF!,#REF!)</f>
        <v>#REF!</v>
      </c>
      <c r="W70" s="16" t="e">
        <f>SUM(#REF!,#REF!,#REF!,#REF!)</f>
        <v>#REF!</v>
      </c>
      <c r="X70" s="16" t="e">
        <f>SUM(#REF!,#REF!,#REF!,#REF!)</f>
        <v>#REF!</v>
      </c>
      <c r="Y70" s="16" t="e">
        <f>SUM(#REF!,#REF!,#REF!,#REF!)</f>
        <v>#REF!</v>
      </c>
      <c r="Z70" s="16" t="e">
        <f>SUM(#REF!,#REF!,#REF!,#REF!)</f>
        <v>#REF!</v>
      </c>
      <c r="AA70" s="15" t="e">
        <f t="shared" si="7"/>
        <v>#REF!</v>
      </c>
    </row>
    <row r="71" spans="1:27" x14ac:dyDescent="0.25">
      <c r="A71" s="15" t="s">
        <v>108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5">
        <f t="shared" si="18"/>
        <v>0</v>
      </c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5">
        <f t="shared" si="7"/>
        <v>0</v>
      </c>
    </row>
    <row r="72" spans="1:27" x14ac:dyDescent="0.25">
      <c r="A72" s="15" t="s">
        <v>109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5">
        <f t="shared" si="18"/>
        <v>0</v>
      </c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5">
        <f t="shared" si="7"/>
        <v>0</v>
      </c>
    </row>
    <row r="73" spans="1:27" x14ac:dyDescent="0.25">
      <c r="A73" s="15" t="s">
        <v>111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3600.94</v>
      </c>
      <c r="K73" s="16">
        <v>0</v>
      </c>
      <c r="L73" s="16">
        <v>0</v>
      </c>
      <c r="M73" s="16">
        <v>0</v>
      </c>
      <c r="N73" s="15">
        <f t="shared" si="18"/>
        <v>3600.94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5">
        <f t="shared" si="7"/>
        <v>0</v>
      </c>
    </row>
    <row r="74" spans="1:27" x14ac:dyDescent="0.25">
      <c r="A74" s="21" t="s">
        <v>35</v>
      </c>
      <c r="B74" s="24">
        <f>SUM(B12,B18,B31,B36,B43,B53,B58,B64)</f>
        <v>0</v>
      </c>
      <c r="C74" s="24">
        <f t="shared" ref="C74:M74" si="19">SUM(C12,C18,C31,C36,C43,C53,C58,C64)</f>
        <v>0</v>
      </c>
      <c r="D74" s="24">
        <f t="shared" si="19"/>
        <v>0</v>
      </c>
      <c r="E74" s="24">
        <f t="shared" si="19"/>
        <v>0</v>
      </c>
      <c r="F74" s="24">
        <f t="shared" si="19"/>
        <v>0</v>
      </c>
      <c r="G74" s="24">
        <f t="shared" si="19"/>
        <v>0</v>
      </c>
      <c r="H74" s="24">
        <f t="shared" si="19"/>
        <v>0</v>
      </c>
      <c r="I74" s="24">
        <f t="shared" si="19"/>
        <v>0</v>
      </c>
      <c r="J74" s="24">
        <f t="shared" si="19"/>
        <v>4012.48</v>
      </c>
      <c r="K74" s="24">
        <f t="shared" si="19"/>
        <v>2213.5533333333333</v>
      </c>
      <c r="L74" s="24">
        <f t="shared" si="19"/>
        <v>1912.5333333333333</v>
      </c>
      <c r="M74" s="24">
        <f t="shared" si="19"/>
        <v>1834.7933333333335</v>
      </c>
      <c r="N74" s="23">
        <f t="shared" si="18"/>
        <v>9973.3599999999988</v>
      </c>
      <c r="O74" s="24" t="e">
        <f>SUM(O12,O18,O31,#REF!,O36,O43,O53,O58,O64)</f>
        <v>#REF!</v>
      </c>
      <c r="P74" s="24" t="e">
        <f>SUM(P12,P18,P31,#REF!,P36,P43,P53,P58,P64)</f>
        <v>#REF!</v>
      </c>
      <c r="Q74" s="24" t="e">
        <f>SUM(Q12,Q18,Q31,#REF!,Q36,Q43,Q53,Q58,Q64)</f>
        <v>#REF!</v>
      </c>
      <c r="R74" s="24" t="e">
        <f>SUM(R12,R18,R31,#REF!,R36,R43,R53,R58,R64)</f>
        <v>#REF!</v>
      </c>
      <c r="S74" s="24" t="e">
        <f>SUM(S12,S18,S31,#REF!,S36,S43,S53,S58,S64)</f>
        <v>#REF!</v>
      </c>
      <c r="T74" s="24" t="e">
        <f>SUM(T12,T18,T31,#REF!,T36,T43,T53,T58,T64)</f>
        <v>#REF!</v>
      </c>
      <c r="U74" s="24" t="e">
        <f>SUM(U12,U18,U31,#REF!,U36,U43,U53,U58,U64)</f>
        <v>#REF!</v>
      </c>
      <c r="V74" s="24" t="e">
        <f>SUM(V12,V18,V31,#REF!,V36,V43,V53,V58,V64)</f>
        <v>#REF!</v>
      </c>
      <c r="W74" s="24" t="e">
        <f>SUM(W12,W18,W31,#REF!,W36,W43,W53,W58,W64)</f>
        <v>#REF!</v>
      </c>
      <c r="X74" s="24" t="e">
        <f>SUM(X12,X18,X31,#REF!,X36,X43,X53,X58,X64)</f>
        <v>#REF!</v>
      </c>
      <c r="Y74" s="24" t="e">
        <f>SUM(Y12,Y18,Y31,#REF!,Y36,Y43,Y53,Y58,Y64)</f>
        <v>#REF!</v>
      </c>
      <c r="Z74" s="24" t="e">
        <f>SUM(Z12,Z18,Z31,#REF!,Z36,Z43,Z53,Z58,Z64)</f>
        <v>#REF!</v>
      </c>
      <c r="AA74" s="23" t="e">
        <f>SUM(O74:Z74)</f>
        <v>#REF!</v>
      </c>
    </row>
    <row r="75" spans="1:27" x14ac:dyDescent="0.25">
      <c r="A75" s="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x14ac:dyDescent="0.25">
      <c r="A76" s="33" t="s">
        <v>36</v>
      </c>
      <c r="B76" s="34">
        <f t="shared" ref="B76:AA76" si="20">B9-B74</f>
        <v>0</v>
      </c>
      <c r="C76" s="34">
        <f t="shared" si="20"/>
        <v>0</v>
      </c>
      <c r="D76" s="34">
        <f t="shared" si="20"/>
        <v>0</v>
      </c>
      <c r="E76" s="34">
        <f t="shared" si="20"/>
        <v>0</v>
      </c>
      <c r="F76" s="34">
        <f t="shared" si="20"/>
        <v>0</v>
      </c>
      <c r="G76" s="34">
        <f t="shared" si="20"/>
        <v>0</v>
      </c>
      <c r="H76" s="34">
        <f t="shared" si="20"/>
        <v>0</v>
      </c>
      <c r="I76" s="34">
        <f t="shared" si="20"/>
        <v>0</v>
      </c>
      <c r="J76" s="34">
        <f t="shared" si="20"/>
        <v>-5.9199999986958574E-4</v>
      </c>
      <c r="K76" s="34">
        <f t="shared" si="20"/>
        <v>735.5949999999998</v>
      </c>
      <c r="L76" s="34">
        <f t="shared" si="20"/>
        <v>-237.15499999999997</v>
      </c>
      <c r="M76" s="34">
        <f t="shared" si="20"/>
        <v>-237.1550000000002</v>
      </c>
      <c r="N76" s="34">
        <f t="shared" si="20"/>
        <v>261.28440800000135</v>
      </c>
      <c r="O76" s="34" t="e">
        <f t="shared" si="20"/>
        <v>#REF!</v>
      </c>
      <c r="P76" s="34" t="e">
        <f t="shared" si="20"/>
        <v>#REF!</v>
      </c>
      <c r="Q76" s="34" t="e">
        <f t="shared" si="20"/>
        <v>#REF!</v>
      </c>
      <c r="R76" s="34" t="e">
        <f t="shared" si="20"/>
        <v>#REF!</v>
      </c>
      <c r="S76" s="34" t="e">
        <f t="shared" si="20"/>
        <v>#REF!</v>
      </c>
      <c r="T76" s="34" t="e">
        <f t="shared" si="20"/>
        <v>#REF!</v>
      </c>
      <c r="U76" s="34" t="e">
        <f t="shared" si="20"/>
        <v>#REF!</v>
      </c>
      <c r="V76" s="34" t="e">
        <f t="shared" si="20"/>
        <v>#REF!</v>
      </c>
      <c r="W76" s="34" t="e">
        <f t="shared" si="20"/>
        <v>#REF!</v>
      </c>
      <c r="X76" s="34" t="e">
        <f t="shared" si="20"/>
        <v>#REF!</v>
      </c>
      <c r="Y76" s="34" t="e">
        <f t="shared" si="20"/>
        <v>#REF!</v>
      </c>
      <c r="Z76" s="34" t="e">
        <f t="shared" si="20"/>
        <v>#REF!</v>
      </c>
      <c r="AA76" s="34" t="e">
        <f t="shared" si="20"/>
        <v>#REF!</v>
      </c>
    </row>
    <row r="77" spans="1:27" x14ac:dyDescent="0.25">
      <c r="A77" s="11"/>
      <c r="N77" s="12"/>
      <c r="AA77" s="12"/>
    </row>
    <row r="78" spans="1:27" x14ac:dyDescent="0.25">
      <c r="A78" s="21" t="s">
        <v>37</v>
      </c>
      <c r="B78" s="24">
        <f>B76</f>
        <v>0</v>
      </c>
      <c r="C78" s="24">
        <f>B78+C76</f>
        <v>0</v>
      </c>
      <c r="D78" s="24">
        <f t="shared" ref="D78:K78" si="21">C78+D76</f>
        <v>0</v>
      </c>
      <c r="E78" s="24">
        <f t="shared" si="21"/>
        <v>0</v>
      </c>
      <c r="F78" s="24">
        <f t="shared" si="21"/>
        <v>0</v>
      </c>
      <c r="G78" s="24">
        <f t="shared" si="21"/>
        <v>0</v>
      </c>
      <c r="H78" s="24">
        <f t="shared" si="21"/>
        <v>0</v>
      </c>
      <c r="I78" s="24">
        <f>H78+I76</f>
        <v>0</v>
      </c>
      <c r="J78" s="24">
        <f>I78+J76</f>
        <v>-5.9199999986958574E-4</v>
      </c>
      <c r="K78" s="24">
        <f t="shared" si="21"/>
        <v>735.59440799999993</v>
      </c>
      <c r="L78" s="24">
        <f>K78+L76</f>
        <v>498.43940799999996</v>
      </c>
      <c r="M78" s="24">
        <f>L78+M76</f>
        <v>261.28440799999976</v>
      </c>
      <c r="N78" s="10"/>
      <c r="O78" s="24" t="e">
        <f>M78+O76</f>
        <v>#REF!</v>
      </c>
      <c r="P78" s="24" t="e">
        <f t="shared" ref="P78:Y78" si="22">O78+P76</f>
        <v>#REF!</v>
      </c>
      <c r="Q78" s="24" t="e">
        <f t="shared" si="22"/>
        <v>#REF!</v>
      </c>
      <c r="R78" s="24" t="e">
        <f t="shared" si="22"/>
        <v>#REF!</v>
      </c>
      <c r="S78" s="24" t="e">
        <f t="shared" si="22"/>
        <v>#REF!</v>
      </c>
      <c r="T78" s="24" t="e">
        <f t="shared" si="22"/>
        <v>#REF!</v>
      </c>
      <c r="U78" s="24" t="e">
        <f t="shared" si="22"/>
        <v>#REF!</v>
      </c>
      <c r="V78" s="24" t="e">
        <f t="shared" si="22"/>
        <v>#REF!</v>
      </c>
      <c r="W78" s="24" t="e">
        <f t="shared" si="22"/>
        <v>#REF!</v>
      </c>
      <c r="X78" s="24" t="e">
        <f t="shared" si="22"/>
        <v>#REF!</v>
      </c>
      <c r="Y78" s="24" t="e">
        <f t="shared" si="22"/>
        <v>#REF!</v>
      </c>
      <c r="Z78" s="24" t="e">
        <f>Y78+Z76</f>
        <v>#REF!</v>
      </c>
      <c r="AA78" s="10"/>
    </row>
    <row r="79" spans="1:27" x14ac:dyDescent="0.25">
      <c r="B79" s="13"/>
      <c r="C79" s="13"/>
      <c r="D79" s="13"/>
      <c r="E79" s="13"/>
      <c r="F79" s="13"/>
      <c r="G79" s="13"/>
      <c r="H79" s="13"/>
      <c r="J79" s="13"/>
      <c r="K79" s="13"/>
      <c r="L79" s="13"/>
      <c r="M79" s="13"/>
      <c r="N79" s="7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7"/>
    </row>
    <row r="80" spans="1:27" x14ac:dyDescent="0.25">
      <c r="A80" s="25" t="s">
        <v>112</v>
      </c>
      <c r="B80" s="7"/>
      <c r="C80" s="7"/>
      <c r="D80" s="7"/>
      <c r="E80" s="7"/>
      <c r="F80" s="7"/>
      <c r="G80" s="7"/>
      <c r="H80" s="7"/>
      <c r="I80" s="32"/>
      <c r="J80" s="7"/>
      <c r="K80" s="7"/>
      <c r="L80" s="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x14ac:dyDescent="0.25">
      <c r="A81" s="26" t="s">
        <v>38</v>
      </c>
      <c r="B81" s="27" t="s">
        <v>21</v>
      </c>
      <c r="C81" s="27" t="s">
        <v>22</v>
      </c>
      <c r="D81" s="27" t="s">
        <v>23</v>
      </c>
      <c r="E81" s="27" t="s">
        <v>24</v>
      </c>
      <c r="F81" s="27" t="s">
        <v>25</v>
      </c>
      <c r="G81" s="27" t="s">
        <v>26</v>
      </c>
      <c r="H81" s="27" t="s">
        <v>27</v>
      </c>
      <c r="I81" s="27" t="s">
        <v>28</v>
      </c>
      <c r="J81" s="27" t="s">
        <v>29</v>
      </c>
      <c r="K81" s="27" t="s">
        <v>30</v>
      </c>
      <c r="L81" s="27" t="s">
        <v>31</v>
      </c>
      <c r="M81" s="27" t="s">
        <v>32</v>
      </c>
      <c r="N81" s="27" t="s">
        <v>33</v>
      </c>
      <c r="O81" s="27" t="s">
        <v>32</v>
      </c>
      <c r="P81" s="27" t="s">
        <v>21</v>
      </c>
      <c r="Q81" s="27" t="s">
        <v>22</v>
      </c>
      <c r="R81" s="27" t="s">
        <v>23</v>
      </c>
      <c r="S81" s="27" t="s">
        <v>24</v>
      </c>
      <c r="T81" s="27" t="s">
        <v>25</v>
      </c>
      <c r="U81" s="27" t="s">
        <v>26</v>
      </c>
      <c r="V81" s="27" t="s">
        <v>27</v>
      </c>
      <c r="W81" s="27" t="s">
        <v>28</v>
      </c>
      <c r="X81" s="27" t="s">
        <v>29</v>
      </c>
      <c r="Y81" s="27" t="s">
        <v>30</v>
      </c>
      <c r="Z81" s="27" t="s">
        <v>31</v>
      </c>
      <c r="AA81" s="27" t="s">
        <v>33</v>
      </c>
    </row>
    <row r="82" spans="1:27" x14ac:dyDescent="0.25">
      <c r="A82" s="16" t="s">
        <v>41</v>
      </c>
      <c r="B82" s="16">
        <f t="shared" ref="B82:M82" si="23">B9</f>
        <v>0</v>
      </c>
      <c r="C82" s="16">
        <f t="shared" si="23"/>
        <v>0</v>
      </c>
      <c r="D82" s="16">
        <f t="shared" si="23"/>
        <v>0</v>
      </c>
      <c r="E82" s="16">
        <f t="shared" si="23"/>
        <v>0</v>
      </c>
      <c r="F82" s="16">
        <f t="shared" si="23"/>
        <v>0</v>
      </c>
      <c r="G82" s="16">
        <f t="shared" si="23"/>
        <v>0</v>
      </c>
      <c r="H82" s="16">
        <f t="shared" si="23"/>
        <v>0</v>
      </c>
      <c r="I82" s="16">
        <f t="shared" si="23"/>
        <v>0</v>
      </c>
      <c r="J82" s="16">
        <f t="shared" si="23"/>
        <v>4012.4794080000001</v>
      </c>
      <c r="K82" s="16">
        <f t="shared" si="23"/>
        <v>2949.1483333333331</v>
      </c>
      <c r="L82" s="16">
        <f t="shared" si="23"/>
        <v>1675.3783333333333</v>
      </c>
      <c r="M82" s="16">
        <f t="shared" si="23"/>
        <v>1597.6383333333333</v>
      </c>
      <c r="N82" s="18">
        <f>SUM(B82:M82)</f>
        <v>10234.644408</v>
      </c>
      <c r="O82" s="16">
        <f t="shared" ref="O82:Z82" si="24">O9</f>
        <v>650</v>
      </c>
      <c r="P82" s="16">
        <f t="shared" si="24"/>
        <v>650</v>
      </c>
      <c r="Q82" s="16">
        <f t="shared" si="24"/>
        <v>4650</v>
      </c>
      <c r="R82" s="16">
        <f t="shared" si="24"/>
        <v>4650</v>
      </c>
      <c r="S82" s="16">
        <f t="shared" si="24"/>
        <v>4650</v>
      </c>
      <c r="T82" s="16">
        <f t="shared" si="24"/>
        <v>4650</v>
      </c>
      <c r="U82" s="16">
        <f t="shared" si="24"/>
        <v>4650</v>
      </c>
      <c r="V82" s="16">
        <f t="shared" si="24"/>
        <v>4650</v>
      </c>
      <c r="W82" s="16">
        <f t="shared" si="24"/>
        <v>4650</v>
      </c>
      <c r="X82" s="16">
        <f t="shared" si="24"/>
        <v>4650</v>
      </c>
      <c r="Y82" s="16">
        <f t="shared" si="24"/>
        <v>4650</v>
      </c>
      <c r="Z82" s="16">
        <f t="shared" si="24"/>
        <v>4650</v>
      </c>
      <c r="AA82" s="18">
        <f>SUM(O82:Z82)</f>
        <v>47800</v>
      </c>
    </row>
    <row r="83" spans="1:27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x14ac:dyDescent="0.25">
      <c r="A84" s="16" t="s">
        <v>39</v>
      </c>
      <c r="B84" s="16" t="e">
        <f>SUM(B85:B93)</f>
        <v>#REF!</v>
      </c>
      <c r="C84" s="16" t="e">
        <f t="shared" ref="C84:M84" si="25">SUM(C85:C93)</f>
        <v>#REF!</v>
      </c>
      <c r="D84" s="16" t="e">
        <f t="shared" si="25"/>
        <v>#REF!</v>
      </c>
      <c r="E84" s="16" t="e">
        <f t="shared" si="25"/>
        <v>#REF!</v>
      </c>
      <c r="F84" s="16" t="e">
        <f t="shared" si="25"/>
        <v>#REF!</v>
      </c>
      <c r="G84" s="16" t="e">
        <f t="shared" si="25"/>
        <v>#REF!</v>
      </c>
      <c r="H84" s="16" t="e">
        <f t="shared" si="25"/>
        <v>#REF!</v>
      </c>
      <c r="I84" s="16" t="e">
        <f t="shared" si="25"/>
        <v>#REF!</v>
      </c>
      <c r="J84" s="16" t="e">
        <f t="shared" si="25"/>
        <v>#REF!</v>
      </c>
      <c r="K84" s="16" t="e">
        <f t="shared" si="25"/>
        <v>#REF!</v>
      </c>
      <c r="L84" s="16" t="e">
        <f t="shared" si="25"/>
        <v>#REF!</v>
      </c>
      <c r="M84" s="16" t="e">
        <f t="shared" si="25"/>
        <v>#REF!</v>
      </c>
      <c r="N84" s="18" t="e">
        <f t="shared" ref="N84:N94" si="26">SUM(B84:M84)</f>
        <v>#REF!</v>
      </c>
      <c r="O84" s="16" t="e">
        <f t="shared" ref="O84:Z84" si="27">SUM(O85:O93)</f>
        <v>#REF!</v>
      </c>
      <c r="P84" s="16" t="e">
        <f t="shared" si="27"/>
        <v>#REF!</v>
      </c>
      <c r="Q84" s="16" t="e">
        <f t="shared" si="27"/>
        <v>#REF!</v>
      </c>
      <c r="R84" s="16" t="e">
        <f t="shared" si="27"/>
        <v>#REF!</v>
      </c>
      <c r="S84" s="16" t="e">
        <f t="shared" si="27"/>
        <v>#REF!</v>
      </c>
      <c r="T84" s="16" t="e">
        <f t="shared" si="27"/>
        <v>#REF!</v>
      </c>
      <c r="U84" s="16" t="e">
        <f t="shared" si="27"/>
        <v>#REF!</v>
      </c>
      <c r="V84" s="16" t="e">
        <f t="shared" si="27"/>
        <v>#REF!</v>
      </c>
      <c r="W84" s="16" t="e">
        <f t="shared" si="27"/>
        <v>#REF!</v>
      </c>
      <c r="X84" s="16" t="e">
        <f t="shared" si="27"/>
        <v>#REF!</v>
      </c>
      <c r="Y84" s="16" t="e">
        <f t="shared" si="27"/>
        <v>#REF!</v>
      </c>
      <c r="Z84" s="16" t="e">
        <f t="shared" si="27"/>
        <v>#REF!</v>
      </c>
      <c r="AA84" s="18" t="e">
        <f>SUM(O84:Z84)</f>
        <v>#REF!</v>
      </c>
    </row>
    <row r="85" spans="1:27" x14ac:dyDescent="0.25">
      <c r="A85" s="16" t="s">
        <v>49</v>
      </c>
      <c r="B85" s="16">
        <f t="shared" ref="B85:M85" si="28">B12</f>
        <v>0</v>
      </c>
      <c r="C85" s="16">
        <f t="shared" si="28"/>
        <v>0</v>
      </c>
      <c r="D85" s="16">
        <f t="shared" si="28"/>
        <v>0</v>
      </c>
      <c r="E85" s="16">
        <f t="shared" si="28"/>
        <v>0</v>
      </c>
      <c r="F85" s="16">
        <f t="shared" si="28"/>
        <v>0</v>
      </c>
      <c r="G85" s="16">
        <f t="shared" si="28"/>
        <v>0</v>
      </c>
      <c r="H85" s="16">
        <f t="shared" si="28"/>
        <v>0</v>
      </c>
      <c r="I85" s="16">
        <f t="shared" si="28"/>
        <v>0</v>
      </c>
      <c r="J85" s="16">
        <f t="shared" si="28"/>
        <v>0</v>
      </c>
      <c r="K85" s="16">
        <f t="shared" si="28"/>
        <v>0</v>
      </c>
      <c r="L85" s="16">
        <f t="shared" si="28"/>
        <v>0</v>
      </c>
      <c r="M85" s="16">
        <f t="shared" si="28"/>
        <v>0</v>
      </c>
      <c r="N85" s="18">
        <f t="shared" si="26"/>
        <v>0</v>
      </c>
      <c r="O85" s="16">
        <f t="shared" ref="O85:Z85" si="29">O12</f>
        <v>0</v>
      </c>
      <c r="P85" s="16">
        <f t="shared" si="29"/>
        <v>0</v>
      </c>
      <c r="Q85" s="16">
        <f t="shared" si="29"/>
        <v>300</v>
      </c>
      <c r="R85" s="16">
        <f t="shared" si="29"/>
        <v>300</v>
      </c>
      <c r="S85" s="16">
        <f t="shared" si="29"/>
        <v>300</v>
      </c>
      <c r="T85" s="16">
        <f t="shared" si="29"/>
        <v>300</v>
      </c>
      <c r="U85" s="16">
        <f t="shared" si="29"/>
        <v>300</v>
      </c>
      <c r="V85" s="16">
        <f t="shared" si="29"/>
        <v>300</v>
      </c>
      <c r="W85" s="16">
        <f t="shared" si="29"/>
        <v>300</v>
      </c>
      <c r="X85" s="16">
        <f t="shared" si="29"/>
        <v>300</v>
      </c>
      <c r="Y85" s="16">
        <f t="shared" si="29"/>
        <v>300</v>
      </c>
      <c r="Z85" s="16">
        <f t="shared" si="29"/>
        <v>300</v>
      </c>
      <c r="AA85" s="18">
        <f t="shared" ref="AA85:AA94" si="30">SUM(O85:Z85)</f>
        <v>3000</v>
      </c>
    </row>
    <row r="86" spans="1:27" x14ac:dyDescent="0.25">
      <c r="A86" s="16" t="s">
        <v>55</v>
      </c>
      <c r="B86" s="16">
        <f t="shared" ref="B86:M86" si="31">B18</f>
        <v>0</v>
      </c>
      <c r="C86" s="16">
        <f t="shared" si="31"/>
        <v>0</v>
      </c>
      <c r="D86" s="16">
        <f t="shared" si="31"/>
        <v>0</v>
      </c>
      <c r="E86" s="16">
        <f t="shared" si="31"/>
        <v>0</v>
      </c>
      <c r="F86" s="16">
        <f t="shared" si="31"/>
        <v>0</v>
      </c>
      <c r="G86" s="16">
        <f t="shared" si="31"/>
        <v>0</v>
      </c>
      <c r="H86" s="16">
        <f t="shared" si="31"/>
        <v>0</v>
      </c>
      <c r="I86" s="16">
        <f t="shared" si="31"/>
        <v>0</v>
      </c>
      <c r="J86" s="16">
        <f t="shared" si="31"/>
        <v>109.99000000000001</v>
      </c>
      <c r="K86" s="16">
        <f t="shared" si="31"/>
        <v>109.99000000000001</v>
      </c>
      <c r="L86" s="16">
        <f t="shared" si="31"/>
        <v>109.99000000000001</v>
      </c>
      <c r="M86" s="16">
        <f t="shared" si="31"/>
        <v>109.99000000000001</v>
      </c>
      <c r="N86" s="18">
        <f t="shared" si="26"/>
        <v>439.96000000000004</v>
      </c>
      <c r="O86" s="16">
        <f t="shared" ref="O86:Z86" si="32">O18</f>
        <v>0</v>
      </c>
      <c r="P86" s="16">
        <f t="shared" si="32"/>
        <v>0</v>
      </c>
      <c r="Q86" s="16">
        <f t="shared" si="32"/>
        <v>269.99</v>
      </c>
      <c r="R86" s="16">
        <f t="shared" si="32"/>
        <v>199.99</v>
      </c>
      <c r="S86" s="16">
        <f t="shared" si="32"/>
        <v>199.99</v>
      </c>
      <c r="T86" s="16">
        <f t="shared" si="32"/>
        <v>269.99</v>
      </c>
      <c r="U86" s="16">
        <f t="shared" si="32"/>
        <v>199.99</v>
      </c>
      <c r="V86" s="16">
        <f t="shared" si="32"/>
        <v>199.99</v>
      </c>
      <c r="W86" s="16">
        <f t="shared" si="32"/>
        <v>269.99</v>
      </c>
      <c r="X86" s="16">
        <f t="shared" si="32"/>
        <v>199.99</v>
      </c>
      <c r="Y86" s="16">
        <f t="shared" si="32"/>
        <v>199.99</v>
      </c>
      <c r="Z86" s="16">
        <f t="shared" si="32"/>
        <v>269.99</v>
      </c>
      <c r="AA86" s="18">
        <f t="shared" si="30"/>
        <v>2279.9</v>
      </c>
    </row>
    <row r="87" spans="1:27" x14ac:dyDescent="0.25">
      <c r="A87" s="16" t="s">
        <v>67</v>
      </c>
      <c r="B87" s="16">
        <f t="shared" ref="B87:M87" si="33">B31</f>
        <v>0</v>
      </c>
      <c r="C87" s="16">
        <f t="shared" si="33"/>
        <v>0</v>
      </c>
      <c r="D87" s="16">
        <f t="shared" si="33"/>
        <v>0</v>
      </c>
      <c r="E87" s="16">
        <f t="shared" si="33"/>
        <v>0</v>
      </c>
      <c r="F87" s="16">
        <f t="shared" si="33"/>
        <v>0</v>
      </c>
      <c r="G87" s="16">
        <f t="shared" si="33"/>
        <v>0</v>
      </c>
      <c r="H87" s="16">
        <f t="shared" si="33"/>
        <v>0</v>
      </c>
      <c r="I87" s="16">
        <f t="shared" si="33"/>
        <v>0</v>
      </c>
      <c r="J87" s="16">
        <f t="shared" si="33"/>
        <v>0</v>
      </c>
      <c r="K87" s="16">
        <f t="shared" si="33"/>
        <v>0</v>
      </c>
      <c r="L87" s="16">
        <f t="shared" si="33"/>
        <v>0</v>
      </c>
      <c r="M87" s="16">
        <f t="shared" si="33"/>
        <v>0</v>
      </c>
      <c r="N87" s="18">
        <f t="shared" si="26"/>
        <v>0</v>
      </c>
      <c r="O87" s="16">
        <f t="shared" ref="O87:Z87" si="34">O31</f>
        <v>0</v>
      </c>
      <c r="P87" s="16">
        <f t="shared" si="34"/>
        <v>0</v>
      </c>
      <c r="Q87" s="16">
        <f t="shared" si="34"/>
        <v>700</v>
      </c>
      <c r="R87" s="16">
        <f t="shared" si="34"/>
        <v>700</v>
      </c>
      <c r="S87" s="16">
        <f t="shared" si="34"/>
        <v>700</v>
      </c>
      <c r="T87" s="16">
        <f t="shared" si="34"/>
        <v>700</v>
      </c>
      <c r="U87" s="16">
        <f t="shared" si="34"/>
        <v>700</v>
      </c>
      <c r="V87" s="16">
        <f t="shared" si="34"/>
        <v>700</v>
      </c>
      <c r="W87" s="16">
        <f t="shared" si="34"/>
        <v>700</v>
      </c>
      <c r="X87" s="16">
        <f t="shared" si="34"/>
        <v>700</v>
      </c>
      <c r="Y87" s="16">
        <f t="shared" si="34"/>
        <v>700</v>
      </c>
      <c r="Z87" s="16">
        <f t="shared" si="34"/>
        <v>700</v>
      </c>
      <c r="AA87" s="18">
        <f t="shared" si="30"/>
        <v>7000</v>
      </c>
    </row>
    <row r="88" spans="1:27" x14ac:dyDescent="0.25">
      <c r="A88" s="16" t="s">
        <v>72</v>
      </c>
      <c r="B88" s="16" t="e">
        <f>#REF!</f>
        <v>#REF!</v>
      </c>
      <c r="C88" s="16" t="e">
        <f>#REF!</f>
        <v>#REF!</v>
      </c>
      <c r="D88" s="16" t="e">
        <f>#REF!</f>
        <v>#REF!</v>
      </c>
      <c r="E88" s="16" t="e">
        <f>#REF!</f>
        <v>#REF!</v>
      </c>
      <c r="F88" s="16" t="e">
        <f>#REF!</f>
        <v>#REF!</v>
      </c>
      <c r="G88" s="16" t="e">
        <f>#REF!</f>
        <v>#REF!</v>
      </c>
      <c r="H88" s="16" t="e">
        <f>#REF!</f>
        <v>#REF!</v>
      </c>
      <c r="I88" s="16" t="e">
        <f>#REF!</f>
        <v>#REF!</v>
      </c>
      <c r="J88" s="16" t="e">
        <f>#REF!</f>
        <v>#REF!</v>
      </c>
      <c r="K88" s="16" t="e">
        <f>#REF!</f>
        <v>#REF!</v>
      </c>
      <c r="L88" s="16" t="e">
        <f>#REF!</f>
        <v>#REF!</v>
      </c>
      <c r="M88" s="16" t="e">
        <f>#REF!</f>
        <v>#REF!</v>
      </c>
      <c r="N88" s="18" t="e">
        <f t="shared" si="26"/>
        <v>#REF!</v>
      </c>
      <c r="O88" s="16" t="e">
        <f>#REF!</f>
        <v>#REF!</v>
      </c>
      <c r="P88" s="16" t="e">
        <f>#REF!</f>
        <v>#REF!</v>
      </c>
      <c r="Q88" s="16" t="e">
        <f>#REF!</f>
        <v>#REF!</v>
      </c>
      <c r="R88" s="16" t="e">
        <f>#REF!</f>
        <v>#REF!</v>
      </c>
      <c r="S88" s="16" t="e">
        <f>#REF!</f>
        <v>#REF!</v>
      </c>
      <c r="T88" s="16" t="e">
        <f>#REF!</f>
        <v>#REF!</v>
      </c>
      <c r="U88" s="16" t="e">
        <f>#REF!</f>
        <v>#REF!</v>
      </c>
      <c r="V88" s="16" t="e">
        <f>#REF!</f>
        <v>#REF!</v>
      </c>
      <c r="W88" s="16" t="e">
        <f>#REF!</f>
        <v>#REF!</v>
      </c>
      <c r="X88" s="16" t="e">
        <f>#REF!</f>
        <v>#REF!</v>
      </c>
      <c r="Y88" s="16" t="e">
        <f>#REF!</f>
        <v>#REF!</v>
      </c>
      <c r="Z88" s="16" t="e">
        <f>#REF!</f>
        <v>#REF!</v>
      </c>
      <c r="AA88" s="18" t="e">
        <f t="shared" si="30"/>
        <v>#REF!</v>
      </c>
    </row>
    <row r="89" spans="1:27" x14ac:dyDescent="0.25">
      <c r="A89" s="16" t="s">
        <v>77</v>
      </c>
      <c r="B89" s="16">
        <f t="shared" ref="B89:M89" si="35">B36</f>
        <v>0</v>
      </c>
      <c r="C89" s="16">
        <f t="shared" si="35"/>
        <v>0</v>
      </c>
      <c r="D89" s="16">
        <f t="shared" si="35"/>
        <v>0</v>
      </c>
      <c r="E89" s="16">
        <f t="shared" si="35"/>
        <v>0</v>
      </c>
      <c r="F89" s="16">
        <f t="shared" si="35"/>
        <v>0</v>
      </c>
      <c r="G89" s="16">
        <f t="shared" si="35"/>
        <v>0</v>
      </c>
      <c r="H89" s="16">
        <f t="shared" si="35"/>
        <v>0</v>
      </c>
      <c r="I89" s="16">
        <f t="shared" si="35"/>
        <v>0</v>
      </c>
      <c r="J89" s="16">
        <f t="shared" si="35"/>
        <v>0</v>
      </c>
      <c r="K89" s="16">
        <f t="shared" si="35"/>
        <v>0</v>
      </c>
      <c r="L89" s="16">
        <f t="shared" si="35"/>
        <v>50</v>
      </c>
      <c r="M89" s="16">
        <f t="shared" si="35"/>
        <v>50</v>
      </c>
      <c r="N89" s="18">
        <f t="shared" si="26"/>
        <v>100</v>
      </c>
      <c r="O89" s="16">
        <f t="shared" ref="O89:Z89" si="36">O36</f>
        <v>119</v>
      </c>
      <c r="P89" s="16">
        <f t="shared" si="36"/>
        <v>119</v>
      </c>
      <c r="Q89" s="16">
        <f t="shared" si="36"/>
        <v>589</v>
      </c>
      <c r="R89" s="16">
        <f t="shared" si="36"/>
        <v>589</v>
      </c>
      <c r="S89" s="16">
        <f t="shared" si="36"/>
        <v>589</v>
      </c>
      <c r="T89" s="16">
        <f t="shared" si="36"/>
        <v>589</v>
      </c>
      <c r="U89" s="16">
        <f t="shared" si="36"/>
        <v>589</v>
      </c>
      <c r="V89" s="16">
        <f t="shared" si="36"/>
        <v>589</v>
      </c>
      <c r="W89" s="16">
        <f t="shared" si="36"/>
        <v>589</v>
      </c>
      <c r="X89" s="16">
        <f t="shared" si="36"/>
        <v>589</v>
      </c>
      <c r="Y89" s="16">
        <f t="shared" si="36"/>
        <v>589</v>
      </c>
      <c r="Z89" s="16">
        <f t="shared" si="36"/>
        <v>589</v>
      </c>
      <c r="AA89" s="18">
        <f t="shared" si="30"/>
        <v>6128</v>
      </c>
    </row>
    <row r="90" spans="1:27" x14ac:dyDescent="0.25">
      <c r="A90" s="16" t="s">
        <v>84</v>
      </c>
      <c r="B90" s="16">
        <f t="shared" ref="B90:M90" si="37">B43</f>
        <v>0</v>
      </c>
      <c r="C90" s="16">
        <f t="shared" si="37"/>
        <v>0</v>
      </c>
      <c r="D90" s="16">
        <f t="shared" si="37"/>
        <v>0</v>
      </c>
      <c r="E90" s="16">
        <f t="shared" si="37"/>
        <v>0</v>
      </c>
      <c r="F90" s="16">
        <f t="shared" si="37"/>
        <v>0</v>
      </c>
      <c r="G90" s="16">
        <f t="shared" si="37"/>
        <v>0</v>
      </c>
      <c r="H90" s="16">
        <f t="shared" si="37"/>
        <v>0</v>
      </c>
      <c r="I90" s="16">
        <f t="shared" si="37"/>
        <v>0</v>
      </c>
      <c r="J90" s="16">
        <f t="shared" si="37"/>
        <v>301.55</v>
      </c>
      <c r="K90" s="16">
        <f t="shared" si="37"/>
        <v>305</v>
      </c>
      <c r="L90" s="16">
        <f t="shared" si="37"/>
        <v>150</v>
      </c>
      <c r="M90" s="16">
        <f t="shared" si="37"/>
        <v>150</v>
      </c>
      <c r="N90" s="18">
        <f t="shared" si="26"/>
        <v>906.55</v>
      </c>
      <c r="O90" s="16">
        <f t="shared" ref="O90:Z90" si="38">O43</f>
        <v>0</v>
      </c>
      <c r="P90" s="16">
        <f t="shared" si="38"/>
        <v>0</v>
      </c>
      <c r="Q90" s="16">
        <f t="shared" si="38"/>
        <v>470</v>
      </c>
      <c r="R90" s="16">
        <f t="shared" si="38"/>
        <v>470</v>
      </c>
      <c r="S90" s="16">
        <f t="shared" si="38"/>
        <v>470</v>
      </c>
      <c r="T90" s="16">
        <f t="shared" si="38"/>
        <v>470</v>
      </c>
      <c r="U90" s="16">
        <f t="shared" si="38"/>
        <v>470</v>
      </c>
      <c r="V90" s="16">
        <f t="shared" si="38"/>
        <v>470</v>
      </c>
      <c r="W90" s="16">
        <f t="shared" si="38"/>
        <v>470</v>
      </c>
      <c r="X90" s="16">
        <f t="shared" si="38"/>
        <v>470</v>
      </c>
      <c r="Y90" s="16">
        <f t="shared" si="38"/>
        <v>470</v>
      </c>
      <c r="Z90" s="16">
        <f t="shared" si="38"/>
        <v>470</v>
      </c>
      <c r="AA90" s="18">
        <f t="shared" si="30"/>
        <v>4700</v>
      </c>
    </row>
    <row r="91" spans="1:27" x14ac:dyDescent="0.25">
      <c r="A91" s="16" t="s">
        <v>94</v>
      </c>
      <c r="B91" s="16">
        <f t="shared" ref="B91:M91" si="39">B53</f>
        <v>0</v>
      </c>
      <c r="C91" s="16">
        <f t="shared" si="39"/>
        <v>0</v>
      </c>
      <c r="D91" s="16">
        <f t="shared" si="39"/>
        <v>0</v>
      </c>
      <c r="E91" s="16">
        <f t="shared" si="39"/>
        <v>0</v>
      </c>
      <c r="F91" s="16">
        <f t="shared" si="39"/>
        <v>0</v>
      </c>
      <c r="G91" s="16">
        <f t="shared" si="39"/>
        <v>0</v>
      </c>
      <c r="H91" s="16">
        <f t="shared" si="39"/>
        <v>0</v>
      </c>
      <c r="I91" s="16">
        <f t="shared" si="39"/>
        <v>0</v>
      </c>
      <c r="J91" s="16">
        <f t="shared" si="39"/>
        <v>0</v>
      </c>
      <c r="K91" s="16">
        <f t="shared" si="39"/>
        <v>0</v>
      </c>
      <c r="L91" s="16">
        <f t="shared" si="39"/>
        <v>0</v>
      </c>
      <c r="M91" s="16">
        <f t="shared" si="39"/>
        <v>0</v>
      </c>
      <c r="N91" s="18">
        <f t="shared" si="26"/>
        <v>0</v>
      </c>
      <c r="O91" s="16">
        <f t="shared" ref="O91:Z91" si="40">O53</f>
        <v>0</v>
      </c>
      <c r="P91" s="16">
        <f t="shared" si="40"/>
        <v>0</v>
      </c>
      <c r="Q91" s="16">
        <f t="shared" si="40"/>
        <v>0</v>
      </c>
      <c r="R91" s="16">
        <f t="shared" si="40"/>
        <v>0</v>
      </c>
      <c r="S91" s="16">
        <f t="shared" si="40"/>
        <v>0</v>
      </c>
      <c r="T91" s="16">
        <f t="shared" si="40"/>
        <v>0</v>
      </c>
      <c r="U91" s="16">
        <f t="shared" si="40"/>
        <v>0</v>
      </c>
      <c r="V91" s="16">
        <f t="shared" si="40"/>
        <v>0</v>
      </c>
      <c r="W91" s="16">
        <f t="shared" si="40"/>
        <v>0</v>
      </c>
      <c r="X91" s="16">
        <f t="shared" si="40"/>
        <v>0</v>
      </c>
      <c r="Y91" s="16">
        <f t="shared" si="40"/>
        <v>0</v>
      </c>
      <c r="Z91" s="16">
        <f t="shared" si="40"/>
        <v>0</v>
      </c>
      <c r="AA91" s="18">
        <f t="shared" si="30"/>
        <v>0</v>
      </c>
    </row>
    <row r="92" spans="1:27" x14ac:dyDescent="0.25">
      <c r="A92" s="16" t="s">
        <v>99</v>
      </c>
      <c r="B92" s="16">
        <f t="shared" ref="B92:M92" si="41">B58</f>
        <v>0</v>
      </c>
      <c r="C92" s="16">
        <f t="shared" si="41"/>
        <v>0</v>
      </c>
      <c r="D92" s="16">
        <f t="shared" si="41"/>
        <v>0</v>
      </c>
      <c r="E92" s="16">
        <f t="shared" si="41"/>
        <v>0</v>
      </c>
      <c r="F92" s="16">
        <f t="shared" si="41"/>
        <v>0</v>
      </c>
      <c r="G92" s="16">
        <f t="shared" si="41"/>
        <v>0</v>
      </c>
      <c r="H92" s="16">
        <f t="shared" si="41"/>
        <v>0</v>
      </c>
      <c r="I92" s="16">
        <f t="shared" si="41"/>
        <v>0</v>
      </c>
      <c r="J92" s="16">
        <f t="shared" si="41"/>
        <v>0</v>
      </c>
      <c r="K92" s="16">
        <f t="shared" si="41"/>
        <v>0</v>
      </c>
      <c r="L92" s="16">
        <f t="shared" si="41"/>
        <v>0</v>
      </c>
      <c r="M92" s="16">
        <f t="shared" si="41"/>
        <v>0</v>
      </c>
      <c r="N92" s="18">
        <f t="shared" si="26"/>
        <v>0</v>
      </c>
      <c r="O92" s="16">
        <f t="shared" ref="O92:Z92" si="42">O58</f>
        <v>0</v>
      </c>
      <c r="P92" s="16">
        <f t="shared" si="42"/>
        <v>0</v>
      </c>
      <c r="Q92" s="16">
        <f t="shared" si="42"/>
        <v>0</v>
      </c>
      <c r="R92" s="16">
        <f t="shared" si="42"/>
        <v>0</v>
      </c>
      <c r="S92" s="16">
        <f t="shared" si="42"/>
        <v>0</v>
      </c>
      <c r="T92" s="16">
        <f t="shared" si="42"/>
        <v>0</v>
      </c>
      <c r="U92" s="16">
        <f t="shared" si="42"/>
        <v>0</v>
      </c>
      <c r="V92" s="16">
        <f t="shared" si="42"/>
        <v>0</v>
      </c>
      <c r="W92" s="16">
        <f t="shared" si="42"/>
        <v>0</v>
      </c>
      <c r="X92" s="16">
        <f t="shared" si="42"/>
        <v>0</v>
      </c>
      <c r="Y92" s="16">
        <f t="shared" si="42"/>
        <v>0</v>
      </c>
      <c r="Z92" s="16">
        <f t="shared" si="42"/>
        <v>0</v>
      </c>
      <c r="AA92" s="18">
        <f t="shared" si="30"/>
        <v>0</v>
      </c>
    </row>
    <row r="93" spans="1:27" x14ac:dyDescent="0.25">
      <c r="A93" s="16" t="s">
        <v>105</v>
      </c>
      <c r="B93" s="16">
        <f t="shared" ref="B93:M93" si="43">B64</f>
        <v>0</v>
      </c>
      <c r="C93" s="16">
        <f t="shared" si="43"/>
        <v>0</v>
      </c>
      <c r="D93" s="16">
        <f t="shared" si="43"/>
        <v>0</v>
      </c>
      <c r="E93" s="16">
        <f t="shared" si="43"/>
        <v>0</v>
      </c>
      <c r="F93" s="16">
        <f t="shared" si="43"/>
        <v>0</v>
      </c>
      <c r="G93" s="16">
        <f t="shared" si="43"/>
        <v>0</v>
      </c>
      <c r="H93" s="16">
        <f t="shared" si="43"/>
        <v>0</v>
      </c>
      <c r="I93" s="16">
        <f t="shared" si="43"/>
        <v>0</v>
      </c>
      <c r="J93" s="16">
        <f t="shared" si="43"/>
        <v>3600.94</v>
      </c>
      <c r="K93" s="16">
        <f t="shared" si="43"/>
        <v>1798.5633333333333</v>
      </c>
      <c r="L93" s="16">
        <f t="shared" si="43"/>
        <v>1602.5433333333333</v>
      </c>
      <c r="M93" s="16">
        <f t="shared" si="43"/>
        <v>1524.8033333333335</v>
      </c>
      <c r="N93" s="18">
        <f t="shared" si="26"/>
        <v>8526.85</v>
      </c>
      <c r="O93" s="16" t="e">
        <f t="shared" ref="O93:Z93" si="44">O64</f>
        <v>#REF!</v>
      </c>
      <c r="P93" s="16" t="e">
        <f t="shared" si="44"/>
        <v>#REF!</v>
      </c>
      <c r="Q93" s="16" t="e">
        <f t="shared" si="44"/>
        <v>#REF!</v>
      </c>
      <c r="R93" s="16" t="e">
        <f t="shared" si="44"/>
        <v>#REF!</v>
      </c>
      <c r="S93" s="16" t="e">
        <f t="shared" si="44"/>
        <v>#REF!</v>
      </c>
      <c r="T93" s="16" t="e">
        <f t="shared" si="44"/>
        <v>#REF!</v>
      </c>
      <c r="U93" s="16" t="e">
        <f t="shared" si="44"/>
        <v>#REF!</v>
      </c>
      <c r="V93" s="16" t="e">
        <f t="shared" si="44"/>
        <v>#REF!</v>
      </c>
      <c r="W93" s="16" t="e">
        <f t="shared" si="44"/>
        <v>#REF!</v>
      </c>
      <c r="X93" s="16" t="e">
        <f t="shared" si="44"/>
        <v>#REF!</v>
      </c>
      <c r="Y93" s="16" t="e">
        <f t="shared" si="44"/>
        <v>#REF!</v>
      </c>
      <c r="Z93" s="16" t="e">
        <f t="shared" si="44"/>
        <v>#REF!</v>
      </c>
      <c r="AA93" s="18" t="e">
        <f t="shared" si="30"/>
        <v>#REF!</v>
      </c>
    </row>
    <row r="94" spans="1:27" x14ac:dyDescent="0.25">
      <c r="A94" s="17" t="s">
        <v>36</v>
      </c>
      <c r="B94" s="18" t="e">
        <f>B82-B84</f>
        <v>#REF!</v>
      </c>
      <c r="C94" s="18" t="e">
        <f t="shared" ref="C94:M94" si="45">C82-C84</f>
        <v>#REF!</v>
      </c>
      <c r="D94" s="18" t="e">
        <f t="shared" si="45"/>
        <v>#REF!</v>
      </c>
      <c r="E94" s="18" t="e">
        <f t="shared" si="45"/>
        <v>#REF!</v>
      </c>
      <c r="F94" s="18" t="e">
        <f t="shared" si="45"/>
        <v>#REF!</v>
      </c>
      <c r="G94" s="18" t="e">
        <f t="shared" si="45"/>
        <v>#REF!</v>
      </c>
      <c r="H94" s="18" t="e">
        <f t="shared" si="45"/>
        <v>#REF!</v>
      </c>
      <c r="I94" s="18" t="e">
        <f t="shared" si="45"/>
        <v>#REF!</v>
      </c>
      <c r="J94" s="18" t="e">
        <f t="shared" si="45"/>
        <v>#REF!</v>
      </c>
      <c r="K94" s="18" t="e">
        <f t="shared" si="45"/>
        <v>#REF!</v>
      </c>
      <c r="L94" s="18" t="e">
        <f t="shared" si="45"/>
        <v>#REF!</v>
      </c>
      <c r="M94" s="18" t="e">
        <f t="shared" si="45"/>
        <v>#REF!</v>
      </c>
      <c r="N94" s="18" t="e">
        <f t="shared" si="26"/>
        <v>#REF!</v>
      </c>
      <c r="O94" s="18" t="e">
        <f t="shared" ref="O94:Z94" si="46">O82-O84</f>
        <v>#REF!</v>
      </c>
      <c r="P94" s="18" t="e">
        <f t="shared" si="46"/>
        <v>#REF!</v>
      </c>
      <c r="Q94" s="18" t="e">
        <f t="shared" si="46"/>
        <v>#REF!</v>
      </c>
      <c r="R94" s="18" t="e">
        <f t="shared" si="46"/>
        <v>#REF!</v>
      </c>
      <c r="S94" s="18" t="e">
        <f t="shared" si="46"/>
        <v>#REF!</v>
      </c>
      <c r="T94" s="18" t="e">
        <f t="shared" si="46"/>
        <v>#REF!</v>
      </c>
      <c r="U94" s="18" t="e">
        <f t="shared" si="46"/>
        <v>#REF!</v>
      </c>
      <c r="V94" s="18" t="e">
        <f t="shared" si="46"/>
        <v>#REF!</v>
      </c>
      <c r="W94" s="18" t="e">
        <f t="shared" si="46"/>
        <v>#REF!</v>
      </c>
      <c r="X94" s="18" t="e">
        <f t="shared" si="46"/>
        <v>#REF!</v>
      </c>
      <c r="Y94" s="18" t="e">
        <f t="shared" si="46"/>
        <v>#REF!</v>
      </c>
      <c r="Z94" s="18" t="e">
        <f t="shared" si="46"/>
        <v>#REF!</v>
      </c>
      <c r="AA94" s="18" t="e">
        <f t="shared" si="30"/>
        <v>#REF!</v>
      </c>
    </row>
    <row r="95" spans="1:27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5">
      <c r="A96" s="21" t="s">
        <v>40</v>
      </c>
      <c r="B96" s="24" t="e">
        <f>B82-B84</f>
        <v>#REF!</v>
      </c>
      <c r="C96" s="24" t="e">
        <f t="shared" ref="C96:M96" si="47">C82-C84</f>
        <v>#REF!</v>
      </c>
      <c r="D96" s="24" t="e">
        <f t="shared" si="47"/>
        <v>#REF!</v>
      </c>
      <c r="E96" s="24" t="e">
        <f t="shared" si="47"/>
        <v>#REF!</v>
      </c>
      <c r="F96" s="24" t="e">
        <f t="shared" si="47"/>
        <v>#REF!</v>
      </c>
      <c r="G96" s="24" t="e">
        <f t="shared" si="47"/>
        <v>#REF!</v>
      </c>
      <c r="H96" s="24" t="e">
        <f t="shared" si="47"/>
        <v>#REF!</v>
      </c>
      <c r="I96" s="24" t="e">
        <f t="shared" si="47"/>
        <v>#REF!</v>
      </c>
      <c r="J96" s="24" t="e">
        <f t="shared" si="47"/>
        <v>#REF!</v>
      </c>
      <c r="K96" s="24" t="e">
        <f t="shared" si="47"/>
        <v>#REF!</v>
      </c>
      <c r="L96" s="24" t="e">
        <f t="shared" si="47"/>
        <v>#REF!</v>
      </c>
      <c r="M96" s="24" t="e">
        <f t="shared" si="47"/>
        <v>#REF!</v>
      </c>
      <c r="N96" s="10"/>
      <c r="O96" s="24" t="e">
        <f>O82-O84</f>
        <v>#REF!</v>
      </c>
      <c r="P96" s="24" t="e">
        <f t="shared" ref="P96:Z96" si="48">P82-P84</f>
        <v>#REF!</v>
      </c>
      <c r="Q96" s="24" t="e">
        <f t="shared" si="48"/>
        <v>#REF!</v>
      </c>
      <c r="R96" s="24" t="e">
        <f t="shared" si="48"/>
        <v>#REF!</v>
      </c>
      <c r="S96" s="24" t="e">
        <f t="shared" si="48"/>
        <v>#REF!</v>
      </c>
      <c r="T96" s="24" t="e">
        <f t="shared" si="48"/>
        <v>#REF!</v>
      </c>
      <c r="U96" s="24" t="e">
        <f t="shared" si="48"/>
        <v>#REF!</v>
      </c>
      <c r="V96" s="24" t="e">
        <f t="shared" si="48"/>
        <v>#REF!</v>
      </c>
      <c r="W96" s="24" t="e">
        <f t="shared" si="48"/>
        <v>#REF!</v>
      </c>
      <c r="X96" s="24" t="e">
        <f t="shared" si="48"/>
        <v>#REF!</v>
      </c>
      <c r="Y96" s="24" t="e">
        <f t="shared" si="48"/>
        <v>#REF!</v>
      </c>
      <c r="Z96" s="24" t="e">
        <f t="shared" si="48"/>
        <v>#REF!</v>
      </c>
      <c r="AA96" s="10"/>
    </row>
    <row r="97" spans="1:27" x14ac:dyDescent="0.25">
      <c r="A97" s="7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x14ac:dyDescent="0.25">
      <c r="A98" s="16" t="s">
        <v>163</v>
      </c>
      <c r="B98" s="16"/>
      <c r="C98" s="16"/>
      <c r="D98" s="16"/>
      <c r="E98" s="16"/>
      <c r="F98" s="16"/>
      <c r="G98" s="16"/>
      <c r="H98" s="16"/>
      <c r="I98" s="16">
        <v>0</v>
      </c>
      <c r="J98" s="16"/>
      <c r="K98" s="16"/>
      <c r="L98" s="16"/>
      <c r="M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7" x14ac:dyDescent="0.25">
      <c r="A99" s="16" t="s">
        <v>162</v>
      </c>
      <c r="B99" s="16"/>
      <c r="C99" s="16"/>
      <c r="D99" s="16"/>
      <c r="E99" s="16"/>
      <c r="F99" s="16"/>
      <c r="G99" s="16"/>
      <c r="H99" s="16"/>
      <c r="I99" s="16">
        <v>124.17</v>
      </c>
      <c r="J99" s="16"/>
      <c r="K99" s="16"/>
      <c r="L99" s="16"/>
      <c r="M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7" x14ac:dyDescent="0.25">
      <c r="A100" s="16" t="s">
        <v>164</v>
      </c>
      <c r="B100" s="16"/>
      <c r="C100" s="16"/>
      <c r="D100" s="16"/>
      <c r="E100" s="16"/>
      <c r="F100" s="16"/>
      <c r="G100" s="16"/>
      <c r="H100" s="16"/>
      <c r="I100" s="16">
        <f>(386.3+112.53)-70</f>
        <v>428.83000000000004</v>
      </c>
      <c r="J100" s="16"/>
      <c r="K100" s="16"/>
      <c r="L100" s="16"/>
      <c r="M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7" x14ac:dyDescent="0.25">
      <c r="A101" s="16" t="s">
        <v>165</v>
      </c>
      <c r="B101" s="16"/>
      <c r="C101" s="16"/>
      <c r="D101" s="16"/>
      <c r="E101" s="16"/>
      <c r="F101" s="16"/>
      <c r="G101" s="16"/>
      <c r="H101" s="16"/>
      <c r="I101" s="16">
        <v>0</v>
      </c>
      <c r="J101" s="16"/>
      <c r="K101" s="16"/>
      <c r="L101" s="16"/>
      <c r="M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7" x14ac:dyDescent="0.25">
      <c r="A102" s="17" t="s">
        <v>166</v>
      </c>
      <c r="B102" s="18"/>
      <c r="C102" s="18"/>
      <c r="D102" s="18"/>
      <c r="E102" s="18"/>
      <c r="F102" s="18"/>
      <c r="G102" s="18"/>
      <c r="H102" s="18"/>
      <c r="I102" s="36">
        <f>SUM(I98:I101)</f>
        <v>553</v>
      </c>
      <c r="J102" s="36">
        <f t="shared" ref="J102:M102" si="49">SUM(J98:J101)</f>
        <v>0</v>
      </c>
      <c r="K102" s="36">
        <f t="shared" si="49"/>
        <v>0</v>
      </c>
      <c r="L102" s="36">
        <f t="shared" si="49"/>
        <v>0</v>
      </c>
      <c r="M102" s="36">
        <f t="shared" si="49"/>
        <v>0</v>
      </c>
      <c r="O102" s="36">
        <f t="shared" ref="O102:Z102" si="50">SUM(O98:O101)</f>
        <v>0</v>
      </c>
      <c r="P102" s="36">
        <f t="shared" si="50"/>
        <v>0</v>
      </c>
      <c r="Q102" s="36">
        <f t="shared" si="50"/>
        <v>0</v>
      </c>
      <c r="R102" s="36">
        <f t="shared" si="50"/>
        <v>0</v>
      </c>
      <c r="S102" s="36">
        <f t="shared" si="50"/>
        <v>0</v>
      </c>
      <c r="T102" s="36">
        <f t="shared" si="50"/>
        <v>0</v>
      </c>
      <c r="U102" s="36">
        <f t="shared" si="50"/>
        <v>0</v>
      </c>
      <c r="V102" s="36">
        <f t="shared" si="50"/>
        <v>0</v>
      </c>
      <c r="W102" s="36">
        <f t="shared" si="50"/>
        <v>0</v>
      </c>
      <c r="X102" s="36">
        <f t="shared" si="50"/>
        <v>0</v>
      </c>
      <c r="Y102" s="36">
        <f t="shared" si="50"/>
        <v>0</v>
      </c>
      <c r="Z102" s="36">
        <f t="shared" si="50"/>
        <v>0</v>
      </c>
    </row>
    <row r="104" spans="1:27" x14ac:dyDescent="0.25">
      <c r="I104" s="37" t="e">
        <f>I94-I102</f>
        <v>#REF!</v>
      </c>
    </row>
    <row r="105" spans="1:27" x14ac:dyDescent="0.25">
      <c r="I105" s="37">
        <f>I102-125</f>
        <v>428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>
      <selection activeCell="K2" sqref="K2:S2"/>
    </sheetView>
  </sheetViews>
  <sheetFormatPr defaultRowHeight="15" x14ac:dyDescent="0.25"/>
  <cols>
    <col min="1" max="1" width="10.42578125" bestFit="1" customWidth="1"/>
  </cols>
  <sheetData>
    <row r="1" spans="1:32" s="56" customFormat="1" ht="11.25" x14ac:dyDescent="0.2">
      <c r="A1" s="57" t="s">
        <v>199</v>
      </c>
      <c r="B1" s="58">
        <v>43252</v>
      </c>
      <c r="C1" s="58">
        <v>43282</v>
      </c>
      <c r="D1" s="58">
        <v>43313</v>
      </c>
      <c r="E1" s="58">
        <v>43344</v>
      </c>
      <c r="F1" s="58">
        <v>43374</v>
      </c>
      <c r="G1" s="58">
        <v>43405</v>
      </c>
      <c r="H1" s="58">
        <v>43435</v>
      </c>
      <c r="I1" s="58">
        <v>43466</v>
      </c>
      <c r="J1" s="58">
        <v>43497</v>
      </c>
      <c r="K1" s="58">
        <v>43525</v>
      </c>
      <c r="L1" s="58">
        <v>43556</v>
      </c>
      <c r="M1" s="58">
        <v>43586</v>
      </c>
      <c r="N1" s="58">
        <v>43617</v>
      </c>
      <c r="O1" s="58">
        <v>43647</v>
      </c>
      <c r="P1" s="58">
        <v>43678</v>
      </c>
      <c r="Q1" s="58">
        <v>43709</v>
      </c>
      <c r="R1" s="58">
        <v>43739</v>
      </c>
      <c r="S1" s="58">
        <v>43770</v>
      </c>
      <c r="T1" s="58">
        <v>43800</v>
      </c>
      <c r="U1" s="58">
        <v>43831</v>
      </c>
      <c r="V1" s="58">
        <v>43862</v>
      </c>
      <c r="W1" s="58">
        <v>43891</v>
      </c>
      <c r="X1" s="58">
        <v>43922</v>
      </c>
      <c r="Y1" s="58">
        <v>43952</v>
      </c>
      <c r="Z1" s="58">
        <v>43983</v>
      </c>
      <c r="AA1" s="58">
        <v>44013</v>
      </c>
      <c r="AB1" s="58">
        <v>44044</v>
      </c>
      <c r="AC1" s="58">
        <v>44075</v>
      </c>
      <c r="AD1" s="58">
        <v>44105</v>
      </c>
      <c r="AE1" s="58">
        <v>44136</v>
      </c>
      <c r="AF1" s="58">
        <v>44166</v>
      </c>
    </row>
    <row r="2" spans="1:32" x14ac:dyDescent="0.25">
      <c r="A2" s="57" t="s">
        <v>198</v>
      </c>
      <c r="B2" s="59">
        <v>119</v>
      </c>
      <c r="C2" s="59">
        <v>119</v>
      </c>
      <c r="D2" s="59">
        <v>119</v>
      </c>
      <c r="E2" s="59">
        <v>119</v>
      </c>
      <c r="F2" s="59">
        <v>119</v>
      </c>
      <c r="G2" s="59">
        <v>119</v>
      </c>
      <c r="H2" s="59">
        <v>119</v>
      </c>
      <c r="I2" s="59">
        <v>0</v>
      </c>
      <c r="J2" s="59">
        <v>0</v>
      </c>
      <c r="K2" s="95">
        <v>160</v>
      </c>
      <c r="L2" s="95">
        <v>160</v>
      </c>
      <c r="M2" s="95">
        <v>160</v>
      </c>
      <c r="N2" s="95">
        <v>160</v>
      </c>
      <c r="O2" s="95">
        <v>160</v>
      </c>
      <c r="P2" s="95">
        <v>160</v>
      </c>
      <c r="Q2" s="95">
        <v>160</v>
      </c>
      <c r="R2" s="95">
        <v>160</v>
      </c>
      <c r="S2" s="95">
        <v>160</v>
      </c>
      <c r="T2" s="59">
        <v>0</v>
      </c>
      <c r="U2" s="59">
        <v>119</v>
      </c>
      <c r="V2" s="59">
        <v>119</v>
      </c>
      <c r="W2" s="59">
        <v>119</v>
      </c>
      <c r="X2" s="59">
        <v>119</v>
      </c>
      <c r="Y2" s="59">
        <v>119</v>
      </c>
      <c r="Z2" s="59">
        <v>119</v>
      </c>
      <c r="AA2" s="59">
        <v>119</v>
      </c>
      <c r="AB2" s="59">
        <v>119</v>
      </c>
      <c r="AC2" s="59">
        <v>119</v>
      </c>
      <c r="AD2" s="59">
        <v>119</v>
      </c>
      <c r="AE2" s="59">
        <v>119</v>
      </c>
      <c r="AF2" s="59">
        <v>119</v>
      </c>
    </row>
    <row r="3" spans="1:32" ht="22.5" x14ac:dyDescent="0.25">
      <c r="A3" s="57" t="s">
        <v>197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5" spans="1:32" x14ac:dyDescent="0.25">
      <c r="K5" t="s">
        <v>329</v>
      </c>
      <c r="L5" s="35">
        <f>SUM(K2:S2)</f>
        <v>1440</v>
      </c>
    </row>
    <row r="8" spans="1:32" x14ac:dyDescent="0.25">
      <c r="F8" s="62">
        <v>26.9</v>
      </c>
    </row>
    <row r="9" spans="1:32" x14ac:dyDescent="0.25">
      <c r="F9" s="62">
        <f>F8/3</f>
        <v>8.9666666666666668</v>
      </c>
      <c r="G9" s="63">
        <f>83.64+F9</f>
        <v>92.606666666666669</v>
      </c>
    </row>
    <row r="12" spans="1:32" x14ac:dyDescent="0.25">
      <c r="F12">
        <f>8.97*3</f>
        <v>26.910000000000004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Views>
    <sheetView showGridLines="0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54" sqref="K54"/>
    </sheetView>
  </sheetViews>
  <sheetFormatPr defaultRowHeight="15" x14ac:dyDescent="0.25"/>
  <cols>
    <col min="1" max="1" width="52.28515625" style="5" customWidth="1"/>
    <col min="2" max="10" width="12.7109375" style="5" hidden="1" customWidth="1"/>
    <col min="11" max="14" width="12.7109375" style="5" customWidth="1"/>
    <col min="15" max="27" width="12.7109375" style="5" hidden="1" customWidth="1"/>
    <col min="28" max="16384" width="9.140625" style="5"/>
  </cols>
  <sheetData>
    <row r="1" spans="1:27" x14ac:dyDescent="0.25">
      <c r="A1" s="26" t="s">
        <v>41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  <c r="H1" s="27" t="s">
        <v>27</v>
      </c>
      <c r="I1" s="27" t="s">
        <v>28</v>
      </c>
      <c r="J1" s="27" t="s">
        <v>29</v>
      </c>
      <c r="K1" s="27" t="s">
        <v>30</v>
      </c>
      <c r="L1" s="27" t="s">
        <v>31</v>
      </c>
      <c r="M1" s="27" t="s">
        <v>32</v>
      </c>
      <c r="N1" s="27" t="s">
        <v>33</v>
      </c>
      <c r="O1" s="27" t="s">
        <v>21</v>
      </c>
      <c r="P1" s="27" t="s">
        <v>22</v>
      </c>
      <c r="Q1" s="27" t="s">
        <v>23</v>
      </c>
      <c r="R1" s="27" t="s">
        <v>24</v>
      </c>
      <c r="S1" s="27" t="s">
        <v>25</v>
      </c>
      <c r="T1" s="27" t="s">
        <v>26</v>
      </c>
      <c r="U1" s="27" t="s">
        <v>27</v>
      </c>
      <c r="V1" s="27" t="s">
        <v>28</v>
      </c>
      <c r="W1" s="27" t="s">
        <v>29</v>
      </c>
      <c r="X1" s="27" t="s">
        <v>30</v>
      </c>
      <c r="Y1" s="27" t="s">
        <v>31</v>
      </c>
      <c r="Z1" s="27" t="s">
        <v>32</v>
      </c>
      <c r="AA1" s="27" t="s">
        <v>33</v>
      </c>
    </row>
    <row r="2" spans="1:27" x14ac:dyDescent="0.25">
      <c r="A2" s="15" t="s">
        <v>42</v>
      </c>
      <c r="B2" s="16">
        <v>0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f>'PLANO DE SAÚDE'!L11</f>
        <v>894.08999999999992</v>
      </c>
      <c r="J2" s="16">
        <f>'PLANO DE SAÚDE'!M9</f>
        <v>1151.5494080000003</v>
      </c>
      <c r="K2" s="16">
        <f>'PLANO DE SAÚDE'!N9</f>
        <v>1121.2931040000001</v>
      </c>
      <c r="L2" s="16">
        <f>'PLANO DE SAÚDE'!O9</f>
        <v>1121.2931040000001</v>
      </c>
      <c r="M2" s="16">
        <f>'PLANO DE SAÚDE'!P9</f>
        <v>1121.2931040000001</v>
      </c>
      <c r="N2" s="15">
        <f t="shared" ref="N2:N8" si="0">SUM(B2:M2)</f>
        <v>5409.5187200000009</v>
      </c>
      <c r="O2" s="16"/>
      <c r="P2" s="16"/>
      <c r="Q2" s="16">
        <v>4000</v>
      </c>
      <c r="R2" s="16">
        <v>4000</v>
      </c>
      <c r="S2" s="16">
        <v>4000</v>
      </c>
      <c r="T2" s="16">
        <v>4000</v>
      </c>
      <c r="U2" s="16">
        <v>4000</v>
      </c>
      <c r="V2" s="16">
        <v>4000</v>
      </c>
      <c r="W2" s="16">
        <v>4000</v>
      </c>
      <c r="X2" s="16">
        <v>4000</v>
      </c>
      <c r="Y2" s="16">
        <v>4000</v>
      </c>
      <c r="Z2" s="16">
        <v>4000</v>
      </c>
      <c r="AA2" s="15">
        <f>SUM(O2:Z2)</f>
        <v>40000</v>
      </c>
    </row>
    <row r="3" spans="1:27" x14ac:dyDescent="0.25">
      <c r="A3" s="15" t="s">
        <v>235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250</v>
      </c>
      <c r="L3" s="16">
        <v>0</v>
      </c>
      <c r="M3" s="16">
        <v>0</v>
      </c>
      <c r="N3" s="15">
        <f t="shared" si="0"/>
        <v>250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5"/>
    </row>
    <row r="4" spans="1:27" x14ac:dyDescent="0.25">
      <c r="A4" s="15" t="s">
        <v>43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/>
      <c r="K4" s="16">
        <v>0</v>
      </c>
      <c r="L4" s="16">
        <v>0</v>
      </c>
      <c r="M4" s="16">
        <v>0</v>
      </c>
      <c r="N4" s="15">
        <f t="shared" si="0"/>
        <v>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5">
        <f t="shared" ref="AA4:AA8" si="1">SUM(O4:Z4)</f>
        <v>0</v>
      </c>
    </row>
    <row r="5" spans="1:27" x14ac:dyDescent="0.25">
      <c r="A5" s="15" t="s">
        <v>44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5">
        <f t="shared" si="0"/>
        <v>0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5">
        <f t="shared" si="1"/>
        <v>0</v>
      </c>
    </row>
    <row r="6" spans="1:27" x14ac:dyDescent="0.25">
      <c r="A6" s="15" t="s">
        <v>45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1573.69</v>
      </c>
      <c r="K6" s="16">
        <v>0</v>
      </c>
      <c r="L6" s="16">
        <v>0</v>
      </c>
      <c r="M6" s="16">
        <v>0</v>
      </c>
      <c r="N6" s="15">
        <f t="shared" si="0"/>
        <v>1573.69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5">
        <f t="shared" si="1"/>
        <v>0</v>
      </c>
    </row>
    <row r="7" spans="1:27" x14ac:dyDescent="0.25">
      <c r="A7" s="15" t="s">
        <v>46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f>650+260</f>
        <v>910</v>
      </c>
      <c r="J7" s="16">
        <f>650+260</f>
        <v>910</v>
      </c>
      <c r="K7" s="16">
        <f>650</f>
        <v>650</v>
      </c>
      <c r="L7" s="16">
        <f>650</f>
        <v>650</v>
      </c>
      <c r="M7" s="16">
        <f>650</f>
        <v>650</v>
      </c>
      <c r="N7" s="15">
        <f t="shared" si="0"/>
        <v>3770</v>
      </c>
      <c r="O7" s="16">
        <v>650</v>
      </c>
      <c r="P7" s="16">
        <v>650</v>
      </c>
      <c r="Q7" s="16">
        <v>650</v>
      </c>
      <c r="R7" s="16">
        <v>650</v>
      </c>
      <c r="S7" s="16">
        <v>650</v>
      </c>
      <c r="T7" s="16">
        <v>650</v>
      </c>
      <c r="U7" s="16">
        <v>650</v>
      </c>
      <c r="V7" s="16">
        <v>650</v>
      </c>
      <c r="W7" s="16">
        <v>650</v>
      </c>
      <c r="X7" s="16">
        <v>650</v>
      </c>
      <c r="Y7" s="16">
        <v>650</v>
      </c>
      <c r="Z7" s="16">
        <v>650</v>
      </c>
      <c r="AA7" s="15">
        <f t="shared" si="1"/>
        <v>7800</v>
      </c>
    </row>
    <row r="8" spans="1:27" x14ac:dyDescent="0.25">
      <c r="A8" s="15" t="s">
        <v>47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833</v>
      </c>
      <c r="I8" s="16">
        <f>510.97+104.83+83.64+113.2+2000+1000+125</f>
        <v>3937.6400000000003</v>
      </c>
      <c r="J8" s="16">
        <f>377.24</f>
        <v>377.24</v>
      </c>
      <c r="K8" s="16">
        <f>436.54+500+700</f>
        <v>1636.54</v>
      </c>
      <c r="L8" s="16">
        <v>302.33999999999997</v>
      </c>
      <c r="M8" s="16">
        <v>224.6</v>
      </c>
      <c r="N8" s="15">
        <f t="shared" si="0"/>
        <v>7311.3600000000006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5">
        <f t="shared" si="1"/>
        <v>0</v>
      </c>
    </row>
    <row r="9" spans="1:27" x14ac:dyDescent="0.25">
      <c r="A9" s="21" t="s">
        <v>34</v>
      </c>
      <c r="B9" s="22">
        <f>SUM(B2:B8)</f>
        <v>0</v>
      </c>
      <c r="C9" s="22">
        <f t="shared" ref="C9:M9" si="2">SUM(C2:C8)</f>
        <v>0</v>
      </c>
      <c r="D9" s="22">
        <f t="shared" si="2"/>
        <v>0</v>
      </c>
      <c r="E9" s="22">
        <f t="shared" si="2"/>
        <v>0</v>
      </c>
      <c r="F9" s="22">
        <f t="shared" si="2"/>
        <v>0</v>
      </c>
      <c r="G9" s="22">
        <f t="shared" si="2"/>
        <v>0</v>
      </c>
      <c r="H9" s="22">
        <f t="shared" si="2"/>
        <v>833</v>
      </c>
      <c r="I9" s="22">
        <f>SUM(I2:I8)</f>
        <v>5741.7300000000005</v>
      </c>
      <c r="J9" s="22">
        <f t="shared" si="2"/>
        <v>4012.4794080000001</v>
      </c>
      <c r="K9" s="22">
        <f t="shared" si="2"/>
        <v>3657.8331040000003</v>
      </c>
      <c r="L9" s="22">
        <f t="shared" si="2"/>
        <v>2073.633104</v>
      </c>
      <c r="M9" s="22">
        <f t="shared" si="2"/>
        <v>1995.893104</v>
      </c>
      <c r="N9" s="22">
        <f>SUM(N2:N8)</f>
        <v>18314.568720000003</v>
      </c>
      <c r="O9" s="22">
        <f t="shared" ref="O9:Y9" si="3">SUM(O2:O8)</f>
        <v>650</v>
      </c>
      <c r="P9" s="22">
        <f t="shared" si="3"/>
        <v>650</v>
      </c>
      <c r="Q9" s="22">
        <f t="shared" si="3"/>
        <v>4650</v>
      </c>
      <c r="R9" s="22">
        <f t="shared" si="3"/>
        <v>4650</v>
      </c>
      <c r="S9" s="22">
        <f t="shared" si="3"/>
        <v>4650</v>
      </c>
      <c r="T9" s="22">
        <f t="shared" si="3"/>
        <v>4650</v>
      </c>
      <c r="U9" s="22">
        <f t="shared" si="3"/>
        <v>4650</v>
      </c>
      <c r="V9" s="22">
        <f t="shared" si="3"/>
        <v>4650</v>
      </c>
      <c r="W9" s="22">
        <f t="shared" si="3"/>
        <v>4650</v>
      </c>
      <c r="X9" s="22">
        <f t="shared" si="3"/>
        <v>4650</v>
      </c>
      <c r="Y9" s="22">
        <f t="shared" si="3"/>
        <v>4650</v>
      </c>
      <c r="Z9" s="22">
        <f t="shared" ref="Z9:AA9" si="4">SUM(Z2:Z8)</f>
        <v>4650</v>
      </c>
      <c r="AA9" s="22">
        <f t="shared" si="4"/>
        <v>47800</v>
      </c>
    </row>
    <row r="10" spans="1:27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9"/>
    </row>
    <row r="11" spans="1:27" x14ac:dyDescent="0.25">
      <c r="A11" s="26" t="s">
        <v>48</v>
      </c>
      <c r="B11" s="27" t="s">
        <v>21</v>
      </c>
      <c r="C11" s="27" t="s">
        <v>22</v>
      </c>
      <c r="D11" s="27" t="s">
        <v>23</v>
      </c>
      <c r="E11" s="27" t="s">
        <v>24</v>
      </c>
      <c r="F11" s="27" t="s">
        <v>25</v>
      </c>
      <c r="G11" s="27" t="s">
        <v>26</v>
      </c>
      <c r="H11" s="27" t="s">
        <v>27</v>
      </c>
      <c r="I11" s="27" t="s">
        <v>28</v>
      </c>
      <c r="J11" s="27" t="s">
        <v>29</v>
      </c>
      <c r="K11" s="27" t="s">
        <v>30</v>
      </c>
      <c r="L11" s="27" t="s">
        <v>31</v>
      </c>
      <c r="M11" s="27" t="s">
        <v>32</v>
      </c>
      <c r="N11" s="27" t="s">
        <v>33</v>
      </c>
      <c r="O11" s="27" t="s">
        <v>21</v>
      </c>
      <c r="P11" s="27" t="s">
        <v>22</v>
      </c>
      <c r="Q11" s="27" t="s">
        <v>23</v>
      </c>
      <c r="R11" s="27" t="s">
        <v>24</v>
      </c>
      <c r="S11" s="27" t="s">
        <v>25</v>
      </c>
      <c r="T11" s="27" t="s">
        <v>26</v>
      </c>
      <c r="U11" s="27" t="s">
        <v>27</v>
      </c>
      <c r="V11" s="27" t="s">
        <v>28</v>
      </c>
      <c r="W11" s="27" t="s">
        <v>29</v>
      </c>
      <c r="X11" s="27" t="s">
        <v>30</v>
      </c>
      <c r="Y11" s="27" t="s">
        <v>31</v>
      </c>
      <c r="Z11" s="27" t="s">
        <v>32</v>
      </c>
      <c r="AA11" s="27" t="s">
        <v>33</v>
      </c>
    </row>
    <row r="12" spans="1:27" x14ac:dyDescent="0.25">
      <c r="A12" s="21" t="s">
        <v>49</v>
      </c>
      <c r="B12" s="22">
        <f>SUM(B13:B17)</f>
        <v>0</v>
      </c>
      <c r="C12" s="22">
        <f>SUM(C13:C17)</f>
        <v>0</v>
      </c>
      <c r="D12" s="22">
        <f t="shared" ref="D12:M12" si="5">SUM(D13:D17)</f>
        <v>0</v>
      </c>
      <c r="E12" s="22">
        <f t="shared" si="5"/>
        <v>0</v>
      </c>
      <c r="F12" s="22">
        <f t="shared" si="5"/>
        <v>0</v>
      </c>
      <c r="G12" s="22">
        <f t="shared" si="5"/>
        <v>0</v>
      </c>
      <c r="H12" s="22">
        <f t="shared" si="5"/>
        <v>0</v>
      </c>
      <c r="I12" s="22">
        <f t="shared" si="5"/>
        <v>236.65</v>
      </c>
      <c r="J12" s="22">
        <f t="shared" si="5"/>
        <v>0</v>
      </c>
      <c r="K12" s="22">
        <f t="shared" si="5"/>
        <v>250</v>
      </c>
      <c r="L12" s="22">
        <f t="shared" si="5"/>
        <v>0</v>
      </c>
      <c r="M12" s="22">
        <f t="shared" si="5"/>
        <v>0</v>
      </c>
      <c r="N12" s="23">
        <f t="shared" ref="N12:N17" si="6">SUM(B12:M12)</f>
        <v>486.65</v>
      </c>
      <c r="O12" s="22">
        <f t="shared" ref="O12:Y12" si="7">SUM(O13:O17)</f>
        <v>0</v>
      </c>
      <c r="P12" s="22">
        <f t="shared" si="7"/>
        <v>0</v>
      </c>
      <c r="Q12" s="22">
        <f t="shared" si="7"/>
        <v>300</v>
      </c>
      <c r="R12" s="22">
        <f t="shared" si="7"/>
        <v>300</v>
      </c>
      <c r="S12" s="22">
        <f t="shared" si="7"/>
        <v>300</v>
      </c>
      <c r="T12" s="22">
        <f t="shared" si="7"/>
        <v>300</v>
      </c>
      <c r="U12" s="22">
        <f t="shared" si="7"/>
        <v>300</v>
      </c>
      <c r="V12" s="22">
        <f t="shared" si="7"/>
        <v>300</v>
      </c>
      <c r="W12" s="22">
        <f t="shared" si="7"/>
        <v>300</v>
      </c>
      <c r="X12" s="22">
        <f t="shared" si="7"/>
        <v>300</v>
      </c>
      <c r="Y12" s="22">
        <f t="shared" si="7"/>
        <v>300</v>
      </c>
      <c r="Z12" s="22">
        <f t="shared" ref="Z12" si="8">SUM(Z13:Z17)</f>
        <v>300</v>
      </c>
      <c r="AA12" s="23">
        <f>SUM(O12:Z12)</f>
        <v>3000</v>
      </c>
    </row>
    <row r="13" spans="1:27" x14ac:dyDescent="0.25">
      <c r="A13" s="15" t="s">
        <v>50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200</v>
      </c>
      <c r="J13" s="16">
        <v>0</v>
      </c>
      <c r="K13" s="16">
        <v>250</v>
      </c>
      <c r="L13" s="16">
        <v>0</v>
      </c>
      <c r="M13" s="16">
        <v>0</v>
      </c>
      <c r="N13" s="15">
        <f t="shared" si="6"/>
        <v>450</v>
      </c>
      <c r="O13" s="16"/>
      <c r="P13" s="16"/>
      <c r="Q13" s="16">
        <v>300</v>
      </c>
      <c r="R13" s="16">
        <v>300</v>
      </c>
      <c r="S13" s="16">
        <v>300</v>
      </c>
      <c r="T13" s="16">
        <v>300</v>
      </c>
      <c r="U13" s="16">
        <v>300</v>
      </c>
      <c r="V13" s="16">
        <v>300</v>
      </c>
      <c r="W13" s="16">
        <v>300</v>
      </c>
      <c r="X13" s="16">
        <v>300</v>
      </c>
      <c r="Y13" s="16">
        <v>300</v>
      </c>
      <c r="Z13" s="16">
        <v>300</v>
      </c>
      <c r="AA13" s="15">
        <f>SUM(O13:Z13)</f>
        <v>3000</v>
      </c>
    </row>
    <row r="14" spans="1:27" x14ac:dyDescent="0.25">
      <c r="A14" s="15" t="s">
        <v>51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5">
        <f t="shared" si="6"/>
        <v>0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5">
        <f t="shared" ref="AA14:AA76" si="9">SUM(O14:Z14)</f>
        <v>0</v>
      </c>
    </row>
    <row r="15" spans="1:27" x14ac:dyDescent="0.25">
      <c r="A15" s="15" t="s">
        <v>52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5">
        <f t="shared" si="6"/>
        <v>0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5">
        <f t="shared" si="9"/>
        <v>0</v>
      </c>
    </row>
    <row r="16" spans="1:27" x14ac:dyDescent="0.25">
      <c r="A16" s="15" t="s">
        <v>53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5">
        <f t="shared" si="6"/>
        <v>0</v>
      </c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5">
        <f t="shared" si="9"/>
        <v>0</v>
      </c>
    </row>
    <row r="17" spans="1:27" x14ac:dyDescent="0.25">
      <c r="A17" s="15" t="s">
        <v>54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36.65</v>
      </c>
      <c r="J17" s="16">
        <v>0</v>
      </c>
      <c r="K17" s="16">
        <v>0</v>
      </c>
      <c r="L17" s="16">
        <v>0</v>
      </c>
      <c r="M17" s="16">
        <v>0</v>
      </c>
      <c r="N17" s="15">
        <f t="shared" si="6"/>
        <v>36.65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5">
        <f t="shared" si="9"/>
        <v>0</v>
      </c>
    </row>
    <row r="18" spans="1:27" s="20" customFormat="1" x14ac:dyDescent="0.25">
      <c r="A18" s="21" t="s">
        <v>55</v>
      </c>
      <c r="B18" s="22">
        <f>SUM(B19:B30)</f>
        <v>0</v>
      </c>
      <c r="C18" s="22">
        <f t="shared" ref="C18:N18" si="10">SUM(C19:C30)</f>
        <v>0</v>
      </c>
      <c r="D18" s="22">
        <f t="shared" si="10"/>
        <v>0</v>
      </c>
      <c r="E18" s="22">
        <f t="shared" si="10"/>
        <v>0</v>
      </c>
      <c r="F18" s="22">
        <f t="shared" si="10"/>
        <v>0</v>
      </c>
      <c r="G18" s="22">
        <f t="shared" si="10"/>
        <v>0</v>
      </c>
      <c r="H18" s="22">
        <f t="shared" si="10"/>
        <v>0</v>
      </c>
      <c r="I18" s="22">
        <f t="shared" si="10"/>
        <v>109.99000000000001</v>
      </c>
      <c r="J18" s="22">
        <f t="shared" si="10"/>
        <v>109.99000000000001</v>
      </c>
      <c r="K18" s="22">
        <f t="shared" si="10"/>
        <v>159.99</v>
      </c>
      <c r="L18" s="22">
        <f t="shared" si="10"/>
        <v>109.99000000000001</v>
      </c>
      <c r="M18" s="22">
        <f t="shared" si="10"/>
        <v>109.99000000000001</v>
      </c>
      <c r="N18" s="22">
        <f t="shared" si="10"/>
        <v>599.95000000000005</v>
      </c>
      <c r="O18" s="22">
        <f t="shared" ref="O18:Y18" si="11">SUM(O19:O30)</f>
        <v>0</v>
      </c>
      <c r="P18" s="22">
        <f t="shared" si="11"/>
        <v>0</v>
      </c>
      <c r="Q18" s="22">
        <f t="shared" si="11"/>
        <v>269.99</v>
      </c>
      <c r="R18" s="22">
        <f t="shared" si="11"/>
        <v>199.99</v>
      </c>
      <c r="S18" s="22">
        <f t="shared" si="11"/>
        <v>199.99</v>
      </c>
      <c r="T18" s="22">
        <f t="shared" si="11"/>
        <v>269.99</v>
      </c>
      <c r="U18" s="22">
        <f t="shared" si="11"/>
        <v>199.99</v>
      </c>
      <c r="V18" s="22">
        <f t="shared" si="11"/>
        <v>199.99</v>
      </c>
      <c r="W18" s="22">
        <f t="shared" si="11"/>
        <v>269.99</v>
      </c>
      <c r="X18" s="22">
        <f t="shared" si="11"/>
        <v>199.99</v>
      </c>
      <c r="Y18" s="22">
        <f t="shared" si="11"/>
        <v>199.99</v>
      </c>
      <c r="Z18" s="22">
        <f t="shared" ref="Z18:AA18" si="12">SUM(Z19:Z30)</f>
        <v>269.99</v>
      </c>
      <c r="AA18" s="22">
        <f t="shared" si="12"/>
        <v>2279.9</v>
      </c>
    </row>
    <row r="19" spans="1:27" x14ac:dyDescent="0.25">
      <c r="A19" s="15" t="s">
        <v>56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5">
        <f t="shared" ref="N19:N30" si="13">SUM(B19:M19)</f>
        <v>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5">
        <f t="shared" si="9"/>
        <v>0</v>
      </c>
    </row>
    <row r="20" spans="1:27" x14ac:dyDescent="0.25">
      <c r="A20" s="15" t="s">
        <v>57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5">
        <f t="shared" si="13"/>
        <v>0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5">
        <f t="shared" si="9"/>
        <v>0</v>
      </c>
    </row>
    <row r="21" spans="1:27" x14ac:dyDescent="0.25">
      <c r="A21" s="15" t="s">
        <v>58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5">
        <f t="shared" si="13"/>
        <v>0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5">
        <f t="shared" si="9"/>
        <v>0</v>
      </c>
    </row>
    <row r="22" spans="1:27" x14ac:dyDescent="0.25">
      <c r="A22" s="15" t="s">
        <v>167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5">
        <f t="shared" si="13"/>
        <v>0</v>
      </c>
      <c r="O22" s="16"/>
      <c r="P22" s="16"/>
      <c r="Q22" s="16">
        <v>140</v>
      </c>
      <c r="R22" s="16">
        <v>140</v>
      </c>
      <c r="S22" s="16">
        <v>140</v>
      </c>
      <c r="T22" s="16">
        <v>140</v>
      </c>
      <c r="U22" s="16">
        <v>140</v>
      </c>
      <c r="V22" s="16">
        <v>140</v>
      </c>
      <c r="W22" s="16">
        <v>140</v>
      </c>
      <c r="X22" s="16">
        <v>140</v>
      </c>
      <c r="Y22" s="16">
        <v>140</v>
      </c>
      <c r="Z22" s="16">
        <v>140</v>
      </c>
      <c r="AA22" s="15">
        <f t="shared" si="9"/>
        <v>1400</v>
      </c>
    </row>
    <row r="23" spans="1:27" x14ac:dyDescent="0.25">
      <c r="A23" s="15" t="s">
        <v>59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5">
        <f t="shared" si="13"/>
        <v>0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5">
        <f t="shared" si="9"/>
        <v>0</v>
      </c>
    </row>
    <row r="24" spans="1:27" x14ac:dyDescent="0.25">
      <c r="A24" s="15" t="s">
        <v>60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5">
        <f t="shared" si="13"/>
        <v>0</v>
      </c>
      <c r="O24" s="16"/>
      <c r="P24" s="16"/>
      <c r="Q24" s="16">
        <v>70</v>
      </c>
      <c r="R24" s="16"/>
      <c r="S24" s="16"/>
      <c r="T24" s="16">
        <v>70</v>
      </c>
      <c r="U24" s="16"/>
      <c r="V24" s="16"/>
      <c r="W24" s="16">
        <v>70</v>
      </c>
      <c r="X24" s="16"/>
      <c r="Y24" s="16"/>
      <c r="Z24" s="16">
        <v>70</v>
      </c>
      <c r="AA24" s="15">
        <f t="shared" si="9"/>
        <v>280</v>
      </c>
    </row>
    <row r="25" spans="1:27" x14ac:dyDescent="0.25">
      <c r="A25" s="15" t="s">
        <v>61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5">
        <f t="shared" si="13"/>
        <v>0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5">
        <f t="shared" si="9"/>
        <v>0</v>
      </c>
    </row>
    <row r="26" spans="1:27" x14ac:dyDescent="0.25">
      <c r="A26" s="15" t="s">
        <v>62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5">
        <f t="shared" si="13"/>
        <v>0</v>
      </c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5">
        <f t="shared" si="9"/>
        <v>0</v>
      </c>
    </row>
    <row r="27" spans="1:27" x14ac:dyDescent="0.25">
      <c r="A27" s="15" t="s">
        <v>63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5">
        <f t="shared" si="13"/>
        <v>0</v>
      </c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5">
        <f t="shared" si="9"/>
        <v>0</v>
      </c>
    </row>
    <row r="28" spans="1:27" x14ac:dyDescent="0.25">
      <c r="A28" s="15" t="s">
        <v>64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59.99</v>
      </c>
      <c r="J28" s="16">
        <v>59.99</v>
      </c>
      <c r="K28" s="16">
        <v>59.99</v>
      </c>
      <c r="L28" s="16">
        <v>59.99</v>
      </c>
      <c r="M28" s="16">
        <v>59.99</v>
      </c>
      <c r="N28" s="15">
        <f t="shared" si="13"/>
        <v>299.95</v>
      </c>
      <c r="O28" s="16"/>
      <c r="P28" s="16"/>
      <c r="Q28" s="16">
        <v>59.99</v>
      </c>
      <c r="R28" s="16">
        <v>59.99</v>
      </c>
      <c r="S28" s="16">
        <v>59.99</v>
      </c>
      <c r="T28" s="16">
        <v>59.99</v>
      </c>
      <c r="U28" s="16">
        <v>59.99</v>
      </c>
      <c r="V28" s="16">
        <v>59.99</v>
      </c>
      <c r="W28" s="16">
        <v>59.99</v>
      </c>
      <c r="X28" s="16">
        <v>59.99</v>
      </c>
      <c r="Y28" s="16">
        <v>59.99</v>
      </c>
      <c r="Z28" s="16">
        <v>59.99</v>
      </c>
      <c r="AA28" s="15">
        <f t="shared" si="9"/>
        <v>599.9</v>
      </c>
    </row>
    <row r="29" spans="1:27" x14ac:dyDescent="0.25">
      <c r="A29" s="15" t="s">
        <v>65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5">
        <f t="shared" si="13"/>
        <v>0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5">
        <f t="shared" si="9"/>
        <v>0</v>
      </c>
    </row>
    <row r="30" spans="1:27" x14ac:dyDescent="0.25">
      <c r="A30" s="15" t="s">
        <v>66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50</v>
      </c>
      <c r="J30" s="16">
        <v>50</v>
      </c>
      <c r="K30" s="16">
        <v>100</v>
      </c>
      <c r="L30" s="16">
        <v>50</v>
      </c>
      <c r="M30" s="16">
        <v>50</v>
      </c>
      <c r="N30" s="15">
        <f t="shared" si="13"/>
        <v>300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5">
        <f t="shared" si="9"/>
        <v>0</v>
      </c>
    </row>
    <row r="31" spans="1:27" s="20" customFormat="1" x14ac:dyDescent="0.25">
      <c r="A31" s="21" t="s">
        <v>67</v>
      </c>
      <c r="B31" s="22">
        <f>SUM(B32:B35)</f>
        <v>0</v>
      </c>
      <c r="C31" s="22">
        <f t="shared" ref="C31:N31" si="14">SUM(C32:C35)</f>
        <v>0</v>
      </c>
      <c r="D31" s="22">
        <f t="shared" si="14"/>
        <v>0</v>
      </c>
      <c r="E31" s="22">
        <f t="shared" si="14"/>
        <v>0</v>
      </c>
      <c r="F31" s="22">
        <f t="shared" si="14"/>
        <v>0</v>
      </c>
      <c r="G31" s="22">
        <f t="shared" si="14"/>
        <v>0</v>
      </c>
      <c r="H31" s="22">
        <f t="shared" si="14"/>
        <v>0</v>
      </c>
      <c r="I31" s="22">
        <f t="shared" si="14"/>
        <v>0</v>
      </c>
      <c r="J31" s="22">
        <f t="shared" si="14"/>
        <v>0</v>
      </c>
      <c r="K31" s="22">
        <f t="shared" si="14"/>
        <v>0</v>
      </c>
      <c r="L31" s="22">
        <f t="shared" si="14"/>
        <v>0</v>
      </c>
      <c r="M31" s="22">
        <f t="shared" si="14"/>
        <v>0</v>
      </c>
      <c r="N31" s="22">
        <f t="shared" si="14"/>
        <v>0</v>
      </c>
      <c r="O31" s="22">
        <f t="shared" ref="O31:Y31" si="15">SUM(O32:O35)</f>
        <v>0</v>
      </c>
      <c r="P31" s="22">
        <f t="shared" si="15"/>
        <v>0</v>
      </c>
      <c r="Q31" s="22">
        <f t="shared" si="15"/>
        <v>700</v>
      </c>
      <c r="R31" s="22">
        <f t="shared" si="15"/>
        <v>700</v>
      </c>
      <c r="S31" s="22">
        <f t="shared" si="15"/>
        <v>700</v>
      </c>
      <c r="T31" s="22">
        <f t="shared" si="15"/>
        <v>700</v>
      </c>
      <c r="U31" s="22">
        <f t="shared" si="15"/>
        <v>700</v>
      </c>
      <c r="V31" s="22">
        <f t="shared" si="15"/>
        <v>700</v>
      </c>
      <c r="W31" s="22">
        <f t="shared" si="15"/>
        <v>700</v>
      </c>
      <c r="X31" s="22">
        <f t="shared" si="15"/>
        <v>700</v>
      </c>
      <c r="Y31" s="22">
        <f t="shared" si="15"/>
        <v>700</v>
      </c>
      <c r="Z31" s="22">
        <f t="shared" ref="Z31:AA31" si="16">SUM(Z32:Z35)</f>
        <v>700</v>
      </c>
      <c r="AA31" s="22">
        <f t="shared" si="16"/>
        <v>7000</v>
      </c>
    </row>
    <row r="32" spans="1:27" x14ac:dyDescent="0.25">
      <c r="A32" s="15" t="s">
        <v>68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5">
        <f>SUM(B32:M32)</f>
        <v>0</v>
      </c>
      <c r="O32" s="16"/>
      <c r="P32" s="16"/>
      <c r="Q32" s="16">
        <v>700</v>
      </c>
      <c r="R32" s="16">
        <v>700</v>
      </c>
      <c r="S32" s="16">
        <v>700</v>
      </c>
      <c r="T32" s="16">
        <v>700</v>
      </c>
      <c r="U32" s="16">
        <v>700</v>
      </c>
      <c r="V32" s="16">
        <v>700</v>
      </c>
      <c r="W32" s="16">
        <v>700</v>
      </c>
      <c r="X32" s="16">
        <v>700</v>
      </c>
      <c r="Y32" s="16">
        <v>700</v>
      </c>
      <c r="Z32" s="16">
        <v>700</v>
      </c>
      <c r="AA32" s="15">
        <f t="shared" si="9"/>
        <v>7000</v>
      </c>
    </row>
    <row r="33" spans="1:27" x14ac:dyDescent="0.25">
      <c r="A33" s="15" t="s">
        <v>69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5">
        <f>SUM(B33:M33)</f>
        <v>0</v>
      </c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5">
        <f t="shared" si="9"/>
        <v>0</v>
      </c>
    </row>
    <row r="34" spans="1:27" x14ac:dyDescent="0.25">
      <c r="A34" s="15" t="s">
        <v>70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5">
        <f>SUM(B34:M34)</f>
        <v>0</v>
      </c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5">
        <f t="shared" si="9"/>
        <v>0</v>
      </c>
    </row>
    <row r="35" spans="1:27" x14ac:dyDescent="0.25">
      <c r="A35" s="15" t="s">
        <v>71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5">
        <f>SUM(B35:M35)</f>
        <v>0</v>
      </c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5">
        <f t="shared" si="9"/>
        <v>0</v>
      </c>
    </row>
    <row r="36" spans="1:27" s="20" customFormat="1" x14ac:dyDescent="0.25">
      <c r="A36" s="21" t="s">
        <v>72</v>
      </c>
      <c r="B36" s="22">
        <f>SUM(B37:B40)</f>
        <v>0</v>
      </c>
      <c r="C36" s="22">
        <f t="shared" ref="C36:N36" si="17">SUM(C37:C40)</f>
        <v>0</v>
      </c>
      <c r="D36" s="22">
        <f t="shared" si="17"/>
        <v>0</v>
      </c>
      <c r="E36" s="22">
        <f t="shared" si="17"/>
        <v>0</v>
      </c>
      <c r="F36" s="22">
        <f t="shared" si="17"/>
        <v>0</v>
      </c>
      <c r="G36" s="22">
        <f t="shared" si="17"/>
        <v>0</v>
      </c>
      <c r="H36" s="22">
        <f t="shared" si="17"/>
        <v>0</v>
      </c>
      <c r="I36" s="22">
        <f t="shared" si="17"/>
        <v>0</v>
      </c>
      <c r="J36" s="22">
        <f t="shared" si="17"/>
        <v>0</v>
      </c>
      <c r="K36" s="22">
        <f t="shared" si="17"/>
        <v>0</v>
      </c>
      <c r="L36" s="22">
        <f t="shared" si="17"/>
        <v>0</v>
      </c>
      <c r="M36" s="22">
        <f t="shared" si="17"/>
        <v>0</v>
      </c>
      <c r="N36" s="22">
        <f t="shared" si="17"/>
        <v>0</v>
      </c>
      <c r="O36" s="22">
        <f t="shared" ref="O36:Y36" si="18">SUM(O37:O40)</f>
        <v>0</v>
      </c>
      <c r="P36" s="22">
        <f t="shared" si="18"/>
        <v>0</v>
      </c>
      <c r="Q36" s="22">
        <f t="shared" si="18"/>
        <v>0</v>
      </c>
      <c r="R36" s="22">
        <f t="shared" si="18"/>
        <v>0</v>
      </c>
      <c r="S36" s="22">
        <f t="shared" si="18"/>
        <v>0</v>
      </c>
      <c r="T36" s="22">
        <f t="shared" si="18"/>
        <v>0</v>
      </c>
      <c r="U36" s="22">
        <f t="shared" si="18"/>
        <v>0</v>
      </c>
      <c r="V36" s="22">
        <f t="shared" si="18"/>
        <v>0</v>
      </c>
      <c r="W36" s="22">
        <f t="shared" si="18"/>
        <v>0</v>
      </c>
      <c r="X36" s="22">
        <f t="shared" si="18"/>
        <v>0</v>
      </c>
      <c r="Y36" s="22">
        <f t="shared" si="18"/>
        <v>0</v>
      </c>
      <c r="Z36" s="22">
        <f t="shared" ref="Z36:AA36" si="19">SUM(Z37:Z40)</f>
        <v>0</v>
      </c>
      <c r="AA36" s="22">
        <f t="shared" si="19"/>
        <v>0</v>
      </c>
    </row>
    <row r="37" spans="1:27" x14ac:dyDescent="0.25">
      <c r="A37" s="15" t="s">
        <v>73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5">
        <f>SUM(B37:M37)</f>
        <v>0</v>
      </c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5">
        <f t="shared" si="9"/>
        <v>0</v>
      </c>
    </row>
    <row r="38" spans="1:27" x14ac:dyDescent="0.25">
      <c r="A38" s="15" t="s">
        <v>74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5">
        <f>SUM(B38:M38)</f>
        <v>0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5">
        <f t="shared" si="9"/>
        <v>0</v>
      </c>
    </row>
    <row r="39" spans="1:27" x14ac:dyDescent="0.25">
      <c r="A39" s="15" t="s">
        <v>75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5">
        <f>SUM(B39:M39)</f>
        <v>0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5">
        <f t="shared" si="9"/>
        <v>0</v>
      </c>
    </row>
    <row r="40" spans="1:27" x14ac:dyDescent="0.25">
      <c r="A40" s="15" t="s">
        <v>76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5">
        <f>SUM(B40:M40)</f>
        <v>0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5">
        <f t="shared" si="9"/>
        <v>0</v>
      </c>
    </row>
    <row r="41" spans="1:27" s="20" customFormat="1" x14ac:dyDescent="0.25">
      <c r="A41" s="21" t="s">
        <v>77</v>
      </c>
      <c r="B41" s="22">
        <f>SUM(B42:B47)</f>
        <v>0</v>
      </c>
      <c r="C41" s="22">
        <f t="shared" ref="C41:N41" si="20">SUM(C42:C47)</f>
        <v>0</v>
      </c>
      <c r="D41" s="22">
        <f t="shared" si="20"/>
        <v>160</v>
      </c>
      <c r="E41" s="22">
        <f t="shared" si="20"/>
        <v>160</v>
      </c>
      <c r="F41" s="22">
        <f t="shared" si="20"/>
        <v>160</v>
      </c>
      <c r="G41" s="22">
        <f t="shared" si="20"/>
        <v>160</v>
      </c>
      <c r="H41" s="22">
        <f t="shared" si="20"/>
        <v>160</v>
      </c>
      <c r="I41" s="22">
        <f t="shared" si="20"/>
        <v>160</v>
      </c>
      <c r="J41" s="22">
        <f t="shared" si="20"/>
        <v>160</v>
      </c>
      <c r="K41" s="22">
        <f t="shared" si="20"/>
        <v>160</v>
      </c>
      <c r="L41" s="22">
        <f t="shared" si="20"/>
        <v>160</v>
      </c>
      <c r="M41" s="22">
        <f t="shared" si="20"/>
        <v>0</v>
      </c>
      <c r="N41" s="22">
        <f t="shared" si="20"/>
        <v>1440</v>
      </c>
      <c r="O41" s="22">
        <f t="shared" ref="O41:Y41" si="21">SUM(O42:O47)</f>
        <v>119</v>
      </c>
      <c r="P41" s="22">
        <f t="shared" si="21"/>
        <v>119</v>
      </c>
      <c r="Q41" s="22">
        <f t="shared" si="21"/>
        <v>589</v>
      </c>
      <c r="R41" s="22">
        <f t="shared" si="21"/>
        <v>589</v>
      </c>
      <c r="S41" s="22">
        <f t="shared" si="21"/>
        <v>589</v>
      </c>
      <c r="T41" s="22">
        <f t="shared" si="21"/>
        <v>589</v>
      </c>
      <c r="U41" s="22">
        <f t="shared" si="21"/>
        <v>589</v>
      </c>
      <c r="V41" s="22">
        <f t="shared" si="21"/>
        <v>589</v>
      </c>
      <c r="W41" s="22">
        <f t="shared" si="21"/>
        <v>589</v>
      </c>
      <c r="X41" s="22">
        <f t="shared" si="21"/>
        <v>589</v>
      </c>
      <c r="Y41" s="22">
        <f t="shared" si="21"/>
        <v>589</v>
      </c>
      <c r="Z41" s="22">
        <f t="shared" ref="Z41:AA41" si="22">SUM(Z42:Z47)</f>
        <v>589</v>
      </c>
      <c r="AA41" s="22">
        <f t="shared" si="22"/>
        <v>6128</v>
      </c>
    </row>
    <row r="42" spans="1:27" x14ac:dyDescent="0.25">
      <c r="A42" s="15" t="s">
        <v>78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5">
        <f t="shared" ref="N42:N47" si="23">SUM(B42:M42)</f>
        <v>0</v>
      </c>
      <c r="O42" s="16"/>
      <c r="P42" s="16"/>
      <c r="Q42" s="16">
        <v>390</v>
      </c>
      <c r="R42" s="16">
        <v>390</v>
      </c>
      <c r="S42" s="16">
        <v>390</v>
      </c>
      <c r="T42" s="16">
        <v>390</v>
      </c>
      <c r="U42" s="16">
        <v>390</v>
      </c>
      <c r="V42" s="16">
        <v>390</v>
      </c>
      <c r="W42" s="16">
        <v>390</v>
      </c>
      <c r="X42" s="16">
        <v>390</v>
      </c>
      <c r="Y42" s="16">
        <v>390</v>
      </c>
      <c r="Z42" s="16">
        <v>390</v>
      </c>
      <c r="AA42" s="15">
        <f t="shared" si="9"/>
        <v>3900</v>
      </c>
    </row>
    <row r="43" spans="1:27" x14ac:dyDescent="0.25">
      <c r="A43" s="15" t="s">
        <v>79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5">
        <f t="shared" si="23"/>
        <v>0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5">
        <f t="shared" si="9"/>
        <v>0</v>
      </c>
    </row>
    <row r="44" spans="1:27" x14ac:dyDescent="0.25">
      <c r="A44" s="15" t="s">
        <v>80</v>
      </c>
      <c r="B44" s="16">
        <f>DENTISTA!I2</f>
        <v>0</v>
      </c>
      <c r="C44" s="16">
        <f>DENTISTA!J2</f>
        <v>0</v>
      </c>
      <c r="D44" s="16">
        <f>DENTISTA!K2</f>
        <v>160</v>
      </c>
      <c r="E44" s="16">
        <f>DENTISTA!L2</f>
        <v>160</v>
      </c>
      <c r="F44" s="16">
        <f>DENTISTA!M2</f>
        <v>160</v>
      </c>
      <c r="G44" s="16">
        <f>DENTISTA!N2</f>
        <v>160</v>
      </c>
      <c r="H44" s="16">
        <f>DENTISTA!O2</f>
        <v>160</v>
      </c>
      <c r="I44" s="16">
        <f>DENTISTA!P2</f>
        <v>160</v>
      </c>
      <c r="J44" s="16">
        <f>DENTISTA!Q2</f>
        <v>160</v>
      </c>
      <c r="K44" s="16">
        <f>DENTISTA!R2</f>
        <v>160</v>
      </c>
      <c r="L44" s="16">
        <f>DENTISTA!S2</f>
        <v>160</v>
      </c>
      <c r="M44" s="16">
        <f>DENTISTA!T2</f>
        <v>0</v>
      </c>
      <c r="N44" s="15">
        <f t="shared" si="23"/>
        <v>1440</v>
      </c>
      <c r="O44" s="16">
        <f>DENTISTA!U2</f>
        <v>119</v>
      </c>
      <c r="P44" s="16">
        <f>DENTISTA!V2</f>
        <v>119</v>
      </c>
      <c r="Q44" s="16">
        <f>DENTISTA!W2</f>
        <v>119</v>
      </c>
      <c r="R44" s="16">
        <f>DENTISTA!X2</f>
        <v>119</v>
      </c>
      <c r="S44" s="16">
        <f>DENTISTA!Y2</f>
        <v>119</v>
      </c>
      <c r="T44" s="16">
        <f>DENTISTA!Z2</f>
        <v>119</v>
      </c>
      <c r="U44" s="16">
        <f>DENTISTA!AA2</f>
        <v>119</v>
      </c>
      <c r="V44" s="16">
        <f>DENTISTA!AB2</f>
        <v>119</v>
      </c>
      <c r="W44" s="16">
        <f>DENTISTA!AC2</f>
        <v>119</v>
      </c>
      <c r="X44" s="16">
        <f>DENTISTA!AD2</f>
        <v>119</v>
      </c>
      <c r="Y44" s="16">
        <f>DENTISTA!AE2</f>
        <v>119</v>
      </c>
      <c r="Z44" s="16">
        <f>DENTISTA!AF2</f>
        <v>119</v>
      </c>
      <c r="AA44" s="15">
        <f t="shared" si="9"/>
        <v>1428</v>
      </c>
    </row>
    <row r="45" spans="1:27" x14ac:dyDescent="0.25">
      <c r="A45" s="15" t="s">
        <v>81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5">
        <f t="shared" si="23"/>
        <v>0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5">
        <f t="shared" si="9"/>
        <v>0</v>
      </c>
    </row>
    <row r="46" spans="1:27" x14ac:dyDescent="0.25">
      <c r="A46" s="15" t="s">
        <v>82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5">
        <f t="shared" si="23"/>
        <v>0</v>
      </c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5">
        <f t="shared" si="9"/>
        <v>0</v>
      </c>
    </row>
    <row r="47" spans="1:27" x14ac:dyDescent="0.25">
      <c r="A47" s="15" t="s">
        <v>83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5">
        <f t="shared" si="23"/>
        <v>0</v>
      </c>
      <c r="O47" s="16"/>
      <c r="P47" s="16"/>
      <c r="Q47" s="16">
        <v>80</v>
      </c>
      <c r="R47" s="16">
        <v>80</v>
      </c>
      <c r="S47" s="16">
        <v>80</v>
      </c>
      <c r="T47" s="16">
        <v>80</v>
      </c>
      <c r="U47" s="16">
        <v>80</v>
      </c>
      <c r="V47" s="16">
        <v>80</v>
      </c>
      <c r="W47" s="16">
        <v>80</v>
      </c>
      <c r="X47" s="16">
        <v>80</v>
      </c>
      <c r="Y47" s="16">
        <v>80</v>
      </c>
      <c r="Z47" s="16">
        <v>80</v>
      </c>
      <c r="AA47" s="15">
        <f t="shared" si="9"/>
        <v>800</v>
      </c>
    </row>
    <row r="48" spans="1:27" s="20" customFormat="1" x14ac:dyDescent="0.25">
      <c r="A48" s="21" t="s">
        <v>84</v>
      </c>
      <c r="B48" s="22">
        <f>SUM(B49:B57)</f>
        <v>0</v>
      </c>
      <c r="C48" s="22">
        <f t="shared" ref="C48:N48" si="24">SUM(C49:C57)</f>
        <v>0</v>
      </c>
      <c r="D48" s="22">
        <f t="shared" si="24"/>
        <v>0</v>
      </c>
      <c r="E48" s="22">
        <f t="shared" si="24"/>
        <v>0</v>
      </c>
      <c r="F48" s="22">
        <f t="shared" si="24"/>
        <v>0</v>
      </c>
      <c r="G48" s="22">
        <f t="shared" si="24"/>
        <v>0</v>
      </c>
      <c r="H48" s="22">
        <f t="shared" si="24"/>
        <v>0</v>
      </c>
      <c r="I48" s="22">
        <f t="shared" si="24"/>
        <v>520.31000000000006</v>
      </c>
      <c r="J48" s="22">
        <f t="shared" si="24"/>
        <v>301.55</v>
      </c>
      <c r="K48" s="22">
        <f t="shared" si="24"/>
        <v>305</v>
      </c>
      <c r="L48" s="22">
        <f t="shared" si="24"/>
        <v>150</v>
      </c>
      <c r="M48" s="22">
        <f t="shared" si="24"/>
        <v>150</v>
      </c>
      <c r="N48" s="22">
        <f t="shared" si="24"/>
        <v>1426.86</v>
      </c>
      <c r="O48" s="22">
        <f t="shared" ref="O48:Y48" si="25">SUM(O49:O57)</f>
        <v>0</v>
      </c>
      <c r="P48" s="22">
        <f t="shared" si="25"/>
        <v>0</v>
      </c>
      <c r="Q48" s="22">
        <f t="shared" si="25"/>
        <v>470</v>
      </c>
      <c r="R48" s="22">
        <f t="shared" si="25"/>
        <v>470</v>
      </c>
      <c r="S48" s="22">
        <f t="shared" si="25"/>
        <v>470</v>
      </c>
      <c r="T48" s="22">
        <f t="shared" si="25"/>
        <v>470</v>
      </c>
      <c r="U48" s="22">
        <f t="shared" si="25"/>
        <v>470</v>
      </c>
      <c r="V48" s="22">
        <f t="shared" si="25"/>
        <v>470</v>
      </c>
      <c r="W48" s="22">
        <f t="shared" si="25"/>
        <v>470</v>
      </c>
      <c r="X48" s="22">
        <f t="shared" si="25"/>
        <v>470</v>
      </c>
      <c r="Y48" s="22">
        <f t="shared" si="25"/>
        <v>470</v>
      </c>
      <c r="Z48" s="22">
        <f t="shared" ref="Z48:AA48" si="26">SUM(Z49:Z57)</f>
        <v>470</v>
      </c>
      <c r="AA48" s="22">
        <f t="shared" si="26"/>
        <v>4700</v>
      </c>
    </row>
    <row r="49" spans="1:27" x14ac:dyDescent="0.25">
      <c r="A49" s="15" t="s">
        <v>85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150</v>
      </c>
      <c r="J49" s="16">
        <v>150</v>
      </c>
      <c r="K49" s="16">
        <v>150</v>
      </c>
      <c r="L49" s="16">
        <v>150</v>
      </c>
      <c r="M49" s="16">
        <v>150</v>
      </c>
      <c r="N49" s="15">
        <f t="shared" ref="N49:N57" si="27">SUM(B49:M49)</f>
        <v>750</v>
      </c>
      <c r="O49" s="16"/>
      <c r="P49" s="16"/>
      <c r="Q49" s="16">
        <v>300</v>
      </c>
      <c r="R49" s="16">
        <v>300</v>
      </c>
      <c r="S49" s="16">
        <v>300</v>
      </c>
      <c r="T49" s="16">
        <v>300</v>
      </c>
      <c r="U49" s="16">
        <v>300</v>
      </c>
      <c r="V49" s="16">
        <v>300</v>
      </c>
      <c r="W49" s="16">
        <v>300</v>
      </c>
      <c r="X49" s="16">
        <v>300</v>
      </c>
      <c r="Y49" s="16">
        <v>300</v>
      </c>
      <c r="Z49" s="16">
        <v>300</v>
      </c>
      <c r="AA49" s="15">
        <f t="shared" si="9"/>
        <v>3000</v>
      </c>
    </row>
    <row r="50" spans="1:27" x14ac:dyDescent="0.25">
      <c r="A50" s="15" t="s">
        <v>86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5">
        <f t="shared" si="27"/>
        <v>0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5">
        <f t="shared" si="9"/>
        <v>0</v>
      </c>
    </row>
    <row r="51" spans="1:27" x14ac:dyDescent="0.25">
      <c r="A51" s="15" t="s">
        <v>87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5">
        <f t="shared" si="27"/>
        <v>0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5">
        <f t="shared" si="9"/>
        <v>0</v>
      </c>
    </row>
    <row r="52" spans="1:27" x14ac:dyDescent="0.25">
      <c r="A52" s="15" t="s">
        <v>88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5">
        <f t="shared" si="27"/>
        <v>0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5">
        <f t="shared" si="9"/>
        <v>0</v>
      </c>
    </row>
    <row r="53" spans="1:27" x14ac:dyDescent="0.25">
      <c r="A53" s="15" t="s">
        <v>89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151.55000000000001</v>
      </c>
      <c r="J53" s="16">
        <v>151.55000000000001</v>
      </c>
      <c r="K53" s="16">
        <v>155</v>
      </c>
      <c r="L53" s="16">
        <v>0</v>
      </c>
      <c r="M53" s="16">
        <v>0</v>
      </c>
      <c r="N53" s="15">
        <f t="shared" si="27"/>
        <v>458.1</v>
      </c>
      <c r="O53" s="16"/>
      <c r="P53" s="16"/>
      <c r="Q53" s="16">
        <v>170</v>
      </c>
      <c r="R53" s="16">
        <v>170</v>
      </c>
      <c r="S53" s="16">
        <v>170</v>
      </c>
      <c r="T53" s="16">
        <v>170</v>
      </c>
      <c r="U53" s="16">
        <v>170</v>
      </c>
      <c r="V53" s="16">
        <v>170</v>
      </c>
      <c r="W53" s="16">
        <v>170</v>
      </c>
      <c r="X53" s="16">
        <v>170</v>
      </c>
      <c r="Y53" s="16">
        <v>170</v>
      </c>
      <c r="Z53" s="16">
        <v>170</v>
      </c>
      <c r="AA53" s="15">
        <f t="shared" si="9"/>
        <v>1700</v>
      </c>
    </row>
    <row r="54" spans="1:27" x14ac:dyDescent="0.25">
      <c r="A54" s="15" t="s">
        <v>90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5">
        <f t="shared" si="27"/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5">
        <f t="shared" si="9"/>
        <v>0</v>
      </c>
    </row>
    <row r="55" spans="1:27" x14ac:dyDescent="0.25">
      <c r="A55" s="15" t="s">
        <v>91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f>202.55+16.21</f>
        <v>218.76000000000002</v>
      </c>
      <c r="J55" s="16">
        <v>0</v>
      </c>
      <c r="K55" s="16">
        <v>0</v>
      </c>
      <c r="L55" s="16">
        <v>0</v>
      </c>
      <c r="M55" s="16">
        <v>0</v>
      </c>
      <c r="N55" s="15">
        <f t="shared" si="27"/>
        <v>218.76000000000002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5">
        <f t="shared" si="9"/>
        <v>0</v>
      </c>
    </row>
    <row r="56" spans="1:27" x14ac:dyDescent="0.25">
      <c r="A56" s="15" t="s">
        <v>92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5">
        <f t="shared" si="27"/>
        <v>0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5">
        <f t="shared" si="9"/>
        <v>0</v>
      </c>
    </row>
    <row r="57" spans="1:27" x14ac:dyDescent="0.25">
      <c r="A57" s="15" t="s">
        <v>93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5">
        <f t="shared" si="27"/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5">
        <f t="shared" si="9"/>
        <v>0</v>
      </c>
    </row>
    <row r="58" spans="1:27" s="20" customFormat="1" x14ac:dyDescent="0.25">
      <c r="A58" s="21" t="s">
        <v>94</v>
      </c>
      <c r="B58" s="22">
        <f>SUM(B59:B62)</f>
        <v>0</v>
      </c>
      <c r="C58" s="22">
        <f t="shared" ref="C58:N58" si="28">SUM(C59:C62)</f>
        <v>0</v>
      </c>
      <c r="D58" s="22">
        <f t="shared" si="28"/>
        <v>0</v>
      </c>
      <c r="E58" s="22">
        <f t="shared" si="28"/>
        <v>0</v>
      </c>
      <c r="F58" s="22">
        <f t="shared" si="28"/>
        <v>0</v>
      </c>
      <c r="G58" s="22">
        <f t="shared" si="28"/>
        <v>0</v>
      </c>
      <c r="H58" s="22">
        <f t="shared" si="28"/>
        <v>0</v>
      </c>
      <c r="I58" s="22">
        <f t="shared" si="28"/>
        <v>734.73</v>
      </c>
      <c r="J58" s="22">
        <f t="shared" si="28"/>
        <v>0</v>
      </c>
      <c r="K58" s="22">
        <f t="shared" si="28"/>
        <v>0</v>
      </c>
      <c r="L58" s="22">
        <f t="shared" si="28"/>
        <v>0</v>
      </c>
      <c r="M58" s="22">
        <f t="shared" si="28"/>
        <v>0</v>
      </c>
      <c r="N58" s="22">
        <f t="shared" si="28"/>
        <v>734.73</v>
      </c>
      <c r="O58" s="22">
        <f t="shared" ref="O58:Y58" si="29">SUM(O59:O62)</f>
        <v>0</v>
      </c>
      <c r="P58" s="22">
        <f t="shared" si="29"/>
        <v>0</v>
      </c>
      <c r="Q58" s="22">
        <f t="shared" si="29"/>
        <v>0</v>
      </c>
      <c r="R58" s="22">
        <f t="shared" si="29"/>
        <v>0</v>
      </c>
      <c r="S58" s="22">
        <f t="shared" si="29"/>
        <v>0</v>
      </c>
      <c r="T58" s="22">
        <f t="shared" si="29"/>
        <v>0</v>
      </c>
      <c r="U58" s="22">
        <f t="shared" si="29"/>
        <v>0</v>
      </c>
      <c r="V58" s="22">
        <f t="shared" si="29"/>
        <v>0</v>
      </c>
      <c r="W58" s="22">
        <f t="shared" si="29"/>
        <v>0</v>
      </c>
      <c r="X58" s="22">
        <f t="shared" si="29"/>
        <v>0</v>
      </c>
      <c r="Y58" s="22">
        <f t="shared" si="29"/>
        <v>0</v>
      </c>
      <c r="Z58" s="22">
        <f t="shared" ref="Z58:AA58" si="30">SUM(Z59:Z62)</f>
        <v>0</v>
      </c>
      <c r="AA58" s="22">
        <f t="shared" si="30"/>
        <v>0</v>
      </c>
    </row>
    <row r="59" spans="1:27" x14ac:dyDescent="0.25">
      <c r="A59" s="15" t="s">
        <v>95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70</v>
      </c>
      <c r="J59" s="16">
        <v>0</v>
      </c>
      <c r="K59" s="16">
        <v>0</v>
      </c>
      <c r="L59" s="16">
        <v>0</v>
      </c>
      <c r="M59" s="16">
        <v>0</v>
      </c>
      <c r="N59" s="15">
        <f>SUM(B59:M59)</f>
        <v>70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5">
        <f t="shared" si="9"/>
        <v>0</v>
      </c>
    </row>
    <row r="60" spans="1:27" x14ac:dyDescent="0.25">
      <c r="A60" s="15" t="s">
        <v>96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f>70*2</f>
        <v>140</v>
      </c>
      <c r="J60" s="16">
        <v>0</v>
      </c>
      <c r="K60" s="16">
        <v>0</v>
      </c>
      <c r="L60" s="16">
        <v>0</v>
      </c>
      <c r="M60" s="16">
        <v>0</v>
      </c>
      <c r="N60" s="15">
        <f>SUM(B60:M60)</f>
        <v>140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5">
        <f t="shared" si="9"/>
        <v>0</v>
      </c>
    </row>
    <row r="61" spans="1:27" x14ac:dyDescent="0.25">
      <c r="A61" s="15" t="s">
        <v>97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5">
        <f>SUM(B61:M61)</f>
        <v>0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5">
        <f t="shared" si="9"/>
        <v>0</v>
      </c>
    </row>
    <row r="62" spans="1:27" x14ac:dyDescent="0.25">
      <c r="A62" s="15" t="s">
        <v>98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f>372.32+152.41</f>
        <v>524.73</v>
      </c>
      <c r="J62" s="16">
        <v>0</v>
      </c>
      <c r="K62" s="16">
        <v>0</v>
      </c>
      <c r="L62" s="16">
        <v>0</v>
      </c>
      <c r="M62" s="16">
        <v>0</v>
      </c>
      <c r="N62" s="15">
        <f>SUM(B62:M62)</f>
        <v>524.73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5">
        <f t="shared" si="9"/>
        <v>0</v>
      </c>
    </row>
    <row r="63" spans="1:27" s="20" customFormat="1" x14ac:dyDescent="0.25">
      <c r="A63" s="21" t="s">
        <v>99</v>
      </c>
      <c r="B63" s="22">
        <f>SUM(B64:B68)</f>
        <v>0</v>
      </c>
      <c r="C63" s="22">
        <f t="shared" ref="C63:N63" si="31">SUM(C64:C68)</f>
        <v>0</v>
      </c>
      <c r="D63" s="22">
        <f t="shared" si="31"/>
        <v>0</v>
      </c>
      <c r="E63" s="22">
        <f t="shared" si="31"/>
        <v>0</v>
      </c>
      <c r="F63" s="22">
        <f t="shared" si="31"/>
        <v>0</v>
      </c>
      <c r="G63" s="22">
        <f t="shared" si="31"/>
        <v>0</v>
      </c>
      <c r="H63" s="22">
        <f t="shared" si="31"/>
        <v>0</v>
      </c>
      <c r="I63" s="22">
        <f t="shared" si="31"/>
        <v>0</v>
      </c>
      <c r="J63" s="22">
        <f t="shared" si="31"/>
        <v>0</v>
      </c>
      <c r="K63" s="22">
        <f t="shared" si="31"/>
        <v>0</v>
      </c>
      <c r="L63" s="22">
        <f t="shared" si="31"/>
        <v>0</v>
      </c>
      <c r="M63" s="22">
        <f t="shared" si="31"/>
        <v>0</v>
      </c>
      <c r="N63" s="22">
        <f t="shared" si="31"/>
        <v>0</v>
      </c>
      <c r="O63" s="22">
        <f t="shared" ref="O63:Y63" si="32">SUM(O64:O68)</f>
        <v>0</v>
      </c>
      <c r="P63" s="22">
        <f t="shared" si="32"/>
        <v>0</v>
      </c>
      <c r="Q63" s="22">
        <f t="shared" si="32"/>
        <v>0</v>
      </c>
      <c r="R63" s="22">
        <f t="shared" si="32"/>
        <v>0</v>
      </c>
      <c r="S63" s="22">
        <f t="shared" si="32"/>
        <v>0</v>
      </c>
      <c r="T63" s="22">
        <f t="shared" si="32"/>
        <v>0</v>
      </c>
      <c r="U63" s="22">
        <f t="shared" si="32"/>
        <v>0</v>
      </c>
      <c r="V63" s="22">
        <f t="shared" si="32"/>
        <v>0</v>
      </c>
      <c r="W63" s="22">
        <f t="shared" si="32"/>
        <v>0</v>
      </c>
      <c r="X63" s="22">
        <f t="shared" si="32"/>
        <v>0</v>
      </c>
      <c r="Y63" s="22">
        <f t="shared" si="32"/>
        <v>0</v>
      </c>
      <c r="Z63" s="22">
        <f t="shared" ref="Z63:AA63" si="33">SUM(Z64:Z68)</f>
        <v>0</v>
      </c>
      <c r="AA63" s="22">
        <f t="shared" si="33"/>
        <v>0</v>
      </c>
    </row>
    <row r="64" spans="1:27" x14ac:dyDescent="0.25">
      <c r="A64" s="15" t="s">
        <v>100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5">
        <f>SUM(B64:M64)</f>
        <v>0</v>
      </c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5">
        <f t="shared" si="9"/>
        <v>0</v>
      </c>
    </row>
    <row r="65" spans="1:27" x14ac:dyDescent="0.25">
      <c r="A65" s="15" t="s">
        <v>101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5">
        <f>SUM(B65:M65)</f>
        <v>0</v>
      </c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5">
        <f t="shared" si="9"/>
        <v>0</v>
      </c>
    </row>
    <row r="66" spans="1:27" x14ac:dyDescent="0.25">
      <c r="A66" s="15" t="s">
        <v>102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5">
        <f>SUM(B66:M66)</f>
        <v>0</v>
      </c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5">
        <f t="shared" si="9"/>
        <v>0</v>
      </c>
    </row>
    <row r="67" spans="1:27" x14ac:dyDescent="0.25">
      <c r="A67" s="15" t="s">
        <v>103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5">
        <f>SUM(B67:M67)</f>
        <v>0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5">
        <f t="shared" si="9"/>
        <v>0</v>
      </c>
    </row>
    <row r="68" spans="1:27" x14ac:dyDescent="0.25">
      <c r="A68" s="15" t="s">
        <v>104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5">
        <f>SUM(B68:M68)</f>
        <v>0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5">
        <f t="shared" si="9"/>
        <v>0</v>
      </c>
    </row>
    <row r="69" spans="1:27" s="20" customFormat="1" x14ac:dyDescent="0.25">
      <c r="A69" s="21" t="s">
        <v>105</v>
      </c>
      <c r="B69" s="22" t="e">
        <f>SUM(B70:B76)</f>
        <v>#REF!</v>
      </c>
      <c r="C69" s="22" t="e">
        <f t="shared" ref="C69:N69" si="34">SUM(C70:C76)</f>
        <v>#REF!</v>
      </c>
      <c r="D69" s="22" t="e">
        <f t="shared" si="34"/>
        <v>#REF!</v>
      </c>
      <c r="E69" s="22" t="e">
        <f t="shared" si="34"/>
        <v>#REF!</v>
      </c>
      <c r="F69" s="22" t="e">
        <f t="shared" si="34"/>
        <v>#REF!</v>
      </c>
      <c r="G69" s="22" t="e">
        <f t="shared" si="34"/>
        <v>#REF!</v>
      </c>
      <c r="H69" s="22" t="e">
        <f t="shared" si="34"/>
        <v>#REF!</v>
      </c>
      <c r="I69" s="22" t="e">
        <f t="shared" si="34"/>
        <v>#REF!</v>
      </c>
      <c r="J69" s="22" t="e">
        <f t="shared" si="34"/>
        <v>#REF!</v>
      </c>
      <c r="K69" s="22" t="e">
        <f t="shared" si="34"/>
        <v>#REF!</v>
      </c>
      <c r="L69" s="22" t="e">
        <f t="shared" si="34"/>
        <v>#REF!</v>
      </c>
      <c r="M69" s="22" t="e">
        <f t="shared" si="34"/>
        <v>#REF!</v>
      </c>
      <c r="N69" s="22" t="e">
        <f t="shared" si="34"/>
        <v>#REF!</v>
      </c>
      <c r="O69" s="22" t="e">
        <f t="shared" ref="O69:Y69" si="35">SUM(O70:O76)</f>
        <v>#REF!</v>
      </c>
      <c r="P69" s="22" t="e">
        <f t="shared" si="35"/>
        <v>#REF!</v>
      </c>
      <c r="Q69" s="22" t="e">
        <f t="shared" si="35"/>
        <v>#REF!</v>
      </c>
      <c r="R69" s="22" t="e">
        <f t="shared" si="35"/>
        <v>#REF!</v>
      </c>
      <c r="S69" s="22" t="e">
        <f t="shared" si="35"/>
        <v>#REF!</v>
      </c>
      <c r="T69" s="22" t="e">
        <f t="shared" si="35"/>
        <v>#REF!</v>
      </c>
      <c r="U69" s="22" t="e">
        <f t="shared" si="35"/>
        <v>#REF!</v>
      </c>
      <c r="V69" s="22" t="e">
        <f t="shared" si="35"/>
        <v>#REF!</v>
      </c>
      <c r="W69" s="22" t="e">
        <f t="shared" si="35"/>
        <v>#REF!</v>
      </c>
      <c r="X69" s="22" t="e">
        <f t="shared" si="35"/>
        <v>#REF!</v>
      </c>
      <c r="Y69" s="22" t="e">
        <f t="shared" si="35"/>
        <v>#REF!</v>
      </c>
      <c r="Z69" s="22" t="e">
        <f t="shared" ref="Z69:AA69" si="36">SUM(Z70:Z76)</f>
        <v>#REF!</v>
      </c>
      <c r="AA69" s="22" t="e">
        <f t="shared" si="36"/>
        <v>#REF!</v>
      </c>
    </row>
    <row r="70" spans="1:27" x14ac:dyDescent="0.25">
      <c r="A70" s="15" t="s">
        <v>106</v>
      </c>
      <c r="B70" s="16">
        <v>0</v>
      </c>
      <c r="C70" s="16">
        <v>0</v>
      </c>
      <c r="D70" s="16" t="e">
        <f>#REF!</f>
        <v>#REF!</v>
      </c>
      <c r="E70" s="16" t="e">
        <f>#REF!</f>
        <v>#REF!</v>
      </c>
      <c r="F70" s="16" t="e">
        <f>#REF!</f>
        <v>#REF!</v>
      </c>
      <c r="G70" s="16" t="e">
        <f>#REF!</f>
        <v>#REF!</v>
      </c>
      <c r="H70" s="16" t="e">
        <f>#REF!</f>
        <v>#REF!</v>
      </c>
      <c r="I70" s="16" t="e">
        <f>#REF!</f>
        <v>#REF!</v>
      </c>
      <c r="J70" s="16" t="e">
        <f>#REF!</f>
        <v>#REF!</v>
      </c>
      <c r="K70" s="16" t="e">
        <f>#REF!</f>
        <v>#REF!</v>
      </c>
      <c r="L70" s="16" t="e">
        <f>#REF!</f>
        <v>#REF!</v>
      </c>
      <c r="M70" s="16" t="e">
        <f>#REF!</f>
        <v>#REF!</v>
      </c>
      <c r="N70" s="15" t="e">
        <f t="shared" ref="N70:N77" si="37">SUM(B70:M70)</f>
        <v>#REF!</v>
      </c>
      <c r="O70" s="16" t="e">
        <f>#REF!</f>
        <v>#REF!</v>
      </c>
      <c r="P70" s="16" t="e">
        <f>#REF!</f>
        <v>#REF!</v>
      </c>
      <c r="Q70" s="16" t="e">
        <f>#REF!</f>
        <v>#REF!</v>
      </c>
      <c r="R70" s="16" t="e">
        <f>#REF!</f>
        <v>#REF!</v>
      </c>
      <c r="S70" s="16" t="e">
        <f>#REF!</f>
        <v>#REF!</v>
      </c>
      <c r="T70" s="16" t="e">
        <f>#REF!</f>
        <v>#REF!</v>
      </c>
      <c r="U70" s="16" t="e">
        <f>#REF!</f>
        <v>#REF!</v>
      </c>
      <c r="V70" s="16" t="e">
        <f>#REF!</f>
        <v>#REF!</v>
      </c>
      <c r="W70" s="16" t="e">
        <f>#REF!</f>
        <v>#REF!</v>
      </c>
      <c r="X70" s="16" t="e">
        <f>#REF!</f>
        <v>#REF!</v>
      </c>
      <c r="Y70" s="16" t="e">
        <f>#REF!</f>
        <v>#REF!</v>
      </c>
      <c r="Z70" s="16" t="e">
        <f>#REF!</f>
        <v>#REF!</v>
      </c>
      <c r="AA70" s="15" t="e">
        <f t="shared" si="9"/>
        <v>#REF!</v>
      </c>
    </row>
    <row r="71" spans="1:27" x14ac:dyDescent="0.25">
      <c r="A71" s="15" t="s">
        <v>113</v>
      </c>
      <c r="B71" s="16" t="e">
        <f>'CARTÃO DE CRÉDITO - OUTROS'!#REF!</f>
        <v>#REF!</v>
      </c>
      <c r="C71" s="16" t="e">
        <f>'CARTÃO DE CRÉDITO - OUTROS'!#REF!</f>
        <v>#REF!</v>
      </c>
      <c r="D71" s="16" t="e">
        <f>'CARTÃO DE CRÉDITO - OUTROS'!#REF!</f>
        <v>#REF!</v>
      </c>
      <c r="E71" s="16" t="e">
        <f>'CARTÃO DE CRÉDITO - OUTROS'!#REF!</f>
        <v>#REF!</v>
      </c>
      <c r="F71" s="16" t="e">
        <f>'CARTÃO DE CRÉDITO - OUTROS'!#REF!</f>
        <v>#REF!</v>
      </c>
      <c r="G71" s="16" t="e">
        <f>'CARTÃO DE CRÉDITO - OUTROS'!#REF!</f>
        <v>#REF!</v>
      </c>
      <c r="H71" s="16" t="e">
        <f>'CARTÃO DE CRÉDITO - OUTROS'!#REF!</f>
        <v>#REF!</v>
      </c>
      <c r="I71" s="16" t="e">
        <f>'CARTÃO DE CRÉDITO - OUTROS'!#REF!</f>
        <v>#REF!</v>
      </c>
      <c r="J71" s="16" t="e">
        <f>'CARTÃO DE CRÉDITO - OUTROS'!#REF!</f>
        <v>#REF!</v>
      </c>
      <c r="K71" s="16" t="e">
        <f>'CARTÃO DE CRÉDITO - OUTROS'!#REF!</f>
        <v>#REF!</v>
      </c>
      <c r="L71" s="16" t="e">
        <f>'CARTÃO DE CRÉDITO - OUTROS'!#REF!</f>
        <v>#REF!</v>
      </c>
      <c r="M71" s="16" t="e">
        <f>'CARTÃO DE CRÉDITO - OUTROS'!#REF!</f>
        <v>#REF!</v>
      </c>
      <c r="N71" s="15" t="e">
        <f t="shared" si="37"/>
        <v>#REF!</v>
      </c>
      <c r="O71" s="16" t="e">
        <f>'CARTÃO DE CRÉDITO - OUTROS'!#REF!</f>
        <v>#REF!</v>
      </c>
      <c r="P71" s="16" t="e">
        <f>'CARTÃO DE CRÉDITO - OUTROS'!#REF!</f>
        <v>#REF!</v>
      </c>
      <c r="Q71" s="16" t="e">
        <f>'CARTÃO DE CRÉDITO - OUTROS'!#REF!</f>
        <v>#REF!</v>
      </c>
      <c r="R71" s="16" t="e">
        <f>'CARTÃO DE CRÉDITO - OUTROS'!#REF!</f>
        <v>#REF!</v>
      </c>
      <c r="S71" s="16" t="e">
        <f>'CARTÃO DE CRÉDITO - OUTROS'!#REF!</f>
        <v>#REF!</v>
      </c>
      <c r="T71" s="16" t="e">
        <f>'CARTÃO DE CRÉDITO - OUTROS'!#REF!</f>
        <v>#REF!</v>
      </c>
      <c r="U71" s="16" t="e">
        <f>'CARTÃO DE CRÉDITO - OUTROS'!#REF!</f>
        <v>#REF!</v>
      </c>
      <c r="V71" s="16" t="e">
        <f>'CARTÃO DE CRÉDITO - OUTROS'!#REF!</f>
        <v>#REF!</v>
      </c>
      <c r="W71" s="16" t="e">
        <f>'CARTÃO DE CRÉDITO - OUTROS'!#REF!</f>
        <v>#REF!</v>
      </c>
      <c r="X71" s="16" t="e">
        <f>'CARTÃO DE CRÉDITO - OUTROS'!#REF!</f>
        <v>#REF!</v>
      </c>
      <c r="Y71" s="16" t="e">
        <f>'CARTÃO DE CRÉDITO - OUTROS'!#REF!</f>
        <v>#REF!</v>
      </c>
      <c r="Z71" s="16" t="e">
        <f>'CARTÃO DE CRÉDITO - OUTROS'!#REF!</f>
        <v>#REF!</v>
      </c>
      <c r="AA71" s="15" t="e">
        <f t="shared" si="9"/>
        <v>#REF!</v>
      </c>
    </row>
    <row r="72" spans="1:27" x14ac:dyDescent="0.25">
      <c r="A72" s="15" t="s">
        <v>107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5">
        <f t="shared" si="37"/>
        <v>0</v>
      </c>
      <c r="O72" s="16" t="e">
        <f>SUM(#REF!,#REF!,#REF!,#REF!)</f>
        <v>#REF!</v>
      </c>
      <c r="P72" s="16" t="e">
        <f>SUM(#REF!,#REF!,#REF!,#REF!)</f>
        <v>#REF!</v>
      </c>
      <c r="Q72" s="16" t="e">
        <f>SUM(#REF!,#REF!,#REF!,#REF!)</f>
        <v>#REF!</v>
      </c>
      <c r="R72" s="16" t="e">
        <f>SUM(#REF!,#REF!,#REF!,#REF!)</f>
        <v>#REF!</v>
      </c>
      <c r="S72" s="16" t="e">
        <f>SUM(#REF!,#REF!,#REF!,#REF!)</f>
        <v>#REF!</v>
      </c>
      <c r="T72" s="16" t="e">
        <f>SUM(#REF!,#REF!,#REF!,#REF!)</f>
        <v>#REF!</v>
      </c>
      <c r="U72" s="16" t="e">
        <f>SUM(#REF!,#REF!,#REF!,#REF!)</f>
        <v>#REF!</v>
      </c>
      <c r="V72" s="16" t="e">
        <f>SUM(#REF!,#REF!,#REF!,#REF!)</f>
        <v>#REF!</v>
      </c>
      <c r="W72" s="16" t="e">
        <f>SUM(#REF!,#REF!,#REF!,#REF!)</f>
        <v>#REF!</v>
      </c>
      <c r="X72" s="16" t="e">
        <f>SUM(#REF!,#REF!,#REF!,#REF!)</f>
        <v>#REF!</v>
      </c>
      <c r="Y72" s="16" t="e">
        <f>SUM(#REF!,#REF!,#REF!,#REF!)</f>
        <v>#REF!</v>
      </c>
      <c r="Z72" s="16" t="e">
        <f>SUM(#REF!,#REF!,#REF!,#REF!)</f>
        <v>#REF!</v>
      </c>
      <c r="AA72" s="15" t="e">
        <f t="shared" si="9"/>
        <v>#REF!</v>
      </c>
    </row>
    <row r="73" spans="1:27" x14ac:dyDescent="0.25">
      <c r="A73" s="15" t="s">
        <v>108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690.49</v>
      </c>
      <c r="J73" s="16">
        <v>0</v>
      </c>
      <c r="K73" s="16">
        <v>0</v>
      </c>
      <c r="L73" s="16">
        <v>0</v>
      </c>
      <c r="M73" s="16">
        <v>0</v>
      </c>
      <c r="N73" s="15">
        <f t="shared" si="37"/>
        <v>690.49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5">
        <f t="shared" si="9"/>
        <v>0</v>
      </c>
    </row>
    <row r="74" spans="1:27" x14ac:dyDescent="0.25">
      <c r="A74" s="15" t="s">
        <v>109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5">
        <f t="shared" si="37"/>
        <v>0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5">
        <f t="shared" si="9"/>
        <v>0</v>
      </c>
    </row>
    <row r="75" spans="1:27" x14ac:dyDescent="0.25">
      <c r="A75" s="15" t="s">
        <v>110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5">
        <f t="shared" si="37"/>
        <v>0</v>
      </c>
      <c r="O75" s="16"/>
      <c r="P75" s="16"/>
      <c r="Q75" s="16">
        <v>457</v>
      </c>
      <c r="R75" s="16">
        <v>457</v>
      </c>
      <c r="S75" s="16">
        <v>457</v>
      </c>
      <c r="T75" s="16">
        <v>457</v>
      </c>
      <c r="U75" s="16">
        <v>457</v>
      </c>
      <c r="V75" s="16">
        <v>457</v>
      </c>
      <c r="W75" s="16">
        <v>457</v>
      </c>
      <c r="X75" s="16">
        <v>457</v>
      </c>
      <c r="Y75" s="16">
        <v>457</v>
      </c>
      <c r="Z75" s="16">
        <v>457</v>
      </c>
      <c r="AA75" s="15">
        <f t="shared" si="9"/>
        <v>4570</v>
      </c>
    </row>
    <row r="76" spans="1:27" x14ac:dyDescent="0.25">
      <c r="A76" s="15" t="s">
        <v>111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833</v>
      </c>
      <c r="I76" s="16">
        <v>449.86999999999989</v>
      </c>
      <c r="J76" s="16">
        <v>0</v>
      </c>
      <c r="K76" s="16">
        <v>0</v>
      </c>
      <c r="L76" s="16">
        <v>0</v>
      </c>
      <c r="M76" s="16">
        <v>0</v>
      </c>
      <c r="N76" s="15">
        <f t="shared" si="37"/>
        <v>1282.8699999999999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5">
        <f t="shared" si="9"/>
        <v>0</v>
      </c>
    </row>
    <row r="77" spans="1:27" x14ac:dyDescent="0.25">
      <c r="A77" s="21" t="s">
        <v>35</v>
      </c>
      <c r="B77" s="24" t="e">
        <f t="shared" ref="B77:H77" si="38">SUM(B12,B18,B31,B36,B41,B48,B58,B63,B69)</f>
        <v>#REF!</v>
      </c>
      <c r="C77" s="24" t="e">
        <f t="shared" si="38"/>
        <v>#REF!</v>
      </c>
      <c r="D77" s="24" t="e">
        <f t="shared" si="38"/>
        <v>#REF!</v>
      </c>
      <c r="E77" s="24" t="e">
        <f t="shared" si="38"/>
        <v>#REF!</v>
      </c>
      <c r="F77" s="24" t="e">
        <f t="shared" si="38"/>
        <v>#REF!</v>
      </c>
      <c r="G77" s="24" t="e">
        <f t="shared" si="38"/>
        <v>#REF!</v>
      </c>
      <c r="H77" s="24" t="e">
        <f t="shared" si="38"/>
        <v>#REF!</v>
      </c>
      <c r="I77" s="24" t="e">
        <f>SUM(I12,I18,I31,I36,I41,I48,I58,I63,I69)</f>
        <v>#REF!</v>
      </c>
      <c r="J77" s="24" t="e">
        <f t="shared" ref="J77:M77" si="39">SUM(J12,J18,J31,J36,J41,J48,J58,J63,J69)</f>
        <v>#REF!</v>
      </c>
      <c r="K77" s="24" t="e">
        <f t="shared" si="39"/>
        <v>#REF!</v>
      </c>
      <c r="L77" s="24" t="e">
        <f t="shared" si="39"/>
        <v>#REF!</v>
      </c>
      <c r="M77" s="24" t="e">
        <f t="shared" si="39"/>
        <v>#REF!</v>
      </c>
      <c r="N77" s="23" t="e">
        <f t="shared" si="37"/>
        <v>#REF!</v>
      </c>
      <c r="O77" s="24" t="e">
        <f t="shared" ref="O77:Y77" si="40">SUM(O12,O18,O31,O36,O41,O48,O58,O63,O69)</f>
        <v>#REF!</v>
      </c>
      <c r="P77" s="24" t="e">
        <f t="shared" si="40"/>
        <v>#REF!</v>
      </c>
      <c r="Q77" s="24" t="e">
        <f t="shared" si="40"/>
        <v>#REF!</v>
      </c>
      <c r="R77" s="24" t="e">
        <f t="shared" si="40"/>
        <v>#REF!</v>
      </c>
      <c r="S77" s="24" t="e">
        <f t="shared" si="40"/>
        <v>#REF!</v>
      </c>
      <c r="T77" s="24" t="e">
        <f t="shared" si="40"/>
        <v>#REF!</v>
      </c>
      <c r="U77" s="24" t="e">
        <f t="shared" si="40"/>
        <v>#REF!</v>
      </c>
      <c r="V77" s="24" t="e">
        <f t="shared" si="40"/>
        <v>#REF!</v>
      </c>
      <c r="W77" s="24" t="e">
        <f t="shared" si="40"/>
        <v>#REF!</v>
      </c>
      <c r="X77" s="24" t="e">
        <f t="shared" si="40"/>
        <v>#REF!</v>
      </c>
      <c r="Y77" s="24" t="e">
        <f t="shared" si="40"/>
        <v>#REF!</v>
      </c>
      <c r="Z77" s="24" t="e">
        <f t="shared" ref="Z77" si="41">SUM(Z12,Z18,Z31,Z36,Z41,Z48,Z58,Z63,Z69)</f>
        <v>#REF!</v>
      </c>
      <c r="AA77" s="23" t="e">
        <f>SUM(O77:Z77)</f>
        <v>#REF!</v>
      </c>
    </row>
    <row r="78" spans="1:27" x14ac:dyDescent="0.25">
      <c r="A78" s="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x14ac:dyDescent="0.25">
      <c r="A79" s="33" t="s">
        <v>36</v>
      </c>
      <c r="B79" s="34" t="e">
        <f>B9-B77</f>
        <v>#REF!</v>
      </c>
      <c r="C79" s="34" t="e">
        <f t="shared" ref="C79:N79" si="42">C9-C77</f>
        <v>#REF!</v>
      </c>
      <c r="D79" s="34" t="e">
        <f t="shared" si="42"/>
        <v>#REF!</v>
      </c>
      <c r="E79" s="34" t="e">
        <f t="shared" si="42"/>
        <v>#REF!</v>
      </c>
      <c r="F79" s="34" t="e">
        <f t="shared" si="42"/>
        <v>#REF!</v>
      </c>
      <c r="G79" s="34" t="e">
        <f t="shared" si="42"/>
        <v>#REF!</v>
      </c>
      <c r="H79" s="34" t="e">
        <f>H9-H77</f>
        <v>#REF!</v>
      </c>
      <c r="I79" s="34" t="e">
        <f>I9-I77</f>
        <v>#REF!</v>
      </c>
      <c r="J79" s="34" t="e">
        <f>J9-J77</f>
        <v>#REF!</v>
      </c>
      <c r="K79" s="34" t="e">
        <f>K9-K77</f>
        <v>#REF!</v>
      </c>
      <c r="L79" s="34" t="e">
        <f t="shared" si="42"/>
        <v>#REF!</v>
      </c>
      <c r="M79" s="34" t="e">
        <f t="shared" si="42"/>
        <v>#REF!</v>
      </c>
      <c r="N79" s="34" t="e">
        <f t="shared" si="42"/>
        <v>#REF!</v>
      </c>
      <c r="O79" s="34" t="e">
        <f t="shared" ref="O79:Y79" si="43">O9-O77</f>
        <v>#REF!</v>
      </c>
      <c r="P79" s="34" t="e">
        <f t="shared" si="43"/>
        <v>#REF!</v>
      </c>
      <c r="Q79" s="34" t="e">
        <f t="shared" si="43"/>
        <v>#REF!</v>
      </c>
      <c r="R79" s="34" t="e">
        <f t="shared" si="43"/>
        <v>#REF!</v>
      </c>
      <c r="S79" s="34" t="e">
        <f t="shared" si="43"/>
        <v>#REF!</v>
      </c>
      <c r="T79" s="34" t="e">
        <f t="shared" si="43"/>
        <v>#REF!</v>
      </c>
      <c r="U79" s="34" t="e">
        <f t="shared" si="43"/>
        <v>#REF!</v>
      </c>
      <c r="V79" s="34" t="e">
        <f t="shared" si="43"/>
        <v>#REF!</v>
      </c>
      <c r="W79" s="34" t="e">
        <f t="shared" si="43"/>
        <v>#REF!</v>
      </c>
      <c r="X79" s="34" t="e">
        <f t="shared" si="43"/>
        <v>#REF!</v>
      </c>
      <c r="Y79" s="34" t="e">
        <f t="shared" si="43"/>
        <v>#REF!</v>
      </c>
      <c r="Z79" s="34" t="e">
        <f t="shared" ref="Z79:AA79" si="44">Z9-Z77</f>
        <v>#REF!</v>
      </c>
      <c r="AA79" s="34" t="e">
        <f t="shared" si="44"/>
        <v>#REF!</v>
      </c>
    </row>
    <row r="80" spans="1:27" x14ac:dyDescent="0.25">
      <c r="A80" s="11"/>
      <c r="N80" s="12"/>
      <c r="AA80" s="12"/>
    </row>
    <row r="81" spans="1:27" x14ac:dyDescent="0.25">
      <c r="A81" s="21" t="s">
        <v>37</v>
      </c>
      <c r="B81" s="24" t="e">
        <f>B79</f>
        <v>#REF!</v>
      </c>
      <c r="C81" s="24" t="e">
        <f>B81+C79</f>
        <v>#REF!</v>
      </c>
      <c r="D81" s="24" t="e">
        <f t="shared" ref="D81:K81" si="45">C81+D79</f>
        <v>#REF!</v>
      </c>
      <c r="E81" s="24" t="e">
        <f t="shared" si="45"/>
        <v>#REF!</v>
      </c>
      <c r="F81" s="24" t="e">
        <f t="shared" si="45"/>
        <v>#REF!</v>
      </c>
      <c r="G81" s="24" t="e">
        <f t="shared" si="45"/>
        <v>#REF!</v>
      </c>
      <c r="H81" s="24" t="e">
        <f t="shared" si="45"/>
        <v>#REF!</v>
      </c>
      <c r="I81" s="24" t="e">
        <f>H81+I79</f>
        <v>#REF!</v>
      </c>
      <c r="J81" s="24" t="e">
        <f>I81+J79</f>
        <v>#REF!</v>
      </c>
      <c r="K81" s="24" t="e">
        <f t="shared" si="45"/>
        <v>#REF!</v>
      </c>
      <c r="L81" s="24" t="e">
        <f>K81+L79</f>
        <v>#REF!</v>
      </c>
      <c r="M81" s="24" t="e">
        <f>L81+M79</f>
        <v>#REF!</v>
      </c>
      <c r="N81" s="10"/>
      <c r="O81" s="24" t="e">
        <f>M81+O79</f>
        <v>#REF!</v>
      </c>
      <c r="P81" s="24" t="e">
        <f t="shared" ref="P81:Y81" si="46">O81+P79</f>
        <v>#REF!</v>
      </c>
      <c r="Q81" s="24" t="e">
        <f t="shared" si="46"/>
        <v>#REF!</v>
      </c>
      <c r="R81" s="24" t="e">
        <f t="shared" si="46"/>
        <v>#REF!</v>
      </c>
      <c r="S81" s="24" t="e">
        <f t="shared" si="46"/>
        <v>#REF!</v>
      </c>
      <c r="T81" s="24" t="e">
        <f t="shared" si="46"/>
        <v>#REF!</v>
      </c>
      <c r="U81" s="24" t="e">
        <f t="shared" si="46"/>
        <v>#REF!</v>
      </c>
      <c r="V81" s="24" t="e">
        <f t="shared" si="46"/>
        <v>#REF!</v>
      </c>
      <c r="W81" s="24" t="e">
        <f t="shared" si="46"/>
        <v>#REF!</v>
      </c>
      <c r="X81" s="24" t="e">
        <f t="shared" si="46"/>
        <v>#REF!</v>
      </c>
      <c r="Y81" s="24" t="e">
        <f t="shared" si="46"/>
        <v>#REF!</v>
      </c>
      <c r="Z81" s="24" t="e">
        <f>Y81+Z79</f>
        <v>#REF!</v>
      </c>
      <c r="AA81" s="10"/>
    </row>
    <row r="82" spans="1:27" x14ac:dyDescent="0.25">
      <c r="B82" s="13"/>
      <c r="C82" s="13"/>
      <c r="D82" s="13"/>
      <c r="E82" s="13"/>
      <c r="F82" s="13"/>
      <c r="G82" s="13"/>
      <c r="H82" s="13"/>
      <c r="J82" s="13"/>
      <c r="K82" s="13"/>
      <c r="L82" s="13"/>
      <c r="M82" s="13"/>
      <c r="N82" s="7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7"/>
    </row>
    <row r="83" spans="1:27" x14ac:dyDescent="0.25">
      <c r="A83" s="25" t="s">
        <v>112</v>
      </c>
      <c r="B83" s="7"/>
      <c r="C83" s="7"/>
      <c r="D83" s="7"/>
      <c r="E83" s="7"/>
      <c r="F83" s="7"/>
      <c r="G83" s="7"/>
      <c r="H83" s="7"/>
      <c r="I83" s="32"/>
      <c r="J83" s="7"/>
      <c r="K83" s="7"/>
      <c r="L83" s="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x14ac:dyDescent="0.25">
      <c r="A84" s="26" t="s">
        <v>38</v>
      </c>
      <c r="B84" s="27" t="s">
        <v>21</v>
      </c>
      <c r="C84" s="27" t="s">
        <v>22</v>
      </c>
      <c r="D84" s="27" t="s">
        <v>23</v>
      </c>
      <c r="E84" s="27" t="s">
        <v>24</v>
      </c>
      <c r="F84" s="27" t="s">
        <v>25</v>
      </c>
      <c r="G84" s="27" t="s">
        <v>26</v>
      </c>
      <c r="H84" s="27" t="s">
        <v>27</v>
      </c>
      <c r="I84" s="27" t="s">
        <v>28</v>
      </c>
      <c r="J84" s="27" t="s">
        <v>29</v>
      </c>
      <c r="K84" s="27" t="s">
        <v>30</v>
      </c>
      <c r="L84" s="27" t="s">
        <v>31</v>
      </c>
      <c r="M84" s="27" t="s">
        <v>32</v>
      </c>
      <c r="N84" s="27" t="s">
        <v>33</v>
      </c>
      <c r="O84" s="27" t="s">
        <v>32</v>
      </c>
      <c r="P84" s="27" t="s">
        <v>21</v>
      </c>
      <c r="Q84" s="27" t="s">
        <v>22</v>
      </c>
      <c r="R84" s="27" t="s">
        <v>23</v>
      </c>
      <c r="S84" s="27" t="s">
        <v>24</v>
      </c>
      <c r="T84" s="27" t="s">
        <v>25</v>
      </c>
      <c r="U84" s="27" t="s">
        <v>26</v>
      </c>
      <c r="V84" s="27" t="s">
        <v>27</v>
      </c>
      <c r="W84" s="27" t="s">
        <v>28</v>
      </c>
      <c r="X84" s="27" t="s">
        <v>29</v>
      </c>
      <c r="Y84" s="27" t="s">
        <v>30</v>
      </c>
      <c r="Z84" s="27" t="s">
        <v>31</v>
      </c>
      <c r="AA84" s="27" t="s">
        <v>33</v>
      </c>
    </row>
    <row r="85" spans="1:27" x14ac:dyDescent="0.25">
      <c r="A85" s="16" t="s">
        <v>41</v>
      </c>
      <c r="B85" s="16">
        <f>B9</f>
        <v>0</v>
      </c>
      <c r="C85" s="16">
        <f t="shared" ref="C85:M85" si="47">C9</f>
        <v>0</v>
      </c>
      <c r="D85" s="16">
        <f t="shared" si="47"/>
        <v>0</v>
      </c>
      <c r="E85" s="16">
        <f t="shared" si="47"/>
        <v>0</v>
      </c>
      <c r="F85" s="16">
        <f t="shared" si="47"/>
        <v>0</v>
      </c>
      <c r="G85" s="16">
        <f t="shared" si="47"/>
        <v>0</v>
      </c>
      <c r="H85" s="16">
        <f t="shared" si="47"/>
        <v>833</v>
      </c>
      <c r="I85" s="16">
        <f>I9</f>
        <v>5741.7300000000005</v>
      </c>
      <c r="J85" s="16">
        <f t="shared" si="47"/>
        <v>4012.4794080000001</v>
      </c>
      <c r="K85" s="16">
        <f t="shared" si="47"/>
        <v>3657.8331040000003</v>
      </c>
      <c r="L85" s="16">
        <f t="shared" si="47"/>
        <v>2073.633104</v>
      </c>
      <c r="M85" s="16">
        <f t="shared" si="47"/>
        <v>1995.893104</v>
      </c>
      <c r="N85" s="18">
        <f>SUM(B85:M85)</f>
        <v>18314.568719999999</v>
      </c>
      <c r="O85" s="16">
        <f t="shared" ref="O85:Y85" si="48">O9</f>
        <v>650</v>
      </c>
      <c r="P85" s="16">
        <f t="shared" si="48"/>
        <v>650</v>
      </c>
      <c r="Q85" s="16">
        <f t="shared" si="48"/>
        <v>4650</v>
      </c>
      <c r="R85" s="16">
        <f t="shared" si="48"/>
        <v>4650</v>
      </c>
      <c r="S85" s="16">
        <f t="shared" si="48"/>
        <v>4650</v>
      </c>
      <c r="T85" s="16">
        <f t="shared" si="48"/>
        <v>4650</v>
      </c>
      <c r="U85" s="16">
        <f t="shared" si="48"/>
        <v>4650</v>
      </c>
      <c r="V85" s="16">
        <f t="shared" si="48"/>
        <v>4650</v>
      </c>
      <c r="W85" s="16">
        <f t="shared" si="48"/>
        <v>4650</v>
      </c>
      <c r="X85" s="16">
        <f t="shared" si="48"/>
        <v>4650</v>
      </c>
      <c r="Y85" s="16">
        <f t="shared" si="48"/>
        <v>4650</v>
      </c>
      <c r="Z85" s="16">
        <f t="shared" ref="Z85" si="49">Z9</f>
        <v>4650</v>
      </c>
      <c r="AA85" s="18">
        <f>SUM(O85:Z85)</f>
        <v>47800</v>
      </c>
    </row>
    <row r="86" spans="1:27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x14ac:dyDescent="0.25">
      <c r="A87" s="16" t="s">
        <v>39</v>
      </c>
      <c r="B87" s="16" t="e">
        <f>SUM(B88:B96)</f>
        <v>#REF!</v>
      </c>
      <c r="C87" s="16" t="e">
        <f t="shared" ref="C87:M87" si="50">SUM(C88:C96)</f>
        <v>#REF!</v>
      </c>
      <c r="D87" s="16" t="e">
        <f t="shared" si="50"/>
        <v>#REF!</v>
      </c>
      <c r="E87" s="16" t="e">
        <f t="shared" si="50"/>
        <v>#REF!</v>
      </c>
      <c r="F87" s="16" t="e">
        <f t="shared" si="50"/>
        <v>#REF!</v>
      </c>
      <c r="G87" s="16" t="e">
        <f t="shared" si="50"/>
        <v>#REF!</v>
      </c>
      <c r="H87" s="16" t="e">
        <f t="shared" si="50"/>
        <v>#REF!</v>
      </c>
      <c r="I87" s="16" t="e">
        <f t="shared" si="50"/>
        <v>#REF!</v>
      </c>
      <c r="J87" s="16" t="e">
        <f t="shared" si="50"/>
        <v>#REF!</v>
      </c>
      <c r="K87" s="16" t="e">
        <f t="shared" si="50"/>
        <v>#REF!</v>
      </c>
      <c r="L87" s="16" t="e">
        <f t="shared" si="50"/>
        <v>#REF!</v>
      </c>
      <c r="M87" s="16" t="e">
        <f t="shared" si="50"/>
        <v>#REF!</v>
      </c>
      <c r="N87" s="18" t="e">
        <f t="shared" ref="N87:N97" si="51">SUM(B87:M87)</f>
        <v>#REF!</v>
      </c>
      <c r="O87" s="16" t="e">
        <f t="shared" ref="O87:Y87" si="52">SUM(O88:O96)</f>
        <v>#REF!</v>
      </c>
      <c r="P87" s="16" t="e">
        <f t="shared" si="52"/>
        <v>#REF!</v>
      </c>
      <c r="Q87" s="16" t="e">
        <f t="shared" si="52"/>
        <v>#REF!</v>
      </c>
      <c r="R87" s="16" t="e">
        <f t="shared" si="52"/>
        <v>#REF!</v>
      </c>
      <c r="S87" s="16" t="e">
        <f t="shared" si="52"/>
        <v>#REF!</v>
      </c>
      <c r="T87" s="16" t="e">
        <f t="shared" si="52"/>
        <v>#REF!</v>
      </c>
      <c r="U87" s="16" t="e">
        <f t="shared" si="52"/>
        <v>#REF!</v>
      </c>
      <c r="V87" s="16" t="e">
        <f t="shared" si="52"/>
        <v>#REF!</v>
      </c>
      <c r="W87" s="16" t="e">
        <f t="shared" si="52"/>
        <v>#REF!</v>
      </c>
      <c r="X87" s="16" t="e">
        <f t="shared" si="52"/>
        <v>#REF!</v>
      </c>
      <c r="Y87" s="16" t="e">
        <f t="shared" si="52"/>
        <v>#REF!</v>
      </c>
      <c r="Z87" s="16" t="e">
        <f t="shared" ref="Z87" si="53">SUM(Z88:Z96)</f>
        <v>#REF!</v>
      </c>
      <c r="AA87" s="18" t="e">
        <f>SUM(O87:Z87)</f>
        <v>#REF!</v>
      </c>
    </row>
    <row r="88" spans="1:27" x14ac:dyDescent="0.25">
      <c r="A88" s="16" t="s">
        <v>49</v>
      </c>
      <c r="B88" s="16">
        <f>B12</f>
        <v>0</v>
      </c>
      <c r="C88" s="16">
        <f t="shared" ref="C88:M88" si="54">C12</f>
        <v>0</v>
      </c>
      <c r="D88" s="16">
        <f t="shared" si="54"/>
        <v>0</v>
      </c>
      <c r="E88" s="16">
        <f t="shared" si="54"/>
        <v>0</v>
      </c>
      <c r="F88" s="16">
        <f t="shared" si="54"/>
        <v>0</v>
      </c>
      <c r="G88" s="16">
        <f t="shared" si="54"/>
        <v>0</v>
      </c>
      <c r="H88" s="16">
        <f t="shared" si="54"/>
        <v>0</v>
      </c>
      <c r="I88" s="16">
        <f t="shared" si="54"/>
        <v>236.65</v>
      </c>
      <c r="J88" s="16">
        <f t="shared" si="54"/>
        <v>0</v>
      </c>
      <c r="K88" s="16">
        <f t="shared" si="54"/>
        <v>250</v>
      </c>
      <c r="L88" s="16">
        <f t="shared" si="54"/>
        <v>0</v>
      </c>
      <c r="M88" s="16">
        <f t="shared" si="54"/>
        <v>0</v>
      </c>
      <c r="N88" s="18">
        <f t="shared" si="51"/>
        <v>486.65</v>
      </c>
      <c r="O88" s="16">
        <f>O12</f>
        <v>0</v>
      </c>
      <c r="P88" s="16">
        <f t="shared" ref="P88:Y88" si="55">P12</f>
        <v>0</v>
      </c>
      <c r="Q88" s="16">
        <f t="shared" si="55"/>
        <v>300</v>
      </c>
      <c r="R88" s="16">
        <f t="shared" si="55"/>
        <v>300</v>
      </c>
      <c r="S88" s="16">
        <f t="shared" si="55"/>
        <v>300</v>
      </c>
      <c r="T88" s="16">
        <f t="shared" si="55"/>
        <v>300</v>
      </c>
      <c r="U88" s="16">
        <f t="shared" si="55"/>
        <v>300</v>
      </c>
      <c r="V88" s="16">
        <f t="shared" si="55"/>
        <v>300</v>
      </c>
      <c r="W88" s="16">
        <f t="shared" si="55"/>
        <v>300</v>
      </c>
      <c r="X88" s="16">
        <f t="shared" si="55"/>
        <v>300</v>
      </c>
      <c r="Y88" s="16">
        <f t="shared" si="55"/>
        <v>300</v>
      </c>
      <c r="Z88" s="16">
        <f t="shared" ref="Z88" si="56">Z12</f>
        <v>300</v>
      </c>
      <c r="AA88" s="18">
        <f t="shared" ref="AA88:AA97" si="57">SUM(O88:Z88)</f>
        <v>3000</v>
      </c>
    </row>
    <row r="89" spans="1:27" x14ac:dyDescent="0.25">
      <c r="A89" s="16" t="s">
        <v>55</v>
      </c>
      <c r="B89" s="16">
        <f>B18</f>
        <v>0</v>
      </c>
      <c r="C89" s="16">
        <f t="shared" ref="C89:M89" si="58">C18</f>
        <v>0</v>
      </c>
      <c r="D89" s="16">
        <f t="shared" si="58"/>
        <v>0</v>
      </c>
      <c r="E89" s="16">
        <f t="shared" si="58"/>
        <v>0</v>
      </c>
      <c r="F89" s="16">
        <f t="shared" si="58"/>
        <v>0</v>
      </c>
      <c r="G89" s="16">
        <f t="shared" si="58"/>
        <v>0</v>
      </c>
      <c r="H89" s="16">
        <f t="shared" si="58"/>
        <v>0</v>
      </c>
      <c r="I89" s="16">
        <f t="shared" si="58"/>
        <v>109.99000000000001</v>
      </c>
      <c r="J89" s="16">
        <f t="shared" si="58"/>
        <v>109.99000000000001</v>
      </c>
      <c r="K89" s="16">
        <f t="shared" si="58"/>
        <v>159.99</v>
      </c>
      <c r="L89" s="16">
        <f t="shared" si="58"/>
        <v>109.99000000000001</v>
      </c>
      <c r="M89" s="16">
        <f t="shared" si="58"/>
        <v>109.99000000000001</v>
      </c>
      <c r="N89" s="18">
        <f t="shared" si="51"/>
        <v>599.95000000000005</v>
      </c>
      <c r="O89" s="16">
        <f t="shared" ref="O89:Y89" si="59">O18</f>
        <v>0</v>
      </c>
      <c r="P89" s="16">
        <f t="shared" si="59"/>
        <v>0</v>
      </c>
      <c r="Q89" s="16">
        <f t="shared" si="59"/>
        <v>269.99</v>
      </c>
      <c r="R89" s="16">
        <f t="shared" si="59"/>
        <v>199.99</v>
      </c>
      <c r="S89" s="16">
        <f t="shared" si="59"/>
        <v>199.99</v>
      </c>
      <c r="T89" s="16">
        <f t="shared" si="59"/>
        <v>269.99</v>
      </c>
      <c r="U89" s="16">
        <f t="shared" si="59"/>
        <v>199.99</v>
      </c>
      <c r="V89" s="16">
        <f t="shared" si="59"/>
        <v>199.99</v>
      </c>
      <c r="W89" s="16">
        <f t="shared" si="59"/>
        <v>269.99</v>
      </c>
      <c r="X89" s="16">
        <f t="shared" si="59"/>
        <v>199.99</v>
      </c>
      <c r="Y89" s="16">
        <f t="shared" si="59"/>
        <v>199.99</v>
      </c>
      <c r="Z89" s="16">
        <f t="shared" ref="Z89" si="60">Z18</f>
        <v>269.99</v>
      </c>
      <c r="AA89" s="18">
        <f t="shared" si="57"/>
        <v>2279.9</v>
      </c>
    </row>
    <row r="90" spans="1:27" x14ac:dyDescent="0.25">
      <c r="A90" s="16" t="s">
        <v>67</v>
      </c>
      <c r="B90" s="16">
        <f>B31</f>
        <v>0</v>
      </c>
      <c r="C90" s="16">
        <f t="shared" ref="C90:M90" si="61">C31</f>
        <v>0</v>
      </c>
      <c r="D90" s="16">
        <f t="shared" si="61"/>
        <v>0</v>
      </c>
      <c r="E90" s="16">
        <f t="shared" si="61"/>
        <v>0</v>
      </c>
      <c r="F90" s="16">
        <f t="shared" si="61"/>
        <v>0</v>
      </c>
      <c r="G90" s="16">
        <f t="shared" si="61"/>
        <v>0</v>
      </c>
      <c r="H90" s="16">
        <f t="shared" si="61"/>
        <v>0</v>
      </c>
      <c r="I90" s="16">
        <f t="shared" si="61"/>
        <v>0</v>
      </c>
      <c r="J90" s="16">
        <f t="shared" si="61"/>
        <v>0</v>
      </c>
      <c r="K90" s="16">
        <f t="shared" si="61"/>
        <v>0</v>
      </c>
      <c r="L90" s="16">
        <f t="shared" si="61"/>
        <v>0</v>
      </c>
      <c r="M90" s="16">
        <f t="shared" si="61"/>
        <v>0</v>
      </c>
      <c r="N90" s="18">
        <f t="shared" si="51"/>
        <v>0</v>
      </c>
      <c r="O90" s="16">
        <f t="shared" ref="O90:Y90" si="62">O31</f>
        <v>0</v>
      </c>
      <c r="P90" s="16">
        <f t="shared" si="62"/>
        <v>0</v>
      </c>
      <c r="Q90" s="16">
        <f t="shared" si="62"/>
        <v>700</v>
      </c>
      <c r="R90" s="16">
        <f t="shared" si="62"/>
        <v>700</v>
      </c>
      <c r="S90" s="16">
        <f t="shared" si="62"/>
        <v>700</v>
      </c>
      <c r="T90" s="16">
        <f t="shared" si="62"/>
        <v>700</v>
      </c>
      <c r="U90" s="16">
        <f t="shared" si="62"/>
        <v>700</v>
      </c>
      <c r="V90" s="16">
        <f t="shared" si="62"/>
        <v>700</v>
      </c>
      <c r="W90" s="16">
        <f t="shared" si="62"/>
        <v>700</v>
      </c>
      <c r="X90" s="16">
        <f t="shared" si="62"/>
        <v>700</v>
      </c>
      <c r="Y90" s="16">
        <f t="shared" si="62"/>
        <v>700</v>
      </c>
      <c r="Z90" s="16">
        <f t="shared" ref="Z90" si="63">Z31</f>
        <v>700</v>
      </c>
      <c r="AA90" s="18">
        <f t="shared" si="57"/>
        <v>7000</v>
      </c>
    </row>
    <row r="91" spans="1:27" x14ac:dyDescent="0.25">
      <c r="A91" s="16" t="s">
        <v>72</v>
      </c>
      <c r="B91" s="16">
        <f>B36</f>
        <v>0</v>
      </c>
      <c r="C91" s="16">
        <f t="shared" ref="C91:M91" si="64">C36</f>
        <v>0</v>
      </c>
      <c r="D91" s="16">
        <f t="shared" si="64"/>
        <v>0</v>
      </c>
      <c r="E91" s="16">
        <f t="shared" si="64"/>
        <v>0</v>
      </c>
      <c r="F91" s="16">
        <f t="shared" si="64"/>
        <v>0</v>
      </c>
      <c r="G91" s="16">
        <f t="shared" si="64"/>
        <v>0</v>
      </c>
      <c r="H91" s="16">
        <f t="shared" si="64"/>
        <v>0</v>
      </c>
      <c r="I91" s="16">
        <f t="shared" si="64"/>
        <v>0</v>
      </c>
      <c r="J91" s="16">
        <f t="shared" si="64"/>
        <v>0</v>
      </c>
      <c r="K91" s="16">
        <f t="shared" si="64"/>
        <v>0</v>
      </c>
      <c r="L91" s="16">
        <f t="shared" si="64"/>
        <v>0</v>
      </c>
      <c r="M91" s="16">
        <f t="shared" si="64"/>
        <v>0</v>
      </c>
      <c r="N91" s="18">
        <f t="shared" si="51"/>
        <v>0</v>
      </c>
      <c r="O91" s="16">
        <f t="shared" ref="O91:Y91" si="65">O36</f>
        <v>0</v>
      </c>
      <c r="P91" s="16">
        <f t="shared" si="65"/>
        <v>0</v>
      </c>
      <c r="Q91" s="16">
        <f t="shared" si="65"/>
        <v>0</v>
      </c>
      <c r="R91" s="16">
        <f t="shared" si="65"/>
        <v>0</v>
      </c>
      <c r="S91" s="16">
        <f t="shared" si="65"/>
        <v>0</v>
      </c>
      <c r="T91" s="16">
        <f t="shared" si="65"/>
        <v>0</v>
      </c>
      <c r="U91" s="16">
        <f t="shared" si="65"/>
        <v>0</v>
      </c>
      <c r="V91" s="16">
        <f t="shared" si="65"/>
        <v>0</v>
      </c>
      <c r="W91" s="16">
        <f t="shared" si="65"/>
        <v>0</v>
      </c>
      <c r="X91" s="16">
        <f t="shared" si="65"/>
        <v>0</v>
      </c>
      <c r="Y91" s="16">
        <f t="shared" si="65"/>
        <v>0</v>
      </c>
      <c r="Z91" s="16">
        <f t="shared" ref="Z91" si="66">Z36</f>
        <v>0</v>
      </c>
      <c r="AA91" s="18">
        <f t="shared" si="57"/>
        <v>0</v>
      </c>
    </row>
    <row r="92" spans="1:27" x14ac:dyDescent="0.25">
      <c r="A92" s="16" t="s">
        <v>77</v>
      </c>
      <c r="B92" s="16">
        <f>B41</f>
        <v>0</v>
      </c>
      <c r="C92" s="16">
        <f t="shared" ref="C92:M92" si="67">C41</f>
        <v>0</v>
      </c>
      <c r="D92" s="16">
        <f t="shared" si="67"/>
        <v>160</v>
      </c>
      <c r="E92" s="16">
        <f t="shared" si="67"/>
        <v>160</v>
      </c>
      <c r="F92" s="16">
        <f t="shared" si="67"/>
        <v>160</v>
      </c>
      <c r="G92" s="16">
        <f t="shared" si="67"/>
        <v>160</v>
      </c>
      <c r="H92" s="16">
        <f t="shared" si="67"/>
        <v>160</v>
      </c>
      <c r="I92" s="16">
        <f t="shared" si="67"/>
        <v>160</v>
      </c>
      <c r="J92" s="16">
        <f t="shared" si="67"/>
        <v>160</v>
      </c>
      <c r="K92" s="16">
        <f t="shared" si="67"/>
        <v>160</v>
      </c>
      <c r="L92" s="16">
        <f t="shared" si="67"/>
        <v>160</v>
      </c>
      <c r="M92" s="16">
        <f t="shared" si="67"/>
        <v>0</v>
      </c>
      <c r="N92" s="18">
        <f t="shared" si="51"/>
        <v>1440</v>
      </c>
      <c r="O92" s="16">
        <f t="shared" ref="O92:Y92" si="68">O41</f>
        <v>119</v>
      </c>
      <c r="P92" s="16">
        <f t="shared" si="68"/>
        <v>119</v>
      </c>
      <c r="Q92" s="16">
        <f t="shared" si="68"/>
        <v>589</v>
      </c>
      <c r="R92" s="16">
        <f t="shared" si="68"/>
        <v>589</v>
      </c>
      <c r="S92" s="16">
        <f t="shared" si="68"/>
        <v>589</v>
      </c>
      <c r="T92" s="16">
        <f t="shared" si="68"/>
        <v>589</v>
      </c>
      <c r="U92" s="16">
        <f t="shared" si="68"/>
        <v>589</v>
      </c>
      <c r="V92" s="16">
        <f t="shared" si="68"/>
        <v>589</v>
      </c>
      <c r="W92" s="16">
        <f t="shared" si="68"/>
        <v>589</v>
      </c>
      <c r="X92" s="16">
        <f t="shared" si="68"/>
        <v>589</v>
      </c>
      <c r="Y92" s="16">
        <f t="shared" si="68"/>
        <v>589</v>
      </c>
      <c r="Z92" s="16">
        <f t="shared" ref="Z92" si="69">Z41</f>
        <v>589</v>
      </c>
      <c r="AA92" s="18">
        <f t="shared" si="57"/>
        <v>6128</v>
      </c>
    </row>
    <row r="93" spans="1:27" x14ac:dyDescent="0.25">
      <c r="A93" s="16" t="s">
        <v>84</v>
      </c>
      <c r="B93" s="16">
        <f>B48</f>
        <v>0</v>
      </c>
      <c r="C93" s="16">
        <f t="shared" ref="C93:M93" si="70">C48</f>
        <v>0</v>
      </c>
      <c r="D93" s="16">
        <f t="shared" si="70"/>
        <v>0</v>
      </c>
      <c r="E93" s="16">
        <f t="shared" si="70"/>
        <v>0</v>
      </c>
      <c r="F93" s="16">
        <f t="shared" si="70"/>
        <v>0</v>
      </c>
      <c r="G93" s="16">
        <f t="shared" si="70"/>
        <v>0</v>
      </c>
      <c r="H93" s="16">
        <f t="shared" si="70"/>
        <v>0</v>
      </c>
      <c r="I93" s="16">
        <f t="shared" si="70"/>
        <v>520.31000000000006</v>
      </c>
      <c r="J93" s="16">
        <f t="shared" si="70"/>
        <v>301.55</v>
      </c>
      <c r="K93" s="16">
        <f t="shared" si="70"/>
        <v>305</v>
      </c>
      <c r="L93" s="16">
        <f t="shared" si="70"/>
        <v>150</v>
      </c>
      <c r="M93" s="16">
        <f t="shared" si="70"/>
        <v>150</v>
      </c>
      <c r="N93" s="18">
        <f t="shared" si="51"/>
        <v>1426.8600000000001</v>
      </c>
      <c r="O93" s="16">
        <f t="shared" ref="O93:Y93" si="71">O48</f>
        <v>0</v>
      </c>
      <c r="P93" s="16">
        <f t="shared" si="71"/>
        <v>0</v>
      </c>
      <c r="Q93" s="16">
        <f t="shared" si="71"/>
        <v>470</v>
      </c>
      <c r="R93" s="16">
        <f t="shared" si="71"/>
        <v>470</v>
      </c>
      <c r="S93" s="16">
        <f t="shared" si="71"/>
        <v>470</v>
      </c>
      <c r="T93" s="16">
        <f t="shared" si="71"/>
        <v>470</v>
      </c>
      <c r="U93" s="16">
        <f t="shared" si="71"/>
        <v>470</v>
      </c>
      <c r="V93" s="16">
        <f t="shared" si="71"/>
        <v>470</v>
      </c>
      <c r="W93" s="16">
        <f t="shared" si="71"/>
        <v>470</v>
      </c>
      <c r="X93" s="16">
        <f t="shared" si="71"/>
        <v>470</v>
      </c>
      <c r="Y93" s="16">
        <f t="shared" si="71"/>
        <v>470</v>
      </c>
      <c r="Z93" s="16">
        <f t="shared" ref="Z93" si="72">Z48</f>
        <v>470</v>
      </c>
      <c r="AA93" s="18">
        <f t="shared" si="57"/>
        <v>4700</v>
      </c>
    </row>
    <row r="94" spans="1:27" x14ac:dyDescent="0.25">
      <c r="A94" s="16" t="s">
        <v>94</v>
      </c>
      <c r="B94" s="16">
        <f>B58</f>
        <v>0</v>
      </c>
      <c r="C94" s="16">
        <f t="shared" ref="C94:M94" si="73">C58</f>
        <v>0</v>
      </c>
      <c r="D94" s="16">
        <f t="shared" si="73"/>
        <v>0</v>
      </c>
      <c r="E94" s="16">
        <f t="shared" si="73"/>
        <v>0</v>
      </c>
      <c r="F94" s="16">
        <f t="shared" si="73"/>
        <v>0</v>
      </c>
      <c r="G94" s="16">
        <f t="shared" si="73"/>
        <v>0</v>
      </c>
      <c r="H94" s="16">
        <f t="shared" si="73"/>
        <v>0</v>
      </c>
      <c r="I94" s="16">
        <f t="shared" si="73"/>
        <v>734.73</v>
      </c>
      <c r="J94" s="16">
        <f t="shared" si="73"/>
        <v>0</v>
      </c>
      <c r="K94" s="16">
        <f t="shared" si="73"/>
        <v>0</v>
      </c>
      <c r="L94" s="16">
        <f t="shared" si="73"/>
        <v>0</v>
      </c>
      <c r="M94" s="16">
        <f t="shared" si="73"/>
        <v>0</v>
      </c>
      <c r="N94" s="18">
        <f t="shared" si="51"/>
        <v>734.73</v>
      </c>
      <c r="O94" s="16">
        <f t="shared" ref="O94:Y94" si="74">O58</f>
        <v>0</v>
      </c>
      <c r="P94" s="16">
        <f t="shared" si="74"/>
        <v>0</v>
      </c>
      <c r="Q94" s="16">
        <f t="shared" si="74"/>
        <v>0</v>
      </c>
      <c r="R94" s="16">
        <f t="shared" si="74"/>
        <v>0</v>
      </c>
      <c r="S94" s="16">
        <f t="shared" si="74"/>
        <v>0</v>
      </c>
      <c r="T94" s="16">
        <f t="shared" si="74"/>
        <v>0</v>
      </c>
      <c r="U94" s="16">
        <f t="shared" si="74"/>
        <v>0</v>
      </c>
      <c r="V94" s="16">
        <f t="shared" si="74"/>
        <v>0</v>
      </c>
      <c r="W94" s="16">
        <f t="shared" si="74"/>
        <v>0</v>
      </c>
      <c r="X94" s="16">
        <f t="shared" si="74"/>
        <v>0</v>
      </c>
      <c r="Y94" s="16">
        <f t="shared" si="74"/>
        <v>0</v>
      </c>
      <c r="Z94" s="16">
        <f t="shared" ref="Z94" si="75">Z58</f>
        <v>0</v>
      </c>
      <c r="AA94" s="18">
        <f t="shared" si="57"/>
        <v>0</v>
      </c>
    </row>
    <row r="95" spans="1:27" x14ac:dyDescent="0.25">
      <c r="A95" s="16" t="s">
        <v>99</v>
      </c>
      <c r="B95" s="16">
        <f>B63</f>
        <v>0</v>
      </c>
      <c r="C95" s="16">
        <f t="shared" ref="C95:M95" si="76">C63</f>
        <v>0</v>
      </c>
      <c r="D95" s="16">
        <f t="shared" si="76"/>
        <v>0</v>
      </c>
      <c r="E95" s="16">
        <f t="shared" si="76"/>
        <v>0</v>
      </c>
      <c r="F95" s="16">
        <f t="shared" si="76"/>
        <v>0</v>
      </c>
      <c r="G95" s="16">
        <f t="shared" si="76"/>
        <v>0</v>
      </c>
      <c r="H95" s="16">
        <f t="shared" si="76"/>
        <v>0</v>
      </c>
      <c r="I95" s="16">
        <f t="shared" si="76"/>
        <v>0</v>
      </c>
      <c r="J95" s="16">
        <f t="shared" si="76"/>
        <v>0</v>
      </c>
      <c r="K95" s="16">
        <f t="shared" si="76"/>
        <v>0</v>
      </c>
      <c r="L95" s="16">
        <f t="shared" si="76"/>
        <v>0</v>
      </c>
      <c r="M95" s="16">
        <f t="shared" si="76"/>
        <v>0</v>
      </c>
      <c r="N95" s="18">
        <f t="shared" si="51"/>
        <v>0</v>
      </c>
      <c r="O95" s="16">
        <f t="shared" ref="O95:Y95" si="77">O63</f>
        <v>0</v>
      </c>
      <c r="P95" s="16">
        <f t="shared" si="77"/>
        <v>0</v>
      </c>
      <c r="Q95" s="16">
        <f t="shared" si="77"/>
        <v>0</v>
      </c>
      <c r="R95" s="16">
        <f t="shared" si="77"/>
        <v>0</v>
      </c>
      <c r="S95" s="16">
        <f t="shared" si="77"/>
        <v>0</v>
      </c>
      <c r="T95" s="16">
        <f t="shared" si="77"/>
        <v>0</v>
      </c>
      <c r="U95" s="16">
        <f t="shared" si="77"/>
        <v>0</v>
      </c>
      <c r="V95" s="16">
        <f t="shared" si="77"/>
        <v>0</v>
      </c>
      <c r="W95" s="16">
        <f t="shared" si="77"/>
        <v>0</v>
      </c>
      <c r="X95" s="16">
        <f t="shared" si="77"/>
        <v>0</v>
      </c>
      <c r="Y95" s="16">
        <f t="shared" si="77"/>
        <v>0</v>
      </c>
      <c r="Z95" s="16">
        <f t="shared" ref="Z95" si="78">Z63</f>
        <v>0</v>
      </c>
      <c r="AA95" s="18">
        <f t="shared" si="57"/>
        <v>0</v>
      </c>
    </row>
    <row r="96" spans="1:27" x14ac:dyDescent="0.25">
      <c r="A96" s="16" t="s">
        <v>105</v>
      </c>
      <c r="B96" s="16" t="e">
        <f>B69</f>
        <v>#REF!</v>
      </c>
      <c r="C96" s="16" t="e">
        <f t="shared" ref="C96:M96" si="79">C69</f>
        <v>#REF!</v>
      </c>
      <c r="D96" s="16" t="e">
        <f t="shared" si="79"/>
        <v>#REF!</v>
      </c>
      <c r="E96" s="16" t="e">
        <f t="shared" si="79"/>
        <v>#REF!</v>
      </c>
      <c r="F96" s="16" t="e">
        <f t="shared" si="79"/>
        <v>#REF!</v>
      </c>
      <c r="G96" s="16" t="e">
        <f t="shared" si="79"/>
        <v>#REF!</v>
      </c>
      <c r="H96" s="16" t="e">
        <f t="shared" si="79"/>
        <v>#REF!</v>
      </c>
      <c r="I96" s="16" t="e">
        <f t="shared" si="79"/>
        <v>#REF!</v>
      </c>
      <c r="J96" s="16" t="e">
        <f t="shared" si="79"/>
        <v>#REF!</v>
      </c>
      <c r="K96" s="16" t="e">
        <f t="shared" si="79"/>
        <v>#REF!</v>
      </c>
      <c r="L96" s="16" t="e">
        <f t="shared" si="79"/>
        <v>#REF!</v>
      </c>
      <c r="M96" s="16" t="e">
        <f t="shared" si="79"/>
        <v>#REF!</v>
      </c>
      <c r="N96" s="18" t="e">
        <f t="shared" si="51"/>
        <v>#REF!</v>
      </c>
      <c r="O96" s="16" t="e">
        <f t="shared" ref="O96:Y96" si="80">O69</f>
        <v>#REF!</v>
      </c>
      <c r="P96" s="16" t="e">
        <f t="shared" si="80"/>
        <v>#REF!</v>
      </c>
      <c r="Q96" s="16" t="e">
        <f t="shared" si="80"/>
        <v>#REF!</v>
      </c>
      <c r="R96" s="16" t="e">
        <f t="shared" si="80"/>
        <v>#REF!</v>
      </c>
      <c r="S96" s="16" t="e">
        <f t="shared" si="80"/>
        <v>#REF!</v>
      </c>
      <c r="T96" s="16" t="e">
        <f t="shared" si="80"/>
        <v>#REF!</v>
      </c>
      <c r="U96" s="16" t="e">
        <f t="shared" si="80"/>
        <v>#REF!</v>
      </c>
      <c r="V96" s="16" t="e">
        <f t="shared" si="80"/>
        <v>#REF!</v>
      </c>
      <c r="W96" s="16" t="e">
        <f t="shared" si="80"/>
        <v>#REF!</v>
      </c>
      <c r="X96" s="16" t="e">
        <f t="shared" si="80"/>
        <v>#REF!</v>
      </c>
      <c r="Y96" s="16" t="e">
        <f t="shared" si="80"/>
        <v>#REF!</v>
      </c>
      <c r="Z96" s="16" t="e">
        <f t="shared" ref="Z96" si="81">Z69</f>
        <v>#REF!</v>
      </c>
      <c r="AA96" s="18" t="e">
        <f t="shared" si="57"/>
        <v>#REF!</v>
      </c>
    </row>
    <row r="97" spans="1:27" x14ac:dyDescent="0.25">
      <c r="A97" s="17" t="s">
        <v>36</v>
      </c>
      <c r="B97" s="18" t="e">
        <f>B85-B87</f>
        <v>#REF!</v>
      </c>
      <c r="C97" s="18" t="e">
        <f t="shared" ref="C97:M97" si="82">C85-C87</f>
        <v>#REF!</v>
      </c>
      <c r="D97" s="18" t="e">
        <f t="shared" si="82"/>
        <v>#REF!</v>
      </c>
      <c r="E97" s="18" t="e">
        <f t="shared" si="82"/>
        <v>#REF!</v>
      </c>
      <c r="F97" s="18" t="e">
        <f t="shared" si="82"/>
        <v>#REF!</v>
      </c>
      <c r="G97" s="18" t="e">
        <f t="shared" si="82"/>
        <v>#REF!</v>
      </c>
      <c r="H97" s="18" t="e">
        <f t="shared" si="82"/>
        <v>#REF!</v>
      </c>
      <c r="I97" s="18" t="e">
        <f t="shared" si="82"/>
        <v>#REF!</v>
      </c>
      <c r="J97" s="18" t="e">
        <f t="shared" si="82"/>
        <v>#REF!</v>
      </c>
      <c r="K97" s="18" t="e">
        <f t="shared" si="82"/>
        <v>#REF!</v>
      </c>
      <c r="L97" s="18" t="e">
        <f t="shared" si="82"/>
        <v>#REF!</v>
      </c>
      <c r="M97" s="18" t="e">
        <f t="shared" si="82"/>
        <v>#REF!</v>
      </c>
      <c r="N97" s="18" t="e">
        <f t="shared" si="51"/>
        <v>#REF!</v>
      </c>
      <c r="O97" s="18" t="e">
        <f t="shared" ref="O97:Y97" si="83">O85-O87</f>
        <v>#REF!</v>
      </c>
      <c r="P97" s="18" t="e">
        <f t="shared" si="83"/>
        <v>#REF!</v>
      </c>
      <c r="Q97" s="18" t="e">
        <f t="shared" si="83"/>
        <v>#REF!</v>
      </c>
      <c r="R97" s="18" t="e">
        <f t="shared" si="83"/>
        <v>#REF!</v>
      </c>
      <c r="S97" s="18" t="e">
        <f t="shared" si="83"/>
        <v>#REF!</v>
      </c>
      <c r="T97" s="18" t="e">
        <f t="shared" si="83"/>
        <v>#REF!</v>
      </c>
      <c r="U97" s="18" t="e">
        <f t="shared" si="83"/>
        <v>#REF!</v>
      </c>
      <c r="V97" s="18" t="e">
        <f t="shared" si="83"/>
        <v>#REF!</v>
      </c>
      <c r="W97" s="18" t="e">
        <f t="shared" si="83"/>
        <v>#REF!</v>
      </c>
      <c r="X97" s="18" t="e">
        <f t="shared" si="83"/>
        <v>#REF!</v>
      </c>
      <c r="Y97" s="18" t="e">
        <f t="shared" si="83"/>
        <v>#REF!</v>
      </c>
      <c r="Z97" s="18" t="e">
        <f t="shared" ref="Z97" si="84">Z85-Z87</f>
        <v>#REF!</v>
      </c>
      <c r="AA97" s="18" t="e">
        <f t="shared" si="57"/>
        <v>#REF!</v>
      </c>
    </row>
    <row r="98" spans="1:27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5">
      <c r="A99" s="21" t="s">
        <v>40</v>
      </c>
      <c r="B99" s="24" t="e">
        <f>B85-B87</f>
        <v>#REF!</v>
      </c>
      <c r="C99" s="24" t="e">
        <f t="shared" ref="C99:M99" si="85">C85-C87</f>
        <v>#REF!</v>
      </c>
      <c r="D99" s="24" t="e">
        <f t="shared" si="85"/>
        <v>#REF!</v>
      </c>
      <c r="E99" s="24" t="e">
        <f t="shared" si="85"/>
        <v>#REF!</v>
      </c>
      <c r="F99" s="24" t="e">
        <f t="shared" si="85"/>
        <v>#REF!</v>
      </c>
      <c r="G99" s="24" t="e">
        <f t="shared" si="85"/>
        <v>#REF!</v>
      </c>
      <c r="H99" s="24" t="e">
        <f t="shared" si="85"/>
        <v>#REF!</v>
      </c>
      <c r="I99" s="24" t="e">
        <f t="shared" si="85"/>
        <v>#REF!</v>
      </c>
      <c r="J99" s="24" t="e">
        <f t="shared" si="85"/>
        <v>#REF!</v>
      </c>
      <c r="K99" s="24" t="e">
        <f t="shared" si="85"/>
        <v>#REF!</v>
      </c>
      <c r="L99" s="24" t="e">
        <f t="shared" si="85"/>
        <v>#REF!</v>
      </c>
      <c r="M99" s="24" t="e">
        <f t="shared" si="85"/>
        <v>#REF!</v>
      </c>
      <c r="N99" s="10"/>
      <c r="O99" s="24" t="e">
        <f>O85-O87</f>
        <v>#REF!</v>
      </c>
      <c r="P99" s="24" t="e">
        <f t="shared" ref="P99:Y99" si="86">P85-P87</f>
        <v>#REF!</v>
      </c>
      <c r="Q99" s="24" t="e">
        <f t="shared" si="86"/>
        <v>#REF!</v>
      </c>
      <c r="R99" s="24" t="e">
        <f t="shared" si="86"/>
        <v>#REF!</v>
      </c>
      <c r="S99" s="24" t="e">
        <f t="shared" si="86"/>
        <v>#REF!</v>
      </c>
      <c r="T99" s="24" t="e">
        <f t="shared" si="86"/>
        <v>#REF!</v>
      </c>
      <c r="U99" s="24" t="e">
        <f t="shared" si="86"/>
        <v>#REF!</v>
      </c>
      <c r="V99" s="24" t="e">
        <f t="shared" si="86"/>
        <v>#REF!</v>
      </c>
      <c r="W99" s="24" t="e">
        <f t="shared" si="86"/>
        <v>#REF!</v>
      </c>
      <c r="X99" s="24" t="e">
        <f t="shared" si="86"/>
        <v>#REF!</v>
      </c>
      <c r="Y99" s="24" t="e">
        <f t="shared" si="86"/>
        <v>#REF!</v>
      </c>
      <c r="Z99" s="24" t="e">
        <f t="shared" ref="Z99" si="87">Z85-Z87</f>
        <v>#REF!</v>
      </c>
      <c r="AA99" s="10"/>
    </row>
    <row r="100" spans="1:27" x14ac:dyDescent="0.25">
      <c r="A100" s="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x14ac:dyDescent="0.25">
      <c r="A101" s="16" t="s">
        <v>163</v>
      </c>
      <c r="B101" s="16"/>
      <c r="C101" s="16"/>
      <c r="D101" s="16"/>
      <c r="E101" s="16"/>
      <c r="F101" s="16"/>
      <c r="G101" s="16"/>
      <c r="H101" s="16"/>
      <c r="I101" s="16">
        <v>0</v>
      </c>
      <c r="J101" s="16"/>
      <c r="K101" s="16"/>
      <c r="L101" s="16"/>
      <c r="M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7" x14ac:dyDescent="0.25">
      <c r="A102" s="16" t="s">
        <v>162</v>
      </c>
      <c r="B102" s="16"/>
      <c r="C102" s="16"/>
      <c r="D102" s="16"/>
      <c r="E102" s="16"/>
      <c r="F102" s="16"/>
      <c r="G102" s="16"/>
      <c r="H102" s="16"/>
      <c r="I102" s="16">
        <v>124.17</v>
      </c>
      <c r="J102" s="16"/>
      <c r="K102" s="16"/>
      <c r="L102" s="16"/>
      <c r="M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7" x14ac:dyDescent="0.25">
      <c r="A103" s="16" t="s">
        <v>164</v>
      </c>
      <c r="B103" s="16"/>
      <c r="C103" s="16"/>
      <c r="D103" s="16"/>
      <c r="E103" s="16"/>
      <c r="F103" s="16"/>
      <c r="G103" s="16"/>
      <c r="H103" s="16"/>
      <c r="I103" s="16">
        <f>(386.3+112.53)-70</f>
        <v>428.83000000000004</v>
      </c>
      <c r="J103" s="16"/>
      <c r="K103" s="16"/>
      <c r="L103" s="16"/>
      <c r="M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7" x14ac:dyDescent="0.25">
      <c r="A104" s="16" t="s">
        <v>165</v>
      </c>
      <c r="B104" s="16"/>
      <c r="C104" s="16"/>
      <c r="D104" s="16"/>
      <c r="E104" s="16"/>
      <c r="F104" s="16"/>
      <c r="G104" s="16"/>
      <c r="H104" s="16"/>
      <c r="I104" s="16">
        <v>0</v>
      </c>
      <c r="J104" s="16"/>
      <c r="K104" s="16"/>
      <c r="L104" s="16"/>
      <c r="M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7" x14ac:dyDescent="0.25">
      <c r="A105" s="17" t="s">
        <v>166</v>
      </c>
      <c r="B105" s="18"/>
      <c r="C105" s="18"/>
      <c r="D105" s="18"/>
      <c r="E105" s="18"/>
      <c r="F105" s="18"/>
      <c r="G105" s="18"/>
      <c r="H105" s="18"/>
      <c r="I105" s="36">
        <f>SUM(I101:I104)</f>
        <v>553</v>
      </c>
      <c r="J105" s="36">
        <f t="shared" ref="J105:M105" si="88">SUM(J101:J104)</f>
        <v>0</v>
      </c>
      <c r="K105" s="36">
        <f t="shared" si="88"/>
        <v>0</v>
      </c>
      <c r="L105" s="36">
        <f t="shared" si="88"/>
        <v>0</v>
      </c>
      <c r="M105" s="36">
        <f t="shared" si="88"/>
        <v>0</v>
      </c>
      <c r="O105" s="36">
        <f t="shared" ref="O105:Y105" si="89">SUM(O101:O104)</f>
        <v>0</v>
      </c>
      <c r="P105" s="36">
        <f t="shared" si="89"/>
        <v>0</v>
      </c>
      <c r="Q105" s="36">
        <f t="shared" si="89"/>
        <v>0</v>
      </c>
      <c r="R105" s="36">
        <f t="shared" si="89"/>
        <v>0</v>
      </c>
      <c r="S105" s="36">
        <f t="shared" si="89"/>
        <v>0</v>
      </c>
      <c r="T105" s="36">
        <f t="shared" si="89"/>
        <v>0</v>
      </c>
      <c r="U105" s="36">
        <f t="shared" si="89"/>
        <v>0</v>
      </c>
      <c r="V105" s="36">
        <f t="shared" si="89"/>
        <v>0</v>
      </c>
      <c r="W105" s="36">
        <f t="shared" si="89"/>
        <v>0</v>
      </c>
      <c r="X105" s="36">
        <f t="shared" si="89"/>
        <v>0</v>
      </c>
      <c r="Y105" s="36">
        <f t="shared" si="89"/>
        <v>0</v>
      </c>
      <c r="Z105" s="36">
        <f t="shared" ref="Z105" si="90">SUM(Z101:Z104)</f>
        <v>0</v>
      </c>
    </row>
    <row r="107" spans="1:27" x14ac:dyDescent="0.25">
      <c r="I107" s="37" t="e">
        <f>I97-I105</f>
        <v>#REF!</v>
      </c>
    </row>
    <row r="108" spans="1:27" x14ac:dyDescent="0.25">
      <c r="I108" s="37">
        <f>I105-125</f>
        <v>428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B12 L12:M12 D12:K12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workbookViewId="0">
      <selection activeCell="D12" sqref="D12"/>
    </sheetView>
  </sheetViews>
  <sheetFormatPr defaultRowHeight="15" x14ac:dyDescent="0.25"/>
  <cols>
    <col min="2" max="2" width="19.28515625" bestFit="1" customWidth="1"/>
    <col min="3" max="3" width="12.28515625" customWidth="1"/>
    <col min="5" max="5" width="19.85546875" customWidth="1"/>
  </cols>
  <sheetData>
    <row r="1" spans="2:5" x14ac:dyDescent="0.25">
      <c r="B1" t="s">
        <v>330</v>
      </c>
      <c r="C1" s="35" t="e">
        <f>#REF!</f>
        <v>#REF!</v>
      </c>
    </row>
    <row r="2" spans="2:5" x14ac:dyDescent="0.25">
      <c r="B2" t="s">
        <v>331</v>
      </c>
      <c r="C2" s="35" t="e">
        <f>'CARTÃO DE CRÉDITO - OUTROS'!#REF!</f>
        <v>#REF!</v>
      </c>
    </row>
    <row r="3" spans="2:5" x14ac:dyDescent="0.25">
      <c r="B3" t="s">
        <v>332</v>
      </c>
      <c r="C3" s="35">
        <f>DENTISTA!L5</f>
        <v>1440</v>
      </c>
    </row>
    <row r="4" spans="2:5" x14ac:dyDescent="0.25">
      <c r="C4" s="35" t="e">
        <f>SUM(C1:C3)</f>
        <v>#REF!</v>
      </c>
    </row>
    <row r="5" spans="2:5" x14ac:dyDescent="0.25">
      <c r="E5">
        <v>7000</v>
      </c>
    </row>
    <row r="6" spans="2:5" x14ac:dyDescent="0.25">
      <c r="E6" s="35" t="e">
        <f>C4-E5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topLeftCell="C1" workbookViewId="0">
      <selection activeCell="K7" sqref="K7"/>
    </sheetView>
  </sheetViews>
  <sheetFormatPr defaultRowHeight="12.75" x14ac:dyDescent="0.2"/>
  <cols>
    <col min="1" max="1" width="11.85546875" style="43" bestFit="1" customWidth="1"/>
    <col min="2" max="2" width="10.42578125" style="43" bestFit="1" customWidth="1"/>
    <col min="3" max="6" width="9.140625" style="43"/>
    <col min="7" max="7" width="11.85546875" style="43" bestFit="1" customWidth="1"/>
    <col min="8" max="8" width="10.42578125" style="43" bestFit="1" customWidth="1"/>
    <col min="9" max="16384" width="9.140625" style="43"/>
  </cols>
  <sheetData>
    <row r="1" spans="1:11" x14ac:dyDescent="0.2">
      <c r="A1" s="162" t="s">
        <v>178</v>
      </c>
      <c r="B1" s="162"/>
      <c r="C1" s="162"/>
      <c r="D1" s="162"/>
      <c r="G1" s="162" t="s">
        <v>324</v>
      </c>
      <c r="H1" s="162"/>
      <c r="I1" s="162"/>
      <c r="J1" s="162"/>
    </row>
    <row r="2" spans="1:11" x14ac:dyDescent="0.2">
      <c r="A2" s="42" t="s">
        <v>174</v>
      </c>
      <c r="B2" s="42" t="s">
        <v>168</v>
      </c>
      <c r="C2" s="42" t="s">
        <v>175</v>
      </c>
      <c r="D2" s="42" t="s">
        <v>176</v>
      </c>
      <c r="G2" s="72" t="s">
        <v>174</v>
      </c>
      <c r="H2" s="72" t="s">
        <v>168</v>
      </c>
      <c r="I2" s="72" t="s">
        <v>175</v>
      </c>
      <c r="J2" s="72" t="s">
        <v>176</v>
      </c>
    </row>
    <row r="3" spans="1:11" x14ac:dyDescent="0.2">
      <c r="A3" s="39" t="s">
        <v>171</v>
      </c>
      <c r="B3" s="40">
        <v>43717</v>
      </c>
      <c r="C3" s="64">
        <f t="shared" ref="C3" si="0">4.05*2</f>
        <v>8.1</v>
      </c>
      <c r="D3" s="64">
        <v>25</v>
      </c>
      <c r="G3" s="101" t="s">
        <v>171</v>
      </c>
      <c r="H3" s="102">
        <v>43752</v>
      </c>
      <c r="I3" s="103">
        <f t="shared" ref="I3:I22" si="1">4.05*2</f>
        <v>8.1</v>
      </c>
      <c r="J3" s="103">
        <v>25</v>
      </c>
      <c r="K3" s="107">
        <f>SUM(J3:J12)</f>
        <v>250</v>
      </c>
    </row>
    <row r="4" spans="1:11" x14ac:dyDescent="0.2">
      <c r="A4" s="39" t="s">
        <v>172</v>
      </c>
      <c r="B4" s="40">
        <v>43718</v>
      </c>
      <c r="C4" s="64">
        <f t="shared" ref="C4:C27" si="2">4.05*2</f>
        <v>8.1</v>
      </c>
      <c r="D4" s="64">
        <v>25</v>
      </c>
      <c r="G4" s="101" t="s">
        <v>172</v>
      </c>
      <c r="H4" s="102">
        <v>43753</v>
      </c>
      <c r="I4" s="103">
        <f t="shared" si="1"/>
        <v>8.1</v>
      </c>
      <c r="J4" s="103">
        <v>25</v>
      </c>
      <c r="K4" s="108">
        <v>0.18</v>
      </c>
    </row>
    <row r="5" spans="1:11" x14ac:dyDescent="0.2">
      <c r="A5" s="39" t="s">
        <v>173</v>
      </c>
      <c r="B5" s="40">
        <v>43719</v>
      </c>
      <c r="C5" s="64">
        <f t="shared" si="2"/>
        <v>8.1</v>
      </c>
      <c r="D5" s="64">
        <v>25</v>
      </c>
      <c r="G5" s="101" t="s">
        <v>173</v>
      </c>
      <c r="H5" s="102">
        <v>43754</v>
      </c>
      <c r="I5" s="103">
        <f t="shared" si="1"/>
        <v>8.1</v>
      </c>
      <c r="J5" s="103">
        <v>25</v>
      </c>
      <c r="K5" s="43">
        <f>K3*K4</f>
        <v>45</v>
      </c>
    </row>
    <row r="6" spans="1:11" x14ac:dyDescent="0.2">
      <c r="A6" s="39" t="s">
        <v>169</v>
      </c>
      <c r="B6" s="40">
        <v>43720</v>
      </c>
      <c r="C6" s="64">
        <f t="shared" si="2"/>
        <v>8.1</v>
      </c>
      <c r="D6" s="64">
        <v>25</v>
      </c>
      <c r="G6" s="101" t="s">
        <v>169</v>
      </c>
      <c r="H6" s="102">
        <v>43755</v>
      </c>
      <c r="I6" s="103">
        <f t="shared" si="1"/>
        <v>8.1</v>
      </c>
      <c r="J6" s="103">
        <v>25</v>
      </c>
      <c r="K6" s="107">
        <f>K3-K5</f>
        <v>205</v>
      </c>
    </row>
    <row r="7" spans="1:11" x14ac:dyDescent="0.2">
      <c r="A7" s="39" t="s">
        <v>170</v>
      </c>
      <c r="B7" s="40">
        <v>43721</v>
      </c>
      <c r="C7" s="64">
        <f t="shared" si="2"/>
        <v>8.1</v>
      </c>
      <c r="D7" s="64">
        <v>25</v>
      </c>
      <c r="G7" s="101" t="s">
        <v>170</v>
      </c>
      <c r="H7" s="102">
        <v>43756</v>
      </c>
      <c r="I7" s="103">
        <f t="shared" si="1"/>
        <v>8.1</v>
      </c>
      <c r="J7" s="103">
        <v>25</v>
      </c>
    </row>
    <row r="8" spans="1:11" x14ac:dyDescent="0.2">
      <c r="A8" s="39" t="s">
        <v>171</v>
      </c>
      <c r="B8" s="40">
        <v>43724</v>
      </c>
      <c r="C8" s="64">
        <f t="shared" si="2"/>
        <v>8.1</v>
      </c>
      <c r="D8" s="64">
        <v>25</v>
      </c>
      <c r="G8" s="101" t="s">
        <v>171</v>
      </c>
      <c r="H8" s="102">
        <v>43759</v>
      </c>
      <c r="I8" s="103">
        <f t="shared" si="1"/>
        <v>8.1</v>
      </c>
      <c r="J8" s="103">
        <v>25</v>
      </c>
    </row>
    <row r="9" spans="1:11" x14ac:dyDescent="0.2">
      <c r="A9" s="39" t="s">
        <v>172</v>
      </c>
      <c r="B9" s="40">
        <v>43725</v>
      </c>
      <c r="C9" s="64">
        <f t="shared" si="2"/>
        <v>8.1</v>
      </c>
      <c r="D9" s="64">
        <v>25</v>
      </c>
      <c r="G9" s="101" t="s">
        <v>172</v>
      </c>
      <c r="H9" s="102">
        <v>43760</v>
      </c>
      <c r="I9" s="103">
        <f t="shared" si="1"/>
        <v>8.1</v>
      </c>
      <c r="J9" s="103">
        <v>25</v>
      </c>
    </row>
    <row r="10" spans="1:11" x14ac:dyDescent="0.2">
      <c r="A10" s="39" t="s">
        <v>173</v>
      </c>
      <c r="B10" s="40">
        <v>43726</v>
      </c>
      <c r="C10" s="64">
        <f t="shared" si="2"/>
        <v>8.1</v>
      </c>
      <c r="D10" s="64">
        <v>25</v>
      </c>
      <c r="G10" s="101" t="s">
        <v>173</v>
      </c>
      <c r="H10" s="102">
        <v>43761</v>
      </c>
      <c r="I10" s="103">
        <f t="shared" si="1"/>
        <v>8.1</v>
      </c>
      <c r="J10" s="103">
        <v>25</v>
      </c>
    </row>
    <row r="11" spans="1:11" x14ac:dyDescent="0.2">
      <c r="A11" s="39" t="s">
        <v>169</v>
      </c>
      <c r="B11" s="40">
        <v>43727</v>
      </c>
      <c r="C11" s="64">
        <f t="shared" si="2"/>
        <v>8.1</v>
      </c>
      <c r="D11" s="64">
        <v>25</v>
      </c>
      <c r="G11" s="101" t="s">
        <v>169</v>
      </c>
      <c r="H11" s="102">
        <v>43762</v>
      </c>
      <c r="I11" s="103">
        <f t="shared" si="1"/>
        <v>8.1</v>
      </c>
      <c r="J11" s="103">
        <v>25</v>
      </c>
    </row>
    <row r="12" spans="1:11" x14ac:dyDescent="0.2">
      <c r="A12" s="39" t="s">
        <v>170</v>
      </c>
      <c r="B12" s="40">
        <v>43728</v>
      </c>
      <c r="C12" s="71"/>
      <c r="D12" s="71"/>
      <c r="E12" s="43" t="s">
        <v>246</v>
      </c>
      <c r="G12" s="101" t="s">
        <v>170</v>
      </c>
      <c r="H12" s="102">
        <v>43763</v>
      </c>
      <c r="I12" s="103">
        <f t="shared" si="1"/>
        <v>8.1</v>
      </c>
      <c r="J12" s="103">
        <v>25</v>
      </c>
    </row>
    <row r="13" spans="1:11" x14ac:dyDescent="0.2">
      <c r="A13" s="39" t="s">
        <v>171</v>
      </c>
      <c r="B13" s="40">
        <v>43731</v>
      </c>
      <c r="C13" s="71"/>
      <c r="D13" s="71"/>
      <c r="E13" s="43" t="s">
        <v>246</v>
      </c>
      <c r="G13" s="104" t="s">
        <v>171</v>
      </c>
      <c r="H13" s="105">
        <v>43766</v>
      </c>
      <c r="I13" s="106">
        <f t="shared" si="1"/>
        <v>8.1</v>
      </c>
      <c r="J13" s="106">
        <v>25</v>
      </c>
    </row>
    <row r="14" spans="1:11" x14ac:dyDescent="0.2">
      <c r="A14" s="39" t="s">
        <v>172</v>
      </c>
      <c r="B14" s="40">
        <v>43732</v>
      </c>
      <c r="C14" s="71"/>
      <c r="D14" s="71"/>
      <c r="E14" s="43" t="s">
        <v>246</v>
      </c>
      <c r="G14" s="104" t="s">
        <v>172</v>
      </c>
      <c r="H14" s="105">
        <v>43767</v>
      </c>
      <c r="I14" s="106">
        <f t="shared" si="1"/>
        <v>8.1</v>
      </c>
      <c r="J14" s="106">
        <v>25</v>
      </c>
    </row>
    <row r="15" spans="1:11" x14ac:dyDescent="0.2">
      <c r="A15" s="39" t="s">
        <v>173</v>
      </c>
      <c r="B15" s="40">
        <v>43733</v>
      </c>
      <c r="C15" s="71"/>
      <c r="D15" s="71"/>
      <c r="E15" s="43" t="s">
        <v>246</v>
      </c>
      <c r="G15" s="104" t="s">
        <v>173</v>
      </c>
      <c r="H15" s="105">
        <v>43768</v>
      </c>
      <c r="I15" s="106">
        <f t="shared" si="1"/>
        <v>8.1</v>
      </c>
      <c r="J15" s="106">
        <v>25</v>
      </c>
    </row>
    <row r="16" spans="1:11" x14ac:dyDescent="0.2">
      <c r="A16" s="39" t="s">
        <v>169</v>
      </c>
      <c r="B16" s="40">
        <v>43734</v>
      </c>
      <c r="C16" s="71"/>
      <c r="D16" s="71"/>
      <c r="E16" s="43" t="s">
        <v>246</v>
      </c>
      <c r="G16" s="104" t="s">
        <v>169</v>
      </c>
      <c r="H16" s="105">
        <v>43769</v>
      </c>
      <c r="I16" s="106">
        <f t="shared" si="1"/>
        <v>8.1</v>
      </c>
      <c r="J16" s="106">
        <v>25</v>
      </c>
    </row>
    <row r="17" spans="1:10" x14ac:dyDescent="0.2">
      <c r="A17" s="39" t="s">
        <v>170</v>
      </c>
      <c r="B17" s="40">
        <v>43735</v>
      </c>
      <c r="C17" s="64">
        <f t="shared" si="2"/>
        <v>8.1</v>
      </c>
      <c r="D17" s="64">
        <v>25</v>
      </c>
      <c r="G17" s="104" t="s">
        <v>170</v>
      </c>
      <c r="H17" s="105">
        <v>43770</v>
      </c>
      <c r="I17" s="106">
        <f t="shared" si="1"/>
        <v>8.1</v>
      </c>
      <c r="J17" s="106">
        <v>25</v>
      </c>
    </row>
    <row r="18" spans="1:10" x14ac:dyDescent="0.2">
      <c r="A18" s="39" t="s">
        <v>171</v>
      </c>
      <c r="B18" s="40">
        <v>43738</v>
      </c>
      <c r="C18" s="64">
        <f t="shared" si="2"/>
        <v>8.1</v>
      </c>
      <c r="D18" s="64">
        <v>25</v>
      </c>
      <c r="G18" s="104" t="s">
        <v>171</v>
      </c>
      <c r="H18" s="105">
        <v>43773</v>
      </c>
      <c r="I18" s="106">
        <f t="shared" si="1"/>
        <v>8.1</v>
      </c>
      <c r="J18" s="106">
        <v>25</v>
      </c>
    </row>
    <row r="19" spans="1:10" x14ac:dyDescent="0.2">
      <c r="A19" s="39" t="s">
        <v>172</v>
      </c>
      <c r="B19" s="40">
        <v>43739</v>
      </c>
      <c r="C19" s="64">
        <f t="shared" si="2"/>
        <v>8.1</v>
      </c>
      <c r="D19" s="64">
        <v>25</v>
      </c>
      <c r="G19" s="104" t="s">
        <v>172</v>
      </c>
      <c r="H19" s="105">
        <v>43774</v>
      </c>
      <c r="I19" s="106">
        <f t="shared" si="1"/>
        <v>8.1</v>
      </c>
      <c r="J19" s="106">
        <v>25</v>
      </c>
    </row>
    <row r="20" spans="1:10" x14ac:dyDescent="0.2">
      <c r="A20" s="39" t="s">
        <v>173</v>
      </c>
      <c r="B20" s="40">
        <v>43740</v>
      </c>
      <c r="C20" s="64">
        <f t="shared" si="2"/>
        <v>8.1</v>
      </c>
      <c r="D20" s="64">
        <v>25</v>
      </c>
      <c r="G20" s="104" t="s">
        <v>173</v>
      </c>
      <c r="H20" s="105">
        <v>43775</v>
      </c>
      <c r="I20" s="106">
        <f t="shared" si="1"/>
        <v>8.1</v>
      </c>
      <c r="J20" s="106">
        <v>25</v>
      </c>
    </row>
    <row r="21" spans="1:10" x14ac:dyDescent="0.2">
      <c r="A21" s="39" t="s">
        <v>169</v>
      </c>
      <c r="B21" s="40">
        <v>43741</v>
      </c>
      <c r="C21" s="64">
        <f t="shared" si="2"/>
        <v>8.1</v>
      </c>
      <c r="D21" s="64">
        <v>25</v>
      </c>
      <c r="G21" s="104" t="s">
        <v>169</v>
      </c>
      <c r="H21" s="105">
        <v>43776</v>
      </c>
      <c r="I21" s="106">
        <f t="shared" si="1"/>
        <v>8.1</v>
      </c>
      <c r="J21" s="106">
        <v>25</v>
      </c>
    </row>
    <row r="22" spans="1:10" x14ac:dyDescent="0.2">
      <c r="A22" s="39" t="s">
        <v>170</v>
      </c>
      <c r="B22" s="40">
        <v>43742</v>
      </c>
      <c r="C22" s="64">
        <f t="shared" si="2"/>
        <v>8.1</v>
      </c>
      <c r="D22" s="64">
        <v>25</v>
      </c>
      <c r="G22" s="104" t="s">
        <v>170</v>
      </c>
      <c r="H22" s="105">
        <v>43777</v>
      </c>
      <c r="I22" s="106">
        <f t="shared" si="1"/>
        <v>8.1</v>
      </c>
      <c r="J22" s="106">
        <v>25</v>
      </c>
    </row>
    <row r="23" spans="1:10" x14ac:dyDescent="0.2">
      <c r="A23" s="39" t="s">
        <v>171</v>
      </c>
      <c r="B23" s="40">
        <v>43745</v>
      </c>
      <c r="C23" s="64">
        <f t="shared" si="2"/>
        <v>8.1</v>
      </c>
      <c r="D23" s="64">
        <v>25</v>
      </c>
      <c r="G23" s="39"/>
      <c r="H23" s="40"/>
      <c r="I23" s="71"/>
      <c r="J23" s="71"/>
    </row>
    <row r="24" spans="1:10" x14ac:dyDescent="0.2">
      <c r="A24" s="39" t="s">
        <v>172</v>
      </c>
      <c r="B24" s="40">
        <v>43746</v>
      </c>
      <c r="C24" s="64">
        <f t="shared" si="2"/>
        <v>8.1</v>
      </c>
      <c r="D24" s="64">
        <v>25</v>
      </c>
      <c r="G24" s="39"/>
      <c r="H24" s="40"/>
      <c r="I24" s="71"/>
      <c r="J24" s="71"/>
    </row>
    <row r="25" spans="1:10" x14ac:dyDescent="0.2">
      <c r="A25" s="39" t="s">
        <v>173</v>
      </c>
      <c r="B25" s="40">
        <v>43747</v>
      </c>
      <c r="C25" s="64">
        <f t="shared" si="2"/>
        <v>8.1</v>
      </c>
      <c r="D25" s="64">
        <v>25</v>
      </c>
      <c r="G25" s="39"/>
      <c r="H25" s="40"/>
      <c r="I25" s="71"/>
      <c r="J25" s="71"/>
    </row>
    <row r="26" spans="1:10" x14ac:dyDescent="0.2">
      <c r="A26" s="39" t="s">
        <v>169</v>
      </c>
      <c r="B26" s="40">
        <v>43748</v>
      </c>
      <c r="C26" s="64">
        <f t="shared" si="2"/>
        <v>8.1</v>
      </c>
      <c r="D26" s="64">
        <v>25</v>
      </c>
      <c r="G26" s="39"/>
      <c r="H26" s="40"/>
      <c r="I26" s="71"/>
      <c r="J26" s="71"/>
    </row>
    <row r="27" spans="1:10" x14ac:dyDescent="0.2">
      <c r="A27" s="39" t="s">
        <v>170</v>
      </c>
      <c r="B27" s="40">
        <v>43749</v>
      </c>
      <c r="C27" s="64">
        <f t="shared" si="2"/>
        <v>8.1</v>
      </c>
      <c r="D27" s="71"/>
      <c r="G27" s="39"/>
      <c r="H27" s="40"/>
      <c r="I27" s="71"/>
      <c r="J27" s="71"/>
    </row>
    <row r="28" spans="1:10" x14ac:dyDescent="0.2">
      <c r="A28" s="160" t="s">
        <v>177</v>
      </c>
      <c r="B28" s="161"/>
      <c r="C28" s="41">
        <f>SUM(C3:C27)</f>
        <v>161.99999999999994</v>
      </c>
      <c r="D28" s="41">
        <f>SUM(D3:D26)</f>
        <v>475</v>
      </c>
      <c r="G28" s="160" t="s">
        <v>177</v>
      </c>
      <c r="H28" s="161"/>
      <c r="I28" s="41">
        <f>SUM(I3:I27)</f>
        <v>161.99999999999994</v>
      </c>
      <c r="J28" s="41">
        <f>SUM(J3:J26)</f>
        <v>500</v>
      </c>
    </row>
  </sheetData>
  <mergeCells count="4">
    <mergeCell ref="A28:B28"/>
    <mergeCell ref="A1:D1"/>
    <mergeCell ref="G1:J1"/>
    <mergeCell ref="G28:H28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opLeftCell="D1" workbookViewId="0">
      <selection activeCell="M9" sqref="M9"/>
    </sheetView>
  </sheetViews>
  <sheetFormatPr defaultRowHeight="15" x14ac:dyDescent="0.25"/>
  <cols>
    <col min="1" max="1" width="13.140625" style="44" customWidth="1"/>
    <col min="2" max="2" width="12.28515625" style="44" customWidth="1"/>
    <col min="3" max="3" width="16.28515625" style="44" customWidth="1"/>
    <col min="4" max="6" width="12.28515625" style="44" customWidth="1"/>
    <col min="7" max="7" width="18" style="44" customWidth="1"/>
    <col min="8" max="16" width="13.7109375" style="44" customWidth="1"/>
    <col min="17" max="16384" width="9.140625" style="44"/>
  </cols>
  <sheetData>
    <row r="1" spans="1:16" ht="30" x14ac:dyDescent="0.25">
      <c r="A1" s="45" t="s">
        <v>179</v>
      </c>
      <c r="B1" s="46">
        <v>43631</v>
      </c>
      <c r="C1" s="45" t="s">
        <v>16</v>
      </c>
      <c r="D1" s="45">
        <v>246.42</v>
      </c>
      <c r="E1" s="45"/>
    </row>
    <row r="2" spans="1:16" ht="30" x14ac:dyDescent="0.25">
      <c r="A2" s="45" t="s">
        <v>180</v>
      </c>
      <c r="B2" s="45" t="s">
        <v>16</v>
      </c>
      <c r="C2" s="45" t="s">
        <v>181</v>
      </c>
      <c r="D2" s="45" t="s">
        <v>182</v>
      </c>
      <c r="E2" s="45" t="s">
        <v>183</v>
      </c>
      <c r="G2" s="45" t="s">
        <v>15</v>
      </c>
      <c r="H2" s="45" t="s">
        <v>24</v>
      </c>
      <c r="I2" s="45" t="s">
        <v>25</v>
      </c>
      <c r="J2" s="45" t="s">
        <v>26</v>
      </c>
      <c r="K2" s="45" t="s">
        <v>27</v>
      </c>
      <c r="L2" s="45" t="s">
        <v>28</v>
      </c>
      <c r="M2" s="45" t="s">
        <v>29</v>
      </c>
      <c r="N2" s="45" t="s">
        <v>30</v>
      </c>
      <c r="O2" s="45" t="s">
        <v>31</v>
      </c>
      <c r="P2" s="45" t="s">
        <v>32</v>
      </c>
    </row>
    <row r="3" spans="1:16" x14ac:dyDescent="0.25">
      <c r="A3" s="47" t="s">
        <v>26</v>
      </c>
      <c r="B3" s="48">
        <f>C3*2</f>
        <v>243.1</v>
      </c>
      <c r="C3" s="48">
        <v>121.55</v>
      </c>
      <c r="D3" s="48">
        <v>0</v>
      </c>
      <c r="E3" s="55">
        <f>C3+D3</f>
        <v>121.55</v>
      </c>
      <c r="F3" s="52">
        <f>E4-E3</f>
        <v>12.659999999999982</v>
      </c>
      <c r="G3" s="49" t="s">
        <v>188</v>
      </c>
      <c r="H3" s="48">
        <v>1327.04</v>
      </c>
      <c r="I3" s="48">
        <v>1327.04</v>
      </c>
      <c r="J3" s="48">
        <v>1327.04</v>
      </c>
      <c r="K3" s="48">
        <v>1327.04</v>
      </c>
      <c r="L3" s="48">
        <v>1327.04</v>
      </c>
      <c r="M3" s="48">
        <v>1406.6624000000002</v>
      </c>
      <c r="N3" s="48">
        <v>1366.8512000000001</v>
      </c>
      <c r="O3" s="48">
        <v>1366.8512000000001</v>
      </c>
      <c r="P3" s="48">
        <v>1366.8512000000001</v>
      </c>
    </row>
    <row r="4" spans="1:16" x14ac:dyDescent="0.25">
      <c r="A4" s="47" t="s">
        <v>27</v>
      </c>
      <c r="B4" s="48">
        <f t="shared" ref="B4:B9" si="0">$D$1</f>
        <v>246.42</v>
      </c>
      <c r="C4" s="48">
        <f t="shared" ref="C4:C9" si="1">B4/2</f>
        <v>123.21</v>
      </c>
      <c r="D4" s="48">
        <v>11</v>
      </c>
      <c r="E4" s="55">
        <f t="shared" ref="E4:E9" si="2">C4+D4</f>
        <v>134.20999999999998</v>
      </c>
      <c r="G4" s="49" t="s">
        <v>175</v>
      </c>
      <c r="H4" s="48">
        <v>1</v>
      </c>
      <c r="I4" s="48">
        <v>1</v>
      </c>
      <c r="J4" s="48">
        <v>1</v>
      </c>
      <c r="K4" s="48">
        <v>1</v>
      </c>
      <c r="L4" s="48">
        <v>1</v>
      </c>
      <c r="M4" s="48">
        <v>1</v>
      </c>
      <c r="N4" s="48">
        <v>1</v>
      </c>
      <c r="O4" s="48">
        <v>1</v>
      </c>
      <c r="P4" s="48">
        <v>1</v>
      </c>
    </row>
    <row r="5" spans="1:16" x14ac:dyDescent="0.25">
      <c r="A5" s="47" t="s">
        <v>28</v>
      </c>
      <c r="B5" s="48">
        <f t="shared" si="0"/>
        <v>246.42</v>
      </c>
      <c r="C5" s="48">
        <f t="shared" si="1"/>
        <v>123.21</v>
      </c>
      <c r="D5" s="48">
        <v>11</v>
      </c>
      <c r="E5" s="55">
        <f t="shared" si="2"/>
        <v>134.20999999999998</v>
      </c>
      <c r="G5" s="49" t="s">
        <v>176</v>
      </c>
      <c r="H5" s="48">
        <v>1</v>
      </c>
      <c r="I5" s="48">
        <v>1</v>
      </c>
      <c r="J5" s="48">
        <v>1</v>
      </c>
      <c r="K5" s="48">
        <v>1</v>
      </c>
      <c r="L5" s="48">
        <v>1</v>
      </c>
      <c r="M5" s="48">
        <v>7.37</v>
      </c>
      <c r="N5" s="48">
        <v>1</v>
      </c>
      <c r="O5" s="48">
        <v>1</v>
      </c>
      <c r="P5" s="48">
        <v>1</v>
      </c>
    </row>
    <row r="6" spans="1:16" x14ac:dyDescent="0.25">
      <c r="A6" s="47" t="s">
        <v>29</v>
      </c>
      <c r="B6" s="48">
        <f t="shared" si="0"/>
        <v>246.42</v>
      </c>
      <c r="C6" s="48">
        <f t="shared" si="1"/>
        <v>123.21</v>
      </c>
      <c r="D6" s="48">
        <v>11</v>
      </c>
      <c r="E6" s="48">
        <f t="shared" si="2"/>
        <v>134.20999999999998</v>
      </c>
      <c r="G6" s="49" t="s">
        <v>184</v>
      </c>
      <c r="H6" s="48">
        <f t="shared" ref="H6:P6" si="3">H3*8%</f>
        <v>106.1632</v>
      </c>
      <c r="I6" s="48">
        <f t="shared" si="3"/>
        <v>106.1632</v>
      </c>
      <c r="J6" s="48">
        <f t="shared" si="3"/>
        <v>106.1632</v>
      </c>
      <c r="K6" s="48">
        <f t="shared" si="3"/>
        <v>106.1632</v>
      </c>
      <c r="L6" s="48">
        <f t="shared" si="3"/>
        <v>106.1632</v>
      </c>
      <c r="M6" s="48">
        <f>M3*8%</f>
        <v>112.53299200000002</v>
      </c>
      <c r="N6" s="48">
        <f t="shared" si="3"/>
        <v>109.34809600000001</v>
      </c>
      <c r="O6" s="48">
        <f t="shared" si="3"/>
        <v>109.34809600000001</v>
      </c>
      <c r="P6" s="48">
        <f t="shared" si="3"/>
        <v>109.34809600000001</v>
      </c>
    </row>
    <row r="7" spans="1:16" x14ac:dyDescent="0.25">
      <c r="A7" s="47" t="s">
        <v>30</v>
      </c>
      <c r="B7" s="48">
        <f t="shared" si="0"/>
        <v>246.42</v>
      </c>
      <c r="C7" s="48">
        <f t="shared" si="1"/>
        <v>123.21</v>
      </c>
      <c r="D7" s="48">
        <v>11</v>
      </c>
      <c r="E7" s="48">
        <f t="shared" si="2"/>
        <v>134.20999999999998</v>
      </c>
      <c r="G7" s="49" t="s">
        <v>185</v>
      </c>
      <c r="H7" s="48">
        <f t="shared" ref="H7:I7" si="4">H3-H4-H5-H6</f>
        <v>1218.8768</v>
      </c>
      <c r="I7" s="48">
        <f t="shared" si="4"/>
        <v>1218.8768</v>
      </c>
      <c r="J7" s="48">
        <f>J3-J4-J5-J6</f>
        <v>1218.8768</v>
      </c>
      <c r="K7" s="48">
        <f t="shared" ref="K7:P7" si="5">K3-K4-K5-K6</f>
        <v>1218.8768</v>
      </c>
      <c r="L7" s="48">
        <f>L3-L4-L5-L6</f>
        <v>1218.8768</v>
      </c>
      <c r="M7" s="48">
        <f>M3-M4-M5-M6</f>
        <v>1285.7594080000003</v>
      </c>
      <c r="N7" s="48">
        <f t="shared" si="5"/>
        <v>1255.5031040000001</v>
      </c>
      <c r="O7" s="48">
        <f t="shared" si="5"/>
        <v>1255.5031040000001</v>
      </c>
      <c r="P7" s="48">
        <f t="shared" si="5"/>
        <v>1255.5031040000001</v>
      </c>
    </row>
    <row r="8" spans="1:16" x14ac:dyDescent="0.25">
      <c r="A8" s="47" t="s">
        <v>31</v>
      </c>
      <c r="B8" s="48">
        <f t="shared" si="0"/>
        <v>246.42</v>
      </c>
      <c r="C8" s="48">
        <f t="shared" si="1"/>
        <v>123.21</v>
      </c>
      <c r="D8" s="48">
        <v>11</v>
      </c>
      <c r="E8" s="48">
        <f t="shared" si="2"/>
        <v>134.20999999999998</v>
      </c>
      <c r="G8" s="49" t="s">
        <v>186</v>
      </c>
      <c r="H8" s="48">
        <v>0</v>
      </c>
      <c r="I8" s="48">
        <v>0</v>
      </c>
      <c r="J8" s="48">
        <v>0</v>
      </c>
      <c r="K8" s="48">
        <f>E3</f>
        <v>121.55</v>
      </c>
      <c r="L8" s="48">
        <f>SUM(E4:E5)</f>
        <v>268.41999999999996</v>
      </c>
      <c r="M8" s="48">
        <f>E6</f>
        <v>134.20999999999998</v>
      </c>
      <c r="N8" s="48">
        <f>E7</f>
        <v>134.20999999999998</v>
      </c>
      <c r="O8" s="48">
        <f>E8</f>
        <v>134.20999999999998</v>
      </c>
      <c r="P8" s="48">
        <f>E9</f>
        <v>134.20999999999998</v>
      </c>
    </row>
    <row r="9" spans="1:16" x14ac:dyDescent="0.25">
      <c r="A9" s="47" t="s">
        <v>32</v>
      </c>
      <c r="B9" s="48">
        <f t="shared" si="0"/>
        <v>246.42</v>
      </c>
      <c r="C9" s="48">
        <f t="shared" si="1"/>
        <v>123.21</v>
      </c>
      <c r="D9" s="48">
        <v>11</v>
      </c>
      <c r="E9" s="48">
        <f t="shared" si="2"/>
        <v>134.20999999999998</v>
      </c>
      <c r="G9" s="50" t="s">
        <v>187</v>
      </c>
      <c r="H9" s="51">
        <f t="shared" ref="H9:I9" si="6">H7-H8</f>
        <v>1218.8768</v>
      </c>
      <c r="I9" s="51">
        <f t="shared" si="6"/>
        <v>1218.8768</v>
      </c>
      <c r="J9" s="51">
        <f>J7-J8</f>
        <v>1218.8768</v>
      </c>
      <c r="K9" s="51">
        <f t="shared" ref="K9:P9" si="7">K7-K8</f>
        <v>1097.3268</v>
      </c>
      <c r="L9" s="51">
        <f>L7-L8</f>
        <v>950.45680000000004</v>
      </c>
      <c r="M9" s="51">
        <f t="shared" si="7"/>
        <v>1151.5494080000003</v>
      </c>
      <c r="N9" s="51">
        <f t="shared" si="7"/>
        <v>1121.2931040000001</v>
      </c>
      <c r="O9" s="51">
        <f t="shared" si="7"/>
        <v>1121.2931040000001</v>
      </c>
      <c r="P9" s="51">
        <f t="shared" si="7"/>
        <v>1121.2931040000001</v>
      </c>
    </row>
    <row r="11" spans="1:16" x14ac:dyDescent="0.25">
      <c r="G11" s="50" t="s">
        <v>189</v>
      </c>
      <c r="H11" s="51">
        <v>1220.8800000000001</v>
      </c>
      <c r="I11" s="51">
        <v>1218.8800000000001</v>
      </c>
      <c r="J11" s="51">
        <v>1218.8800000000001</v>
      </c>
      <c r="K11" s="51">
        <v>1097.33</v>
      </c>
      <c r="L11" s="51">
        <f>759.78+K16</f>
        <v>894.08999999999992</v>
      </c>
      <c r="M11" s="51"/>
      <c r="N11" s="51"/>
      <c r="O11" s="51"/>
      <c r="P11" s="51"/>
    </row>
    <row r="13" spans="1:16" x14ac:dyDescent="0.25">
      <c r="G13" s="50" t="s">
        <v>190</v>
      </c>
      <c r="H13" s="51">
        <f>H11-H9</f>
        <v>2.0032000000001062</v>
      </c>
      <c r="I13" s="51">
        <f t="shared" ref="I13:P13" si="8">I11-I9</f>
        <v>3.200000000106229E-3</v>
      </c>
      <c r="J13" s="51">
        <f t="shared" si="8"/>
        <v>3.200000000106229E-3</v>
      </c>
      <c r="K13" s="51">
        <f t="shared" si="8"/>
        <v>3.1999999998788553E-3</v>
      </c>
      <c r="L13" s="51">
        <f t="shared" si="8"/>
        <v>-56.366800000000126</v>
      </c>
      <c r="M13" s="51">
        <f t="shared" si="8"/>
        <v>-1151.5494080000003</v>
      </c>
      <c r="N13" s="51">
        <f t="shared" si="8"/>
        <v>-1121.2931040000001</v>
      </c>
      <c r="O13" s="51">
        <f t="shared" si="8"/>
        <v>-1121.2931040000001</v>
      </c>
      <c r="P13" s="51">
        <f t="shared" si="8"/>
        <v>-1121.2931040000001</v>
      </c>
    </row>
    <row r="15" spans="1:16" x14ac:dyDescent="0.25">
      <c r="I15" s="164" t="s">
        <v>191</v>
      </c>
      <c r="J15" s="164"/>
      <c r="K15" s="53">
        <v>324.79000000000002</v>
      </c>
    </row>
    <row r="16" spans="1:16" x14ac:dyDescent="0.25">
      <c r="I16" s="164" t="s">
        <v>191</v>
      </c>
      <c r="J16" s="164"/>
      <c r="K16" s="53">
        <v>134.31</v>
      </c>
    </row>
    <row r="17" spans="2:11" x14ac:dyDescent="0.25">
      <c r="E17" s="85">
        <v>1327.04</v>
      </c>
      <c r="F17" s="83">
        <v>1</v>
      </c>
      <c r="I17" s="164" t="s">
        <v>192</v>
      </c>
      <c r="J17" s="164"/>
      <c r="K17" s="53">
        <f>K15+K16</f>
        <v>459.1</v>
      </c>
    </row>
    <row r="18" spans="2:11" x14ac:dyDescent="0.25">
      <c r="B18" s="44" t="s">
        <v>327</v>
      </c>
      <c r="E18" s="44">
        <v>106.16</v>
      </c>
      <c r="F18" s="85">
        <f>E18*F17</f>
        <v>106.16</v>
      </c>
      <c r="I18" s="163" t="s">
        <v>193</v>
      </c>
      <c r="J18" s="163"/>
      <c r="K18" s="54">
        <f>K17-L8</f>
        <v>190.68000000000006</v>
      </c>
    </row>
    <row r="19" spans="2:11" x14ac:dyDescent="0.25">
      <c r="B19" s="83">
        <v>0.03</v>
      </c>
      <c r="F19" s="84">
        <f>F18/E17</f>
        <v>7.999758861827827E-2</v>
      </c>
    </row>
    <row r="20" spans="2:11" x14ac:dyDescent="0.25">
      <c r="B20" s="52">
        <f>L3</f>
        <v>1327.04</v>
      </c>
      <c r="F20" s="52">
        <f>E17*F19</f>
        <v>106.16</v>
      </c>
    </row>
    <row r="21" spans="2:11" x14ac:dyDescent="0.25">
      <c r="B21" s="44" t="s">
        <v>328</v>
      </c>
      <c r="C21" s="44" t="s">
        <v>178</v>
      </c>
    </row>
    <row r="22" spans="2:11" x14ac:dyDescent="0.25">
      <c r="B22" s="52">
        <f>B20*B19</f>
        <v>39.811199999999999</v>
      </c>
      <c r="C22" s="52">
        <f>B20*B19</f>
        <v>39.811199999999999</v>
      </c>
      <c r="F22" s="52">
        <f>C24*F19</f>
        <v>112.5296</v>
      </c>
      <c r="G22" s="52">
        <f>F22-F20</f>
        <v>6.3696000000000055</v>
      </c>
    </row>
    <row r="23" spans="2:11" x14ac:dyDescent="0.25">
      <c r="B23" s="52">
        <f>B20+B22</f>
        <v>1366.8512000000001</v>
      </c>
      <c r="C23" s="52">
        <f>B20+C22</f>
        <v>1366.8512000000001</v>
      </c>
    </row>
    <row r="24" spans="2:11" x14ac:dyDescent="0.25">
      <c r="C24" s="52">
        <f>C23+B22</f>
        <v>1406.6624000000002</v>
      </c>
    </row>
  </sheetData>
  <mergeCells count="4">
    <mergeCell ref="I18:J18"/>
    <mergeCell ref="I17:J17"/>
    <mergeCell ref="I16:J16"/>
    <mergeCell ref="I15:J1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Morar Sozinha</vt:lpstr>
      <vt:lpstr>Plan2</vt:lpstr>
      <vt:lpstr>OUTUBRO</vt:lpstr>
      <vt:lpstr>NOVEMBRO</vt:lpstr>
      <vt:lpstr>DEZEMBRO</vt:lpstr>
      <vt:lpstr>A RECEBER</vt:lpstr>
      <vt:lpstr>CARTÃO DE CRÉDITO - NUBANK</vt:lpstr>
      <vt:lpstr>CARTÃO DE CRÉDITO - ITAÚ</vt:lpstr>
      <vt:lpstr>CARTÃO DE CRÉDITO - OUTROS</vt:lpstr>
      <vt:lpstr>PLANO DENTAL-SAÚDE</vt:lpstr>
      <vt:lpstr>FINANCIAMENTOS</vt:lpstr>
      <vt:lpstr>EMPRÉSTIMOS</vt:lpstr>
      <vt:lpstr>Receita x Despesa</vt:lpstr>
      <vt:lpstr>DENTISTA</vt:lpstr>
      <vt:lpstr>Receitaaa x Despesa</vt:lpstr>
      <vt:lpstr>ADIANTAMENTOS</vt:lpstr>
      <vt:lpstr>VT E VR</vt:lpstr>
      <vt:lpstr>PLANO DE SAÚDE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Mattos</dc:creator>
  <cp:lastModifiedBy>AuditoriaGlobal</cp:lastModifiedBy>
  <dcterms:created xsi:type="dcterms:W3CDTF">2019-08-14T00:38:02Z</dcterms:created>
  <dcterms:modified xsi:type="dcterms:W3CDTF">2019-10-08T19:56:01Z</dcterms:modified>
</cp:coreProperties>
</file>