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225" windowWidth="14805" windowHeight="7890" firstSheet="1" activeTab="4"/>
  </bookViews>
  <sheets>
    <sheet name="Lucros Cessantes Mar00 Nov00" sheetId="1" r:id="rId1"/>
    <sheet name="Lucros Cessantes Dez00 Jul01" sheetId="2" r:id="rId2"/>
    <sheet name="Danos Emergentes" sheetId="3" r:id="rId3"/>
    <sheet name="Danos Morais" sheetId="4" r:id="rId4"/>
    <sheet name="Resumo de Valores" sheetId="5" r:id="rId5"/>
  </sheets>
  <calcPr calcId="125725"/>
</workbook>
</file>

<file path=xl/calcChain.xml><?xml version="1.0" encoding="utf-8"?>
<calcChain xmlns="http://schemas.openxmlformats.org/spreadsheetml/2006/main">
  <c r="F20" i="2"/>
  <c r="B10" i="5" l="1"/>
  <c r="A5"/>
  <c r="A4"/>
  <c r="A3"/>
  <c r="A3" i="4" l="1"/>
  <c r="D8"/>
  <c r="A5"/>
  <c r="A4"/>
  <c r="D8" i="3"/>
  <c r="A5"/>
  <c r="A4"/>
  <c r="A3"/>
  <c r="D20" i="2"/>
  <c r="E20"/>
  <c r="F13"/>
  <c r="F14"/>
  <c r="F15"/>
  <c r="F16"/>
  <c r="F17"/>
  <c r="F18"/>
  <c r="F19"/>
  <c r="F12"/>
  <c r="B22" i="1"/>
  <c r="C13" i="2"/>
  <c r="C14"/>
  <c r="C15"/>
  <c r="C16"/>
  <c r="C17"/>
  <c r="C18"/>
  <c r="C19"/>
  <c r="C12"/>
  <c r="C20" s="1"/>
  <c r="D20" i="1"/>
  <c r="C20"/>
  <c r="E20"/>
  <c r="F11"/>
  <c r="F12"/>
  <c r="F13"/>
  <c r="F14"/>
  <c r="F15"/>
  <c r="F16"/>
  <c r="F17"/>
  <c r="F18"/>
  <c r="F19"/>
  <c r="F10"/>
  <c r="F20" l="1"/>
  <c r="C11"/>
  <c r="C12"/>
  <c r="C13"/>
  <c r="C14"/>
  <c r="C15"/>
  <c r="C16"/>
  <c r="C17"/>
  <c r="C18"/>
  <c r="C19"/>
  <c r="C10"/>
  <c r="A1" i="2" l="1"/>
  <c r="B20"/>
  <c r="B20" i="1"/>
</calcChain>
</file>

<file path=xl/sharedStrings.xml><?xml version="1.0" encoding="utf-8"?>
<sst xmlns="http://schemas.openxmlformats.org/spreadsheetml/2006/main" count="45" uniqueCount="35">
  <si>
    <t>Faturamento</t>
  </si>
  <si>
    <t>Autor:  Churrascaria Meu Cantinho</t>
  </si>
  <si>
    <t>Réu: Emerson Rivelino Tomio e Outros</t>
  </si>
  <si>
    <t>Processo: nº 0003227-56.2001.8.24.0054/04</t>
  </si>
  <si>
    <t>Período: Fevereiro/2000 a Novembro/2000</t>
  </si>
  <si>
    <t>Competências</t>
  </si>
  <si>
    <t>TOTAL</t>
  </si>
  <si>
    <t>Período: Dezembro/2000 a Julho/2001</t>
  </si>
  <si>
    <t>LUCROS CESSANTES</t>
  </si>
  <si>
    <t>Total</t>
  </si>
  <si>
    <t>Lucros Cessantes 
25% sobre o Faturamento</t>
  </si>
  <si>
    <t>Juros de Mora 
0,5% até a vigência do Código Civil (11/03/2003) e 
1% a partir desta data</t>
  </si>
  <si>
    <t>Valor Atualizado até 31/12/2015</t>
  </si>
  <si>
    <t>Valor Corrigido pelo índice INPC</t>
  </si>
  <si>
    <t>Média do Faturamento no Ano 2000</t>
  </si>
  <si>
    <t>Média do Faturamento</t>
  </si>
  <si>
    <t>Anexo 02</t>
  </si>
  <si>
    <t>Anexo 01</t>
  </si>
  <si>
    <t>DANOS EMERGENTES</t>
  </si>
  <si>
    <t>Valor Atualizado até 31/01/2015</t>
  </si>
  <si>
    <t>Anexo 03</t>
  </si>
  <si>
    <t>DANOS MORAIS</t>
  </si>
  <si>
    <t>Valor em 20.11.2000 
(data do desmoronamento)</t>
  </si>
  <si>
    <t>Valor em 17/03/2011
(Data da decisão em Acórdão - fl. 374)</t>
  </si>
  <si>
    <t>Anexo 04</t>
  </si>
  <si>
    <t>RESUMO DOS VALORES</t>
  </si>
  <si>
    <t>Descrição</t>
  </si>
  <si>
    <t>Valores em  31/12/2015</t>
  </si>
  <si>
    <t>1. Lucros Cessantes do Período de Fev/2000 a Nov/2000</t>
  </si>
  <si>
    <t>2. Lucros Cessantes do Período de Dez/2000 a Jul/2001</t>
  </si>
  <si>
    <t>Total Devido ao Autor</t>
  </si>
  <si>
    <t>Juros de Mora 
0,5% até a vigência do Código Civil (11/01/2003) e 
1% a partir desta data</t>
  </si>
  <si>
    <t xml:space="preserve">Processo: nº </t>
  </si>
  <si>
    <t xml:space="preserve">Autor: </t>
  </si>
  <si>
    <t xml:space="preserve">Réu: </t>
  </si>
</sst>
</file>

<file path=xl/styles.xml><?xml version="1.0" encoding="utf-8"?>
<styleSheet xmlns="http://schemas.openxmlformats.org/spreadsheetml/2006/main">
  <numFmts count="2">
    <numFmt numFmtId="44" formatCode="_(&quot;R$&quot;* #,##0.00_);_(&quot;R$&quot;* \(#,##0.00\);_(&quot;R$&quot;* &quot;-&quot;??_);_(@_)"/>
    <numFmt numFmtId="164" formatCode="mmmm/yyyy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44" fontId="0" fillId="3" borderId="0" xfId="1" applyFont="1" applyFill="1" applyAlignment="1">
      <alignment horizontal="center" vertical="center" wrapText="1"/>
    </xf>
    <xf numFmtId="44" fontId="2" fillId="2" borderId="0" xfId="0" applyNumberFormat="1" applyFont="1" applyFill="1" applyAlignment="1">
      <alignment horizontal="center" vertical="center" wrapText="1"/>
    </xf>
    <xf numFmtId="44" fontId="2" fillId="0" borderId="0" xfId="0" applyNumberFormat="1" applyFont="1"/>
    <xf numFmtId="0" fontId="2" fillId="0" borderId="0" xfId="0" applyFont="1"/>
    <xf numFmtId="44" fontId="0" fillId="3" borderId="0" xfId="0" applyNumberFormat="1" applyFill="1" applyAlignment="1">
      <alignment horizontal="center" vertical="center" wrapText="1"/>
    </xf>
    <xf numFmtId="0" fontId="0" fillId="3" borderId="0" xfId="0" applyFill="1"/>
    <xf numFmtId="44" fontId="2" fillId="2" borderId="0" xfId="1" applyFont="1" applyFill="1" applyAlignment="1">
      <alignment horizontal="center" vertical="center" wrapText="1"/>
    </xf>
    <xf numFmtId="44" fontId="0" fillId="3" borderId="0" xfId="1" applyFont="1" applyFill="1"/>
    <xf numFmtId="0" fontId="2" fillId="0" borderId="0" xfId="0" applyFont="1" applyAlignment="1">
      <alignment horizontal="left" vertical="top"/>
    </xf>
    <xf numFmtId="44" fontId="2" fillId="0" borderId="0" xfId="1" applyFont="1"/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44" fontId="0" fillId="0" borderId="0" xfId="1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showGridLines="0" zoomScaleNormal="100" workbookViewId="0">
      <selection activeCell="A14" sqref="A14"/>
    </sheetView>
  </sheetViews>
  <sheetFormatPr defaultRowHeight="15"/>
  <cols>
    <col min="1" max="1" width="22" customWidth="1"/>
    <col min="2" max="2" width="27.85546875" customWidth="1"/>
    <col min="3" max="3" width="28.140625" customWidth="1"/>
    <col min="4" max="4" width="21.42578125" customWidth="1"/>
    <col min="5" max="5" width="32.140625" customWidth="1"/>
    <col min="6" max="6" width="20.28515625" customWidth="1"/>
  </cols>
  <sheetData>
    <row r="1" spans="1:6" ht="21">
      <c r="A1" s="23" t="s">
        <v>8</v>
      </c>
      <c r="B1" s="23"/>
      <c r="C1" s="23"/>
      <c r="D1" s="23"/>
      <c r="E1" s="23"/>
      <c r="F1" s="23"/>
    </row>
    <row r="2" spans="1:6" ht="23.25">
      <c r="A2" s="17"/>
      <c r="B2" s="17"/>
      <c r="C2" s="11"/>
      <c r="D2" s="11"/>
      <c r="E2" s="11"/>
      <c r="F2" s="18" t="s">
        <v>17</v>
      </c>
    </row>
    <row r="3" spans="1:6">
      <c r="A3" s="11" t="s">
        <v>32</v>
      </c>
      <c r="B3" s="11"/>
      <c r="C3" s="11"/>
      <c r="D3" s="11"/>
      <c r="E3" s="11"/>
      <c r="F3" s="11"/>
    </row>
    <row r="4" spans="1:6">
      <c r="A4" s="11" t="s">
        <v>33</v>
      </c>
      <c r="B4" s="11"/>
      <c r="C4" s="11"/>
      <c r="D4" s="11"/>
      <c r="E4" s="11"/>
      <c r="F4" s="11"/>
    </row>
    <row r="5" spans="1:6">
      <c r="A5" s="11" t="s">
        <v>34</v>
      </c>
      <c r="B5" s="11"/>
      <c r="C5" s="11"/>
      <c r="D5" s="11"/>
      <c r="E5" s="11"/>
      <c r="F5" s="11"/>
    </row>
    <row r="6" spans="1:6">
      <c r="A6" s="11"/>
      <c r="B6" s="11"/>
      <c r="C6" s="11"/>
      <c r="D6" s="11"/>
      <c r="E6" s="11"/>
      <c r="F6" s="11"/>
    </row>
    <row r="7" spans="1:6">
      <c r="A7" s="24" t="s">
        <v>4</v>
      </c>
      <c r="B7" s="24"/>
      <c r="C7" s="24"/>
      <c r="D7" s="24"/>
      <c r="E7" s="24"/>
      <c r="F7" s="24"/>
    </row>
    <row r="8" spans="1:6">
      <c r="A8" s="19"/>
      <c r="B8" s="19"/>
      <c r="C8" s="11"/>
      <c r="D8" s="11"/>
      <c r="E8" s="11"/>
      <c r="F8" s="11"/>
    </row>
    <row r="9" spans="1:6" ht="69" customHeight="1">
      <c r="A9" s="4" t="s">
        <v>5</v>
      </c>
      <c r="B9" s="3" t="s">
        <v>0</v>
      </c>
      <c r="C9" s="4" t="s">
        <v>10</v>
      </c>
      <c r="D9" s="4" t="s">
        <v>13</v>
      </c>
      <c r="E9" s="4" t="s">
        <v>31</v>
      </c>
      <c r="F9" s="4" t="s">
        <v>12</v>
      </c>
    </row>
    <row r="10" spans="1:6" ht="24.95" customHeight="1">
      <c r="A10" s="5">
        <v>36585</v>
      </c>
      <c r="B10" s="6">
        <v>848.71</v>
      </c>
      <c r="C10" s="6">
        <f>B10*25%</f>
        <v>212.17750000000001</v>
      </c>
      <c r="D10" s="6">
        <v>561.08000000000004</v>
      </c>
      <c r="E10" s="6">
        <v>907.92</v>
      </c>
      <c r="F10" s="6">
        <f>D10+E10</f>
        <v>1469</v>
      </c>
    </row>
    <row r="11" spans="1:6" ht="24.95" customHeight="1">
      <c r="A11" s="5">
        <v>36586</v>
      </c>
      <c r="B11" s="6">
        <v>607.5</v>
      </c>
      <c r="C11" s="6">
        <f t="shared" ref="C11:C19" si="0">B11*25%</f>
        <v>151.875</v>
      </c>
      <c r="D11" s="6">
        <v>401.17</v>
      </c>
      <c r="E11" s="6">
        <v>647.15</v>
      </c>
      <c r="F11" s="6">
        <f t="shared" ref="F11:F19" si="1">D11+E11</f>
        <v>1048.32</v>
      </c>
    </row>
    <row r="12" spans="1:6" ht="24.95" customHeight="1">
      <c r="A12" s="5">
        <v>36617</v>
      </c>
      <c r="B12" s="6">
        <v>567.03</v>
      </c>
      <c r="C12" s="6">
        <f t="shared" si="0"/>
        <v>141.75749999999999</v>
      </c>
      <c r="D12" s="6">
        <v>374.07</v>
      </c>
      <c r="E12" s="6">
        <v>601.57000000000005</v>
      </c>
      <c r="F12" s="6">
        <f t="shared" si="1"/>
        <v>975.6400000000001</v>
      </c>
    </row>
    <row r="13" spans="1:6" ht="24.95" customHeight="1">
      <c r="A13" s="5">
        <v>36647</v>
      </c>
      <c r="B13" s="6">
        <v>720.82</v>
      </c>
      <c r="C13" s="6">
        <f t="shared" si="0"/>
        <v>180.20500000000001</v>
      </c>
      <c r="D13" s="6">
        <v>475.63</v>
      </c>
      <c r="E13" s="6">
        <v>762.51</v>
      </c>
      <c r="F13" s="6">
        <f t="shared" si="1"/>
        <v>1238.1399999999999</v>
      </c>
    </row>
    <row r="14" spans="1:6" ht="24.95" customHeight="1">
      <c r="A14" s="5">
        <v>36678</v>
      </c>
      <c r="B14" s="6">
        <v>779.29</v>
      </c>
      <c r="C14" s="6">
        <f t="shared" si="0"/>
        <v>194.82249999999999</v>
      </c>
      <c r="D14" s="6">
        <v>512.79</v>
      </c>
      <c r="E14" s="6">
        <v>819.52</v>
      </c>
      <c r="F14" s="6">
        <f t="shared" si="1"/>
        <v>1332.31</v>
      </c>
    </row>
    <row r="15" spans="1:6" ht="24.95" customHeight="1">
      <c r="A15" s="5">
        <v>36708</v>
      </c>
      <c r="B15" s="6">
        <v>437.2</v>
      </c>
      <c r="C15" s="6">
        <f t="shared" si="0"/>
        <v>109.3</v>
      </c>
      <c r="D15" s="6">
        <v>283.69</v>
      </c>
      <c r="E15" s="6">
        <v>451.97</v>
      </c>
      <c r="F15" s="6">
        <f t="shared" si="1"/>
        <v>735.66000000000008</v>
      </c>
    </row>
    <row r="16" spans="1:6" ht="24.95" customHeight="1">
      <c r="A16" s="5">
        <v>36739</v>
      </c>
      <c r="B16" s="6">
        <v>604.67999999999995</v>
      </c>
      <c r="C16" s="6">
        <f t="shared" si="0"/>
        <v>151.16999999999999</v>
      </c>
      <c r="D16" s="6">
        <v>387.63</v>
      </c>
      <c r="E16" s="6">
        <v>615.62</v>
      </c>
      <c r="F16" s="6">
        <f t="shared" si="1"/>
        <v>1003.25</v>
      </c>
    </row>
    <row r="17" spans="1:6" ht="24.95" customHeight="1">
      <c r="A17" s="5">
        <v>36770</v>
      </c>
      <c r="B17" s="6">
        <v>644.25</v>
      </c>
      <c r="C17" s="6">
        <f t="shared" si="0"/>
        <v>161.0625</v>
      </c>
      <c r="D17" s="6">
        <v>411.33</v>
      </c>
      <c r="E17" s="6">
        <v>651.20000000000005</v>
      </c>
      <c r="F17" s="6">
        <f t="shared" si="1"/>
        <v>1062.53</v>
      </c>
    </row>
    <row r="18" spans="1:6" ht="24.95" customHeight="1">
      <c r="A18" s="5">
        <v>36800</v>
      </c>
      <c r="B18" s="6">
        <v>334.02</v>
      </c>
      <c r="C18" s="6">
        <f t="shared" si="0"/>
        <v>83.504999999999995</v>
      </c>
      <c r="D18" s="6">
        <v>212.97</v>
      </c>
      <c r="E18" s="6">
        <v>336.1</v>
      </c>
      <c r="F18" s="6">
        <f t="shared" si="1"/>
        <v>549.07000000000005</v>
      </c>
    </row>
    <row r="19" spans="1:6" ht="24.95" customHeight="1">
      <c r="A19" s="5">
        <v>36831</v>
      </c>
      <c r="B19" s="6">
        <v>238</v>
      </c>
      <c r="C19" s="6">
        <f t="shared" si="0"/>
        <v>59.5</v>
      </c>
      <c r="D19" s="6">
        <v>151.32</v>
      </c>
      <c r="E19" s="6">
        <v>238.05</v>
      </c>
      <c r="F19" s="6">
        <f t="shared" si="1"/>
        <v>389.37</v>
      </c>
    </row>
    <row r="20" spans="1:6" ht="33" customHeight="1">
      <c r="A20" s="2" t="s">
        <v>9</v>
      </c>
      <c r="B20" s="7">
        <f>SUM(B10:B19)</f>
        <v>5781.5</v>
      </c>
      <c r="C20" s="7">
        <f>SUM(C10:C19)</f>
        <v>1445.375</v>
      </c>
      <c r="D20" s="7">
        <f>SUM(D10:D19)</f>
        <v>3771.68</v>
      </c>
      <c r="E20" s="7">
        <f t="shared" ref="E20" si="2">SUM(E10:E19)</f>
        <v>6031.61</v>
      </c>
      <c r="F20" s="12">
        <f>SUM(F10:F19)</f>
        <v>9803.2900000000009</v>
      </c>
    </row>
    <row r="22" spans="1:6">
      <c r="A22" s="9" t="s">
        <v>15</v>
      </c>
      <c r="B22" s="8">
        <f>B20/10</f>
        <v>578.15</v>
      </c>
    </row>
  </sheetData>
  <mergeCells count="2">
    <mergeCell ref="A1:F1"/>
    <mergeCell ref="A7:F7"/>
  </mergeCells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showGridLines="0" topLeftCell="A24" workbookViewId="0">
      <selection activeCell="A3" sqref="A3:XFD5"/>
    </sheetView>
  </sheetViews>
  <sheetFormatPr defaultRowHeight="15"/>
  <cols>
    <col min="1" max="2" width="18.7109375" customWidth="1"/>
    <col min="3" max="3" width="22.7109375" customWidth="1"/>
    <col min="4" max="4" width="21.85546875" customWidth="1"/>
    <col min="5" max="5" width="22.85546875" customWidth="1"/>
    <col min="6" max="6" width="25" customWidth="1"/>
  </cols>
  <sheetData>
    <row r="1" spans="1:6" ht="21">
      <c r="A1" s="25" t="str">
        <f>'Lucros Cessantes Mar00 Nov00'!A1:B1</f>
        <v>LUCROS CESSANTES</v>
      </c>
      <c r="B1" s="25"/>
      <c r="C1" s="25"/>
      <c r="D1" s="25"/>
      <c r="E1" s="25"/>
      <c r="F1" s="25"/>
    </row>
    <row r="2" spans="1:6">
      <c r="F2" s="16" t="s">
        <v>16</v>
      </c>
    </row>
    <row r="3" spans="1:6" ht="14.25" hidden="1" customHeight="1">
      <c r="A3" t="s">
        <v>3</v>
      </c>
    </row>
    <row r="4" spans="1:6" hidden="1">
      <c r="A4" t="s">
        <v>1</v>
      </c>
    </row>
    <row r="5" spans="1:6" hidden="1">
      <c r="A5" t="s">
        <v>2</v>
      </c>
    </row>
    <row r="7" spans="1:6">
      <c r="A7" s="26" t="s">
        <v>7</v>
      </c>
      <c r="B7" s="26"/>
      <c r="C7" s="26"/>
      <c r="D7" s="26"/>
      <c r="E7" s="26"/>
      <c r="F7" s="26"/>
    </row>
    <row r="8" spans="1:6">
      <c r="A8" s="1"/>
      <c r="B8" s="1"/>
    </row>
    <row r="9" spans="1:6">
      <c r="A9" s="14" t="s">
        <v>14</v>
      </c>
      <c r="B9" s="1"/>
      <c r="C9" s="15">
        <v>578.15</v>
      </c>
    </row>
    <row r="10" spans="1:6">
      <c r="A10" s="1"/>
      <c r="B10" s="1"/>
    </row>
    <row r="11" spans="1:6" ht="83.25" customHeight="1">
      <c r="A11" s="4" t="s">
        <v>5</v>
      </c>
      <c r="B11" s="3" t="s">
        <v>0</v>
      </c>
      <c r="C11" s="4" t="s">
        <v>10</v>
      </c>
      <c r="D11" s="4" t="s">
        <v>13</v>
      </c>
      <c r="E11" s="4" t="s">
        <v>31</v>
      </c>
      <c r="F11" s="4" t="s">
        <v>12</v>
      </c>
    </row>
    <row r="12" spans="1:6" ht="24.95" customHeight="1">
      <c r="A12" s="5">
        <v>36891</v>
      </c>
      <c r="B12" s="6">
        <v>578.15</v>
      </c>
      <c r="C12" s="10">
        <f>B12*25%</f>
        <v>144.53749999999999</v>
      </c>
      <c r="D12" s="13">
        <v>365.49</v>
      </c>
      <c r="E12" s="13">
        <v>573.15</v>
      </c>
      <c r="F12" s="13">
        <f>D12+E12</f>
        <v>938.64</v>
      </c>
    </row>
    <row r="13" spans="1:6" ht="24.95" customHeight="1">
      <c r="A13" s="5">
        <v>36922</v>
      </c>
      <c r="B13" s="6">
        <v>578.15</v>
      </c>
      <c r="C13" s="10">
        <f t="shared" ref="C13:C19" si="0">B13*25%</f>
        <v>144.53749999999999</v>
      </c>
      <c r="D13" s="13">
        <v>362.78</v>
      </c>
      <c r="E13" s="13">
        <v>567.09</v>
      </c>
      <c r="F13" s="13">
        <f t="shared" ref="F13:F19" si="1">D13+E13</f>
        <v>929.87</v>
      </c>
    </row>
    <row r="14" spans="1:6" ht="24.95" customHeight="1">
      <c r="A14" s="5">
        <v>36950</v>
      </c>
      <c r="B14" s="6">
        <v>578.15</v>
      </c>
      <c r="C14" s="10">
        <f t="shared" si="0"/>
        <v>144.53749999999999</v>
      </c>
      <c r="D14" s="13">
        <v>360.86</v>
      </c>
      <c r="E14" s="13">
        <v>562.28</v>
      </c>
      <c r="F14" s="13">
        <f t="shared" si="1"/>
        <v>923.14</v>
      </c>
    </row>
    <row r="15" spans="1:6" ht="24.95" customHeight="1">
      <c r="A15" s="5">
        <v>36981</v>
      </c>
      <c r="B15" s="6">
        <v>578.15</v>
      </c>
      <c r="C15" s="10">
        <f t="shared" si="0"/>
        <v>144.53749999999999</v>
      </c>
      <c r="D15" s="13">
        <v>359.2</v>
      </c>
      <c r="E15" s="13">
        <v>557.9</v>
      </c>
      <c r="F15" s="13">
        <f t="shared" si="1"/>
        <v>917.09999999999991</v>
      </c>
    </row>
    <row r="16" spans="1:6" ht="24.95" customHeight="1">
      <c r="A16" s="5">
        <v>37011</v>
      </c>
      <c r="B16" s="6">
        <v>578.15</v>
      </c>
      <c r="C16" s="10">
        <f t="shared" si="0"/>
        <v>144.53749999999999</v>
      </c>
      <c r="D16" s="13">
        <v>356.13</v>
      </c>
      <c r="E16" s="13">
        <v>551.35</v>
      </c>
      <c r="F16" s="13">
        <f t="shared" si="1"/>
        <v>907.48</v>
      </c>
    </row>
    <row r="17" spans="1:6" ht="24.95" customHeight="1">
      <c r="A17" s="5">
        <v>37042</v>
      </c>
      <c r="B17" s="6">
        <v>578.15</v>
      </c>
      <c r="C17" s="10">
        <f t="shared" si="0"/>
        <v>144.53749999999999</v>
      </c>
      <c r="D17" s="13">
        <v>354.17</v>
      </c>
      <c r="E17" s="13">
        <v>546.54</v>
      </c>
      <c r="F17" s="13">
        <f t="shared" si="1"/>
        <v>900.71</v>
      </c>
    </row>
    <row r="18" spans="1:6" ht="24.95" customHeight="1">
      <c r="A18" s="5">
        <v>37072</v>
      </c>
      <c r="B18" s="6">
        <v>578.15</v>
      </c>
      <c r="C18" s="10">
        <f t="shared" si="0"/>
        <v>144.53749999999999</v>
      </c>
      <c r="D18" s="13">
        <v>352.05</v>
      </c>
      <c r="E18" s="13">
        <v>541.51</v>
      </c>
      <c r="F18" s="13">
        <f t="shared" si="1"/>
        <v>893.56</v>
      </c>
    </row>
    <row r="19" spans="1:6" ht="24.95" customHeight="1">
      <c r="A19" s="5">
        <v>37103</v>
      </c>
      <c r="B19" s="6">
        <v>578.15</v>
      </c>
      <c r="C19" s="10">
        <f t="shared" si="0"/>
        <v>144.53749999999999</v>
      </c>
      <c r="D19" s="13">
        <v>348.26</v>
      </c>
      <c r="E19" s="13">
        <v>533.94000000000005</v>
      </c>
      <c r="F19" s="13">
        <f t="shared" si="1"/>
        <v>882.2</v>
      </c>
    </row>
    <row r="20" spans="1:6" ht="27" customHeight="1">
      <c r="A20" s="2" t="s">
        <v>6</v>
      </c>
      <c r="B20" s="7">
        <f>SUM(B12:B19)</f>
        <v>4625.2</v>
      </c>
      <c r="C20" s="7">
        <f>SUM(C12:C19)</f>
        <v>1156.3</v>
      </c>
      <c r="D20" s="7">
        <f t="shared" ref="D20:E20" si="2">SUM(D12:D19)</f>
        <v>2858.9400000000005</v>
      </c>
      <c r="E20" s="7">
        <f t="shared" si="2"/>
        <v>4433.76</v>
      </c>
      <c r="F20" s="7">
        <f>SUM(F12:F19)</f>
        <v>7292.7</v>
      </c>
    </row>
  </sheetData>
  <mergeCells count="2">
    <mergeCell ref="A1:F1"/>
    <mergeCell ref="A7:F7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selection activeCell="B9" sqref="B9"/>
    </sheetView>
  </sheetViews>
  <sheetFormatPr defaultRowHeight="15"/>
  <cols>
    <col min="1" max="1" width="26" customWidth="1"/>
    <col min="2" max="2" width="20.7109375" customWidth="1"/>
    <col min="3" max="3" width="37" customWidth="1"/>
    <col min="4" max="4" width="19.85546875" customWidth="1"/>
  </cols>
  <sheetData>
    <row r="1" spans="1:4" ht="21">
      <c r="A1" s="25" t="s">
        <v>18</v>
      </c>
      <c r="B1" s="25"/>
      <c r="C1" s="25"/>
      <c r="D1" s="25"/>
    </row>
    <row r="2" spans="1:4">
      <c r="D2" s="16" t="s">
        <v>20</v>
      </c>
    </row>
    <row r="3" spans="1:4">
      <c r="A3" t="str">
        <f>'Lucros Cessantes Mar00 Nov00'!A3</f>
        <v xml:space="preserve">Processo: nº </v>
      </c>
    </row>
    <row r="4" spans="1:4">
      <c r="A4" t="str">
        <f>'Lucros Cessantes Mar00 Nov00'!A4</f>
        <v xml:space="preserve">Autor: </v>
      </c>
    </row>
    <row r="5" spans="1:4">
      <c r="A5" t="str">
        <f>'Lucros Cessantes Mar00 Nov00'!A5</f>
        <v xml:space="preserve">Réu: </v>
      </c>
    </row>
    <row r="7" spans="1:4" ht="83.25" customHeight="1">
      <c r="A7" s="4" t="s">
        <v>22</v>
      </c>
      <c r="B7" s="4" t="s">
        <v>13</v>
      </c>
      <c r="C7" s="4" t="s">
        <v>11</v>
      </c>
      <c r="D7" s="4" t="s">
        <v>19</v>
      </c>
    </row>
    <row r="8" spans="1:4" ht="34.5" customHeight="1">
      <c r="A8" s="20">
        <v>1630</v>
      </c>
      <c r="B8" s="20">
        <v>4148.45</v>
      </c>
      <c r="C8" s="20">
        <v>6534.5</v>
      </c>
      <c r="D8" s="21">
        <f>B8+C8</f>
        <v>10682.95</v>
      </c>
    </row>
  </sheetData>
  <mergeCells count="1">
    <mergeCell ref="A1:D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showGridLines="0" workbookViewId="0">
      <selection activeCell="D2" sqref="D2"/>
    </sheetView>
  </sheetViews>
  <sheetFormatPr defaultRowHeight="15"/>
  <cols>
    <col min="1" max="1" width="22.5703125" customWidth="1"/>
    <col min="2" max="2" width="20.7109375" customWidth="1"/>
    <col min="3" max="3" width="37" customWidth="1"/>
    <col min="4" max="4" width="19.85546875" customWidth="1"/>
  </cols>
  <sheetData>
    <row r="1" spans="1:4" ht="21">
      <c r="A1" s="25" t="s">
        <v>21</v>
      </c>
      <c r="B1" s="25"/>
      <c r="C1" s="25"/>
      <c r="D1" s="25"/>
    </row>
    <row r="2" spans="1:4">
      <c r="D2" s="16" t="s">
        <v>24</v>
      </c>
    </row>
    <row r="3" spans="1:4">
      <c r="A3" t="str">
        <f>'Lucros Cessantes Mar00 Nov00'!A3</f>
        <v xml:space="preserve">Processo: nº </v>
      </c>
    </row>
    <row r="4" spans="1:4">
      <c r="A4" t="str">
        <f>'Lucros Cessantes Mar00 Nov00'!A4</f>
        <v xml:space="preserve">Autor: </v>
      </c>
    </row>
    <row r="5" spans="1:4">
      <c r="A5" t="str">
        <f>'Lucros Cessantes Mar00 Nov00'!A5</f>
        <v xml:space="preserve">Réu: </v>
      </c>
    </row>
    <row r="7" spans="1:4" ht="83.25" customHeight="1">
      <c r="A7" s="4" t="s">
        <v>23</v>
      </c>
      <c r="B7" s="4" t="s">
        <v>13</v>
      </c>
      <c r="C7" s="4" t="s">
        <v>11</v>
      </c>
      <c r="D7" s="4" t="s">
        <v>19</v>
      </c>
    </row>
    <row r="8" spans="1:4" ht="34.5" customHeight="1">
      <c r="A8" s="20">
        <v>20000</v>
      </c>
      <c r="B8" s="20">
        <v>25178.81</v>
      </c>
      <c r="C8" s="20">
        <v>11699.75</v>
      </c>
      <c r="D8" s="21">
        <f>B8+C8</f>
        <v>36878.559999999998</v>
      </c>
    </row>
  </sheetData>
  <mergeCells count="1">
    <mergeCell ref="A1:D1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showGridLines="0" tabSelected="1" workbookViewId="0">
      <selection activeCell="A20" sqref="A20"/>
    </sheetView>
  </sheetViews>
  <sheetFormatPr defaultRowHeight="15"/>
  <cols>
    <col min="1" max="1" width="29.5703125" customWidth="1"/>
    <col min="2" max="2" width="22.28515625" customWidth="1"/>
  </cols>
  <sheetData>
    <row r="1" spans="1:2">
      <c r="A1" t="s">
        <v>25</v>
      </c>
    </row>
    <row r="3" spans="1:2">
      <c r="A3" t="str">
        <f>'Lucros Cessantes Mar00 Nov00'!A3</f>
        <v xml:space="preserve">Processo: nº </v>
      </c>
    </row>
    <row r="4" spans="1:2">
      <c r="A4" t="str">
        <f>'Lucros Cessantes Mar00 Nov00'!A4</f>
        <v xml:space="preserve">Autor: </v>
      </c>
    </row>
    <row r="5" spans="1:2">
      <c r="A5" t="str">
        <f>'Lucros Cessantes Mar00 Nov00'!A5</f>
        <v xml:space="preserve">Réu: </v>
      </c>
    </row>
    <row r="7" spans="1:2" ht="29.25" customHeight="1">
      <c r="A7" s="4" t="s">
        <v>26</v>
      </c>
      <c r="B7" s="4" t="s">
        <v>27</v>
      </c>
    </row>
    <row r="8" spans="1:2" ht="41.1" customHeight="1">
      <c r="A8" s="22" t="s">
        <v>28</v>
      </c>
      <c r="B8" s="20">
        <v>9803.2900000000009</v>
      </c>
    </row>
    <row r="9" spans="1:2" ht="41.1" customHeight="1">
      <c r="A9" s="22" t="s">
        <v>29</v>
      </c>
      <c r="B9" s="20">
        <v>7292.7</v>
      </c>
    </row>
    <row r="10" spans="1:2" ht="25.5" customHeight="1">
      <c r="A10" s="4" t="s">
        <v>30</v>
      </c>
      <c r="B10" s="12">
        <f>SUM(B8:B9)</f>
        <v>17095.990000000002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Lucros Cessantes Mar00 Nov00</vt:lpstr>
      <vt:lpstr>Lucros Cessantes Dez00 Jul01</vt:lpstr>
      <vt:lpstr>Danos Emergentes</vt:lpstr>
      <vt:lpstr>Danos Morais</vt:lpstr>
      <vt:lpstr>Resumo de Valores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SRPC</cp:keywords>
  <cp:lastModifiedBy/>
  <dcterms:created xsi:type="dcterms:W3CDTF">2006-09-16T00:00:00Z</dcterms:created>
  <dcterms:modified xsi:type="dcterms:W3CDTF">2017-04-08T14:35:07Z</dcterms:modified>
</cp:coreProperties>
</file>