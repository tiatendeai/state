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Meu Drive\ZELAR CONTABILIDADE - interno\modelos de planilhas\"/>
    </mc:Choice>
  </mc:AlternateContent>
  <bookViews>
    <workbookView xWindow="240" yWindow="135" windowWidth="20115" windowHeight="7935" firstSheet="1" activeTab="1"/>
  </bookViews>
  <sheets>
    <sheet name="formulas" sheetId="2" state="hidden" r:id="rId1"/>
    <sheet name="Tarefas dos Projetos" sheetId="4" r:id="rId2"/>
    <sheet name="Gráfico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AnoSelecionado">[1]Relatório!$G$1</definedName>
    <definedName name="Anoslst">OFFSET('[1]Inserção de Dados'!$C$3:$J$3,0,1,1,COUNTA('[1]Inserção de Dados'!$C$3:$J$3)-1)</definedName>
    <definedName name="Ativo_não_Circulante___ANC">'[2]LIQUIDEZ CORRENTE'!#REF!</definedName>
    <definedName name="BuiltIn_Print_Area">#REF!</definedName>
    <definedName name="Caixa_Mínimo_Operacional___CMO">#REF!</definedName>
    <definedName name="Capital_Circulante_Líquido___CCL">#REF!</definedName>
    <definedName name="Categoria">[3]Cadastros!$A$3:$A$8</definedName>
    <definedName name="Categoria1">'[4]Lista de Compras'!$B$4</definedName>
    <definedName name="Categoria2">'[4]Lista de Compras'!$C$4</definedName>
    <definedName name="Categoria3">'[4]Lista de Compras'!$D$4</definedName>
    <definedName name="Categoria4">'[4]Lista de Compras'!$E$4</definedName>
    <definedName name="Categoria5">'[4]Lista de Compras'!$F$4</definedName>
    <definedName name="Ciclo_de_Caixa___CC">#REF!</definedName>
    <definedName name="Clientes">'[5]CADASTRO DE CLIENTES'!#REF!</definedName>
    <definedName name="Custo_das_Mercadorias_Vendidas___CMV">#REF!</definedName>
    <definedName name="CustoMédioPorLitro">[6]CONSUMO!$C$4</definedName>
    <definedName name="CustoMédioPorQuilômetro">[6]CONSUMO!$E$4</definedName>
    <definedName name="Departamento">[3]Cadastros!$F$2:$F$11</definedName>
    <definedName name="Depósito">'[7]Prestação de Serviço'!$G$24</definedName>
    <definedName name="DRE">'[2]LIQUIDEZ CORRENTE'!#REF!</definedName>
    <definedName name="EstaColuna">'[8]Tarefas Semanais'!XFD$4:INDEX('[8]Tarefas Semanais'!XFD:XFD,ÚltimaLinha,1)</definedName>
    <definedName name="EsteDiaSemana">CHOOSE(WEEKDAY(TODAY()),1,2,3,4,5,6,7)</definedName>
    <definedName name="Giro_de_Caixa___GC">#REF!</definedName>
    <definedName name="HoraAtual">TIME(HOUR(NOW()),MINUTE(NOW()),SECOND(NOW()))</definedName>
    <definedName name="horas">#REF!</definedName>
    <definedName name="Icms">'[9]Comparativo Vendedores'!#REF!</definedName>
    <definedName name="InícioCalendário">'[8]Tarefas Semanais'!$D$2</definedName>
    <definedName name="InícioDaSemana">'[8]Tarefas Semanais'!#REF!</definedName>
    <definedName name="IntervaloMinutos">'[8]Tarefas Semanais'!$A$3</definedName>
    <definedName name="lista_bancos">#REF!</definedName>
    <definedName name="ListaCategoriaPresentes">'[10]INFO DA LISTA'!$D$5:$D$11</definedName>
    <definedName name="ListaPessoas">'[10]INFO DA LISTA'!$B$5:$B$11</definedName>
    <definedName name="LucroLíquido">'[11]Lucros e perdas'!$N$32</definedName>
    <definedName name="MédiadeMPL">[6]CONSUMO!$D$4</definedName>
    <definedName name="Métricaslst">OFFSET('[1]Inserção de Dados'!$C$4:$C$28,0,0,COUNTA('[1]Inserção de Dados'!$C$4:$C$28))</definedName>
    <definedName name="NativeTimeline_DATA">#N/A</definedName>
    <definedName name="Necessidade_de_Investimento_em_Giro___NIG">#REF!</definedName>
    <definedName name="Necessidade_Total_de_Financiamento_Permanente___NTFP">#REF!</definedName>
    <definedName name="NomeCobrança">'[7]Prestação de Serviço'!$B$10</definedName>
    <definedName name="Passivo_não_Circulante___PNC">'[2]LIQUIDEZ CORRENTE'!#REF!</definedName>
    <definedName name="Patrimônio_Líquido___PL">'[2]LIQUIDEZ CORRENTE'!#REF!</definedName>
    <definedName name="PesquisaCategoria">#REF!</definedName>
    <definedName name="PesquisaCliente">[7]!ListadeClientes[Nome da Empresa]</definedName>
    <definedName name="Prazo_Médio_de_Cobrança___PMC_ou_PMR">#REF!</definedName>
    <definedName name="Prazo_Médio_de_Estocagem_de_Matéria_prima___PME">#REF!</definedName>
    <definedName name="Prazo_Médio_de_Pagamento___PMP">#REF!</definedName>
    <definedName name="prioridades">formulas!$A$3:$A$7</definedName>
    <definedName name="QuilômetrosdeViagem">[6]CONSUMO!$G$3</definedName>
    <definedName name="Rel_Despesas">'[12]Relatório Despesas'!$B$2:$B$72</definedName>
    <definedName name="rngFeriados">[13]DADOS!$C$5:$I$20</definedName>
    <definedName name="Salário_Base">'[14]Custo com Funcionário'!$B$5</definedName>
    <definedName name="Saldo_do_Disponível___SD_ou_ST__Saldo_Tesouraria">#REF!</definedName>
    <definedName name="Segmentação_de_dados_Categoria_do_presente">#N/A</definedName>
    <definedName name="Segmentação_de_dados_Comprado">#N/A</definedName>
    <definedName name="Segmentação_de_dados_Para">#N/A</definedName>
    <definedName name="Segmentação_de_dados_Status_de_embrulho">#N/A</definedName>
    <definedName name="Segmentação_de_dados_Status_de_entreda">#N/A</definedName>
    <definedName name="SegmentaçãodeDados_CATEGORIA">#N/A</definedName>
    <definedName name="SegmentaçãodeDados_SUBCATEGORIA">#N/A</definedName>
    <definedName name="status_nome">[15]listas!$A$2:$A$8</definedName>
    <definedName name="SubtotalNotaFiscal">'[7]Prestação de Serviço'!$G$23</definedName>
    <definedName name="TextoMinuto">'[8]Tarefas Semanais'!$G$2</definedName>
    <definedName name="TIPOS">#REF!</definedName>
    <definedName name="TotalGeral">SUM('[4]Lista de Compras'!$G$9:$G$25)</definedName>
    <definedName name="ÚltimaLinha">MAX(MATCH(9.99E+307,'[8]Tarefas Semanais'!$C:$C),MATCH(REPT("z",255),'[8]Tarefas Semanais'!$C:$C))</definedName>
    <definedName name="vendas_ano">#REF!</definedName>
    <definedName name="vendas_mes">#REF!</definedName>
  </definedNames>
  <calcPr calcId="152511"/>
  <fileRecoveryPr repairLoad="1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12" i="2" l="1"/>
  <c r="D13" i="2"/>
  <c r="D8" i="2"/>
  <c r="D9" i="2"/>
  <c r="D7" i="2"/>
  <c r="D6" i="2"/>
  <c r="D16" i="2"/>
  <c r="D5" i="2"/>
  <c r="D15" i="2"/>
  <c r="D4" i="2"/>
  <c r="D14" i="2"/>
  <c r="D11" i="2"/>
  <c r="D3" i="2"/>
  <c r="D10" i="2"/>
  <c r="D17" i="2"/>
  <c r="D18" i="2" l="1"/>
</calcChain>
</file>

<file path=xl/sharedStrings.xml><?xml version="1.0" encoding="utf-8"?>
<sst xmlns="http://schemas.openxmlformats.org/spreadsheetml/2006/main" count="190" uniqueCount="36">
  <si>
    <t>Lista de Tarefas</t>
  </si>
  <si>
    <t>Prioridade</t>
  </si>
  <si>
    <t>Completo</t>
  </si>
  <si>
    <t>Prioridades</t>
  </si>
  <si>
    <t>Cálculo Prioridade</t>
  </si>
  <si>
    <t>Status</t>
  </si>
  <si>
    <t>Projeto 1</t>
  </si>
  <si>
    <t>Data de conclusão</t>
  </si>
  <si>
    <t>Anotações</t>
  </si>
  <si>
    <t>Projeto 2</t>
  </si>
  <si>
    <t>Projeto 3</t>
  </si>
  <si>
    <t>Item</t>
  </si>
  <si>
    <t>NOME DO PROJETO 1</t>
  </si>
  <si>
    <t>NOME DO PROJETO 2</t>
  </si>
  <si>
    <t>NOME DO PROJETO 3</t>
  </si>
  <si>
    <t>NOME DO PROJETO 4</t>
  </si>
  <si>
    <t>NOME DO PROJETO 5</t>
  </si>
  <si>
    <t>NOME DO PROJETO 6</t>
  </si>
  <si>
    <t>NOME DO PROJETO 7</t>
  </si>
  <si>
    <t>NOME DO PROJETO 8</t>
  </si>
  <si>
    <t>NOME DO PROJETO 9</t>
  </si>
  <si>
    <t>NOME DO PROJETO 10</t>
  </si>
  <si>
    <t>Projeto</t>
  </si>
  <si>
    <t>Projeto 4</t>
  </si>
  <si>
    <t>Projeto 5</t>
  </si>
  <si>
    <t>Projeto 6</t>
  </si>
  <si>
    <t>Projeto 7</t>
  </si>
  <si>
    <t>Projeto 8</t>
  </si>
  <si>
    <t>Projeto 9</t>
  </si>
  <si>
    <t>Projeto 10</t>
  </si>
  <si>
    <t>TAREFAS POR PROJETO</t>
  </si>
  <si>
    <t>Nome do responsável:</t>
  </si>
  <si>
    <t>Prazo final execução:</t>
  </si>
  <si>
    <t>% conclusão</t>
  </si>
  <si>
    <t>Fase / Andamento</t>
  </si>
  <si>
    <t>Descreva a tarefa a ser desempenhada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</si>
</sst>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\r\a\l"/>
    <numFmt numFmtId="165" formatCode="&quot;R$ &quot;#,##0_);\(&quot;R$ &quot;#,##0\)"/>
    <numFmt numFmtId="166" formatCode="_-* #,##0.00\ [$€]_-;\-* #,##0.00\ [$€]_-;_-* &quot;-&quot;??\ [$€]_-;_-@_-"/>
    <numFmt numFmtId="167" formatCode="_(* #,##0.00_);_(* \(#,##0.00\);_(* &quot;-&quot;??_);_(@_)"/>
    <numFmt numFmtId="168" formatCode="&quot;$&quot;#,##0_);\(&quot;$&quot;#,##0\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1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24"/>
      <color theme="0"/>
      <name val="Calibri"/>
      <family val="2"/>
    </font>
    <font>
      <b/>
      <sz val="11"/>
      <color rgb="FF00B0F0"/>
      <name val="Calibri"/>
      <family val="2"/>
    </font>
    <font>
      <b/>
      <sz val="12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sz val="18"/>
      <color theme="3"/>
      <name val="Cambria"/>
      <family val="2"/>
      <scheme val="maj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20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3" tint="0.39991454817346722"/>
      </top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/>
      <top style="thin">
        <color theme="3" tint="0.39991454817346722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B0F0"/>
      </left>
      <right/>
      <top/>
      <bottom/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theme="3" tint="0.39988402966399123"/>
      </bottom>
      <diagonal/>
    </border>
    <border>
      <left/>
      <right/>
      <top style="thin">
        <color rgb="FF00B0F0"/>
      </top>
      <bottom style="thin">
        <color theme="3" tint="0.39988402966399123"/>
      </bottom>
      <diagonal/>
    </border>
    <border>
      <left/>
      <right style="thin">
        <color rgb="FF00B0F0"/>
      </right>
      <top style="thin">
        <color rgb="FF00B0F0"/>
      </top>
      <bottom style="thin">
        <color theme="3" tint="0.39988402966399123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theme="3" tint="0.39991454817346722"/>
      </bottom>
      <diagonal/>
    </border>
    <border>
      <left/>
      <right style="thin">
        <color rgb="FF00B0F0"/>
      </right>
      <top/>
      <bottom style="thin">
        <color theme="3" tint="0.39991454817346722"/>
      </bottom>
      <diagonal/>
    </border>
    <border>
      <left style="thin">
        <color rgb="FF00B0F0"/>
      </left>
      <right/>
      <top style="thin">
        <color theme="3" tint="0.39991454817346722"/>
      </top>
      <bottom style="thin">
        <color theme="3" tint="0.39991454817346722"/>
      </bottom>
      <diagonal/>
    </border>
    <border>
      <left/>
      <right style="thin">
        <color rgb="FF00B0F0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rgb="FF00B0F0"/>
      </left>
      <right/>
      <top style="thin">
        <color theme="3" tint="0.39991454817346722"/>
      </top>
      <bottom/>
      <diagonal/>
    </border>
    <border>
      <left/>
      <right style="thin">
        <color rgb="FF00B0F0"/>
      </right>
      <top style="thin">
        <color theme="3" tint="0.39991454817346722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00B0F0"/>
      </right>
      <top style="thin">
        <color theme="0"/>
      </top>
      <bottom style="thin">
        <color theme="0"/>
      </bottom>
      <diagonal/>
    </border>
    <border>
      <left style="thin">
        <color rgb="FF00B0F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indexed="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</borders>
  <cellStyleXfs count="38">
    <xf numFmtId="0" fontId="0" fillId="0" borderId="0"/>
    <xf numFmtId="9" fontId="1" fillId="0" borderId="0" applyFont="0" applyFill="0" applyBorder="0" applyAlignment="0" applyProtection="0"/>
    <xf numFmtId="0" fontId="7" fillId="2" borderId="0"/>
    <xf numFmtId="0" fontId="3" fillId="3" borderId="0"/>
    <xf numFmtId="0" fontId="1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0" fontId="15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5" fillId="0" borderId="0"/>
    <xf numFmtId="165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29" applyNumberFormat="0" applyFill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26" fillId="0" borderId="0" applyNumberFormat="0" applyFill="0" applyBorder="0" applyAlignment="0" applyProtection="0"/>
    <xf numFmtId="0" fontId="27" fillId="6" borderId="30">
      <alignment horizontal="center" vertical="center"/>
    </xf>
    <xf numFmtId="166" fontId="15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" fillId="0" borderId="0"/>
    <xf numFmtId="0" fontId="15" fillId="0" borderId="0"/>
    <xf numFmtId="0" fontId="15" fillId="0" borderId="0"/>
    <xf numFmtId="9" fontId="28" fillId="0" borderId="31">
      <alignment horizontal="left" vertical="center" indent="2"/>
    </xf>
    <xf numFmtId="9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8" fontId="29" fillId="0" borderId="32">
      <alignment horizontal="center" vertical="center"/>
    </xf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0" fillId="0" borderId="2" xfId="0" applyFill="1" applyBorder="1"/>
    <xf numFmtId="0" fontId="4" fillId="0" borderId="0" xfId="0" applyFont="1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wrapText="1"/>
    </xf>
    <xf numFmtId="0" fontId="10" fillId="0" borderId="0" xfId="0" applyNumberFormat="1" applyFont="1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4" fillId="0" borderId="12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0" fillId="0" borderId="12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3" xfId="0" applyFill="1" applyBorder="1"/>
    <xf numFmtId="0" fontId="0" fillId="0" borderId="17" xfId="0" applyBorder="1"/>
    <xf numFmtId="0" fontId="0" fillId="0" borderId="25" xfId="0" applyBorder="1"/>
    <xf numFmtId="0" fontId="0" fillId="0" borderId="2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12" xfId="0" applyFont="1" applyBorder="1"/>
    <xf numFmtId="0" fontId="10" fillId="4" borderId="7" xfId="0" applyNumberFormat="1" applyFont="1" applyFill="1" applyBorder="1" applyAlignment="1">
      <alignment horizontal="center"/>
    </xf>
    <xf numFmtId="14" fontId="10" fillId="4" borderId="8" xfId="0" applyNumberFormat="1" applyFont="1" applyFill="1" applyBorder="1"/>
    <xf numFmtId="0" fontId="10" fillId="4" borderId="9" xfId="0" applyFont="1" applyFill="1" applyBorder="1" applyAlignment="1">
      <alignment wrapText="1"/>
    </xf>
    <xf numFmtId="0" fontId="10" fillId="4" borderId="5" xfId="0" applyNumberFormat="1" applyFont="1" applyFill="1" applyBorder="1" applyAlignment="1">
      <alignment horizontal="center"/>
    </xf>
    <xf numFmtId="0" fontId="10" fillId="4" borderId="4" xfId="0" applyFont="1" applyFill="1" applyBorder="1" applyAlignment="1">
      <alignment wrapText="1"/>
    </xf>
    <xf numFmtId="0" fontId="10" fillId="4" borderId="10" xfId="0" applyNumberFormat="1" applyFont="1" applyFill="1" applyBorder="1" applyAlignment="1">
      <alignment horizontal="center"/>
    </xf>
    <xf numFmtId="0" fontId="10" fillId="4" borderId="11" xfId="0" applyFont="1" applyFill="1" applyBorder="1" applyAlignment="1">
      <alignment wrapText="1"/>
    </xf>
    <xf numFmtId="164" fontId="10" fillId="4" borderId="4" xfId="0" applyNumberFormat="1" applyFont="1" applyFill="1" applyBorder="1" applyAlignment="1">
      <alignment horizontal="center"/>
    </xf>
    <xf numFmtId="0" fontId="10" fillId="4" borderId="7" xfId="0" applyFont="1" applyFill="1" applyBorder="1" applyAlignment="1"/>
    <xf numFmtId="0" fontId="2" fillId="5" borderId="20" xfId="0" applyFont="1" applyFill="1" applyBorder="1"/>
    <xf numFmtId="0" fontId="2" fillId="5" borderId="1" xfId="0" applyFont="1" applyFill="1" applyBorder="1"/>
    <xf numFmtId="0" fontId="2" fillId="5" borderId="21" xfId="0" applyFont="1" applyFill="1" applyBorder="1"/>
    <xf numFmtId="0" fontId="10" fillId="5" borderId="0" xfId="0" applyFont="1" applyFill="1" applyAlignment="1">
      <alignment wrapText="1"/>
    </xf>
    <xf numFmtId="0" fontId="10" fillId="5" borderId="0" xfId="0" applyFont="1" applyFill="1"/>
    <xf numFmtId="0" fontId="6" fillId="5" borderId="0" xfId="0" applyFont="1" applyFill="1"/>
    <xf numFmtId="0" fontId="12" fillId="4" borderId="28" xfId="3" applyFont="1" applyFill="1" applyBorder="1" applyAlignment="1">
      <alignment horizontal="center" vertical="center"/>
    </xf>
    <xf numFmtId="0" fontId="12" fillId="4" borderId="27" xfId="3" applyFont="1" applyFill="1" applyBorder="1" applyAlignment="1">
      <alignment horizontal="center" vertical="center"/>
    </xf>
    <xf numFmtId="0" fontId="12" fillId="4" borderId="6" xfId="3" applyFont="1" applyFill="1" applyBorder="1" applyAlignment="1">
      <alignment horizontal="center" vertical="center"/>
    </xf>
    <xf numFmtId="0" fontId="13" fillId="4" borderId="4" xfId="3" applyFont="1" applyFill="1" applyBorder="1" applyAlignment="1">
      <alignment vertical="center"/>
    </xf>
    <xf numFmtId="0" fontId="13" fillId="4" borderId="26" xfId="3" applyFont="1" applyFill="1" applyBorder="1" applyAlignment="1">
      <alignment vertical="center"/>
    </xf>
    <xf numFmtId="0" fontId="13" fillId="4" borderId="5" xfId="3" applyFont="1" applyFill="1" applyBorder="1" applyAlignment="1">
      <alignment vertical="center"/>
    </xf>
    <xf numFmtId="0" fontId="9" fillId="5" borderId="11" xfId="3" applyFont="1" applyFill="1" applyBorder="1" applyAlignment="1">
      <alignment horizontal="left" vertical="center"/>
    </xf>
    <xf numFmtId="0" fontId="9" fillId="5" borderId="10" xfId="3" applyFont="1" applyFill="1" applyBorder="1" applyAlignment="1">
      <alignment horizontal="left" vertical="center"/>
    </xf>
    <xf numFmtId="0" fontId="11" fillId="5" borderId="0" xfId="2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</cellXfs>
  <cellStyles count="38">
    <cellStyle name="Cabeçalho de métrica-chave" xfId="24"/>
    <cellStyle name="Custom Style  1" xfId="2"/>
    <cellStyle name="Custom Style 2" xfId="3"/>
    <cellStyle name="Euro" xfId="25"/>
    <cellStyle name="Hyperlink 2" xfId="5"/>
    <cellStyle name="Hyperlink 2 2" xfId="7"/>
    <cellStyle name="Hyperlink 2 2 2" xfId="11"/>
    <cellStyle name="Hyperlink 2 3" xfId="26"/>
    <cellStyle name="Hyperlink 2 4" xfId="27"/>
    <cellStyle name="Hyperlink 3" xfId="12"/>
    <cellStyle name="Hyperlink 4" xfId="23"/>
    <cellStyle name="Moeda 2" xfId="13"/>
    <cellStyle name="Moeda 2 2" xfId="14"/>
    <cellStyle name="Normal" xfId="0" builtinId="0"/>
    <cellStyle name="Normal 2" xfId="4"/>
    <cellStyle name="Normal 2 2" xfId="6"/>
    <cellStyle name="Normal 2 2 2" xfId="10"/>
    <cellStyle name="Normal 2 3" xfId="28"/>
    <cellStyle name="Normal 3" xfId="15"/>
    <cellStyle name="Normal 4" xfId="29"/>
    <cellStyle name="Normal 4 2" xfId="22"/>
    <cellStyle name="Normal 5" xfId="30"/>
    <cellStyle name="Normal 6" xfId="31"/>
    <cellStyle name="Percentual de métrica-chave" xfId="32"/>
    <cellStyle name="Porcentagem" xfId="1" builtinId="5"/>
    <cellStyle name="Porcentagem 2" xfId="8"/>
    <cellStyle name="Porcentagem 5" xfId="33"/>
    <cellStyle name="Separador de milhares 2" xfId="9"/>
    <cellStyle name="Separador de milhares 3" xfId="16"/>
    <cellStyle name="Separador de milhares 5" xfId="34"/>
    <cellStyle name="Separador de milhares 6" xfId="35"/>
    <cellStyle name="Título 1 1" xfId="17"/>
    <cellStyle name="Título 1 1 1" xfId="18"/>
    <cellStyle name="Título 1 1 1 1" xfId="19"/>
    <cellStyle name="Título 5" xfId="20"/>
    <cellStyle name="Valor de métrica-chave" xfId="36"/>
    <cellStyle name="Vírgula 10" xfId="37"/>
    <cellStyle name="Vírgula 2" xfId="21"/>
  </cellStyles>
  <dxfs count="61">
    <dxf>
      <font>
        <b/>
        <i val="0"/>
      </font>
      <fill>
        <patternFill>
          <bgColor theme="4" tint="0.59996337778862885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general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ge\r\a\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9" formatCode="dd/mm/yyyy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solid">
          <fgColor indexed="64"/>
          <bgColor theme="3" tint="0.79998168889431442"/>
        </patternFill>
      </fill>
      <border diagonalUp="0" diagonalDown="0" outline="0"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none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formulas!$C$3" lockText="1" noThreeD="1"/>
</file>

<file path=xl/ctrlProps/ctrlProp2.xml><?xml version="1.0" encoding="utf-8"?>
<formControlPr xmlns="http://schemas.microsoft.com/office/spreadsheetml/2009/9/main" objectType="CheckBox" fmlaLink="formulas!$C$4" lockText="1" noThreeD="1"/>
</file>

<file path=xl/ctrlProps/ctrlProp3.xml><?xml version="1.0" encoding="utf-8"?>
<formControlPr xmlns="http://schemas.microsoft.com/office/spreadsheetml/2009/9/main" objectType="CheckBox" checked="Checked" fmlaLink="formulas!$C$5" lockText="1" noThreeD="1"/>
</file>

<file path=xl/ctrlProps/ctrlProp4.xml><?xml version="1.0" encoding="utf-8"?>
<formControlPr xmlns="http://schemas.microsoft.com/office/spreadsheetml/2009/9/main" objectType="CheckBox" fmlaLink="formulas!$C$6" lockText="1" noThreeD="1"/>
</file>

<file path=xl/ctrlProps/ctrlProp5.xml><?xml version="1.0" encoding="utf-8"?>
<formControlPr xmlns="http://schemas.microsoft.com/office/spreadsheetml/2009/9/main" objectType="CheckBox" checked="Checked" fmlaLink="formulas!$C$7" lockText="1" noThreeD="1"/>
</file>

<file path=xl/ctrlProps/ctrlProp6.xml><?xml version="1.0" encoding="utf-8"?>
<formControlPr xmlns="http://schemas.microsoft.com/office/spreadsheetml/2009/9/main" objectType="CheckBox" fmlaLink="formulas!$C$8" lockText="1" noThreeD="1"/>
</file>

<file path=xl/ctrlProps/ctrlProp7.xml><?xml version="1.0" encoding="utf-8"?>
<formControlPr xmlns="http://schemas.microsoft.com/office/spreadsheetml/2009/9/main" objectType="CheckBox" checked="Checked" fmlaLink="formulas!$C$9" lockText="1" noThreeD="1"/>
</file>

<file path=xl/ctrlProps/ctrlProp8.xml><?xml version="1.0" encoding="utf-8"?>
<formControlPr xmlns="http://schemas.microsoft.com/office/spreadsheetml/2009/9/main" objectType="CheckBox" fmlaLink="formulas!$C$10" lockText="1" noThreeD="1"/>
</file>

<file path=xl/ctrlProps/ctrlProp9.xml><?xml version="1.0" encoding="utf-8"?>
<formControlPr xmlns="http://schemas.microsoft.com/office/spreadsheetml/2009/9/main" objectType="CheckBox" checked="Checked" fmlaLink="formulas!$C$11" lockText="1" noThreeD="1"/>
</file>

<file path=xl/ctrlProps/ctrlProp10.xml><?xml version="1.0" encoding="utf-8"?>
<formControlPr xmlns="http://schemas.microsoft.com/office/spreadsheetml/2009/9/main" objectType="CheckBox" fmlaLink="formulas!$C$12" lockText="1" noThreeD="1"/>
</file>

<file path=xl/ctrlProps/ctrlProp11.xml><?xml version="1.0" encoding="utf-8"?>
<formControlPr xmlns="http://schemas.microsoft.com/office/spreadsheetml/2009/9/main" objectType="CheckBox" fmlaLink="formulas!$C$13" lockText="1" noThreeD="1"/>
</file>

<file path=xl/ctrlProps/ctrlProp12.xml><?xml version="1.0" encoding="utf-8"?>
<formControlPr xmlns="http://schemas.microsoft.com/office/spreadsheetml/2009/9/main" objectType="CheckBox" fmlaLink="formulas!$C$14" lockText="1" noThreeD="1"/>
</file>

<file path=xl/ctrlProps/ctrlProp13.xml><?xml version="1.0" encoding="utf-8"?>
<formControlPr xmlns="http://schemas.microsoft.com/office/spreadsheetml/2009/9/main" objectType="CheckBox" fmlaLink="formulas!$C$15" lockText="1" noThreeD="1"/>
</file>

<file path=xl/ctrlProps/ctrlProp14.xml><?xml version="1.0" encoding="utf-8"?>
<formControlPr xmlns="http://schemas.microsoft.com/office/spreadsheetml/2009/9/main" objectType="CheckBox" fmlaLink="formulas!$C$16" lockText="1" noThreeD="1"/>
</file>

<file path=xl/ctrlProps/ctrlProp15.xml><?xml version="1.0" encoding="utf-8"?>
<formControlPr xmlns="http://schemas.microsoft.com/office/spreadsheetml/2009/9/main" objectType="CheckBox" fmlaLink="formulas!$C$1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10</xdr:row>
          <xdr:rowOff>180975</xdr:rowOff>
        </xdr:from>
        <xdr:to>
          <xdr:col>4</xdr:col>
          <xdr:colOff>400050</xdr:colOff>
          <xdr:row>12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11</xdr:row>
          <xdr:rowOff>180975</xdr:rowOff>
        </xdr:from>
        <xdr:to>
          <xdr:col>4</xdr:col>
          <xdr:colOff>400050</xdr:colOff>
          <xdr:row>13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12</xdr:row>
          <xdr:rowOff>180975</xdr:rowOff>
        </xdr:from>
        <xdr:to>
          <xdr:col>4</xdr:col>
          <xdr:colOff>400050</xdr:colOff>
          <xdr:row>14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13</xdr:row>
          <xdr:rowOff>180975</xdr:rowOff>
        </xdr:from>
        <xdr:to>
          <xdr:col>4</xdr:col>
          <xdr:colOff>400050</xdr:colOff>
          <xdr:row>15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14</xdr:row>
          <xdr:rowOff>180975</xdr:rowOff>
        </xdr:from>
        <xdr:to>
          <xdr:col>4</xdr:col>
          <xdr:colOff>400050</xdr:colOff>
          <xdr:row>16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15</xdr:row>
          <xdr:rowOff>180975</xdr:rowOff>
        </xdr:from>
        <xdr:to>
          <xdr:col>4</xdr:col>
          <xdr:colOff>400050</xdr:colOff>
          <xdr:row>17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16</xdr:row>
          <xdr:rowOff>180975</xdr:rowOff>
        </xdr:from>
        <xdr:to>
          <xdr:col>4</xdr:col>
          <xdr:colOff>400050</xdr:colOff>
          <xdr:row>18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17</xdr:row>
          <xdr:rowOff>180975</xdr:rowOff>
        </xdr:from>
        <xdr:to>
          <xdr:col>4</xdr:col>
          <xdr:colOff>400050</xdr:colOff>
          <xdr:row>19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18</xdr:row>
          <xdr:rowOff>190500</xdr:rowOff>
        </xdr:from>
        <xdr:to>
          <xdr:col>4</xdr:col>
          <xdr:colOff>400050</xdr:colOff>
          <xdr:row>20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19</xdr:row>
          <xdr:rowOff>190500</xdr:rowOff>
        </xdr:from>
        <xdr:to>
          <xdr:col>4</xdr:col>
          <xdr:colOff>400050</xdr:colOff>
          <xdr:row>21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190500</xdr:colOff>
          <xdr:row>19</xdr:row>
          <xdr:rowOff>190500</xdr:rowOff>
        </xdr:from>
        <xdr:to>
          <xdr:col>16383</xdr:col>
          <xdr:colOff>0</xdr:colOff>
          <xdr:row>21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190500</xdr:colOff>
          <xdr:row>20</xdr:row>
          <xdr:rowOff>0</xdr:rowOff>
        </xdr:from>
        <xdr:to>
          <xdr:col>16383</xdr:col>
          <xdr:colOff>0</xdr:colOff>
          <xdr:row>21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190500</xdr:colOff>
          <xdr:row>20</xdr:row>
          <xdr:rowOff>0</xdr:rowOff>
        </xdr:from>
        <xdr:to>
          <xdr:col>16383</xdr:col>
          <xdr:colOff>0</xdr:colOff>
          <xdr:row>21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190500</xdr:colOff>
          <xdr:row>20</xdr:row>
          <xdr:rowOff>0</xdr:rowOff>
        </xdr:from>
        <xdr:to>
          <xdr:col>16383</xdr:col>
          <xdr:colOff>0</xdr:colOff>
          <xdr:row>21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190500</xdr:colOff>
          <xdr:row>20</xdr:row>
          <xdr:rowOff>0</xdr:rowOff>
        </xdr:from>
        <xdr:to>
          <xdr:col>16383</xdr:col>
          <xdr:colOff>0</xdr:colOff>
          <xdr:row>21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Relatorio_Financeiro_Anu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Liquidez_Corren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ativo_imobilizad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2\Documents\SIGE%20CLOUD\MARKETING\BLOG\2015\Planilha_Lista_de_Compr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LOG/Planilhas%20Postadas/BLOG/Planilhas%20Postadas/Planilha_Cadastro_Client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2\Documents\SIGE%20CLOUD\MARKETING\BLOG\2016\Planilha_Consumo_Combust&#237;ve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2\Documents\SIGE%20CLOUD\MARKETING\%23PASTAS%20ANTIGAS\BLOG\2016\Planilha_Orcamento_Servico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Compromissos_Semanai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LOG/Planilhas%20Postadas/BLOG/Planilhas%20Postadas/BLOG/Planilhas%20Postadas/BLOG/Planilhas%20Postadas/BLOG/Planilhas%20Postadas/BLOG/BLOG/Comparativo_Vendedor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2\Documents\SIGE%20CLOUD\MARKETING\BLOG\2015\Planilha_Or&#231;amento_Compras_Nat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2\Documents\SIGE%20CLOUD\MARKETING\BLOG\2015\Planilha_Lucros_Perda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Demonstrativo_Fluxo_de_Caix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Controle_Pont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Custo_Funcionario_Simpl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_Prospeccao_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Inserção de Dados"/>
      <sheetName val="Métricas-chave"/>
      <sheetName val="Relatório"/>
      <sheetName val="Cálculos"/>
    </sheetNames>
    <sheetDataSet>
      <sheetData sheetId="0" refreshError="1"/>
      <sheetData sheetId="1">
        <row r="3">
          <cell r="C3" t="str">
            <v>NOME DA MÉTRICA</v>
          </cell>
          <cell r="D3">
            <v>2012</v>
          </cell>
          <cell r="E3">
            <v>2013</v>
          </cell>
          <cell r="F3">
            <v>2014</v>
          </cell>
          <cell r="G3">
            <v>2015</v>
          </cell>
          <cell r="H3">
            <v>2016</v>
          </cell>
          <cell r="I3">
            <v>2017</v>
          </cell>
          <cell r="J3">
            <v>2018</v>
          </cell>
        </row>
        <row r="4">
          <cell r="C4" t="str">
            <v>RECEITAS</v>
          </cell>
        </row>
        <row r="5">
          <cell r="C5" t="str">
            <v>DESPESAS OPERACIONAIS</v>
          </cell>
        </row>
        <row r="6">
          <cell r="C6" t="str">
            <v>LUCRO OPERACIONAL</v>
          </cell>
        </row>
        <row r="7">
          <cell r="C7" t="str">
            <v>IMPOSTOS</v>
          </cell>
        </row>
        <row r="8">
          <cell r="C8" t="str">
            <v>LUCRO LÍQUIDO</v>
          </cell>
        </row>
        <row r="9">
          <cell r="C9" t="str">
            <v>MÉTRICA 1</v>
          </cell>
        </row>
        <row r="10">
          <cell r="C10" t="str">
            <v>MÉTRICA 2</v>
          </cell>
        </row>
        <row r="11">
          <cell r="C11" t="str">
            <v>MÉTRICA 3</v>
          </cell>
        </row>
        <row r="12">
          <cell r="C12" t="str">
            <v>MÉTRICA 4</v>
          </cell>
        </row>
        <row r="13">
          <cell r="C13" t="str">
            <v>MÉTRICA 5</v>
          </cell>
        </row>
        <row r="14">
          <cell r="C14" t="str">
            <v>MÉTRICA 6</v>
          </cell>
        </row>
        <row r="15">
          <cell r="C15" t="str">
            <v>MÉTRICA 7</v>
          </cell>
        </row>
        <row r="16">
          <cell r="C16" t="str">
            <v>MÉTRICA 8</v>
          </cell>
        </row>
        <row r="17">
          <cell r="C17" t="str">
            <v>MÉTRICA 9</v>
          </cell>
        </row>
      </sheetData>
      <sheetData sheetId="2" refreshError="1"/>
      <sheetData sheetId="3">
        <row r="1">
          <cell r="G1">
            <v>2018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LIQUIDEZ CORRENTE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Cadastros"/>
      <sheetName val="Ativo Imobilizado"/>
    </sheetNames>
    <sheetDataSet>
      <sheetData sheetId="0" refreshError="1"/>
      <sheetData sheetId="1">
        <row r="2">
          <cell r="F2" t="str">
            <v>Compras</v>
          </cell>
        </row>
        <row r="3">
          <cell r="A3" t="str">
            <v>Computadores e Periféricos</v>
          </cell>
          <cell r="F3" t="str">
            <v>Contabilidade</v>
          </cell>
        </row>
        <row r="4">
          <cell r="A4" t="str">
            <v>Edifícios</v>
          </cell>
          <cell r="F4" t="str">
            <v>Financeiro</v>
          </cell>
        </row>
        <row r="5">
          <cell r="A5" t="str">
            <v>Instalações</v>
          </cell>
          <cell r="F5" t="str">
            <v>Fiscal</v>
          </cell>
        </row>
        <row r="6">
          <cell r="A6" t="str">
            <v>Máquinas e Equipamentos</v>
          </cell>
          <cell r="F6" t="str">
            <v>Geral</v>
          </cell>
        </row>
        <row r="7">
          <cell r="A7" t="str">
            <v>Móveis e Utensílios</v>
          </cell>
          <cell r="F7" t="str">
            <v>Jurídico</v>
          </cell>
        </row>
        <row r="8">
          <cell r="A8" t="str">
            <v>Veículos</v>
          </cell>
          <cell r="F8" t="str">
            <v>Logística</v>
          </cell>
        </row>
        <row r="9">
          <cell r="F9" t="str">
            <v>RH</v>
          </cell>
        </row>
        <row r="10">
          <cell r="F10" t="str">
            <v>T.I.</v>
          </cell>
        </row>
        <row r="11">
          <cell r="F11" t="str">
            <v>Vendas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A"/>
      <sheetName val="Lista de Compras"/>
    </sheetNames>
    <sheetDataSet>
      <sheetData sheetId="0" refreshError="1"/>
      <sheetData sheetId="1">
        <row r="4">
          <cell r="B4" t="str">
            <v>MATÉRIA-PRIMA</v>
          </cell>
          <cell r="C4" t="str">
            <v>MATERIAL DE USO E CONSUMO</v>
          </cell>
          <cell r="D4" t="str">
            <v>MANUTENÇÃO E CONSERTOS</v>
          </cell>
          <cell r="E4" t="str">
            <v>MATERIAL DE ESCRITÓRIO</v>
          </cell>
          <cell r="F4" t="str">
            <v>OUTROS</v>
          </cell>
        </row>
        <row r="9">
          <cell r="G9">
            <v>99.9</v>
          </cell>
        </row>
        <row r="10">
          <cell r="G10">
            <v>7.35</v>
          </cell>
        </row>
        <row r="11">
          <cell r="G11">
            <v>49.9</v>
          </cell>
        </row>
        <row r="12">
          <cell r="G12">
            <v>4.99</v>
          </cell>
        </row>
        <row r="13">
          <cell r="G13">
            <v>8.89</v>
          </cell>
        </row>
        <row r="14">
          <cell r="G14">
            <v>119.80000000000001</v>
          </cell>
        </row>
        <row r="15">
          <cell r="G15">
            <v>99.9</v>
          </cell>
        </row>
        <row r="16">
          <cell r="G16">
            <v>24.5</v>
          </cell>
        </row>
        <row r="17">
          <cell r="G17">
            <v>3</v>
          </cell>
        </row>
        <row r="18">
          <cell r="G18">
            <v>2.99</v>
          </cell>
        </row>
        <row r="19">
          <cell r="G19">
            <v>29.950000000000003</v>
          </cell>
        </row>
        <row r="20">
          <cell r="G20">
            <v>15</v>
          </cell>
        </row>
        <row r="21">
          <cell r="G21">
            <v>2.4900000000000002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CADASTRO DE CLIENTE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A"/>
      <sheetName val="CONSUMO"/>
    </sheetNames>
    <sheetDataSet>
      <sheetData sheetId="0" refreshError="1"/>
      <sheetData sheetId="1">
        <row r="3">
          <cell r="G3">
            <v>380</v>
          </cell>
        </row>
        <row r="4">
          <cell r="C4">
            <v>2.8051239209133949</v>
          </cell>
          <cell r="D4">
            <v>11.437153996101365</v>
          </cell>
          <cell r="E4">
            <v>0.25006008173861299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tação de Serviço"/>
      <sheetName val="Clientes"/>
      <sheetName val="Planilha_Orcamento_Servicos"/>
      <sheetName val="Apresentação"/>
    </sheetNames>
    <sheetDataSet>
      <sheetData sheetId="0">
        <row r="10">
          <cell r="B10" t="str">
            <v>Trey Research</v>
          </cell>
        </row>
        <row r="23">
          <cell r="G23">
            <v>2050</v>
          </cell>
        </row>
        <row r="24">
          <cell r="G24">
            <v>400</v>
          </cell>
        </row>
      </sheetData>
      <sheetData sheetId="1">
        <row r="10">
          <cell r="B10" t="str">
            <v>Trey Research</v>
          </cell>
        </row>
      </sheetData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Tarefas Semanais"/>
    </sheetNames>
    <sheetDataSet>
      <sheetData sheetId="0" refreshError="1"/>
      <sheetData sheetId="1">
        <row r="2">
          <cell r="C2" t="str">
            <v xml:space="preserve">HORÁRIO DE INÍCIO: </v>
          </cell>
          <cell r="D2">
            <v>0.25</v>
          </cell>
          <cell r="G2" t="str">
            <v>30 MIN</v>
          </cell>
        </row>
        <row r="3">
          <cell r="A3">
            <v>30</v>
          </cell>
          <cell r="C3" t="str">
            <v>Segunda</v>
          </cell>
        </row>
        <row r="4">
          <cell r="C4" t="str">
            <v>Ligar para Bruna</v>
          </cell>
        </row>
        <row r="14">
          <cell r="C14" t="str">
            <v>Visitar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Comparativo Vendedores"/>
      <sheetName val="Anexos Simples"/>
    </sheetNames>
    <sheetDataSet>
      <sheetData sheetId="0" refreshError="1"/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A"/>
      <sheetName val="INFO DA LISTA"/>
      <sheetName val="ENTRADA DAS COMPRAS"/>
      <sheetName val="ORÇAMENTO"/>
    </sheetNames>
    <sheetDataSet>
      <sheetData sheetId="0" refreshError="1"/>
      <sheetData sheetId="1">
        <row r="5">
          <cell r="B5" t="str">
            <v>Aline</v>
          </cell>
          <cell r="D5" t="str">
            <v>Meia de Natal</v>
          </cell>
        </row>
        <row r="6">
          <cell r="B6" t="str">
            <v>Tatiane</v>
          </cell>
          <cell r="D6" t="str">
            <v>Presentes para amigos</v>
          </cell>
        </row>
        <row r="7">
          <cell r="B7" t="str">
            <v>Emanuel</v>
          </cell>
          <cell r="D7" t="str">
            <v>Presente para o cônjuge</v>
          </cell>
        </row>
        <row r="8">
          <cell r="B8" t="str">
            <v>Andressa</v>
          </cell>
          <cell r="D8" t="str">
            <v>Presente para a família</v>
          </cell>
        </row>
        <row r="9">
          <cell r="B9" t="str">
            <v>Henrique</v>
          </cell>
          <cell r="D9" t="str">
            <v>Presenta para filhos</v>
          </cell>
        </row>
        <row r="10">
          <cell r="B10" t="str">
            <v>Géssica</v>
          </cell>
          <cell r="D10" t="str">
            <v>Amigo Secreto</v>
          </cell>
        </row>
        <row r="11">
          <cell r="B11" t="str">
            <v>Carol</v>
          </cell>
          <cell r="D11" t="str">
            <v>Outros</v>
          </cell>
        </row>
      </sheetData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A"/>
      <sheetName val="Lucros e perdas"/>
    </sheetNames>
    <sheetDataSet>
      <sheetData sheetId="0"/>
      <sheetData sheetId="1">
        <row r="32">
          <cell r="N32">
            <v>104218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Caixa"/>
      <sheetName val="Contas Pagas"/>
      <sheetName val="Fluxo de Caixa"/>
      <sheetName val="Relatório do Movimento de Caixa"/>
      <sheetName val="Relatório Desp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Água</v>
          </cell>
        </row>
        <row r="3">
          <cell r="B3" t="str">
            <v>Ajuda de Custo</v>
          </cell>
        </row>
        <row r="4">
          <cell r="B4" t="str">
            <v>Alimentação</v>
          </cell>
        </row>
        <row r="5">
          <cell r="B5" t="str">
            <v>Almoxarifado</v>
          </cell>
        </row>
        <row r="6">
          <cell r="B6" t="str">
            <v>Aluguel</v>
          </cell>
        </row>
        <row r="7">
          <cell r="B7" t="str">
            <v>Anúncios de Emprego</v>
          </cell>
        </row>
        <row r="8">
          <cell r="B8" t="str">
            <v>Bens de Pequeno Valor</v>
          </cell>
        </row>
        <row r="9">
          <cell r="B9" t="str">
            <v>Combustíveis, Lubrificantes/Estacionamento</v>
          </cell>
        </row>
        <row r="10">
          <cell r="B10" t="str">
            <v>Comissões s/ Venda</v>
          </cell>
        </row>
        <row r="11">
          <cell r="B11" t="str">
            <v>Compra de Maquinário</v>
          </cell>
        </row>
        <row r="12">
          <cell r="B12" t="str">
            <v>Computadores e mat. De Informática</v>
          </cell>
        </row>
        <row r="13">
          <cell r="B13" t="str">
            <v>Conselho de Classe</v>
          </cell>
        </row>
        <row r="14">
          <cell r="B14" t="str">
            <v>Consulta Crédito Cobrança</v>
          </cell>
        </row>
        <row r="15">
          <cell r="B15" t="str">
            <v>Contribuições e Mensalidades</v>
          </cell>
        </row>
        <row r="16">
          <cell r="B16" t="str">
            <v>Cópias e Materiais Reprográficos</v>
          </cell>
        </row>
        <row r="17">
          <cell r="B17" t="str">
            <v>Correios e Malotes</v>
          </cell>
        </row>
        <row r="18">
          <cell r="B18" t="str">
            <v>Cursos e Treinamentos</v>
          </cell>
        </row>
        <row r="19">
          <cell r="B19" t="str">
            <v>Custas Judiciais</v>
          </cell>
        </row>
        <row r="20">
          <cell r="B20" t="str">
            <v>Depreciações e Amortizações</v>
          </cell>
        </row>
        <row r="21">
          <cell r="B21" t="str">
            <v>Descontos Concedidos</v>
          </cell>
        </row>
        <row r="22">
          <cell r="B22" t="str">
            <v>Despesa com Brindes a Clientes</v>
          </cell>
        </row>
        <row r="23">
          <cell r="B23" t="str">
            <v>Despesa com desconto de duplicatas</v>
          </cell>
        </row>
        <row r="24">
          <cell r="B24" t="str">
            <v>Despesa com Juros</v>
          </cell>
        </row>
        <row r="25">
          <cell r="B25" t="str">
            <v>Despesa com Representantes</v>
          </cell>
        </row>
        <row r="26">
          <cell r="B26" t="str">
            <v>Despesas Bancárias</v>
          </cell>
        </row>
        <row r="27">
          <cell r="B27" t="str">
            <v>Despesas com anúncios</v>
          </cell>
        </row>
        <row r="28">
          <cell r="B28" t="str">
            <v xml:space="preserve">Despesas com avarias e ou defeitos </v>
          </cell>
        </row>
        <row r="29">
          <cell r="B29" t="str">
            <v>Despesas com confraternizações</v>
          </cell>
        </row>
        <row r="30">
          <cell r="B30" t="str">
            <v>Despesas Diversas</v>
          </cell>
        </row>
        <row r="31">
          <cell r="B31" t="str">
            <v>Despesas Trabalhistas</v>
          </cell>
        </row>
        <row r="32">
          <cell r="B32" t="str">
            <v>Donativos</v>
          </cell>
        </row>
        <row r="33">
          <cell r="B33" t="str">
            <v>Estacionamento</v>
          </cell>
        </row>
        <row r="34">
          <cell r="B34" t="str">
            <v>Embalagens</v>
          </cell>
        </row>
        <row r="35">
          <cell r="B35" t="str">
            <v>Energia Elétrica</v>
          </cell>
        </row>
        <row r="36">
          <cell r="B36" t="str">
            <v>Exames e Medicamentos</v>
          </cell>
        </row>
        <row r="37">
          <cell r="B37" t="str">
            <v>Frete sob/ compras</v>
          </cell>
        </row>
        <row r="38">
          <cell r="B38" t="str">
            <v>Fretes e Carretos</v>
          </cell>
        </row>
        <row r="39">
          <cell r="B39" t="str">
            <v>Honorários Advocatícios</v>
          </cell>
        </row>
        <row r="40">
          <cell r="B40" t="str">
            <v>Honorários Contábeis</v>
          </cell>
        </row>
        <row r="41">
          <cell r="B41" t="str">
            <v>Hora Extra</v>
          </cell>
        </row>
        <row r="42">
          <cell r="B42" t="str">
            <v>Indenizações</v>
          </cell>
        </row>
        <row r="43">
          <cell r="B43" t="str">
            <v>Internet</v>
          </cell>
        </row>
        <row r="44">
          <cell r="B44" t="str">
            <v>IPTU</v>
          </cell>
        </row>
        <row r="45">
          <cell r="B45" t="str">
            <v>Limpeza e Conservação</v>
          </cell>
        </row>
        <row r="46">
          <cell r="B46" t="str">
            <v>Locação de Máquinas e Equipamentos</v>
          </cell>
        </row>
        <row r="47">
          <cell r="B47" t="str">
            <v>Manutenção</v>
          </cell>
        </row>
        <row r="48">
          <cell r="B48" t="str">
            <v>Manutenção de Veículos</v>
          </cell>
        </row>
        <row r="49">
          <cell r="B49" t="str">
            <v>Manutenção Predial</v>
          </cell>
        </row>
        <row r="50">
          <cell r="B50" t="str">
            <v>Marketing e Propaganda</v>
          </cell>
        </row>
        <row r="51">
          <cell r="B51" t="str">
            <v>Matéria Prima</v>
          </cell>
        </row>
        <row r="52">
          <cell r="B52" t="str">
            <v>Multas Fiscais</v>
          </cell>
        </row>
        <row r="53">
          <cell r="B53" t="str">
            <v>Premios e Gratificações</v>
          </cell>
        </row>
        <row r="54">
          <cell r="B54" t="str">
            <v>Revistas e Publicações</v>
          </cell>
        </row>
        <row r="55">
          <cell r="B55" t="str">
            <v>Planos de Saúde e Odontológico</v>
          </cell>
        </row>
        <row r="56">
          <cell r="B56" t="str">
            <v>Segurança e Vigilância</v>
          </cell>
        </row>
        <row r="57">
          <cell r="B57" t="str">
            <v>Seguros</v>
          </cell>
        </row>
        <row r="58">
          <cell r="B58" t="str">
            <v>Serviço Processamento de Dados</v>
          </cell>
        </row>
        <row r="59">
          <cell r="B59" t="str">
            <v>Serviços Prestados por pessoa física</v>
          </cell>
        </row>
        <row r="60">
          <cell r="B60" t="str">
            <v>Serviços prestados por pessoa jurídica</v>
          </cell>
        </row>
        <row r="61">
          <cell r="B61" t="str">
            <v>SIMPLES</v>
          </cell>
        </row>
        <row r="62">
          <cell r="B62" t="str">
            <v>Suprimento Operacional</v>
          </cell>
        </row>
        <row r="63">
          <cell r="B63" t="str">
            <v>Telefone</v>
          </cell>
        </row>
        <row r="64">
          <cell r="B64" t="str">
            <v>Uniformes e EPI</v>
          </cell>
        </row>
        <row r="65">
          <cell r="B65" t="str">
            <v>Vale Transporte</v>
          </cell>
        </row>
        <row r="66">
          <cell r="B66" t="str">
            <v>Viagens e Estadias</v>
          </cell>
        </row>
        <row r="67">
          <cell r="B67" t="str">
            <v>Impostos e Taxas</v>
          </cell>
        </row>
        <row r="68">
          <cell r="B68" t="str">
            <v>FGTS</v>
          </cell>
        </row>
        <row r="69">
          <cell r="B69" t="str">
            <v>INSS</v>
          </cell>
        </row>
        <row r="70">
          <cell r="B70" t="str">
            <v>BNDES</v>
          </cell>
        </row>
        <row r="71">
          <cell r="B71" t="str">
            <v>Material de Expediente</v>
          </cell>
        </row>
        <row r="72">
          <cell r="B72" t="str">
            <v>IRRF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DADOS"/>
      <sheetName val="PONTO DO COLABORADOR"/>
    </sheetNames>
    <sheetDataSet>
      <sheetData sheetId="0" refreshError="1"/>
      <sheetData sheetId="1">
        <row r="5">
          <cell r="C5">
            <v>43101</v>
          </cell>
          <cell r="D5" t="str">
            <v>Segunda</v>
          </cell>
          <cell r="E5" t="str">
            <v>Confraternização Universal</v>
          </cell>
        </row>
        <row r="6">
          <cell r="D6" t="str">
            <v/>
          </cell>
          <cell r="E6" t="str">
            <v>Carnaval</v>
          </cell>
        </row>
        <row r="7">
          <cell r="C7">
            <v>43211</v>
          </cell>
          <cell r="D7" t="str">
            <v>Sábado</v>
          </cell>
          <cell r="E7" t="str">
            <v>Tiradentes</v>
          </cell>
        </row>
        <row r="8">
          <cell r="C8">
            <v>43189</v>
          </cell>
          <cell r="D8" t="str">
            <v>Sexta</v>
          </cell>
          <cell r="E8" t="str">
            <v>Paixão de Cristo</v>
          </cell>
        </row>
        <row r="9">
          <cell r="C9">
            <v>43221</v>
          </cell>
          <cell r="D9" t="str">
            <v>Terça</v>
          </cell>
          <cell r="E9" t="str">
            <v>Dia do Trabalho</v>
          </cell>
        </row>
        <row r="10">
          <cell r="D10" t="str">
            <v/>
          </cell>
          <cell r="E10" t="str">
            <v>Corpus Christi</v>
          </cell>
        </row>
        <row r="11">
          <cell r="C11">
            <v>43350</v>
          </cell>
          <cell r="D11" t="str">
            <v>Sexta</v>
          </cell>
          <cell r="E11" t="str">
            <v>Independência do Brasil</v>
          </cell>
        </row>
        <row r="12">
          <cell r="C12">
            <v>43385</v>
          </cell>
          <cell r="D12" t="str">
            <v>Sexta</v>
          </cell>
          <cell r="E12" t="str">
            <v>Nossa Senhora Aparecida (Padroeira do Brasil)</v>
          </cell>
        </row>
        <row r="13">
          <cell r="C13">
            <v>43406</v>
          </cell>
          <cell r="D13" t="str">
            <v>Sexta</v>
          </cell>
          <cell r="E13" t="str">
            <v>Finados</v>
          </cell>
        </row>
        <row r="14">
          <cell r="C14">
            <v>43419</v>
          </cell>
          <cell r="D14" t="str">
            <v>Quinta</v>
          </cell>
          <cell r="E14" t="str">
            <v>Proclamação da República</v>
          </cell>
        </row>
        <row r="15">
          <cell r="C15">
            <v>43459</v>
          </cell>
          <cell r="D15" t="str">
            <v>Terça</v>
          </cell>
          <cell r="E15" t="str">
            <v>Natal</v>
          </cell>
        </row>
        <row r="16">
          <cell r="D16" t="str">
            <v/>
          </cell>
        </row>
        <row r="17">
          <cell r="D17" t="str">
            <v/>
          </cell>
        </row>
        <row r="18">
          <cell r="D18" t="str">
            <v/>
          </cell>
        </row>
        <row r="19">
          <cell r="D19" t="str">
            <v/>
          </cell>
        </row>
        <row r="20">
          <cell r="D20" t="str">
            <v/>
          </cell>
        </row>
      </sheetData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Custo com Funcionário"/>
    </sheetNames>
    <sheetDataSet>
      <sheetData sheetId="0" refreshError="1"/>
      <sheetData sheetId="1">
        <row r="5">
          <cell r="B5">
            <v>1000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esentação"/>
      <sheetName val="PROSPECTS"/>
      <sheetName val="listas"/>
    </sheetNames>
    <sheetDataSet>
      <sheetData sheetId="0" refreshError="1"/>
      <sheetData sheetId="1" refreshError="1"/>
      <sheetData sheetId="2">
        <row r="2">
          <cell r="A2" t="str">
            <v>1. Aguardando</v>
          </cell>
        </row>
        <row r="3">
          <cell r="A3" t="str">
            <v>2. Sondagem</v>
          </cell>
        </row>
        <row r="4">
          <cell r="A4" t="str">
            <v>3. Apresentação</v>
          </cell>
        </row>
        <row r="5">
          <cell r="A5" t="str">
            <v>4. Negociação</v>
          </cell>
        </row>
        <row r="6">
          <cell r="A6" t="str">
            <v>5. Vencemos</v>
          </cell>
        </row>
        <row r="7">
          <cell r="A7" t="str">
            <v>6. Perdemos</v>
          </cell>
        </row>
        <row r="8">
          <cell r="A8" t="str">
            <v>7. Abortamos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ela1" displayName="Tabela1" ref="C7:F17" totalsRowShown="0" headerRowDxfId="60" dataDxfId="59">
  <autoFilter ref="C7:F17"/>
  <tableColumns count="4">
    <tableColumn id="1" name="% conclusão" dataDxfId="58"/>
    <tableColumn id="2" name="Fase / Andamento" dataDxfId="57"/>
    <tableColumn id="3" name="Data de conclusão" dataDxfId="56"/>
    <tableColumn id="4" name="Anotações" dataDxfId="5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2" name="Tabela113" displayName="Tabela113" ref="C23:F33" totalsRowShown="0" headerRowDxfId="54" dataDxfId="53">
  <autoFilter ref="C23:F33"/>
  <tableColumns count="4">
    <tableColumn id="1" name="% conclusão" dataDxfId="52"/>
    <tableColumn id="2" name="Fase / Andamento" dataDxfId="51"/>
    <tableColumn id="3" name="Data de conclusão" dataDxfId="50"/>
    <tableColumn id="4" name="Anotações" dataDxfId="4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3" name="Tabela114" displayName="Tabela114" ref="C39:F49" totalsRowShown="0" headerRowDxfId="48" dataDxfId="47">
  <autoFilter ref="C39:F49"/>
  <tableColumns count="4">
    <tableColumn id="1" name="% conclusão" dataDxfId="46"/>
    <tableColumn id="2" name="Fase / Andamento" dataDxfId="45"/>
    <tableColumn id="3" name="Data de conclusão" dataDxfId="44"/>
    <tableColumn id="4" name="Anotações" dataDxfId="4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4" name="Tabela115" displayName="Tabela115" ref="C55:F65" totalsRowShown="0" headerRowDxfId="42" dataDxfId="41">
  <autoFilter ref="C55:F65"/>
  <tableColumns count="4">
    <tableColumn id="1" name="% conclusão" dataDxfId="40"/>
    <tableColumn id="2" name="Fase / Andamento" dataDxfId="39"/>
    <tableColumn id="3" name="Data de conclusão" dataDxfId="38"/>
    <tableColumn id="4" name="Anotações" dataDxfId="3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5" name="Tabela116" displayName="Tabela116" ref="C71:F81" totalsRowShown="0" headerRowDxfId="36" dataDxfId="35">
  <autoFilter ref="C71:F81"/>
  <tableColumns count="4">
    <tableColumn id="1" name="% conclusão" dataDxfId="34"/>
    <tableColumn id="2" name="Fase / Andamento" dataDxfId="33"/>
    <tableColumn id="3" name="Data de conclusão" dataDxfId="32"/>
    <tableColumn id="4" name="Anotações" dataDxfId="3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6" name="Tabela117" displayName="Tabela117" ref="C87:F97" totalsRowShown="0" headerRowDxfId="30" dataDxfId="29">
  <autoFilter ref="C87:F97"/>
  <tableColumns count="4">
    <tableColumn id="1" name="% conclusão" dataDxfId="28"/>
    <tableColumn id="2" name="Fase / Andamento" dataDxfId="27"/>
    <tableColumn id="3" name="Data de conclusão" dataDxfId="26"/>
    <tableColumn id="4" name="Anotações" dataDxfId="2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7" name="Tabela11718" displayName="Tabela11718" ref="C103:F113" totalsRowShown="0" headerRowDxfId="24" dataDxfId="23">
  <autoFilter ref="C103:F113"/>
  <tableColumns count="4">
    <tableColumn id="1" name="% conclusão" dataDxfId="22"/>
    <tableColumn id="2" name="Fase / Andamento" dataDxfId="21"/>
    <tableColumn id="3" name="Data de conclusão" dataDxfId="20"/>
    <tableColumn id="4" name="Anotações" dataDxfId="1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8" name="Tabela11719" displayName="Tabela11719" ref="C119:F129" totalsRowShown="0" headerRowDxfId="18" dataDxfId="17">
  <autoFilter ref="C119:F129"/>
  <tableColumns count="4">
    <tableColumn id="1" name="% conclusão" dataDxfId="16"/>
    <tableColumn id="2" name="Fase / Andamento" dataDxfId="15"/>
    <tableColumn id="3" name="Data de conclusão" dataDxfId="14"/>
    <tableColumn id="4" name="Anotações" dataDxfId="1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9" name="Tabela11720" displayName="Tabela11720" ref="C135:F145" totalsRowShown="0" headerRowDxfId="12" dataDxfId="11">
  <autoFilter ref="C135:F145"/>
  <tableColumns count="4">
    <tableColumn id="1" name="% conclusão" dataDxfId="10"/>
    <tableColumn id="2" name="Fase / Andamento" dataDxfId="9"/>
    <tableColumn id="3" name="Data de conclusão" dataDxfId="8"/>
    <tableColumn id="4" name="Anotações" dataDxfId="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20" name="Tabela11721" displayName="Tabela11721" ref="C151:F161" totalsRowShown="0" headerRowDxfId="6" dataDxfId="5">
  <autoFilter ref="C151:F161"/>
  <tableColumns count="4">
    <tableColumn id="1" name="% conclusão" dataDxfId="4"/>
    <tableColumn id="2" name="Fase / Andamento" dataDxfId="3"/>
    <tableColumn id="3" name="Data de conclusão" dataDxfId="2"/>
    <tableColumn id="4" name="Anotaçõ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E18"/>
  <sheetViews>
    <sheetView workbookViewId="0">
      <selection activeCell="Q11" sqref="Q11"/>
    </sheetView>
  </sheetViews>
  <sheetFormatPr defaultRowHeight="15" x14ac:dyDescent="0.25"/>
  <cols>
    <col min="1" max="1" width="12.7109375" customWidth="1"/>
    <col min="3" max="3" width="13.5703125" customWidth="1"/>
    <col min="5" max="5" width="17.42578125" bestFit="1" customWidth="1"/>
  </cols>
  <sheetData>
    <row r="2" spans="1:5" ht="33" customHeight="1" x14ac:dyDescent="0.25">
      <c r="A2" s="1" t="s">
        <v>3</v>
      </c>
      <c r="C2" t="s">
        <v>2</v>
      </c>
      <c r="D2" t="s">
        <v>5</v>
      </c>
      <c r="E2" t="s">
        <v>4</v>
      </c>
    </row>
    <row r="3" spans="1:5" x14ac:dyDescent="0.25">
      <c r="A3">
        <v>1</v>
      </c>
      <c r="C3" t="b">
        <v>1</v>
      </c>
      <c r="D3">
        <f t="shared" ref="D3:D17" si="0">IFERROR(C3*(E3/SUM($E$3:$E$17)),0)</f>
        <v>0.21897810218978103</v>
      </c>
      <c r="E3">
        <f>IFERROR(1/Gráfico!D12,0)</f>
        <v>1</v>
      </c>
    </row>
    <row r="4" spans="1:5" x14ac:dyDescent="0.25">
      <c r="A4">
        <v>2</v>
      </c>
      <c r="C4" t="b">
        <v>0</v>
      </c>
      <c r="D4">
        <f t="shared" si="0"/>
        <v>0</v>
      </c>
      <c r="E4">
        <f>IFERROR(1/Gráfico!D13,0)</f>
        <v>0.5</v>
      </c>
    </row>
    <row r="5" spans="1:5" x14ac:dyDescent="0.25">
      <c r="A5">
        <v>3</v>
      </c>
      <c r="C5" t="b">
        <v>1</v>
      </c>
      <c r="D5">
        <f t="shared" si="0"/>
        <v>7.2992700729927001E-2</v>
      </c>
      <c r="E5">
        <f>IFERROR(1/Gráfico!D14,0)</f>
        <v>0.33333333333333331</v>
      </c>
    </row>
    <row r="6" spans="1:5" x14ac:dyDescent="0.25">
      <c r="A6">
        <v>4</v>
      </c>
      <c r="C6" t="b">
        <v>0</v>
      </c>
      <c r="D6">
        <f t="shared" si="0"/>
        <v>0</v>
      </c>
      <c r="E6">
        <f>IFERROR(1/Gráfico!D15,0)</f>
        <v>0.25</v>
      </c>
    </row>
    <row r="7" spans="1:5" x14ac:dyDescent="0.25">
      <c r="A7">
        <v>5</v>
      </c>
      <c r="C7" t="b">
        <v>1</v>
      </c>
      <c r="D7">
        <f t="shared" si="0"/>
        <v>4.3795620437956206E-2</v>
      </c>
      <c r="E7">
        <f>IFERROR(1/Gráfico!D16,0)</f>
        <v>0.2</v>
      </c>
    </row>
    <row r="8" spans="1:5" x14ac:dyDescent="0.25">
      <c r="C8" t="b">
        <v>0</v>
      </c>
      <c r="D8">
        <f t="shared" si="0"/>
        <v>0</v>
      </c>
      <c r="E8">
        <f>IFERROR(1/Gráfico!D17,0)</f>
        <v>1</v>
      </c>
    </row>
    <row r="9" spans="1:5" x14ac:dyDescent="0.25">
      <c r="C9" t="b">
        <v>1</v>
      </c>
      <c r="D9">
        <f t="shared" si="0"/>
        <v>0.10948905109489052</v>
      </c>
      <c r="E9">
        <f>IFERROR(1/Gráfico!D18,0)</f>
        <v>0.5</v>
      </c>
    </row>
    <row r="10" spans="1:5" x14ac:dyDescent="0.25">
      <c r="C10" t="b">
        <v>0</v>
      </c>
      <c r="D10">
        <f t="shared" si="0"/>
        <v>0</v>
      </c>
      <c r="E10">
        <f>IFERROR(1/Gráfico!D19,0)</f>
        <v>0.33333333333333331</v>
      </c>
    </row>
    <row r="11" spans="1:5" x14ac:dyDescent="0.25">
      <c r="C11" t="b">
        <v>1</v>
      </c>
      <c r="D11">
        <f t="shared" si="0"/>
        <v>5.4744525547445258E-2</v>
      </c>
      <c r="E11">
        <f>IFERROR(1/Gráfico!D20,0)</f>
        <v>0.25</v>
      </c>
    </row>
    <row r="12" spans="1:5" x14ac:dyDescent="0.25">
      <c r="C12" t="b">
        <v>0</v>
      </c>
      <c r="D12">
        <f t="shared" si="0"/>
        <v>0</v>
      </c>
      <c r="E12">
        <f>IFERROR(1/Gráfico!D21,0)</f>
        <v>0.2</v>
      </c>
    </row>
    <row r="13" spans="1:5" x14ac:dyDescent="0.25">
      <c r="C13" t="b">
        <v>0</v>
      </c>
      <c r="D13">
        <f t="shared" si="0"/>
        <v>0</v>
      </c>
      <c r="E13">
        <f>IFERROR(1/Gráfico!#REF!,0)</f>
        <v>0</v>
      </c>
    </row>
    <row r="14" spans="1:5" x14ac:dyDescent="0.25">
      <c r="C14" t="b">
        <v>0</v>
      </c>
      <c r="D14">
        <f t="shared" si="0"/>
        <v>0</v>
      </c>
      <c r="E14">
        <f>IFERROR(1/Gráfico!#REF!,0)</f>
        <v>0</v>
      </c>
    </row>
    <row r="15" spans="1:5" x14ac:dyDescent="0.25">
      <c r="C15" t="b">
        <v>0</v>
      </c>
      <c r="D15">
        <f t="shared" si="0"/>
        <v>0</v>
      </c>
      <c r="E15">
        <f>IFERROR(1/Gráfico!#REF!,0)</f>
        <v>0</v>
      </c>
    </row>
    <row r="16" spans="1:5" x14ac:dyDescent="0.25">
      <c r="C16" t="b">
        <v>0</v>
      </c>
      <c r="D16">
        <f t="shared" si="0"/>
        <v>0</v>
      </c>
      <c r="E16">
        <f>IFERROR(1/Gráfico!#REF!,0)</f>
        <v>0</v>
      </c>
    </row>
    <row r="17" spans="3:5" x14ac:dyDescent="0.25">
      <c r="C17" t="b">
        <v>0</v>
      </c>
      <c r="D17">
        <f t="shared" si="0"/>
        <v>0</v>
      </c>
      <c r="E17">
        <f>IFERROR(1/Gráfico!#REF!,0)</f>
        <v>0</v>
      </c>
    </row>
    <row r="18" spans="3:5" x14ac:dyDescent="0.25">
      <c r="D18" s="2">
        <f>SUM(D3:D17)</f>
        <v>0.5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G161"/>
  <sheetViews>
    <sheetView showGridLines="0" tabSelected="1" topLeftCell="A124" workbookViewId="0">
      <selection activeCell="A4" sqref="A4"/>
    </sheetView>
  </sheetViews>
  <sheetFormatPr defaultColWidth="0" defaultRowHeight="15" x14ac:dyDescent="0.25"/>
  <cols>
    <col min="1" max="1" width="27.5703125" style="47" customWidth="1"/>
    <col min="2" max="2" width="3.7109375" style="12" customWidth="1"/>
    <col min="3" max="3" width="14" style="12" customWidth="1"/>
    <col min="4" max="4" width="35.7109375" style="12" bestFit="1" customWidth="1"/>
    <col min="5" max="5" width="19.5703125" style="12" customWidth="1"/>
    <col min="6" max="6" width="41.85546875" style="12" customWidth="1"/>
    <col min="7" max="7" width="10.28515625" style="12" customWidth="1"/>
    <col min="8" max="16384" width="10.28515625" style="12" hidden="1"/>
  </cols>
  <sheetData>
    <row r="1" spans="3:7" ht="6.75" customHeight="1" x14ac:dyDescent="0.25"/>
    <row r="2" spans="3:7" ht="36" customHeight="1" x14ac:dyDescent="0.25">
      <c r="C2" s="56" t="s">
        <v>30</v>
      </c>
      <c r="D2" s="56"/>
      <c r="E2" s="56"/>
      <c r="F2" s="56"/>
    </row>
    <row r="3" spans="3:7" x14ac:dyDescent="0.25">
      <c r="C3" s="13"/>
      <c r="D3" s="13"/>
      <c r="E3" s="13"/>
      <c r="F3" s="13"/>
    </row>
    <row r="4" spans="3:7" ht="18" customHeight="1" x14ac:dyDescent="0.25">
      <c r="C4" s="51" t="s">
        <v>12</v>
      </c>
      <c r="D4" s="52"/>
      <c r="E4" s="52"/>
      <c r="F4" s="53"/>
    </row>
    <row r="5" spans="3:7" ht="15" customHeight="1" x14ac:dyDescent="0.25">
      <c r="C5" s="54" t="s">
        <v>31</v>
      </c>
      <c r="D5" s="55"/>
      <c r="E5" s="54" t="s">
        <v>32</v>
      </c>
      <c r="F5" s="55"/>
    </row>
    <row r="6" spans="3:7" x14ac:dyDescent="0.25">
      <c r="C6" s="48"/>
      <c r="D6" s="49"/>
      <c r="E6" s="50"/>
      <c r="F6" s="50"/>
      <c r="G6" s="32"/>
    </row>
    <row r="7" spans="3:7" x14ac:dyDescent="0.25">
      <c r="C7" s="45" t="s">
        <v>33</v>
      </c>
      <c r="D7" s="45" t="s">
        <v>34</v>
      </c>
      <c r="E7" s="45" t="s">
        <v>7</v>
      </c>
      <c r="F7" s="46" t="s">
        <v>8</v>
      </c>
    </row>
    <row r="8" spans="3:7" x14ac:dyDescent="0.25">
      <c r="C8" s="33">
        <v>10</v>
      </c>
      <c r="D8" s="41" t="s">
        <v>35</v>
      </c>
      <c r="E8" s="34">
        <v>36892</v>
      </c>
      <c r="F8" s="35"/>
    </row>
    <row r="9" spans="3:7" x14ac:dyDescent="0.25">
      <c r="C9" s="36">
        <v>20</v>
      </c>
      <c r="D9" s="41" t="s">
        <v>35</v>
      </c>
      <c r="E9" s="34">
        <v>36893</v>
      </c>
      <c r="F9" s="37"/>
    </row>
    <row r="10" spans="3:7" x14ac:dyDescent="0.25">
      <c r="C10" s="36">
        <v>30</v>
      </c>
      <c r="D10" s="41" t="s">
        <v>35</v>
      </c>
      <c r="E10" s="34">
        <v>36894</v>
      </c>
      <c r="F10" s="37"/>
    </row>
    <row r="11" spans="3:7" x14ac:dyDescent="0.25">
      <c r="C11" s="36">
        <v>40</v>
      </c>
      <c r="D11" s="41" t="s">
        <v>35</v>
      </c>
      <c r="E11" s="34">
        <v>36895</v>
      </c>
      <c r="F11" s="37"/>
    </row>
    <row r="12" spans="3:7" x14ac:dyDescent="0.25">
      <c r="C12" s="36">
        <v>50</v>
      </c>
      <c r="D12" s="41" t="s">
        <v>35</v>
      </c>
      <c r="E12" s="34">
        <v>36896</v>
      </c>
      <c r="F12" s="37"/>
    </row>
    <row r="13" spans="3:7" x14ac:dyDescent="0.25">
      <c r="C13" s="36">
        <v>60</v>
      </c>
      <c r="D13" s="41" t="s">
        <v>35</v>
      </c>
      <c r="E13" s="34">
        <v>36897</v>
      </c>
      <c r="F13" s="37"/>
    </row>
    <row r="14" spans="3:7" x14ac:dyDescent="0.25">
      <c r="C14" s="36">
        <v>70</v>
      </c>
      <c r="D14" s="41" t="s">
        <v>35</v>
      </c>
      <c r="E14" s="34">
        <v>36898</v>
      </c>
      <c r="F14" s="37"/>
    </row>
    <row r="15" spans="3:7" x14ac:dyDescent="0.25">
      <c r="C15" s="36">
        <v>80</v>
      </c>
      <c r="D15" s="41" t="s">
        <v>35</v>
      </c>
      <c r="E15" s="34">
        <v>36899</v>
      </c>
      <c r="F15" s="40"/>
    </row>
    <row r="16" spans="3:7" x14ac:dyDescent="0.25">
      <c r="C16" s="36">
        <v>90</v>
      </c>
      <c r="D16" s="41" t="s">
        <v>35</v>
      </c>
      <c r="E16" s="34">
        <v>36900</v>
      </c>
      <c r="F16" s="37"/>
    </row>
    <row r="17" spans="3:6" x14ac:dyDescent="0.25">
      <c r="C17" s="38">
        <v>100</v>
      </c>
      <c r="D17" s="41" t="s">
        <v>35</v>
      </c>
      <c r="E17" s="34">
        <v>36901</v>
      </c>
      <c r="F17" s="39"/>
    </row>
    <row r="18" spans="3:6" x14ac:dyDescent="0.25">
      <c r="C18" s="14"/>
      <c r="D18" s="15"/>
      <c r="E18" s="16"/>
      <c r="F18" s="15"/>
    </row>
    <row r="20" spans="3:6" ht="15.75" x14ac:dyDescent="0.25">
      <c r="C20" s="51" t="s">
        <v>13</v>
      </c>
      <c r="D20" s="52"/>
      <c r="E20" s="52"/>
      <c r="F20" s="53"/>
    </row>
    <row r="21" spans="3:6" x14ac:dyDescent="0.25">
      <c r="C21" s="54" t="s">
        <v>31</v>
      </c>
      <c r="D21" s="55"/>
      <c r="E21" s="54" t="s">
        <v>32</v>
      </c>
      <c r="F21" s="55"/>
    </row>
    <row r="22" spans="3:6" x14ac:dyDescent="0.25">
      <c r="C22" s="48"/>
      <c r="D22" s="49"/>
      <c r="E22" s="50"/>
      <c r="F22" s="50"/>
    </row>
    <row r="23" spans="3:6" x14ac:dyDescent="0.25">
      <c r="C23" s="45" t="s">
        <v>33</v>
      </c>
      <c r="D23" s="45" t="s">
        <v>34</v>
      </c>
      <c r="E23" s="45" t="s">
        <v>7</v>
      </c>
      <c r="F23" s="46" t="s">
        <v>8</v>
      </c>
    </row>
    <row r="24" spans="3:6" x14ac:dyDescent="0.25">
      <c r="C24" s="33">
        <v>10</v>
      </c>
      <c r="D24" s="41" t="s">
        <v>35</v>
      </c>
      <c r="E24" s="34">
        <v>36892</v>
      </c>
      <c r="F24" s="35"/>
    </row>
    <row r="25" spans="3:6" x14ac:dyDescent="0.25">
      <c r="C25" s="36">
        <v>20</v>
      </c>
      <c r="D25" s="41" t="s">
        <v>35</v>
      </c>
      <c r="E25" s="34">
        <v>36893</v>
      </c>
      <c r="F25" s="37"/>
    </row>
    <row r="26" spans="3:6" x14ac:dyDescent="0.25">
      <c r="C26" s="36">
        <v>30</v>
      </c>
      <c r="D26" s="41" t="s">
        <v>35</v>
      </c>
      <c r="E26" s="34">
        <v>36894</v>
      </c>
      <c r="F26" s="37"/>
    </row>
    <row r="27" spans="3:6" x14ac:dyDescent="0.25">
      <c r="C27" s="36">
        <v>40</v>
      </c>
      <c r="D27" s="41" t="s">
        <v>35</v>
      </c>
      <c r="E27" s="34">
        <v>36895</v>
      </c>
      <c r="F27" s="37"/>
    </row>
    <row r="28" spans="3:6" x14ac:dyDescent="0.25">
      <c r="C28" s="36">
        <v>50</v>
      </c>
      <c r="D28" s="41" t="s">
        <v>35</v>
      </c>
      <c r="E28" s="34">
        <v>36896</v>
      </c>
      <c r="F28" s="37"/>
    </row>
    <row r="29" spans="3:6" x14ac:dyDescent="0.25">
      <c r="C29" s="36">
        <v>60</v>
      </c>
      <c r="D29" s="41" t="s">
        <v>35</v>
      </c>
      <c r="E29" s="34">
        <v>36897</v>
      </c>
      <c r="F29" s="37"/>
    </row>
    <row r="30" spans="3:6" x14ac:dyDescent="0.25">
      <c r="C30" s="36">
        <v>70</v>
      </c>
      <c r="D30" s="41" t="s">
        <v>35</v>
      </c>
      <c r="E30" s="34">
        <v>36898</v>
      </c>
      <c r="F30" s="37"/>
    </row>
    <row r="31" spans="3:6" x14ac:dyDescent="0.25">
      <c r="C31" s="36">
        <v>80</v>
      </c>
      <c r="D31" s="41" t="s">
        <v>35</v>
      </c>
      <c r="E31" s="34">
        <v>36899</v>
      </c>
      <c r="F31" s="40"/>
    </row>
    <row r="32" spans="3:6" x14ac:dyDescent="0.25">
      <c r="C32" s="36">
        <v>90</v>
      </c>
      <c r="D32" s="41" t="s">
        <v>35</v>
      </c>
      <c r="E32" s="34">
        <v>36900</v>
      </c>
      <c r="F32" s="37"/>
    </row>
    <row r="33" spans="3:6" x14ac:dyDescent="0.25">
      <c r="C33" s="38">
        <v>100</v>
      </c>
      <c r="D33" s="41" t="s">
        <v>35</v>
      </c>
      <c r="E33" s="34">
        <v>36901</v>
      </c>
      <c r="F33" s="39"/>
    </row>
    <row r="36" spans="3:6" ht="15.75" x14ac:dyDescent="0.25">
      <c r="C36" s="51" t="s">
        <v>14</v>
      </c>
      <c r="D36" s="52"/>
      <c r="E36" s="52"/>
      <c r="F36" s="53"/>
    </row>
    <row r="37" spans="3:6" x14ac:dyDescent="0.25">
      <c r="C37" s="54" t="s">
        <v>31</v>
      </c>
      <c r="D37" s="55"/>
      <c r="E37" s="54" t="s">
        <v>32</v>
      </c>
      <c r="F37" s="55"/>
    </row>
    <row r="38" spans="3:6" x14ac:dyDescent="0.25">
      <c r="C38" s="48"/>
      <c r="D38" s="49"/>
      <c r="E38" s="50"/>
      <c r="F38" s="50"/>
    </row>
    <row r="39" spans="3:6" x14ac:dyDescent="0.25">
      <c r="C39" s="45" t="s">
        <v>33</v>
      </c>
      <c r="D39" s="45" t="s">
        <v>34</v>
      </c>
      <c r="E39" s="45" t="s">
        <v>7</v>
      </c>
      <c r="F39" s="46" t="s">
        <v>8</v>
      </c>
    </row>
    <row r="40" spans="3:6" x14ac:dyDescent="0.25">
      <c r="C40" s="33">
        <v>10</v>
      </c>
      <c r="D40" s="41" t="s">
        <v>35</v>
      </c>
      <c r="E40" s="34">
        <v>36892</v>
      </c>
      <c r="F40" s="35"/>
    </row>
    <row r="41" spans="3:6" x14ac:dyDescent="0.25">
      <c r="C41" s="36">
        <v>20</v>
      </c>
      <c r="D41" s="41" t="s">
        <v>35</v>
      </c>
      <c r="E41" s="34">
        <v>36893</v>
      </c>
      <c r="F41" s="37"/>
    </row>
    <row r="42" spans="3:6" x14ac:dyDescent="0.25">
      <c r="C42" s="36">
        <v>30</v>
      </c>
      <c r="D42" s="41" t="s">
        <v>35</v>
      </c>
      <c r="E42" s="34">
        <v>36894</v>
      </c>
      <c r="F42" s="37"/>
    </row>
    <row r="43" spans="3:6" x14ac:dyDescent="0.25">
      <c r="C43" s="36">
        <v>40</v>
      </c>
      <c r="D43" s="41" t="s">
        <v>35</v>
      </c>
      <c r="E43" s="34">
        <v>36895</v>
      </c>
      <c r="F43" s="37"/>
    </row>
    <row r="44" spans="3:6" x14ac:dyDescent="0.25">
      <c r="C44" s="36">
        <v>50</v>
      </c>
      <c r="D44" s="41" t="s">
        <v>35</v>
      </c>
      <c r="E44" s="34">
        <v>36896</v>
      </c>
      <c r="F44" s="37"/>
    </row>
    <row r="45" spans="3:6" x14ac:dyDescent="0.25">
      <c r="C45" s="36">
        <v>60</v>
      </c>
      <c r="D45" s="41" t="s">
        <v>35</v>
      </c>
      <c r="E45" s="34">
        <v>36897</v>
      </c>
      <c r="F45" s="37"/>
    </row>
    <row r="46" spans="3:6" x14ac:dyDescent="0.25">
      <c r="C46" s="36">
        <v>70</v>
      </c>
      <c r="D46" s="41" t="s">
        <v>35</v>
      </c>
      <c r="E46" s="34">
        <v>36898</v>
      </c>
      <c r="F46" s="37"/>
    </row>
    <row r="47" spans="3:6" x14ac:dyDescent="0.25">
      <c r="C47" s="36">
        <v>80</v>
      </c>
      <c r="D47" s="41" t="s">
        <v>35</v>
      </c>
      <c r="E47" s="34">
        <v>36899</v>
      </c>
      <c r="F47" s="40"/>
    </row>
    <row r="48" spans="3:6" x14ac:dyDescent="0.25">
      <c r="C48" s="36">
        <v>90</v>
      </c>
      <c r="D48" s="41" t="s">
        <v>35</v>
      </c>
      <c r="E48" s="34">
        <v>36900</v>
      </c>
      <c r="F48" s="37"/>
    </row>
    <row r="49" spans="3:6" x14ac:dyDescent="0.25">
      <c r="C49" s="38">
        <v>100</v>
      </c>
      <c r="D49" s="41" t="s">
        <v>35</v>
      </c>
      <c r="E49" s="34">
        <v>36901</v>
      </c>
      <c r="F49" s="39"/>
    </row>
    <row r="52" spans="3:6" ht="15.75" x14ac:dyDescent="0.25">
      <c r="C52" s="51" t="s">
        <v>15</v>
      </c>
      <c r="D52" s="52"/>
      <c r="E52" s="52"/>
      <c r="F52" s="53"/>
    </row>
    <row r="53" spans="3:6" x14ac:dyDescent="0.25">
      <c r="C53" s="54" t="s">
        <v>31</v>
      </c>
      <c r="D53" s="55"/>
      <c r="E53" s="54" t="s">
        <v>32</v>
      </c>
      <c r="F53" s="55"/>
    </row>
    <row r="54" spans="3:6" x14ac:dyDescent="0.25">
      <c r="C54" s="48"/>
      <c r="D54" s="49"/>
      <c r="E54" s="50"/>
      <c r="F54" s="50"/>
    </row>
    <row r="55" spans="3:6" x14ac:dyDescent="0.25">
      <c r="C55" s="45" t="s">
        <v>33</v>
      </c>
      <c r="D55" s="45" t="s">
        <v>34</v>
      </c>
      <c r="E55" s="45" t="s">
        <v>7</v>
      </c>
      <c r="F55" s="46" t="s">
        <v>8</v>
      </c>
    </row>
    <row r="56" spans="3:6" x14ac:dyDescent="0.25">
      <c r="C56" s="33">
        <v>10</v>
      </c>
      <c r="D56" s="41" t="s">
        <v>35</v>
      </c>
      <c r="E56" s="34">
        <v>36892</v>
      </c>
      <c r="F56" s="35"/>
    </row>
    <row r="57" spans="3:6" x14ac:dyDescent="0.25">
      <c r="C57" s="36">
        <v>20</v>
      </c>
      <c r="D57" s="41" t="s">
        <v>35</v>
      </c>
      <c r="E57" s="34">
        <v>36893</v>
      </c>
      <c r="F57" s="37"/>
    </row>
    <row r="58" spans="3:6" x14ac:dyDescent="0.25">
      <c r="C58" s="36">
        <v>30</v>
      </c>
      <c r="D58" s="41" t="s">
        <v>35</v>
      </c>
      <c r="E58" s="34">
        <v>36894</v>
      </c>
      <c r="F58" s="37"/>
    </row>
    <row r="59" spans="3:6" x14ac:dyDescent="0.25">
      <c r="C59" s="36">
        <v>40</v>
      </c>
      <c r="D59" s="41" t="s">
        <v>35</v>
      </c>
      <c r="E59" s="34">
        <v>36895</v>
      </c>
      <c r="F59" s="37"/>
    </row>
    <row r="60" spans="3:6" x14ac:dyDescent="0.25">
      <c r="C60" s="36">
        <v>50</v>
      </c>
      <c r="D60" s="41" t="s">
        <v>35</v>
      </c>
      <c r="E60" s="34">
        <v>36896</v>
      </c>
      <c r="F60" s="37"/>
    </row>
    <row r="61" spans="3:6" x14ac:dyDescent="0.25">
      <c r="C61" s="36">
        <v>60</v>
      </c>
      <c r="D61" s="41" t="s">
        <v>35</v>
      </c>
      <c r="E61" s="34">
        <v>36897</v>
      </c>
      <c r="F61" s="37"/>
    </row>
    <row r="62" spans="3:6" x14ac:dyDescent="0.25">
      <c r="C62" s="36">
        <v>70</v>
      </c>
      <c r="D62" s="41" t="s">
        <v>35</v>
      </c>
      <c r="E62" s="34">
        <v>36898</v>
      </c>
      <c r="F62" s="37"/>
    </row>
    <row r="63" spans="3:6" x14ac:dyDescent="0.25">
      <c r="C63" s="36">
        <v>80</v>
      </c>
      <c r="D63" s="41" t="s">
        <v>35</v>
      </c>
      <c r="E63" s="34">
        <v>36899</v>
      </c>
      <c r="F63" s="40"/>
    </row>
    <row r="64" spans="3:6" x14ac:dyDescent="0.25">
      <c r="C64" s="36">
        <v>90</v>
      </c>
      <c r="D64" s="41" t="s">
        <v>35</v>
      </c>
      <c r="E64" s="34">
        <v>36900</v>
      </c>
      <c r="F64" s="37"/>
    </row>
    <row r="65" spans="3:6" x14ac:dyDescent="0.25">
      <c r="C65" s="38">
        <v>100</v>
      </c>
      <c r="D65" s="41" t="s">
        <v>35</v>
      </c>
      <c r="E65" s="34">
        <v>36901</v>
      </c>
      <c r="F65" s="39"/>
    </row>
    <row r="68" spans="3:6" ht="15.75" x14ac:dyDescent="0.25">
      <c r="C68" s="51" t="s">
        <v>16</v>
      </c>
      <c r="D68" s="52"/>
      <c r="E68" s="52"/>
      <c r="F68" s="53"/>
    </row>
    <row r="69" spans="3:6" x14ac:dyDescent="0.25">
      <c r="C69" s="54" t="s">
        <v>31</v>
      </c>
      <c r="D69" s="55"/>
      <c r="E69" s="54" t="s">
        <v>32</v>
      </c>
      <c r="F69" s="55"/>
    </row>
    <row r="70" spans="3:6" x14ac:dyDescent="0.25">
      <c r="C70" s="48"/>
      <c r="D70" s="49"/>
      <c r="E70" s="50"/>
      <c r="F70" s="50"/>
    </row>
    <row r="71" spans="3:6" x14ac:dyDescent="0.25">
      <c r="C71" s="45" t="s">
        <v>33</v>
      </c>
      <c r="D71" s="45" t="s">
        <v>34</v>
      </c>
      <c r="E71" s="45" t="s">
        <v>7</v>
      </c>
      <c r="F71" s="46" t="s">
        <v>8</v>
      </c>
    </row>
    <row r="72" spans="3:6" x14ac:dyDescent="0.25">
      <c r="C72" s="33">
        <v>10</v>
      </c>
      <c r="D72" s="41" t="s">
        <v>35</v>
      </c>
      <c r="E72" s="34">
        <v>36892</v>
      </c>
      <c r="F72" s="35"/>
    </row>
    <row r="73" spans="3:6" x14ac:dyDescent="0.25">
      <c r="C73" s="36">
        <v>20</v>
      </c>
      <c r="D73" s="41" t="s">
        <v>35</v>
      </c>
      <c r="E73" s="34">
        <v>36893</v>
      </c>
      <c r="F73" s="37"/>
    </row>
    <row r="74" spans="3:6" x14ac:dyDescent="0.25">
      <c r="C74" s="36">
        <v>30</v>
      </c>
      <c r="D74" s="41" t="s">
        <v>35</v>
      </c>
      <c r="E74" s="34">
        <v>36894</v>
      </c>
      <c r="F74" s="37"/>
    </row>
    <row r="75" spans="3:6" x14ac:dyDescent="0.25">
      <c r="C75" s="36">
        <v>40</v>
      </c>
      <c r="D75" s="41" t="s">
        <v>35</v>
      </c>
      <c r="E75" s="34">
        <v>36895</v>
      </c>
      <c r="F75" s="37"/>
    </row>
    <row r="76" spans="3:6" x14ac:dyDescent="0.25">
      <c r="C76" s="36">
        <v>50</v>
      </c>
      <c r="D76" s="41" t="s">
        <v>35</v>
      </c>
      <c r="E76" s="34">
        <v>36896</v>
      </c>
      <c r="F76" s="37"/>
    </row>
    <row r="77" spans="3:6" x14ac:dyDescent="0.25">
      <c r="C77" s="36">
        <v>60</v>
      </c>
      <c r="D77" s="41" t="s">
        <v>35</v>
      </c>
      <c r="E77" s="34">
        <v>36897</v>
      </c>
      <c r="F77" s="37"/>
    </row>
    <row r="78" spans="3:6" x14ac:dyDescent="0.25">
      <c r="C78" s="36">
        <v>70</v>
      </c>
      <c r="D78" s="41" t="s">
        <v>35</v>
      </c>
      <c r="E78" s="34">
        <v>36898</v>
      </c>
      <c r="F78" s="37"/>
    </row>
    <row r="79" spans="3:6" x14ac:dyDescent="0.25">
      <c r="C79" s="36">
        <v>80</v>
      </c>
      <c r="D79" s="41" t="s">
        <v>35</v>
      </c>
      <c r="E79" s="34">
        <v>36899</v>
      </c>
      <c r="F79" s="40"/>
    </row>
    <row r="80" spans="3:6" x14ac:dyDescent="0.25">
      <c r="C80" s="36">
        <v>90</v>
      </c>
      <c r="D80" s="41" t="s">
        <v>35</v>
      </c>
      <c r="E80" s="34">
        <v>36900</v>
      </c>
      <c r="F80" s="37"/>
    </row>
    <row r="81" spans="3:6" x14ac:dyDescent="0.25">
      <c r="C81" s="38">
        <v>100</v>
      </c>
      <c r="D81" s="41" t="s">
        <v>35</v>
      </c>
      <c r="E81" s="34">
        <v>36901</v>
      </c>
      <c r="F81" s="39"/>
    </row>
    <row r="84" spans="3:6" ht="15.75" x14ac:dyDescent="0.25">
      <c r="C84" s="51" t="s">
        <v>17</v>
      </c>
      <c r="D84" s="52"/>
      <c r="E84" s="52"/>
      <c r="F84" s="53"/>
    </row>
    <row r="85" spans="3:6" x14ac:dyDescent="0.25">
      <c r="C85" s="54" t="s">
        <v>31</v>
      </c>
      <c r="D85" s="55"/>
      <c r="E85" s="54" t="s">
        <v>32</v>
      </c>
      <c r="F85" s="55"/>
    </row>
    <row r="86" spans="3:6" x14ac:dyDescent="0.25">
      <c r="C86" s="48"/>
      <c r="D86" s="49"/>
      <c r="E86" s="50"/>
      <c r="F86" s="50"/>
    </row>
    <row r="87" spans="3:6" x14ac:dyDescent="0.25">
      <c r="C87" s="45" t="s">
        <v>33</v>
      </c>
      <c r="D87" s="45" t="s">
        <v>34</v>
      </c>
      <c r="E87" s="45" t="s">
        <v>7</v>
      </c>
      <c r="F87" s="46" t="s">
        <v>8</v>
      </c>
    </row>
    <row r="88" spans="3:6" x14ac:dyDescent="0.25">
      <c r="C88" s="33">
        <v>10</v>
      </c>
      <c r="D88" s="41" t="s">
        <v>35</v>
      </c>
      <c r="E88" s="34">
        <v>36892</v>
      </c>
      <c r="F88" s="35"/>
    </row>
    <row r="89" spans="3:6" x14ac:dyDescent="0.25">
      <c r="C89" s="36">
        <v>20</v>
      </c>
      <c r="D89" s="41" t="s">
        <v>35</v>
      </c>
      <c r="E89" s="34">
        <v>36893</v>
      </c>
      <c r="F89" s="37"/>
    </row>
    <row r="90" spans="3:6" x14ac:dyDescent="0.25">
      <c r="C90" s="36">
        <v>30</v>
      </c>
      <c r="D90" s="41" t="s">
        <v>35</v>
      </c>
      <c r="E90" s="34">
        <v>36894</v>
      </c>
      <c r="F90" s="37"/>
    </row>
    <row r="91" spans="3:6" x14ac:dyDescent="0.25">
      <c r="C91" s="36">
        <v>40</v>
      </c>
      <c r="D91" s="41" t="s">
        <v>35</v>
      </c>
      <c r="E91" s="34">
        <v>36895</v>
      </c>
      <c r="F91" s="37"/>
    </row>
    <row r="92" spans="3:6" x14ac:dyDescent="0.25">
      <c r="C92" s="36">
        <v>50</v>
      </c>
      <c r="D92" s="41" t="s">
        <v>35</v>
      </c>
      <c r="E92" s="34">
        <v>36896</v>
      </c>
      <c r="F92" s="37"/>
    </row>
    <row r="93" spans="3:6" x14ac:dyDescent="0.25">
      <c r="C93" s="36">
        <v>60</v>
      </c>
      <c r="D93" s="41" t="s">
        <v>35</v>
      </c>
      <c r="E93" s="34">
        <v>36897</v>
      </c>
      <c r="F93" s="37"/>
    </row>
    <row r="94" spans="3:6" x14ac:dyDescent="0.25">
      <c r="C94" s="36">
        <v>70</v>
      </c>
      <c r="D94" s="41" t="s">
        <v>35</v>
      </c>
      <c r="E94" s="34">
        <v>36898</v>
      </c>
      <c r="F94" s="37"/>
    </row>
    <row r="95" spans="3:6" x14ac:dyDescent="0.25">
      <c r="C95" s="36">
        <v>80</v>
      </c>
      <c r="D95" s="41" t="s">
        <v>35</v>
      </c>
      <c r="E95" s="34">
        <v>36899</v>
      </c>
      <c r="F95" s="40"/>
    </row>
    <row r="96" spans="3:6" x14ac:dyDescent="0.25">
      <c r="C96" s="36">
        <v>90</v>
      </c>
      <c r="D96" s="41" t="s">
        <v>35</v>
      </c>
      <c r="E96" s="34">
        <v>36900</v>
      </c>
      <c r="F96" s="37"/>
    </row>
    <row r="97" spans="3:6" x14ac:dyDescent="0.25">
      <c r="C97" s="38">
        <v>100</v>
      </c>
      <c r="D97" s="41" t="s">
        <v>35</v>
      </c>
      <c r="E97" s="34">
        <v>36901</v>
      </c>
      <c r="F97" s="39"/>
    </row>
    <row r="100" spans="3:6" ht="15.75" x14ac:dyDescent="0.25">
      <c r="C100" s="51" t="s">
        <v>18</v>
      </c>
      <c r="D100" s="52"/>
      <c r="E100" s="52"/>
      <c r="F100" s="53"/>
    </row>
    <row r="101" spans="3:6" x14ac:dyDescent="0.25">
      <c r="C101" s="54" t="s">
        <v>31</v>
      </c>
      <c r="D101" s="55"/>
      <c r="E101" s="54" t="s">
        <v>32</v>
      </c>
      <c r="F101" s="55"/>
    </row>
    <row r="102" spans="3:6" x14ac:dyDescent="0.25">
      <c r="C102" s="48"/>
      <c r="D102" s="49"/>
      <c r="E102" s="50"/>
      <c r="F102" s="50"/>
    </row>
    <row r="103" spans="3:6" x14ac:dyDescent="0.25">
      <c r="C103" s="45" t="s">
        <v>33</v>
      </c>
      <c r="D103" s="45" t="s">
        <v>34</v>
      </c>
      <c r="E103" s="45" t="s">
        <v>7</v>
      </c>
      <c r="F103" s="46" t="s">
        <v>8</v>
      </c>
    </row>
    <row r="104" spans="3:6" x14ac:dyDescent="0.25">
      <c r="C104" s="33">
        <v>10</v>
      </c>
      <c r="D104" s="41" t="s">
        <v>35</v>
      </c>
      <c r="E104" s="34">
        <v>36892</v>
      </c>
      <c r="F104" s="35"/>
    </row>
    <row r="105" spans="3:6" x14ac:dyDescent="0.25">
      <c r="C105" s="36">
        <v>20</v>
      </c>
      <c r="D105" s="41" t="s">
        <v>35</v>
      </c>
      <c r="E105" s="34">
        <v>36893</v>
      </c>
      <c r="F105" s="37"/>
    </row>
    <row r="106" spans="3:6" x14ac:dyDescent="0.25">
      <c r="C106" s="36">
        <v>30</v>
      </c>
      <c r="D106" s="41" t="s">
        <v>35</v>
      </c>
      <c r="E106" s="34">
        <v>36894</v>
      </c>
      <c r="F106" s="37"/>
    </row>
    <row r="107" spans="3:6" x14ac:dyDescent="0.25">
      <c r="C107" s="36">
        <v>40</v>
      </c>
      <c r="D107" s="41" t="s">
        <v>35</v>
      </c>
      <c r="E107" s="34">
        <v>36895</v>
      </c>
      <c r="F107" s="37"/>
    </row>
    <row r="108" spans="3:6" x14ac:dyDescent="0.25">
      <c r="C108" s="36">
        <v>50</v>
      </c>
      <c r="D108" s="41" t="s">
        <v>35</v>
      </c>
      <c r="E108" s="34">
        <v>36896</v>
      </c>
      <c r="F108" s="37"/>
    </row>
    <row r="109" spans="3:6" x14ac:dyDescent="0.25">
      <c r="C109" s="36">
        <v>60</v>
      </c>
      <c r="D109" s="41" t="s">
        <v>35</v>
      </c>
      <c r="E109" s="34">
        <v>36897</v>
      </c>
      <c r="F109" s="37"/>
    </row>
    <row r="110" spans="3:6" x14ac:dyDescent="0.25">
      <c r="C110" s="36">
        <v>70</v>
      </c>
      <c r="D110" s="41" t="s">
        <v>35</v>
      </c>
      <c r="E110" s="34">
        <v>36898</v>
      </c>
      <c r="F110" s="37"/>
    </row>
    <row r="111" spans="3:6" x14ac:dyDescent="0.25">
      <c r="C111" s="36">
        <v>80</v>
      </c>
      <c r="D111" s="41" t="s">
        <v>35</v>
      </c>
      <c r="E111" s="34">
        <v>36899</v>
      </c>
      <c r="F111" s="40"/>
    </row>
    <row r="112" spans="3:6" x14ac:dyDescent="0.25">
      <c r="C112" s="36">
        <v>90</v>
      </c>
      <c r="D112" s="41" t="s">
        <v>35</v>
      </c>
      <c r="E112" s="34">
        <v>36900</v>
      </c>
      <c r="F112" s="37"/>
    </row>
    <row r="113" spans="3:6" x14ac:dyDescent="0.25">
      <c r="C113" s="38">
        <v>100</v>
      </c>
      <c r="D113" s="41" t="s">
        <v>35</v>
      </c>
      <c r="E113" s="34">
        <v>36901</v>
      </c>
      <c r="F113" s="39"/>
    </row>
    <row r="116" spans="3:6" ht="15.75" x14ac:dyDescent="0.25">
      <c r="C116" s="51" t="s">
        <v>19</v>
      </c>
      <c r="D116" s="52"/>
      <c r="E116" s="52"/>
      <c r="F116" s="53"/>
    </row>
    <row r="117" spans="3:6" x14ac:dyDescent="0.25">
      <c r="C117" s="54" t="s">
        <v>31</v>
      </c>
      <c r="D117" s="55"/>
      <c r="E117" s="54" t="s">
        <v>32</v>
      </c>
      <c r="F117" s="55"/>
    </row>
    <row r="118" spans="3:6" x14ac:dyDescent="0.25">
      <c r="C118" s="48"/>
      <c r="D118" s="49"/>
      <c r="E118" s="50"/>
      <c r="F118" s="50"/>
    </row>
    <row r="119" spans="3:6" x14ac:dyDescent="0.25">
      <c r="C119" s="45" t="s">
        <v>33</v>
      </c>
      <c r="D119" s="45" t="s">
        <v>34</v>
      </c>
      <c r="E119" s="45" t="s">
        <v>7</v>
      </c>
      <c r="F119" s="46" t="s">
        <v>8</v>
      </c>
    </row>
    <row r="120" spans="3:6" x14ac:dyDescent="0.25">
      <c r="C120" s="33">
        <v>10</v>
      </c>
      <c r="D120" s="41" t="s">
        <v>35</v>
      </c>
      <c r="E120" s="34">
        <v>36892</v>
      </c>
      <c r="F120" s="35"/>
    </row>
    <row r="121" spans="3:6" x14ac:dyDescent="0.25">
      <c r="C121" s="36">
        <v>20</v>
      </c>
      <c r="D121" s="41" t="s">
        <v>35</v>
      </c>
      <c r="E121" s="34">
        <v>36893</v>
      </c>
      <c r="F121" s="37"/>
    </row>
    <row r="122" spans="3:6" x14ac:dyDescent="0.25">
      <c r="C122" s="36">
        <v>30</v>
      </c>
      <c r="D122" s="41" t="s">
        <v>35</v>
      </c>
      <c r="E122" s="34">
        <v>36894</v>
      </c>
      <c r="F122" s="37"/>
    </row>
    <row r="123" spans="3:6" x14ac:dyDescent="0.25">
      <c r="C123" s="36">
        <v>40</v>
      </c>
      <c r="D123" s="41" t="s">
        <v>35</v>
      </c>
      <c r="E123" s="34">
        <v>36895</v>
      </c>
      <c r="F123" s="37"/>
    </row>
    <row r="124" spans="3:6" x14ac:dyDescent="0.25">
      <c r="C124" s="36">
        <v>50</v>
      </c>
      <c r="D124" s="41" t="s">
        <v>35</v>
      </c>
      <c r="E124" s="34">
        <v>36896</v>
      </c>
      <c r="F124" s="37"/>
    </row>
    <row r="125" spans="3:6" x14ac:dyDescent="0.25">
      <c r="C125" s="36">
        <v>60</v>
      </c>
      <c r="D125" s="41" t="s">
        <v>35</v>
      </c>
      <c r="E125" s="34">
        <v>36897</v>
      </c>
      <c r="F125" s="37"/>
    </row>
    <row r="126" spans="3:6" x14ac:dyDescent="0.25">
      <c r="C126" s="36">
        <v>70</v>
      </c>
      <c r="D126" s="41" t="s">
        <v>35</v>
      </c>
      <c r="E126" s="34">
        <v>36898</v>
      </c>
      <c r="F126" s="37"/>
    </row>
    <row r="127" spans="3:6" x14ac:dyDescent="0.25">
      <c r="C127" s="36">
        <v>80</v>
      </c>
      <c r="D127" s="41" t="s">
        <v>35</v>
      </c>
      <c r="E127" s="34">
        <v>36899</v>
      </c>
      <c r="F127" s="40"/>
    </row>
    <row r="128" spans="3:6" x14ac:dyDescent="0.25">
      <c r="C128" s="36">
        <v>90</v>
      </c>
      <c r="D128" s="41" t="s">
        <v>35</v>
      </c>
      <c r="E128" s="34">
        <v>36900</v>
      </c>
      <c r="F128" s="37"/>
    </row>
    <row r="129" spans="3:6" x14ac:dyDescent="0.25">
      <c r="C129" s="38">
        <v>100</v>
      </c>
      <c r="D129" s="41" t="s">
        <v>35</v>
      </c>
      <c r="E129" s="34">
        <v>36901</v>
      </c>
      <c r="F129" s="39"/>
    </row>
    <row r="132" spans="3:6" ht="15.75" x14ac:dyDescent="0.25">
      <c r="C132" s="51" t="s">
        <v>20</v>
      </c>
      <c r="D132" s="52"/>
      <c r="E132" s="52"/>
      <c r="F132" s="53"/>
    </row>
    <row r="133" spans="3:6" x14ac:dyDescent="0.25">
      <c r="C133" s="54" t="s">
        <v>31</v>
      </c>
      <c r="D133" s="55"/>
      <c r="E133" s="54" t="s">
        <v>32</v>
      </c>
      <c r="F133" s="55"/>
    </row>
    <row r="134" spans="3:6" x14ac:dyDescent="0.25">
      <c r="C134" s="48"/>
      <c r="D134" s="49"/>
      <c r="E134" s="50"/>
      <c r="F134" s="50"/>
    </row>
    <row r="135" spans="3:6" x14ac:dyDescent="0.25">
      <c r="C135" s="45" t="s">
        <v>33</v>
      </c>
      <c r="D135" s="45" t="s">
        <v>34</v>
      </c>
      <c r="E135" s="45" t="s">
        <v>7</v>
      </c>
      <c r="F135" s="46" t="s">
        <v>8</v>
      </c>
    </row>
    <row r="136" spans="3:6" x14ac:dyDescent="0.25">
      <c r="C136" s="33">
        <v>10</v>
      </c>
      <c r="D136" s="41" t="s">
        <v>35</v>
      </c>
      <c r="E136" s="34">
        <v>36892</v>
      </c>
      <c r="F136" s="35"/>
    </row>
    <row r="137" spans="3:6" x14ac:dyDescent="0.25">
      <c r="C137" s="36">
        <v>20</v>
      </c>
      <c r="D137" s="41" t="s">
        <v>35</v>
      </c>
      <c r="E137" s="34">
        <v>36893</v>
      </c>
      <c r="F137" s="37"/>
    </row>
    <row r="138" spans="3:6" x14ac:dyDescent="0.25">
      <c r="C138" s="36">
        <v>30</v>
      </c>
      <c r="D138" s="41" t="s">
        <v>35</v>
      </c>
      <c r="E138" s="34">
        <v>36894</v>
      </c>
      <c r="F138" s="37"/>
    </row>
    <row r="139" spans="3:6" x14ac:dyDescent="0.25">
      <c r="C139" s="36">
        <v>40</v>
      </c>
      <c r="D139" s="41" t="s">
        <v>35</v>
      </c>
      <c r="E139" s="34">
        <v>36895</v>
      </c>
      <c r="F139" s="37"/>
    </row>
    <row r="140" spans="3:6" x14ac:dyDescent="0.25">
      <c r="C140" s="36">
        <v>50</v>
      </c>
      <c r="D140" s="41" t="s">
        <v>35</v>
      </c>
      <c r="E140" s="34">
        <v>36896</v>
      </c>
      <c r="F140" s="37"/>
    </row>
    <row r="141" spans="3:6" x14ac:dyDescent="0.25">
      <c r="C141" s="36">
        <v>60</v>
      </c>
      <c r="D141" s="41" t="s">
        <v>35</v>
      </c>
      <c r="E141" s="34">
        <v>36897</v>
      </c>
      <c r="F141" s="37"/>
    </row>
    <row r="142" spans="3:6" x14ac:dyDescent="0.25">
      <c r="C142" s="36">
        <v>70</v>
      </c>
      <c r="D142" s="41" t="s">
        <v>35</v>
      </c>
      <c r="E142" s="34">
        <v>36898</v>
      </c>
      <c r="F142" s="37"/>
    </row>
    <row r="143" spans="3:6" x14ac:dyDescent="0.25">
      <c r="C143" s="36">
        <v>80</v>
      </c>
      <c r="D143" s="41" t="s">
        <v>35</v>
      </c>
      <c r="E143" s="34">
        <v>36899</v>
      </c>
      <c r="F143" s="40"/>
    </row>
    <row r="144" spans="3:6" x14ac:dyDescent="0.25">
      <c r="C144" s="36">
        <v>90</v>
      </c>
      <c r="D144" s="41" t="s">
        <v>35</v>
      </c>
      <c r="E144" s="34">
        <v>36900</v>
      </c>
      <c r="F144" s="37"/>
    </row>
    <row r="145" spans="3:6" x14ac:dyDescent="0.25">
      <c r="C145" s="38">
        <v>100</v>
      </c>
      <c r="D145" s="41" t="s">
        <v>35</v>
      </c>
      <c r="E145" s="34">
        <v>36901</v>
      </c>
      <c r="F145" s="39"/>
    </row>
    <row r="148" spans="3:6" ht="15.75" x14ac:dyDescent="0.25">
      <c r="C148" s="51" t="s">
        <v>21</v>
      </c>
      <c r="D148" s="52"/>
      <c r="E148" s="52"/>
      <c r="F148" s="53"/>
    </row>
    <row r="149" spans="3:6" x14ac:dyDescent="0.25">
      <c r="C149" s="54" t="s">
        <v>31</v>
      </c>
      <c r="D149" s="55"/>
      <c r="E149" s="54" t="s">
        <v>32</v>
      </c>
      <c r="F149" s="55"/>
    </row>
    <row r="150" spans="3:6" x14ac:dyDescent="0.25">
      <c r="C150" s="48"/>
      <c r="D150" s="49"/>
      <c r="E150" s="50"/>
      <c r="F150" s="50"/>
    </row>
    <row r="151" spans="3:6" x14ac:dyDescent="0.25">
      <c r="C151" s="45" t="s">
        <v>33</v>
      </c>
      <c r="D151" s="45" t="s">
        <v>34</v>
      </c>
      <c r="E151" s="45" t="s">
        <v>7</v>
      </c>
      <c r="F151" s="46" t="s">
        <v>8</v>
      </c>
    </row>
    <row r="152" spans="3:6" x14ac:dyDescent="0.25">
      <c r="C152" s="33">
        <v>10</v>
      </c>
      <c r="D152" s="41" t="s">
        <v>35</v>
      </c>
      <c r="E152" s="34">
        <v>36892</v>
      </c>
      <c r="F152" s="35"/>
    </row>
    <row r="153" spans="3:6" x14ac:dyDescent="0.25">
      <c r="C153" s="36">
        <v>20</v>
      </c>
      <c r="D153" s="41" t="s">
        <v>35</v>
      </c>
      <c r="E153" s="34">
        <v>36893</v>
      </c>
      <c r="F153" s="37"/>
    </row>
    <row r="154" spans="3:6" x14ac:dyDescent="0.25">
      <c r="C154" s="36">
        <v>30</v>
      </c>
      <c r="D154" s="41" t="s">
        <v>35</v>
      </c>
      <c r="E154" s="34">
        <v>36894</v>
      </c>
      <c r="F154" s="37"/>
    </row>
    <row r="155" spans="3:6" x14ac:dyDescent="0.25">
      <c r="C155" s="36">
        <v>40</v>
      </c>
      <c r="D155" s="41" t="s">
        <v>35</v>
      </c>
      <c r="E155" s="34">
        <v>36895</v>
      </c>
      <c r="F155" s="37"/>
    </row>
    <row r="156" spans="3:6" x14ac:dyDescent="0.25">
      <c r="C156" s="36">
        <v>50</v>
      </c>
      <c r="D156" s="41" t="s">
        <v>35</v>
      </c>
      <c r="E156" s="34">
        <v>36896</v>
      </c>
      <c r="F156" s="37"/>
    </row>
    <row r="157" spans="3:6" x14ac:dyDescent="0.25">
      <c r="C157" s="36">
        <v>60</v>
      </c>
      <c r="D157" s="41" t="s">
        <v>35</v>
      </c>
      <c r="E157" s="34">
        <v>36897</v>
      </c>
      <c r="F157" s="37"/>
    </row>
    <row r="158" spans="3:6" x14ac:dyDescent="0.25">
      <c r="C158" s="36">
        <v>70</v>
      </c>
      <c r="D158" s="41" t="s">
        <v>35</v>
      </c>
      <c r="E158" s="34">
        <v>36898</v>
      </c>
      <c r="F158" s="37"/>
    </row>
    <row r="159" spans="3:6" x14ac:dyDescent="0.25">
      <c r="C159" s="36">
        <v>80</v>
      </c>
      <c r="D159" s="41" t="s">
        <v>35</v>
      </c>
      <c r="E159" s="34">
        <v>36899</v>
      </c>
      <c r="F159" s="40"/>
    </row>
    <row r="160" spans="3:6" x14ac:dyDescent="0.25">
      <c r="C160" s="36">
        <v>90</v>
      </c>
      <c r="D160" s="41" t="s">
        <v>35</v>
      </c>
      <c r="E160" s="34">
        <v>36900</v>
      </c>
      <c r="F160" s="37"/>
    </row>
    <row r="161" spans="3:6" x14ac:dyDescent="0.25">
      <c r="C161" s="38">
        <v>100</v>
      </c>
      <c r="D161" s="41" t="s">
        <v>35</v>
      </c>
      <c r="E161" s="34">
        <v>36901</v>
      </c>
      <c r="F161" s="39"/>
    </row>
  </sheetData>
  <mergeCells count="51">
    <mergeCell ref="C2:F2"/>
    <mergeCell ref="C4:F4"/>
    <mergeCell ref="C5:D5"/>
    <mergeCell ref="C6:D6"/>
    <mergeCell ref="E5:F5"/>
    <mergeCell ref="E6:F6"/>
    <mergeCell ref="C84:F84"/>
    <mergeCell ref="C85:D85"/>
    <mergeCell ref="C20:F20"/>
    <mergeCell ref="C21:D21"/>
    <mergeCell ref="E21:F21"/>
    <mergeCell ref="C22:D22"/>
    <mergeCell ref="E22:F22"/>
    <mergeCell ref="C68:F68"/>
    <mergeCell ref="C69:D69"/>
    <mergeCell ref="E69:F69"/>
    <mergeCell ref="C70:D70"/>
    <mergeCell ref="E70:F70"/>
    <mergeCell ref="C52:F52"/>
    <mergeCell ref="C53:D53"/>
    <mergeCell ref="E53:F53"/>
    <mergeCell ref="C54:D54"/>
    <mergeCell ref="E54:F54"/>
    <mergeCell ref="C36:F36"/>
    <mergeCell ref="C37:D37"/>
    <mergeCell ref="E37:F37"/>
    <mergeCell ref="C38:D38"/>
    <mergeCell ref="E38:F38"/>
    <mergeCell ref="E85:F85"/>
    <mergeCell ref="C86:D86"/>
    <mergeCell ref="E86:F86"/>
    <mergeCell ref="C100:F100"/>
    <mergeCell ref="C101:D101"/>
    <mergeCell ref="E101:F101"/>
    <mergeCell ref="C102:D102"/>
    <mergeCell ref="E102:F102"/>
    <mergeCell ref="C116:F116"/>
    <mergeCell ref="C132:F132"/>
    <mergeCell ref="C133:D133"/>
    <mergeCell ref="E133:F133"/>
    <mergeCell ref="C117:D117"/>
    <mergeCell ref="E117:F117"/>
    <mergeCell ref="C118:D118"/>
    <mergeCell ref="E118:F118"/>
    <mergeCell ref="C150:D150"/>
    <mergeCell ref="E150:F150"/>
    <mergeCell ref="C134:D134"/>
    <mergeCell ref="E134:F134"/>
    <mergeCell ref="C148:F148"/>
    <mergeCell ref="C149:D149"/>
    <mergeCell ref="E149:F149"/>
  </mergeCells>
  <conditionalFormatting sqref="C8:C18">
    <cfRule type="dataBar" priority="29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{05366E7C-4CD4-4324-B6D2-A26590F6A1A9}</x14:id>
        </ext>
      </extLst>
    </cfRule>
  </conditionalFormatting>
  <conditionalFormatting sqref="C24:C33">
    <cfRule type="dataBar" priority="18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{2D73C2B1-B4F2-49E3-BEEF-DD4CE2DA7F8B}</x14:id>
        </ext>
      </extLst>
    </cfRule>
  </conditionalFormatting>
  <conditionalFormatting sqref="C40:C49">
    <cfRule type="dataBar" priority="17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{5C5C0A19-C90E-4C7A-91CD-7ED1728474F4}</x14:id>
        </ext>
      </extLst>
    </cfRule>
  </conditionalFormatting>
  <conditionalFormatting sqref="C56:C65">
    <cfRule type="dataBar" priority="16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{D14CB93B-BB54-4881-A257-92230DF119FF}</x14:id>
        </ext>
      </extLst>
    </cfRule>
  </conditionalFormatting>
  <conditionalFormatting sqref="C72:C81">
    <cfRule type="dataBar" priority="15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{E601C7EE-33B9-457F-BDCD-B1F5E4347348}</x14:id>
        </ext>
      </extLst>
    </cfRule>
  </conditionalFormatting>
  <conditionalFormatting sqref="C88:C97">
    <cfRule type="dataBar" priority="14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{51651806-E1C2-4671-9E91-FF71AE42E529}</x14:id>
        </ext>
      </extLst>
    </cfRule>
  </conditionalFormatting>
  <conditionalFormatting sqref="C104:C113">
    <cfRule type="dataBar" priority="13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{E249C08B-3A86-4F33-BAF1-532F1E691632}</x14:id>
        </ext>
      </extLst>
    </cfRule>
  </conditionalFormatting>
  <conditionalFormatting sqref="C120:C129">
    <cfRule type="dataBar" priority="12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{B5219114-4B3B-4C3D-B563-6DA6576D8281}</x14:id>
        </ext>
      </extLst>
    </cfRule>
  </conditionalFormatting>
  <conditionalFormatting sqref="C136:C145">
    <cfRule type="dataBar" priority="11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{BAE6B31C-4B27-4EA1-AB22-731FF465BB1A}</x14:id>
        </ext>
      </extLst>
    </cfRule>
  </conditionalFormatting>
  <conditionalFormatting sqref="C152:C161">
    <cfRule type="dataBar" priority="10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{1ABBD39A-9A05-4DAB-A54A-70E440D207FC}</x14:id>
        </ext>
      </extLst>
    </cfRule>
  </conditionalFormatting>
  <conditionalFormatting sqref="C24:C33">
    <cfRule type="dataBar" priority="9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{30BE1748-854B-45BC-93AA-715EAF83576B}</x14:id>
        </ext>
      </extLst>
    </cfRule>
  </conditionalFormatting>
  <conditionalFormatting sqref="C40:C49">
    <cfRule type="dataBar" priority="8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{DD8A773E-FADD-4956-AD61-9374AAC8F316}</x14:id>
        </ext>
      </extLst>
    </cfRule>
  </conditionalFormatting>
  <conditionalFormatting sqref="C56:C65">
    <cfRule type="dataBar" priority="7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{B72D712D-DA89-45B5-A088-FD06752582F4}</x14:id>
        </ext>
      </extLst>
    </cfRule>
  </conditionalFormatting>
  <conditionalFormatting sqref="C72:C81">
    <cfRule type="dataBar" priority="6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{218E63BC-F35E-45A5-8E5F-F04D99573D4F}</x14:id>
        </ext>
      </extLst>
    </cfRule>
  </conditionalFormatting>
  <conditionalFormatting sqref="C88:C97">
    <cfRule type="dataBar" priority="5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{A704C76C-F942-4C8D-BE51-C490810FC327}</x14:id>
        </ext>
      </extLst>
    </cfRule>
  </conditionalFormatting>
  <conditionalFormatting sqref="C104:C113">
    <cfRule type="dataBar" priority="4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{1F6EE4DB-2D2A-4954-A2C5-2DFA6CA5247C}</x14:id>
        </ext>
      </extLst>
    </cfRule>
  </conditionalFormatting>
  <conditionalFormatting sqref="C120:C129">
    <cfRule type="dataBar" priority="3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{58B8DDAC-B328-4ABA-8E15-491CF35B46A4}</x14:id>
        </ext>
      </extLst>
    </cfRule>
  </conditionalFormatting>
  <conditionalFormatting sqref="C136:C145">
    <cfRule type="dataBar" priority="2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{438232CE-04FC-41C9-BE69-9C0E822F93C4}</x14:id>
        </ext>
      </extLst>
    </cfRule>
  </conditionalFormatting>
  <conditionalFormatting sqref="C152:C161">
    <cfRule type="dataBar" priority="1">
      <formula>MAX(IF(ISBLANK($C$8:$C$18), "", IF(ISERROR($C$8:$C$18), "", $C$8:$C$18)))</formula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{46786CF8-FC1A-4090-814C-8878EED1151D}</x14:id>
        </ext>
      </extLst>
    </cfRule>
  </conditionalFormatting>
  <dataValidations count="2">
    <dataValidation type="whole" allowBlank="1" showErrorMessage="1" errorTitle="Erro de Entrada" error="Número de entrada de 0 a 100" promptTitle="Erro de Entrada" prompt="Número de entrada de 0 a 100" sqref="C8 C136 C24 C40 C56 C72 C88 C104 C120 C152">
      <formula1>0</formula1>
      <formula2>100</formula2>
    </dataValidation>
    <dataValidation type="whole" allowBlank="1" showInputMessage="1" showErrorMessage="1" errorTitle="Número de entrada de 0 a 100" promptTitle="Erro de Entrada" prompt="Número de entrada de 0 a 100" sqref="C9:C18 C137:C145 C25:C33 C41:C49 C57:C65 C73:C81 C89:C97 C105:C113 C121:C129 C153:C161">
      <formula1>0</formula1>
      <formula2>100</formula2>
    </dataValidation>
  </dataValidations>
  <printOptions horizontalCentered="1" verticalCentered="1"/>
  <pageMargins left="0.5" right="0.5" top="0.5" bottom="0.5" header="0.25" footer="0.25"/>
  <pageSetup orientation="portrait" horizontalDpi="4294967294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366E7C-4CD4-4324-B6D2-A26590F6A1A9}">
            <x14:dataBar gradient="0" negativeBarColorSameAsPositive="1" axisPosition="none">
              <x14:cfvo type="min"/>
              <x14:cfvo type="max"/>
            </x14:dataBar>
          </x14:cfRule>
          <xm:sqref>C8:C18</xm:sqref>
        </x14:conditionalFormatting>
        <x14:conditionalFormatting xmlns:xm="http://schemas.microsoft.com/office/excel/2006/main">
          <x14:cfRule type="dataBar" id="{2D73C2B1-B4F2-49E3-BEEF-DD4CE2DA7F8B}">
            <x14:dataBar gradient="0" negativeBarColorSameAsPositive="1" axisPosition="none">
              <x14:cfvo type="min"/>
              <x14:cfvo type="max"/>
            </x14:dataBar>
          </x14:cfRule>
          <xm:sqref>C24:C33</xm:sqref>
        </x14:conditionalFormatting>
        <x14:conditionalFormatting xmlns:xm="http://schemas.microsoft.com/office/excel/2006/main">
          <x14:cfRule type="dataBar" id="{5C5C0A19-C90E-4C7A-91CD-7ED1728474F4}">
            <x14:dataBar gradient="0" negativeBarColorSameAsPositive="1" axisPosition="none">
              <x14:cfvo type="min"/>
              <x14:cfvo type="max"/>
            </x14:dataBar>
          </x14:cfRule>
          <xm:sqref>C40:C49</xm:sqref>
        </x14:conditionalFormatting>
        <x14:conditionalFormatting xmlns:xm="http://schemas.microsoft.com/office/excel/2006/main">
          <x14:cfRule type="dataBar" id="{D14CB93B-BB54-4881-A257-92230DF119FF}">
            <x14:dataBar gradient="0" negativeBarColorSameAsPositive="1" axisPosition="none">
              <x14:cfvo type="min"/>
              <x14:cfvo type="max"/>
            </x14:dataBar>
          </x14:cfRule>
          <xm:sqref>C56:C65</xm:sqref>
        </x14:conditionalFormatting>
        <x14:conditionalFormatting xmlns:xm="http://schemas.microsoft.com/office/excel/2006/main">
          <x14:cfRule type="dataBar" id="{E601C7EE-33B9-457F-BDCD-B1F5E4347348}">
            <x14:dataBar gradient="0" negativeBarColorSameAsPositive="1" axisPosition="none">
              <x14:cfvo type="min"/>
              <x14:cfvo type="max"/>
            </x14:dataBar>
          </x14:cfRule>
          <xm:sqref>C72:C81</xm:sqref>
        </x14:conditionalFormatting>
        <x14:conditionalFormatting xmlns:xm="http://schemas.microsoft.com/office/excel/2006/main">
          <x14:cfRule type="dataBar" id="{51651806-E1C2-4671-9E91-FF71AE42E529}">
            <x14:dataBar gradient="0" negativeBarColorSameAsPositive="1" axisPosition="none">
              <x14:cfvo type="min"/>
              <x14:cfvo type="max"/>
            </x14:dataBar>
          </x14:cfRule>
          <xm:sqref>C88:C97</xm:sqref>
        </x14:conditionalFormatting>
        <x14:conditionalFormatting xmlns:xm="http://schemas.microsoft.com/office/excel/2006/main">
          <x14:cfRule type="dataBar" id="{E249C08B-3A86-4F33-BAF1-532F1E691632}">
            <x14:dataBar gradient="0" negativeBarColorSameAsPositive="1" axisPosition="none">
              <x14:cfvo type="min"/>
              <x14:cfvo type="max"/>
            </x14:dataBar>
          </x14:cfRule>
          <xm:sqref>C104:C113</xm:sqref>
        </x14:conditionalFormatting>
        <x14:conditionalFormatting xmlns:xm="http://schemas.microsoft.com/office/excel/2006/main">
          <x14:cfRule type="dataBar" id="{B5219114-4B3B-4C3D-B563-6DA6576D8281}">
            <x14:dataBar gradient="0" negativeBarColorSameAsPositive="1" axisPosition="none">
              <x14:cfvo type="min"/>
              <x14:cfvo type="max"/>
            </x14:dataBar>
          </x14:cfRule>
          <xm:sqref>C120:C129</xm:sqref>
        </x14:conditionalFormatting>
        <x14:conditionalFormatting xmlns:xm="http://schemas.microsoft.com/office/excel/2006/main">
          <x14:cfRule type="dataBar" id="{BAE6B31C-4B27-4EA1-AB22-731FF465BB1A}">
            <x14:dataBar gradient="0" negativeBarColorSameAsPositive="1" axisPosition="none">
              <x14:cfvo type="min"/>
              <x14:cfvo type="max"/>
            </x14:dataBar>
          </x14:cfRule>
          <xm:sqref>C136:C145</xm:sqref>
        </x14:conditionalFormatting>
        <x14:conditionalFormatting xmlns:xm="http://schemas.microsoft.com/office/excel/2006/main">
          <x14:cfRule type="dataBar" id="{1ABBD39A-9A05-4DAB-A54A-70E440D207FC}">
            <x14:dataBar gradient="0" negativeBarColorSameAsPositive="1" axisPosition="none">
              <x14:cfvo type="min"/>
              <x14:cfvo type="max"/>
            </x14:dataBar>
          </x14:cfRule>
          <xm:sqref>C152:C161</xm:sqref>
        </x14:conditionalFormatting>
        <x14:conditionalFormatting xmlns:xm="http://schemas.microsoft.com/office/excel/2006/main">
          <x14:cfRule type="dataBar" id="{30BE1748-854B-45BC-93AA-715EAF83576B}">
            <x14:dataBar gradient="0" negativeBarColorSameAsPositive="1" axisPosition="none">
              <x14:cfvo type="min"/>
              <x14:cfvo type="max"/>
            </x14:dataBar>
          </x14:cfRule>
          <xm:sqref>C24:C33</xm:sqref>
        </x14:conditionalFormatting>
        <x14:conditionalFormatting xmlns:xm="http://schemas.microsoft.com/office/excel/2006/main">
          <x14:cfRule type="dataBar" id="{DD8A773E-FADD-4956-AD61-9374AAC8F316}">
            <x14:dataBar gradient="0" negativeBarColorSameAsPositive="1" axisPosition="none">
              <x14:cfvo type="min"/>
              <x14:cfvo type="max"/>
            </x14:dataBar>
          </x14:cfRule>
          <xm:sqref>C40:C49</xm:sqref>
        </x14:conditionalFormatting>
        <x14:conditionalFormatting xmlns:xm="http://schemas.microsoft.com/office/excel/2006/main">
          <x14:cfRule type="dataBar" id="{B72D712D-DA89-45B5-A088-FD06752582F4}">
            <x14:dataBar gradient="0" negativeBarColorSameAsPositive="1" axisPosition="none">
              <x14:cfvo type="min"/>
              <x14:cfvo type="max"/>
            </x14:dataBar>
          </x14:cfRule>
          <xm:sqref>C56:C65</xm:sqref>
        </x14:conditionalFormatting>
        <x14:conditionalFormatting xmlns:xm="http://schemas.microsoft.com/office/excel/2006/main">
          <x14:cfRule type="dataBar" id="{218E63BC-F35E-45A5-8E5F-F04D99573D4F}">
            <x14:dataBar gradient="0" negativeBarColorSameAsPositive="1" axisPosition="none">
              <x14:cfvo type="min"/>
              <x14:cfvo type="max"/>
            </x14:dataBar>
          </x14:cfRule>
          <xm:sqref>C72:C81</xm:sqref>
        </x14:conditionalFormatting>
        <x14:conditionalFormatting xmlns:xm="http://schemas.microsoft.com/office/excel/2006/main">
          <x14:cfRule type="dataBar" id="{A704C76C-F942-4C8D-BE51-C490810FC327}">
            <x14:dataBar gradient="0" negativeBarColorSameAsPositive="1" axisPosition="none">
              <x14:cfvo type="min"/>
              <x14:cfvo type="max"/>
            </x14:dataBar>
          </x14:cfRule>
          <xm:sqref>C88:C97</xm:sqref>
        </x14:conditionalFormatting>
        <x14:conditionalFormatting xmlns:xm="http://schemas.microsoft.com/office/excel/2006/main">
          <x14:cfRule type="dataBar" id="{1F6EE4DB-2D2A-4954-A2C5-2DFA6CA5247C}">
            <x14:dataBar gradient="0" negativeBarColorSameAsPositive="1" axisPosition="none">
              <x14:cfvo type="min"/>
              <x14:cfvo type="max"/>
            </x14:dataBar>
          </x14:cfRule>
          <xm:sqref>C104:C113</xm:sqref>
        </x14:conditionalFormatting>
        <x14:conditionalFormatting xmlns:xm="http://schemas.microsoft.com/office/excel/2006/main">
          <x14:cfRule type="dataBar" id="{58B8DDAC-B328-4ABA-8E15-491CF35B46A4}">
            <x14:dataBar gradient="0" negativeBarColorSameAsPositive="1" axisPosition="none">
              <x14:cfvo type="min"/>
              <x14:cfvo type="max"/>
            </x14:dataBar>
          </x14:cfRule>
          <xm:sqref>C120:C129</xm:sqref>
        </x14:conditionalFormatting>
        <x14:conditionalFormatting xmlns:xm="http://schemas.microsoft.com/office/excel/2006/main">
          <x14:cfRule type="dataBar" id="{438232CE-04FC-41C9-BE69-9C0E822F93C4}">
            <x14:dataBar gradient="0" negativeBarColorSameAsPositive="1" axisPosition="none">
              <x14:cfvo type="min"/>
              <x14:cfvo type="max"/>
            </x14:dataBar>
          </x14:cfRule>
          <xm:sqref>C136:C145</xm:sqref>
        </x14:conditionalFormatting>
        <x14:conditionalFormatting xmlns:xm="http://schemas.microsoft.com/office/excel/2006/main">
          <x14:cfRule type="dataBar" id="{46786CF8-FC1A-4090-814C-8878EED1151D}">
            <x14:dataBar gradient="0" negativeBarColorSameAsPositive="1" axisPosition="none">
              <x14:cfvo type="min"/>
              <x14:cfvo type="max"/>
            </x14:dataBar>
          </x14:cfRule>
          <xm:sqref>C152:C161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2:F21"/>
  <sheetViews>
    <sheetView showGridLines="0" topLeftCell="A52" workbookViewId="0">
      <selection activeCell="C24" sqref="C24"/>
    </sheetView>
  </sheetViews>
  <sheetFormatPr defaultColWidth="0" defaultRowHeight="15" x14ac:dyDescent="0.25"/>
  <cols>
    <col min="1" max="1" width="9.140625" customWidth="1"/>
    <col min="2" max="2" width="6" customWidth="1"/>
    <col min="3" max="3" width="41" customWidth="1"/>
    <col min="4" max="4" width="10.28515625" customWidth="1"/>
    <col min="5" max="5" width="9.7109375" customWidth="1"/>
    <col min="6" max="6" width="9.140625" customWidth="1"/>
    <col min="7" max="16384" width="9.140625" hidden="1"/>
  </cols>
  <sheetData>
    <row r="2" spans="1:6" ht="23.25" x14ac:dyDescent="0.35">
      <c r="A2" s="5"/>
      <c r="B2" s="57" t="s">
        <v>0</v>
      </c>
      <c r="C2" s="58"/>
      <c r="D2" s="58"/>
      <c r="E2" s="59"/>
      <c r="F2" s="5"/>
    </row>
    <row r="3" spans="1:6" ht="5.25" customHeight="1" x14ac:dyDescent="0.35">
      <c r="A3" s="5"/>
      <c r="B3" s="19"/>
      <c r="C3" s="7"/>
      <c r="D3" s="7"/>
      <c r="E3" s="20"/>
      <c r="F3" s="5"/>
    </row>
    <row r="4" spans="1:6" ht="9" customHeight="1" x14ac:dyDescent="0.35">
      <c r="A4" s="5"/>
      <c r="B4" s="19"/>
      <c r="C4" s="7"/>
      <c r="D4" s="7"/>
      <c r="E4" s="20"/>
      <c r="F4" s="5"/>
    </row>
    <row r="5" spans="1:6" ht="1.5" customHeight="1" x14ac:dyDescent="0.35">
      <c r="A5" s="5"/>
      <c r="B5" s="19"/>
      <c r="C5" s="7"/>
      <c r="D5" s="7"/>
      <c r="E5" s="20"/>
      <c r="F5" s="5"/>
    </row>
    <row r="6" spans="1:6" x14ac:dyDescent="0.25">
      <c r="A6" s="5"/>
      <c r="B6" s="21"/>
      <c r="C6" s="4"/>
      <c r="D6" s="4"/>
      <c r="E6" s="22"/>
      <c r="F6" s="5"/>
    </row>
    <row r="7" spans="1:6" x14ac:dyDescent="0.25">
      <c r="A7" s="5"/>
      <c r="B7" s="21"/>
      <c r="C7" s="4"/>
      <c r="D7" s="4"/>
      <c r="E7" s="22"/>
      <c r="F7" s="5"/>
    </row>
    <row r="8" spans="1:6" x14ac:dyDescent="0.25">
      <c r="A8" s="5"/>
      <c r="B8" s="21"/>
      <c r="C8" s="4"/>
      <c r="D8" s="4"/>
      <c r="E8" s="22"/>
      <c r="F8" s="5"/>
    </row>
    <row r="9" spans="1:6" x14ac:dyDescent="0.25">
      <c r="A9" s="5"/>
      <c r="B9" s="21"/>
      <c r="C9" s="4"/>
      <c r="D9" s="4"/>
      <c r="E9" s="22"/>
      <c r="F9" s="5"/>
    </row>
    <row r="10" spans="1:6" x14ac:dyDescent="0.25">
      <c r="A10" s="5"/>
      <c r="B10" s="23"/>
      <c r="C10" s="6"/>
      <c r="D10" s="6"/>
      <c r="E10" s="24"/>
      <c r="F10" s="5"/>
    </row>
    <row r="11" spans="1:6" x14ac:dyDescent="0.25">
      <c r="A11" s="5"/>
      <c r="B11" s="42" t="s">
        <v>11</v>
      </c>
      <c r="C11" s="43" t="s">
        <v>22</v>
      </c>
      <c r="D11" s="43" t="s">
        <v>1</v>
      </c>
      <c r="E11" s="44" t="s">
        <v>2</v>
      </c>
      <c r="F11" s="5"/>
    </row>
    <row r="12" spans="1:6" x14ac:dyDescent="0.25">
      <c r="A12" s="5"/>
      <c r="B12" s="28">
        <v>1</v>
      </c>
      <c r="C12" s="8" t="s">
        <v>6</v>
      </c>
      <c r="D12" s="9">
        <v>1</v>
      </c>
      <c r="E12" s="25"/>
      <c r="F12" s="5"/>
    </row>
    <row r="13" spans="1:6" x14ac:dyDescent="0.25">
      <c r="A13" s="5"/>
      <c r="B13" s="29">
        <v>2</v>
      </c>
      <c r="C13" s="4" t="s">
        <v>9</v>
      </c>
      <c r="D13" s="10">
        <v>2</v>
      </c>
      <c r="E13" s="22"/>
      <c r="F13" s="5"/>
    </row>
    <row r="14" spans="1:6" x14ac:dyDescent="0.25">
      <c r="B14" s="30">
        <v>3</v>
      </c>
      <c r="C14" s="3" t="s">
        <v>10</v>
      </c>
      <c r="D14" s="11">
        <v>3</v>
      </c>
      <c r="E14" s="26"/>
    </row>
    <row r="15" spans="1:6" x14ac:dyDescent="0.25">
      <c r="B15" s="30">
        <v>4</v>
      </c>
      <c r="C15" s="4" t="s">
        <v>23</v>
      </c>
      <c r="D15" s="11">
        <v>4</v>
      </c>
      <c r="E15" s="26"/>
    </row>
    <row r="16" spans="1:6" x14ac:dyDescent="0.25">
      <c r="B16" s="30">
        <v>5</v>
      </c>
      <c r="C16" s="4" t="s">
        <v>24</v>
      </c>
      <c r="D16" s="11">
        <v>5</v>
      </c>
      <c r="E16" s="26"/>
    </row>
    <row r="17" spans="2:5" x14ac:dyDescent="0.25">
      <c r="B17" s="30">
        <v>6</v>
      </c>
      <c r="C17" s="4" t="s">
        <v>25</v>
      </c>
      <c r="D17" s="10">
        <v>1</v>
      </c>
      <c r="E17" s="26"/>
    </row>
    <row r="18" spans="2:5" x14ac:dyDescent="0.25">
      <c r="B18" s="30">
        <v>7</v>
      </c>
      <c r="C18" s="4" t="s">
        <v>26</v>
      </c>
      <c r="D18" s="10">
        <v>2</v>
      </c>
      <c r="E18" s="26"/>
    </row>
    <row r="19" spans="2:5" x14ac:dyDescent="0.25">
      <c r="B19" s="30">
        <v>8</v>
      </c>
      <c r="C19" s="4" t="s">
        <v>27</v>
      </c>
      <c r="D19" s="10">
        <v>3</v>
      </c>
      <c r="E19" s="26"/>
    </row>
    <row r="20" spans="2:5" x14ac:dyDescent="0.25">
      <c r="B20" s="30">
        <v>9</v>
      </c>
      <c r="C20" s="4" t="s">
        <v>28</v>
      </c>
      <c r="D20" s="10">
        <v>4</v>
      </c>
      <c r="E20" s="26"/>
    </row>
    <row r="21" spans="2:5" x14ac:dyDescent="0.25">
      <c r="B21" s="31">
        <v>10</v>
      </c>
      <c r="C21" s="17" t="s">
        <v>29</v>
      </c>
      <c r="D21" s="18">
        <v>5</v>
      </c>
      <c r="E21" s="27"/>
    </row>
  </sheetData>
  <mergeCells count="1">
    <mergeCell ref="B2:E2"/>
  </mergeCells>
  <dataValidations disablePrompts="1" count="1">
    <dataValidation type="list" allowBlank="1" showInputMessage="1" showErrorMessage="1" sqref="D12:D21">
      <formula1>prioridades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190500</xdr:colOff>
                    <xdr:row>10</xdr:row>
                    <xdr:rowOff>180975</xdr:rowOff>
                  </from>
                  <to>
                    <xdr:col>4</xdr:col>
                    <xdr:colOff>400050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190500</xdr:colOff>
                    <xdr:row>11</xdr:row>
                    <xdr:rowOff>180975</xdr:rowOff>
                  </from>
                  <to>
                    <xdr:col>4</xdr:col>
                    <xdr:colOff>400050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190500</xdr:colOff>
                    <xdr:row>12</xdr:row>
                    <xdr:rowOff>180975</xdr:rowOff>
                  </from>
                  <to>
                    <xdr:col>4</xdr:col>
                    <xdr:colOff>400050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190500</xdr:colOff>
                    <xdr:row>13</xdr:row>
                    <xdr:rowOff>180975</xdr:rowOff>
                  </from>
                  <to>
                    <xdr:col>4</xdr:col>
                    <xdr:colOff>400050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190500</xdr:colOff>
                    <xdr:row>14</xdr:row>
                    <xdr:rowOff>180975</xdr:rowOff>
                  </from>
                  <to>
                    <xdr:col>4</xdr:col>
                    <xdr:colOff>400050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190500</xdr:colOff>
                    <xdr:row>15</xdr:row>
                    <xdr:rowOff>180975</xdr:rowOff>
                  </from>
                  <to>
                    <xdr:col>4</xdr:col>
                    <xdr:colOff>400050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190500</xdr:colOff>
                    <xdr:row>16</xdr:row>
                    <xdr:rowOff>180975</xdr:rowOff>
                  </from>
                  <to>
                    <xdr:col>4</xdr:col>
                    <xdr:colOff>400050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190500</xdr:colOff>
                    <xdr:row>17</xdr:row>
                    <xdr:rowOff>180975</xdr:rowOff>
                  </from>
                  <to>
                    <xdr:col>4</xdr:col>
                    <xdr:colOff>400050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190500</xdr:colOff>
                    <xdr:row>18</xdr:row>
                    <xdr:rowOff>190500</xdr:rowOff>
                  </from>
                  <to>
                    <xdr:col>4</xdr:col>
                    <xdr:colOff>400050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190500</xdr:colOff>
                    <xdr:row>19</xdr:row>
                    <xdr:rowOff>190500</xdr:rowOff>
                  </from>
                  <to>
                    <xdr:col>4</xdr:col>
                    <xdr:colOff>400050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16383</xdr:col>
                    <xdr:colOff>190500</xdr:colOff>
                    <xdr:row>19</xdr:row>
                    <xdr:rowOff>190500</xdr:rowOff>
                  </from>
                  <to>
                    <xdr:col>16383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16383</xdr:col>
                    <xdr:colOff>190500</xdr:colOff>
                    <xdr:row>20</xdr:row>
                    <xdr:rowOff>0</xdr:rowOff>
                  </from>
                  <to>
                    <xdr:col>16383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16383</xdr:col>
                    <xdr:colOff>190500</xdr:colOff>
                    <xdr:row>20</xdr:row>
                    <xdr:rowOff>0</xdr:rowOff>
                  </from>
                  <to>
                    <xdr:col>16383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16383</xdr:col>
                    <xdr:colOff>190500</xdr:colOff>
                    <xdr:row>20</xdr:row>
                    <xdr:rowOff>0</xdr:rowOff>
                  </from>
                  <to>
                    <xdr:col>16383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16383</xdr:col>
                    <xdr:colOff>190500</xdr:colOff>
                    <xdr:row>20</xdr:row>
                    <xdr:rowOff>0</xdr:rowOff>
                  </from>
                  <to>
                    <xdr:col>16383</xdr:col>
                    <xdr:colOff>0</xdr:colOff>
                    <xdr:row>21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49B76F-309F-4B50-B006-52827FAFB7BD}">
            <xm:f>formulas!$C3</xm:f>
            <x14:dxf>
              <font>
                <b/>
                <i val="0"/>
              </font>
              <fill>
                <patternFill>
                  <bgColor theme="4" tint="0.59996337778862885"/>
                </patternFill>
              </fill>
            </x14:dxf>
          </x14:cfRule>
          <xm:sqref>B12:E24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formulas</vt:lpstr>
      <vt:lpstr>Tarefas dos Projetos</vt:lpstr>
      <vt:lpstr>Gráfico</vt:lpstr>
      <vt:lpstr>prioridades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Consistem gerson</dc:creator>
  <cp:lastModifiedBy>novo</cp:lastModifiedBy>
  <cp:lastPrinted>2013-08-12T18:37:43Z</cp:lastPrinted>
  <dcterms:created xsi:type="dcterms:W3CDTF">2013-08-12T15:58:26Z</dcterms:created>
  <dcterms:modified xsi:type="dcterms:W3CDTF">2018-11-12T16:00:46Z</dcterms:modified>
</cp:coreProperties>
</file>