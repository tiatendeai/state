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60" windowWidth="17955" windowHeight="11535"/>
  </bookViews>
  <sheets>
    <sheet name="Plan1" sheetId="1" r:id="rId1"/>
    <sheet name="Plan2" sheetId="2" r:id="rId2"/>
    <sheet name="Plan3" sheetId="3" r:id="rId3"/>
  </sheets>
  <calcPr calcId="144525" iterateDelta="1E-4"/>
</workbook>
</file>

<file path=xl/calcChain.xml><?xml version="1.0" encoding="utf-8"?>
<calcChain xmlns="http://schemas.openxmlformats.org/spreadsheetml/2006/main">
  <c r="G26" i="1" l="1"/>
  <c r="G27" i="1" s="1"/>
  <c r="F26" i="1"/>
  <c r="F27" i="1" s="1"/>
  <c r="E26" i="1"/>
  <c r="E27" i="1" s="1"/>
  <c r="D26" i="1"/>
  <c r="D27" i="1" s="1"/>
  <c r="C26" i="1"/>
  <c r="C27" i="1" s="1"/>
  <c r="B26" i="1"/>
  <c r="B27" i="1" s="1"/>
  <c r="H27" i="1" l="1"/>
  <c r="B33" i="1" s="1"/>
  <c r="B34" i="1" s="1"/>
</calcChain>
</file>

<file path=xl/sharedStrings.xml><?xml version="1.0" encoding="utf-8"?>
<sst xmlns="http://schemas.openxmlformats.org/spreadsheetml/2006/main" count="32" uniqueCount="32">
  <si>
    <t>DEMOSNTRATIVO DE MÉDIAS APLICÁVEIS EM RESCISÃO</t>
  </si>
  <si>
    <t>Funcionário:</t>
  </si>
  <si>
    <t>JOSE PAULO GARCIA LOBATO</t>
  </si>
  <si>
    <t>Admissão:</t>
  </si>
  <si>
    <t>Desligamento:</t>
  </si>
  <si>
    <t xml:space="preserve">Mês </t>
  </si>
  <si>
    <t>HE 50%</t>
  </si>
  <si>
    <t>HE 100%</t>
  </si>
  <si>
    <t>DSR</t>
  </si>
  <si>
    <t xml:space="preserve">AN </t>
  </si>
  <si>
    <t>HEN RED</t>
  </si>
  <si>
    <t>INT JORN</t>
  </si>
  <si>
    <t>Abril/2016</t>
  </si>
  <si>
    <t>Maio/2016</t>
  </si>
  <si>
    <t>Junho/2016</t>
  </si>
  <si>
    <t>Julho/2016</t>
  </si>
  <si>
    <t>Agosto/2016</t>
  </si>
  <si>
    <t>Setembro/2016</t>
  </si>
  <si>
    <t>Outubro/2016</t>
  </si>
  <si>
    <t>Novembro/2016</t>
  </si>
  <si>
    <t>Dezembro/2016</t>
  </si>
  <si>
    <t>Janeiro/2017</t>
  </si>
  <si>
    <t>Fevereiro/2017</t>
  </si>
  <si>
    <t>Março/2017</t>
  </si>
  <si>
    <t>TOTAL</t>
  </si>
  <si>
    <t>Total médias:</t>
  </si>
  <si>
    <t>MÉDIA</t>
  </si>
  <si>
    <t>BASE CÁCULO RESCISÃO</t>
  </si>
  <si>
    <t>Anos trabalhados:</t>
  </si>
  <si>
    <t>Média de adicionais:</t>
  </si>
  <si>
    <t>Total da rescisão:</t>
  </si>
  <si>
    <t>CNPJ:
Psg. São José 0
Fone: (91) 400 / 9 / 98
E-mail: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</si>
</sst>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,##0.00_ ;\-#,##0.00\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mbria"/>
      <family val="1"/>
      <scheme val="major"/>
    </font>
    <font>
      <sz val="11"/>
      <color theme="1"/>
      <name val="Times New Roman"/>
      <family val="1"/>
    </font>
    <font>
      <sz val="15"/>
      <color theme="1"/>
      <name val="Times New Roman"/>
      <family val="1"/>
    </font>
    <font>
      <u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rgb="FF008A3E"/>
      </bottom>
      <diagonal/>
    </border>
    <border>
      <left/>
      <right/>
      <top style="medium">
        <color rgb="FF008A3E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2" xfId="0" applyFont="1" applyBorder="1"/>
    <xf numFmtId="0" fontId="4" fillId="0" borderId="0" xfId="0" applyFont="1" applyAlignment="1">
      <alignment horizontal="center"/>
    </xf>
    <xf numFmtId="0" fontId="3" fillId="0" borderId="0" xfId="0" applyFont="1"/>
    <xf numFmtId="0" fontId="3" fillId="0" borderId="3" xfId="0" applyFont="1" applyBorder="1"/>
    <xf numFmtId="0" fontId="3" fillId="0" borderId="3" xfId="0" applyFont="1" applyBorder="1" applyAlignment="1"/>
    <xf numFmtId="0" fontId="3" fillId="0" borderId="4" xfId="0" applyFont="1" applyBorder="1"/>
    <xf numFmtId="14" fontId="3" fillId="0" borderId="4" xfId="0" applyNumberFormat="1" applyFont="1" applyBorder="1" applyAlignment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/>
    <xf numFmtId="0" fontId="0" fillId="0" borderId="0" xfId="0" applyFill="1"/>
    <xf numFmtId="49" fontId="3" fillId="0" borderId="5" xfId="0" applyNumberFormat="1" applyFont="1" applyBorder="1" applyAlignment="1">
      <alignment horizontal="left"/>
    </xf>
    <xf numFmtId="43" fontId="3" fillId="0" borderId="5" xfId="1" applyFont="1" applyBorder="1" applyAlignment="1">
      <alignment horizontal="right"/>
    </xf>
    <xf numFmtId="44" fontId="0" fillId="0" borderId="0" xfId="0" applyNumberFormat="1" applyFill="1"/>
    <xf numFmtId="44" fontId="0" fillId="0" borderId="0" xfId="2" applyFont="1" applyFill="1"/>
    <xf numFmtId="0" fontId="3" fillId="0" borderId="5" xfId="0" applyFont="1" applyBorder="1"/>
    <xf numFmtId="43" fontId="3" fillId="0" borderId="6" xfId="0" applyNumberFormat="1" applyFont="1" applyBorder="1" applyAlignment="1">
      <alignment horizontal="right"/>
    </xf>
    <xf numFmtId="43" fontId="3" fillId="0" borderId="5" xfId="0" applyNumberFormat="1" applyFont="1" applyBorder="1"/>
    <xf numFmtId="0" fontId="5" fillId="0" borderId="0" xfId="0" applyFont="1" applyAlignment="1"/>
    <xf numFmtId="0" fontId="3" fillId="0" borderId="0" xfId="0" applyFont="1" applyAlignment="1"/>
    <xf numFmtId="164" fontId="3" fillId="0" borderId="6" xfId="0" applyNumberFormat="1" applyFont="1" applyBorder="1" applyAlignment="1"/>
    <xf numFmtId="44" fontId="3" fillId="0" borderId="0" xfId="0" applyNumberFormat="1" applyFont="1" applyAlignment="1"/>
    <xf numFmtId="0" fontId="3" fillId="0" borderId="5" xfId="0" applyFont="1" applyFill="1" applyBorder="1"/>
    <xf numFmtId="44" fontId="3" fillId="0" borderId="6" xfId="0" applyNumberFormat="1" applyFont="1" applyFill="1" applyBorder="1" applyAlignment="1"/>
    <xf numFmtId="44" fontId="3" fillId="0" borderId="0" xfId="0" applyNumberFormat="1" applyFont="1" applyFill="1" applyAlignment="1"/>
    <xf numFmtId="44" fontId="3" fillId="0" borderId="6" xfId="0" applyNumberFormat="1" applyFont="1" applyBorder="1" applyAlignment="1"/>
    <xf numFmtId="44" fontId="3" fillId="0" borderId="0" xfId="0" applyNumberFormat="1" applyFont="1"/>
    <xf numFmtId="0" fontId="0" fillId="0" borderId="0" xfId="0" applyFont="1"/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tabSelected="1" workbookViewId="0">
      <selection activeCell="B3" sqref="B3"/>
    </sheetView>
  </sheetViews>
  <sheetFormatPr defaultRowHeight="15" x14ac:dyDescent="0.25"/>
  <cols>
    <col min="1" max="1" width="17" customWidth="1"/>
    <col min="2" max="2" width="13.42578125" customWidth="1"/>
    <col min="3" max="3" width="10.85546875" customWidth="1"/>
    <col min="4" max="4" width="10.5703125" customWidth="1"/>
    <col min="5" max="6" width="9.28515625" customWidth="1"/>
    <col min="7" max="7" width="10.42578125" customWidth="1"/>
    <col min="8" max="8" width="11.42578125" customWidth="1"/>
    <col min="9" max="9" width="23.42578125" customWidth="1"/>
    <col min="10" max="10" width="13.28515625" customWidth="1"/>
    <col min="11" max="11" width="12.5703125" customWidth="1"/>
    <col min="12" max="12" width="17.7109375" customWidth="1"/>
  </cols>
  <sheetData>
    <row r="1" spans="1:12" ht="15" customHeight="1" x14ac:dyDescent="0.25">
      <c r="D1" s="1" t="s">
        <v>31</v>
      </c>
      <c r="E1" s="1"/>
      <c r="F1" s="1"/>
      <c r="G1" s="1"/>
      <c r="H1" s="1"/>
    </row>
    <row r="2" spans="1:12" x14ac:dyDescent="0.25">
      <c r="C2" s="2"/>
      <c r="D2" s="1"/>
      <c r="E2" s="1"/>
      <c r="F2" s="1"/>
      <c r="G2" s="1"/>
      <c r="H2" s="1"/>
    </row>
    <row r="3" spans="1:12" x14ac:dyDescent="0.25">
      <c r="C3" s="2"/>
      <c r="D3" s="1"/>
      <c r="E3" s="1"/>
      <c r="F3" s="1"/>
      <c r="G3" s="1"/>
      <c r="H3" s="1"/>
    </row>
    <row r="4" spans="1:12" ht="15.75" thickBot="1" x14ac:dyDescent="0.3">
      <c r="C4" s="3"/>
      <c r="D4" s="1"/>
      <c r="E4" s="1"/>
      <c r="F4" s="1"/>
      <c r="G4" s="1"/>
      <c r="H4" s="1"/>
    </row>
    <row r="5" spans="1:12" x14ac:dyDescent="0.25">
      <c r="A5" s="4"/>
      <c r="B5" s="4"/>
      <c r="C5" s="4"/>
      <c r="D5" s="4"/>
      <c r="E5" s="4"/>
      <c r="F5" s="4"/>
      <c r="G5" s="4"/>
      <c r="H5" s="4"/>
    </row>
    <row r="6" spans="1:12" ht="19.5" x14ac:dyDescent="0.3">
      <c r="A6" s="5" t="s">
        <v>0</v>
      </c>
      <c r="B6" s="5"/>
      <c r="C6" s="5"/>
      <c r="D6" s="5"/>
      <c r="E6" s="5"/>
      <c r="F6" s="5"/>
      <c r="G6" s="5"/>
      <c r="H6" s="5"/>
    </row>
    <row r="7" spans="1:12" x14ac:dyDescent="0.25">
      <c r="A7" s="6"/>
      <c r="B7" s="6"/>
      <c r="C7" s="6"/>
      <c r="D7" s="6"/>
      <c r="E7" s="6"/>
      <c r="F7" s="6"/>
      <c r="G7" s="6"/>
      <c r="H7" s="6"/>
    </row>
    <row r="8" spans="1:12" x14ac:dyDescent="0.25">
      <c r="A8" s="7" t="s">
        <v>1</v>
      </c>
      <c r="B8" s="8" t="s">
        <v>2</v>
      </c>
      <c r="C8" s="7"/>
      <c r="D8" s="7"/>
      <c r="E8" s="6"/>
      <c r="F8" s="6"/>
      <c r="G8" s="6"/>
      <c r="H8" s="6"/>
    </row>
    <row r="9" spans="1:12" x14ac:dyDescent="0.25">
      <c r="A9" s="9" t="s">
        <v>3</v>
      </c>
      <c r="B9" s="10">
        <v>40513</v>
      </c>
      <c r="C9" s="10"/>
      <c r="D9" s="9"/>
      <c r="E9" s="6"/>
      <c r="F9" s="6"/>
      <c r="G9" s="6"/>
      <c r="H9" s="6"/>
    </row>
    <row r="10" spans="1:12" x14ac:dyDescent="0.25">
      <c r="A10" s="9" t="s">
        <v>4</v>
      </c>
      <c r="B10" s="10">
        <v>42825</v>
      </c>
      <c r="C10" s="10"/>
      <c r="D10" s="9"/>
      <c r="E10" s="6"/>
      <c r="F10" s="6"/>
      <c r="G10" s="6"/>
      <c r="H10" s="6"/>
    </row>
    <row r="11" spans="1:12" x14ac:dyDescent="0.25">
      <c r="A11" s="6"/>
      <c r="B11" s="6"/>
      <c r="C11" s="6"/>
      <c r="D11" s="6"/>
      <c r="E11" s="6"/>
      <c r="F11" s="6"/>
      <c r="G11" s="6"/>
      <c r="H11" s="6"/>
    </row>
    <row r="12" spans="1:12" x14ac:dyDescent="0.25">
      <c r="A12" s="11" t="s">
        <v>5</v>
      </c>
      <c r="B12" s="12" t="s">
        <v>6</v>
      </c>
      <c r="C12" s="11" t="s">
        <v>7</v>
      </c>
      <c r="D12" s="11" t="s">
        <v>8</v>
      </c>
      <c r="E12" s="11" t="s">
        <v>9</v>
      </c>
      <c r="F12" s="11" t="s">
        <v>10</v>
      </c>
      <c r="G12" s="11" t="s">
        <v>11</v>
      </c>
      <c r="H12" s="6"/>
      <c r="I12" s="13"/>
      <c r="J12" s="13"/>
      <c r="K12" s="13"/>
      <c r="L12" s="13"/>
    </row>
    <row r="13" spans="1:12" x14ac:dyDescent="0.25">
      <c r="A13" s="14" t="s">
        <v>12</v>
      </c>
      <c r="B13" s="15">
        <v>184.8</v>
      </c>
      <c r="C13" s="15">
        <v>85.62</v>
      </c>
      <c r="D13" s="15">
        <v>60.06</v>
      </c>
      <c r="E13" s="15"/>
      <c r="F13" s="15"/>
      <c r="G13" s="15"/>
      <c r="H13" s="6"/>
      <c r="I13" s="13"/>
      <c r="J13" s="13"/>
      <c r="K13" s="13"/>
      <c r="L13" s="13"/>
    </row>
    <row r="14" spans="1:12" x14ac:dyDescent="0.25">
      <c r="A14" s="14" t="s">
        <v>13</v>
      </c>
      <c r="B14" s="15">
        <v>192.49</v>
      </c>
      <c r="C14" s="15"/>
      <c r="D14" s="15">
        <v>64.16</v>
      </c>
      <c r="E14" s="15"/>
      <c r="F14" s="15"/>
      <c r="G14" s="15"/>
      <c r="H14" s="6"/>
      <c r="I14" s="13"/>
      <c r="J14" s="16"/>
      <c r="K14" s="13"/>
      <c r="L14" s="13"/>
    </row>
    <row r="15" spans="1:12" x14ac:dyDescent="0.25">
      <c r="A15" s="14" t="s">
        <v>14</v>
      </c>
      <c r="B15" s="15">
        <v>109.08</v>
      </c>
      <c r="C15" s="15">
        <v>76.11</v>
      </c>
      <c r="D15" s="15">
        <v>27.57</v>
      </c>
      <c r="E15" s="15"/>
      <c r="F15" s="15"/>
      <c r="G15" s="15"/>
      <c r="H15" s="6"/>
      <c r="I15" s="13"/>
      <c r="J15" s="16"/>
      <c r="K15" s="13"/>
      <c r="L15" s="13"/>
    </row>
    <row r="16" spans="1:12" x14ac:dyDescent="0.25">
      <c r="A16" s="14" t="s">
        <v>15</v>
      </c>
      <c r="B16" s="15">
        <v>207.89</v>
      </c>
      <c r="C16" s="15"/>
      <c r="D16" s="15">
        <v>65.569999999999993</v>
      </c>
      <c r="E16" s="15"/>
      <c r="F16" s="15"/>
      <c r="G16" s="15"/>
      <c r="H16" s="6"/>
      <c r="I16" s="13"/>
      <c r="J16" s="13"/>
      <c r="K16" s="13"/>
      <c r="L16" s="13"/>
    </row>
    <row r="17" spans="1:12" x14ac:dyDescent="0.25">
      <c r="A17" s="14" t="s">
        <v>16</v>
      </c>
      <c r="B17" s="15">
        <v>208.53</v>
      </c>
      <c r="C17" s="15">
        <v>91.75</v>
      </c>
      <c r="D17" s="15">
        <v>68.98</v>
      </c>
      <c r="E17" s="15"/>
      <c r="F17" s="15"/>
      <c r="G17" s="15"/>
      <c r="H17" s="6"/>
      <c r="I17" s="13"/>
      <c r="J17" s="16"/>
      <c r="K17" s="16"/>
      <c r="L17" s="13"/>
    </row>
    <row r="18" spans="1:12" x14ac:dyDescent="0.25">
      <c r="A18" s="14" t="s">
        <v>17</v>
      </c>
      <c r="B18" s="15">
        <v>224.57</v>
      </c>
      <c r="C18" s="15">
        <v>93.04</v>
      </c>
      <c r="D18" s="15">
        <v>72.180000000000007</v>
      </c>
      <c r="E18" s="15"/>
      <c r="F18" s="15"/>
      <c r="G18" s="15"/>
      <c r="H18" s="6"/>
      <c r="I18" s="13"/>
      <c r="J18" s="13"/>
      <c r="K18" s="13"/>
      <c r="L18" s="13"/>
    </row>
    <row r="19" spans="1:12" x14ac:dyDescent="0.25">
      <c r="A19" s="14" t="s">
        <v>18</v>
      </c>
      <c r="B19" s="15">
        <v>256.64999999999998</v>
      </c>
      <c r="C19" s="15">
        <v>98.25</v>
      </c>
      <c r="D19" s="15">
        <v>102.26</v>
      </c>
      <c r="E19" s="15"/>
      <c r="F19" s="15"/>
      <c r="G19" s="15"/>
      <c r="H19" s="6"/>
      <c r="I19" s="13"/>
      <c r="J19" s="17"/>
      <c r="K19" s="13"/>
      <c r="L19" s="13"/>
    </row>
    <row r="20" spans="1:12" x14ac:dyDescent="0.25">
      <c r="A20" s="14" t="s">
        <v>19</v>
      </c>
      <c r="B20" s="15">
        <v>208.53</v>
      </c>
      <c r="C20" s="15">
        <v>182.22</v>
      </c>
      <c r="D20" s="15">
        <v>67.37</v>
      </c>
      <c r="E20" s="15"/>
      <c r="F20" s="15"/>
      <c r="G20" s="15"/>
      <c r="H20" s="6"/>
      <c r="I20" s="13"/>
      <c r="J20" s="17"/>
      <c r="K20" s="13"/>
      <c r="L20" s="13"/>
    </row>
    <row r="21" spans="1:12" x14ac:dyDescent="0.25">
      <c r="A21" s="14" t="s">
        <v>20</v>
      </c>
      <c r="B21" s="15">
        <v>226.71</v>
      </c>
      <c r="C21" s="15">
        <v>187.85</v>
      </c>
      <c r="D21" s="15">
        <v>72.87</v>
      </c>
      <c r="E21" s="15"/>
      <c r="F21" s="15"/>
      <c r="G21" s="15"/>
      <c r="H21" s="6"/>
      <c r="I21" s="13"/>
      <c r="J21" s="17"/>
      <c r="K21" s="13"/>
      <c r="L21" s="13"/>
    </row>
    <row r="22" spans="1:12" x14ac:dyDescent="0.25">
      <c r="A22" s="14" t="s">
        <v>21</v>
      </c>
      <c r="B22" s="15">
        <v>198.64</v>
      </c>
      <c r="C22" s="15">
        <v>93.8</v>
      </c>
      <c r="D22" s="15">
        <v>82.77</v>
      </c>
      <c r="E22" s="15"/>
      <c r="F22" s="15"/>
      <c r="G22" s="15"/>
      <c r="H22" s="6"/>
      <c r="I22" s="13"/>
      <c r="J22" s="17"/>
      <c r="K22" s="13"/>
      <c r="L22" s="13"/>
    </row>
    <row r="23" spans="1:12" x14ac:dyDescent="0.25">
      <c r="A23" s="14" t="s">
        <v>22</v>
      </c>
      <c r="B23" s="15">
        <v>231.75</v>
      </c>
      <c r="C23" s="15">
        <v>97.25</v>
      </c>
      <c r="D23" s="15">
        <v>93.11</v>
      </c>
      <c r="E23" s="15"/>
      <c r="F23" s="15"/>
      <c r="G23" s="15"/>
      <c r="H23" s="6"/>
      <c r="I23" s="13"/>
      <c r="J23" s="17"/>
      <c r="K23" s="13"/>
      <c r="L23" s="13"/>
    </row>
    <row r="24" spans="1:12" x14ac:dyDescent="0.25">
      <c r="A24" s="14" t="s">
        <v>23</v>
      </c>
      <c r="B24" s="15">
        <v>198.64</v>
      </c>
      <c r="C24" s="15"/>
      <c r="D24" s="15">
        <v>49.66</v>
      </c>
      <c r="E24" s="15"/>
      <c r="F24" s="15"/>
      <c r="G24" s="15"/>
      <c r="H24" s="6"/>
      <c r="I24" s="13"/>
      <c r="J24" s="17"/>
      <c r="K24" s="13"/>
      <c r="L24" s="13"/>
    </row>
    <row r="25" spans="1:12" x14ac:dyDescent="0.25">
      <c r="A25" s="14"/>
      <c r="B25" s="15"/>
      <c r="C25" s="15"/>
      <c r="D25" s="15"/>
      <c r="E25" s="15"/>
      <c r="F25" s="15"/>
      <c r="G25" s="15"/>
      <c r="H25" s="6"/>
      <c r="I25" s="13"/>
      <c r="J25" s="17"/>
      <c r="K25" s="13"/>
      <c r="L25" s="13"/>
    </row>
    <row r="26" spans="1:12" x14ac:dyDescent="0.25">
      <c r="A26" s="18" t="s">
        <v>24</v>
      </c>
      <c r="B26" s="15">
        <f t="shared" ref="B26:G26" si="0">SUM(B13:B24)</f>
        <v>2448.2799999999997</v>
      </c>
      <c r="C26" s="15">
        <f t="shared" si="0"/>
        <v>1005.89</v>
      </c>
      <c r="D26" s="15">
        <f t="shared" si="0"/>
        <v>826.56</v>
      </c>
      <c r="E26" s="15">
        <f t="shared" si="0"/>
        <v>0</v>
      </c>
      <c r="F26" s="15">
        <f t="shared" si="0"/>
        <v>0</v>
      </c>
      <c r="G26" s="15">
        <f t="shared" si="0"/>
        <v>0</v>
      </c>
      <c r="H26" s="18" t="s">
        <v>25</v>
      </c>
    </row>
    <row r="27" spans="1:12" x14ac:dyDescent="0.25">
      <c r="A27" s="18" t="s">
        <v>26</v>
      </c>
      <c r="B27" s="19">
        <f>B26/12</f>
        <v>204.02333333333331</v>
      </c>
      <c r="C27" s="19">
        <f t="shared" ref="C27:D27" si="1">C26/12</f>
        <v>83.82416666666667</v>
      </c>
      <c r="D27" s="19">
        <f t="shared" si="1"/>
        <v>68.88</v>
      </c>
      <c r="E27" s="19">
        <f t="shared" ref="E27:G27" si="2">E26/10</f>
        <v>0</v>
      </c>
      <c r="F27" s="19">
        <f t="shared" si="2"/>
        <v>0</v>
      </c>
      <c r="G27" s="19">
        <f t="shared" si="2"/>
        <v>0</v>
      </c>
      <c r="H27" s="20">
        <f>SUM(B27:G27)</f>
        <v>356.72749999999996</v>
      </c>
    </row>
    <row r="28" spans="1:12" x14ac:dyDescent="0.25">
      <c r="A28" s="6"/>
      <c r="B28" s="6"/>
      <c r="C28" s="6"/>
      <c r="D28" s="6"/>
      <c r="E28" s="6"/>
      <c r="F28" s="6"/>
      <c r="G28" s="6"/>
      <c r="H28" s="6"/>
    </row>
    <row r="29" spans="1:12" x14ac:dyDescent="0.25">
      <c r="A29" s="6"/>
      <c r="B29" s="6"/>
      <c r="C29" s="6"/>
      <c r="D29" s="6"/>
      <c r="E29" s="6"/>
      <c r="F29" s="6"/>
      <c r="G29" s="6"/>
      <c r="H29" s="6"/>
    </row>
    <row r="30" spans="1:12" ht="18.75" x14ac:dyDescent="0.3">
      <c r="A30" s="21" t="s">
        <v>27</v>
      </c>
      <c r="B30" s="21"/>
      <c r="C30" s="21"/>
      <c r="D30" s="22"/>
      <c r="E30" s="6"/>
      <c r="F30" s="6"/>
      <c r="G30" s="6"/>
      <c r="H30" s="6"/>
    </row>
    <row r="31" spans="1:12" x14ac:dyDescent="0.25">
      <c r="A31" s="6"/>
      <c r="B31" s="6"/>
      <c r="C31" s="6"/>
      <c r="D31" s="6"/>
      <c r="E31" s="6"/>
      <c r="F31" s="6"/>
      <c r="G31" s="6"/>
      <c r="H31" s="6"/>
    </row>
    <row r="32" spans="1:12" x14ac:dyDescent="0.25">
      <c r="A32" s="18" t="s">
        <v>28</v>
      </c>
      <c r="B32" s="23">
        <v>6</v>
      </c>
      <c r="C32" s="24"/>
      <c r="D32" s="6"/>
      <c r="E32" s="6"/>
      <c r="F32" s="6"/>
      <c r="G32" s="6"/>
      <c r="H32" s="6"/>
    </row>
    <row r="33" spans="1:8" x14ac:dyDescent="0.25">
      <c r="A33" s="25" t="s">
        <v>29</v>
      </c>
      <c r="B33" s="26">
        <f>H27</f>
        <v>356.72749999999996</v>
      </c>
      <c r="C33" s="27"/>
      <c r="D33" s="6"/>
      <c r="E33" s="6"/>
      <c r="F33" s="6"/>
      <c r="G33" s="6"/>
      <c r="H33" s="6"/>
    </row>
    <row r="34" spans="1:8" x14ac:dyDescent="0.25">
      <c r="A34" s="18" t="s">
        <v>30</v>
      </c>
      <c r="B34" s="28">
        <f>B32*B33</f>
        <v>2140.3649999999998</v>
      </c>
      <c r="C34" s="24"/>
      <c r="E34" s="29"/>
      <c r="F34" s="29"/>
      <c r="G34" s="6"/>
      <c r="H34" s="6"/>
    </row>
    <row r="35" spans="1:8" x14ac:dyDescent="0.25">
      <c r="A35" s="6"/>
      <c r="B35" s="6"/>
      <c r="C35" s="6"/>
      <c r="D35" s="6"/>
      <c r="E35" s="6"/>
      <c r="F35" s="6"/>
      <c r="G35" s="6"/>
      <c r="H35" s="6"/>
    </row>
    <row r="36" spans="1:8" x14ac:dyDescent="0.25">
      <c r="A36" s="6"/>
      <c r="B36" s="6"/>
      <c r="C36" s="6"/>
      <c r="D36" s="6"/>
      <c r="E36" s="6"/>
      <c r="F36" s="6"/>
      <c r="G36" s="6"/>
      <c r="H36" s="6"/>
    </row>
    <row r="37" spans="1:8" x14ac:dyDescent="0.25">
      <c r="A37" s="30"/>
      <c r="B37" s="30"/>
      <c r="C37" s="30"/>
      <c r="D37" s="30"/>
      <c r="E37" s="30"/>
      <c r="F37" s="30"/>
      <c r="G37" s="30"/>
      <c r="H37" s="30"/>
    </row>
    <row r="38" spans="1:8" x14ac:dyDescent="0.25">
      <c r="A38" s="30"/>
      <c r="B38" s="30"/>
      <c r="C38" s="30"/>
      <c r="D38" s="30"/>
      <c r="E38" s="30"/>
      <c r="F38" s="30"/>
      <c r="G38" s="30"/>
      <c r="H38" s="30"/>
    </row>
    <row r="39" spans="1:8" x14ac:dyDescent="0.25">
      <c r="A39" s="30"/>
      <c r="B39" s="30"/>
      <c r="C39" s="30"/>
      <c r="D39" s="30"/>
      <c r="E39" s="30"/>
      <c r="F39" s="30"/>
      <c r="G39" s="30"/>
      <c r="H39" s="30"/>
    </row>
  </sheetData>
  <mergeCells count="2">
    <mergeCell ref="D1:H4"/>
    <mergeCell ref="A6:H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Isis</dc:creator>
  <cp:lastModifiedBy>Isis</cp:lastModifiedBy>
  <dcterms:created xsi:type="dcterms:W3CDTF">2017-09-25T22:15:25Z</dcterms:created>
  <dcterms:modified xsi:type="dcterms:W3CDTF">2017-09-25T22:16:27Z</dcterms:modified>
</cp:coreProperties>
</file>