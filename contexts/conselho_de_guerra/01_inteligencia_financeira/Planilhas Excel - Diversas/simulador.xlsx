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99\AC\Temp\"/>
    </mc:Choice>
  </mc:AlternateContent>
  <xr:revisionPtr revIDLastSave="0" documentId="8_{6E78FC85-70EA-5047-B79E-8C44E9B815DA}" xr6:coauthVersionLast="28" xr6:coauthVersionMax="28" xr10:uidLastSave="{00000000-0000-0000-0000-000000000000}"/>
  <bookViews>
    <workbookView xWindow="0" yWindow="195" windowWidth="19035" windowHeight="12060" activeTab="2" xr2:uid="{00000000-000D-0000-FFFF-FFFF00000000}"/>
  </bookViews>
  <sheets>
    <sheet name="Simulador Acumulação de Capital" sheetId="1" r:id="rId1"/>
    <sheet name="Simulador 1º Milhão" sheetId="4" r:id="rId2"/>
    <sheet name="Simulador de aposentadoria" sheetId="5" r:id="rId3"/>
  </sheets>
  <calcPr calcId="171026"/>
</workbook>
</file>

<file path=xl/calcChain.xml><?xml version="1.0" encoding="utf-8"?>
<calcChain xmlns="http://schemas.openxmlformats.org/spreadsheetml/2006/main">
  <c r="C8" i="4" l="1"/>
  <c r="C9" i="4"/>
  <c r="C17" i="4"/>
  <c r="D17" i="4"/>
  <c r="C16" i="4"/>
  <c r="D16" i="4"/>
  <c r="C15" i="4"/>
  <c r="D15" i="4"/>
  <c r="C14" i="4"/>
  <c r="D14" i="4"/>
  <c r="C13" i="4"/>
  <c r="D13" i="4"/>
  <c r="C8" i="1"/>
  <c r="C10" i="1"/>
  <c r="C7" i="5"/>
  <c r="C5" i="5"/>
  <c r="C19" i="1"/>
  <c r="D19" i="1"/>
  <c r="C17" i="1"/>
  <c r="D17" i="1"/>
  <c r="C18" i="1"/>
  <c r="D18" i="1"/>
  <c r="C15" i="1"/>
  <c r="D15" i="1"/>
  <c r="C16" i="1"/>
  <c r="D16" i="1"/>
</calcChain>
</file>

<file path=xl/sharedStrings.xml><?xml version="1.0" encoding="utf-8"?>
<sst xmlns="http://schemas.openxmlformats.org/spreadsheetml/2006/main" count="29" uniqueCount="25">
  <si>
    <t>Núm. Aplicações</t>
  </si>
  <si>
    <t>Valor Acumulado</t>
  </si>
  <si>
    <t>Crescimento</t>
  </si>
  <si>
    <t>Simulador de aposentadoria</t>
  </si>
  <si>
    <t>Taxa média de rendimento da sua carteira (a.a)</t>
  </si>
  <si>
    <t>Taxa média de rendimento da sua carteira (a.m)</t>
  </si>
  <si>
    <t>Este será o valor da sua renda mensal vitalícia</t>
  </si>
  <si>
    <t>Quanto você pode aplicar mensalmente?</t>
  </si>
  <si>
    <t xml:space="preserve">1. Saiba quanto você acumulará a partir de seus investimentos mensais.
</t>
  </si>
  <si>
    <t>Você já tem algum valor investido?</t>
  </si>
  <si>
    <t>Simulador de Reserva de Capital</t>
  </si>
  <si>
    <t>2. Evolução do capital acumulado em função do número de aplicações</t>
  </si>
  <si>
    <t>Simulador do 1º Milhão</t>
  </si>
  <si>
    <t>Taxa média de retorno dos seus investimentos (a.a)?</t>
  </si>
  <si>
    <t>Taxa média de rendimento dos seus investimentos (a.m)?</t>
  </si>
  <si>
    <t>Qual o valor destas aplicações mensais:</t>
  </si>
  <si>
    <t>Capital acumulado ao final da última aplicação:</t>
  </si>
  <si>
    <t>Quanto você quer ter acumulado no futuro?</t>
  </si>
  <si>
    <t>Durante quanto tempo você pretende investir e fazer essa reserva?</t>
  </si>
  <si>
    <t>1. Quanto devo contribuir mensalmente para acumular:</t>
  </si>
  <si>
    <t>2. Evolução do capital acumulado em função do número de aplicações.</t>
  </si>
  <si>
    <t>Durante quanto tempo você pretende investir mensalmente?</t>
  </si>
  <si>
    <t>1. Quanto será minha renda vitacilia, com o capital acumulado:</t>
  </si>
  <si>
    <t>Valor Acumulado Estimado</t>
  </si>
  <si>
    <t>Capital acumulado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</si>
</sst>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\$\ #,##0_);\(\$\ #,##0\)"/>
    <numFmt numFmtId="166" formatCode="\$\ #,##0.00_);\(\$\ #,##0.00\)"/>
    <numFmt numFmtId="167" formatCode="0.0000%"/>
  </numFmts>
  <fonts count="1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0"/>
      <color indexed="9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4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8" fillId="0" borderId="0" xfId="0" applyFont="1" applyBorder="1" applyAlignment="1">
      <alignment horizontal="right"/>
    </xf>
    <xf numFmtId="3" fontId="5" fillId="0" borderId="0" xfId="0" applyNumberFormat="1" applyFont="1" applyFill="1" applyBorder="1" applyAlignment="1" applyProtection="1">
      <alignment horizontal="center"/>
      <protection locked="0"/>
    </xf>
    <xf numFmtId="9" fontId="7" fillId="0" borderId="0" xfId="1" applyFont="1" applyFill="1" applyBorder="1" applyAlignment="1" applyProtection="1">
      <alignment horizontal="center"/>
    </xf>
    <xf numFmtId="0" fontId="0" fillId="0" borderId="0" xfId="0" applyAlignment="1">
      <alignment horizontal="left"/>
    </xf>
    <xf numFmtId="0" fontId="12" fillId="0" borderId="0" xfId="0" applyFont="1"/>
    <xf numFmtId="0" fontId="12" fillId="0" borderId="0" xfId="0" applyFont="1" applyFill="1" applyBorder="1"/>
    <xf numFmtId="0" fontId="13" fillId="0" borderId="0" xfId="0" applyFont="1" applyFill="1" applyBorder="1"/>
    <xf numFmtId="0" fontId="12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right"/>
    </xf>
    <xf numFmtId="9" fontId="14" fillId="0" borderId="0" xfId="1" applyFont="1" applyFill="1" applyBorder="1" applyAlignment="1" applyProtection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/>
    <xf numFmtId="0" fontId="12" fillId="0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right"/>
    </xf>
    <xf numFmtId="0" fontId="12" fillId="0" borderId="0" xfId="0" applyFont="1" applyFill="1"/>
    <xf numFmtId="0" fontId="2" fillId="0" borderId="1" xfId="0" applyFont="1" applyFill="1" applyBorder="1" applyAlignment="1">
      <alignment horizontal="left"/>
    </xf>
    <xf numFmtId="3" fontId="2" fillId="0" borderId="2" xfId="0" applyNumberFormat="1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>
      <alignment horizontal="left"/>
    </xf>
    <xf numFmtId="165" fontId="8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>
      <alignment horizontal="center"/>
      <protection locked="0"/>
    </xf>
    <xf numFmtId="9" fontId="8" fillId="0" borderId="0" xfId="1" applyFont="1" applyFill="1" applyBorder="1" applyAlignment="1" applyProtection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166" fontId="8" fillId="0" borderId="2" xfId="0" applyNumberFormat="1" applyFont="1" applyFill="1" applyBorder="1" applyAlignment="1" applyProtection="1">
      <alignment horizontal="center"/>
    </xf>
    <xf numFmtId="0" fontId="8" fillId="0" borderId="4" xfId="0" applyFont="1" applyFill="1" applyBorder="1" applyAlignment="1">
      <alignment horizontal="left"/>
    </xf>
    <xf numFmtId="166" fontId="8" fillId="0" borderId="0" xfId="0" applyNumberFormat="1" applyFont="1" applyFill="1" applyBorder="1" applyAlignment="1" applyProtection="1">
      <alignment horizontal="center"/>
    </xf>
    <xf numFmtId="0" fontId="2" fillId="0" borderId="0" xfId="0" applyFont="1"/>
    <xf numFmtId="164" fontId="0" fillId="0" borderId="0" xfId="2" applyFont="1"/>
    <xf numFmtId="9" fontId="0" fillId="0" borderId="0" xfId="1" applyFont="1"/>
    <xf numFmtId="0" fontId="10" fillId="3" borderId="0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left" vertical="center"/>
    </xf>
    <xf numFmtId="9" fontId="8" fillId="0" borderId="1" xfId="1" applyFont="1" applyFill="1" applyBorder="1" applyAlignment="1" applyProtection="1">
      <alignment horizontal="center"/>
    </xf>
    <xf numFmtId="9" fontId="8" fillId="0" borderId="6" xfId="1" applyFont="1" applyFill="1" applyBorder="1" applyAlignment="1" applyProtection="1">
      <alignment horizontal="center"/>
    </xf>
    <xf numFmtId="166" fontId="8" fillId="0" borderId="1" xfId="0" applyNumberFormat="1" applyFont="1" applyFill="1" applyBorder="1" applyAlignment="1" applyProtection="1">
      <alignment horizontal="center"/>
    </xf>
    <xf numFmtId="166" fontId="8" fillId="0" borderId="5" xfId="0" applyNumberFormat="1" applyFont="1" applyFill="1" applyBorder="1" applyAlignment="1" applyProtection="1">
      <alignment horizontal="center"/>
    </xf>
    <xf numFmtId="166" fontId="8" fillId="0" borderId="6" xfId="0" applyNumberFormat="1" applyFont="1" applyFill="1" applyBorder="1" applyAlignment="1" applyProtection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 applyProtection="1">
      <alignment horizontal="center"/>
    </xf>
    <xf numFmtId="166" fontId="2" fillId="0" borderId="5" xfId="0" applyNumberFormat="1" applyFont="1" applyFill="1" applyBorder="1" applyAlignment="1" applyProtection="1">
      <alignment horizontal="center"/>
    </xf>
    <xf numFmtId="166" fontId="2" fillId="0" borderId="6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  <protection locked="0"/>
    </xf>
    <xf numFmtId="10" fontId="2" fillId="0" borderId="2" xfId="1" applyNumberFormat="1" applyFont="1" applyFill="1" applyBorder="1" applyAlignment="1" applyProtection="1">
      <alignment horizontal="center"/>
      <protection locked="0"/>
    </xf>
    <xf numFmtId="10" fontId="2" fillId="0" borderId="2" xfId="1" applyNumberFormat="1" applyFont="1" applyFill="1" applyBorder="1" applyAlignment="1" applyProtection="1">
      <alignment horizontal="center"/>
    </xf>
    <xf numFmtId="9" fontId="8" fillId="0" borderId="2" xfId="1" applyFont="1" applyFill="1" applyBorder="1" applyAlignment="1" applyProtection="1">
      <alignment horizontal="center"/>
    </xf>
    <xf numFmtId="0" fontId="4" fillId="2" borderId="0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 applyAlignment="1" applyProtection="1">
      <alignment horizontal="center"/>
      <protection locked="0"/>
    </xf>
    <xf numFmtId="167" fontId="2" fillId="0" borderId="2" xfId="1" applyNumberFormat="1" applyFont="1" applyFill="1" applyBorder="1" applyAlignment="1" applyProtection="1">
      <alignment horizontal="center"/>
    </xf>
    <xf numFmtId="166" fontId="8" fillId="0" borderId="2" xfId="0" applyNumberFormat="1" applyFont="1" applyFill="1" applyBorder="1" applyAlignment="1" applyProtection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8" fillId="0" borderId="2" xfId="0" applyNumberFormat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25" b="1" i="0" u="none" strike="noStrike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Simulação Capital Acumulado x Número de Aplicações</a:t>
            </a:r>
          </a:p>
        </c:rich>
      </c:tx>
      <c:layout>
        <c:manualLayout>
          <c:xMode val="edge"/>
          <c:yMode val="edge"/>
          <c:x val="0.30906803072973543"/>
          <c:y val="6.7901726876415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1831506355823167E-2"/>
          <c:y val="0.24074246114919087"/>
          <c:w val="0.96040988237583114"/>
          <c:h val="0.42592849349255818"/>
        </c:manualLayout>
      </c:layout>
      <c:barChart>
        <c:barDir val="col"/>
        <c:grouping val="clustered"/>
        <c:varyColors val="0"/>
        <c:ser>
          <c:idx val="0"/>
          <c:order val="0"/>
          <c:tx>
            <c:v>Valor Acumulado</c:v>
          </c:tx>
          <c:spPr>
            <a:solidFill>
              <a:srgbClr val="99CCFF"/>
            </a:solidFill>
            <a:ln w="25400">
              <a:noFill/>
            </a:ln>
          </c:spPr>
          <c:invertIfNegative val="0"/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3366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'Simulador Acumulação de Capital'!$B$15:$B$19</c:f>
              <c:numCache>
                <c:formatCode>#,##0</c:formatCode>
                <c:ptCount val="5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  <c:pt idx="4">
                  <c:v>360</c:v>
                </c:pt>
              </c:numCache>
            </c:numRef>
          </c:cat>
          <c:val>
            <c:numRef>
              <c:f>'Simulador Acumulação de Capital'!$C$15:$C$19</c:f>
              <c:numCache>
                <c:formatCode>\$\ #,##0.00_);\(\$\ #,##0.00\)</c:formatCode>
                <c:ptCount val="5"/>
                <c:pt idx="0">
                  <c:v>346163.96968489187</c:v>
                </c:pt>
                <c:pt idx="1">
                  <c:v>690400.4638479976</c:v>
                </c:pt>
                <c:pt idx="2">
                  <c:v>1297062.7863902769</c:v>
                </c:pt>
                <c:pt idx="3">
                  <c:v>2366209.0850334642</c:v>
                </c:pt>
                <c:pt idx="4">
                  <c:v>4250410.172571362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0-4109-8AD9-37B5BBF9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472431"/>
        <c:axId val="1"/>
      </c:barChart>
      <c:catAx>
        <c:axId val="107747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3366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Numero de aplicações</a:t>
                </a:r>
              </a:p>
            </c:rich>
          </c:tx>
          <c:layout>
            <c:manualLayout>
              <c:xMode val="edge"/>
              <c:yMode val="edge"/>
              <c:x val="0.41634791271529015"/>
              <c:y val="0.8333380645015939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\$\ #,##0.00_);\(\$\ #,##0.00\)" sourceLinked="1"/>
        <c:majorTickMark val="none"/>
        <c:minorTickMark val="none"/>
        <c:tickLblPos val="none"/>
        <c:spPr>
          <a:ln w="9525">
            <a:noFill/>
          </a:ln>
        </c:spPr>
        <c:crossAx val="107747243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25" b="1" i="0" u="none" strike="noStrike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Simulação Capital Acumulado x Número de Aplicações</a:t>
            </a:r>
          </a:p>
        </c:rich>
      </c:tx>
      <c:layout>
        <c:manualLayout>
          <c:xMode val="edge"/>
          <c:yMode val="edge"/>
          <c:x val="0.30906803072973543"/>
          <c:y val="6.7901726876415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1831506355823167E-2"/>
          <c:y val="0.24074246114919087"/>
          <c:w val="0.96040988237583114"/>
          <c:h val="0.425928493492558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CCFF"/>
            </a:solidFill>
            <a:ln w="25400">
              <a:noFill/>
            </a:ln>
          </c:spPr>
          <c:invertIfNegative val="0"/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3366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'Simulador 1º Milhão'!$B$13:$B$17</c:f>
              <c:numCache>
                <c:formatCode>#,##0</c:formatCode>
                <c:ptCount val="5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  <c:pt idx="4">
                  <c:v>360</c:v>
                </c:pt>
              </c:numCache>
            </c:numRef>
          </c:cat>
          <c:val>
            <c:numRef>
              <c:f>'Simulador 1º Milhão'!$C$13:$C$17</c:f>
              <c:numCache>
                <c:formatCode>\$\ #,##0.00_);\(\$\ #,##0.00\)</c:formatCode>
                <c:ptCount val="5"/>
                <c:pt idx="0">
                  <c:v>73016.822093011084</c:v>
                </c:pt>
                <c:pt idx="1">
                  <c:v>154748.71673504461</c:v>
                </c:pt>
                <c:pt idx="2">
                  <c:v>298788.24150961207</c:v>
                </c:pt>
                <c:pt idx="3">
                  <c:v>552635.10004815273</c:v>
                </c:pt>
                <c:pt idx="4">
                  <c:v>1000000.0000000001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A-4550-AD48-BC360F642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476591"/>
        <c:axId val="1"/>
      </c:barChart>
      <c:catAx>
        <c:axId val="1077476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3366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Numero de aplicações</a:t>
                </a:r>
              </a:p>
            </c:rich>
          </c:tx>
          <c:layout>
            <c:manualLayout>
              <c:xMode val="edge"/>
              <c:yMode val="edge"/>
              <c:x val="0.41634791271529015"/>
              <c:y val="0.8333380645015939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969696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\$\ #,##0.00_);\(\$\ #,##0.00\)" sourceLinked="1"/>
        <c:majorTickMark val="none"/>
        <c:minorTickMark val="none"/>
        <c:tickLblPos val="none"/>
        <c:spPr>
          <a:ln w="9525">
            <a:noFill/>
          </a:ln>
        </c:spPr>
        <c:crossAx val="10774765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85725</xdr:rowOff>
    </xdr:from>
    <xdr:to>
      <xdr:col>1</xdr:col>
      <xdr:colOff>2543175</xdr:colOff>
      <xdr:row>1</xdr:row>
      <xdr:rowOff>609600</xdr:rowOff>
    </xdr:to>
    <xdr:pic>
      <xdr:nvPicPr>
        <xdr:cNvPr id="1107" name="Picture 1" descr="Logo_XP_NovoC12">
          <a:extLst>
            <a:ext uri="{FF2B5EF4-FFF2-40B4-BE49-F238E27FC236}">
              <a16:creationId xmlns:a16="http://schemas.microsoft.com/office/drawing/2014/main" id="{B4D91E11-D74A-4062-8699-DB39DFF4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76225"/>
          <a:ext cx="23812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19</xdr:row>
      <xdr:rowOff>190500</xdr:rowOff>
    </xdr:from>
    <xdr:to>
      <xdr:col>2</xdr:col>
      <xdr:colOff>2190750</xdr:colOff>
      <xdr:row>31</xdr:row>
      <xdr:rowOff>85725</xdr:rowOff>
    </xdr:to>
    <xdr:graphicFrame macro="">
      <xdr:nvGraphicFramePr>
        <xdr:cNvPr id="1108" name="Gráfico 3">
          <a:extLst>
            <a:ext uri="{FF2B5EF4-FFF2-40B4-BE49-F238E27FC236}">
              <a16:creationId xmlns:a16="http://schemas.microsoft.com/office/drawing/2014/main" id="{01B893E7-EAF0-404D-87CF-F88262E6E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85725</xdr:rowOff>
    </xdr:from>
    <xdr:to>
      <xdr:col>1</xdr:col>
      <xdr:colOff>2543175</xdr:colOff>
      <xdr:row>1</xdr:row>
      <xdr:rowOff>609600</xdr:rowOff>
    </xdr:to>
    <xdr:pic>
      <xdr:nvPicPr>
        <xdr:cNvPr id="23586" name="Picture 1" descr="Logo_XP_NovoC12">
          <a:extLst>
            <a:ext uri="{FF2B5EF4-FFF2-40B4-BE49-F238E27FC236}">
              <a16:creationId xmlns:a16="http://schemas.microsoft.com/office/drawing/2014/main" id="{CAB749D0-F87B-4B01-9E0C-80EFD28C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47650"/>
          <a:ext cx="23812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21</xdr:row>
      <xdr:rowOff>19050</xdr:rowOff>
    </xdr:from>
    <xdr:to>
      <xdr:col>3</xdr:col>
      <xdr:colOff>85725</xdr:colOff>
      <xdr:row>34</xdr:row>
      <xdr:rowOff>133350</xdr:rowOff>
    </xdr:to>
    <xdr:graphicFrame macro="">
      <xdr:nvGraphicFramePr>
        <xdr:cNvPr id="23587" name="Gráfico 3">
          <a:extLst>
            <a:ext uri="{FF2B5EF4-FFF2-40B4-BE49-F238E27FC236}">
              <a16:creationId xmlns:a16="http://schemas.microsoft.com/office/drawing/2014/main" id="{715A729F-5749-4296-AF31-C861B800D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85725</xdr:rowOff>
    </xdr:from>
    <xdr:to>
      <xdr:col>1</xdr:col>
      <xdr:colOff>2543175</xdr:colOff>
      <xdr:row>1</xdr:row>
      <xdr:rowOff>609600</xdr:rowOff>
    </xdr:to>
    <xdr:pic>
      <xdr:nvPicPr>
        <xdr:cNvPr id="24615" name="Picture 1" descr="Logo_XP_NovoC12">
          <a:extLst>
            <a:ext uri="{FF2B5EF4-FFF2-40B4-BE49-F238E27FC236}">
              <a16:creationId xmlns:a16="http://schemas.microsoft.com/office/drawing/2014/main" id="{7417E011-B835-4E12-A7A0-C008411A6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47650"/>
          <a:ext cx="23812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1"/>
  <sheetViews>
    <sheetView showGridLines="0" workbookViewId="0" xr3:uid="{AEA406A1-0E4B-5B11-9CD5-51D6E497D94C}">
      <selection activeCell="D15" sqref="D15:E15"/>
    </sheetView>
  </sheetViews>
  <sheetFormatPr defaultColWidth="9.16796875" defaultRowHeight="14.25" x14ac:dyDescent="0.15"/>
  <cols>
    <col min="1" max="1" width="2.96484375" style="14" customWidth="1"/>
    <col min="2" max="2" width="67.42578125" style="14" customWidth="1"/>
    <col min="3" max="3" width="31.6875" style="14" customWidth="1"/>
    <col min="4" max="4" width="3.1015625" style="14" customWidth="1"/>
    <col min="5" max="5" width="16.046875" style="14" customWidth="1"/>
    <col min="6" max="6" width="9.16796875" style="14" hidden="1" customWidth="1"/>
    <col min="7" max="7" width="25.62109375" style="14" hidden="1" customWidth="1"/>
    <col min="8" max="16384" width="9.16796875" style="14"/>
  </cols>
  <sheetData>
    <row r="2" spans="2:8" ht="56.25" customHeight="1" x14ac:dyDescent="0.15">
      <c r="B2" s="40" t="s">
        <v>10</v>
      </c>
      <c r="C2" s="40"/>
      <c r="D2" s="40"/>
      <c r="E2" s="40"/>
      <c r="F2" s="40"/>
      <c r="G2" s="40"/>
    </row>
    <row r="3" spans="2:8" x14ac:dyDescent="0.15">
      <c r="B3" s="15"/>
      <c r="C3" s="16"/>
      <c r="D3" s="15"/>
      <c r="E3" s="15"/>
      <c r="F3" s="15"/>
      <c r="G3" s="15"/>
    </row>
    <row r="4" spans="2:8" x14ac:dyDescent="0.15">
      <c r="B4" s="52" t="s">
        <v>8</v>
      </c>
      <c r="C4" s="53"/>
      <c r="D4" s="53"/>
      <c r="E4" s="54"/>
    </row>
    <row r="5" spans="2:8" x14ac:dyDescent="0.15">
      <c r="B5" s="26" t="s">
        <v>7</v>
      </c>
      <c r="C5" s="55">
        <v>1000</v>
      </c>
      <c r="D5" s="56"/>
      <c r="E5" s="57"/>
    </row>
    <row r="6" spans="2:8" x14ac:dyDescent="0.15">
      <c r="B6" s="26" t="s">
        <v>21</v>
      </c>
      <c r="C6" s="58">
        <v>360</v>
      </c>
      <c r="D6" s="58"/>
      <c r="E6" s="58"/>
    </row>
    <row r="7" spans="2:8" x14ac:dyDescent="0.15">
      <c r="B7" s="26" t="s">
        <v>13</v>
      </c>
      <c r="C7" s="59">
        <v>0.12</v>
      </c>
      <c r="D7" s="59"/>
      <c r="E7" s="59"/>
    </row>
    <row r="8" spans="2:8" x14ac:dyDescent="0.15">
      <c r="B8" s="26" t="s">
        <v>14</v>
      </c>
      <c r="C8" s="60">
        <f>(1+C7)^(1/12)-1</f>
        <v>9.4887929345830457E-3</v>
      </c>
      <c r="D8" s="60"/>
      <c r="E8" s="60"/>
    </row>
    <row r="9" spans="2:8" x14ac:dyDescent="0.15">
      <c r="B9" s="26" t="s">
        <v>9</v>
      </c>
      <c r="C9" s="55">
        <v>40000</v>
      </c>
      <c r="D9" s="56"/>
      <c r="E9" s="57"/>
    </row>
    <row r="10" spans="2:8" x14ac:dyDescent="0.15">
      <c r="B10" s="28" t="s">
        <v>16</v>
      </c>
      <c r="C10" s="49">
        <f>FV(C8,C6,-C5,-C9,0)</f>
        <v>4250410.172571362</v>
      </c>
      <c r="D10" s="50"/>
      <c r="E10" s="51"/>
    </row>
    <row r="11" spans="2:8" x14ac:dyDescent="0.15">
      <c r="B11" s="9"/>
      <c r="C11" s="29"/>
      <c r="D11" s="1"/>
      <c r="E11" s="30"/>
      <c r="F11" s="19"/>
      <c r="G11" s="19"/>
      <c r="H11" s="20"/>
    </row>
    <row r="12" spans="2:8" x14ac:dyDescent="0.15">
      <c r="B12" s="1"/>
      <c r="C12" s="30"/>
      <c r="D12" s="29"/>
      <c r="E12" s="31"/>
    </row>
    <row r="13" spans="2:8" x14ac:dyDescent="0.15">
      <c r="B13" s="41" t="s">
        <v>20</v>
      </c>
      <c r="C13" s="42"/>
      <c r="D13" s="42"/>
      <c r="E13" s="43"/>
    </row>
    <row r="14" spans="2:8" x14ac:dyDescent="0.15">
      <c r="B14" s="32" t="s">
        <v>0</v>
      </c>
      <c r="C14" s="32" t="s">
        <v>1</v>
      </c>
      <c r="D14" s="44" t="s">
        <v>2</v>
      </c>
      <c r="E14" s="45"/>
    </row>
    <row r="15" spans="2:8" x14ac:dyDescent="0.15">
      <c r="B15" s="27">
        <v>120</v>
      </c>
      <c r="C15" s="34">
        <f>FV($C$8,B15,-$C$5,-$C$9,0)</f>
        <v>346163.96968489187</v>
      </c>
      <c r="D15" s="47">
        <f>C15/($C$6*$C$5)</f>
        <v>0.96156658245803295</v>
      </c>
      <c r="E15" s="48"/>
    </row>
    <row r="16" spans="2:8" x14ac:dyDescent="0.15">
      <c r="B16" s="27">
        <v>180</v>
      </c>
      <c r="C16" s="34">
        <f>FV($C$8,B16,-$C$5,-$C$9,0)</f>
        <v>690400.4638479976</v>
      </c>
      <c r="D16" s="47">
        <f>C16/($C$6*$C$5)</f>
        <v>1.9177790662444378</v>
      </c>
      <c r="E16" s="48"/>
    </row>
    <row r="17" spans="2:7" x14ac:dyDescent="0.15">
      <c r="B17" s="27">
        <v>240</v>
      </c>
      <c r="C17" s="34">
        <f>FV($C$8,B17,-$C$5,-$C$9,0)</f>
        <v>1297062.7863902769</v>
      </c>
      <c r="D17" s="47">
        <f>C17/($C$6*$C$5)</f>
        <v>3.6029521844174357</v>
      </c>
      <c r="E17" s="48"/>
    </row>
    <row r="18" spans="2:7" x14ac:dyDescent="0.15">
      <c r="B18" s="27">
        <v>300</v>
      </c>
      <c r="C18" s="34">
        <f>FV($C$8,B18,-$C$5,-$C$9,0)</f>
        <v>2366209.0850334642</v>
      </c>
      <c r="D18" s="47">
        <f>C18/($C$6*$C$5)</f>
        <v>6.5728030139818454</v>
      </c>
      <c r="E18" s="48"/>
    </row>
    <row r="19" spans="2:7" s="21" customFormat="1" ht="15.75" customHeight="1" x14ac:dyDescent="0.15">
      <c r="B19" s="27">
        <v>360</v>
      </c>
      <c r="C19" s="34">
        <f>FV($C$8,B19,-$C$5,-$C$9,0)</f>
        <v>4250410.172571362</v>
      </c>
      <c r="D19" s="47">
        <f>C19/($C$6*$C$5)</f>
        <v>11.806694923809339</v>
      </c>
      <c r="E19" s="48"/>
    </row>
    <row r="20" spans="2:7" x14ac:dyDescent="0.15">
      <c r="B20" s="17"/>
      <c r="C20" s="22"/>
      <c r="D20" s="17"/>
      <c r="E20" s="17"/>
    </row>
    <row r="21" spans="2:7" x14ac:dyDescent="0.15">
      <c r="B21" s="17"/>
      <c r="C21" s="46"/>
      <c r="D21" s="46"/>
      <c r="E21" s="46"/>
    </row>
    <row r="22" spans="2:7" x14ac:dyDescent="0.15">
      <c r="B22" s="17"/>
      <c r="C22" s="23"/>
      <c r="D22" s="23"/>
      <c r="E22" s="23"/>
    </row>
    <row r="23" spans="2:7" x14ac:dyDescent="0.15">
      <c r="B23" s="15"/>
      <c r="C23" s="15"/>
      <c r="D23" s="15"/>
      <c r="E23" s="15"/>
    </row>
    <row r="24" spans="2:7" x14ac:dyDescent="0.15">
      <c r="B24" s="15"/>
      <c r="C24" s="15"/>
      <c r="D24" s="15"/>
      <c r="E24" s="15"/>
    </row>
    <row r="25" spans="2:7" x14ac:dyDescent="0.15">
      <c r="B25" s="15"/>
      <c r="C25" s="15"/>
      <c r="D25" s="15"/>
      <c r="E25" s="15"/>
    </row>
    <row r="26" spans="2:7" x14ac:dyDescent="0.15">
      <c r="B26" s="15"/>
      <c r="C26" s="15"/>
      <c r="D26" s="15"/>
      <c r="E26" s="15"/>
      <c r="F26" s="15"/>
      <c r="G26" s="18"/>
    </row>
    <row r="27" spans="2:7" x14ac:dyDescent="0.15">
      <c r="B27" s="15"/>
      <c r="C27" s="15"/>
      <c r="D27" s="15"/>
      <c r="E27" s="15"/>
      <c r="F27" s="15"/>
      <c r="G27" s="24"/>
    </row>
    <row r="28" spans="2:7" x14ac:dyDescent="0.15">
      <c r="B28" s="15"/>
      <c r="C28" s="15"/>
      <c r="D28" s="15"/>
      <c r="E28" s="15"/>
      <c r="F28" s="15"/>
      <c r="G28" s="15"/>
    </row>
    <row r="29" spans="2:7" x14ac:dyDescent="0.15">
      <c r="B29" s="15"/>
      <c r="C29" s="15"/>
      <c r="D29" s="15"/>
      <c r="E29" s="15"/>
      <c r="F29" s="15"/>
      <c r="G29" s="15"/>
    </row>
    <row r="30" spans="2:7" x14ac:dyDescent="0.15">
      <c r="B30" s="15"/>
      <c r="C30" s="15"/>
      <c r="D30" s="15"/>
      <c r="E30" s="15"/>
      <c r="F30" s="15"/>
      <c r="G30" s="15"/>
    </row>
    <row r="31" spans="2:7" x14ac:dyDescent="0.15">
      <c r="B31" s="25"/>
      <c r="C31" s="25"/>
      <c r="D31" s="15"/>
      <c r="E31" s="15"/>
      <c r="F31" s="15"/>
      <c r="G31" s="15"/>
    </row>
    <row r="32" spans="2:7" x14ac:dyDescent="0.15">
      <c r="B32" s="25"/>
      <c r="C32" s="25"/>
      <c r="D32" s="15"/>
      <c r="E32" s="15"/>
      <c r="F32" s="15"/>
      <c r="G32" s="15"/>
    </row>
    <row r="33" spans="2:7" x14ac:dyDescent="0.15">
      <c r="B33" s="25"/>
      <c r="C33" s="25"/>
      <c r="D33" s="15"/>
      <c r="E33" s="25"/>
      <c r="F33" s="25"/>
      <c r="G33" s="25"/>
    </row>
    <row r="34" spans="2:7" x14ac:dyDescent="0.15">
      <c r="B34" s="25"/>
      <c r="C34" s="25"/>
      <c r="D34" s="25"/>
      <c r="E34" s="25"/>
      <c r="F34" s="25"/>
      <c r="G34" s="25"/>
    </row>
    <row r="35" spans="2:7" x14ac:dyDescent="0.15">
      <c r="B35" s="25"/>
      <c r="C35" s="25"/>
      <c r="D35" s="25"/>
      <c r="E35" s="25"/>
      <c r="F35" s="25"/>
      <c r="G35" s="25"/>
    </row>
    <row r="36" spans="2:7" x14ac:dyDescent="0.15">
      <c r="B36" s="25"/>
      <c r="C36" s="25"/>
      <c r="D36" s="25"/>
      <c r="E36" s="25"/>
      <c r="F36" s="25"/>
      <c r="G36" s="25"/>
    </row>
    <row r="37" spans="2:7" x14ac:dyDescent="0.15">
      <c r="B37" s="25"/>
      <c r="C37" s="25"/>
      <c r="D37" s="25"/>
      <c r="E37" s="25"/>
      <c r="F37" s="25"/>
      <c r="G37" s="25"/>
    </row>
    <row r="38" spans="2:7" x14ac:dyDescent="0.15">
      <c r="B38" s="25"/>
      <c r="C38" s="25"/>
      <c r="D38" s="25"/>
      <c r="E38" s="25"/>
      <c r="F38" s="25"/>
      <c r="G38" s="25"/>
    </row>
    <row r="39" spans="2:7" x14ac:dyDescent="0.15">
      <c r="D39" s="25"/>
      <c r="E39" s="25"/>
      <c r="F39" s="25"/>
      <c r="G39" s="25"/>
    </row>
    <row r="40" spans="2:7" x14ac:dyDescent="0.15">
      <c r="D40" s="25"/>
      <c r="E40" s="25"/>
      <c r="F40" s="25"/>
      <c r="G40" s="25"/>
    </row>
    <row r="41" spans="2:7" x14ac:dyDescent="0.15">
      <c r="D41" s="25"/>
    </row>
  </sheetData>
  <mergeCells count="16">
    <mergeCell ref="B2:G2"/>
    <mergeCell ref="B13:E13"/>
    <mergeCell ref="D14:E14"/>
    <mergeCell ref="C21:E21"/>
    <mergeCell ref="D19:E19"/>
    <mergeCell ref="D15:E15"/>
    <mergeCell ref="D16:E16"/>
    <mergeCell ref="C10:E10"/>
    <mergeCell ref="B4:E4"/>
    <mergeCell ref="D17:E17"/>
    <mergeCell ref="D18:E18"/>
    <mergeCell ref="C5:E5"/>
    <mergeCell ref="C6:E6"/>
    <mergeCell ref="C7:E7"/>
    <mergeCell ref="C8:E8"/>
    <mergeCell ref="C9:E9"/>
  </mergeCells>
  <phoneticPr fontId="9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1"/>
  <sheetViews>
    <sheetView showGridLines="0" workbookViewId="0" xr3:uid="{958C4451-9541-5A59-BF78-D2F731DF1C81}">
      <selection activeCell="I31" sqref="I31"/>
    </sheetView>
  </sheetViews>
  <sheetFormatPr defaultRowHeight="12.75" x14ac:dyDescent="0.15"/>
  <cols>
    <col min="1" max="1" width="2.96484375" customWidth="1"/>
    <col min="2" max="2" width="66.75" customWidth="1"/>
    <col min="3" max="3" width="27.9140625" customWidth="1"/>
    <col min="4" max="4" width="3.1015625" customWidth="1"/>
    <col min="5" max="5" width="16.71875" customWidth="1"/>
    <col min="6" max="6" width="9.16796875" hidden="1" customWidth="1"/>
    <col min="7" max="7" width="25.62109375" hidden="1" customWidth="1"/>
    <col min="9" max="9" width="11.32421875" bestFit="1" customWidth="1"/>
  </cols>
  <sheetData>
    <row r="2" spans="2:10" ht="56.25" customHeight="1" x14ac:dyDescent="0.15">
      <c r="B2" s="40" t="s">
        <v>12</v>
      </c>
      <c r="C2" s="40"/>
      <c r="D2" s="40"/>
      <c r="E2" s="40"/>
      <c r="F2" s="40"/>
      <c r="G2" s="40"/>
    </row>
    <row r="3" spans="2:10" ht="14.25" x14ac:dyDescent="0.15">
      <c r="B3" s="15"/>
      <c r="C3" s="16"/>
      <c r="D3" s="15"/>
      <c r="E3" s="15"/>
      <c r="F3" s="1"/>
      <c r="G3" s="1"/>
    </row>
    <row r="4" spans="2:10" x14ac:dyDescent="0.15">
      <c r="B4" s="52" t="s">
        <v>19</v>
      </c>
      <c r="C4" s="53"/>
      <c r="D4" s="53"/>
      <c r="E4" s="54"/>
    </row>
    <row r="5" spans="2:10" x14ac:dyDescent="0.15">
      <c r="B5" s="26" t="s">
        <v>17</v>
      </c>
      <c r="C5" s="64">
        <v>1000000</v>
      </c>
      <c r="D5" s="64"/>
      <c r="E5" s="64"/>
    </row>
    <row r="6" spans="2:10" x14ac:dyDescent="0.15">
      <c r="B6" s="26" t="s">
        <v>18</v>
      </c>
      <c r="C6" s="58">
        <v>360</v>
      </c>
      <c r="D6" s="58"/>
      <c r="E6" s="58"/>
    </row>
    <row r="7" spans="2:10" x14ac:dyDescent="0.15">
      <c r="B7" s="26" t="s">
        <v>13</v>
      </c>
      <c r="C7" s="59">
        <v>0.12</v>
      </c>
      <c r="D7" s="59"/>
      <c r="E7" s="59"/>
    </row>
    <row r="8" spans="2:10" x14ac:dyDescent="0.15">
      <c r="B8" s="26" t="s">
        <v>14</v>
      </c>
      <c r="C8" s="65">
        <f>(1+C7)^(1/12)-1</f>
        <v>9.4887929345830457E-3</v>
      </c>
      <c r="D8" s="65"/>
      <c r="E8" s="65"/>
    </row>
    <row r="9" spans="2:10" x14ac:dyDescent="0.15">
      <c r="B9" s="33" t="s">
        <v>15</v>
      </c>
      <c r="C9" s="66">
        <f>C5*C8/((1+C8)*((1+C8)^C6)-1)</f>
        <v>324.46745377348464</v>
      </c>
      <c r="D9" s="66"/>
      <c r="E9" s="66"/>
    </row>
    <row r="10" spans="2:10" x14ac:dyDescent="0.15">
      <c r="B10" s="35"/>
      <c r="C10" s="36"/>
      <c r="D10" s="1"/>
      <c r="E10" s="37"/>
    </row>
    <row r="11" spans="2:10" ht="12.75" customHeight="1" x14ac:dyDescent="0.15">
      <c r="B11" s="41" t="s">
        <v>11</v>
      </c>
      <c r="C11" s="42"/>
      <c r="D11" s="42"/>
      <c r="E11" s="43"/>
      <c r="F11" s="13"/>
    </row>
    <row r="12" spans="2:10" x14ac:dyDescent="0.15">
      <c r="B12" s="32" t="s">
        <v>0</v>
      </c>
      <c r="C12" s="32" t="s">
        <v>23</v>
      </c>
      <c r="D12" s="63" t="s">
        <v>2</v>
      </c>
      <c r="E12" s="63"/>
    </row>
    <row r="13" spans="2:10" x14ac:dyDescent="0.15">
      <c r="B13" s="27">
        <v>120</v>
      </c>
      <c r="C13" s="34">
        <f>($C$9*(1+$C$8)*(((1+$C$8)^B13)-1)/$C$8)+$C$9</f>
        <v>73016.822093011084</v>
      </c>
      <c r="D13" s="61">
        <f>C13/(B13*$C$9)</f>
        <v>1.875299079662218</v>
      </c>
      <c r="E13" s="61"/>
      <c r="I13" s="38"/>
      <c r="J13" s="39"/>
    </row>
    <row r="14" spans="2:10" x14ac:dyDescent="0.15">
      <c r="B14" s="27">
        <v>180</v>
      </c>
      <c r="C14" s="34">
        <f>($C$9*(1+$C$8)*(((1+$C$8)^B14)-1)/$C$8)+$C$9</f>
        <v>154748.71673504461</v>
      </c>
      <c r="D14" s="61">
        <f>C14/(B14*$C$9)</f>
        <v>2.6496188846498283</v>
      </c>
      <c r="E14" s="61"/>
      <c r="I14" s="38"/>
      <c r="J14" s="39"/>
    </row>
    <row r="15" spans="2:10" x14ac:dyDescent="0.15">
      <c r="B15" s="27">
        <v>240</v>
      </c>
      <c r="C15" s="34">
        <f>($C$9*(1+$C$8)*(((1+$C$8)^B15)-1)/$C$8)+$C$9</f>
        <v>298788.24150961207</v>
      </c>
      <c r="D15" s="61">
        <f>C15/(B15*$C$9)</f>
        <v>3.8369056489689357</v>
      </c>
      <c r="E15" s="61"/>
      <c r="I15" s="38"/>
      <c r="J15" s="39"/>
    </row>
    <row r="16" spans="2:10" x14ac:dyDescent="0.15">
      <c r="B16" s="27">
        <v>300</v>
      </c>
      <c r="C16" s="34">
        <f>($C$9*(1+$C$8)*(((1+$C$8)^B16)-1)/$C$8)+$C$9</f>
        <v>552635.10004815273</v>
      </c>
      <c r="D16" s="61">
        <f>C16/(B16*$C$9)</f>
        <v>5.6773552439145938</v>
      </c>
      <c r="E16" s="61"/>
      <c r="I16" s="38"/>
      <c r="J16" s="39"/>
    </row>
    <row r="17" spans="2:10" x14ac:dyDescent="0.15">
      <c r="B17" s="27">
        <v>360</v>
      </c>
      <c r="C17" s="34">
        <f>($C$9*(1+$C$8)*(((1+$C$8)^B17)-1)/$C$8)+$C$9</f>
        <v>1000000.0000000001</v>
      </c>
      <c r="D17" s="61">
        <f>C17/(B17*$C$9)</f>
        <v>8.5610366940438478</v>
      </c>
      <c r="E17" s="61"/>
      <c r="I17" s="38"/>
      <c r="J17" s="39"/>
    </row>
    <row r="18" spans="2:10" x14ac:dyDescent="0.15">
      <c r="B18" s="1"/>
      <c r="C18" s="1"/>
      <c r="D18" s="1"/>
      <c r="E18" s="11"/>
      <c r="F18" s="12"/>
      <c r="G18" s="12"/>
    </row>
    <row r="19" spans="2:10" ht="12.75" customHeight="1" x14ac:dyDescent="0.15">
      <c r="B19" s="1"/>
      <c r="C19" s="1"/>
      <c r="D19" s="1"/>
      <c r="E19" s="4"/>
      <c r="F19" s="3"/>
      <c r="G19" s="5"/>
    </row>
    <row r="20" spans="2:10" x14ac:dyDescent="0.15">
      <c r="B20" s="1"/>
      <c r="C20" s="1"/>
      <c r="D20" s="3"/>
      <c r="E20" s="4"/>
      <c r="F20" s="3"/>
      <c r="G20" s="5"/>
    </row>
    <row r="21" spans="2:10" x14ac:dyDescent="0.15">
      <c r="B21" s="1"/>
      <c r="C21" s="1"/>
      <c r="D21" s="3"/>
      <c r="E21" s="62"/>
      <c r="F21" s="62"/>
      <c r="G21" s="62"/>
    </row>
    <row r="22" spans="2:10" x14ac:dyDescent="0.15">
      <c r="B22" s="1"/>
      <c r="C22" s="1"/>
      <c r="D22" s="3"/>
      <c r="E22" s="7"/>
      <c r="F22" s="7"/>
      <c r="G22" s="7"/>
    </row>
    <row r="23" spans="2:10" x14ac:dyDescent="0.15">
      <c r="B23" s="6"/>
      <c r="C23" s="6"/>
      <c r="D23" s="1"/>
      <c r="E23" s="1"/>
      <c r="F23" s="1"/>
      <c r="G23" s="8"/>
    </row>
    <row r="24" spans="2:10" x14ac:dyDescent="0.15">
      <c r="B24" s="6"/>
      <c r="C24" s="6"/>
      <c r="D24" s="1"/>
      <c r="E24" s="1"/>
      <c r="F24" s="1"/>
      <c r="G24" s="9"/>
    </row>
    <row r="25" spans="2:10" x14ac:dyDescent="0.15">
      <c r="B25" s="6"/>
      <c r="C25" s="6"/>
      <c r="D25" s="1"/>
      <c r="E25" s="1"/>
      <c r="F25" s="1"/>
      <c r="G25" s="9"/>
    </row>
    <row r="26" spans="2:10" x14ac:dyDescent="0.15">
      <c r="B26" s="6"/>
      <c r="C26" s="6"/>
      <c r="D26" s="1"/>
      <c r="E26" s="1"/>
      <c r="F26" s="1"/>
      <c r="G26" s="9"/>
    </row>
    <row r="27" spans="2:10" x14ac:dyDescent="0.15">
      <c r="B27" s="6"/>
      <c r="C27" s="6"/>
      <c r="D27" s="1"/>
      <c r="E27" s="1"/>
      <c r="F27" s="1"/>
      <c r="G27" s="10"/>
    </row>
    <row r="28" spans="2:10" x14ac:dyDescent="0.15">
      <c r="B28" s="6"/>
      <c r="C28" s="6"/>
      <c r="D28" s="1"/>
      <c r="E28" s="1"/>
      <c r="F28" s="1"/>
      <c r="G28" s="1"/>
    </row>
    <row r="29" spans="2:10" x14ac:dyDescent="0.15">
      <c r="B29" s="6"/>
      <c r="C29" s="6"/>
      <c r="D29" s="1"/>
      <c r="E29" s="1"/>
      <c r="F29" s="1"/>
      <c r="G29" s="1"/>
    </row>
    <row r="30" spans="2:10" x14ac:dyDescent="0.15">
      <c r="B30" s="6"/>
      <c r="C30" s="6"/>
      <c r="D30" s="1"/>
      <c r="E30" s="1"/>
      <c r="F30" s="1"/>
      <c r="G30" s="1"/>
    </row>
    <row r="31" spans="2:10" x14ac:dyDescent="0.15">
      <c r="D31" s="1"/>
      <c r="E31" s="1"/>
      <c r="F31" s="1"/>
      <c r="G31" s="1"/>
    </row>
    <row r="32" spans="2:10" x14ac:dyDescent="0.15">
      <c r="D32" s="1"/>
      <c r="E32" s="1"/>
      <c r="F32" s="1"/>
      <c r="G32" s="1"/>
    </row>
    <row r="33" spans="4:7" x14ac:dyDescent="0.15">
      <c r="D33" s="1"/>
      <c r="E33" s="6"/>
      <c r="F33" s="6"/>
      <c r="G33" s="6"/>
    </row>
    <row r="34" spans="4:7" x14ac:dyDescent="0.15">
      <c r="D34" s="6"/>
      <c r="E34" s="6"/>
      <c r="F34" s="6"/>
      <c r="G34" s="6"/>
    </row>
    <row r="35" spans="4:7" x14ac:dyDescent="0.15">
      <c r="D35" s="6"/>
      <c r="E35" s="6"/>
      <c r="F35" s="6"/>
      <c r="G35" s="6"/>
    </row>
    <row r="36" spans="4:7" x14ac:dyDescent="0.15">
      <c r="D36" s="6"/>
      <c r="E36" s="6"/>
      <c r="F36" s="6"/>
      <c r="G36" s="6"/>
    </row>
    <row r="37" spans="4:7" x14ac:dyDescent="0.15">
      <c r="D37" s="6"/>
      <c r="E37" s="6"/>
      <c r="F37" s="6"/>
      <c r="G37" s="6"/>
    </row>
    <row r="38" spans="4:7" x14ac:dyDescent="0.15">
      <c r="D38" s="6"/>
      <c r="E38" s="6"/>
      <c r="F38" s="6"/>
      <c r="G38" s="6"/>
    </row>
    <row r="39" spans="4:7" x14ac:dyDescent="0.15">
      <c r="D39" s="6"/>
      <c r="E39" s="6"/>
      <c r="F39" s="6"/>
      <c r="G39" s="6"/>
    </row>
    <row r="40" spans="4:7" x14ac:dyDescent="0.15">
      <c r="D40" s="6"/>
      <c r="E40" s="6"/>
      <c r="F40" s="6"/>
      <c r="G40" s="6"/>
    </row>
    <row r="41" spans="4:7" x14ac:dyDescent="0.15">
      <c r="D41" s="6"/>
    </row>
  </sheetData>
  <mergeCells count="15">
    <mergeCell ref="D16:E16"/>
    <mergeCell ref="D17:E17"/>
    <mergeCell ref="E21:G21"/>
    <mergeCell ref="B2:G2"/>
    <mergeCell ref="B11:E11"/>
    <mergeCell ref="D12:E12"/>
    <mergeCell ref="D13:E13"/>
    <mergeCell ref="D14:E14"/>
    <mergeCell ref="C5:E5"/>
    <mergeCell ref="C6:E6"/>
    <mergeCell ref="C7:E7"/>
    <mergeCell ref="C8:E8"/>
    <mergeCell ref="C9:E9"/>
    <mergeCell ref="B4:E4"/>
    <mergeCell ref="D15:E15"/>
  </mergeCells>
  <pageMargins left="0.78740157499999996" right="0.78740157499999996" top="0.984251969" bottom="0.984251969" header="0.49212598499999999" footer="0.49212598499999999"/>
  <pageSetup paperSize="9" orientation="portrait" horizontalDpi="0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2"/>
  <sheetViews>
    <sheetView showGridLines="0" tabSelected="1" workbookViewId="0" xr3:uid="{842E5F09-E766-5B8D-85AF-A39847EA96FD}">
      <selection activeCell="C5" sqref="C5:E5"/>
    </sheetView>
  </sheetViews>
  <sheetFormatPr defaultRowHeight="12.75" x14ac:dyDescent="0.15"/>
  <cols>
    <col min="1" max="1" width="2.96484375" customWidth="1"/>
    <col min="2" max="2" width="52.7265625" bestFit="1" customWidth="1"/>
    <col min="3" max="3" width="28.453125" customWidth="1"/>
    <col min="4" max="4" width="3.1015625" customWidth="1"/>
    <col min="5" max="5" width="21.03515625" customWidth="1"/>
  </cols>
  <sheetData>
    <row r="2" spans="2:6" ht="56.25" customHeight="1" x14ac:dyDescent="0.15">
      <c r="B2" s="40" t="s">
        <v>3</v>
      </c>
      <c r="C2" s="40"/>
      <c r="D2" s="40"/>
      <c r="E2" s="40"/>
    </row>
    <row r="3" spans="2:6" x14ac:dyDescent="0.15">
      <c r="B3" s="1"/>
      <c r="C3" s="2"/>
      <c r="D3" s="1"/>
      <c r="E3" s="1"/>
    </row>
    <row r="4" spans="2:6" ht="15.75" customHeight="1" x14ac:dyDescent="0.15">
      <c r="B4" s="67" t="s">
        <v>22</v>
      </c>
      <c r="C4" s="68"/>
      <c r="D4" s="68"/>
      <c r="E4" s="68"/>
    </row>
    <row r="5" spans="2:6" x14ac:dyDescent="0.15">
      <c r="B5" s="28" t="s">
        <v>24</v>
      </c>
      <c r="C5" s="69">
        <f>C8/C7</f>
        <v>1000000</v>
      </c>
      <c r="D5" s="69"/>
      <c r="E5" s="69"/>
    </row>
    <row r="6" spans="2:6" ht="15.75" customHeight="1" x14ac:dyDescent="0.15">
      <c r="B6" s="26" t="s">
        <v>4</v>
      </c>
      <c r="C6" s="59">
        <v>0.12</v>
      </c>
      <c r="D6" s="59"/>
      <c r="E6" s="59"/>
    </row>
    <row r="7" spans="2:6" ht="15.75" customHeight="1" x14ac:dyDescent="0.15">
      <c r="B7" s="26" t="s">
        <v>5</v>
      </c>
      <c r="C7" s="60">
        <f>(1+C6)^(1/12)-1</f>
        <v>9.4887929345830457E-3</v>
      </c>
      <c r="D7" s="60"/>
      <c r="E7" s="60"/>
    </row>
    <row r="8" spans="2:6" x14ac:dyDescent="0.15">
      <c r="B8" s="28" t="s">
        <v>6</v>
      </c>
      <c r="C8" s="66">
        <v>9488.7929345830453</v>
      </c>
      <c r="D8" s="66"/>
      <c r="E8" s="66"/>
    </row>
    <row r="9" spans="2:6" x14ac:dyDescent="0.15">
      <c r="B9" s="1"/>
      <c r="C9" s="1"/>
      <c r="D9" s="1"/>
      <c r="E9" s="30"/>
      <c r="F9" s="13"/>
    </row>
    <row r="10" spans="2:6" x14ac:dyDescent="0.15">
      <c r="B10" s="1"/>
      <c r="C10" s="1"/>
      <c r="D10" s="1"/>
      <c r="E10" s="30"/>
    </row>
    <row r="11" spans="2:6" x14ac:dyDescent="0.15">
      <c r="B11" s="6"/>
      <c r="C11" s="6"/>
      <c r="D11" s="3"/>
      <c r="E11" s="4"/>
    </row>
    <row r="12" spans="2:6" x14ac:dyDescent="0.15">
      <c r="B12" s="6"/>
      <c r="C12" s="6"/>
      <c r="D12" s="3"/>
      <c r="E12" s="7"/>
    </row>
    <row r="13" spans="2:6" x14ac:dyDescent="0.15">
      <c r="B13" s="6"/>
      <c r="C13" s="6"/>
      <c r="D13" s="3"/>
      <c r="E13" s="7"/>
    </row>
    <row r="14" spans="2:6" x14ac:dyDescent="0.15">
      <c r="B14" s="6"/>
      <c r="C14" s="6"/>
      <c r="D14" s="1"/>
      <c r="E14" s="1"/>
    </row>
    <row r="15" spans="2:6" x14ac:dyDescent="0.15">
      <c r="D15" s="1"/>
      <c r="E15" s="1"/>
    </row>
    <row r="16" spans="2:6" x14ac:dyDescent="0.15">
      <c r="D16" s="1"/>
      <c r="E16" s="1"/>
    </row>
    <row r="17" spans="4:5" x14ac:dyDescent="0.15">
      <c r="D17" s="1"/>
      <c r="E17" s="1"/>
    </row>
    <row r="18" spans="4:5" x14ac:dyDescent="0.15">
      <c r="D18" s="1"/>
      <c r="E18" s="1"/>
    </row>
    <row r="19" spans="4:5" x14ac:dyDescent="0.15">
      <c r="D19" s="1"/>
      <c r="E19" s="1"/>
    </row>
    <row r="20" spans="4:5" x14ac:dyDescent="0.15">
      <c r="D20" s="1"/>
      <c r="E20" s="1"/>
    </row>
    <row r="21" spans="4:5" x14ac:dyDescent="0.15">
      <c r="D21" s="1"/>
      <c r="E21" s="1"/>
    </row>
    <row r="22" spans="4:5" x14ac:dyDescent="0.15">
      <c r="D22" s="1"/>
      <c r="E22" s="1"/>
    </row>
    <row r="23" spans="4:5" x14ac:dyDescent="0.15">
      <c r="D23" s="1"/>
      <c r="E23" s="1"/>
    </row>
    <row r="24" spans="4:5" x14ac:dyDescent="0.15">
      <c r="D24" s="1"/>
      <c r="E24" s="6"/>
    </row>
    <row r="25" spans="4:5" x14ac:dyDescent="0.15">
      <c r="D25" s="6"/>
      <c r="E25" s="6"/>
    </row>
    <row r="26" spans="4:5" x14ac:dyDescent="0.15">
      <c r="D26" s="6"/>
      <c r="E26" s="6"/>
    </row>
    <row r="27" spans="4:5" x14ac:dyDescent="0.15">
      <c r="D27" s="6"/>
      <c r="E27" s="6"/>
    </row>
    <row r="28" spans="4:5" x14ac:dyDescent="0.15">
      <c r="D28" s="6"/>
      <c r="E28" s="6"/>
    </row>
    <row r="29" spans="4:5" x14ac:dyDescent="0.15">
      <c r="D29" s="6"/>
      <c r="E29" s="6"/>
    </row>
    <row r="30" spans="4:5" x14ac:dyDescent="0.15">
      <c r="D30" s="6"/>
      <c r="E30" s="6"/>
    </row>
    <row r="31" spans="4:5" x14ac:dyDescent="0.15">
      <c r="D31" s="6"/>
      <c r="E31" s="6"/>
    </row>
    <row r="32" spans="4:5" x14ac:dyDescent="0.15">
      <c r="D32" s="6"/>
    </row>
  </sheetData>
  <mergeCells count="6">
    <mergeCell ref="C7:E7"/>
    <mergeCell ref="C8:E8"/>
    <mergeCell ref="B2:E2"/>
    <mergeCell ref="B4:E4"/>
    <mergeCell ref="C5:E5"/>
    <mergeCell ref="C6:E6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 Acumulação de Capital</vt:lpstr>
      <vt:lpstr>Simulador 1º Milhão</vt:lpstr>
      <vt:lpstr>Simulador de aposentadoria</vt:lpstr>
    </vt:vector>
  </TitlesOfParts>
  <Company>XP Investimentos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De Paoli</dc:creator>
  <cp:lastModifiedBy>X</cp:lastModifiedBy>
  <dcterms:created xsi:type="dcterms:W3CDTF">2008-06-13T18:07:09Z</dcterms:created>
  <dcterms:modified xsi:type="dcterms:W3CDTF">2018-03-10T09:17:37Z</dcterms:modified>
</cp:coreProperties>
</file>