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2041A1C0-A06B-E14A-B4D4-F908E81FE683}" xr6:coauthVersionLast="37" xr6:coauthVersionMax="37" xr10:uidLastSave="{00000000-0000-0000-0000-000000000000}"/>
  <bookViews>
    <workbookView xWindow="240" yWindow="60" windowWidth="20055" windowHeight="7950" xr2:uid="{00000000-000D-0000-FFFF-FFFF00000000}"/>
  </bookViews>
  <sheets>
    <sheet name="Apresentação" sheetId="3" r:id="rId1"/>
    <sheet name="Cálculo DIFAL" sheetId="1" r:id="rId2"/>
    <sheet name="Base para cálculos" sheetId="2" r:id="rId3"/>
  </sheets>
  <externalReferences>
    <externalReference r:id="rId4"/>
    <externalReference r:id="rId5"/>
  </externalReferences>
  <definedNames>
    <definedName name="Depósito">'[1]Prestação de Serviço'!$G$24</definedName>
    <definedName name="NomeCobrança">'[1]Prestação de Serviço'!$B$10</definedName>
    <definedName name="PesquisaCliente">[1]!ListadeClientes[Nome da Empresa]</definedName>
    <definedName name="SubtotalNotaFiscal">'[1]Prestação de Serviço'!$G$23</definedName>
  </definedNames>
  <calcPr calcId="179020"/>
</workbook>
</file>

<file path=xl/calcChain.xml><?xml version="1.0" encoding="utf-8"?>
<calcChain xmlns="http://schemas.openxmlformats.org/spreadsheetml/2006/main">
  <c r="D14" i="1" l="1"/>
  <c r="E13" i="1"/>
  <c r="D13" i="1"/>
  <c r="D12" i="1"/>
  <c r="E11" i="1"/>
  <c r="D11" i="1"/>
  <c r="E8" i="1"/>
  <c r="E10" i="1"/>
  <c r="E9" i="1"/>
  <c r="E14" i="1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Suportenote</author>
  </authors>
  <commentList>
    <comment ref="A3" authorId="0" shapeId="0" xr:uid="{00000000-0006-0000-0100-000001000000}">
      <text>
        <r>
          <rPr>
            <sz val="10"/>
            <color indexed="81"/>
            <rFont val="Calibri"/>
            <family val="2"/>
          </rPr>
          <t>Preencha as informações solicitadas na coluna B e o cálculo será realizado automaticamente na 2ª planilha.</t>
        </r>
      </text>
    </comment>
    <comment ref="D7" authorId="0" shapeId="0" xr:uid="{00000000-0006-0000-0100-000002000000}">
      <text>
        <r>
          <rPr>
            <sz val="10"/>
            <color indexed="81"/>
            <rFont val="Calibri"/>
            <family val="2"/>
            <scheme val="minor"/>
          </rPr>
          <t>Os cálculos desta planilha são realizados automaticamente, portanto, não altere nenhuma informação.</t>
        </r>
      </text>
    </comment>
  </commentList>
</comments>
</file>

<file path=xl/sharedStrings.xml><?xml version="1.0" encoding="utf-8"?>
<sst xmlns="http://schemas.openxmlformats.org/spreadsheetml/2006/main" count="59" uniqueCount="56">
  <si>
    <t>Anos</t>
  </si>
  <si>
    <t>Origem</t>
  </si>
  <si>
    <t>Destino</t>
  </si>
  <si>
    <t>Ufs</t>
  </si>
  <si>
    <t>AC</t>
  </si>
  <si>
    <t>AL</t>
  </si>
  <si>
    <t>AM</t>
  </si>
  <si>
    <t>2019 ou mais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</si>
  <si>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</si>
  <si>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</si>
  <si>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</si>
  <si>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</si>
  <si>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</si>
  <si>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</si>
  <si>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</si>
  <si>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</si>
  <si>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</si>
  <si>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</si>
  <si>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</si>
  <si>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</si>
  <si>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</si>
  <si>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</si>
  <si>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</si>
  <si>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</si>
  <si>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</si>
  <si>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</si>
  <si>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</si>
  <si>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</si>
  <si>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</si>
  <si>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</si>
  <si>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</si>
  <si>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</si>
  <si>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Planilha para cálculo do DIFAL</t>
  </si>
  <si>
    <t>DADOS PARA REALIZAÇÃO DO CÁLCULO</t>
  </si>
  <si>
    <t>Ano de realização da venda</t>
  </si>
  <si>
    <t xml:space="preserve">UF da empresa emissora da NF-e </t>
  </si>
  <si>
    <t>UF do consumidor não contribuinte</t>
  </si>
  <si>
    <t>Alíquota do ICMS Inter</t>
  </si>
  <si>
    <t>RESULTADO DO DIFAL</t>
  </si>
  <si>
    <t>Alíquota do ICMS Intra</t>
  </si>
  <si>
    <t>Base de Cálculo do ICMS</t>
  </si>
  <si>
    <t>Fundo de Combate à Pobreza</t>
  </si>
  <si>
    <t>Valor do produto</t>
  </si>
  <si>
    <t>Diferencial de Alíquota (antes da partilha)</t>
  </si>
  <si>
    <t>Valor do IPI</t>
  </si>
  <si>
    <t>Outras despesas da NF-e</t>
  </si>
  <si>
    <t>Desconto</t>
  </si>
  <si>
    <t>Valor do frete</t>
  </si>
  <si>
    <t>Esta planilha é apenas informativa e não deve ser alterada.</t>
  </si>
  <si>
    <t>Cálculo do DIFAL</t>
  </si>
  <si>
    <t>Planilha para Cálculo do Valor do DIFAL para vendas fora do estado</t>
  </si>
  <si>
    <t>Informe os valores na planilha "Cálculo DIFAL" na coluna B.</t>
  </si>
  <si>
    <t xml:space="preserve">Planilha </t>
  </si>
  <si>
    <t xml:space="preserve">Esta será a única coluna preenchida e com os dados da mesma, a planilha </t>
  </si>
  <si>
    <t xml:space="preserve">realizará todos os cálculos automaticamente e mostrará o valor de DIFAL  </t>
  </si>
  <si>
    <t>os para todos estados da transação.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</si>
</sst>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\ * #,##0.00_-;\-&quot;R$&quot;\ * #,##0.00_-;_-&quot;R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indexed="81"/>
      <name val="Calibri"/>
      <family val="2"/>
    </font>
    <font>
      <sz val="10"/>
      <color indexed="8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22"/>
      <color theme="1"/>
      <name val="Trebuchet MS"/>
      <family val="2"/>
    </font>
    <font>
      <b/>
      <sz val="26"/>
      <color theme="1"/>
      <name val="Trebuchet MS"/>
      <family val="2"/>
    </font>
    <font>
      <sz val="10"/>
      <name val="Trebuchet MS"/>
      <family val="2"/>
    </font>
    <font>
      <sz val="14"/>
      <color theme="1"/>
      <name val="Trebuchet MS"/>
      <family val="2"/>
    </font>
    <font>
      <sz val="10"/>
      <color theme="3"/>
      <name val="Calibri"/>
      <family val="2"/>
      <scheme val="minor"/>
    </font>
    <font>
      <b/>
      <sz val="14"/>
      <color theme="1"/>
      <name val="Trebuchet MS"/>
      <family val="2"/>
    </font>
    <font>
      <sz val="12"/>
      <color theme="1"/>
      <name val="Trebuchet MS"/>
      <family val="2"/>
    </font>
    <font>
      <u/>
      <sz val="10"/>
      <color rgb="FF00B0F0"/>
      <name val="Trebuchet MS"/>
      <family val="2"/>
    </font>
    <font>
      <u/>
      <sz val="10"/>
      <color indexed="12"/>
      <name val="Arial"/>
      <family val="2"/>
    </font>
    <font>
      <b/>
      <sz val="18"/>
      <color theme="1"/>
      <name val="Trebuchet MS"/>
      <family val="2"/>
    </font>
    <font>
      <b/>
      <sz val="12"/>
      <color theme="1"/>
      <name val="Trebuchet MS"/>
      <family val="2"/>
    </font>
    <font>
      <b/>
      <sz val="16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14" fillId="0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51">
    <xf numFmtId="0" fontId="0" fillId="0" borderId="0" xfId="0"/>
    <xf numFmtId="9" fontId="1" fillId="0" borderId="0" xfId="2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4" xfId="0" applyFont="1" applyFill="1" applyBorder="1" applyAlignment="1"/>
    <xf numFmtId="0" fontId="3" fillId="0" borderId="4" xfId="0" applyFont="1" applyBorder="1" applyAlignment="1" applyProtection="1">
      <alignment horizontal="right"/>
      <protection locked="0"/>
    </xf>
    <xf numFmtId="9" fontId="3" fillId="0" borderId="4" xfId="2" applyNumberFormat="1" applyFont="1" applyBorder="1" applyAlignment="1" applyProtection="1">
      <alignment horizontal="right"/>
      <protection locked="0"/>
    </xf>
    <xf numFmtId="0" fontId="5" fillId="3" borderId="5" xfId="0" applyFont="1" applyFill="1" applyBorder="1"/>
    <xf numFmtId="164" fontId="5" fillId="3" borderId="5" xfId="0" applyNumberFormat="1" applyFont="1" applyFill="1" applyBorder="1" applyAlignment="1">
      <alignment horizontal="right"/>
    </xf>
    <xf numFmtId="10" fontId="3" fillId="0" borderId="4" xfId="2" applyNumberFormat="1" applyFont="1" applyBorder="1" applyAlignment="1" applyProtection="1">
      <alignment horizontal="right"/>
      <protection locked="0"/>
    </xf>
    <xf numFmtId="0" fontId="5" fillId="3" borderId="6" xfId="0" applyFont="1" applyFill="1" applyBorder="1"/>
    <xf numFmtId="164" fontId="5" fillId="3" borderId="6" xfId="0" applyNumberFormat="1" applyFont="1" applyFill="1" applyBorder="1" applyAlignment="1">
      <alignment horizontal="right"/>
    </xf>
    <xf numFmtId="164" fontId="3" fillId="0" borderId="4" xfId="1" applyFont="1" applyBorder="1" applyAlignment="1" applyProtection="1">
      <alignment horizontal="right"/>
      <protection locked="0"/>
    </xf>
    <xf numFmtId="0" fontId="5" fillId="3" borderId="7" xfId="0" applyFont="1" applyFill="1" applyBorder="1"/>
    <xf numFmtId="164" fontId="5" fillId="3" borderId="7" xfId="1" applyFont="1" applyFill="1" applyBorder="1" applyAlignment="1">
      <alignment horizontal="right"/>
    </xf>
    <xf numFmtId="0" fontId="5" fillId="3" borderId="8" xfId="0" applyFont="1" applyFill="1" applyBorder="1"/>
    <xf numFmtId="9" fontId="5" fillId="3" borderId="8" xfId="2" applyFont="1" applyFill="1" applyBorder="1" applyAlignment="1">
      <alignment horizontal="right"/>
    </xf>
    <xf numFmtId="164" fontId="5" fillId="3" borderId="7" xfId="0" applyNumberFormat="1" applyFont="1" applyFill="1" applyBorder="1" applyAlignment="1">
      <alignment horizontal="right"/>
    </xf>
    <xf numFmtId="0" fontId="5" fillId="3" borderId="9" xfId="0" applyFont="1" applyFill="1" applyBorder="1"/>
    <xf numFmtId="164" fontId="5" fillId="3" borderId="9" xfId="0" applyNumberFormat="1" applyFont="1" applyFill="1" applyBorder="1" applyAlignment="1">
      <alignment horizontal="right"/>
    </xf>
    <xf numFmtId="0" fontId="0" fillId="0" borderId="0" xfId="0" applyBorder="1"/>
    <xf numFmtId="0" fontId="9" fillId="0" borderId="0" xfId="3"/>
    <xf numFmtId="0" fontId="9" fillId="2" borderId="0" xfId="3" applyFill="1"/>
    <xf numFmtId="0" fontId="11" fillId="0" borderId="0" xfId="3" applyFont="1"/>
    <xf numFmtId="0" fontId="12" fillId="0" borderId="0" xfId="3" applyFont="1"/>
    <xf numFmtId="0" fontId="13" fillId="0" borderId="0" xfId="3" applyFont="1"/>
    <xf numFmtId="0" fontId="15" fillId="0" borderId="0" xfId="3" applyFont="1"/>
    <xf numFmtId="0" fontId="16" fillId="0" borderId="0" xfId="3" applyFont="1"/>
    <xf numFmtId="0" fontId="20" fillId="0" borderId="0" xfId="3" applyFont="1" applyAlignment="1">
      <alignment vertical="center" wrapText="1"/>
    </xf>
    <xf numFmtId="0" fontId="21" fillId="0" borderId="0" xfId="3" applyFont="1"/>
    <xf numFmtId="0" fontId="15" fillId="0" borderId="0" xfId="3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left" vertical="center" wrapText="1"/>
    </xf>
    <xf numFmtId="0" fontId="13" fillId="0" borderId="0" xfId="3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wrapText="1"/>
    </xf>
    <xf numFmtId="0" fontId="8" fillId="0" borderId="10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8" fillId="0" borderId="16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wrapText="1"/>
    </xf>
    <xf numFmtId="0" fontId="8" fillId="0" borderId="17" xfId="0" applyFont="1" applyFill="1" applyBorder="1" applyAlignment="1">
      <alignment horizontal="center" wrapText="1"/>
    </xf>
  </cellXfs>
  <cellStyles count="8">
    <cellStyle name="Hiperlink" xfId="4" builtinId="8"/>
    <cellStyle name="Hyperlink 2" xfId="5" xr:uid="{00000000-0005-0000-0000-000001000000}"/>
    <cellStyle name="Moeda" xfId="1" builtinId="4"/>
    <cellStyle name="Normal" xfId="0" builtinId="0"/>
    <cellStyle name="Normal 2" xfId="3" xr:uid="{00000000-0005-0000-0000-000004000000}"/>
    <cellStyle name="Porcentagem" xfId="2" builtinId="5"/>
    <cellStyle name="Porcentagem 2" xfId="6" xr:uid="{00000000-0005-0000-0000-000006000000}"/>
    <cellStyle name="Separador de milhares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externalLink" Target="externalLinks/externalLink2.xml" /><Relationship Id="rId4" Type="http://schemas.openxmlformats.org/officeDocument/2006/relationships/externalLink" Target="externalLinks/externalLink1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156883</xdr:colOff>
      <xdr:row>3</xdr:row>
      <xdr:rowOff>123266</xdr:rowOff>
    </xdr:from>
    <xdr:to>
      <xdr:col>12</xdr:col>
      <xdr:colOff>336176</xdr:colOff>
      <xdr:row>6</xdr:row>
      <xdr:rowOff>134245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912" y="593913"/>
          <a:ext cx="5020235" cy="4816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X2/Documents/SIGE%20CLOUD/MARKETING/%23PASTAS%20ANTIGAS/BLOG/2016/Planilha_Orcamento_Servicos.xlsx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/Downloads/BLOG/Planilha-Calculo-DIFAL-ICMS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Prestação de Serviço"/>
      <sheetName val="Clientes"/>
      <sheetName val="Planilha_Orcamento_Servicos"/>
    </sheetNames>
    <sheetDataSet>
      <sheetData sheetId="0" refreshError="1"/>
      <sheetData sheetId="1">
        <row r="10">
          <cell r="B10" t="str">
            <v>Trey Research</v>
          </cell>
        </row>
        <row r="23">
          <cell r="G23">
            <v>2050</v>
          </cell>
        </row>
        <row r="24">
          <cell r="G24">
            <v>400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álculo"/>
      <sheetName val="Listas"/>
    </sheetNames>
    <sheetDataSet>
      <sheetData sheetId="0"/>
      <sheetData sheetId="1">
        <row r="1">
          <cell r="A1" t="str">
            <v>Anos</v>
          </cell>
          <cell r="B1" t="str">
            <v>Origem</v>
          </cell>
          <cell r="C1" t="str">
            <v>Destino</v>
          </cell>
        </row>
        <row r="2">
          <cell r="A2">
            <v>2016</v>
          </cell>
          <cell r="B2">
            <v>0.6</v>
          </cell>
          <cell r="C2">
            <v>0.4</v>
          </cell>
        </row>
        <row r="3">
          <cell r="A3">
            <v>2017</v>
          </cell>
          <cell r="B3">
            <v>0.4</v>
          </cell>
          <cell r="C3">
            <v>0.6</v>
          </cell>
        </row>
        <row r="4">
          <cell r="A4">
            <v>2018</v>
          </cell>
          <cell r="B4">
            <v>0.2</v>
          </cell>
          <cell r="C4">
            <v>0.8</v>
          </cell>
        </row>
        <row r="5">
          <cell r="A5" t="str">
            <v>2019 ou mais</v>
          </cell>
          <cell r="B5">
            <v>0</v>
          </cell>
          <cell r="C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showGridLines="0" showRowColHeaders="0" tabSelected="1" zoomScale="85" zoomScaleNormal="85" workbookViewId="0" xr3:uid="{AEA406A1-0E4B-5B11-9CD5-51D6E497D94C}">
      <selection activeCell="J23" sqref="J23"/>
    </sheetView>
  </sheetViews>
  <sheetFormatPr defaultColWidth="0" defaultRowHeight="12.75" customHeight="1" zeroHeight="1" x14ac:dyDescent="0.15"/>
  <cols>
    <col min="1" max="1" width="2.41796875" style="21" customWidth="1"/>
    <col min="2" max="2" width="2.15234375" style="21" customWidth="1"/>
    <col min="3" max="3" width="4.4375" style="21" customWidth="1"/>
    <col min="4" max="14" width="9.14453125" style="21" customWidth="1"/>
    <col min="15" max="15" width="6.9921875" style="21" customWidth="1"/>
    <col min="16" max="16" width="2.28515625" style="21" customWidth="1"/>
    <col min="17" max="17" width="2.5546875" style="21" customWidth="1"/>
    <col min="18" max="18" width="0" style="21" hidden="1" customWidth="1"/>
    <col min="19" max="16384" width="9.14453125" style="21" hidden="1"/>
  </cols>
  <sheetData>
    <row r="1" spans="2:16" x14ac:dyDescent="0.15"/>
    <row r="2" spans="2:16" x14ac:dyDescent="0.15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2:16" x14ac:dyDescent="0.15">
      <c r="B3" s="22"/>
      <c r="P3" s="22"/>
    </row>
    <row r="4" spans="2:16" x14ac:dyDescent="0.15">
      <c r="B4" s="22"/>
      <c r="P4" s="22"/>
    </row>
    <row r="5" spans="2:16" x14ac:dyDescent="0.15">
      <c r="B5" s="22"/>
      <c r="P5" s="22"/>
    </row>
    <row r="6" spans="2:16" x14ac:dyDescent="0.15">
      <c r="B6" s="22"/>
      <c r="P6" s="22"/>
    </row>
    <row r="7" spans="2:16" x14ac:dyDescent="0.15">
      <c r="B7" s="22"/>
      <c r="P7" s="22"/>
    </row>
    <row r="8" spans="2:16" x14ac:dyDescent="0.15">
      <c r="B8" s="22"/>
      <c r="P8" s="22"/>
    </row>
    <row r="9" spans="2:16" ht="22.5" x14ac:dyDescent="0.25">
      <c r="B9" s="22"/>
      <c r="D9" s="32" t="s">
        <v>52</v>
      </c>
      <c r="E9" s="32"/>
      <c r="F9" s="32"/>
      <c r="G9" s="32"/>
      <c r="H9" s="32"/>
      <c r="I9" s="32"/>
      <c r="J9" s="32"/>
      <c r="K9" s="32"/>
      <c r="L9" s="32"/>
      <c r="M9" s="32"/>
      <c r="N9" s="32"/>
      <c r="P9" s="22"/>
    </row>
    <row r="10" spans="2:16" ht="28.5" x14ac:dyDescent="0.35">
      <c r="B10" s="22"/>
      <c r="D10" s="33" t="s">
        <v>49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P10" s="22"/>
    </row>
    <row r="11" spans="2:16" ht="33" x14ac:dyDescent="0.4">
      <c r="B11" s="22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2"/>
    </row>
    <row r="12" spans="2:16" ht="18" x14ac:dyDescent="0.2">
      <c r="B12" s="22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P12" s="22"/>
    </row>
    <row r="13" spans="2:16" ht="21" x14ac:dyDescent="0.25">
      <c r="B13" s="22"/>
      <c r="D13" s="29" t="s">
        <v>50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P13" s="22"/>
    </row>
    <row r="14" spans="2:16" ht="15" customHeight="1" x14ac:dyDescent="0.2">
      <c r="B14" s="22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P14" s="22"/>
    </row>
    <row r="15" spans="2:16" ht="15" customHeight="1" x14ac:dyDescent="0.15">
      <c r="B15" s="22"/>
      <c r="D15" s="30" t="s">
        <v>51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P15" s="22"/>
    </row>
    <row r="16" spans="2:16" ht="18" x14ac:dyDescent="0.2">
      <c r="B16" s="22"/>
      <c r="D16" s="26" t="s">
        <v>53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2"/>
    </row>
    <row r="17" spans="2:16" ht="18" x14ac:dyDescent="0.2">
      <c r="B17" s="22"/>
      <c r="D17" s="26" t="s">
        <v>54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2"/>
    </row>
    <row r="18" spans="2:16" ht="18" x14ac:dyDescent="0.2">
      <c r="B18" s="22"/>
      <c r="D18" s="26" t="s">
        <v>55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P18" s="22"/>
    </row>
    <row r="19" spans="2:16" ht="15.75" x14ac:dyDescent="0.2">
      <c r="B19" s="22"/>
      <c r="D19" s="27"/>
      <c r="E19" s="24"/>
      <c r="F19" s="24"/>
      <c r="G19" s="24"/>
      <c r="H19" s="24"/>
      <c r="I19" s="24"/>
      <c r="J19" s="24"/>
      <c r="K19" s="24"/>
      <c r="L19" s="24"/>
      <c r="M19" s="24"/>
      <c r="N19" s="24"/>
      <c r="P19" s="22"/>
    </row>
    <row r="20" spans="2:16" ht="17.25" customHeight="1" x14ac:dyDescent="0.15">
      <c r="B20" s="22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P20" s="22"/>
    </row>
    <row r="21" spans="2:16" ht="17.25" customHeight="1" x14ac:dyDescent="0.15">
      <c r="B21" s="22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P21" s="22"/>
    </row>
    <row r="22" spans="2:16" ht="13.5" x14ac:dyDescent="0.15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P22" s="22"/>
    </row>
    <row r="23" spans="2:16" ht="15.75" x14ac:dyDescent="0.2">
      <c r="B23" s="22"/>
      <c r="D23" s="27"/>
      <c r="E23" s="24"/>
      <c r="F23" s="24"/>
      <c r="G23" s="24"/>
      <c r="H23" s="24"/>
      <c r="I23" s="24"/>
      <c r="J23" s="24"/>
      <c r="K23" s="24"/>
      <c r="L23" s="24"/>
      <c r="M23" s="24"/>
      <c r="N23" s="24"/>
      <c r="P23" s="22"/>
    </row>
    <row r="24" spans="2:16" ht="13.5" x14ac:dyDescent="0.15">
      <c r="B24" s="22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P24" s="22"/>
    </row>
    <row r="25" spans="2:16" ht="18" x14ac:dyDescent="0.2">
      <c r="B25" s="22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P25" s="22"/>
    </row>
    <row r="26" spans="2:16" ht="13.5" x14ac:dyDescent="0.15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P26" s="22"/>
    </row>
    <row r="27" spans="2:16" ht="13.5" x14ac:dyDescent="0.15">
      <c r="B27" s="2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P27" s="22"/>
    </row>
    <row r="28" spans="2:16" ht="13.5" x14ac:dyDescent="0.15">
      <c r="B28" s="2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P28" s="22"/>
    </row>
    <row r="29" spans="2:16" x14ac:dyDescent="0.1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2:16" x14ac:dyDescent="0.15"/>
    <row r="31" spans="2:16" hidden="1" x14ac:dyDescent="0.15"/>
    <row r="32" spans="2:16" hidden="1" x14ac:dyDescent="0.15"/>
    <row r="33" hidden="1" x14ac:dyDescent="0.15"/>
    <row r="34" hidden="1" x14ac:dyDescent="0.15"/>
    <row r="35" hidden="1" x14ac:dyDescent="0.15"/>
    <row r="36" hidden="1" x14ac:dyDescent="0.15"/>
    <row r="37" hidden="1" x14ac:dyDescent="0.15"/>
    <row r="38" hidden="1" x14ac:dyDescent="0.15"/>
    <row r="39" hidden="1" x14ac:dyDescent="0.15"/>
    <row r="40" hidden="1" x14ac:dyDescent="0.15"/>
    <row r="41" hidden="1" x14ac:dyDescent="0.15"/>
    <row r="42" hidden="1" x14ac:dyDescent="0.15"/>
    <row r="43" hidden="1" x14ac:dyDescent="0.15"/>
    <row r="44" hidden="1" x14ac:dyDescent="0.15"/>
    <row r="45" hidden="1" x14ac:dyDescent="0.15"/>
    <row r="46" hidden="1" x14ac:dyDescent="0.15"/>
    <row r="47" hidden="1" x14ac:dyDescent="0.15"/>
    <row r="48" hidden="1" x14ac:dyDescent="0.15"/>
    <row r="49" hidden="1" x14ac:dyDescent="0.15"/>
    <row r="50" hidden="1" x14ac:dyDescent="0.15"/>
    <row r="51" hidden="1" x14ac:dyDescent="0.15"/>
    <row r="52" hidden="1" x14ac:dyDescent="0.15"/>
    <row r="53" hidden="1" x14ac:dyDescent="0.15"/>
    <row r="54" hidden="1" x14ac:dyDescent="0.15"/>
    <row r="55" hidden="1" x14ac:dyDescent="0.15"/>
    <row r="56" ht="12.75" hidden="1" customHeight="1" x14ac:dyDescent="0.15"/>
    <row r="57" ht="12.75" hidden="1" customHeight="1" x14ac:dyDescent="0.15"/>
    <row r="58" ht="12.75" hidden="1" customHeight="1" x14ac:dyDescent="0.15"/>
    <row r="59" ht="12.75" hidden="1" customHeight="1" x14ac:dyDescent="0.15"/>
    <row r="60" ht="12.75" hidden="1" customHeight="1" x14ac:dyDescent="0.15"/>
    <row r="61" ht="12.75" hidden="1" customHeight="1" x14ac:dyDescent="0.15"/>
    <row r="62" ht="12.75" hidden="1" customHeight="1" x14ac:dyDescent="0.15"/>
    <row r="63" ht="12.75" hidden="1" customHeight="1" x14ac:dyDescent="0.15"/>
    <row r="64" ht="12.75" hidden="1" customHeight="1" x14ac:dyDescent="0.15"/>
    <row r="65" ht="12.75" hidden="1" customHeight="1" x14ac:dyDescent="0.15"/>
    <row r="66" ht="12.75" hidden="1" customHeight="1" x14ac:dyDescent="0.15"/>
    <row r="67" ht="12.75" hidden="1" customHeight="1" x14ac:dyDescent="0.15"/>
    <row r="68" ht="12.75" hidden="1" customHeight="1" x14ac:dyDescent="0.15"/>
    <row r="69" ht="12.75" hidden="1" customHeight="1" x14ac:dyDescent="0.15"/>
    <row r="70" ht="12.75" hidden="1" customHeight="1" x14ac:dyDescent="0.15"/>
    <row r="71" ht="12.75" hidden="1" customHeight="1" x14ac:dyDescent="0.15"/>
    <row r="72" ht="12.75" hidden="1" customHeight="1" x14ac:dyDescent="0.15"/>
    <row r="73" ht="12.75" hidden="1" customHeight="1" x14ac:dyDescent="0.15"/>
    <row r="74" ht="12.75" hidden="1" customHeight="1" x14ac:dyDescent="0.15"/>
    <row r="75" ht="12.75" hidden="1" customHeight="1" x14ac:dyDescent="0.15"/>
    <row r="76" ht="12.75" hidden="1" customHeight="1" x14ac:dyDescent="0.15"/>
    <row r="77" ht="12.75" hidden="1" customHeight="1" x14ac:dyDescent="0.15"/>
    <row r="78" ht="12.75" hidden="1" customHeight="1" x14ac:dyDescent="0.15"/>
    <row r="79" ht="12.75" hidden="1" customHeight="1" x14ac:dyDescent="0.15"/>
    <row r="80" ht="12.75" hidden="1" customHeight="1" x14ac:dyDescent="0.15"/>
    <row r="81" ht="12.75" hidden="1" customHeight="1" x14ac:dyDescent="0.15"/>
    <row r="82" ht="12.75" hidden="1" customHeight="1" x14ac:dyDescent="0.15"/>
    <row r="83" ht="12.75" hidden="1" customHeight="1" x14ac:dyDescent="0.15"/>
    <row r="84" ht="12.75" hidden="1" customHeight="1" x14ac:dyDescent="0.15"/>
    <row r="85" ht="12.75" hidden="1" customHeight="1" x14ac:dyDescent="0.15"/>
    <row r="86" ht="12.75" hidden="1" customHeight="1" x14ac:dyDescent="0.15"/>
    <row r="87" ht="12.75" hidden="1" customHeight="1" x14ac:dyDescent="0.15"/>
    <row r="88" ht="12.75" hidden="1" customHeight="1" x14ac:dyDescent="0.15"/>
    <row r="89" ht="12.75" hidden="1" customHeight="1" x14ac:dyDescent="0.15"/>
    <row r="90" ht="12.75" hidden="1" customHeight="1" x14ac:dyDescent="0.15"/>
    <row r="91" ht="12.75" hidden="1" customHeight="1" x14ac:dyDescent="0.15"/>
    <row r="92" ht="12.75" hidden="1" customHeight="1" x14ac:dyDescent="0.15"/>
    <row r="93" ht="12.75" hidden="1" customHeight="1" x14ac:dyDescent="0.15"/>
    <row r="94" ht="12.75" hidden="1" customHeight="1" x14ac:dyDescent="0.15"/>
    <row r="95" ht="12.75" hidden="1" customHeight="1" x14ac:dyDescent="0.15"/>
    <row r="96" ht="12.75" hidden="1" customHeight="1" x14ac:dyDescent="0.15"/>
    <row r="97" ht="12.75" hidden="1" customHeight="1" x14ac:dyDescent="0.15"/>
    <row r="98" ht="12.75" hidden="1" customHeight="1" x14ac:dyDescent="0.15"/>
    <row r="99" ht="12.75" hidden="1" customHeight="1" x14ac:dyDescent="0.15"/>
    <row r="100" ht="12.75" hidden="1" customHeight="1" x14ac:dyDescent="0.15"/>
    <row r="101" ht="12.75" hidden="1" customHeight="1" x14ac:dyDescent="0.15"/>
    <row r="102" ht="12.75" hidden="1" customHeight="1" x14ac:dyDescent="0.15"/>
    <row r="103" ht="12.75" hidden="1" customHeight="1" x14ac:dyDescent="0.15"/>
    <row r="104" ht="12.75" hidden="1" customHeight="1" x14ac:dyDescent="0.15"/>
    <row r="105" ht="12.75" hidden="1" customHeight="1" x14ac:dyDescent="0.15"/>
    <row r="106" ht="12.75" hidden="1" customHeight="1" x14ac:dyDescent="0.15"/>
    <row r="107" ht="12.75" hidden="1" customHeight="1" x14ac:dyDescent="0.15"/>
    <row r="108" ht="12.75" hidden="1" customHeight="1" x14ac:dyDescent="0.15"/>
    <row r="109" ht="12.75" hidden="1" customHeight="1" x14ac:dyDescent="0.15"/>
    <row r="110" ht="12.75" hidden="1" customHeight="1" x14ac:dyDescent="0.15"/>
    <row r="111" ht="12.75" hidden="1" customHeight="1" x14ac:dyDescent="0.15"/>
    <row r="112" ht="26.25" hidden="1" customHeight="1" x14ac:dyDescent="0.15"/>
    <row r="113" ht="12.75" hidden="1" customHeight="1" x14ac:dyDescent="0.15"/>
    <row r="114" ht="12.75" hidden="1" customHeight="1" x14ac:dyDescent="0.15"/>
    <row r="115" ht="12.75" hidden="1" customHeight="1" x14ac:dyDescent="0.15"/>
  </sheetData>
  <sheetProtection formatCells="0" formatColumns="0" formatRows="0" insertColumns="0" insertRows="0" insertHyperlinks="0" deleteColumns="0" deleteRows="0" sort="0" autoFilter="0" pivotTables="0"/>
  <mergeCells count="6">
    <mergeCell ref="D27:N27"/>
    <mergeCell ref="D9:N9"/>
    <mergeCell ref="D10:N10"/>
    <mergeCell ref="D14:N14"/>
    <mergeCell ref="D20:N21"/>
    <mergeCell ref="D25:N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 xr3:uid="{958C4451-9541-5A59-BF78-D2F731DF1C81}">
      <selection activeCell="B18" sqref="B18"/>
    </sheetView>
  </sheetViews>
  <sheetFormatPr defaultRowHeight="15" x14ac:dyDescent="0.2"/>
  <cols>
    <col min="1" max="1" width="33.765625" customWidth="1"/>
    <col min="2" max="2" width="15.73828125" customWidth="1"/>
    <col min="3" max="3" width="6.72265625" customWidth="1"/>
    <col min="4" max="4" width="42.640625" customWidth="1"/>
    <col min="5" max="5" width="15.73828125" customWidth="1"/>
  </cols>
  <sheetData>
    <row r="1" spans="1:5" ht="18.75" x14ac:dyDescent="0.2">
      <c r="A1" s="37" t="s">
        <v>32</v>
      </c>
      <c r="B1" s="38"/>
      <c r="C1" s="38"/>
      <c r="D1" s="38"/>
      <c r="E1" s="39"/>
    </row>
    <row r="2" spans="1:5" x14ac:dyDescent="0.2">
      <c r="A2" s="2"/>
      <c r="B2" s="3"/>
      <c r="C2" s="2"/>
      <c r="D2" s="2"/>
      <c r="E2" s="2"/>
    </row>
    <row r="3" spans="1:5" x14ac:dyDescent="0.2">
      <c r="A3" s="40" t="s">
        <v>33</v>
      </c>
      <c r="B3" s="41"/>
      <c r="C3" s="2"/>
      <c r="D3" s="2"/>
      <c r="E3" s="2"/>
    </row>
    <row r="4" spans="1:5" x14ac:dyDescent="0.2">
      <c r="A4" s="4" t="s">
        <v>34</v>
      </c>
      <c r="B4" s="5">
        <v>2016</v>
      </c>
      <c r="C4" s="2"/>
      <c r="D4" s="2"/>
      <c r="E4" s="2"/>
    </row>
    <row r="5" spans="1:5" x14ac:dyDescent="0.2">
      <c r="A5" s="4" t="s">
        <v>35</v>
      </c>
      <c r="B5" s="5" t="s">
        <v>27</v>
      </c>
      <c r="C5" s="2"/>
      <c r="D5" s="2"/>
      <c r="E5" s="2"/>
    </row>
    <row r="6" spans="1:5" x14ac:dyDescent="0.2">
      <c r="A6" s="4" t="s">
        <v>36</v>
      </c>
      <c r="B6" s="5" t="s">
        <v>30</v>
      </c>
      <c r="C6" s="2"/>
      <c r="D6" s="2"/>
      <c r="E6" s="2"/>
    </row>
    <row r="7" spans="1:5" x14ac:dyDescent="0.2">
      <c r="A7" s="4" t="s">
        <v>37</v>
      </c>
      <c r="B7" s="6">
        <v>0.1</v>
      </c>
      <c r="C7" s="2"/>
      <c r="D7" s="40" t="s">
        <v>38</v>
      </c>
      <c r="E7" s="41"/>
    </row>
    <row r="8" spans="1:5" x14ac:dyDescent="0.2">
      <c r="A8" s="4" t="s">
        <v>39</v>
      </c>
      <c r="B8" s="6">
        <v>0.12</v>
      </c>
      <c r="C8" s="2"/>
      <c r="D8" s="7" t="s">
        <v>40</v>
      </c>
      <c r="E8" s="8">
        <f>B10+B11+B12-B13+B14</f>
        <v>1125</v>
      </c>
    </row>
    <row r="9" spans="1:5" x14ac:dyDescent="0.2">
      <c r="A9" s="4" t="s">
        <v>41</v>
      </c>
      <c r="B9" s="9">
        <v>0.03</v>
      </c>
      <c r="C9" s="2"/>
      <c r="D9" s="10" t="s">
        <v>41</v>
      </c>
      <c r="E9" s="11">
        <f>E8*B9</f>
        <v>33.75</v>
      </c>
    </row>
    <row r="10" spans="1:5" x14ac:dyDescent="0.2">
      <c r="A10" s="4" t="s">
        <v>42</v>
      </c>
      <c r="B10" s="12">
        <v>1000</v>
      </c>
      <c r="C10" s="2"/>
      <c r="D10" s="13" t="s">
        <v>43</v>
      </c>
      <c r="E10" s="14">
        <f>(B8-B7) * E8</f>
        <v>22.499999999999989</v>
      </c>
    </row>
    <row r="11" spans="1:5" x14ac:dyDescent="0.2">
      <c r="A11" s="4" t="s">
        <v>44</v>
      </c>
      <c r="B11" s="12">
        <v>75</v>
      </c>
      <c r="C11" s="2"/>
      <c r="D11" s="15" t="str">
        <f>CONCATENATE("Parte que compete a ",B5)</f>
        <v>Parte que compete a RS</v>
      </c>
      <c r="E11" s="16">
        <f>VLOOKUP(B4,[2]Listas!A1:C5,2)</f>
        <v>0.6</v>
      </c>
    </row>
    <row r="12" spans="1:5" x14ac:dyDescent="0.2">
      <c r="A12" s="4" t="s">
        <v>45</v>
      </c>
      <c r="B12" s="12">
        <v>35</v>
      </c>
      <c r="C12" s="2"/>
      <c r="D12" s="13" t="str">
        <f>CONCATENATE("DIFAL a recolher para ",B5)</f>
        <v>DIFAL a recolher para RS</v>
      </c>
      <c r="E12" s="17">
        <f>E10*E11</f>
        <v>13.499999999999993</v>
      </c>
    </row>
    <row r="13" spans="1:5" x14ac:dyDescent="0.2">
      <c r="A13" s="4" t="s">
        <v>46</v>
      </c>
      <c r="B13" s="12">
        <v>25</v>
      </c>
      <c r="C13" s="2"/>
      <c r="D13" s="15" t="str">
        <f>CONCATENATE("Parte que compete a ",B6)</f>
        <v>Parte que compete a SP</v>
      </c>
      <c r="E13" s="16">
        <f>VLOOKUP(B4,[2]Listas!A1:C5,3)</f>
        <v>0.4</v>
      </c>
    </row>
    <row r="14" spans="1:5" x14ac:dyDescent="0.2">
      <c r="A14" s="4" t="s">
        <v>47</v>
      </c>
      <c r="B14" s="12">
        <v>40</v>
      </c>
      <c r="C14" s="2"/>
      <c r="D14" s="18" t="str">
        <f>CONCATENATE("DIFAL a recolher para ",B6)</f>
        <v>DIFAL a recolher para SP</v>
      </c>
      <c r="E14" s="19">
        <f>E10*E13</f>
        <v>8.9999999999999964</v>
      </c>
    </row>
    <row r="15" spans="1:5" x14ac:dyDescent="0.2">
      <c r="A15" s="2"/>
      <c r="B15" s="3"/>
      <c r="C15" s="2"/>
      <c r="D15" s="2"/>
      <c r="E15" s="2"/>
    </row>
  </sheetData>
  <mergeCells count="3">
    <mergeCell ref="A1:E1"/>
    <mergeCell ref="A3:B3"/>
    <mergeCell ref="D7:E7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 xr3:uid="{842E5F09-E766-5B8D-85AF-A39847EA96FD}">
      <selection activeCell="G11" sqref="G11"/>
    </sheetView>
  </sheetViews>
  <sheetFormatPr defaultRowHeight="15" x14ac:dyDescent="0.2"/>
  <sheetData>
    <row r="1" spans="1:10" ht="15.75" thickBot="1" x14ac:dyDescent="0.25">
      <c r="A1" t="s">
        <v>0</v>
      </c>
      <c r="B1" t="s">
        <v>1</v>
      </c>
      <c r="C1" t="s">
        <v>2</v>
      </c>
      <c r="E1" t="s">
        <v>3</v>
      </c>
    </row>
    <row r="2" spans="1:10" ht="15.75" thickTop="1" x14ac:dyDescent="0.2">
      <c r="A2">
        <v>2016</v>
      </c>
      <c r="B2" s="1">
        <v>0.6</v>
      </c>
      <c r="C2" s="1">
        <v>0.4</v>
      </c>
      <c r="E2" t="s">
        <v>4</v>
      </c>
      <c r="G2" s="42" t="s">
        <v>48</v>
      </c>
      <c r="H2" s="43"/>
      <c r="I2" s="44"/>
      <c r="J2" s="20"/>
    </row>
    <row r="3" spans="1:10" x14ac:dyDescent="0.2">
      <c r="A3">
        <v>2017</v>
      </c>
      <c r="B3" s="1">
        <v>0.4</v>
      </c>
      <c r="C3" s="1">
        <v>0.6</v>
      </c>
      <c r="E3" t="s">
        <v>5</v>
      </c>
      <c r="G3" s="45"/>
      <c r="H3" s="46"/>
      <c r="I3" s="47"/>
      <c r="J3" s="20"/>
    </row>
    <row r="4" spans="1:10" ht="15.75" thickBot="1" x14ac:dyDescent="0.25">
      <c r="A4">
        <v>2018</v>
      </c>
      <c r="B4" s="1">
        <v>0.2</v>
      </c>
      <c r="C4" s="1">
        <v>0.8</v>
      </c>
      <c r="E4" t="s">
        <v>6</v>
      </c>
      <c r="G4" s="48"/>
      <c r="H4" s="49"/>
      <c r="I4" s="50"/>
    </row>
    <row r="5" spans="1:10" ht="15.75" thickTop="1" x14ac:dyDescent="0.2">
      <c r="A5" t="s">
        <v>7</v>
      </c>
      <c r="B5" s="1">
        <v>0</v>
      </c>
      <c r="C5" s="1">
        <v>1</v>
      </c>
      <c r="E5" t="s">
        <v>8</v>
      </c>
      <c r="G5" s="20"/>
    </row>
    <row r="6" spans="1:10" x14ac:dyDescent="0.2">
      <c r="E6" t="s">
        <v>9</v>
      </c>
    </row>
    <row r="7" spans="1:10" x14ac:dyDescent="0.2">
      <c r="E7" t="s">
        <v>10</v>
      </c>
    </row>
    <row r="8" spans="1:10" x14ac:dyDescent="0.2">
      <c r="E8" t="s">
        <v>11</v>
      </c>
    </row>
    <row r="9" spans="1:10" x14ac:dyDescent="0.2">
      <c r="E9" t="s">
        <v>12</v>
      </c>
    </row>
    <row r="10" spans="1:10" x14ac:dyDescent="0.2">
      <c r="E10" t="s">
        <v>13</v>
      </c>
    </row>
    <row r="11" spans="1:10" x14ac:dyDescent="0.2">
      <c r="E11" t="s">
        <v>14</v>
      </c>
    </row>
    <row r="12" spans="1:10" x14ac:dyDescent="0.2">
      <c r="E12" t="s">
        <v>15</v>
      </c>
    </row>
    <row r="13" spans="1:10" x14ac:dyDescent="0.2">
      <c r="E13" t="s">
        <v>16</v>
      </c>
    </row>
    <row r="14" spans="1:10" x14ac:dyDescent="0.2">
      <c r="E14" t="s">
        <v>17</v>
      </c>
    </row>
    <row r="15" spans="1:10" x14ac:dyDescent="0.2">
      <c r="E15" t="s">
        <v>18</v>
      </c>
    </row>
    <row r="16" spans="1:10" x14ac:dyDescent="0.2">
      <c r="E16" t="s">
        <v>19</v>
      </c>
    </row>
    <row r="17" spans="5:5" x14ac:dyDescent="0.2">
      <c r="E17" t="s">
        <v>20</v>
      </c>
    </row>
    <row r="18" spans="5:5" x14ac:dyDescent="0.2">
      <c r="E18" t="s">
        <v>21</v>
      </c>
    </row>
    <row r="19" spans="5:5" x14ac:dyDescent="0.2">
      <c r="E19" t="s">
        <v>22</v>
      </c>
    </row>
    <row r="20" spans="5:5" x14ac:dyDescent="0.2">
      <c r="E20" t="s">
        <v>23</v>
      </c>
    </row>
    <row r="21" spans="5:5" x14ac:dyDescent="0.2">
      <c r="E21" t="s">
        <v>24</v>
      </c>
    </row>
    <row r="22" spans="5:5" x14ac:dyDescent="0.2">
      <c r="E22" t="s">
        <v>25</v>
      </c>
    </row>
    <row r="23" spans="5:5" x14ac:dyDescent="0.2">
      <c r="E23" t="s">
        <v>26</v>
      </c>
    </row>
    <row r="24" spans="5:5" x14ac:dyDescent="0.2">
      <c r="E24" t="s">
        <v>27</v>
      </c>
    </row>
    <row r="25" spans="5:5" x14ac:dyDescent="0.2">
      <c r="E25" t="s">
        <v>28</v>
      </c>
    </row>
    <row r="26" spans="5:5" x14ac:dyDescent="0.2">
      <c r="E26" t="s">
        <v>29</v>
      </c>
    </row>
    <row r="27" spans="5:5" x14ac:dyDescent="0.2">
      <c r="E27" t="s">
        <v>30</v>
      </c>
    </row>
    <row r="28" spans="5:5" x14ac:dyDescent="0.2">
      <c r="E28" t="s">
        <v>31</v>
      </c>
    </row>
  </sheetData>
  <mergeCells count="1">
    <mergeCell ref="G2:I4"/>
  </mergeCells>
  <pageMargins left="0.511811024" right="0.511811024" top="0.78740157499999996" bottom="0.78740157499999996" header="0.31496062000000002" footer="0.31496062000000002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Apresentação</vt:lpstr>
      <vt:lpstr>Cálculo DIFAL</vt:lpstr>
      <vt:lpstr>Base para cálculos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Suportenote</dc:creator>
  <cp:lastModifiedBy>Alex</cp:lastModifiedBy>
  <dcterms:created xsi:type="dcterms:W3CDTF">2016-08-04T12:59:23Z</dcterms:created>
  <dcterms:modified xsi:type="dcterms:W3CDTF">2016-09-19T13:24:16Z</dcterms:modified>
</cp:coreProperties>
</file>