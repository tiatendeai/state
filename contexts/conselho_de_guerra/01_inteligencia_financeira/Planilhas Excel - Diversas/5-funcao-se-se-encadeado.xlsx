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filterPrivacy="1" codeName="EstaPasta_de_trabalho" defaultThemeVersion="124226"/>
  <xr:revisionPtr revIDLastSave="0" documentId="10_ncr:8100000_{A9D00835-2282-47B5-96C2-FD9613F71403}" xr6:coauthVersionLast="33" xr6:coauthVersionMax="33" xr10:uidLastSave="{00000000-0000-0000-0000-000000000000}"/>
  <bookViews>
    <workbookView xWindow="0" yWindow="0" windowWidth="19200" windowHeight="11085" firstSheet="2" activeTab="10" xr2:uid="{00000000-000D-0000-FFFF-FFFF00000000}"/>
  </bookViews>
  <sheets>
    <sheet name="Índice" sheetId="11" r:id="rId1"/>
    <sheet name="Operadores" sheetId="13" r:id="rId2"/>
    <sheet name="Função SE" sheetId="1" r:id="rId3"/>
    <sheet name="EX1" sheetId="2" r:id="rId4"/>
    <sheet name="EX2" sheetId="3" r:id="rId5"/>
    <sheet name="EX3" sheetId="4" r:id="rId6"/>
    <sheet name="EX4" sheetId="5" r:id="rId7"/>
    <sheet name="EX5" sheetId="7" r:id="rId8"/>
    <sheet name="SE Encadeado" sheetId="6" r:id="rId9"/>
    <sheet name="EX6" sheetId="8" r:id="rId10"/>
    <sheet name="EX7" sheetId="10" r:id="rId11"/>
  </sheets>
  <definedNames>
    <definedName name="catg">'EX7'!$C$3:$C$13</definedName>
  </definedNames>
  <calcPr calcId="162913"/>
</workbook>
</file>

<file path=xl/calcChain.xml><?xml version="1.0" encoding="utf-8"?>
<calcChain xmlns="http://schemas.openxmlformats.org/spreadsheetml/2006/main">
  <c r="E5" i="8" l="1"/>
  <c r="E6" i="8"/>
  <c r="E7" i="8"/>
  <c r="E8" i="8"/>
  <c r="E9" i="8"/>
  <c r="E10" i="8"/>
  <c r="E11" i="8"/>
  <c r="E4" i="8"/>
  <c r="B17" i="10" l="1"/>
  <c r="B18" i="10"/>
  <c r="B19" i="10"/>
  <c r="B16" i="10"/>
  <c r="B15" i="10"/>
  <c r="C4" i="10"/>
  <c r="C5" i="10"/>
  <c r="C6" i="10"/>
  <c r="C7" i="10"/>
  <c r="C8" i="10"/>
  <c r="C9" i="10"/>
  <c r="C10" i="10"/>
  <c r="C11" i="10"/>
  <c r="C12" i="10"/>
  <c r="C13" i="10"/>
  <c r="C3" i="10"/>
  <c r="F5" i="8"/>
  <c r="F6" i="8"/>
  <c r="F7" i="8"/>
  <c r="F8" i="8"/>
  <c r="F9" i="8"/>
  <c r="F10" i="8"/>
  <c r="F11" i="8"/>
  <c r="F4" i="8"/>
  <c r="B19" i="6"/>
  <c r="B20" i="6"/>
  <c r="B18" i="6"/>
  <c r="G5" i="6"/>
  <c r="G6" i="6"/>
  <c r="G7" i="6"/>
  <c r="G8" i="6"/>
  <c r="G9" i="6"/>
  <c r="G10" i="6"/>
  <c r="G11" i="6"/>
  <c r="G12" i="6"/>
  <c r="G13" i="6"/>
  <c r="G4" i="6"/>
  <c r="B21" i="6"/>
  <c r="B17" i="6"/>
  <c r="B16" i="6"/>
  <c r="B15" i="6"/>
  <c r="E6" i="7" l="1"/>
  <c r="E7" i="7"/>
  <c r="E8" i="7"/>
  <c r="E9" i="7"/>
  <c r="E10" i="7"/>
  <c r="E11" i="7"/>
  <c r="E12" i="7"/>
  <c r="F6" i="7"/>
  <c r="F7" i="7"/>
  <c r="F8" i="7"/>
  <c r="F9" i="7"/>
  <c r="F10" i="7"/>
  <c r="F11" i="7"/>
  <c r="F12" i="7"/>
  <c r="F5" i="7"/>
  <c r="E5" i="7" s="1"/>
  <c r="G7" i="3"/>
  <c r="G8" i="3"/>
  <c r="G9" i="3"/>
  <c r="G10" i="3"/>
  <c r="G11" i="3"/>
  <c r="G12" i="3"/>
  <c r="G13" i="3"/>
  <c r="G14" i="3"/>
  <c r="G15" i="3"/>
  <c r="G6" i="3"/>
  <c r="F7" i="3"/>
  <c r="F8" i="3"/>
  <c r="F9" i="3"/>
  <c r="F10" i="3"/>
  <c r="F11" i="3"/>
  <c r="F12" i="3"/>
  <c r="F13" i="3"/>
  <c r="F14" i="3"/>
  <c r="F15" i="3"/>
  <c r="F6" i="3"/>
  <c r="D6" i="5"/>
  <c r="D7" i="5"/>
  <c r="D8" i="5"/>
  <c r="D9" i="5"/>
  <c r="D10" i="5"/>
  <c r="D5" i="5"/>
  <c r="G5" i="4"/>
  <c r="G6" i="4"/>
  <c r="G7" i="4"/>
  <c r="G8" i="4"/>
  <c r="G9" i="4"/>
  <c r="G10" i="4"/>
  <c r="G11" i="4"/>
  <c r="G12" i="4"/>
  <c r="G13" i="4"/>
  <c r="G4" i="4"/>
  <c r="I5" i="2"/>
  <c r="I6" i="2"/>
  <c r="I7" i="2"/>
  <c r="I8" i="2"/>
  <c r="I9" i="2"/>
  <c r="I10" i="2"/>
  <c r="I11" i="2"/>
  <c r="I4" i="2"/>
  <c r="H5" i="2"/>
  <c r="H6" i="2"/>
  <c r="H7" i="2"/>
  <c r="H8" i="2"/>
  <c r="H9" i="2"/>
  <c r="H10" i="2"/>
  <c r="H11" i="2"/>
  <c r="H4" i="2"/>
  <c r="C5" i="2"/>
  <c r="C6" i="2"/>
  <c r="C7" i="2"/>
  <c r="C8" i="2"/>
  <c r="C9" i="2"/>
  <c r="C10" i="2"/>
  <c r="C11" i="2"/>
  <c r="C4" i="2"/>
  <c r="D18" i="1"/>
  <c r="D19" i="1"/>
  <c r="D20" i="1"/>
  <c r="D21" i="1"/>
  <c r="D17" i="1"/>
  <c r="B13" i="1"/>
</calcChain>
</file>

<file path=xl/sharedStrings.xml><?xml version="1.0" encoding="utf-8"?>
<sst xmlns="http://schemas.openxmlformats.org/spreadsheetml/2006/main" count="296" uniqueCount="200">
  <si>
    <t>Uso</t>
  </si>
  <si>
    <t>Maior</t>
  </si>
  <si>
    <t>&gt;</t>
  </si>
  <si>
    <t>Números e data</t>
  </si>
  <si>
    <t>Menor</t>
  </si>
  <si>
    <t>&lt;</t>
  </si>
  <si>
    <t>Igual</t>
  </si>
  <si>
    <t>=</t>
  </si>
  <si>
    <t>Diferente</t>
  </si>
  <si>
    <t>&lt;&gt;</t>
  </si>
  <si>
    <t>Estado da porta</t>
  </si>
  <si>
    <t>Minha ação</t>
  </si>
  <si>
    <t>Baixa ou Alta Quilometragem?</t>
  </si>
  <si>
    <t>Carro</t>
  </si>
  <si>
    <t>KMs</t>
  </si>
  <si>
    <t>Análise</t>
  </si>
  <si>
    <t>Mitsubishi Pajero TR4</t>
  </si>
  <si>
    <t>Mitsubishi Outlander</t>
  </si>
  <si>
    <t>Suzuki GrandVitara</t>
  </si>
  <si>
    <t>Classificação por Idade</t>
  </si>
  <si>
    <t>Aluno</t>
  </si>
  <si>
    <t>Idade</t>
  </si>
  <si>
    <t>Categoria</t>
  </si>
  <si>
    <t>Luciano</t>
  </si>
  <si>
    <t>Matheus</t>
  </si>
  <si>
    <t>Samuel</t>
  </si>
  <si>
    <t>Augusto</t>
  </si>
  <si>
    <t>Bruno</t>
  </si>
  <si>
    <t>Hellen</t>
  </si>
  <si>
    <t>Shirley</t>
  </si>
  <si>
    <t>Frete grátis para SP</t>
  </si>
  <si>
    <t>Código do Pedido</t>
  </si>
  <si>
    <t>Local</t>
  </si>
  <si>
    <t>Valor do pedido</t>
  </si>
  <si>
    <t>Frete</t>
  </si>
  <si>
    <t>Total</t>
  </si>
  <si>
    <t>SP</t>
  </si>
  <si>
    <t>RJ</t>
  </si>
  <si>
    <t>SC</t>
  </si>
  <si>
    <t>DF</t>
  </si>
  <si>
    <t>Controle de Mensalidade</t>
  </si>
  <si>
    <t>Curso</t>
  </si>
  <si>
    <t>Data de Vencimento</t>
  </si>
  <si>
    <t>Mensalidade</t>
  </si>
  <si>
    <t>Data de Pagamento</t>
  </si>
  <si>
    <t>João Silva</t>
  </si>
  <si>
    <t>Administração</t>
  </si>
  <si>
    <t>Maria Souza</t>
  </si>
  <si>
    <t>Direito</t>
  </si>
  <si>
    <t>Glaucia Rodrigues</t>
  </si>
  <si>
    <t>Psicologia</t>
  </si>
  <si>
    <t>Marcos Santos</t>
  </si>
  <si>
    <t>Marcos Assumpção</t>
  </si>
  <si>
    <t>Odontologia</t>
  </si>
  <si>
    <t>Izabella de Moraes</t>
  </si>
  <si>
    <t>Rita Dourado</t>
  </si>
  <si>
    <t>Sõnia Maria</t>
  </si>
  <si>
    <t>Paula Fernanda</t>
  </si>
  <si>
    <t>Laise Moraes</t>
  </si>
  <si>
    <t>Comparadores Lógicos Básicos</t>
  </si>
  <si>
    <t>Neste Exercício</t>
  </si>
  <si>
    <t>=SE</t>
  </si>
  <si>
    <t>Validação de Dados</t>
  </si>
  <si>
    <t>Colégio Winterhold de Magia Arcana</t>
  </si>
  <si>
    <t>N1</t>
  </si>
  <si>
    <t>N2</t>
  </si>
  <si>
    <t>N3</t>
  </si>
  <si>
    <t>N4</t>
  </si>
  <si>
    <t>Média Final</t>
  </si>
  <si>
    <t>Situação</t>
  </si>
  <si>
    <t>Rafael Delazeri</t>
  </si>
  <si>
    <t>Balthier Inodus</t>
  </si>
  <si>
    <t>Milara Akanis</t>
  </si>
  <si>
    <t>Ashelia Voltz</t>
  </si>
  <si>
    <t>Amelie Innou</t>
  </si>
  <si>
    <t>Maira Zuk</t>
  </si>
  <si>
    <t>Shirley Kay</t>
  </si>
  <si>
    <t>Fernanda Petrova</t>
  </si>
  <si>
    <t>Weslley Koltz</t>
  </si>
  <si>
    <t>Hunter</t>
  </si>
  <si>
    <t>Alunos</t>
  </si>
  <si>
    <t>Maior nota</t>
  </si>
  <si>
    <t>Menor nota</t>
  </si>
  <si>
    <t>Aprovados</t>
  </si>
  <si>
    <t>Média da
Turma</t>
  </si>
  <si>
    <t>Boletim Escolar - Nota Mínima: 7</t>
  </si>
  <si>
    <t>Maior ou igual</t>
  </si>
  <si>
    <t>Menor ou igual</t>
  </si>
  <si>
    <t>&gt;=</t>
  </si>
  <si>
    <t>&lt;=</t>
  </si>
  <si>
    <t>Veículos para revenda</t>
  </si>
  <si>
    <t>Veículo</t>
  </si>
  <si>
    <t>Combustível</t>
  </si>
  <si>
    <t>Flex</t>
  </si>
  <si>
    <t>Mitsubishi Outlander 2.4</t>
  </si>
  <si>
    <t>Mitsubishi Pajero TR4 2.0</t>
  </si>
  <si>
    <t>Gasolina</t>
  </si>
  <si>
    <t>Land Rover Discovery 3 4.0</t>
  </si>
  <si>
    <t>Diesel</t>
  </si>
  <si>
    <t>Fiat Freemount 3.4</t>
  </si>
  <si>
    <t>Kia Sorento 3.4</t>
  </si>
  <si>
    <t>Recuperação</t>
  </si>
  <si>
    <t>Jeep Compass</t>
  </si>
  <si>
    <t>Hyandai Santa Fe 3.0</t>
  </si>
  <si>
    <t>Desconto Progressivo I</t>
  </si>
  <si>
    <t>Pedido</t>
  </si>
  <si>
    <t>Cliente</t>
  </si>
  <si>
    <t>Qtde. Items</t>
  </si>
  <si>
    <t>Preço Total</t>
  </si>
  <si>
    <t>Para pedidos com até 250 unidades, desconto de 5% no total. Pedidos com mais de 250 unidades, desconto de 10% no total.</t>
  </si>
  <si>
    <t>Basílica Saints</t>
  </si>
  <si>
    <t>Extra Eletro</t>
  </si>
  <si>
    <t>Marcos Houl</t>
  </si>
  <si>
    <t>Digerati</t>
  </si>
  <si>
    <t>Escala</t>
  </si>
  <si>
    <t>Fóz da Lua</t>
  </si>
  <si>
    <t>Harpa Alada</t>
  </si>
  <si>
    <t>Sailor Club</t>
  </si>
  <si>
    <t>Preço com Desconto</t>
  </si>
  <si>
    <t>Desconto</t>
  </si>
  <si>
    <t>Desconto Progressivo II</t>
  </si>
  <si>
    <t>Para pedidos com até 250 unidades, desconto de 5% no total;
Pedidos contendo de 251 unidades até 500 unidades, desconto de 10% no total;
Pedidos com 501 unidades ou mais, desconto de 15% no total.</t>
  </si>
  <si>
    <t>LGMK-325551</t>
  </si>
  <si>
    <t>LGMK-902226</t>
  </si>
  <si>
    <t>LGMK-751614</t>
  </si>
  <si>
    <t>LGMK-613771</t>
  </si>
  <si>
    <t>LGMK-743193</t>
  </si>
  <si>
    <t>LGMK-758930</t>
  </si>
  <si>
    <t>LGMK-708615</t>
  </si>
  <si>
    <t>LGMK-365595</t>
  </si>
  <si>
    <r>
      <t xml:space="preserve">Números, data e </t>
    </r>
    <r>
      <rPr>
        <b/>
        <sz val="14"/>
        <color theme="1"/>
        <rFont val="Calibri"/>
        <family val="2"/>
        <scheme val="minor"/>
      </rPr>
      <t>TEXTO</t>
    </r>
  </si>
  <si>
    <t>Hyundai Santa Fe</t>
  </si>
  <si>
    <t>Porcentagem</t>
  </si>
  <si>
    <t>Nome</t>
  </si>
  <si>
    <t>Total de Nadadores</t>
  </si>
  <si>
    <t>Gervásio Nunes de Oliveira</t>
  </si>
  <si>
    <t>Infantil</t>
  </si>
  <si>
    <t>Juvenil</t>
  </si>
  <si>
    <t>Adulto</t>
  </si>
  <si>
    <t>Sênior</t>
  </si>
  <si>
    <t>Clube Fenda do Bikini</t>
  </si>
  <si>
    <t>Total a Pagar</t>
  </si>
  <si>
    <t>Valor da Multa</t>
  </si>
  <si>
    <t>Valor do Desconto</t>
  </si>
  <si>
    <t>=SE(teste_lógico;valor_se_verdadeiro;valor_se_falso)</t>
  </si>
  <si>
    <t>Alta: maior que 25.000 KMs</t>
  </si>
  <si>
    <t>Preço Final com Desconto</t>
  </si>
  <si>
    <t>Preço Inicial</t>
  </si>
  <si>
    <t>Veículos que NÃO SÃO Flex, receberão um desconto de 3% sobre o preço.</t>
  </si>
  <si>
    <t>Marco Rossi</t>
  </si>
  <si>
    <t>Paola Grassi</t>
  </si>
  <si>
    <t>Giuseppe Coppola</t>
  </si>
  <si>
    <t>Lucca de Santis</t>
  </si>
  <si>
    <t>Roberta D'Angelo</t>
  </si>
  <si>
    <t>Cristina Marchetti</t>
  </si>
  <si>
    <t>Lorenzo Montanari</t>
  </si>
  <si>
    <t>Manuela Ferraro</t>
  </si>
  <si>
    <t>Giulia Ferreti</t>
  </si>
  <si>
    <t>Para alunos com 13 anos ou mais, categoria A. Caso contrário, categoria B.</t>
  </si>
  <si>
    <t>Pedidos com local para SP, frete R$0,00 (GRÁTIS). Caso contrário, serão cobrados R$25,00 de frete.</t>
  </si>
  <si>
    <t>Maicom</t>
  </si>
  <si>
    <t>Verificar SE HOUVE ATRASO.</t>
  </si>
  <si>
    <t>Se houver, será calculado 25% de multa sobre a mensalidade, mais o valor da própria mensalidade.</t>
  </si>
  <si>
    <t>Se não houver atraso, será pago apenas a mensalidade sem nenhum acréscimo.</t>
  </si>
  <si>
    <r>
      <rPr>
        <b/>
        <sz val="14"/>
        <color theme="0"/>
        <rFont val="Calibri"/>
        <family val="2"/>
        <scheme val="minor"/>
      </rPr>
      <t>Dica:</t>
    </r>
    <r>
      <rPr>
        <sz val="14"/>
        <color theme="0"/>
        <rFont val="Calibri"/>
        <family val="2"/>
        <scheme val="minor"/>
      </rPr>
      <t xml:space="preserve"> sabemos que quando a Data de Pagamento é MAIOR que a Data de Vencimento, é caracterizado atraso! ;)
</t>
    </r>
  </si>
  <si>
    <t>Boletim Escolar</t>
  </si>
  <si>
    <t>Reprovados</t>
  </si>
  <si>
    <t>Nota MAIOR ou IGUAL a 6</t>
  </si>
  <si>
    <t>Nota MAIOR ou igual a 5</t>
  </si>
  <si>
    <t>Nota MENOR que 5</t>
  </si>
  <si>
    <r>
      <rPr>
        <b/>
        <sz val="14"/>
        <color theme="5" tint="-0.249977111117893"/>
        <rFont val="Calibri"/>
        <family val="2"/>
        <scheme val="minor"/>
      </rPr>
      <t xml:space="preserve">Dica: </t>
    </r>
    <r>
      <rPr>
        <sz val="14"/>
        <color theme="0"/>
        <rFont val="Calibri"/>
        <family val="2"/>
        <scheme val="minor"/>
      </rPr>
      <t>atente-se aos critérios, até X é o que nos importa neste teste lógico!</t>
    </r>
  </si>
  <si>
    <t>Dada a idade dos nadadores, classifique-os em uma das categorias:</t>
  </si>
  <si>
    <t>Infantil – 10 anos ou menos</t>
  </si>
  <si>
    <t>Juvenil – 17 anos ou menos</t>
  </si>
  <si>
    <t>Adulto – 60 anos ou menos</t>
  </si>
  <si>
    <t>Sênior – Acima de 60 anos</t>
  </si>
  <si>
    <t>Capítulo 6</t>
  </si>
  <si>
    <t>Funções básicas</t>
  </si>
  <si>
    <t>Páginas 212 à 226</t>
  </si>
  <si>
    <t>Testes lógicos</t>
  </si>
  <si>
    <t>Função Se</t>
  </si>
  <si>
    <t>Múltiplas funções Se</t>
  </si>
  <si>
    <t>Teste lógico</t>
  </si>
  <si>
    <t>Você pode entrar no trem?</t>
  </si>
  <si>
    <t>Você gosta de pizza?</t>
  </si>
  <si>
    <t>Resposta verdadeira (Adoro Pizza!)</t>
  </si>
  <si>
    <t>Resposta falsa (Não, prefiro Hamburguer)</t>
  </si>
  <si>
    <t>Verdadeira</t>
  </si>
  <si>
    <t>Falsa</t>
  </si>
  <si>
    <t>Biscoito</t>
  </si>
  <si>
    <t>Bolacha</t>
  </si>
  <si>
    <t>Sim</t>
  </si>
  <si>
    <t>SiM</t>
  </si>
  <si>
    <t>Nescau</t>
  </si>
  <si>
    <t>Toddy</t>
  </si>
  <si>
    <t>Resposta verdadeira</t>
  </si>
  <si>
    <t>Resposta falsa</t>
  </si>
  <si>
    <t>ABERTA</t>
  </si>
  <si>
    <t>Aprovado</t>
  </si>
  <si>
    <t>Reprovado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</si>
</sst>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0.0"/>
    <numFmt numFmtId="165" formatCode="&quot;R$&quot;\ #,##0.00"/>
  </numFmts>
  <fonts count="21" x14ac:knownFonts="1"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8" tint="-0.499984740745262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4"/>
      <color theme="6" tint="-0.499984740745262"/>
      <name val="Calibri"/>
      <family val="2"/>
      <scheme val="minor"/>
    </font>
    <font>
      <b/>
      <sz val="14"/>
      <color theme="6" tint="-0.499984740745262"/>
      <name val="Calibri"/>
      <family val="2"/>
      <scheme val="minor"/>
    </font>
    <font>
      <b/>
      <i/>
      <sz val="14"/>
      <color theme="8" tint="-0.499984740745262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7"/>
        <bgColor theme="7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gradientFill degree="135">
        <stop position="0">
          <color theme="8" tint="0.40000610370189521"/>
        </stop>
        <stop position="1">
          <color theme="4"/>
        </stop>
      </gradientFill>
    </fill>
    <fill>
      <gradientFill degree="90">
        <stop position="0">
          <color theme="3"/>
        </stop>
        <stop position="1">
          <color theme="8" tint="0.59999389629810485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499984740745262"/>
        <bgColor auto="1"/>
      </patternFill>
    </fill>
    <fill>
      <patternFill patternType="solid">
        <fgColor theme="7" tint="-0.499984740745262"/>
        <bgColor theme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499984740745262"/>
        <bgColor auto="1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theme="6" tint="0.79998168889431442"/>
        <bgColor auto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8">
    <xf numFmtId="0" fontId="0" fillId="0" borderId="0"/>
    <xf numFmtId="0" fontId="7" fillId="2" borderId="0" applyNumberFormat="0" applyBorder="0" applyAlignment="0" applyProtection="0"/>
    <xf numFmtId="0" fontId="1" fillId="3" borderId="0" applyNumberFormat="0" applyBorder="0" applyAlignment="0" applyProtection="0"/>
    <xf numFmtId="0" fontId="7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7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7" fillId="19" borderId="0"/>
  </cellStyleXfs>
  <cellXfs count="180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0" fillId="0" borderId="0" xfId="0" applyAlignment="1"/>
    <xf numFmtId="3" fontId="0" fillId="0" borderId="1" xfId="0" applyNumberFormat="1" applyBorder="1" applyAlignment="1">
      <alignment horizontal="left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44" fontId="5" fillId="0" borderId="1" xfId="0" applyNumberFormat="1" applyFont="1" applyBorder="1" applyAlignment="1">
      <alignment horizontal="center" vertical="center"/>
    </xf>
    <xf numFmtId="0" fontId="4" fillId="5" borderId="6" xfId="0" applyFont="1" applyFill="1" applyBorder="1"/>
    <xf numFmtId="14" fontId="4" fillId="5" borderId="6" xfId="0" applyNumberFormat="1" applyFont="1" applyFill="1" applyBorder="1"/>
    <xf numFmtId="0" fontId="5" fillId="0" borderId="6" xfId="0" applyFont="1" applyBorder="1"/>
    <xf numFmtId="44" fontId="5" fillId="0" borderId="6" xfId="0" applyNumberFormat="1" applyFont="1" applyBorder="1"/>
    <xf numFmtId="0" fontId="5" fillId="0" borderId="3" xfId="0" applyFont="1" applyBorder="1"/>
    <xf numFmtId="44" fontId="5" fillId="0" borderId="3" xfId="0" applyNumberFormat="1" applyFont="1" applyBorder="1"/>
    <xf numFmtId="0" fontId="0" fillId="0" borderId="1" xfId="0" quotePrefix="1" applyBorder="1"/>
    <xf numFmtId="0" fontId="0" fillId="0" borderId="0" xfId="0" quotePrefix="1"/>
    <xf numFmtId="0" fontId="0" fillId="0" borderId="0" xfId="0"/>
    <xf numFmtId="0" fontId="0" fillId="0" borderId="1" xfId="0" applyFont="1" applyBorder="1"/>
    <xf numFmtId="164" fontId="0" fillId="0" borderId="1" xfId="0" applyNumberFormat="1" applyFont="1" applyBorder="1" applyAlignment="1">
      <alignment horizontal="center" vertical="center"/>
    </xf>
    <xf numFmtId="0" fontId="0" fillId="0" borderId="9" xfId="0" applyFont="1" applyBorder="1"/>
    <xf numFmtId="0" fontId="0" fillId="0" borderId="10" xfId="0" applyFont="1" applyBorder="1"/>
    <xf numFmtId="164" fontId="0" fillId="0" borderId="10" xfId="0" applyNumberFormat="1" applyFont="1" applyBorder="1" applyAlignment="1">
      <alignment horizontal="center" vertical="center"/>
    </xf>
    <xf numFmtId="0" fontId="0" fillId="0" borderId="18" xfId="0" applyFont="1" applyBorder="1" applyAlignment="1">
      <alignment vertical="center"/>
    </xf>
    <xf numFmtId="164" fontId="0" fillId="0" borderId="17" xfId="0" applyNumberFormat="1" applyFont="1" applyBorder="1" applyAlignment="1">
      <alignment horizontal="right" vertical="center"/>
    </xf>
    <xf numFmtId="0" fontId="0" fillId="0" borderId="16" xfId="0" applyFont="1" applyBorder="1" applyAlignment="1">
      <alignment horizontal="left" vertical="center" wrapText="1"/>
    </xf>
    <xf numFmtId="0" fontId="0" fillId="0" borderId="15" xfId="0" applyFont="1" applyFill="1" applyBorder="1" applyAlignment="1">
      <alignment vertical="center"/>
    </xf>
    <xf numFmtId="0" fontId="0" fillId="0" borderId="9" xfId="0" applyFont="1" applyBorder="1" applyAlignment="1">
      <alignment vertical="center"/>
    </xf>
    <xf numFmtId="164" fontId="0" fillId="0" borderId="9" xfId="0" applyNumberFormat="1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0" xfId="0"/>
    <xf numFmtId="0" fontId="0" fillId="0" borderId="1" xfId="0" applyFont="1" applyBorder="1"/>
    <xf numFmtId="164" fontId="0" fillId="0" borderId="1" xfId="0" applyNumberFormat="1" applyFont="1" applyBorder="1" applyAlignment="1">
      <alignment horizontal="center" vertical="center"/>
    </xf>
    <xf numFmtId="0" fontId="0" fillId="0" borderId="9" xfId="0" applyFont="1" applyBorder="1"/>
    <xf numFmtId="0" fontId="0" fillId="0" borderId="10" xfId="0" applyFont="1" applyBorder="1"/>
    <xf numFmtId="164" fontId="0" fillId="0" borderId="10" xfId="0" applyNumberFormat="1" applyFont="1" applyBorder="1" applyAlignment="1">
      <alignment horizontal="center" vertical="center"/>
    </xf>
    <xf numFmtId="0" fontId="9" fillId="4" borderId="2" xfId="3" applyFont="1" applyBorder="1"/>
    <xf numFmtId="0" fontId="9" fillId="4" borderId="14" xfId="3" applyFont="1" applyBorder="1"/>
    <xf numFmtId="0" fontId="0" fillId="0" borderId="1" xfId="0" applyBorder="1"/>
    <xf numFmtId="44" fontId="0" fillId="0" borderId="1" xfId="0" applyNumberFormat="1" applyBorder="1"/>
    <xf numFmtId="0" fontId="7" fillId="2" borderId="2" xfId="1" applyBorder="1"/>
    <xf numFmtId="0" fontId="7" fillId="4" borderId="1" xfId="3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7" fillId="19" borderId="1" xfId="17" applyFont="1" applyBorder="1" applyAlignment="1"/>
    <xf numFmtId="0" fontId="11" fillId="0" borderId="7" xfId="0" quotePrefix="1" applyFont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left"/>
    </xf>
    <xf numFmtId="165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7" fillId="22" borderId="2" xfId="3" applyFill="1" applyBorder="1"/>
    <xf numFmtId="0" fontId="7" fillId="25" borderId="0" xfId="17" applyFill="1" applyAlignment="1"/>
    <xf numFmtId="0" fontId="8" fillId="24" borderId="1" xfId="2" applyFont="1" applyFill="1" applyBorder="1"/>
    <xf numFmtId="0" fontId="7" fillId="24" borderId="1" xfId="1" applyFill="1" applyBorder="1" applyAlignment="1">
      <alignment horizontal="center"/>
    </xf>
    <xf numFmtId="0" fontId="2" fillId="26" borderId="1" xfId="0" applyFont="1" applyFill="1" applyBorder="1" applyAlignment="1">
      <alignment vertical="center"/>
    </xf>
    <xf numFmtId="0" fontId="4" fillId="26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/>
    </xf>
    <xf numFmtId="14" fontId="5" fillId="23" borderId="6" xfId="0" applyNumberFormat="1" applyFont="1" applyFill="1" applyBorder="1" applyAlignment="1">
      <alignment horizontal="center"/>
    </xf>
    <xf numFmtId="14" fontId="5" fillId="23" borderId="3" xfId="0" applyNumberFormat="1" applyFont="1" applyFill="1" applyBorder="1" applyAlignment="1">
      <alignment horizontal="center"/>
    </xf>
    <xf numFmtId="0" fontId="0" fillId="0" borderId="0" xfId="0"/>
    <xf numFmtId="0" fontId="7" fillId="28" borderId="1" xfId="3" applyFill="1" applyBorder="1"/>
    <xf numFmtId="0" fontId="13" fillId="21" borderId="1" xfId="0" applyFont="1" applyFill="1" applyBorder="1"/>
    <xf numFmtId="0" fontId="14" fillId="32" borderId="1" xfId="0" applyFont="1" applyFill="1" applyBorder="1"/>
    <xf numFmtId="0" fontId="15" fillId="33" borderId="1" xfId="0" applyFont="1" applyFill="1" applyBorder="1"/>
    <xf numFmtId="0" fontId="18" fillId="11" borderId="7" xfId="3" applyFont="1" applyFill="1" applyBorder="1"/>
    <xf numFmtId="0" fontId="18" fillId="27" borderId="1" xfId="3" applyFont="1" applyFill="1" applyBorder="1"/>
    <xf numFmtId="0" fontId="13" fillId="31" borderId="2" xfId="3" applyFont="1" applyFill="1" applyBorder="1"/>
    <xf numFmtId="0" fontId="0" fillId="0" borderId="1" xfId="0" applyFill="1" applyBorder="1" applyAlignment="1">
      <alignment horizontal="center" vertical="center"/>
    </xf>
    <xf numFmtId="0" fontId="12" fillId="35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22" xfId="0" applyBorder="1"/>
    <xf numFmtId="0" fontId="0" fillId="0" borderId="23" xfId="0" applyBorder="1"/>
    <xf numFmtId="0" fontId="0" fillId="0" borderId="0" xfId="0" applyBorder="1"/>
    <xf numFmtId="0" fontId="0" fillId="0" borderId="21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37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4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13" fillId="31" borderId="14" xfId="3" applyFont="1" applyFill="1" applyBorder="1" applyAlignment="1">
      <alignment horizontal="center" vertical="center"/>
    </xf>
    <xf numFmtId="0" fontId="7" fillId="28" borderId="1" xfId="3" applyFill="1" applyBorder="1" applyAlignment="1">
      <alignment horizontal="center" vertical="center"/>
    </xf>
    <xf numFmtId="0" fontId="0" fillId="0" borderId="1" xfId="0" applyBorder="1"/>
    <xf numFmtId="0" fontId="20" fillId="36" borderId="1" xfId="0" applyFont="1" applyFill="1" applyBorder="1" applyAlignment="1">
      <alignment horizontal="center"/>
    </xf>
    <xf numFmtId="0" fontId="20" fillId="36" borderId="3" xfId="0" applyFont="1" applyFill="1" applyBorder="1" applyAlignment="1">
      <alignment horizontal="center"/>
    </xf>
    <xf numFmtId="0" fontId="20" fillId="36" borderId="4" xfId="0" applyFont="1" applyFill="1" applyBorder="1" applyAlignment="1">
      <alignment horizontal="center"/>
    </xf>
    <xf numFmtId="0" fontId="20" fillId="36" borderId="5" xfId="0" applyFont="1" applyFill="1" applyBorder="1" applyAlignment="1">
      <alignment horizontal="center"/>
    </xf>
    <xf numFmtId="0" fontId="7" fillId="36" borderId="0" xfId="0" applyFont="1" applyFill="1" applyAlignment="1">
      <alignment horizontal="center"/>
    </xf>
    <xf numFmtId="0" fontId="7" fillId="24" borderId="1" xfId="3" applyFill="1" applyBorder="1" applyAlignment="1">
      <alignment horizontal="center"/>
    </xf>
    <xf numFmtId="0" fontId="7" fillId="24" borderId="3" xfId="3" applyFill="1" applyBorder="1" applyAlignment="1">
      <alignment horizontal="center" vertical="center"/>
    </xf>
    <xf numFmtId="0" fontId="7" fillId="24" borderId="5" xfId="3" applyFill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7" fillId="24" borderId="3" xfId="1" applyFill="1" applyBorder="1" applyAlignment="1">
      <alignment horizontal="left"/>
    </xf>
    <xf numFmtId="0" fontId="7" fillId="24" borderId="4" xfId="1" applyFill="1" applyBorder="1" applyAlignment="1">
      <alignment horizontal="left"/>
    </xf>
    <xf numFmtId="0" fontId="7" fillId="24" borderId="5" xfId="1" applyFill="1" applyBorder="1" applyAlignment="1">
      <alignment horizontal="left"/>
    </xf>
    <xf numFmtId="0" fontId="0" fillId="0" borderId="1" xfId="0" applyNumberFormat="1" applyBorder="1" applyAlignment="1">
      <alignment horizontal="left" vertical="center"/>
    </xf>
    <xf numFmtId="0" fontId="7" fillId="22" borderId="3" xfId="1" applyFill="1" applyBorder="1" applyAlignment="1">
      <alignment horizontal="center"/>
    </xf>
    <xf numFmtId="0" fontId="7" fillId="22" borderId="5" xfId="1" applyFill="1" applyBorder="1" applyAlignment="1">
      <alignment horizontal="center"/>
    </xf>
    <xf numFmtId="0" fontId="7" fillId="24" borderId="3" xfId="1" quotePrefix="1" applyFont="1" applyFill="1" applyBorder="1" applyAlignment="1">
      <alignment horizontal="center"/>
    </xf>
    <xf numFmtId="0" fontId="7" fillId="24" borderId="4" xfId="1" quotePrefix="1" applyFont="1" applyFill="1" applyBorder="1" applyAlignment="1">
      <alignment horizontal="center"/>
    </xf>
    <xf numFmtId="0" fontId="2" fillId="26" borderId="3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0" fontId="2" fillId="26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26" borderId="3" xfId="0" applyFont="1" applyFill="1" applyBorder="1" applyAlignment="1">
      <alignment horizontal="center" vertical="center"/>
    </xf>
    <xf numFmtId="0" fontId="4" fillId="26" borderId="4" xfId="0" applyFont="1" applyFill="1" applyBorder="1" applyAlignment="1">
      <alignment horizontal="center" vertical="center"/>
    </xf>
    <xf numFmtId="0" fontId="4" fillId="26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/>
    <xf numFmtId="0" fontId="9" fillId="29" borderId="0" xfId="0" applyFont="1" applyFill="1" applyAlignment="1">
      <alignment horizontal="left" vertical="center" wrapText="1"/>
    </xf>
    <xf numFmtId="0" fontId="9" fillId="29" borderId="0" xfId="0" applyFont="1" applyFill="1" applyAlignment="1">
      <alignment horizontal="left" vertical="center"/>
    </xf>
    <xf numFmtId="0" fontId="4" fillId="5" borderId="0" xfId="0" applyFont="1" applyFill="1" applyBorder="1" applyAlignment="1">
      <alignment horizontal="center"/>
    </xf>
    <xf numFmtId="0" fontId="13" fillId="31" borderId="11" xfId="0" applyFont="1" applyFill="1" applyBorder="1" applyAlignment="1">
      <alignment horizontal="center" vertical="center"/>
    </xf>
    <xf numFmtId="0" fontId="13" fillId="31" borderId="12" xfId="0" applyFont="1" applyFill="1" applyBorder="1" applyAlignment="1">
      <alignment horizontal="center" vertical="center"/>
    </xf>
    <xf numFmtId="0" fontId="19" fillId="31" borderId="3" xfId="1" applyFont="1" applyFill="1" applyBorder="1"/>
    <xf numFmtId="0" fontId="19" fillId="31" borderId="4" xfId="1" applyFont="1" applyFill="1" applyBorder="1"/>
    <xf numFmtId="0" fontId="19" fillId="31" borderId="13" xfId="1" applyFont="1" applyFill="1" applyBorder="1"/>
    <xf numFmtId="0" fontId="7" fillId="4" borderId="3" xfId="3" applyBorder="1" applyAlignment="1">
      <alignment horizontal="left"/>
    </xf>
    <xf numFmtId="0" fontId="7" fillId="4" borderId="4" xfId="3" applyBorder="1" applyAlignment="1">
      <alignment horizontal="left"/>
    </xf>
    <xf numFmtId="0" fontId="7" fillId="19" borderId="20" xfId="17" applyBorder="1" applyAlignment="1">
      <alignment horizontal="center"/>
    </xf>
    <xf numFmtId="0" fontId="7" fillId="19" borderId="19" xfId="17" applyBorder="1" applyAlignment="1">
      <alignment horizontal="center"/>
    </xf>
    <xf numFmtId="0" fontId="7" fillId="29" borderId="3" xfId="1" applyFill="1" applyBorder="1" applyAlignment="1">
      <alignment horizontal="center"/>
    </xf>
    <xf numFmtId="0" fontId="7" fillId="29" borderId="4" xfId="1" applyFill="1" applyBorder="1" applyAlignment="1">
      <alignment horizontal="center"/>
    </xf>
    <xf numFmtId="0" fontId="7" fillId="30" borderId="20" xfId="17" applyFill="1" applyBorder="1" applyAlignment="1">
      <alignment horizontal="center"/>
    </xf>
    <xf numFmtId="0" fontId="7" fillId="30" borderId="19" xfId="17" applyFill="1" applyBorder="1" applyAlignment="1">
      <alignment horizontal="center"/>
    </xf>
    <xf numFmtId="0" fontId="9" fillId="20" borderId="11" xfId="0" applyFont="1" applyFill="1" applyBorder="1" applyAlignment="1">
      <alignment horizontal="center" vertical="center"/>
    </xf>
    <xf numFmtId="0" fontId="9" fillId="20" borderId="12" xfId="0" applyFont="1" applyFill="1" applyBorder="1" applyAlignment="1">
      <alignment horizontal="center" vertical="center"/>
    </xf>
    <xf numFmtId="0" fontId="10" fillId="2" borderId="3" xfId="1" applyFont="1" applyBorder="1" applyAlignment="1">
      <alignment horizontal="center" vertical="center"/>
    </xf>
    <xf numFmtId="0" fontId="10" fillId="2" borderId="4" xfId="1" applyFont="1" applyBorder="1" applyAlignment="1">
      <alignment horizontal="center" vertical="center"/>
    </xf>
    <xf numFmtId="0" fontId="10" fillId="2" borderId="13" xfId="1" applyFont="1" applyBorder="1" applyAlignment="1">
      <alignment horizontal="center" vertical="center"/>
    </xf>
    <xf numFmtId="0" fontId="13" fillId="21" borderId="3" xfId="0" applyFont="1" applyFill="1" applyBorder="1" applyAlignment="1">
      <alignment horizontal="left"/>
    </xf>
    <xf numFmtId="0" fontId="13" fillId="21" borderId="4" xfId="0" applyFont="1" applyFill="1" applyBorder="1" applyAlignment="1">
      <alignment horizontal="left"/>
    </xf>
    <xf numFmtId="0" fontId="13" fillId="21" borderId="5" xfId="0" applyFont="1" applyFill="1" applyBorder="1" applyAlignment="1">
      <alignment horizontal="left"/>
    </xf>
    <xf numFmtId="0" fontId="14" fillId="32" borderId="3" xfId="0" applyFont="1" applyFill="1" applyBorder="1" applyAlignment="1">
      <alignment horizontal="left"/>
    </xf>
    <xf numFmtId="0" fontId="14" fillId="32" borderId="4" xfId="0" applyFont="1" applyFill="1" applyBorder="1" applyAlignment="1">
      <alignment horizontal="left"/>
    </xf>
    <xf numFmtId="0" fontId="14" fillId="32" borderId="5" xfId="0" applyFont="1" applyFill="1" applyBorder="1" applyAlignment="1">
      <alignment horizontal="left"/>
    </xf>
    <xf numFmtId="0" fontId="15" fillId="33" borderId="3" xfId="0" applyFont="1" applyFill="1" applyBorder="1" applyAlignment="1">
      <alignment horizontal="left"/>
    </xf>
    <xf numFmtId="0" fontId="15" fillId="33" borderId="4" xfId="0" applyFont="1" applyFill="1" applyBorder="1" applyAlignment="1">
      <alignment horizontal="left"/>
    </xf>
    <xf numFmtId="0" fontId="15" fillId="33" borderId="5" xfId="0" applyFont="1" applyFill="1" applyBorder="1" applyAlignment="1">
      <alignment horizontal="left"/>
    </xf>
    <xf numFmtId="0" fontId="7" fillId="2" borderId="3" xfId="1" applyBorder="1" applyAlignment="1">
      <alignment vertical="center" wrapText="1"/>
    </xf>
    <xf numFmtId="0" fontId="7" fillId="2" borderId="4" xfId="1" applyBorder="1" applyAlignment="1">
      <alignment vertical="center" wrapText="1"/>
    </xf>
    <xf numFmtId="0" fontId="9" fillId="33" borderId="0" xfId="0" applyFont="1" applyFill="1" applyAlignment="1">
      <alignment horizontal="center" vertical="center" wrapText="1"/>
    </xf>
    <xf numFmtId="0" fontId="18" fillId="34" borderId="20" xfId="17" applyFont="1" applyFill="1" applyBorder="1" applyAlignment="1">
      <alignment horizontal="center"/>
    </xf>
    <xf numFmtId="0" fontId="18" fillId="34" borderId="19" xfId="17" applyFont="1" applyFill="1" applyBorder="1" applyAlignment="1">
      <alignment horizontal="center"/>
    </xf>
    <xf numFmtId="0" fontId="17" fillId="27" borderId="1" xfId="0" applyFont="1" applyFill="1" applyBorder="1"/>
    <xf numFmtId="0" fontId="0" fillId="0" borderId="1" xfId="0" applyBorder="1"/>
    <xf numFmtId="0" fontId="0" fillId="41" borderId="1" xfId="0" applyFill="1" applyBorder="1" applyAlignment="1">
      <alignment horizontal="center" vertical="center"/>
    </xf>
    <xf numFmtId="44" fontId="3" fillId="0" borderId="1" xfId="0" quotePrefix="1" applyNumberFormat="1" applyFont="1" applyBorder="1"/>
    <xf numFmtId="44" fontId="0" fillId="0" borderId="0" xfId="0" applyNumberFormat="1"/>
    <xf numFmtId="44" fontId="0" fillId="0" borderId="1" xfId="0" quotePrefix="1" applyNumberFormat="1" applyBorder="1"/>
  </cellXfs>
  <cellStyles count="18">
    <cellStyle name="20% - Ênfase1" xfId="4" builtinId="30" customBuiltin="1"/>
    <cellStyle name="20% - Ênfase2" xfId="7" builtinId="34" customBuiltin="1"/>
    <cellStyle name="20% - Ênfase3" xfId="9" builtinId="38" customBuiltin="1"/>
    <cellStyle name="20% - Ênfase4" xfId="11" builtinId="42" customBuiltin="1"/>
    <cellStyle name="20% - Ênfase5" xfId="13" builtinId="46" customBuiltin="1"/>
    <cellStyle name="20% - Ênfase6" xfId="15" builtinId="50" customBuiltin="1"/>
    <cellStyle name="40% - Ênfase1" xfId="5" builtinId="31" customBuiltin="1"/>
    <cellStyle name="40% - Ênfase2" xfId="8" builtinId="35" customBuiltin="1"/>
    <cellStyle name="40% - Ênfase3" xfId="10" builtinId="39" customBuiltin="1"/>
    <cellStyle name="40% - Ênfase4" xfId="12" builtinId="43" customBuiltin="1"/>
    <cellStyle name="40% - Ênfase5" xfId="14" builtinId="47" customBuiltin="1"/>
    <cellStyle name="40% - Ênfase6" xfId="16" builtinId="51" customBuiltin="1"/>
    <cellStyle name="Ênfase1" xfId="1" builtinId="29" customBuiltin="1"/>
    <cellStyle name="Ênfase2" xfId="6" builtinId="33" customBuiltin="1"/>
    <cellStyle name="Ênfase4" xfId="2" builtinId="41"/>
    <cellStyle name="Ênfase5" xfId="3" builtinId="45" customBuiltin="1"/>
    <cellStyle name="Normal" xfId="0" builtinId="0" customBuiltin="1"/>
    <cellStyle name="Titles" xfId="17" xr:uid="{00000000-0005-0000-0000-000012000000}"/>
  </cellStyles>
  <dxfs count="33"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8E0E76"/>
      </font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8E0E76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4" tint="-0.24994659260841701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24994659260841701"/>
      </font>
      <fill>
        <patternFill>
          <bgColor theme="8" tint="0.59996337778862885"/>
        </patternFill>
      </fill>
    </dxf>
    <dxf>
      <font>
        <color theme="4" tint="-0.24994659260841701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AA2AAFEB-98AB-4DF9-923F-E4069EC66EFA}">
      <tableStyleElement type="wholeTable" dxfId="32"/>
      <tableStyleElement type="headerRow" dxfId="31"/>
    </tableStyle>
  </tableStyles>
  <colors>
    <mruColors>
      <color rgb="FF8E0E76"/>
      <color rgb="FFFF8585"/>
      <color rgb="FF9FA91B"/>
      <color rgb="FFDBE5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6</xdr:row>
      <xdr:rowOff>142875</xdr:rowOff>
    </xdr:from>
    <xdr:to>
      <xdr:col>5</xdr:col>
      <xdr:colOff>962025</xdr:colOff>
      <xdr:row>8</xdr:row>
      <xdr:rowOff>104775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2ADB6CCC-A459-4248-A0EC-C90BF10359F8}"/>
            </a:ext>
          </a:extLst>
        </xdr:cNvPr>
        <xdr:cNvCxnSpPr/>
      </xdr:nvCxnSpPr>
      <xdr:spPr>
        <a:xfrm flipV="1">
          <a:off x="2686050" y="857250"/>
          <a:ext cx="2466975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8</xdr:row>
      <xdr:rowOff>114300</xdr:rowOff>
    </xdr:from>
    <xdr:to>
      <xdr:col>5</xdr:col>
      <xdr:colOff>952500</xdr:colOff>
      <xdr:row>12</xdr:row>
      <xdr:rowOff>123825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4E285E0C-F55F-4AA0-840C-0ECC60E8DC02}"/>
            </a:ext>
          </a:extLst>
        </xdr:cNvPr>
        <xdr:cNvCxnSpPr/>
      </xdr:nvCxnSpPr>
      <xdr:spPr>
        <a:xfrm>
          <a:off x="2667000" y="1304925"/>
          <a:ext cx="2476500" cy="962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131604</xdr:colOff>
      <xdr:row>6</xdr:row>
      <xdr:rowOff>5493</xdr:rowOff>
    </xdr:from>
    <xdr:to>
      <xdr:col>5</xdr:col>
      <xdr:colOff>496336</xdr:colOff>
      <xdr:row>7</xdr:row>
      <xdr:rowOff>7687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C0865AF4-7B66-4F57-AF22-355C5FDBCFB9}"/>
            </a:ext>
          </a:extLst>
        </xdr:cNvPr>
        <xdr:cNvSpPr/>
      </xdr:nvSpPr>
      <xdr:spPr>
        <a:xfrm rot="21142466">
          <a:off x="3836829" y="1434243"/>
          <a:ext cx="2126857" cy="240319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/>
            <a:t>SIM</a:t>
          </a:r>
        </a:p>
      </xdr:txBody>
    </xdr:sp>
    <xdr:clientData/>
  </xdr:twoCellAnchor>
  <xdr:twoCellAnchor>
    <xdr:from>
      <xdr:col>4</xdr:col>
      <xdr:colOff>58376</xdr:colOff>
      <xdr:row>9</xdr:row>
      <xdr:rowOff>197009</xdr:rowOff>
    </xdr:from>
    <xdr:to>
      <xdr:col>5</xdr:col>
      <xdr:colOff>548354</xdr:colOff>
      <xdr:row>10</xdr:row>
      <xdr:rowOff>199203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27DD7F47-21F8-4226-8731-57A2D234704B}"/>
            </a:ext>
          </a:extLst>
        </xdr:cNvPr>
        <xdr:cNvSpPr/>
      </xdr:nvSpPr>
      <xdr:spPr>
        <a:xfrm rot="955122">
          <a:off x="3763601" y="2340134"/>
          <a:ext cx="2252103" cy="240319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/>
            <a:t>NÃO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005E-EABF-4036-A3E2-C246CB56D0A5}">
  <dimension ref="A1:A6"/>
  <sheetViews>
    <sheetView workbookViewId="0"/>
  </sheetViews>
  <sheetFormatPr defaultRowHeight="18.75" x14ac:dyDescent="0.3"/>
  <cols>
    <col min="1" max="1" width="26.5" customWidth="1"/>
  </cols>
  <sheetData>
    <row r="1" spans="1:1" x14ac:dyDescent="0.3">
      <c r="A1" s="75" t="s">
        <v>176</v>
      </c>
    </row>
    <row r="2" spans="1:1" x14ac:dyDescent="0.3">
      <c r="A2" s="75" t="s">
        <v>177</v>
      </c>
    </row>
    <row r="3" spans="1:1" x14ac:dyDescent="0.3">
      <c r="A3" s="75" t="s">
        <v>178</v>
      </c>
    </row>
    <row r="4" spans="1:1" x14ac:dyDescent="0.3">
      <c r="A4" s="56" t="s">
        <v>179</v>
      </c>
    </row>
    <row r="5" spans="1:1" x14ac:dyDescent="0.3">
      <c r="A5" s="56" t="s">
        <v>180</v>
      </c>
    </row>
    <row r="6" spans="1:1" x14ac:dyDescent="0.3">
      <c r="A6" s="76" t="s">
        <v>181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C3F68-2E6E-4DD4-B58C-5D976BAC8DFE}">
  <dimension ref="B1:I43"/>
  <sheetViews>
    <sheetView topLeftCell="B25" workbookViewId="0">
      <selection activeCell="H47" sqref="H47"/>
    </sheetView>
  </sheetViews>
  <sheetFormatPr defaultRowHeight="18.75" x14ac:dyDescent="0.3"/>
  <cols>
    <col min="4" max="4" width="12.5" bestFit="1" customWidth="1"/>
    <col min="5" max="5" width="18.5" style="92" customWidth="1"/>
    <col min="6" max="6" width="6.8984375" bestFit="1" customWidth="1"/>
    <col min="7" max="7" width="33.59765625" bestFit="1" customWidth="1"/>
    <col min="8" max="8" width="23.796875" customWidth="1"/>
  </cols>
  <sheetData>
    <row r="1" spans="2:9" s="66" customFormat="1" x14ac:dyDescent="0.3">
      <c r="E1" s="92"/>
    </row>
    <row r="2" spans="2:9" s="66" customFormat="1" x14ac:dyDescent="0.3">
      <c r="E2" s="92"/>
    </row>
    <row r="3" spans="2:9" s="66" customFormat="1" x14ac:dyDescent="0.3">
      <c r="B3" s="113" t="s">
        <v>184</v>
      </c>
      <c r="C3" s="113"/>
      <c r="D3" s="113"/>
      <c r="E3" s="113"/>
      <c r="F3" s="113"/>
      <c r="G3" s="113"/>
      <c r="H3" s="113"/>
      <c r="I3" s="113"/>
    </row>
    <row r="5" spans="2:9" x14ac:dyDescent="0.3">
      <c r="B5" s="81"/>
      <c r="C5" s="82"/>
      <c r="D5" s="82"/>
      <c r="E5" s="93"/>
      <c r="F5" s="82"/>
      <c r="G5" s="82"/>
      <c r="H5" s="82"/>
      <c r="I5" s="83"/>
    </row>
    <row r="6" spans="2:9" x14ac:dyDescent="0.3">
      <c r="B6" s="84"/>
      <c r="C6" s="80"/>
      <c r="D6" s="80"/>
      <c r="E6" s="94"/>
      <c r="F6" s="80"/>
      <c r="G6" s="80"/>
      <c r="H6" s="80"/>
      <c r="I6" s="85"/>
    </row>
    <row r="7" spans="2:9" x14ac:dyDescent="0.3">
      <c r="B7" s="84"/>
      <c r="C7" s="80"/>
      <c r="D7" s="80"/>
      <c r="E7" s="94"/>
      <c r="F7" s="79"/>
      <c r="G7" s="80" t="s">
        <v>185</v>
      </c>
      <c r="H7" s="80"/>
      <c r="I7" s="85"/>
    </row>
    <row r="8" spans="2:9" x14ac:dyDescent="0.3">
      <c r="B8" s="84"/>
      <c r="C8" s="80"/>
      <c r="D8" s="80"/>
      <c r="E8" s="94"/>
      <c r="F8" s="80"/>
      <c r="G8" s="80"/>
      <c r="H8" s="80"/>
      <c r="I8" s="85"/>
    </row>
    <row r="9" spans="2:9" x14ac:dyDescent="0.3">
      <c r="B9" s="84"/>
      <c r="C9" s="80" t="s">
        <v>182</v>
      </c>
      <c r="D9" s="80"/>
      <c r="E9" s="94"/>
      <c r="F9" s="77"/>
      <c r="G9" s="77"/>
      <c r="H9" s="80"/>
      <c r="I9" s="85"/>
    </row>
    <row r="10" spans="2:9" x14ac:dyDescent="0.3">
      <c r="B10" s="84"/>
      <c r="C10" s="80"/>
      <c r="D10" s="80"/>
      <c r="E10" s="95"/>
      <c r="F10" s="80"/>
      <c r="G10" s="80"/>
      <c r="H10" s="80"/>
      <c r="I10" s="85"/>
    </row>
    <row r="11" spans="2:9" x14ac:dyDescent="0.3">
      <c r="B11" s="84"/>
      <c r="C11" s="80"/>
      <c r="D11" s="80"/>
      <c r="E11" s="95"/>
      <c r="F11" s="80"/>
      <c r="G11" s="80"/>
      <c r="H11" s="80"/>
      <c r="I11" s="85"/>
    </row>
    <row r="12" spans="2:9" x14ac:dyDescent="0.3">
      <c r="B12" s="84"/>
      <c r="C12" s="80"/>
      <c r="D12" s="80"/>
      <c r="E12" s="94"/>
      <c r="F12" s="78"/>
      <c r="G12" s="78"/>
      <c r="H12" s="80"/>
      <c r="I12" s="85"/>
    </row>
    <row r="13" spans="2:9" x14ac:dyDescent="0.3">
      <c r="B13" s="84"/>
      <c r="C13" s="80"/>
      <c r="D13" s="80"/>
      <c r="E13" s="94"/>
      <c r="F13" s="80"/>
      <c r="G13" s="80" t="s">
        <v>186</v>
      </c>
      <c r="H13" s="80"/>
      <c r="I13" s="85"/>
    </row>
    <row r="14" spans="2:9" x14ac:dyDescent="0.3">
      <c r="B14" s="84"/>
      <c r="C14" s="80"/>
      <c r="D14" s="80"/>
      <c r="E14" s="94"/>
      <c r="F14" s="80"/>
      <c r="G14" s="80"/>
      <c r="H14" s="80"/>
      <c r="I14" s="85"/>
    </row>
    <row r="15" spans="2:9" x14ac:dyDescent="0.3">
      <c r="B15" s="86"/>
      <c r="C15" s="87"/>
      <c r="D15" s="87"/>
      <c r="E15" s="96"/>
      <c r="F15" s="87"/>
      <c r="G15" s="87"/>
      <c r="H15" s="87"/>
      <c r="I15" s="88"/>
    </row>
    <row r="16" spans="2:9" x14ac:dyDescent="0.3">
      <c r="E16"/>
    </row>
    <row r="17" spans="4:7" x14ac:dyDescent="0.3">
      <c r="E17"/>
    </row>
    <row r="18" spans="4:7" x14ac:dyDescent="0.3">
      <c r="D18" s="114" t="s">
        <v>59</v>
      </c>
      <c r="E18" s="114"/>
      <c r="F18" s="115" t="s">
        <v>0</v>
      </c>
      <c r="G18" s="116"/>
    </row>
    <row r="19" spans="4:7" x14ac:dyDescent="0.3">
      <c r="D19" s="1" t="s">
        <v>1</v>
      </c>
      <c r="E19" s="55" t="s">
        <v>2</v>
      </c>
      <c r="F19" s="117" t="s">
        <v>3</v>
      </c>
      <c r="G19" s="118"/>
    </row>
    <row r="20" spans="4:7" x14ac:dyDescent="0.3">
      <c r="D20" s="91" t="s">
        <v>4</v>
      </c>
      <c r="E20" s="55" t="s">
        <v>5</v>
      </c>
      <c r="F20" s="89" t="s">
        <v>3</v>
      </c>
      <c r="G20" s="90"/>
    </row>
    <row r="21" spans="4:7" x14ac:dyDescent="0.3">
      <c r="D21" s="91" t="s">
        <v>86</v>
      </c>
      <c r="E21" s="55" t="s">
        <v>88</v>
      </c>
      <c r="F21" s="89" t="s">
        <v>3</v>
      </c>
      <c r="G21" s="90"/>
    </row>
    <row r="22" spans="4:7" x14ac:dyDescent="0.3">
      <c r="D22" s="91" t="s">
        <v>87</v>
      </c>
      <c r="E22" s="55" t="s">
        <v>89</v>
      </c>
      <c r="F22" s="89" t="s">
        <v>3</v>
      </c>
      <c r="G22" s="90"/>
    </row>
    <row r="23" spans="4:7" x14ac:dyDescent="0.3">
      <c r="D23" s="91" t="s">
        <v>6</v>
      </c>
      <c r="E23" s="55" t="s">
        <v>7</v>
      </c>
      <c r="F23" s="89" t="s">
        <v>130</v>
      </c>
      <c r="G23" s="90"/>
    </row>
    <row r="24" spans="4:7" x14ac:dyDescent="0.3">
      <c r="D24" s="91" t="s">
        <v>8</v>
      </c>
      <c r="E24" s="55" t="s">
        <v>9</v>
      </c>
      <c r="F24" s="89" t="s">
        <v>130</v>
      </c>
      <c r="G24" s="90"/>
    </row>
    <row r="36" spans="4:8" ht="26.25" x14ac:dyDescent="0.4">
      <c r="D36" s="110" t="s">
        <v>182</v>
      </c>
      <c r="E36" s="111"/>
      <c r="F36" s="112"/>
      <c r="G36" s="109" t="s">
        <v>195</v>
      </c>
      <c r="H36" s="109" t="s">
        <v>196</v>
      </c>
    </row>
    <row r="37" spans="4:8" x14ac:dyDescent="0.3">
      <c r="D37" s="98">
        <v>5</v>
      </c>
      <c r="E37" s="98" t="s">
        <v>2</v>
      </c>
      <c r="F37" s="98">
        <v>3</v>
      </c>
      <c r="G37" s="176" t="s">
        <v>187</v>
      </c>
      <c r="H37" s="74" t="s">
        <v>188</v>
      </c>
    </row>
    <row r="38" spans="4:8" x14ac:dyDescent="0.3">
      <c r="D38" s="99">
        <v>9</v>
      </c>
      <c r="E38" s="99" t="s">
        <v>5</v>
      </c>
      <c r="F38" s="99">
        <v>7</v>
      </c>
      <c r="G38" s="74" t="s">
        <v>187</v>
      </c>
      <c r="H38" s="176" t="s">
        <v>188</v>
      </c>
    </row>
    <row r="39" spans="4:8" x14ac:dyDescent="0.3">
      <c r="D39" s="97">
        <v>23</v>
      </c>
      <c r="E39" s="97" t="s">
        <v>88</v>
      </c>
      <c r="F39" s="97">
        <v>23</v>
      </c>
      <c r="G39" s="176" t="s">
        <v>187</v>
      </c>
      <c r="H39" s="55" t="s">
        <v>188</v>
      </c>
    </row>
    <row r="40" spans="4:8" x14ac:dyDescent="0.3">
      <c r="D40" s="100">
        <v>13</v>
      </c>
      <c r="E40" s="100" t="s">
        <v>89</v>
      </c>
      <c r="F40" s="100">
        <v>14</v>
      </c>
      <c r="G40" s="176" t="s">
        <v>187</v>
      </c>
      <c r="H40" s="55" t="s">
        <v>188</v>
      </c>
    </row>
    <row r="41" spans="4:8" x14ac:dyDescent="0.3">
      <c r="D41" s="101" t="s">
        <v>189</v>
      </c>
      <c r="E41" s="101" t="s">
        <v>7</v>
      </c>
      <c r="F41" s="101" t="s">
        <v>190</v>
      </c>
      <c r="G41" s="55" t="s">
        <v>187</v>
      </c>
      <c r="H41" s="176" t="s">
        <v>188</v>
      </c>
    </row>
    <row r="42" spans="4:8" x14ac:dyDescent="0.3">
      <c r="D42" s="101" t="s">
        <v>191</v>
      </c>
      <c r="E42" s="101" t="s">
        <v>7</v>
      </c>
      <c r="F42" s="101" t="s">
        <v>192</v>
      </c>
      <c r="G42" s="176" t="s">
        <v>187</v>
      </c>
      <c r="H42" s="55" t="s">
        <v>188</v>
      </c>
    </row>
    <row r="43" spans="4:8" x14ac:dyDescent="0.3">
      <c r="D43" s="102" t="s">
        <v>193</v>
      </c>
      <c r="E43" s="102" t="s">
        <v>9</v>
      </c>
      <c r="F43" s="102" t="s">
        <v>194</v>
      </c>
      <c r="G43" s="176" t="s">
        <v>187</v>
      </c>
      <c r="H43" s="55" t="s">
        <v>188</v>
      </c>
    </row>
  </sheetData>
  <mergeCells count="5">
    <mergeCell ref="D36:F36"/>
    <mergeCell ref="B3:I3"/>
    <mergeCell ref="D18:E18"/>
    <mergeCell ref="F18:G18"/>
    <mergeCell ref="F19:G1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I22"/>
  <sheetViews>
    <sheetView showGridLines="0" zoomScaleNormal="100" workbookViewId="0">
      <selection activeCell="C20" sqref="C20"/>
    </sheetView>
  </sheetViews>
  <sheetFormatPr defaultColWidth="0" defaultRowHeight="12.75" customHeight="1" zeroHeight="1" x14ac:dyDescent="0.3"/>
  <cols>
    <col min="1" max="1" width="27.19921875" customWidth="1"/>
    <col min="2" max="2" width="50.796875" customWidth="1"/>
    <col min="3" max="3" width="14.296875" customWidth="1"/>
    <col min="4" max="4" width="24" customWidth="1"/>
    <col min="5" max="5" width="10.19921875" bestFit="1" customWidth="1"/>
    <col min="6" max="6" width="10.296875" bestFit="1" customWidth="1"/>
    <col min="7" max="7" width="8.796875" customWidth="1"/>
    <col min="8" max="8" width="16" bestFit="1" customWidth="1"/>
    <col min="9" max="9" width="9.09765625" customWidth="1"/>
    <col min="10" max="16384" width="9.09765625" hidden="1"/>
  </cols>
  <sheetData>
    <row r="1" spans="1:8" ht="18.75" x14ac:dyDescent="0.3">
      <c r="A1" s="126" t="s">
        <v>144</v>
      </c>
      <c r="B1" s="127"/>
      <c r="C1" s="127"/>
      <c r="D1" s="127"/>
      <c r="H1" s="58" t="s">
        <v>60</v>
      </c>
    </row>
    <row r="2" spans="1:8" ht="18.75" x14ac:dyDescent="0.3">
      <c r="H2" s="16" t="s">
        <v>61</v>
      </c>
    </row>
    <row r="3" spans="1:8" ht="18.75" x14ac:dyDescent="0.3">
      <c r="A3" s="114" t="s">
        <v>59</v>
      </c>
      <c r="B3" s="114"/>
      <c r="C3" s="115" t="s">
        <v>0</v>
      </c>
      <c r="D3" s="116"/>
      <c r="H3" s="1" t="s">
        <v>62</v>
      </c>
    </row>
    <row r="4" spans="1:8" ht="18.75" x14ac:dyDescent="0.3">
      <c r="A4" s="91" t="s">
        <v>1</v>
      </c>
      <c r="B4" s="55" t="s">
        <v>2</v>
      </c>
      <c r="C4" s="117" t="s">
        <v>3</v>
      </c>
      <c r="D4" s="118"/>
      <c r="H4" s="17"/>
    </row>
    <row r="5" spans="1:8" ht="18.75" x14ac:dyDescent="0.3">
      <c r="A5" s="91" t="s">
        <v>4</v>
      </c>
      <c r="B5" s="55" t="s">
        <v>5</v>
      </c>
      <c r="C5" s="117" t="s">
        <v>3</v>
      </c>
      <c r="D5" s="118"/>
    </row>
    <row r="6" spans="1:8" s="32" customFormat="1" ht="18.75" x14ac:dyDescent="0.3">
      <c r="A6" s="91" t="s">
        <v>86</v>
      </c>
      <c r="B6" s="55" t="s">
        <v>88</v>
      </c>
      <c r="C6" s="117" t="s">
        <v>3</v>
      </c>
      <c r="D6" s="118"/>
    </row>
    <row r="7" spans="1:8" s="32" customFormat="1" ht="18.75" x14ac:dyDescent="0.3">
      <c r="A7" s="91" t="s">
        <v>87</v>
      </c>
      <c r="B7" s="55" t="s">
        <v>89</v>
      </c>
      <c r="C7" s="117" t="s">
        <v>3</v>
      </c>
      <c r="D7" s="118"/>
    </row>
    <row r="8" spans="1:8" ht="18.75" x14ac:dyDescent="0.3">
      <c r="A8" s="91" t="s">
        <v>6</v>
      </c>
      <c r="B8" s="55" t="s">
        <v>7</v>
      </c>
      <c r="C8" s="117" t="s">
        <v>130</v>
      </c>
      <c r="D8" s="118"/>
    </row>
    <row r="9" spans="1:8" ht="18.75" x14ac:dyDescent="0.3">
      <c r="A9" s="91" t="s">
        <v>8</v>
      </c>
      <c r="B9" s="55" t="s">
        <v>9</v>
      </c>
      <c r="C9" s="117" t="s">
        <v>130</v>
      </c>
      <c r="D9" s="118"/>
    </row>
    <row r="10" spans="1:8" ht="18.75" x14ac:dyDescent="0.3"/>
    <row r="11" spans="1:8" ht="18.75" x14ac:dyDescent="0.3">
      <c r="A11" s="124" t="s">
        <v>183</v>
      </c>
      <c r="B11" s="125"/>
    </row>
    <row r="12" spans="1:8" ht="18.75" x14ac:dyDescent="0.3">
      <c r="A12" s="57" t="s">
        <v>10</v>
      </c>
      <c r="B12" s="57" t="s">
        <v>11</v>
      </c>
    </row>
    <row r="13" spans="1:8" ht="18.75" x14ac:dyDescent="0.3">
      <c r="A13" s="1" t="s">
        <v>197</v>
      </c>
      <c r="B13" s="2" t="str">
        <f>IF(A13="ABERTA","ENTRAR","NÃO ENTRAR")</f>
        <v>ENTRAR</v>
      </c>
      <c r="C13" s="3"/>
      <c r="D13" s="3"/>
    </row>
    <row r="14" spans="1:8" ht="18.75" x14ac:dyDescent="0.3"/>
    <row r="15" spans="1:8" ht="18.75" x14ac:dyDescent="0.3">
      <c r="A15" s="120" t="s">
        <v>12</v>
      </c>
      <c r="B15" s="121"/>
      <c r="C15" s="122"/>
      <c r="D15" s="59" t="s">
        <v>145</v>
      </c>
    </row>
    <row r="16" spans="1:8" ht="18.75" x14ac:dyDescent="0.3">
      <c r="A16" s="120" t="s">
        <v>13</v>
      </c>
      <c r="B16" s="122"/>
      <c r="C16" s="60" t="s">
        <v>14</v>
      </c>
      <c r="D16" s="60" t="s">
        <v>15</v>
      </c>
    </row>
    <row r="17" spans="1:4" ht="18.75" x14ac:dyDescent="0.3">
      <c r="A17" s="123" t="s">
        <v>16</v>
      </c>
      <c r="B17" s="123"/>
      <c r="C17" s="4">
        <v>19000</v>
      </c>
      <c r="D17" s="1" t="str">
        <f>IF(C17&lt;25000,"KM BAIXA","KM ALTA")</f>
        <v>KM BAIXA</v>
      </c>
    </row>
    <row r="18" spans="1:4" ht="18.75" x14ac:dyDescent="0.3">
      <c r="A18" s="119" t="s">
        <v>17</v>
      </c>
      <c r="B18" s="119"/>
      <c r="C18" s="4">
        <v>23000</v>
      </c>
      <c r="D18" s="108" t="str">
        <f t="shared" ref="D18:D21" si="0">IF(C18&lt;25000,"KM BAIXA","KM ALTA")</f>
        <v>KM BAIXA</v>
      </c>
    </row>
    <row r="19" spans="1:4" ht="18.75" x14ac:dyDescent="0.3">
      <c r="A19" s="119" t="s">
        <v>102</v>
      </c>
      <c r="B19" s="119"/>
      <c r="C19" s="4">
        <v>26000</v>
      </c>
      <c r="D19" s="108" t="str">
        <f t="shared" si="0"/>
        <v>KM ALTA</v>
      </c>
    </row>
    <row r="20" spans="1:4" ht="18.75" x14ac:dyDescent="0.3">
      <c r="A20" s="119" t="s">
        <v>18</v>
      </c>
      <c r="B20" s="119"/>
      <c r="C20" s="4">
        <v>98549</v>
      </c>
      <c r="D20" s="108" t="str">
        <f t="shared" si="0"/>
        <v>KM ALTA</v>
      </c>
    </row>
    <row r="21" spans="1:4" ht="18.75" x14ac:dyDescent="0.3">
      <c r="A21" s="119" t="s">
        <v>131</v>
      </c>
      <c r="B21" s="119"/>
      <c r="C21" s="4">
        <v>21999</v>
      </c>
      <c r="D21" s="108" t="str">
        <f t="shared" si="0"/>
        <v>KM BAIXA</v>
      </c>
    </row>
    <row r="22" spans="1:4" ht="18.75" x14ac:dyDescent="0.3"/>
  </sheetData>
  <mergeCells count="17">
    <mergeCell ref="C6:D6"/>
    <mergeCell ref="C7:D7"/>
    <mergeCell ref="A1:D1"/>
    <mergeCell ref="A19:B19"/>
    <mergeCell ref="A20:B20"/>
    <mergeCell ref="C8:D8"/>
    <mergeCell ref="A3:B3"/>
    <mergeCell ref="C3:D3"/>
    <mergeCell ref="C4:D4"/>
    <mergeCell ref="C5:D5"/>
    <mergeCell ref="A21:B21"/>
    <mergeCell ref="C9:D9"/>
    <mergeCell ref="A15:C15"/>
    <mergeCell ref="A16:B16"/>
    <mergeCell ref="A17:B17"/>
    <mergeCell ref="A18:B18"/>
    <mergeCell ref="A11:B11"/>
  </mergeCells>
  <conditionalFormatting sqref="C17:C21">
    <cfRule type="cellIs" dxfId="24" priority="1" operator="greaterThan">
      <formula>25001</formula>
    </cfRule>
    <cfRule type="cellIs" dxfId="23" priority="2" operator="lessThan">
      <formula>25000</formula>
    </cfRule>
    <cfRule type="cellIs" dxfId="22" priority="3" operator="lessThan">
      <formula>25000</formula>
    </cfRule>
    <cfRule type="cellIs" dxfId="21" priority="4" operator="greaterThan">
      <formula>25000</formula>
    </cfRule>
  </conditionalFormatting>
  <dataValidations count="1">
    <dataValidation type="list" allowBlank="1" showInputMessage="1" showErrorMessage="1" sqref="A13" xr:uid="{51FE8F8C-8D32-41F8-8458-7B10563679EC}">
      <formula1>"ABERTA, FECHADA"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J25"/>
  <sheetViews>
    <sheetView showGridLines="0" topLeftCell="C1" zoomScaleNormal="100" workbookViewId="0">
      <selection activeCell="C4" sqref="C4"/>
    </sheetView>
  </sheetViews>
  <sheetFormatPr defaultColWidth="0" defaultRowHeight="12.75" customHeight="1" zeroHeight="1" x14ac:dyDescent="0.3"/>
  <cols>
    <col min="1" max="1" width="12.09765625" style="5" bestFit="1" customWidth="1"/>
    <col min="2" max="2" width="8.3984375" style="5" customWidth="1"/>
    <col min="3" max="3" width="10.8984375" style="5" bestFit="1" customWidth="1"/>
    <col min="4" max="4" width="22.5" style="5" customWidth="1"/>
    <col min="5" max="5" width="31.69921875" style="5" customWidth="1"/>
    <col min="6" max="7" width="8.796875" style="5" customWidth="1"/>
    <col min="8" max="9" width="13.296875" style="5" bestFit="1" customWidth="1"/>
    <col min="10" max="10" width="6.3984375" style="5" customWidth="1"/>
    <col min="11" max="16384" width="6.3984375" style="5" hidden="1"/>
  </cols>
  <sheetData>
    <row r="1" spans="1:9" ht="18.75" x14ac:dyDescent="0.3">
      <c r="A1" s="128" t="s">
        <v>19</v>
      </c>
      <c r="B1" s="129"/>
      <c r="C1" s="130"/>
      <c r="E1" s="132" t="s">
        <v>30</v>
      </c>
      <c r="F1" s="133"/>
      <c r="G1" s="133"/>
      <c r="H1" s="133"/>
      <c r="I1" s="134"/>
    </row>
    <row r="2" spans="1:9" ht="36.75" customHeight="1" x14ac:dyDescent="0.3">
      <c r="A2" s="131" t="s">
        <v>158</v>
      </c>
      <c r="B2" s="131"/>
      <c r="C2" s="131"/>
      <c r="E2" s="135" t="s">
        <v>159</v>
      </c>
      <c r="F2" s="136"/>
      <c r="G2" s="136"/>
      <c r="H2" s="136"/>
      <c r="I2" s="137"/>
    </row>
    <row r="3" spans="1:9" ht="18.75" x14ac:dyDescent="0.3">
      <c r="A3" s="61" t="s">
        <v>20</v>
      </c>
      <c r="B3" s="61" t="s">
        <v>21</v>
      </c>
      <c r="C3" s="61" t="s">
        <v>22</v>
      </c>
      <c r="E3" s="62" t="s">
        <v>31</v>
      </c>
      <c r="F3" s="63" t="s">
        <v>32</v>
      </c>
      <c r="G3" s="63" t="s">
        <v>33</v>
      </c>
      <c r="H3" s="63" t="s">
        <v>34</v>
      </c>
      <c r="I3" s="63" t="s">
        <v>35</v>
      </c>
    </row>
    <row r="4" spans="1:9" ht="18.75" x14ac:dyDescent="0.3">
      <c r="A4" s="104" t="s">
        <v>23</v>
      </c>
      <c r="B4" s="6">
        <v>16</v>
      </c>
      <c r="C4" s="104" t="str">
        <f>IF(B4&gt;=13,"CATEGORIA A","CATEGORIA B")</f>
        <v>CATEGORIA A</v>
      </c>
      <c r="E4" s="7" t="s">
        <v>122</v>
      </c>
      <c r="F4" s="8" t="s">
        <v>36</v>
      </c>
      <c r="G4" s="9">
        <v>1383</v>
      </c>
      <c r="H4" s="54">
        <f>IF(F4="SP",0,25)</f>
        <v>0</v>
      </c>
      <c r="I4" s="54">
        <f>G4+H4</f>
        <v>1383</v>
      </c>
    </row>
    <row r="5" spans="1:9" ht="18.75" x14ac:dyDescent="0.3">
      <c r="A5" s="104" t="s">
        <v>24</v>
      </c>
      <c r="B5" s="6">
        <v>15</v>
      </c>
      <c r="C5" s="104" t="str">
        <f t="shared" ref="C5:C11" si="0">IF(B5&gt;=13,"CATEGORIA A","CATEGORIA B")</f>
        <v>CATEGORIA A</v>
      </c>
      <c r="E5" s="7" t="s">
        <v>123</v>
      </c>
      <c r="F5" s="8" t="s">
        <v>36</v>
      </c>
      <c r="G5" s="9">
        <v>1420</v>
      </c>
      <c r="H5" s="54">
        <f t="shared" ref="H5:H11" si="1">IF(F5="SP",0,25)</f>
        <v>0</v>
      </c>
      <c r="I5" s="54">
        <f t="shared" ref="I5:I11" si="2">G5+H5</f>
        <v>1420</v>
      </c>
    </row>
    <row r="6" spans="1:9" ht="18.75" x14ac:dyDescent="0.3">
      <c r="A6" s="104" t="s">
        <v>25</v>
      </c>
      <c r="B6" s="6">
        <v>19</v>
      </c>
      <c r="C6" s="104" t="str">
        <f t="shared" si="0"/>
        <v>CATEGORIA A</v>
      </c>
      <c r="E6" s="7" t="s">
        <v>124</v>
      </c>
      <c r="F6" s="8" t="s">
        <v>37</v>
      </c>
      <c r="G6" s="9">
        <v>1562</v>
      </c>
      <c r="H6" s="54">
        <f t="shared" si="1"/>
        <v>25</v>
      </c>
      <c r="I6" s="54">
        <f t="shared" si="2"/>
        <v>1587</v>
      </c>
    </row>
    <row r="7" spans="1:9" ht="18.75" x14ac:dyDescent="0.3">
      <c r="A7" s="104" t="s">
        <v>26</v>
      </c>
      <c r="B7" s="6">
        <v>9</v>
      </c>
      <c r="C7" s="104" t="str">
        <f t="shared" si="0"/>
        <v>CATEGORIA B</v>
      </c>
      <c r="E7" s="7" t="s">
        <v>125</v>
      </c>
      <c r="F7" s="8" t="s">
        <v>38</v>
      </c>
      <c r="G7" s="9">
        <v>2326</v>
      </c>
      <c r="H7" s="54">
        <f t="shared" si="1"/>
        <v>25</v>
      </c>
      <c r="I7" s="54">
        <f t="shared" si="2"/>
        <v>2351</v>
      </c>
    </row>
    <row r="8" spans="1:9" ht="18.75" x14ac:dyDescent="0.3">
      <c r="A8" s="104" t="s">
        <v>27</v>
      </c>
      <c r="B8" s="6">
        <v>17</v>
      </c>
      <c r="C8" s="104" t="str">
        <f t="shared" si="0"/>
        <v>CATEGORIA A</v>
      </c>
      <c r="E8" s="7" t="s">
        <v>126</v>
      </c>
      <c r="F8" s="8" t="s">
        <v>39</v>
      </c>
      <c r="G8" s="9">
        <v>1349</v>
      </c>
      <c r="H8" s="54">
        <f t="shared" si="1"/>
        <v>25</v>
      </c>
      <c r="I8" s="54">
        <f t="shared" si="2"/>
        <v>1374</v>
      </c>
    </row>
    <row r="9" spans="1:9" ht="18.75" x14ac:dyDescent="0.3">
      <c r="A9" s="104" t="s">
        <v>28</v>
      </c>
      <c r="B9" s="6">
        <v>12</v>
      </c>
      <c r="C9" s="104" t="str">
        <f t="shared" si="0"/>
        <v>CATEGORIA B</v>
      </c>
      <c r="E9" s="7" t="s">
        <v>127</v>
      </c>
      <c r="F9" s="8" t="s">
        <v>38</v>
      </c>
      <c r="G9" s="9">
        <v>2052</v>
      </c>
      <c r="H9" s="54">
        <f t="shared" si="1"/>
        <v>25</v>
      </c>
      <c r="I9" s="54">
        <f t="shared" si="2"/>
        <v>2077</v>
      </c>
    </row>
    <row r="10" spans="1:9" ht="18.75" x14ac:dyDescent="0.3">
      <c r="A10" s="104" t="s">
        <v>29</v>
      </c>
      <c r="B10" s="6">
        <v>11</v>
      </c>
      <c r="C10" s="104" t="str">
        <f t="shared" si="0"/>
        <v>CATEGORIA B</v>
      </c>
      <c r="E10" s="7" t="s">
        <v>128</v>
      </c>
      <c r="F10" s="8" t="s">
        <v>39</v>
      </c>
      <c r="G10" s="9">
        <v>1813</v>
      </c>
      <c r="H10" s="54">
        <f t="shared" si="1"/>
        <v>25</v>
      </c>
      <c r="I10" s="54">
        <f t="shared" si="2"/>
        <v>1838</v>
      </c>
    </row>
    <row r="11" spans="1:9" ht="18.75" x14ac:dyDescent="0.3">
      <c r="A11" s="104" t="s">
        <v>160</v>
      </c>
      <c r="B11" s="6">
        <v>13</v>
      </c>
      <c r="C11" s="104" t="str">
        <f t="shared" si="0"/>
        <v>CATEGORIA A</v>
      </c>
      <c r="E11" s="7" t="s">
        <v>129</v>
      </c>
      <c r="F11" s="8" t="s">
        <v>36</v>
      </c>
      <c r="G11" s="9">
        <v>1989</v>
      </c>
      <c r="H11" s="54">
        <f t="shared" si="1"/>
        <v>0</v>
      </c>
      <c r="I11" s="54">
        <f t="shared" si="2"/>
        <v>1989</v>
      </c>
    </row>
    <row r="12" spans="1:9" ht="18.75" x14ac:dyDescent="0.3"/>
    <row r="13" spans="1:9" ht="18.75" x14ac:dyDescent="0.3"/>
    <row r="14" spans="1:9" ht="18.75" x14ac:dyDescent="0.3"/>
    <row r="15" spans="1:9" ht="18.75" x14ac:dyDescent="0.3"/>
    <row r="16" spans="1:9" ht="18.75" x14ac:dyDescent="0.3"/>
    <row r="17" ht="18.75" hidden="1" x14ac:dyDescent="0.3"/>
    <row r="18" ht="18.75" hidden="1" x14ac:dyDescent="0.3"/>
    <row r="19" ht="18.75" hidden="1" x14ac:dyDescent="0.3"/>
    <row r="20" ht="18.75" hidden="1" x14ac:dyDescent="0.3"/>
    <row r="21" ht="18.75" hidden="1" x14ac:dyDescent="0.3"/>
    <row r="22" ht="18.75" hidden="1" x14ac:dyDescent="0.3"/>
    <row r="23" ht="18.75" hidden="1" x14ac:dyDescent="0.3"/>
    <row r="24" ht="12.75" hidden="1" customHeight="1" x14ac:dyDescent="0.3"/>
    <row r="25" ht="12.75" hidden="1" customHeight="1" x14ac:dyDescent="0.3"/>
  </sheetData>
  <mergeCells count="4">
    <mergeCell ref="A1:C1"/>
    <mergeCell ref="A2:C2"/>
    <mergeCell ref="E1:I1"/>
    <mergeCell ref="E2:I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K17"/>
  <sheetViews>
    <sheetView showGridLines="0" zoomScale="85" zoomScaleNormal="85" workbookViewId="0">
      <selection activeCell="H11" sqref="H11"/>
    </sheetView>
  </sheetViews>
  <sheetFormatPr defaultColWidth="0" defaultRowHeight="18.95" customHeight="1" zeroHeight="1" x14ac:dyDescent="0.3"/>
  <cols>
    <col min="1" max="1" width="12.296875" bestFit="1" customWidth="1"/>
    <col min="2" max="2" width="9" bestFit="1" customWidth="1"/>
    <col min="3" max="3" width="13.69921875" bestFit="1" customWidth="1"/>
    <col min="4" max="4" width="8.796875" bestFit="1" customWidth="1"/>
    <col min="5" max="5" width="13.3984375" bestFit="1" customWidth="1"/>
    <col min="6" max="6" width="23.8984375" customWidth="1"/>
    <col min="7" max="7" width="22.3984375" style="32" customWidth="1"/>
    <col min="8" max="8" width="8.796875" customWidth="1"/>
    <col min="9" max="9" width="24.5" customWidth="1"/>
    <col min="10" max="10" width="8.796875" customWidth="1"/>
    <col min="11" max="11" width="8.796875" hidden="1" customWidth="1"/>
    <col min="12" max="16384" width="6.3984375" hidden="1"/>
  </cols>
  <sheetData>
    <row r="1" spans="1:9" ht="18.95" customHeight="1" x14ac:dyDescent="0.3">
      <c r="A1" s="141" t="s">
        <v>40</v>
      </c>
      <c r="B1" s="141"/>
      <c r="C1" s="141"/>
      <c r="D1" s="141"/>
      <c r="E1" s="141"/>
      <c r="F1" s="141"/>
      <c r="G1" s="141"/>
      <c r="I1" s="48" t="s">
        <v>60</v>
      </c>
    </row>
    <row r="2" spans="1:9" ht="18.95" customHeight="1" x14ac:dyDescent="0.3">
      <c r="A2" s="138" t="s">
        <v>161</v>
      </c>
      <c r="B2" s="138"/>
      <c r="C2" s="138"/>
      <c r="D2" s="138"/>
      <c r="E2" s="138"/>
      <c r="F2" s="138"/>
      <c r="G2" s="138"/>
      <c r="I2" s="49" t="s">
        <v>61</v>
      </c>
    </row>
    <row r="3" spans="1:9" ht="18.95" customHeight="1" x14ac:dyDescent="0.3">
      <c r="A3" s="138" t="s">
        <v>162</v>
      </c>
      <c r="B3" s="138"/>
      <c r="C3" s="138"/>
      <c r="D3" s="138"/>
      <c r="E3" s="138"/>
      <c r="F3" s="138"/>
      <c r="G3" s="138"/>
      <c r="I3" s="47" t="s">
        <v>132</v>
      </c>
    </row>
    <row r="4" spans="1:9" ht="18.95" customHeight="1" x14ac:dyDescent="0.3">
      <c r="A4" s="138" t="s">
        <v>163</v>
      </c>
      <c r="B4" s="138"/>
      <c r="C4" s="138"/>
      <c r="D4" s="138"/>
      <c r="E4" s="138"/>
      <c r="F4" s="138"/>
      <c r="G4" s="138"/>
    </row>
    <row r="5" spans="1:9" ht="18.95" customHeight="1" x14ac:dyDescent="0.3">
      <c r="A5" s="10" t="s">
        <v>20</v>
      </c>
      <c r="B5" s="10" t="s">
        <v>41</v>
      </c>
      <c r="C5" s="11" t="s">
        <v>42</v>
      </c>
      <c r="D5" s="10" t="s">
        <v>43</v>
      </c>
      <c r="E5" s="11" t="s">
        <v>44</v>
      </c>
      <c r="F5" s="105" t="s">
        <v>141</v>
      </c>
      <c r="G5" s="105" t="s">
        <v>142</v>
      </c>
      <c r="H5" s="32"/>
    </row>
    <row r="6" spans="1:9" ht="18.95" customHeight="1" x14ac:dyDescent="0.3">
      <c r="A6" s="12" t="s">
        <v>45</v>
      </c>
      <c r="B6" s="12" t="s">
        <v>46</v>
      </c>
      <c r="C6" s="64">
        <v>43146</v>
      </c>
      <c r="D6" s="13">
        <v>580</v>
      </c>
      <c r="E6" s="64">
        <v>43146</v>
      </c>
      <c r="F6" s="177">
        <f>IF(E6&gt;C6,D6+(D6*25%),D6)</f>
        <v>580</v>
      </c>
      <c r="G6" s="177">
        <f>F6-D6</f>
        <v>0</v>
      </c>
    </row>
    <row r="7" spans="1:9" ht="18.95" customHeight="1" x14ac:dyDescent="0.3">
      <c r="A7" s="12" t="s">
        <v>47</v>
      </c>
      <c r="B7" s="12" t="s">
        <v>48</v>
      </c>
      <c r="C7" s="64">
        <v>43147</v>
      </c>
      <c r="D7" s="13">
        <v>650</v>
      </c>
      <c r="E7" s="64">
        <v>43151</v>
      </c>
      <c r="F7" s="177">
        <f t="shared" ref="F7:F15" si="0">IF(E7&gt;C7,D7+(D7*25%),D7)</f>
        <v>812.5</v>
      </c>
      <c r="G7" s="177">
        <f t="shared" ref="G7:G15" si="1">F7-D7</f>
        <v>162.5</v>
      </c>
      <c r="I7" s="139" t="s">
        <v>164</v>
      </c>
    </row>
    <row r="8" spans="1:9" ht="18.95" customHeight="1" x14ac:dyDescent="0.3">
      <c r="A8" s="12" t="s">
        <v>49</v>
      </c>
      <c r="B8" s="12" t="s">
        <v>50</v>
      </c>
      <c r="C8" s="64">
        <v>43141</v>
      </c>
      <c r="D8" s="13">
        <v>350</v>
      </c>
      <c r="E8" s="64">
        <v>43139</v>
      </c>
      <c r="F8" s="177">
        <f t="shared" si="0"/>
        <v>350</v>
      </c>
      <c r="G8" s="177">
        <f t="shared" si="1"/>
        <v>0</v>
      </c>
      <c r="I8" s="140"/>
    </row>
    <row r="9" spans="1:9" ht="18.95" customHeight="1" x14ac:dyDescent="0.3">
      <c r="A9" s="12" t="s">
        <v>51</v>
      </c>
      <c r="B9" s="12" t="s">
        <v>46</v>
      </c>
      <c r="C9" s="64">
        <v>43139</v>
      </c>
      <c r="D9" s="13">
        <v>580</v>
      </c>
      <c r="E9" s="64">
        <v>43139</v>
      </c>
      <c r="F9" s="177">
        <f t="shared" si="0"/>
        <v>580</v>
      </c>
      <c r="G9" s="177">
        <f t="shared" si="1"/>
        <v>0</v>
      </c>
      <c r="H9" s="32"/>
      <c r="I9" s="140"/>
    </row>
    <row r="10" spans="1:9" ht="18.95" customHeight="1" x14ac:dyDescent="0.3">
      <c r="A10" s="12" t="s">
        <v>52</v>
      </c>
      <c r="B10" s="12" t="s">
        <v>53</v>
      </c>
      <c r="C10" s="64">
        <v>43136</v>
      </c>
      <c r="D10" s="13">
        <v>1250</v>
      </c>
      <c r="E10" s="64">
        <v>43134</v>
      </c>
      <c r="F10" s="177">
        <f t="shared" si="0"/>
        <v>1250</v>
      </c>
      <c r="G10" s="177">
        <f t="shared" si="1"/>
        <v>0</v>
      </c>
      <c r="H10" s="32"/>
      <c r="I10" s="140"/>
    </row>
    <row r="11" spans="1:9" ht="18.95" customHeight="1" x14ac:dyDescent="0.3">
      <c r="A11" s="12" t="s">
        <v>54</v>
      </c>
      <c r="B11" s="12" t="s">
        <v>46</v>
      </c>
      <c r="C11" s="64">
        <v>43134</v>
      </c>
      <c r="D11" s="13">
        <v>580</v>
      </c>
      <c r="E11" s="64">
        <v>43146</v>
      </c>
      <c r="F11" s="177">
        <f t="shared" si="0"/>
        <v>725</v>
      </c>
      <c r="G11" s="177">
        <f t="shared" si="1"/>
        <v>145</v>
      </c>
      <c r="H11" s="32"/>
      <c r="I11" s="140"/>
    </row>
    <row r="12" spans="1:9" ht="18.95" customHeight="1" x14ac:dyDescent="0.3">
      <c r="A12" s="12" t="s">
        <v>55</v>
      </c>
      <c r="B12" s="12" t="s">
        <v>53</v>
      </c>
      <c r="C12" s="64">
        <v>43151</v>
      </c>
      <c r="D12" s="13">
        <v>1250</v>
      </c>
      <c r="E12" s="64">
        <v>43156</v>
      </c>
      <c r="F12" s="177">
        <f t="shared" si="0"/>
        <v>1562.5</v>
      </c>
      <c r="G12" s="177">
        <f t="shared" si="1"/>
        <v>312.5</v>
      </c>
      <c r="H12" s="32"/>
      <c r="I12" s="140"/>
    </row>
    <row r="13" spans="1:9" ht="18.95" customHeight="1" x14ac:dyDescent="0.3">
      <c r="A13" s="12" t="s">
        <v>56</v>
      </c>
      <c r="B13" s="12" t="s">
        <v>50</v>
      </c>
      <c r="C13" s="64">
        <v>43152</v>
      </c>
      <c r="D13" s="13">
        <v>350</v>
      </c>
      <c r="E13" s="64">
        <v>43154</v>
      </c>
      <c r="F13" s="177">
        <f t="shared" si="0"/>
        <v>437.5</v>
      </c>
      <c r="G13" s="177">
        <f t="shared" si="1"/>
        <v>87.5</v>
      </c>
      <c r="H13" s="32"/>
      <c r="I13" s="140"/>
    </row>
    <row r="14" spans="1:9" ht="18.95" customHeight="1" x14ac:dyDescent="0.3">
      <c r="A14" s="12" t="s">
        <v>57</v>
      </c>
      <c r="B14" s="12" t="s">
        <v>48</v>
      </c>
      <c r="C14" s="64">
        <v>43154</v>
      </c>
      <c r="D14" s="13">
        <v>650</v>
      </c>
      <c r="E14" s="64">
        <v>43151</v>
      </c>
      <c r="F14" s="177">
        <f t="shared" si="0"/>
        <v>650</v>
      </c>
      <c r="G14" s="177">
        <f t="shared" si="1"/>
        <v>0</v>
      </c>
      <c r="I14" s="140"/>
    </row>
    <row r="15" spans="1:9" ht="18.95" customHeight="1" x14ac:dyDescent="0.3">
      <c r="A15" s="14" t="s">
        <v>58</v>
      </c>
      <c r="B15" s="14" t="s">
        <v>48</v>
      </c>
      <c r="C15" s="65">
        <v>43156</v>
      </c>
      <c r="D15" s="15">
        <v>650</v>
      </c>
      <c r="E15" s="65">
        <v>43156</v>
      </c>
      <c r="F15" s="177">
        <f t="shared" si="0"/>
        <v>650</v>
      </c>
      <c r="G15" s="177">
        <f t="shared" si="1"/>
        <v>0</v>
      </c>
    </row>
    <row r="16" spans="1:9" ht="18.95" customHeight="1" x14ac:dyDescent="0.3"/>
    <row r="17" ht="18.95" customHeight="1" x14ac:dyDescent="0.3"/>
  </sheetData>
  <mergeCells count="5">
    <mergeCell ref="A4:G4"/>
    <mergeCell ref="I7:I14"/>
    <mergeCell ref="A1:G1"/>
    <mergeCell ref="A2:G2"/>
    <mergeCell ref="A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A1:J21"/>
  <sheetViews>
    <sheetView showGridLines="0" zoomScale="130" zoomScaleNormal="130" workbookViewId="0">
      <selection activeCell="G9" sqref="G9"/>
    </sheetView>
  </sheetViews>
  <sheetFormatPr defaultColWidth="0" defaultRowHeight="18.75" zeroHeight="1" x14ac:dyDescent="0.3"/>
  <cols>
    <col min="1" max="1" width="15.69921875" style="18" bestFit="1" customWidth="1"/>
    <col min="2" max="5" width="4.3984375" style="18" bestFit="1" customWidth="1"/>
    <col min="6" max="6" width="9.69921875" style="18" bestFit="1" customWidth="1"/>
    <col min="7" max="7" width="28.09765625" style="18" customWidth="1"/>
    <col min="8" max="8" width="8.796875" style="18" customWidth="1"/>
    <col min="9" max="9" width="19.59765625" style="18" hidden="1" customWidth="1"/>
    <col min="10" max="10" width="8.796875" style="18" hidden="1" customWidth="1"/>
    <col min="11" max="16384" width="0" style="18" hidden="1"/>
  </cols>
  <sheetData>
    <row r="1" spans="1:9" customFormat="1" x14ac:dyDescent="0.3">
      <c r="A1" s="142" t="s">
        <v>63</v>
      </c>
      <c r="B1" s="142"/>
      <c r="C1" s="142"/>
      <c r="D1" s="142"/>
      <c r="E1" s="142"/>
      <c r="F1" s="142"/>
      <c r="G1" s="143"/>
    </row>
    <row r="2" spans="1:9" customFormat="1" x14ac:dyDescent="0.3">
      <c r="A2" s="144" t="s">
        <v>85</v>
      </c>
      <c r="B2" s="145"/>
      <c r="C2" s="145"/>
      <c r="D2" s="145"/>
      <c r="E2" s="145"/>
      <c r="F2" s="145"/>
      <c r="G2" s="146"/>
    </row>
    <row r="3" spans="1:9" customFormat="1" x14ac:dyDescent="0.3">
      <c r="A3" s="73" t="s">
        <v>20</v>
      </c>
      <c r="B3" s="73" t="s">
        <v>64</v>
      </c>
      <c r="C3" s="73" t="s">
        <v>65</v>
      </c>
      <c r="D3" s="73" t="s">
        <v>66</v>
      </c>
      <c r="E3" s="73" t="s">
        <v>67</v>
      </c>
      <c r="F3" s="73" t="s">
        <v>68</v>
      </c>
      <c r="G3" s="106" t="s">
        <v>69</v>
      </c>
    </row>
    <row r="4" spans="1:9" customFormat="1" x14ac:dyDescent="0.3">
      <c r="A4" s="19" t="s">
        <v>70</v>
      </c>
      <c r="B4" s="20">
        <v>8.9</v>
      </c>
      <c r="C4" s="20">
        <v>9.3000000000000007</v>
      </c>
      <c r="D4" s="20">
        <v>10</v>
      </c>
      <c r="E4" s="20">
        <v>8.5</v>
      </c>
      <c r="F4" s="20">
        <v>9.1750000000000007</v>
      </c>
      <c r="G4" s="21" t="str">
        <f>IF(F4&lt;7,"REPROVADO","APROVADO")</f>
        <v>APROVADO</v>
      </c>
    </row>
    <row r="5" spans="1:9" customFormat="1" x14ac:dyDescent="0.3">
      <c r="A5" s="19" t="s">
        <v>149</v>
      </c>
      <c r="B5" s="20">
        <v>9</v>
      </c>
      <c r="C5" s="20">
        <v>8</v>
      </c>
      <c r="D5" s="20">
        <v>3</v>
      </c>
      <c r="E5" s="20">
        <v>10</v>
      </c>
      <c r="F5" s="20">
        <v>7.5</v>
      </c>
      <c r="G5" s="35" t="str">
        <f t="shared" ref="G5:G13" si="0">IF(F5&lt;7,"REPROVADO","APROVADO")</f>
        <v>APROVADO</v>
      </c>
    </row>
    <row r="6" spans="1:9" customFormat="1" x14ac:dyDescent="0.3">
      <c r="A6" s="19" t="s">
        <v>150</v>
      </c>
      <c r="B6" s="20">
        <v>7.6</v>
      </c>
      <c r="C6" s="20">
        <v>2</v>
      </c>
      <c r="D6" s="20">
        <v>10</v>
      </c>
      <c r="E6" s="20">
        <v>9.8000000000000007</v>
      </c>
      <c r="F6" s="20">
        <v>7.3500000000000005</v>
      </c>
      <c r="G6" s="35" t="str">
        <f t="shared" si="0"/>
        <v>APROVADO</v>
      </c>
    </row>
    <row r="7" spans="1:9" x14ac:dyDescent="0.3">
      <c r="A7" s="19" t="s">
        <v>151</v>
      </c>
      <c r="B7" s="20">
        <v>7</v>
      </c>
      <c r="C7" s="20">
        <v>10</v>
      </c>
      <c r="D7" s="20">
        <v>9</v>
      </c>
      <c r="E7" s="20">
        <v>2</v>
      </c>
      <c r="F7" s="20">
        <v>7</v>
      </c>
      <c r="G7" s="35" t="str">
        <f t="shared" si="0"/>
        <v>APROVADO</v>
      </c>
    </row>
    <row r="8" spans="1:9" x14ac:dyDescent="0.3">
      <c r="A8" s="19" t="s">
        <v>152</v>
      </c>
      <c r="B8" s="20">
        <v>5.5</v>
      </c>
      <c r="C8" s="20">
        <v>8</v>
      </c>
      <c r="D8" s="20">
        <v>9.6</v>
      </c>
      <c r="E8" s="20">
        <v>1</v>
      </c>
      <c r="F8" s="20">
        <v>6.0250000000000004</v>
      </c>
      <c r="G8" s="35" t="str">
        <f t="shared" si="0"/>
        <v>REPROVADO</v>
      </c>
      <c r="I8" s="17"/>
    </row>
    <row r="9" spans="1:9" x14ac:dyDescent="0.3">
      <c r="A9" s="19" t="s">
        <v>153</v>
      </c>
      <c r="B9" s="20">
        <v>5</v>
      </c>
      <c r="C9" s="20">
        <v>3.5</v>
      </c>
      <c r="D9" s="20">
        <v>6</v>
      </c>
      <c r="E9" s="20">
        <v>4</v>
      </c>
      <c r="F9" s="20">
        <v>4.625</v>
      </c>
      <c r="G9" s="35" t="str">
        <f t="shared" si="0"/>
        <v>REPROVADO</v>
      </c>
      <c r="I9" s="17"/>
    </row>
    <row r="10" spans="1:9" x14ac:dyDescent="0.3">
      <c r="A10" s="19" t="s">
        <v>154</v>
      </c>
      <c r="B10" s="20">
        <v>6</v>
      </c>
      <c r="C10" s="20">
        <v>8.4</v>
      </c>
      <c r="D10" s="20">
        <v>7.1</v>
      </c>
      <c r="E10" s="20">
        <v>10</v>
      </c>
      <c r="F10" s="20">
        <v>7.875</v>
      </c>
      <c r="G10" s="35" t="str">
        <f t="shared" si="0"/>
        <v>APROVADO</v>
      </c>
      <c r="I10" s="17"/>
    </row>
    <row r="11" spans="1:9" x14ac:dyDescent="0.3">
      <c r="A11" s="19" t="s">
        <v>155</v>
      </c>
      <c r="B11" s="20">
        <v>5</v>
      </c>
      <c r="C11" s="20">
        <v>4</v>
      </c>
      <c r="D11" s="20">
        <v>9</v>
      </c>
      <c r="E11" s="20">
        <v>5</v>
      </c>
      <c r="F11" s="20">
        <v>5.75</v>
      </c>
      <c r="G11" s="35" t="str">
        <f t="shared" si="0"/>
        <v>REPROVADO</v>
      </c>
      <c r="I11" s="17"/>
    </row>
    <row r="12" spans="1:9" x14ac:dyDescent="0.3">
      <c r="A12" s="19" t="s">
        <v>156</v>
      </c>
      <c r="B12" s="20">
        <v>6.2</v>
      </c>
      <c r="C12" s="20">
        <v>3</v>
      </c>
      <c r="D12" s="20">
        <v>8.4</v>
      </c>
      <c r="E12" s="20">
        <v>5</v>
      </c>
      <c r="F12" s="20">
        <v>5.65</v>
      </c>
      <c r="G12" s="35" t="str">
        <f t="shared" si="0"/>
        <v>REPROVADO</v>
      </c>
      <c r="I12" s="17"/>
    </row>
    <row r="13" spans="1:9" ht="19.5" thickBot="1" x14ac:dyDescent="0.35">
      <c r="A13" s="22" t="s">
        <v>157</v>
      </c>
      <c r="B13" s="23">
        <v>10</v>
      </c>
      <c r="C13" s="23">
        <v>10</v>
      </c>
      <c r="D13" s="23">
        <v>10</v>
      </c>
      <c r="E13" s="23">
        <v>10</v>
      </c>
      <c r="F13" s="23">
        <v>10</v>
      </c>
      <c r="G13" s="35" t="str">
        <f t="shared" si="0"/>
        <v>APROVADO</v>
      </c>
    </row>
    <row r="14" spans="1:9" x14ac:dyDescent="0.3"/>
    <row r="15" spans="1:9" x14ac:dyDescent="0.3">
      <c r="A15"/>
      <c r="B15"/>
      <c r="C15"/>
      <c r="D15"/>
      <c r="E15"/>
      <c r="F15"/>
      <c r="G15"/>
      <c r="H15"/>
    </row>
    <row r="16" spans="1:9" hidden="1" x14ac:dyDescent="0.3">
      <c r="A16"/>
      <c r="B16"/>
      <c r="C16"/>
      <c r="D16"/>
      <c r="E16"/>
      <c r="F16"/>
      <c r="G16"/>
      <c r="H16"/>
    </row>
    <row r="17" spans="1:8" hidden="1" x14ac:dyDescent="0.3">
      <c r="A17"/>
      <c r="B17"/>
      <c r="C17"/>
      <c r="D17"/>
      <c r="E17"/>
      <c r="F17"/>
      <c r="G17"/>
      <c r="H17"/>
    </row>
    <row r="18" spans="1:8" hidden="1" x14ac:dyDescent="0.3">
      <c r="A18"/>
      <c r="B18"/>
      <c r="C18"/>
      <c r="D18"/>
      <c r="E18"/>
      <c r="F18"/>
      <c r="G18"/>
      <c r="H18"/>
    </row>
    <row r="19" spans="1:8" hidden="1" x14ac:dyDescent="0.3">
      <c r="A19"/>
      <c r="B19"/>
      <c r="C19"/>
      <c r="D19"/>
      <c r="E19"/>
      <c r="F19"/>
      <c r="G19"/>
      <c r="H19"/>
    </row>
    <row r="20" spans="1:8" ht="38.25" hidden="1" customHeight="1" x14ac:dyDescent="0.3">
      <c r="A20"/>
      <c r="B20"/>
      <c r="C20"/>
      <c r="D20"/>
      <c r="E20"/>
      <c r="F20"/>
      <c r="G20"/>
      <c r="H20"/>
    </row>
    <row r="21" spans="1:8" hidden="1" x14ac:dyDescent="0.3">
      <c r="A21"/>
      <c r="B21"/>
      <c r="C21"/>
    </row>
  </sheetData>
  <mergeCells count="2">
    <mergeCell ref="A1:G1"/>
    <mergeCell ref="A2:G2"/>
  </mergeCells>
  <conditionalFormatting sqref="G4:G13">
    <cfRule type="cellIs" dxfId="19" priority="1" operator="equal">
      <formula>"APROVADO"</formula>
    </cfRule>
    <cfRule type="cellIs" dxfId="18" priority="2" operator="equal">
      <formula>"REPROVADO"</formula>
    </cfRule>
    <cfRule type="cellIs" dxfId="17" priority="3" operator="equal">
      <formula>"REPROVADO"</formula>
    </cfRule>
    <cfRule type="cellIs" dxfId="16" priority="4" operator="equal">
      <formula>"REPROVADO"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/>
  <dimension ref="A1:I11"/>
  <sheetViews>
    <sheetView showGridLines="0" zoomScale="115" zoomScaleNormal="115" workbookViewId="0">
      <selection activeCell="D10" sqref="D10"/>
    </sheetView>
  </sheetViews>
  <sheetFormatPr defaultColWidth="0" defaultRowHeight="18.75" zeroHeight="1" x14ac:dyDescent="0.3"/>
  <cols>
    <col min="1" max="1" width="22.09765625" bestFit="1" customWidth="1"/>
    <col min="2" max="2" width="10.3984375" bestFit="1" customWidth="1"/>
    <col min="3" max="3" width="13.59765625" bestFit="1" customWidth="1"/>
    <col min="4" max="4" width="30.296875" customWidth="1"/>
    <col min="5" max="5" width="8.796875" customWidth="1"/>
    <col min="6" max="6" width="13.296875" hidden="1" customWidth="1"/>
    <col min="7" max="7" width="8.796875" hidden="1" customWidth="1"/>
    <col min="8" max="16384" width="8.796875" hidden="1"/>
  </cols>
  <sheetData>
    <row r="1" spans="1:9" x14ac:dyDescent="0.3">
      <c r="A1" s="149" t="s">
        <v>90</v>
      </c>
      <c r="B1" s="150"/>
      <c r="C1" s="150"/>
      <c r="D1" s="150"/>
    </row>
    <row r="2" spans="1:9" s="32" customFormat="1" x14ac:dyDescent="0.3">
      <c r="A2"/>
      <c r="B2"/>
      <c r="C2"/>
      <c r="D2"/>
    </row>
    <row r="3" spans="1:9" x14ac:dyDescent="0.3">
      <c r="A3" s="147" t="s">
        <v>148</v>
      </c>
      <c r="B3" s="148"/>
      <c r="C3" s="148"/>
      <c r="D3" s="148"/>
      <c r="H3" s="32"/>
      <c r="I3" s="32"/>
    </row>
    <row r="4" spans="1:9" x14ac:dyDescent="0.3">
      <c r="A4" s="42" t="s">
        <v>91</v>
      </c>
      <c r="B4" s="42" t="s">
        <v>92</v>
      </c>
      <c r="C4" s="42" t="s">
        <v>147</v>
      </c>
      <c r="D4" s="42" t="s">
        <v>146</v>
      </c>
      <c r="H4" s="32"/>
      <c r="I4" s="32"/>
    </row>
    <row r="5" spans="1:9" x14ac:dyDescent="0.3">
      <c r="A5" s="40" t="s">
        <v>95</v>
      </c>
      <c r="B5" s="40" t="s">
        <v>93</v>
      </c>
      <c r="C5" s="41">
        <v>52685</v>
      </c>
      <c r="D5" s="41">
        <f>IF(B5="FLEX",C5,(C5-(C5*3%)))</f>
        <v>52685</v>
      </c>
      <c r="H5" s="32"/>
      <c r="I5" s="32"/>
    </row>
    <row r="6" spans="1:9" x14ac:dyDescent="0.3">
      <c r="A6" s="40" t="s">
        <v>94</v>
      </c>
      <c r="B6" s="40" t="s">
        <v>96</v>
      </c>
      <c r="C6" s="41">
        <v>51649</v>
      </c>
      <c r="D6" s="41">
        <f t="shared" ref="D6:D10" si="0">IF(B6="FLEX",C6,(C6-(C6*3%)))</f>
        <v>50099.53</v>
      </c>
      <c r="E6" s="32"/>
      <c r="F6" s="32"/>
      <c r="G6" s="32"/>
      <c r="H6" s="32"/>
      <c r="I6" s="32"/>
    </row>
    <row r="7" spans="1:9" x14ac:dyDescent="0.3">
      <c r="A7" s="40" t="s">
        <v>97</v>
      </c>
      <c r="B7" s="40" t="s">
        <v>98</v>
      </c>
      <c r="C7" s="41">
        <v>139000</v>
      </c>
      <c r="D7" s="41">
        <f t="shared" si="0"/>
        <v>134830</v>
      </c>
      <c r="E7" s="32"/>
      <c r="F7" s="32"/>
      <c r="G7" s="32"/>
      <c r="H7" s="32"/>
      <c r="I7" s="32"/>
    </row>
    <row r="8" spans="1:9" x14ac:dyDescent="0.3">
      <c r="A8" s="40" t="s">
        <v>99</v>
      </c>
      <c r="B8" s="40" t="s">
        <v>96</v>
      </c>
      <c r="C8" s="41">
        <v>85000</v>
      </c>
      <c r="D8" s="41">
        <f t="shared" si="0"/>
        <v>82450</v>
      </c>
    </row>
    <row r="9" spans="1:9" x14ac:dyDescent="0.3">
      <c r="A9" s="40" t="s">
        <v>100</v>
      </c>
      <c r="B9" s="40" t="s">
        <v>93</v>
      </c>
      <c r="C9" s="41">
        <v>96654</v>
      </c>
      <c r="D9" s="41">
        <f t="shared" si="0"/>
        <v>96654</v>
      </c>
    </row>
    <row r="10" spans="1:9" x14ac:dyDescent="0.3">
      <c r="A10" s="40" t="s">
        <v>103</v>
      </c>
      <c r="B10" s="40" t="s">
        <v>93</v>
      </c>
      <c r="C10" s="41">
        <v>121456</v>
      </c>
      <c r="D10" s="41">
        <f t="shared" si="0"/>
        <v>121456</v>
      </c>
    </row>
    <row r="11" spans="1:9" x14ac:dyDescent="0.3"/>
  </sheetData>
  <mergeCells count="2">
    <mergeCell ref="A3:D3"/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/>
  <dimension ref="A1:XFD13"/>
  <sheetViews>
    <sheetView showGridLines="0" zoomScaleNormal="100" workbookViewId="0">
      <selection activeCell="F6" sqref="F6"/>
    </sheetView>
  </sheetViews>
  <sheetFormatPr defaultColWidth="0" defaultRowHeight="18.75" zeroHeight="1" x14ac:dyDescent="0.3"/>
  <cols>
    <col min="1" max="1" width="8.8984375" bestFit="1" customWidth="1"/>
    <col min="2" max="2" width="21.69921875" customWidth="1"/>
    <col min="3" max="3" width="10.296875" bestFit="1" customWidth="1"/>
    <col min="4" max="4" width="21.19921875" customWidth="1"/>
    <col min="5" max="5" width="21.69921875" customWidth="1"/>
    <col min="6" max="6" width="17.19921875" bestFit="1" customWidth="1"/>
    <col min="7" max="7" width="14.5" customWidth="1"/>
    <col min="8" max="9" width="8.796875" hidden="1" customWidth="1"/>
    <col min="10" max="10" width="14.296875" hidden="1" customWidth="1"/>
    <col min="11" max="11" width="8.796875" hidden="1" customWidth="1"/>
    <col min="16383" max="16383" width="8.09765625" customWidth="1"/>
    <col min="16384" max="16384" width="3.796875" customWidth="1"/>
  </cols>
  <sheetData>
    <row r="1" spans="1:11" x14ac:dyDescent="0.3">
      <c r="A1" s="153" t="s">
        <v>104</v>
      </c>
      <c r="B1" s="154"/>
      <c r="C1" s="154"/>
      <c r="D1" s="154"/>
      <c r="E1" s="154"/>
      <c r="F1" s="154"/>
      <c r="G1" s="32"/>
      <c r="H1" s="32"/>
    </row>
    <row r="2" spans="1:11" s="32" customFormat="1" x14ac:dyDescent="0.3">
      <c r="A2"/>
      <c r="B2"/>
      <c r="C2"/>
      <c r="D2"/>
      <c r="E2"/>
      <c r="F2"/>
    </row>
    <row r="3" spans="1:11" s="32" customFormat="1" x14ac:dyDescent="0.3">
      <c r="A3" s="151" t="s">
        <v>109</v>
      </c>
      <c r="B3" s="152"/>
      <c r="C3" s="152"/>
      <c r="D3" s="152"/>
      <c r="E3" s="152"/>
      <c r="F3" s="152"/>
      <c r="G3"/>
      <c r="H3"/>
      <c r="I3"/>
      <c r="J3"/>
      <c r="K3"/>
    </row>
    <row r="4" spans="1:11" s="32" customFormat="1" x14ac:dyDescent="0.3">
      <c r="A4" s="67" t="s">
        <v>105</v>
      </c>
      <c r="B4" s="67" t="s">
        <v>106</v>
      </c>
      <c r="C4" s="67" t="s">
        <v>107</v>
      </c>
      <c r="D4" s="67" t="s">
        <v>108</v>
      </c>
      <c r="E4" s="107" t="s">
        <v>119</v>
      </c>
      <c r="F4" s="107" t="s">
        <v>118</v>
      </c>
      <c r="I4"/>
      <c r="J4"/>
      <c r="K4"/>
    </row>
    <row r="5" spans="1:11" x14ac:dyDescent="0.3">
      <c r="A5" s="40">
        <v>10326167</v>
      </c>
      <c r="B5" s="40" t="s">
        <v>110</v>
      </c>
      <c r="C5" s="103">
        <v>326</v>
      </c>
      <c r="D5" s="41">
        <v>50530</v>
      </c>
      <c r="E5" s="41">
        <f>D5-F5</f>
        <v>5053</v>
      </c>
      <c r="F5" s="41">
        <f>IF(C5&gt;250,D5-(D5*10%),D5-(D5*5%))</f>
        <v>45477</v>
      </c>
      <c r="G5" s="178"/>
      <c r="H5" s="32"/>
    </row>
    <row r="6" spans="1:11" x14ac:dyDescent="0.3">
      <c r="A6" s="40">
        <v>10279639</v>
      </c>
      <c r="B6" s="40" t="s">
        <v>111</v>
      </c>
      <c r="C6" s="103">
        <v>145</v>
      </c>
      <c r="D6" s="41">
        <v>22475</v>
      </c>
      <c r="E6" s="41">
        <f t="shared" ref="E6:E12" si="0">D6-F6</f>
        <v>1123.75</v>
      </c>
      <c r="F6" s="41">
        <f t="shared" ref="F6:F12" si="1">IF(C6&gt;250,D6-(D6*10%),D6-(D6*5%))</f>
        <v>21351.25</v>
      </c>
      <c r="G6" s="32"/>
      <c r="H6" s="32"/>
    </row>
    <row r="7" spans="1:11" x14ac:dyDescent="0.3">
      <c r="A7" s="40">
        <v>10151253</v>
      </c>
      <c r="B7" s="40" t="s">
        <v>112</v>
      </c>
      <c r="C7" s="103">
        <v>189</v>
      </c>
      <c r="D7" s="41">
        <v>29295</v>
      </c>
      <c r="E7" s="41">
        <f t="shared" si="0"/>
        <v>1464.75</v>
      </c>
      <c r="F7" s="41">
        <f t="shared" si="1"/>
        <v>27830.25</v>
      </c>
      <c r="G7" s="32"/>
      <c r="H7" s="32"/>
      <c r="I7" s="32"/>
      <c r="J7" s="32"/>
      <c r="K7" s="32"/>
    </row>
    <row r="8" spans="1:11" x14ac:dyDescent="0.3">
      <c r="A8" s="40">
        <v>10324045</v>
      </c>
      <c r="B8" s="40" t="s">
        <v>113</v>
      </c>
      <c r="C8" s="103">
        <v>312</v>
      </c>
      <c r="D8" s="41">
        <v>48360</v>
      </c>
      <c r="E8" s="41">
        <f t="shared" si="0"/>
        <v>4836</v>
      </c>
      <c r="F8" s="41">
        <f t="shared" si="1"/>
        <v>43524</v>
      </c>
    </row>
    <row r="9" spans="1:11" x14ac:dyDescent="0.3">
      <c r="A9" s="40">
        <v>10745115</v>
      </c>
      <c r="B9" s="40" t="s">
        <v>114</v>
      </c>
      <c r="C9" s="103">
        <v>456</v>
      </c>
      <c r="D9" s="41">
        <v>70680</v>
      </c>
      <c r="E9" s="41">
        <f t="shared" si="0"/>
        <v>7068</v>
      </c>
      <c r="F9" s="41">
        <f t="shared" si="1"/>
        <v>63612</v>
      </c>
    </row>
    <row r="10" spans="1:11" x14ac:dyDescent="0.3">
      <c r="A10" s="40">
        <v>11229327</v>
      </c>
      <c r="B10" s="40" t="s">
        <v>115</v>
      </c>
      <c r="C10" s="103">
        <v>789</v>
      </c>
      <c r="D10" s="41">
        <v>122295</v>
      </c>
      <c r="E10" s="41">
        <f t="shared" si="0"/>
        <v>12229.5</v>
      </c>
      <c r="F10" s="41">
        <f t="shared" si="1"/>
        <v>110065.5</v>
      </c>
    </row>
    <row r="11" spans="1:11" x14ac:dyDescent="0.3">
      <c r="A11" s="40">
        <v>10521125</v>
      </c>
      <c r="B11" s="40" t="s">
        <v>116</v>
      </c>
      <c r="C11" s="103">
        <v>124</v>
      </c>
      <c r="D11" s="41">
        <v>19220</v>
      </c>
      <c r="E11" s="41">
        <f t="shared" si="0"/>
        <v>961</v>
      </c>
      <c r="F11" s="41">
        <f t="shared" si="1"/>
        <v>18259</v>
      </c>
    </row>
    <row r="12" spans="1:11" x14ac:dyDescent="0.3">
      <c r="A12" s="40">
        <v>10315557</v>
      </c>
      <c r="B12" s="40" t="s">
        <v>117</v>
      </c>
      <c r="C12" s="103">
        <v>99</v>
      </c>
      <c r="D12" s="41">
        <v>15345</v>
      </c>
      <c r="E12" s="41">
        <f t="shared" si="0"/>
        <v>767.25</v>
      </c>
      <c r="F12" s="41">
        <f t="shared" si="1"/>
        <v>14577.75</v>
      </c>
    </row>
    <row r="13" spans="1:11" x14ac:dyDescent="0.3">
      <c r="F13" s="178"/>
    </row>
  </sheetData>
  <mergeCells count="2">
    <mergeCell ref="A3:F3"/>
    <mergeCell ref="A1:F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7"/>
  <dimension ref="A1:J22"/>
  <sheetViews>
    <sheetView showGridLines="0" topLeftCell="A7" zoomScale="130" zoomScaleNormal="130" workbookViewId="0">
      <selection activeCell="B18" sqref="B18"/>
    </sheetView>
  </sheetViews>
  <sheetFormatPr defaultColWidth="0" defaultRowHeight="18.75" zeroHeight="1" x14ac:dyDescent="0.3"/>
  <cols>
    <col min="1" max="1" width="14.796875" customWidth="1"/>
    <col min="2" max="3" width="8.796875" customWidth="1"/>
    <col min="4" max="4" width="10.796875" bestFit="1" customWidth="1"/>
    <col min="5" max="5" width="8.796875" customWidth="1"/>
    <col min="6" max="6" width="9.69921875" bestFit="1" customWidth="1"/>
    <col min="7" max="7" width="10.796875" bestFit="1" customWidth="1"/>
    <col min="8" max="9" width="8.796875" customWidth="1"/>
    <col min="10" max="10" width="0" hidden="1" customWidth="1"/>
    <col min="11" max="16384" width="8.796875" hidden="1"/>
  </cols>
  <sheetData>
    <row r="1" spans="1:8" x14ac:dyDescent="0.3">
      <c r="A1" s="155" t="s">
        <v>63</v>
      </c>
      <c r="B1" s="155"/>
      <c r="C1" s="155"/>
      <c r="D1" s="155"/>
      <c r="E1" s="155"/>
      <c r="F1" s="155"/>
      <c r="G1" s="156"/>
    </row>
    <row r="2" spans="1:8" x14ac:dyDescent="0.3">
      <c r="A2" s="157" t="s">
        <v>165</v>
      </c>
      <c r="B2" s="158"/>
      <c r="C2" s="158"/>
      <c r="D2" s="158"/>
      <c r="E2" s="158"/>
      <c r="F2" s="158"/>
      <c r="G2" s="159"/>
    </row>
    <row r="3" spans="1:8" x14ac:dyDescent="0.3">
      <c r="A3" s="38" t="s">
        <v>20</v>
      </c>
      <c r="B3" s="38" t="s">
        <v>64</v>
      </c>
      <c r="C3" s="38" t="s">
        <v>65</v>
      </c>
      <c r="D3" s="38" t="s">
        <v>66</v>
      </c>
      <c r="E3" s="38" t="s">
        <v>67</v>
      </c>
      <c r="F3" s="38" t="s">
        <v>68</v>
      </c>
      <c r="G3" s="39" t="s">
        <v>69</v>
      </c>
    </row>
    <row r="4" spans="1:8" x14ac:dyDescent="0.3">
      <c r="A4" s="33" t="s">
        <v>70</v>
      </c>
      <c r="B4" s="34">
        <v>8.9</v>
      </c>
      <c r="C4" s="34">
        <v>9.3000000000000007</v>
      </c>
      <c r="D4" s="34">
        <v>10</v>
      </c>
      <c r="E4" s="34">
        <v>8.5</v>
      </c>
      <c r="F4" s="34">
        <v>9.1750000000000007</v>
      </c>
      <c r="G4" s="35" t="str">
        <f>IF(F4&gt;=6,"aprovado",IF(F4&gt;=5,"Recuperação",IF(F4&lt;=5,"Reprovado")))</f>
        <v>aprovado</v>
      </c>
    </row>
    <row r="5" spans="1:8" x14ac:dyDescent="0.3">
      <c r="A5" s="33" t="s">
        <v>71</v>
      </c>
      <c r="B5" s="34">
        <v>9</v>
      </c>
      <c r="C5" s="34">
        <v>8</v>
      </c>
      <c r="D5" s="34">
        <v>3</v>
      </c>
      <c r="E5" s="34">
        <v>10</v>
      </c>
      <c r="F5" s="34">
        <v>7.5</v>
      </c>
      <c r="G5" s="35" t="str">
        <f t="shared" ref="G5:G13" si="0">IF(F5&gt;=6,"aprovado",IF(F5&gt;=5,"Recuperação",IF(F5&lt;=5,"Reprovado")))</f>
        <v>aprovado</v>
      </c>
    </row>
    <row r="6" spans="1:8" x14ac:dyDescent="0.3">
      <c r="A6" s="33" t="s">
        <v>72</v>
      </c>
      <c r="B6" s="34">
        <v>7.6</v>
      </c>
      <c r="C6" s="34">
        <v>2</v>
      </c>
      <c r="D6" s="34">
        <v>10</v>
      </c>
      <c r="E6" s="34">
        <v>9.8000000000000007</v>
      </c>
      <c r="F6" s="34">
        <v>7.3500000000000005</v>
      </c>
      <c r="G6" s="35" t="str">
        <f t="shared" si="0"/>
        <v>aprovado</v>
      </c>
    </row>
    <row r="7" spans="1:8" x14ac:dyDescent="0.3">
      <c r="A7" s="33" t="s">
        <v>73</v>
      </c>
      <c r="B7" s="34">
        <v>7</v>
      </c>
      <c r="C7" s="34">
        <v>10</v>
      </c>
      <c r="D7" s="34">
        <v>9</v>
      </c>
      <c r="E7" s="34">
        <v>2</v>
      </c>
      <c r="F7" s="34">
        <v>7</v>
      </c>
      <c r="G7" s="35" t="str">
        <f t="shared" si="0"/>
        <v>aprovado</v>
      </c>
    </row>
    <row r="8" spans="1:8" x14ac:dyDescent="0.3">
      <c r="A8" s="33" t="s">
        <v>74</v>
      </c>
      <c r="B8" s="34">
        <v>5.5</v>
      </c>
      <c r="C8" s="34">
        <v>8</v>
      </c>
      <c r="D8" s="34">
        <v>9.6</v>
      </c>
      <c r="E8" s="34">
        <v>1</v>
      </c>
      <c r="F8" s="34">
        <v>6.0250000000000004</v>
      </c>
      <c r="G8" s="35" t="str">
        <f t="shared" si="0"/>
        <v>aprovado</v>
      </c>
    </row>
    <row r="9" spans="1:8" x14ac:dyDescent="0.3">
      <c r="A9" s="33" t="s">
        <v>75</v>
      </c>
      <c r="B9" s="34">
        <v>5</v>
      </c>
      <c r="C9" s="34">
        <v>3.5</v>
      </c>
      <c r="D9" s="34">
        <v>6</v>
      </c>
      <c r="E9" s="34">
        <v>4</v>
      </c>
      <c r="F9" s="34">
        <v>4.625</v>
      </c>
      <c r="G9" s="35" t="str">
        <f t="shared" si="0"/>
        <v>Reprovado</v>
      </c>
    </row>
    <row r="10" spans="1:8" x14ac:dyDescent="0.3">
      <c r="A10" s="33" t="s">
        <v>76</v>
      </c>
      <c r="B10" s="34">
        <v>6</v>
      </c>
      <c r="C10" s="34">
        <v>8.4</v>
      </c>
      <c r="D10" s="34">
        <v>7.1</v>
      </c>
      <c r="E10" s="34">
        <v>10</v>
      </c>
      <c r="F10" s="34">
        <v>7.875</v>
      </c>
      <c r="G10" s="35" t="str">
        <f t="shared" si="0"/>
        <v>aprovado</v>
      </c>
    </row>
    <row r="11" spans="1:8" x14ac:dyDescent="0.3">
      <c r="A11" s="33" t="s">
        <v>77</v>
      </c>
      <c r="B11" s="34">
        <v>5</v>
      </c>
      <c r="C11" s="34">
        <v>4</v>
      </c>
      <c r="D11" s="34">
        <v>9</v>
      </c>
      <c r="E11" s="34">
        <v>5</v>
      </c>
      <c r="F11" s="34">
        <v>5.75</v>
      </c>
      <c r="G11" s="35" t="str">
        <f t="shared" si="0"/>
        <v>Recuperação</v>
      </c>
    </row>
    <row r="12" spans="1:8" x14ac:dyDescent="0.3">
      <c r="A12" s="33" t="s">
        <v>78</v>
      </c>
      <c r="B12" s="34">
        <v>6.2</v>
      </c>
      <c r="C12" s="34">
        <v>3</v>
      </c>
      <c r="D12" s="34">
        <v>8.4</v>
      </c>
      <c r="E12" s="34">
        <v>5</v>
      </c>
      <c r="F12" s="34">
        <v>5.65</v>
      </c>
      <c r="G12" s="35" t="str">
        <f t="shared" si="0"/>
        <v>Recuperação</v>
      </c>
    </row>
    <row r="13" spans="1:8" ht="19.5" thickBot="1" x14ac:dyDescent="0.35">
      <c r="A13" s="36" t="s">
        <v>79</v>
      </c>
      <c r="B13" s="37">
        <v>10</v>
      </c>
      <c r="C13" s="37">
        <v>10</v>
      </c>
      <c r="D13" s="37">
        <v>10</v>
      </c>
      <c r="E13" s="37">
        <v>10</v>
      </c>
      <c r="F13" s="37">
        <v>10</v>
      </c>
      <c r="G13" s="35" t="str">
        <f t="shared" si="0"/>
        <v>aprovado</v>
      </c>
    </row>
    <row r="14" spans="1:8" ht="19.5" thickBot="1" x14ac:dyDescent="0.35">
      <c r="A14" s="32"/>
      <c r="B14" s="32"/>
      <c r="C14" s="32"/>
      <c r="D14" s="32"/>
      <c r="E14" s="32"/>
      <c r="F14" s="32"/>
      <c r="G14" s="32"/>
    </row>
    <row r="15" spans="1:8" x14ac:dyDescent="0.3">
      <c r="A15" s="31" t="s">
        <v>80</v>
      </c>
      <c r="B15" s="24">
        <f>COUNTA(A4:A13)</f>
        <v>10</v>
      </c>
      <c r="C15" s="32"/>
      <c r="D15" s="68" t="s">
        <v>83</v>
      </c>
      <c r="E15" s="160" t="s">
        <v>167</v>
      </c>
      <c r="F15" s="161"/>
      <c r="G15" s="162"/>
    </row>
    <row r="16" spans="1:8" ht="18.75" customHeight="1" x14ac:dyDescent="0.3">
      <c r="A16" s="30" t="s">
        <v>81</v>
      </c>
      <c r="B16" s="29">
        <f>LARGE(F4:F13,1)</f>
        <v>10</v>
      </c>
      <c r="C16" s="32"/>
      <c r="D16" s="69" t="s">
        <v>101</v>
      </c>
      <c r="E16" s="163" t="s">
        <v>168</v>
      </c>
      <c r="F16" s="164"/>
      <c r="G16" s="165"/>
      <c r="H16" s="45"/>
    </row>
    <row r="17" spans="1:8" x14ac:dyDescent="0.3">
      <c r="A17" s="30" t="s">
        <v>82</v>
      </c>
      <c r="B17" s="29">
        <f>SMALL(F4:F13,1)</f>
        <v>4.625</v>
      </c>
      <c r="C17" s="32"/>
      <c r="D17" s="70" t="s">
        <v>166</v>
      </c>
      <c r="E17" s="166" t="s">
        <v>169</v>
      </c>
      <c r="F17" s="167"/>
      <c r="G17" s="168"/>
      <c r="H17" s="45"/>
    </row>
    <row r="18" spans="1:8" x14ac:dyDescent="0.3">
      <c r="A18" s="30" t="s">
        <v>198</v>
      </c>
      <c r="B18" s="28">
        <f>COUNTIF($G$4:$G$13,A18)</f>
        <v>7</v>
      </c>
      <c r="C18" s="32"/>
      <c r="H18" s="45"/>
    </row>
    <row r="19" spans="1:8" s="32" customFormat="1" x14ac:dyDescent="0.3">
      <c r="A19" s="30" t="s">
        <v>101</v>
      </c>
      <c r="B19" s="28">
        <f t="shared" ref="B19:B20" si="1">COUNTIF($G$4:$G$13,A19)</f>
        <v>2</v>
      </c>
      <c r="D19"/>
      <c r="E19"/>
      <c r="F19"/>
      <c r="G19"/>
    </row>
    <row r="20" spans="1:8" x14ac:dyDescent="0.3">
      <c r="A20" s="27" t="s">
        <v>199</v>
      </c>
      <c r="B20" s="28">
        <f t="shared" si="1"/>
        <v>1</v>
      </c>
      <c r="C20" s="32"/>
    </row>
    <row r="21" spans="1:8" ht="38.25" thickBot="1" x14ac:dyDescent="0.35">
      <c r="A21" s="26" t="s">
        <v>84</v>
      </c>
      <c r="B21" s="25">
        <f>AVERAGE(F4:F13)</f>
        <v>7.0950000000000006</v>
      </c>
      <c r="C21" s="32"/>
    </row>
    <row r="22" spans="1:8" x14ac:dyDescent="0.3"/>
  </sheetData>
  <mergeCells count="5">
    <mergeCell ref="A1:G1"/>
    <mergeCell ref="A2:G2"/>
    <mergeCell ref="E15:G15"/>
    <mergeCell ref="E16:G16"/>
    <mergeCell ref="E17:G17"/>
  </mergeCells>
  <conditionalFormatting sqref="G4:G13">
    <cfRule type="cellIs" dxfId="10" priority="3" operator="equal">
      <formula>"aprovado"</formula>
    </cfRule>
    <cfRule type="cellIs" dxfId="11" priority="2" operator="equal">
      <formula>"recuperação"</formula>
    </cfRule>
    <cfRule type="cellIs" dxfId="12" priority="1" operator="equal">
      <formula>"reprovado"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"/>
  <sheetViews>
    <sheetView showGridLines="0" zoomScale="85" zoomScaleNormal="85" workbookViewId="0">
      <selection activeCell="G10" sqref="G10"/>
    </sheetView>
  </sheetViews>
  <sheetFormatPr defaultColWidth="0" defaultRowHeight="18.75" zeroHeight="1" x14ac:dyDescent="0.3"/>
  <cols>
    <col min="1" max="1" width="8.8984375" style="32" bestFit="1" customWidth="1"/>
    <col min="2" max="2" width="11.5" style="32" bestFit="1" customWidth="1"/>
    <col min="3" max="3" width="10.296875" style="32" bestFit="1" customWidth="1"/>
    <col min="4" max="4" width="13.59765625" style="32" bestFit="1" customWidth="1"/>
    <col min="5" max="6" width="17.19921875" style="32" bestFit="1" customWidth="1"/>
    <col min="7" max="7" width="12.3984375" style="32" customWidth="1"/>
    <col min="8" max="8" width="13.296875" style="32" bestFit="1" customWidth="1"/>
    <col min="9" max="9" width="14.296875" style="32" customWidth="1"/>
    <col min="10" max="10" width="14.296875" style="32" hidden="1" customWidth="1"/>
    <col min="11" max="16384" width="8.796875" style="32" hidden="1"/>
  </cols>
  <sheetData>
    <row r="1" spans="1:9" x14ac:dyDescent="0.3">
      <c r="A1" s="149" t="s">
        <v>120</v>
      </c>
      <c r="B1" s="150"/>
      <c r="C1" s="150"/>
      <c r="D1" s="150"/>
      <c r="E1" s="150"/>
      <c r="F1" s="150"/>
      <c r="G1"/>
      <c r="H1"/>
      <c r="I1"/>
    </row>
    <row r="2" spans="1:9" ht="60.75" customHeight="1" x14ac:dyDescent="0.3">
      <c r="A2" s="169" t="s">
        <v>121</v>
      </c>
      <c r="B2" s="170"/>
      <c r="C2" s="170"/>
      <c r="D2" s="170"/>
      <c r="E2" s="170"/>
      <c r="F2" s="170"/>
      <c r="G2"/>
      <c r="H2"/>
      <c r="I2"/>
    </row>
    <row r="3" spans="1:9" x14ac:dyDescent="0.3">
      <c r="A3" s="43" t="s">
        <v>105</v>
      </c>
      <c r="B3" s="43" t="s">
        <v>106</v>
      </c>
      <c r="C3" s="43" t="s">
        <v>107</v>
      </c>
      <c r="D3" s="43" t="s">
        <v>108</v>
      </c>
      <c r="E3" s="43" t="s">
        <v>143</v>
      </c>
      <c r="F3" s="43" t="s">
        <v>118</v>
      </c>
      <c r="G3"/>
      <c r="H3"/>
      <c r="I3"/>
    </row>
    <row r="4" spans="1:9" x14ac:dyDescent="0.3">
      <c r="A4" s="40">
        <v>10326167</v>
      </c>
      <c r="B4" s="40" t="s">
        <v>110</v>
      </c>
      <c r="C4" s="53">
        <v>326</v>
      </c>
      <c r="D4" s="41">
        <v>50530</v>
      </c>
      <c r="E4" s="41">
        <f>IF(C4&lt;=250,D4*5%,IF(C4&lt;=500,D4*10%,IF(C4&gt;=501,D4*15%)))</f>
        <v>5053</v>
      </c>
      <c r="F4" s="179">
        <f>D4-E4</f>
        <v>45477</v>
      </c>
      <c r="G4" s="178"/>
      <c r="H4" s="171" t="s">
        <v>170</v>
      </c>
      <c r="I4" s="171"/>
    </row>
    <row r="5" spans="1:9" x14ac:dyDescent="0.3">
      <c r="A5" s="40">
        <v>10279639</v>
      </c>
      <c r="B5" s="40" t="s">
        <v>111</v>
      </c>
      <c r="C5" s="53">
        <v>145</v>
      </c>
      <c r="D5" s="41">
        <v>22475</v>
      </c>
      <c r="E5" s="41">
        <f t="shared" ref="E5:E11" si="0">IF(C5&lt;=250,D5*5%,IF(C5&lt;=500,D5*10%,IF(C5&gt;=501,D5*15%)))</f>
        <v>1123.75</v>
      </c>
      <c r="F5" s="179">
        <f t="shared" ref="F5:F11" si="1">D5-E5</f>
        <v>21351.25</v>
      </c>
      <c r="G5"/>
      <c r="H5" s="171"/>
      <c r="I5" s="171"/>
    </row>
    <row r="6" spans="1:9" x14ac:dyDescent="0.3">
      <c r="A6" s="40">
        <v>10151253</v>
      </c>
      <c r="B6" s="40" t="s">
        <v>112</v>
      </c>
      <c r="C6" s="53">
        <v>189</v>
      </c>
      <c r="D6" s="41">
        <v>29295</v>
      </c>
      <c r="E6" s="41">
        <f t="shared" si="0"/>
        <v>1464.75</v>
      </c>
      <c r="F6" s="179">
        <f t="shared" si="1"/>
        <v>27830.25</v>
      </c>
      <c r="G6"/>
      <c r="H6" s="171"/>
      <c r="I6" s="171"/>
    </row>
    <row r="7" spans="1:9" x14ac:dyDescent="0.3">
      <c r="A7" s="40">
        <v>10324045</v>
      </c>
      <c r="B7" s="40" t="s">
        <v>113</v>
      </c>
      <c r="C7" s="53">
        <v>312</v>
      </c>
      <c r="D7" s="41">
        <v>48360</v>
      </c>
      <c r="E7" s="41">
        <f t="shared" si="0"/>
        <v>4836</v>
      </c>
      <c r="F7" s="179">
        <f t="shared" si="1"/>
        <v>43524</v>
      </c>
      <c r="G7"/>
      <c r="H7" s="171"/>
      <c r="I7" s="171"/>
    </row>
    <row r="8" spans="1:9" x14ac:dyDescent="0.3">
      <c r="A8" s="40">
        <v>10745115</v>
      </c>
      <c r="B8" s="40" t="s">
        <v>114</v>
      </c>
      <c r="C8" s="53">
        <v>456</v>
      </c>
      <c r="D8" s="41">
        <v>70680</v>
      </c>
      <c r="E8" s="41">
        <f t="shared" si="0"/>
        <v>7068</v>
      </c>
      <c r="F8" s="179">
        <f t="shared" si="1"/>
        <v>63612</v>
      </c>
      <c r="G8"/>
      <c r="H8" s="171"/>
      <c r="I8" s="171"/>
    </row>
    <row r="9" spans="1:9" x14ac:dyDescent="0.3">
      <c r="A9" s="40">
        <v>11229327</v>
      </c>
      <c r="B9" s="40" t="s">
        <v>115</v>
      </c>
      <c r="C9" s="53">
        <v>789</v>
      </c>
      <c r="D9" s="41">
        <v>122295</v>
      </c>
      <c r="E9" s="41">
        <f t="shared" si="0"/>
        <v>18344.25</v>
      </c>
      <c r="F9" s="179">
        <f t="shared" si="1"/>
        <v>103950.75</v>
      </c>
      <c r="G9"/>
      <c r="H9" s="171"/>
      <c r="I9" s="171"/>
    </row>
    <row r="10" spans="1:9" x14ac:dyDescent="0.3">
      <c r="A10" s="40">
        <v>10521125</v>
      </c>
      <c r="B10" s="40" t="s">
        <v>116</v>
      </c>
      <c r="C10" s="53">
        <v>124</v>
      </c>
      <c r="D10" s="41">
        <v>19220</v>
      </c>
      <c r="E10" s="41">
        <f t="shared" si="0"/>
        <v>961</v>
      </c>
      <c r="F10" s="179">
        <f t="shared" si="1"/>
        <v>18259</v>
      </c>
      <c r="G10"/>
      <c r="H10"/>
      <c r="I10"/>
    </row>
    <row r="11" spans="1:9" x14ac:dyDescent="0.3">
      <c r="A11" s="40">
        <v>10315557</v>
      </c>
      <c r="B11" s="40" t="s">
        <v>117</v>
      </c>
      <c r="C11" s="53">
        <v>625</v>
      </c>
      <c r="D11" s="41">
        <v>15345</v>
      </c>
      <c r="E11" s="41">
        <f t="shared" si="0"/>
        <v>2301.75</v>
      </c>
      <c r="F11" s="179">
        <f t="shared" si="1"/>
        <v>13043.25</v>
      </c>
      <c r="G11"/>
      <c r="H11"/>
      <c r="I11"/>
    </row>
    <row r="12" spans="1:9" x14ac:dyDescent="0.3"/>
    <row r="13" spans="1:9" hidden="1" x14ac:dyDescent="0.3">
      <c r="A13" s="40"/>
    </row>
    <row r="14" spans="1:9" hidden="1" x14ac:dyDescent="0.3">
      <c r="B14" s="44"/>
    </row>
  </sheetData>
  <mergeCells count="3">
    <mergeCell ref="A2:F2"/>
    <mergeCell ref="H4:I9"/>
    <mergeCell ref="A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4"/>
  <sheetViews>
    <sheetView showGridLines="0" tabSelected="1" zoomScale="130" zoomScaleNormal="130" workbookViewId="0">
      <selection activeCell="C3" sqref="C3"/>
    </sheetView>
  </sheetViews>
  <sheetFormatPr defaultColWidth="0" defaultRowHeight="18.75" zeroHeight="1" x14ac:dyDescent="0.3"/>
  <cols>
    <col min="1" max="1" width="21.8984375" style="32" bestFit="1" customWidth="1"/>
    <col min="2" max="2" width="5.296875" style="32" bestFit="1" customWidth="1"/>
    <col min="3" max="3" width="8.19921875" style="32" bestFit="1" customWidth="1"/>
    <col min="4" max="4" width="5.8984375" style="32" customWidth="1"/>
    <col min="5" max="8" width="8.796875" style="32" customWidth="1"/>
    <col min="9" max="9" width="13.296875" style="32" bestFit="1" customWidth="1"/>
    <col min="10" max="10" width="8.796875" style="32" customWidth="1"/>
    <col min="11" max="16384" width="8.796875" style="32" hidden="1"/>
  </cols>
  <sheetData>
    <row r="1" spans="1:10" x14ac:dyDescent="0.3">
      <c r="A1" s="172" t="s">
        <v>140</v>
      </c>
      <c r="B1" s="173"/>
      <c r="C1" s="173"/>
      <c r="H1"/>
      <c r="I1"/>
      <c r="J1"/>
    </row>
    <row r="2" spans="1:10" x14ac:dyDescent="0.3">
      <c r="A2" s="71" t="s">
        <v>133</v>
      </c>
      <c r="B2" s="71" t="s">
        <v>21</v>
      </c>
      <c r="C2" s="71" t="s">
        <v>22</v>
      </c>
      <c r="H2"/>
      <c r="I2"/>
      <c r="J2"/>
    </row>
    <row r="3" spans="1:10" x14ac:dyDescent="0.3">
      <c r="A3" s="46" t="s">
        <v>29</v>
      </c>
      <c r="B3" s="55">
        <v>12</v>
      </c>
      <c r="C3" s="46" t="str">
        <f>IF(B3&lt;=10,"Infantil",IF(B3&lt;=17,"Juvenil",IF(B3&lt;=60,"adulto",IF(B3&gt;60,"Sênior"))))</f>
        <v>Juvenil</v>
      </c>
      <c r="H3"/>
      <c r="I3"/>
      <c r="J3"/>
    </row>
    <row r="4" spans="1:10" x14ac:dyDescent="0.3">
      <c r="A4" s="46" t="s">
        <v>47</v>
      </c>
      <c r="B4" s="55">
        <v>54</v>
      </c>
      <c r="C4" s="46" t="str">
        <f t="shared" ref="C4:C13" si="0">IF(B4&lt;=10,"Infantil",IF(B4&lt;=17,"Juvenil",IF(B4&lt;=60,"adulto",IF(B4&gt;60,"Sênior"))))</f>
        <v>adulto</v>
      </c>
      <c r="H4"/>
      <c r="I4"/>
      <c r="J4"/>
    </row>
    <row r="5" spans="1:10" x14ac:dyDescent="0.3">
      <c r="A5" s="46" t="s">
        <v>49</v>
      </c>
      <c r="B5" s="55">
        <v>12</v>
      </c>
      <c r="C5" s="46" t="str">
        <f t="shared" si="0"/>
        <v>Juvenil</v>
      </c>
      <c r="H5"/>
      <c r="I5"/>
      <c r="J5"/>
    </row>
    <row r="6" spans="1:10" x14ac:dyDescent="0.3">
      <c r="A6" s="46" t="s">
        <v>26</v>
      </c>
      <c r="B6" s="55">
        <v>42</v>
      </c>
      <c r="C6" s="46" t="str">
        <f t="shared" si="0"/>
        <v>adulto</v>
      </c>
    </row>
    <row r="7" spans="1:10" x14ac:dyDescent="0.3">
      <c r="A7" s="46" t="s">
        <v>52</v>
      </c>
      <c r="B7" s="55">
        <v>9</v>
      </c>
      <c r="C7" s="46" t="str">
        <f t="shared" si="0"/>
        <v>Infantil</v>
      </c>
    </row>
    <row r="8" spans="1:10" x14ac:dyDescent="0.3">
      <c r="A8" s="46" t="s">
        <v>54</v>
      </c>
      <c r="B8" s="55">
        <v>86</v>
      </c>
      <c r="C8" s="46" t="str">
        <f t="shared" si="0"/>
        <v>Sênior</v>
      </c>
    </row>
    <row r="9" spans="1:10" x14ac:dyDescent="0.3">
      <c r="A9" s="46" t="s">
        <v>55</v>
      </c>
      <c r="B9" s="55">
        <v>105</v>
      </c>
      <c r="C9" s="46" t="str">
        <f t="shared" si="0"/>
        <v>Sênior</v>
      </c>
      <c r="E9" s="174" t="s">
        <v>171</v>
      </c>
      <c r="F9" s="174"/>
      <c r="G9" s="174"/>
      <c r="H9" s="174"/>
      <c r="I9" s="174"/>
    </row>
    <row r="10" spans="1:10" x14ac:dyDescent="0.3">
      <c r="A10" s="46" t="s">
        <v>56</v>
      </c>
      <c r="B10" s="55">
        <v>29</v>
      </c>
      <c r="C10" s="46" t="str">
        <f t="shared" si="0"/>
        <v>adulto</v>
      </c>
      <c r="E10" s="174" t="s">
        <v>172</v>
      </c>
      <c r="F10" s="174"/>
      <c r="G10" s="174"/>
      <c r="H10" s="174"/>
      <c r="I10" s="174"/>
    </row>
    <row r="11" spans="1:10" x14ac:dyDescent="0.3">
      <c r="A11" s="46" t="s">
        <v>57</v>
      </c>
      <c r="B11" s="55">
        <v>6</v>
      </c>
      <c r="C11" s="46" t="str">
        <f t="shared" si="0"/>
        <v>Infantil</v>
      </c>
      <c r="E11" s="174" t="s">
        <v>173</v>
      </c>
      <c r="F11" s="174"/>
      <c r="G11" s="174"/>
      <c r="H11" s="174"/>
      <c r="I11" s="174"/>
    </row>
    <row r="12" spans="1:10" x14ac:dyDescent="0.3">
      <c r="A12" s="46" t="s">
        <v>58</v>
      </c>
      <c r="B12" s="55">
        <v>18</v>
      </c>
      <c r="C12" s="46" t="str">
        <f t="shared" si="0"/>
        <v>adulto</v>
      </c>
      <c r="E12" s="174" t="s">
        <v>174</v>
      </c>
      <c r="F12" s="174"/>
      <c r="G12" s="174"/>
      <c r="H12" s="174"/>
      <c r="I12" s="174"/>
    </row>
    <row r="13" spans="1:10" x14ac:dyDescent="0.3">
      <c r="A13" s="51" t="s">
        <v>135</v>
      </c>
      <c r="B13" s="74">
        <v>135</v>
      </c>
      <c r="C13" s="46" t="str">
        <f t="shared" si="0"/>
        <v>Sênior</v>
      </c>
      <c r="E13" s="174" t="s">
        <v>175</v>
      </c>
      <c r="F13" s="174"/>
      <c r="G13" s="174"/>
      <c r="H13" s="174"/>
      <c r="I13" s="174"/>
    </row>
    <row r="14" spans="1:10" x14ac:dyDescent="0.3">
      <c r="A14" s="50"/>
      <c r="B14" s="50"/>
      <c r="C14" s="50"/>
    </row>
    <row r="15" spans="1:10" x14ac:dyDescent="0.3">
      <c r="A15" s="72" t="s">
        <v>134</v>
      </c>
      <c r="B15" s="175">
        <f>COUNTA(A3:A13)</f>
        <v>11</v>
      </c>
      <c r="C15" s="175"/>
    </row>
    <row r="16" spans="1:10" x14ac:dyDescent="0.3">
      <c r="A16" s="72" t="s">
        <v>136</v>
      </c>
      <c r="B16" s="175">
        <f>COUNTIF(catg,A16)</f>
        <v>2</v>
      </c>
      <c r="C16" s="175"/>
    </row>
    <row r="17" spans="1:10" x14ac:dyDescent="0.3">
      <c r="A17" s="72" t="s">
        <v>137</v>
      </c>
      <c r="B17" s="175">
        <f>COUNTIF(catg,A17)</f>
        <v>2</v>
      </c>
      <c r="C17" s="175"/>
    </row>
    <row r="18" spans="1:10" x14ac:dyDescent="0.3">
      <c r="A18" s="72" t="s">
        <v>138</v>
      </c>
      <c r="B18" s="175">
        <f>COUNTIF(catg,A18)</f>
        <v>4</v>
      </c>
      <c r="C18" s="175"/>
    </row>
    <row r="19" spans="1:10" x14ac:dyDescent="0.3">
      <c r="A19" s="72" t="s">
        <v>139</v>
      </c>
      <c r="B19" s="175">
        <f>COUNTIF(catg,A19)</f>
        <v>3</v>
      </c>
      <c r="C19" s="175"/>
    </row>
    <row r="20" spans="1:10" x14ac:dyDescent="0.3">
      <c r="J20" s="52"/>
    </row>
    <row r="21" spans="1:10" hidden="1" x14ac:dyDescent="0.3"/>
    <row r="22" spans="1:10" hidden="1" x14ac:dyDescent="0.3"/>
    <row r="23" spans="1:10" hidden="1" x14ac:dyDescent="0.3"/>
    <row r="24" spans="1:10" hidden="1" x14ac:dyDescent="0.3"/>
  </sheetData>
  <mergeCells count="11">
    <mergeCell ref="E13:I13"/>
    <mergeCell ref="B19:C19"/>
    <mergeCell ref="B18:C18"/>
    <mergeCell ref="B17:C17"/>
    <mergeCell ref="B16:C16"/>
    <mergeCell ref="B15:C15"/>
    <mergeCell ref="A1:C1"/>
    <mergeCell ref="E9:I9"/>
    <mergeCell ref="E10:I10"/>
    <mergeCell ref="E11:I11"/>
    <mergeCell ref="E12:I12"/>
  </mergeCells>
  <conditionalFormatting sqref="C3:C13">
    <cfRule type="cellIs" dxfId="0" priority="4" operator="equal">
      <formula>"juvenil"</formula>
    </cfRule>
    <cfRule type="cellIs" dxfId="1" priority="3" operator="equal">
      <formula>"adulto"</formula>
    </cfRule>
    <cfRule type="cellIs" dxfId="2" priority="2" operator="equal">
      <formula>"infantil"</formula>
    </cfRule>
    <cfRule type="cellIs" dxfId="3" priority="1" operator="equal">
      <formula>"sênior"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</vt:i4>
      </vt:variant>
    </vt:vector>
  </HeadingPairs>
  <TitlesOfParts>
    <vt:vector size="12" baseType="lpstr">
      <vt:lpstr>Índice</vt:lpstr>
      <vt:lpstr>Operadores</vt:lpstr>
      <vt:lpstr>Função SE</vt:lpstr>
      <vt:lpstr>EX1</vt:lpstr>
      <vt:lpstr>EX2</vt:lpstr>
      <vt:lpstr>EX3</vt:lpstr>
      <vt:lpstr>EX4</vt:lpstr>
      <vt:lpstr>EX5</vt:lpstr>
      <vt:lpstr>SE Encadeado</vt:lpstr>
      <vt:lpstr>EX6</vt:lpstr>
      <vt:lpstr>EX7</vt:lpstr>
      <vt:lpstr>catg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2018-06-15T01:13:00Z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129e14ba-f318-4722-98f8-5e87c94cde18</vt:lpwstr>
  </property>
</Properties>
</file>