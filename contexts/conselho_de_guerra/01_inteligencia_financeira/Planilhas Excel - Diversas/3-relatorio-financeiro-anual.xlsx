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os\NINJA DO EXCEL\Templates Excel\Financeiro\"/>
    </mc:Choice>
  </mc:AlternateContent>
  <bookViews>
    <workbookView xWindow="0" yWindow="0" windowWidth="28800" windowHeight="12210"/>
  </bookViews>
  <sheets>
    <sheet name="Relatório Financeiro" sheetId="3" r:id="rId1"/>
    <sheet name="Entrada de Dados Financeiros" sheetId="1" r:id="rId2"/>
    <sheet name="Configurações de Métricas-chave" sheetId="4" r:id="rId3"/>
    <sheet name="Cálculos" sheetId="2" state="hidden" r:id="rId4"/>
  </sheets>
  <definedNames>
    <definedName name="Anos">Cálculos!$I$6</definedName>
    <definedName name="AnoSelecionado">'Relatório Financeiro'!$K$2</definedName>
    <definedName name="Anoslst">OFFSET('Entrada de Dados Financeiros'!$B$5:$I$5,0,1,1,COUNTA('Entrada de Dados Financeiros'!$B$5:$I$5)-1)</definedName>
    <definedName name="_xlnm.Print_Area" localSheetId="0">'Relatório Financeiro'!$A$1:$M$40</definedName>
    <definedName name="Métricaslst">OFFSET('Entrada de Dados Financeiros'!$B$6:$B$30,0,0,COUNTA('Entrada de Dados Financeiros'!$B$6:$B$30))</definedName>
  </definedNames>
  <calcPr calcId="162912"/>
</workbook>
</file>

<file path=xl/calcChain.xml><?xml version="1.0" encoding="utf-8"?>
<calcChain xmlns="http://schemas.openxmlformats.org/spreadsheetml/2006/main">
  <c r="F15" i="3" l="1"/>
  <c r="D15" i="3"/>
  <c r="D6" i="4"/>
  <c r="D5" i="4"/>
  <c r="D9" i="4"/>
  <c r="D8" i="4"/>
  <c r="D7" i="4"/>
  <c r="B39" i="2"/>
  <c r="B40" i="3"/>
  <c r="D40" i="3"/>
  <c r="H40" i="3" s="1"/>
  <c r="F40" i="3"/>
  <c r="B29" i="2"/>
  <c r="B30" i="3"/>
  <c r="F30" i="3"/>
  <c r="B30" i="2"/>
  <c r="B31" i="3"/>
  <c r="F31" i="3"/>
  <c r="H31" i="3" s="1"/>
  <c r="B31" i="2"/>
  <c r="B32" i="3"/>
  <c r="F32" i="3"/>
  <c r="B32" i="2"/>
  <c r="B33" i="3"/>
  <c r="F33" i="3"/>
  <c r="B33" i="2"/>
  <c r="B34" i="3"/>
  <c r="F34" i="3"/>
  <c r="H34" i="3" s="1"/>
  <c r="B34" i="2"/>
  <c r="B35" i="3"/>
  <c r="F35" i="3"/>
  <c r="B35" i="2"/>
  <c r="B36" i="3"/>
  <c r="F36" i="3"/>
  <c r="B36" i="2"/>
  <c r="B37" i="3"/>
  <c r="F37" i="3"/>
  <c r="B37" i="2"/>
  <c r="B38" i="3"/>
  <c r="F38" i="3"/>
  <c r="B38" i="2"/>
  <c r="B39" i="3"/>
  <c r="F39" i="3"/>
  <c r="H39" i="3" s="1"/>
  <c r="D30" i="3"/>
  <c r="H30" i="3" s="1"/>
  <c r="D31" i="3"/>
  <c r="D32" i="3"/>
  <c r="D33" i="3"/>
  <c r="D34" i="3"/>
  <c r="D35" i="3"/>
  <c r="D36" i="3"/>
  <c r="D37" i="3"/>
  <c r="D38" i="3"/>
  <c r="H38" i="3" s="1"/>
  <c r="D39" i="3"/>
  <c r="B16" i="2"/>
  <c r="B17" i="3"/>
  <c r="B17" i="2"/>
  <c r="B18" i="3"/>
  <c r="B18" i="2"/>
  <c r="B19" i="3"/>
  <c r="B19" i="2"/>
  <c r="B20" i="3"/>
  <c r="B20" i="2"/>
  <c r="B21" i="3"/>
  <c r="B21" i="2"/>
  <c r="B22" i="3"/>
  <c r="B22" i="2"/>
  <c r="B23" i="3"/>
  <c r="B23" i="2"/>
  <c r="B24" i="3"/>
  <c r="B24" i="2"/>
  <c r="B25" i="3"/>
  <c r="B25" i="2"/>
  <c r="B26" i="3"/>
  <c r="B26" i="2"/>
  <c r="B27" i="3"/>
  <c r="B27" i="2"/>
  <c r="B28" i="3"/>
  <c r="B28" i="2"/>
  <c r="B29" i="3"/>
  <c r="B15" i="2"/>
  <c r="B16" i="3"/>
  <c r="B12" i="2"/>
  <c r="J7" i="3"/>
  <c r="B11" i="2"/>
  <c r="H7" i="3"/>
  <c r="B10" i="2"/>
  <c r="F7" i="3"/>
  <c r="B9" i="2"/>
  <c r="D7" i="3"/>
  <c r="B8" i="2"/>
  <c r="B7" i="3"/>
  <c r="E31" i="2"/>
  <c r="D32" i="2"/>
  <c r="E35" i="2"/>
  <c r="D36" i="2"/>
  <c r="E39" i="2"/>
  <c r="C29" i="2"/>
  <c r="D29" i="2"/>
  <c r="E29" i="2"/>
  <c r="F29" i="2"/>
  <c r="G29" i="2"/>
  <c r="C30" i="2"/>
  <c r="D30" i="2"/>
  <c r="E30" i="2"/>
  <c r="F30" i="2"/>
  <c r="G30" i="2"/>
  <c r="C31" i="2"/>
  <c r="D31" i="2"/>
  <c r="G31" i="2"/>
  <c r="C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G35" i="2"/>
  <c r="C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G39" i="2"/>
  <c r="A9" i="2"/>
  <c r="A10" i="2"/>
  <c r="A11" i="2"/>
  <c r="A12" i="2"/>
  <c r="A8" i="2"/>
  <c r="C3" i="2"/>
  <c r="D3" i="2"/>
  <c r="F36" i="2"/>
  <c r="F39" i="2"/>
  <c r="E36" i="2"/>
  <c r="F35" i="2"/>
  <c r="E32" i="2"/>
  <c r="F31" i="2"/>
  <c r="F32" i="2"/>
  <c r="A32" i="2"/>
  <c r="A33" i="2"/>
  <c r="A34" i="2"/>
  <c r="A35" i="2"/>
  <c r="A36" i="2"/>
  <c r="A37" i="2"/>
  <c r="A38" i="2"/>
  <c r="A39" i="2"/>
  <c r="A29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30" i="2"/>
  <c r="A31" i="2"/>
  <c r="A15" i="2"/>
  <c r="C4" i="2"/>
  <c r="D4" i="2"/>
  <c r="G7" i="2"/>
  <c r="G6" i="2"/>
  <c r="G19" i="2" s="1"/>
  <c r="D20" i="3" s="1"/>
  <c r="G23" i="2"/>
  <c r="D24" i="3" s="1"/>
  <c r="G16" i="2"/>
  <c r="D17" i="3"/>
  <c r="G25" i="2"/>
  <c r="D26" i="3" s="1"/>
  <c r="G11" i="2"/>
  <c r="H8" i="3" s="1"/>
  <c r="G8" i="2"/>
  <c r="G17" i="2"/>
  <c r="D18" i="3"/>
  <c r="H18" i="3" s="1"/>
  <c r="G21" i="2"/>
  <c r="D22" i="3" s="1"/>
  <c r="G28" i="2"/>
  <c r="D29" i="3"/>
  <c r="G20" i="2"/>
  <c r="D21" i="3" s="1"/>
  <c r="G18" i="2"/>
  <c r="D19" i="3" s="1"/>
  <c r="G15" i="2"/>
  <c r="D16" i="3"/>
  <c r="H33" i="3"/>
  <c r="F7" i="2"/>
  <c r="F6" i="2"/>
  <c r="F12" i="2" s="1"/>
  <c r="H36" i="3"/>
  <c r="H32" i="3"/>
  <c r="H37" i="3"/>
  <c r="H35" i="3"/>
  <c r="F11" i="2"/>
  <c r="F9" i="2"/>
  <c r="F26" i="2"/>
  <c r="F27" i="3"/>
  <c r="F17" i="2"/>
  <c r="F18" i="3"/>
  <c r="F25" i="2"/>
  <c r="F26" i="3"/>
  <c r="E7" i="2"/>
  <c r="E6" i="2"/>
  <c r="E21" i="2" s="1"/>
  <c r="E11" i="2"/>
  <c r="E12" i="2"/>
  <c r="E17" i="2"/>
  <c r="E16" i="2"/>
  <c r="E18" i="2"/>
  <c r="E28" i="2"/>
  <c r="D7" i="2"/>
  <c r="D6" i="2"/>
  <c r="D26" i="2" s="1"/>
  <c r="D8" i="2"/>
  <c r="D11" i="2"/>
  <c r="D10" i="2"/>
  <c r="D12" i="2"/>
  <c r="D17" i="2"/>
  <c r="D24" i="2"/>
  <c r="D22" i="2"/>
  <c r="D16" i="2"/>
  <c r="D25" i="2"/>
  <c r="D19" i="2"/>
  <c r="D18" i="2"/>
  <c r="D28" i="2"/>
  <c r="C7" i="2"/>
  <c r="C6" i="2"/>
  <c r="C10" i="2" s="1"/>
  <c r="I6" i="2" l="1"/>
  <c r="I15" i="3" s="1"/>
  <c r="H26" i="3"/>
  <c r="G10" i="2"/>
  <c r="F8" i="3" s="1"/>
  <c r="F10" i="2"/>
  <c r="G26" i="2"/>
  <c r="D27" i="3" s="1"/>
  <c r="H27" i="3" s="1"/>
  <c r="G9" i="2"/>
  <c r="D8" i="3" s="1"/>
  <c r="H21" i="3"/>
  <c r="H22" i="3"/>
  <c r="C23" i="2"/>
  <c r="C11" i="2"/>
  <c r="D15" i="2"/>
  <c r="D23" i="2"/>
  <c r="E23" i="2"/>
  <c r="E25" i="2"/>
  <c r="F8" i="2"/>
  <c r="H8" i="2" s="1"/>
  <c r="B9" i="3" s="1"/>
  <c r="G22" i="2"/>
  <c r="D23" i="3" s="1"/>
  <c r="G27" i="2"/>
  <c r="D28" i="3" s="1"/>
  <c r="G24" i="2"/>
  <c r="D25" i="3" s="1"/>
  <c r="G12" i="2"/>
  <c r="C25" i="2"/>
  <c r="C28" i="2"/>
  <c r="C16" i="2"/>
  <c r="C24" i="2"/>
  <c r="C27" i="2"/>
  <c r="C12" i="2"/>
  <c r="E22" i="2"/>
  <c r="E9" i="2"/>
  <c r="F16" i="2"/>
  <c r="F17" i="3" s="1"/>
  <c r="H17" i="3" s="1"/>
  <c r="F18" i="2"/>
  <c r="F19" i="3" s="1"/>
  <c r="H19" i="3" s="1"/>
  <c r="F28" i="2"/>
  <c r="F29" i="3" s="1"/>
  <c r="H29" i="3" s="1"/>
  <c r="F27" i="2"/>
  <c r="F28" i="3" s="1"/>
  <c r="B8" i="3"/>
  <c r="C15" i="2"/>
  <c r="C18" i="2"/>
  <c r="C17" i="2"/>
  <c r="C26" i="2"/>
  <c r="C9" i="2"/>
  <c r="E19" i="2"/>
  <c r="E8" i="2"/>
  <c r="C21" i="2"/>
  <c r="C20" i="2"/>
  <c r="C8" i="2"/>
  <c r="D20" i="2"/>
  <c r="D21" i="2"/>
  <c r="D9" i="2"/>
  <c r="H11" i="2"/>
  <c r="H9" i="3" s="1"/>
  <c r="E24" i="2"/>
  <c r="E27" i="2"/>
  <c r="E10" i="2"/>
  <c r="F20" i="2"/>
  <c r="F21" i="3" s="1"/>
  <c r="F24" i="2"/>
  <c r="F25" i="3" s="1"/>
  <c r="F21" i="2"/>
  <c r="F22" i="3" s="1"/>
  <c r="F15" i="2"/>
  <c r="F16" i="3" s="1"/>
  <c r="H16" i="3" s="1"/>
  <c r="C22" i="2"/>
  <c r="E15" i="2"/>
  <c r="E20" i="2"/>
  <c r="C19" i="2"/>
  <c r="D27" i="2"/>
  <c r="E26" i="2"/>
  <c r="F23" i="2"/>
  <c r="F24" i="3" s="1"/>
  <c r="H24" i="3" s="1"/>
  <c r="F22" i="2"/>
  <c r="F23" i="3" s="1"/>
  <c r="F19" i="2"/>
  <c r="F20" i="3" s="1"/>
  <c r="H20" i="3" s="1"/>
  <c r="H9" i="2" l="1"/>
  <c r="D9" i="3" s="1"/>
  <c r="H10" i="2"/>
  <c r="F9" i="3" s="1"/>
  <c r="J8" i="3"/>
  <c r="H12" i="2"/>
  <c r="J9" i="3" s="1"/>
  <c r="H25" i="3"/>
  <c r="H28" i="3"/>
  <c r="H23" i="3"/>
</calcChain>
</file>

<file path=xl/sharedStrings.xml><?xml version="1.0" encoding="utf-8"?>
<sst xmlns="http://schemas.openxmlformats.org/spreadsheetml/2006/main" count="43" uniqueCount="37">
  <si>
    <t>RELATÓRIO FINANCEIRO ANUAL</t>
  </si>
  <si>
    <t>Selecione o ano do relatório na Célula L2</t>
  </si>
  <si>
    <t>NOME DA EMPRESA</t>
  </si>
  <si>
    <t>Para editar dados, selecione a planilha de Entrada de Dados Financeiros</t>
  </si>
  <si>
    <t>MÉTRICAS-CHAVE</t>
  </si>
  <si>
    <t>Clique para alterar o relatório de métricas-chave</t>
  </si>
  <si>
    <t>TODAS AS MÉTRICAS</t>
  </si>
  <si>
    <t>Não modifique as informações abaixo. Clique para inserir Dados Financeiros</t>
  </si>
  <si>
    <t>MÉTRICA</t>
  </si>
  <si>
    <t>% DE ALTERAÇÃO</t>
  </si>
  <si>
    <t>INSIRA SEUS DADOS FINANCEIROS</t>
  </si>
  <si>
    <t xml:space="preserve"> VOCÊ PODE DEFINIR ATÉ 25 MÉTRICAS-CHAVE PARA 7 ANOS</t>
  </si>
  <si>
    <t xml:space="preserve"> Clique para ver o Relatório Financeiro</t>
  </si>
  <si>
    <t>NOME DA MÉTRICA</t>
  </si>
  <si>
    <t>RECEITAS</t>
  </si>
  <si>
    <t>DESPESAS OPERACIONAIS</t>
  </si>
  <si>
    <t>LUCRO OPERACIONAL</t>
  </si>
  <si>
    <t>DEPRECIAÇÃO</t>
  </si>
  <si>
    <t>JUROS</t>
  </si>
  <si>
    <t>LUCRO LÍQUIDO</t>
  </si>
  <si>
    <t>IMPOSTOS</t>
  </si>
  <si>
    <t>LUCRO APÓS DEDUÇÃO DE IMPOSTOS</t>
  </si>
  <si>
    <t>MÉTRICA 1</t>
  </si>
  <si>
    <t>MÉTRICA 2</t>
  </si>
  <si>
    <t>MÉTRICA 3</t>
  </si>
  <si>
    <t>MÉTRICA 4</t>
  </si>
  <si>
    <t>MÉTRICA 5</t>
  </si>
  <si>
    <t>MÉTRICA 6</t>
  </si>
  <si>
    <t>DEFINIR MÉTRICAS-CHAVE AQUI</t>
  </si>
  <si>
    <t xml:space="preserve"> SELECIONE ATÉ 5 MÉTRICAS-CHAVE PARA MOSTRAR NA PARTE SUPERIOR DO RELATÓRIO</t>
  </si>
  <si>
    <t xml:space="preserve">  Clique para ver o Relatório Financeiro</t>
  </si>
  <si>
    <t>Esta planilha é usada para cálculos de Relatório Financeiro e deve permanecer oculta.</t>
  </si>
  <si>
    <t>Posição</t>
  </si>
  <si>
    <t>Este ano</t>
  </si>
  <si>
    <t>Ano anterior</t>
  </si>
  <si>
    <t>Métricas-chave</t>
  </si>
  <si>
    <t>Todas as Métricas (funciona em até 25 métricas)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</si>
</sst>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5" formatCode="&quot;R$&quot;\ #,##0;\-&quot;R$&quot;\ #,##0"/>
    <numFmt numFmtId="164" formatCode="&quot;$&quot;#,##0_);\(&quot;$&quot;#,##0\)"/>
    <numFmt numFmtId="165" formatCode="&quot;R$&quot;\ #,##0.00"/>
  </numFmts>
  <fonts count="20" x14ac:knownFonts="1">
    <font>
      <sz val="10"/>
      <color theme="1" tint="0.34998626667073579"/>
      <name val="Trebuchet MS"/>
      <family val="2"/>
      <scheme val="maj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 tint="0.499984740745262"/>
      <name val="Arial"/>
      <family val="2"/>
      <scheme val="minor"/>
    </font>
    <font>
      <i/>
      <sz val="11"/>
      <color theme="1" tint="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24"/>
      <color theme="4"/>
      <name val="Trebuchet MS"/>
      <family val="2"/>
      <scheme val="major"/>
    </font>
    <font>
      <sz val="14"/>
      <color theme="0" tint="-0.34998626667073579"/>
      <name val="Trebuchet MS"/>
      <family val="2"/>
      <scheme val="major"/>
    </font>
    <font>
      <sz val="18"/>
      <color theme="1" tint="0.34998626667073579"/>
      <name val="Arial"/>
      <family val="2"/>
      <scheme val="minor"/>
    </font>
    <font>
      <sz val="20"/>
      <color theme="0" tint="-0.34998626667073579"/>
      <name val="Trebuchet MS"/>
      <family val="2"/>
      <scheme val="major"/>
    </font>
    <font>
      <sz val="20"/>
      <color theme="0" tint="-0.34998626667073579"/>
      <name val="Arial"/>
      <family val="2"/>
      <scheme val="minor"/>
    </font>
    <font>
      <sz val="14"/>
      <color theme="0" tint="-0.34998626667073579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4"/>
      <color theme="3" tint="0.499984740745262"/>
      <name val="Arial"/>
      <family val="2"/>
      <scheme val="minor"/>
    </font>
    <font>
      <b/>
      <sz val="9"/>
      <color theme="0"/>
      <name val="Arial"/>
      <family val="2"/>
      <scheme val="minor"/>
    </font>
    <font>
      <i/>
      <sz val="10"/>
      <color theme="4"/>
      <name val="Arial"/>
      <family val="2"/>
      <scheme val="minor"/>
    </font>
    <font>
      <i/>
      <u/>
      <sz val="10"/>
      <color theme="4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dashed">
        <color theme="1" tint="0.34998626667073579"/>
      </top>
      <bottom/>
      <diagonal/>
    </border>
    <border>
      <left/>
      <right style="medium">
        <color theme="1" tint="0.34998626667073579"/>
      </right>
      <top style="dashed">
        <color theme="1" tint="0.34998626667073579"/>
      </top>
      <bottom/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dashed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1" tint="0.34998626667073579"/>
      </left>
      <right/>
      <top/>
      <bottom style="dashed">
        <color theme="1" tint="0.34998626667073579"/>
      </bottom>
      <diagonal/>
    </border>
    <border>
      <left/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</borders>
  <cellStyleXfs count="11">
    <xf numFmtId="0" fontId="0" fillId="0" borderId="0" applyFill="0" applyBorder="0">
      <alignment vertical="center"/>
    </xf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Protection="0">
      <alignment vertical="center"/>
    </xf>
    <xf numFmtId="0" fontId="9" fillId="0" borderId="0" applyNumberFormat="0" applyFill="0" applyBorder="0" applyAlignment="0" applyProtection="0"/>
    <xf numFmtId="0" fontId="16" fillId="2" borderId="0">
      <alignment horizontal="center" vertical="center"/>
    </xf>
    <xf numFmtId="164" fontId="11" fillId="0" borderId="7">
      <alignment horizontal="center" vertical="center"/>
    </xf>
    <xf numFmtId="9" fontId="13" fillId="0" borderId="0">
      <alignment horizontal="left" vertical="center" indent="1"/>
    </xf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0" xfId="2"/>
    <xf numFmtId="0" fontId="8" fillId="0" borderId="2" xfId="3">
      <alignment vertical="center"/>
    </xf>
    <xf numFmtId="0" fontId="1" fillId="0" borderId="0" xfId="0" applyFont="1" applyAlignment="1"/>
    <xf numFmtId="0" fontId="0" fillId="0" borderId="0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9" fontId="0" fillId="0" borderId="13" xfId="1" applyFont="1" applyFill="1" applyBorder="1" applyAlignment="1">
      <alignment horizontal="center" vertical="center"/>
    </xf>
    <xf numFmtId="9" fontId="0" fillId="0" borderId="14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8" fillId="0" borderId="2" xfId="3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0" xfId="8" applyAlignment="1">
      <alignment vertical="center"/>
    </xf>
    <xf numFmtId="0" fontId="15" fillId="0" borderId="0" xfId="8" applyAlignment="1">
      <alignment horizontal="left"/>
    </xf>
    <xf numFmtId="0" fontId="6" fillId="2" borderId="1" xfId="0" applyFont="1" applyFill="1" applyBorder="1" applyAlignment="1">
      <alignment horizontal="right" vertical="center"/>
    </xf>
    <xf numFmtId="0" fontId="0" fillId="0" borderId="13" xfId="0" applyFill="1" applyBorder="1" applyAlignment="1">
      <alignment horizontal="left" vertical="center" indent="1"/>
    </xf>
    <xf numFmtId="0" fontId="6" fillId="2" borderId="1" xfId="0" applyFont="1" applyFill="1" applyBorder="1" applyAlignment="1" applyProtection="1">
      <alignment horizontal="left" vertical="center" indent="1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right" vertical="center" indent="1"/>
      <protection locked="0"/>
    </xf>
    <xf numFmtId="0" fontId="0" fillId="0" borderId="21" xfId="0" applyBorder="1" applyAlignment="1" applyProtection="1">
      <alignment horizontal="left" vertical="center" indent="1"/>
      <protection locked="0"/>
    </xf>
    <xf numFmtId="0" fontId="0" fillId="0" borderId="0" xfId="0" applyBorder="1" applyAlignment="1" applyProtection="1">
      <alignment horizontal="left" vertical="center" indent="1"/>
      <protection locked="0"/>
    </xf>
    <xf numFmtId="0" fontId="17" fillId="0" borderId="0" xfId="9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9" fillId="0" borderId="0" xfId="4" applyAlignment="1" applyProtection="1">
      <alignment vertical="top"/>
      <protection locked="0"/>
    </xf>
    <xf numFmtId="0" fontId="19" fillId="2" borderId="33" xfId="0" applyFont="1" applyFill="1" applyBorder="1" applyAlignment="1">
      <alignment horizontal="left" vertical="center" wrapText="1" indent="1"/>
    </xf>
    <xf numFmtId="0" fontId="0" fillId="0" borderId="0" xfId="0" applyProtection="1">
      <alignment vertical="center"/>
      <protection locked="0"/>
    </xf>
    <xf numFmtId="0" fontId="7" fillId="0" borderId="0" xfId="2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8" fillId="0" borderId="2" xfId="3" applyProtection="1">
      <alignment vertical="center"/>
      <protection locked="0"/>
    </xf>
    <xf numFmtId="0" fontId="8" fillId="0" borderId="23" xfId="3" applyBorder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0" fontId="0" fillId="0" borderId="0" xfId="0" applyBorder="1" applyProtection="1">
      <alignment vertical="center"/>
      <protection locked="0"/>
    </xf>
    <xf numFmtId="9" fontId="12" fillId="0" borderId="0" xfId="1" applyNumberFormat="1" applyFont="1" applyAlignment="1" applyProtection="1">
      <alignment horizontal="left" vertical="center" indent="1"/>
      <protection locked="0"/>
    </xf>
    <xf numFmtId="9" fontId="5" fillId="0" borderId="0" xfId="0" applyNumberFormat="1" applyFont="1" applyAlignment="1" applyProtection="1">
      <alignment horizontal="left" vertical="center" indent="1"/>
      <protection locked="0"/>
    </xf>
    <xf numFmtId="9" fontId="5" fillId="0" borderId="0" xfId="0" applyNumberFormat="1" applyFont="1" applyBorder="1" applyAlignment="1" applyProtection="1">
      <alignment horizontal="left" vertical="center" indent="1"/>
      <protection locked="0"/>
    </xf>
    <xf numFmtId="0" fontId="0" fillId="0" borderId="8" xfId="0" applyBorder="1" applyAlignme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8" xfId="0" applyBorder="1" applyAlignment="1" applyProtection="1">
      <alignment horizontal="left" indent="1"/>
      <protection locked="0"/>
    </xf>
    <xf numFmtId="0" fontId="0" fillId="0" borderId="25" xfId="0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8" fillId="0" borderId="2" xfId="3" applyFill="1" applyProtection="1">
      <alignment vertical="center"/>
      <protection locked="0"/>
    </xf>
    <xf numFmtId="0" fontId="16" fillId="2" borderId="29" xfId="5" applyBorder="1" applyAlignment="1" applyProtection="1">
      <alignment horizontal="center" vertical="center" wrapText="1"/>
    </xf>
    <xf numFmtId="0" fontId="16" fillId="2" borderId="29" xfId="5" applyFont="1" applyBorder="1" applyAlignment="1" applyProtection="1">
      <alignment horizontal="center" vertical="center" wrapText="1"/>
    </xf>
    <xf numFmtId="9" fontId="13" fillId="0" borderId="24" xfId="1" applyNumberFormat="1" applyFont="1" applyBorder="1" applyAlignment="1" applyProtection="1">
      <alignment horizontal="left" vertical="center" indent="2"/>
    </xf>
    <xf numFmtId="9" fontId="13" fillId="0" borderId="24" xfId="7" applyBorder="1" applyAlignment="1" applyProtection="1">
      <alignment horizontal="left" vertical="center" indent="2"/>
    </xf>
    <xf numFmtId="165" fontId="0" fillId="0" borderId="21" xfId="0" applyNumberFormat="1" applyBorder="1" applyAlignment="1" applyProtection="1">
      <alignment horizontal="right" vertical="center"/>
      <protection locked="0"/>
    </xf>
    <xf numFmtId="165" fontId="0" fillId="0" borderId="21" xfId="0" applyNumberFormat="1" applyBorder="1" applyAlignment="1" applyProtection="1">
      <alignment horizontal="right" vertical="center" indent="1"/>
      <protection locked="0"/>
    </xf>
    <xf numFmtId="165" fontId="0" fillId="0" borderId="0" xfId="0" applyNumberFormat="1" applyBorder="1" applyAlignment="1" applyProtection="1">
      <alignment horizontal="right" vertical="center"/>
      <protection locked="0"/>
    </xf>
    <xf numFmtId="165" fontId="0" fillId="0" borderId="0" xfId="0" applyNumberFormat="1" applyBorder="1" applyAlignment="1" applyProtection="1">
      <alignment horizontal="right" vertical="center" indent="1"/>
      <protection locked="0"/>
    </xf>
    <xf numFmtId="165" fontId="0" fillId="0" borderId="22" xfId="0" applyNumberFormat="1" applyBorder="1" applyAlignment="1" applyProtection="1">
      <alignment horizontal="right" vertical="center"/>
      <protection locked="0"/>
    </xf>
    <xf numFmtId="165" fontId="0" fillId="0" borderId="22" xfId="0" applyNumberFormat="1" applyBorder="1" applyAlignment="1" applyProtection="1">
      <alignment horizontal="right" vertical="center" indent="1"/>
      <protection locked="0"/>
    </xf>
    <xf numFmtId="5" fontId="11" fillId="0" borderId="26" xfId="6" applyNumberFormat="1" applyBorder="1" applyAlignment="1" applyProtection="1">
      <alignment horizontal="center" vertical="center"/>
    </xf>
    <xf numFmtId="5" fontId="11" fillId="0" borderId="4" xfId="6" applyNumberFormat="1" applyBorder="1" applyProtection="1">
      <alignment horizontal="center" vertical="center"/>
      <protection locked="0"/>
    </xf>
    <xf numFmtId="5" fontId="11" fillId="0" borderId="26" xfId="6" applyNumberFormat="1" applyBorder="1" applyProtection="1">
      <alignment horizontal="center" vertical="center"/>
    </xf>
    <xf numFmtId="165" fontId="0" fillId="0" borderId="13" xfId="0" applyNumberFormat="1" applyFill="1" applyBorder="1" applyAlignment="1">
      <alignment vertical="center"/>
    </xf>
    <xf numFmtId="165" fontId="0" fillId="0" borderId="14" xfId="0" applyNumberForma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0" xfId="0" applyBorder="1" applyAlignment="1" applyProtection="1">
      <alignment horizontal="left" indent="1"/>
      <protection locked="0"/>
    </xf>
    <xf numFmtId="0" fontId="17" fillId="0" borderId="2" xfId="9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7" fillId="0" borderId="2" xfId="9" applyBorder="1" applyAlignment="1" applyProtection="1">
      <alignment horizontal="left" vertical="center"/>
      <protection locked="0"/>
    </xf>
    <xf numFmtId="0" fontId="0" fillId="0" borderId="14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0" fillId="0" borderId="2" xfId="3" applyNumberFormat="1" applyFont="1" applyFill="1" applyAlignment="1" applyProtection="1">
      <alignment horizontal="center" vertical="center"/>
      <protection locked="0"/>
    </xf>
    <xf numFmtId="9" fontId="13" fillId="0" borderId="10" xfId="7" applyBorder="1" applyAlignment="1" applyProtection="1">
      <alignment horizontal="left" vertical="center" indent="2"/>
    </xf>
    <xf numFmtId="9" fontId="13" fillId="0" borderId="12" xfId="7" applyBorder="1" applyAlignment="1" applyProtection="1">
      <alignment horizontal="left" vertical="center" indent="2"/>
    </xf>
    <xf numFmtId="9" fontId="13" fillId="0" borderId="11" xfId="7" applyBorder="1" applyAlignment="1" applyProtection="1">
      <alignment horizontal="left" vertical="center" indent="2"/>
    </xf>
    <xf numFmtId="5" fontId="11" fillId="0" borderId="27" xfId="6" applyNumberFormat="1" applyBorder="1" applyAlignment="1" applyProtection="1">
      <alignment horizontal="center" vertical="center"/>
    </xf>
    <xf numFmtId="5" fontId="11" fillId="0" borderId="7" xfId="6" applyNumberFormat="1" applyBorder="1" applyAlignment="1" applyProtection="1">
      <alignment horizontal="center" vertical="center"/>
    </xf>
    <xf numFmtId="5" fontId="11" fillId="0" borderId="28" xfId="6" applyNumberFormat="1" applyBorder="1" applyAlignment="1" applyProtection="1">
      <alignment horizontal="center" vertical="center"/>
    </xf>
    <xf numFmtId="0" fontId="0" fillId="0" borderId="3" xfId="0" applyBorder="1" applyAlignment="1" applyProtection="1">
      <alignment horizontal="left" indent="1"/>
      <protection locked="0"/>
    </xf>
    <xf numFmtId="0" fontId="0" fillId="0" borderId="0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6" fillId="2" borderId="30" xfId="5" applyBorder="1" applyAlignment="1" applyProtection="1">
      <alignment horizontal="center" vertical="center" wrapText="1"/>
    </xf>
    <xf numFmtId="0" fontId="16" fillId="2" borderId="31" xfId="5" applyBorder="1" applyAlignment="1" applyProtection="1">
      <alignment horizontal="center" vertical="center" wrapText="1"/>
    </xf>
    <xf numFmtId="0" fontId="16" fillId="2" borderId="32" xfId="5" applyBorder="1" applyAlignment="1" applyProtection="1">
      <alignment horizontal="center" vertical="center" wrapText="1"/>
    </xf>
    <xf numFmtId="0" fontId="17" fillId="0" borderId="0" xfId="9" applyBorder="1" applyAlignment="1" applyProtection="1">
      <alignment horizontal="left" vertical="center"/>
      <protection locked="0"/>
    </xf>
  </cellXfs>
  <cellStyles count="11">
    <cellStyle name="Cabeçalho de Métrica-chave" xfId="5"/>
    <cellStyle name="Hiperlink" xfId="9" builtinId="8" customBuiltin="1"/>
    <cellStyle name="Hiperlink Visitado" xfId="10" builtinId="9" customBuiltin="1"/>
    <cellStyle name="Normal" xfId="0" builtinId="0" customBuiltin="1"/>
    <cellStyle name="Percentual de Métrica-chave" xfId="7"/>
    <cellStyle name="Porcentagem" xfId="1" builtinId="5"/>
    <cellStyle name="Título" xfId="2" builtinId="15" customBuiltin="1"/>
    <cellStyle name="Título 1" xfId="3" builtinId="16" customBuiltin="1"/>
    <cellStyle name="Título 2" xfId="4" builtinId="17" customBuiltin="1"/>
    <cellStyle name="Título 3" xfId="8" builtinId="18" customBuiltin="1"/>
    <cellStyle name="Valor de Métrica-chave" xfId="6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ninjadoexcel.com.br/curs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448236</xdr:colOff>
      <xdr:row>5</xdr:row>
      <xdr:rowOff>168089</xdr:rowOff>
    </xdr:from>
    <xdr:to>
      <xdr:col>23</xdr:col>
      <xdr:colOff>338045</xdr:colOff>
      <xdr:row>15</xdr:row>
      <xdr:rowOff>186788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BE8B8-4E70-444C-86EB-43D0146E8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4324" y="1949824"/>
          <a:ext cx="7431368" cy="2797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Trebuchet MS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B1:N40"/>
  <sheetViews>
    <sheetView showGridLines="0" tabSelected="1" zoomScale="85" zoomScaleNormal="85" workbookViewId="0">
      <selection activeCell="O6" sqref="O6"/>
    </sheetView>
  </sheetViews>
  <sheetFormatPr defaultRowHeight="18.75" customHeight="1" x14ac:dyDescent="0.3"/>
  <cols>
    <col min="1" max="1" width="2" customWidth="1"/>
    <col min="2" max="2" width="29.5703125" customWidth="1"/>
    <col min="3" max="3" width="2.7109375" customWidth="1"/>
    <col min="4" max="4" width="29.5703125" customWidth="1"/>
    <col min="5" max="5" width="2.7109375" customWidth="1"/>
    <col min="6" max="6" width="29.5703125" customWidth="1"/>
    <col min="7" max="7" width="2.7109375" customWidth="1"/>
    <col min="8" max="8" width="29.5703125" customWidth="1"/>
    <col min="9" max="9" width="2.7109375" customWidth="1"/>
    <col min="10" max="10" width="12.28515625" customWidth="1"/>
    <col min="11" max="11" width="1.85546875" customWidth="1"/>
    <col min="12" max="12" width="15.42578125" customWidth="1"/>
    <col min="13" max="13" width="1.85546875" customWidth="1"/>
    <col min="14" max="14" width="23.28515625" customWidth="1"/>
    <col min="15" max="15" width="10.140625" customWidth="1"/>
    <col min="16" max="18" width="11.42578125"/>
  </cols>
  <sheetData>
    <row r="1" spans="2:14" ht="8.25" customHeight="1" thickBot="1" x14ac:dyDescent="0.35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2:14" ht="38.25" customHeight="1" thickBot="1" x14ac:dyDescent="0.5">
      <c r="B2" s="40" t="s">
        <v>0</v>
      </c>
      <c r="C2" s="39"/>
      <c r="D2" s="39"/>
      <c r="E2" s="39"/>
      <c r="F2" s="39"/>
      <c r="G2" s="39"/>
      <c r="H2" s="39"/>
      <c r="I2" s="39"/>
      <c r="J2" s="41"/>
      <c r="K2" s="81">
        <v>2014</v>
      </c>
      <c r="L2" s="81"/>
      <c r="N2" s="38" t="s">
        <v>1</v>
      </c>
    </row>
    <row r="3" spans="2:14" ht="63.75" customHeight="1" thickBot="1" x14ac:dyDescent="0.35">
      <c r="B3" s="37" t="s">
        <v>2</v>
      </c>
      <c r="C3" s="39"/>
      <c r="D3" s="39"/>
      <c r="E3" s="39"/>
      <c r="F3" s="39"/>
      <c r="G3" s="39"/>
      <c r="H3" s="39"/>
      <c r="I3" s="39"/>
      <c r="J3" s="39"/>
      <c r="K3" s="39"/>
      <c r="L3" s="39"/>
      <c r="N3" s="38" t="s">
        <v>3</v>
      </c>
    </row>
    <row r="4" spans="2:14" ht="6.75" customHeight="1" thickBot="1" x14ac:dyDescent="0.3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2:14" ht="24" customHeight="1" thickBot="1" x14ac:dyDescent="0.35">
      <c r="B5" s="42" t="s">
        <v>4</v>
      </c>
      <c r="C5" s="42"/>
      <c r="D5" s="74" t="s">
        <v>5</v>
      </c>
      <c r="E5" s="42"/>
      <c r="F5" s="42"/>
      <c r="G5" s="42"/>
      <c r="H5" s="42"/>
      <c r="I5" s="42"/>
      <c r="J5" s="42"/>
      <c r="K5" s="42"/>
      <c r="L5" s="42"/>
    </row>
    <row r="6" spans="2:14" s="11" customFormat="1" ht="18.75" customHeight="1" thickBot="1" x14ac:dyDescent="0.35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2:14" ht="22.5" customHeight="1" x14ac:dyDescent="0.25">
      <c r="B7" s="58" t="str">
        <f>Cálculos!B8</f>
        <v>RECEITAS</v>
      </c>
      <c r="C7" s="44"/>
      <c r="D7" s="57" t="str">
        <f>Cálculos!B9</f>
        <v>LUCRO LÍQUIDO</v>
      </c>
      <c r="E7" s="44"/>
      <c r="F7" s="57" t="str">
        <f>Cálculos!B10</f>
        <v>JUROS</v>
      </c>
      <c r="G7" s="44"/>
      <c r="H7" s="57" t="str">
        <f>Cálculos!B11</f>
        <v>DEPRECIAÇÃO</v>
      </c>
      <c r="I7" s="44"/>
      <c r="J7" s="91" t="str">
        <f>Cálculos!B12</f>
        <v>LUCRO OPERACIONAL</v>
      </c>
      <c r="K7" s="92"/>
      <c r="L7" s="93"/>
      <c r="M7" s="10"/>
    </row>
    <row r="8" spans="2:14" ht="42" customHeight="1" x14ac:dyDescent="0.3">
      <c r="B8" s="67">
        <f ca="1">IFERROR(Cálculos!G8,"")</f>
        <v>180583.88</v>
      </c>
      <c r="C8" s="68"/>
      <c r="D8" s="67">
        <f ca="1">IFERROR(Cálculos!G9,"")</f>
        <v>67474.850000000006</v>
      </c>
      <c r="E8" s="39"/>
      <c r="F8" s="67">
        <f ca="1">IFERROR(Cálculos!G10,"")</f>
        <v>3789.47</v>
      </c>
      <c r="G8" s="39"/>
      <c r="H8" s="69">
        <f ca="1">IFERROR(Cálculos!G11,"")</f>
        <v>5546.88</v>
      </c>
      <c r="I8" s="45"/>
      <c r="J8" s="85">
        <f ca="1">IFERROR(Cálculos!G12,"")</f>
        <v>73425.990000000005</v>
      </c>
      <c r="K8" s="86"/>
      <c r="L8" s="87"/>
    </row>
    <row r="9" spans="2:14" s="5" customFormat="1" ht="18.75" customHeight="1" x14ac:dyDescent="0.3">
      <c r="B9" s="59">
        <f ca="1">Cálculos!H8</f>
        <v>3.0953753897409175E-3</v>
      </c>
      <c r="C9" s="46"/>
      <c r="D9" s="60">
        <f ca="1">Cálculos!H9</f>
        <v>1.8148662861143583E-2</v>
      </c>
      <c r="E9" s="47"/>
      <c r="F9" s="60">
        <f ca="1">Cálculos!H10</f>
        <v>0.13514962705568689</v>
      </c>
      <c r="G9" s="47"/>
      <c r="H9" s="60">
        <f ca="1">Cálculos!H11</f>
        <v>9.4400227289766825E-2</v>
      </c>
      <c r="I9" s="48"/>
      <c r="J9" s="82">
        <f ca="1">Cálculos!H12</f>
        <v>-5.0335608229046258E-2</v>
      </c>
      <c r="K9" s="83"/>
      <c r="L9" s="84"/>
      <c r="M9" s="6"/>
    </row>
    <row r="10" spans="2:14" ht="18.75" customHeight="1" x14ac:dyDescent="0.3">
      <c r="B10" s="49"/>
      <c r="C10" s="50"/>
      <c r="D10" s="49"/>
      <c r="E10" s="50"/>
      <c r="F10" s="49"/>
      <c r="G10" s="50"/>
      <c r="H10" s="51"/>
      <c r="I10" s="73"/>
      <c r="J10" s="88"/>
      <c r="K10" s="89"/>
      <c r="L10" s="90"/>
      <c r="M10" s="7"/>
    </row>
    <row r="11" spans="2:14" ht="18.75" customHeight="1" thickBot="1" x14ac:dyDescent="0.35">
      <c r="B11" s="52"/>
      <c r="C11" s="39"/>
      <c r="D11" s="52"/>
      <c r="E11" s="39"/>
      <c r="F11" s="52"/>
      <c r="G11" s="39"/>
      <c r="H11" s="52"/>
      <c r="I11" s="39"/>
      <c r="J11" s="53"/>
      <c r="K11" s="54"/>
      <c r="L11" s="55"/>
    </row>
    <row r="12" spans="2:14" ht="18.75" customHeight="1" thickBot="1" x14ac:dyDescent="0.3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2:14" ht="24" customHeight="1" thickBot="1" x14ac:dyDescent="0.35">
      <c r="B13" s="56" t="s">
        <v>6</v>
      </c>
      <c r="C13" s="56"/>
      <c r="D13" s="77" t="s">
        <v>7</v>
      </c>
      <c r="E13" s="77"/>
      <c r="F13" s="77"/>
      <c r="G13" s="77"/>
      <c r="H13" s="77"/>
      <c r="I13" s="56"/>
      <c r="J13" s="56"/>
      <c r="K13" s="56"/>
      <c r="L13" s="56"/>
    </row>
    <row r="15" spans="2:14" ht="18.75" customHeight="1" x14ac:dyDescent="0.3">
      <c r="B15" s="15" t="s">
        <v>8</v>
      </c>
      <c r="C15" s="75"/>
      <c r="D15" s="25" t="str">
        <f>"ANO DO RELATÓRIO ("&amp;AnoSelecionado&amp;")"</f>
        <v>ANO DO RELATÓRIO (2014)</v>
      </c>
      <c r="E15" s="75"/>
      <c r="F15" s="25" t="str">
        <f>"ANO ANTERIOR ("&amp;AnoSelecionado-1&amp;")"</f>
        <v>ANO ANTERIOR (2013)</v>
      </c>
      <c r="G15" s="75"/>
      <c r="H15" s="12" t="s">
        <v>9</v>
      </c>
      <c r="I15" s="79" t="str">
        <f ca="1">CONCATENATE("TENDÊNCIA DE ",Anos," ANOS")</f>
        <v>TENDÊNCIA DE 5 ANOS</v>
      </c>
      <c r="J15" s="79"/>
      <c r="K15" s="79"/>
      <c r="L15" s="79"/>
    </row>
    <row r="16" spans="2:14" ht="18.75" customHeight="1" x14ac:dyDescent="0.3">
      <c r="B16" s="26" t="str">
        <f>Cálculos!B15</f>
        <v>RECEITAS</v>
      </c>
      <c r="C16" s="76"/>
      <c r="D16" s="70">
        <f ca="1">IF($B16="","",Cálculos!G15)</f>
        <v>180583.88</v>
      </c>
      <c r="E16" s="70"/>
      <c r="F16" s="70">
        <f ca="1">IF($B16="","",Cálculos!F15)</f>
        <v>180026.63</v>
      </c>
      <c r="G16" s="76"/>
      <c r="H16" s="13">
        <f t="shared" ref="H16:H39" ca="1" si="0">IFERROR(D16/F16-1,"")</f>
        <v>3.0953753897409175E-3</v>
      </c>
      <c r="I16" s="80"/>
      <c r="J16" s="80"/>
      <c r="K16" s="80"/>
      <c r="L16" s="80"/>
    </row>
    <row r="17" spans="2:12" ht="18.75" customHeight="1" x14ac:dyDescent="0.3">
      <c r="B17" s="26" t="str">
        <f>Cálculos!B16</f>
        <v>DESPESAS OPERACIONAIS</v>
      </c>
      <c r="C17" s="72"/>
      <c r="D17" s="70">
        <f ca="1">IF($B17="","",Cálculos!G16)</f>
        <v>94419.45</v>
      </c>
      <c r="E17" s="71"/>
      <c r="F17" s="70">
        <f ca="1">IF($B17="","",Cálculos!F16)</f>
        <v>80883.33</v>
      </c>
      <c r="G17" s="72"/>
      <c r="H17" s="14">
        <f t="shared" ca="1" si="0"/>
        <v>0.16735364382252804</v>
      </c>
      <c r="I17" s="78"/>
      <c r="J17" s="78"/>
      <c r="K17" s="78"/>
      <c r="L17" s="78"/>
    </row>
    <row r="18" spans="2:12" ht="18.75" customHeight="1" x14ac:dyDescent="0.3">
      <c r="B18" s="26" t="str">
        <f>Cálculos!B17</f>
        <v>LUCRO OPERACIONAL</v>
      </c>
      <c r="C18" s="72"/>
      <c r="D18" s="70">
        <f ca="1">IF($B18="","",Cálculos!G17)</f>
        <v>73425.990000000005</v>
      </c>
      <c r="E18" s="71"/>
      <c r="F18" s="70">
        <f ca="1">IF($B18="","",Cálculos!F17)</f>
        <v>77317.83</v>
      </c>
      <c r="G18" s="72"/>
      <c r="H18" s="14">
        <f t="shared" ca="1" si="0"/>
        <v>-5.0335608229046258E-2</v>
      </c>
      <c r="I18" s="78"/>
      <c r="J18" s="78"/>
      <c r="K18" s="78"/>
      <c r="L18" s="78"/>
    </row>
    <row r="19" spans="2:12" ht="18.75" customHeight="1" x14ac:dyDescent="0.3">
      <c r="B19" s="26" t="str">
        <f>Cálculos!B18</f>
        <v>DEPRECIAÇÃO</v>
      </c>
      <c r="C19" s="72"/>
      <c r="D19" s="70">
        <f ca="1">IF($B19="","",Cálculos!G18)</f>
        <v>5546.88</v>
      </c>
      <c r="E19" s="71"/>
      <c r="F19" s="70">
        <f ca="1">IF($B19="","",Cálculos!F18)</f>
        <v>5068.42</v>
      </c>
      <c r="G19" s="72"/>
      <c r="H19" s="14">
        <f t="shared" ca="1" si="0"/>
        <v>9.4400227289766825E-2</v>
      </c>
      <c r="I19" s="78"/>
      <c r="J19" s="78"/>
      <c r="K19" s="78"/>
      <c r="L19" s="78"/>
    </row>
    <row r="20" spans="2:12" ht="18.75" customHeight="1" x14ac:dyDescent="0.3">
      <c r="B20" s="26" t="str">
        <f>Cálculos!B19</f>
        <v>JUROS</v>
      </c>
      <c r="C20" s="72"/>
      <c r="D20" s="70">
        <f ca="1">IF($B20="","",Cálculos!G19)</f>
        <v>3789.47</v>
      </c>
      <c r="E20" s="71"/>
      <c r="F20" s="70">
        <f ca="1">IF($B20="","",Cálculos!F19)</f>
        <v>3338.3</v>
      </c>
      <c r="G20" s="72"/>
      <c r="H20" s="14">
        <f t="shared" ca="1" si="0"/>
        <v>0.13514962705568689</v>
      </c>
      <c r="I20" s="78"/>
      <c r="J20" s="78"/>
      <c r="K20" s="78"/>
      <c r="L20" s="78"/>
    </row>
    <row r="21" spans="2:12" ht="18.75" customHeight="1" x14ac:dyDescent="0.3">
      <c r="B21" s="26" t="str">
        <f>Cálculos!B20</f>
        <v>LUCRO LÍQUIDO</v>
      </c>
      <c r="C21" s="72"/>
      <c r="D21" s="70">
        <f ca="1">IF($B21="","",Cálculos!G20)</f>
        <v>67474.850000000006</v>
      </c>
      <c r="E21" s="71"/>
      <c r="F21" s="70">
        <f ca="1">IF($B21="","",Cálculos!F20)</f>
        <v>66272.100000000006</v>
      </c>
      <c r="G21" s="72"/>
      <c r="H21" s="14">
        <f t="shared" ca="1" si="0"/>
        <v>1.8148662861143583E-2</v>
      </c>
      <c r="I21" s="78"/>
      <c r="J21" s="78"/>
      <c r="K21" s="78"/>
      <c r="L21" s="78"/>
    </row>
    <row r="22" spans="2:12" ht="18.75" customHeight="1" x14ac:dyDescent="0.3">
      <c r="B22" s="26" t="str">
        <f>Cálculos!B21</f>
        <v>IMPOSTOS</v>
      </c>
      <c r="C22" s="72"/>
      <c r="D22" s="70">
        <f ca="1">IF($B22="","",Cálculos!G21)</f>
        <v>31408.25</v>
      </c>
      <c r="E22" s="71"/>
      <c r="F22" s="70">
        <f ca="1">IF($B22="","",Cálculos!F21)</f>
        <v>29424.53</v>
      </c>
      <c r="G22" s="72"/>
      <c r="H22" s="14">
        <f t="shared" ca="1" si="0"/>
        <v>6.7417219578358667E-2</v>
      </c>
      <c r="I22" s="78"/>
      <c r="J22" s="78"/>
      <c r="K22" s="78"/>
      <c r="L22" s="78"/>
    </row>
    <row r="23" spans="2:12" ht="18.75" customHeight="1" x14ac:dyDescent="0.3">
      <c r="B23" s="26" t="str">
        <f>Cálculos!B22</f>
        <v>LUCRO APÓS DEDUÇÃO DE IMPOSTOS</v>
      </c>
      <c r="C23" s="72"/>
      <c r="D23" s="70">
        <f ca="1">IF($B23="","",Cálculos!G22)</f>
        <v>50247.68</v>
      </c>
      <c r="E23" s="71"/>
      <c r="F23" s="70">
        <f ca="1">IF($B23="","",Cálculos!F22)</f>
        <v>42438.2</v>
      </c>
      <c r="G23" s="72"/>
      <c r="H23" s="14">
        <f t="shared" ca="1" si="0"/>
        <v>0.18402005740111504</v>
      </c>
      <c r="I23" s="78"/>
      <c r="J23" s="78"/>
      <c r="K23" s="78"/>
      <c r="L23" s="78"/>
    </row>
    <row r="24" spans="2:12" ht="18.75" customHeight="1" x14ac:dyDescent="0.3">
      <c r="B24" s="26" t="str">
        <f>Cálculos!B23</f>
        <v>MÉTRICA 1</v>
      </c>
      <c r="C24" s="72"/>
      <c r="D24" s="70">
        <f ca="1">IF($B24="","",Cálculos!G23)</f>
        <v>19.96</v>
      </c>
      <c r="E24" s="71"/>
      <c r="F24" s="70">
        <f ca="1">IF($B24="","",Cálculos!F23)</f>
        <v>16.78</v>
      </c>
      <c r="G24" s="72"/>
      <c r="H24" s="14">
        <f t="shared" ca="1" si="0"/>
        <v>0.18951132300357565</v>
      </c>
      <c r="I24" s="78"/>
      <c r="J24" s="78"/>
      <c r="K24" s="78"/>
      <c r="L24" s="78"/>
    </row>
    <row r="25" spans="2:12" ht="18.75" customHeight="1" x14ac:dyDescent="0.3">
      <c r="B25" s="26" t="str">
        <f>Cálculos!B24</f>
        <v>MÉTRICA 2</v>
      </c>
      <c r="C25" s="72"/>
      <c r="D25" s="70">
        <f ca="1">IF($B25="","",Cálculos!G24)</f>
        <v>26.01</v>
      </c>
      <c r="E25" s="71"/>
      <c r="F25" s="70">
        <f ca="1">IF($B25="","",Cálculos!F24)</f>
        <v>21.84</v>
      </c>
      <c r="G25" s="72"/>
      <c r="H25" s="14">
        <f t="shared" ca="1" si="0"/>
        <v>0.19093406593406592</v>
      </c>
      <c r="I25" s="78"/>
      <c r="J25" s="78"/>
      <c r="K25" s="78"/>
      <c r="L25" s="78"/>
    </row>
    <row r="26" spans="2:12" ht="18.75" customHeight="1" x14ac:dyDescent="0.3">
      <c r="B26" s="26" t="str">
        <f>Cálculos!B25</f>
        <v>MÉTRICA 3</v>
      </c>
      <c r="C26" s="72"/>
      <c r="D26" s="70">
        <f ca="1">IF($B26="","",Cálculos!G25)</f>
        <v>31.08</v>
      </c>
      <c r="E26" s="71"/>
      <c r="F26" s="70">
        <f ca="1">IF($B26="","",Cálculos!F25)</f>
        <v>26.39</v>
      </c>
      <c r="G26" s="72"/>
      <c r="H26" s="14">
        <f t="shared" ca="1" si="0"/>
        <v>0.17771883289124668</v>
      </c>
      <c r="I26" s="78"/>
      <c r="J26" s="78"/>
      <c r="K26" s="78"/>
      <c r="L26" s="78"/>
    </row>
    <row r="27" spans="2:12" ht="18.75" customHeight="1" x14ac:dyDescent="0.3">
      <c r="B27" s="26" t="str">
        <f>Cálculos!B26</f>
        <v>MÉTRICA 4</v>
      </c>
      <c r="C27" s="72"/>
      <c r="D27" s="70">
        <f ca="1">IF($B27="","",Cálculos!G26)</f>
        <v>14.92</v>
      </c>
      <c r="E27" s="71"/>
      <c r="F27" s="70">
        <f ca="1">IF($B27="","",Cálculos!F26)</f>
        <v>14.59</v>
      </c>
      <c r="G27" s="72"/>
      <c r="H27" s="14">
        <f t="shared" ca="1" si="0"/>
        <v>2.2618231665524346E-2</v>
      </c>
      <c r="I27" s="78"/>
      <c r="J27" s="78"/>
      <c r="K27" s="78"/>
      <c r="L27" s="78"/>
    </row>
    <row r="28" spans="2:12" ht="18.75" customHeight="1" x14ac:dyDescent="0.3">
      <c r="B28" s="26" t="str">
        <f>Cálculos!B27</f>
        <v>MÉTRICA 5</v>
      </c>
      <c r="C28" s="72"/>
      <c r="D28" s="70">
        <f ca="1">IF($B28="","",Cálculos!G27)</f>
        <v>1.03</v>
      </c>
      <c r="E28" s="71"/>
      <c r="F28" s="70">
        <f ca="1">IF($B28="","",Cálculos!F27)</f>
        <v>1</v>
      </c>
      <c r="G28" s="72"/>
      <c r="H28" s="14">
        <f t="shared" ca="1" si="0"/>
        <v>3.0000000000000027E-2</v>
      </c>
      <c r="I28" s="78"/>
      <c r="J28" s="78"/>
      <c r="K28" s="78"/>
      <c r="L28" s="78"/>
    </row>
    <row r="29" spans="2:12" ht="18.75" customHeight="1" x14ac:dyDescent="0.3">
      <c r="B29" s="26" t="str">
        <f>Cálculos!B28</f>
        <v>MÉTRICA 6</v>
      </c>
      <c r="C29" s="72"/>
      <c r="D29" s="70">
        <f ca="1">IF($B29="","",Cálculos!G28)</f>
        <v>0.34</v>
      </c>
      <c r="E29" s="71"/>
      <c r="F29" s="70">
        <f ca="1">IF($B29="","",Cálculos!F28)</f>
        <v>0.3</v>
      </c>
      <c r="G29" s="72"/>
      <c r="H29" s="14">
        <f t="shared" ca="1" si="0"/>
        <v>0.13333333333333353</v>
      </c>
      <c r="I29" s="78"/>
      <c r="J29" s="78"/>
      <c r="K29" s="78"/>
      <c r="L29" s="78"/>
    </row>
    <row r="30" spans="2:12" ht="18.75" customHeight="1" x14ac:dyDescent="0.3">
      <c r="B30" s="26" t="str">
        <f>Cálculos!B29</f>
        <v/>
      </c>
      <c r="C30" s="72"/>
      <c r="D30" s="70" t="str">
        <f>IF($B30="","",Cálculos!G29)</f>
        <v/>
      </c>
      <c r="E30" s="71"/>
      <c r="F30" s="70" t="str">
        <f>IF($B30="","",Cálculos!F29)</f>
        <v/>
      </c>
      <c r="G30" s="72"/>
      <c r="H30" s="14" t="str">
        <f t="shared" si="0"/>
        <v/>
      </c>
      <c r="I30" s="78"/>
      <c r="J30" s="78"/>
      <c r="K30" s="78"/>
      <c r="L30" s="78"/>
    </row>
    <row r="31" spans="2:12" ht="18.75" customHeight="1" x14ac:dyDescent="0.3">
      <c r="B31" s="26" t="str">
        <f>Cálculos!B30</f>
        <v/>
      </c>
      <c r="C31" s="72"/>
      <c r="D31" s="70" t="str">
        <f>IF($B31="","",Cálculos!G30)</f>
        <v/>
      </c>
      <c r="E31" s="71"/>
      <c r="F31" s="70" t="str">
        <f>IF($B31="","",Cálculos!F30)</f>
        <v/>
      </c>
      <c r="G31" s="72"/>
      <c r="H31" s="14" t="str">
        <f t="shared" si="0"/>
        <v/>
      </c>
      <c r="I31" s="78"/>
      <c r="J31" s="78"/>
      <c r="K31" s="78"/>
      <c r="L31" s="78"/>
    </row>
    <row r="32" spans="2:12" ht="18.75" customHeight="1" x14ac:dyDescent="0.3">
      <c r="B32" s="26" t="str">
        <f>Cálculos!B31</f>
        <v/>
      </c>
      <c r="C32" s="72"/>
      <c r="D32" s="70" t="str">
        <f>IF($B32="","",Cálculos!G31)</f>
        <v/>
      </c>
      <c r="E32" s="71"/>
      <c r="F32" s="70" t="str">
        <f>IF($B32="","",Cálculos!F31)</f>
        <v/>
      </c>
      <c r="G32" s="72"/>
      <c r="H32" s="14" t="str">
        <f t="shared" si="0"/>
        <v/>
      </c>
      <c r="I32" s="78"/>
      <c r="J32" s="78"/>
      <c r="K32" s="78"/>
      <c r="L32" s="78"/>
    </row>
    <row r="33" spans="2:12" ht="18.75" customHeight="1" x14ac:dyDescent="0.3">
      <c r="B33" s="26" t="str">
        <f>Cálculos!B32</f>
        <v/>
      </c>
      <c r="C33" s="72"/>
      <c r="D33" s="70" t="str">
        <f>IF($B33="","",Cálculos!G32)</f>
        <v/>
      </c>
      <c r="E33" s="71"/>
      <c r="F33" s="70" t="str">
        <f>IF($B33="","",Cálculos!F32)</f>
        <v/>
      </c>
      <c r="G33" s="72"/>
      <c r="H33" s="14" t="str">
        <f t="shared" si="0"/>
        <v/>
      </c>
      <c r="I33" s="78"/>
      <c r="J33" s="78"/>
      <c r="K33" s="78"/>
      <c r="L33" s="78"/>
    </row>
    <row r="34" spans="2:12" ht="18.75" customHeight="1" x14ac:dyDescent="0.3">
      <c r="B34" s="26" t="str">
        <f>Cálculos!B33</f>
        <v/>
      </c>
      <c r="C34" s="72"/>
      <c r="D34" s="70" t="str">
        <f>IF($B34="","",Cálculos!G33)</f>
        <v/>
      </c>
      <c r="E34" s="71"/>
      <c r="F34" s="70" t="str">
        <f>IF($B34="","",Cálculos!F33)</f>
        <v/>
      </c>
      <c r="G34" s="72"/>
      <c r="H34" s="14" t="str">
        <f t="shared" si="0"/>
        <v/>
      </c>
      <c r="I34" s="78"/>
      <c r="J34" s="78"/>
      <c r="K34" s="78"/>
      <c r="L34" s="78"/>
    </row>
    <row r="35" spans="2:12" ht="18.75" customHeight="1" x14ac:dyDescent="0.3">
      <c r="B35" s="26" t="str">
        <f>Cálculos!B34</f>
        <v/>
      </c>
      <c r="C35" s="72"/>
      <c r="D35" s="70" t="str">
        <f>IF($B35="","",Cálculos!G34)</f>
        <v/>
      </c>
      <c r="E35" s="71"/>
      <c r="F35" s="70" t="str">
        <f>IF($B35="","",Cálculos!F34)</f>
        <v/>
      </c>
      <c r="G35" s="72"/>
      <c r="H35" s="14" t="str">
        <f t="shared" si="0"/>
        <v/>
      </c>
      <c r="I35" s="78"/>
      <c r="J35" s="78"/>
      <c r="K35" s="78"/>
      <c r="L35" s="78"/>
    </row>
    <row r="36" spans="2:12" ht="18.75" customHeight="1" x14ac:dyDescent="0.3">
      <c r="B36" s="26" t="str">
        <f>Cálculos!B35</f>
        <v/>
      </c>
      <c r="C36" s="72"/>
      <c r="D36" s="70" t="str">
        <f>IF($B36="","",Cálculos!G35)</f>
        <v/>
      </c>
      <c r="E36" s="71"/>
      <c r="F36" s="70" t="str">
        <f>IF($B36="","",Cálculos!F35)</f>
        <v/>
      </c>
      <c r="G36" s="72"/>
      <c r="H36" s="14" t="str">
        <f t="shared" si="0"/>
        <v/>
      </c>
      <c r="I36" s="78"/>
      <c r="J36" s="78"/>
      <c r="K36" s="78"/>
      <c r="L36" s="78"/>
    </row>
    <row r="37" spans="2:12" ht="18.75" customHeight="1" x14ac:dyDescent="0.3">
      <c r="B37" s="26" t="str">
        <f>Cálculos!B36</f>
        <v/>
      </c>
      <c r="C37" s="72"/>
      <c r="D37" s="70" t="str">
        <f>IF($B37="","",Cálculos!G36)</f>
        <v/>
      </c>
      <c r="E37" s="71"/>
      <c r="F37" s="70" t="str">
        <f>IF($B37="","",Cálculos!F36)</f>
        <v/>
      </c>
      <c r="G37" s="72"/>
      <c r="H37" s="14" t="str">
        <f t="shared" si="0"/>
        <v/>
      </c>
      <c r="I37" s="78"/>
      <c r="J37" s="78"/>
      <c r="K37" s="78"/>
      <c r="L37" s="78"/>
    </row>
    <row r="38" spans="2:12" ht="18.75" customHeight="1" x14ac:dyDescent="0.3">
      <c r="B38" s="26" t="str">
        <f>Cálculos!B37</f>
        <v/>
      </c>
      <c r="C38" s="72"/>
      <c r="D38" s="70" t="str">
        <f>IF($B38="","",Cálculos!G37)</f>
        <v/>
      </c>
      <c r="E38" s="71"/>
      <c r="F38" s="70" t="str">
        <f>IF($B38="","",Cálculos!F37)</f>
        <v/>
      </c>
      <c r="G38" s="72"/>
      <c r="H38" s="14" t="str">
        <f t="shared" si="0"/>
        <v/>
      </c>
      <c r="I38" s="78"/>
      <c r="J38" s="78"/>
      <c r="K38" s="78"/>
      <c r="L38" s="78"/>
    </row>
    <row r="39" spans="2:12" ht="18.75" customHeight="1" x14ac:dyDescent="0.3">
      <c r="B39" s="26" t="str">
        <f>Cálculos!B38</f>
        <v/>
      </c>
      <c r="C39" s="72"/>
      <c r="D39" s="70" t="str">
        <f>IF($B39="","",Cálculos!G38)</f>
        <v/>
      </c>
      <c r="E39" s="71"/>
      <c r="F39" s="70" t="str">
        <f>IF($B39="","",Cálculos!F38)</f>
        <v/>
      </c>
      <c r="G39" s="72"/>
      <c r="H39" s="14" t="str">
        <f t="shared" si="0"/>
        <v/>
      </c>
      <c r="I39" s="78"/>
      <c r="J39" s="78"/>
      <c r="K39" s="78"/>
      <c r="L39" s="78"/>
    </row>
    <row r="40" spans="2:12" ht="18.75" customHeight="1" x14ac:dyDescent="0.3">
      <c r="B40" s="26" t="str">
        <f>Cálculos!B39</f>
        <v/>
      </c>
      <c r="C40" s="72"/>
      <c r="D40" s="70" t="str">
        <f>IF($B40="","",Cálculos!G39)</f>
        <v/>
      </c>
      <c r="E40" s="71"/>
      <c r="F40" s="70" t="str">
        <f>IF($B40="","",Cálculos!F39)</f>
        <v/>
      </c>
      <c r="G40" s="72"/>
      <c r="H40" s="14" t="str">
        <f>IFERROR(D40/F40-1,"")</f>
        <v/>
      </c>
      <c r="I40" s="78"/>
      <c r="J40" s="78"/>
      <c r="K40" s="78"/>
      <c r="L40" s="78"/>
    </row>
  </sheetData>
  <sheetProtection selectLockedCells="1"/>
  <mergeCells count="32">
    <mergeCell ref="I40:L40"/>
    <mergeCell ref="I35:L35"/>
    <mergeCell ref="I36:L36"/>
    <mergeCell ref="I37:L37"/>
    <mergeCell ref="I38:L38"/>
    <mergeCell ref="I39:L39"/>
    <mergeCell ref="K2:L2"/>
    <mergeCell ref="J9:L9"/>
    <mergeCell ref="J8:L8"/>
    <mergeCell ref="J10:L10"/>
    <mergeCell ref="J7:L7"/>
    <mergeCell ref="I34:L34"/>
    <mergeCell ref="I20:L20"/>
    <mergeCell ref="I21:L21"/>
    <mergeCell ref="I27:L27"/>
    <mergeCell ref="I28:L28"/>
    <mergeCell ref="I29:L29"/>
    <mergeCell ref="I22:L22"/>
    <mergeCell ref="I23:L23"/>
    <mergeCell ref="I24:L24"/>
    <mergeCell ref="I25:L25"/>
    <mergeCell ref="I26:L26"/>
    <mergeCell ref="D13:H13"/>
    <mergeCell ref="I30:L30"/>
    <mergeCell ref="I31:L31"/>
    <mergeCell ref="I32:L32"/>
    <mergeCell ref="I33:L33"/>
    <mergeCell ref="I15:L15"/>
    <mergeCell ref="I16:L16"/>
    <mergeCell ref="I17:L17"/>
    <mergeCell ref="I18:L18"/>
    <mergeCell ref="I19:L19"/>
  </mergeCells>
  <conditionalFormatting sqref="J9 D9 H9 F9 B9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H16:H17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18:H40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B16:I40">
    <cfRule type="expression" dxfId="2" priority="1">
      <formula>MOD(ROW(),2)=0</formula>
    </cfRule>
  </conditionalFormatting>
  <dataValidations count="1">
    <dataValidation type="list" allowBlank="1" showInputMessage="1" showErrorMessage="1" errorTitle="Opa!" error="É preciso inserir um ano em seus dados financeiros para que este relatório funcione corretamente. Clique em Cancelar e insira um ano diferente ou adicione informações para o ano na planilha de Entrada de Dados Financeiros. " sqref="K2:L2">
      <formula1>Anoslst</formula1>
    </dataValidation>
  </dataValidations>
  <hyperlinks>
    <hyperlink ref="D5" location="'Configurações de Métricas-chave'!A1" tooltip="Exibir/editar métricas-chave" display="Clique para alterar o relatório de métricas-chave"/>
    <hyperlink ref="D13:H13" location="'Entrada de Dados Financeiros'!A1" tooltip="Exibir/editar dados financeiros" display="Não modifique as informações abaixo. Clique para inserir Dados Financeiros"/>
  </hyperlinks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>
          <x14:colorSeries theme="0" tint="-0.34998626667073579"/>
          <x14:colorNegative theme="5"/>
          <x14:colorAxis rgb="FF000000"/>
          <x14:colorMarkers theme="4" tint="-0.499984740745262"/>
          <x14:colorFirst theme="4" tint="-0.499984740745262"/>
          <x14:colorLast theme="4" tint="-0.499984740745262"/>
          <x14:colorHigh theme="4"/>
          <x14:colorLow theme="4"/>
          <x14:sparklines>
            <x14:sparkline>
              <xm:f>Cálculos!C8:G8</xm:f>
              <xm:sqref>B10</xm:sqref>
            </x14:sparkline>
            <x14:sparkline>
              <xm:f>Cálculos!C9:G9</xm:f>
              <xm:sqref>D10</xm:sqref>
            </x14:sparkline>
            <x14:sparkline>
              <xm:f>Cálculos!C10:G10</xm:f>
              <xm:sqref>F10</xm:sqref>
            </x14:sparkline>
            <x14:sparkline>
              <xm:f>Cálculos!C11:G11</xm:f>
              <xm:sqref>H10</xm:sqref>
            </x14:sparkline>
            <x14:sparkline>
              <xm:f>Cálculos!C12:G12</xm:f>
              <xm:sqref>J10</xm:sqref>
            </x14:sparkline>
          </x14:sparklines>
        </x14:sparklineGroup>
        <x14:sparklineGroup markers="1">
          <x14:colorSeries theme="0" tint="-0.349986266670735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Cálculos!C15:G15</xm:f>
              <xm:sqref>I16</xm:sqref>
            </x14:sparkline>
            <x14:sparkline>
              <xm:f>Cálculos!C16:G16</xm:f>
              <xm:sqref>I17</xm:sqref>
            </x14:sparkline>
            <x14:sparkline>
              <xm:f>Cálculos!C17:G17</xm:f>
              <xm:sqref>I18</xm:sqref>
            </x14:sparkline>
            <x14:sparkline>
              <xm:f>Cálculos!C18:G18</xm:f>
              <xm:sqref>I19</xm:sqref>
            </x14:sparkline>
            <x14:sparkline>
              <xm:f>Cálculos!C19:G19</xm:f>
              <xm:sqref>I20</xm:sqref>
            </x14:sparkline>
            <x14:sparkline>
              <xm:f>Cálculos!C20:G20</xm:f>
              <xm:sqref>I21</xm:sqref>
            </x14:sparkline>
            <x14:sparkline>
              <xm:f>Cálculos!C21:G21</xm:f>
              <xm:sqref>I22</xm:sqref>
            </x14:sparkline>
            <x14:sparkline>
              <xm:f>Cálculos!C22:G22</xm:f>
              <xm:sqref>I23</xm:sqref>
            </x14:sparkline>
            <x14:sparkline>
              <xm:f>Cálculos!C23:G23</xm:f>
              <xm:sqref>I24</xm:sqref>
            </x14:sparkline>
            <x14:sparkline>
              <xm:f>Cálculos!C24:G24</xm:f>
              <xm:sqref>I25</xm:sqref>
            </x14:sparkline>
            <x14:sparkline>
              <xm:f>Cálculos!C25:G25</xm:f>
              <xm:sqref>I26</xm:sqref>
            </x14:sparkline>
            <x14:sparkline>
              <xm:f>Cálculos!C26:G26</xm:f>
              <xm:sqref>I27</xm:sqref>
            </x14:sparkline>
            <x14:sparkline>
              <xm:f>Cálculos!C27:G27</xm:f>
              <xm:sqref>I28</xm:sqref>
            </x14:sparkline>
            <x14:sparkline>
              <xm:f>Cálculos!C28:G28</xm:f>
              <xm:sqref>I29</xm:sqref>
            </x14:sparkline>
            <x14:sparkline>
              <xm:f>Cálculos!C29:G29</xm:f>
              <xm:sqref>I30</xm:sqref>
            </x14:sparkline>
            <x14:sparkline>
              <xm:f>Cálculos!C30:G30</xm:f>
              <xm:sqref>I31</xm:sqref>
            </x14:sparkline>
            <x14:sparkline>
              <xm:f>Cálculos!C31:G31</xm:f>
              <xm:sqref>I32</xm:sqref>
            </x14:sparkline>
            <x14:sparkline>
              <xm:f>Cálculos!C32:G32</xm:f>
              <xm:sqref>I33</xm:sqref>
            </x14:sparkline>
            <x14:sparkline>
              <xm:f>Cálculos!C33:G33</xm:f>
              <xm:sqref>I34</xm:sqref>
            </x14:sparkline>
            <x14:sparkline>
              <xm:f>Cálculos!C34:G34</xm:f>
              <xm:sqref>I35</xm:sqref>
            </x14:sparkline>
            <x14:sparkline>
              <xm:f>Cálculos!C35:G35</xm:f>
              <xm:sqref>I36</xm:sqref>
            </x14:sparkline>
            <x14:sparkline>
              <xm:f>Cálculos!C36:G36</xm:f>
              <xm:sqref>I37</xm:sqref>
            </x14:sparkline>
            <x14:sparkline>
              <xm:f>Cálculos!C37:G37</xm:f>
              <xm:sqref>I38</xm:sqref>
            </x14:sparkline>
            <x14:sparkline>
              <xm:f>Cálculos!C38:G38</xm:f>
              <xm:sqref>I39</xm:sqref>
            </x14:sparkline>
            <x14:sparkline>
              <xm:f>Cálculos!C39:G39</xm:f>
              <xm:sqref>I40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39997558519241921"/>
    <pageSetUpPr autoPageBreaks="0" fitToPage="1"/>
  </sheetPr>
  <dimension ref="B1:I30"/>
  <sheetViews>
    <sheetView showGridLines="0" zoomScaleNormal="100" workbookViewId="0">
      <pane ySplit="5" topLeftCell="A6" activePane="bottomLeft" state="frozen"/>
      <selection activeCell="H3" sqref="H3"/>
      <selection pane="bottomLeft"/>
    </sheetView>
  </sheetViews>
  <sheetFormatPr defaultRowHeight="15" x14ac:dyDescent="0.3"/>
  <cols>
    <col min="1" max="1" width="2.140625" customWidth="1"/>
    <col min="2" max="2" width="34.28515625" customWidth="1"/>
    <col min="3" max="9" width="17.28515625" customWidth="1"/>
    <col min="10" max="10" width="2.140625" customWidth="1"/>
  </cols>
  <sheetData>
    <row r="1" spans="2:9" ht="8.25" customHeight="1" x14ac:dyDescent="0.3"/>
    <row r="2" spans="2:9" ht="38.25" customHeight="1" x14ac:dyDescent="0.45">
      <c r="B2" s="8" t="s">
        <v>10</v>
      </c>
    </row>
    <row r="3" spans="2:9" ht="18" x14ac:dyDescent="0.3">
      <c r="B3" s="23" t="s">
        <v>11</v>
      </c>
    </row>
    <row r="4" spans="2:9" ht="25.5" customHeight="1" x14ac:dyDescent="0.3">
      <c r="B4" s="32" t="s">
        <v>12</v>
      </c>
    </row>
    <row r="5" spans="2:9" ht="25.5" customHeight="1" x14ac:dyDescent="0.3">
      <c r="B5" s="27" t="s">
        <v>13</v>
      </c>
      <c r="C5" s="28">
        <v>2008</v>
      </c>
      <c r="D5" s="28">
        <v>2009</v>
      </c>
      <c r="E5" s="28">
        <v>2010</v>
      </c>
      <c r="F5" s="28">
        <v>2011</v>
      </c>
      <c r="G5" s="28">
        <v>2012</v>
      </c>
      <c r="H5" s="28">
        <v>2013</v>
      </c>
      <c r="I5" s="29">
        <v>2014</v>
      </c>
    </row>
    <row r="6" spans="2:9" s="6" customFormat="1" ht="19.5" customHeight="1" x14ac:dyDescent="0.3">
      <c r="B6" s="30" t="s">
        <v>14</v>
      </c>
      <c r="C6" s="61">
        <v>125000</v>
      </c>
      <c r="D6" s="61">
        <v>134137.45000000001</v>
      </c>
      <c r="E6" s="61">
        <v>142728.38</v>
      </c>
      <c r="F6" s="61">
        <v>150687.46</v>
      </c>
      <c r="G6" s="61">
        <v>165044.56</v>
      </c>
      <c r="H6" s="61">
        <v>180026.63</v>
      </c>
      <c r="I6" s="62">
        <v>180583.88</v>
      </c>
    </row>
    <row r="7" spans="2:9" s="6" customFormat="1" ht="19.5" customHeight="1" x14ac:dyDescent="0.3">
      <c r="B7" s="31" t="s">
        <v>15</v>
      </c>
      <c r="C7" s="63">
        <v>65000</v>
      </c>
      <c r="D7" s="63">
        <v>70962.31</v>
      </c>
      <c r="E7" s="63">
        <v>75924.86</v>
      </c>
      <c r="F7" s="63">
        <v>78901.27</v>
      </c>
      <c r="G7" s="63">
        <v>81674.37</v>
      </c>
      <c r="H7" s="63">
        <v>80883.33</v>
      </c>
      <c r="I7" s="64">
        <v>94419.45</v>
      </c>
    </row>
    <row r="8" spans="2:9" s="6" customFormat="1" ht="19.5" customHeight="1" x14ac:dyDescent="0.3">
      <c r="B8" s="31" t="s">
        <v>16</v>
      </c>
      <c r="C8" s="63">
        <v>60000</v>
      </c>
      <c r="D8" s="63">
        <v>64207.3</v>
      </c>
      <c r="E8" s="63">
        <v>68857.69</v>
      </c>
      <c r="F8" s="63">
        <v>75643.25</v>
      </c>
      <c r="G8" s="63">
        <v>76755.259999999995</v>
      </c>
      <c r="H8" s="63">
        <v>77317.83</v>
      </c>
      <c r="I8" s="64">
        <v>73425.990000000005</v>
      </c>
    </row>
    <row r="9" spans="2:9" s="6" customFormat="1" ht="19.5" customHeight="1" x14ac:dyDescent="0.3">
      <c r="B9" s="31" t="s">
        <v>17</v>
      </c>
      <c r="C9" s="63">
        <v>4500</v>
      </c>
      <c r="D9" s="63">
        <v>4517.7700000000004</v>
      </c>
      <c r="E9" s="63">
        <v>4656.92</v>
      </c>
      <c r="F9" s="63">
        <v>4974.21</v>
      </c>
      <c r="G9" s="63">
        <v>5024.1099999999997</v>
      </c>
      <c r="H9" s="63">
        <v>5068.42</v>
      </c>
      <c r="I9" s="64">
        <v>5546.88</v>
      </c>
    </row>
    <row r="10" spans="2:9" s="6" customFormat="1" ht="19.5" customHeight="1" x14ac:dyDescent="0.3">
      <c r="B10" s="31" t="s">
        <v>18</v>
      </c>
      <c r="C10" s="63">
        <v>2500</v>
      </c>
      <c r="D10" s="63">
        <v>2745.82</v>
      </c>
      <c r="E10" s="63">
        <v>2893.11</v>
      </c>
      <c r="F10" s="63">
        <v>3136.12</v>
      </c>
      <c r="G10" s="63">
        <v>3148.53</v>
      </c>
      <c r="H10" s="63">
        <v>3338.3</v>
      </c>
      <c r="I10" s="64">
        <v>3789.47</v>
      </c>
    </row>
    <row r="11" spans="2:9" s="6" customFormat="1" ht="19.5" customHeight="1" x14ac:dyDescent="0.3">
      <c r="B11" s="31" t="s">
        <v>19</v>
      </c>
      <c r="C11" s="63">
        <v>54000</v>
      </c>
      <c r="D11" s="63">
        <v>54761.074999999997</v>
      </c>
      <c r="E11" s="63">
        <v>55860.81</v>
      </c>
      <c r="F11" s="63">
        <v>59747.95</v>
      </c>
      <c r="G11" s="63">
        <v>61483.59</v>
      </c>
      <c r="H11" s="63">
        <v>66272.100000000006</v>
      </c>
      <c r="I11" s="64">
        <v>67474.850000000006</v>
      </c>
    </row>
    <row r="12" spans="2:9" s="6" customFormat="1" ht="19.5" customHeight="1" x14ac:dyDescent="0.3">
      <c r="B12" s="31" t="s">
        <v>20</v>
      </c>
      <c r="C12" s="63">
        <v>22000</v>
      </c>
      <c r="D12" s="63">
        <v>23920.54</v>
      </c>
      <c r="E12" s="63">
        <v>25576.74</v>
      </c>
      <c r="F12" s="63">
        <v>27498.86</v>
      </c>
      <c r="G12" s="63">
        <v>28335.67</v>
      </c>
      <c r="H12" s="63">
        <v>29424.53</v>
      </c>
      <c r="I12" s="64">
        <v>31408.25</v>
      </c>
    </row>
    <row r="13" spans="2:9" s="6" customFormat="1" ht="19.5" customHeight="1" x14ac:dyDescent="0.3">
      <c r="B13" s="31" t="s">
        <v>21</v>
      </c>
      <c r="C13" s="63">
        <v>32000</v>
      </c>
      <c r="D13" s="63">
        <v>34943.49</v>
      </c>
      <c r="E13" s="63">
        <v>38418.53</v>
      </c>
      <c r="F13" s="63">
        <v>39895.050000000003</v>
      </c>
      <c r="G13" s="63">
        <v>40607.730000000003</v>
      </c>
      <c r="H13" s="63">
        <v>42438.2</v>
      </c>
      <c r="I13" s="64">
        <v>50247.68</v>
      </c>
    </row>
    <row r="14" spans="2:9" s="6" customFormat="1" ht="19.5" customHeight="1" x14ac:dyDescent="0.3">
      <c r="B14" s="31" t="s">
        <v>22</v>
      </c>
      <c r="C14" s="63">
        <v>12.8</v>
      </c>
      <c r="D14" s="63">
        <v>12.81</v>
      </c>
      <c r="E14" s="63">
        <v>13.78</v>
      </c>
      <c r="F14" s="63">
        <v>14.29</v>
      </c>
      <c r="G14" s="63">
        <v>15.57</v>
      </c>
      <c r="H14" s="63">
        <v>16.78</v>
      </c>
      <c r="I14" s="64">
        <v>19.96</v>
      </c>
    </row>
    <row r="15" spans="2:9" s="6" customFormat="1" ht="19.5" customHeight="1" x14ac:dyDescent="0.3">
      <c r="B15" s="31" t="s">
        <v>23</v>
      </c>
      <c r="C15" s="63">
        <v>18.2</v>
      </c>
      <c r="D15" s="63">
        <v>18.59</v>
      </c>
      <c r="E15" s="63">
        <v>19.22</v>
      </c>
      <c r="F15" s="63">
        <v>20.170000000000002</v>
      </c>
      <c r="G15" s="63">
        <v>20.48</v>
      </c>
      <c r="H15" s="63">
        <v>21.84</v>
      </c>
      <c r="I15" s="64">
        <v>26.01</v>
      </c>
    </row>
    <row r="16" spans="2:9" s="6" customFormat="1" ht="19.5" customHeight="1" x14ac:dyDescent="0.3">
      <c r="B16" s="31" t="s">
        <v>24</v>
      </c>
      <c r="C16" s="63">
        <v>19.100000000000001</v>
      </c>
      <c r="D16" s="63">
        <v>20.55</v>
      </c>
      <c r="E16" s="63">
        <v>21.87</v>
      </c>
      <c r="F16" s="63">
        <v>23.19</v>
      </c>
      <c r="G16" s="63">
        <v>24.67</v>
      </c>
      <c r="H16" s="63">
        <v>26.39</v>
      </c>
      <c r="I16" s="64">
        <v>31.08</v>
      </c>
    </row>
    <row r="17" spans="2:9" s="6" customFormat="1" ht="19.5" customHeight="1" x14ac:dyDescent="0.3">
      <c r="B17" s="31" t="s">
        <v>25</v>
      </c>
      <c r="C17" s="63">
        <v>12.1</v>
      </c>
      <c r="D17" s="63">
        <v>12.21</v>
      </c>
      <c r="E17" s="63">
        <v>12.59</v>
      </c>
      <c r="F17" s="63">
        <v>13.7</v>
      </c>
      <c r="G17" s="63">
        <v>13.76</v>
      </c>
      <c r="H17" s="63">
        <v>14.59</v>
      </c>
      <c r="I17" s="64">
        <v>14.92</v>
      </c>
    </row>
    <row r="18" spans="2:9" s="6" customFormat="1" ht="19.5" customHeight="1" x14ac:dyDescent="0.3">
      <c r="B18" s="31" t="s">
        <v>26</v>
      </c>
      <c r="C18" s="63">
        <v>0.75</v>
      </c>
      <c r="D18" s="63">
        <v>0.79</v>
      </c>
      <c r="E18" s="63">
        <v>0.85</v>
      </c>
      <c r="F18" s="63">
        <v>0.89</v>
      </c>
      <c r="G18" s="63">
        <v>0.91</v>
      </c>
      <c r="H18" s="63">
        <v>1</v>
      </c>
      <c r="I18" s="64">
        <v>1.03</v>
      </c>
    </row>
    <row r="19" spans="2:9" s="6" customFormat="1" ht="19.5" customHeight="1" x14ac:dyDescent="0.3">
      <c r="B19" s="31" t="s">
        <v>27</v>
      </c>
      <c r="C19" s="63">
        <v>0.23</v>
      </c>
      <c r="D19" s="63">
        <v>0.25</v>
      </c>
      <c r="E19" s="63">
        <v>0.27</v>
      </c>
      <c r="F19" s="63">
        <v>0.28000000000000003</v>
      </c>
      <c r="G19" s="63">
        <v>0.28999999999999998</v>
      </c>
      <c r="H19" s="63">
        <v>0.3</v>
      </c>
      <c r="I19" s="64">
        <v>0.34</v>
      </c>
    </row>
    <row r="20" spans="2:9" s="6" customFormat="1" ht="19.5" customHeight="1" x14ac:dyDescent="0.3">
      <c r="B20" s="31"/>
      <c r="C20" s="63"/>
      <c r="D20" s="63"/>
      <c r="E20" s="63"/>
      <c r="F20" s="63"/>
      <c r="G20" s="63"/>
      <c r="H20" s="63"/>
      <c r="I20" s="64"/>
    </row>
    <row r="21" spans="2:9" ht="19.5" customHeight="1" x14ac:dyDescent="0.3">
      <c r="B21" s="31"/>
      <c r="C21" s="63"/>
      <c r="D21" s="63"/>
      <c r="E21" s="63"/>
      <c r="F21" s="63"/>
      <c r="G21" s="63"/>
      <c r="H21" s="63"/>
      <c r="I21" s="64"/>
    </row>
    <row r="22" spans="2:9" ht="19.5" customHeight="1" x14ac:dyDescent="0.3">
      <c r="B22" s="31"/>
      <c r="C22" s="63"/>
      <c r="D22" s="63"/>
      <c r="E22" s="63"/>
      <c r="F22" s="63"/>
      <c r="G22" s="63"/>
      <c r="H22" s="63"/>
      <c r="I22" s="64"/>
    </row>
    <row r="23" spans="2:9" ht="19.5" customHeight="1" x14ac:dyDescent="0.3">
      <c r="B23" s="31"/>
      <c r="C23" s="63"/>
      <c r="D23" s="63"/>
      <c r="E23" s="63"/>
      <c r="F23" s="63"/>
      <c r="G23" s="63"/>
      <c r="H23" s="63"/>
      <c r="I23" s="64"/>
    </row>
    <row r="24" spans="2:9" ht="19.5" customHeight="1" x14ac:dyDescent="0.3">
      <c r="B24" s="31"/>
      <c r="C24" s="63"/>
      <c r="D24" s="63"/>
      <c r="E24" s="63"/>
      <c r="F24" s="63"/>
      <c r="G24" s="63"/>
      <c r="H24" s="63"/>
      <c r="I24" s="64"/>
    </row>
    <row r="25" spans="2:9" ht="19.5" customHeight="1" x14ac:dyDescent="0.3">
      <c r="B25" s="31"/>
      <c r="C25" s="63"/>
      <c r="D25" s="63"/>
      <c r="E25" s="63"/>
      <c r="F25" s="63"/>
      <c r="G25" s="63"/>
      <c r="H25" s="63"/>
      <c r="I25" s="64"/>
    </row>
    <row r="26" spans="2:9" ht="19.5" customHeight="1" x14ac:dyDescent="0.3">
      <c r="B26" s="31"/>
      <c r="C26" s="63"/>
      <c r="D26" s="63"/>
      <c r="E26" s="63"/>
      <c r="F26" s="63"/>
      <c r="G26" s="63"/>
      <c r="H26" s="63"/>
      <c r="I26" s="64"/>
    </row>
    <row r="27" spans="2:9" ht="19.5" customHeight="1" x14ac:dyDescent="0.3">
      <c r="B27" s="31"/>
      <c r="C27" s="63"/>
      <c r="D27" s="63"/>
      <c r="E27" s="63"/>
      <c r="F27" s="63"/>
      <c r="G27" s="63"/>
      <c r="H27" s="63"/>
      <c r="I27" s="64"/>
    </row>
    <row r="28" spans="2:9" ht="19.5" customHeight="1" x14ac:dyDescent="0.3">
      <c r="B28" s="31"/>
      <c r="C28" s="63"/>
      <c r="D28" s="63"/>
      <c r="E28" s="63"/>
      <c r="F28" s="63"/>
      <c r="G28" s="63"/>
      <c r="H28" s="63"/>
      <c r="I28" s="64"/>
    </row>
    <row r="29" spans="2:9" ht="19.5" customHeight="1" x14ac:dyDescent="0.3">
      <c r="B29" s="31"/>
      <c r="C29" s="63"/>
      <c r="D29" s="63"/>
      <c r="E29" s="63"/>
      <c r="F29" s="63"/>
      <c r="G29" s="63"/>
      <c r="H29" s="63"/>
      <c r="I29" s="64"/>
    </row>
    <row r="30" spans="2:9" ht="19.5" customHeight="1" x14ac:dyDescent="0.3">
      <c r="B30" s="31"/>
      <c r="C30" s="65"/>
      <c r="D30" s="65"/>
      <c r="E30" s="65"/>
      <c r="F30" s="65"/>
      <c r="G30" s="65"/>
      <c r="H30" s="65"/>
      <c r="I30" s="66"/>
    </row>
  </sheetData>
  <sheetProtection selectLockedCells="1"/>
  <conditionalFormatting sqref="B6:I30">
    <cfRule type="expression" dxfId="1" priority="8">
      <formula>MOD(ROW(),2)=0</formula>
    </cfRule>
  </conditionalFormatting>
  <hyperlinks>
    <hyperlink ref="B4" location="'Relatório Financeiro'!A1" tooltip="Exibir Relatório Financeiro" display=" Clique para ver o Relatório Financeiro"/>
  </hyperlinks>
  <printOptions horizontalCentere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-0.499984740745262"/>
    <pageSetUpPr autoPageBreaks="0" fitToPage="1"/>
  </sheetPr>
  <dimension ref="B1:G9"/>
  <sheetViews>
    <sheetView showGridLines="0" zoomScaleNormal="100" workbookViewId="0">
      <selection activeCell="B4" sqref="B4:D4"/>
    </sheetView>
  </sheetViews>
  <sheetFormatPr defaultRowHeight="19.5" customHeight="1" x14ac:dyDescent="0.3"/>
  <cols>
    <col min="1" max="1" width="2.140625" customWidth="1"/>
    <col min="2" max="2" width="4.28515625" customWidth="1"/>
    <col min="3" max="3" width="24" customWidth="1"/>
    <col min="4" max="4" width="5.28515625" customWidth="1"/>
    <col min="5" max="6" width="18.140625" customWidth="1"/>
  </cols>
  <sheetData>
    <row r="1" spans="2:7" ht="8.25" customHeight="1" x14ac:dyDescent="0.3">
      <c r="E1" s="2"/>
    </row>
    <row r="2" spans="2:7" ht="38.25" customHeight="1" x14ac:dyDescent="0.45">
      <c r="B2" s="8" t="s">
        <v>28</v>
      </c>
    </row>
    <row r="3" spans="2:7" ht="25.5" customHeight="1" x14ac:dyDescent="0.25">
      <c r="B3" s="24" t="s">
        <v>29</v>
      </c>
    </row>
    <row r="4" spans="2:7" ht="23.25" customHeight="1" x14ac:dyDescent="0.3">
      <c r="B4" s="94" t="s">
        <v>30</v>
      </c>
      <c r="C4" s="94"/>
      <c r="D4" s="94"/>
    </row>
    <row r="5" spans="2:7" s="17" customFormat="1" ht="19.5" customHeight="1" x14ac:dyDescent="0.3">
      <c r="B5" s="20">
        <v>1</v>
      </c>
      <c r="C5" s="33" t="s">
        <v>14</v>
      </c>
      <c r="D5" s="16" t="str">
        <f>IF(ISBLANK(C5),"← Selecione um valor no menu suspenso",IF(COUNTIF($C$5:C5,C5)&gt;1,"Você selecionou "&amp;C5&amp;" duas vezes.",""))</f>
        <v/>
      </c>
      <c r="G5"/>
    </row>
    <row r="6" spans="2:7" s="17" customFormat="1" ht="19.5" customHeight="1" x14ac:dyDescent="0.3">
      <c r="B6" s="21">
        <v>2</v>
      </c>
      <c r="C6" s="34" t="s">
        <v>19</v>
      </c>
      <c r="D6" s="16" t="str">
        <f>IF(ISBLANK(C6),"← Selecione um valor no menu suspenso",IF(COUNTIF($C$5:C6,C6)&gt;1,"Você selecionou "&amp;C6&amp;" duas vezes.",""))</f>
        <v/>
      </c>
      <c r="G6"/>
    </row>
    <row r="7" spans="2:7" s="17" customFormat="1" ht="19.5" customHeight="1" x14ac:dyDescent="0.3">
      <c r="B7" s="21">
        <v>3</v>
      </c>
      <c r="C7" s="35" t="s">
        <v>18</v>
      </c>
      <c r="D7" s="16" t="str">
        <f>IF(ISBLANK(C7),"← Selecione um valor no menu suspenso",IF(COUNTIF($C$5:C7,C7)&gt;1,"Você selecionou "&amp;C7&amp;" duas vezes.",""))</f>
        <v/>
      </c>
      <c r="G7"/>
    </row>
    <row r="8" spans="2:7" s="17" customFormat="1" ht="19.5" customHeight="1" x14ac:dyDescent="0.3">
      <c r="B8" s="21">
        <v>4</v>
      </c>
      <c r="C8" s="35" t="s">
        <v>17</v>
      </c>
      <c r="D8" s="16" t="str">
        <f>IF(ISBLANK(C8),"← Selecione um valor no menu suspenso",IF(COUNTIF($C$5:C8,C8)&gt;1,"Você selecionou "&amp;C8&amp;" duas vezes.",""))</f>
        <v/>
      </c>
    </row>
    <row r="9" spans="2:7" s="17" customFormat="1" ht="19.5" customHeight="1" thickBot="1" x14ac:dyDescent="0.35">
      <c r="B9" s="22">
        <v>5</v>
      </c>
      <c r="C9" s="36" t="s">
        <v>16</v>
      </c>
      <c r="D9" s="16" t="str">
        <f>IF(ISBLANK(C9),"← Selecione um valor no menu suspenso",IF(COUNTIF($C$5:C9,C9)&gt;1,"Você selecionou "&amp;C9&amp;" duas vezes.",""))</f>
        <v/>
      </c>
    </row>
  </sheetData>
  <sheetProtection sheet="1" objects="1" scenarios="1" selectLockedCells="1"/>
  <mergeCells count="1">
    <mergeCell ref="B4:D4"/>
  </mergeCells>
  <conditionalFormatting sqref="B5:C9">
    <cfRule type="expression" dxfId="0" priority="1">
      <formula>MOD(ROW(),2)</formula>
    </cfRule>
  </conditionalFormatting>
  <dataValidations disablePrompts="1" count="1">
    <dataValidation type="list" allowBlank="1" showInputMessage="1" showErrorMessage="1" errorTitle="Opa!" error="É preciso inserir uma métrica para seus dados financeiros para que a Métrica-chave funcione corretamente. Clique em Cancelar e insira uma métrica diferente ou adicione a métrica para a planilha de Entrada de Dados Financeiros. " sqref="C5:C9">
      <formula1>Métricaslst</formula1>
    </dataValidation>
  </dataValidations>
  <hyperlinks>
    <hyperlink ref="B4:C4" location="'Financial Report'!A1" tooltip="Exibir Relatório Financeiro" display="  Clique para ver o Relatório Financeiro"/>
    <hyperlink ref="B4:D4" location="'Relatório Financeiro'!A1" tooltip="Exibir Relatório Financeiro" display="  Clique para ver o Relatório Financeiro"/>
  </hyperlinks>
  <printOptions horizontalCentere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I39"/>
  <sheetViews>
    <sheetView workbookViewId="0"/>
  </sheetViews>
  <sheetFormatPr defaultRowHeight="15" x14ac:dyDescent="0.3"/>
  <cols>
    <col min="1" max="1" width="10.28515625" customWidth="1"/>
    <col min="2" max="2" width="32.85546875" customWidth="1"/>
  </cols>
  <sheetData>
    <row r="1" spans="1:9" s="17" customFormat="1" ht="34.5" customHeight="1" x14ac:dyDescent="0.3">
      <c r="A1" s="18" t="s">
        <v>31</v>
      </c>
    </row>
    <row r="2" spans="1:9" s="17" customFormat="1" x14ac:dyDescent="0.3">
      <c r="D2" s="7" t="s">
        <v>32</v>
      </c>
    </row>
    <row r="3" spans="1:9" ht="19.5" customHeight="1" x14ac:dyDescent="0.3">
      <c r="B3" t="s">
        <v>33</v>
      </c>
      <c r="C3" s="3">
        <f>AnoSelecionado</f>
        <v>2014</v>
      </c>
      <c r="D3">
        <f ca="1">MATCH(C3,Anoslst,0)+1</f>
        <v>8</v>
      </c>
    </row>
    <row r="4" spans="1:9" ht="19.5" customHeight="1" x14ac:dyDescent="0.3">
      <c r="B4" t="s">
        <v>34</v>
      </c>
      <c r="C4" s="3">
        <f>C3-1</f>
        <v>2013</v>
      </c>
      <c r="D4">
        <f ca="1">MATCH(C4,Anoslst,0)+1</f>
        <v>7</v>
      </c>
    </row>
    <row r="5" spans="1:9" ht="19.5" customHeight="1" x14ac:dyDescent="0.3"/>
    <row r="6" spans="1:9" ht="19.5" customHeight="1" thickBot="1" x14ac:dyDescent="0.35">
      <c r="B6" t="s">
        <v>32</v>
      </c>
      <c r="C6" s="1">
        <f ca="1">MATCH(C7,Anoslst,0)+1</f>
        <v>4</v>
      </c>
      <c r="D6" s="1">
        <f ca="1">MATCH(D7,Anoslst,0)+1</f>
        <v>5</v>
      </c>
      <c r="E6" s="1">
        <f ca="1">MATCH(E7,Anoslst,0)+1</f>
        <v>6</v>
      </c>
      <c r="F6" s="1">
        <f ca="1">MATCH(F7,Anoslst,0)+1</f>
        <v>7</v>
      </c>
      <c r="G6" s="1">
        <f ca="1">MATCH(G7,Anoslst,0)+1</f>
        <v>8</v>
      </c>
      <c r="I6">
        <f ca="1">COUNT(C6:G6)</f>
        <v>5</v>
      </c>
    </row>
    <row r="7" spans="1:9" ht="19.5" thickBot="1" x14ac:dyDescent="0.35">
      <c r="B7" s="9" t="s">
        <v>35</v>
      </c>
      <c r="C7" s="19">
        <f>D7-1</f>
        <v>2010</v>
      </c>
      <c r="D7" s="19">
        <f>E7-1</f>
        <v>2011</v>
      </c>
      <c r="E7" s="19">
        <f>F7-1</f>
        <v>2012</v>
      </c>
      <c r="F7" s="19">
        <f>G7-1</f>
        <v>2013</v>
      </c>
      <c r="G7" s="19">
        <f>C3</f>
        <v>2014</v>
      </c>
      <c r="H7" s="9"/>
    </row>
    <row r="8" spans="1:9" ht="19.5" customHeight="1" x14ac:dyDescent="0.3">
      <c r="A8">
        <f>MATCH(B8,'Entrada de Dados Financeiros'!$B$6:$B$30,0)</f>
        <v>1</v>
      </c>
      <c r="B8" t="str">
        <f>IF('Configurações de Métricas-chave'!C5="","",'Configurações de Métricas-chave'!C5)</f>
        <v>RECEITAS</v>
      </c>
      <c r="C8">
        <f ca="1">IFERROR(INDEX('Entrada de Dados Financeiros'!$B$6:$I$30,$A8,C$6),NA())</f>
        <v>142728.38</v>
      </c>
      <c r="D8">
        <f ca="1">IFERROR(INDEX('Entrada de Dados Financeiros'!$B$6:$I$30,$A8,D$6),NA())</f>
        <v>150687.46</v>
      </c>
      <c r="E8">
        <f ca="1">IFERROR(INDEX('Entrada de Dados Financeiros'!$B$6:$I$30,$A8,E$6),NA())</f>
        <v>165044.56</v>
      </c>
      <c r="F8">
        <f ca="1">IFERROR(INDEX('Entrada de Dados Financeiros'!$B$6:$I$30,$A8,F$6),NA())</f>
        <v>180026.63</v>
      </c>
      <c r="G8">
        <f ca="1">IFERROR(INDEX('Entrada de Dados Financeiros'!$B$6:$I$30,$A8,G$6),NA())</f>
        <v>180583.88</v>
      </c>
      <c r="H8" s="4">
        <f ca="1">IFERROR(G8/F8-1,"")</f>
        <v>3.0953753897409175E-3</v>
      </c>
    </row>
    <row r="9" spans="1:9" ht="19.5" customHeight="1" x14ac:dyDescent="0.3">
      <c r="A9">
        <f>MATCH(B9,'Entrada de Dados Financeiros'!$B$6:$B$30,0)</f>
        <v>6</v>
      </c>
      <c r="B9" t="str">
        <f>IF('Configurações de Métricas-chave'!C6="","",'Configurações de Métricas-chave'!C6)</f>
        <v>LUCRO LÍQUIDO</v>
      </c>
      <c r="C9">
        <f ca="1">IFERROR(INDEX('Entrada de Dados Financeiros'!$B$6:$I$30,$A9,C$6),NA())</f>
        <v>55860.81</v>
      </c>
      <c r="D9">
        <f ca="1">IFERROR(INDEX('Entrada de Dados Financeiros'!$B$6:$I$30,$A9,D$6),NA())</f>
        <v>59747.95</v>
      </c>
      <c r="E9">
        <f ca="1">IFERROR(INDEX('Entrada de Dados Financeiros'!$B$6:$I$30,$A9,E$6),NA())</f>
        <v>61483.59</v>
      </c>
      <c r="F9">
        <f ca="1">IFERROR(INDEX('Entrada de Dados Financeiros'!$B$6:$I$30,$A9,F$6),NA())</f>
        <v>66272.100000000006</v>
      </c>
      <c r="G9">
        <f ca="1">IFERROR(INDEX('Entrada de Dados Financeiros'!$B$6:$I$30,$A9,G$6),NA())</f>
        <v>67474.850000000006</v>
      </c>
      <c r="H9" s="4">
        <f t="shared" ref="H9:H12" ca="1" si="0">IFERROR(G9/F9-1,"")</f>
        <v>1.8148662861143583E-2</v>
      </c>
    </row>
    <row r="10" spans="1:9" ht="19.5" customHeight="1" x14ac:dyDescent="0.3">
      <c r="A10">
        <f>MATCH(B10,'Entrada de Dados Financeiros'!$B$6:$B$30,0)</f>
        <v>5</v>
      </c>
      <c r="B10" t="str">
        <f>IF('Configurações de Métricas-chave'!C7="","",'Configurações de Métricas-chave'!C7)</f>
        <v>JUROS</v>
      </c>
      <c r="C10">
        <f ca="1">IFERROR(INDEX('Entrada de Dados Financeiros'!$B$6:$I$30,$A10,C$6),NA())</f>
        <v>2893.11</v>
      </c>
      <c r="D10">
        <f ca="1">IFERROR(INDEX('Entrada de Dados Financeiros'!$B$6:$I$30,$A10,D$6),NA())</f>
        <v>3136.12</v>
      </c>
      <c r="E10">
        <f ca="1">IFERROR(INDEX('Entrada de Dados Financeiros'!$B$6:$I$30,$A10,E$6),NA())</f>
        <v>3148.53</v>
      </c>
      <c r="F10">
        <f ca="1">IFERROR(INDEX('Entrada de Dados Financeiros'!$B$6:$I$30,$A10,F$6),NA())</f>
        <v>3338.3</v>
      </c>
      <c r="G10">
        <f ca="1">IFERROR(INDEX('Entrada de Dados Financeiros'!$B$6:$I$30,$A10,G$6),NA())</f>
        <v>3789.47</v>
      </c>
      <c r="H10" s="4">
        <f t="shared" ca="1" si="0"/>
        <v>0.13514962705568689</v>
      </c>
    </row>
    <row r="11" spans="1:9" ht="19.5" customHeight="1" x14ac:dyDescent="0.3">
      <c r="A11">
        <f>MATCH(B11,'Entrada de Dados Financeiros'!$B$6:$B$30,0)</f>
        <v>4</v>
      </c>
      <c r="B11" t="str">
        <f>IF('Configurações de Métricas-chave'!C8="","",'Configurações de Métricas-chave'!C8)</f>
        <v>DEPRECIAÇÃO</v>
      </c>
      <c r="C11">
        <f ca="1">IFERROR(INDEX('Entrada de Dados Financeiros'!$B$6:$I$30,$A11,C$6),NA())</f>
        <v>4656.92</v>
      </c>
      <c r="D11">
        <f ca="1">IFERROR(INDEX('Entrada de Dados Financeiros'!$B$6:$I$30,$A11,D$6),NA())</f>
        <v>4974.21</v>
      </c>
      <c r="E11">
        <f ca="1">IFERROR(INDEX('Entrada de Dados Financeiros'!$B$6:$I$30,$A11,E$6),NA())</f>
        <v>5024.1099999999997</v>
      </c>
      <c r="F11">
        <f ca="1">IFERROR(INDEX('Entrada de Dados Financeiros'!$B$6:$I$30,$A11,F$6),NA())</f>
        <v>5068.42</v>
      </c>
      <c r="G11">
        <f ca="1">IFERROR(INDEX('Entrada de Dados Financeiros'!$B$6:$I$30,$A11,G$6),NA())</f>
        <v>5546.88</v>
      </c>
      <c r="H11" s="4">
        <f t="shared" ca="1" si="0"/>
        <v>9.4400227289766825E-2</v>
      </c>
    </row>
    <row r="12" spans="1:9" ht="19.5" customHeight="1" x14ac:dyDescent="0.3">
      <c r="A12">
        <f>MATCH(B12,'Entrada de Dados Financeiros'!$B$6:$B$30,0)</f>
        <v>3</v>
      </c>
      <c r="B12" t="str">
        <f>IF('Configurações de Métricas-chave'!C9="","",'Configurações de Métricas-chave'!C9)</f>
        <v>LUCRO OPERACIONAL</v>
      </c>
      <c r="C12">
        <f ca="1">IFERROR(INDEX('Entrada de Dados Financeiros'!$B$6:$I$30,$A12,C$6),NA())</f>
        <v>68857.69</v>
      </c>
      <c r="D12">
        <f ca="1">IFERROR(INDEX('Entrada de Dados Financeiros'!$B$6:$I$30,$A12,D$6),NA())</f>
        <v>75643.25</v>
      </c>
      <c r="E12">
        <f ca="1">IFERROR(INDEX('Entrada de Dados Financeiros'!$B$6:$I$30,$A12,E$6),NA())</f>
        <v>76755.259999999995</v>
      </c>
      <c r="F12">
        <f ca="1">IFERROR(INDEX('Entrada de Dados Financeiros'!$B$6:$I$30,$A12,F$6),NA())</f>
        <v>77317.83</v>
      </c>
      <c r="G12">
        <f ca="1">IFERROR(INDEX('Entrada de Dados Financeiros'!$B$6:$I$30,$A12,G$6),NA())</f>
        <v>73425.990000000005</v>
      </c>
      <c r="H12" s="4">
        <f t="shared" ca="1" si="0"/>
        <v>-5.0335608229046258E-2</v>
      </c>
    </row>
    <row r="13" spans="1:9" ht="15.75" thickBot="1" x14ac:dyDescent="0.35"/>
    <row r="14" spans="1:9" ht="19.5" thickBot="1" x14ac:dyDescent="0.35">
      <c r="B14" s="9" t="s">
        <v>36</v>
      </c>
      <c r="C14" s="9"/>
      <c r="D14" s="9"/>
      <c r="E14" s="9"/>
      <c r="F14" s="9"/>
      <c r="G14" s="9"/>
      <c r="H14" s="9"/>
    </row>
    <row r="15" spans="1:9" ht="19.5" customHeight="1" x14ac:dyDescent="0.3">
      <c r="A15">
        <f>ROWS($B$15:B15)</f>
        <v>1</v>
      </c>
      <c r="B15" t="str">
        <f>IF('Entrada de Dados Financeiros'!B6=0,"",'Entrada de Dados Financeiros'!B6)</f>
        <v>RECEITAS</v>
      </c>
      <c r="C15">
        <f ca="1">IF(B15="",NA(),IFERROR(INDEX('Entrada de Dados Financeiros'!$B$6:$I$30,$A15,C$6),NA()))</f>
        <v>142728.38</v>
      </c>
      <c r="D15">
        <f ca="1">IF(B15="",NA(),IFERROR(INDEX('Entrada de Dados Financeiros'!$B$6:$I$30,$A15,D$6),NA()))</f>
        <v>150687.46</v>
      </c>
      <c r="E15">
        <f ca="1">IF(B15="",NA(),IFERROR(INDEX('Entrada de Dados Financeiros'!$B$6:$I$30,$A15,E$6),NA()))</f>
        <v>165044.56</v>
      </c>
      <c r="F15">
        <f ca="1">IF(B15="",NA(),IFERROR(INDEX('Entrada de Dados Financeiros'!$B$6:$I$30,$A15,F$6),NA()))</f>
        <v>180026.63</v>
      </c>
      <c r="G15">
        <f ca="1">IF(B15="",NA(),IFERROR(INDEX('Entrada de Dados Financeiros'!$B$6:$I$30,$A15,G$6),NA()))</f>
        <v>180583.88</v>
      </c>
    </row>
    <row r="16" spans="1:9" ht="19.5" customHeight="1" x14ac:dyDescent="0.3">
      <c r="A16">
        <f>ROWS($B$15:B16)</f>
        <v>2</v>
      </c>
      <c r="B16" t="str">
        <f>IF('Entrada de Dados Financeiros'!B7=0,"",'Entrada de Dados Financeiros'!B7)</f>
        <v>DESPESAS OPERACIONAIS</v>
      </c>
      <c r="C16">
        <f ca="1">IF(B16="",NA(),IFERROR(INDEX('Entrada de Dados Financeiros'!$B$6:$I$30,$A16,C$6),NA()))</f>
        <v>75924.86</v>
      </c>
      <c r="D16">
        <f ca="1">IF(B16="",NA(),IFERROR(INDEX('Entrada de Dados Financeiros'!$B$6:$I$30,$A16,D$6),NA()))</f>
        <v>78901.27</v>
      </c>
      <c r="E16">
        <f ca="1">IF(B16="",NA(),IFERROR(INDEX('Entrada de Dados Financeiros'!$B$6:$I$30,$A16,E$6),NA()))</f>
        <v>81674.37</v>
      </c>
      <c r="F16">
        <f ca="1">IF(B16="",NA(),IFERROR(INDEX('Entrada de Dados Financeiros'!$B$6:$I$30,$A16,F$6),NA()))</f>
        <v>80883.33</v>
      </c>
      <c r="G16">
        <f ca="1">IF(B16="",NA(),IFERROR(INDEX('Entrada de Dados Financeiros'!$B$6:$I$30,$A16,G$6),NA()))</f>
        <v>94419.45</v>
      </c>
    </row>
    <row r="17" spans="1:7" ht="19.5" customHeight="1" x14ac:dyDescent="0.3">
      <c r="A17">
        <f>ROWS($B$15:B17)</f>
        <v>3</v>
      </c>
      <c r="B17" t="str">
        <f>IF('Entrada de Dados Financeiros'!B8=0,"",'Entrada de Dados Financeiros'!B8)</f>
        <v>LUCRO OPERACIONAL</v>
      </c>
      <c r="C17">
        <f ca="1">IF(B17="",NA(),IFERROR(INDEX('Entrada de Dados Financeiros'!$B$6:$I$30,$A17,C$6),NA()))</f>
        <v>68857.69</v>
      </c>
      <c r="D17">
        <f ca="1">IF(B17="",NA(),IFERROR(INDEX('Entrada de Dados Financeiros'!$B$6:$I$30,$A17,D$6),NA()))</f>
        <v>75643.25</v>
      </c>
      <c r="E17">
        <f ca="1">IF(B17="",NA(),IFERROR(INDEX('Entrada de Dados Financeiros'!$B$6:$I$30,$A17,E$6),NA()))</f>
        <v>76755.259999999995</v>
      </c>
      <c r="F17">
        <f ca="1">IF(B17="",NA(),IFERROR(INDEX('Entrada de Dados Financeiros'!$B$6:$I$30,$A17,F$6),NA()))</f>
        <v>77317.83</v>
      </c>
      <c r="G17">
        <f ca="1">IF(B17="",NA(),IFERROR(INDEX('Entrada de Dados Financeiros'!$B$6:$I$30,$A17,G$6),NA()))</f>
        <v>73425.990000000005</v>
      </c>
    </row>
    <row r="18" spans="1:7" ht="19.5" customHeight="1" x14ac:dyDescent="0.3">
      <c r="A18">
        <f>ROWS($B$15:B18)</f>
        <v>4</v>
      </c>
      <c r="B18" t="str">
        <f>IF('Entrada de Dados Financeiros'!B9=0,"",'Entrada de Dados Financeiros'!B9)</f>
        <v>DEPRECIAÇÃO</v>
      </c>
      <c r="C18">
        <f ca="1">IF(B18="",NA(),IFERROR(INDEX('Entrada de Dados Financeiros'!$B$6:$I$30,$A18,C$6),NA()))</f>
        <v>4656.92</v>
      </c>
      <c r="D18">
        <f ca="1">IF(B18="",NA(),IFERROR(INDEX('Entrada de Dados Financeiros'!$B$6:$I$30,$A18,D$6),NA()))</f>
        <v>4974.21</v>
      </c>
      <c r="E18">
        <f ca="1">IF(B18="",NA(),IFERROR(INDEX('Entrada de Dados Financeiros'!$B$6:$I$30,$A18,E$6),NA()))</f>
        <v>5024.1099999999997</v>
      </c>
      <c r="F18">
        <f ca="1">IF(B18="",NA(),IFERROR(INDEX('Entrada de Dados Financeiros'!$B$6:$I$30,$A18,F$6),NA()))</f>
        <v>5068.42</v>
      </c>
      <c r="G18">
        <f ca="1">IF(B18="",NA(),IFERROR(INDEX('Entrada de Dados Financeiros'!$B$6:$I$30,$A18,G$6),NA()))</f>
        <v>5546.88</v>
      </c>
    </row>
    <row r="19" spans="1:7" ht="19.5" customHeight="1" x14ac:dyDescent="0.3">
      <c r="A19">
        <f>ROWS($B$15:B19)</f>
        <v>5</v>
      </c>
      <c r="B19" t="str">
        <f>IF('Entrada de Dados Financeiros'!B10=0,"",'Entrada de Dados Financeiros'!B10)</f>
        <v>JUROS</v>
      </c>
      <c r="C19">
        <f ca="1">IF(B19="",NA(),IFERROR(INDEX('Entrada de Dados Financeiros'!$B$6:$I$30,$A19,C$6),NA()))</f>
        <v>2893.11</v>
      </c>
      <c r="D19">
        <f ca="1">IF(B19="",NA(),IFERROR(INDEX('Entrada de Dados Financeiros'!$B$6:$I$30,$A19,D$6),NA()))</f>
        <v>3136.12</v>
      </c>
      <c r="E19">
        <f ca="1">IF(B19="",NA(),IFERROR(INDEX('Entrada de Dados Financeiros'!$B$6:$I$30,$A19,E$6),NA()))</f>
        <v>3148.53</v>
      </c>
      <c r="F19">
        <f ca="1">IF(B19="",NA(),IFERROR(INDEX('Entrada de Dados Financeiros'!$B$6:$I$30,$A19,F$6),NA()))</f>
        <v>3338.3</v>
      </c>
      <c r="G19">
        <f ca="1">IF(B19="",NA(),IFERROR(INDEX('Entrada de Dados Financeiros'!$B$6:$I$30,$A19,G$6),NA()))</f>
        <v>3789.47</v>
      </c>
    </row>
    <row r="20" spans="1:7" ht="19.5" customHeight="1" x14ac:dyDescent="0.3">
      <c r="A20">
        <f>ROWS($B$15:B20)</f>
        <v>6</v>
      </c>
      <c r="B20" t="str">
        <f>IF('Entrada de Dados Financeiros'!B11=0,"",'Entrada de Dados Financeiros'!B11)</f>
        <v>LUCRO LÍQUIDO</v>
      </c>
      <c r="C20">
        <f ca="1">IF(B20="",NA(),IFERROR(INDEX('Entrada de Dados Financeiros'!$B$6:$I$30,$A20,C$6),NA()))</f>
        <v>55860.81</v>
      </c>
      <c r="D20">
        <f ca="1">IF(B20="",NA(),IFERROR(INDEX('Entrada de Dados Financeiros'!$B$6:$I$30,$A20,D$6),NA()))</f>
        <v>59747.95</v>
      </c>
      <c r="E20">
        <f ca="1">IF(B20="",NA(),IFERROR(INDEX('Entrada de Dados Financeiros'!$B$6:$I$30,$A20,E$6),NA()))</f>
        <v>61483.59</v>
      </c>
      <c r="F20">
        <f ca="1">IF(B20="",NA(),IFERROR(INDEX('Entrada de Dados Financeiros'!$B$6:$I$30,$A20,F$6),NA()))</f>
        <v>66272.100000000006</v>
      </c>
      <c r="G20">
        <f ca="1">IF(B20="",NA(),IFERROR(INDEX('Entrada de Dados Financeiros'!$B$6:$I$30,$A20,G$6),NA()))</f>
        <v>67474.850000000006</v>
      </c>
    </row>
    <row r="21" spans="1:7" ht="19.5" customHeight="1" x14ac:dyDescent="0.3">
      <c r="A21">
        <f>ROWS($B$15:B21)</f>
        <v>7</v>
      </c>
      <c r="B21" t="str">
        <f>IF('Entrada de Dados Financeiros'!B12=0,"",'Entrada de Dados Financeiros'!B12)</f>
        <v>IMPOSTOS</v>
      </c>
      <c r="C21">
        <f ca="1">IF(B21="",NA(),IFERROR(INDEX('Entrada de Dados Financeiros'!$B$6:$I$30,$A21,C$6),NA()))</f>
        <v>25576.74</v>
      </c>
      <c r="D21">
        <f ca="1">IF(B21="",NA(),IFERROR(INDEX('Entrada de Dados Financeiros'!$B$6:$I$30,$A21,D$6),NA()))</f>
        <v>27498.86</v>
      </c>
      <c r="E21">
        <f ca="1">IF(B21="",NA(),IFERROR(INDEX('Entrada de Dados Financeiros'!$B$6:$I$30,$A21,E$6),NA()))</f>
        <v>28335.67</v>
      </c>
      <c r="F21">
        <f ca="1">IF(B21="",NA(),IFERROR(INDEX('Entrada de Dados Financeiros'!$B$6:$I$30,$A21,F$6),NA()))</f>
        <v>29424.53</v>
      </c>
      <c r="G21">
        <f ca="1">IF(B21="",NA(),IFERROR(INDEX('Entrada de Dados Financeiros'!$B$6:$I$30,$A21,G$6),NA()))</f>
        <v>31408.25</v>
      </c>
    </row>
    <row r="22" spans="1:7" ht="19.5" customHeight="1" x14ac:dyDescent="0.3">
      <c r="A22">
        <f>ROWS($B$15:B22)</f>
        <v>8</v>
      </c>
      <c r="B22" t="str">
        <f>IF('Entrada de Dados Financeiros'!B13=0,"",'Entrada de Dados Financeiros'!B13)</f>
        <v>LUCRO APÓS DEDUÇÃO DE IMPOSTOS</v>
      </c>
      <c r="C22">
        <f ca="1">IF(B22="",NA(),IFERROR(INDEX('Entrada de Dados Financeiros'!$B$6:$I$30,$A22,C$6),NA()))</f>
        <v>38418.53</v>
      </c>
      <c r="D22">
        <f ca="1">IF(B22="",NA(),IFERROR(INDEX('Entrada de Dados Financeiros'!$B$6:$I$30,$A22,D$6),NA()))</f>
        <v>39895.050000000003</v>
      </c>
      <c r="E22">
        <f ca="1">IF(B22="",NA(),IFERROR(INDEX('Entrada de Dados Financeiros'!$B$6:$I$30,$A22,E$6),NA()))</f>
        <v>40607.730000000003</v>
      </c>
      <c r="F22">
        <f ca="1">IF(B22="",NA(),IFERROR(INDEX('Entrada de Dados Financeiros'!$B$6:$I$30,$A22,F$6),NA()))</f>
        <v>42438.2</v>
      </c>
      <c r="G22">
        <f ca="1">IF(B22="",NA(),IFERROR(INDEX('Entrada de Dados Financeiros'!$B$6:$I$30,$A22,G$6),NA()))</f>
        <v>50247.68</v>
      </c>
    </row>
    <row r="23" spans="1:7" ht="19.5" customHeight="1" x14ac:dyDescent="0.3">
      <c r="A23">
        <f>ROWS($B$15:B23)</f>
        <v>9</v>
      </c>
      <c r="B23" t="str">
        <f>IF('Entrada de Dados Financeiros'!B14=0,"",'Entrada de Dados Financeiros'!B14)</f>
        <v>MÉTRICA 1</v>
      </c>
      <c r="C23">
        <f ca="1">IF(B23="",NA(),IFERROR(INDEX('Entrada de Dados Financeiros'!$B$6:$I$30,$A23,C$6),NA()))</f>
        <v>13.78</v>
      </c>
      <c r="D23">
        <f ca="1">IF(B23="",NA(),IFERROR(INDEX('Entrada de Dados Financeiros'!$B$6:$I$30,$A23,D$6),NA()))</f>
        <v>14.29</v>
      </c>
      <c r="E23">
        <f ca="1">IF(B23="",NA(),IFERROR(INDEX('Entrada de Dados Financeiros'!$B$6:$I$30,$A23,E$6),NA()))</f>
        <v>15.57</v>
      </c>
      <c r="F23">
        <f ca="1">IF(B23="",NA(),IFERROR(INDEX('Entrada de Dados Financeiros'!$B$6:$I$30,$A23,F$6),NA()))</f>
        <v>16.78</v>
      </c>
      <c r="G23">
        <f ca="1">IF(B23="",NA(),IFERROR(INDEX('Entrada de Dados Financeiros'!$B$6:$I$30,$A23,G$6),NA()))</f>
        <v>19.96</v>
      </c>
    </row>
    <row r="24" spans="1:7" ht="19.5" customHeight="1" x14ac:dyDescent="0.3">
      <c r="A24">
        <f>ROWS($B$15:B24)</f>
        <v>10</v>
      </c>
      <c r="B24" t="str">
        <f>IF('Entrada de Dados Financeiros'!B15=0,"",'Entrada de Dados Financeiros'!B15)</f>
        <v>MÉTRICA 2</v>
      </c>
      <c r="C24">
        <f ca="1">IF(B24="",NA(),IFERROR(INDEX('Entrada de Dados Financeiros'!$B$6:$I$30,$A24,C$6),NA()))</f>
        <v>19.22</v>
      </c>
      <c r="D24">
        <f ca="1">IF(B24="",NA(),IFERROR(INDEX('Entrada de Dados Financeiros'!$B$6:$I$30,$A24,D$6),NA()))</f>
        <v>20.170000000000002</v>
      </c>
      <c r="E24">
        <f ca="1">IF(B24="",NA(),IFERROR(INDEX('Entrada de Dados Financeiros'!$B$6:$I$30,$A24,E$6),NA()))</f>
        <v>20.48</v>
      </c>
      <c r="F24">
        <f ca="1">IF(B24="",NA(),IFERROR(INDEX('Entrada de Dados Financeiros'!$B$6:$I$30,$A24,F$6),NA()))</f>
        <v>21.84</v>
      </c>
      <c r="G24">
        <f ca="1">IF(B24="",NA(),IFERROR(INDEX('Entrada de Dados Financeiros'!$B$6:$I$30,$A24,G$6),NA()))</f>
        <v>26.01</v>
      </c>
    </row>
    <row r="25" spans="1:7" ht="19.5" customHeight="1" x14ac:dyDescent="0.3">
      <c r="A25">
        <f>ROWS($B$15:B25)</f>
        <v>11</v>
      </c>
      <c r="B25" t="str">
        <f>IF('Entrada de Dados Financeiros'!B16=0,"",'Entrada de Dados Financeiros'!B16)</f>
        <v>MÉTRICA 3</v>
      </c>
      <c r="C25">
        <f ca="1">IF(B25="",NA(),IFERROR(INDEX('Entrada de Dados Financeiros'!$B$6:$I$30,$A25,C$6),NA()))</f>
        <v>21.87</v>
      </c>
      <c r="D25">
        <f ca="1">IF(B25="",NA(),IFERROR(INDEX('Entrada de Dados Financeiros'!$B$6:$I$30,$A25,D$6),NA()))</f>
        <v>23.19</v>
      </c>
      <c r="E25">
        <f ca="1">IF(B25="",NA(),IFERROR(INDEX('Entrada de Dados Financeiros'!$B$6:$I$30,$A25,E$6),NA()))</f>
        <v>24.67</v>
      </c>
      <c r="F25">
        <f ca="1">IF(B25="",NA(),IFERROR(INDEX('Entrada de Dados Financeiros'!$B$6:$I$30,$A25,F$6),NA()))</f>
        <v>26.39</v>
      </c>
      <c r="G25">
        <f ca="1">IF(B25="",NA(),IFERROR(INDEX('Entrada de Dados Financeiros'!$B$6:$I$30,$A25,G$6),NA()))</f>
        <v>31.08</v>
      </c>
    </row>
    <row r="26" spans="1:7" ht="19.5" customHeight="1" x14ac:dyDescent="0.3">
      <c r="A26">
        <f>ROWS($B$15:B26)</f>
        <v>12</v>
      </c>
      <c r="B26" t="str">
        <f>IF('Entrada de Dados Financeiros'!B17=0,"",'Entrada de Dados Financeiros'!B17)</f>
        <v>MÉTRICA 4</v>
      </c>
      <c r="C26">
        <f ca="1">IF(B26="",NA(),IFERROR(INDEX('Entrada de Dados Financeiros'!$B$6:$I$30,$A26,C$6),NA()))</f>
        <v>12.59</v>
      </c>
      <c r="D26">
        <f ca="1">IF(B26="",NA(),IFERROR(INDEX('Entrada de Dados Financeiros'!$B$6:$I$30,$A26,D$6),NA()))</f>
        <v>13.7</v>
      </c>
      <c r="E26">
        <f ca="1">IF(B26="",NA(),IFERROR(INDEX('Entrada de Dados Financeiros'!$B$6:$I$30,$A26,E$6),NA()))</f>
        <v>13.76</v>
      </c>
      <c r="F26">
        <f ca="1">IF(B26="",NA(),IFERROR(INDEX('Entrada de Dados Financeiros'!$B$6:$I$30,$A26,F$6),NA()))</f>
        <v>14.59</v>
      </c>
      <c r="G26">
        <f ca="1">IF(B26="",NA(),IFERROR(INDEX('Entrada de Dados Financeiros'!$B$6:$I$30,$A26,G$6),NA()))</f>
        <v>14.92</v>
      </c>
    </row>
    <row r="27" spans="1:7" ht="19.5" customHeight="1" x14ac:dyDescent="0.3">
      <c r="A27">
        <f>ROWS($B$15:B27)</f>
        <v>13</v>
      </c>
      <c r="B27" t="str">
        <f>IF('Entrada de Dados Financeiros'!B18=0,"",'Entrada de Dados Financeiros'!B18)</f>
        <v>MÉTRICA 5</v>
      </c>
      <c r="C27">
        <f ca="1">IF(B27="",NA(),IFERROR(INDEX('Entrada de Dados Financeiros'!$B$6:$I$30,$A27,C$6),NA()))</f>
        <v>0.85</v>
      </c>
      <c r="D27">
        <f ca="1">IF(B27="",NA(),IFERROR(INDEX('Entrada de Dados Financeiros'!$B$6:$I$30,$A27,D$6),NA()))</f>
        <v>0.89</v>
      </c>
      <c r="E27">
        <f ca="1">IF(B27="",NA(),IFERROR(INDEX('Entrada de Dados Financeiros'!$B$6:$I$30,$A27,E$6),NA()))</f>
        <v>0.91</v>
      </c>
      <c r="F27">
        <f ca="1">IF(B27="",NA(),IFERROR(INDEX('Entrada de Dados Financeiros'!$B$6:$I$30,$A27,F$6),NA()))</f>
        <v>1</v>
      </c>
      <c r="G27">
        <f ca="1">IF(B27="",NA(),IFERROR(INDEX('Entrada de Dados Financeiros'!$B$6:$I$30,$A27,G$6),NA()))</f>
        <v>1.03</v>
      </c>
    </row>
    <row r="28" spans="1:7" ht="19.5" customHeight="1" x14ac:dyDescent="0.3">
      <c r="A28">
        <f>ROWS($B$15:B28)</f>
        <v>14</v>
      </c>
      <c r="B28" t="str">
        <f>IF('Entrada de Dados Financeiros'!B19=0,"",'Entrada de Dados Financeiros'!B19)</f>
        <v>MÉTRICA 6</v>
      </c>
      <c r="C28">
        <f ca="1">IF(B28="",NA(),IFERROR(INDEX('Entrada de Dados Financeiros'!$B$6:$I$30,$A28,C$6),NA()))</f>
        <v>0.27</v>
      </c>
      <c r="D28">
        <f ca="1">IF(B28="",NA(),IFERROR(INDEX('Entrada de Dados Financeiros'!$B$6:$I$30,$A28,D$6),NA()))</f>
        <v>0.28000000000000003</v>
      </c>
      <c r="E28">
        <f ca="1">IF(B28="",NA(),IFERROR(INDEX('Entrada de Dados Financeiros'!$B$6:$I$30,$A28,E$6),NA()))</f>
        <v>0.28999999999999998</v>
      </c>
      <c r="F28">
        <f ca="1">IF(B28="",NA(),IFERROR(INDEX('Entrada de Dados Financeiros'!$B$6:$I$30,$A28,F$6),NA()))</f>
        <v>0.3</v>
      </c>
      <c r="G28">
        <f ca="1">IF(B28="",NA(),IFERROR(INDEX('Entrada de Dados Financeiros'!$B$6:$I$30,$A28,G$6),NA()))</f>
        <v>0.34</v>
      </c>
    </row>
    <row r="29" spans="1:7" ht="19.5" customHeight="1" x14ac:dyDescent="0.3">
      <c r="A29">
        <f>ROWS($B$15:B29)</f>
        <v>15</v>
      </c>
      <c r="B29" t="str">
        <f>IF('Entrada de Dados Financeiros'!B20=0,"",'Entrada de Dados Financeiros'!B20)</f>
        <v/>
      </c>
      <c r="C29" t="e">
        <f>IF(B29="",NA(),IFERROR(INDEX('Entrada de Dados Financeiros'!$B$6:$I$30,$A29,C$6),NA()))</f>
        <v>#N/A</v>
      </c>
      <c r="D29" t="e">
        <f>IF(B29="",NA(),IFERROR(INDEX('Entrada de Dados Financeiros'!$B$6:$I$30,$A29,D$6),NA()))</f>
        <v>#N/A</v>
      </c>
      <c r="E29" t="e">
        <f>IF(B29="",NA(),IFERROR(INDEX('Entrada de Dados Financeiros'!$B$6:$I$30,$A29,E$6),NA()))</f>
        <v>#N/A</v>
      </c>
      <c r="F29" t="e">
        <f>IF(B29="",NA(),IFERROR(INDEX('Entrada de Dados Financeiros'!$B$6:$I$30,$A29,F$6),NA()))</f>
        <v>#N/A</v>
      </c>
      <c r="G29" t="e">
        <f>IF(B29="",NA(),IFERROR(INDEX('Entrada de Dados Financeiros'!$B$6:$I$30,$A29,G$6),NA()))</f>
        <v>#N/A</v>
      </c>
    </row>
    <row r="30" spans="1:7" ht="19.5" customHeight="1" x14ac:dyDescent="0.3">
      <c r="A30">
        <f>ROWS($B$15:B30)</f>
        <v>16</v>
      </c>
      <c r="B30" t="str">
        <f>IF('Entrada de Dados Financeiros'!B21=0,"",'Entrada de Dados Financeiros'!B21)</f>
        <v/>
      </c>
      <c r="C30" t="e">
        <f>IF(B30="",NA(),IFERROR(INDEX('Entrada de Dados Financeiros'!$B$6:$I$30,$A30,C$6),NA()))</f>
        <v>#N/A</v>
      </c>
      <c r="D30" t="e">
        <f>IF(B30="",NA(),IFERROR(INDEX('Entrada de Dados Financeiros'!$B$6:$I$30,$A30,D$6),NA()))</f>
        <v>#N/A</v>
      </c>
      <c r="E30" t="e">
        <f>IF(B30="",NA(),IFERROR(INDEX('Entrada de Dados Financeiros'!$B$6:$I$30,$A30,E$6),NA()))</f>
        <v>#N/A</v>
      </c>
      <c r="F30" t="e">
        <f>IF(B30="",NA(),IFERROR(INDEX('Entrada de Dados Financeiros'!$B$6:$I$30,$A30,F$6),NA()))</f>
        <v>#N/A</v>
      </c>
      <c r="G30" t="e">
        <f>IF(B30="",NA(),IFERROR(INDEX('Entrada de Dados Financeiros'!$B$6:$I$30,$A30,G$6),NA()))</f>
        <v>#N/A</v>
      </c>
    </row>
    <row r="31" spans="1:7" ht="19.5" customHeight="1" x14ac:dyDescent="0.3">
      <c r="A31">
        <f>ROWS($B$15:B31)</f>
        <v>17</v>
      </c>
      <c r="B31" t="str">
        <f>IF('Entrada de Dados Financeiros'!B22=0,"",'Entrada de Dados Financeiros'!B22)</f>
        <v/>
      </c>
      <c r="C31" t="e">
        <f>IF(B31="",NA(),IFERROR(INDEX('Entrada de Dados Financeiros'!$B$6:$I$30,$A31,C$6),NA()))</f>
        <v>#N/A</v>
      </c>
      <c r="D31" t="e">
        <f>IF(B31="",NA(),IFERROR(INDEX('Entrada de Dados Financeiros'!$B$6:$I$30,$A31,D$6),NA()))</f>
        <v>#N/A</v>
      </c>
      <c r="E31" t="e">
        <f>IF(B31="",NA(),IFERROR(INDEX('Entrada de Dados Financeiros'!$B$6:$I$30,$A31,E$6),NA()))</f>
        <v>#N/A</v>
      </c>
      <c r="F31" t="e">
        <f>IF(B31="",NA(),IFERROR(INDEX('Entrada de Dados Financeiros'!$B$6:$I$30,$A31,F$6),NA()))</f>
        <v>#N/A</v>
      </c>
      <c r="G31" t="e">
        <f>IF(B31="",NA(),IFERROR(INDEX('Entrada de Dados Financeiros'!$B$6:$I$30,$A31,G$6),NA()))</f>
        <v>#N/A</v>
      </c>
    </row>
    <row r="32" spans="1:7" ht="19.5" customHeight="1" x14ac:dyDescent="0.3">
      <c r="A32">
        <f>ROWS($B$15:B32)</f>
        <v>18</v>
      </c>
      <c r="B32" t="str">
        <f>IF('Entrada de Dados Financeiros'!B23=0,"",'Entrada de Dados Financeiros'!B23)</f>
        <v/>
      </c>
      <c r="C32" t="e">
        <f>IF(B32="",NA(),IFERROR(INDEX('Entrada de Dados Financeiros'!$B$6:$I$30,$A32,C$6),NA()))</f>
        <v>#N/A</v>
      </c>
      <c r="D32" t="e">
        <f>IF(B32="",NA(),IFERROR(INDEX('Entrada de Dados Financeiros'!$B$6:$I$30,$A32,D$6),NA()))</f>
        <v>#N/A</v>
      </c>
      <c r="E32" t="e">
        <f>IF(B32="",NA(),IFERROR(INDEX('Entrada de Dados Financeiros'!$B$6:$I$30,$A32,E$6),NA()))</f>
        <v>#N/A</v>
      </c>
      <c r="F32" t="e">
        <f>IF(B32="",NA(),IFERROR(INDEX('Entrada de Dados Financeiros'!$B$6:$I$30,$A32,F$6),NA()))</f>
        <v>#N/A</v>
      </c>
      <c r="G32" t="e">
        <f>IF(B32="",NA(),IFERROR(INDEX('Entrada de Dados Financeiros'!$B$6:$I$30,$A32,G$6),NA()))</f>
        <v>#N/A</v>
      </c>
    </row>
    <row r="33" spans="1:7" ht="19.5" customHeight="1" x14ac:dyDescent="0.3">
      <c r="A33">
        <f>ROWS($B$15:B33)</f>
        <v>19</v>
      </c>
      <c r="B33" t="str">
        <f>IF('Entrada de Dados Financeiros'!B24=0,"",'Entrada de Dados Financeiros'!B24)</f>
        <v/>
      </c>
      <c r="C33" t="e">
        <f>IF(B33="",NA(),IFERROR(INDEX('Entrada de Dados Financeiros'!$B$6:$I$30,$A33,C$6),NA()))</f>
        <v>#N/A</v>
      </c>
      <c r="D33" t="e">
        <f>IF(B33="",NA(),IFERROR(INDEX('Entrada de Dados Financeiros'!$B$6:$I$30,$A33,D$6),NA()))</f>
        <v>#N/A</v>
      </c>
      <c r="E33" t="e">
        <f>IF(B33="",NA(),IFERROR(INDEX('Entrada de Dados Financeiros'!$B$6:$I$30,$A33,E$6),NA()))</f>
        <v>#N/A</v>
      </c>
      <c r="F33" t="e">
        <f>IF(B33="",NA(),IFERROR(INDEX('Entrada de Dados Financeiros'!$B$6:$I$30,$A33,F$6),NA()))</f>
        <v>#N/A</v>
      </c>
      <c r="G33" t="e">
        <f>IF(B33="",NA(),IFERROR(INDEX('Entrada de Dados Financeiros'!$B$6:$I$30,$A33,G$6),NA()))</f>
        <v>#N/A</v>
      </c>
    </row>
    <row r="34" spans="1:7" ht="19.5" customHeight="1" x14ac:dyDescent="0.3">
      <c r="A34">
        <f>ROWS($B$15:B34)</f>
        <v>20</v>
      </c>
      <c r="B34" t="str">
        <f>IF('Entrada de Dados Financeiros'!B25=0,"",'Entrada de Dados Financeiros'!B25)</f>
        <v/>
      </c>
      <c r="C34" t="e">
        <f>IF(B34="",NA(),IFERROR(INDEX('Entrada de Dados Financeiros'!$B$6:$I$30,$A34,C$6),NA()))</f>
        <v>#N/A</v>
      </c>
      <c r="D34" t="e">
        <f>IF(B34="",NA(),IFERROR(INDEX('Entrada de Dados Financeiros'!$B$6:$I$30,$A34,D$6),NA()))</f>
        <v>#N/A</v>
      </c>
      <c r="E34" t="e">
        <f>IF(B34="",NA(),IFERROR(INDEX('Entrada de Dados Financeiros'!$B$6:$I$30,$A34,E$6),NA()))</f>
        <v>#N/A</v>
      </c>
      <c r="F34" t="e">
        <f>IF(B34="",NA(),IFERROR(INDEX('Entrada de Dados Financeiros'!$B$6:$I$30,$A34,F$6),NA()))</f>
        <v>#N/A</v>
      </c>
      <c r="G34" t="e">
        <f>IF(B34="",NA(),IFERROR(INDEX('Entrada de Dados Financeiros'!$B$6:$I$30,$A34,G$6),NA()))</f>
        <v>#N/A</v>
      </c>
    </row>
    <row r="35" spans="1:7" ht="19.5" customHeight="1" x14ac:dyDescent="0.3">
      <c r="A35">
        <f>ROWS($B$15:B35)</f>
        <v>21</v>
      </c>
      <c r="B35" t="str">
        <f>IF('Entrada de Dados Financeiros'!B26=0,"",'Entrada de Dados Financeiros'!B26)</f>
        <v/>
      </c>
      <c r="C35" t="e">
        <f>IF(B35="",NA(),IFERROR(INDEX('Entrada de Dados Financeiros'!$B$6:$I$30,$A35,C$6),NA()))</f>
        <v>#N/A</v>
      </c>
      <c r="D35" t="e">
        <f>IF(B35="",NA(),IFERROR(INDEX('Entrada de Dados Financeiros'!$B$6:$I$30,$A35,D$6),NA()))</f>
        <v>#N/A</v>
      </c>
      <c r="E35" t="e">
        <f>IF(B35="",NA(),IFERROR(INDEX('Entrada de Dados Financeiros'!$B$6:$I$30,$A35,E$6),NA()))</f>
        <v>#N/A</v>
      </c>
      <c r="F35" t="e">
        <f>IF(B35="",NA(),IFERROR(INDEX('Entrada de Dados Financeiros'!$B$6:$I$30,$A35,F$6),NA()))</f>
        <v>#N/A</v>
      </c>
      <c r="G35" t="e">
        <f>IF(B35="",NA(),IFERROR(INDEX('Entrada de Dados Financeiros'!$B$6:$I$30,$A35,G$6),NA()))</f>
        <v>#N/A</v>
      </c>
    </row>
    <row r="36" spans="1:7" ht="19.5" customHeight="1" x14ac:dyDescent="0.3">
      <c r="A36">
        <f>ROWS($B$15:B36)</f>
        <v>22</v>
      </c>
      <c r="B36" t="str">
        <f>IF('Entrada de Dados Financeiros'!B27=0,"",'Entrada de Dados Financeiros'!B27)</f>
        <v/>
      </c>
      <c r="C36" t="e">
        <f>IF(B36="",NA(),IFERROR(INDEX('Entrada de Dados Financeiros'!$B$6:$I$30,$A36,C$6),NA()))</f>
        <v>#N/A</v>
      </c>
      <c r="D36" t="e">
        <f>IF(B36="",NA(),IFERROR(INDEX('Entrada de Dados Financeiros'!$B$6:$I$30,$A36,D$6),NA()))</f>
        <v>#N/A</v>
      </c>
      <c r="E36" t="e">
        <f>IF(B36="",NA(),IFERROR(INDEX('Entrada de Dados Financeiros'!$B$6:$I$30,$A36,E$6),NA()))</f>
        <v>#N/A</v>
      </c>
      <c r="F36" t="e">
        <f>IF(B36="",NA(),IFERROR(INDEX('Entrada de Dados Financeiros'!$B$6:$I$30,$A36,F$6),NA()))</f>
        <v>#N/A</v>
      </c>
      <c r="G36" t="e">
        <f>IF(B36="",NA(),IFERROR(INDEX('Entrada de Dados Financeiros'!$B$6:$I$30,$A36,G$6),NA()))</f>
        <v>#N/A</v>
      </c>
    </row>
    <row r="37" spans="1:7" ht="19.5" customHeight="1" x14ac:dyDescent="0.3">
      <c r="A37">
        <f>ROWS($B$15:B37)</f>
        <v>23</v>
      </c>
      <c r="B37" t="str">
        <f>IF('Entrada de Dados Financeiros'!B28=0,"",'Entrada de Dados Financeiros'!B28)</f>
        <v/>
      </c>
      <c r="C37" t="e">
        <f>IF(B37="",NA(),IFERROR(INDEX('Entrada de Dados Financeiros'!$B$6:$I$30,$A37,C$6),NA()))</f>
        <v>#N/A</v>
      </c>
      <c r="D37" t="e">
        <f>IF(B37="",NA(),IFERROR(INDEX('Entrada de Dados Financeiros'!$B$6:$I$30,$A37,D$6),NA()))</f>
        <v>#N/A</v>
      </c>
      <c r="E37" t="e">
        <f>IF(B37="",NA(),IFERROR(INDEX('Entrada de Dados Financeiros'!$B$6:$I$30,$A37,E$6),NA()))</f>
        <v>#N/A</v>
      </c>
      <c r="F37" t="e">
        <f>IF(B37="",NA(),IFERROR(INDEX('Entrada de Dados Financeiros'!$B$6:$I$30,$A37,F$6),NA()))</f>
        <v>#N/A</v>
      </c>
      <c r="G37" t="e">
        <f>IF(B37="",NA(),IFERROR(INDEX('Entrada de Dados Financeiros'!$B$6:$I$30,$A37,G$6),NA()))</f>
        <v>#N/A</v>
      </c>
    </row>
    <row r="38" spans="1:7" ht="19.5" customHeight="1" x14ac:dyDescent="0.3">
      <c r="A38">
        <f>ROWS($B$15:B38)</f>
        <v>24</v>
      </c>
      <c r="B38" t="str">
        <f>IF('Entrada de Dados Financeiros'!B29=0,"",'Entrada de Dados Financeiros'!B29)</f>
        <v/>
      </c>
      <c r="C38" t="e">
        <f>IF(B38="",NA(),IFERROR(INDEX('Entrada de Dados Financeiros'!$B$6:$I$30,$A38,C$6),NA()))</f>
        <v>#N/A</v>
      </c>
      <c r="D38" t="e">
        <f>IF(B38="",NA(),IFERROR(INDEX('Entrada de Dados Financeiros'!$B$6:$I$30,$A38,D$6),NA()))</f>
        <v>#N/A</v>
      </c>
      <c r="E38" t="e">
        <f>IF(B38="",NA(),IFERROR(INDEX('Entrada de Dados Financeiros'!$B$6:$I$30,$A38,E$6),NA()))</f>
        <v>#N/A</v>
      </c>
      <c r="F38" t="e">
        <f>IF(B38="",NA(),IFERROR(INDEX('Entrada de Dados Financeiros'!$B$6:$I$30,$A38,F$6),NA()))</f>
        <v>#N/A</v>
      </c>
      <c r="G38" t="e">
        <f>IF(B38="",NA(),IFERROR(INDEX('Entrada de Dados Financeiros'!$B$6:$I$30,$A38,G$6),NA()))</f>
        <v>#N/A</v>
      </c>
    </row>
    <row r="39" spans="1:7" ht="19.5" customHeight="1" x14ac:dyDescent="0.3">
      <c r="A39">
        <f>ROWS($B$15:B39)</f>
        <v>25</v>
      </c>
      <c r="B39" t="str">
        <f>IF('Entrada de Dados Financeiros'!B30=0,"",'Entrada de Dados Financeiros'!B30)</f>
        <v/>
      </c>
      <c r="C39" t="e">
        <f>IF(B39="",NA(),IFERROR(INDEX('Entrada de Dados Financeiros'!$B$6:$I$30,$A39,C$6),NA()))</f>
        <v>#N/A</v>
      </c>
      <c r="D39" t="e">
        <f>IF(B39="",NA(),IFERROR(INDEX('Entrada de Dados Financeiros'!$B$6:$I$30,$A39,D$6),NA()))</f>
        <v>#N/A</v>
      </c>
      <c r="E39" t="e">
        <f>IF(B39="",NA(),IFERROR(INDEX('Entrada de Dados Financeiros'!$B$6:$I$30,$A39,E$6),NA()))</f>
        <v>#N/A</v>
      </c>
      <c r="F39" t="e">
        <f>IF(B39="",NA(),IFERROR(INDEX('Entrada de Dados Financeiros'!$B$6:$I$30,$A39,F$6),NA()))</f>
        <v>#N/A</v>
      </c>
      <c r="G39" t="e">
        <f>IF(B39="",NA(),IFERROR(INDEX('Entrada de Dados Financeiros'!$B$6:$I$30,$A39,G$6),NA()))</f>
        <v>#N/A</v>
      </c>
    </row>
  </sheetData>
  <printOptions horizontalCentered="1"/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Relatório Financeiro</vt:lpstr>
      <vt:lpstr>Entrada de Dados Financeiros</vt:lpstr>
      <vt:lpstr>Configurações de Métricas-chave</vt:lpstr>
      <vt:lpstr>Cálculos</vt:lpstr>
      <vt:lpstr>Anos</vt:lpstr>
      <vt:lpstr>AnoSelecionado</vt:lpstr>
      <vt:lpstr>'Relatório Financeiro'!Area_de_impressao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</cp:lastModifiedBy>
  <cp:revision/>
  <dcterms:created xsi:type="dcterms:W3CDTF">2013-12-05T14:43:36Z</dcterms:created>
  <dcterms:modified xsi:type="dcterms:W3CDTF">2017-02-17T03:42:57Z</dcterms:modified>
</cp:coreProperties>
</file>