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lipe\Documents\"/>
    </mc:Choice>
  </mc:AlternateContent>
  <bookViews>
    <workbookView xWindow="0" yWindow="0" windowWidth="2049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J15" i="1"/>
  <c r="K14" i="1"/>
  <c r="J14" i="1"/>
  <c r="M4" i="1"/>
  <c r="F5" i="1" s="1"/>
  <c r="M5" i="1" s="1"/>
  <c r="F6" i="1" s="1"/>
  <c r="M6" i="1" s="1"/>
  <c r="F7" i="1" s="1"/>
  <c r="M7" i="1" s="1"/>
  <c r="F8" i="1" s="1"/>
  <c r="M8" i="1" s="1"/>
  <c r="F9" i="1" s="1"/>
  <c r="M9" i="1" s="1"/>
  <c r="J18" i="1"/>
  <c r="J9" i="1"/>
  <c r="K9" i="1" s="1"/>
  <c r="J8" i="1"/>
  <c r="K8" i="1" s="1"/>
  <c r="J7" i="1"/>
  <c r="K7" i="1" s="1"/>
  <c r="J6" i="1"/>
  <c r="K6" i="1" s="1"/>
  <c r="J5" i="1"/>
  <c r="K5" i="1" s="1"/>
  <c r="J4" i="1"/>
  <c r="J11" i="1" s="1"/>
  <c r="K4" i="1" l="1"/>
  <c r="K11" i="1" s="1"/>
</calcChain>
</file>

<file path=xl/sharedStrings.xml><?xml version="1.0" encoding="utf-8"?>
<sst xmlns="http://schemas.openxmlformats.org/spreadsheetml/2006/main" count="26" uniqueCount="24">
  <si>
    <t>TRIMESTRE</t>
  </si>
  <si>
    <t>VALOR FUTURO</t>
  </si>
  <si>
    <t>TAXA</t>
  </si>
  <si>
    <t>VALOR PRESENTE</t>
  </si>
  <si>
    <t>JUROS</t>
  </si>
  <si>
    <t>OUT/X1</t>
  </si>
  <si>
    <t>DEZ/X2</t>
  </si>
  <si>
    <t>15 MESES</t>
  </si>
  <si>
    <t>VENCIMENTO (DD)</t>
  </si>
  <si>
    <t>PASSIVO</t>
  </si>
  <si>
    <t>JAN/X3</t>
  </si>
  <si>
    <t>Em Diantte</t>
  </si>
  <si>
    <t>TOTAL</t>
  </si>
  <si>
    <t>PRESTAÇÃO</t>
  </si>
  <si>
    <t>VALOR PRESTAÇÃO</t>
  </si>
  <si>
    <t>QUADRO EXERCICIO</t>
  </si>
  <si>
    <t>PROJETANDO O CONTA A PAGAR</t>
  </si>
  <si>
    <t>DE</t>
  </si>
  <si>
    <t>ATÉ</t>
  </si>
  <si>
    <t>3 MESES</t>
  </si>
  <si>
    <t>QTD MÊS</t>
  </si>
  <si>
    <t>* Data Simbólica</t>
  </si>
  <si>
    <t>DATA VENCIMENTO*</t>
  </si>
  <si>
    <t>DATA REGISTRO OBRIGAÇÃO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</si>
</sst>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14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8" fontId="0" fillId="0" borderId="1" xfId="0" applyNumberFormat="1" applyBorder="1" applyAlignment="1">
      <alignment wrapText="1"/>
    </xf>
    <xf numFmtId="43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43" fontId="0" fillId="0" borderId="0" xfId="1" applyFont="1" applyAlignment="1">
      <alignment wrapText="1"/>
    </xf>
    <xf numFmtId="8" fontId="0" fillId="0" borderId="0" xfId="0" applyNumberFormat="1" applyAlignment="1">
      <alignment wrapText="1"/>
    </xf>
    <xf numFmtId="0" fontId="2" fillId="2" borderId="1" xfId="0" applyFont="1" applyFill="1" applyBorder="1" applyAlignment="1">
      <alignment wrapText="1"/>
    </xf>
    <xf numFmtId="17" fontId="0" fillId="0" borderId="1" xfId="0" applyNumberForma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8" fontId="3" fillId="0" borderId="1" xfId="0" applyNumberFormat="1" applyFont="1" applyBorder="1" applyAlignment="1">
      <alignment wrapText="1"/>
    </xf>
    <xf numFmtId="165" fontId="4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showGridLines="0" tabSelected="1" zoomScale="120" zoomScaleNormal="120" workbookViewId="0">
      <selection activeCell="A5" sqref="A5"/>
    </sheetView>
  </sheetViews>
  <sheetFormatPr defaultRowHeight="15" x14ac:dyDescent="0.25"/>
  <cols>
    <col min="1" max="1" width="1.7109375" style="2" customWidth="1"/>
    <col min="2" max="2" width="11" style="2" customWidth="1"/>
    <col min="3" max="3" width="12.85546875" style="10" customWidth="1"/>
    <col min="4" max="4" width="9.5703125" style="10" bestFit="1" customWidth="1"/>
    <col min="5" max="5" width="2.28515625" style="1" customWidth="1"/>
    <col min="6" max="6" width="15.42578125" style="2" customWidth="1"/>
    <col min="7" max="7" width="10.7109375" style="2" bestFit="1" customWidth="1"/>
    <col min="8" max="8" width="15" style="2" bestFit="1" customWidth="1"/>
    <col min="9" max="9" width="9.140625" style="2" bestFit="1" customWidth="1"/>
    <col min="10" max="10" width="16.28515625" style="2" bestFit="1" customWidth="1"/>
    <col min="11" max="11" width="13" style="2" customWidth="1"/>
    <col min="12" max="12" width="13.5703125" style="2" customWidth="1"/>
    <col min="13" max="13" width="15.28515625" style="2" customWidth="1"/>
    <col min="14" max="16384" width="9.140625" style="2"/>
  </cols>
  <sheetData>
    <row r="2" spans="2:13" s="16" customFormat="1" x14ac:dyDescent="0.25">
      <c r="B2" s="14" t="s">
        <v>15</v>
      </c>
      <c r="C2" s="14"/>
      <c r="D2" s="14"/>
      <c r="E2" s="15"/>
      <c r="F2" s="14" t="s">
        <v>16</v>
      </c>
      <c r="G2" s="14"/>
      <c r="H2" s="14"/>
      <c r="I2" s="14"/>
      <c r="J2" s="14"/>
      <c r="K2" s="14"/>
      <c r="L2" s="14"/>
      <c r="M2" s="14"/>
    </row>
    <row r="3" spans="2:13" s="16" customFormat="1" ht="30" x14ac:dyDescent="0.25">
      <c r="B3" s="17" t="s">
        <v>13</v>
      </c>
      <c r="C3" s="18" t="s">
        <v>14</v>
      </c>
      <c r="D3" s="18" t="s">
        <v>4</v>
      </c>
      <c r="E3" s="21">
        <v>1</v>
      </c>
      <c r="F3" s="17" t="s">
        <v>23</v>
      </c>
      <c r="G3" s="17" t="s">
        <v>0</v>
      </c>
      <c r="H3" s="17" t="s">
        <v>1</v>
      </c>
      <c r="I3" s="17" t="s">
        <v>2</v>
      </c>
      <c r="J3" s="17" t="s">
        <v>3</v>
      </c>
      <c r="K3" s="17" t="s">
        <v>4</v>
      </c>
      <c r="L3" s="17" t="s">
        <v>8</v>
      </c>
      <c r="M3" s="17" t="s">
        <v>22</v>
      </c>
    </row>
    <row r="4" spans="2:13" x14ac:dyDescent="0.25">
      <c r="B4" s="3">
        <v>1</v>
      </c>
      <c r="C4" s="4">
        <v>25843.65</v>
      </c>
      <c r="D4" s="4">
        <v>4200</v>
      </c>
      <c r="F4" s="5">
        <v>43375</v>
      </c>
      <c r="G4" s="3">
        <v>1</v>
      </c>
      <c r="H4" s="4">
        <v>25843.65</v>
      </c>
      <c r="I4" s="6">
        <v>0.03</v>
      </c>
      <c r="J4" s="7">
        <f>(PV(I4,G4,,H4))*-1</f>
        <v>25090.922330097088</v>
      </c>
      <c r="K4" s="8">
        <f>H4-J4</f>
        <v>752.72766990291348</v>
      </c>
      <c r="L4" s="9">
        <v>90</v>
      </c>
      <c r="M4" s="5">
        <f>F4+L4</f>
        <v>43465</v>
      </c>
    </row>
    <row r="5" spans="2:13" x14ac:dyDescent="0.25">
      <c r="B5" s="3">
        <v>2</v>
      </c>
      <c r="C5" s="4">
        <v>25843.65</v>
      </c>
      <c r="D5" s="4">
        <v>3500.69</v>
      </c>
      <c r="F5" s="5">
        <f>M4+$E$3</f>
        <v>43466</v>
      </c>
      <c r="G5" s="3">
        <v>2</v>
      </c>
      <c r="H5" s="4">
        <v>25843.65</v>
      </c>
      <c r="I5" s="6">
        <v>0.03</v>
      </c>
      <c r="J5" s="7">
        <f t="shared" ref="J5:J9" si="0">(PV(I5,G5,,H5))*-1</f>
        <v>24360.118767084554</v>
      </c>
      <c r="K5" s="8">
        <f t="shared" ref="K5:K9" si="1">H5-J5</f>
        <v>1483.5312329154476</v>
      </c>
      <c r="L5" s="9">
        <v>90</v>
      </c>
      <c r="M5" s="5">
        <f t="shared" ref="M5:M9" si="2">F5+L5</f>
        <v>43556</v>
      </c>
    </row>
    <row r="6" spans="2:13" x14ac:dyDescent="0.25">
      <c r="B6" s="3">
        <v>3</v>
      </c>
      <c r="C6" s="4">
        <v>25843.65</v>
      </c>
      <c r="D6" s="4">
        <v>2881.9</v>
      </c>
      <c r="F6" s="5">
        <f t="shared" ref="F6:F9" si="3">M5+$E$3</f>
        <v>43557</v>
      </c>
      <c r="G6" s="3">
        <v>3</v>
      </c>
      <c r="H6" s="4">
        <v>25843.65</v>
      </c>
      <c r="I6" s="6">
        <v>0.03</v>
      </c>
      <c r="J6" s="7">
        <f t="shared" si="0"/>
        <v>23650.600744742285</v>
      </c>
      <c r="K6" s="8">
        <f t="shared" si="1"/>
        <v>2193.0492552577161</v>
      </c>
      <c r="L6" s="9">
        <v>90</v>
      </c>
      <c r="M6" s="5">
        <f t="shared" si="2"/>
        <v>43647</v>
      </c>
    </row>
    <row r="7" spans="2:13" x14ac:dyDescent="0.25">
      <c r="B7" s="3">
        <v>4</v>
      </c>
      <c r="C7" s="4">
        <v>25843.65</v>
      </c>
      <c r="D7" s="4">
        <v>2193.0500000000002</v>
      </c>
      <c r="F7" s="5">
        <f t="shared" si="3"/>
        <v>43648</v>
      </c>
      <c r="G7" s="3">
        <v>4</v>
      </c>
      <c r="H7" s="4">
        <v>25843.65</v>
      </c>
      <c r="I7" s="6">
        <v>0.03</v>
      </c>
      <c r="J7" s="7">
        <f t="shared" si="0"/>
        <v>22961.748295866295</v>
      </c>
      <c r="K7" s="8">
        <f t="shared" si="1"/>
        <v>2881.9017041337065</v>
      </c>
      <c r="L7" s="9">
        <v>90</v>
      </c>
      <c r="M7" s="5">
        <f t="shared" si="2"/>
        <v>43738</v>
      </c>
    </row>
    <row r="8" spans="2:13" x14ac:dyDescent="0.25">
      <c r="B8" s="3">
        <v>5</v>
      </c>
      <c r="C8" s="4">
        <v>25843.65</v>
      </c>
      <c r="D8" s="4">
        <v>1483.53</v>
      </c>
      <c r="F8" s="5">
        <f t="shared" si="3"/>
        <v>43739</v>
      </c>
      <c r="G8" s="3">
        <v>5</v>
      </c>
      <c r="H8" s="4">
        <v>25843.65</v>
      </c>
      <c r="I8" s="6">
        <v>0.03</v>
      </c>
      <c r="J8" s="7">
        <f t="shared" si="0"/>
        <v>22292.959510549805</v>
      </c>
      <c r="K8" s="8">
        <f t="shared" si="1"/>
        <v>3550.6904894501968</v>
      </c>
      <c r="L8" s="9">
        <v>90</v>
      </c>
      <c r="M8" s="5">
        <f t="shared" si="2"/>
        <v>43829</v>
      </c>
    </row>
    <row r="9" spans="2:13" x14ac:dyDescent="0.25">
      <c r="B9" s="3">
        <v>6</v>
      </c>
      <c r="C9" s="4">
        <v>25843.65</v>
      </c>
      <c r="D9" s="4">
        <v>752.73</v>
      </c>
      <c r="F9" s="5">
        <f t="shared" si="3"/>
        <v>43830</v>
      </c>
      <c r="G9" s="3">
        <v>6</v>
      </c>
      <c r="H9" s="4">
        <v>25843.65</v>
      </c>
      <c r="I9" s="6">
        <v>0.03</v>
      </c>
      <c r="J9" s="7">
        <f t="shared" si="0"/>
        <v>21643.650010242527</v>
      </c>
      <c r="K9" s="8">
        <f t="shared" si="1"/>
        <v>4199.9999897574744</v>
      </c>
      <c r="L9" s="9">
        <v>90</v>
      </c>
      <c r="M9" s="5">
        <f t="shared" si="2"/>
        <v>43920</v>
      </c>
    </row>
    <row r="11" spans="2:13" ht="30" x14ac:dyDescent="0.25">
      <c r="F11" s="2" t="s">
        <v>21</v>
      </c>
      <c r="I11" s="19" t="s">
        <v>12</v>
      </c>
      <c r="J11" s="20">
        <f>SUM(J4:J10)</f>
        <v>139999.99965858256</v>
      </c>
      <c r="K11" s="20">
        <f>SUM(K4:K10)</f>
        <v>15061.900341417455</v>
      </c>
      <c r="L11" s="11"/>
    </row>
    <row r="13" spans="2:13" x14ac:dyDescent="0.25">
      <c r="G13" s="12" t="s">
        <v>17</v>
      </c>
      <c r="H13" s="12" t="s">
        <v>18</v>
      </c>
      <c r="I13" s="12" t="s">
        <v>20</v>
      </c>
      <c r="J13" s="12" t="s">
        <v>9</v>
      </c>
      <c r="K13" s="12" t="s">
        <v>4</v>
      </c>
    </row>
    <row r="14" spans="2:13" x14ac:dyDescent="0.25">
      <c r="G14" s="3" t="s">
        <v>5</v>
      </c>
      <c r="H14" s="13" t="s">
        <v>6</v>
      </c>
      <c r="I14" s="3" t="s">
        <v>7</v>
      </c>
      <c r="J14" s="8">
        <f>H4+H5+H6+H7+H8</f>
        <v>129218.25</v>
      </c>
      <c r="K14" s="8">
        <f>K4+K5+K6+K7+K8</f>
        <v>10861.900351659981</v>
      </c>
    </row>
    <row r="15" spans="2:13" x14ac:dyDescent="0.25">
      <c r="G15" s="3" t="s">
        <v>10</v>
      </c>
      <c r="H15" s="3" t="s">
        <v>11</v>
      </c>
      <c r="I15" s="3" t="s">
        <v>19</v>
      </c>
      <c r="J15" s="8">
        <f>H9</f>
        <v>25843.65</v>
      </c>
      <c r="K15" s="8">
        <f>K9</f>
        <v>4199.9999897574744</v>
      </c>
    </row>
    <row r="17" spans="10:10" x14ac:dyDescent="0.25">
      <c r="J17" s="2">
        <v>25843.65</v>
      </c>
    </row>
    <row r="18" spans="10:10" x14ac:dyDescent="0.25">
      <c r="J18" s="2">
        <f>J16/J17</f>
        <v>0</v>
      </c>
    </row>
  </sheetData>
  <mergeCells count="2">
    <mergeCell ref="B2:D2"/>
    <mergeCell ref="F2:M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2019-07-08T17:52:25Z</dcterms:created>
  <dcterms:modified xsi:type="dcterms:W3CDTF">2019-07-08T18:25:09Z</dcterms:modified>
</cp:coreProperties>
</file>