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as Ernesto\Desktop\DICA 30122019\"/>
    </mc:Choice>
  </mc:AlternateContent>
  <xr:revisionPtr revIDLastSave="0" documentId="13_ncr:1_{94C7B746-FF3F-43C1-AD68-2C8AE90EA54A}" xr6:coauthVersionLast="45" xr6:coauthVersionMax="45" xr10:uidLastSave="{00000000-0000-0000-0000-000000000000}"/>
  <bookViews>
    <workbookView xWindow="-60" yWindow="-60" windowWidth="20610" windowHeight="10980" xr2:uid="{00000000-000D-0000-FFFF-FFFF00000000}"/>
  </bookViews>
  <sheets>
    <sheet name="FLUXO DIARIO 2018" sheetId="1" r:id="rId1"/>
    <sheet name="2017" sheetId="3" state="hidden" r:id="rId2"/>
    <sheet name="Plan1" sheetId="4" state="hidden" r:id="rId3"/>
  </sheets>
  <externalReferences>
    <externalReference r:id="rId4"/>
  </externalReferences>
  <definedNames>
    <definedName name="Descrição">'[1]Listas Auxiliares'!$A$13:$A$35</definedName>
    <definedName name="Novo_Registro">OFFSET(Tabela5[[#Headers],[Data]],COUNTA(Tabela5[Data])+1,0)</definedName>
    <definedName name="Pagamento">'[1]Listas Auxiliares'!$A$6:$A$9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37" i="1" l="1"/>
  <c r="G237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8" i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9" i="1"/>
  <c r="F8" i="1"/>
</calcChain>
</file>

<file path=xl/sharedStrings.xml><?xml version="1.0" encoding="utf-8"?>
<sst xmlns="http://schemas.openxmlformats.org/spreadsheetml/2006/main" count="1158" uniqueCount="44">
  <si>
    <t>Operação</t>
  </si>
  <si>
    <t>Data</t>
  </si>
  <si>
    <t>Valor Pago</t>
  </si>
  <si>
    <t>Descrição</t>
  </si>
  <si>
    <t>Forma de pagamento</t>
  </si>
  <si>
    <t>ENTRADA</t>
  </si>
  <si>
    <t>Cliente MMM</t>
  </si>
  <si>
    <t>BANCO SANTANDER</t>
  </si>
  <si>
    <t>SAÍDA</t>
  </si>
  <si>
    <t>Água</t>
  </si>
  <si>
    <t>BANCO ITAÚ</t>
  </si>
  <si>
    <t>Pró-Labore Sócio 1</t>
  </si>
  <si>
    <t>Pró-Labore Sócio 2</t>
  </si>
  <si>
    <t>Cliente XYZ</t>
  </si>
  <si>
    <t>Luz</t>
  </si>
  <si>
    <t>Salários mês 12/2016</t>
  </si>
  <si>
    <t>Clente ABC</t>
  </si>
  <si>
    <t>Manuteção mensal</t>
  </si>
  <si>
    <t>Licenças vendidas 12/2016</t>
  </si>
  <si>
    <t>Aluguel do prédio</t>
  </si>
  <si>
    <t>Cliente AAA</t>
  </si>
  <si>
    <t>Marketing</t>
  </si>
  <si>
    <t>CAIXA</t>
  </si>
  <si>
    <t>Comissões dos profissionais 12/2016</t>
  </si>
  <si>
    <t>Reconhecimento de firma</t>
  </si>
  <si>
    <t>Impostos Fererais 12/2016</t>
  </si>
  <si>
    <t>Conta linha 1</t>
  </si>
  <si>
    <t>Limpeza</t>
  </si>
  <si>
    <t>Salários mês 02/2017</t>
  </si>
  <si>
    <t>Licenças vendidas 02/2017</t>
  </si>
  <si>
    <t>Comissões dos profissionais 02/2017</t>
  </si>
  <si>
    <t>Impostos Fererais 02/2017</t>
  </si>
  <si>
    <t>Cliente KKK</t>
  </si>
  <si>
    <t>Cliente WWW</t>
  </si>
  <si>
    <t>Documentos mensais</t>
  </si>
  <si>
    <t>Taxa de incêndio</t>
  </si>
  <si>
    <t>Seguro automóvel</t>
  </si>
  <si>
    <t>13 1 parcela</t>
  </si>
  <si>
    <t>13 2 parcela</t>
  </si>
  <si>
    <t>FLUXO DIÁRIO 2018</t>
  </si>
  <si>
    <t>Saldo Inicial:</t>
  </si>
  <si>
    <t>Saldo</t>
  </si>
  <si>
    <t>Valor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</si>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</sst>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90">
        <stop position="0">
          <color theme="0"/>
        </stop>
        <stop position="1">
          <color rgb="FF00B050"/>
        </stop>
      </gradient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4" fontId="0" fillId="0" borderId="0" xfId="0" applyNumberFormat="1"/>
    <xf numFmtId="0" fontId="1" fillId="2" borderId="0" xfId="0" applyFont="1" applyFill="1" applyBorder="1" applyAlignment="1">
      <alignment horizontal="center"/>
    </xf>
    <xf numFmtId="0" fontId="2" fillId="3" borderId="0" xfId="0" applyFont="1" applyFill="1"/>
    <xf numFmtId="8" fontId="2" fillId="3" borderId="0" xfId="0" applyNumberFormat="1" applyFont="1" applyFill="1"/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0" xfId="0" applyFont="1" applyBorder="1"/>
    <xf numFmtId="14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 applyFont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10"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1</xdr:row>
      <xdr:rowOff>47626</xdr:rowOff>
    </xdr:from>
    <xdr:to>
      <xdr:col>13</xdr:col>
      <xdr:colOff>180975</xdr:colOff>
      <xdr:row>5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39225" y="314326"/>
          <a:ext cx="2000250" cy="847724"/>
        </a:xfrm>
        <a:prstGeom prst="rect">
          <a:avLst/>
        </a:prstGeom>
      </xdr:spPr>
    </xdr:pic>
    <xdr:clientData/>
  </xdr:twoCellAnchor>
  <xdr:twoCellAnchor>
    <xdr:from>
      <xdr:col>1</xdr:col>
      <xdr:colOff>301625</xdr:colOff>
      <xdr:row>3</xdr:row>
      <xdr:rowOff>103188</xdr:rowOff>
    </xdr:from>
    <xdr:to>
      <xdr:col>2</xdr:col>
      <xdr:colOff>603250</xdr:colOff>
      <xdr:row>5</xdr:row>
      <xdr:rowOff>15875</xdr:rowOff>
    </xdr:to>
    <xdr:sp macro="[0]!Módulo2.Novo_Registro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12813" y="754063"/>
          <a:ext cx="1357312" cy="2936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Novo Registro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iente/Desktop/SALVO/Documents/InfiniTI/fluxo%20de%20caix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2"/>
      <sheetName val="Planilha4"/>
      <sheetName val="MOVIMENTAÇÃO"/>
      <sheetName val="Listas Auxiliares"/>
      <sheetName val="FLUXO CURSO"/>
      <sheetName val="Planilha1"/>
      <sheetName val="DASHBOARD"/>
      <sheetName val="Planilha2"/>
    </sheetNames>
    <sheetDataSet>
      <sheetData sheetId="0"/>
      <sheetData sheetId="1"/>
      <sheetData sheetId="2"/>
      <sheetData sheetId="3">
        <row r="6">
          <cell r="A6" t="str">
            <v>Dinheiro</v>
          </cell>
        </row>
        <row r="7">
          <cell r="A7" t="str">
            <v>Cheque</v>
          </cell>
        </row>
        <row r="8">
          <cell r="A8" t="str">
            <v>Boleto bancário</v>
          </cell>
        </row>
        <row r="9">
          <cell r="A9" t="str">
            <v>Depósito</v>
          </cell>
        </row>
        <row r="13">
          <cell r="A13" t="str">
            <v>Consultoria</v>
          </cell>
        </row>
        <row r="14">
          <cell r="A14" t="str">
            <v>Licença de Software</v>
          </cell>
        </row>
        <row r="15">
          <cell r="A15" t="str">
            <v>Manutenção TI</v>
          </cell>
        </row>
        <row r="16">
          <cell r="A16" t="str">
            <v>Manutenção Sistema</v>
          </cell>
        </row>
        <row r="17">
          <cell r="A17" t="str">
            <v>Outras receitas</v>
          </cell>
        </row>
        <row r="18">
          <cell r="A18" t="str">
            <v>Cartório</v>
          </cell>
        </row>
        <row r="19">
          <cell r="A19" t="str">
            <v>Encargos</v>
          </cell>
        </row>
        <row r="20">
          <cell r="A20" t="str">
            <v>Comissões</v>
          </cell>
        </row>
        <row r="21">
          <cell r="A21" t="str">
            <v>Impostos Federais</v>
          </cell>
        </row>
        <row r="22">
          <cell r="A22" t="str">
            <v>Impostos Estaduais</v>
          </cell>
        </row>
        <row r="23">
          <cell r="A23" t="str">
            <v>Impostos Municipais</v>
          </cell>
        </row>
        <row r="24">
          <cell r="A24" t="str">
            <v>Outras Despesas Variáveis</v>
          </cell>
        </row>
        <row r="25">
          <cell r="A25" t="str">
            <v>Água</v>
          </cell>
        </row>
        <row r="26">
          <cell r="A26" t="str">
            <v>Aluguel</v>
          </cell>
        </row>
        <row r="27">
          <cell r="A27" t="str">
            <v>Energia</v>
          </cell>
        </row>
        <row r="28">
          <cell r="A28" t="str">
            <v>Comunicação</v>
          </cell>
        </row>
        <row r="29">
          <cell r="A29" t="str">
            <v>Manautenção</v>
          </cell>
        </row>
        <row r="30">
          <cell r="A30" t="str">
            <v>Limpeza</v>
          </cell>
        </row>
        <row r="31">
          <cell r="A31" t="str">
            <v>Pró-Labore</v>
          </cell>
        </row>
        <row r="32">
          <cell r="A32" t="str">
            <v>Propaganda</v>
          </cell>
        </row>
        <row r="33">
          <cell r="A33" t="str">
            <v>Salários</v>
          </cell>
        </row>
        <row r="34">
          <cell r="A34" t="str">
            <v>Segurança</v>
          </cell>
        </row>
        <row r="35">
          <cell r="A35" t="str">
            <v>Seguros</v>
          </cell>
        </row>
      </sheetData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a5" displayName="Tabela5" ref="B7:G237" totalsRowShown="0" headerRowDxfId="7">
  <autoFilter ref="B7:G237" xr:uid="{00000000-0009-0000-0100-000005000000}"/>
  <tableColumns count="6">
    <tableColumn id="1" xr3:uid="{00000000-0010-0000-0000-000001000000}" name="Data" dataDxfId="6"/>
    <tableColumn id="2" xr3:uid="{00000000-0010-0000-0000-000002000000}" name="Operação" dataDxfId="5"/>
    <tableColumn id="3" xr3:uid="{00000000-0010-0000-0000-000003000000}" name="Valor" dataDxfId="4"/>
    <tableColumn id="4" xr3:uid="{00000000-0010-0000-0000-000004000000}" name="Descrição" dataDxfId="3"/>
    <tableColumn id="5" xr3:uid="{00000000-0010-0000-0000-000005000000}" name="Saldo" dataDxfId="2">
      <calculatedColumnFormula>IF(C8="ENTRADA",F7+D8,F7-D8)</calculatedColumnFormula>
    </tableColumn>
    <tableColumn id="6" xr3:uid="{00000000-0010-0000-0000-000006000000}" name="MÊS">
      <calculatedColumnFormula>MONTH(B8)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43" displayName="Tabela43" ref="B4:F233" totalsRowShown="0">
  <autoFilter ref="B4:F233" xr:uid="{00000000-0009-0000-0100-000002000000}"/>
  <tableColumns count="5">
    <tableColumn id="1" xr3:uid="{00000000-0010-0000-0100-000001000000}" name="Operação"/>
    <tableColumn id="2" xr3:uid="{00000000-0010-0000-0100-000002000000}" name="Data" dataDxfId="1"/>
    <tableColumn id="3" xr3:uid="{00000000-0010-0000-0100-000003000000}" name="Valor Pago" dataDxfId="0"/>
    <tableColumn id="4" xr3:uid="{00000000-0010-0000-0100-000004000000}" name="Descrição"/>
    <tableColumn id="5" xr3:uid="{00000000-0010-0000-0100-000005000000}" name="Forma de pagamento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I237"/>
  <sheetViews>
    <sheetView tabSelected="1" zoomScaleNormal="100" workbookViewId="0">
      <selection activeCell="J9" sqref="J9"/>
    </sheetView>
  </sheetViews>
  <sheetFormatPr defaultRowHeight="15" x14ac:dyDescent="0.25"/>
  <cols>
    <col min="2" max="2" width="15.85546875" customWidth="1"/>
    <col min="3" max="3" width="14" bestFit="1" customWidth="1"/>
    <col min="4" max="4" width="15.42578125" customWidth="1"/>
    <col min="5" max="5" width="35.5703125" customWidth="1"/>
    <col min="6" max="6" width="13.7109375" style="6" customWidth="1"/>
    <col min="7" max="7" width="0" hidden="1" customWidth="1"/>
    <col min="8" max="9" width="11.28515625" bestFit="1" customWidth="1"/>
  </cols>
  <sheetData>
    <row r="1" spans="2:9" ht="21" x14ac:dyDescent="0.35">
      <c r="B1" s="14" t="s">
        <v>39</v>
      </c>
      <c r="C1" s="14"/>
      <c r="D1" s="14"/>
      <c r="E1" s="14"/>
      <c r="F1"/>
    </row>
    <row r="2" spans="2:9" x14ac:dyDescent="0.25">
      <c r="F2"/>
    </row>
    <row r="3" spans="2:9" x14ac:dyDescent="0.25">
      <c r="F3"/>
    </row>
    <row r="4" spans="2:9" x14ac:dyDescent="0.25">
      <c r="F4"/>
    </row>
    <row r="5" spans="2:9" x14ac:dyDescent="0.25">
      <c r="E5" s="4" t="s">
        <v>40</v>
      </c>
      <c r="F5" s="5">
        <v>300</v>
      </c>
    </row>
    <row r="6" spans="2:9" x14ac:dyDescent="0.25">
      <c r="F6"/>
    </row>
    <row r="7" spans="2:9" x14ac:dyDescent="0.25">
      <c r="B7" s="7" t="s">
        <v>1</v>
      </c>
      <c r="C7" s="8" t="s">
        <v>0</v>
      </c>
      <c r="D7" s="8" t="s">
        <v>42</v>
      </c>
      <c r="E7" s="9" t="s">
        <v>3</v>
      </c>
      <c r="F7" s="9" t="s">
        <v>41</v>
      </c>
      <c r="G7" s="3" t="s">
        <v>43</v>
      </c>
      <c r="I7" s="1"/>
    </row>
    <row r="8" spans="2:9" x14ac:dyDescent="0.25">
      <c r="B8" s="11">
        <v>43102</v>
      </c>
      <c r="C8" s="12" t="s">
        <v>5</v>
      </c>
      <c r="D8" s="13">
        <v>3000</v>
      </c>
      <c r="E8" s="10" t="s">
        <v>6</v>
      </c>
      <c r="F8" s="6">
        <f>IF(C8="ENTRADA",F5+D8,F5-D8)</f>
        <v>3300</v>
      </c>
      <c r="G8">
        <f>MONTH(B8)</f>
        <v>1</v>
      </c>
    </row>
    <row r="9" spans="2:9" x14ac:dyDescent="0.25">
      <c r="B9" s="11">
        <v>43103</v>
      </c>
      <c r="C9" s="12" t="s">
        <v>8</v>
      </c>
      <c r="D9" s="13">
        <v>250</v>
      </c>
      <c r="E9" s="10" t="s">
        <v>9</v>
      </c>
      <c r="F9" s="6">
        <f>IF(C9="ENTRADA",F8+D9,F8-D9)</f>
        <v>3050</v>
      </c>
      <c r="G9">
        <f t="shared" ref="G9:G72" si="0">MONTH(B9)</f>
        <v>1</v>
      </c>
    </row>
    <row r="10" spans="2:9" x14ac:dyDescent="0.25">
      <c r="B10" s="11">
        <v>43105</v>
      </c>
      <c r="C10" s="12" t="s">
        <v>8</v>
      </c>
      <c r="D10" s="13">
        <v>5000</v>
      </c>
      <c r="E10" s="10" t="s">
        <v>11</v>
      </c>
      <c r="F10" s="6">
        <f t="shared" ref="F10:F73" si="1">IF(C10="ENTRADA",F9+D10,F9-D10)</f>
        <v>-1950</v>
      </c>
      <c r="G10">
        <f t="shared" si="0"/>
        <v>1</v>
      </c>
    </row>
    <row r="11" spans="2:9" x14ac:dyDescent="0.25">
      <c r="B11" s="11">
        <v>43105</v>
      </c>
      <c r="C11" s="12" t="s">
        <v>8</v>
      </c>
      <c r="D11" s="13">
        <v>5000</v>
      </c>
      <c r="E11" s="10" t="s">
        <v>12</v>
      </c>
      <c r="F11" s="6">
        <f t="shared" si="1"/>
        <v>-6950</v>
      </c>
      <c r="G11">
        <f t="shared" si="0"/>
        <v>1</v>
      </c>
    </row>
    <row r="12" spans="2:9" x14ac:dyDescent="0.25">
      <c r="B12" s="11">
        <v>43105</v>
      </c>
      <c r="C12" s="12" t="s">
        <v>5</v>
      </c>
      <c r="D12" s="13">
        <v>1800</v>
      </c>
      <c r="E12" s="10" t="s">
        <v>13</v>
      </c>
      <c r="F12" s="6">
        <f t="shared" si="1"/>
        <v>-5150</v>
      </c>
      <c r="G12">
        <f t="shared" si="0"/>
        <v>1</v>
      </c>
    </row>
    <row r="13" spans="2:9" x14ac:dyDescent="0.25">
      <c r="B13" s="11">
        <v>43105</v>
      </c>
      <c r="C13" s="12" t="s">
        <v>5</v>
      </c>
      <c r="D13" s="13">
        <v>1200</v>
      </c>
      <c r="E13" s="10" t="s">
        <v>13</v>
      </c>
      <c r="F13" s="6">
        <f t="shared" si="1"/>
        <v>-3950</v>
      </c>
      <c r="G13">
        <f t="shared" si="0"/>
        <v>1</v>
      </c>
    </row>
    <row r="14" spans="2:9" x14ac:dyDescent="0.25">
      <c r="B14" s="11">
        <v>43105</v>
      </c>
      <c r="C14" s="12" t="s">
        <v>8</v>
      </c>
      <c r="D14" s="13">
        <v>450</v>
      </c>
      <c r="E14" s="10" t="s">
        <v>14</v>
      </c>
      <c r="F14" s="6">
        <f t="shared" si="1"/>
        <v>-4400</v>
      </c>
      <c r="G14">
        <f t="shared" si="0"/>
        <v>1</v>
      </c>
    </row>
    <row r="15" spans="2:9" x14ac:dyDescent="0.25">
      <c r="B15" s="11">
        <v>43105</v>
      </c>
      <c r="C15" s="12" t="s">
        <v>8</v>
      </c>
      <c r="D15" s="13">
        <v>5000</v>
      </c>
      <c r="E15" s="10" t="s">
        <v>15</v>
      </c>
      <c r="F15" s="6">
        <f t="shared" si="1"/>
        <v>-9400</v>
      </c>
      <c r="G15">
        <f t="shared" si="0"/>
        <v>1</v>
      </c>
    </row>
    <row r="16" spans="2:9" x14ac:dyDescent="0.25">
      <c r="B16" s="11">
        <v>43106</v>
      </c>
      <c r="C16" s="12" t="s">
        <v>5</v>
      </c>
      <c r="D16" s="13">
        <v>1700</v>
      </c>
      <c r="E16" s="10" t="s">
        <v>16</v>
      </c>
      <c r="F16" s="6">
        <f t="shared" si="1"/>
        <v>-7700</v>
      </c>
      <c r="G16">
        <f t="shared" si="0"/>
        <v>1</v>
      </c>
    </row>
    <row r="17" spans="2:7" x14ac:dyDescent="0.25">
      <c r="B17" s="11">
        <v>43110</v>
      </c>
      <c r="C17" s="12" t="s">
        <v>5</v>
      </c>
      <c r="D17" s="13">
        <v>1800</v>
      </c>
      <c r="E17" s="10" t="s">
        <v>17</v>
      </c>
      <c r="F17" s="6">
        <f t="shared" si="1"/>
        <v>-5900</v>
      </c>
      <c r="G17">
        <f t="shared" si="0"/>
        <v>1</v>
      </c>
    </row>
    <row r="18" spans="2:7" x14ac:dyDescent="0.25">
      <c r="B18" s="11">
        <v>43110</v>
      </c>
      <c r="C18" s="12" t="s">
        <v>5</v>
      </c>
      <c r="D18" s="13">
        <v>20000</v>
      </c>
      <c r="E18" s="10" t="s">
        <v>18</v>
      </c>
      <c r="F18" s="6">
        <f t="shared" si="1"/>
        <v>14100</v>
      </c>
      <c r="G18">
        <f t="shared" si="0"/>
        <v>1</v>
      </c>
    </row>
    <row r="19" spans="2:7" x14ac:dyDescent="0.25">
      <c r="B19" s="11">
        <v>43110</v>
      </c>
      <c r="C19" s="12" t="s">
        <v>8</v>
      </c>
      <c r="D19" s="13">
        <v>900</v>
      </c>
      <c r="E19" s="10" t="s">
        <v>19</v>
      </c>
      <c r="F19" s="6">
        <f t="shared" si="1"/>
        <v>13200</v>
      </c>
      <c r="G19">
        <f t="shared" si="0"/>
        <v>1</v>
      </c>
    </row>
    <row r="20" spans="2:7" x14ac:dyDescent="0.25">
      <c r="B20" s="11">
        <v>43115</v>
      </c>
      <c r="C20" s="12" t="s">
        <v>5</v>
      </c>
      <c r="D20" s="13">
        <v>2500</v>
      </c>
      <c r="E20" s="10" t="s">
        <v>20</v>
      </c>
      <c r="F20" s="6">
        <f t="shared" si="1"/>
        <v>15700</v>
      </c>
      <c r="G20">
        <f t="shared" si="0"/>
        <v>1</v>
      </c>
    </row>
    <row r="21" spans="2:7" x14ac:dyDescent="0.25">
      <c r="B21" s="11">
        <v>43120</v>
      </c>
      <c r="C21" s="12" t="s">
        <v>8</v>
      </c>
      <c r="D21" s="13">
        <v>500</v>
      </c>
      <c r="E21" s="10" t="s">
        <v>21</v>
      </c>
      <c r="F21" s="6">
        <f t="shared" si="1"/>
        <v>15200</v>
      </c>
      <c r="G21">
        <f t="shared" si="0"/>
        <v>1</v>
      </c>
    </row>
    <row r="22" spans="2:7" x14ac:dyDescent="0.25">
      <c r="B22" s="11">
        <v>43120</v>
      </c>
      <c r="C22" s="12" t="s">
        <v>5</v>
      </c>
      <c r="D22" s="13">
        <v>2000</v>
      </c>
      <c r="E22" s="10" t="s">
        <v>6</v>
      </c>
      <c r="F22" s="6">
        <f t="shared" si="1"/>
        <v>17200</v>
      </c>
      <c r="G22">
        <f t="shared" si="0"/>
        <v>1</v>
      </c>
    </row>
    <row r="23" spans="2:7" x14ac:dyDescent="0.25">
      <c r="B23" s="11">
        <v>43120</v>
      </c>
      <c r="C23" s="12" t="s">
        <v>8</v>
      </c>
      <c r="D23" s="13">
        <v>2000</v>
      </c>
      <c r="E23" s="10" t="s">
        <v>23</v>
      </c>
      <c r="F23" s="6">
        <f t="shared" si="1"/>
        <v>15200</v>
      </c>
      <c r="G23">
        <f t="shared" si="0"/>
        <v>1</v>
      </c>
    </row>
    <row r="24" spans="2:7" x14ac:dyDescent="0.25">
      <c r="B24" s="11">
        <v>43121</v>
      </c>
      <c r="C24" s="12" t="s">
        <v>8</v>
      </c>
      <c r="D24" s="13">
        <v>250</v>
      </c>
      <c r="E24" s="10" t="s">
        <v>24</v>
      </c>
      <c r="F24" s="6">
        <f t="shared" si="1"/>
        <v>14950</v>
      </c>
      <c r="G24">
        <f t="shared" si="0"/>
        <v>1</v>
      </c>
    </row>
    <row r="25" spans="2:7" x14ac:dyDescent="0.25">
      <c r="B25" s="11">
        <v>43125</v>
      </c>
      <c r="C25" s="12" t="s">
        <v>8</v>
      </c>
      <c r="D25" s="13">
        <v>500</v>
      </c>
      <c r="E25" s="10" t="s">
        <v>25</v>
      </c>
      <c r="F25" s="6">
        <f t="shared" si="1"/>
        <v>14450</v>
      </c>
      <c r="G25">
        <f t="shared" si="0"/>
        <v>1</v>
      </c>
    </row>
    <row r="26" spans="2:7" x14ac:dyDescent="0.25">
      <c r="B26" s="11">
        <v>43130</v>
      </c>
      <c r="C26" s="12" t="s">
        <v>8</v>
      </c>
      <c r="D26" s="13">
        <v>500</v>
      </c>
      <c r="E26" s="10" t="s">
        <v>26</v>
      </c>
      <c r="F26" s="6">
        <f t="shared" si="1"/>
        <v>13950</v>
      </c>
      <c r="G26">
        <f t="shared" si="0"/>
        <v>1</v>
      </c>
    </row>
    <row r="27" spans="2:7" x14ac:dyDescent="0.25">
      <c r="B27" s="11">
        <v>43133</v>
      </c>
      <c r="C27" s="12" t="s">
        <v>5</v>
      </c>
      <c r="D27" s="13">
        <v>3000</v>
      </c>
      <c r="E27" s="10" t="s">
        <v>6</v>
      </c>
      <c r="F27" s="6">
        <f t="shared" si="1"/>
        <v>16950</v>
      </c>
      <c r="G27">
        <f t="shared" si="0"/>
        <v>2</v>
      </c>
    </row>
    <row r="28" spans="2:7" x14ac:dyDescent="0.25">
      <c r="B28" s="11">
        <v>43133</v>
      </c>
      <c r="C28" s="12" t="s">
        <v>5</v>
      </c>
      <c r="D28" s="13">
        <v>1800</v>
      </c>
      <c r="E28" s="10" t="s">
        <v>13</v>
      </c>
      <c r="F28" s="6">
        <f t="shared" si="1"/>
        <v>18750</v>
      </c>
      <c r="G28">
        <f t="shared" si="0"/>
        <v>2</v>
      </c>
    </row>
    <row r="29" spans="2:7" x14ac:dyDescent="0.25">
      <c r="B29" s="11">
        <v>43136</v>
      </c>
      <c r="C29" s="12" t="s">
        <v>8</v>
      </c>
      <c r="D29" s="13">
        <v>6200</v>
      </c>
      <c r="E29" s="10" t="s">
        <v>11</v>
      </c>
      <c r="F29" s="6">
        <f t="shared" si="1"/>
        <v>12550</v>
      </c>
      <c r="G29">
        <f t="shared" si="0"/>
        <v>2</v>
      </c>
    </row>
    <row r="30" spans="2:7" x14ac:dyDescent="0.25">
      <c r="B30" s="11">
        <v>43136</v>
      </c>
      <c r="C30" s="12" t="s">
        <v>8</v>
      </c>
      <c r="D30" s="13">
        <v>6200</v>
      </c>
      <c r="E30" s="10" t="s">
        <v>12</v>
      </c>
      <c r="F30" s="6">
        <f t="shared" si="1"/>
        <v>6350</v>
      </c>
      <c r="G30">
        <f t="shared" si="0"/>
        <v>2</v>
      </c>
    </row>
    <row r="31" spans="2:7" x14ac:dyDescent="0.25">
      <c r="B31" s="11">
        <v>43136</v>
      </c>
      <c r="C31" s="12" t="s">
        <v>5</v>
      </c>
      <c r="D31" s="13">
        <v>1800</v>
      </c>
      <c r="E31" s="10" t="s">
        <v>13</v>
      </c>
      <c r="F31" s="6">
        <f t="shared" si="1"/>
        <v>8150</v>
      </c>
      <c r="G31">
        <f t="shared" si="0"/>
        <v>2</v>
      </c>
    </row>
    <row r="32" spans="2:7" x14ac:dyDescent="0.25">
      <c r="B32" s="11">
        <v>43136</v>
      </c>
      <c r="C32" s="12" t="s">
        <v>8</v>
      </c>
      <c r="D32" s="13">
        <v>10000</v>
      </c>
      <c r="E32" s="10" t="s">
        <v>15</v>
      </c>
      <c r="F32" s="6">
        <f t="shared" si="1"/>
        <v>-1850</v>
      </c>
      <c r="G32">
        <f t="shared" si="0"/>
        <v>2</v>
      </c>
    </row>
    <row r="33" spans="2:7" x14ac:dyDescent="0.25">
      <c r="B33" s="11">
        <v>43136</v>
      </c>
      <c r="C33" s="12" t="s">
        <v>5</v>
      </c>
      <c r="D33" s="13">
        <v>2500</v>
      </c>
      <c r="E33" s="10" t="s">
        <v>16</v>
      </c>
      <c r="F33" s="6">
        <f t="shared" si="1"/>
        <v>650</v>
      </c>
      <c r="G33">
        <f t="shared" si="0"/>
        <v>2</v>
      </c>
    </row>
    <row r="34" spans="2:7" x14ac:dyDescent="0.25">
      <c r="B34" s="11">
        <v>43136</v>
      </c>
      <c r="C34" s="12" t="s">
        <v>8</v>
      </c>
      <c r="D34" s="13">
        <v>280</v>
      </c>
      <c r="E34" s="10" t="s">
        <v>9</v>
      </c>
      <c r="F34" s="6">
        <f t="shared" si="1"/>
        <v>370</v>
      </c>
      <c r="G34">
        <f t="shared" si="0"/>
        <v>2</v>
      </c>
    </row>
    <row r="35" spans="2:7" x14ac:dyDescent="0.25">
      <c r="B35" s="11">
        <v>43136</v>
      </c>
      <c r="C35" s="12" t="s">
        <v>8</v>
      </c>
      <c r="D35" s="13">
        <v>460</v>
      </c>
      <c r="E35" s="10" t="s">
        <v>14</v>
      </c>
      <c r="F35" s="6">
        <f t="shared" si="1"/>
        <v>-90</v>
      </c>
      <c r="G35">
        <f t="shared" si="0"/>
        <v>2</v>
      </c>
    </row>
    <row r="36" spans="2:7" x14ac:dyDescent="0.25">
      <c r="B36" s="11">
        <v>43146</v>
      </c>
      <c r="C36" s="12" t="s">
        <v>5</v>
      </c>
      <c r="D36" s="13">
        <v>1800</v>
      </c>
      <c r="E36" s="10" t="s">
        <v>17</v>
      </c>
      <c r="F36" s="6">
        <f t="shared" si="1"/>
        <v>1710</v>
      </c>
      <c r="G36">
        <f t="shared" si="0"/>
        <v>2</v>
      </c>
    </row>
    <row r="37" spans="2:7" x14ac:dyDescent="0.25">
      <c r="B37" s="11">
        <v>43146</v>
      </c>
      <c r="C37" s="12" t="s">
        <v>5</v>
      </c>
      <c r="D37" s="13">
        <v>10000</v>
      </c>
      <c r="E37" s="10" t="s">
        <v>18</v>
      </c>
      <c r="F37" s="6">
        <f t="shared" si="1"/>
        <v>11710</v>
      </c>
      <c r="G37">
        <f t="shared" si="0"/>
        <v>2</v>
      </c>
    </row>
    <row r="38" spans="2:7" x14ac:dyDescent="0.25">
      <c r="B38" s="11">
        <v>43151</v>
      </c>
      <c r="C38" s="12" t="s">
        <v>8</v>
      </c>
      <c r="D38" s="13">
        <v>300</v>
      </c>
      <c r="E38" s="10" t="s">
        <v>27</v>
      </c>
      <c r="F38" s="6">
        <f t="shared" si="1"/>
        <v>11410</v>
      </c>
      <c r="G38">
        <f t="shared" si="0"/>
        <v>2</v>
      </c>
    </row>
    <row r="39" spans="2:7" x14ac:dyDescent="0.25">
      <c r="B39" s="11">
        <v>43151</v>
      </c>
      <c r="C39" s="12" t="s">
        <v>8</v>
      </c>
      <c r="D39" s="13">
        <v>200</v>
      </c>
      <c r="E39" s="10" t="s">
        <v>24</v>
      </c>
      <c r="F39" s="6">
        <f t="shared" si="1"/>
        <v>11210</v>
      </c>
      <c r="G39">
        <f t="shared" si="0"/>
        <v>2</v>
      </c>
    </row>
    <row r="40" spans="2:7" x14ac:dyDescent="0.25">
      <c r="B40" s="11">
        <v>43151</v>
      </c>
      <c r="C40" s="12" t="s">
        <v>5</v>
      </c>
      <c r="D40" s="13">
        <v>2300</v>
      </c>
      <c r="E40" s="10" t="s">
        <v>20</v>
      </c>
      <c r="F40" s="6">
        <f t="shared" si="1"/>
        <v>13510</v>
      </c>
      <c r="G40">
        <f t="shared" si="0"/>
        <v>2</v>
      </c>
    </row>
    <row r="41" spans="2:7" x14ac:dyDescent="0.25">
      <c r="B41" s="11">
        <v>43151</v>
      </c>
      <c r="C41" s="12" t="s">
        <v>8</v>
      </c>
      <c r="D41" s="13">
        <v>2200</v>
      </c>
      <c r="E41" s="10" t="s">
        <v>23</v>
      </c>
      <c r="F41" s="6">
        <f t="shared" si="1"/>
        <v>11310</v>
      </c>
      <c r="G41">
        <f t="shared" si="0"/>
        <v>2</v>
      </c>
    </row>
    <row r="42" spans="2:7" x14ac:dyDescent="0.25">
      <c r="B42" s="11">
        <v>43151</v>
      </c>
      <c r="C42" s="12" t="s">
        <v>5</v>
      </c>
      <c r="D42" s="13">
        <v>1300</v>
      </c>
      <c r="E42" s="10" t="s">
        <v>6</v>
      </c>
      <c r="F42" s="6">
        <f t="shared" si="1"/>
        <v>12610</v>
      </c>
      <c r="G42">
        <f t="shared" si="0"/>
        <v>2</v>
      </c>
    </row>
    <row r="43" spans="2:7" x14ac:dyDescent="0.25">
      <c r="B43" s="11">
        <v>43154</v>
      </c>
      <c r="C43" s="12" t="s">
        <v>8</v>
      </c>
      <c r="D43" s="13">
        <v>1300</v>
      </c>
      <c r="E43" s="10" t="s">
        <v>25</v>
      </c>
      <c r="F43" s="6">
        <f t="shared" si="1"/>
        <v>11310</v>
      </c>
      <c r="G43">
        <f t="shared" si="0"/>
        <v>2</v>
      </c>
    </row>
    <row r="44" spans="2:7" x14ac:dyDescent="0.25">
      <c r="B44" s="11">
        <v>43156</v>
      </c>
      <c r="C44" s="12" t="s">
        <v>8</v>
      </c>
      <c r="D44" s="13">
        <v>500</v>
      </c>
      <c r="E44" s="10" t="s">
        <v>26</v>
      </c>
      <c r="F44" s="6">
        <f t="shared" si="1"/>
        <v>10810</v>
      </c>
      <c r="G44">
        <f t="shared" si="0"/>
        <v>2</v>
      </c>
    </row>
    <row r="45" spans="2:7" x14ac:dyDescent="0.25">
      <c r="B45" s="11">
        <v>43161</v>
      </c>
      <c r="C45" s="12" t="s">
        <v>5</v>
      </c>
      <c r="D45" s="13">
        <v>2000</v>
      </c>
      <c r="E45" s="10" t="s">
        <v>6</v>
      </c>
      <c r="F45" s="6">
        <f t="shared" si="1"/>
        <v>12810</v>
      </c>
      <c r="G45">
        <f t="shared" si="0"/>
        <v>3</v>
      </c>
    </row>
    <row r="46" spans="2:7" x14ac:dyDescent="0.25">
      <c r="B46" s="11">
        <v>43162</v>
      </c>
      <c r="C46" s="12" t="s">
        <v>8</v>
      </c>
      <c r="D46" s="13">
        <v>300</v>
      </c>
      <c r="E46" s="10" t="s">
        <v>9</v>
      </c>
      <c r="F46" s="6">
        <f t="shared" si="1"/>
        <v>12510</v>
      </c>
      <c r="G46">
        <f t="shared" si="0"/>
        <v>3</v>
      </c>
    </row>
    <row r="47" spans="2:7" x14ac:dyDescent="0.25">
      <c r="B47" s="11">
        <v>43164</v>
      </c>
      <c r="C47" s="12" t="s">
        <v>8</v>
      </c>
      <c r="D47" s="13">
        <v>6000</v>
      </c>
      <c r="E47" s="10" t="s">
        <v>11</v>
      </c>
      <c r="F47" s="6">
        <f t="shared" si="1"/>
        <v>6510</v>
      </c>
      <c r="G47">
        <f t="shared" si="0"/>
        <v>3</v>
      </c>
    </row>
    <row r="48" spans="2:7" x14ac:dyDescent="0.25">
      <c r="B48" s="11">
        <v>43164</v>
      </c>
      <c r="C48" s="12" t="s">
        <v>8</v>
      </c>
      <c r="D48" s="13">
        <v>6000</v>
      </c>
      <c r="E48" s="10" t="s">
        <v>12</v>
      </c>
      <c r="F48" s="6">
        <f t="shared" si="1"/>
        <v>510</v>
      </c>
      <c r="G48">
        <f t="shared" si="0"/>
        <v>3</v>
      </c>
    </row>
    <row r="49" spans="2:7" x14ac:dyDescent="0.25">
      <c r="B49" s="11">
        <v>43164</v>
      </c>
      <c r="C49" s="12" t="s">
        <v>5</v>
      </c>
      <c r="D49" s="13">
        <v>2500</v>
      </c>
      <c r="E49" s="10" t="s">
        <v>13</v>
      </c>
      <c r="F49" s="6">
        <f t="shared" si="1"/>
        <v>3010</v>
      </c>
      <c r="G49">
        <f t="shared" si="0"/>
        <v>3</v>
      </c>
    </row>
    <row r="50" spans="2:7" x14ac:dyDescent="0.25">
      <c r="B50" s="11">
        <v>43164</v>
      </c>
      <c r="C50" s="12" t="s">
        <v>5</v>
      </c>
      <c r="D50" s="13">
        <v>800</v>
      </c>
      <c r="E50" s="10" t="s">
        <v>13</v>
      </c>
      <c r="F50" s="6">
        <f t="shared" si="1"/>
        <v>3810</v>
      </c>
      <c r="G50">
        <f t="shared" si="0"/>
        <v>3</v>
      </c>
    </row>
    <row r="51" spans="2:7" x14ac:dyDescent="0.25">
      <c r="B51" s="11">
        <v>43164</v>
      </c>
      <c r="C51" s="12" t="s">
        <v>5</v>
      </c>
      <c r="D51" s="13">
        <v>2000</v>
      </c>
      <c r="E51" s="10" t="s">
        <v>16</v>
      </c>
      <c r="F51" s="6">
        <f t="shared" si="1"/>
        <v>5810</v>
      </c>
      <c r="G51">
        <f t="shared" si="0"/>
        <v>3</v>
      </c>
    </row>
    <row r="52" spans="2:7" x14ac:dyDescent="0.25">
      <c r="B52" s="11">
        <v>43164</v>
      </c>
      <c r="C52" s="12" t="s">
        <v>8</v>
      </c>
      <c r="D52" s="13">
        <v>5000</v>
      </c>
      <c r="E52" s="10" t="s">
        <v>28</v>
      </c>
      <c r="F52" s="6">
        <f t="shared" si="1"/>
        <v>810</v>
      </c>
      <c r="G52">
        <f t="shared" si="0"/>
        <v>3</v>
      </c>
    </row>
    <row r="53" spans="2:7" x14ac:dyDescent="0.25">
      <c r="B53" s="11">
        <v>43169</v>
      </c>
      <c r="C53" s="12" t="s">
        <v>8</v>
      </c>
      <c r="D53" s="13">
        <v>500</v>
      </c>
      <c r="E53" s="10" t="s">
        <v>14</v>
      </c>
      <c r="F53" s="6">
        <f t="shared" si="1"/>
        <v>310</v>
      </c>
      <c r="G53">
        <f t="shared" si="0"/>
        <v>3</v>
      </c>
    </row>
    <row r="54" spans="2:7" x14ac:dyDescent="0.25">
      <c r="B54" s="11">
        <v>43173</v>
      </c>
      <c r="C54" s="12" t="s">
        <v>8</v>
      </c>
      <c r="D54" s="13">
        <v>1000</v>
      </c>
      <c r="E54" s="10" t="s">
        <v>19</v>
      </c>
      <c r="F54" s="6">
        <f t="shared" si="1"/>
        <v>-690</v>
      </c>
      <c r="G54">
        <f t="shared" si="0"/>
        <v>3</v>
      </c>
    </row>
    <row r="55" spans="2:7" x14ac:dyDescent="0.25">
      <c r="B55" s="11">
        <v>43179</v>
      </c>
      <c r="C55" s="12" t="s">
        <v>5</v>
      </c>
      <c r="D55" s="13">
        <v>2000</v>
      </c>
      <c r="E55" s="10" t="s">
        <v>20</v>
      </c>
      <c r="F55" s="6">
        <f t="shared" si="1"/>
        <v>1310</v>
      </c>
      <c r="G55">
        <f t="shared" si="0"/>
        <v>3</v>
      </c>
    </row>
    <row r="56" spans="2:7" x14ac:dyDescent="0.25">
      <c r="B56" s="11">
        <v>43179</v>
      </c>
      <c r="C56" s="12" t="s">
        <v>5</v>
      </c>
      <c r="D56" s="13">
        <v>2000</v>
      </c>
      <c r="E56" s="10" t="s">
        <v>17</v>
      </c>
      <c r="F56" s="6">
        <f t="shared" si="1"/>
        <v>3310</v>
      </c>
      <c r="G56">
        <f t="shared" si="0"/>
        <v>3</v>
      </c>
    </row>
    <row r="57" spans="2:7" x14ac:dyDescent="0.25">
      <c r="B57" s="11">
        <v>43179</v>
      </c>
      <c r="C57" s="12" t="s">
        <v>5</v>
      </c>
      <c r="D57" s="13">
        <v>25000</v>
      </c>
      <c r="E57" s="10" t="s">
        <v>29</v>
      </c>
      <c r="F57" s="6">
        <f t="shared" si="1"/>
        <v>28310</v>
      </c>
      <c r="G57">
        <f t="shared" si="0"/>
        <v>3</v>
      </c>
    </row>
    <row r="58" spans="2:7" x14ac:dyDescent="0.25">
      <c r="B58" s="11">
        <v>43182</v>
      </c>
      <c r="C58" s="12" t="s">
        <v>8</v>
      </c>
      <c r="D58" s="13">
        <v>2000</v>
      </c>
      <c r="E58" s="10" t="s">
        <v>30</v>
      </c>
      <c r="F58" s="6">
        <f t="shared" si="1"/>
        <v>26310</v>
      </c>
      <c r="G58">
        <f t="shared" si="0"/>
        <v>3</v>
      </c>
    </row>
    <row r="59" spans="2:7" x14ac:dyDescent="0.25">
      <c r="B59" s="11">
        <v>43184</v>
      </c>
      <c r="C59" s="12" t="s">
        <v>5</v>
      </c>
      <c r="D59" s="13">
        <v>1200</v>
      </c>
      <c r="E59" s="10" t="s">
        <v>6</v>
      </c>
      <c r="F59" s="6">
        <f t="shared" si="1"/>
        <v>27510</v>
      </c>
      <c r="G59">
        <f t="shared" si="0"/>
        <v>3</v>
      </c>
    </row>
    <row r="60" spans="2:7" x14ac:dyDescent="0.25">
      <c r="B60" s="11">
        <v>43184</v>
      </c>
      <c r="C60" s="12" t="s">
        <v>8</v>
      </c>
      <c r="D60" s="13">
        <v>1000</v>
      </c>
      <c r="E60" s="10" t="s">
        <v>31</v>
      </c>
      <c r="F60" s="6">
        <f t="shared" si="1"/>
        <v>26510</v>
      </c>
      <c r="G60">
        <f t="shared" si="0"/>
        <v>3</v>
      </c>
    </row>
    <row r="61" spans="2:7" x14ac:dyDescent="0.25">
      <c r="B61" s="11">
        <v>43189</v>
      </c>
      <c r="C61" s="12" t="s">
        <v>8</v>
      </c>
      <c r="D61" s="13">
        <v>500</v>
      </c>
      <c r="E61" s="10" t="s">
        <v>26</v>
      </c>
      <c r="F61" s="6">
        <f t="shared" si="1"/>
        <v>26010</v>
      </c>
      <c r="G61">
        <f t="shared" si="0"/>
        <v>3</v>
      </c>
    </row>
    <row r="62" spans="2:7" x14ac:dyDescent="0.25">
      <c r="B62" s="11">
        <v>43192</v>
      </c>
      <c r="C62" s="12" t="s">
        <v>5</v>
      </c>
      <c r="D62" s="13">
        <v>1500</v>
      </c>
      <c r="E62" s="10" t="s">
        <v>6</v>
      </c>
      <c r="F62" s="6">
        <f t="shared" si="1"/>
        <v>27510</v>
      </c>
      <c r="G62">
        <f t="shared" si="0"/>
        <v>4</v>
      </c>
    </row>
    <row r="63" spans="2:7" x14ac:dyDescent="0.25">
      <c r="B63" s="11">
        <v>43193</v>
      </c>
      <c r="C63" s="12" t="s">
        <v>8</v>
      </c>
      <c r="D63" s="13">
        <v>250</v>
      </c>
      <c r="E63" s="10" t="s">
        <v>9</v>
      </c>
      <c r="F63" s="6">
        <f t="shared" si="1"/>
        <v>27260</v>
      </c>
      <c r="G63">
        <f t="shared" si="0"/>
        <v>4</v>
      </c>
    </row>
    <row r="64" spans="2:7" x14ac:dyDescent="0.25">
      <c r="B64" s="11">
        <v>43195</v>
      </c>
      <c r="C64" s="12" t="s">
        <v>8</v>
      </c>
      <c r="D64" s="13">
        <v>4000</v>
      </c>
      <c r="E64" s="10" t="s">
        <v>28</v>
      </c>
      <c r="F64" s="6">
        <f t="shared" si="1"/>
        <v>23260</v>
      </c>
      <c r="G64">
        <f t="shared" si="0"/>
        <v>4</v>
      </c>
    </row>
    <row r="65" spans="2:7" x14ac:dyDescent="0.25">
      <c r="B65" s="11">
        <v>43195</v>
      </c>
      <c r="C65" s="12" t="s">
        <v>5</v>
      </c>
      <c r="D65" s="13">
        <v>3000</v>
      </c>
      <c r="E65" s="10" t="s">
        <v>16</v>
      </c>
      <c r="F65" s="6">
        <f t="shared" si="1"/>
        <v>26260</v>
      </c>
      <c r="G65">
        <f t="shared" si="0"/>
        <v>4</v>
      </c>
    </row>
    <row r="66" spans="2:7" x14ac:dyDescent="0.25">
      <c r="B66" s="11">
        <v>43195</v>
      </c>
      <c r="C66" s="12" t="s">
        <v>5</v>
      </c>
      <c r="D66" s="13">
        <v>1000</v>
      </c>
      <c r="E66" s="10" t="s">
        <v>13</v>
      </c>
      <c r="F66" s="6">
        <f t="shared" si="1"/>
        <v>27260</v>
      </c>
      <c r="G66">
        <f t="shared" si="0"/>
        <v>4</v>
      </c>
    </row>
    <row r="67" spans="2:7" x14ac:dyDescent="0.25">
      <c r="B67" s="11">
        <v>43200</v>
      </c>
      <c r="C67" s="12" t="s">
        <v>8</v>
      </c>
      <c r="D67" s="13">
        <v>6000</v>
      </c>
      <c r="E67" s="10" t="s">
        <v>12</v>
      </c>
      <c r="F67" s="6">
        <f t="shared" si="1"/>
        <v>21260</v>
      </c>
      <c r="G67">
        <f t="shared" si="0"/>
        <v>4</v>
      </c>
    </row>
    <row r="68" spans="2:7" x14ac:dyDescent="0.25">
      <c r="B68" s="11">
        <v>43200</v>
      </c>
      <c r="C68" s="12" t="s">
        <v>8</v>
      </c>
      <c r="D68" s="13">
        <v>6000</v>
      </c>
      <c r="E68" s="10" t="s">
        <v>11</v>
      </c>
      <c r="F68" s="6">
        <f t="shared" si="1"/>
        <v>15260</v>
      </c>
      <c r="G68">
        <f t="shared" si="0"/>
        <v>4</v>
      </c>
    </row>
    <row r="69" spans="2:7" x14ac:dyDescent="0.25">
      <c r="B69" s="11">
        <v>43205</v>
      </c>
      <c r="C69" s="12" t="s">
        <v>8</v>
      </c>
      <c r="D69" s="13">
        <v>1000</v>
      </c>
      <c r="E69" s="10" t="s">
        <v>19</v>
      </c>
      <c r="F69" s="6">
        <f t="shared" si="1"/>
        <v>14260</v>
      </c>
      <c r="G69">
        <f t="shared" si="0"/>
        <v>4</v>
      </c>
    </row>
    <row r="70" spans="2:7" x14ac:dyDescent="0.25">
      <c r="B70" s="11">
        <v>43205</v>
      </c>
      <c r="C70" s="12" t="s">
        <v>5</v>
      </c>
      <c r="D70" s="13">
        <v>30000</v>
      </c>
      <c r="E70" s="10" t="s">
        <v>29</v>
      </c>
      <c r="F70" s="6">
        <f t="shared" si="1"/>
        <v>44260</v>
      </c>
      <c r="G70">
        <f t="shared" si="0"/>
        <v>4</v>
      </c>
    </row>
    <row r="71" spans="2:7" x14ac:dyDescent="0.25">
      <c r="B71" s="11">
        <v>43205</v>
      </c>
      <c r="C71" s="12" t="s">
        <v>5</v>
      </c>
      <c r="D71" s="13">
        <v>3000</v>
      </c>
      <c r="E71" s="10" t="s">
        <v>13</v>
      </c>
      <c r="F71" s="6">
        <f t="shared" si="1"/>
        <v>47260</v>
      </c>
      <c r="G71">
        <f t="shared" si="0"/>
        <v>4</v>
      </c>
    </row>
    <row r="72" spans="2:7" x14ac:dyDescent="0.25">
      <c r="B72" s="11">
        <v>43205</v>
      </c>
      <c r="C72" s="12" t="s">
        <v>8</v>
      </c>
      <c r="D72" s="13">
        <v>600</v>
      </c>
      <c r="E72" s="10" t="s">
        <v>14</v>
      </c>
      <c r="F72" s="6">
        <f t="shared" si="1"/>
        <v>46660</v>
      </c>
      <c r="G72">
        <f t="shared" si="0"/>
        <v>4</v>
      </c>
    </row>
    <row r="73" spans="2:7" x14ac:dyDescent="0.25">
      <c r="B73" s="11">
        <v>43210</v>
      </c>
      <c r="C73" s="12" t="s">
        <v>8</v>
      </c>
      <c r="D73" s="13">
        <v>2000</v>
      </c>
      <c r="E73" s="10" t="s">
        <v>30</v>
      </c>
      <c r="F73" s="6">
        <f t="shared" si="1"/>
        <v>44660</v>
      </c>
      <c r="G73">
        <f t="shared" ref="G73:G136" si="2">MONTH(B73)</f>
        <v>4</v>
      </c>
    </row>
    <row r="74" spans="2:7" x14ac:dyDescent="0.25">
      <c r="B74" s="11">
        <v>43210</v>
      </c>
      <c r="C74" s="12" t="s">
        <v>5</v>
      </c>
      <c r="D74" s="13">
        <v>1800</v>
      </c>
      <c r="E74" s="10" t="s">
        <v>20</v>
      </c>
      <c r="F74" s="6">
        <f t="shared" ref="F74:F137" si="3">IF(C74="ENTRADA",F73+D74,F73-D74)</f>
        <v>46460</v>
      </c>
      <c r="G74">
        <f t="shared" si="2"/>
        <v>4</v>
      </c>
    </row>
    <row r="75" spans="2:7" x14ac:dyDescent="0.25">
      <c r="B75" s="11">
        <v>43210</v>
      </c>
      <c r="C75" s="12" t="s">
        <v>5</v>
      </c>
      <c r="D75" s="13">
        <v>1500</v>
      </c>
      <c r="E75" s="10" t="s">
        <v>17</v>
      </c>
      <c r="F75" s="6">
        <f t="shared" si="3"/>
        <v>47960</v>
      </c>
      <c r="G75">
        <f t="shared" si="2"/>
        <v>4</v>
      </c>
    </row>
    <row r="76" spans="2:7" x14ac:dyDescent="0.25">
      <c r="B76" s="11">
        <v>43215</v>
      </c>
      <c r="C76" s="12" t="s">
        <v>5</v>
      </c>
      <c r="D76" s="13">
        <v>2000</v>
      </c>
      <c r="E76" s="10" t="s">
        <v>6</v>
      </c>
      <c r="F76" s="6">
        <f t="shared" si="3"/>
        <v>49960</v>
      </c>
      <c r="G76">
        <f t="shared" si="2"/>
        <v>4</v>
      </c>
    </row>
    <row r="77" spans="2:7" x14ac:dyDescent="0.25">
      <c r="B77" s="11">
        <v>43215</v>
      </c>
      <c r="C77" s="12" t="s">
        <v>8</v>
      </c>
      <c r="D77" s="13">
        <v>1500</v>
      </c>
      <c r="E77" s="10" t="s">
        <v>31</v>
      </c>
      <c r="F77" s="6">
        <f t="shared" si="3"/>
        <v>48460</v>
      </c>
      <c r="G77">
        <f t="shared" si="2"/>
        <v>4</v>
      </c>
    </row>
    <row r="78" spans="2:7" x14ac:dyDescent="0.25">
      <c r="B78" s="11">
        <v>43220</v>
      </c>
      <c r="C78" s="12" t="s">
        <v>8</v>
      </c>
      <c r="D78" s="13">
        <v>500</v>
      </c>
      <c r="E78" s="10" t="s">
        <v>26</v>
      </c>
      <c r="F78" s="6">
        <f t="shared" si="3"/>
        <v>47960</v>
      </c>
      <c r="G78">
        <f t="shared" si="2"/>
        <v>4</v>
      </c>
    </row>
    <row r="79" spans="2:7" x14ac:dyDescent="0.25">
      <c r="B79" s="11">
        <v>43222</v>
      </c>
      <c r="C79" s="12" t="s">
        <v>5</v>
      </c>
      <c r="D79" s="13">
        <v>1400</v>
      </c>
      <c r="E79" s="10" t="s">
        <v>6</v>
      </c>
      <c r="F79" s="6">
        <f t="shared" si="3"/>
        <v>49360</v>
      </c>
      <c r="G79">
        <f t="shared" si="2"/>
        <v>5</v>
      </c>
    </row>
    <row r="80" spans="2:7" x14ac:dyDescent="0.25">
      <c r="B80" s="11">
        <v>43225</v>
      </c>
      <c r="C80" s="12" t="s">
        <v>5</v>
      </c>
      <c r="D80" s="13">
        <v>2800</v>
      </c>
      <c r="E80" s="10" t="s">
        <v>16</v>
      </c>
      <c r="F80" s="6">
        <f t="shared" si="3"/>
        <v>52160</v>
      </c>
      <c r="G80">
        <f t="shared" si="2"/>
        <v>5</v>
      </c>
    </row>
    <row r="81" spans="2:7" x14ac:dyDescent="0.25">
      <c r="B81" s="11">
        <v>43225</v>
      </c>
      <c r="C81" s="12" t="s">
        <v>8</v>
      </c>
      <c r="D81" s="13">
        <v>4000</v>
      </c>
      <c r="E81" s="10" t="s">
        <v>28</v>
      </c>
      <c r="F81" s="6">
        <f t="shared" si="3"/>
        <v>48160</v>
      </c>
      <c r="G81">
        <f t="shared" si="2"/>
        <v>5</v>
      </c>
    </row>
    <row r="82" spans="2:7" x14ac:dyDescent="0.25">
      <c r="B82" s="11">
        <v>43225</v>
      </c>
      <c r="C82" s="12" t="s">
        <v>8</v>
      </c>
      <c r="D82" s="13">
        <v>300</v>
      </c>
      <c r="E82" s="10" t="s">
        <v>9</v>
      </c>
      <c r="F82" s="6">
        <f t="shared" si="3"/>
        <v>47860</v>
      </c>
      <c r="G82">
        <f t="shared" si="2"/>
        <v>5</v>
      </c>
    </row>
    <row r="83" spans="2:7" x14ac:dyDescent="0.25">
      <c r="B83" s="11">
        <v>43225</v>
      </c>
      <c r="C83" s="12" t="s">
        <v>5</v>
      </c>
      <c r="D83" s="13">
        <v>1200</v>
      </c>
      <c r="E83" s="10" t="s">
        <v>13</v>
      </c>
      <c r="F83" s="6">
        <f t="shared" si="3"/>
        <v>49060</v>
      </c>
      <c r="G83">
        <f t="shared" si="2"/>
        <v>5</v>
      </c>
    </row>
    <row r="84" spans="2:7" x14ac:dyDescent="0.25">
      <c r="B84" s="11">
        <v>43230</v>
      </c>
      <c r="C84" s="12" t="s">
        <v>5</v>
      </c>
      <c r="D84" s="13">
        <v>3200</v>
      </c>
      <c r="E84" s="10" t="s">
        <v>13</v>
      </c>
      <c r="F84" s="6">
        <f t="shared" si="3"/>
        <v>52260</v>
      </c>
      <c r="G84">
        <f t="shared" si="2"/>
        <v>5</v>
      </c>
    </row>
    <row r="85" spans="2:7" x14ac:dyDescent="0.25">
      <c r="B85" s="11">
        <v>43230</v>
      </c>
      <c r="C85" s="12" t="s">
        <v>8</v>
      </c>
      <c r="D85" s="13">
        <v>700</v>
      </c>
      <c r="E85" s="10" t="s">
        <v>14</v>
      </c>
      <c r="F85" s="6">
        <f t="shared" si="3"/>
        <v>51560</v>
      </c>
      <c r="G85">
        <f t="shared" si="2"/>
        <v>5</v>
      </c>
    </row>
    <row r="86" spans="2:7" x14ac:dyDescent="0.25">
      <c r="B86" s="11">
        <v>43230</v>
      </c>
      <c r="C86" s="12" t="s">
        <v>8</v>
      </c>
      <c r="D86" s="13">
        <v>6000</v>
      </c>
      <c r="E86" s="10" t="s">
        <v>11</v>
      </c>
      <c r="F86" s="6">
        <f t="shared" si="3"/>
        <v>45560</v>
      </c>
      <c r="G86">
        <f t="shared" si="2"/>
        <v>5</v>
      </c>
    </row>
    <row r="87" spans="2:7" x14ac:dyDescent="0.25">
      <c r="B87" s="11">
        <v>43230</v>
      </c>
      <c r="C87" s="12" t="s">
        <v>8</v>
      </c>
      <c r="D87" s="13">
        <v>6000</v>
      </c>
      <c r="E87" s="10" t="s">
        <v>12</v>
      </c>
      <c r="F87" s="6">
        <f t="shared" si="3"/>
        <v>39560</v>
      </c>
      <c r="G87">
        <f t="shared" si="2"/>
        <v>5</v>
      </c>
    </row>
    <row r="88" spans="2:7" x14ac:dyDescent="0.25">
      <c r="B88" s="11">
        <v>43235</v>
      </c>
      <c r="C88" s="12" t="s">
        <v>5</v>
      </c>
      <c r="D88" s="13">
        <v>1500</v>
      </c>
      <c r="E88" s="10" t="s">
        <v>17</v>
      </c>
      <c r="F88" s="6">
        <f t="shared" si="3"/>
        <v>41060</v>
      </c>
      <c r="G88">
        <f t="shared" si="2"/>
        <v>5</v>
      </c>
    </row>
    <row r="89" spans="2:7" x14ac:dyDescent="0.25">
      <c r="B89" s="11">
        <v>43235</v>
      </c>
      <c r="C89" s="12" t="s">
        <v>5</v>
      </c>
      <c r="D89" s="13">
        <v>1800</v>
      </c>
      <c r="E89" s="10" t="s">
        <v>20</v>
      </c>
      <c r="F89" s="6">
        <f t="shared" si="3"/>
        <v>42860</v>
      </c>
      <c r="G89">
        <f t="shared" si="2"/>
        <v>5</v>
      </c>
    </row>
    <row r="90" spans="2:7" x14ac:dyDescent="0.25">
      <c r="B90" s="11">
        <v>43235</v>
      </c>
      <c r="C90" s="12" t="s">
        <v>8</v>
      </c>
      <c r="D90" s="13">
        <v>1000</v>
      </c>
      <c r="E90" s="10" t="s">
        <v>19</v>
      </c>
      <c r="F90" s="6">
        <f t="shared" si="3"/>
        <v>41860</v>
      </c>
      <c r="G90">
        <f t="shared" si="2"/>
        <v>5</v>
      </c>
    </row>
    <row r="91" spans="2:7" x14ac:dyDescent="0.25">
      <c r="B91" s="11">
        <v>43235</v>
      </c>
      <c r="C91" s="12" t="s">
        <v>5</v>
      </c>
      <c r="D91" s="13">
        <v>35000</v>
      </c>
      <c r="E91" s="10" t="s">
        <v>29</v>
      </c>
      <c r="F91" s="6">
        <f t="shared" si="3"/>
        <v>76860</v>
      </c>
      <c r="G91">
        <f t="shared" si="2"/>
        <v>5</v>
      </c>
    </row>
    <row r="92" spans="2:7" x14ac:dyDescent="0.25">
      <c r="B92" s="11">
        <v>43240</v>
      </c>
      <c r="C92" s="12" t="s">
        <v>8</v>
      </c>
      <c r="D92" s="13">
        <v>2000</v>
      </c>
      <c r="E92" s="10" t="s">
        <v>30</v>
      </c>
      <c r="F92" s="6">
        <f t="shared" si="3"/>
        <v>74860</v>
      </c>
      <c r="G92">
        <f t="shared" si="2"/>
        <v>5</v>
      </c>
    </row>
    <row r="93" spans="2:7" x14ac:dyDescent="0.25">
      <c r="B93" s="11">
        <v>43243</v>
      </c>
      <c r="C93" s="12" t="s">
        <v>8</v>
      </c>
      <c r="D93" s="13">
        <v>1500</v>
      </c>
      <c r="E93" s="10" t="s">
        <v>31</v>
      </c>
      <c r="F93" s="6">
        <f t="shared" si="3"/>
        <v>73360</v>
      </c>
      <c r="G93">
        <f t="shared" si="2"/>
        <v>5</v>
      </c>
    </row>
    <row r="94" spans="2:7" x14ac:dyDescent="0.25">
      <c r="B94" s="11">
        <v>43247</v>
      </c>
      <c r="C94" s="12" t="s">
        <v>5</v>
      </c>
      <c r="D94" s="13">
        <v>2000</v>
      </c>
      <c r="E94" s="10" t="s">
        <v>6</v>
      </c>
      <c r="F94" s="6">
        <f t="shared" si="3"/>
        <v>75360</v>
      </c>
      <c r="G94">
        <f t="shared" si="2"/>
        <v>5</v>
      </c>
    </row>
    <row r="95" spans="2:7" x14ac:dyDescent="0.25">
      <c r="B95" s="11">
        <v>43248</v>
      </c>
      <c r="C95" s="12" t="s">
        <v>5</v>
      </c>
      <c r="D95" s="13">
        <v>1500</v>
      </c>
      <c r="E95" s="10" t="s">
        <v>32</v>
      </c>
      <c r="F95" s="6">
        <f t="shared" si="3"/>
        <v>76860</v>
      </c>
      <c r="G95">
        <f t="shared" si="2"/>
        <v>5</v>
      </c>
    </row>
    <row r="96" spans="2:7" x14ac:dyDescent="0.25">
      <c r="B96" s="11">
        <v>43250</v>
      </c>
      <c r="C96" s="12" t="s">
        <v>8</v>
      </c>
      <c r="D96" s="13">
        <v>500</v>
      </c>
      <c r="E96" s="10" t="s">
        <v>26</v>
      </c>
      <c r="F96" s="6">
        <f t="shared" si="3"/>
        <v>76360</v>
      </c>
      <c r="G96">
        <f t="shared" si="2"/>
        <v>5</v>
      </c>
    </row>
    <row r="97" spans="2:7" x14ac:dyDescent="0.25">
      <c r="B97" s="11">
        <v>43250</v>
      </c>
      <c r="C97" s="12" t="s">
        <v>5</v>
      </c>
      <c r="D97" s="13">
        <v>3000</v>
      </c>
      <c r="E97" s="10" t="s">
        <v>33</v>
      </c>
      <c r="F97" s="6">
        <f t="shared" si="3"/>
        <v>79360</v>
      </c>
      <c r="G97">
        <f t="shared" si="2"/>
        <v>5</v>
      </c>
    </row>
    <row r="98" spans="2:7" x14ac:dyDescent="0.25">
      <c r="B98" s="11">
        <v>43253</v>
      </c>
      <c r="C98" s="12" t="s">
        <v>5</v>
      </c>
      <c r="D98" s="13">
        <v>1400</v>
      </c>
      <c r="E98" s="10" t="s">
        <v>6</v>
      </c>
      <c r="F98" s="6">
        <f t="shared" si="3"/>
        <v>80760</v>
      </c>
      <c r="G98">
        <f t="shared" si="2"/>
        <v>6</v>
      </c>
    </row>
    <row r="99" spans="2:7" x14ac:dyDescent="0.25">
      <c r="B99" s="11">
        <v>43254</v>
      </c>
      <c r="C99" s="12" t="s">
        <v>5</v>
      </c>
      <c r="D99" s="13">
        <v>1200</v>
      </c>
      <c r="E99" s="10" t="s">
        <v>13</v>
      </c>
      <c r="F99" s="6">
        <f t="shared" si="3"/>
        <v>81960</v>
      </c>
      <c r="G99">
        <f t="shared" si="2"/>
        <v>6</v>
      </c>
    </row>
    <row r="100" spans="2:7" x14ac:dyDescent="0.25">
      <c r="B100" s="11">
        <v>43254</v>
      </c>
      <c r="C100" s="12" t="s">
        <v>8</v>
      </c>
      <c r="D100" s="13">
        <v>300</v>
      </c>
      <c r="E100" s="10" t="s">
        <v>9</v>
      </c>
      <c r="F100" s="6">
        <f t="shared" si="3"/>
        <v>81660</v>
      </c>
      <c r="G100">
        <f t="shared" si="2"/>
        <v>6</v>
      </c>
    </row>
    <row r="101" spans="2:7" x14ac:dyDescent="0.25">
      <c r="B101" s="11">
        <v>43256</v>
      </c>
      <c r="C101" s="12" t="s">
        <v>8</v>
      </c>
      <c r="D101" s="13">
        <v>4000</v>
      </c>
      <c r="E101" s="10" t="s">
        <v>28</v>
      </c>
      <c r="F101" s="6">
        <f t="shared" si="3"/>
        <v>77660</v>
      </c>
      <c r="G101">
        <f t="shared" si="2"/>
        <v>6</v>
      </c>
    </row>
    <row r="102" spans="2:7" x14ac:dyDescent="0.25">
      <c r="B102" s="11">
        <v>43256</v>
      </c>
      <c r="C102" s="12" t="s">
        <v>5</v>
      </c>
      <c r="D102" s="13">
        <v>2800</v>
      </c>
      <c r="E102" s="10" t="s">
        <v>16</v>
      </c>
      <c r="F102" s="6">
        <f t="shared" si="3"/>
        <v>80460</v>
      </c>
      <c r="G102">
        <f t="shared" si="2"/>
        <v>6</v>
      </c>
    </row>
    <row r="103" spans="2:7" x14ac:dyDescent="0.25">
      <c r="B103" s="11">
        <v>43259</v>
      </c>
      <c r="C103" s="12" t="s">
        <v>8</v>
      </c>
      <c r="D103" s="13">
        <v>6000</v>
      </c>
      <c r="E103" s="10" t="s">
        <v>12</v>
      </c>
      <c r="F103" s="6">
        <f t="shared" si="3"/>
        <v>74460</v>
      </c>
      <c r="G103">
        <f t="shared" si="2"/>
        <v>6</v>
      </c>
    </row>
    <row r="104" spans="2:7" x14ac:dyDescent="0.25">
      <c r="B104" s="11">
        <v>43259</v>
      </c>
      <c r="C104" s="12" t="s">
        <v>8</v>
      </c>
      <c r="D104" s="13">
        <v>6000</v>
      </c>
      <c r="E104" s="10" t="s">
        <v>11</v>
      </c>
      <c r="F104" s="6">
        <f t="shared" si="3"/>
        <v>68460</v>
      </c>
      <c r="G104">
        <f t="shared" si="2"/>
        <v>6</v>
      </c>
    </row>
    <row r="105" spans="2:7" x14ac:dyDescent="0.25">
      <c r="B105" s="11">
        <v>43261</v>
      </c>
      <c r="C105" s="12" t="s">
        <v>8</v>
      </c>
      <c r="D105" s="13">
        <v>700</v>
      </c>
      <c r="E105" s="10" t="s">
        <v>14</v>
      </c>
      <c r="F105" s="6">
        <f t="shared" si="3"/>
        <v>67760</v>
      </c>
      <c r="G105">
        <f t="shared" si="2"/>
        <v>6</v>
      </c>
    </row>
    <row r="106" spans="2:7" x14ac:dyDescent="0.25">
      <c r="B106" s="11">
        <v>43261</v>
      </c>
      <c r="C106" s="12" t="s">
        <v>5</v>
      </c>
      <c r="D106" s="13">
        <v>3200</v>
      </c>
      <c r="E106" s="10" t="s">
        <v>13</v>
      </c>
      <c r="F106" s="6">
        <f t="shared" si="3"/>
        <v>70960</v>
      </c>
      <c r="G106">
        <f t="shared" si="2"/>
        <v>6</v>
      </c>
    </row>
    <row r="107" spans="2:7" x14ac:dyDescent="0.25">
      <c r="B107" s="11">
        <v>43262</v>
      </c>
      <c r="C107" s="12" t="s">
        <v>8</v>
      </c>
      <c r="D107" s="13">
        <v>1000</v>
      </c>
      <c r="E107" s="10" t="s">
        <v>19</v>
      </c>
      <c r="F107" s="6">
        <f t="shared" si="3"/>
        <v>69960</v>
      </c>
      <c r="G107">
        <f t="shared" si="2"/>
        <v>6</v>
      </c>
    </row>
    <row r="108" spans="2:7" x14ac:dyDescent="0.25">
      <c r="B108" s="11">
        <v>43263</v>
      </c>
      <c r="C108" s="12" t="s">
        <v>5</v>
      </c>
      <c r="D108" s="13">
        <v>1200</v>
      </c>
      <c r="E108" s="10" t="s">
        <v>17</v>
      </c>
      <c r="F108" s="6">
        <f t="shared" si="3"/>
        <v>71160</v>
      </c>
      <c r="G108">
        <f t="shared" si="2"/>
        <v>6</v>
      </c>
    </row>
    <row r="109" spans="2:7" x14ac:dyDescent="0.25">
      <c r="B109" s="11">
        <v>43263</v>
      </c>
      <c r="C109" s="12" t="s">
        <v>5</v>
      </c>
      <c r="D109" s="13">
        <v>30000</v>
      </c>
      <c r="E109" s="10" t="s">
        <v>29</v>
      </c>
      <c r="F109" s="6">
        <f t="shared" si="3"/>
        <v>101160</v>
      </c>
      <c r="G109">
        <f t="shared" si="2"/>
        <v>6</v>
      </c>
    </row>
    <row r="110" spans="2:7" x14ac:dyDescent="0.25">
      <c r="B110" s="11">
        <v>43266</v>
      </c>
      <c r="C110" s="12" t="s">
        <v>8</v>
      </c>
      <c r="D110" s="13">
        <v>2500</v>
      </c>
      <c r="E110" s="10" t="s">
        <v>30</v>
      </c>
      <c r="F110" s="6">
        <f t="shared" si="3"/>
        <v>98660</v>
      </c>
      <c r="G110">
        <f t="shared" si="2"/>
        <v>6</v>
      </c>
    </row>
    <row r="111" spans="2:7" x14ac:dyDescent="0.25">
      <c r="B111" s="11">
        <v>43266</v>
      </c>
      <c r="C111" s="12" t="s">
        <v>5</v>
      </c>
      <c r="D111" s="13">
        <v>1200</v>
      </c>
      <c r="E111" s="10" t="s">
        <v>20</v>
      </c>
      <c r="F111" s="6">
        <f t="shared" si="3"/>
        <v>99860</v>
      </c>
      <c r="G111">
        <f t="shared" si="2"/>
        <v>6</v>
      </c>
    </row>
    <row r="112" spans="2:7" x14ac:dyDescent="0.25">
      <c r="B112" s="11">
        <v>43276</v>
      </c>
      <c r="C112" s="12" t="s">
        <v>5</v>
      </c>
      <c r="D112" s="13">
        <v>1500</v>
      </c>
      <c r="E112" s="10" t="s">
        <v>32</v>
      </c>
      <c r="F112" s="6">
        <f t="shared" si="3"/>
        <v>101360</v>
      </c>
      <c r="G112">
        <f t="shared" si="2"/>
        <v>6</v>
      </c>
    </row>
    <row r="113" spans="2:7" x14ac:dyDescent="0.25">
      <c r="B113" s="11">
        <v>43276</v>
      </c>
      <c r="C113" s="12" t="s">
        <v>5</v>
      </c>
      <c r="D113" s="13">
        <v>1500</v>
      </c>
      <c r="E113" s="10" t="s">
        <v>6</v>
      </c>
      <c r="F113" s="6">
        <f t="shared" si="3"/>
        <v>102860</v>
      </c>
      <c r="G113">
        <f t="shared" si="2"/>
        <v>6</v>
      </c>
    </row>
    <row r="114" spans="2:7" x14ac:dyDescent="0.25">
      <c r="B114" s="11">
        <v>43276</v>
      </c>
      <c r="C114" s="12" t="s">
        <v>8</v>
      </c>
      <c r="D114" s="13">
        <v>2000</v>
      </c>
      <c r="E114" s="10" t="s">
        <v>31</v>
      </c>
      <c r="F114" s="6">
        <f t="shared" si="3"/>
        <v>100860</v>
      </c>
      <c r="G114">
        <f t="shared" si="2"/>
        <v>6</v>
      </c>
    </row>
    <row r="115" spans="2:7" x14ac:dyDescent="0.25">
      <c r="B115" s="11">
        <v>43280</v>
      </c>
      <c r="C115" s="12" t="s">
        <v>8</v>
      </c>
      <c r="D115" s="13">
        <v>500</v>
      </c>
      <c r="E115" s="10" t="s">
        <v>26</v>
      </c>
      <c r="F115" s="6">
        <f t="shared" si="3"/>
        <v>100360</v>
      </c>
      <c r="G115">
        <f t="shared" si="2"/>
        <v>6</v>
      </c>
    </row>
    <row r="116" spans="2:7" x14ac:dyDescent="0.25">
      <c r="B116" s="11">
        <v>43281</v>
      </c>
      <c r="C116" s="12" t="s">
        <v>8</v>
      </c>
      <c r="D116" s="13">
        <v>500</v>
      </c>
      <c r="E116" s="10" t="s">
        <v>34</v>
      </c>
      <c r="F116" s="6">
        <f t="shared" si="3"/>
        <v>99860</v>
      </c>
      <c r="G116">
        <f t="shared" si="2"/>
        <v>6</v>
      </c>
    </row>
    <row r="117" spans="2:7" x14ac:dyDescent="0.25">
      <c r="B117" s="11">
        <v>43281</v>
      </c>
      <c r="C117" s="12" t="s">
        <v>5</v>
      </c>
      <c r="D117" s="13">
        <v>2000</v>
      </c>
      <c r="E117" s="10" t="s">
        <v>33</v>
      </c>
      <c r="F117" s="6">
        <f t="shared" si="3"/>
        <v>101860</v>
      </c>
      <c r="G117">
        <f t="shared" si="2"/>
        <v>6</v>
      </c>
    </row>
    <row r="118" spans="2:7" x14ac:dyDescent="0.25">
      <c r="B118" s="11">
        <v>43283</v>
      </c>
      <c r="C118" s="12" t="s">
        <v>8</v>
      </c>
      <c r="D118" s="13">
        <v>300</v>
      </c>
      <c r="E118" s="10" t="s">
        <v>9</v>
      </c>
      <c r="F118" s="6">
        <f t="shared" si="3"/>
        <v>101560</v>
      </c>
      <c r="G118">
        <f t="shared" si="2"/>
        <v>7</v>
      </c>
    </row>
    <row r="119" spans="2:7" x14ac:dyDescent="0.25">
      <c r="B119" s="11">
        <v>43283</v>
      </c>
      <c r="C119" s="12" t="s">
        <v>5</v>
      </c>
      <c r="D119" s="13">
        <v>1000</v>
      </c>
      <c r="E119" s="10" t="s">
        <v>6</v>
      </c>
      <c r="F119" s="6">
        <f t="shared" si="3"/>
        <v>102560</v>
      </c>
      <c r="G119">
        <f t="shared" si="2"/>
        <v>7</v>
      </c>
    </row>
    <row r="120" spans="2:7" x14ac:dyDescent="0.25">
      <c r="B120" s="11">
        <v>43286</v>
      </c>
      <c r="C120" s="12" t="s">
        <v>8</v>
      </c>
      <c r="D120" s="13">
        <v>300</v>
      </c>
      <c r="E120" s="10" t="s">
        <v>35</v>
      </c>
      <c r="F120" s="6">
        <f t="shared" si="3"/>
        <v>102260</v>
      </c>
      <c r="G120">
        <f t="shared" si="2"/>
        <v>7</v>
      </c>
    </row>
    <row r="121" spans="2:7" x14ac:dyDescent="0.25">
      <c r="B121" s="11">
        <v>43286</v>
      </c>
      <c r="C121" s="12" t="s">
        <v>8</v>
      </c>
      <c r="D121" s="13">
        <v>6000</v>
      </c>
      <c r="E121" s="10" t="s">
        <v>36</v>
      </c>
      <c r="F121" s="6">
        <f t="shared" si="3"/>
        <v>96260</v>
      </c>
      <c r="G121">
        <f t="shared" si="2"/>
        <v>7</v>
      </c>
    </row>
    <row r="122" spans="2:7" x14ac:dyDescent="0.25">
      <c r="B122" s="11">
        <v>43286</v>
      </c>
      <c r="C122" s="12" t="s">
        <v>8</v>
      </c>
      <c r="D122" s="13">
        <v>4000</v>
      </c>
      <c r="E122" s="10" t="s">
        <v>28</v>
      </c>
      <c r="F122" s="6">
        <f t="shared" si="3"/>
        <v>92260</v>
      </c>
      <c r="G122">
        <f t="shared" si="2"/>
        <v>7</v>
      </c>
    </row>
    <row r="123" spans="2:7" x14ac:dyDescent="0.25">
      <c r="B123" s="11">
        <v>43289</v>
      </c>
      <c r="C123" s="12" t="s">
        <v>5</v>
      </c>
      <c r="D123" s="13">
        <v>2000</v>
      </c>
      <c r="E123" s="10" t="s">
        <v>16</v>
      </c>
      <c r="F123" s="6">
        <f t="shared" si="3"/>
        <v>94260</v>
      </c>
      <c r="G123">
        <f t="shared" si="2"/>
        <v>7</v>
      </c>
    </row>
    <row r="124" spans="2:7" x14ac:dyDescent="0.25">
      <c r="B124" s="11">
        <v>43291</v>
      </c>
      <c r="C124" s="12" t="s">
        <v>8</v>
      </c>
      <c r="D124" s="13">
        <v>1000</v>
      </c>
      <c r="E124" s="10" t="s">
        <v>19</v>
      </c>
      <c r="F124" s="6">
        <f t="shared" si="3"/>
        <v>93260</v>
      </c>
      <c r="G124">
        <f t="shared" si="2"/>
        <v>7</v>
      </c>
    </row>
    <row r="125" spans="2:7" x14ac:dyDescent="0.25">
      <c r="B125" s="11">
        <v>43291</v>
      </c>
      <c r="C125" s="12" t="s">
        <v>8</v>
      </c>
      <c r="D125" s="13">
        <v>6000</v>
      </c>
      <c r="E125" s="10" t="s">
        <v>11</v>
      </c>
      <c r="F125" s="6">
        <f t="shared" si="3"/>
        <v>87260</v>
      </c>
      <c r="G125">
        <f t="shared" si="2"/>
        <v>7</v>
      </c>
    </row>
    <row r="126" spans="2:7" x14ac:dyDescent="0.25">
      <c r="B126" s="11">
        <v>43291</v>
      </c>
      <c r="C126" s="12" t="s">
        <v>5</v>
      </c>
      <c r="D126" s="13">
        <v>1500</v>
      </c>
      <c r="E126" s="10" t="s">
        <v>13</v>
      </c>
      <c r="F126" s="6">
        <f t="shared" si="3"/>
        <v>88760</v>
      </c>
      <c r="G126">
        <f t="shared" si="2"/>
        <v>7</v>
      </c>
    </row>
    <row r="127" spans="2:7" x14ac:dyDescent="0.25">
      <c r="B127" s="11">
        <v>43291</v>
      </c>
      <c r="C127" s="12" t="s">
        <v>8</v>
      </c>
      <c r="D127" s="13">
        <v>6000</v>
      </c>
      <c r="E127" s="10" t="s">
        <v>12</v>
      </c>
      <c r="F127" s="6">
        <f t="shared" si="3"/>
        <v>82760</v>
      </c>
      <c r="G127">
        <f t="shared" si="2"/>
        <v>7</v>
      </c>
    </row>
    <row r="128" spans="2:7" x14ac:dyDescent="0.25">
      <c r="B128" s="11">
        <v>43291</v>
      </c>
      <c r="C128" s="12" t="s">
        <v>8</v>
      </c>
      <c r="D128" s="13">
        <v>1000</v>
      </c>
      <c r="E128" s="10" t="s">
        <v>14</v>
      </c>
      <c r="F128" s="6">
        <f t="shared" si="3"/>
        <v>81760</v>
      </c>
      <c r="G128">
        <f t="shared" si="2"/>
        <v>7</v>
      </c>
    </row>
    <row r="129" spans="2:7" x14ac:dyDescent="0.25">
      <c r="B129" s="11">
        <v>43301</v>
      </c>
      <c r="C129" s="12" t="s">
        <v>5</v>
      </c>
      <c r="D129" s="13">
        <v>1200</v>
      </c>
      <c r="E129" s="10" t="s">
        <v>17</v>
      </c>
      <c r="F129" s="6">
        <f t="shared" si="3"/>
        <v>82960</v>
      </c>
      <c r="G129">
        <f t="shared" si="2"/>
        <v>7</v>
      </c>
    </row>
    <row r="130" spans="2:7" x14ac:dyDescent="0.25">
      <c r="B130" s="11">
        <v>43301</v>
      </c>
      <c r="C130" s="12" t="s">
        <v>5</v>
      </c>
      <c r="D130" s="13">
        <v>20000</v>
      </c>
      <c r="E130" s="10" t="s">
        <v>29</v>
      </c>
      <c r="F130" s="6">
        <f t="shared" si="3"/>
        <v>102960</v>
      </c>
      <c r="G130">
        <f t="shared" si="2"/>
        <v>7</v>
      </c>
    </row>
    <row r="131" spans="2:7" x14ac:dyDescent="0.25">
      <c r="B131" s="11">
        <v>43301</v>
      </c>
      <c r="C131" s="12" t="s">
        <v>8</v>
      </c>
      <c r="D131" s="13">
        <v>2600</v>
      </c>
      <c r="E131" s="10" t="s">
        <v>30</v>
      </c>
      <c r="F131" s="6">
        <f t="shared" si="3"/>
        <v>100360</v>
      </c>
      <c r="G131">
        <f t="shared" si="2"/>
        <v>7</v>
      </c>
    </row>
    <row r="132" spans="2:7" x14ac:dyDescent="0.25">
      <c r="B132" s="11">
        <v>43301</v>
      </c>
      <c r="C132" s="12" t="s">
        <v>5</v>
      </c>
      <c r="D132" s="13">
        <v>1200</v>
      </c>
      <c r="E132" s="10" t="s">
        <v>20</v>
      </c>
      <c r="F132" s="6">
        <f t="shared" si="3"/>
        <v>101560</v>
      </c>
      <c r="G132">
        <f t="shared" si="2"/>
        <v>7</v>
      </c>
    </row>
    <row r="133" spans="2:7" x14ac:dyDescent="0.25">
      <c r="B133" s="11">
        <v>43304</v>
      </c>
      <c r="C133" s="12" t="s">
        <v>8</v>
      </c>
      <c r="D133" s="13">
        <v>2500</v>
      </c>
      <c r="E133" s="10" t="s">
        <v>31</v>
      </c>
      <c r="F133" s="6">
        <f t="shared" si="3"/>
        <v>99060</v>
      </c>
      <c r="G133">
        <f t="shared" si="2"/>
        <v>7</v>
      </c>
    </row>
    <row r="134" spans="2:7" x14ac:dyDescent="0.25">
      <c r="B134" s="11">
        <v>43304</v>
      </c>
      <c r="C134" s="12" t="s">
        <v>5</v>
      </c>
      <c r="D134" s="13">
        <v>1200</v>
      </c>
      <c r="E134" s="10" t="s">
        <v>32</v>
      </c>
      <c r="F134" s="6">
        <f t="shared" si="3"/>
        <v>100260</v>
      </c>
      <c r="G134">
        <f t="shared" si="2"/>
        <v>7</v>
      </c>
    </row>
    <row r="135" spans="2:7" x14ac:dyDescent="0.25">
      <c r="B135" s="11">
        <v>43304</v>
      </c>
      <c r="C135" s="12" t="s">
        <v>5</v>
      </c>
      <c r="D135" s="13">
        <v>1300</v>
      </c>
      <c r="E135" s="10" t="s">
        <v>6</v>
      </c>
      <c r="F135" s="6">
        <f t="shared" si="3"/>
        <v>101560</v>
      </c>
      <c r="G135">
        <f t="shared" si="2"/>
        <v>7</v>
      </c>
    </row>
    <row r="136" spans="2:7" x14ac:dyDescent="0.25">
      <c r="B136" s="11">
        <v>43309</v>
      </c>
      <c r="C136" s="12" t="s">
        <v>5</v>
      </c>
      <c r="D136" s="13">
        <v>1000</v>
      </c>
      <c r="E136" s="10" t="s">
        <v>33</v>
      </c>
      <c r="F136" s="6">
        <f t="shared" si="3"/>
        <v>102560</v>
      </c>
      <c r="G136">
        <f t="shared" si="2"/>
        <v>7</v>
      </c>
    </row>
    <row r="137" spans="2:7" x14ac:dyDescent="0.25">
      <c r="B137" s="11">
        <v>43310</v>
      </c>
      <c r="C137" s="12" t="s">
        <v>8</v>
      </c>
      <c r="D137" s="13">
        <v>500</v>
      </c>
      <c r="E137" s="10" t="s">
        <v>34</v>
      </c>
      <c r="F137" s="6">
        <f t="shared" si="3"/>
        <v>102060</v>
      </c>
      <c r="G137">
        <f t="shared" ref="G137:G200" si="4">MONTH(B137)</f>
        <v>7</v>
      </c>
    </row>
    <row r="138" spans="2:7" x14ac:dyDescent="0.25">
      <c r="B138" s="11">
        <v>43311</v>
      </c>
      <c r="C138" s="12" t="s">
        <v>8</v>
      </c>
      <c r="D138" s="13">
        <v>500</v>
      </c>
      <c r="E138" s="10" t="s">
        <v>26</v>
      </c>
      <c r="F138" s="6">
        <f t="shared" ref="F138:F201" si="5">IF(C138="ENTRADA",F137+D138,F137-D138)</f>
        <v>101560</v>
      </c>
      <c r="G138">
        <f t="shared" si="4"/>
        <v>7</v>
      </c>
    </row>
    <row r="139" spans="2:7" x14ac:dyDescent="0.25">
      <c r="B139" s="11">
        <v>43313</v>
      </c>
      <c r="C139" s="12" t="s">
        <v>5</v>
      </c>
      <c r="D139" s="13">
        <v>1400</v>
      </c>
      <c r="E139" s="10" t="s">
        <v>6</v>
      </c>
      <c r="F139" s="6">
        <f t="shared" si="5"/>
        <v>102960</v>
      </c>
      <c r="G139">
        <f t="shared" si="4"/>
        <v>8</v>
      </c>
    </row>
    <row r="140" spans="2:7" x14ac:dyDescent="0.25">
      <c r="B140" s="11">
        <v>43314</v>
      </c>
      <c r="C140" s="12" t="s">
        <v>8</v>
      </c>
      <c r="D140" s="13">
        <v>300</v>
      </c>
      <c r="E140" s="10" t="s">
        <v>9</v>
      </c>
      <c r="F140" s="6">
        <f t="shared" si="5"/>
        <v>102660</v>
      </c>
      <c r="G140">
        <f t="shared" si="4"/>
        <v>8</v>
      </c>
    </row>
    <row r="141" spans="2:7" x14ac:dyDescent="0.25">
      <c r="B141" s="11">
        <v>43317</v>
      </c>
      <c r="C141" s="12" t="s">
        <v>5</v>
      </c>
      <c r="D141" s="13">
        <v>2000</v>
      </c>
      <c r="E141" s="10" t="s">
        <v>13</v>
      </c>
      <c r="F141" s="6">
        <f t="shared" si="5"/>
        <v>104660</v>
      </c>
      <c r="G141">
        <f t="shared" si="4"/>
        <v>8</v>
      </c>
    </row>
    <row r="142" spans="2:7" x14ac:dyDescent="0.25">
      <c r="B142" s="11">
        <v>43317</v>
      </c>
      <c r="C142" s="12" t="s">
        <v>8</v>
      </c>
      <c r="D142" s="13">
        <v>3800</v>
      </c>
      <c r="E142" s="10" t="s">
        <v>28</v>
      </c>
      <c r="F142" s="6">
        <f t="shared" si="5"/>
        <v>100860</v>
      </c>
      <c r="G142">
        <f t="shared" si="4"/>
        <v>8</v>
      </c>
    </row>
    <row r="143" spans="2:7" x14ac:dyDescent="0.25">
      <c r="B143" s="11">
        <v>43322</v>
      </c>
      <c r="C143" s="12" t="s">
        <v>5</v>
      </c>
      <c r="D143" s="13">
        <v>2800</v>
      </c>
      <c r="E143" s="10" t="s">
        <v>16</v>
      </c>
      <c r="F143" s="6">
        <f t="shared" si="5"/>
        <v>103660</v>
      </c>
      <c r="G143">
        <f t="shared" si="4"/>
        <v>8</v>
      </c>
    </row>
    <row r="144" spans="2:7" x14ac:dyDescent="0.25">
      <c r="B144" s="11">
        <v>43322</v>
      </c>
      <c r="C144" s="12" t="s">
        <v>5</v>
      </c>
      <c r="D144" s="13">
        <v>3200</v>
      </c>
      <c r="E144" s="10" t="s">
        <v>13</v>
      </c>
      <c r="F144" s="6">
        <f t="shared" si="5"/>
        <v>106860</v>
      </c>
      <c r="G144">
        <f t="shared" si="4"/>
        <v>8</v>
      </c>
    </row>
    <row r="145" spans="2:7" x14ac:dyDescent="0.25">
      <c r="B145" s="11">
        <v>43322</v>
      </c>
      <c r="C145" s="12" t="s">
        <v>8</v>
      </c>
      <c r="D145" s="13">
        <v>6000</v>
      </c>
      <c r="E145" s="10" t="s">
        <v>12</v>
      </c>
      <c r="F145" s="6">
        <f t="shared" si="5"/>
        <v>100860</v>
      </c>
      <c r="G145">
        <f t="shared" si="4"/>
        <v>8</v>
      </c>
    </row>
    <row r="146" spans="2:7" x14ac:dyDescent="0.25">
      <c r="B146" s="11">
        <v>43322</v>
      </c>
      <c r="C146" s="12" t="s">
        <v>8</v>
      </c>
      <c r="D146" s="13">
        <v>6000</v>
      </c>
      <c r="E146" s="10" t="s">
        <v>11</v>
      </c>
      <c r="F146" s="6">
        <f t="shared" si="5"/>
        <v>94860</v>
      </c>
      <c r="G146">
        <f t="shared" si="4"/>
        <v>8</v>
      </c>
    </row>
    <row r="147" spans="2:7" x14ac:dyDescent="0.25">
      <c r="B147" s="11">
        <v>43324</v>
      </c>
      <c r="C147" s="12" t="s">
        <v>8</v>
      </c>
      <c r="D147" s="13">
        <v>700</v>
      </c>
      <c r="E147" s="10" t="s">
        <v>14</v>
      </c>
      <c r="F147" s="6">
        <f t="shared" si="5"/>
        <v>94160</v>
      </c>
      <c r="G147">
        <f t="shared" si="4"/>
        <v>8</v>
      </c>
    </row>
    <row r="148" spans="2:7" x14ac:dyDescent="0.25">
      <c r="B148" s="11">
        <v>43327</v>
      </c>
      <c r="C148" s="12" t="s">
        <v>8</v>
      </c>
      <c r="D148" s="13">
        <v>1000</v>
      </c>
      <c r="E148" s="10" t="s">
        <v>19</v>
      </c>
      <c r="F148" s="6">
        <f t="shared" si="5"/>
        <v>93160</v>
      </c>
      <c r="G148">
        <f t="shared" si="4"/>
        <v>8</v>
      </c>
    </row>
    <row r="149" spans="2:7" x14ac:dyDescent="0.25">
      <c r="B149" s="11">
        <v>43327</v>
      </c>
      <c r="C149" s="12" t="s">
        <v>5</v>
      </c>
      <c r="D149" s="13">
        <v>30000</v>
      </c>
      <c r="E149" s="10" t="s">
        <v>29</v>
      </c>
      <c r="F149" s="6">
        <f t="shared" si="5"/>
        <v>123160</v>
      </c>
      <c r="G149">
        <f t="shared" si="4"/>
        <v>8</v>
      </c>
    </row>
    <row r="150" spans="2:7" x14ac:dyDescent="0.25">
      <c r="B150" s="11">
        <v>43327</v>
      </c>
      <c r="C150" s="12" t="s">
        <v>5</v>
      </c>
      <c r="D150" s="13">
        <v>1200</v>
      </c>
      <c r="E150" s="10" t="s">
        <v>17</v>
      </c>
      <c r="F150" s="6">
        <f t="shared" si="5"/>
        <v>124360</v>
      </c>
      <c r="G150">
        <f t="shared" si="4"/>
        <v>8</v>
      </c>
    </row>
    <row r="151" spans="2:7" x14ac:dyDescent="0.25">
      <c r="B151" s="11">
        <v>43332</v>
      </c>
      <c r="C151" s="12" t="s">
        <v>5</v>
      </c>
      <c r="D151" s="13">
        <v>1200</v>
      </c>
      <c r="E151" s="10" t="s">
        <v>20</v>
      </c>
      <c r="F151" s="6">
        <f t="shared" si="5"/>
        <v>125560</v>
      </c>
      <c r="G151">
        <f t="shared" si="4"/>
        <v>8</v>
      </c>
    </row>
    <row r="152" spans="2:7" x14ac:dyDescent="0.25">
      <c r="B152" s="11">
        <v>43332</v>
      </c>
      <c r="C152" s="12" t="s">
        <v>8</v>
      </c>
      <c r="D152" s="13">
        <v>2500</v>
      </c>
      <c r="E152" s="10" t="s">
        <v>30</v>
      </c>
      <c r="F152" s="6">
        <f t="shared" si="5"/>
        <v>123060</v>
      </c>
      <c r="G152">
        <f t="shared" si="4"/>
        <v>8</v>
      </c>
    </row>
    <row r="153" spans="2:7" x14ac:dyDescent="0.25">
      <c r="B153" s="11">
        <v>43333</v>
      </c>
      <c r="C153" s="12" t="s">
        <v>8</v>
      </c>
      <c r="D153" s="13">
        <v>2000</v>
      </c>
      <c r="E153" s="10" t="s">
        <v>31</v>
      </c>
      <c r="F153" s="6">
        <f t="shared" si="5"/>
        <v>121060</v>
      </c>
      <c r="G153">
        <f t="shared" si="4"/>
        <v>8</v>
      </c>
    </row>
    <row r="154" spans="2:7" x14ac:dyDescent="0.25">
      <c r="B154" s="11">
        <v>43337</v>
      </c>
      <c r="C154" s="12" t="s">
        <v>5</v>
      </c>
      <c r="D154" s="13">
        <v>1500</v>
      </c>
      <c r="E154" s="10" t="s">
        <v>6</v>
      </c>
      <c r="F154" s="6">
        <f t="shared" si="5"/>
        <v>122560</v>
      </c>
      <c r="G154">
        <f t="shared" si="4"/>
        <v>8</v>
      </c>
    </row>
    <row r="155" spans="2:7" x14ac:dyDescent="0.25">
      <c r="B155" s="11">
        <v>43337</v>
      </c>
      <c r="C155" s="12" t="s">
        <v>5</v>
      </c>
      <c r="D155" s="13">
        <v>1500</v>
      </c>
      <c r="E155" s="10" t="s">
        <v>32</v>
      </c>
      <c r="F155" s="6">
        <f t="shared" si="5"/>
        <v>124060</v>
      </c>
      <c r="G155">
        <f t="shared" si="4"/>
        <v>8</v>
      </c>
    </row>
    <row r="156" spans="2:7" x14ac:dyDescent="0.25">
      <c r="B156" s="11">
        <v>43339</v>
      </c>
      <c r="C156" s="12" t="s">
        <v>5</v>
      </c>
      <c r="D156" s="13">
        <v>2000</v>
      </c>
      <c r="E156" s="10" t="s">
        <v>33</v>
      </c>
      <c r="F156" s="6">
        <f t="shared" si="5"/>
        <v>126060</v>
      </c>
      <c r="G156">
        <f t="shared" si="4"/>
        <v>8</v>
      </c>
    </row>
    <row r="157" spans="2:7" x14ac:dyDescent="0.25">
      <c r="B157" s="11">
        <v>43342</v>
      </c>
      <c r="C157" s="12" t="s">
        <v>8</v>
      </c>
      <c r="D157" s="13">
        <v>500</v>
      </c>
      <c r="E157" s="10" t="s">
        <v>26</v>
      </c>
      <c r="F157" s="6">
        <f t="shared" si="5"/>
        <v>125560</v>
      </c>
      <c r="G157">
        <f t="shared" si="4"/>
        <v>8</v>
      </c>
    </row>
    <row r="158" spans="2:7" x14ac:dyDescent="0.25">
      <c r="B158" s="11">
        <v>43342</v>
      </c>
      <c r="C158" s="12" t="s">
        <v>8</v>
      </c>
      <c r="D158" s="13">
        <v>500</v>
      </c>
      <c r="E158" s="10" t="s">
        <v>34</v>
      </c>
      <c r="F158" s="6">
        <f t="shared" si="5"/>
        <v>125060</v>
      </c>
      <c r="G158">
        <f t="shared" si="4"/>
        <v>8</v>
      </c>
    </row>
    <row r="159" spans="2:7" x14ac:dyDescent="0.25">
      <c r="B159" s="11">
        <v>43344</v>
      </c>
      <c r="C159" s="12" t="s">
        <v>5</v>
      </c>
      <c r="D159" s="13">
        <v>1400</v>
      </c>
      <c r="E159" s="10" t="s">
        <v>6</v>
      </c>
      <c r="F159" s="6">
        <f t="shared" si="5"/>
        <v>126460</v>
      </c>
      <c r="G159">
        <f t="shared" si="4"/>
        <v>9</v>
      </c>
    </row>
    <row r="160" spans="2:7" x14ac:dyDescent="0.25">
      <c r="B160" s="11">
        <v>43344</v>
      </c>
      <c r="C160" s="12" t="s">
        <v>8</v>
      </c>
      <c r="D160" s="13">
        <v>300</v>
      </c>
      <c r="E160" s="10" t="s">
        <v>9</v>
      </c>
      <c r="F160" s="6">
        <f t="shared" si="5"/>
        <v>126160</v>
      </c>
      <c r="G160">
        <f t="shared" si="4"/>
        <v>9</v>
      </c>
    </row>
    <row r="161" spans="2:7" x14ac:dyDescent="0.25">
      <c r="B161" s="11">
        <v>43348</v>
      </c>
      <c r="C161" s="12" t="s">
        <v>8</v>
      </c>
      <c r="D161" s="13">
        <v>3800</v>
      </c>
      <c r="E161" s="10" t="s">
        <v>28</v>
      </c>
      <c r="F161" s="6">
        <f t="shared" si="5"/>
        <v>122360</v>
      </c>
      <c r="G161">
        <f t="shared" si="4"/>
        <v>9</v>
      </c>
    </row>
    <row r="162" spans="2:7" x14ac:dyDescent="0.25">
      <c r="B162" s="11">
        <v>43348</v>
      </c>
      <c r="C162" s="12" t="s">
        <v>5</v>
      </c>
      <c r="D162" s="13">
        <v>2000</v>
      </c>
      <c r="E162" s="10" t="s">
        <v>13</v>
      </c>
      <c r="F162" s="6">
        <f t="shared" si="5"/>
        <v>124360</v>
      </c>
      <c r="G162">
        <f t="shared" si="4"/>
        <v>9</v>
      </c>
    </row>
    <row r="163" spans="2:7" x14ac:dyDescent="0.25">
      <c r="B163" s="11">
        <v>43348</v>
      </c>
      <c r="C163" s="12" t="s">
        <v>5</v>
      </c>
      <c r="D163" s="13">
        <v>2800</v>
      </c>
      <c r="E163" s="10" t="s">
        <v>16</v>
      </c>
      <c r="F163" s="6">
        <f t="shared" si="5"/>
        <v>127160</v>
      </c>
      <c r="G163">
        <f t="shared" si="4"/>
        <v>9</v>
      </c>
    </row>
    <row r="164" spans="2:7" x14ac:dyDescent="0.25">
      <c r="B164" s="11">
        <v>43353</v>
      </c>
      <c r="C164" s="12" t="s">
        <v>8</v>
      </c>
      <c r="D164" s="13">
        <v>6000</v>
      </c>
      <c r="E164" s="10" t="s">
        <v>11</v>
      </c>
      <c r="F164" s="6">
        <f t="shared" si="5"/>
        <v>121160</v>
      </c>
      <c r="G164">
        <f t="shared" si="4"/>
        <v>9</v>
      </c>
    </row>
    <row r="165" spans="2:7" x14ac:dyDescent="0.25">
      <c r="B165" s="11">
        <v>43353</v>
      </c>
      <c r="C165" s="12" t="s">
        <v>8</v>
      </c>
      <c r="D165" s="13">
        <v>700</v>
      </c>
      <c r="E165" s="10" t="s">
        <v>14</v>
      </c>
      <c r="F165" s="6">
        <f t="shared" si="5"/>
        <v>120460</v>
      </c>
      <c r="G165">
        <f t="shared" si="4"/>
        <v>9</v>
      </c>
    </row>
    <row r="166" spans="2:7" x14ac:dyDescent="0.25">
      <c r="B166" s="11">
        <v>43353</v>
      </c>
      <c r="C166" s="12" t="s">
        <v>8</v>
      </c>
      <c r="D166" s="13">
        <v>6000</v>
      </c>
      <c r="E166" s="10" t="s">
        <v>12</v>
      </c>
      <c r="F166" s="6">
        <f t="shared" si="5"/>
        <v>114460</v>
      </c>
      <c r="G166">
        <f t="shared" si="4"/>
        <v>9</v>
      </c>
    </row>
    <row r="167" spans="2:7" x14ac:dyDescent="0.25">
      <c r="B167" s="11">
        <v>43353</v>
      </c>
      <c r="C167" s="12" t="s">
        <v>5</v>
      </c>
      <c r="D167" s="13">
        <v>3200</v>
      </c>
      <c r="E167" s="10" t="s">
        <v>13</v>
      </c>
      <c r="F167" s="6">
        <f t="shared" si="5"/>
        <v>117660</v>
      </c>
      <c r="G167">
        <f t="shared" si="4"/>
        <v>9</v>
      </c>
    </row>
    <row r="168" spans="2:7" x14ac:dyDescent="0.25">
      <c r="B168" s="11">
        <v>43358</v>
      </c>
      <c r="C168" s="12" t="s">
        <v>5</v>
      </c>
      <c r="D168" s="13">
        <v>30000</v>
      </c>
      <c r="E168" s="10" t="s">
        <v>29</v>
      </c>
      <c r="F168" s="6">
        <f t="shared" si="5"/>
        <v>147660</v>
      </c>
      <c r="G168">
        <f t="shared" si="4"/>
        <v>9</v>
      </c>
    </row>
    <row r="169" spans="2:7" x14ac:dyDescent="0.25">
      <c r="B169" s="11">
        <v>43358</v>
      </c>
      <c r="C169" s="12" t="s">
        <v>8</v>
      </c>
      <c r="D169" s="13">
        <v>1000</v>
      </c>
      <c r="E169" s="10" t="s">
        <v>19</v>
      </c>
      <c r="F169" s="6">
        <f t="shared" si="5"/>
        <v>146660</v>
      </c>
      <c r="G169">
        <f t="shared" si="4"/>
        <v>9</v>
      </c>
    </row>
    <row r="170" spans="2:7" x14ac:dyDescent="0.25">
      <c r="B170" s="11">
        <v>43363</v>
      </c>
      <c r="C170" s="12" t="s">
        <v>5</v>
      </c>
      <c r="D170" s="13">
        <v>1200</v>
      </c>
      <c r="E170" s="10" t="s">
        <v>17</v>
      </c>
      <c r="F170" s="6">
        <f t="shared" si="5"/>
        <v>147860</v>
      </c>
      <c r="G170">
        <f t="shared" si="4"/>
        <v>9</v>
      </c>
    </row>
    <row r="171" spans="2:7" x14ac:dyDescent="0.25">
      <c r="B171" s="11">
        <v>43363</v>
      </c>
      <c r="C171" s="12" t="s">
        <v>5</v>
      </c>
      <c r="D171" s="13">
        <v>1500</v>
      </c>
      <c r="E171" s="10" t="s">
        <v>32</v>
      </c>
      <c r="F171" s="6">
        <f t="shared" si="5"/>
        <v>149360</v>
      </c>
      <c r="G171">
        <f t="shared" si="4"/>
        <v>9</v>
      </c>
    </row>
    <row r="172" spans="2:7" x14ac:dyDescent="0.25">
      <c r="B172" s="11">
        <v>43363</v>
      </c>
      <c r="C172" s="12" t="s">
        <v>8</v>
      </c>
      <c r="D172" s="13">
        <v>2500</v>
      </c>
      <c r="E172" s="10" t="s">
        <v>30</v>
      </c>
      <c r="F172" s="6">
        <f t="shared" si="5"/>
        <v>146860</v>
      </c>
      <c r="G172">
        <f t="shared" si="4"/>
        <v>9</v>
      </c>
    </row>
    <row r="173" spans="2:7" x14ac:dyDescent="0.25">
      <c r="B173" s="11">
        <v>43363</v>
      </c>
      <c r="C173" s="12" t="s">
        <v>5</v>
      </c>
      <c r="D173" s="13">
        <v>1200</v>
      </c>
      <c r="E173" s="10" t="s">
        <v>20</v>
      </c>
      <c r="F173" s="6">
        <f t="shared" si="5"/>
        <v>148060</v>
      </c>
      <c r="G173">
        <f t="shared" si="4"/>
        <v>9</v>
      </c>
    </row>
    <row r="174" spans="2:7" x14ac:dyDescent="0.25">
      <c r="B174" s="11">
        <v>43368</v>
      </c>
      <c r="C174" s="12" t="s">
        <v>8</v>
      </c>
      <c r="D174" s="13">
        <v>2000</v>
      </c>
      <c r="E174" s="10" t="s">
        <v>31</v>
      </c>
      <c r="F174" s="6">
        <f t="shared" si="5"/>
        <v>146060</v>
      </c>
      <c r="G174">
        <f t="shared" si="4"/>
        <v>9</v>
      </c>
    </row>
    <row r="175" spans="2:7" x14ac:dyDescent="0.25">
      <c r="B175" s="11">
        <v>43368</v>
      </c>
      <c r="C175" s="12" t="s">
        <v>5</v>
      </c>
      <c r="D175" s="13">
        <v>2000</v>
      </c>
      <c r="E175" s="10" t="s">
        <v>33</v>
      </c>
      <c r="F175" s="6">
        <f t="shared" si="5"/>
        <v>148060</v>
      </c>
      <c r="G175">
        <f t="shared" si="4"/>
        <v>9</v>
      </c>
    </row>
    <row r="176" spans="2:7" x14ac:dyDescent="0.25">
      <c r="B176" s="11">
        <v>43372</v>
      </c>
      <c r="C176" s="12" t="s">
        <v>8</v>
      </c>
      <c r="D176" s="13">
        <v>500</v>
      </c>
      <c r="E176" s="10" t="s">
        <v>26</v>
      </c>
      <c r="F176" s="6">
        <f t="shared" si="5"/>
        <v>147560</v>
      </c>
      <c r="G176">
        <f t="shared" si="4"/>
        <v>9</v>
      </c>
    </row>
    <row r="177" spans="2:7" x14ac:dyDescent="0.25">
      <c r="B177" s="11">
        <v>43373</v>
      </c>
      <c r="C177" s="12" t="s">
        <v>8</v>
      </c>
      <c r="D177" s="13">
        <v>500</v>
      </c>
      <c r="E177" s="10" t="s">
        <v>34</v>
      </c>
      <c r="F177" s="6">
        <f t="shared" si="5"/>
        <v>147060</v>
      </c>
      <c r="G177">
        <f t="shared" si="4"/>
        <v>9</v>
      </c>
    </row>
    <row r="178" spans="2:7" x14ac:dyDescent="0.25">
      <c r="B178" s="11">
        <v>43374</v>
      </c>
      <c r="C178" s="12" t="s">
        <v>5</v>
      </c>
      <c r="D178" s="13">
        <v>1400</v>
      </c>
      <c r="E178" s="10" t="s">
        <v>6</v>
      </c>
      <c r="F178" s="6">
        <f t="shared" si="5"/>
        <v>148460</v>
      </c>
      <c r="G178">
        <f t="shared" si="4"/>
        <v>10</v>
      </c>
    </row>
    <row r="179" spans="2:7" x14ac:dyDescent="0.25">
      <c r="B179" s="11">
        <v>43378</v>
      </c>
      <c r="C179" s="12" t="s">
        <v>8</v>
      </c>
      <c r="D179" s="13">
        <v>3800</v>
      </c>
      <c r="E179" s="10" t="s">
        <v>28</v>
      </c>
      <c r="F179" s="6">
        <f t="shared" si="5"/>
        <v>144660</v>
      </c>
      <c r="G179">
        <f t="shared" si="4"/>
        <v>10</v>
      </c>
    </row>
    <row r="180" spans="2:7" x14ac:dyDescent="0.25">
      <c r="B180" s="11">
        <v>43378</v>
      </c>
      <c r="C180" s="12" t="s">
        <v>5</v>
      </c>
      <c r="D180" s="13">
        <v>2000</v>
      </c>
      <c r="E180" s="10" t="s">
        <v>13</v>
      </c>
      <c r="F180" s="6">
        <f t="shared" si="5"/>
        <v>146660</v>
      </c>
      <c r="G180">
        <f t="shared" si="4"/>
        <v>10</v>
      </c>
    </row>
    <row r="181" spans="2:7" x14ac:dyDescent="0.25">
      <c r="B181" s="11">
        <v>43378</v>
      </c>
      <c r="C181" s="12" t="s">
        <v>8</v>
      </c>
      <c r="D181" s="13">
        <v>300</v>
      </c>
      <c r="E181" s="10" t="s">
        <v>9</v>
      </c>
      <c r="F181" s="6">
        <f t="shared" si="5"/>
        <v>146360</v>
      </c>
      <c r="G181">
        <f t="shared" si="4"/>
        <v>10</v>
      </c>
    </row>
    <row r="182" spans="2:7" x14ac:dyDescent="0.25">
      <c r="B182" s="11">
        <v>43381</v>
      </c>
      <c r="C182" s="12" t="s">
        <v>8</v>
      </c>
      <c r="D182" s="13">
        <v>6000</v>
      </c>
      <c r="E182" s="10" t="s">
        <v>11</v>
      </c>
      <c r="F182" s="6">
        <f t="shared" si="5"/>
        <v>140360</v>
      </c>
      <c r="G182">
        <f t="shared" si="4"/>
        <v>10</v>
      </c>
    </row>
    <row r="183" spans="2:7" x14ac:dyDescent="0.25">
      <c r="B183" s="11">
        <v>43381</v>
      </c>
      <c r="C183" s="12" t="s">
        <v>8</v>
      </c>
      <c r="D183" s="13">
        <v>6000</v>
      </c>
      <c r="E183" s="10" t="s">
        <v>12</v>
      </c>
      <c r="F183" s="6">
        <f t="shared" si="5"/>
        <v>134360</v>
      </c>
      <c r="G183">
        <f t="shared" si="4"/>
        <v>10</v>
      </c>
    </row>
    <row r="184" spans="2:7" x14ac:dyDescent="0.25">
      <c r="B184" s="11">
        <v>43381</v>
      </c>
      <c r="C184" s="12" t="s">
        <v>5</v>
      </c>
      <c r="D184" s="13">
        <v>2800</v>
      </c>
      <c r="E184" s="10" t="s">
        <v>16</v>
      </c>
      <c r="F184" s="6">
        <f t="shared" si="5"/>
        <v>137160</v>
      </c>
      <c r="G184">
        <f t="shared" si="4"/>
        <v>10</v>
      </c>
    </row>
    <row r="185" spans="2:7" x14ac:dyDescent="0.25">
      <c r="B185" s="11">
        <v>43383</v>
      </c>
      <c r="C185" s="12" t="s">
        <v>5</v>
      </c>
      <c r="D185" s="13">
        <v>3200</v>
      </c>
      <c r="E185" s="10" t="s">
        <v>13</v>
      </c>
      <c r="F185" s="6">
        <f t="shared" si="5"/>
        <v>140360</v>
      </c>
      <c r="G185">
        <f t="shared" si="4"/>
        <v>10</v>
      </c>
    </row>
    <row r="186" spans="2:7" x14ac:dyDescent="0.25">
      <c r="B186" s="11">
        <v>43383</v>
      </c>
      <c r="C186" s="12" t="s">
        <v>8</v>
      </c>
      <c r="D186" s="13">
        <v>700</v>
      </c>
      <c r="E186" s="10" t="s">
        <v>14</v>
      </c>
      <c r="F186" s="6">
        <f t="shared" si="5"/>
        <v>139660</v>
      </c>
      <c r="G186">
        <f t="shared" si="4"/>
        <v>10</v>
      </c>
    </row>
    <row r="187" spans="2:7" x14ac:dyDescent="0.25">
      <c r="B187" s="11">
        <v>43388</v>
      </c>
      <c r="C187" s="12" t="s">
        <v>8</v>
      </c>
      <c r="D187" s="13">
        <v>1000</v>
      </c>
      <c r="E187" s="10" t="s">
        <v>19</v>
      </c>
      <c r="F187" s="6">
        <f t="shared" si="5"/>
        <v>138660</v>
      </c>
      <c r="G187">
        <f t="shared" si="4"/>
        <v>10</v>
      </c>
    </row>
    <row r="188" spans="2:7" x14ac:dyDescent="0.25">
      <c r="B188" s="11">
        <v>43393</v>
      </c>
      <c r="C188" s="12" t="s">
        <v>5</v>
      </c>
      <c r="D188" s="13">
        <v>38000</v>
      </c>
      <c r="E188" s="10" t="s">
        <v>29</v>
      </c>
      <c r="F188" s="6">
        <f t="shared" si="5"/>
        <v>176660</v>
      </c>
      <c r="G188">
        <f t="shared" si="4"/>
        <v>10</v>
      </c>
    </row>
    <row r="189" spans="2:7" x14ac:dyDescent="0.25">
      <c r="B189" s="11">
        <v>43393</v>
      </c>
      <c r="C189" s="12" t="s">
        <v>5</v>
      </c>
      <c r="D189" s="13">
        <v>3000</v>
      </c>
      <c r="E189" s="10" t="s">
        <v>20</v>
      </c>
      <c r="F189" s="6">
        <f t="shared" si="5"/>
        <v>179660</v>
      </c>
      <c r="G189">
        <f t="shared" si="4"/>
        <v>10</v>
      </c>
    </row>
    <row r="190" spans="2:7" x14ac:dyDescent="0.25">
      <c r="B190" s="11">
        <v>43393</v>
      </c>
      <c r="C190" s="12" t="s">
        <v>5</v>
      </c>
      <c r="D190" s="13">
        <v>1200</v>
      </c>
      <c r="E190" s="10" t="s">
        <v>17</v>
      </c>
      <c r="F190" s="6">
        <f t="shared" si="5"/>
        <v>180860</v>
      </c>
      <c r="G190">
        <f t="shared" si="4"/>
        <v>10</v>
      </c>
    </row>
    <row r="191" spans="2:7" x14ac:dyDescent="0.25">
      <c r="B191" s="11">
        <v>43395</v>
      </c>
      <c r="C191" s="12" t="s">
        <v>8</v>
      </c>
      <c r="D191" s="13">
        <v>2500</v>
      </c>
      <c r="E191" s="10" t="s">
        <v>30</v>
      </c>
      <c r="F191" s="6">
        <f t="shared" si="5"/>
        <v>178360</v>
      </c>
      <c r="G191">
        <f t="shared" si="4"/>
        <v>10</v>
      </c>
    </row>
    <row r="192" spans="2:7" x14ac:dyDescent="0.25">
      <c r="B192" s="11">
        <v>43395</v>
      </c>
      <c r="C192" s="12" t="s">
        <v>8</v>
      </c>
      <c r="D192" s="13">
        <v>2000</v>
      </c>
      <c r="E192" s="10" t="s">
        <v>31</v>
      </c>
      <c r="F192" s="6">
        <f t="shared" si="5"/>
        <v>176360</v>
      </c>
      <c r="G192">
        <f t="shared" si="4"/>
        <v>10</v>
      </c>
    </row>
    <row r="193" spans="2:7" x14ac:dyDescent="0.25">
      <c r="B193" s="11">
        <v>43398</v>
      </c>
      <c r="C193" s="12" t="s">
        <v>5</v>
      </c>
      <c r="D193" s="13">
        <v>1500</v>
      </c>
      <c r="E193" s="10" t="s">
        <v>32</v>
      </c>
      <c r="F193" s="6">
        <f t="shared" si="5"/>
        <v>177860</v>
      </c>
      <c r="G193">
        <f t="shared" si="4"/>
        <v>10</v>
      </c>
    </row>
    <row r="194" spans="2:7" x14ac:dyDescent="0.25">
      <c r="B194" s="11">
        <v>43398</v>
      </c>
      <c r="C194" s="12" t="s">
        <v>5</v>
      </c>
      <c r="D194" s="13">
        <v>2000</v>
      </c>
      <c r="E194" s="10" t="s">
        <v>33</v>
      </c>
      <c r="F194" s="6">
        <f t="shared" si="5"/>
        <v>179860</v>
      </c>
      <c r="G194">
        <f t="shared" si="4"/>
        <v>10</v>
      </c>
    </row>
    <row r="195" spans="2:7" x14ac:dyDescent="0.25">
      <c r="B195" s="11">
        <v>43401</v>
      </c>
      <c r="C195" s="12" t="s">
        <v>8</v>
      </c>
      <c r="D195" s="13">
        <v>500</v>
      </c>
      <c r="E195" s="10" t="s">
        <v>34</v>
      </c>
      <c r="F195" s="6">
        <f t="shared" si="5"/>
        <v>179360</v>
      </c>
      <c r="G195">
        <f t="shared" si="4"/>
        <v>10</v>
      </c>
    </row>
    <row r="196" spans="2:7" x14ac:dyDescent="0.25">
      <c r="B196" s="11">
        <v>43403</v>
      </c>
      <c r="C196" s="12" t="s">
        <v>8</v>
      </c>
      <c r="D196" s="13">
        <v>500</v>
      </c>
      <c r="E196" s="10" t="s">
        <v>26</v>
      </c>
      <c r="F196" s="6">
        <f t="shared" si="5"/>
        <v>178860</v>
      </c>
      <c r="G196">
        <f t="shared" si="4"/>
        <v>10</v>
      </c>
    </row>
    <row r="197" spans="2:7" x14ac:dyDescent="0.25">
      <c r="B197" s="11">
        <v>43406</v>
      </c>
      <c r="C197" s="12" t="s">
        <v>8</v>
      </c>
      <c r="D197" s="13">
        <v>300</v>
      </c>
      <c r="E197" s="10" t="s">
        <v>9</v>
      </c>
      <c r="F197" s="6">
        <f t="shared" si="5"/>
        <v>178560</v>
      </c>
      <c r="G197">
        <f t="shared" si="4"/>
        <v>11</v>
      </c>
    </row>
    <row r="198" spans="2:7" x14ac:dyDescent="0.25">
      <c r="B198" s="11">
        <v>43406</v>
      </c>
      <c r="C198" s="12" t="s">
        <v>5</v>
      </c>
      <c r="D198" s="13">
        <v>2000</v>
      </c>
      <c r="E198" s="10" t="s">
        <v>13</v>
      </c>
      <c r="F198" s="6">
        <f t="shared" si="5"/>
        <v>180560</v>
      </c>
      <c r="G198">
        <f t="shared" si="4"/>
        <v>11</v>
      </c>
    </row>
    <row r="199" spans="2:7" x14ac:dyDescent="0.25">
      <c r="B199" s="11">
        <v>43406</v>
      </c>
      <c r="C199" s="12" t="s">
        <v>5</v>
      </c>
      <c r="D199" s="13">
        <v>1400</v>
      </c>
      <c r="E199" s="10" t="s">
        <v>6</v>
      </c>
      <c r="F199" s="6">
        <f t="shared" si="5"/>
        <v>181960</v>
      </c>
      <c r="G199">
        <f t="shared" si="4"/>
        <v>11</v>
      </c>
    </row>
    <row r="200" spans="2:7" x14ac:dyDescent="0.25">
      <c r="B200" s="11">
        <v>43407</v>
      </c>
      <c r="C200" s="12" t="s">
        <v>8</v>
      </c>
      <c r="D200" s="13">
        <v>3800</v>
      </c>
      <c r="E200" s="10" t="s">
        <v>28</v>
      </c>
      <c r="F200" s="6">
        <f t="shared" si="5"/>
        <v>178160</v>
      </c>
      <c r="G200">
        <f t="shared" si="4"/>
        <v>11</v>
      </c>
    </row>
    <row r="201" spans="2:7" x14ac:dyDescent="0.25">
      <c r="B201" s="11">
        <v>43409</v>
      </c>
      <c r="C201" s="12" t="s">
        <v>8</v>
      </c>
      <c r="D201" s="13">
        <v>6000</v>
      </c>
      <c r="E201" s="10" t="s">
        <v>11</v>
      </c>
      <c r="F201" s="6">
        <f t="shared" si="5"/>
        <v>172160</v>
      </c>
      <c r="G201">
        <f t="shared" ref="G201:G236" si="6">MONTH(B201)</f>
        <v>11</v>
      </c>
    </row>
    <row r="202" spans="2:7" x14ac:dyDescent="0.25">
      <c r="B202" s="11">
        <v>43409</v>
      </c>
      <c r="C202" s="12" t="s">
        <v>5</v>
      </c>
      <c r="D202" s="13">
        <v>2800</v>
      </c>
      <c r="E202" s="10" t="s">
        <v>16</v>
      </c>
      <c r="F202" s="6">
        <f t="shared" ref="F202:F236" si="7">IF(C202="ENTRADA",F201+D202,F201-D202)</f>
        <v>174960</v>
      </c>
      <c r="G202">
        <f t="shared" si="6"/>
        <v>11</v>
      </c>
    </row>
    <row r="203" spans="2:7" x14ac:dyDescent="0.25">
      <c r="B203" s="11">
        <v>43409</v>
      </c>
      <c r="C203" s="12" t="s">
        <v>8</v>
      </c>
      <c r="D203" s="13">
        <v>6000</v>
      </c>
      <c r="E203" s="10" t="s">
        <v>12</v>
      </c>
      <c r="F203" s="6">
        <f t="shared" si="7"/>
        <v>168960</v>
      </c>
      <c r="G203">
        <f t="shared" si="6"/>
        <v>11</v>
      </c>
    </row>
    <row r="204" spans="2:7" x14ac:dyDescent="0.25">
      <c r="B204" s="11">
        <v>43414</v>
      </c>
      <c r="C204" s="12" t="s">
        <v>5</v>
      </c>
      <c r="D204" s="13">
        <v>2000</v>
      </c>
      <c r="E204" s="10" t="s">
        <v>13</v>
      </c>
      <c r="F204" s="6">
        <f t="shared" si="7"/>
        <v>170960</v>
      </c>
      <c r="G204">
        <f t="shared" si="6"/>
        <v>11</v>
      </c>
    </row>
    <row r="205" spans="2:7" x14ac:dyDescent="0.25">
      <c r="B205" s="11">
        <v>43416</v>
      </c>
      <c r="C205" s="12" t="s">
        <v>8</v>
      </c>
      <c r="D205" s="13">
        <v>700</v>
      </c>
      <c r="E205" s="10" t="s">
        <v>14</v>
      </c>
      <c r="F205" s="6">
        <f t="shared" si="7"/>
        <v>170260</v>
      </c>
      <c r="G205">
        <f t="shared" si="6"/>
        <v>11</v>
      </c>
    </row>
    <row r="206" spans="2:7" x14ac:dyDescent="0.25">
      <c r="B206" s="11">
        <v>43416</v>
      </c>
      <c r="C206" s="12" t="s">
        <v>8</v>
      </c>
      <c r="D206" s="13">
        <v>1000</v>
      </c>
      <c r="E206" s="10" t="s">
        <v>19</v>
      </c>
      <c r="F206" s="6">
        <f t="shared" si="7"/>
        <v>169260</v>
      </c>
      <c r="G206">
        <f t="shared" si="6"/>
        <v>11</v>
      </c>
    </row>
    <row r="207" spans="2:7" x14ac:dyDescent="0.25">
      <c r="B207" s="11">
        <v>43419</v>
      </c>
      <c r="C207" s="12" t="s">
        <v>5</v>
      </c>
      <c r="D207" s="13">
        <v>38000</v>
      </c>
      <c r="E207" s="10" t="s">
        <v>29</v>
      </c>
      <c r="F207" s="6">
        <f t="shared" si="7"/>
        <v>207260</v>
      </c>
      <c r="G207">
        <f t="shared" si="6"/>
        <v>11</v>
      </c>
    </row>
    <row r="208" spans="2:7" x14ac:dyDescent="0.25">
      <c r="B208" s="11">
        <v>43419</v>
      </c>
      <c r="C208" s="12" t="s">
        <v>5</v>
      </c>
      <c r="D208" s="13">
        <v>1200</v>
      </c>
      <c r="E208" s="10" t="s">
        <v>17</v>
      </c>
      <c r="F208" s="6">
        <f t="shared" si="7"/>
        <v>208460</v>
      </c>
      <c r="G208">
        <f t="shared" si="6"/>
        <v>11</v>
      </c>
    </row>
    <row r="209" spans="2:7" x14ac:dyDescent="0.25">
      <c r="B209" s="11">
        <v>43419</v>
      </c>
      <c r="C209" s="12" t="s">
        <v>5</v>
      </c>
      <c r="D209" s="13">
        <v>3000</v>
      </c>
      <c r="E209" s="10" t="s">
        <v>20</v>
      </c>
      <c r="F209" s="6">
        <f t="shared" si="7"/>
        <v>211460</v>
      </c>
      <c r="G209">
        <f t="shared" si="6"/>
        <v>11</v>
      </c>
    </row>
    <row r="210" spans="2:7" x14ac:dyDescent="0.25">
      <c r="B210" s="11">
        <v>43424</v>
      </c>
      <c r="C210" s="12" t="s">
        <v>8</v>
      </c>
      <c r="D210" s="13">
        <v>2500</v>
      </c>
      <c r="E210" s="10" t="s">
        <v>30</v>
      </c>
      <c r="F210" s="6">
        <f t="shared" si="7"/>
        <v>208960</v>
      </c>
      <c r="G210">
        <f t="shared" si="6"/>
        <v>11</v>
      </c>
    </row>
    <row r="211" spans="2:7" x14ac:dyDescent="0.25">
      <c r="B211" s="11">
        <v>43425</v>
      </c>
      <c r="C211" s="12" t="s">
        <v>8</v>
      </c>
      <c r="D211" s="13">
        <v>2000</v>
      </c>
      <c r="E211" s="10" t="s">
        <v>31</v>
      </c>
      <c r="F211" s="6">
        <f t="shared" si="7"/>
        <v>206960</v>
      </c>
      <c r="G211">
        <f t="shared" si="6"/>
        <v>11</v>
      </c>
    </row>
    <row r="212" spans="2:7" x14ac:dyDescent="0.25">
      <c r="B212" s="11">
        <v>43426</v>
      </c>
      <c r="C212" s="12" t="s">
        <v>5</v>
      </c>
      <c r="D212" s="13">
        <v>1500</v>
      </c>
      <c r="E212" s="10" t="s">
        <v>32</v>
      </c>
      <c r="F212" s="6">
        <f t="shared" si="7"/>
        <v>208460</v>
      </c>
      <c r="G212">
        <f t="shared" si="6"/>
        <v>11</v>
      </c>
    </row>
    <row r="213" spans="2:7" x14ac:dyDescent="0.25">
      <c r="B213" s="11">
        <v>43426</v>
      </c>
      <c r="C213" s="12" t="s">
        <v>5</v>
      </c>
      <c r="D213" s="13">
        <v>2000</v>
      </c>
      <c r="E213" s="10" t="s">
        <v>33</v>
      </c>
      <c r="F213" s="6">
        <f t="shared" si="7"/>
        <v>210460</v>
      </c>
      <c r="G213">
        <f t="shared" si="6"/>
        <v>11</v>
      </c>
    </row>
    <row r="214" spans="2:7" x14ac:dyDescent="0.25">
      <c r="B214" s="11">
        <v>43429</v>
      </c>
      <c r="C214" s="12" t="s">
        <v>8</v>
      </c>
      <c r="D214" s="13">
        <v>500</v>
      </c>
      <c r="E214" s="10" t="s">
        <v>34</v>
      </c>
      <c r="F214" s="6">
        <f t="shared" si="7"/>
        <v>209960</v>
      </c>
      <c r="G214">
        <f t="shared" si="6"/>
        <v>11</v>
      </c>
    </row>
    <row r="215" spans="2:7" x14ac:dyDescent="0.25">
      <c r="B215" s="11">
        <v>43432</v>
      </c>
      <c r="C215" s="12" t="s">
        <v>8</v>
      </c>
      <c r="D215" s="13">
        <v>500</v>
      </c>
      <c r="E215" s="10" t="s">
        <v>26</v>
      </c>
      <c r="F215" s="6">
        <f t="shared" si="7"/>
        <v>209460</v>
      </c>
      <c r="G215">
        <f t="shared" si="6"/>
        <v>11</v>
      </c>
    </row>
    <row r="216" spans="2:7" x14ac:dyDescent="0.25">
      <c r="B216" s="11">
        <v>43434</v>
      </c>
      <c r="C216" s="12" t="s">
        <v>8</v>
      </c>
      <c r="D216" s="13">
        <v>4000</v>
      </c>
      <c r="E216" s="10" t="s">
        <v>37</v>
      </c>
      <c r="F216" s="6">
        <f t="shared" si="7"/>
        <v>205460</v>
      </c>
      <c r="G216">
        <f t="shared" si="6"/>
        <v>11</v>
      </c>
    </row>
    <row r="217" spans="2:7" x14ac:dyDescent="0.25">
      <c r="B217" s="11">
        <v>43436</v>
      </c>
      <c r="C217" s="12" t="s">
        <v>5</v>
      </c>
      <c r="D217" s="13">
        <v>1400</v>
      </c>
      <c r="E217" s="10" t="s">
        <v>6</v>
      </c>
      <c r="F217" s="6">
        <f t="shared" si="7"/>
        <v>206860</v>
      </c>
      <c r="G217">
        <f t="shared" si="6"/>
        <v>12</v>
      </c>
    </row>
    <row r="218" spans="2:7" x14ac:dyDescent="0.25">
      <c r="B218" s="11">
        <v>43436</v>
      </c>
      <c r="C218" s="12" t="s">
        <v>8</v>
      </c>
      <c r="D218" s="13">
        <v>300</v>
      </c>
      <c r="E218" s="10" t="s">
        <v>9</v>
      </c>
      <c r="F218" s="6">
        <f t="shared" si="7"/>
        <v>206560</v>
      </c>
      <c r="G218">
        <f t="shared" si="6"/>
        <v>12</v>
      </c>
    </row>
    <row r="219" spans="2:7" x14ac:dyDescent="0.25">
      <c r="B219" s="11">
        <v>43436</v>
      </c>
      <c r="C219" s="12" t="s">
        <v>5</v>
      </c>
      <c r="D219" s="13">
        <v>5000</v>
      </c>
      <c r="E219" s="10" t="s">
        <v>13</v>
      </c>
      <c r="F219" s="6">
        <f t="shared" si="7"/>
        <v>211560</v>
      </c>
      <c r="G219">
        <f t="shared" si="6"/>
        <v>12</v>
      </c>
    </row>
    <row r="220" spans="2:7" x14ac:dyDescent="0.25">
      <c r="B220" s="11">
        <v>43437</v>
      </c>
      <c r="C220" s="12" t="s">
        <v>5</v>
      </c>
      <c r="D220" s="13">
        <v>4000</v>
      </c>
      <c r="E220" s="10" t="s">
        <v>16</v>
      </c>
      <c r="F220" s="6">
        <f t="shared" si="7"/>
        <v>215560</v>
      </c>
      <c r="G220">
        <f t="shared" si="6"/>
        <v>12</v>
      </c>
    </row>
    <row r="221" spans="2:7" x14ac:dyDescent="0.25">
      <c r="B221" s="11">
        <v>43437</v>
      </c>
      <c r="C221" s="12" t="s">
        <v>8</v>
      </c>
      <c r="D221" s="13">
        <v>4000</v>
      </c>
      <c r="E221" s="10" t="s">
        <v>28</v>
      </c>
      <c r="F221" s="6">
        <f t="shared" si="7"/>
        <v>211560</v>
      </c>
      <c r="G221">
        <f t="shared" si="6"/>
        <v>12</v>
      </c>
    </row>
    <row r="222" spans="2:7" x14ac:dyDescent="0.25">
      <c r="B222" s="11">
        <v>43439</v>
      </c>
      <c r="C222" s="12" t="s">
        <v>8</v>
      </c>
      <c r="D222" s="13">
        <v>8000</v>
      </c>
      <c r="E222" s="10" t="s">
        <v>11</v>
      </c>
      <c r="F222" s="6">
        <f t="shared" si="7"/>
        <v>203560</v>
      </c>
      <c r="G222">
        <f t="shared" si="6"/>
        <v>12</v>
      </c>
    </row>
    <row r="223" spans="2:7" x14ac:dyDescent="0.25">
      <c r="B223" s="11">
        <v>43439</v>
      </c>
      <c r="C223" s="12" t="s">
        <v>8</v>
      </c>
      <c r="D223" s="13">
        <v>8000</v>
      </c>
      <c r="E223" s="10" t="s">
        <v>12</v>
      </c>
      <c r="F223" s="6">
        <f t="shared" si="7"/>
        <v>195560</v>
      </c>
      <c r="G223">
        <f t="shared" si="6"/>
        <v>12</v>
      </c>
    </row>
    <row r="224" spans="2:7" x14ac:dyDescent="0.25">
      <c r="B224" s="11">
        <v>43439</v>
      </c>
      <c r="C224" s="12" t="s">
        <v>5</v>
      </c>
      <c r="D224" s="13">
        <v>5000</v>
      </c>
      <c r="E224" s="10" t="s">
        <v>13</v>
      </c>
      <c r="F224" s="6">
        <f t="shared" si="7"/>
        <v>200560</v>
      </c>
      <c r="G224">
        <f t="shared" si="6"/>
        <v>12</v>
      </c>
    </row>
    <row r="225" spans="2:7" x14ac:dyDescent="0.25">
      <c r="B225" s="11">
        <v>43444</v>
      </c>
      <c r="C225" s="12" t="s">
        <v>8</v>
      </c>
      <c r="D225" s="13">
        <v>500</v>
      </c>
      <c r="E225" s="10" t="s">
        <v>14</v>
      </c>
      <c r="F225" s="6">
        <f t="shared" si="7"/>
        <v>200060</v>
      </c>
      <c r="G225">
        <f t="shared" si="6"/>
        <v>12</v>
      </c>
    </row>
    <row r="226" spans="2:7" x14ac:dyDescent="0.25">
      <c r="B226" s="11">
        <v>43444</v>
      </c>
      <c r="C226" s="12" t="s">
        <v>5</v>
      </c>
      <c r="D226" s="13">
        <v>2500</v>
      </c>
      <c r="E226" s="10" t="s">
        <v>17</v>
      </c>
      <c r="F226" s="6">
        <f t="shared" si="7"/>
        <v>202560</v>
      </c>
      <c r="G226">
        <f t="shared" si="6"/>
        <v>12</v>
      </c>
    </row>
    <row r="227" spans="2:7" x14ac:dyDescent="0.25">
      <c r="B227" s="11">
        <v>43444</v>
      </c>
      <c r="C227" s="12" t="s">
        <v>5</v>
      </c>
      <c r="D227" s="13">
        <v>40000</v>
      </c>
      <c r="E227" s="10" t="s">
        <v>29</v>
      </c>
      <c r="F227" s="6">
        <f t="shared" si="7"/>
        <v>242560</v>
      </c>
      <c r="G227">
        <f t="shared" si="6"/>
        <v>12</v>
      </c>
    </row>
    <row r="228" spans="2:7" x14ac:dyDescent="0.25">
      <c r="B228" s="11">
        <v>43444</v>
      </c>
      <c r="C228" s="12" t="s">
        <v>8</v>
      </c>
      <c r="D228" s="13">
        <v>1000</v>
      </c>
      <c r="E228" s="10" t="s">
        <v>19</v>
      </c>
      <c r="F228" s="6">
        <f t="shared" si="7"/>
        <v>241560</v>
      </c>
      <c r="G228">
        <f t="shared" si="6"/>
        <v>12</v>
      </c>
    </row>
    <row r="229" spans="2:7" x14ac:dyDescent="0.25">
      <c r="B229" s="11">
        <v>43446</v>
      </c>
      <c r="C229" s="12" t="s">
        <v>5</v>
      </c>
      <c r="D229" s="13">
        <v>3200</v>
      </c>
      <c r="E229" s="10" t="s">
        <v>20</v>
      </c>
      <c r="F229" s="6">
        <f t="shared" si="7"/>
        <v>244760</v>
      </c>
      <c r="G229">
        <f t="shared" si="6"/>
        <v>12</v>
      </c>
    </row>
    <row r="230" spans="2:7" x14ac:dyDescent="0.25">
      <c r="B230" s="11">
        <v>43449</v>
      </c>
      <c r="C230" s="12" t="s">
        <v>8</v>
      </c>
      <c r="D230" s="13">
        <v>3200</v>
      </c>
      <c r="E230" s="10" t="s">
        <v>30</v>
      </c>
      <c r="F230" s="6">
        <f t="shared" si="7"/>
        <v>241560</v>
      </c>
      <c r="G230">
        <f t="shared" si="6"/>
        <v>12</v>
      </c>
    </row>
    <row r="231" spans="2:7" x14ac:dyDescent="0.25">
      <c r="B231" s="11">
        <v>43454</v>
      </c>
      <c r="C231" s="12" t="s">
        <v>8</v>
      </c>
      <c r="D231" s="13">
        <v>4000</v>
      </c>
      <c r="E231" s="10" t="s">
        <v>38</v>
      </c>
      <c r="F231" s="6">
        <f t="shared" si="7"/>
        <v>237560</v>
      </c>
      <c r="G231">
        <f t="shared" si="6"/>
        <v>12</v>
      </c>
    </row>
    <row r="232" spans="2:7" x14ac:dyDescent="0.25">
      <c r="B232" s="11">
        <v>43454</v>
      </c>
      <c r="C232" s="12" t="s">
        <v>5</v>
      </c>
      <c r="D232" s="13">
        <v>3000</v>
      </c>
      <c r="E232" s="10" t="s">
        <v>33</v>
      </c>
      <c r="F232" s="6">
        <f t="shared" si="7"/>
        <v>240560</v>
      </c>
      <c r="G232">
        <f t="shared" si="6"/>
        <v>12</v>
      </c>
    </row>
    <row r="233" spans="2:7" x14ac:dyDescent="0.25">
      <c r="B233" s="11">
        <v>43454</v>
      </c>
      <c r="C233" s="12" t="s">
        <v>8</v>
      </c>
      <c r="D233" s="13">
        <v>3500</v>
      </c>
      <c r="E233" s="10" t="s">
        <v>31</v>
      </c>
      <c r="F233" s="6">
        <f t="shared" si="7"/>
        <v>237060</v>
      </c>
      <c r="G233">
        <f t="shared" si="6"/>
        <v>12</v>
      </c>
    </row>
    <row r="234" spans="2:7" x14ac:dyDescent="0.25">
      <c r="B234" s="11">
        <v>43454</v>
      </c>
      <c r="C234" s="12" t="s">
        <v>5</v>
      </c>
      <c r="D234" s="13">
        <v>4000</v>
      </c>
      <c r="E234" s="10" t="s">
        <v>32</v>
      </c>
      <c r="F234" s="6">
        <f t="shared" si="7"/>
        <v>241060</v>
      </c>
      <c r="G234">
        <f t="shared" si="6"/>
        <v>12</v>
      </c>
    </row>
    <row r="235" spans="2:7" x14ac:dyDescent="0.25">
      <c r="B235" s="11">
        <v>43454</v>
      </c>
      <c r="C235" s="12" t="s">
        <v>8</v>
      </c>
      <c r="D235" s="13">
        <v>500</v>
      </c>
      <c r="E235" s="10" t="s">
        <v>34</v>
      </c>
      <c r="F235" s="6">
        <f t="shared" si="7"/>
        <v>240560</v>
      </c>
      <c r="G235">
        <f t="shared" si="6"/>
        <v>12</v>
      </c>
    </row>
    <row r="236" spans="2:7" x14ac:dyDescent="0.25">
      <c r="B236" s="11">
        <v>43462</v>
      </c>
      <c r="C236" s="12" t="s">
        <v>8</v>
      </c>
      <c r="D236" s="13">
        <v>500</v>
      </c>
      <c r="E236" s="10" t="s">
        <v>26</v>
      </c>
      <c r="F236" s="6">
        <f t="shared" si="7"/>
        <v>240060</v>
      </c>
      <c r="G236">
        <f t="shared" si="6"/>
        <v>12</v>
      </c>
    </row>
    <row r="237" spans="2:7" x14ac:dyDescent="0.25">
      <c r="B237" s="11">
        <v>43463</v>
      </c>
      <c r="C237" s="12"/>
      <c r="D237" s="13"/>
      <c r="E237" s="10"/>
      <c r="F237" s="6">
        <f>IF(C237="ENTRADA",F236+D237,F236-D237)</f>
        <v>240060</v>
      </c>
      <c r="G237">
        <f>MONTH(B237)</f>
        <v>12</v>
      </c>
    </row>
  </sheetData>
  <mergeCells count="1">
    <mergeCell ref="B1:E1"/>
  </mergeCells>
  <conditionalFormatting sqref="F8">
    <cfRule type="expression" dxfId="9" priority="2">
      <formula>$G8=$G9</formula>
    </cfRule>
  </conditionalFormatting>
  <conditionalFormatting sqref="F9:F237">
    <cfRule type="expression" dxfId="8" priority="1">
      <formula>$G9=$G10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4:F233"/>
  <sheetViews>
    <sheetView topLeftCell="A207" workbookViewId="0">
      <selection activeCell="B4" sqref="B4:F233"/>
    </sheetView>
  </sheetViews>
  <sheetFormatPr defaultRowHeight="15" x14ac:dyDescent="0.25"/>
  <cols>
    <col min="2" max="2" width="11.5703125" customWidth="1"/>
    <col min="3" max="3" width="10.7109375" bestFit="1" customWidth="1"/>
    <col min="4" max="4" width="13.28515625" bestFit="1" customWidth="1"/>
    <col min="5" max="5" width="35.5703125" customWidth="1"/>
    <col min="6" max="6" width="23.7109375" customWidth="1"/>
  </cols>
  <sheetData>
    <row r="4" spans="2:6" x14ac:dyDescent="0.25">
      <c r="B4" t="s">
        <v>0</v>
      </c>
      <c r="C4" t="s">
        <v>1</v>
      </c>
      <c r="D4" t="s">
        <v>2</v>
      </c>
      <c r="E4" t="s">
        <v>3</v>
      </c>
      <c r="F4" t="s">
        <v>4</v>
      </c>
    </row>
    <row r="5" spans="2:6" x14ac:dyDescent="0.25">
      <c r="B5" t="s">
        <v>5</v>
      </c>
      <c r="C5" s="1">
        <v>42737</v>
      </c>
      <c r="D5" s="2">
        <v>3000</v>
      </c>
      <c r="E5" t="s">
        <v>6</v>
      </c>
      <c r="F5" t="s">
        <v>7</v>
      </c>
    </row>
    <row r="6" spans="2:6" x14ac:dyDescent="0.25">
      <c r="B6" t="s">
        <v>8</v>
      </c>
      <c r="C6" s="1">
        <v>42738</v>
      </c>
      <c r="D6" s="2">
        <v>250</v>
      </c>
      <c r="E6" t="s">
        <v>9</v>
      </c>
      <c r="F6" t="s">
        <v>10</v>
      </c>
    </row>
    <row r="7" spans="2:6" x14ac:dyDescent="0.25">
      <c r="B7" t="s">
        <v>8</v>
      </c>
      <c r="C7" s="1">
        <v>42740</v>
      </c>
      <c r="D7" s="2">
        <v>5000</v>
      </c>
      <c r="E7" t="s">
        <v>11</v>
      </c>
      <c r="F7" t="s">
        <v>7</v>
      </c>
    </row>
    <row r="8" spans="2:6" x14ac:dyDescent="0.25">
      <c r="B8" t="s">
        <v>8</v>
      </c>
      <c r="C8" s="1">
        <v>42740</v>
      </c>
      <c r="D8" s="2">
        <v>5000</v>
      </c>
      <c r="E8" t="s">
        <v>12</v>
      </c>
      <c r="F8" t="s">
        <v>7</v>
      </c>
    </row>
    <row r="9" spans="2:6" x14ac:dyDescent="0.25">
      <c r="B9" t="s">
        <v>5</v>
      </c>
      <c r="C9" s="1">
        <v>42740</v>
      </c>
      <c r="D9" s="2">
        <v>1800</v>
      </c>
      <c r="E9" t="s">
        <v>13</v>
      </c>
      <c r="F9" t="s">
        <v>10</v>
      </c>
    </row>
    <row r="10" spans="2:6" x14ac:dyDescent="0.25">
      <c r="B10" t="s">
        <v>5</v>
      </c>
      <c r="C10" s="1">
        <v>42740</v>
      </c>
      <c r="D10" s="2">
        <v>1200</v>
      </c>
      <c r="E10" t="s">
        <v>13</v>
      </c>
      <c r="F10" t="s">
        <v>10</v>
      </c>
    </row>
    <row r="11" spans="2:6" x14ac:dyDescent="0.25">
      <c r="B11" t="s">
        <v>8</v>
      </c>
      <c r="C11" s="1">
        <v>42740</v>
      </c>
      <c r="D11" s="2">
        <v>450</v>
      </c>
      <c r="E11" t="s">
        <v>14</v>
      </c>
      <c r="F11" t="s">
        <v>10</v>
      </c>
    </row>
    <row r="12" spans="2:6" x14ac:dyDescent="0.25">
      <c r="B12" t="s">
        <v>8</v>
      </c>
      <c r="C12" s="1">
        <v>42740</v>
      </c>
      <c r="D12" s="2">
        <v>5000</v>
      </c>
      <c r="E12" t="s">
        <v>15</v>
      </c>
      <c r="F12" t="s">
        <v>7</v>
      </c>
    </row>
    <row r="13" spans="2:6" x14ac:dyDescent="0.25">
      <c r="B13" t="s">
        <v>5</v>
      </c>
      <c r="C13" s="1">
        <v>42741</v>
      </c>
      <c r="D13" s="2">
        <v>1700</v>
      </c>
      <c r="E13" t="s">
        <v>16</v>
      </c>
      <c r="F13" t="s">
        <v>10</v>
      </c>
    </row>
    <row r="14" spans="2:6" x14ac:dyDescent="0.25">
      <c r="B14" t="s">
        <v>5</v>
      </c>
      <c r="C14" s="1">
        <v>42745</v>
      </c>
      <c r="D14" s="2">
        <v>1800</v>
      </c>
      <c r="E14" t="s">
        <v>17</v>
      </c>
      <c r="F14" t="s">
        <v>10</v>
      </c>
    </row>
    <row r="15" spans="2:6" x14ac:dyDescent="0.25">
      <c r="B15" t="s">
        <v>5</v>
      </c>
      <c r="C15" s="1">
        <v>42745</v>
      </c>
      <c r="D15" s="2">
        <v>20000</v>
      </c>
      <c r="E15" t="s">
        <v>18</v>
      </c>
      <c r="F15" t="s">
        <v>7</v>
      </c>
    </row>
    <row r="16" spans="2:6" x14ac:dyDescent="0.25">
      <c r="B16" t="s">
        <v>8</v>
      </c>
      <c r="C16" s="1">
        <v>42745</v>
      </c>
      <c r="D16" s="2">
        <v>900</v>
      </c>
      <c r="E16" t="s">
        <v>19</v>
      </c>
      <c r="F16" t="s">
        <v>7</v>
      </c>
    </row>
    <row r="17" spans="2:6" x14ac:dyDescent="0.25">
      <c r="B17" t="s">
        <v>5</v>
      </c>
      <c r="C17" s="1">
        <v>42750</v>
      </c>
      <c r="D17" s="2">
        <v>2500</v>
      </c>
      <c r="E17" t="s">
        <v>20</v>
      </c>
      <c r="F17" t="s">
        <v>10</v>
      </c>
    </row>
    <row r="18" spans="2:6" x14ac:dyDescent="0.25">
      <c r="B18" t="s">
        <v>8</v>
      </c>
      <c r="C18" s="1">
        <v>42755</v>
      </c>
      <c r="D18" s="2">
        <v>500</v>
      </c>
      <c r="E18" t="s">
        <v>21</v>
      </c>
      <c r="F18" t="s">
        <v>22</v>
      </c>
    </row>
    <row r="19" spans="2:6" x14ac:dyDescent="0.25">
      <c r="B19" t="s">
        <v>5</v>
      </c>
      <c r="C19" s="1">
        <v>42755</v>
      </c>
      <c r="D19" s="2">
        <v>2000</v>
      </c>
      <c r="E19" t="s">
        <v>6</v>
      </c>
      <c r="F19" t="s">
        <v>10</v>
      </c>
    </row>
    <row r="20" spans="2:6" x14ac:dyDescent="0.25">
      <c r="B20" t="s">
        <v>8</v>
      </c>
      <c r="C20" s="1">
        <v>42755</v>
      </c>
      <c r="D20" s="2">
        <v>2000</v>
      </c>
      <c r="E20" t="s">
        <v>23</v>
      </c>
      <c r="F20" t="s">
        <v>22</v>
      </c>
    </row>
    <row r="21" spans="2:6" x14ac:dyDescent="0.25">
      <c r="B21" t="s">
        <v>8</v>
      </c>
      <c r="C21" s="1">
        <v>42756</v>
      </c>
      <c r="D21" s="2">
        <v>250</v>
      </c>
      <c r="E21" t="s">
        <v>24</v>
      </c>
      <c r="F21" t="s">
        <v>22</v>
      </c>
    </row>
    <row r="22" spans="2:6" x14ac:dyDescent="0.25">
      <c r="B22" t="s">
        <v>8</v>
      </c>
      <c r="C22" s="1">
        <v>42760</v>
      </c>
      <c r="D22" s="2">
        <v>500</v>
      </c>
      <c r="E22" t="s">
        <v>25</v>
      </c>
      <c r="F22" t="s">
        <v>10</v>
      </c>
    </row>
    <row r="23" spans="2:6" x14ac:dyDescent="0.25">
      <c r="B23" t="s">
        <v>8</v>
      </c>
      <c r="C23" s="1">
        <v>42765</v>
      </c>
      <c r="D23" s="2">
        <v>500</v>
      </c>
      <c r="E23" t="s">
        <v>26</v>
      </c>
      <c r="F23" t="s">
        <v>10</v>
      </c>
    </row>
    <row r="24" spans="2:6" x14ac:dyDescent="0.25">
      <c r="B24" t="s">
        <v>5</v>
      </c>
      <c r="C24" s="1">
        <v>42768</v>
      </c>
      <c r="D24" s="2">
        <v>3000</v>
      </c>
      <c r="E24" t="s">
        <v>6</v>
      </c>
      <c r="F24" t="s">
        <v>7</v>
      </c>
    </row>
    <row r="25" spans="2:6" x14ac:dyDescent="0.25">
      <c r="B25" t="s">
        <v>5</v>
      </c>
      <c r="C25" s="1">
        <v>42768</v>
      </c>
      <c r="D25" s="2">
        <v>1800</v>
      </c>
      <c r="E25" t="s">
        <v>13</v>
      </c>
      <c r="F25" t="s">
        <v>10</v>
      </c>
    </row>
    <row r="26" spans="2:6" x14ac:dyDescent="0.25">
      <c r="B26" t="s">
        <v>8</v>
      </c>
      <c r="C26" s="1">
        <v>42771</v>
      </c>
      <c r="D26" s="2">
        <v>6200</v>
      </c>
      <c r="E26" t="s">
        <v>11</v>
      </c>
      <c r="F26" t="s">
        <v>7</v>
      </c>
    </row>
    <row r="27" spans="2:6" x14ac:dyDescent="0.25">
      <c r="B27" t="s">
        <v>8</v>
      </c>
      <c r="C27" s="1">
        <v>42771</v>
      </c>
      <c r="D27" s="2">
        <v>6200</v>
      </c>
      <c r="E27" t="s">
        <v>12</v>
      </c>
      <c r="F27" t="s">
        <v>7</v>
      </c>
    </row>
    <row r="28" spans="2:6" x14ac:dyDescent="0.25">
      <c r="B28" t="s">
        <v>5</v>
      </c>
      <c r="C28" s="1">
        <v>42771</v>
      </c>
      <c r="D28" s="2">
        <v>1800</v>
      </c>
      <c r="E28" t="s">
        <v>13</v>
      </c>
      <c r="F28" t="s">
        <v>10</v>
      </c>
    </row>
    <row r="29" spans="2:6" x14ac:dyDescent="0.25">
      <c r="B29" t="s">
        <v>8</v>
      </c>
      <c r="C29" s="1">
        <v>42771</v>
      </c>
      <c r="D29" s="2">
        <v>10000</v>
      </c>
      <c r="E29" t="s">
        <v>15</v>
      </c>
      <c r="F29" t="s">
        <v>7</v>
      </c>
    </row>
    <row r="30" spans="2:6" x14ac:dyDescent="0.25">
      <c r="B30" t="s">
        <v>5</v>
      </c>
      <c r="C30" s="1">
        <v>42771</v>
      </c>
      <c r="D30" s="2">
        <v>2500</v>
      </c>
      <c r="E30" t="s">
        <v>16</v>
      </c>
      <c r="F30" t="s">
        <v>10</v>
      </c>
    </row>
    <row r="31" spans="2:6" x14ac:dyDescent="0.25">
      <c r="B31" t="s">
        <v>8</v>
      </c>
      <c r="C31" s="1">
        <v>42771</v>
      </c>
      <c r="D31" s="2">
        <v>280</v>
      </c>
      <c r="E31" t="s">
        <v>9</v>
      </c>
      <c r="F31" t="s">
        <v>10</v>
      </c>
    </row>
    <row r="32" spans="2:6" x14ac:dyDescent="0.25">
      <c r="B32" t="s">
        <v>8</v>
      </c>
      <c r="C32" s="1">
        <v>42771</v>
      </c>
      <c r="D32" s="2">
        <v>460</v>
      </c>
      <c r="E32" t="s">
        <v>14</v>
      </c>
      <c r="F32" t="s">
        <v>10</v>
      </c>
    </row>
    <row r="33" spans="2:6" x14ac:dyDescent="0.25">
      <c r="B33" t="s">
        <v>5</v>
      </c>
      <c r="C33" s="1">
        <v>42781</v>
      </c>
      <c r="D33" s="2">
        <v>1800</v>
      </c>
      <c r="E33" t="s">
        <v>17</v>
      </c>
      <c r="F33" t="s">
        <v>10</v>
      </c>
    </row>
    <row r="34" spans="2:6" x14ac:dyDescent="0.25">
      <c r="B34" t="s">
        <v>5</v>
      </c>
      <c r="C34" s="1">
        <v>42781</v>
      </c>
      <c r="D34" s="2">
        <v>10000</v>
      </c>
      <c r="E34" t="s">
        <v>18</v>
      </c>
      <c r="F34" t="s">
        <v>7</v>
      </c>
    </row>
    <row r="35" spans="2:6" x14ac:dyDescent="0.25">
      <c r="B35" t="s">
        <v>8</v>
      </c>
      <c r="C35" s="1">
        <v>42786</v>
      </c>
      <c r="D35" s="2">
        <v>300</v>
      </c>
      <c r="E35" t="s">
        <v>27</v>
      </c>
      <c r="F35" t="s">
        <v>22</v>
      </c>
    </row>
    <row r="36" spans="2:6" x14ac:dyDescent="0.25">
      <c r="B36" t="s">
        <v>8</v>
      </c>
      <c r="C36" s="1">
        <v>42786</v>
      </c>
      <c r="D36" s="2">
        <v>200</v>
      </c>
      <c r="E36" t="s">
        <v>24</v>
      </c>
      <c r="F36" t="s">
        <v>22</v>
      </c>
    </row>
    <row r="37" spans="2:6" x14ac:dyDescent="0.25">
      <c r="B37" t="s">
        <v>5</v>
      </c>
      <c r="C37" s="1">
        <v>42786</v>
      </c>
      <c r="D37" s="2">
        <v>2300</v>
      </c>
      <c r="E37" t="s">
        <v>20</v>
      </c>
      <c r="F37" t="s">
        <v>10</v>
      </c>
    </row>
    <row r="38" spans="2:6" x14ac:dyDescent="0.25">
      <c r="B38" t="s">
        <v>8</v>
      </c>
      <c r="C38" s="1">
        <v>42786</v>
      </c>
      <c r="D38" s="2">
        <v>2200</v>
      </c>
      <c r="E38" t="s">
        <v>23</v>
      </c>
      <c r="F38" t="s">
        <v>22</v>
      </c>
    </row>
    <row r="39" spans="2:6" x14ac:dyDescent="0.25">
      <c r="B39" t="s">
        <v>5</v>
      </c>
      <c r="C39" s="1">
        <v>42786</v>
      </c>
      <c r="D39" s="2">
        <v>1300</v>
      </c>
      <c r="E39" t="s">
        <v>6</v>
      </c>
      <c r="F39" t="s">
        <v>10</v>
      </c>
    </row>
    <row r="40" spans="2:6" x14ac:dyDescent="0.25">
      <c r="B40" t="s">
        <v>8</v>
      </c>
      <c r="C40" s="1">
        <v>42789</v>
      </c>
      <c r="D40" s="2">
        <v>1300</v>
      </c>
      <c r="E40" t="s">
        <v>25</v>
      </c>
      <c r="F40" t="s">
        <v>10</v>
      </c>
    </row>
    <row r="41" spans="2:6" x14ac:dyDescent="0.25">
      <c r="B41" t="s">
        <v>8</v>
      </c>
      <c r="C41" s="1">
        <v>42791</v>
      </c>
      <c r="D41" s="2">
        <v>500</v>
      </c>
      <c r="E41" t="s">
        <v>26</v>
      </c>
      <c r="F41" t="s">
        <v>10</v>
      </c>
    </row>
    <row r="42" spans="2:6" x14ac:dyDescent="0.25">
      <c r="B42" t="s">
        <v>5</v>
      </c>
      <c r="C42" s="1">
        <v>42796</v>
      </c>
      <c r="D42" s="2">
        <v>2000</v>
      </c>
      <c r="E42" t="s">
        <v>6</v>
      </c>
      <c r="F42" t="s">
        <v>7</v>
      </c>
    </row>
    <row r="43" spans="2:6" x14ac:dyDescent="0.25">
      <c r="B43" t="s">
        <v>8</v>
      </c>
      <c r="C43" s="1">
        <v>42797</v>
      </c>
      <c r="D43" s="2">
        <v>300</v>
      </c>
      <c r="E43" t="s">
        <v>9</v>
      </c>
      <c r="F43" t="s">
        <v>10</v>
      </c>
    </row>
    <row r="44" spans="2:6" x14ac:dyDescent="0.25">
      <c r="B44" t="s">
        <v>8</v>
      </c>
      <c r="C44" s="1">
        <v>42799</v>
      </c>
      <c r="D44" s="2">
        <v>6000</v>
      </c>
      <c r="E44" t="s">
        <v>11</v>
      </c>
      <c r="F44" t="s">
        <v>7</v>
      </c>
    </row>
    <row r="45" spans="2:6" x14ac:dyDescent="0.25">
      <c r="B45" t="s">
        <v>8</v>
      </c>
      <c r="C45" s="1">
        <v>42799</v>
      </c>
      <c r="D45" s="2">
        <v>6000</v>
      </c>
      <c r="E45" t="s">
        <v>12</v>
      </c>
      <c r="F45" t="s">
        <v>7</v>
      </c>
    </row>
    <row r="46" spans="2:6" x14ac:dyDescent="0.25">
      <c r="B46" t="s">
        <v>5</v>
      </c>
      <c r="C46" s="1">
        <v>42799</v>
      </c>
      <c r="D46" s="2">
        <v>2500</v>
      </c>
      <c r="E46" t="s">
        <v>13</v>
      </c>
      <c r="F46" t="s">
        <v>10</v>
      </c>
    </row>
    <row r="47" spans="2:6" x14ac:dyDescent="0.25">
      <c r="B47" t="s">
        <v>5</v>
      </c>
      <c r="C47" s="1">
        <v>42799</v>
      </c>
      <c r="D47" s="2">
        <v>800</v>
      </c>
      <c r="E47" t="s">
        <v>13</v>
      </c>
      <c r="F47" t="s">
        <v>10</v>
      </c>
    </row>
    <row r="48" spans="2:6" x14ac:dyDescent="0.25">
      <c r="B48" t="s">
        <v>5</v>
      </c>
      <c r="C48" s="1">
        <v>42799</v>
      </c>
      <c r="D48" s="2">
        <v>2000</v>
      </c>
      <c r="E48" t="s">
        <v>16</v>
      </c>
      <c r="F48" t="s">
        <v>10</v>
      </c>
    </row>
    <row r="49" spans="2:6" x14ac:dyDescent="0.25">
      <c r="B49" t="s">
        <v>8</v>
      </c>
      <c r="C49" s="1">
        <v>42799</v>
      </c>
      <c r="D49" s="2">
        <v>5000</v>
      </c>
      <c r="E49" t="s">
        <v>28</v>
      </c>
      <c r="F49" t="s">
        <v>7</v>
      </c>
    </row>
    <row r="50" spans="2:6" x14ac:dyDescent="0.25">
      <c r="B50" t="s">
        <v>8</v>
      </c>
      <c r="C50" s="1">
        <v>42804</v>
      </c>
      <c r="D50" s="2">
        <v>500</v>
      </c>
      <c r="E50" t="s">
        <v>14</v>
      </c>
      <c r="F50" t="s">
        <v>10</v>
      </c>
    </row>
    <row r="51" spans="2:6" x14ac:dyDescent="0.25">
      <c r="B51" t="s">
        <v>8</v>
      </c>
      <c r="C51" s="1">
        <v>42808</v>
      </c>
      <c r="D51" s="2">
        <v>1000</v>
      </c>
      <c r="E51" t="s">
        <v>19</v>
      </c>
      <c r="F51" t="s">
        <v>7</v>
      </c>
    </row>
    <row r="52" spans="2:6" x14ac:dyDescent="0.25">
      <c r="B52" t="s">
        <v>5</v>
      </c>
      <c r="C52" s="1">
        <v>42814</v>
      </c>
      <c r="D52" s="2">
        <v>2000</v>
      </c>
      <c r="E52" t="s">
        <v>20</v>
      </c>
      <c r="F52" t="s">
        <v>10</v>
      </c>
    </row>
    <row r="53" spans="2:6" x14ac:dyDescent="0.25">
      <c r="B53" t="s">
        <v>5</v>
      </c>
      <c r="C53" s="1">
        <v>42814</v>
      </c>
      <c r="D53" s="2">
        <v>2000</v>
      </c>
      <c r="E53" t="s">
        <v>17</v>
      </c>
      <c r="F53" t="s">
        <v>10</v>
      </c>
    </row>
    <row r="54" spans="2:6" x14ac:dyDescent="0.25">
      <c r="B54" t="s">
        <v>5</v>
      </c>
      <c r="C54" s="1">
        <v>42814</v>
      </c>
      <c r="D54" s="2">
        <v>25000</v>
      </c>
      <c r="E54" t="s">
        <v>29</v>
      </c>
      <c r="F54" t="s">
        <v>7</v>
      </c>
    </row>
    <row r="55" spans="2:6" x14ac:dyDescent="0.25">
      <c r="B55" t="s">
        <v>8</v>
      </c>
      <c r="C55" s="1">
        <v>42817</v>
      </c>
      <c r="D55" s="2">
        <v>2000</v>
      </c>
      <c r="E55" t="s">
        <v>30</v>
      </c>
      <c r="F55" t="s">
        <v>22</v>
      </c>
    </row>
    <row r="56" spans="2:6" x14ac:dyDescent="0.25">
      <c r="B56" t="s">
        <v>5</v>
      </c>
      <c r="C56" s="1">
        <v>42819</v>
      </c>
      <c r="D56" s="2">
        <v>1200</v>
      </c>
      <c r="E56" t="s">
        <v>6</v>
      </c>
      <c r="F56" t="s">
        <v>10</v>
      </c>
    </row>
    <row r="57" spans="2:6" x14ac:dyDescent="0.25">
      <c r="B57" t="s">
        <v>8</v>
      </c>
      <c r="C57" s="1">
        <v>42819</v>
      </c>
      <c r="D57" s="2">
        <v>1000</v>
      </c>
      <c r="E57" t="s">
        <v>31</v>
      </c>
      <c r="F57" t="s">
        <v>10</v>
      </c>
    </row>
    <row r="58" spans="2:6" x14ac:dyDescent="0.25">
      <c r="B58" t="s">
        <v>8</v>
      </c>
      <c r="C58" s="1">
        <v>42824</v>
      </c>
      <c r="D58" s="2">
        <v>500</v>
      </c>
      <c r="E58" t="s">
        <v>26</v>
      </c>
      <c r="F58" t="s">
        <v>10</v>
      </c>
    </row>
    <row r="59" spans="2:6" x14ac:dyDescent="0.25">
      <c r="B59" t="s">
        <v>5</v>
      </c>
      <c r="C59" s="1">
        <v>42827</v>
      </c>
      <c r="D59" s="2">
        <v>1500</v>
      </c>
      <c r="E59" t="s">
        <v>6</v>
      </c>
      <c r="F59" t="s">
        <v>7</v>
      </c>
    </row>
    <row r="60" spans="2:6" x14ac:dyDescent="0.25">
      <c r="B60" t="s">
        <v>8</v>
      </c>
      <c r="C60" s="1">
        <v>42828</v>
      </c>
      <c r="D60" s="2">
        <v>250</v>
      </c>
      <c r="E60" t="s">
        <v>9</v>
      </c>
      <c r="F60" t="s">
        <v>10</v>
      </c>
    </row>
    <row r="61" spans="2:6" x14ac:dyDescent="0.25">
      <c r="B61" t="s">
        <v>8</v>
      </c>
      <c r="C61" s="1">
        <v>42830</v>
      </c>
      <c r="D61" s="2">
        <v>4000</v>
      </c>
      <c r="E61" t="s">
        <v>28</v>
      </c>
      <c r="F61" t="s">
        <v>7</v>
      </c>
    </row>
    <row r="62" spans="2:6" x14ac:dyDescent="0.25">
      <c r="B62" t="s">
        <v>5</v>
      </c>
      <c r="C62" s="1">
        <v>42830</v>
      </c>
      <c r="D62" s="2">
        <v>3000</v>
      </c>
      <c r="E62" t="s">
        <v>16</v>
      </c>
      <c r="F62" t="s">
        <v>10</v>
      </c>
    </row>
    <row r="63" spans="2:6" x14ac:dyDescent="0.25">
      <c r="B63" t="s">
        <v>5</v>
      </c>
      <c r="C63" s="1">
        <v>42830</v>
      </c>
      <c r="D63" s="2">
        <v>1000</v>
      </c>
      <c r="E63" t="s">
        <v>13</v>
      </c>
      <c r="F63" t="s">
        <v>10</v>
      </c>
    </row>
    <row r="64" spans="2:6" x14ac:dyDescent="0.25">
      <c r="B64" t="s">
        <v>8</v>
      </c>
      <c r="C64" s="1">
        <v>42835</v>
      </c>
      <c r="D64" s="2">
        <v>6000</v>
      </c>
      <c r="E64" t="s">
        <v>12</v>
      </c>
      <c r="F64" t="s">
        <v>7</v>
      </c>
    </row>
    <row r="65" spans="2:6" x14ac:dyDescent="0.25">
      <c r="B65" t="s">
        <v>8</v>
      </c>
      <c r="C65" s="1">
        <v>42835</v>
      </c>
      <c r="D65" s="2">
        <v>6000</v>
      </c>
      <c r="E65" t="s">
        <v>11</v>
      </c>
      <c r="F65" t="s">
        <v>7</v>
      </c>
    </row>
    <row r="66" spans="2:6" x14ac:dyDescent="0.25">
      <c r="B66" t="s">
        <v>8</v>
      </c>
      <c r="C66" s="1">
        <v>42840</v>
      </c>
      <c r="D66" s="2">
        <v>1000</v>
      </c>
      <c r="E66" t="s">
        <v>19</v>
      </c>
      <c r="F66" t="s">
        <v>7</v>
      </c>
    </row>
    <row r="67" spans="2:6" x14ac:dyDescent="0.25">
      <c r="B67" t="s">
        <v>5</v>
      </c>
      <c r="C67" s="1">
        <v>42840</v>
      </c>
      <c r="D67" s="2">
        <v>30000</v>
      </c>
      <c r="E67" t="s">
        <v>29</v>
      </c>
      <c r="F67" t="s">
        <v>7</v>
      </c>
    </row>
    <row r="68" spans="2:6" x14ac:dyDescent="0.25">
      <c r="B68" t="s">
        <v>5</v>
      </c>
      <c r="C68" s="1">
        <v>42840</v>
      </c>
      <c r="D68" s="2">
        <v>3000</v>
      </c>
      <c r="E68" t="s">
        <v>13</v>
      </c>
      <c r="F68" t="s">
        <v>10</v>
      </c>
    </row>
    <row r="69" spans="2:6" x14ac:dyDescent="0.25">
      <c r="B69" t="s">
        <v>8</v>
      </c>
      <c r="C69" s="1">
        <v>42840</v>
      </c>
      <c r="D69" s="2">
        <v>600</v>
      </c>
      <c r="E69" t="s">
        <v>14</v>
      </c>
      <c r="F69" t="s">
        <v>10</v>
      </c>
    </row>
    <row r="70" spans="2:6" x14ac:dyDescent="0.25">
      <c r="B70" t="s">
        <v>8</v>
      </c>
      <c r="C70" s="1">
        <v>42845</v>
      </c>
      <c r="D70" s="2">
        <v>2000</v>
      </c>
      <c r="E70" t="s">
        <v>30</v>
      </c>
      <c r="F70" t="s">
        <v>22</v>
      </c>
    </row>
    <row r="71" spans="2:6" x14ac:dyDescent="0.25">
      <c r="B71" t="s">
        <v>5</v>
      </c>
      <c r="C71" s="1">
        <v>42845</v>
      </c>
      <c r="D71" s="2">
        <v>1800</v>
      </c>
      <c r="E71" t="s">
        <v>20</v>
      </c>
      <c r="F71" t="s">
        <v>10</v>
      </c>
    </row>
    <row r="72" spans="2:6" x14ac:dyDescent="0.25">
      <c r="B72" t="s">
        <v>5</v>
      </c>
      <c r="C72" s="1">
        <v>42845</v>
      </c>
      <c r="D72" s="2">
        <v>1500</v>
      </c>
      <c r="E72" t="s">
        <v>17</v>
      </c>
      <c r="F72" t="s">
        <v>10</v>
      </c>
    </row>
    <row r="73" spans="2:6" x14ac:dyDescent="0.25">
      <c r="B73" t="s">
        <v>5</v>
      </c>
      <c r="C73" s="1">
        <v>42850</v>
      </c>
      <c r="D73" s="2">
        <v>2000</v>
      </c>
      <c r="E73" t="s">
        <v>6</v>
      </c>
      <c r="F73" t="s">
        <v>10</v>
      </c>
    </row>
    <row r="74" spans="2:6" x14ac:dyDescent="0.25">
      <c r="B74" t="s">
        <v>8</v>
      </c>
      <c r="C74" s="1">
        <v>42850</v>
      </c>
      <c r="D74" s="2">
        <v>1500</v>
      </c>
      <c r="E74" t="s">
        <v>31</v>
      </c>
      <c r="F74" t="s">
        <v>10</v>
      </c>
    </row>
    <row r="75" spans="2:6" x14ac:dyDescent="0.25">
      <c r="B75" t="s">
        <v>8</v>
      </c>
      <c r="C75" s="1">
        <v>42855</v>
      </c>
      <c r="D75" s="2">
        <v>500</v>
      </c>
      <c r="E75" t="s">
        <v>26</v>
      </c>
      <c r="F75" t="s">
        <v>10</v>
      </c>
    </row>
    <row r="76" spans="2:6" x14ac:dyDescent="0.25">
      <c r="B76" t="s">
        <v>5</v>
      </c>
      <c r="C76" s="1">
        <v>42857</v>
      </c>
      <c r="D76" s="2">
        <v>1400</v>
      </c>
      <c r="E76" t="s">
        <v>6</v>
      </c>
      <c r="F76" t="s">
        <v>7</v>
      </c>
    </row>
    <row r="77" spans="2:6" x14ac:dyDescent="0.25">
      <c r="B77" t="s">
        <v>5</v>
      </c>
      <c r="C77" s="1">
        <v>42860</v>
      </c>
      <c r="D77" s="2">
        <v>2800</v>
      </c>
      <c r="E77" t="s">
        <v>16</v>
      </c>
      <c r="F77" t="s">
        <v>10</v>
      </c>
    </row>
    <row r="78" spans="2:6" x14ac:dyDescent="0.25">
      <c r="B78" t="s">
        <v>8</v>
      </c>
      <c r="C78" s="1">
        <v>42860</v>
      </c>
      <c r="D78" s="2">
        <v>4000</v>
      </c>
      <c r="E78" t="s">
        <v>28</v>
      </c>
      <c r="F78" t="s">
        <v>7</v>
      </c>
    </row>
    <row r="79" spans="2:6" x14ac:dyDescent="0.25">
      <c r="B79" t="s">
        <v>8</v>
      </c>
      <c r="C79" s="1">
        <v>42860</v>
      </c>
      <c r="D79" s="2">
        <v>300</v>
      </c>
      <c r="E79" t="s">
        <v>9</v>
      </c>
      <c r="F79" t="s">
        <v>10</v>
      </c>
    </row>
    <row r="80" spans="2:6" x14ac:dyDescent="0.25">
      <c r="B80" t="s">
        <v>5</v>
      </c>
      <c r="C80" s="1">
        <v>42860</v>
      </c>
      <c r="D80" s="2">
        <v>1200</v>
      </c>
      <c r="E80" t="s">
        <v>13</v>
      </c>
      <c r="F80" t="s">
        <v>10</v>
      </c>
    </row>
    <row r="81" spans="2:6" x14ac:dyDescent="0.25">
      <c r="B81" t="s">
        <v>5</v>
      </c>
      <c r="C81" s="1">
        <v>42865</v>
      </c>
      <c r="D81" s="2">
        <v>3200</v>
      </c>
      <c r="E81" t="s">
        <v>13</v>
      </c>
      <c r="F81" t="s">
        <v>10</v>
      </c>
    </row>
    <row r="82" spans="2:6" x14ac:dyDescent="0.25">
      <c r="B82" t="s">
        <v>8</v>
      </c>
      <c r="C82" s="1">
        <v>42865</v>
      </c>
      <c r="D82" s="2">
        <v>700</v>
      </c>
      <c r="E82" t="s">
        <v>14</v>
      </c>
      <c r="F82" t="s">
        <v>10</v>
      </c>
    </row>
    <row r="83" spans="2:6" x14ac:dyDescent="0.25">
      <c r="B83" t="s">
        <v>8</v>
      </c>
      <c r="C83" s="1">
        <v>42865</v>
      </c>
      <c r="D83" s="2">
        <v>6000</v>
      </c>
      <c r="E83" t="s">
        <v>11</v>
      </c>
      <c r="F83" t="s">
        <v>7</v>
      </c>
    </row>
    <row r="84" spans="2:6" x14ac:dyDescent="0.25">
      <c r="B84" t="s">
        <v>8</v>
      </c>
      <c r="C84" s="1">
        <v>42865</v>
      </c>
      <c r="D84" s="2">
        <v>6000</v>
      </c>
      <c r="E84" t="s">
        <v>12</v>
      </c>
      <c r="F84" t="s">
        <v>7</v>
      </c>
    </row>
    <row r="85" spans="2:6" x14ac:dyDescent="0.25">
      <c r="B85" t="s">
        <v>5</v>
      </c>
      <c r="C85" s="1">
        <v>42870</v>
      </c>
      <c r="D85" s="2">
        <v>1500</v>
      </c>
      <c r="E85" t="s">
        <v>17</v>
      </c>
      <c r="F85" t="s">
        <v>10</v>
      </c>
    </row>
    <row r="86" spans="2:6" x14ac:dyDescent="0.25">
      <c r="B86" t="s">
        <v>5</v>
      </c>
      <c r="C86" s="1">
        <v>42870</v>
      </c>
      <c r="D86" s="2">
        <v>1800</v>
      </c>
      <c r="E86" t="s">
        <v>20</v>
      </c>
      <c r="F86" t="s">
        <v>10</v>
      </c>
    </row>
    <row r="87" spans="2:6" x14ac:dyDescent="0.25">
      <c r="B87" t="s">
        <v>8</v>
      </c>
      <c r="C87" s="1">
        <v>42870</v>
      </c>
      <c r="D87" s="2">
        <v>1000</v>
      </c>
      <c r="E87" t="s">
        <v>19</v>
      </c>
      <c r="F87" t="s">
        <v>7</v>
      </c>
    </row>
    <row r="88" spans="2:6" x14ac:dyDescent="0.25">
      <c r="B88" t="s">
        <v>5</v>
      </c>
      <c r="C88" s="1">
        <v>42870</v>
      </c>
      <c r="D88" s="2">
        <v>35000</v>
      </c>
      <c r="E88" t="s">
        <v>29</v>
      </c>
      <c r="F88" t="s">
        <v>7</v>
      </c>
    </row>
    <row r="89" spans="2:6" x14ac:dyDescent="0.25">
      <c r="B89" t="s">
        <v>8</v>
      </c>
      <c r="C89" s="1">
        <v>42875</v>
      </c>
      <c r="D89" s="2">
        <v>2000</v>
      </c>
      <c r="E89" t="s">
        <v>30</v>
      </c>
      <c r="F89" t="s">
        <v>22</v>
      </c>
    </row>
    <row r="90" spans="2:6" x14ac:dyDescent="0.25">
      <c r="B90" t="s">
        <v>8</v>
      </c>
      <c r="C90" s="1">
        <v>42878</v>
      </c>
      <c r="D90" s="2">
        <v>1500</v>
      </c>
      <c r="E90" t="s">
        <v>31</v>
      </c>
      <c r="F90" t="s">
        <v>10</v>
      </c>
    </row>
    <row r="91" spans="2:6" x14ac:dyDescent="0.25">
      <c r="B91" t="s">
        <v>5</v>
      </c>
      <c r="C91" s="1">
        <v>42882</v>
      </c>
      <c r="D91" s="2">
        <v>2000</v>
      </c>
      <c r="E91" t="s">
        <v>6</v>
      </c>
      <c r="F91" t="s">
        <v>10</v>
      </c>
    </row>
    <row r="92" spans="2:6" x14ac:dyDescent="0.25">
      <c r="B92" t="s">
        <v>5</v>
      </c>
      <c r="C92" s="1">
        <v>42883</v>
      </c>
      <c r="D92" s="2">
        <v>1500</v>
      </c>
      <c r="E92" t="s">
        <v>32</v>
      </c>
      <c r="F92" t="s">
        <v>10</v>
      </c>
    </row>
    <row r="93" spans="2:6" x14ac:dyDescent="0.25">
      <c r="B93" t="s">
        <v>8</v>
      </c>
      <c r="C93" s="1">
        <v>42885</v>
      </c>
      <c r="D93" s="2">
        <v>500</v>
      </c>
      <c r="E93" t="s">
        <v>26</v>
      </c>
      <c r="F93" t="s">
        <v>10</v>
      </c>
    </row>
    <row r="94" spans="2:6" x14ac:dyDescent="0.25">
      <c r="B94" t="s">
        <v>5</v>
      </c>
      <c r="C94" s="1">
        <v>42885</v>
      </c>
      <c r="D94" s="2">
        <v>3000</v>
      </c>
      <c r="E94" t="s">
        <v>33</v>
      </c>
      <c r="F94" t="s">
        <v>22</v>
      </c>
    </row>
    <row r="95" spans="2:6" x14ac:dyDescent="0.25">
      <c r="B95" t="s">
        <v>5</v>
      </c>
      <c r="C95" s="1">
        <v>42888</v>
      </c>
      <c r="D95" s="2">
        <v>1400</v>
      </c>
      <c r="E95" t="s">
        <v>6</v>
      </c>
      <c r="F95" t="s">
        <v>7</v>
      </c>
    </row>
    <row r="96" spans="2:6" x14ac:dyDescent="0.25">
      <c r="B96" t="s">
        <v>5</v>
      </c>
      <c r="C96" s="1">
        <v>42889</v>
      </c>
      <c r="D96" s="2">
        <v>1200</v>
      </c>
      <c r="E96" t="s">
        <v>13</v>
      </c>
      <c r="F96" t="s">
        <v>10</v>
      </c>
    </row>
    <row r="97" spans="2:6" x14ac:dyDescent="0.25">
      <c r="B97" t="s">
        <v>8</v>
      </c>
      <c r="C97" s="1">
        <v>42889</v>
      </c>
      <c r="D97" s="2">
        <v>300</v>
      </c>
      <c r="E97" t="s">
        <v>9</v>
      </c>
      <c r="F97" t="s">
        <v>10</v>
      </c>
    </row>
    <row r="98" spans="2:6" x14ac:dyDescent="0.25">
      <c r="B98" t="s">
        <v>8</v>
      </c>
      <c r="C98" s="1">
        <v>42891</v>
      </c>
      <c r="D98" s="2">
        <v>4000</v>
      </c>
      <c r="E98" t="s">
        <v>28</v>
      </c>
      <c r="F98" t="s">
        <v>7</v>
      </c>
    </row>
    <row r="99" spans="2:6" x14ac:dyDescent="0.25">
      <c r="B99" t="s">
        <v>5</v>
      </c>
      <c r="C99" s="1">
        <v>42891</v>
      </c>
      <c r="D99" s="2">
        <v>2800</v>
      </c>
      <c r="E99" t="s">
        <v>16</v>
      </c>
      <c r="F99" t="s">
        <v>10</v>
      </c>
    </row>
    <row r="100" spans="2:6" x14ac:dyDescent="0.25">
      <c r="B100" t="s">
        <v>8</v>
      </c>
      <c r="C100" s="1">
        <v>42894</v>
      </c>
      <c r="D100" s="2">
        <v>6000</v>
      </c>
      <c r="E100" t="s">
        <v>12</v>
      </c>
      <c r="F100" t="s">
        <v>7</v>
      </c>
    </row>
    <row r="101" spans="2:6" x14ac:dyDescent="0.25">
      <c r="B101" t="s">
        <v>8</v>
      </c>
      <c r="C101" s="1">
        <v>42894</v>
      </c>
      <c r="D101" s="2">
        <v>6000</v>
      </c>
      <c r="E101" t="s">
        <v>11</v>
      </c>
      <c r="F101" t="s">
        <v>7</v>
      </c>
    </row>
    <row r="102" spans="2:6" x14ac:dyDescent="0.25">
      <c r="B102" t="s">
        <v>8</v>
      </c>
      <c r="C102" s="1">
        <v>42896</v>
      </c>
      <c r="D102" s="2">
        <v>700</v>
      </c>
      <c r="E102" t="s">
        <v>14</v>
      </c>
      <c r="F102" t="s">
        <v>10</v>
      </c>
    </row>
    <row r="103" spans="2:6" x14ac:dyDescent="0.25">
      <c r="B103" t="s">
        <v>5</v>
      </c>
      <c r="C103" s="1">
        <v>42896</v>
      </c>
      <c r="D103" s="2">
        <v>3200</v>
      </c>
      <c r="E103" t="s">
        <v>13</v>
      </c>
      <c r="F103" t="s">
        <v>10</v>
      </c>
    </row>
    <row r="104" spans="2:6" x14ac:dyDescent="0.25">
      <c r="B104" t="s">
        <v>8</v>
      </c>
      <c r="C104" s="1">
        <v>42897</v>
      </c>
      <c r="D104" s="2">
        <v>1000</v>
      </c>
      <c r="E104" t="s">
        <v>19</v>
      </c>
      <c r="F104" t="s">
        <v>7</v>
      </c>
    </row>
    <row r="105" spans="2:6" x14ac:dyDescent="0.25">
      <c r="B105" t="s">
        <v>5</v>
      </c>
      <c r="C105" s="1">
        <v>42898</v>
      </c>
      <c r="D105" s="2">
        <v>1200</v>
      </c>
      <c r="E105" t="s">
        <v>17</v>
      </c>
      <c r="F105" t="s">
        <v>10</v>
      </c>
    </row>
    <row r="106" spans="2:6" x14ac:dyDescent="0.25">
      <c r="B106" t="s">
        <v>5</v>
      </c>
      <c r="C106" s="1">
        <v>42898</v>
      </c>
      <c r="D106" s="2">
        <v>30000</v>
      </c>
      <c r="E106" t="s">
        <v>29</v>
      </c>
      <c r="F106" t="s">
        <v>7</v>
      </c>
    </row>
    <row r="107" spans="2:6" x14ac:dyDescent="0.25">
      <c r="B107" t="s">
        <v>8</v>
      </c>
      <c r="C107" s="1">
        <v>42901</v>
      </c>
      <c r="D107" s="2">
        <v>2500</v>
      </c>
      <c r="E107" t="s">
        <v>30</v>
      </c>
      <c r="F107" t="s">
        <v>22</v>
      </c>
    </row>
    <row r="108" spans="2:6" x14ac:dyDescent="0.25">
      <c r="B108" t="s">
        <v>5</v>
      </c>
      <c r="C108" s="1">
        <v>42901</v>
      </c>
      <c r="D108" s="2">
        <v>1200</v>
      </c>
      <c r="E108" t="s">
        <v>20</v>
      </c>
      <c r="F108" t="s">
        <v>10</v>
      </c>
    </row>
    <row r="109" spans="2:6" x14ac:dyDescent="0.25">
      <c r="B109" t="s">
        <v>5</v>
      </c>
      <c r="C109" s="1">
        <v>42911</v>
      </c>
      <c r="D109" s="2">
        <v>1500</v>
      </c>
      <c r="E109" t="s">
        <v>32</v>
      </c>
      <c r="F109" t="s">
        <v>10</v>
      </c>
    </row>
    <row r="110" spans="2:6" x14ac:dyDescent="0.25">
      <c r="B110" t="s">
        <v>5</v>
      </c>
      <c r="C110" s="1">
        <v>42911</v>
      </c>
      <c r="D110" s="2">
        <v>1500</v>
      </c>
      <c r="E110" t="s">
        <v>6</v>
      </c>
      <c r="F110" t="s">
        <v>10</v>
      </c>
    </row>
    <row r="111" spans="2:6" x14ac:dyDescent="0.25">
      <c r="B111" t="s">
        <v>8</v>
      </c>
      <c r="C111" s="1">
        <v>42911</v>
      </c>
      <c r="D111" s="2">
        <v>2000</v>
      </c>
      <c r="E111" t="s">
        <v>31</v>
      </c>
      <c r="F111" t="s">
        <v>10</v>
      </c>
    </row>
    <row r="112" spans="2:6" x14ac:dyDescent="0.25">
      <c r="B112" t="s">
        <v>8</v>
      </c>
      <c r="C112" s="1">
        <v>42915</v>
      </c>
      <c r="D112" s="2">
        <v>500</v>
      </c>
      <c r="E112" t="s">
        <v>26</v>
      </c>
      <c r="F112" t="s">
        <v>10</v>
      </c>
    </row>
    <row r="113" spans="2:6" x14ac:dyDescent="0.25">
      <c r="B113" t="s">
        <v>8</v>
      </c>
      <c r="C113" s="1">
        <v>42916</v>
      </c>
      <c r="D113" s="2">
        <v>500</v>
      </c>
      <c r="E113" t="s">
        <v>34</v>
      </c>
      <c r="F113" t="s">
        <v>22</v>
      </c>
    </row>
    <row r="114" spans="2:6" x14ac:dyDescent="0.25">
      <c r="B114" t="s">
        <v>5</v>
      </c>
      <c r="C114" s="1">
        <v>42916</v>
      </c>
      <c r="D114" s="2">
        <v>2000</v>
      </c>
      <c r="E114" t="s">
        <v>33</v>
      </c>
      <c r="F114" t="s">
        <v>22</v>
      </c>
    </row>
    <row r="115" spans="2:6" x14ac:dyDescent="0.25">
      <c r="B115" t="s">
        <v>8</v>
      </c>
      <c r="C115" s="1">
        <v>42918</v>
      </c>
      <c r="D115" s="2">
        <v>300</v>
      </c>
      <c r="E115" t="s">
        <v>9</v>
      </c>
      <c r="F115" t="s">
        <v>10</v>
      </c>
    </row>
    <row r="116" spans="2:6" x14ac:dyDescent="0.25">
      <c r="B116" t="s">
        <v>5</v>
      </c>
      <c r="C116" s="1">
        <v>42918</v>
      </c>
      <c r="D116" s="2">
        <v>1000</v>
      </c>
      <c r="E116" t="s">
        <v>6</v>
      </c>
      <c r="F116" t="s">
        <v>7</v>
      </c>
    </row>
    <row r="117" spans="2:6" x14ac:dyDescent="0.25">
      <c r="B117" t="s">
        <v>8</v>
      </c>
      <c r="C117" s="1">
        <v>42921</v>
      </c>
      <c r="D117" s="2">
        <v>300</v>
      </c>
      <c r="E117" t="s">
        <v>35</v>
      </c>
      <c r="F117" t="s">
        <v>10</v>
      </c>
    </row>
    <row r="118" spans="2:6" x14ac:dyDescent="0.25">
      <c r="B118" t="s">
        <v>8</v>
      </c>
      <c r="C118" s="1">
        <v>42921</v>
      </c>
      <c r="D118" s="2">
        <v>6000</v>
      </c>
      <c r="E118" t="s">
        <v>36</v>
      </c>
      <c r="F118" t="s">
        <v>10</v>
      </c>
    </row>
    <row r="119" spans="2:6" x14ac:dyDescent="0.25">
      <c r="B119" t="s">
        <v>8</v>
      </c>
      <c r="C119" s="1">
        <v>42921</v>
      </c>
      <c r="D119" s="2">
        <v>4000</v>
      </c>
      <c r="E119" t="s">
        <v>28</v>
      </c>
      <c r="F119" t="s">
        <v>7</v>
      </c>
    </row>
    <row r="120" spans="2:6" x14ac:dyDescent="0.25">
      <c r="B120" t="s">
        <v>5</v>
      </c>
      <c r="C120" s="1">
        <v>42924</v>
      </c>
      <c r="D120" s="2">
        <v>2000</v>
      </c>
      <c r="E120" t="s">
        <v>16</v>
      </c>
      <c r="F120" t="s">
        <v>10</v>
      </c>
    </row>
    <row r="121" spans="2:6" x14ac:dyDescent="0.25">
      <c r="B121" t="s">
        <v>8</v>
      </c>
      <c r="C121" s="1">
        <v>42926</v>
      </c>
      <c r="D121" s="2">
        <v>1000</v>
      </c>
      <c r="E121" t="s">
        <v>19</v>
      </c>
      <c r="F121" t="s">
        <v>7</v>
      </c>
    </row>
    <row r="122" spans="2:6" x14ac:dyDescent="0.25">
      <c r="B122" t="s">
        <v>8</v>
      </c>
      <c r="C122" s="1">
        <v>42926</v>
      </c>
      <c r="D122" s="2">
        <v>6000</v>
      </c>
      <c r="E122" t="s">
        <v>11</v>
      </c>
      <c r="F122" t="s">
        <v>7</v>
      </c>
    </row>
    <row r="123" spans="2:6" x14ac:dyDescent="0.25">
      <c r="B123" t="s">
        <v>5</v>
      </c>
      <c r="C123" s="1">
        <v>42926</v>
      </c>
      <c r="D123" s="2">
        <v>1500</v>
      </c>
      <c r="E123" t="s">
        <v>13</v>
      </c>
      <c r="F123" t="s">
        <v>10</v>
      </c>
    </row>
    <row r="124" spans="2:6" x14ac:dyDescent="0.25">
      <c r="B124" t="s">
        <v>8</v>
      </c>
      <c r="C124" s="1">
        <v>42926</v>
      </c>
      <c r="D124" s="2">
        <v>6000</v>
      </c>
      <c r="E124" t="s">
        <v>12</v>
      </c>
      <c r="F124" t="s">
        <v>7</v>
      </c>
    </row>
    <row r="125" spans="2:6" x14ac:dyDescent="0.25">
      <c r="B125" t="s">
        <v>8</v>
      </c>
      <c r="C125" s="1">
        <v>42926</v>
      </c>
      <c r="D125" s="2">
        <v>1000</v>
      </c>
      <c r="E125" t="s">
        <v>14</v>
      </c>
      <c r="F125" t="s">
        <v>10</v>
      </c>
    </row>
    <row r="126" spans="2:6" x14ac:dyDescent="0.25">
      <c r="B126" t="s">
        <v>5</v>
      </c>
      <c r="C126" s="1">
        <v>42936</v>
      </c>
      <c r="D126" s="2">
        <v>1200</v>
      </c>
      <c r="E126" t="s">
        <v>17</v>
      </c>
      <c r="F126" t="s">
        <v>10</v>
      </c>
    </row>
    <row r="127" spans="2:6" x14ac:dyDescent="0.25">
      <c r="B127" t="s">
        <v>5</v>
      </c>
      <c r="C127" s="1">
        <v>42936</v>
      </c>
      <c r="D127" s="2">
        <v>20000</v>
      </c>
      <c r="E127" t="s">
        <v>29</v>
      </c>
      <c r="F127" t="s">
        <v>7</v>
      </c>
    </row>
    <row r="128" spans="2:6" x14ac:dyDescent="0.25">
      <c r="B128" t="s">
        <v>8</v>
      </c>
      <c r="C128" s="1">
        <v>42936</v>
      </c>
      <c r="D128" s="2">
        <v>2600</v>
      </c>
      <c r="E128" t="s">
        <v>30</v>
      </c>
      <c r="F128" t="s">
        <v>22</v>
      </c>
    </row>
    <row r="129" spans="2:6" x14ac:dyDescent="0.25">
      <c r="B129" t="s">
        <v>5</v>
      </c>
      <c r="C129" s="1">
        <v>42936</v>
      </c>
      <c r="D129" s="2">
        <v>1200</v>
      </c>
      <c r="E129" t="s">
        <v>20</v>
      </c>
      <c r="F129" t="s">
        <v>10</v>
      </c>
    </row>
    <row r="130" spans="2:6" x14ac:dyDescent="0.25">
      <c r="B130" t="s">
        <v>8</v>
      </c>
      <c r="C130" s="1">
        <v>42939</v>
      </c>
      <c r="D130" s="2">
        <v>2500</v>
      </c>
      <c r="E130" t="s">
        <v>31</v>
      </c>
      <c r="F130" t="s">
        <v>10</v>
      </c>
    </row>
    <row r="131" spans="2:6" x14ac:dyDescent="0.25">
      <c r="B131" t="s">
        <v>5</v>
      </c>
      <c r="C131" s="1">
        <v>42939</v>
      </c>
      <c r="D131" s="2">
        <v>1200</v>
      </c>
      <c r="E131" t="s">
        <v>32</v>
      </c>
      <c r="F131" t="s">
        <v>10</v>
      </c>
    </row>
    <row r="132" spans="2:6" x14ac:dyDescent="0.25">
      <c r="B132" t="s">
        <v>5</v>
      </c>
      <c r="C132" s="1">
        <v>42939</v>
      </c>
      <c r="D132" s="2">
        <v>1300</v>
      </c>
      <c r="E132" t="s">
        <v>6</v>
      </c>
      <c r="F132" t="s">
        <v>10</v>
      </c>
    </row>
    <row r="133" spans="2:6" x14ac:dyDescent="0.25">
      <c r="B133" t="s">
        <v>5</v>
      </c>
      <c r="C133" s="1">
        <v>42944</v>
      </c>
      <c r="D133" s="2">
        <v>1000</v>
      </c>
      <c r="E133" t="s">
        <v>33</v>
      </c>
      <c r="F133" t="s">
        <v>22</v>
      </c>
    </row>
    <row r="134" spans="2:6" x14ac:dyDescent="0.25">
      <c r="B134" t="s">
        <v>8</v>
      </c>
      <c r="C134" s="1">
        <v>42945</v>
      </c>
      <c r="D134" s="2">
        <v>500</v>
      </c>
      <c r="E134" t="s">
        <v>34</v>
      </c>
      <c r="F134" t="s">
        <v>22</v>
      </c>
    </row>
    <row r="135" spans="2:6" x14ac:dyDescent="0.25">
      <c r="B135" t="s">
        <v>8</v>
      </c>
      <c r="C135" s="1">
        <v>42946</v>
      </c>
      <c r="D135" s="2">
        <v>500</v>
      </c>
      <c r="E135" t="s">
        <v>26</v>
      </c>
      <c r="F135" t="s">
        <v>10</v>
      </c>
    </row>
    <row r="136" spans="2:6" x14ac:dyDescent="0.25">
      <c r="B136" t="s">
        <v>5</v>
      </c>
      <c r="C136" s="1">
        <v>42948</v>
      </c>
      <c r="D136" s="2">
        <v>1400</v>
      </c>
      <c r="E136" t="s">
        <v>6</v>
      </c>
      <c r="F136" t="s">
        <v>7</v>
      </c>
    </row>
    <row r="137" spans="2:6" x14ac:dyDescent="0.25">
      <c r="B137" t="s">
        <v>8</v>
      </c>
      <c r="C137" s="1">
        <v>42949</v>
      </c>
      <c r="D137" s="2">
        <v>300</v>
      </c>
      <c r="E137" t="s">
        <v>9</v>
      </c>
      <c r="F137" t="s">
        <v>10</v>
      </c>
    </row>
    <row r="138" spans="2:6" x14ac:dyDescent="0.25">
      <c r="B138" t="s">
        <v>5</v>
      </c>
      <c r="C138" s="1">
        <v>42952</v>
      </c>
      <c r="D138" s="2">
        <v>2000</v>
      </c>
      <c r="E138" t="s">
        <v>13</v>
      </c>
      <c r="F138" t="s">
        <v>10</v>
      </c>
    </row>
    <row r="139" spans="2:6" x14ac:dyDescent="0.25">
      <c r="B139" t="s">
        <v>8</v>
      </c>
      <c r="C139" s="1">
        <v>42952</v>
      </c>
      <c r="D139" s="2">
        <v>3800</v>
      </c>
      <c r="E139" t="s">
        <v>28</v>
      </c>
      <c r="F139" t="s">
        <v>7</v>
      </c>
    </row>
    <row r="140" spans="2:6" x14ac:dyDescent="0.25">
      <c r="B140" t="s">
        <v>5</v>
      </c>
      <c r="C140" s="1">
        <v>42957</v>
      </c>
      <c r="D140" s="2">
        <v>2800</v>
      </c>
      <c r="E140" t="s">
        <v>16</v>
      </c>
      <c r="F140" t="s">
        <v>10</v>
      </c>
    </row>
    <row r="141" spans="2:6" x14ac:dyDescent="0.25">
      <c r="B141" t="s">
        <v>5</v>
      </c>
      <c r="C141" s="1">
        <v>42957</v>
      </c>
      <c r="D141" s="2">
        <v>3200</v>
      </c>
      <c r="E141" t="s">
        <v>13</v>
      </c>
      <c r="F141" t="s">
        <v>10</v>
      </c>
    </row>
    <row r="142" spans="2:6" x14ac:dyDescent="0.25">
      <c r="B142" t="s">
        <v>8</v>
      </c>
      <c r="C142" s="1">
        <v>42957</v>
      </c>
      <c r="D142" s="2">
        <v>6000</v>
      </c>
      <c r="E142" t="s">
        <v>12</v>
      </c>
      <c r="F142" t="s">
        <v>7</v>
      </c>
    </row>
    <row r="143" spans="2:6" x14ac:dyDescent="0.25">
      <c r="B143" t="s">
        <v>8</v>
      </c>
      <c r="C143" s="1">
        <v>42957</v>
      </c>
      <c r="D143" s="2">
        <v>6000</v>
      </c>
      <c r="E143" t="s">
        <v>11</v>
      </c>
      <c r="F143" t="s">
        <v>7</v>
      </c>
    </row>
    <row r="144" spans="2:6" x14ac:dyDescent="0.25">
      <c r="B144" t="s">
        <v>8</v>
      </c>
      <c r="C144" s="1">
        <v>42959</v>
      </c>
      <c r="D144" s="2">
        <v>700</v>
      </c>
      <c r="E144" t="s">
        <v>14</v>
      </c>
      <c r="F144" t="s">
        <v>10</v>
      </c>
    </row>
    <row r="145" spans="2:6" x14ac:dyDescent="0.25">
      <c r="B145" t="s">
        <v>8</v>
      </c>
      <c r="C145" s="1">
        <v>42962</v>
      </c>
      <c r="D145" s="2">
        <v>1000</v>
      </c>
      <c r="E145" t="s">
        <v>19</v>
      </c>
      <c r="F145" t="s">
        <v>7</v>
      </c>
    </row>
    <row r="146" spans="2:6" x14ac:dyDescent="0.25">
      <c r="B146" t="s">
        <v>5</v>
      </c>
      <c r="C146" s="1">
        <v>42962</v>
      </c>
      <c r="D146" s="2">
        <v>30000</v>
      </c>
      <c r="E146" t="s">
        <v>29</v>
      </c>
      <c r="F146" t="s">
        <v>7</v>
      </c>
    </row>
    <row r="147" spans="2:6" x14ac:dyDescent="0.25">
      <c r="B147" t="s">
        <v>5</v>
      </c>
      <c r="C147" s="1">
        <v>42962</v>
      </c>
      <c r="D147" s="2">
        <v>1200</v>
      </c>
      <c r="E147" t="s">
        <v>17</v>
      </c>
      <c r="F147" t="s">
        <v>10</v>
      </c>
    </row>
    <row r="148" spans="2:6" x14ac:dyDescent="0.25">
      <c r="B148" t="s">
        <v>5</v>
      </c>
      <c r="C148" s="1">
        <v>42967</v>
      </c>
      <c r="D148" s="2">
        <v>1200</v>
      </c>
      <c r="E148" t="s">
        <v>20</v>
      </c>
      <c r="F148" t="s">
        <v>10</v>
      </c>
    </row>
    <row r="149" spans="2:6" x14ac:dyDescent="0.25">
      <c r="B149" t="s">
        <v>8</v>
      </c>
      <c r="C149" s="1">
        <v>42967</v>
      </c>
      <c r="D149" s="2">
        <v>2500</v>
      </c>
      <c r="E149" t="s">
        <v>30</v>
      </c>
      <c r="F149" t="s">
        <v>22</v>
      </c>
    </row>
    <row r="150" spans="2:6" x14ac:dyDescent="0.25">
      <c r="B150" t="s">
        <v>8</v>
      </c>
      <c r="C150" s="1">
        <v>42968</v>
      </c>
      <c r="D150" s="2">
        <v>2000</v>
      </c>
      <c r="E150" t="s">
        <v>31</v>
      </c>
      <c r="F150" t="s">
        <v>10</v>
      </c>
    </row>
    <row r="151" spans="2:6" x14ac:dyDescent="0.25">
      <c r="B151" t="s">
        <v>5</v>
      </c>
      <c r="C151" s="1">
        <v>42972</v>
      </c>
      <c r="D151" s="2">
        <v>1500</v>
      </c>
      <c r="E151" t="s">
        <v>6</v>
      </c>
      <c r="F151" t="s">
        <v>10</v>
      </c>
    </row>
    <row r="152" spans="2:6" x14ac:dyDescent="0.25">
      <c r="B152" t="s">
        <v>5</v>
      </c>
      <c r="C152" s="1">
        <v>42972</v>
      </c>
      <c r="D152" s="2">
        <v>1500</v>
      </c>
      <c r="E152" t="s">
        <v>32</v>
      </c>
      <c r="F152" t="s">
        <v>10</v>
      </c>
    </row>
    <row r="153" spans="2:6" x14ac:dyDescent="0.25">
      <c r="B153" t="s">
        <v>5</v>
      </c>
      <c r="C153" s="1">
        <v>42974</v>
      </c>
      <c r="D153" s="2">
        <v>2000</v>
      </c>
      <c r="E153" t="s">
        <v>33</v>
      </c>
      <c r="F153" t="s">
        <v>22</v>
      </c>
    </row>
    <row r="154" spans="2:6" x14ac:dyDescent="0.25">
      <c r="B154" t="s">
        <v>8</v>
      </c>
      <c r="C154" s="1">
        <v>42977</v>
      </c>
      <c r="D154" s="2">
        <v>500</v>
      </c>
      <c r="E154" t="s">
        <v>26</v>
      </c>
      <c r="F154" t="s">
        <v>10</v>
      </c>
    </row>
    <row r="155" spans="2:6" x14ac:dyDescent="0.25">
      <c r="B155" t="s">
        <v>8</v>
      </c>
      <c r="C155" s="1">
        <v>42977</v>
      </c>
      <c r="D155" s="2">
        <v>500</v>
      </c>
      <c r="E155" t="s">
        <v>34</v>
      </c>
      <c r="F155" t="s">
        <v>22</v>
      </c>
    </row>
    <row r="156" spans="2:6" x14ac:dyDescent="0.25">
      <c r="B156" t="s">
        <v>5</v>
      </c>
      <c r="C156" s="1">
        <v>42979</v>
      </c>
      <c r="D156" s="2">
        <v>1400</v>
      </c>
      <c r="E156" t="s">
        <v>6</v>
      </c>
      <c r="F156" t="s">
        <v>7</v>
      </c>
    </row>
    <row r="157" spans="2:6" x14ac:dyDescent="0.25">
      <c r="B157" t="s">
        <v>8</v>
      </c>
      <c r="C157" s="1">
        <v>42979</v>
      </c>
      <c r="D157" s="2">
        <v>300</v>
      </c>
      <c r="E157" t="s">
        <v>9</v>
      </c>
      <c r="F157" t="s">
        <v>10</v>
      </c>
    </row>
    <row r="158" spans="2:6" x14ac:dyDescent="0.25">
      <c r="B158" t="s">
        <v>8</v>
      </c>
      <c r="C158" s="1">
        <v>42983</v>
      </c>
      <c r="D158" s="2">
        <v>3800</v>
      </c>
      <c r="E158" t="s">
        <v>28</v>
      </c>
      <c r="F158" t="s">
        <v>7</v>
      </c>
    </row>
    <row r="159" spans="2:6" x14ac:dyDescent="0.25">
      <c r="B159" t="s">
        <v>5</v>
      </c>
      <c r="C159" s="1">
        <v>42983</v>
      </c>
      <c r="D159" s="2">
        <v>2000</v>
      </c>
      <c r="E159" t="s">
        <v>13</v>
      </c>
      <c r="F159" t="s">
        <v>10</v>
      </c>
    </row>
    <row r="160" spans="2:6" x14ac:dyDescent="0.25">
      <c r="B160" t="s">
        <v>5</v>
      </c>
      <c r="C160" s="1">
        <v>42983</v>
      </c>
      <c r="D160" s="2">
        <v>2800</v>
      </c>
      <c r="E160" t="s">
        <v>16</v>
      </c>
      <c r="F160" t="s">
        <v>10</v>
      </c>
    </row>
    <row r="161" spans="2:6" x14ac:dyDescent="0.25">
      <c r="B161" t="s">
        <v>8</v>
      </c>
      <c r="C161" s="1">
        <v>42988</v>
      </c>
      <c r="D161" s="2">
        <v>6000</v>
      </c>
      <c r="E161" t="s">
        <v>11</v>
      </c>
      <c r="F161" t="s">
        <v>7</v>
      </c>
    </row>
    <row r="162" spans="2:6" x14ac:dyDescent="0.25">
      <c r="B162" t="s">
        <v>8</v>
      </c>
      <c r="C162" s="1">
        <v>42988</v>
      </c>
      <c r="D162" s="2">
        <v>700</v>
      </c>
      <c r="E162" t="s">
        <v>14</v>
      </c>
      <c r="F162" t="s">
        <v>10</v>
      </c>
    </row>
    <row r="163" spans="2:6" x14ac:dyDescent="0.25">
      <c r="B163" t="s">
        <v>8</v>
      </c>
      <c r="C163" s="1">
        <v>42988</v>
      </c>
      <c r="D163" s="2">
        <v>6000</v>
      </c>
      <c r="E163" t="s">
        <v>12</v>
      </c>
      <c r="F163" t="s">
        <v>7</v>
      </c>
    </row>
    <row r="164" spans="2:6" x14ac:dyDescent="0.25">
      <c r="B164" t="s">
        <v>5</v>
      </c>
      <c r="C164" s="1">
        <v>42988</v>
      </c>
      <c r="D164" s="2">
        <v>3200</v>
      </c>
      <c r="E164" t="s">
        <v>13</v>
      </c>
      <c r="F164" t="s">
        <v>10</v>
      </c>
    </row>
    <row r="165" spans="2:6" x14ac:dyDescent="0.25">
      <c r="B165" t="s">
        <v>5</v>
      </c>
      <c r="C165" s="1">
        <v>42993</v>
      </c>
      <c r="D165" s="2">
        <v>30000</v>
      </c>
      <c r="E165" t="s">
        <v>29</v>
      </c>
      <c r="F165" t="s">
        <v>7</v>
      </c>
    </row>
    <row r="166" spans="2:6" x14ac:dyDescent="0.25">
      <c r="B166" t="s">
        <v>8</v>
      </c>
      <c r="C166" s="1">
        <v>42993</v>
      </c>
      <c r="D166" s="2">
        <v>1000</v>
      </c>
      <c r="E166" t="s">
        <v>19</v>
      </c>
      <c r="F166" t="s">
        <v>7</v>
      </c>
    </row>
    <row r="167" spans="2:6" x14ac:dyDescent="0.25">
      <c r="B167" t="s">
        <v>5</v>
      </c>
      <c r="C167" s="1">
        <v>42998</v>
      </c>
      <c r="D167" s="2">
        <v>1200</v>
      </c>
      <c r="E167" t="s">
        <v>17</v>
      </c>
      <c r="F167" t="s">
        <v>10</v>
      </c>
    </row>
    <row r="168" spans="2:6" x14ac:dyDescent="0.25">
      <c r="B168" t="s">
        <v>5</v>
      </c>
      <c r="C168" s="1">
        <v>42998</v>
      </c>
      <c r="D168" s="2">
        <v>1500</v>
      </c>
      <c r="E168" t="s">
        <v>32</v>
      </c>
      <c r="F168" t="s">
        <v>10</v>
      </c>
    </row>
    <row r="169" spans="2:6" x14ac:dyDescent="0.25">
      <c r="B169" t="s">
        <v>8</v>
      </c>
      <c r="C169" s="1">
        <v>42998</v>
      </c>
      <c r="D169" s="2">
        <v>2500</v>
      </c>
      <c r="E169" t="s">
        <v>30</v>
      </c>
      <c r="F169" t="s">
        <v>22</v>
      </c>
    </row>
    <row r="170" spans="2:6" x14ac:dyDescent="0.25">
      <c r="B170" t="s">
        <v>5</v>
      </c>
      <c r="C170" s="1">
        <v>42998</v>
      </c>
      <c r="D170" s="2">
        <v>1200</v>
      </c>
      <c r="E170" t="s">
        <v>20</v>
      </c>
      <c r="F170" t="s">
        <v>10</v>
      </c>
    </row>
    <row r="171" spans="2:6" x14ac:dyDescent="0.25">
      <c r="B171" t="s">
        <v>8</v>
      </c>
      <c r="C171" s="1">
        <v>43003</v>
      </c>
      <c r="D171" s="2">
        <v>2000</v>
      </c>
      <c r="E171" t="s">
        <v>31</v>
      </c>
      <c r="F171" t="s">
        <v>10</v>
      </c>
    </row>
    <row r="172" spans="2:6" x14ac:dyDescent="0.25">
      <c r="B172" t="s">
        <v>5</v>
      </c>
      <c r="C172" s="1">
        <v>43003</v>
      </c>
      <c r="D172" s="2">
        <v>2000</v>
      </c>
      <c r="E172" t="s">
        <v>33</v>
      </c>
      <c r="F172" t="s">
        <v>22</v>
      </c>
    </row>
    <row r="173" spans="2:6" x14ac:dyDescent="0.25">
      <c r="B173" t="s">
        <v>8</v>
      </c>
      <c r="C173" s="1">
        <v>43007</v>
      </c>
      <c r="D173" s="2">
        <v>500</v>
      </c>
      <c r="E173" t="s">
        <v>26</v>
      </c>
      <c r="F173" t="s">
        <v>10</v>
      </c>
    </row>
    <row r="174" spans="2:6" x14ac:dyDescent="0.25">
      <c r="B174" t="s">
        <v>8</v>
      </c>
      <c r="C174" s="1">
        <v>43008</v>
      </c>
      <c r="D174" s="2">
        <v>500</v>
      </c>
      <c r="E174" t="s">
        <v>34</v>
      </c>
      <c r="F174" t="s">
        <v>22</v>
      </c>
    </row>
    <row r="175" spans="2:6" x14ac:dyDescent="0.25">
      <c r="B175" t="s">
        <v>5</v>
      </c>
      <c r="C175" s="1">
        <v>43009</v>
      </c>
      <c r="D175" s="2">
        <v>1400</v>
      </c>
      <c r="E175" t="s">
        <v>6</v>
      </c>
      <c r="F175" t="s">
        <v>7</v>
      </c>
    </row>
    <row r="176" spans="2:6" x14ac:dyDescent="0.25">
      <c r="B176" t="s">
        <v>8</v>
      </c>
      <c r="C176" s="1">
        <v>43013</v>
      </c>
      <c r="D176" s="2">
        <v>3800</v>
      </c>
      <c r="E176" t="s">
        <v>28</v>
      </c>
      <c r="F176" t="s">
        <v>7</v>
      </c>
    </row>
    <row r="177" spans="2:6" x14ac:dyDescent="0.25">
      <c r="B177" t="s">
        <v>5</v>
      </c>
      <c r="C177" s="1">
        <v>43013</v>
      </c>
      <c r="D177" s="2">
        <v>2000</v>
      </c>
      <c r="E177" t="s">
        <v>13</v>
      </c>
      <c r="F177" t="s">
        <v>10</v>
      </c>
    </row>
    <row r="178" spans="2:6" x14ac:dyDescent="0.25">
      <c r="B178" t="s">
        <v>8</v>
      </c>
      <c r="C178" s="1">
        <v>43013</v>
      </c>
      <c r="D178" s="2">
        <v>300</v>
      </c>
      <c r="E178" t="s">
        <v>9</v>
      </c>
      <c r="F178" t="s">
        <v>10</v>
      </c>
    </row>
    <row r="179" spans="2:6" x14ac:dyDescent="0.25">
      <c r="B179" t="s">
        <v>8</v>
      </c>
      <c r="C179" s="1">
        <v>43016</v>
      </c>
      <c r="D179" s="2">
        <v>6000</v>
      </c>
      <c r="E179" t="s">
        <v>11</v>
      </c>
      <c r="F179" t="s">
        <v>7</v>
      </c>
    </row>
    <row r="180" spans="2:6" x14ac:dyDescent="0.25">
      <c r="B180" t="s">
        <v>8</v>
      </c>
      <c r="C180" s="1">
        <v>43016</v>
      </c>
      <c r="D180" s="2">
        <v>6000</v>
      </c>
      <c r="E180" t="s">
        <v>12</v>
      </c>
      <c r="F180" t="s">
        <v>7</v>
      </c>
    </row>
    <row r="181" spans="2:6" x14ac:dyDescent="0.25">
      <c r="B181" t="s">
        <v>5</v>
      </c>
      <c r="C181" s="1">
        <v>43016</v>
      </c>
      <c r="D181" s="2">
        <v>2800</v>
      </c>
      <c r="E181" t="s">
        <v>16</v>
      </c>
      <c r="F181" t="s">
        <v>10</v>
      </c>
    </row>
    <row r="182" spans="2:6" x14ac:dyDescent="0.25">
      <c r="B182" t="s">
        <v>5</v>
      </c>
      <c r="C182" s="1">
        <v>43018</v>
      </c>
      <c r="D182" s="2">
        <v>3200</v>
      </c>
      <c r="E182" t="s">
        <v>13</v>
      </c>
      <c r="F182" t="s">
        <v>10</v>
      </c>
    </row>
    <row r="183" spans="2:6" x14ac:dyDescent="0.25">
      <c r="B183" t="s">
        <v>8</v>
      </c>
      <c r="C183" s="1">
        <v>43018</v>
      </c>
      <c r="D183" s="2">
        <v>700</v>
      </c>
      <c r="E183" t="s">
        <v>14</v>
      </c>
      <c r="F183" t="s">
        <v>10</v>
      </c>
    </row>
    <row r="184" spans="2:6" x14ac:dyDescent="0.25">
      <c r="B184" t="s">
        <v>8</v>
      </c>
      <c r="C184" s="1">
        <v>43023</v>
      </c>
      <c r="D184" s="2">
        <v>1000</v>
      </c>
      <c r="E184" t="s">
        <v>19</v>
      </c>
      <c r="F184" t="s">
        <v>7</v>
      </c>
    </row>
    <row r="185" spans="2:6" x14ac:dyDescent="0.25">
      <c r="B185" t="s">
        <v>5</v>
      </c>
      <c r="C185" s="1">
        <v>43028</v>
      </c>
      <c r="D185" s="2">
        <v>38000</v>
      </c>
      <c r="E185" t="s">
        <v>29</v>
      </c>
      <c r="F185" t="s">
        <v>7</v>
      </c>
    </row>
    <row r="186" spans="2:6" x14ac:dyDescent="0.25">
      <c r="B186" t="s">
        <v>5</v>
      </c>
      <c r="C186" s="1">
        <v>43028</v>
      </c>
      <c r="D186" s="2">
        <v>3000</v>
      </c>
      <c r="E186" t="s">
        <v>20</v>
      </c>
      <c r="F186" t="s">
        <v>10</v>
      </c>
    </row>
    <row r="187" spans="2:6" x14ac:dyDescent="0.25">
      <c r="B187" t="s">
        <v>5</v>
      </c>
      <c r="C187" s="1">
        <v>43028</v>
      </c>
      <c r="D187" s="2">
        <v>1200</v>
      </c>
      <c r="E187" t="s">
        <v>17</v>
      </c>
      <c r="F187" t="s">
        <v>10</v>
      </c>
    </row>
    <row r="188" spans="2:6" x14ac:dyDescent="0.25">
      <c r="B188" t="s">
        <v>8</v>
      </c>
      <c r="C188" s="1">
        <v>43030</v>
      </c>
      <c r="D188" s="2">
        <v>2500</v>
      </c>
      <c r="E188" t="s">
        <v>30</v>
      </c>
      <c r="F188" t="s">
        <v>22</v>
      </c>
    </row>
    <row r="189" spans="2:6" x14ac:dyDescent="0.25">
      <c r="B189" t="s">
        <v>8</v>
      </c>
      <c r="C189" s="1">
        <v>43030</v>
      </c>
      <c r="D189" s="2">
        <v>2000</v>
      </c>
      <c r="E189" t="s">
        <v>31</v>
      </c>
      <c r="F189" t="s">
        <v>10</v>
      </c>
    </row>
    <row r="190" spans="2:6" x14ac:dyDescent="0.25">
      <c r="B190" t="s">
        <v>5</v>
      </c>
      <c r="C190" s="1">
        <v>43033</v>
      </c>
      <c r="D190" s="2">
        <v>1500</v>
      </c>
      <c r="E190" t="s">
        <v>32</v>
      </c>
      <c r="F190" t="s">
        <v>10</v>
      </c>
    </row>
    <row r="191" spans="2:6" x14ac:dyDescent="0.25">
      <c r="B191" t="s">
        <v>5</v>
      </c>
      <c r="C191" s="1">
        <v>43033</v>
      </c>
      <c r="D191" s="2">
        <v>2000</v>
      </c>
      <c r="E191" t="s">
        <v>33</v>
      </c>
      <c r="F191" t="s">
        <v>22</v>
      </c>
    </row>
    <row r="192" spans="2:6" x14ac:dyDescent="0.25">
      <c r="B192" t="s">
        <v>8</v>
      </c>
      <c r="C192" s="1">
        <v>43036</v>
      </c>
      <c r="D192" s="2">
        <v>500</v>
      </c>
      <c r="E192" t="s">
        <v>34</v>
      </c>
      <c r="F192" t="s">
        <v>22</v>
      </c>
    </row>
    <row r="193" spans="2:6" x14ac:dyDescent="0.25">
      <c r="B193" t="s">
        <v>8</v>
      </c>
      <c r="C193" s="1">
        <v>43038</v>
      </c>
      <c r="D193" s="2">
        <v>500</v>
      </c>
      <c r="E193" t="s">
        <v>26</v>
      </c>
      <c r="F193" t="s">
        <v>10</v>
      </c>
    </row>
    <row r="194" spans="2:6" x14ac:dyDescent="0.25">
      <c r="B194" t="s">
        <v>8</v>
      </c>
      <c r="C194" s="1">
        <v>43041</v>
      </c>
      <c r="D194" s="2">
        <v>300</v>
      </c>
      <c r="E194" t="s">
        <v>9</v>
      </c>
      <c r="F194" t="s">
        <v>10</v>
      </c>
    </row>
    <row r="195" spans="2:6" x14ac:dyDescent="0.25">
      <c r="B195" t="s">
        <v>5</v>
      </c>
      <c r="C195" s="1">
        <v>43041</v>
      </c>
      <c r="D195" s="2">
        <v>2000</v>
      </c>
      <c r="E195" t="s">
        <v>13</v>
      </c>
      <c r="F195" t="s">
        <v>10</v>
      </c>
    </row>
    <row r="196" spans="2:6" x14ac:dyDescent="0.25">
      <c r="B196" t="s">
        <v>5</v>
      </c>
      <c r="C196" s="1">
        <v>43041</v>
      </c>
      <c r="D196" s="2">
        <v>1400</v>
      </c>
      <c r="E196" t="s">
        <v>6</v>
      </c>
      <c r="F196" t="s">
        <v>7</v>
      </c>
    </row>
    <row r="197" spans="2:6" x14ac:dyDescent="0.25">
      <c r="B197" t="s">
        <v>8</v>
      </c>
      <c r="C197" s="1">
        <v>43042</v>
      </c>
      <c r="D197" s="2">
        <v>3800</v>
      </c>
      <c r="E197" t="s">
        <v>28</v>
      </c>
      <c r="F197" t="s">
        <v>7</v>
      </c>
    </row>
    <row r="198" spans="2:6" x14ac:dyDescent="0.25">
      <c r="B198" t="s">
        <v>8</v>
      </c>
      <c r="C198" s="1">
        <v>43044</v>
      </c>
      <c r="D198" s="2">
        <v>6000</v>
      </c>
      <c r="E198" t="s">
        <v>11</v>
      </c>
      <c r="F198" t="s">
        <v>7</v>
      </c>
    </row>
    <row r="199" spans="2:6" x14ac:dyDescent="0.25">
      <c r="B199" t="s">
        <v>5</v>
      </c>
      <c r="C199" s="1">
        <v>43044</v>
      </c>
      <c r="D199" s="2">
        <v>2800</v>
      </c>
      <c r="E199" t="s">
        <v>16</v>
      </c>
      <c r="F199" t="s">
        <v>10</v>
      </c>
    </row>
    <row r="200" spans="2:6" x14ac:dyDescent="0.25">
      <c r="B200" t="s">
        <v>8</v>
      </c>
      <c r="C200" s="1">
        <v>43044</v>
      </c>
      <c r="D200" s="2">
        <v>6000</v>
      </c>
      <c r="E200" t="s">
        <v>12</v>
      </c>
      <c r="F200" t="s">
        <v>7</v>
      </c>
    </row>
    <row r="201" spans="2:6" x14ac:dyDescent="0.25">
      <c r="B201" t="s">
        <v>5</v>
      </c>
      <c r="C201" s="1">
        <v>43049</v>
      </c>
      <c r="D201" s="2">
        <v>2000</v>
      </c>
      <c r="E201" t="s">
        <v>13</v>
      </c>
      <c r="F201" t="s">
        <v>10</v>
      </c>
    </row>
    <row r="202" spans="2:6" x14ac:dyDescent="0.25">
      <c r="B202" t="s">
        <v>8</v>
      </c>
      <c r="C202" s="1">
        <v>43051</v>
      </c>
      <c r="D202" s="2">
        <v>700</v>
      </c>
      <c r="E202" t="s">
        <v>14</v>
      </c>
      <c r="F202" t="s">
        <v>10</v>
      </c>
    </row>
    <row r="203" spans="2:6" x14ac:dyDescent="0.25">
      <c r="B203" t="s">
        <v>8</v>
      </c>
      <c r="C203" s="1">
        <v>43051</v>
      </c>
      <c r="D203" s="2">
        <v>1000</v>
      </c>
      <c r="E203" t="s">
        <v>19</v>
      </c>
      <c r="F203" t="s">
        <v>7</v>
      </c>
    </row>
    <row r="204" spans="2:6" x14ac:dyDescent="0.25">
      <c r="B204" t="s">
        <v>5</v>
      </c>
      <c r="C204" s="1">
        <v>43054</v>
      </c>
      <c r="D204" s="2">
        <v>38000</v>
      </c>
      <c r="E204" t="s">
        <v>29</v>
      </c>
      <c r="F204" t="s">
        <v>7</v>
      </c>
    </row>
    <row r="205" spans="2:6" x14ac:dyDescent="0.25">
      <c r="B205" t="s">
        <v>5</v>
      </c>
      <c r="C205" s="1">
        <v>43054</v>
      </c>
      <c r="D205" s="2">
        <v>1200</v>
      </c>
      <c r="E205" t="s">
        <v>17</v>
      </c>
      <c r="F205" t="s">
        <v>10</v>
      </c>
    </row>
    <row r="206" spans="2:6" x14ac:dyDescent="0.25">
      <c r="B206" t="s">
        <v>5</v>
      </c>
      <c r="C206" s="1">
        <v>43054</v>
      </c>
      <c r="D206" s="2">
        <v>3000</v>
      </c>
      <c r="E206" t="s">
        <v>20</v>
      </c>
      <c r="F206" t="s">
        <v>10</v>
      </c>
    </row>
    <row r="207" spans="2:6" x14ac:dyDescent="0.25">
      <c r="B207" t="s">
        <v>8</v>
      </c>
      <c r="C207" s="1">
        <v>43059</v>
      </c>
      <c r="D207" s="2">
        <v>2500</v>
      </c>
      <c r="E207" t="s">
        <v>30</v>
      </c>
      <c r="F207" t="s">
        <v>22</v>
      </c>
    </row>
    <row r="208" spans="2:6" x14ac:dyDescent="0.25">
      <c r="B208" t="s">
        <v>8</v>
      </c>
      <c r="C208" s="1">
        <v>43060</v>
      </c>
      <c r="D208" s="2">
        <v>2000</v>
      </c>
      <c r="E208" t="s">
        <v>31</v>
      </c>
      <c r="F208" t="s">
        <v>10</v>
      </c>
    </row>
    <row r="209" spans="2:6" x14ac:dyDescent="0.25">
      <c r="B209" t="s">
        <v>5</v>
      </c>
      <c r="C209" s="1">
        <v>43061</v>
      </c>
      <c r="D209" s="2">
        <v>1500</v>
      </c>
      <c r="E209" t="s">
        <v>32</v>
      </c>
      <c r="F209" t="s">
        <v>10</v>
      </c>
    </row>
    <row r="210" spans="2:6" x14ac:dyDescent="0.25">
      <c r="B210" t="s">
        <v>5</v>
      </c>
      <c r="C210" s="1">
        <v>43061</v>
      </c>
      <c r="D210" s="2">
        <v>2000</v>
      </c>
      <c r="E210" t="s">
        <v>33</v>
      </c>
      <c r="F210" t="s">
        <v>22</v>
      </c>
    </row>
    <row r="211" spans="2:6" x14ac:dyDescent="0.25">
      <c r="B211" t="s">
        <v>8</v>
      </c>
      <c r="C211" s="1">
        <v>43064</v>
      </c>
      <c r="D211" s="2">
        <v>500</v>
      </c>
      <c r="E211" t="s">
        <v>34</v>
      </c>
      <c r="F211" t="s">
        <v>22</v>
      </c>
    </row>
    <row r="212" spans="2:6" x14ac:dyDescent="0.25">
      <c r="B212" t="s">
        <v>8</v>
      </c>
      <c r="C212" s="1">
        <v>43067</v>
      </c>
      <c r="D212" s="2">
        <v>500</v>
      </c>
      <c r="E212" t="s">
        <v>26</v>
      </c>
      <c r="F212" t="s">
        <v>10</v>
      </c>
    </row>
    <row r="213" spans="2:6" x14ac:dyDescent="0.25">
      <c r="B213" t="s">
        <v>8</v>
      </c>
      <c r="C213" s="1">
        <v>43069</v>
      </c>
      <c r="D213" s="2">
        <v>4000</v>
      </c>
      <c r="E213" t="s">
        <v>37</v>
      </c>
      <c r="F213" t="s">
        <v>7</v>
      </c>
    </row>
    <row r="214" spans="2:6" x14ac:dyDescent="0.25">
      <c r="B214" t="s">
        <v>5</v>
      </c>
      <c r="C214" s="1">
        <v>43071</v>
      </c>
      <c r="D214" s="2">
        <v>1400</v>
      </c>
      <c r="E214" t="s">
        <v>6</v>
      </c>
      <c r="F214" t="s">
        <v>7</v>
      </c>
    </row>
    <row r="215" spans="2:6" x14ac:dyDescent="0.25">
      <c r="B215" t="s">
        <v>8</v>
      </c>
      <c r="C215" s="1">
        <v>43071</v>
      </c>
      <c r="D215" s="2">
        <v>300</v>
      </c>
      <c r="E215" t="s">
        <v>9</v>
      </c>
      <c r="F215" t="s">
        <v>10</v>
      </c>
    </row>
    <row r="216" spans="2:6" x14ac:dyDescent="0.25">
      <c r="B216" t="s">
        <v>5</v>
      </c>
      <c r="C216" s="1">
        <v>43071</v>
      </c>
      <c r="D216" s="2">
        <v>5000</v>
      </c>
      <c r="E216" t="s">
        <v>13</v>
      </c>
      <c r="F216" t="s">
        <v>10</v>
      </c>
    </row>
    <row r="217" spans="2:6" x14ac:dyDescent="0.25">
      <c r="B217" t="s">
        <v>5</v>
      </c>
      <c r="C217" s="1">
        <v>43072</v>
      </c>
      <c r="D217" s="2">
        <v>4000</v>
      </c>
      <c r="E217" t="s">
        <v>16</v>
      </c>
      <c r="F217" t="s">
        <v>10</v>
      </c>
    </row>
    <row r="218" spans="2:6" x14ac:dyDescent="0.25">
      <c r="B218" t="s">
        <v>8</v>
      </c>
      <c r="C218" s="1">
        <v>43072</v>
      </c>
      <c r="D218" s="2">
        <v>4000</v>
      </c>
      <c r="E218" t="s">
        <v>28</v>
      </c>
      <c r="F218" t="s">
        <v>7</v>
      </c>
    </row>
    <row r="219" spans="2:6" x14ac:dyDescent="0.25">
      <c r="B219" t="s">
        <v>8</v>
      </c>
      <c r="C219" s="1">
        <v>43074</v>
      </c>
      <c r="D219" s="2">
        <v>8000</v>
      </c>
      <c r="E219" t="s">
        <v>11</v>
      </c>
      <c r="F219" t="s">
        <v>7</v>
      </c>
    </row>
    <row r="220" spans="2:6" x14ac:dyDescent="0.25">
      <c r="B220" t="s">
        <v>8</v>
      </c>
      <c r="C220" s="1">
        <v>43074</v>
      </c>
      <c r="D220" s="2">
        <v>8000</v>
      </c>
      <c r="E220" t="s">
        <v>12</v>
      </c>
      <c r="F220" t="s">
        <v>7</v>
      </c>
    </row>
    <row r="221" spans="2:6" x14ac:dyDescent="0.25">
      <c r="B221" t="s">
        <v>5</v>
      </c>
      <c r="C221" s="1">
        <v>43074</v>
      </c>
      <c r="D221" s="2">
        <v>5000</v>
      </c>
      <c r="E221" t="s">
        <v>13</v>
      </c>
      <c r="F221" t="s">
        <v>10</v>
      </c>
    </row>
    <row r="222" spans="2:6" x14ac:dyDescent="0.25">
      <c r="B222" t="s">
        <v>8</v>
      </c>
      <c r="C222" s="1">
        <v>43079</v>
      </c>
      <c r="D222" s="2">
        <v>500</v>
      </c>
      <c r="E222" t="s">
        <v>14</v>
      </c>
      <c r="F222" t="s">
        <v>10</v>
      </c>
    </row>
    <row r="223" spans="2:6" x14ac:dyDescent="0.25">
      <c r="B223" t="s">
        <v>5</v>
      </c>
      <c r="C223" s="1">
        <v>43079</v>
      </c>
      <c r="D223" s="2">
        <v>2500</v>
      </c>
      <c r="E223" t="s">
        <v>17</v>
      </c>
      <c r="F223" t="s">
        <v>10</v>
      </c>
    </row>
    <row r="224" spans="2:6" x14ac:dyDescent="0.25">
      <c r="B224" t="s">
        <v>5</v>
      </c>
      <c r="C224" s="1">
        <v>43079</v>
      </c>
      <c r="D224" s="2">
        <v>40000</v>
      </c>
      <c r="E224" t="s">
        <v>29</v>
      </c>
      <c r="F224" t="s">
        <v>7</v>
      </c>
    </row>
    <row r="225" spans="2:6" x14ac:dyDescent="0.25">
      <c r="B225" t="s">
        <v>8</v>
      </c>
      <c r="C225" s="1">
        <v>43079</v>
      </c>
      <c r="D225" s="2">
        <v>1000</v>
      </c>
      <c r="E225" t="s">
        <v>19</v>
      </c>
      <c r="F225" t="s">
        <v>7</v>
      </c>
    </row>
    <row r="226" spans="2:6" x14ac:dyDescent="0.25">
      <c r="B226" t="s">
        <v>5</v>
      </c>
      <c r="C226" s="1">
        <v>43081</v>
      </c>
      <c r="D226" s="2">
        <v>3200</v>
      </c>
      <c r="E226" t="s">
        <v>20</v>
      </c>
      <c r="F226" t="s">
        <v>10</v>
      </c>
    </row>
    <row r="227" spans="2:6" x14ac:dyDescent="0.25">
      <c r="B227" t="s">
        <v>8</v>
      </c>
      <c r="C227" s="1">
        <v>43084</v>
      </c>
      <c r="D227" s="2">
        <v>3200</v>
      </c>
      <c r="E227" t="s">
        <v>30</v>
      </c>
      <c r="F227" t="s">
        <v>22</v>
      </c>
    </row>
    <row r="228" spans="2:6" x14ac:dyDescent="0.25">
      <c r="B228" t="s">
        <v>8</v>
      </c>
      <c r="C228" s="1">
        <v>43089</v>
      </c>
      <c r="D228" s="2">
        <v>4000</v>
      </c>
      <c r="E228" t="s">
        <v>38</v>
      </c>
      <c r="F228" t="s">
        <v>7</v>
      </c>
    </row>
    <row r="229" spans="2:6" x14ac:dyDescent="0.25">
      <c r="B229" t="s">
        <v>5</v>
      </c>
      <c r="C229" s="1">
        <v>43089</v>
      </c>
      <c r="D229" s="2">
        <v>3000</v>
      </c>
      <c r="E229" t="s">
        <v>33</v>
      </c>
      <c r="F229" t="s">
        <v>22</v>
      </c>
    </row>
    <row r="230" spans="2:6" x14ac:dyDescent="0.25">
      <c r="B230" t="s">
        <v>8</v>
      </c>
      <c r="C230" s="1">
        <v>43089</v>
      </c>
      <c r="D230" s="2">
        <v>3500</v>
      </c>
      <c r="E230" t="s">
        <v>31</v>
      </c>
      <c r="F230" t="s">
        <v>10</v>
      </c>
    </row>
    <row r="231" spans="2:6" x14ac:dyDescent="0.25">
      <c r="B231" t="s">
        <v>5</v>
      </c>
      <c r="C231" s="1">
        <v>43089</v>
      </c>
      <c r="D231" s="2">
        <v>4000</v>
      </c>
      <c r="E231" t="s">
        <v>32</v>
      </c>
      <c r="F231" t="s">
        <v>10</v>
      </c>
    </row>
    <row r="232" spans="2:6" x14ac:dyDescent="0.25">
      <c r="B232" t="s">
        <v>8</v>
      </c>
      <c r="C232" s="1">
        <v>43089</v>
      </c>
      <c r="D232" s="2">
        <v>500</v>
      </c>
      <c r="E232" t="s">
        <v>34</v>
      </c>
      <c r="F232" t="s">
        <v>22</v>
      </c>
    </row>
    <row r="233" spans="2:6" x14ac:dyDescent="0.25">
      <c r="B233" t="s">
        <v>8</v>
      </c>
      <c r="C233" s="1">
        <v>43097</v>
      </c>
      <c r="D233" s="2">
        <v>500</v>
      </c>
      <c r="E233" t="s">
        <v>26</v>
      </c>
      <c r="F233" t="s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FLUXO DIARIO 2018</vt:lpstr>
      <vt:lpstr>2017</vt:lpstr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Cliente</dc:creator>
  <cp:lastModifiedBy>Douglas Ernesto</cp:lastModifiedBy>
  <dcterms:created xsi:type="dcterms:W3CDTF">2019-11-22T18:47:20Z</dcterms:created>
  <dcterms:modified xsi:type="dcterms:W3CDTF">2019-12-30T13:41:42Z</dcterms:modified>
</cp:coreProperties>
</file>