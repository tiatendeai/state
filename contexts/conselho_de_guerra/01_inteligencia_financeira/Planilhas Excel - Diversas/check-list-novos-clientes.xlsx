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45" firstSheet="1" activeTab="2"/>
  </bookViews>
  <sheets>
    <sheet name="BD_Geral" sheetId="3" state="hidden" r:id="rId1"/>
    <sheet name="Cronograma" sheetId="1" r:id="rId2"/>
    <sheet name="Documentos" sheetId="4" r:id="rId3"/>
    <sheet name="Plano de Ação" sheetId="2" state="hidden" r:id="rId4"/>
  </sheets>
  <calcPr calcId="124519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N11" i="1"/>
  <c r="AJ33" s="1"/>
  <c r="AP8"/>
  <c r="AP13" s="1"/>
  <c r="AN8"/>
  <c r="AN16" s="1"/>
  <c r="V17"/>
  <c r="M15"/>
  <c r="M16"/>
  <c r="M17"/>
  <c r="M18"/>
  <c r="M19"/>
  <c r="M20"/>
  <c r="M21"/>
  <c r="M22"/>
  <c r="M23"/>
  <c r="M24"/>
  <c r="G5" i="4"/>
  <c r="V15" i="1" s="1"/>
  <c r="B5" i="4"/>
  <c r="R15" i="1" s="1"/>
  <c r="H5" i="4"/>
  <c r="C5"/>
  <c r="R17" i="1" s="1"/>
  <c r="CS27"/>
  <c r="CS24"/>
  <c r="CS25"/>
  <c r="CS26"/>
  <c r="CR26" s="1"/>
  <c r="BN24"/>
  <c r="M13"/>
  <c r="M14"/>
  <c r="M25"/>
  <c r="R25" s="1"/>
  <c r="O13"/>
  <c r="O14"/>
  <c r="O15"/>
  <c r="O16"/>
  <c r="O17"/>
  <c r="O18"/>
  <c r="O19"/>
  <c r="O20"/>
  <c r="O21"/>
  <c r="O22"/>
  <c r="O23"/>
  <c r="O24"/>
  <c r="O25"/>
  <c r="Q25"/>
  <c r="T25"/>
  <c r="BO5" i="3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AZ5"/>
  <c r="BA5"/>
  <c r="BB5"/>
  <c r="BC5"/>
  <c r="BE5"/>
  <c r="BF5"/>
  <c r="BG5"/>
  <c r="BH5"/>
  <c r="BI5"/>
  <c r="BK5"/>
  <c r="BL5"/>
  <c r="BM5"/>
  <c r="AY5"/>
  <c r="BJ4"/>
  <c r="BD4"/>
  <c r="AA47" i="1"/>
  <c r="AF49" s="1"/>
  <c r="AW5" i="3" s="1"/>
  <c r="AF45" i="1"/>
  <c r="AV5" i="3" s="1"/>
  <c r="AU5"/>
  <c r="AS5"/>
  <c r="AJ5"/>
  <c r="T8" i="1"/>
  <c r="X10" s="1"/>
  <c r="AK5" i="3"/>
  <c r="V5"/>
  <c r="AH5"/>
  <c r="AG5"/>
  <c r="AF5"/>
  <c r="AE5"/>
  <c r="AD5"/>
  <c r="AC5"/>
  <c r="AB5"/>
  <c r="AA5"/>
  <c r="Z5"/>
  <c r="Y5"/>
  <c r="X5"/>
  <c r="W5"/>
  <c r="S5"/>
  <c r="T5"/>
  <c r="I5"/>
  <c r="J5"/>
  <c r="K5"/>
  <c r="L5"/>
  <c r="M5"/>
  <c r="N5"/>
  <c r="O5"/>
  <c r="P5"/>
  <c r="Q5"/>
  <c r="R5"/>
  <c r="H5"/>
  <c r="F5"/>
  <c r="E5"/>
  <c r="D5"/>
  <c r="L22" i="1"/>
  <c r="C22"/>
  <c r="L23"/>
  <c r="C23" s="1"/>
  <c r="L24"/>
  <c r="C24"/>
  <c r="L25"/>
  <c r="C25" s="1"/>
  <c r="L14"/>
  <c r="C14"/>
  <c r="L15"/>
  <c r="C15" s="1"/>
  <c r="L16"/>
  <c r="C16"/>
  <c r="L17"/>
  <c r="C17" s="1"/>
  <c r="L18"/>
  <c r="C18"/>
  <c r="L19"/>
  <c r="C19" s="1"/>
  <c r="L20"/>
  <c r="C20" s="1"/>
  <c r="L21"/>
  <c r="C21" s="1"/>
  <c r="L13"/>
  <c r="C13"/>
  <c r="CR24"/>
  <c r="CR25"/>
  <c r="CS20"/>
  <c r="CR20"/>
  <c r="CS21"/>
  <c r="CR21" s="1"/>
  <c r="CS22"/>
  <c r="CR22"/>
  <c r="CS14"/>
  <c r="CR14" s="1"/>
  <c r="CS15"/>
  <c r="CR15" s="1"/>
  <c r="CS16"/>
  <c r="CR16" s="1"/>
  <c r="CS17"/>
  <c r="CR17" s="1"/>
  <c r="CS18"/>
  <c r="CR18" s="1"/>
  <c r="CS8"/>
  <c r="CR8" s="1"/>
  <c r="CS9"/>
  <c r="CR9" s="1"/>
  <c r="CS10"/>
  <c r="CR10" s="1"/>
  <c r="CS11"/>
  <c r="CR11" s="1"/>
  <c r="CS12"/>
  <c r="CR12" s="1"/>
  <c r="BN13"/>
  <c r="CS13" s="1"/>
  <c r="BN19"/>
  <c r="CS19"/>
  <c r="CS23"/>
  <c r="BN7"/>
  <c r="CS7"/>
  <c r="D47"/>
  <c r="D49" s="1"/>
  <c r="D51" s="1"/>
  <c r="D53" s="1"/>
  <c r="D55" s="1"/>
  <c r="D57" s="1"/>
  <c r="D59" s="1"/>
  <c r="D61" s="1"/>
  <c r="D63" s="1"/>
  <c r="D65" s="1"/>
  <c r="D67" s="1"/>
  <c r="D69" s="1"/>
  <c r="D71" s="1"/>
  <c r="D73" s="1"/>
  <c r="D75" s="1"/>
  <c r="D77" s="1"/>
  <c r="D79" s="1"/>
  <c r="D81" s="1"/>
  <c r="D83" s="1"/>
  <c r="D85" s="1"/>
  <c r="AM22"/>
  <c r="AM20"/>
  <c r="AM18"/>
  <c r="AM16"/>
  <c r="V19" l="1"/>
  <c r="R19"/>
  <c r="R21" s="1"/>
  <c r="AB31" s="1"/>
  <c r="AR5" i="3"/>
  <c r="AB33" i="1"/>
  <c r="AO11"/>
  <c r="AN23" s="1"/>
  <c r="AN22"/>
  <c r="AJ30"/>
  <c r="AO8"/>
  <c r="AN17" s="1"/>
  <c r="AN10"/>
  <c r="V21"/>
  <c r="AB32" s="1"/>
  <c r="AN9" l="1"/>
  <c r="AO9" s="1"/>
  <c r="AN19" s="1"/>
  <c r="AO5" i="3"/>
  <c r="AB30" i="1"/>
  <c r="AO10"/>
  <c r="AN21" s="1"/>
  <c r="AJ32"/>
  <c r="AQ5" i="3" s="1"/>
  <c r="AN20" i="1"/>
  <c r="AJ31"/>
  <c r="AP5" i="3" s="1"/>
  <c r="AN13" i="1" l="1"/>
  <c r="AN14" s="1"/>
  <c r="AB9" s="1"/>
  <c r="AM5" i="3" s="1"/>
  <c r="AN18" i="1"/>
</calcChain>
</file>

<file path=xl/sharedStrings.xml><?xml version="1.0" encoding="utf-8"?>
<sst xmlns="http://schemas.openxmlformats.org/spreadsheetml/2006/main" count="251" uniqueCount="176">
  <si>
    <t>Data</t>
  </si>
  <si>
    <t>Cronograma de Onboarding</t>
  </si>
  <si>
    <t>Etapa Crítica</t>
  </si>
  <si>
    <t>Responsável</t>
  </si>
  <si>
    <t>Ambos</t>
  </si>
  <si>
    <t>Contabilidade</t>
  </si>
  <si>
    <t>Status</t>
  </si>
  <si>
    <t>#</t>
  </si>
  <si>
    <t>Nome Empresa</t>
  </si>
  <si>
    <t>Etapa</t>
  </si>
  <si>
    <t>Diminuir atraso médio dos lançamentos contábeis</t>
  </si>
  <si>
    <t>Clientes enviarem documentação mais organizada/ via tecnologia</t>
  </si>
  <si>
    <t>Conseguir fechar um novo cliente vindo de indicação</t>
  </si>
  <si>
    <t>Conseguir indicação de novos clientes</t>
  </si>
  <si>
    <t>Melhorar perfil da carteira de clientes</t>
  </si>
  <si>
    <t>Reduzir inadimplência</t>
  </si>
  <si>
    <t>Reajustar honorário contábil</t>
  </si>
  <si>
    <t>Melhorar ambiente de trabalho do contábil por ter metas e processos claros</t>
  </si>
  <si>
    <t>Reposicionamento no mercado (jeito de conversar/ identidade)</t>
  </si>
  <si>
    <t>Contábil em dia</t>
  </si>
  <si>
    <t>Onboarding</t>
  </si>
  <si>
    <t>Escolha das Empresas</t>
  </si>
  <si>
    <t>Falta</t>
  </si>
  <si>
    <t>Ser valorizado/ receber elogio por parte do empresário</t>
  </si>
  <si>
    <t>Ter metas claras para a equipe do contábil/ rearranjo do setor/ direcionamento do setor</t>
  </si>
  <si>
    <t>CONTÁBIL</t>
  </si>
  <si>
    <t>Conseguir um novo cliente por proposta diferenciada</t>
  </si>
  <si>
    <t>Evolução Esperada</t>
  </si>
  <si>
    <t>DATA</t>
  </si>
  <si>
    <t>CATEGORIA DO SUCESSO</t>
  </si>
  <si>
    <t>DESCRIÇÃO DO SUCESSO</t>
  </si>
  <si>
    <t>VALOR REF.</t>
  </si>
  <si>
    <t>Nome Contabilidade</t>
  </si>
  <si>
    <t>Identificar problemas de apuração contábil</t>
  </si>
  <si>
    <t>Data primeiro sucesso</t>
  </si>
  <si>
    <t>Data último sucesso</t>
  </si>
  <si>
    <t>ESPECÍFICOS</t>
  </si>
  <si>
    <t>CONTAGEM DE SUCESSOS</t>
  </si>
  <si>
    <t>Contabilidade 1</t>
  </si>
  <si>
    <t>CLIENTE</t>
  </si>
  <si>
    <t>NOME CONTABILIDADE</t>
  </si>
  <si>
    <t>NOME CONTADOR</t>
  </si>
  <si>
    <t>NOME CS</t>
  </si>
  <si>
    <t>CRONOGRAMA</t>
  </si>
  <si>
    <t>STATUS</t>
  </si>
  <si>
    <t>EVOLUÇÃO</t>
  </si>
  <si>
    <t>CONFORMIDADE</t>
  </si>
  <si>
    <t>CICLO ONBOARDING</t>
  </si>
  <si>
    <t>GERAL</t>
  </si>
  <si>
    <t>Aprendizado com a Plataforma</t>
  </si>
  <si>
    <t>Subir balancetes pro Nucont</t>
  </si>
  <si>
    <t>Visita aos Clientes</t>
  </si>
  <si>
    <t>SUCESSO</t>
  </si>
  <si>
    <t>Contagem</t>
  </si>
  <si>
    <t>Data Primeiro</t>
  </si>
  <si>
    <t>Data Último</t>
  </si>
  <si>
    <t>CATEGORIA</t>
  </si>
  <si>
    <t>Contabilidade 2</t>
  </si>
  <si>
    <t>Setor</t>
  </si>
  <si>
    <t>Email</t>
  </si>
  <si>
    <t>Telefone</t>
  </si>
  <si>
    <t>Interação com Equipe</t>
  </si>
  <si>
    <t>Dados da equipe</t>
  </si>
  <si>
    <t>Quem faz parte da equipe</t>
  </si>
  <si>
    <t>Nome</t>
  </si>
  <si>
    <t>Acordo entre contabilidade e empresa</t>
  </si>
  <si>
    <t>Comunicação contabilidade anterior</t>
  </si>
  <si>
    <t>Assinatura do contrato</t>
  </si>
  <si>
    <t>Assinatura do Termo de Transferência</t>
  </si>
  <si>
    <t>Envio dos Documentos Prioritários</t>
  </si>
  <si>
    <t>Reunião de Boas-Vindas</t>
  </si>
  <si>
    <t>Assinatura DBE de troca de contador</t>
  </si>
  <si>
    <t>Envio dos Demais Documentos</t>
  </si>
  <si>
    <t>Empresa</t>
  </si>
  <si>
    <t>Empresário</t>
  </si>
  <si>
    <t>Nome Empresário</t>
  </si>
  <si>
    <t>Duração</t>
  </si>
  <si>
    <t>Contato equipe da empresa</t>
  </si>
  <si>
    <t>Contato equipe da contabilidade</t>
  </si>
  <si>
    <t>COMUNICAÇÃO E RELACIONAMENTO</t>
  </si>
  <si>
    <t>Receber todos os documentos através de e-mail ou canal do cliente</t>
  </si>
  <si>
    <t xml:space="preserve">Ser atendido de forma ágil através de Skype, WhatsApp, etc. </t>
  </si>
  <si>
    <t>Ser atendido por uma única pessoa em cada setor</t>
  </si>
  <si>
    <t>Receber conteúdo relevante e aplicável sobre assuntos contábeis / financeiros / gerenciais</t>
  </si>
  <si>
    <t>Receber recomendações para melhorar meu negócio</t>
  </si>
  <si>
    <t>Receber relatórios de desempenho e diagnósticos que me ajudam a tomar decisão</t>
  </si>
  <si>
    <t xml:space="preserve">Receber apoio na gestão financeira </t>
  </si>
  <si>
    <t>Receber apoio para acessar linhas de crédito</t>
  </si>
  <si>
    <t>Receber ajuda na elaboração do meu Plano de Negócios</t>
  </si>
  <si>
    <t>Ter economia fiscal através de planejamento tributário</t>
  </si>
  <si>
    <t xml:space="preserve">Receber apoio para participar de licitações </t>
  </si>
  <si>
    <t>Solucionar dívidas / pagamentos fiscais em atraso</t>
  </si>
  <si>
    <t>Receber ajuda para a correta emissão de notas fiscais</t>
  </si>
  <si>
    <t>Ter riscos trabalhistas mitigados</t>
  </si>
  <si>
    <t>GESTÃO E ESTRATÉGIA</t>
  </si>
  <si>
    <t>PARTE LEGAL E TRIBUTÁRIA</t>
  </si>
  <si>
    <t>2. Receber relatórios de desempenho e diagnósticos que me ajudam a tomar decisão</t>
  </si>
  <si>
    <t>6. Ter economia fiscal através de planejamento tributário</t>
  </si>
  <si>
    <t xml:space="preserve">7. Receber apoio para participar de licitações </t>
  </si>
  <si>
    <t>10. Ter riscos trabalhistas mitigados</t>
  </si>
  <si>
    <t>14. Receber conteúdo relevante e aplicável sobre assuntos contábeis / financeiros / gerenciais</t>
  </si>
  <si>
    <t>98857-6351</t>
  </si>
  <si>
    <t>Meio de contato (tligação/ email/ visita)</t>
  </si>
  <si>
    <t>Financeiro</t>
  </si>
  <si>
    <t>Administrativo</t>
  </si>
  <si>
    <t>Sócio</t>
  </si>
  <si>
    <t>financeiro@empresa.com.br</t>
  </si>
  <si>
    <t>financeiro2@empresa.com.br</t>
  </si>
  <si>
    <t>adm@empresa.com.br</t>
  </si>
  <si>
    <t>sociolegal@empresa.com.br</t>
  </si>
  <si>
    <t>sociomala@empresa.com.br</t>
  </si>
  <si>
    <t>Sócio Legal</t>
  </si>
  <si>
    <t>Sócio Mala</t>
  </si>
  <si>
    <t>Regina</t>
  </si>
  <si>
    <t>Jussara</t>
  </si>
  <si>
    <t>Gustavo</t>
  </si>
  <si>
    <t>DBE troca de contabilidade assinado com firma reconhecida</t>
  </si>
  <si>
    <t>LEGAL</t>
  </si>
  <si>
    <t>Impresso</t>
  </si>
  <si>
    <t>Cópia autenticada (pelo menos três) do RG e CPF dos sócios</t>
  </si>
  <si>
    <t>PDF</t>
  </si>
  <si>
    <t>Cópia do Alvará de Localização e Funcionamento</t>
  </si>
  <si>
    <t>PESSOAL</t>
  </si>
  <si>
    <t>Impresso ou PDF</t>
  </si>
  <si>
    <t>Três últimas contribuições pagas para sindicato patronal e dos empregados.</t>
  </si>
  <si>
    <t>TXT ou PDF</t>
  </si>
  <si>
    <t>Última DIRF entregue</t>
  </si>
  <si>
    <t>Último CAGED Entregue</t>
  </si>
  <si>
    <t>Última RAIS entregue</t>
  </si>
  <si>
    <t>Relação de período aquisitivo de férias e últimas férias gozadas de todos os funcionários</t>
  </si>
  <si>
    <t>CCT atualizada</t>
  </si>
  <si>
    <t>Três últimas GFIP entregues</t>
  </si>
  <si>
    <t>12 últimas folhas de pagamento analíticas e resumo</t>
  </si>
  <si>
    <t>FISCAL</t>
  </si>
  <si>
    <t>Última DEFIS entregue</t>
  </si>
  <si>
    <t>PDF ou XLS</t>
  </si>
  <si>
    <t>Relação de faturamento 12 últimos meses atualizada.</t>
  </si>
  <si>
    <t>Última declaração de IRPF entregue dos sócios, com recibo de entrega</t>
  </si>
  <si>
    <t>TXT</t>
  </si>
  <si>
    <t>Última ECF entregue</t>
  </si>
  <si>
    <t>-</t>
  </si>
  <si>
    <t>Senha SIARE</t>
  </si>
  <si>
    <t>Última ECD entregue</t>
  </si>
  <si>
    <t>Senha de Acesso à DEISSBH</t>
  </si>
  <si>
    <t>PDF ou TXT</t>
  </si>
  <si>
    <t>Ficha de Relação de itens do ativo imobilizado</t>
  </si>
  <si>
    <t>Código de Acesso ao Simples Nacional</t>
  </si>
  <si>
    <t>DRE do ano anterior atualizada</t>
  </si>
  <si>
    <t>Ficha de registro de todos os empregados ativos, atualizada</t>
  </si>
  <si>
    <t>Balanço patrimonial analítico do ano anterior atualizado</t>
  </si>
  <si>
    <t>Folha de pagamento completa + GFIP entregue do mês anterior</t>
  </si>
  <si>
    <t>Livro Razão do ano anterior + Livro Razão do ano corrente até o mês anterior</t>
  </si>
  <si>
    <t>Contrato Social ou Última Alteração Contratual consolidada, registrado na JUNTA</t>
  </si>
  <si>
    <t>Balancete Analítico ano anterior + Balancete Analítico do ano corrente acumulado até o mês anterior</t>
  </si>
  <si>
    <t>arquivo pfx (A1) ou token (A3)</t>
  </si>
  <si>
    <t>Certificado digital A1 ou A3 com senha</t>
  </si>
  <si>
    <t>DEMAIS DOCUMENTOS</t>
  </si>
  <si>
    <t>SETOR</t>
  </si>
  <si>
    <t>FORMATO</t>
  </si>
  <si>
    <t>DOCUMENTOS PRIORITÁRIOS</t>
  </si>
  <si>
    <t>ENTREGUE</t>
  </si>
  <si>
    <t>Sim</t>
  </si>
  <si>
    <t>Não</t>
  </si>
  <si>
    <t>RELAÇÃO DE DOCUMENTAÇÃO</t>
  </si>
  <si>
    <t>DOCUMENTAÇÃO</t>
  </si>
  <si>
    <t/>
  </si>
  <si>
    <t>Prioditários</t>
  </si>
  <si>
    <t>Demais</t>
  </si>
  <si>
    <t>Entregue</t>
  </si>
  <si>
    <t>Total</t>
  </si>
  <si>
    <t>% Concuído</t>
  </si>
  <si>
    <t>Documentos Prioritários (</t>
  </si>
  <si>
    <t>Demais Documentos (</t>
  </si>
  <si>
    <t>Sucessos definidos (</t>
  </si>
  <si>
    <t>Etapas do Cronograma (</t>
  </si>
  <si>
    <t>RTRTH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</si>
</sst>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ddd"/>
    <numFmt numFmtId="166" formatCode="[$-416]d\-mmm;@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0"/>
      <color theme="1" tint="0.499984740745262"/>
      <name val="Arial"/>
      <family val="2"/>
    </font>
    <font>
      <sz val="11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90"/>
      <color theme="0" tint="-0.499984740745262"/>
      <name val="Calibri"/>
      <family val="2"/>
      <scheme val="minor"/>
    </font>
    <font>
      <sz val="18"/>
      <color theme="0"/>
      <name val="Calibri"/>
      <family val="2"/>
      <scheme val="minor"/>
    </font>
    <font>
      <sz val="100"/>
      <name val="Arial"/>
      <family val="2"/>
    </font>
    <font>
      <sz val="100"/>
      <color theme="0"/>
      <name val="Arial"/>
      <family val="2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DC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99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hair">
        <color auto="1"/>
      </right>
      <top style="hair">
        <color theme="1"/>
      </top>
      <bottom style="hair">
        <color theme="1"/>
      </bottom>
      <diagonal/>
    </border>
    <border>
      <left/>
      <right style="hair">
        <color auto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/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</borders>
  <cellStyleXfs count="2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1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16" fontId="0" fillId="0" borderId="0" xfId="0" applyNumberFormat="1"/>
    <xf numFmtId="0" fontId="0" fillId="0" borderId="0" xfId="0" applyBorder="1" applyAlignment="1"/>
    <xf numFmtId="0" fontId="0" fillId="0" borderId="0" xfId="0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Border="1" applyAlignment="1">
      <alignment horizontal="left" vertical="center" wrapText="1"/>
    </xf>
    <xf numFmtId="0" fontId="10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vertical="center"/>
    </xf>
    <xf numFmtId="9" fontId="4" fillId="0" borderId="0" xfId="1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2" fillId="7" borderId="25" xfId="0" applyFont="1" applyFill="1" applyBorder="1" applyAlignment="1">
      <alignment vertical="center"/>
    </xf>
    <xf numFmtId="0" fontId="10" fillId="8" borderId="25" xfId="0" applyFont="1" applyFill="1" applyBorder="1" applyAlignment="1"/>
    <xf numFmtId="0" fontId="0" fillId="9" borderId="25" xfId="0" applyFill="1" applyBorder="1" applyAlignment="1"/>
    <xf numFmtId="0" fontId="0" fillId="10" borderId="25" xfId="0" applyFill="1" applyBorder="1" applyAlignment="1"/>
    <xf numFmtId="9" fontId="4" fillId="0" borderId="0" xfId="0" applyNumberFormat="1" applyFont="1" applyAlignment="1">
      <alignment vertical="center"/>
    </xf>
    <xf numFmtId="0" fontId="12" fillId="15" borderId="25" xfId="0" applyFont="1" applyFill="1" applyBorder="1" applyAlignment="1">
      <alignment vertical="center"/>
    </xf>
    <xf numFmtId="0" fontId="10" fillId="16" borderId="25" xfId="0" applyFont="1" applyFill="1" applyBorder="1" applyAlignment="1"/>
    <xf numFmtId="0" fontId="0" fillId="17" borderId="25" xfId="0" applyFill="1" applyBorder="1" applyAlignment="1"/>
    <xf numFmtId="0" fontId="0" fillId="18" borderId="25" xfId="0" applyFill="1" applyBorder="1" applyAlignment="1"/>
    <xf numFmtId="9" fontId="9" fillId="0" borderId="0" xfId="0" applyNumberFormat="1" applyFont="1" applyAlignment="1">
      <alignment vertical="center"/>
    </xf>
    <xf numFmtId="166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9" fontId="4" fillId="0" borderId="0" xfId="1" applyFont="1" applyAlignment="1">
      <alignment horizontal="center"/>
    </xf>
    <xf numFmtId="0" fontId="0" fillId="5" borderId="1" xfId="0" applyFill="1" applyBorder="1" applyAlignment="1" applyProtection="1">
      <alignment horizontal="center" vertical="center"/>
      <protection locked="0"/>
    </xf>
    <xf numFmtId="16" fontId="0" fillId="5" borderId="6" xfId="0" applyNumberFormat="1" applyFill="1" applyBorder="1" applyAlignment="1" applyProtection="1">
      <alignment horizontal="right" vertical="center" indent="1"/>
      <protection locked="0"/>
    </xf>
    <xf numFmtId="9" fontId="16" fillId="0" borderId="0" xfId="0" applyNumberFormat="1" applyFont="1" applyAlignment="1">
      <alignment vertical="center"/>
    </xf>
    <xf numFmtId="9" fontId="17" fillId="0" borderId="0" xfId="0" applyNumberFormat="1" applyFont="1" applyAlignment="1">
      <alignment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0" borderId="2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/>
    <xf numFmtId="165" fontId="18" fillId="0" borderId="4" xfId="0" applyNumberFormat="1" applyFont="1" applyFill="1" applyBorder="1" applyAlignment="1">
      <alignment horizontal="left" vertical="center" indent="1"/>
    </xf>
    <xf numFmtId="16" fontId="20" fillId="0" borderId="0" xfId="0" applyNumberFormat="1" applyFont="1"/>
    <xf numFmtId="9" fontId="0" fillId="0" borderId="0" xfId="0" applyNumberFormat="1"/>
    <xf numFmtId="14" fontId="21" fillId="0" borderId="0" xfId="0" applyNumberFormat="1" applyFont="1"/>
    <xf numFmtId="0" fontId="7" fillId="0" borderId="0" xfId="22"/>
    <xf numFmtId="0" fontId="0" fillId="5" borderId="6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21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left" vertical="center" wrapText="1"/>
    </xf>
    <xf numFmtId="9" fontId="4" fillId="0" borderId="0" xfId="0" applyNumberFormat="1" applyFont="1" applyAlignment="1">
      <alignment horizontal="center"/>
    </xf>
    <xf numFmtId="0" fontId="4" fillId="0" borderId="0" xfId="0" applyFont="1" applyAlignment="1"/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0" fillId="0" borderId="0" xfId="0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2" borderId="0" xfId="0" applyFill="1" applyAlignment="1" applyProtection="1">
      <alignment horizontal="center" vertical="center" wrapText="1"/>
      <protection locked="0"/>
    </xf>
    <xf numFmtId="0" fontId="0" fillId="22" borderId="0" xfId="0" applyFill="1" applyAlignment="1" applyProtection="1">
      <alignment horizontal="left" vertical="center" wrapText="1" indent="1"/>
      <protection locked="0"/>
    </xf>
    <xf numFmtId="0" fontId="0" fillId="22" borderId="0" xfId="0" applyFill="1" applyAlignment="1" applyProtection="1">
      <alignment vertical="center" wrapText="1"/>
      <protection locked="0"/>
    </xf>
    <xf numFmtId="0" fontId="0" fillId="21" borderId="0" xfId="0" applyFill="1" applyAlignment="1" applyProtection="1">
      <alignment horizontal="center" vertical="center" wrapText="1"/>
      <protection locked="0"/>
    </xf>
    <xf numFmtId="0" fontId="0" fillId="21" borderId="0" xfId="0" applyFill="1" applyAlignment="1" applyProtection="1">
      <alignment horizontal="left" vertical="center" wrapText="1" indent="1"/>
      <protection locked="0"/>
    </xf>
    <xf numFmtId="0" fontId="0" fillId="21" borderId="0" xfId="0" applyFill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 indent="1"/>
      <protection locked="0"/>
    </xf>
    <xf numFmtId="0" fontId="24" fillId="0" borderId="0" xfId="0" applyFont="1" applyAlignment="1" applyProtection="1">
      <alignment horizontal="left" vertical="center" wrapText="1" indent="1"/>
      <protection locked="0"/>
    </xf>
    <xf numFmtId="0" fontId="24" fillId="0" borderId="0" xfId="0" applyFont="1" applyAlignment="1" applyProtection="1">
      <alignment horizontal="justify" vertical="center" wrapText="1"/>
      <protection locked="0"/>
    </xf>
    <xf numFmtId="0" fontId="25" fillId="0" borderId="0" xfId="0" applyFont="1" applyAlignment="1" applyProtection="1">
      <alignment horizontal="left" vertical="center" wrapText="1" indent="1"/>
      <protection locked="0"/>
    </xf>
    <xf numFmtId="0" fontId="25" fillId="0" borderId="0" xfId="0" applyFont="1" applyAlignment="1" applyProtection="1">
      <alignment horizontal="justify" vertical="center" wrapText="1"/>
      <protection locked="0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19" fillId="4" borderId="34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19" fillId="4" borderId="36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horizontal="left" vertical="center" indent="1"/>
    </xf>
    <xf numFmtId="0" fontId="3" fillId="13" borderId="31" xfId="0" applyFont="1" applyFill="1" applyBorder="1" applyAlignment="1">
      <alignment horizontal="left" vertical="center" indent="1"/>
    </xf>
    <xf numFmtId="0" fontId="3" fillId="13" borderId="32" xfId="0" applyFont="1" applyFill="1" applyBorder="1" applyAlignment="1">
      <alignment horizontal="left" vertical="center" indent="1"/>
    </xf>
    <xf numFmtId="0" fontId="3" fillId="13" borderId="35" xfId="0" applyFont="1" applyFill="1" applyBorder="1" applyAlignment="1">
      <alignment horizontal="left" vertical="center" indent="1"/>
    </xf>
    <xf numFmtId="0" fontId="3" fillId="13" borderId="36" xfId="0" applyFont="1" applyFill="1" applyBorder="1" applyAlignment="1">
      <alignment horizontal="left" vertical="center" indent="1"/>
    </xf>
    <xf numFmtId="0" fontId="3" fillId="13" borderId="37" xfId="0" applyFont="1" applyFill="1" applyBorder="1" applyAlignment="1">
      <alignment horizontal="left" vertical="center" indent="1"/>
    </xf>
    <xf numFmtId="14" fontId="1" fillId="6" borderId="30" xfId="0" applyNumberFormat="1" applyFont="1" applyFill="1" applyBorder="1" applyAlignment="1">
      <alignment horizontal="left" vertical="center" indent="1"/>
    </xf>
    <xf numFmtId="14" fontId="1" fillId="6" borderId="31" xfId="0" applyNumberFormat="1" applyFont="1" applyFill="1" applyBorder="1" applyAlignment="1">
      <alignment horizontal="left" vertical="center" indent="1"/>
    </xf>
    <xf numFmtId="14" fontId="1" fillId="6" borderId="32" xfId="0" applyNumberFormat="1" applyFont="1" applyFill="1" applyBorder="1" applyAlignment="1">
      <alignment horizontal="left" vertical="center" indent="1"/>
    </xf>
    <xf numFmtId="14" fontId="1" fillId="6" borderId="35" xfId="0" applyNumberFormat="1" applyFont="1" applyFill="1" applyBorder="1" applyAlignment="1">
      <alignment horizontal="left" vertical="center" indent="1"/>
    </xf>
    <xf numFmtId="14" fontId="1" fillId="6" borderId="36" xfId="0" applyNumberFormat="1" applyFont="1" applyFill="1" applyBorder="1" applyAlignment="1">
      <alignment horizontal="left" vertical="center" indent="1"/>
    </xf>
    <xf numFmtId="14" fontId="1" fillId="6" borderId="37" xfId="0" applyNumberFormat="1" applyFont="1" applyFill="1" applyBorder="1" applyAlignment="1">
      <alignment horizontal="left" vertical="center" indent="1"/>
    </xf>
    <xf numFmtId="0" fontId="7" fillId="5" borderId="23" xfId="22" applyFill="1" applyBorder="1" applyAlignment="1" applyProtection="1">
      <alignment horizontal="left" vertical="center" wrapText="1" indent="1"/>
      <protection locked="0"/>
    </xf>
    <xf numFmtId="0" fontId="0" fillId="5" borderId="24" xfId="0" applyFill="1" applyBorder="1" applyAlignment="1" applyProtection="1">
      <alignment horizontal="left" vertical="center" wrapText="1" indent="1"/>
      <protection locked="0"/>
    </xf>
    <xf numFmtId="0" fontId="0" fillId="5" borderId="29" xfId="0" applyFill="1" applyBorder="1" applyAlignment="1" applyProtection="1">
      <alignment horizontal="left" vertical="center" wrapText="1" indent="1"/>
      <protection locked="0"/>
    </xf>
    <xf numFmtId="0" fontId="0" fillId="14" borderId="23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0" fillId="5" borderId="7" xfId="0" applyFill="1" applyBorder="1" applyAlignment="1" applyProtection="1">
      <alignment horizontal="left" vertical="center" wrapText="1"/>
      <protection locked="0"/>
    </xf>
    <xf numFmtId="0" fontId="0" fillId="5" borderId="8" xfId="0" applyFill="1" applyBorder="1" applyAlignment="1" applyProtection="1">
      <alignment horizontal="left" vertical="center" wrapText="1"/>
      <protection locked="0"/>
    </xf>
    <xf numFmtId="0" fontId="0" fillId="5" borderId="9" xfId="0" applyFill="1" applyBorder="1" applyAlignment="1" applyProtection="1">
      <alignment horizontal="left" vertical="center" wrapText="1"/>
      <protection locked="0"/>
    </xf>
    <xf numFmtId="0" fontId="0" fillId="5" borderId="11" xfId="0" applyFill="1" applyBorder="1" applyAlignment="1" applyProtection="1">
      <alignment horizontal="left" vertical="center" wrapText="1"/>
      <protection locked="0"/>
    </xf>
    <xf numFmtId="0" fontId="0" fillId="5" borderId="12" xfId="0" applyFill="1" applyBorder="1" applyAlignment="1" applyProtection="1">
      <alignment horizontal="left" vertical="center" wrapText="1"/>
      <protection locked="0"/>
    </xf>
    <xf numFmtId="0" fontId="0" fillId="5" borderId="13" xfId="0" applyFill="1" applyBorder="1" applyAlignment="1" applyProtection="1">
      <alignment horizontal="left" vertical="center" wrapText="1"/>
      <protection locked="0"/>
    </xf>
    <xf numFmtId="1" fontId="0" fillId="5" borderId="23" xfId="0" applyNumberFormat="1" applyFill="1" applyBorder="1" applyAlignment="1" applyProtection="1">
      <alignment horizontal="left" vertical="center" indent="1"/>
      <protection locked="0"/>
    </xf>
    <xf numFmtId="1" fontId="0" fillId="5" borderId="24" xfId="0" applyNumberFormat="1" applyFill="1" applyBorder="1" applyAlignment="1" applyProtection="1">
      <alignment horizontal="left" vertical="center" indent="1"/>
      <protection locked="0"/>
    </xf>
    <xf numFmtId="1" fontId="0" fillId="5" borderId="27" xfId="0" applyNumberFormat="1" applyFill="1" applyBorder="1" applyAlignment="1" applyProtection="1">
      <alignment horizontal="left" vertical="center" indent="1"/>
      <protection locked="0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14" fontId="0" fillId="5" borderId="6" xfId="0" applyNumberFormat="1" applyFill="1" applyBorder="1" applyAlignment="1" applyProtection="1">
      <alignment horizontal="left" vertical="center" indent="1"/>
      <protection locked="0"/>
    </xf>
    <xf numFmtId="0" fontId="3" fillId="12" borderId="12" xfId="0" applyFont="1" applyFill="1" applyBorder="1" applyAlignment="1">
      <alignment horizontal="center" vertical="center"/>
    </xf>
    <xf numFmtId="0" fontId="3" fillId="12" borderId="28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vertical="center"/>
      <protection locked="0"/>
    </xf>
    <xf numFmtId="0" fontId="0" fillId="5" borderId="4" xfId="0" applyFill="1" applyBorder="1" applyAlignment="1" applyProtection="1">
      <alignment vertical="center"/>
      <protection locked="0"/>
    </xf>
    <xf numFmtId="0" fontId="0" fillId="5" borderId="3" xfId="0" applyFill="1" applyBorder="1" applyAlignment="1" applyProtection="1">
      <alignment vertical="center"/>
      <protection locked="0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indent="1"/>
    </xf>
    <xf numFmtId="0" fontId="0" fillId="5" borderId="1" xfId="0" applyFill="1" applyBorder="1" applyAlignment="1" applyProtection="1">
      <alignment horizontal="left" indent="1"/>
      <protection locked="0"/>
    </xf>
    <xf numFmtId="0" fontId="0" fillId="0" borderId="4" xfId="0" applyFont="1" applyFill="1" applyBorder="1" applyAlignment="1" applyProtection="1">
      <alignment horizontal="left" vertical="center" indent="1"/>
      <protection locked="0"/>
    </xf>
    <xf numFmtId="0" fontId="0" fillId="0" borderId="1" xfId="0" applyFont="1" applyFill="1" applyBorder="1" applyAlignment="1" applyProtection="1">
      <alignment horizontal="left" vertical="center" indent="1"/>
      <protection locked="0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0" fillId="5" borderId="2" xfId="0" applyFill="1" applyBorder="1" applyAlignment="1" applyProtection="1">
      <protection locked="0"/>
    </xf>
    <xf numFmtId="0" fontId="0" fillId="5" borderId="3" xfId="0" applyFill="1" applyBorder="1" applyAlignment="1" applyProtection="1">
      <protection locked="0"/>
    </xf>
    <xf numFmtId="0" fontId="0" fillId="5" borderId="4" xfId="0" applyFill="1" applyBorder="1" applyAlignment="1" applyProtection="1">
      <protection locked="0"/>
    </xf>
    <xf numFmtId="0" fontId="0" fillId="0" borderId="3" xfId="0" applyFill="1" applyBorder="1" applyAlignment="1" applyProtection="1">
      <alignment horizontal="left" vertical="center" indent="1"/>
      <protection locked="0"/>
    </xf>
    <xf numFmtId="0" fontId="0" fillId="0" borderId="4" xfId="0" applyFill="1" applyBorder="1" applyAlignment="1" applyProtection="1">
      <alignment horizontal="left" vertical="center" indent="1"/>
      <protection locked="0"/>
    </xf>
    <xf numFmtId="0" fontId="13" fillId="0" borderId="26" xfId="0" applyFont="1" applyBorder="1" applyAlignment="1">
      <alignment horizontal="left" vertical="center" wrapText="1" indent="2"/>
    </xf>
    <xf numFmtId="0" fontId="13" fillId="0" borderId="0" xfId="0" applyFont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4" fillId="3" borderId="2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5" borderId="6" xfId="0" applyFill="1" applyBorder="1" applyAlignment="1" applyProtection="1">
      <alignment horizontal="left" vertical="center"/>
      <protection locked="0"/>
    </xf>
    <xf numFmtId="164" fontId="0" fillId="5" borderId="6" xfId="2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/>
    </xf>
    <xf numFmtId="0" fontId="12" fillId="13" borderId="0" xfId="0" applyFont="1" applyFill="1" applyAlignment="1" applyProtection="1">
      <alignment horizontal="center" vertical="center" wrapText="1"/>
      <protection locked="0"/>
    </xf>
    <xf numFmtId="0" fontId="12" fillId="19" borderId="0" xfId="0" applyFont="1" applyFill="1" applyAlignment="1" applyProtection="1">
      <alignment horizontal="center" vertical="center"/>
      <protection locked="0"/>
    </xf>
    <xf numFmtId="0" fontId="28" fillId="3" borderId="1" xfId="0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center"/>
    </xf>
    <xf numFmtId="9" fontId="12" fillId="2" borderId="1" xfId="1" applyFont="1" applyFill="1" applyBorder="1" applyAlignment="1" applyProtection="1">
      <alignment horizontal="center" vertical="center"/>
    </xf>
    <xf numFmtId="0" fontId="0" fillId="4" borderId="1" xfId="0" applyFont="1" applyFill="1" applyBorder="1" applyAlignment="1" applyProtection="1">
      <alignment horizontal="left" vertical="center" indent="1"/>
    </xf>
    <xf numFmtId="0" fontId="0" fillId="4" borderId="1" xfId="0" applyFont="1" applyFill="1" applyBorder="1" applyAlignment="1" applyProtection="1">
      <alignment horizontal="center" vertical="center"/>
    </xf>
    <xf numFmtId="9" fontId="30" fillId="4" borderId="1" xfId="1" applyFont="1" applyFill="1" applyBorder="1" applyAlignment="1" applyProtection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12" borderId="0" xfId="0" applyFont="1" applyFill="1" applyAlignment="1" applyProtection="1">
      <alignment horizontal="center" vertical="center" wrapText="1"/>
      <protection locked="0"/>
    </xf>
    <xf numFmtId="0" fontId="12" fillId="11" borderId="0" xfId="0" applyFont="1" applyFill="1" applyAlignment="1" applyProtection="1">
      <alignment horizontal="center" vertical="center" wrapText="1"/>
      <protection locked="0"/>
    </xf>
    <xf numFmtId="0" fontId="29" fillId="11" borderId="0" xfId="0" applyFont="1" applyFill="1" applyAlignment="1">
      <alignment horizontal="center" vertical="center" wrapText="1"/>
    </xf>
  </cellXfs>
  <cellStyles count="23">
    <cellStyle name="Hyperlink" xfId="3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/>
    <cellStyle name="Hyperlink seguido" xfId="4" builtinId="9" hidden="1"/>
    <cellStyle name="Hyperlink seguido" xfId="5" builtinId="9" hidden="1"/>
    <cellStyle name="Hyperlink seguido" xfId="6" builtinId="9" hidden="1"/>
    <cellStyle name="Hyperlink seguido" xfId="7" builtinId="9" hidden="1"/>
    <cellStyle name="Hyperlink seguido" xfId="9" builtinId="9" hidden="1"/>
    <cellStyle name="Hyperlink seguido" xfId="11" builtinId="9" hidden="1"/>
    <cellStyle name="Hyperlink seguido" xfId="13" builtinId="9" hidden="1"/>
    <cellStyle name="Hyperlink seguido" xfId="15" builtinId="9" hidden="1"/>
    <cellStyle name="Hyperlink seguido" xfId="17" builtinId="9" hidden="1"/>
    <cellStyle name="Hyperlink seguido" xfId="19" builtinId="9" hidden="1"/>
    <cellStyle name="Hyperlink seguido" xfId="21" builtinId="9" hidden="1"/>
    <cellStyle name="Normal" xfId="0" builtinId="0"/>
    <cellStyle name="Porcentagem" xfId="1" builtinId="5"/>
    <cellStyle name="Separador de milhares" xfId="2" builtinId="3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  <dxf>
      <font>
        <strike/>
        <color theme="0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DC3"/>
      <color rgb="FFFFF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>
                <a:solidFill>
                  <a:schemeClr val="bg1">
                    <a:lumMod val="50000"/>
                  </a:schemeClr>
                </a:solidFill>
              </a:rPr>
              <a:t>CICLO DO ONBOARDING</a:t>
            </a:r>
          </a:p>
        </c:rich>
      </c:tx>
      <c:layout>
        <c:manualLayout>
          <c:xMode val="edge"/>
          <c:yMode val="edge"/>
          <c:x val="0.23600770031854498"/>
          <c:y val="2.5112690870967E-2"/>
        </c:manualLayout>
      </c:layout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002-4B2B-B2CF-78AA730B058B}"/>
              </c:ext>
            </c:extLst>
          </c:dPt>
          <c:dPt>
            <c:idx val="1"/>
            <c:spPr>
              <a:solidFill>
                <a:schemeClr val="accent1">
                  <a:lumMod val="20000"/>
                  <a:lumOff val="80000"/>
                </a:schemeClr>
              </a:solidFill>
              <a:ln w="762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002-4B2B-B2CF-78AA730B058B}"/>
              </c:ext>
            </c:extLst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002-4B2B-B2CF-78AA730B058B}"/>
              </c:ext>
            </c:extLst>
          </c:dPt>
          <c:dPt>
            <c:idx val="3"/>
            <c:spPr>
              <a:solidFill>
                <a:schemeClr val="accent3">
                  <a:lumMod val="20000"/>
                  <a:lumOff val="80000"/>
                </a:schemeClr>
              </a:solidFill>
              <a:ln w="762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002-4B2B-B2CF-78AA730B058B}"/>
              </c:ext>
            </c:extLst>
          </c:dPt>
          <c:dPt>
            <c:idx val="4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002-4B2B-B2CF-78AA730B058B}"/>
              </c:ext>
            </c:extLst>
          </c:dPt>
          <c:dPt>
            <c:idx val="5"/>
            <c:spPr>
              <a:solidFill>
                <a:schemeClr val="accent6">
                  <a:lumMod val="20000"/>
                  <a:lumOff val="80000"/>
                </a:schemeClr>
              </a:solidFill>
              <a:ln w="7620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002-4B2B-B2CF-78AA730B058B}"/>
              </c:ext>
            </c:extLst>
          </c:dPt>
          <c:dPt>
            <c:idx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002-4B2B-B2CF-78AA730B058B}"/>
              </c:ext>
            </c:extLst>
          </c:dPt>
          <c:dPt>
            <c:idx val="7"/>
            <c:spPr>
              <a:solidFill>
                <a:schemeClr val="accent2">
                  <a:lumMod val="20000"/>
                  <a:lumOff val="80000"/>
                </a:schemeClr>
              </a:solidFill>
              <a:ln w="762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002-4B2B-B2CF-78AA730B058B}"/>
              </c:ext>
            </c:extLst>
          </c:dPt>
          <c:dPt>
            <c:idx val="8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002-4B2B-B2CF-78AA730B058B}"/>
              </c:ext>
            </c:extLst>
          </c:dPt>
          <c:dPt>
            <c:idx val="9"/>
            <c:spPr>
              <a:solidFill>
                <a:schemeClr val="accent4">
                  <a:lumMod val="20000"/>
                  <a:lumOff val="80000"/>
                </a:schemeClr>
              </a:solidFill>
              <a:ln w="762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002-4B2B-B2CF-78AA730B058B}"/>
              </c:ext>
            </c:extLst>
          </c:dPt>
          <c:cat>
            <c:strRef>
              <c:f>Cronograma!$AM$16:$AM$25</c:f>
              <c:strCache>
                <c:ptCount val="8"/>
                <c:pt idx="0">
                  <c:v>Etapas do Cronograma (</c:v>
                </c:pt>
                <c:pt idx="1">
                  <c:v>Falta</c:v>
                </c:pt>
                <c:pt idx="2">
                  <c:v>Documentos Prioritários (</c:v>
                </c:pt>
                <c:pt idx="3">
                  <c:v>Falta</c:v>
                </c:pt>
                <c:pt idx="4">
                  <c:v>Demais Documentos (</c:v>
                </c:pt>
                <c:pt idx="5">
                  <c:v>Falta</c:v>
                </c:pt>
                <c:pt idx="6">
                  <c:v>Sucessos definidos (</c:v>
                </c:pt>
                <c:pt idx="7">
                  <c:v>Falta</c:v>
                </c:pt>
              </c:strCache>
            </c:strRef>
          </c:cat>
          <c:val>
            <c:numRef>
              <c:f>Cronograma!$AN$16:$AN$25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F002-4B2B-B2CF-78AA730B058B}"/>
            </c:ext>
          </c:extLst>
        </c:ser>
        <c:dLbls/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zero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9528</xdr:colOff>
      <xdr:row>3</xdr:row>
      <xdr:rowOff>92285</xdr:rowOff>
    </xdr:from>
    <xdr:to>
      <xdr:col>1</xdr:col>
      <xdr:colOff>226060</xdr:colOff>
      <xdr:row>31</xdr:row>
      <xdr:rowOff>229305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257"/>
        <a:stretch/>
      </xdr:blipFill>
      <xdr:spPr>
        <a:xfrm>
          <a:off x="9528" y="684952"/>
          <a:ext cx="893865" cy="68080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50800</xdr:colOff>
      <xdr:row>0</xdr:row>
      <xdr:rowOff>38100</xdr:rowOff>
    </xdr:from>
    <xdr:to>
      <xdr:col>20</xdr:col>
      <xdr:colOff>254283</xdr:colOff>
      <xdr:row>4</xdr:row>
      <xdr:rowOff>1270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r="816" b="1279"/>
        <a:stretch/>
      </xdr:blipFill>
      <xdr:spPr bwMode="auto">
        <a:xfrm>
          <a:off x="50800" y="38100"/>
          <a:ext cx="10846083" cy="674370"/>
        </a:xfrm>
        <a:prstGeom prst="rect">
          <a:avLst/>
        </a:prstGeom>
        <a:ln>
          <a:noFill/>
        </a:ln>
        <a:effectLst>
          <a:outerShdw blurRad="292100" dist="508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814213</xdr:colOff>
      <xdr:row>0</xdr:row>
      <xdr:rowOff>103011</xdr:rowOff>
    </xdr:from>
    <xdr:ext cx="5295900" cy="530658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2681113" y="103011"/>
          <a:ext cx="529590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800" b="1" baseline="0">
              <a:solidFill>
                <a:schemeClr val="accent5"/>
              </a:solidFill>
            </a:rPr>
            <a:t>ONBOARDING NOVOS CLIENTES</a:t>
          </a:r>
          <a:endParaRPr lang="pt-BR" sz="2800" b="1">
            <a:solidFill>
              <a:schemeClr val="accent5"/>
            </a:solidFill>
          </a:endParaRPr>
        </a:p>
      </xdr:txBody>
    </xdr:sp>
    <xdr:clientData/>
  </xdr:oneCellAnchor>
  <xdr:twoCellAnchor>
    <xdr:from>
      <xdr:col>23</xdr:col>
      <xdr:colOff>486836</xdr:colOff>
      <xdr:row>0</xdr:row>
      <xdr:rowOff>0</xdr:rowOff>
    </xdr:from>
    <xdr:to>
      <xdr:col>36</xdr:col>
      <xdr:colOff>254001</xdr:colOff>
      <xdr:row>27</xdr:row>
      <xdr:rowOff>56446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216532</xdr:colOff>
      <xdr:row>73</xdr:row>
      <xdr:rowOff>48825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257"/>
        <a:stretch/>
      </xdr:blipFill>
      <xdr:spPr>
        <a:xfrm>
          <a:off x="0" y="8650111"/>
          <a:ext cx="893865" cy="68080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53</xdr:col>
      <xdr:colOff>70556</xdr:colOff>
      <xdr:row>0</xdr:row>
      <xdr:rowOff>0</xdr:rowOff>
    </xdr:from>
    <xdr:to>
      <xdr:col>109</xdr:col>
      <xdr:colOff>34149</xdr:colOff>
      <xdr:row>3</xdr:row>
      <xdr:rowOff>140970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7857" r="815" b="1279"/>
        <a:stretch/>
      </xdr:blipFill>
      <xdr:spPr bwMode="auto">
        <a:xfrm>
          <a:off x="26458334" y="0"/>
          <a:ext cx="11577038" cy="733637"/>
        </a:xfrm>
        <a:prstGeom prst="rect">
          <a:avLst/>
        </a:prstGeom>
        <a:ln>
          <a:noFill/>
        </a:ln>
        <a:effectLst>
          <a:outerShdw blurRad="292100" dist="508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68</xdr:col>
      <xdr:colOff>105836</xdr:colOff>
      <xdr:row>0</xdr:row>
      <xdr:rowOff>57856</xdr:rowOff>
    </xdr:from>
    <xdr:ext cx="5295900" cy="530658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 txBox="1"/>
      </xdr:nvSpPr>
      <xdr:spPr>
        <a:xfrm>
          <a:off x="20044836" y="57856"/>
          <a:ext cx="529590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800" b="1">
              <a:solidFill>
                <a:schemeClr val="accent5"/>
              </a:solidFill>
            </a:rPr>
            <a:t>CRITÉRIOS DE SUCESSO</a:t>
          </a:r>
        </a:p>
      </xdr:txBody>
    </xdr:sp>
    <xdr:clientData/>
  </xdr:oneCellAnchor>
  <xdr:twoCellAnchor>
    <xdr:from>
      <xdr:col>23</xdr:col>
      <xdr:colOff>395110</xdr:colOff>
      <xdr:row>0</xdr:row>
      <xdr:rowOff>1</xdr:rowOff>
    </xdr:from>
    <xdr:to>
      <xdr:col>23</xdr:col>
      <xdr:colOff>395110</xdr:colOff>
      <xdr:row>34</xdr:row>
      <xdr:rowOff>84712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CxnSpPr/>
      </xdr:nvCxnSpPr>
      <xdr:spPr>
        <a:xfrm>
          <a:off x="12798777" y="1"/>
          <a:ext cx="0" cy="7563600"/>
        </a:xfrm>
        <a:prstGeom prst="line">
          <a:avLst/>
        </a:prstGeom>
        <a:ln w="38100"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352782</xdr:colOff>
      <xdr:row>35</xdr:row>
      <xdr:rowOff>127044</xdr:rowOff>
    </xdr:from>
    <xdr:to>
      <xdr:col>36</xdr:col>
      <xdr:colOff>155222</xdr:colOff>
      <xdr:row>35</xdr:row>
      <xdr:rowOff>127044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CxnSpPr/>
      </xdr:nvCxnSpPr>
      <xdr:spPr>
        <a:xfrm flipH="1">
          <a:off x="1397004" y="7803488"/>
          <a:ext cx="17765885" cy="0"/>
        </a:xfrm>
        <a:prstGeom prst="line">
          <a:avLst/>
        </a:prstGeom>
        <a:ln w="38100"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36</xdr:row>
      <xdr:rowOff>98919</xdr:rowOff>
    </xdr:from>
    <xdr:to>
      <xdr:col>20</xdr:col>
      <xdr:colOff>84667</xdr:colOff>
      <xdr:row>40</xdr:row>
      <xdr:rowOff>2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1915" r="816" b="1279"/>
        <a:stretch/>
      </xdr:blipFill>
      <xdr:spPr bwMode="auto">
        <a:xfrm>
          <a:off x="0" y="8114030"/>
          <a:ext cx="11895667" cy="733637"/>
        </a:xfrm>
        <a:prstGeom prst="rect">
          <a:avLst/>
        </a:prstGeom>
        <a:ln>
          <a:noFill/>
        </a:ln>
        <a:effectLst>
          <a:outerShdw blurRad="292100" dist="508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181327</xdr:colOff>
      <xdr:row>36</xdr:row>
      <xdr:rowOff>211666</xdr:rowOff>
    </xdr:from>
    <xdr:ext cx="6563784" cy="530658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 txBox="1"/>
      </xdr:nvSpPr>
      <xdr:spPr>
        <a:xfrm>
          <a:off x="2283883" y="8226777"/>
          <a:ext cx="656378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2800" b="1">
              <a:solidFill>
                <a:schemeClr val="bg1">
                  <a:lumMod val="50000"/>
                </a:schemeClr>
              </a:solidFill>
            </a:rPr>
            <a:t>REGISTROS DE SUCESSO</a:t>
          </a:r>
        </a:p>
      </xdr:txBody>
    </xdr:sp>
    <xdr:clientData/>
  </xdr:oneCellAnchor>
  <xdr:twoCellAnchor>
    <xdr:from>
      <xdr:col>15</xdr:col>
      <xdr:colOff>317500</xdr:colOff>
      <xdr:row>0</xdr:row>
      <xdr:rowOff>50800</xdr:rowOff>
    </xdr:from>
    <xdr:to>
      <xdr:col>20</xdr:col>
      <xdr:colOff>431800</xdr:colOff>
      <xdr:row>3</xdr:row>
      <xdr:rowOff>165100</xdr:rowOff>
    </xdr:to>
    <xdr:sp macro="" textlink="" fLocksText="0">
      <xdr:nvSpPr>
        <xdr:cNvPr id="5" name="Retângulo 4">
          <a:extLst>
            <a:ext uri="{FF2B5EF4-FFF2-40B4-BE49-F238E27FC236}">
              <a16:creationId xmlns:a16="http://schemas.microsoft.com/office/drawing/2014/main" xmlns="" id="{20B92F6B-AAD0-48DD-BBBB-4A06AAF7794E}"/>
            </a:ext>
          </a:extLst>
        </xdr:cNvPr>
        <xdr:cNvSpPr/>
      </xdr:nvSpPr>
      <xdr:spPr>
        <a:xfrm>
          <a:off x="8940800" y="50800"/>
          <a:ext cx="2133600" cy="647700"/>
        </a:xfrm>
        <a:prstGeom prst="rect">
          <a:avLst/>
        </a:prstGeom>
        <a:solidFill>
          <a:schemeClr val="bg1">
            <a:lumMod val="65000"/>
          </a:schemeClr>
        </a:solidFill>
        <a:ln>
          <a:headEnd type="none" w="med" len="med"/>
          <a:tailEnd type="none" w="med" len="med"/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SUA</a:t>
          </a:r>
          <a:r>
            <a:rPr lang="pt-BR" sz="1800" baseline="0"/>
            <a:t> LOGO AQUI</a:t>
          </a:r>
          <a:endParaRPr lang="pt-BR" sz="18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@empresa.com.br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financeiro2@empresa.com.br" TargetMode="External"/><Relationship Id="rId1" Type="http://schemas.openxmlformats.org/officeDocument/2006/relationships/hyperlink" Target="mailto:financeiro@empresa.com.b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ociomala@empresa.com.br" TargetMode="External"/><Relationship Id="rId4" Type="http://schemas.openxmlformats.org/officeDocument/2006/relationships/hyperlink" Target="mailto:sociolegal@empresa.com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I46"/>
  <sheetViews>
    <sheetView workbookViewId="0">
      <selection activeCell="AJ16" sqref="AJ16"/>
    </sheetView>
  </sheetViews>
  <sheetFormatPr defaultColWidth="11.5703125" defaultRowHeight="15" outlineLevelCol="1"/>
  <cols>
    <col min="3" max="3" width="12.7109375" bestFit="1" customWidth="1"/>
    <col min="8" max="20" width="10.7109375" hidden="1" customWidth="1" outlineLevel="1"/>
    <col min="21" max="21" width="10.7109375" collapsed="1"/>
    <col min="22" max="34" width="0" hidden="1" customWidth="1" outlineLevel="1"/>
    <col min="35" max="35" width="10.7109375" collapsed="1"/>
    <col min="39" max="44" width="0" hidden="1" customWidth="1" outlineLevel="1"/>
    <col min="45" max="45" width="10.7109375" collapsed="1"/>
    <col min="51" max="64" width="0" hidden="1" customWidth="1" outlineLevel="1"/>
    <col min="65" max="65" width="10.7109375" collapsed="1"/>
    <col min="67" max="86" width="0" hidden="1" customWidth="1" outlineLevel="1"/>
    <col min="87" max="87" width="10.7109375" collapsed="1"/>
  </cols>
  <sheetData>
    <row r="2" spans="2:87">
      <c r="U2" t="s">
        <v>43</v>
      </c>
    </row>
    <row r="3" spans="2:87">
      <c r="U3" t="s">
        <v>44</v>
      </c>
      <c r="AI3" t="s">
        <v>28</v>
      </c>
      <c r="AJ3" t="s">
        <v>45</v>
      </c>
      <c r="AK3" t="s">
        <v>46</v>
      </c>
      <c r="AM3" t="s">
        <v>47</v>
      </c>
      <c r="AS3" t="s">
        <v>47</v>
      </c>
      <c r="AU3" t="s">
        <v>52</v>
      </c>
      <c r="AY3" t="s">
        <v>56</v>
      </c>
      <c r="BM3" t="s">
        <v>56</v>
      </c>
    </row>
    <row r="4" spans="2:87" ht="15" customHeight="1">
      <c r="B4" t="s">
        <v>7</v>
      </c>
      <c r="C4" t="s">
        <v>39</v>
      </c>
      <c r="D4" t="s">
        <v>40</v>
      </c>
      <c r="E4" t="s">
        <v>41</v>
      </c>
      <c r="F4" t="s">
        <v>42</v>
      </c>
      <c r="H4" s="7">
        <v>1</v>
      </c>
      <c r="I4" s="7">
        <v>2</v>
      </c>
      <c r="J4" s="7">
        <v>3</v>
      </c>
      <c r="K4" s="7">
        <v>4</v>
      </c>
      <c r="L4" s="7">
        <v>5</v>
      </c>
      <c r="M4" s="7">
        <v>6</v>
      </c>
      <c r="N4" s="7">
        <v>7</v>
      </c>
      <c r="O4" s="7">
        <v>8</v>
      </c>
      <c r="P4" s="7">
        <v>9</v>
      </c>
      <c r="Q4" s="7">
        <v>10</v>
      </c>
      <c r="R4" s="7">
        <v>11</v>
      </c>
      <c r="S4" s="8">
        <v>12</v>
      </c>
      <c r="T4" s="8">
        <v>13</v>
      </c>
      <c r="AM4" t="s">
        <v>48</v>
      </c>
      <c r="AO4" s="12" t="s">
        <v>21</v>
      </c>
      <c r="AP4" s="12" t="s">
        <v>49</v>
      </c>
      <c r="AQ4" s="12" t="s">
        <v>19</v>
      </c>
      <c r="AR4" s="12" t="s">
        <v>50</v>
      </c>
      <c r="AS4" s="12" t="s">
        <v>51</v>
      </c>
      <c r="AU4" s="12" t="s">
        <v>53</v>
      </c>
      <c r="AV4" s="12" t="s">
        <v>54</v>
      </c>
      <c r="AW4" s="12" t="s">
        <v>55</v>
      </c>
      <c r="AY4" s="13" t="s">
        <v>23</v>
      </c>
      <c r="AZ4" s="13" t="s">
        <v>18</v>
      </c>
      <c r="BA4" s="13" t="s">
        <v>14</v>
      </c>
      <c r="BB4" s="13" t="s">
        <v>15</v>
      </c>
      <c r="BC4" s="13" t="s">
        <v>16</v>
      </c>
      <c r="BD4" s="25" t="e">
        <f>#REF!</f>
        <v>#REF!</v>
      </c>
      <c r="BE4" s="13" t="s">
        <v>24</v>
      </c>
      <c r="BF4" s="13" t="s">
        <v>10</v>
      </c>
      <c r="BG4" s="13" t="s">
        <v>11</v>
      </c>
      <c r="BH4" s="13" t="s">
        <v>17</v>
      </c>
      <c r="BI4" s="13" t="s">
        <v>33</v>
      </c>
      <c r="BJ4" s="25" t="e">
        <f>#REF!</f>
        <v>#REF!</v>
      </c>
      <c r="BK4" s="13" t="s">
        <v>13</v>
      </c>
      <c r="BL4" s="13" t="s">
        <v>12</v>
      </c>
      <c r="BM4" s="13" t="s">
        <v>26</v>
      </c>
      <c r="BO4" s="13" t="s">
        <v>28</v>
      </c>
      <c r="CI4" s="13" t="s">
        <v>28</v>
      </c>
    </row>
    <row r="5" spans="2:87" ht="15" customHeight="1">
      <c r="B5">
        <v>1</v>
      </c>
      <c r="C5" s="59" t="s">
        <v>38</v>
      </c>
      <c r="D5" t="str">
        <f>Cronograma!G6</f>
        <v>Nome Empresa</v>
      </c>
      <c r="E5" t="str">
        <f>Cronograma!G7</f>
        <v>Nome Empresário</v>
      </c>
      <c r="F5" t="str">
        <f>Cronograma!G8</f>
        <v>Nome Contabilidade</v>
      </c>
      <c r="H5">
        <f>Cronograma!D13</f>
        <v>0</v>
      </c>
      <c r="I5">
        <f>Cronograma!D14</f>
        <v>0</v>
      </c>
      <c r="J5">
        <f>Cronograma!D15</f>
        <v>0</v>
      </c>
      <c r="K5">
        <f>Cronograma!D16</f>
        <v>0</v>
      </c>
      <c r="L5">
        <f>Cronograma!D17</f>
        <v>0</v>
      </c>
      <c r="M5">
        <f>Cronograma!D18</f>
        <v>0</v>
      </c>
      <c r="N5">
        <f>Cronograma!D19</f>
        <v>0</v>
      </c>
      <c r="O5">
        <f>Cronograma!D20</f>
        <v>0</v>
      </c>
      <c r="P5">
        <f>Cronograma!D21</f>
        <v>0</v>
      </c>
      <c r="Q5">
        <f>Cronograma!D22</f>
        <v>0</v>
      </c>
      <c r="R5">
        <f>Cronograma!D23</f>
        <v>0</v>
      </c>
      <c r="S5">
        <f>Cronograma!D24</f>
        <v>0</v>
      </c>
      <c r="T5">
        <f>Cronograma!D25</f>
        <v>0</v>
      </c>
      <c r="V5" s="18">
        <f>Cronograma!K13</f>
        <v>42991</v>
      </c>
      <c r="W5" s="56">
        <f>Cronograma!K14</f>
        <v>42992</v>
      </c>
      <c r="X5" s="56">
        <f>Cronograma!K15</f>
        <v>42993</v>
      </c>
      <c r="Y5" s="56">
        <f>Cronograma!K16</f>
        <v>42994</v>
      </c>
      <c r="Z5" s="56">
        <f>Cronograma!K17</f>
        <v>42995</v>
      </c>
      <c r="AA5" s="56">
        <f>Cronograma!K18</f>
        <v>42996</v>
      </c>
      <c r="AB5" s="56">
        <f>Cronograma!K19</f>
        <v>42997</v>
      </c>
      <c r="AC5" s="56">
        <f>Cronograma!K20</f>
        <v>42998</v>
      </c>
      <c r="AD5" s="56">
        <f>Cronograma!K21</f>
        <v>42999</v>
      </c>
      <c r="AE5" s="56">
        <f>Cronograma!K22</f>
        <v>43000</v>
      </c>
      <c r="AF5" s="56" t="str">
        <f>Cronograma!K23</f>
        <v/>
      </c>
      <c r="AG5" s="56" t="str">
        <f>Cronograma!K24</f>
        <v/>
      </c>
      <c r="AH5" s="56" t="str">
        <f>Cronograma!K25</f>
        <v/>
      </c>
      <c r="AJ5" s="57">
        <f>Cronograma!R9</f>
        <v>0</v>
      </c>
      <c r="AK5" s="57">
        <f>Cronograma!T9</f>
        <v>0</v>
      </c>
      <c r="AM5" s="57">
        <f>Cronograma!AB9</f>
        <v>0</v>
      </c>
      <c r="AO5">
        <f>Cronograma!$AJ$30</f>
        <v>0</v>
      </c>
      <c r="AP5">
        <f>Cronograma!AJ31</f>
        <v>0</v>
      </c>
      <c r="AQ5">
        <f>Cronograma!AJ32</f>
        <v>0</v>
      </c>
      <c r="AR5">
        <f>Cronograma!AJ33</f>
        <v>0</v>
      </c>
      <c r="AS5">
        <f>Cronograma!AJ34</f>
        <v>0</v>
      </c>
      <c r="AU5">
        <f>Cronograma!$AA$47</f>
        <v>5</v>
      </c>
      <c r="AV5" s="54">
        <f>Cronograma!AF45</f>
        <v>42878</v>
      </c>
      <c r="AW5" s="54">
        <f>Cronograma!AF49</f>
        <v>42899</v>
      </c>
      <c r="AY5">
        <f>COUNTIF(Cronograma!$G$45:$L$87,BD_Geral!AY4)</f>
        <v>0</v>
      </c>
      <c r="AZ5">
        <f>COUNTIF(Cronograma!$G$45:$L$87,BD_Geral!AZ4)</f>
        <v>0</v>
      </c>
      <c r="BA5">
        <f>COUNTIF(Cronograma!$G$45:$L$87,BD_Geral!BA4)</f>
        <v>0</v>
      </c>
      <c r="BB5">
        <f>COUNTIF(Cronograma!$G$45:$L$87,BD_Geral!BB4)</f>
        <v>0</v>
      </c>
      <c r="BC5">
        <f>COUNTIF(Cronograma!$G$45:$L$87,BD_Geral!BC4)</f>
        <v>0</v>
      </c>
      <c r="BE5">
        <f>COUNTIF(Cronograma!$G$45:$L$87,BD_Geral!BE4)</f>
        <v>0</v>
      </c>
      <c r="BF5">
        <f>COUNTIF(Cronograma!$G$45:$L$87,BD_Geral!BF4)</f>
        <v>0</v>
      </c>
      <c r="BG5">
        <f>COUNTIF(Cronograma!$G$45:$L$87,BD_Geral!BG4)</f>
        <v>0</v>
      </c>
      <c r="BH5">
        <f>COUNTIF(Cronograma!$G$45:$L$87,BD_Geral!BH4)</f>
        <v>0</v>
      </c>
      <c r="BI5">
        <f>COUNTIF(Cronograma!$G$45:$L$87,BD_Geral!BI4)</f>
        <v>0</v>
      </c>
      <c r="BK5">
        <f>COUNTIF(Cronograma!$G$45:$L$87,BD_Geral!BK4)</f>
        <v>0</v>
      </c>
      <c r="BL5">
        <f>COUNTIF(Cronograma!$G$45:$L$87,BD_Geral!BL4)</f>
        <v>0</v>
      </c>
      <c r="BM5">
        <f>COUNTIF(Cronograma!$G$45:$L$87,BD_Geral!BM4)</f>
        <v>0</v>
      </c>
      <c r="BO5" s="54">
        <f>Cronograma!E45</f>
        <v>42878</v>
      </c>
      <c r="BP5" s="54">
        <f>Cronograma!E47</f>
        <v>42879</v>
      </c>
      <c r="BQ5" s="54">
        <f>Cronograma!E49</f>
        <v>42881</v>
      </c>
      <c r="BR5" s="54">
        <f>Cronograma!E51</f>
        <v>42882</v>
      </c>
      <c r="BS5" s="54">
        <f>Cronograma!E53</f>
        <v>42883</v>
      </c>
      <c r="BT5" s="54">
        <f>Cronograma!E55</f>
        <v>42884</v>
      </c>
      <c r="BU5" s="54">
        <f>Cronograma!E57</f>
        <v>42885</v>
      </c>
      <c r="BV5" s="54">
        <f>Cronograma!E59</f>
        <v>42886</v>
      </c>
      <c r="BW5" s="54">
        <f>Cronograma!E61</f>
        <v>42887</v>
      </c>
      <c r="BX5" s="54">
        <f>Cronograma!E63</f>
        <v>42888</v>
      </c>
      <c r="BY5" s="54">
        <f>Cronograma!E65</f>
        <v>42889</v>
      </c>
      <c r="BZ5" s="54">
        <f>Cronograma!E67</f>
        <v>42890</v>
      </c>
      <c r="CA5" s="54">
        <f>Cronograma!E69</f>
        <v>42891</v>
      </c>
      <c r="CB5" s="54">
        <f>Cronograma!E71</f>
        <v>42892</v>
      </c>
      <c r="CC5" s="54">
        <f>Cronograma!E73</f>
        <v>42893</v>
      </c>
      <c r="CD5" s="54">
        <f>Cronograma!E75</f>
        <v>42894</v>
      </c>
      <c r="CE5" s="54">
        <f>Cronograma!E77</f>
        <v>42895</v>
      </c>
      <c r="CF5" s="54">
        <f>Cronograma!E79</f>
        <v>42896</v>
      </c>
      <c r="CG5" s="54">
        <f>Cronograma!E81</f>
        <v>42897</v>
      </c>
      <c r="CH5" s="54">
        <f>Cronograma!E83</f>
        <v>42898</v>
      </c>
      <c r="CI5" s="54">
        <f>Cronograma!E85</f>
        <v>42899</v>
      </c>
    </row>
    <row r="6" spans="2:87" ht="15" customHeight="1">
      <c r="B6">
        <v>2</v>
      </c>
      <c r="C6" t="s">
        <v>57</v>
      </c>
      <c r="AJ6" s="57"/>
      <c r="AK6" s="57"/>
      <c r="BO6" s="54"/>
      <c r="BP6" s="54"/>
      <c r="BV6" s="54"/>
      <c r="CC6" s="54"/>
    </row>
    <row r="7" spans="2:87" ht="15" customHeight="1">
      <c r="BP7" s="54"/>
    </row>
    <row r="8" spans="2:87" ht="15" customHeight="1">
      <c r="BO8" s="54"/>
      <c r="BP8" s="54"/>
      <c r="BV8" s="54"/>
      <c r="CC8" s="54"/>
      <c r="CH8" s="58"/>
    </row>
    <row r="9" spans="2:87" ht="15" customHeight="1">
      <c r="BP9" s="54"/>
    </row>
    <row r="10" spans="2:87" ht="15" customHeight="1">
      <c r="BO10" s="54"/>
      <c r="BP10" s="54"/>
      <c r="BV10" s="54"/>
      <c r="CC10" s="54"/>
    </row>
    <row r="11" spans="2:87" ht="15" customHeight="1">
      <c r="BP11" s="54"/>
    </row>
    <row r="12" spans="2:87">
      <c r="BO12" s="54"/>
      <c r="BP12" s="54"/>
      <c r="BV12" s="54"/>
      <c r="CC12" s="54"/>
    </row>
    <row r="13" spans="2:87">
      <c r="BP13" s="54"/>
    </row>
    <row r="14" spans="2:87">
      <c r="BO14" s="54"/>
      <c r="BP14" s="54"/>
      <c r="BV14" s="54"/>
      <c r="CC14" s="54"/>
    </row>
    <row r="15" spans="2:87">
      <c r="BP15" s="54"/>
    </row>
    <row r="16" spans="2:87">
      <c r="BO16" s="54"/>
      <c r="BP16" s="54"/>
      <c r="BV16" s="54"/>
      <c r="CC16" s="54"/>
    </row>
    <row r="17" spans="67:74">
      <c r="BP17" s="54"/>
    </row>
    <row r="18" spans="67:74">
      <c r="BO18" s="54"/>
      <c r="BP18" s="54"/>
      <c r="BV18" s="54"/>
    </row>
    <row r="19" spans="67:74">
      <c r="BP19" s="54"/>
    </row>
    <row r="20" spans="67:74">
      <c r="BP20" s="54"/>
    </row>
    <row r="21" spans="67:74">
      <c r="BP21" s="54"/>
    </row>
    <row r="22" spans="67:74">
      <c r="BP22" s="54"/>
    </row>
    <row r="23" spans="67:74">
      <c r="BP23" s="54"/>
    </row>
    <row r="24" spans="67:74">
      <c r="BP24" s="54"/>
    </row>
    <row r="25" spans="67:74">
      <c r="BP25" s="54"/>
    </row>
    <row r="26" spans="67:74">
      <c r="BP26" s="54"/>
    </row>
    <row r="27" spans="67:74">
      <c r="BP27" s="54"/>
    </row>
    <row r="28" spans="67:74">
      <c r="BP28" s="54"/>
    </row>
    <row r="29" spans="67:74">
      <c r="BP29" s="54"/>
    </row>
    <row r="30" spans="67:74">
      <c r="BP30" s="54"/>
    </row>
    <row r="31" spans="67:74">
      <c r="BP31" s="54"/>
    </row>
    <row r="32" spans="67:74">
      <c r="BP32" s="54"/>
    </row>
    <row r="33" spans="67:68">
      <c r="BP33" s="54"/>
    </row>
    <row r="34" spans="67:68">
      <c r="BP34" s="54"/>
    </row>
    <row r="35" spans="67:68">
      <c r="BP35" s="54"/>
    </row>
    <row r="36" spans="67:68">
      <c r="BP36" s="54"/>
    </row>
    <row r="37" spans="67:68">
      <c r="BP37" s="54"/>
    </row>
    <row r="38" spans="67:68">
      <c r="BP38" s="54"/>
    </row>
    <row r="39" spans="67:68">
      <c r="BP39" s="54"/>
    </row>
    <row r="40" spans="67:68">
      <c r="BP40" s="54"/>
    </row>
    <row r="41" spans="67:68">
      <c r="BP41" s="54"/>
    </row>
    <row r="42" spans="67:68">
      <c r="BP42" s="54"/>
    </row>
    <row r="43" spans="67:68">
      <c r="BP43" s="54"/>
    </row>
    <row r="44" spans="67:68">
      <c r="BP44" s="54"/>
    </row>
    <row r="45" spans="67:68">
      <c r="BP45" s="54"/>
    </row>
    <row r="46" spans="67:68">
      <c r="BO46" s="54"/>
      <c r="BP46" s="54"/>
    </row>
  </sheetData>
  <conditionalFormatting sqref="AY4:BM4 BO4">
    <cfRule type="expression" dxfId="12" priority="2">
      <formula>$BK4=0</formula>
    </cfRule>
  </conditionalFormatting>
  <conditionalFormatting sqref="CI4">
    <cfRule type="expression" dxfId="11" priority="1">
      <formula>$BK4=0</formula>
    </cfRule>
  </conditionalFormatting>
  <hyperlinks>
    <hyperlink ref="C5" location="Cronograma!A1" display="Contabilidade 1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N116"/>
  <sheetViews>
    <sheetView showGridLines="0" topLeftCell="A42" zoomScale="60" zoomScaleNormal="60" workbookViewId="0">
      <selection activeCell="T7" sqref="T7"/>
    </sheetView>
  </sheetViews>
  <sheetFormatPr defaultColWidth="0" defaultRowHeight="15" zeroHeight="1"/>
  <cols>
    <col min="1" max="1" width="8.7109375" customWidth="1"/>
    <col min="2" max="3" width="4.7109375" customWidth="1"/>
    <col min="4" max="4" width="5.7109375" style="1" bestFit="1" customWidth="1"/>
    <col min="5" max="5" width="3.140625" style="1" bestFit="1" customWidth="1"/>
    <col min="6" max="6" width="16.28515625" style="1" customWidth="1"/>
    <col min="7" max="7" width="10" style="1" customWidth="1"/>
    <col min="8" max="8" width="13.7109375" customWidth="1"/>
    <col min="9" max="9" width="6.7109375" customWidth="1"/>
    <col min="10" max="10" width="14.7109375" bestFit="1" customWidth="1"/>
    <col min="11" max="11" width="9.7109375" style="3" customWidth="1"/>
    <col min="12" max="12" width="6.28515625" style="2" customWidth="1"/>
    <col min="13" max="13" width="7.28515625" customWidth="1"/>
    <col min="14" max="14" width="7" customWidth="1"/>
    <col min="15" max="16" width="6.7109375" customWidth="1"/>
    <col min="17" max="17" width="8.28515625" customWidth="1"/>
    <col min="18" max="18" width="6.7109375" customWidth="1"/>
    <col min="19" max="19" width="1.140625" customWidth="1"/>
    <col min="20" max="20" width="6.7109375" customWidth="1"/>
    <col min="21" max="21" width="7.28515625" customWidth="1"/>
    <col min="22" max="37" width="6.7109375" customWidth="1"/>
    <col min="38" max="38" width="6.7109375" style="13" customWidth="1"/>
    <col min="39" max="42" width="6.7109375" style="25" customWidth="1"/>
    <col min="43" max="44" width="6.7109375" style="13" customWidth="1"/>
    <col min="45" max="47" width="6.7109375" customWidth="1"/>
    <col min="48" max="56" width="2.7109375" customWidth="1"/>
    <col min="57" max="62" width="3.42578125" customWidth="1"/>
    <col min="63" max="63" width="2.7109375" customWidth="1"/>
    <col min="64" max="64" width="2.7109375" style="1" customWidth="1"/>
    <col min="65" max="65" width="3" customWidth="1"/>
    <col min="66" max="70" width="2.42578125" customWidth="1"/>
    <col min="71" max="86" width="2.42578125" style="13" customWidth="1"/>
    <col min="87" max="94" width="2.42578125" style="51" customWidth="1"/>
    <col min="95" max="95" width="3" style="25" customWidth="1"/>
    <col min="96" max="102" width="2.42578125" style="25" customWidth="1"/>
    <col min="103" max="104" width="2.42578125" style="51" customWidth="1"/>
    <col min="105" max="109" width="2.42578125" style="13" customWidth="1"/>
    <col min="110" max="112" width="2.42578125" customWidth="1"/>
    <col min="113" max="16384" width="8.7109375" hidden="1"/>
  </cols>
  <sheetData>
    <row r="1" spans="2:222"/>
    <row r="2" spans="2:222"/>
    <row r="3" spans="2:222">
      <c r="B3" t="s">
        <v>1</v>
      </c>
    </row>
    <row r="4" spans="2:222"/>
    <row r="5" spans="2:222"/>
    <row r="6" spans="2:222" ht="19.149999999999999" customHeight="1">
      <c r="D6" s="160" t="s">
        <v>73</v>
      </c>
      <c r="E6" s="160"/>
      <c r="F6" s="160"/>
      <c r="G6" s="161" t="s">
        <v>8</v>
      </c>
      <c r="H6" s="161"/>
      <c r="I6" s="161"/>
      <c r="V6" s="2"/>
      <c r="AJ6" s="25"/>
      <c r="AK6" s="25"/>
      <c r="AL6" s="25"/>
      <c r="AQ6" s="25"/>
      <c r="AR6" s="25"/>
      <c r="AS6" s="25"/>
    </row>
    <row r="7" spans="2:222" ht="19.149999999999999" customHeight="1">
      <c r="D7" s="160" t="s">
        <v>74</v>
      </c>
      <c r="E7" s="160"/>
      <c r="F7" s="160"/>
      <c r="G7" s="161" t="s">
        <v>75</v>
      </c>
      <c r="H7" s="161"/>
      <c r="I7" s="161"/>
      <c r="V7" s="17"/>
      <c r="AJ7" s="25"/>
      <c r="AK7" s="25"/>
      <c r="AL7" s="40"/>
      <c r="AM7" s="40" t="s">
        <v>20</v>
      </c>
      <c r="AN7" s="40"/>
      <c r="AP7" s="40"/>
      <c r="AQ7" s="25"/>
      <c r="AR7" s="25"/>
      <c r="AS7" s="25"/>
      <c r="BL7" s="26">
        <v>1</v>
      </c>
      <c r="BM7" s="26"/>
      <c r="BN7" s="26" t="str">
        <f>BE8</f>
        <v>GESTÃO E ESTRATÉGIA</v>
      </c>
      <c r="BO7" s="26"/>
      <c r="BP7" s="5"/>
      <c r="BQ7" s="5"/>
      <c r="BR7" s="5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52"/>
      <c r="CJ7" s="52"/>
      <c r="CK7" s="52"/>
      <c r="CL7" s="52"/>
      <c r="CM7" s="52"/>
      <c r="CS7" s="25" t="str">
        <f>IF(BL7&lt;&gt;0,CONCATENATE(BM7,". ",BN7),CONCATENATE("------- ",BM7,". ",BN7))</f>
        <v>. GESTÃO E ESTRATÉGIA</v>
      </c>
    </row>
    <row r="8" spans="2:222" ht="19.149999999999999" customHeight="1">
      <c r="D8" s="160" t="s">
        <v>5</v>
      </c>
      <c r="E8" s="160"/>
      <c r="F8" s="160"/>
      <c r="G8" s="161" t="s">
        <v>32</v>
      </c>
      <c r="H8" s="161"/>
      <c r="I8" s="161"/>
      <c r="T8" s="39">
        <f ca="1">TODAY()</f>
        <v>43161</v>
      </c>
      <c r="U8" s="26" t="s">
        <v>27</v>
      </c>
      <c r="V8" s="25"/>
      <c r="AJ8" s="25"/>
      <c r="AK8" s="25"/>
      <c r="AL8" s="40"/>
      <c r="AM8" s="26" t="s">
        <v>174</v>
      </c>
      <c r="AN8" s="40">
        <f>COUNTIF(D13:D25,1)</f>
        <v>0</v>
      </c>
      <c r="AO8" s="25">
        <f>AP8-AN8</f>
        <v>10</v>
      </c>
      <c r="AP8" s="40">
        <f>COUNTA(F13:H25)</f>
        <v>10</v>
      </c>
      <c r="AQ8" s="25"/>
      <c r="AR8" s="25"/>
      <c r="AS8" s="25"/>
      <c r="BE8" s="203" t="s">
        <v>94</v>
      </c>
      <c r="BF8" s="203"/>
      <c r="BG8" s="203"/>
      <c r="BH8" s="203"/>
      <c r="BI8" s="203"/>
      <c r="BJ8" s="203"/>
      <c r="BK8" s="79"/>
      <c r="BL8" s="60"/>
      <c r="BM8" s="79">
        <v>1</v>
      </c>
      <c r="BN8" s="63" t="s">
        <v>84</v>
      </c>
      <c r="BO8" s="79"/>
      <c r="BP8" s="79"/>
      <c r="BQ8" s="79"/>
      <c r="CR8" s="25">
        <f>COUNTIF($G$45:$L$86,CS8)</f>
        <v>0</v>
      </c>
      <c r="CS8" s="25" t="str">
        <f>IF(BL8&lt;&gt;0,CONCATENATE(BM8,". ",BN8),CONCATENATE("------- ",BM8,". ",BN8))</f>
        <v>------- 1. Receber recomendações para melhorar meu negócio</v>
      </c>
    </row>
    <row r="9" spans="2:222" ht="19.149999999999999" customHeight="1">
      <c r="W9" s="17"/>
      <c r="X9" s="17"/>
      <c r="Y9" s="17"/>
      <c r="Z9" s="17"/>
      <c r="AA9" s="17"/>
      <c r="AB9" s="200">
        <f>AN14</f>
        <v>0</v>
      </c>
      <c r="AC9" s="201"/>
      <c r="AD9" s="201"/>
      <c r="AE9" s="201"/>
      <c r="AF9" s="201"/>
      <c r="AG9" s="201"/>
      <c r="AH9" s="201"/>
      <c r="AJ9" s="74"/>
      <c r="AK9" s="74"/>
      <c r="AL9" s="40"/>
      <c r="AM9" s="26" t="s">
        <v>171</v>
      </c>
      <c r="AN9" s="73">
        <f>R19*10</f>
        <v>0</v>
      </c>
      <c r="AO9" s="25">
        <f t="shared" ref="AO9:AO11" si="0">AP9-AN9</f>
        <v>10</v>
      </c>
      <c r="AP9" s="40">
        <v>10</v>
      </c>
      <c r="AQ9" s="74"/>
      <c r="AR9" s="74"/>
      <c r="AS9" s="74"/>
      <c r="AT9" s="17"/>
      <c r="AU9" s="17"/>
      <c r="AV9" s="17"/>
      <c r="AW9" s="17"/>
      <c r="AX9" s="17"/>
      <c r="AY9" s="17"/>
      <c r="AZ9" s="17"/>
      <c r="BA9" s="17"/>
      <c r="BB9" s="17"/>
      <c r="BC9" s="17"/>
      <c r="BE9" s="203"/>
      <c r="BF9" s="203"/>
      <c r="BG9" s="203"/>
      <c r="BH9" s="203"/>
      <c r="BI9" s="203"/>
      <c r="BJ9" s="203"/>
      <c r="BK9" s="79"/>
      <c r="BL9" s="60"/>
      <c r="BM9" s="79">
        <v>2</v>
      </c>
      <c r="BN9" s="63" t="s">
        <v>85</v>
      </c>
      <c r="BO9" s="79"/>
      <c r="BP9" s="79"/>
      <c r="BQ9" s="79"/>
      <c r="CR9" s="25">
        <f t="shared" ref="CR9:CR26" si="1">COUNTIF($G$45:$L$86,CS9)</f>
        <v>0</v>
      </c>
      <c r="CS9" s="25" t="str">
        <f t="shared" ref="CS9:CS27" si="2">IF(BL9&lt;&gt;0,CONCATENATE(BM9,". ",BN9),CONCATENATE("------- ",BM9,". ",BN9))</f>
        <v>------- 2. Receber relatórios de desempenho e diagnósticos que me ajudam a tomar decisão</v>
      </c>
    </row>
    <row r="10" spans="2:222" ht="19.149999999999999" customHeight="1">
      <c r="E10" s="4"/>
      <c r="F10"/>
      <c r="W10" s="25"/>
      <c r="X10" s="27">
        <f ca="1">VLOOKUP(T8,K13:Q24,7,TRUE())</f>
        <v>0</v>
      </c>
      <c r="AB10" s="201"/>
      <c r="AC10" s="201"/>
      <c r="AD10" s="201"/>
      <c r="AE10" s="201"/>
      <c r="AF10" s="201"/>
      <c r="AG10" s="201"/>
      <c r="AH10" s="201"/>
      <c r="AJ10" s="25"/>
      <c r="AK10" s="25"/>
      <c r="AL10" s="40"/>
      <c r="AM10" s="26" t="s">
        <v>172</v>
      </c>
      <c r="AN10" s="40">
        <f>V19*10</f>
        <v>0</v>
      </c>
      <c r="AO10" s="25">
        <f t="shared" si="0"/>
        <v>10</v>
      </c>
      <c r="AP10" s="40">
        <v>10</v>
      </c>
      <c r="AQ10" s="25"/>
      <c r="AR10" s="25"/>
      <c r="AS10" s="25"/>
      <c r="BE10" s="203"/>
      <c r="BF10" s="203"/>
      <c r="BG10" s="203"/>
      <c r="BH10" s="203"/>
      <c r="BI10" s="203"/>
      <c r="BJ10" s="203"/>
      <c r="BK10" s="79"/>
      <c r="BL10" s="60"/>
      <c r="BM10" s="79">
        <v>3</v>
      </c>
      <c r="BN10" s="63" t="s">
        <v>86</v>
      </c>
      <c r="BO10" s="79"/>
      <c r="BP10" s="79"/>
      <c r="BQ10" s="79"/>
      <c r="CR10" s="25">
        <f t="shared" si="1"/>
        <v>0</v>
      </c>
      <c r="CS10" s="25" t="str">
        <f t="shared" si="2"/>
        <v xml:space="preserve">------- 3. Receber apoio na gestão financeira </v>
      </c>
    </row>
    <row r="11" spans="2:222" s="5" customFormat="1" ht="19.149999999999999" customHeight="1">
      <c r="D11" s="164" t="s">
        <v>6</v>
      </c>
      <c r="E11" s="166" t="s">
        <v>7</v>
      </c>
      <c r="F11" s="168" t="s">
        <v>9</v>
      </c>
      <c r="G11" s="168"/>
      <c r="H11" s="169"/>
      <c r="I11" s="172" t="s">
        <v>2</v>
      </c>
      <c r="J11" s="164" t="s">
        <v>3</v>
      </c>
      <c r="K11" s="166" t="s">
        <v>0</v>
      </c>
      <c r="L11" s="169"/>
      <c r="M11" s="172" t="s">
        <v>76</v>
      </c>
      <c r="O11" s="12"/>
      <c r="P11" s="194" t="s">
        <v>164</v>
      </c>
      <c r="Q11" s="194"/>
      <c r="R11" s="194"/>
      <c r="S11" s="194"/>
      <c r="T11" s="194"/>
      <c r="U11" s="194"/>
      <c r="V11" s="194"/>
      <c r="W11" s="13"/>
      <c r="X11"/>
      <c r="AB11" s="201"/>
      <c r="AC11" s="201"/>
      <c r="AD11" s="201"/>
      <c r="AE11" s="201"/>
      <c r="AF11" s="201"/>
      <c r="AG11" s="201"/>
      <c r="AH11" s="201"/>
      <c r="AJ11" s="26"/>
      <c r="AK11" s="26"/>
      <c r="AL11" s="40"/>
      <c r="AM11" s="26" t="s">
        <v>173</v>
      </c>
      <c r="AN11" s="40">
        <f>IF(COUNTIF(BL8:BL27,1)&gt;5,10,COUNTIF(BL8:BL27,1)*2)</f>
        <v>0</v>
      </c>
      <c r="AO11" s="25">
        <f t="shared" si="0"/>
        <v>10</v>
      </c>
      <c r="AP11" s="40">
        <v>10</v>
      </c>
      <c r="AQ11" s="26"/>
      <c r="AR11" s="26"/>
      <c r="AS11" s="26"/>
      <c r="BE11" s="203"/>
      <c r="BF11" s="203"/>
      <c r="BG11" s="203"/>
      <c r="BH11" s="203"/>
      <c r="BI11" s="203"/>
      <c r="BJ11" s="203"/>
      <c r="BK11" s="80"/>
      <c r="BL11" s="61"/>
      <c r="BM11" s="79">
        <v>4</v>
      </c>
      <c r="BN11" s="63" t="s">
        <v>87</v>
      </c>
      <c r="BO11" s="79"/>
      <c r="BP11" s="80"/>
      <c r="BQ11" s="80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52"/>
      <c r="CJ11" s="52"/>
      <c r="CK11" s="52"/>
      <c r="CL11" s="52"/>
      <c r="CM11" s="52"/>
      <c r="CN11" s="52"/>
      <c r="CO11" s="52"/>
      <c r="CP11" s="52"/>
      <c r="CQ11" s="26"/>
      <c r="CR11" s="25">
        <f t="shared" si="1"/>
        <v>0</v>
      </c>
      <c r="CS11" s="25" t="str">
        <f t="shared" si="2"/>
        <v>------- 4. Receber apoio para acessar linhas de crédito</v>
      </c>
      <c r="CT11" s="26"/>
      <c r="CU11" s="26"/>
      <c r="CV11" s="26"/>
      <c r="CW11" s="26"/>
      <c r="CX11" s="26"/>
      <c r="CY11" s="52"/>
      <c r="CZ11" s="52"/>
      <c r="DA11" s="12"/>
      <c r="DB11" s="12"/>
      <c r="DC11" s="12"/>
      <c r="DD11" s="12"/>
      <c r="DE11" s="12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</row>
    <row r="12" spans="2:222" s="5" customFormat="1" ht="19.149999999999999" customHeight="1">
      <c r="D12" s="165"/>
      <c r="E12" s="167"/>
      <c r="F12" s="170"/>
      <c r="G12" s="170"/>
      <c r="H12" s="171"/>
      <c r="I12" s="173"/>
      <c r="J12" s="165"/>
      <c r="K12" s="187"/>
      <c r="L12" s="188"/>
      <c r="M12" s="173"/>
      <c r="O12" s="12"/>
      <c r="P12" s="194"/>
      <c r="Q12" s="194"/>
      <c r="R12" s="194"/>
      <c r="S12" s="194"/>
      <c r="T12" s="194"/>
      <c r="U12" s="194"/>
      <c r="V12" s="194"/>
      <c r="W12" s="13"/>
      <c r="X12"/>
      <c r="AB12" s="201"/>
      <c r="AC12" s="201"/>
      <c r="AD12" s="201"/>
      <c r="AE12" s="201"/>
      <c r="AF12" s="201"/>
      <c r="AG12" s="201"/>
      <c r="AH12" s="201"/>
      <c r="AJ12" s="26"/>
      <c r="AK12" s="26"/>
      <c r="AL12" s="40"/>
      <c r="AM12" s="41"/>
      <c r="AN12" s="40"/>
      <c r="AO12" s="25"/>
      <c r="AP12" s="40"/>
      <c r="AQ12" s="26"/>
      <c r="AR12" s="26"/>
      <c r="AS12" s="26"/>
      <c r="BE12" s="203"/>
      <c r="BF12" s="203"/>
      <c r="BG12" s="203"/>
      <c r="BH12" s="203"/>
      <c r="BI12" s="203"/>
      <c r="BJ12" s="203"/>
      <c r="BK12" s="80"/>
      <c r="BL12" s="61"/>
      <c r="BM12" s="79">
        <v>5</v>
      </c>
      <c r="BN12" s="63" t="s">
        <v>88</v>
      </c>
      <c r="BO12" s="79"/>
      <c r="BP12" s="80"/>
      <c r="BQ12" s="80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52"/>
      <c r="CJ12" s="52"/>
      <c r="CK12" s="52"/>
      <c r="CL12" s="52"/>
      <c r="CM12" s="52"/>
      <c r="CN12" s="52"/>
      <c r="CO12" s="52"/>
      <c r="CP12" s="52"/>
      <c r="CQ12" s="26"/>
      <c r="CR12" s="25">
        <f t="shared" si="1"/>
        <v>0</v>
      </c>
      <c r="CS12" s="25" t="str">
        <f t="shared" si="2"/>
        <v>------- 5. Receber ajuda na elaboração do meu Plano de Negócios</v>
      </c>
      <c r="CT12" s="26"/>
      <c r="CU12" s="26"/>
      <c r="CV12" s="26"/>
      <c r="CW12" s="26"/>
      <c r="CX12" s="26"/>
      <c r="CY12" s="52"/>
      <c r="CZ12" s="52"/>
      <c r="DA12" s="12"/>
      <c r="DB12" s="12"/>
      <c r="DC12" s="12"/>
      <c r="DD12" s="12"/>
      <c r="DE12" s="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</row>
    <row r="13" spans="2:222" s="5" customFormat="1" ht="19.149999999999999" customHeight="1">
      <c r="C13" s="26">
        <f>WEEKDAY(L13)</f>
        <v>4</v>
      </c>
      <c r="D13" s="43">
        <v>0</v>
      </c>
      <c r="E13" s="75">
        <v>1</v>
      </c>
      <c r="F13" s="162" t="s">
        <v>65</v>
      </c>
      <c r="G13" s="163"/>
      <c r="H13" s="163"/>
      <c r="I13" s="47"/>
      <c r="J13" s="48" t="s">
        <v>4</v>
      </c>
      <c r="K13" s="44">
        <v>42991</v>
      </c>
      <c r="L13" s="55">
        <f>K13</f>
        <v>42991</v>
      </c>
      <c r="M13" s="6">
        <f t="shared" ref="M13:M20" si="3">IFERROR(K13-$K$13,"")</f>
        <v>0</v>
      </c>
      <c r="O13" s="26">
        <f>E13</f>
        <v>1</v>
      </c>
      <c r="P13" s="195" t="s">
        <v>166</v>
      </c>
      <c r="Q13" s="195"/>
      <c r="R13" s="195"/>
      <c r="S13" s="77"/>
      <c r="T13" s="196" t="s">
        <v>167</v>
      </c>
      <c r="U13" s="196"/>
      <c r="V13" s="196"/>
      <c r="W13" s="12"/>
      <c r="AB13" s="201"/>
      <c r="AC13" s="201"/>
      <c r="AD13" s="201"/>
      <c r="AE13" s="201"/>
      <c r="AF13" s="201"/>
      <c r="AG13" s="201"/>
      <c r="AH13" s="201"/>
      <c r="AJ13" s="26"/>
      <c r="AK13" s="26"/>
      <c r="AL13" s="40"/>
      <c r="AM13" s="40"/>
      <c r="AN13" s="25">
        <f>SUM(AN8:AN12)</f>
        <v>0</v>
      </c>
      <c r="AO13" s="25"/>
      <c r="AP13" s="25">
        <f>SUM(AP8:AP12)</f>
        <v>40</v>
      </c>
      <c r="AQ13" s="26"/>
      <c r="AR13" s="26"/>
      <c r="AS13" s="26"/>
      <c r="BE13" s="80"/>
      <c r="BF13" s="80"/>
      <c r="BG13" s="80"/>
      <c r="BH13" s="80"/>
      <c r="BI13" s="80"/>
      <c r="BJ13" s="80"/>
      <c r="BK13" s="80"/>
      <c r="BL13" s="62"/>
      <c r="BM13" s="79"/>
      <c r="BN13" s="81" t="str">
        <f>BE14</f>
        <v>PARTE LEGAL E TRIBUTÁRIA</v>
      </c>
      <c r="BO13" s="79"/>
      <c r="BP13" s="80"/>
      <c r="BQ13" s="80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52"/>
      <c r="CJ13" s="52"/>
      <c r="CK13" s="52"/>
      <c r="CL13" s="52"/>
      <c r="CM13" s="52"/>
      <c r="CN13" s="52"/>
      <c r="CO13" s="52"/>
      <c r="CP13" s="52"/>
      <c r="CQ13" s="26"/>
      <c r="CR13" s="25"/>
      <c r="CS13" s="25" t="str">
        <f t="shared" si="2"/>
        <v>------- . PARTE LEGAL E TRIBUTÁRIA</v>
      </c>
      <c r="CT13" s="26"/>
      <c r="CU13" s="26"/>
      <c r="CV13" s="26"/>
      <c r="CW13" s="26"/>
      <c r="CX13" s="26"/>
      <c r="CY13" s="52"/>
      <c r="CZ13" s="52"/>
      <c r="DA13" s="12"/>
      <c r="DB13" s="12"/>
      <c r="DC13" s="12"/>
      <c r="DD13" s="12"/>
      <c r="DE13" s="12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</row>
    <row r="14" spans="2:222" s="5" customFormat="1" ht="19.149999999999999" customHeight="1">
      <c r="C14" s="26">
        <f t="shared" ref="C14:C25" si="4">WEEKDAY(L14)</f>
        <v>5</v>
      </c>
      <c r="D14" s="43">
        <v>0</v>
      </c>
      <c r="E14" s="75">
        <v>2</v>
      </c>
      <c r="F14" s="162" t="s">
        <v>66</v>
      </c>
      <c r="G14" s="163"/>
      <c r="H14" s="163"/>
      <c r="I14" s="47">
        <v>-1</v>
      </c>
      <c r="J14" s="49" t="s">
        <v>73</v>
      </c>
      <c r="K14" s="44">
        <v>42992</v>
      </c>
      <c r="L14" s="55">
        <f>K14</f>
        <v>42992</v>
      </c>
      <c r="M14" s="6">
        <f t="shared" si="3"/>
        <v>1</v>
      </c>
      <c r="O14" s="26">
        <f t="shared" ref="O14:O24" si="5">E14</f>
        <v>2</v>
      </c>
      <c r="P14" s="195"/>
      <c r="Q14" s="195"/>
      <c r="R14" s="195"/>
      <c r="S14" s="77"/>
      <c r="T14" s="196"/>
      <c r="U14" s="196"/>
      <c r="V14" s="196"/>
      <c r="W14" s="12"/>
      <c r="AB14" s="201"/>
      <c r="AC14" s="201"/>
      <c r="AD14" s="201"/>
      <c r="AE14" s="201"/>
      <c r="AF14" s="201"/>
      <c r="AG14" s="201"/>
      <c r="AH14" s="201"/>
      <c r="AJ14" s="26"/>
      <c r="AK14" s="26"/>
      <c r="AL14" s="40"/>
      <c r="AM14" s="40"/>
      <c r="AN14" s="42">
        <f>(AN13/(AP13))</f>
        <v>0</v>
      </c>
      <c r="AO14" s="25"/>
      <c r="AP14" s="25"/>
      <c r="AQ14" s="26"/>
      <c r="AR14" s="26"/>
      <c r="AS14" s="26"/>
      <c r="BE14" s="202" t="s">
        <v>95</v>
      </c>
      <c r="BF14" s="202"/>
      <c r="BG14" s="202"/>
      <c r="BH14" s="202"/>
      <c r="BI14" s="202"/>
      <c r="BJ14" s="202"/>
      <c r="BK14" s="80"/>
      <c r="BL14" s="61"/>
      <c r="BM14" s="79">
        <v>6</v>
      </c>
      <c r="BN14" s="63" t="s">
        <v>89</v>
      </c>
      <c r="BO14" s="79"/>
      <c r="BP14" s="80"/>
      <c r="BQ14" s="80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52"/>
      <c r="CJ14" s="52"/>
      <c r="CK14" s="52"/>
      <c r="CL14" s="52"/>
      <c r="CM14" s="52"/>
      <c r="CN14" s="52"/>
      <c r="CO14" s="52"/>
      <c r="CP14" s="52"/>
      <c r="CQ14" s="26"/>
      <c r="CR14" s="25">
        <f t="shared" si="1"/>
        <v>0</v>
      </c>
      <c r="CS14" s="25" t="str">
        <f t="shared" si="2"/>
        <v>------- 6. Ter economia fiscal através de planejamento tributário</v>
      </c>
      <c r="CT14" s="26"/>
      <c r="CU14" s="26"/>
      <c r="CV14" s="26"/>
      <c r="CW14" s="26"/>
      <c r="CX14" s="26"/>
      <c r="CY14" s="52"/>
      <c r="CZ14" s="52"/>
      <c r="DA14" s="12"/>
      <c r="DB14" s="12"/>
      <c r="DC14" s="12"/>
      <c r="DD14" s="12"/>
      <c r="DE14" s="12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</row>
    <row r="15" spans="2:222" s="5" customFormat="1" ht="19.149999999999999" customHeight="1">
      <c r="C15" s="26">
        <f t="shared" si="4"/>
        <v>6</v>
      </c>
      <c r="D15" s="43">
        <v>0</v>
      </c>
      <c r="E15" s="75">
        <v>3</v>
      </c>
      <c r="F15" s="162" t="s">
        <v>67</v>
      </c>
      <c r="G15" s="163"/>
      <c r="H15" s="163"/>
      <c r="I15" s="47"/>
      <c r="J15" s="49" t="s">
        <v>4</v>
      </c>
      <c r="K15" s="44">
        <v>42993</v>
      </c>
      <c r="L15" s="55">
        <f>K15</f>
        <v>42993</v>
      </c>
      <c r="M15" s="6">
        <f t="shared" si="3"/>
        <v>2</v>
      </c>
      <c r="O15" s="26">
        <f t="shared" si="5"/>
        <v>3</v>
      </c>
      <c r="P15" s="197" t="s">
        <v>168</v>
      </c>
      <c r="Q15" s="197"/>
      <c r="R15" s="198">
        <f>Documentos!B5</f>
        <v>0</v>
      </c>
      <c r="S15" s="78"/>
      <c r="T15" s="197" t="s">
        <v>168</v>
      </c>
      <c r="U15" s="197"/>
      <c r="V15" s="198">
        <f>Documentos!G5</f>
        <v>0</v>
      </c>
      <c r="W15" s="12"/>
      <c r="AB15" s="201"/>
      <c r="AC15" s="201"/>
      <c r="AD15" s="201"/>
      <c r="AE15" s="201"/>
      <c r="AF15" s="201"/>
      <c r="AG15" s="201"/>
      <c r="AH15" s="201"/>
      <c r="AJ15" s="26"/>
      <c r="AK15" s="26"/>
      <c r="AL15" s="40"/>
      <c r="AM15" s="40"/>
      <c r="AN15" s="40"/>
      <c r="AO15" s="25"/>
      <c r="AP15" s="25"/>
      <c r="AQ15" s="26"/>
      <c r="AR15" s="26"/>
      <c r="AS15" s="26"/>
      <c r="BE15" s="202"/>
      <c r="BF15" s="202"/>
      <c r="BG15" s="202"/>
      <c r="BH15" s="202"/>
      <c r="BI15" s="202"/>
      <c r="BJ15" s="202"/>
      <c r="BK15" s="80"/>
      <c r="BL15" s="61"/>
      <c r="BM15" s="79">
        <v>7</v>
      </c>
      <c r="BN15" s="63" t="s">
        <v>90</v>
      </c>
      <c r="BO15" s="79"/>
      <c r="BP15" s="80"/>
      <c r="BQ15" s="80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52"/>
      <c r="CJ15" s="52"/>
      <c r="CK15" s="52"/>
      <c r="CL15" s="52"/>
      <c r="CM15" s="52"/>
      <c r="CN15" s="52"/>
      <c r="CO15" s="52"/>
      <c r="CP15" s="52"/>
      <c r="CQ15" s="26"/>
      <c r="CR15" s="25">
        <f t="shared" si="1"/>
        <v>0</v>
      </c>
      <c r="CS15" s="25" t="str">
        <f t="shared" si="2"/>
        <v xml:space="preserve">------- 7. Receber apoio para participar de licitações </v>
      </c>
      <c r="CT15" s="26"/>
      <c r="CU15" s="26"/>
      <c r="CV15" s="26"/>
      <c r="CW15" s="26"/>
      <c r="CX15" s="26"/>
      <c r="CY15" s="52"/>
      <c r="CZ15" s="52"/>
      <c r="DA15" s="12"/>
      <c r="DB15" s="12"/>
      <c r="DC15" s="12"/>
      <c r="DD15" s="12"/>
      <c r="DE15" s="12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</row>
    <row r="16" spans="2:222" s="5" customFormat="1" ht="19.149999999999999" customHeight="1">
      <c r="C16" s="26">
        <f t="shared" si="4"/>
        <v>7</v>
      </c>
      <c r="D16" s="43">
        <v>0</v>
      </c>
      <c r="E16" s="75">
        <v>4</v>
      </c>
      <c r="F16" s="162" t="s">
        <v>68</v>
      </c>
      <c r="G16" s="163"/>
      <c r="H16" s="163"/>
      <c r="I16" s="47">
        <v>-1</v>
      </c>
      <c r="J16" s="49" t="s">
        <v>4</v>
      </c>
      <c r="K16" s="44">
        <v>42994</v>
      </c>
      <c r="L16" s="55">
        <f t="shared" ref="L16:L24" si="6">K16</f>
        <v>42994</v>
      </c>
      <c r="M16" s="6">
        <f t="shared" si="3"/>
        <v>3</v>
      </c>
      <c r="O16" s="26">
        <f t="shared" si="5"/>
        <v>4</v>
      </c>
      <c r="P16" s="197"/>
      <c r="Q16" s="197"/>
      <c r="R16" s="198"/>
      <c r="S16" s="78"/>
      <c r="T16" s="197"/>
      <c r="U16" s="197"/>
      <c r="V16" s="198"/>
      <c r="W16" s="12"/>
      <c r="AB16" s="201"/>
      <c r="AC16" s="201"/>
      <c r="AD16" s="201"/>
      <c r="AE16" s="201"/>
      <c r="AF16" s="201"/>
      <c r="AG16" s="201"/>
      <c r="AH16" s="201"/>
      <c r="AJ16" s="26"/>
      <c r="AK16" s="26"/>
      <c r="AL16" s="40"/>
      <c r="AM16" s="41" t="str">
        <f>AM8</f>
        <v>Etapas do Cronograma (</v>
      </c>
      <c r="AN16" s="41">
        <f>AN8</f>
        <v>0</v>
      </c>
      <c r="AO16" s="25"/>
      <c r="AP16" s="25"/>
      <c r="AQ16" s="26"/>
      <c r="AR16" s="26"/>
      <c r="AS16" s="26"/>
      <c r="BE16" s="202"/>
      <c r="BF16" s="202"/>
      <c r="BG16" s="202"/>
      <c r="BH16" s="202"/>
      <c r="BI16" s="202"/>
      <c r="BJ16" s="202"/>
      <c r="BK16" s="80"/>
      <c r="BL16" s="61"/>
      <c r="BM16" s="79">
        <v>8</v>
      </c>
      <c r="BN16" s="63" t="s">
        <v>91</v>
      </c>
      <c r="BO16" s="79"/>
      <c r="BP16" s="80"/>
      <c r="BQ16" s="80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52"/>
      <c r="CJ16" s="52"/>
      <c r="CK16" s="52"/>
      <c r="CL16" s="52"/>
      <c r="CM16" s="52"/>
      <c r="CN16" s="52"/>
      <c r="CO16" s="52"/>
      <c r="CP16" s="52"/>
      <c r="CQ16" s="26"/>
      <c r="CR16" s="25">
        <f t="shared" si="1"/>
        <v>0</v>
      </c>
      <c r="CS16" s="25" t="str">
        <f t="shared" si="2"/>
        <v>------- 8. Solucionar dívidas / pagamentos fiscais em atraso</v>
      </c>
      <c r="CT16" s="26"/>
      <c r="CU16" s="26"/>
      <c r="CV16" s="26"/>
      <c r="CW16" s="26"/>
      <c r="CX16" s="26"/>
      <c r="CY16" s="52"/>
      <c r="CZ16" s="52"/>
      <c r="DA16" s="12"/>
      <c r="DB16" s="12"/>
      <c r="DC16" s="12"/>
      <c r="DD16" s="12"/>
      <c r="DE16" s="12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</row>
    <row r="17" spans="3:222" s="5" customFormat="1" ht="19.149999999999999" customHeight="1">
      <c r="C17" s="26">
        <f t="shared" si="4"/>
        <v>1</v>
      </c>
      <c r="D17" s="43">
        <v>0</v>
      </c>
      <c r="E17" s="75">
        <v>5</v>
      </c>
      <c r="F17" s="162" t="s">
        <v>71</v>
      </c>
      <c r="G17" s="163"/>
      <c r="H17" s="163"/>
      <c r="I17" s="47">
        <v>-1</v>
      </c>
      <c r="J17" s="49" t="s">
        <v>4</v>
      </c>
      <c r="K17" s="44">
        <v>42995</v>
      </c>
      <c r="L17" s="55">
        <f t="shared" si="6"/>
        <v>42995</v>
      </c>
      <c r="M17" s="6">
        <f t="shared" si="3"/>
        <v>4</v>
      </c>
      <c r="O17" s="26">
        <f t="shared" si="5"/>
        <v>5</v>
      </c>
      <c r="P17" s="197" t="s">
        <v>169</v>
      </c>
      <c r="Q17" s="197"/>
      <c r="R17" s="198">
        <f>Documentos!C5</f>
        <v>8</v>
      </c>
      <c r="S17" s="78"/>
      <c r="T17" s="197" t="s">
        <v>169</v>
      </c>
      <c r="U17" s="197"/>
      <c r="V17" s="198">
        <f>Documentos!H5</f>
        <v>21</v>
      </c>
      <c r="W17" s="12"/>
      <c r="AB17" s="201"/>
      <c r="AC17" s="201"/>
      <c r="AD17" s="201"/>
      <c r="AE17" s="201"/>
      <c r="AF17" s="201"/>
      <c r="AG17" s="201"/>
      <c r="AH17" s="201"/>
      <c r="AJ17" s="26"/>
      <c r="AK17" s="26"/>
      <c r="AL17" s="40"/>
      <c r="AM17" s="41" t="s">
        <v>22</v>
      </c>
      <c r="AN17" s="41">
        <f>AO8</f>
        <v>10</v>
      </c>
      <c r="AO17" s="25"/>
      <c r="AP17" s="25"/>
      <c r="AQ17" s="26"/>
      <c r="AR17" s="26"/>
      <c r="AS17" s="26"/>
      <c r="BE17" s="202"/>
      <c r="BF17" s="202"/>
      <c r="BG17" s="202"/>
      <c r="BH17" s="202"/>
      <c r="BI17" s="202"/>
      <c r="BJ17" s="202"/>
      <c r="BK17" s="80"/>
      <c r="BL17" s="61"/>
      <c r="BM17" s="79">
        <v>9</v>
      </c>
      <c r="BN17" s="63" t="s">
        <v>92</v>
      </c>
      <c r="BO17" s="79"/>
      <c r="BP17" s="79"/>
      <c r="BQ17" s="79"/>
      <c r="BR17"/>
      <c r="BS17" s="13"/>
      <c r="BT17" s="13"/>
      <c r="BU17" s="13"/>
      <c r="BV17" s="13"/>
      <c r="BW17" s="13"/>
      <c r="BX17" s="13"/>
      <c r="BY17" s="13"/>
      <c r="BZ17" s="13"/>
      <c r="CA17" s="12"/>
      <c r="CB17" s="12"/>
      <c r="CC17" s="12"/>
      <c r="CD17" s="12"/>
      <c r="CE17" s="12"/>
      <c r="CF17" s="12"/>
      <c r="CG17" s="12"/>
      <c r="CH17" s="12"/>
      <c r="CI17" s="52"/>
      <c r="CJ17" s="52"/>
      <c r="CK17" s="52"/>
      <c r="CL17" s="52"/>
      <c r="CM17" s="52"/>
      <c r="CN17" s="52"/>
      <c r="CO17" s="52"/>
      <c r="CP17" s="52"/>
      <c r="CQ17" s="26"/>
      <c r="CR17" s="25">
        <f t="shared" si="1"/>
        <v>0</v>
      </c>
      <c r="CS17" s="25" t="str">
        <f t="shared" si="2"/>
        <v>------- 9. Receber ajuda para a correta emissão de notas fiscais</v>
      </c>
      <c r="CT17" s="26"/>
      <c r="CU17" s="26"/>
      <c r="CV17" s="26"/>
      <c r="CW17" s="26"/>
      <c r="CX17" s="26"/>
      <c r="CY17" s="52"/>
      <c r="CZ17" s="52"/>
      <c r="DA17" s="12"/>
      <c r="DB17" s="12"/>
      <c r="DC17" s="12"/>
      <c r="DD17" s="12"/>
      <c r="DE17" s="12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</row>
    <row r="18" spans="3:222" s="5" customFormat="1" ht="19.149999999999999" customHeight="1">
      <c r="C18" s="26">
        <f t="shared" si="4"/>
        <v>2</v>
      </c>
      <c r="D18" s="43">
        <v>0</v>
      </c>
      <c r="E18" s="75">
        <v>6</v>
      </c>
      <c r="F18" s="162" t="s">
        <v>69</v>
      </c>
      <c r="G18" s="163"/>
      <c r="H18" s="163"/>
      <c r="I18" s="47"/>
      <c r="J18" s="49" t="s">
        <v>73</v>
      </c>
      <c r="K18" s="44">
        <v>42996</v>
      </c>
      <c r="L18" s="55">
        <f t="shared" si="6"/>
        <v>42996</v>
      </c>
      <c r="M18" s="6">
        <f t="shared" si="3"/>
        <v>5</v>
      </c>
      <c r="O18" s="26">
        <f t="shared" si="5"/>
        <v>6</v>
      </c>
      <c r="P18" s="197"/>
      <c r="Q18" s="197"/>
      <c r="R18" s="198"/>
      <c r="S18" s="78"/>
      <c r="T18" s="197"/>
      <c r="U18" s="197"/>
      <c r="V18" s="198"/>
      <c r="W18" s="12"/>
      <c r="AB18" s="201"/>
      <c r="AC18" s="201"/>
      <c r="AD18" s="201"/>
      <c r="AE18" s="201"/>
      <c r="AF18" s="201"/>
      <c r="AG18" s="201"/>
      <c r="AH18" s="201"/>
      <c r="AJ18" s="26"/>
      <c r="AK18" s="26"/>
      <c r="AL18" s="40"/>
      <c r="AM18" s="41" t="str">
        <f>AM9</f>
        <v>Documentos Prioritários (</v>
      </c>
      <c r="AN18" s="41">
        <f>AN9</f>
        <v>0</v>
      </c>
      <c r="AO18" s="25"/>
      <c r="AP18" s="25"/>
      <c r="AQ18" s="26"/>
      <c r="AR18" s="26"/>
      <c r="AS18" s="26"/>
      <c r="BE18" s="202"/>
      <c r="BF18" s="202"/>
      <c r="BG18" s="202"/>
      <c r="BH18" s="202"/>
      <c r="BI18" s="202"/>
      <c r="BJ18" s="202"/>
      <c r="BK18" s="80"/>
      <c r="BL18" s="61"/>
      <c r="BM18" s="79">
        <v>10</v>
      </c>
      <c r="BN18" s="63" t="s">
        <v>93</v>
      </c>
      <c r="BO18" s="79"/>
      <c r="BP18" s="80"/>
      <c r="BQ18" s="80"/>
      <c r="BS18" s="12"/>
      <c r="BT18" s="12"/>
      <c r="BU18" s="12"/>
      <c r="BV18" s="12"/>
      <c r="BW18" s="12"/>
      <c r="BX18" s="12"/>
      <c r="BY18" s="12"/>
      <c r="BZ18" s="12"/>
      <c r="CA18" s="13"/>
      <c r="CB18" s="13"/>
      <c r="CC18" s="13"/>
      <c r="CD18" s="13"/>
      <c r="CE18" s="13"/>
      <c r="CF18" s="13"/>
      <c r="CG18" s="13"/>
      <c r="CH18" s="13"/>
      <c r="CI18" s="51"/>
      <c r="CJ18" s="51"/>
      <c r="CK18" s="51"/>
      <c r="CL18" s="51"/>
      <c r="CM18" s="51"/>
      <c r="CN18" s="52"/>
      <c r="CO18" s="52"/>
      <c r="CP18" s="52"/>
      <c r="CQ18" s="26"/>
      <c r="CR18" s="25">
        <f t="shared" si="1"/>
        <v>0</v>
      </c>
      <c r="CS18" s="25" t="str">
        <f t="shared" si="2"/>
        <v>------- 10. Ter riscos trabalhistas mitigados</v>
      </c>
      <c r="CT18" s="26"/>
      <c r="CU18" s="26"/>
      <c r="CV18" s="26"/>
      <c r="CW18" s="26"/>
      <c r="CX18" s="26"/>
      <c r="CY18" s="52"/>
      <c r="CZ18" s="52"/>
      <c r="DA18" s="12"/>
      <c r="DB18" s="12"/>
      <c r="DC18" s="12"/>
      <c r="DD18" s="12"/>
      <c r="DE18" s="12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</row>
    <row r="19" spans="3:222" s="5" customFormat="1" ht="19.149999999999999" customHeight="1">
      <c r="C19" s="26">
        <f t="shared" si="4"/>
        <v>3</v>
      </c>
      <c r="D19" s="43">
        <v>0</v>
      </c>
      <c r="E19" s="75">
        <v>7</v>
      </c>
      <c r="F19" s="162" t="s">
        <v>77</v>
      </c>
      <c r="G19" s="163"/>
      <c r="H19" s="163"/>
      <c r="I19" s="47"/>
      <c r="J19" s="49" t="s">
        <v>73</v>
      </c>
      <c r="K19" s="44">
        <v>42997</v>
      </c>
      <c r="L19" s="55">
        <f t="shared" si="6"/>
        <v>42997</v>
      </c>
      <c r="M19" s="6">
        <f t="shared" si="3"/>
        <v>6</v>
      </c>
      <c r="O19" s="26">
        <f t="shared" si="5"/>
        <v>7</v>
      </c>
      <c r="P19" s="197" t="s">
        <v>170</v>
      </c>
      <c r="Q19" s="197"/>
      <c r="R19" s="199">
        <f>R15/R17</f>
        <v>0</v>
      </c>
      <c r="S19" s="78"/>
      <c r="T19" s="197" t="s">
        <v>170</v>
      </c>
      <c r="U19" s="197"/>
      <c r="V19" s="199">
        <f>V15/V17</f>
        <v>0</v>
      </c>
      <c r="W19" s="12"/>
      <c r="AB19" s="201"/>
      <c r="AC19" s="201"/>
      <c r="AD19" s="201"/>
      <c r="AE19" s="201"/>
      <c r="AF19" s="201"/>
      <c r="AG19" s="201"/>
      <c r="AH19" s="201"/>
      <c r="AJ19" s="26"/>
      <c r="AK19" s="26"/>
      <c r="AL19" s="40"/>
      <c r="AM19" s="41" t="s">
        <v>22</v>
      </c>
      <c r="AN19" s="41">
        <f>AO9</f>
        <v>10</v>
      </c>
      <c r="AO19" s="25"/>
      <c r="AP19" s="25"/>
      <c r="AQ19" s="26"/>
      <c r="AR19" s="26"/>
      <c r="AS19" s="26"/>
      <c r="BE19" s="80"/>
      <c r="BF19" s="80"/>
      <c r="BG19" s="80"/>
      <c r="BH19" s="80"/>
      <c r="BI19" s="80"/>
      <c r="BJ19" s="80"/>
      <c r="BK19" s="80"/>
      <c r="BL19" s="62"/>
      <c r="BM19" s="79"/>
      <c r="BN19" s="81" t="str">
        <f>BE20</f>
        <v>COMUNICAÇÃO E RELACIONAMENTO</v>
      </c>
      <c r="BO19" s="79"/>
      <c r="BP19" s="80"/>
      <c r="BQ19" s="80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52"/>
      <c r="CJ19" s="52"/>
      <c r="CK19" s="52"/>
      <c r="CL19" s="52"/>
      <c r="CM19" s="52"/>
      <c r="CN19" s="52"/>
      <c r="CO19" s="52"/>
      <c r="CP19" s="52"/>
      <c r="CQ19" s="26"/>
      <c r="CR19" s="25"/>
      <c r="CS19" s="25" t="str">
        <f t="shared" si="2"/>
        <v>------- . COMUNICAÇÃO E RELACIONAMENTO</v>
      </c>
      <c r="CT19" s="26"/>
      <c r="CU19" s="26"/>
      <c r="CV19" s="26"/>
      <c r="CW19" s="26"/>
      <c r="CX19" s="26"/>
      <c r="CY19" s="52"/>
      <c r="CZ19" s="52"/>
      <c r="DA19" s="12"/>
      <c r="DB19" s="12"/>
      <c r="DC19" s="12"/>
      <c r="DD19" s="12"/>
      <c r="DE19" s="12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</row>
    <row r="20" spans="3:222" s="5" customFormat="1" ht="19.149999999999999" customHeight="1">
      <c r="C20" s="26">
        <f t="shared" si="4"/>
        <v>4</v>
      </c>
      <c r="D20" s="43">
        <v>0</v>
      </c>
      <c r="E20" s="75">
        <v>8</v>
      </c>
      <c r="F20" s="162" t="s">
        <v>78</v>
      </c>
      <c r="G20" s="163"/>
      <c r="H20" s="163"/>
      <c r="I20" s="47"/>
      <c r="J20" s="49" t="s">
        <v>5</v>
      </c>
      <c r="K20" s="44">
        <v>42998</v>
      </c>
      <c r="L20" s="55">
        <f>K20</f>
        <v>42998</v>
      </c>
      <c r="M20" s="6">
        <f t="shared" si="3"/>
        <v>7</v>
      </c>
      <c r="O20" s="26">
        <f t="shared" si="5"/>
        <v>8</v>
      </c>
      <c r="P20" s="197"/>
      <c r="Q20" s="197"/>
      <c r="R20" s="199"/>
      <c r="S20" s="78"/>
      <c r="T20" s="197"/>
      <c r="U20" s="197"/>
      <c r="V20" s="199"/>
      <c r="W20" s="12"/>
      <c r="AB20" s="201"/>
      <c r="AC20" s="201"/>
      <c r="AD20" s="201"/>
      <c r="AE20" s="201"/>
      <c r="AF20" s="201"/>
      <c r="AG20" s="201"/>
      <c r="AH20" s="201"/>
      <c r="AJ20" s="26"/>
      <c r="AK20" s="26"/>
      <c r="AL20" s="40"/>
      <c r="AM20" s="41" t="str">
        <f>AM10</f>
        <v>Demais Documentos (</v>
      </c>
      <c r="AN20" s="41">
        <f>AN10</f>
        <v>0</v>
      </c>
      <c r="AO20" s="25"/>
      <c r="AP20" s="25"/>
      <c r="AQ20" s="26"/>
      <c r="AR20" s="26"/>
      <c r="AS20" s="26"/>
      <c r="BE20" s="192" t="s">
        <v>79</v>
      </c>
      <c r="BF20" s="192"/>
      <c r="BG20" s="192"/>
      <c r="BH20" s="192"/>
      <c r="BI20" s="192"/>
      <c r="BJ20" s="192"/>
      <c r="BK20" s="80"/>
      <c r="BL20" s="61"/>
      <c r="BM20" s="79">
        <v>11</v>
      </c>
      <c r="BN20" s="63" t="s">
        <v>80</v>
      </c>
      <c r="BO20" s="79"/>
      <c r="BP20" s="80"/>
      <c r="BQ20" s="80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52"/>
      <c r="CJ20" s="52"/>
      <c r="CK20" s="52"/>
      <c r="CL20" s="52"/>
      <c r="CM20" s="52"/>
      <c r="CN20" s="52"/>
      <c r="CO20" s="52"/>
      <c r="CP20" s="52"/>
      <c r="CQ20" s="26"/>
      <c r="CR20" s="25">
        <f t="shared" si="1"/>
        <v>0</v>
      </c>
      <c r="CS20" s="25" t="str">
        <f t="shared" si="2"/>
        <v>------- 11. Receber todos os documentos através de e-mail ou canal do cliente</v>
      </c>
      <c r="CT20" s="26"/>
      <c r="CU20" s="26"/>
      <c r="CV20" s="26"/>
      <c r="CW20" s="26"/>
      <c r="CX20" s="26"/>
      <c r="CY20" s="52"/>
      <c r="CZ20" s="52"/>
      <c r="DA20" s="12"/>
      <c r="DB20" s="12"/>
      <c r="DC20" s="12"/>
      <c r="DD20" s="12"/>
      <c r="DE20" s="12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</row>
    <row r="21" spans="3:222" s="5" customFormat="1" ht="19.149999999999999" customHeight="1">
      <c r="C21" s="26">
        <f t="shared" si="4"/>
        <v>5</v>
      </c>
      <c r="D21" s="43">
        <v>0</v>
      </c>
      <c r="E21" s="75">
        <v>9</v>
      </c>
      <c r="F21" s="162" t="s">
        <v>70</v>
      </c>
      <c r="G21" s="163"/>
      <c r="H21" s="163"/>
      <c r="I21" s="47">
        <v>-1</v>
      </c>
      <c r="J21" s="49" t="s">
        <v>4</v>
      </c>
      <c r="K21" s="44">
        <v>42999</v>
      </c>
      <c r="L21" s="55">
        <f t="shared" si="6"/>
        <v>42999</v>
      </c>
      <c r="M21" s="6">
        <f>IFERROR(K21-$K$13,"")</f>
        <v>8</v>
      </c>
      <c r="O21" s="26">
        <f t="shared" si="5"/>
        <v>9</v>
      </c>
      <c r="P21" s="64"/>
      <c r="Q21" s="27"/>
      <c r="R21" s="26">
        <f>ROUND(R19,2)*100</f>
        <v>0</v>
      </c>
      <c r="S21"/>
      <c r="T21" s="27"/>
      <c r="U21" s="12"/>
      <c r="V21" s="26">
        <f>ROUND(V19,2)*100</f>
        <v>0</v>
      </c>
      <c r="W21" s="12"/>
      <c r="AB21" s="201"/>
      <c r="AC21" s="201"/>
      <c r="AD21" s="201"/>
      <c r="AE21" s="201"/>
      <c r="AF21" s="201"/>
      <c r="AG21" s="201"/>
      <c r="AH21" s="201"/>
      <c r="AJ21" s="26"/>
      <c r="AK21" s="26"/>
      <c r="AL21" s="40"/>
      <c r="AM21" s="41" t="s">
        <v>22</v>
      </c>
      <c r="AN21" s="41">
        <f>AO10</f>
        <v>10</v>
      </c>
      <c r="AO21" s="25"/>
      <c r="AP21" s="25"/>
      <c r="AQ21" s="26"/>
      <c r="AR21" s="26"/>
      <c r="AS21" s="26"/>
      <c r="BE21" s="192"/>
      <c r="BF21" s="192"/>
      <c r="BG21" s="192"/>
      <c r="BH21" s="192"/>
      <c r="BI21" s="192"/>
      <c r="BJ21" s="192"/>
      <c r="BK21" s="80"/>
      <c r="BL21" s="61"/>
      <c r="BM21" s="79">
        <v>12</v>
      </c>
      <c r="BN21" s="63" t="s">
        <v>81</v>
      </c>
      <c r="BO21" s="79"/>
      <c r="BP21" s="80"/>
      <c r="BQ21" s="80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52"/>
      <c r="CJ21" s="52"/>
      <c r="CK21" s="52"/>
      <c r="CL21" s="52"/>
      <c r="CM21" s="52"/>
      <c r="CN21" s="52"/>
      <c r="CO21" s="52"/>
      <c r="CP21" s="52"/>
      <c r="CQ21" s="26"/>
      <c r="CR21" s="25">
        <f t="shared" si="1"/>
        <v>0</v>
      </c>
      <c r="CS21" s="25" t="str">
        <f t="shared" si="2"/>
        <v xml:space="preserve">------- 12. Ser atendido de forma ágil através de Skype, WhatsApp, etc. </v>
      </c>
      <c r="CT21" s="26"/>
      <c r="CU21" s="26"/>
      <c r="CV21" s="26"/>
      <c r="CW21" s="26"/>
      <c r="CX21" s="26"/>
      <c r="CY21" s="52"/>
      <c r="CZ21" s="52"/>
      <c r="DA21" s="12"/>
      <c r="DB21" s="12"/>
      <c r="DC21" s="12"/>
      <c r="DD21" s="12"/>
      <c r="DE21" s="12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</row>
    <row r="22" spans="3:222" s="5" customFormat="1" ht="19.149999999999999" customHeight="1">
      <c r="C22" s="26">
        <f>WEEKDAY(L22)</f>
        <v>6</v>
      </c>
      <c r="D22" s="43">
        <v>0</v>
      </c>
      <c r="E22" s="75">
        <v>10</v>
      </c>
      <c r="F22" s="162" t="s">
        <v>72</v>
      </c>
      <c r="G22" s="163"/>
      <c r="H22" s="163"/>
      <c r="I22" s="47"/>
      <c r="J22" s="49" t="s">
        <v>73</v>
      </c>
      <c r="K22" s="44">
        <v>43000</v>
      </c>
      <c r="L22" s="55">
        <f t="shared" si="6"/>
        <v>43000</v>
      </c>
      <c r="M22" s="6">
        <f t="shared" ref="M22:M25" si="7">IFERROR(K22-$K$13,"")</f>
        <v>9</v>
      </c>
      <c r="O22" s="26">
        <f t="shared" si="5"/>
        <v>10</v>
      </c>
      <c r="P22" s="64"/>
      <c r="Q22" s="27"/>
      <c r="R22" s="26"/>
      <c r="S22" s="26"/>
      <c r="T22" s="27"/>
      <c r="U22" s="12"/>
      <c r="V22" s="12"/>
      <c r="W22" s="12"/>
      <c r="AB22" s="201"/>
      <c r="AC22" s="201"/>
      <c r="AD22" s="201"/>
      <c r="AE22" s="201"/>
      <c r="AF22" s="201"/>
      <c r="AG22" s="201"/>
      <c r="AH22" s="201"/>
      <c r="AJ22" s="26"/>
      <c r="AK22" s="26"/>
      <c r="AL22" s="40"/>
      <c r="AM22" s="41" t="str">
        <f>AM11</f>
        <v>Sucessos definidos (</v>
      </c>
      <c r="AN22" s="41">
        <f>AN11</f>
        <v>0</v>
      </c>
      <c r="AO22" s="25"/>
      <c r="AP22" s="25"/>
      <c r="AQ22" s="26"/>
      <c r="AR22" s="26"/>
      <c r="AS22" s="26"/>
      <c r="BE22" s="192"/>
      <c r="BF22" s="192"/>
      <c r="BG22" s="192"/>
      <c r="BH22" s="192"/>
      <c r="BI22" s="192"/>
      <c r="BJ22" s="192"/>
      <c r="BK22" s="80"/>
      <c r="BL22" s="61"/>
      <c r="BM22" s="79">
        <v>13</v>
      </c>
      <c r="BN22" s="63" t="s">
        <v>82</v>
      </c>
      <c r="BO22" s="79"/>
      <c r="BP22" s="80"/>
      <c r="BQ22" s="80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52"/>
      <c r="CJ22" s="52"/>
      <c r="CK22" s="52"/>
      <c r="CL22" s="52"/>
      <c r="CM22" s="52"/>
      <c r="CN22" s="52"/>
      <c r="CO22" s="52"/>
      <c r="CP22" s="52"/>
      <c r="CQ22" s="26"/>
      <c r="CR22" s="25">
        <f t="shared" si="1"/>
        <v>0</v>
      </c>
      <c r="CS22" s="25" t="str">
        <f t="shared" si="2"/>
        <v>------- 13. Ser atendido por uma única pessoa em cada setor</v>
      </c>
      <c r="CT22" s="26"/>
      <c r="CU22" s="26"/>
      <c r="CV22" s="26"/>
      <c r="CW22" s="26"/>
      <c r="CX22" s="26"/>
      <c r="CY22" s="52"/>
      <c r="CZ22" s="52"/>
      <c r="DA22" s="12"/>
      <c r="DB22" s="12"/>
      <c r="DC22" s="12"/>
      <c r="DD22" s="12"/>
      <c r="DE22" s="1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</row>
    <row r="23" spans="3:222" s="5" customFormat="1" ht="19.149999999999999" customHeight="1">
      <c r="C23" s="26" t="e">
        <f t="shared" si="4"/>
        <v>#VALUE!</v>
      </c>
      <c r="D23" s="43">
        <v>0</v>
      </c>
      <c r="E23" s="75">
        <v>11</v>
      </c>
      <c r="F23" s="162"/>
      <c r="G23" s="163"/>
      <c r="H23" s="163"/>
      <c r="I23" s="47"/>
      <c r="J23" s="49"/>
      <c r="K23" s="44" t="s">
        <v>165</v>
      </c>
      <c r="L23" s="55" t="str">
        <f t="shared" si="6"/>
        <v/>
      </c>
      <c r="M23" s="6" t="str">
        <f t="shared" si="7"/>
        <v/>
      </c>
      <c r="O23" s="26">
        <f t="shared" si="5"/>
        <v>11</v>
      </c>
      <c r="P23" s="64"/>
      <c r="Q23" s="27"/>
      <c r="R23" s="26"/>
      <c r="S23" s="26"/>
      <c r="T23" s="27"/>
      <c r="U23" s="12"/>
      <c r="V23" s="12"/>
      <c r="W23" s="12"/>
      <c r="AJ23" s="26"/>
      <c r="AK23" s="26"/>
      <c r="AL23" s="40"/>
      <c r="AM23" s="41" t="s">
        <v>22</v>
      </c>
      <c r="AN23" s="41">
        <f>AO11</f>
        <v>10</v>
      </c>
      <c r="AO23" s="25"/>
      <c r="AP23" s="40"/>
      <c r="AQ23" s="26"/>
      <c r="AR23" s="26"/>
      <c r="AS23" s="26"/>
      <c r="BE23" s="192"/>
      <c r="BF23" s="192"/>
      <c r="BG23" s="192"/>
      <c r="BH23" s="192"/>
      <c r="BI23" s="192"/>
      <c r="BJ23" s="192"/>
      <c r="BK23" s="80"/>
      <c r="BL23" s="61"/>
      <c r="BM23" s="79">
        <v>14</v>
      </c>
      <c r="BN23" s="63" t="s">
        <v>83</v>
      </c>
      <c r="BO23" s="79"/>
      <c r="BP23" s="80"/>
      <c r="BQ23" s="80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52"/>
      <c r="CJ23" s="52"/>
      <c r="CK23" s="52"/>
      <c r="CL23" s="52"/>
      <c r="CM23" s="52"/>
      <c r="CN23" s="52"/>
      <c r="CO23" s="52"/>
      <c r="CP23" s="52"/>
      <c r="CQ23" s="26"/>
      <c r="CR23" s="25"/>
      <c r="CS23" s="25" t="str">
        <f t="shared" si="2"/>
        <v>------- 14. Receber conteúdo relevante e aplicável sobre assuntos contábeis / financeiros / gerenciais</v>
      </c>
      <c r="CT23" s="26"/>
      <c r="CU23" s="26"/>
      <c r="CV23" s="26"/>
      <c r="CW23" s="26"/>
      <c r="CX23" s="26"/>
      <c r="CY23" s="52"/>
      <c r="CZ23" s="52"/>
      <c r="DA23" s="12"/>
      <c r="DB23" s="12"/>
      <c r="DC23" s="12"/>
      <c r="DD23" s="12"/>
      <c r="DE23" s="12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</row>
    <row r="24" spans="3:222" s="5" customFormat="1" ht="19.149999999999999" customHeight="1">
      <c r="C24" s="26" t="e">
        <f t="shared" si="4"/>
        <v>#VALUE!</v>
      </c>
      <c r="D24" s="43">
        <v>0</v>
      </c>
      <c r="E24" s="76">
        <v>12</v>
      </c>
      <c r="F24" s="162"/>
      <c r="G24" s="163"/>
      <c r="H24" s="163"/>
      <c r="I24" s="50"/>
      <c r="J24" s="49"/>
      <c r="K24" s="44" t="s">
        <v>165</v>
      </c>
      <c r="L24" s="55" t="str">
        <f t="shared" si="6"/>
        <v/>
      </c>
      <c r="M24" s="6" t="str">
        <f t="shared" si="7"/>
        <v/>
      </c>
      <c r="O24" s="26">
        <f t="shared" si="5"/>
        <v>12</v>
      </c>
      <c r="P24" s="64"/>
      <c r="Q24" s="27"/>
      <c r="R24" s="26"/>
      <c r="S24" s="26"/>
      <c r="T24" s="27"/>
      <c r="U24" s="12"/>
      <c r="V24" s="12"/>
      <c r="W24" s="12"/>
      <c r="AJ24" s="26"/>
      <c r="AK24" s="26"/>
      <c r="AL24" s="40"/>
      <c r="AM24" s="41"/>
      <c r="AN24" s="41"/>
      <c r="AO24" s="25"/>
      <c r="AP24" s="40"/>
      <c r="AQ24" s="26"/>
      <c r="AR24" s="26"/>
      <c r="AS24" s="26"/>
      <c r="BE24" s="80"/>
      <c r="BF24" s="80"/>
      <c r="BG24" s="80"/>
      <c r="BH24" s="80"/>
      <c r="BI24" s="80"/>
      <c r="BJ24" s="80"/>
      <c r="BK24" s="80"/>
      <c r="BL24" s="80"/>
      <c r="BM24" s="81"/>
      <c r="BN24" s="81" t="str">
        <f>BE25</f>
        <v>ESPECÍFICOS</v>
      </c>
      <c r="BO24" s="81"/>
      <c r="BP24" s="79"/>
      <c r="BQ24" s="79"/>
      <c r="BR24"/>
      <c r="BS24" s="13"/>
      <c r="BT24" s="13"/>
      <c r="BU24" s="13"/>
      <c r="BV24" s="13"/>
      <c r="BW24" s="13"/>
      <c r="BX24" s="13"/>
      <c r="BY24" s="13"/>
      <c r="BZ24" s="13"/>
      <c r="CA24" s="12"/>
      <c r="CB24" s="12"/>
      <c r="CC24" s="12"/>
      <c r="CD24" s="12"/>
      <c r="CE24" s="12"/>
      <c r="CF24" s="12"/>
      <c r="CG24" s="12"/>
      <c r="CH24" s="12"/>
      <c r="CI24" s="52"/>
      <c r="CJ24" s="52"/>
      <c r="CK24" s="52"/>
      <c r="CL24" s="52"/>
      <c r="CM24" s="52"/>
      <c r="CN24" s="52"/>
      <c r="CO24" s="52"/>
      <c r="CP24" s="52"/>
      <c r="CQ24" s="26"/>
      <c r="CR24" s="25">
        <f t="shared" si="1"/>
        <v>0</v>
      </c>
      <c r="CS24" s="25" t="str">
        <f t="shared" si="2"/>
        <v>------- . ESPECÍFICOS</v>
      </c>
      <c r="CT24" s="26"/>
      <c r="CU24" s="26"/>
      <c r="CV24" s="26"/>
      <c r="CW24" s="26"/>
      <c r="CX24" s="26"/>
      <c r="CY24" s="52"/>
      <c r="CZ24" s="52"/>
      <c r="DA24" s="12"/>
      <c r="DB24" s="12"/>
      <c r="DC24" s="12"/>
      <c r="DD24" s="12"/>
      <c r="DE24" s="12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</row>
    <row r="25" spans="3:222" ht="19.149999999999999" customHeight="1">
      <c r="C25" s="26" t="e">
        <f t="shared" si="4"/>
        <v>#VALUE!</v>
      </c>
      <c r="D25" s="43">
        <v>0</v>
      </c>
      <c r="E25" s="76">
        <v>13</v>
      </c>
      <c r="F25" s="177"/>
      <c r="G25" s="177"/>
      <c r="H25" s="178"/>
      <c r="I25" s="50"/>
      <c r="J25" s="49"/>
      <c r="K25" s="44" t="s">
        <v>165</v>
      </c>
      <c r="L25" s="55" t="str">
        <f t="shared" ref="L25" si="8">K25</f>
        <v/>
      </c>
      <c r="M25" s="6" t="str">
        <f t="shared" si="7"/>
        <v/>
      </c>
      <c r="O25" s="26">
        <f t="shared" ref="O25" si="9">E25</f>
        <v>13</v>
      </c>
      <c r="P25" s="64"/>
      <c r="Q25" s="27">
        <f t="shared" ref="Q25" si="10">E25/13</f>
        <v>1</v>
      </c>
      <c r="R25" s="26" t="str">
        <f>M25</f>
        <v/>
      </c>
      <c r="S25" s="26"/>
      <c r="T25" s="27">
        <f>IF(D25=1,E25/13,0)</f>
        <v>0</v>
      </c>
      <c r="AJ25" s="25"/>
      <c r="AK25" s="25"/>
      <c r="AL25" s="40"/>
      <c r="AM25" s="41"/>
      <c r="AN25" s="41"/>
      <c r="AP25" s="40"/>
      <c r="AQ25" s="25"/>
      <c r="AR25" s="25"/>
      <c r="AS25" s="25"/>
      <c r="BE25" s="193" t="s">
        <v>36</v>
      </c>
      <c r="BF25" s="193"/>
      <c r="BG25" s="193"/>
      <c r="BH25" s="193"/>
      <c r="BI25" s="193"/>
      <c r="BJ25" s="193"/>
      <c r="BK25" s="80"/>
      <c r="BL25" s="61"/>
      <c r="BM25" s="79">
        <v>15</v>
      </c>
      <c r="BN25" s="63"/>
      <c r="BO25" s="79"/>
      <c r="BP25" s="79"/>
      <c r="BQ25" s="79"/>
      <c r="CR25" s="25">
        <f t="shared" si="1"/>
        <v>0</v>
      </c>
      <c r="CS25" s="25" t="str">
        <f t="shared" si="2"/>
        <v xml:space="preserve">------- 15. </v>
      </c>
    </row>
    <row r="26" spans="3:222" ht="19.149999999999999" customHeight="1">
      <c r="I26" s="1"/>
      <c r="P26" s="13"/>
      <c r="Q26" s="13"/>
      <c r="R26" s="13"/>
      <c r="S26" s="13"/>
      <c r="T26" s="13"/>
      <c r="AJ26" s="25"/>
      <c r="AK26" s="25"/>
      <c r="AL26" s="40"/>
      <c r="AM26" s="41"/>
      <c r="AN26" s="41"/>
      <c r="AP26" s="40"/>
      <c r="AQ26" s="25"/>
      <c r="AR26" s="25"/>
      <c r="AS26" s="25"/>
      <c r="BE26" s="193"/>
      <c r="BF26" s="193"/>
      <c r="BG26" s="193"/>
      <c r="BH26" s="193"/>
      <c r="BI26" s="193"/>
      <c r="BJ26" s="193"/>
      <c r="BK26" s="80"/>
      <c r="BL26" s="61"/>
      <c r="BM26" s="79">
        <v>16</v>
      </c>
      <c r="BN26" s="63"/>
      <c r="BO26" s="79"/>
      <c r="BP26" s="79"/>
      <c r="BQ26" s="79"/>
      <c r="CR26" s="25">
        <f t="shared" si="1"/>
        <v>0</v>
      </c>
      <c r="CS26" s="25" t="str">
        <f t="shared" si="2"/>
        <v xml:space="preserve">------- 16. </v>
      </c>
    </row>
    <row r="27" spans="3:222" ht="19.149999999999999" customHeight="1">
      <c r="I27" s="1"/>
      <c r="R27" s="13"/>
      <c r="S27" s="13"/>
      <c r="T27" s="13"/>
      <c r="AJ27" s="25"/>
      <c r="AK27" s="25"/>
      <c r="AL27" s="25"/>
      <c r="AQ27" s="25"/>
      <c r="AR27" s="25"/>
      <c r="AS27" s="25"/>
      <c r="BE27" s="193"/>
      <c r="BF27" s="193"/>
      <c r="BG27" s="193"/>
      <c r="BH27" s="193"/>
      <c r="BI27" s="193"/>
      <c r="BJ27" s="193"/>
      <c r="BK27" s="79"/>
      <c r="BL27" s="61"/>
      <c r="BM27" s="79">
        <v>17</v>
      </c>
      <c r="BN27" s="63"/>
      <c r="BO27" s="79"/>
      <c r="BP27" s="82"/>
      <c r="BQ27" s="82"/>
      <c r="BR27" s="11"/>
      <c r="BS27" s="14"/>
      <c r="BT27" s="14"/>
      <c r="BU27" s="14"/>
      <c r="BV27" s="14"/>
      <c r="BW27" s="14"/>
      <c r="BX27" s="14"/>
      <c r="BY27" s="14"/>
      <c r="BZ27" s="14"/>
      <c r="CS27" s="25" t="str">
        <f t="shared" si="2"/>
        <v xml:space="preserve">------- 17. </v>
      </c>
    </row>
    <row r="28" spans="3:222" s="11" customFormat="1" ht="21" customHeight="1">
      <c r="D28" s="157" t="s">
        <v>63</v>
      </c>
      <c r="E28" s="158"/>
      <c r="F28" s="158"/>
      <c r="G28" s="158"/>
      <c r="H28" s="158"/>
      <c r="I28" s="150" t="s">
        <v>62</v>
      </c>
      <c r="J28" s="150"/>
      <c r="K28" s="150"/>
      <c r="L28" s="150"/>
      <c r="M28" s="150"/>
      <c r="N28" s="151"/>
      <c r="O28" s="181" t="s">
        <v>61</v>
      </c>
      <c r="P28" s="182"/>
      <c r="Q28" s="182"/>
      <c r="R28" s="182"/>
      <c r="S28" s="182"/>
      <c r="T28" s="182"/>
      <c r="U28" s="182"/>
      <c r="V28" s="182"/>
      <c r="W28" s="183"/>
      <c r="BE28" s="5"/>
      <c r="BF28" s="5"/>
      <c r="BG28" s="5"/>
      <c r="BH28" s="5"/>
      <c r="BI28" s="5"/>
      <c r="BJ28" s="5"/>
      <c r="BK28" s="5"/>
      <c r="BL28" s="16"/>
      <c r="BM28" s="5"/>
      <c r="BN28" s="5"/>
      <c r="BO28" s="5"/>
      <c r="BP28" s="5"/>
      <c r="BQ28" s="5"/>
      <c r="BR28" s="5"/>
      <c r="BS28" s="12"/>
      <c r="BT28" s="12"/>
      <c r="BU28" s="12"/>
      <c r="BV28" s="12"/>
      <c r="BW28" s="12"/>
      <c r="BX28" s="12"/>
      <c r="BY28" s="12"/>
      <c r="BZ28" s="12"/>
      <c r="CA28" s="14"/>
      <c r="CB28" s="14"/>
      <c r="CC28" s="14"/>
      <c r="CD28" s="14"/>
      <c r="CE28" s="14"/>
      <c r="CF28" s="14"/>
      <c r="CG28" s="14"/>
      <c r="CH28" s="14"/>
      <c r="CI28" s="53"/>
      <c r="CJ28" s="53"/>
      <c r="CK28" s="53"/>
      <c r="CL28" s="53"/>
      <c r="CM28" s="53"/>
      <c r="CN28" s="53"/>
      <c r="CO28" s="53"/>
      <c r="CP28" s="53"/>
      <c r="CY28" s="53"/>
      <c r="CZ28" s="53"/>
      <c r="DA28" s="14"/>
      <c r="DB28" s="14"/>
      <c r="DC28" s="14"/>
      <c r="DD28" s="14"/>
      <c r="DE28" s="14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</row>
    <row r="29" spans="3:222" s="5" customFormat="1" ht="19.149999999999999" customHeight="1" thickBot="1">
      <c r="D29" s="9" t="s">
        <v>7</v>
      </c>
      <c r="E29" s="155" t="s">
        <v>64</v>
      </c>
      <c r="F29" s="155"/>
      <c r="G29" s="155" t="s">
        <v>58</v>
      </c>
      <c r="H29" s="156"/>
      <c r="I29" s="129" t="s">
        <v>59</v>
      </c>
      <c r="J29" s="130"/>
      <c r="K29" s="159"/>
      <c r="L29" s="129" t="s">
        <v>60</v>
      </c>
      <c r="M29" s="130"/>
      <c r="N29" s="131"/>
      <c r="O29" s="184" t="s">
        <v>102</v>
      </c>
      <c r="P29" s="185"/>
      <c r="Q29" s="185"/>
      <c r="R29" s="185"/>
      <c r="S29" s="185"/>
      <c r="T29" s="185"/>
      <c r="U29" s="185"/>
      <c r="V29" s="185"/>
      <c r="W29" s="18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BL29" s="16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52"/>
      <c r="CJ29" s="52"/>
      <c r="CK29" s="52"/>
      <c r="CL29" s="52"/>
      <c r="CM29" s="52"/>
      <c r="CN29" s="52"/>
      <c r="CO29" s="52"/>
      <c r="CP29" s="52"/>
      <c r="CQ29" s="26"/>
      <c r="CR29" s="26"/>
      <c r="CS29" s="26"/>
      <c r="CT29" s="26"/>
      <c r="CU29" s="26"/>
      <c r="CV29" s="26"/>
      <c r="CW29" s="26"/>
      <c r="CX29" s="26"/>
      <c r="CY29" s="52"/>
      <c r="CZ29" s="52"/>
      <c r="DA29" s="12"/>
      <c r="DB29" s="12"/>
      <c r="DC29" s="12"/>
      <c r="DD29" s="12"/>
      <c r="DE29" s="12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</row>
    <row r="30" spans="3:222" s="5" customFormat="1" ht="19.149999999999999" customHeight="1" thickBot="1">
      <c r="C30" s="26"/>
      <c r="D30" s="10">
        <v>1</v>
      </c>
      <c r="E30" s="152" t="s">
        <v>113</v>
      </c>
      <c r="F30" s="153"/>
      <c r="G30" s="152" t="s">
        <v>103</v>
      </c>
      <c r="H30" s="154"/>
      <c r="I30" s="126" t="s">
        <v>106</v>
      </c>
      <c r="J30" s="127"/>
      <c r="K30" s="128"/>
      <c r="L30" s="138" t="s">
        <v>101</v>
      </c>
      <c r="M30" s="139"/>
      <c r="N30" s="140"/>
      <c r="O30" s="174"/>
      <c r="P30" s="175"/>
      <c r="Q30" s="175"/>
      <c r="R30" s="175"/>
      <c r="S30" s="175"/>
      <c r="T30" s="175"/>
      <c r="U30" s="175"/>
      <c r="V30" s="175"/>
      <c r="W30" s="176"/>
      <c r="X30" s="26"/>
      <c r="Y30" s="33"/>
      <c r="Z30" s="34"/>
      <c r="AA30" s="29"/>
      <c r="AB30" s="179" t="str">
        <f>CONCATENATE(AK30,AJ30,"/",AP8,")")</f>
        <v>Etapas do Cronograma (0/10)</v>
      </c>
      <c r="AC30" s="180"/>
      <c r="AD30" s="180"/>
      <c r="AE30" s="180"/>
      <c r="AF30" s="180"/>
      <c r="AG30" s="180"/>
      <c r="AH30" s="180"/>
      <c r="AI30" s="180"/>
      <c r="AJ30" s="26">
        <f>AN8</f>
        <v>0</v>
      </c>
      <c r="AK30" s="26" t="s">
        <v>174</v>
      </c>
      <c r="AL30" s="26"/>
      <c r="AM30" s="26"/>
      <c r="AN30" s="26"/>
      <c r="AO30" s="26"/>
      <c r="AP30" s="26"/>
      <c r="AQ30" s="26"/>
      <c r="AR30" s="26"/>
      <c r="AS30" s="26"/>
      <c r="BL30" s="16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52"/>
      <c r="CJ30" s="52"/>
      <c r="CK30" s="52"/>
      <c r="CL30" s="52"/>
      <c r="CM30" s="52"/>
      <c r="CN30" s="52"/>
      <c r="CO30" s="52"/>
      <c r="CP30" s="52"/>
      <c r="CQ30" s="26"/>
      <c r="CR30" s="26"/>
      <c r="CS30" s="26"/>
      <c r="CT30" s="26"/>
      <c r="CU30" s="26"/>
      <c r="CV30" s="26"/>
      <c r="CW30" s="26"/>
      <c r="CX30" s="26"/>
      <c r="CY30" s="52"/>
      <c r="CZ30" s="52"/>
      <c r="DA30" s="12"/>
      <c r="DB30" s="12"/>
      <c r="DC30" s="12"/>
      <c r="DD30" s="12"/>
      <c r="DE30" s="12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</row>
    <row r="31" spans="3:222" s="5" customFormat="1" ht="19.149999999999999" customHeight="1" thickBot="1">
      <c r="C31" s="26"/>
      <c r="D31" s="10">
        <v>2</v>
      </c>
      <c r="E31" s="152" t="s">
        <v>114</v>
      </c>
      <c r="F31" s="153"/>
      <c r="G31" s="152" t="s">
        <v>103</v>
      </c>
      <c r="H31" s="154"/>
      <c r="I31" s="126" t="s">
        <v>107</v>
      </c>
      <c r="J31" s="127"/>
      <c r="K31" s="128"/>
      <c r="L31" s="138"/>
      <c r="M31" s="139"/>
      <c r="N31" s="140"/>
      <c r="O31" s="174"/>
      <c r="P31" s="175"/>
      <c r="Q31" s="175"/>
      <c r="R31" s="175"/>
      <c r="S31" s="175"/>
      <c r="T31" s="175"/>
      <c r="U31" s="175"/>
      <c r="V31" s="175"/>
      <c r="W31" s="176"/>
      <c r="X31" s="26"/>
      <c r="Y31" s="33"/>
      <c r="Z31" s="35"/>
      <c r="AA31" s="30"/>
      <c r="AB31" s="179" t="str">
        <f>CONCATENATE(AK31,R21,"%",")")</f>
        <v>Documentos Prioritários (0%)</v>
      </c>
      <c r="AC31" s="180"/>
      <c r="AD31" s="180"/>
      <c r="AE31" s="180"/>
      <c r="AF31" s="180"/>
      <c r="AG31" s="180"/>
      <c r="AH31" s="180"/>
      <c r="AI31" s="180"/>
      <c r="AJ31" s="33">
        <f>AN9</f>
        <v>0</v>
      </c>
      <c r="AK31" s="26" t="s">
        <v>171</v>
      </c>
      <c r="AL31" s="26"/>
      <c r="AM31" s="26"/>
      <c r="AN31" s="26"/>
      <c r="AO31" s="26"/>
      <c r="AP31" s="26"/>
      <c r="AQ31" s="26"/>
      <c r="AR31" s="26"/>
      <c r="AS31" s="26"/>
      <c r="BL31" s="16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52"/>
      <c r="CJ31" s="52"/>
      <c r="CK31" s="52"/>
      <c r="CL31" s="52"/>
      <c r="CM31" s="52"/>
      <c r="CN31" s="52"/>
      <c r="CO31" s="52"/>
      <c r="CP31" s="52"/>
      <c r="CQ31" s="26"/>
      <c r="CR31" s="26"/>
      <c r="CS31" s="26"/>
      <c r="CT31" s="26"/>
      <c r="CU31" s="26"/>
      <c r="CV31" s="26"/>
      <c r="CW31" s="26"/>
      <c r="CX31" s="26"/>
      <c r="CY31" s="52"/>
      <c r="CZ31" s="52"/>
      <c r="DA31" s="12"/>
      <c r="DB31" s="12"/>
      <c r="DC31" s="12"/>
      <c r="DD31" s="12"/>
      <c r="DE31" s="12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</row>
    <row r="32" spans="3:222" s="5" customFormat="1" ht="19.149999999999999" customHeight="1" thickBot="1">
      <c r="C32" s="26"/>
      <c r="D32" s="10">
        <v>3</v>
      </c>
      <c r="E32" s="152" t="s">
        <v>115</v>
      </c>
      <c r="F32" s="153"/>
      <c r="G32" s="152" t="s">
        <v>104</v>
      </c>
      <c r="H32" s="154"/>
      <c r="I32" s="126" t="s">
        <v>108</v>
      </c>
      <c r="J32" s="127"/>
      <c r="K32" s="128"/>
      <c r="L32" s="138"/>
      <c r="M32" s="139"/>
      <c r="N32" s="140"/>
      <c r="O32" s="174"/>
      <c r="P32" s="175"/>
      <c r="Q32" s="175"/>
      <c r="R32" s="175"/>
      <c r="S32" s="175"/>
      <c r="T32" s="175"/>
      <c r="U32" s="175"/>
      <c r="V32" s="175"/>
      <c r="W32" s="176"/>
      <c r="X32" s="26"/>
      <c r="Y32" s="33"/>
      <c r="Z32" s="36"/>
      <c r="AA32" s="31"/>
      <c r="AB32" s="179" t="str">
        <f>CONCATENATE(AK32,V21,"%",")")</f>
        <v>Demais Documentos (0%)</v>
      </c>
      <c r="AC32" s="180"/>
      <c r="AD32" s="180"/>
      <c r="AE32" s="180"/>
      <c r="AF32" s="180"/>
      <c r="AG32" s="180"/>
      <c r="AH32" s="180"/>
      <c r="AI32" s="180"/>
      <c r="AJ32" s="26">
        <f t="shared" ref="AJ32" si="11">AN10</f>
        <v>0</v>
      </c>
      <c r="AK32" s="26" t="s">
        <v>172</v>
      </c>
      <c r="AL32" s="26"/>
      <c r="AM32" s="26"/>
      <c r="AN32" s="26"/>
      <c r="AO32" s="26"/>
      <c r="AP32" s="26"/>
      <c r="AQ32" s="26"/>
      <c r="AR32" s="26"/>
      <c r="AS32" s="26"/>
      <c r="BL32" s="16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52"/>
      <c r="CJ32" s="52"/>
      <c r="CK32" s="52"/>
      <c r="CL32" s="52"/>
      <c r="CM32" s="52"/>
      <c r="CN32" s="52"/>
      <c r="CO32" s="52"/>
      <c r="CP32" s="52"/>
      <c r="CQ32" s="26"/>
      <c r="CR32" s="26"/>
      <c r="CS32" s="26"/>
      <c r="CT32" s="26"/>
      <c r="CU32" s="26"/>
      <c r="CV32" s="26"/>
      <c r="CW32" s="26"/>
      <c r="CX32" s="26"/>
      <c r="CY32" s="52"/>
      <c r="CZ32" s="52"/>
      <c r="DA32" s="12"/>
      <c r="DB32" s="12"/>
      <c r="DC32" s="12"/>
      <c r="DD32" s="12"/>
      <c r="DE32" s="1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</row>
    <row r="33" spans="3:222" s="5" customFormat="1" ht="19.149999999999999" customHeight="1" thickBot="1">
      <c r="C33" s="26"/>
      <c r="D33" s="10">
        <v>4</v>
      </c>
      <c r="E33" s="152" t="s">
        <v>111</v>
      </c>
      <c r="F33" s="153"/>
      <c r="G33" s="152" t="s">
        <v>105</v>
      </c>
      <c r="H33" s="154"/>
      <c r="I33" s="126" t="s">
        <v>109</v>
      </c>
      <c r="J33" s="127"/>
      <c r="K33" s="128"/>
      <c r="L33" s="138"/>
      <c r="M33" s="139"/>
      <c r="N33" s="140"/>
      <c r="O33" s="174"/>
      <c r="P33" s="175"/>
      <c r="Q33" s="175"/>
      <c r="R33" s="175"/>
      <c r="S33" s="175"/>
      <c r="T33" s="175"/>
      <c r="U33" s="175"/>
      <c r="V33" s="175"/>
      <c r="W33" s="176"/>
      <c r="X33" s="26"/>
      <c r="Y33" s="33"/>
      <c r="Z33" s="37"/>
      <c r="AA33" s="32"/>
      <c r="AB33" s="179" t="str">
        <f t="shared" ref="AB33" si="12">CONCATENATE(AK33,AJ33,"/","5)")</f>
        <v>Sucessos definidos (0/5)</v>
      </c>
      <c r="AC33" s="180"/>
      <c r="AD33" s="180"/>
      <c r="AE33" s="180"/>
      <c r="AF33" s="180"/>
      <c r="AG33" s="180"/>
      <c r="AH33" s="180"/>
      <c r="AI33" s="180"/>
      <c r="AJ33" s="26">
        <f>AN11/2</f>
        <v>0</v>
      </c>
      <c r="AK33" s="26" t="s">
        <v>173</v>
      </c>
      <c r="AL33" s="26"/>
      <c r="AM33" s="26"/>
      <c r="AN33" s="26"/>
      <c r="AO33" s="26"/>
      <c r="AP33" s="26"/>
      <c r="AQ33" s="26"/>
      <c r="AR33" s="26"/>
      <c r="AS33" s="26"/>
      <c r="BL33" s="16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52"/>
      <c r="CJ33" s="52"/>
      <c r="CK33" s="52"/>
      <c r="CL33" s="52"/>
      <c r="CM33" s="52"/>
      <c r="CN33" s="52"/>
      <c r="CO33" s="52"/>
      <c r="CP33" s="52"/>
      <c r="CQ33" s="26"/>
      <c r="CR33" s="26"/>
      <c r="CS33" s="26"/>
      <c r="CT33" s="26"/>
      <c r="CU33" s="26"/>
      <c r="CV33" s="26"/>
      <c r="CW33" s="26"/>
      <c r="CX33" s="26"/>
      <c r="CY33" s="52"/>
      <c r="CZ33" s="52"/>
      <c r="DA33" s="12"/>
      <c r="DB33" s="12"/>
      <c r="DC33" s="12"/>
      <c r="DD33" s="12"/>
      <c r="DE33" s="12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</row>
    <row r="34" spans="3:222" s="5" customFormat="1" ht="19.149999999999999" customHeight="1">
      <c r="D34" s="10">
        <v>5</v>
      </c>
      <c r="E34" s="152" t="s">
        <v>112</v>
      </c>
      <c r="F34" s="153"/>
      <c r="G34" s="152" t="s">
        <v>105</v>
      </c>
      <c r="H34" s="154"/>
      <c r="I34" s="126" t="s">
        <v>110</v>
      </c>
      <c r="J34" s="127"/>
      <c r="K34" s="128"/>
      <c r="L34" s="138"/>
      <c r="M34" s="139"/>
      <c r="N34" s="140"/>
      <c r="O34" s="174"/>
      <c r="P34" s="175"/>
      <c r="Q34" s="175"/>
      <c r="R34" s="175"/>
      <c r="S34" s="175"/>
      <c r="T34" s="175"/>
      <c r="U34" s="175"/>
      <c r="V34" s="175"/>
      <c r="W34" s="176"/>
      <c r="X34" s="26"/>
      <c r="Y34" s="33"/>
      <c r="Z34"/>
      <c r="AA34"/>
      <c r="AB34"/>
      <c r="AC34"/>
      <c r="AD34"/>
      <c r="AE34"/>
      <c r="AF34"/>
      <c r="AG34"/>
      <c r="AH34"/>
      <c r="AI34"/>
      <c r="AJ34" s="25"/>
      <c r="AK34" s="25"/>
      <c r="AL34" s="25"/>
      <c r="AM34" s="25"/>
      <c r="AN34" s="25"/>
      <c r="AO34" s="26"/>
      <c r="AP34" s="26"/>
      <c r="AQ34" s="26"/>
      <c r="AR34" s="26"/>
      <c r="AS34" s="26"/>
      <c r="BE34"/>
      <c r="BF34"/>
      <c r="BG34"/>
      <c r="BH34"/>
      <c r="BI34"/>
      <c r="BJ34"/>
      <c r="BK34"/>
      <c r="BL34" s="1"/>
      <c r="BM34"/>
      <c r="BN34"/>
      <c r="BO34"/>
      <c r="BP34"/>
      <c r="BQ34"/>
      <c r="BR34"/>
      <c r="BS34" s="13"/>
      <c r="BT34" s="13"/>
      <c r="BU34" s="13"/>
      <c r="BV34" s="13"/>
      <c r="BW34" s="13"/>
      <c r="BX34" s="13"/>
      <c r="BY34" s="13"/>
      <c r="BZ34" s="13"/>
      <c r="CA34" s="12"/>
      <c r="CB34" s="12"/>
      <c r="CC34" s="12"/>
      <c r="CD34" s="12"/>
      <c r="CE34" s="12"/>
      <c r="CF34" s="12"/>
      <c r="CG34" s="12"/>
      <c r="CH34" s="12"/>
      <c r="CI34" s="52"/>
      <c r="CJ34" s="52"/>
      <c r="CK34" s="52"/>
      <c r="CL34" s="52"/>
      <c r="CM34" s="52"/>
      <c r="CN34" s="52"/>
      <c r="CO34" s="52"/>
      <c r="CP34" s="52"/>
      <c r="CQ34" s="26"/>
      <c r="CR34" s="26"/>
      <c r="CS34" s="26"/>
      <c r="CT34" s="26"/>
      <c r="CU34" s="26"/>
      <c r="CV34" s="26"/>
      <c r="CW34" s="26"/>
      <c r="CX34" s="26"/>
      <c r="CY34" s="52"/>
      <c r="CZ34" s="52"/>
      <c r="DA34" s="12"/>
      <c r="DB34" s="12"/>
      <c r="DC34" s="12"/>
      <c r="DD34" s="12"/>
      <c r="DE34" s="12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</row>
    <row r="35" spans="3:222" ht="15.75">
      <c r="E35"/>
      <c r="F35"/>
      <c r="G35"/>
      <c r="I35" s="1"/>
      <c r="R35" s="13"/>
      <c r="S35" s="13"/>
      <c r="T35" s="13"/>
      <c r="AA35" s="23"/>
      <c r="AJ35" s="25"/>
      <c r="AK35" s="25"/>
      <c r="AL35" s="25"/>
      <c r="AQ35" s="25"/>
      <c r="AR35" s="25"/>
      <c r="AS35" s="25"/>
    </row>
    <row r="36" spans="3:222" ht="27" customHeight="1">
      <c r="E36"/>
      <c r="F36"/>
      <c r="G36"/>
      <c r="I36" s="1"/>
      <c r="R36" s="13"/>
      <c r="S36" s="13"/>
      <c r="T36" s="13"/>
    </row>
    <row r="37" spans="3:222" ht="18.75">
      <c r="I37" s="1"/>
      <c r="R37" s="13"/>
      <c r="S37" s="13"/>
      <c r="T37" s="13"/>
      <c r="AA37" s="28"/>
    </row>
    <row r="38" spans="3:222" ht="15" customHeight="1">
      <c r="D38" s="15"/>
      <c r="AE38" s="5"/>
    </row>
    <row r="39" spans="3:222" ht="15" customHeight="1">
      <c r="AE39" s="5"/>
    </row>
    <row r="40" spans="3:222" ht="15" customHeight="1"/>
    <row r="41" spans="3:222" ht="15" customHeight="1"/>
    <row r="42" spans="3:222" ht="15" customHeight="1"/>
    <row r="43" spans="3:222" ht="15" customHeight="1">
      <c r="D43" s="141" t="s">
        <v>7</v>
      </c>
      <c r="E43" s="141" t="s">
        <v>28</v>
      </c>
      <c r="F43" s="141"/>
      <c r="G43" s="142" t="s">
        <v>29</v>
      </c>
      <c r="H43" s="143"/>
      <c r="I43" s="143"/>
      <c r="J43" s="143"/>
      <c r="K43" s="143"/>
      <c r="L43" s="144"/>
      <c r="M43" s="141" t="s">
        <v>30</v>
      </c>
      <c r="N43" s="141"/>
      <c r="O43" s="141"/>
      <c r="P43" s="141"/>
      <c r="Q43" s="141"/>
      <c r="R43" s="141"/>
      <c r="S43" s="141"/>
      <c r="T43" s="141"/>
      <c r="U43" s="141"/>
      <c r="V43" s="141" t="s">
        <v>31</v>
      </c>
      <c r="W43" s="141"/>
      <c r="AA43" s="96" t="s">
        <v>37</v>
      </c>
      <c r="AB43" s="97"/>
      <c r="AC43" s="97"/>
      <c r="AD43" s="98"/>
      <c r="AF43" s="114" t="s">
        <v>34</v>
      </c>
      <c r="AG43" s="115"/>
      <c r="AH43" s="115"/>
      <c r="AI43" s="116"/>
    </row>
    <row r="44" spans="3:222" ht="15" customHeight="1">
      <c r="D44" s="141"/>
      <c r="E44" s="141"/>
      <c r="F44" s="141"/>
      <c r="G44" s="145"/>
      <c r="H44" s="146"/>
      <c r="I44" s="146"/>
      <c r="J44" s="146"/>
      <c r="K44" s="146"/>
      <c r="L44" s="147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AA44" s="99"/>
      <c r="AB44" s="100"/>
      <c r="AC44" s="100"/>
      <c r="AD44" s="101"/>
      <c r="AF44" s="117"/>
      <c r="AG44" s="118"/>
      <c r="AH44" s="118"/>
      <c r="AI44" s="119"/>
    </row>
    <row r="45" spans="3:222" ht="15" customHeight="1">
      <c r="C45" s="191"/>
      <c r="D45" s="148">
        <v>1</v>
      </c>
      <c r="E45" s="149">
        <v>42878</v>
      </c>
      <c r="F45" s="149"/>
      <c r="G45" s="132" t="s">
        <v>96</v>
      </c>
      <c r="H45" s="133"/>
      <c r="I45" s="133"/>
      <c r="J45" s="133"/>
      <c r="K45" s="133"/>
      <c r="L45" s="134"/>
      <c r="M45" s="189"/>
      <c r="N45" s="189"/>
      <c r="O45" s="189"/>
      <c r="P45" s="189"/>
      <c r="Q45" s="189"/>
      <c r="R45" s="189"/>
      <c r="S45" s="189"/>
      <c r="T45" s="189"/>
      <c r="U45" s="189"/>
      <c r="V45" s="190"/>
      <c r="W45" s="190"/>
      <c r="AA45" s="99"/>
      <c r="AB45" s="100"/>
      <c r="AC45" s="100"/>
      <c r="AD45" s="101"/>
      <c r="AF45" s="120">
        <f>IF(AA47=0,"",SMALL(E45:F86,1))</f>
        <v>42878</v>
      </c>
      <c r="AG45" s="121"/>
      <c r="AH45" s="121"/>
      <c r="AI45" s="122"/>
    </row>
    <row r="46" spans="3:222">
      <c r="C46" s="191"/>
      <c r="D46" s="148"/>
      <c r="E46" s="149"/>
      <c r="F46" s="149"/>
      <c r="G46" s="135"/>
      <c r="H46" s="136"/>
      <c r="I46" s="136"/>
      <c r="J46" s="136"/>
      <c r="K46" s="136"/>
      <c r="L46" s="137"/>
      <c r="M46" s="189"/>
      <c r="N46" s="189"/>
      <c r="O46" s="189"/>
      <c r="P46" s="189"/>
      <c r="Q46" s="189"/>
      <c r="R46" s="189"/>
      <c r="S46" s="189"/>
      <c r="T46" s="189"/>
      <c r="U46" s="189"/>
      <c r="V46" s="190"/>
      <c r="W46" s="190"/>
      <c r="AA46" s="102"/>
      <c r="AB46" s="103"/>
      <c r="AC46" s="103"/>
      <c r="AD46" s="104"/>
      <c r="AF46" s="123"/>
      <c r="AG46" s="124"/>
      <c r="AH46" s="124"/>
      <c r="AI46" s="125"/>
    </row>
    <row r="47" spans="3:222" ht="16.149999999999999" customHeight="1">
      <c r="C47" s="191"/>
      <c r="D47" s="148">
        <f>D45+1</f>
        <v>2</v>
      </c>
      <c r="E47" s="149">
        <v>42879</v>
      </c>
      <c r="F47" s="149"/>
      <c r="G47" s="132" t="s">
        <v>97</v>
      </c>
      <c r="H47" s="133"/>
      <c r="I47" s="133"/>
      <c r="J47" s="133"/>
      <c r="K47" s="133"/>
      <c r="L47" s="134"/>
      <c r="M47" s="189"/>
      <c r="N47" s="189"/>
      <c r="O47" s="189"/>
      <c r="P47" s="189"/>
      <c r="Q47" s="189"/>
      <c r="R47" s="189"/>
      <c r="S47" s="189"/>
      <c r="T47" s="189"/>
      <c r="U47" s="189"/>
      <c r="V47" s="190"/>
      <c r="W47" s="190"/>
      <c r="AA47" s="105">
        <f>COUNTA(G45:L86)</f>
        <v>5</v>
      </c>
      <c r="AB47" s="106"/>
      <c r="AC47" s="106"/>
      <c r="AD47" s="107"/>
      <c r="AF47" s="114" t="s">
        <v>35</v>
      </c>
      <c r="AG47" s="115"/>
      <c r="AH47" s="115"/>
      <c r="AI47" s="116"/>
    </row>
    <row r="48" spans="3:222">
      <c r="C48" s="191"/>
      <c r="D48" s="148"/>
      <c r="E48" s="149"/>
      <c r="F48" s="149"/>
      <c r="G48" s="135"/>
      <c r="H48" s="136"/>
      <c r="I48" s="136"/>
      <c r="J48" s="136"/>
      <c r="K48" s="136"/>
      <c r="L48" s="137"/>
      <c r="M48" s="189"/>
      <c r="N48" s="189"/>
      <c r="O48" s="189"/>
      <c r="P48" s="189"/>
      <c r="Q48" s="189"/>
      <c r="R48" s="189"/>
      <c r="S48" s="189"/>
      <c r="T48" s="189"/>
      <c r="U48" s="189"/>
      <c r="V48" s="190"/>
      <c r="W48" s="190"/>
      <c r="AA48" s="108"/>
      <c r="AB48" s="109"/>
      <c r="AC48" s="109"/>
      <c r="AD48" s="110"/>
      <c r="AF48" s="117"/>
      <c r="AG48" s="118"/>
      <c r="AH48" s="118"/>
      <c r="AI48" s="119"/>
    </row>
    <row r="49" spans="3:61" ht="16.149999999999999" customHeight="1">
      <c r="C49" s="191"/>
      <c r="D49" s="148">
        <f t="shared" ref="D49" si="13">D47+1</f>
        <v>3</v>
      </c>
      <c r="E49" s="149">
        <v>42881</v>
      </c>
      <c r="F49" s="149"/>
      <c r="G49" s="132" t="s">
        <v>98</v>
      </c>
      <c r="H49" s="133"/>
      <c r="I49" s="133"/>
      <c r="J49" s="133"/>
      <c r="K49" s="133"/>
      <c r="L49" s="134"/>
      <c r="M49" s="189"/>
      <c r="N49" s="189"/>
      <c r="O49" s="189"/>
      <c r="P49" s="189"/>
      <c r="Q49" s="189"/>
      <c r="R49" s="189"/>
      <c r="S49" s="189"/>
      <c r="T49" s="189"/>
      <c r="U49" s="189"/>
      <c r="V49" s="190"/>
      <c r="W49" s="190"/>
      <c r="AA49" s="108"/>
      <c r="AB49" s="109"/>
      <c r="AC49" s="109"/>
      <c r="AD49" s="110"/>
      <c r="AF49" s="120">
        <f>IF(AA47=0,"",LARGE(E45:F86,1))</f>
        <v>42899</v>
      </c>
      <c r="AG49" s="121"/>
      <c r="AH49" s="121"/>
      <c r="AI49" s="122"/>
    </row>
    <row r="50" spans="3:61">
      <c r="C50" s="191"/>
      <c r="D50" s="148"/>
      <c r="E50" s="149"/>
      <c r="F50" s="149"/>
      <c r="G50" s="135"/>
      <c r="H50" s="136"/>
      <c r="I50" s="136"/>
      <c r="J50" s="136"/>
      <c r="K50" s="136"/>
      <c r="L50" s="137"/>
      <c r="M50" s="189"/>
      <c r="N50" s="189"/>
      <c r="O50" s="189"/>
      <c r="P50" s="189"/>
      <c r="Q50" s="189"/>
      <c r="R50" s="189"/>
      <c r="S50" s="189"/>
      <c r="T50" s="189"/>
      <c r="U50" s="189"/>
      <c r="V50" s="190"/>
      <c r="W50" s="190"/>
      <c r="Z50" s="25"/>
      <c r="AA50" s="111"/>
      <c r="AB50" s="112"/>
      <c r="AC50" s="112"/>
      <c r="AD50" s="113"/>
      <c r="AF50" s="123"/>
      <c r="AG50" s="124"/>
      <c r="AH50" s="124"/>
      <c r="AI50" s="125"/>
    </row>
    <row r="51" spans="3:61">
      <c r="C51" s="191"/>
      <c r="D51" s="148">
        <f t="shared" ref="D51" si="14">D49+1</f>
        <v>4</v>
      </c>
      <c r="E51" s="149">
        <v>42882</v>
      </c>
      <c r="F51" s="149"/>
      <c r="G51" s="132" t="s">
        <v>99</v>
      </c>
      <c r="H51" s="133"/>
      <c r="I51" s="133"/>
      <c r="J51" s="133"/>
      <c r="K51" s="133"/>
      <c r="L51" s="134"/>
      <c r="M51" s="189"/>
      <c r="N51" s="189"/>
      <c r="O51" s="189"/>
      <c r="P51" s="189"/>
      <c r="Q51" s="189"/>
      <c r="R51" s="189"/>
      <c r="S51" s="189"/>
      <c r="T51" s="189"/>
      <c r="U51" s="189"/>
      <c r="V51" s="190"/>
      <c r="W51" s="190"/>
      <c r="Z51" s="25"/>
      <c r="AA51" s="25"/>
      <c r="AB51" s="25"/>
    </row>
    <row r="52" spans="3:61">
      <c r="C52" s="191"/>
      <c r="D52" s="148"/>
      <c r="E52" s="149"/>
      <c r="F52" s="149"/>
      <c r="G52" s="135"/>
      <c r="H52" s="136"/>
      <c r="I52" s="136"/>
      <c r="J52" s="136"/>
      <c r="K52" s="136"/>
      <c r="L52" s="137"/>
      <c r="M52" s="189"/>
      <c r="N52" s="189"/>
      <c r="O52" s="189"/>
      <c r="P52" s="189"/>
      <c r="Q52" s="189"/>
      <c r="R52" s="189"/>
      <c r="S52" s="189"/>
      <c r="T52" s="189"/>
      <c r="U52" s="189"/>
      <c r="V52" s="190"/>
      <c r="W52" s="190"/>
      <c r="Z52" s="25"/>
      <c r="AA52" s="25"/>
      <c r="AB52" s="25"/>
    </row>
    <row r="53" spans="3:61">
      <c r="C53" s="191"/>
      <c r="D53" s="148">
        <f t="shared" ref="D53" si="15">D51+1</f>
        <v>5</v>
      </c>
      <c r="E53" s="149">
        <v>42883</v>
      </c>
      <c r="F53" s="149"/>
      <c r="G53" s="132" t="s">
        <v>100</v>
      </c>
      <c r="H53" s="133"/>
      <c r="I53" s="133"/>
      <c r="J53" s="133"/>
      <c r="K53" s="133"/>
      <c r="L53" s="134"/>
      <c r="M53" s="189"/>
      <c r="N53" s="189"/>
      <c r="O53" s="189"/>
      <c r="P53" s="189"/>
      <c r="Q53" s="189"/>
      <c r="R53" s="189"/>
      <c r="S53" s="189"/>
      <c r="T53" s="189"/>
      <c r="U53" s="189"/>
      <c r="V53" s="190"/>
      <c r="W53" s="190"/>
      <c r="Z53" s="25"/>
      <c r="AA53" s="25"/>
      <c r="AB53" s="25"/>
    </row>
    <row r="54" spans="3:61">
      <c r="C54" s="191"/>
      <c r="D54" s="148"/>
      <c r="E54" s="149"/>
      <c r="F54" s="149"/>
      <c r="G54" s="135"/>
      <c r="H54" s="136"/>
      <c r="I54" s="136"/>
      <c r="J54" s="136"/>
      <c r="K54" s="136"/>
      <c r="L54" s="137"/>
      <c r="M54" s="189"/>
      <c r="N54" s="189"/>
      <c r="O54" s="189"/>
      <c r="P54" s="189"/>
      <c r="Q54" s="189"/>
      <c r="R54" s="189"/>
      <c r="S54" s="189"/>
      <c r="T54" s="189"/>
      <c r="U54" s="189"/>
      <c r="V54" s="190"/>
      <c r="W54" s="190"/>
      <c r="Z54" s="25"/>
      <c r="AA54" s="25"/>
      <c r="AB54" s="25"/>
    </row>
    <row r="55" spans="3:61">
      <c r="C55" s="191"/>
      <c r="D55" s="148">
        <f t="shared" ref="D55" si="16">D53+1</f>
        <v>6</v>
      </c>
      <c r="E55" s="149">
        <v>42884</v>
      </c>
      <c r="F55" s="149"/>
      <c r="G55" s="132"/>
      <c r="H55" s="133"/>
      <c r="I55" s="133"/>
      <c r="J55" s="133"/>
      <c r="K55" s="133"/>
      <c r="L55" s="134"/>
      <c r="M55" s="189"/>
      <c r="N55" s="189"/>
      <c r="O55" s="189"/>
      <c r="P55" s="189"/>
      <c r="Q55" s="189"/>
      <c r="R55" s="189"/>
      <c r="S55" s="189"/>
      <c r="T55" s="189"/>
      <c r="U55" s="189"/>
      <c r="V55" s="190"/>
      <c r="W55" s="190"/>
    </row>
    <row r="56" spans="3:61">
      <c r="C56" s="191"/>
      <c r="D56" s="148"/>
      <c r="E56" s="149"/>
      <c r="F56" s="149"/>
      <c r="G56" s="135"/>
      <c r="H56" s="136"/>
      <c r="I56" s="136"/>
      <c r="J56" s="136"/>
      <c r="K56" s="136"/>
      <c r="L56" s="137"/>
      <c r="M56" s="189"/>
      <c r="N56" s="189"/>
      <c r="O56" s="189"/>
      <c r="P56" s="189"/>
      <c r="Q56" s="189"/>
      <c r="R56" s="189"/>
      <c r="S56" s="189"/>
      <c r="T56" s="189"/>
      <c r="U56" s="189"/>
      <c r="V56" s="190"/>
      <c r="W56" s="190"/>
    </row>
    <row r="57" spans="3:61">
      <c r="C57" s="191"/>
      <c r="D57" s="148">
        <f t="shared" ref="D57" si="17">D55+1</f>
        <v>7</v>
      </c>
      <c r="E57" s="149">
        <v>42885</v>
      </c>
      <c r="F57" s="149"/>
      <c r="G57" s="132"/>
      <c r="H57" s="133"/>
      <c r="I57" s="133"/>
      <c r="J57" s="133"/>
      <c r="K57" s="133"/>
      <c r="L57" s="134"/>
      <c r="M57" s="189"/>
      <c r="N57" s="189"/>
      <c r="O57" s="189"/>
      <c r="P57" s="189"/>
      <c r="Q57" s="189"/>
      <c r="R57" s="189"/>
      <c r="S57" s="189"/>
      <c r="T57" s="189"/>
      <c r="U57" s="189"/>
      <c r="V57" s="190"/>
      <c r="W57" s="190"/>
    </row>
    <row r="58" spans="3:61">
      <c r="C58" s="191"/>
      <c r="D58" s="148"/>
      <c r="E58" s="149"/>
      <c r="F58" s="149"/>
      <c r="G58" s="135"/>
      <c r="H58" s="136"/>
      <c r="I58" s="136"/>
      <c r="J58" s="136"/>
      <c r="K58" s="136"/>
      <c r="L58" s="137"/>
      <c r="M58" s="189"/>
      <c r="N58" s="189"/>
      <c r="O58" s="189"/>
      <c r="P58" s="189"/>
      <c r="Q58" s="189"/>
      <c r="R58" s="189"/>
      <c r="S58" s="189"/>
      <c r="T58" s="189"/>
      <c r="U58" s="189"/>
      <c r="V58" s="190"/>
      <c r="W58" s="190"/>
    </row>
    <row r="59" spans="3:61">
      <c r="C59" s="191"/>
      <c r="D59" s="148">
        <f t="shared" ref="D59" si="18">D57+1</f>
        <v>8</v>
      </c>
      <c r="E59" s="149">
        <v>42886</v>
      </c>
      <c r="F59" s="149"/>
      <c r="G59" s="132"/>
      <c r="H59" s="133"/>
      <c r="I59" s="133"/>
      <c r="J59" s="133"/>
      <c r="K59" s="133"/>
      <c r="L59" s="134"/>
      <c r="M59" s="189"/>
      <c r="N59" s="189"/>
      <c r="O59" s="189"/>
      <c r="P59" s="189"/>
      <c r="Q59" s="189"/>
      <c r="R59" s="189"/>
      <c r="S59" s="189"/>
      <c r="T59" s="189"/>
      <c r="U59" s="189"/>
      <c r="V59" s="190"/>
      <c r="W59" s="190"/>
    </row>
    <row r="60" spans="3:61" ht="15" customHeight="1">
      <c r="C60" s="191"/>
      <c r="D60" s="148"/>
      <c r="E60" s="149"/>
      <c r="F60" s="149"/>
      <c r="G60" s="135"/>
      <c r="H60" s="136"/>
      <c r="I60" s="136"/>
      <c r="J60" s="136"/>
      <c r="K60" s="136"/>
      <c r="L60" s="137"/>
      <c r="M60" s="189"/>
      <c r="N60" s="189"/>
      <c r="O60" s="189"/>
      <c r="P60" s="189"/>
      <c r="Q60" s="189"/>
      <c r="R60" s="189"/>
      <c r="S60" s="189"/>
      <c r="T60" s="189"/>
      <c r="U60" s="189"/>
      <c r="V60" s="190"/>
      <c r="W60" s="190"/>
      <c r="BC60" s="18"/>
    </row>
    <row r="61" spans="3:61" ht="15" customHeight="1">
      <c r="C61" s="191"/>
      <c r="D61" s="148">
        <f t="shared" ref="D61" si="19">D59+1</f>
        <v>9</v>
      </c>
      <c r="E61" s="149">
        <v>42887</v>
      </c>
      <c r="F61" s="149"/>
      <c r="G61" s="132"/>
      <c r="H61" s="133"/>
      <c r="I61" s="133"/>
      <c r="J61" s="133"/>
      <c r="K61" s="133"/>
      <c r="L61" s="134"/>
      <c r="M61" s="189"/>
      <c r="N61" s="189"/>
      <c r="O61" s="189"/>
      <c r="P61" s="189"/>
      <c r="Q61" s="189"/>
      <c r="R61" s="189"/>
      <c r="S61" s="189"/>
      <c r="T61" s="189"/>
      <c r="U61" s="189"/>
      <c r="V61" s="190"/>
      <c r="W61" s="190"/>
    </row>
    <row r="62" spans="3:61">
      <c r="C62" s="191"/>
      <c r="D62" s="148"/>
      <c r="E62" s="149"/>
      <c r="F62" s="149"/>
      <c r="G62" s="135"/>
      <c r="H62" s="136"/>
      <c r="I62" s="136"/>
      <c r="J62" s="136"/>
      <c r="K62" s="136"/>
      <c r="L62" s="137"/>
      <c r="M62" s="189"/>
      <c r="N62" s="189"/>
      <c r="O62" s="189"/>
      <c r="P62" s="189"/>
      <c r="Q62" s="189"/>
      <c r="R62" s="189"/>
      <c r="S62" s="189"/>
      <c r="T62" s="189"/>
      <c r="U62" s="189"/>
      <c r="V62" s="190"/>
      <c r="W62" s="190"/>
    </row>
    <row r="63" spans="3:61" ht="18.75">
      <c r="C63" s="191"/>
      <c r="D63" s="148">
        <f t="shared" ref="D63" si="20">D61+1</f>
        <v>10</v>
      </c>
      <c r="E63" s="149">
        <v>42888</v>
      </c>
      <c r="F63" s="149"/>
      <c r="G63" s="132"/>
      <c r="H63" s="133"/>
      <c r="I63" s="133"/>
      <c r="J63" s="133"/>
      <c r="K63" s="133"/>
      <c r="L63" s="134"/>
      <c r="M63" s="189"/>
      <c r="N63" s="189"/>
      <c r="O63" s="189"/>
      <c r="P63" s="189"/>
      <c r="Q63" s="189"/>
      <c r="R63" s="189"/>
      <c r="S63" s="189"/>
      <c r="T63" s="189"/>
      <c r="U63" s="189"/>
      <c r="V63" s="190"/>
      <c r="W63" s="190"/>
      <c r="BE63" s="28"/>
      <c r="BF63" s="28"/>
      <c r="BG63" s="28"/>
      <c r="BH63" s="28"/>
      <c r="BI63" s="28"/>
    </row>
    <row r="64" spans="3:61" ht="16.149999999999999" customHeight="1">
      <c r="C64" s="191"/>
      <c r="D64" s="148"/>
      <c r="E64" s="149"/>
      <c r="F64" s="149"/>
      <c r="G64" s="135"/>
      <c r="H64" s="136"/>
      <c r="I64" s="136"/>
      <c r="J64" s="136"/>
      <c r="K64" s="136"/>
      <c r="L64" s="137"/>
      <c r="M64" s="189"/>
      <c r="N64" s="189"/>
      <c r="O64" s="189"/>
      <c r="P64" s="189"/>
      <c r="Q64" s="189"/>
      <c r="R64" s="189"/>
      <c r="S64" s="189"/>
      <c r="T64" s="189"/>
      <c r="U64" s="189"/>
      <c r="V64" s="190"/>
      <c r="W64" s="190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</row>
    <row r="65" spans="3:61" ht="16.149999999999999" customHeight="1">
      <c r="C65" s="191"/>
      <c r="D65" s="148">
        <f t="shared" ref="D65:D81" si="21">D63+1</f>
        <v>11</v>
      </c>
      <c r="E65" s="149">
        <v>42889</v>
      </c>
      <c r="F65" s="149"/>
      <c r="G65" s="132"/>
      <c r="H65" s="133"/>
      <c r="I65" s="133"/>
      <c r="J65" s="133"/>
      <c r="K65" s="133"/>
      <c r="L65" s="134"/>
      <c r="M65" s="189"/>
      <c r="N65" s="189"/>
      <c r="O65" s="189"/>
      <c r="P65" s="189"/>
      <c r="Q65" s="189"/>
      <c r="R65" s="189"/>
      <c r="S65" s="189"/>
      <c r="T65" s="189"/>
      <c r="U65" s="189"/>
      <c r="V65" s="190"/>
      <c r="W65" s="190"/>
      <c r="AW65" s="28"/>
      <c r="AX65" s="28"/>
      <c r="AY65" s="28"/>
      <c r="AZ65" s="28"/>
      <c r="BA65" s="28"/>
      <c r="BB65" s="28"/>
      <c r="BC65" s="28"/>
      <c r="BD65" s="28"/>
      <c r="BE65" s="22"/>
      <c r="BF65" s="22"/>
      <c r="BG65" s="21"/>
      <c r="BH65" s="22"/>
      <c r="BI65" s="22"/>
    </row>
    <row r="66" spans="3:61" ht="15" customHeight="1">
      <c r="C66" s="191"/>
      <c r="D66" s="148"/>
      <c r="E66" s="149"/>
      <c r="F66" s="149"/>
      <c r="G66" s="135"/>
      <c r="H66" s="136"/>
      <c r="I66" s="136"/>
      <c r="J66" s="136"/>
      <c r="K66" s="136"/>
      <c r="L66" s="137"/>
      <c r="M66" s="189"/>
      <c r="N66" s="189"/>
      <c r="O66" s="189"/>
      <c r="P66" s="189"/>
      <c r="Q66" s="189"/>
      <c r="R66" s="189"/>
      <c r="S66" s="189"/>
      <c r="T66" s="189"/>
      <c r="U66" s="189"/>
      <c r="V66" s="190"/>
      <c r="W66" s="190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45"/>
      <c r="AM66" s="46"/>
      <c r="AN66" s="46"/>
      <c r="AO66" s="46"/>
      <c r="AW66" s="23"/>
      <c r="AX66" s="23"/>
      <c r="AY66" s="23"/>
      <c r="AZ66" s="23"/>
      <c r="BA66" s="23"/>
      <c r="BB66" s="23"/>
      <c r="BC66" s="23"/>
      <c r="BD66" s="24"/>
      <c r="BE66" s="28"/>
      <c r="BF66" s="28"/>
      <c r="BG66" s="28"/>
      <c r="BH66" s="28"/>
      <c r="BI66" s="28"/>
    </row>
    <row r="67" spans="3:61" ht="15" customHeight="1">
      <c r="C67" s="191"/>
      <c r="D67" s="148">
        <f t="shared" ref="D67" si="22">D65+1</f>
        <v>12</v>
      </c>
      <c r="E67" s="149">
        <v>42890</v>
      </c>
      <c r="F67" s="149"/>
      <c r="G67" s="132"/>
      <c r="H67" s="133"/>
      <c r="I67" s="133"/>
      <c r="J67" s="133"/>
      <c r="K67" s="133"/>
      <c r="L67" s="134"/>
      <c r="M67" s="189"/>
      <c r="N67" s="189"/>
      <c r="O67" s="189"/>
      <c r="P67" s="189"/>
      <c r="Q67" s="189"/>
      <c r="R67" s="189"/>
      <c r="S67" s="189"/>
      <c r="T67" s="189"/>
      <c r="U67" s="189"/>
      <c r="V67" s="190"/>
      <c r="W67" s="190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45"/>
      <c r="AM67" s="46"/>
      <c r="AN67" s="46"/>
      <c r="AO67" s="46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</row>
    <row r="68" spans="3:61" ht="15" customHeight="1">
      <c r="C68" s="191"/>
      <c r="D68" s="148"/>
      <c r="E68" s="149"/>
      <c r="F68" s="149"/>
      <c r="G68" s="135"/>
      <c r="H68" s="136"/>
      <c r="I68" s="136"/>
      <c r="J68" s="136"/>
      <c r="K68" s="136"/>
      <c r="L68" s="137"/>
      <c r="M68" s="189"/>
      <c r="N68" s="189"/>
      <c r="O68" s="189"/>
      <c r="P68" s="189"/>
      <c r="Q68" s="189"/>
      <c r="R68" s="189"/>
      <c r="S68" s="189"/>
      <c r="T68" s="189"/>
      <c r="U68" s="189"/>
      <c r="V68" s="190"/>
      <c r="W68" s="190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45"/>
      <c r="AM68" s="46"/>
      <c r="AN68" s="46"/>
      <c r="AO68" s="46"/>
      <c r="AW68" s="28"/>
      <c r="AX68" s="28"/>
      <c r="AY68" s="28"/>
      <c r="AZ68" s="28"/>
      <c r="BA68" s="28"/>
      <c r="BB68" s="28"/>
      <c r="BC68" s="28"/>
      <c r="BD68" s="28"/>
      <c r="BE68" s="22"/>
      <c r="BF68" s="22"/>
      <c r="BG68" s="21"/>
      <c r="BH68" s="22"/>
      <c r="BI68" s="22"/>
    </row>
    <row r="69" spans="3:61" ht="15" customHeight="1">
      <c r="C69" s="191"/>
      <c r="D69" s="148">
        <f t="shared" ref="D69" si="23">D67+1</f>
        <v>13</v>
      </c>
      <c r="E69" s="149">
        <v>42891</v>
      </c>
      <c r="F69" s="149"/>
      <c r="G69" s="132"/>
      <c r="H69" s="133"/>
      <c r="I69" s="133"/>
      <c r="J69" s="133"/>
      <c r="K69" s="133"/>
      <c r="L69" s="134"/>
      <c r="M69" s="189"/>
      <c r="N69" s="189"/>
      <c r="O69" s="189"/>
      <c r="P69" s="189"/>
      <c r="Q69" s="189"/>
      <c r="R69" s="189"/>
      <c r="S69" s="189"/>
      <c r="T69" s="189"/>
      <c r="U69" s="189"/>
      <c r="V69" s="190"/>
      <c r="W69" s="190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45"/>
      <c r="AM69" s="46"/>
      <c r="AN69" s="46"/>
      <c r="AO69" s="46"/>
      <c r="AW69" s="23"/>
      <c r="AX69" s="23"/>
      <c r="AY69" s="23"/>
      <c r="AZ69" s="23"/>
      <c r="BA69" s="23"/>
      <c r="BB69" s="23"/>
      <c r="BC69" s="23"/>
      <c r="BD69" s="24"/>
      <c r="BE69" s="28"/>
      <c r="BF69" s="28"/>
      <c r="BG69" s="28"/>
      <c r="BH69" s="28"/>
      <c r="BI69" s="28"/>
    </row>
    <row r="70" spans="3:61" ht="15" customHeight="1">
      <c r="C70" s="191"/>
      <c r="D70" s="148"/>
      <c r="E70" s="149"/>
      <c r="F70" s="149"/>
      <c r="G70" s="135"/>
      <c r="H70" s="136"/>
      <c r="I70" s="136"/>
      <c r="J70" s="136"/>
      <c r="K70" s="136"/>
      <c r="L70" s="137"/>
      <c r="M70" s="189"/>
      <c r="N70" s="189"/>
      <c r="O70" s="189"/>
      <c r="P70" s="189"/>
      <c r="Q70" s="189"/>
      <c r="R70" s="189"/>
      <c r="S70" s="189"/>
      <c r="T70" s="189"/>
      <c r="U70" s="189"/>
      <c r="V70" s="190"/>
      <c r="W70" s="190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45"/>
      <c r="AM70" s="46"/>
      <c r="AN70" s="46"/>
      <c r="AO70" s="46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</row>
    <row r="71" spans="3:61" ht="15" customHeight="1">
      <c r="C71" s="191"/>
      <c r="D71" s="148">
        <f t="shared" ref="D71" si="24">D69+1</f>
        <v>14</v>
      </c>
      <c r="E71" s="149">
        <v>42892</v>
      </c>
      <c r="F71" s="149"/>
      <c r="G71" s="132"/>
      <c r="H71" s="133"/>
      <c r="I71" s="133"/>
      <c r="J71" s="133"/>
      <c r="K71" s="133"/>
      <c r="L71" s="134"/>
      <c r="M71" s="189"/>
      <c r="N71" s="189"/>
      <c r="O71" s="189"/>
      <c r="P71" s="189"/>
      <c r="Q71" s="189"/>
      <c r="R71" s="189"/>
      <c r="S71" s="189"/>
      <c r="T71" s="189"/>
      <c r="U71" s="189"/>
      <c r="V71" s="190"/>
      <c r="W71" s="190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45"/>
      <c r="AM71" s="46"/>
      <c r="AN71" s="46"/>
      <c r="AO71" s="46"/>
      <c r="AW71" s="28"/>
      <c r="AX71" s="28"/>
      <c r="AY71" s="28"/>
      <c r="AZ71" s="28"/>
      <c r="BA71" s="28"/>
      <c r="BB71" s="28"/>
      <c r="BC71" s="28"/>
      <c r="BD71" s="28"/>
      <c r="BE71" s="22"/>
      <c r="BF71" s="22"/>
      <c r="BG71" s="21"/>
      <c r="BH71" s="22"/>
      <c r="BI71" s="22"/>
    </row>
    <row r="72" spans="3:61" ht="16.149999999999999" customHeight="1">
      <c r="C72" s="191"/>
      <c r="D72" s="148"/>
      <c r="E72" s="149"/>
      <c r="F72" s="149"/>
      <c r="G72" s="135"/>
      <c r="H72" s="136"/>
      <c r="I72" s="136"/>
      <c r="J72" s="136"/>
      <c r="K72" s="136"/>
      <c r="L72" s="137"/>
      <c r="M72" s="189"/>
      <c r="N72" s="189"/>
      <c r="O72" s="189"/>
      <c r="P72" s="189"/>
      <c r="Q72" s="189"/>
      <c r="R72" s="189"/>
      <c r="S72" s="189"/>
      <c r="T72" s="189"/>
      <c r="U72" s="189"/>
      <c r="V72" s="190"/>
      <c r="W72" s="190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45"/>
      <c r="AM72" s="46"/>
      <c r="AN72" s="46"/>
      <c r="AO72" s="46"/>
      <c r="AW72" s="23"/>
      <c r="AX72" s="23"/>
      <c r="AY72" s="23"/>
      <c r="AZ72" s="23"/>
      <c r="BA72" s="23"/>
      <c r="BB72" s="23"/>
      <c r="BC72" s="23"/>
      <c r="BD72" s="24"/>
      <c r="BE72" s="28"/>
      <c r="BF72" s="28"/>
      <c r="BG72" s="28"/>
      <c r="BH72" s="28"/>
      <c r="BI72" s="28"/>
    </row>
    <row r="73" spans="3:61" ht="16.149999999999999" customHeight="1">
      <c r="C73" s="191"/>
      <c r="D73" s="148">
        <f t="shared" ref="D73" si="25">D71+1</f>
        <v>15</v>
      </c>
      <c r="E73" s="149">
        <v>42893</v>
      </c>
      <c r="F73" s="149"/>
      <c r="G73" s="132"/>
      <c r="H73" s="133"/>
      <c r="I73" s="133"/>
      <c r="J73" s="133"/>
      <c r="K73" s="133"/>
      <c r="L73" s="134"/>
      <c r="M73" s="189"/>
      <c r="N73" s="189"/>
      <c r="O73" s="189"/>
      <c r="P73" s="189"/>
      <c r="Q73" s="189"/>
      <c r="R73" s="189"/>
      <c r="S73" s="189"/>
      <c r="T73" s="189"/>
      <c r="U73" s="189"/>
      <c r="V73" s="190"/>
      <c r="W73" s="190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45"/>
      <c r="AM73" s="46"/>
      <c r="AN73" s="46"/>
      <c r="AO73" s="46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</row>
    <row r="74" spans="3:61" ht="15" customHeight="1">
      <c r="C74" s="191"/>
      <c r="D74" s="148"/>
      <c r="E74" s="149"/>
      <c r="F74" s="149"/>
      <c r="G74" s="135"/>
      <c r="H74" s="136"/>
      <c r="I74" s="136"/>
      <c r="J74" s="136"/>
      <c r="K74" s="136"/>
      <c r="L74" s="137"/>
      <c r="M74" s="189"/>
      <c r="N74" s="189"/>
      <c r="O74" s="189"/>
      <c r="P74" s="189"/>
      <c r="Q74" s="189"/>
      <c r="R74" s="189"/>
      <c r="S74" s="189"/>
      <c r="T74" s="189"/>
      <c r="U74" s="189"/>
      <c r="V74" s="190"/>
      <c r="W74" s="190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45"/>
      <c r="AM74" s="46"/>
      <c r="AN74" s="46"/>
      <c r="AO74" s="46"/>
      <c r="AW74" s="28"/>
      <c r="AX74" s="28"/>
      <c r="AY74" s="28"/>
      <c r="AZ74" s="28"/>
      <c r="BA74" s="28"/>
      <c r="BB74" s="28"/>
      <c r="BC74" s="28"/>
      <c r="BD74" s="28"/>
      <c r="BE74" s="22"/>
      <c r="BF74" s="22"/>
      <c r="BG74" s="21"/>
      <c r="BH74" s="22"/>
      <c r="BI74" s="22"/>
    </row>
    <row r="75" spans="3:61" ht="16.149999999999999" customHeight="1">
      <c r="C75" s="191"/>
      <c r="D75" s="148">
        <f t="shared" ref="D75" si="26">D73+1</f>
        <v>16</v>
      </c>
      <c r="E75" s="149">
        <v>42894</v>
      </c>
      <c r="F75" s="149"/>
      <c r="G75" s="132"/>
      <c r="H75" s="133"/>
      <c r="I75" s="133"/>
      <c r="J75" s="133"/>
      <c r="K75" s="133"/>
      <c r="L75" s="134"/>
      <c r="M75" s="189"/>
      <c r="N75" s="189"/>
      <c r="O75" s="189"/>
      <c r="P75" s="189"/>
      <c r="Q75" s="189"/>
      <c r="R75" s="189"/>
      <c r="S75" s="189"/>
      <c r="T75" s="189"/>
      <c r="U75" s="189"/>
      <c r="V75" s="190"/>
      <c r="W75" s="190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45"/>
      <c r="AM75" s="46"/>
      <c r="AN75" s="46"/>
      <c r="AO75" s="46"/>
      <c r="AW75" s="23"/>
      <c r="AX75" s="23"/>
      <c r="AY75" s="23"/>
      <c r="AZ75" s="23"/>
      <c r="BA75" s="23"/>
      <c r="BB75" s="23"/>
      <c r="BC75" s="23"/>
      <c r="BD75" s="24"/>
      <c r="BE75" s="28"/>
      <c r="BF75" s="28"/>
      <c r="BG75" s="28"/>
      <c r="BH75" s="28"/>
      <c r="BI75" s="28"/>
    </row>
    <row r="76" spans="3:61" ht="16.149999999999999" customHeight="1">
      <c r="C76" s="191"/>
      <c r="D76" s="148"/>
      <c r="E76" s="149"/>
      <c r="F76" s="149"/>
      <c r="G76" s="135"/>
      <c r="H76" s="136"/>
      <c r="I76" s="136"/>
      <c r="J76" s="136"/>
      <c r="K76" s="136"/>
      <c r="L76" s="137"/>
      <c r="M76" s="189"/>
      <c r="N76" s="189"/>
      <c r="O76" s="189"/>
      <c r="P76" s="189"/>
      <c r="Q76" s="189"/>
      <c r="R76" s="189"/>
      <c r="S76" s="189"/>
      <c r="T76" s="189"/>
      <c r="U76" s="189"/>
      <c r="V76" s="190"/>
      <c r="W76" s="190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45"/>
      <c r="AM76" s="46"/>
      <c r="AN76" s="46"/>
      <c r="AO76" s="46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</row>
    <row r="77" spans="3:61" ht="15" customHeight="1">
      <c r="C77" s="191"/>
      <c r="D77" s="148">
        <f t="shared" ref="D77" si="27">D75+1</f>
        <v>17</v>
      </c>
      <c r="E77" s="149">
        <v>42895</v>
      </c>
      <c r="F77" s="149"/>
      <c r="G77" s="132"/>
      <c r="H77" s="133"/>
      <c r="I77" s="133"/>
      <c r="J77" s="133"/>
      <c r="K77" s="133"/>
      <c r="L77" s="134"/>
      <c r="M77" s="189"/>
      <c r="N77" s="189"/>
      <c r="O77" s="189"/>
      <c r="P77" s="189"/>
      <c r="Q77" s="189"/>
      <c r="R77" s="189"/>
      <c r="S77" s="189"/>
      <c r="T77" s="189"/>
      <c r="U77" s="189"/>
      <c r="V77" s="190"/>
      <c r="W77" s="190"/>
      <c r="AW77" s="28"/>
      <c r="AX77" s="28"/>
      <c r="AY77" s="28"/>
      <c r="AZ77" s="28"/>
      <c r="BA77" s="28"/>
      <c r="BB77" s="28"/>
      <c r="BC77" s="28"/>
      <c r="BD77" s="28"/>
      <c r="BE77" s="20"/>
      <c r="BF77" s="20"/>
      <c r="BG77" s="21"/>
      <c r="BH77" s="20"/>
      <c r="BI77" s="20"/>
    </row>
    <row r="78" spans="3:61">
      <c r="C78" s="191"/>
      <c r="D78" s="148"/>
      <c r="E78" s="149"/>
      <c r="F78" s="149"/>
      <c r="G78" s="135"/>
      <c r="H78" s="136"/>
      <c r="I78" s="136"/>
      <c r="J78" s="136"/>
      <c r="K78" s="136"/>
      <c r="L78" s="137"/>
      <c r="M78" s="189"/>
      <c r="N78" s="189"/>
      <c r="O78" s="189"/>
      <c r="P78" s="189"/>
      <c r="Q78" s="189"/>
      <c r="R78" s="189"/>
      <c r="S78" s="189"/>
      <c r="T78" s="189"/>
      <c r="U78" s="189"/>
      <c r="V78" s="190"/>
      <c r="W78" s="190"/>
      <c r="AV78" s="19"/>
      <c r="AW78" s="19"/>
      <c r="AX78" s="19"/>
      <c r="AY78" s="19"/>
      <c r="AZ78" s="19"/>
      <c r="BA78" s="19"/>
      <c r="BB78" s="19"/>
      <c r="BC78" s="19"/>
      <c r="BD78" s="20"/>
      <c r="BE78" s="20"/>
      <c r="BF78" s="20"/>
      <c r="BG78" s="22"/>
      <c r="BH78" s="20"/>
      <c r="BI78" s="20"/>
    </row>
    <row r="79" spans="3:61">
      <c r="C79" s="191"/>
      <c r="D79" s="148">
        <f t="shared" ref="D79" si="28">D77+1</f>
        <v>18</v>
      </c>
      <c r="E79" s="149">
        <v>42896</v>
      </c>
      <c r="F79" s="149"/>
      <c r="G79" s="132"/>
      <c r="H79" s="133"/>
      <c r="I79" s="133"/>
      <c r="J79" s="133"/>
      <c r="K79" s="133"/>
      <c r="L79" s="134"/>
      <c r="M79" s="189"/>
      <c r="N79" s="189"/>
      <c r="O79" s="189"/>
      <c r="P79" s="189"/>
      <c r="Q79" s="189"/>
      <c r="R79" s="189"/>
      <c r="S79" s="189"/>
      <c r="T79" s="189"/>
      <c r="U79" s="189"/>
      <c r="V79" s="190"/>
      <c r="W79" s="190"/>
      <c r="AV79" s="20"/>
      <c r="AW79" s="20"/>
      <c r="AX79" s="20"/>
      <c r="AY79" s="20"/>
      <c r="AZ79" s="20"/>
      <c r="BA79" s="20"/>
      <c r="BB79" s="20"/>
      <c r="BC79" s="20"/>
      <c r="BD79" s="20"/>
    </row>
    <row r="80" spans="3:61">
      <c r="C80" s="191"/>
      <c r="D80" s="148"/>
      <c r="E80" s="149"/>
      <c r="F80" s="149"/>
      <c r="G80" s="135"/>
      <c r="H80" s="136"/>
      <c r="I80" s="136"/>
      <c r="J80" s="136"/>
      <c r="K80" s="136"/>
      <c r="L80" s="137"/>
      <c r="M80" s="189"/>
      <c r="N80" s="189"/>
      <c r="O80" s="189"/>
      <c r="P80" s="189"/>
      <c r="Q80" s="189"/>
      <c r="R80" s="189"/>
      <c r="S80" s="189"/>
      <c r="T80" s="189"/>
      <c r="U80" s="189"/>
      <c r="V80" s="190"/>
      <c r="W80" s="190"/>
    </row>
    <row r="81" spans="3:23">
      <c r="C81" s="191"/>
      <c r="D81" s="148">
        <f t="shared" si="21"/>
        <v>19</v>
      </c>
      <c r="E81" s="149">
        <v>42897</v>
      </c>
      <c r="F81" s="149"/>
      <c r="G81" s="132"/>
      <c r="H81" s="133"/>
      <c r="I81" s="133"/>
      <c r="J81" s="133"/>
      <c r="K81" s="133"/>
      <c r="L81" s="134"/>
      <c r="M81" s="189"/>
      <c r="N81" s="189"/>
      <c r="O81" s="189"/>
      <c r="P81" s="189"/>
      <c r="Q81" s="189"/>
      <c r="R81" s="189"/>
      <c r="S81" s="189"/>
      <c r="T81" s="189"/>
      <c r="U81" s="189"/>
      <c r="V81" s="190"/>
      <c r="W81" s="190"/>
    </row>
    <row r="82" spans="3:23">
      <c r="C82" s="191"/>
      <c r="D82" s="148"/>
      <c r="E82" s="149"/>
      <c r="F82" s="149"/>
      <c r="G82" s="135"/>
      <c r="H82" s="136"/>
      <c r="I82" s="136"/>
      <c r="J82" s="136"/>
      <c r="K82" s="136"/>
      <c r="L82" s="137"/>
      <c r="M82" s="189"/>
      <c r="N82" s="189"/>
      <c r="O82" s="189"/>
      <c r="P82" s="189"/>
      <c r="Q82" s="189"/>
      <c r="R82" s="189"/>
      <c r="S82" s="189"/>
      <c r="T82" s="189"/>
      <c r="U82" s="189"/>
      <c r="V82" s="190"/>
      <c r="W82" s="190"/>
    </row>
    <row r="83" spans="3:23">
      <c r="C83" s="191"/>
      <c r="D83" s="148">
        <f>D81+1</f>
        <v>20</v>
      </c>
      <c r="E83" s="149">
        <v>42898</v>
      </c>
      <c r="F83" s="149"/>
      <c r="G83" s="132"/>
      <c r="H83" s="133"/>
      <c r="I83" s="133"/>
      <c r="J83" s="133"/>
      <c r="K83" s="133"/>
      <c r="L83" s="134"/>
      <c r="M83" s="189"/>
      <c r="N83" s="189"/>
      <c r="O83" s="189"/>
      <c r="P83" s="189"/>
      <c r="Q83" s="189"/>
      <c r="R83" s="189"/>
      <c r="S83" s="189"/>
      <c r="T83" s="189"/>
      <c r="U83" s="189"/>
      <c r="V83" s="190"/>
      <c r="W83" s="190"/>
    </row>
    <row r="84" spans="3:23">
      <c r="C84" s="191"/>
      <c r="D84" s="148"/>
      <c r="E84" s="149"/>
      <c r="F84" s="149"/>
      <c r="G84" s="135"/>
      <c r="H84" s="136"/>
      <c r="I84" s="136"/>
      <c r="J84" s="136"/>
      <c r="K84" s="136"/>
      <c r="L84" s="137"/>
      <c r="M84" s="189"/>
      <c r="N84" s="189"/>
      <c r="O84" s="189"/>
      <c r="P84" s="189"/>
      <c r="Q84" s="189"/>
      <c r="R84" s="189"/>
      <c r="S84" s="189"/>
      <c r="T84" s="189"/>
      <c r="U84" s="189"/>
      <c r="V84" s="190"/>
      <c r="W84" s="190"/>
    </row>
    <row r="85" spans="3:23">
      <c r="C85" s="191"/>
      <c r="D85" s="148">
        <f t="shared" ref="D85" si="29">D83+1</f>
        <v>21</v>
      </c>
      <c r="E85" s="149">
        <v>42899</v>
      </c>
      <c r="F85" s="149"/>
      <c r="G85" s="132"/>
      <c r="H85" s="133"/>
      <c r="I85" s="133"/>
      <c r="J85" s="133"/>
      <c r="K85" s="133"/>
      <c r="L85" s="134"/>
      <c r="M85" s="189"/>
      <c r="N85" s="189"/>
      <c r="O85" s="189"/>
      <c r="P85" s="189"/>
      <c r="Q85" s="189"/>
      <c r="R85" s="189"/>
      <c r="S85" s="189"/>
      <c r="T85" s="189"/>
      <c r="U85" s="189"/>
      <c r="V85" s="190"/>
      <c r="W85" s="190"/>
    </row>
    <row r="86" spans="3:23">
      <c r="C86" s="191"/>
      <c r="D86" s="148"/>
      <c r="E86" s="149"/>
      <c r="F86" s="149"/>
      <c r="G86" s="135"/>
      <c r="H86" s="136"/>
      <c r="I86" s="136"/>
      <c r="J86" s="136"/>
      <c r="K86" s="136"/>
      <c r="L86" s="137"/>
      <c r="M86" s="189"/>
      <c r="N86" s="189"/>
      <c r="O86" s="189"/>
      <c r="P86" s="189"/>
      <c r="Q86" s="189"/>
      <c r="R86" s="189"/>
      <c r="S86" s="189"/>
      <c r="T86" s="189"/>
      <c r="U86" s="189"/>
      <c r="V86" s="190"/>
      <c r="W86" s="190"/>
    </row>
    <row r="87" spans="3:23">
      <c r="D87"/>
      <c r="I87" s="1"/>
    </row>
    <row r="88" spans="3:23" hidden="1">
      <c r="D88"/>
      <c r="I88" s="1"/>
    </row>
    <row r="89" spans="3:23" hidden="1">
      <c r="I89" s="1"/>
    </row>
    <row r="90" spans="3:23" hidden="1">
      <c r="I90" s="1"/>
    </row>
    <row r="91" spans="3:23" hidden="1">
      <c r="I91" s="1"/>
    </row>
    <row r="92" spans="3:23" hidden="1">
      <c r="I92" s="1"/>
    </row>
    <row r="93" spans="3:23" hidden="1">
      <c r="I93" s="1"/>
    </row>
    <row r="94" spans="3:23" hidden="1">
      <c r="I94" s="1"/>
    </row>
    <row r="95" spans="3:23" hidden="1">
      <c r="I95" s="1"/>
    </row>
    <row r="96" spans="3:23" hidden="1">
      <c r="I96" s="1"/>
    </row>
    <row r="97" spans="9:9" hidden="1">
      <c r="I97" s="1"/>
    </row>
    <row r="98" spans="9:9" hidden="1">
      <c r="I98" s="1"/>
    </row>
    <row r="99" spans="9:9" hidden="1">
      <c r="I99" s="1"/>
    </row>
    <row r="100" spans="9:9" hidden="1">
      <c r="I100" s="1"/>
    </row>
    <row r="101" spans="9:9" hidden="1">
      <c r="I101" s="1"/>
    </row>
    <row r="102" spans="9:9" hidden="1">
      <c r="I102" s="1"/>
    </row>
    <row r="103" spans="9:9" hidden="1">
      <c r="I103" s="1"/>
    </row>
    <row r="104" spans="9:9" hidden="1">
      <c r="I104" s="1"/>
    </row>
    <row r="105" spans="9:9" hidden="1">
      <c r="I105" s="1"/>
    </row>
    <row r="106" spans="9:9" hidden="1">
      <c r="I106" s="1"/>
    </row>
    <row r="107" spans="9:9" hidden="1">
      <c r="I107" s="1"/>
    </row>
    <row r="108" spans="9:9" hidden="1">
      <c r="I108" s="1"/>
    </row>
    <row r="109" spans="9:9" hidden="1">
      <c r="I109" s="1"/>
    </row>
    <row r="110" spans="9:9" hidden="1">
      <c r="I110" s="1"/>
    </row>
    <row r="111" spans="9:9" hidden="1">
      <c r="I111" s="1"/>
    </row>
    <row r="112" spans="9:9" hidden="1">
      <c r="I112" s="1"/>
    </row>
    <row r="113" spans="4:9" hidden="1">
      <c r="I113" s="1"/>
    </row>
    <row r="114" spans="4:9" hidden="1">
      <c r="D114" s="1">
        <v>-1</v>
      </c>
      <c r="F114" s="1">
        <v>-1</v>
      </c>
      <c r="G114" s="1">
        <v>-1</v>
      </c>
      <c r="H114" s="1">
        <v>-1</v>
      </c>
      <c r="I114" s="1">
        <v>-1</v>
      </c>
    </row>
    <row r="115" spans="4:9" hidden="1">
      <c r="D115" s="1">
        <v>1</v>
      </c>
      <c r="F115" s="1">
        <v>1</v>
      </c>
      <c r="G115" s="1">
        <v>1</v>
      </c>
      <c r="H115" s="1">
        <v>1</v>
      </c>
      <c r="I115" s="1">
        <v>1</v>
      </c>
    </row>
    <row r="116" spans="4:9" hidden="1">
      <c r="D116" s="1">
        <v>0</v>
      </c>
      <c r="F116" s="1">
        <v>0</v>
      </c>
      <c r="G116" s="1">
        <v>0</v>
      </c>
      <c r="H116" s="1">
        <v>0</v>
      </c>
      <c r="I116" s="1">
        <v>0</v>
      </c>
    </row>
  </sheetData>
  <sheetProtection sheet="1" objects="1" scenarios="1"/>
  <mergeCells count="220">
    <mergeCell ref="BE20:BJ23"/>
    <mergeCell ref="BE25:BJ27"/>
    <mergeCell ref="P11:V12"/>
    <mergeCell ref="P13:R14"/>
    <mergeCell ref="T13:V14"/>
    <mergeCell ref="P15:Q16"/>
    <mergeCell ref="P17:Q18"/>
    <mergeCell ref="P19:Q20"/>
    <mergeCell ref="T15:U16"/>
    <mergeCell ref="T17:U18"/>
    <mergeCell ref="T19:U20"/>
    <mergeCell ref="R15:R16"/>
    <mergeCell ref="R17:R18"/>
    <mergeCell ref="R19:R20"/>
    <mergeCell ref="V15:V16"/>
    <mergeCell ref="V17:V18"/>
    <mergeCell ref="V19:V20"/>
    <mergeCell ref="AB9:AH22"/>
    <mergeCell ref="BE14:BJ18"/>
    <mergeCell ref="BE8:BJ12"/>
    <mergeCell ref="C85:C86"/>
    <mergeCell ref="V43:W44"/>
    <mergeCell ref="M43:U44"/>
    <mergeCell ref="V45:W46"/>
    <mergeCell ref="M45:U46"/>
    <mergeCell ref="M47:U48"/>
    <mergeCell ref="V47:W48"/>
    <mergeCell ref="M49:U50"/>
    <mergeCell ref="V49:W50"/>
    <mergeCell ref="M51:U52"/>
    <mergeCell ref="V51:W52"/>
    <mergeCell ref="M53:U54"/>
    <mergeCell ref="V53:W54"/>
    <mergeCell ref="M55:U56"/>
    <mergeCell ref="V55:W56"/>
    <mergeCell ref="M57:U58"/>
    <mergeCell ref="V57:W58"/>
    <mergeCell ref="M59:U60"/>
    <mergeCell ref="V59:W60"/>
    <mergeCell ref="M61:U62"/>
    <mergeCell ref="V61:W62"/>
    <mergeCell ref="M63:U64"/>
    <mergeCell ref="V63:W64"/>
    <mergeCell ref="C67:C68"/>
    <mergeCell ref="C79:C80"/>
    <mergeCell ref="C81:C82"/>
    <mergeCell ref="C83:C84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45:C46"/>
    <mergeCell ref="C47:C48"/>
    <mergeCell ref="D85:D86"/>
    <mergeCell ref="E85:F86"/>
    <mergeCell ref="G85:L86"/>
    <mergeCell ref="M85:U86"/>
    <mergeCell ref="V85:W86"/>
    <mergeCell ref="D79:D80"/>
    <mergeCell ref="E79:F80"/>
    <mergeCell ref="G79:L80"/>
    <mergeCell ref="D81:D82"/>
    <mergeCell ref="E81:F82"/>
    <mergeCell ref="G81:L82"/>
    <mergeCell ref="D83:D84"/>
    <mergeCell ref="E83:F84"/>
    <mergeCell ref="G83:L84"/>
    <mergeCell ref="M79:U80"/>
    <mergeCell ref="V79:W80"/>
    <mergeCell ref="M81:U82"/>
    <mergeCell ref="C69:C70"/>
    <mergeCell ref="C71:C72"/>
    <mergeCell ref="C73:C74"/>
    <mergeCell ref="C75:C76"/>
    <mergeCell ref="C77:C78"/>
    <mergeCell ref="E71:F72"/>
    <mergeCell ref="G71:L72"/>
    <mergeCell ref="V81:W82"/>
    <mergeCell ref="M83:U84"/>
    <mergeCell ref="V83:W84"/>
    <mergeCell ref="D73:D74"/>
    <mergeCell ref="E73:F74"/>
    <mergeCell ref="G73:L74"/>
    <mergeCell ref="D75:D76"/>
    <mergeCell ref="E75:F76"/>
    <mergeCell ref="G75:L76"/>
    <mergeCell ref="D77:D78"/>
    <mergeCell ref="E77:F78"/>
    <mergeCell ref="G77:L78"/>
    <mergeCell ref="M73:U74"/>
    <mergeCell ref="V73:W74"/>
    <mergeCell ref="M75:U76"/>
    <mergeCell ref="V75:W76"/>
    <mergeCell ref="M77:U78"/>
    <mergeCell ref="V77:W78"/>
    <mergeCell ref="M67:U68"/>
    <mergeCell ref="V67:W68"/>
    <mergeCell ref="M69:U70"/>
    <mergeCell ref="V69:W70"/>
    <mergeCell ref="M71:U72"/>
    <mergeCell ref="V71:W72"/>
    <mergeCell ref="D61:D62"/>
    <mergeCell ref="E61:F62"/>
    <mergeCell ref="G61:L62"/>
    <mergeCell ref="D63:D64"/>
    <mergeCell ref="E63:F64"/>
    <mergeCell ref="G63:L64"/>
    <mergeCell ref="D65:D66"/>
    <mergeCell ref="E65:F66"/>
    <mergeCell ref="G65:L66"/>
    <mergeCell ref="M65:U66"/>
    <mergeCell ref="V65:W66"/>
    <mergeCell ref="D67:D68"/>
    <mergeCell ref="E67:F68"/>
    <mergeCell ref="G67:L68"/>
    <mergeCell ref="D69:D70"/>
    <mergeCell ref="E69:F70"/>
    <mergeCell ref="G69:L70"/>
    <mergeCell ref="D71:D72"/>
    <mergeCell ref="D55:D56"/>
    <mergeCell ref="E55:F56"/>
    <mergeCell ref="G55:L56"/>
    <mergeCell ref="D57:D58"/>
    <mergeCell ref="E57:F58"/>
    <mergeCell ref="G57:L58"/>
    <mergeCell ref="D59:D60"/>
    <mergeCell ref="E59:F60"/>
    <mergeCell ref="G59:L60"/>
    <mergeCell ref="D51:D52"/>
    <mergeCell ref="E51:F52"/>
    <mergeCell ref="G51:L52"/>
    <mergeCell ref="D53:D54"/>
    <mergeCell ref="E53:F54"/>
    <mergeCell ref="G53:L54"/>
    <mergeCell ref="D45:D46"/>
    <mergeCell ref="E45:F46"/>
    <mergeCell ref="G45:L46"/>
    <mergeCell ref="D47:D48"/>
    <mergeCell ref="E47:F48"/>
    <mergeCell ref="G47:L48"/>
    <mergeCell ref="O28:W28"/>
    <mergeCell ref="O29:W29"/>
    <mergeCell ref="O30:W30"/>
    <mergeCell ref="F24:H24"/>
    <mergeCell ref="J11:J12"/>
    <mergeCell ref="K11:L12"/>
    <mergeCell ref="O31:W31"/>
    <mergeCell ref="O32:W32"/>
    <mergeCell ref="O33:W33"/>
    <mergeCell ref="F25:H25"/>
    <mergeCell ref="M11:M12"/>
    <mergeCell ref="F18:H18"/>
    <mergeCell ref="F19:H19"/>
    <mergeCell ref="F20:H20"/>
    <mergeCell ref="F13:H13"/>
    <mergeCell ref="F14:H14"/>
    <mergeCell ref="F15:H15"/>
    <mergeCell ref="F16:H16"/>
    <mergeCell ref="F17:H17"/>
    <mergeCell ref="D6:F6"/>
    <mergeCell ref="D7:F7"/>
    <mergeCell ref="D8:F8"/>
    <mergeCell ref="G6:I6"/>
    <mergeCell ref="G7:I7"/>
    <mergeCell ref="G8:I8"/>
    <mergeCell ref="F21:H21"/>
    <mergeCell ref="F22:H22"/>
    <mergeCell ref="F23:H23"/>
    <mergeCell ref="D11:D12"/>
    <mergeCell ref="E11:E12"/>
    <mergeCell ref="F11:H12"/>
    <mergeCell ref="I11:I12"/>
    <mergeCell ref="D43:D44"/>
    <mergeCell ref="E43:F44"/>
    <mergeCell ref="G43:L44"/>
    <mergeCell ref="D49:D50"/>
    <mergeCell ref="E49:F50"/>
    <mergeCell ref="I28:N28"/>
    <mergeCell ref="E30:F30"/>
    <mergeCell ref="E31:F31"/>
    <mergeCell ref="E32:F32"/>
    <mergeCell ref="E33:F33"/>
    <mergeCell ref="E34:F34"/>
    <mergeCell ref="G30:H30"/>
    <mergeCell ref="G31:H31"/>
    <mergeCell ref="G32:H32"/>
    <mergeCell ref="G33:H33"/>
    <mergeCell ref="G34:H34"/>
    <mergeCell ref="E29:F29"/>
    <mergeCell ref="G29:H29"/>
    <mergeCell ref="D28:H28"/>
    <mergeCell ref="I29:K29"/>
    <mergeCell ref="L30:N30"/>
    <mergeCell ref="AA43:AD46"/>
    <mergeCell ref="AA47:AD50"/>
    <mergeCell ref="AF43:AI44"/>
    <mergeCell ref="AF45:AI46"/>
    <mergeCell ref="AF47:AI48"/>
    <mergeCell ref="AF49:AI50"/>
    <mergeCell ref="I31:K31"/>
    <mergeCell ref="I30:K30"/>
    <mergeCell ref="L29:N29"/>
    <mergeCell ref="I34:K34"/>
    <mergeCell ref="I33:K33"/>
    <mergeCell ref="I32:K32"/>
    <mergeCell ref="G49:L50"/>
    <mergeCell ref="L31:N31"/>
    <mergeCell ref="L32:N32"/>
    <mergeCell ref="L33:N33"/>
    <mergeCell ref="L34:N34"/>
    <mergeCell ref="O34:W34"/>
    <mergeCell ref="AB30:AI30"/>
    <mergeCell ref="AB31:AI31"/>
    <mergeCell ref="AB32:AI32"/>
    <mergeCell ref="AB33:AI33"/>
  </mergeCells>
  <conditionalFormatting sqref="AP7 I87:I116 I13:I24 I35:I37 AP23:AP26 I26:I27">
    <cfRule type="iconSet" priority="65">
      <iconSet iconSet="3Flags" showValue="0">
        <cfvo type="percent" val="0"/>
        <cfvo type="percent" val="33"/>
        <cfvo type="percent" val="67"/>
      </iconSet>
    </cfRule>
  </conditionalFormatting>
  <conditionalFormatting sqref="D89:D116 D40:D43 D35:D38 D13:D27">
    <cfRule type="iconSet" priority="66">
      <iconSet iconSet="3TrafficLights2" showValue="0">
        <cfvo type="percent" val="0"/>
        <cfvo type="percent" val="33"/>
        <cfvo type="percent" val="67"/>
      </iconSet>
    </cfRule>
  </conditionalFormatting>
  <conditionalFormatting sqref="BL20:BL22 BL14:BL17 BL8:BL12">
    <cfRule type="iconSet" priority="55">
      <iconSet iconSet="3Symbols2" showValue="0">
        <cfvo type="percent" val="0"/>
        <cfvo type="num" val="0" gte="0"/>
        <cfvo type="num" val="1"/>
      </iconSet>
    </cfRule>
  </conditionalFormatting>
  <conditionalFormatting sqref="BM8:BN8 BM20:BM22 BM25:BO27 BO20:BO23 BM9:BO12 BM14:BO18 BM13 BO13">
    <cfRule type="expression" dxfId="10" priority="54">
      <formula>$BL8=0</formula>
    </cfRule>
  </conditionalFormatting>
  <conditionalFormatting sqref="I25">
    <cfRule type="iconSet" priority="27">
      <iconSet iconSet="3Flags" showValue="0">
        <cfvo type="percent" val="0"/>
        <cfvo type="percent" val="33"/>
        <cfvo type="percent" val="67"/>
      </iconSet>
    </cfRule>
  </conditionalFormatting>
  <conditionalFormatting sqref="BL25:BL27">
    <cfRule type="iconSet" priority="19">
      <iconSet iconSet="3Symbols2" showValue="0">
        <cfvo type="percent" val="0"/>
        <cfvo type="num" val="0" gte="0"/>
        <cfvo type="num" val="1"/>
      </iconSet>
    </cfRule>
  </conditionalFormatting>
  <conditionalFormatting sqref="BL18">
    <cfRule type="iconSet" priority="15">
      <iconSet iconSet="3Symbols2" showValue="0">
        <cfvo type="percent" val="0"/>
        <cfvo type="num" val="0" gte="0"/>
        <cfvo type="num" val="1"/>
      </iconSet>
    </cfRule>
  </conditionalFormatting>
  <conditionalFormatting sqref="L13:L25">
    <cfRule type="expression" dxfId="9" priority="9">
      <formula>$C13=7</formula>
    </cfRule>
    <cfRule type="expression" dxfId="8" priority="10">
      <formula>$C13=1</formula>
    </cfRule>
  </conditionalFormatting>
  <conditionalFormatting sqref="BN20:BN22">
    <cfRule type="expression" dxfId="7" priority="8">
      <formula>$BL20=0</formula>
    </cfRule>
  </conditionalFormatting>
  <conditionalFormatting sqref="BL23">
    <cfRule type="iconSet" priority="7">
      <iconSet iconSet="3Symbols2" showValue="0">
        <cfvo type="percent" val="0"/>
        <cfvo type="num" val="0" gte="0"/>
        <cfvo type="num" val="1"/>
      </iconSet>
    </cfRule>
  </conditionalFormatting>
  <conditionalFormatting sqref="BM23">
    <cfRule type="expression" dxfId="6" priority="6">
      <formula>$BL23=0</formula>
    </cfRule>
  </conditionalFormatting>
  <conditionalFormatting sqref="BN23">
    <cfRule type="expression" dxfId="5" priority="5">
      <formula>$BL23=0</formula>
    </cfRule>
  </conditionalFormatting>
  <conditionalFormatting sqref="BO24">
    <cfRule type="expression" dxfId="4" priority="3">
      <formula>$BL24=0</formula>
    </cfRule>
  </conditionalFormatting>
  <conditionalFormatting sqref="BM19 BO19">
    <cfRule type="expression" dxfId="3" priority="1">
      <formula>$BL19=0</formula>
    </cfRule>
  </conditionalFormatting>
  <dataValidations count="1">
    <dataValidation type="list" allowBlank="1" showInputMessage="1" showErrorMessage="1" sqref="G45:L86">
      <formula1>$CS$7:$CS$27</formula1>
    </dataValidation>
  </dataValidations>
  <hyperlinks>
    <hyperlink ref="I30" r:id="rId1"/>
    <hyperlink ref="I31" r:id="rId2"/>
    <hyperlink ref="I32" r:id="rId3"/>
    <hyperlink ref="I33" r:id="rId4"/>
    <hyperlink ref="I34" r:id="rId5"/>
  </hyperlinks>
  <pageMargins left="0.511811024" right="0.511811024" top="0.78740157499999996" bottom="0.78740157499999996" header="0.31496062000000002" footer="0.31496062000000002"/>
  <pageSetup paperSize="9" orientation="portrait" r:id="rId6"/>
  <ignoredErrors>
    <ignoredError sqref="C23:C25" evalError="1"/>
    <ignoredError sqref="AN11" formulaRange="1"/>
  </ignoredErrors>
  <drawing r:id="rId7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8"/>
  <sheetViews>
    <sheetView showGridLines="0" tabSelected="1" workbookViewId="0">
      <selection activeCell="B6" sqref="B6"/>
    </sheetView>
  </sheetViews>
  <sheetFormatPr defaultColWidth="8.7109375" defaultRowHeight="15"/>
  <cols>
    <col min="1" max="1" width="2.7109375" style="65" customWidth="1"/>
    <col min="2" max="2" width="12" style="68" customWidth="1"/>
    <col min="3" max="3" width="56.140625" style="67" customWidth="1"/>
    <col min="4" max="4" width="15.42578125" style="65" customWidth="1"/>
    <col min="5" max="5" width="10.7109375" style="68" customWidth="1"/>
    <col min="6" max="6" width="9.7109375" style="65" customWidth="1"/>
    <col min="7" max="7" width="12" style="68" customWidth="1"/>
    <col min="8" max="8" width="56.140625" style="67" customWidth="1"/>
    <col min="9" max="9" width="15.42578125" style="65" customWidth="1"/>
    <col min="10" max="10" width="10.7109375" style="68" customWidth="1"/>
    <col min="11" max="16384" width="8.7109375" style="65"/>
  </cols>
  <sheetData>
    <row r="1" spans="1:10">
      <c r="A1" s="26" t="s">
        <v>161</v>
      </c>
    </row>
    <row r="2" spans="1:10" ht="48" customHeight="1">
      <c r="A2" s="26"/>
      <c r="B2" s="204" t="s">
        <v>163</v>
      </c>
      <c r="C2" s="204"/>
      <c r="D2" s="204"/>
      <c r="E2" s="204"/>
      <c r="F2" s="204"/>
      <c r="G2" s="204"/>
      <c r="H2" s="204"/>
      <c r="I2" s="204"/>
      <c r="J2" s="204"/>
    </row>
    <row r="3" spans="1:10">
      <c r="A3" s="26" t="s">
        <v>162</v>
      </c>
    </row>
    <row r="4" spans="1:10" s="66" customFormat="1" ht="34.9" customHeight="1">
      <c r="B4" s="69" t="s">
        <v>160</v>
      </c>
      <c r="C4" s="69" t="s">
        <v>159</v>
      </c>
      <c r="D4" s="69" t="s">
        <v>158</v>
      </c>
      <c r="E4" s="69" t="s">
        <v>157</v>
      </c>
      <c r="G4" s="69" t="s">
        <v>160</v>
      </c>
      <c r="H4" s="69" t="s">
        <v>156</v>
      </c>
      <c r="I4" s="69" t="s">
        <v>158</v>
      </c>
      <c r="J4" s="69" t="s">
        <v>157</v>
      </c>
    </row>
    <row r="5" spans="1:10" s="70" customFormat="1" ht="18.75">
      <c r="B5" s="71">
        <f>COUNTIF(B6:B62,"Sim")</f>
        <v>0</v>
      </c>
      <c r="C5" s="72">
        <f>COUNTA(C6:C62)</f>
        <v>8</v>
      </c>
      <c r="D5" s="72"/>
      <c r="E5" s="71"/>
      <c r="G5" s="71">
        <f>COUNTIF(G6:G62,"Sim")</f>
        <v>0</v>
      </c>
      <c r="H5" s="72">
        <f>COUNTA(H6:H62)</f>
        <v>21</v>
      </c>
      <c r="I5" s="72"/>
      <c r="J5" s="71"/>
    </row>
    <row r="6" spans="1:10" s="83" customFormat="1" ht="31.9" customHeight="1">
      <c r="B6" s="84"/>
      <c r="C6" s="85" t="s">
        <v>155</v>
      </c>
      <c r="D6" s="86" t="s">
        <v>154</v>
      </c>
      <c r="E6" s="84" t="s">
        <v>117</v>
      </c>
      <c r="G6" s="84"/>
      <c r="H6" s="85" t="s">
        <v>153</v>
      </c>
      <c r="I6" s="86" t="s">
        <v>120</v>
      </c>
      <c r="J6" s="84" t="s">
        <v>25</v>
      </c>
    </row>
    <row r="7" spans="1:10" s="83" customFormat="1" ht="31.9" customHeight="1">
      <c r="B7" s="87"/>
      <c r="C7" s="88" t="s">
        <v>152</v>
      </c>
      <c r="D7" s="89" t="s">
        <v>120</v>
      </c>
      <c r="E7" s="87" t="s">
        <v>117</v>
      </c>
      <c r="G7" s="87"/>
      <c r="H7" s="88" t="s">
        <v>151</v>
      </c>
      <c r="I7" s="89" t="s">
        <v>135</v>
      </c>
      <c r="J7" s="87" t="s">
        <v>25</v>
      </c>
    </row>
    <row r="8" spans="1:10" s="83" customFormat="1" ht="31.9" customHeight="1">
      <c r="B8" s="84"/>
      <c r="C8" s="85" t="s">
        <v>150</v>
      </c>
      <c r="D8" s="86" t="s">
        <v>120</v>
      </c>
      <c r="E8" s="84" t="s">
        <v>122</v>
      </c>
      <c r="G8" s="84"/>
      <c r="H8" s="85" t="s">
        <v>149</v>
      </c>
      <c r="I8" s="86" t="s">
        <v>135</v>
      </c>
      <c r="J8" s="84" t="s">
        <v>25</v>
      </c>
    </row>
    <row r="9" spans="1:10" s="83" customFormat="1" ht="31.9" customHeight="1">
      <c r="B9" s="87"/>
      <c r="C9" s="88" t="s">
        <v>148</v>
      </c>
      <c r="D9" s="89" t="s">
        <v>120</v>
      </c>
      <c r="E9" s="87" t="s">
        <v>122</v>
      </c>
      <c r="G9" s="87"/>
      <c r="H9" s="88" t="s">
        <v>147</v>
      </c>
      <c r="I9" s="89" t="s">
        <v>135</v>
      </c>
      <c r="J9" s="87" t="s">
        <v>25</v>
      </c>
    </row>
    <row r="10" spans="1:10" s="83" customFormat="1" ht="31.9" customHeight="1">
      <c r="B10" s="84"/>
      <c r="C10" s="85" t="s">
        <v>146</v>
      </c>
      <c r="D10" s="86" t="s">
        <v>140</v>
      </c>
      <c r="E10" s="84" t="s">
        <v>133</v>
      </c>
      <c r="G10" s="84"/>
      <c r="H10" s="85" t="s">
        <v>145</v>
      </c>
      <c r="I10" s="86" t="s">
        <v>144</v>
      </c>
      <c r="J10" s="84" t="s">
        <v>25</v>
      </c>
    </row>
    <row r="11" spans="1:10" s="83" customFormat="1" ht="31.9" customHeight="1">
      <c r="B11" s="87"/>
      <c r="C11" s="88" t="s">
        <v>143</v>
      </c>
      <c r="D11" s="89" t="s">
        <v>140</v>
      </c>
      <c r="E11" s="87" t="s">
        <v>133</v>
      </c>
      <c r="G11" s="87"/>
      <c r="H11" s="88" t="s">
        <v>142</v>
      </c>
      <c r="I11" s="89" t="s">
        <v>138</v>
      </c>
      <c r="J11" s="87" t="s">
        <v>25</v>
      </c>
    </row>
    <row r="12" spans="1:10" s="83" customFormat="1" ht="31.9" customHeight="1">
      <c r="B12" s="84"/>
      <c r="C12" s="85" t="s">
        <v>141</v>
      </c>
      <c r="D12" s="86" t="s">
        <v>140</v>
      </c>
      <c r="E12" s="84" t="s">
        <v>133</v>
      </c>
      <c r="G12" s="84"/>
      <c r="H12" s="85" t="s">
        <v>139</v>
      </c>
      <c r="I12" s="86" t="s">
        <v>138</v>
      </c>
      <c r="J12" s="84" t="s">
        <v>25</v>
      </c>
    </row>
    <row r="13" spans="1:10" s="83" customFormat="1" ht="31.9" customHeight="1">
      <c r="B13" s="87"/>
      <c r="C13" s="88" t="s">
        <v>175</v>
      </c>
      <c r="D13" s="89"/>
      <c r="E13" s="87"/>
      <c r="G13" s="87"/>
      <c r="H13" s="88" t="s">
        <v>137</v>
      </c>
      <c r="I13" s="89" t="s">
        <v>120</v>
      </c>
      <c r="J13" s="87" t="s">
        <v>25</v>
      </c>
    </row>
    <row r="14" spans="1:10" s="83" customFormat="1" ht="31.9" customHeight="1">
      <c r="B14" s="84"/>
      <c r="C14" s="85"/>
      <c r="D14" s="86"/>
      <c r="E14" s="84"/>
      <c r="G14" s="84"/>
      <c r="H14" s="85" t="s">
        <v>136</v>
      </c>
      <c r="I14" s="86" t="s">
        <v>135</v>
      </c>
      <c r="J14" s="84" t="s">
        <v>133</v>
      </c>
    </row>
    <row r="15" spans="1:10" s="83" customFormat="1" ht="31.9" customHeight="1">
      <c r="B15" s="87"/>
      <c r="C15" s="88"/>
      <c r="D15" s="89"/>
      <c r="E15" s="87"/>
      <c r="G15" s="87"/>
      <c r="H15" s="88" t="s">
        <v>134</v>
      </c>
      <c r="I15" s="89" t="s">
        <v>120</v>
      </c>
      <c r="J15" s="87" t="s">
        <v>133</v>
      </c>
    </row>
    <row r="16" spans="1:10" s="83" customFormat="1" ht="31.9" customHeight="1">
      <c r="B16" s="84"/>
      <c r="C16" s="85"/>
      <c r="D16" s="86"/>
      <c r="E16" s="84"/>
      <c r="G16" s="84"/>
      <c r="H16" s="85" t="s">
        <v>132</v>
      </c>
      <c r="I16" s="86" t="s">
        <v>120</v>
      </c>
      <c r="J16" s="84" t="s">
        <v>122</v>
      </c>
    </row>
    <row r="17" spans="2:10" s="83" customFormat="1" ht="31.9" customHeight="1">
      <c r="B17" s="87"/>
      <c r="C17" s="88"/>
      <c r="D17" s="89"/>
      <c r="E17" s="87"/>
      <c r="G17" s="87"/>
      <c r="H17" s="88" t="s">
        <v>131</v>
      </c>
      <c r="I17" s="89" t="s">
        <v>120</v>
      </c>
      <c r="J17" s="87" t="s">
        <v>122</v>
      </c>
    </row>
    <row r="18" spans="2:10" s="83" customFormat="1" ht="31.9" customHeight="1">
      <c r="B18" s="84"/>
      <c r="C18" s="85"/>
      <c r="D18" s="86"/>
      <c r="E18" s="84"/>
      <c r="G18" s="84"/>
      <c r="H18" s="85" t="s">
        <v>130</v>
      </c>
      <c r="I18" s="86" t="s">
        <v>120</v>
      </c>
      <c r="J18" s="84" t="s">
        <v>122</v>
      </c>
    </row>
    <row r="19" spans="2:10" s="83" customFormat="1" ht="31.9" customHeight="1">
      <c r="B19" s="87"/>
      <c r="C19" s="88"/>
      <c r="D19" s="89"/>
      <c r="E19" s="87"/>
      <c r="G19" s="87"/>
      <c r="H19" s="88" t="s">
        <v>129</v>
      </c>
      <c r="I19" s="89" t="s">
        <v>120</v>
      </c>
      <c r="J19" s="87" t="s">
        <v>122</v>
      </c>
    </row>
    <row r="20" spans="2:10" s="83" customFormat="1" ht="31.9" customHeight="1">
      <c r="B20" s="84"/>
      <c r="C20" s="85"/>
      <c r="D20" s="86"/>
      <c r="E20" s="84"/>
      <c r="G20" s="84"/>
      <c r="H20" s="85" t="s">
        <v>128</v>
      </c>
      <c r="I20" s="86" t="s">
        <v>125</v>
      </c>
      <c r="J20" s="84" t="s">
        <v>122</v>
      </c>
    </row>
    <row r="21" spans="2:10" s="83" customFormat="1" ht="31.9" customHeight="1">
      <c r="B21" s="87"/>
      <c r="C21" s="88"/>
      <c r="D21" s="89"/>
      <c r="E21" s="87"/>
      <c r="G21" s="87"/>
      <c r="H21" s="88" t="s">
        <v>127</v>
      </c>
      <c r="I21" s="89" t="s">
        <v>125</v>
      </c>
      <c r="J21" s="87" t="s">
        <v>122</v>
      </c>
    </row>
    <row r="22" spans="2:10" s="83" customFormat="1" ht="31.9" customHeight="1">
      <c r="B22" s="84"/>
      <c r="C22" s="85"/>
      <c r="D22" s="86"/>
      <c r="E22" s="84"/>
      <c r="G22" s="84"/>
      <c r="H22" s="85" t="s">
        <v>126</v>
      </c>
      <c r="I22" s="86" t="s">
        <v>125</v>
      </c>
      <c r="J22" s="84" t="s">
        <v>122</v>
      </c>
    </row>
    <row r="23" spans="2:10" s="83" customFormat="1" ht="31.9" customHeight="1">
      <c r="B23" s="87"/>
      <c r="C23" s="88"/>
      <c r="D23" s="89"/>
      <c r="E23" s="87"/>
      <c r="G23" s="87"/>
      <c r="H23" s="88" t="s">
        <v>124</v>
      </c>
      <c r="I23" s="89" t="s">
        <v>123</v>
      </c>
      <c r="J23" s="87" t="s">
        <v>122</v>
      </c>
    </row>
    <row r="24" spans="2:10" s="83" customFormat="1" ht="31.9" customHeight="1">
      <c r="B24" s="84"/>
      <c r="C24" s="85"/>
      <c r="D24" s="86"/>
      <c r="E24" s="84"/>
      <c r="G24" s="84"/>
      <c r="H24" s="85" t="s">
        <v>121</v>
      </c>
      <c r="I24" s="86" t="s">
        <v>120</v>
      </c>
      <c r="J24" s="84" t="s">
        <v>117</v>
      </c>
    </row>
    <row r="25" spans="2:10" s="83" customFormat="1" ht="31.9" customHeight="1">
      <c r="B25" s="87"/>
      <c r="C25" s="88"/>
      <c r="D25" s="89"/>
      <c r="E25" s="87"/>
      <c r="G25" s="87"/>
      <c r="H25" s="88" t="s">
        <v>119</v>
      </c>
      <c r="I25" s="89" t="s">
        <v>118</v>
      </c>
      <c r="J25" s="87" t="s">
        <v>117</v>
      </c>
    </row>
    <row r="26" spans="2:10" s="83" customFormat="1" ht="31.9" customHeight="1">
      <c r="B26" s="84"/>
      <c r="C26" s="85"/>
      <c r="D26" s="86"/>
      <c r="E26" s="84"/>
      <c r="G26" s="84"/>
      <c r="H26" s="85" t="s">
        <v>116</v>
      </c>
      <c r="I26" s="86"/>
      <c r="J26" s="84"/>
    </row>
    <row r="27" spans="2:10" s="83" customFormat="1" ht="31.9" customHeight="1">
      <c r="B27" s="87"/>
      <c r="C27" s="88"/>
      <c r="D27" s="89"/>
      <c r="E27" s="87"/>
      <c r="G27" s="87"/>
      <c r="H27" s="88"/>
      <c r="I27" s="89"/>
      <c r="J27" s="87"/>
    </row>
    <row r="28" spans="2:10" s="83" customFormat="1" ht="31.9" customHeight="1">
      <c r="B28" s="84"/>
      <c r="C28" s="85"/>
      <c r="D28" s="86"/>
      <c r="E28" s="84"/>
      <c r="G28" s="84"/>
      <c r="H28" s="85"/>
      <c r="I28" s="86"/>
      <c r="J28" s="84"/>
    </row>
    <row r="29" spans="2:10" s="83" customFormat="1" ht="31.9" customHeight="1">
      <c r="B29" s="87"/>
      <c r="C29" s="88"/>
      <c r="D29" s="89"/>
      <c r="E29" s="87"/>
      <c r="G29" s="87"/>
      <c r="H29" s="88"/>
      <c r="I29" s="89"/>
      <c r="J29" s="87"/>
    </row>
    <row r="30" spans="2:10" s="83" customFormat="1" ht="31.9" customHeight="1">
      <c r="B30" s="84"/>
      <c r="C30" s="85"/>
      <c r="D30" s="86"/>
      <c r="E30" s="84"/>
      <c r="G30" s="84"/>
      <c r="H30" s="85"/>
      <c r="I30" s="86"/>
      <c r="J30" s="84"/>
    </row>
    <row r="31" spans="2:10" s="83" customFormat="1" ht="31.9" customHeight="1">
      <c r="B31" s="87"/>
      <c r="C31" s="88"/>
      <c r="D31" s="89"/>
      <c r="E31" s="87"/>
      <c r="G31" s="87"/>
      <c r="H31" s="88"/>
      <c r="I31" s="89"/>
      <c r="J31" s="87"/>
    </row>
    <row r="32" spans="2:10" s="83" customFormat="1" ht="31.9" customHeight="1">
      <c r="B32" s="84"/>
      <c r="C32" s="85"/>
      <c r="D32" s="86"/>
      <c r="E32" s="84"/>
      <c r="G32" s="84"/>
      <c r="H32" s="85"/>
      <c r="I32" s="86"/>
      <c r="J32" s="84"/>
    </row>
    <row r="33" spans="2:10" s="83" customFormat="1" ht="31.9" customHeight="1">
      <c r="B33" s="87"/>
      <c r="C33" s="88"/>
      <c r="D33" s="89"/>
      <c r="E33" s="87"/>
      <c r="G33" s="87"/>
      <c r="H33" s="88"/>
      <c r="I33" s="89"/>
      <c r="J33" s="87"/>
    </row>
    <row r="34" spans="2:10" s="83" customFormat="1" ht="31.9" customHeight="1">
      <c r="B34" s="84"/>
      <c r="C34" s="85"/>
      <c r="D34" s="86"/>
      <c r="E34" s="84"/>
      <c r="G34" s="84"/>
      <c r="H34" s="85"/>
      <c r="I34" s="86"/>
      <c r="J34" s="84"/>
    </row>
    <row r="35" spans="2:10" s="83" customFormat="1">
      <c r="B35" s="90"/>
      <c r="C35" s="91"/>
      <c r="E35" s="90"/>
      <c r="G35" s="90"/>
      <c r="H35" s="91"/>
      <c r="J35" s="90"/>
    </row>
    <row r="36" spans="2:10" s="83" customFormat="1" ht="15.75">
      <c r="B36" s="90"/>
      <c r="C36" s="92"/>
      <c r="D36" s="93"/>
      <c r="E36" s="90"/>
      <c r="G36" s="90"/>
      <c r="H36" s="92"/>
      <c r="I36" s="93"/>
      <c r="J36" s="90"/>
    </row>
    <row r="37" spans="2:10" s="83" customFormat="1" ht="15.75">
      <c r="B37" s="90"/>
      <c r="C37" s="94"/>
      <c r="D37" s="95"/>
      <c r="E37" s="90"/>
      <c r="G37" s="90"/>
      <c r="H37" s="94"/>
      <c r="I37" s="95"/>
      <c r="J37" s="90"/>
    </row>
    <row r="38" spans="2:10" s="83" customFormat="1" ht="15.75">
      <c r="B38" s="90"/>
      <c r="C38" s="92"/>
      <c r="D38" s="93"/>
      <c r="E38" s="90"/>
      <c r="G38" s="90"/>
      <c r="H38" s="92"/>
      <c r="I38" s="93"/>
      <c r="J38" s="90"/>
    </row>
    <row r="39" spans="2:10" s="83" customFormat="1" ht="15.75">
      <c r="B39" s="90"/>
      <c r="C39" s="92"/>
      <c r="D39" s="93"/>
      <c r="E39" s="90"/>
      <c r="G39" s="90"/>
      <c r="H39" s="92"/>
      <c r="I39" s="93"/>
      <c r="J39" s="90"/>
    </row>
    <row r="40" spans="2:10" s="83" customFormat="1" ht="15.75">
      <c r="B40" s="90"/>
      <c r="C40" s="92"/>
      <c r="D40" s="93"/>
      <c r="E40" s="90"/>
      <c r="G40" s="90"/>
      <c r="H40" s="92"/>
      <c r="I40" s="93"/>
      <c r="J40" s="90"/>
    </row>
    <row r="41" spans="2:10" s="83" customFormat="1" ht="15.75">
      <c r="B41" s="90"/>
      <c r="C41" s="92"/>
      <c r="D41" s="93"/>
      <c r="E41" s="90"/>
      <c r="G41" s="90"/>
      <c r="H41" s="92"/>
      <c r="I41" s="93"/>
      <c r="J41" s="90"/>
    </row>
    <row r="42" spans="2:10" s="83" customFormat="1" ht="15.75">
      <c r="B42" s="90"/>
      <c r="C42" s="94"/>
      <c r="D42" s="95"/>
      <c r="E42" s="90"/>
      <c r="G42" s="90"/>
      <c r="H42" s="94"/>
      <c r="I42" s="95"/>
      <c r="J42" s="90"/>
    </row>
    <row r="43" spans="2:10" s="83" customFormat="1" ht="15.75">
      <c r="B43" s="90"/>
      <c r="C43" s="92"/>
      <c r="D43" s="93"/>
      <c r="E43" s="90"/>
      <c r="G43" s="90"/>
      <c r="H43" s="92"/>
      <c r="I43" s="93"/>
      <c r="J43" s="90"/>
    </row>
    <row r="44" spans="2:10" s="83" customFormat="1" ht="15.75">
      <c r="B44" s="90"/>
      <c r="C44" s="92"/>
      <c r="D44" s="93"/>
      <c r="E44" s="90"/>
      <c r="G44" s="90"/>
      <c r="H44" s="92"/>
      <c r="I44" s="93"/>
      <c r="J44" s="90"/>
    </row>
    <row r="45" spans="2:10" s="83" customFormat="1" ht="15.75">
      <c r="B45" s="90"/>
      <c r="C45" s="94"/>
      <c r="D45" s="95"/>
      <c r="E45" s="90"/>
      <c r="G45" s="90"/>
      <c r="H45" s="94"/>
      <c r="I45" s="95"/>
      <c r="J45" s="90"/>
    </row>
    <row r="46" spans="2:10" s="83" customFormat="1" ht="15.75">
      <c r="B46" s="90"/>
      <c r="C46" s="92"/>
      <c r="D46" s="93"/>
      <c r="E46" s="90"/>
      <c r="G46" s="90"/>
      <c r="H46" s="92"/>
      <c r="I46" s="93"/>
      <c r="J46" s="90"/>
    </row>
    <row r="47" spans="2:10" s="83" customFormat="1">
      <c r="B47" s="90"/>
      <c r="C47" s="91"/>
      <c r="E47" s="90"/>
      <c r="G47" s="90"/>
      <c r="H47" s="91"/>
      <c r="J47" s="90"/>
    </row>
    <row r="48" spans="2:10" s="83" customFormat="1">
      <c r="B48" s="90"/>
      <c r="C48" s="91"/>
      <c r="E48" s="90"/>
      <c r="G48" s="90"/>
      <c r="H48" s="91"/>
      <c r="J48" s="90"/>
    </row>
    <row r="49" spans="2:10" s="83" customFormat="1">
      <c r="B49" s="90"/>
      <c r="C49" s="91"/>
      <c r="E49" s="90"/>
      <c r="G49" s="90"/>
      <c r="H49" s="91"/>
      <c r="J49" s="90"/>
    </row>
    <row r="50" spans="2:10" s="83" customFormat="1">
      <c r="B50" s="90"/>
      <c r="C50" s="91"/>
      <c r="E50" s="90"/>
      <c r="G50" s="90"/>
      <c r="H50" s="91"/>
      <c r="J50" s="90"/>
    </row>
    <row r="51" spans="2:10" s="83" customFormat="1">
      <c r="B51" s="90"/>
      <c r="C51" s="91"/>
      <c r="E51" s="90"/>
      <c r="G51" s="90"/>
      <c r="H51" s="91"/>
      <c r="J51" s="90"/>
    </row>
    <row r="52" spans="2:10" s="83" customFormat="1">
      <c r="B52" s="90"/>
      <c r="C52" s="91"/>
      <c r="E52" s="90"/>
      <c r="G52" s="90"/>
      <c r="H52" s="91"/>
      <c r="J52" s="90"/>
    </row>
    <row r="53" spans="2:10" s="83" customFormat="1">
      <c r="B53" s="90"/>
      <c r="C53" s="91"/>
      <c r="E53" s="90"/>
      <c r="G53" s="90"/>
      <c r="H53" s="91"/>
      <c r="J53" s="90"/>
    </row>
    <row r="54" spans="2:10" s="83" customFormat="1">
      <c r="B54" s="90"/>
      <c r="C54" s="91"/>
      <c r="E54" s="90"/>
      <c r="G54" s="90"/>
      <c r="H54" s="91"/>
      <c r="J54" s="90"/>
    </row>
    <row r="55" spans="2:10" s="83" customFormat="1">
      <c r="B55" s="90"/>
      <c r="C55" s="91"/>
      <c r="E55" s="90"/>
      <c r="G55" s="90"/>
      <c r="H55" s="91"/>
      <c r="J55" s="90"/>
    </row>
    <row r="56" spans="2:10" s="83" customFormat="1">
      <c r="B56" s="90"/>
      <c r="C56" s="91"/>
      <c r="E56" s="90"/>
      <c r="G56" s="90"/>
      <c r="H56" s="91"/>
      <c r="J56" s="90"/>
    </row>
    <row r="57" spans="2:10" s="83" customFormat="1">
      <c r="B57" s="90"/>
      <c r="C57" s="91"/>
      <c r="E57" s="90"/>
      <c r="G57" s="90"/>
      <c r="H57" s="91"/>
      <c r="J57" s="90"/>
    </row>
    <row r="58" spans="2:10" s="83" customFormat="1">
      <c r="B58" s="90"/>
      <c r="C58" s="91"/>
      <c r="E58" s="90"/>
      <c r="G58" s="90"/>
      <c r="H58" s="91"/>
      <c r="J58" s="90"/>
    </row>
    <row r="59" spans="2:10" s="83" customFormat="1">
      <c r="B59" s="90"/>
      <c r="C59" s="91"/>
      <c r="E59" s="90"/>
      <c r="G59" s="90"/>
      <c r="H59" s="91"/>
      <c r="J59" s="90"/>
    </row>
    <row r="60" spans="2:10" s="83" customFormat="1">
      <c r="B60" s="90"/>
      <c r="C60" s="91"/>
      <c r="E60" s="90"/>
      <c r="G60" s="90"/>
      <c r="H60" s="91"/>
      <c r="J60" s="90"/>
    </row>
    <row r="61" spans="2:10" s="83" customFormat="1">
      <c r="B61" s="90"/>
      <c r="C61" s="91"/>
      <c r="E61" s="90"/>
      <c r="G61" s="90"/>
      <c r="H61" s="91"/>
      <c r="J61" s="90"/>
    </row>
    <row r="62" spans="2:10" s="83" customFormat="1">
      <c r="B62" s="90"/>
      <c r="C62" s="91"/>
      <c r="E62" s="90"/>
      <c r="G62" s="90"/>
      <c r="H62" s="91"/>
      <c r="J62" s="90"/>
    </row>
    <row r="63" spans="2:10" s="83" customFormat="1">
      <c r="B63" s="90"/>
      <c r="C63" s="91"/>
      <c r="E63" s="90"/>
      <c r="G63" s="90"/>
      <c r="H63" s="91"/>
      <c r="J63" s="90"/>
    </row>
    <row r="64" spans="2:10" s="83" customFormat="1">
      <c r="B64" s="90"/>
      <c r="C64" s="91"/>
      <c r="E64" s="90"/>
      <c r="G64" s="90"/>
      <c r="H64" s="91"/>
      <c r="J64" s="90"/>
    </row>
    <row r="65" spans="2:10" s="83" customFormat="1">
      <c r="B65" s="90"/>
      <c r="C65" s="91"/>
      <c r="E65" s="90"/>
      <c r="G65" s="90"/>
      <c r="H65" s="91"/>
      <c r="J65" s="90"/>
    </row>
    <row r="66" spans="2:10" s="83" customFormat="1">
      <c r="B66" s="90"/>
      <c r="C66" s="91"/>
      <c r="E66" s="90"/>
      <c r="G66" s="90"/>
      <c r="H66" s="91"/>
      <c r="J66" s="90"/>
    </row>
    <row r="67" spans="2:10" s="83" customFormat="1">
      <c r="B67" s="90"/>
      <c r="C67" s="91"/>
      <c r="E67" s="90"/>
      <c r="G67" s="90"/>
      <c r="H67" s="91"/>
      <c r="J67" s="90"/>
    </row>
    <row r="68" spans="2:10" s="83" customFormat="1">
      <c r="B68" s="90"/>
      <c r="C68" s="91"/>
      <c r="E68" s="90"/>
      <c r="G68" s="90"/>
      <c r="H68" s="91"/>
      <c r="J68" s="90"/>
    </row>
    <row r="69" spans="2:10" s="83" customFormat="1">
      <c r="B69" s="90"/>
      <c r="C69" s="91"/>
      <c r="E69" s="90"/>
      <c r="G69" s="90"/>
      <c r="H69" s="91"/>
      <c r="J69" s="90"/>
    </row>
    <row r="70" spans="2:10" s="83" customFormat="1">
      <c r="B70" s="90"/>
      <c r="C70" s="91"/>
      <c r="E70" s="90"/>
      <c r="G70" s="90"/>
      <c r="H70" s="91"/>
      <c r="J70" s="90"/>
    </row>
    <row r="71" spans="2:10" s="83" customFormat="1">
      <c r="B71" s="90"/>
      <c r="C71" s="91"/>
      <c r="E71" s="90"/>
      <c r="G71" s="90"/>
      <c r="H71" s="91"/>
      <c r="J71" s="90"/>
    </row>
    <row r="72" spans="2:10" s="83" customFormat="1">
      <c r="B72" s="90"/>
      <c r="C72" s="91"/>
      <c r="E72" s="90"/>
      <c r="G72" s="90"/>
      <c r="H72" s="91"/>
      <c r="J72" s="90"/>
    </row>
    <row r="73" spans="2:10" s="83" customFormat="1">
      <c r="B73" s="90"/>
      <c r="C73" s="91"/>
      <c r="E73" s="90"/>
      <c r="G73" s="90"/>
      <c r="H73" s="91"/>
      <c r="J73" s="90"/>
    </row>
    <row r="74" spans="2:10" s="83" customFormat="1">
      <c r="B74" s="90"/>
      <c r="C74" s="91"/>
      <c r="E74" s="90"/>
      <c r="G74" s="90"/>
      <c r="H74" s="91"/>
      <c r="J74" s="90"/>
    </row>
    <row r="75" spans="2:10" s="83" customFormat="1">
      <c r="B75" s="90"/>
      <c r="C75" s="91"/>
      <c r="E75" s="90"/>
      <c r="G75" s="90"/>
      <c r="H75" s="91"/>
      <c r="J75" s="90"/>
    </row>
    <row r="76" spans="2:10" s="83" customFormat="1">
      <c r="B76" s="90"/>
      <c r="C76" s="91"/>
      <c r="E76" s="90"/>
      <c r="G76" s="90"/>
      <c r="H76" s="91"/>
      <c r="J76" s="90"/>
    </row>
    <row r="77" spans="2:10" s="83" customFormat="1">
      <c r="B77" s="90"/>
      <c r="C77" s="91"/>
      <c r="E77" s="90"/>
      <c r="G77" s="90"/>
      <c r="H77" s="91"/>
      <c r="J77" s="90"/>
    </row>
    <row r="78" spans="2:10" s="83" customFormat="1">
      <c r="B78" s="90"/>
      <c r="C78" s="91"/>
      <c r="E78" s="90"/>
      <c r="G78" s="90"/>
      <c r="H78" s="91"/>
      <c r="J78" s="90"/>
    </row>
    <row r="79" spans="2:10" s="83" customFormat="1">
      <c r="B79" s="90"/>
      <c r="C79" s="91"/>
      <c r="E79" s="90"/>
      <c r="G79" s="90"/>
      <c r="H79" s="91"/>
      <c r="J79" s="90"/>
    </row>
    <row r="80" spans="2:10" s="83" customFormat="1">
      <c r="B80" s="90"/>
      <c r="C80" s="91"/>
      <c r="E80" s="90"/>
      <c r="G80" s="90"/>
      <c r="H80" s="91"/>
      <c r="J80" s="90"/>
    </row>
    <row r="81" spans="2:10" s="83" customFormat="1">
      <c r="B81" s="90"/>
      <c r="C81" s="91"/>
      <c r="E81" s="90"/>
      <c r="G81" s="90"/>
      <c r="H81" s="91"/>
      <c r="J81" s="90"/>
    </row>
    <row r="82" spans="2:10" s="83" customFormat="1">
      <c r="B82" s="90"/>
      <c r="C82" s="91"/>
      <c r="E82" s="90"/>
      <c r="G82" s="90"/>
      <c r="H82" s="91"/>
      <c r="J82" s="90"/>
    </row>
    <row r="83" spans="2:10" s="83" customFormat="1">
      <c r="B83" s="90"/>
      <c r="C83" s="91"/>
      <c r="E83" s="90"/>
      <c r="G83" s="90"/>
      <c r="H83" s="91"/>
      <c r="J83" s="90"/>
    </row>
    <row r="84" spans="2:10" s="83" customFormat="1">
      <c r="B84" s="90"/>
      <c r="C84" s="91"/>
      <c r="E84" s="90"/>
      <c r="G84" s="90"/>
      <c r="H84" s="91"/>
      <c r="J84" s="90"/>
    </row>
    <row r="85" spans="2:10" s="83" customFormat="1">
      <c r="B85" s="90"/>
      <c r="C85" s="91"/>
      <c r="E85" s="90"/>
      <c r="G85" s="90"/>
      <c r="H85" s="91"/>
      <c r="J85" s="90"/>
    </row>
    <row r="86" spans="2:10" s="83" customFormat="1">
      <c r="B86" s="90"/>
      <c r="C86" s="91"/>
      <c r="E86" s="90"/>
      <c r="G86" s="90"/>
      <c r="H86" s="91"/>
      <c r="J86" s="90"/>
    </row>
    <row r="87" spans="2:10" s="83" customFormat="1">
      <c r="B87" s="90"/>
      <c r="C87" s="91"/>
      <c r="E87" s="90"/>
      <c r="G87" s="90"/>
      <c r="H87" s="91"/>
      <c r="J87" s="90"/>
    </row>
    <row r="88" spans="2:10" s="83" customFormat="1">
      <c r="B88" s="90"/>
      <c r="C88" s="91"/>
      <c r="E88" s="90"/>
      <c r="G88" s="90"/>
      <c r="H88" s="91"/>
      <c r="J88" s="90"/>
    </row>
    <row r="89" spans="2:10" s="83" customFormat="1">
      <c r="B89" s="90"/>
      <c r="C89" s="91"/>
      <c r="E89" s="90"/>
      <c r="G89" s="90"/>
      <c r="H89" s="91"/>
      <c r="J89" s="90"/>
    </row>
    <row r="90" spans="2:10" s="83" customFormat="1">
      <c r="B90" s="90"/>
      <c r="C90" s="91"/>
      <c r="E90" s="90"/>
      <c r="G90" s="90"/>
      <c r="H90" s="91"/>
      <c r="J90" s="90"/>
    </row>
    <row r="91" spans="2:10" s="83" customFormat="1">
      <c r="B91" s="90"/>
      <c r="C91" s="91"/>
      <c r="E91" s="90"/>
      <c r="G91" s="90"/>
      <c r="H91" s="91"/>
      <c r="J91" s="90"/>
    </row>
    <row r="92" spans="2:10" s="83" customFormat="1">
      <c r="B92" s="90"/>
      <c r="C92" s="91"/>
      <c r="E92" s="90"/>
      <c r="G92" s="90"/>
      <c r="H92" s="91"/>
      <c r="J92" s="90"/>
    </row>
    <row r="93" spans="2:10" s="83" customFormat="1">
      <c r="B93" s="90"/>
      <c r="C93" s="91"/>
      <c r="E93" s="90"/>
      <c r="G93" s="90"/>
      <c r="H93" s="91"/>
      <c r="J93" s="90"/>
    </row>
    <row r="94" spans="2:10" s="83" customFormat="1">
      <c r="B94" s="90"/>
      <c r="C94" s="91"/>
      <c r="E94" s="90"/>
      <c r="G94" s="90"/>
      <c r="H94" s="91"/>
      <c r="J94" s="90"/>
    </row>
    <row r="95" spans="2:10" s="83" customFormat="1">
      <c r="B95" s="90"/>
      <c r="C95" s="91"/>
      <c r="E95" s="90"/>
      <c r="G95" s="90"/>
      <c r="H95" s="91"/>
      <c r="J95" s="90"/>
    </row>
    <row r="96" spans="2:10" s="83" customFormat="1">
      <c r="B96" s="90"/>
      <c r="C96" s="91"/>
      <c r="E96" s="90"/>
      <c r="G96" s="90"/>
      <c r="H96" s="91"/>
      <c r="J96" s="90"/>
    </row>
    <row r="97" spans="2:10" s="83" customFormat="1">
      <c r="B97" s="90"/>
      <c r="C97" s="91"/>
      <c r="E97" s="90"/>
      <c r="G97" s="90"/>
      <c r="H97" s="91"/>
      <c r="J97" s="90"/>
    </row>
    <row r="98" spans="2:10" s="83" customFormat="1">
      <c r="B98" s="90"/>
      <c r="C98" s="91"/>
      <c r="E98" s="90"/>
      <c r="G98" s="90"/>
      <c r="H98" s="91"/>
      <c r="J98" s="90"/>
    </row>
    <row r="99" spans="2:10" s="83" customFormat="1">
      <c r="B99" s="90"/>
      <c r="C99" s="91"/>
      <c r="E99" s="90"/>
      <c r="G99" s="90"/>
      <c r="H99" s="91"/>
      <c r="J99" s="90"/>
    </row>
    <row r="100" spans="2:10" s="83" customFormat="1">
      <c r="B100" s="90"/>
      <c r="C100" s="91"/>
      <c r="E100" s="90"/>
      <c r="G100" s="90"/>
      <c r="H100" s="91"/>
      <c r="J100" s="90"/>
    </row>
    <row r="101" spans="2:10" s="83" customFormat="1">
      <c r="B101" s="90"/>
      <c r="C101" s="91"/>
      <c r="E101" s="90"/>
      <c r="G101" s="90"/>
      <c r="H101" s="91"/>
      <c r="J101" s="90"/>
    </row>
    <row r="102" spans="2:10" s="83" customFormat="1">
      <c r="B102" s="90"/>
      <c r="C102" s="91"/>
      <c r="E102" s="90"/>
      <c r="G102" s="90"/>
      <c r="H102" s="91"/>
      <c r="J102" s="90"/>
    </row>
    <row r="103" spans="2:10" s="83" customFormat="1">
      <c r="B103" s="90"/>
      <c r="C103" s="91"/>
      <c r="E103" s="90"/>
      <c r="G103" s="90"/>
      <c r="H103" s="91"/>
      <c r="J103" s="90"/>
    </row>
    <row r="104" spans="2:10" s="83" customFormat="1">
      <c r="B104" s="90"/>
      <c r="C104" s="91"/>
      <c r="E104" s="90"/>
      <c r="G104" s="90"/>
      <c r="H104" s="91"/>
      <c r="J104" s="90"/>
    </row>
    <row r="105" spans="2:10" s="83" customFormat="1">
      <c r="B105" s="90"/>
      <c r="C105" s="91"/>
      <c r="E105" s="90"/>
      <c r="G105" s="90"/>
      <c r="H105" s="91"/>
      <c r="J105" s="90"/>
    </row>
    <row r="106" spans="2:10" s="83" customFormat="1">
      <c r="B106" s="90"/>
      <c r="C106" s="91"/>
      <c r="E106" s="90"/>
      <c r="G106" s="90"/>
      <c r="H106" s="91"/>
      <c r="J106" s="90"/>
    </row>
    <row r="107" spans="2:10" s="83" customFormat="1">
      <c r="B107" s="90"/>
      <c r="C107" s="91"/>
      <c r="E107" s="90"/>
      <c r="G107" s="90"/>
      <c r="H107" s="91"/>
      <c r="J107" s="90"/>
    </row>
    <row r="108" spans="2:10" s="83" customFormat="1">
      <c r="B108" s="90"/>
      <c r="C108" s="91"/>
      <c r="E108" s="90"/>
      <c r="G108" s="90"/>
      <c r="H108" s="91"/>
      <c r="J108" s="90"/>
    </row>
    <row r="109" spans="2:10" s="83" customFormat="1">
      <c r="B109" s="90"/>
      <c r="C109" s="91"/>
      <c r="E109" s="90"/>
      <c r="G109" s="90"/>
      <c r="H109" s="91"/>
      <c r="J109" s="90"/>
    </row>
    <row r="110" spans="2:10" s="83" customFormat="1">
      <c r="B110" s="90"/>
      <c r="C110" s="91"/>
      <c r="E110" s="90"/>
      <c r="G110" s="90"/>
      <c r="H110" s="91"/>
      <c r="J110" s="90"/>
    </row>
    <row r="111" spans="2:10" s="83" customFormat="1">
      <c r="B111" s="90"/>
      <c r="C111" s="91"/>
      <c r="E111" s="90"/>
      <c r="G111" s="90"/>
      <c r="H111" s="91"/>
      <c r="J111" s="90"/>
    </row>
    <row r="112" spans="2:10" s="83" customFormat="1">
      <c r="B112" s="90"/>
      <c r="C112" s="91"/>
      <c r="E112" s="90"/>
      <c r="G112" s="90"/>
      <c r="H112" s="91"/>
      <c r="J112" s="90"/>
    </row>
    <row r="113" spans="2:10" s="83" customFormat="1">
      <c r="B113" s="90"/>
      <c r="C113" s="91"/>
      <c r="E113" s="90"/>
      <c r="G113" s="90"/>
      <c r="H113" s="91"/>
      <c r="J113" s="90"/>
    </row>
    <row r="114" spans="2:10" s="83" customFormat="1">
      <c r="B114" s="90"/>
      <c r="C114" s="91"/>
      <c r="E114" s="90"/>
      <c r="G114" s="90"/>
      <c r="H114" s="91"/>
      <c r="J114" s="90"/>
    </row>
    <row r="115" spans="2:10" s="83" customFormat="1">
      <c r="B115" s="90"/>
      <c r="C115" s="91"/>
      <c r="E115" s="90"/>
      <c r="G115" s="90"/>
      <c r="H115" s="91"/>
      <c r="J115" s="90"/>
    </row>
    <row r="116" spans="2:10" s="83" customFormat="1">
      <c r="B116" s="90"/>
      <c r="C116" s="91"/>
      <c r="E116" s="90"/>
      <c r="G116" s="90"/>
      <c r="H116" s="91"/>
      <c r="J116" s="90"/>
    </row>
    <row r="117" spans="2:10" s="83" customFormat="1">
      <c r="B117" s="90"/>
      <c r="C117" s="91"/>
      <c r="E117" s="90"/>
      <c r="G117" s="90"/>
      <c r="H117" s="91"/>
      <c r="J117" s="90"/>
    </row>
    <row r="118" spans="2:10" s="83" customFormat="1">
      <c r="B118" s="90"/>
      <c r="C118" s="91"/>
      <c r="E118" s="90"/>
      <c r="G118" s="90"/>
      <c r="H118" s="91"/>
      <c r="J118" s="90"/>
    </row>
    <row r="119" spans="2:10" s="83" customFormat="1">
      <c r="B119" s="90"/>
      <c r="C119" s="91"/>
      <c r="E119" s="90"/>
      <c r="G119" s="90"/>
      <c r="H119" s="91"/>
      <c r="J119" s="90"/>
    </row>
    <row r="120" spans="2:10" s="83" customFormat="1">
      <c r="B120" s="90"/>
      <c r="C120" s="91"/>
      <c r="E120" s="90"/>
      <c r="G120" s="90"/>
      <c r="H120" s="91"/>
      <c r="J120" s="90"/>
    </row>
    <row r="121" spans="2:10" s="83" customFormat="1">
      <c r="B121" s="90"/>
      <c r="C121" s="91"/>
      <c r="E121" s="90"/>
      <c r="G121" s="90"/>
      <c r="H121" s="91"/>
      <c r="J121" s="90"/>
    </row>
    <row r="122" spans="2:10" s="83" customFormat="1">
      <c r="B122" s="90"/>
      <c r="C122" s="91"/>
      <c r="E122" s="90"/>
      <c r="G122" s="90"/>
      <c r="H122" s="91"/>
      <c r="J122" s="90"/>
    </row>
    <row r="123" spans="2:10" s="83" customFormat="1">
      <c r="B123" s="90"/>
      <c r="C123" s="91"/>
      <c r="E123" s="90"/>
      <c r="G123" s="90"/>
      <c r="H123" s="91"/>
      <c r="J123" s="90"/>
    </row>
    <row r="124" spans="2:10" s="83" customFormat="1">
      <c r="B124" s="90"/>
      <c r="C124" s="91"/>
      <c r="E124" s="90"/>
      <c r="G124" s="90"/>
      <c r="H124" s="91"/>
      <c r="J124" s="90"/>
    </row>
    <row r="125" spans="2:10" s="83" customFormat="1">
      <c r="B125" s="90"/>
      <c r="C125" s="91"/>
      <c r="E125" s="90"/>
      <c r="G125" s="90"/>
      <c r="H125" s="91"/>
      <c r="J125" s="90"/>
    </row>
    <row r="126" spans="2:10" s="83" customFormat="1">
      <c r="B126" s="90"/>
      <c r="C126" s="91"/>
      <c r="E126" s="90"/>
      <c r="G126" s="90"/>
      <c r="H126" s="91"/>
      <c r="J126" s="90"/>
    </row>
    <row r="127" spans="2:10" s="83" customFormat="1">
      <c r="B127" s="90"/>
      <c r="C127" s="91"/>
      <c r="E127" s="90"/>
      <c r="G127" s="90"/>
      <c r="H127" s="91"/>
      <c r="J127" s="90"/>
    </row>
    <row r="128" spans="2:10" s="83" customFormat="1">
      <c r="B128" s="90"/>
      <c r="C128" s="91"/>
      <c r="E128" s="90"/>
      <c r="G128" s="90"/>
      <c r="H128" s="91"/>
      <c r="J128" s="90"/>
    </row>
    <row r="129" spans="2:10" s="83" customFormat="1">
      <c r="B129" s="90"/>
      <c r="C129" s="91"/>
      <c r="E129" s="90"/>
      <c r="G129" s="90"/>
      <c r="H129" s="91"/>
      <c r="J129" s="90"/>
    </row>
    <row r="130" spans="2:10" s="83" customFormat="1">
      <c r="B130" s="90"/>
      <c r="C130" s="91"/>
      <c r="E130" s="90"/>
      <c r="G130" s="90"/>
      <c r="H130" s="91"/>
      <c r="J130" s="90"/>
    </row>
    <row r="131" spans="2:10" s="83" customFormat="1">
      <c r="B131" s="90"/>
      <c r="C131" s="91"/>
      <c r="E131" s="90"/>
      <c r="G131" s="90"/>
      <c r="H131" s="91"/>
      <c r="J131" s="90"/>
    </row>
    <row r="132" spans="2:10" s="83" customFormat="1">
      <c r="B132" s="90"/>
      <c r="C132" s="91"/>
      <c r="E132" s="90"/>
      <c r="G132" s="90"/>
      <c r="H132" s="91"/>
      <c r="J132" s="90"/>
    </row>
    <row r="133" spans="2:10" s="83" customFormat="1">
      <c r="B133" s="90"/>
      <c r="C133" s="91"/>
      <c r="E133" s="90"/>
      <c r="G133" s="90"/>
      <c r="H133" s="91"/>
      <c r="J133" s="90"/>
    </row>
    <row r="134" spans="2:10" s="83" customFormat="1">
      <c r="B134" s="90"/>
      <c r="C134" s="91"/>
      <c r="E134" s="90"/>
      <c r="G134" s="90"/>
      <c r="H134" s="91"/>
      <c r="J134" s="90"/>
    </row>
    <row r="135" spans="2:10" s="83" customFormat="1">
      <c r="B135" s="90"/>
      <c r="C135" s="91"/>
      <c r="E135" s="90"/>
      <c r="G135" s="90"/>
      <c r="H135" s="91"/>
      <c r="J135" s="90"/>
    </row>
    <row r="136" spans="2:10" s="83" customFormat="1">
      <c r="B136" s="90"/>
      <c r="C136" s="91"/>
      <c r="E136" s="90"/>
      <c r="G136" s="90"/>
      <c r="H136" s="91"/>
      <c r="J136" s="90"/>
    </row>
    <row r="137" spans="2:10" s="83" customFormat="1">
      <c r="B137" s="90"/>
      <c r="C137" s="91"/>
      <c r="E137" s="90"/>
      <c r="G137" s="90"/>
      <c r="H137" s="91"/>
      <c r="J137" s="90"/>
    </row>
    <row r="138" spans="2:10" s="83" customFormat="1">
      <c r="B138" s="90"/>
      <c r="C138" s="91"/>
      <c r="E138" s="90"/>
      <c r="G138" s="90"/>
      <c r="H138" s="91"/>
      <c r="J138" s="90"/>
    </row>
    <row r="139" spans="2:10" s="83" customFormat="1">
      <c r="B139" s="90"/>
      <c r="C139" s="91"/>
      <c r="E139" s="90"/>
      <c r="G139" s="90"/>
      <c r="H139" s="91"/>
      <c r="J139" s="90"/>
    </row>
    <row r="140" spans="2:10" s="83" customFormat="1">
      <c r="B140" s="90"/>
      <c r="C140" s="91"/>
      <c r="E140" s="90"/>
      <c r="G140" s="90"/>
      <c r="H140" s="91"/>
      <c r="J140" s="90"/>
    </row>
    <row r="141" spans="2:10" s="83" customFormat="1">
      <c r="B141" s="90"/>
      <c r="C141" s="91"/>
      <c r="E141" s="90"/>
      <c r="G141" s="90"/>
      <c r="H141" s="91"/>
      <c r="J141" s="90"/>
    </row>
    <row r="142" spans="2:10" s="83" customFormat="1">
      <c r="B142" s="90"/>
      <c r="C142" s="91"/>
      <c r="E142" s="90"/>
      <c r="G142" s="90"/>
      <c r="H142" s="91"/>
      <c r="J142" s="90"/>
    </row>
    <row r="143" spans="2:10" s="83" customFormat="1">
      <c r="B143" s="90"/>
      <c r="C143" s="91"/>
      <c r="E143" s="90"/>
      <c r="G143" s="90"/>
      <c r="H143" s="91"/>
      <c r="J143" s="90"/>
    </row>
    <row r="144" spans="2:10" s="83" customFormat="1">
      <c r="B144" s="90"/>
      <c r="C144" s="91"/>
      <c r="E144" s="90"/>
      <c r="G144" s="90"/>
      <c r="H144" s="91"/>
      <c r="J144" s="90"/>
    </row>
    <row r="145" spans="2:10" s="83" customFormat="1">
      <c r="B145" s="90"/>
      <c r="C145" s="91"/>
      <c r="E145" s="90"/>
      <c r="G145" s="90"/>
      <c r="H145" s="91"/>
      <c r="J145" s="90"/>
    </row>
    <row r="146" spans="2:10" s="83" customFormat="1">
      <c r="B146" s="90"/>
      <c r="C146" s="91"/>
      <c r="E146" s="90"/>
      <c r="G146" s="90"/>
      <c r="H146" s="91"/>
      <c r="J146" s="90"/>
    </row>
    <row r="147" spans="2:10" s="83" customFormat="1">
      <c r="B147" s="90"/>
      <c r="C147" s="91"/>
      <c r="E147" s="90"/>
      <c r="G147" s="90"/>
      <c r="H147" s="91"/>
      <c r="J147" s="90"/>
    </row>
    <row r="148" spans="2:10" s="83" customFormat="1">
      <c r="B148" s="90"/>
      <c r="C148" s="91"/>
      <c r="E148" s="90"/>
      <c r="G148" s="90"/>
      <c r="H148" s="91"/>
      <c r="J148" s="90"/>
    </row>
    <row r="149" spans="2:10" s="83" customFormat="1">
      <c r="B149" s="90"/>
      <c r="C149" s="91"/>
      <c r="E149" s="90"/>
      <c r="G149" s="90"/>
      <c r="H149" s="91"/>
      <c r="J149" s="90"/>
    </row>
    <row r="150" spans="2:10" s="83" customFormat="1">
      <c r="B150" s="90"/>
      <c r="C150" s="91"/>
      <c r="E150" s="90"/>
      <c r="G150" s="90"/>
      <c r="H150" s="91"/>
      <c r="J150" s="90"/>
    </row>
    <row r="151" spans="2:10" s="83" customFormat="1">
      <c r="B151" s="90"/>
      <c r="C151" s="91"/>
      <c r="E151" s="90"/>
      <c r="G151" s="90"/>
      <c r="H151" s="91"/>
      <c r="J151" s="90"/>
    </row>
    <row r="152" spans="2:10" s="83" customFormat="1">
      <c r="B152" s="90"/>
      <c r="C152" s="91"/>
      <c r="E152" s="90"/>
      <c r="G152" s="90"/>
      <c r="H152" s="91"/>
      <c r="J152" s="90"/>
    </row>
    <row r="153" spans="2:10" s="83" customFormat="1">
      <c r="B153" s="90"/>
      <c r="C153" s="91"/>
      <c r="E153" s="90"/>
      <c r="G153" s="90"/>
      <c r="H153" s="91"/>
      <c r="J153" s="90"/>
    </row>
    <row r="154" spans="2:10" s="83" customFormat="1">
      <c r="B154" s="90"/>
      <c r="C154" s="91"/>
      <c r="E154" s="90"/>
      <c r="G154" s="90"/>
      <c r="H154" s="91"/>
      <c r="J154" s="90"/>
    </row>
    <row r="155" spans="2:10" s="83" customFormat="1">
      <c r="B155" s="90"/>
      <c r="C155" s="91"/>
      <c r="E155" s="90"/>
      <c r="G155" s="90"/>
      <c r="H155" s="91"/>
      <c r="J155" s="90"/>
    </row>
    <row r="156" spans="2:10" s="83" customFormat="1">
      <c r="B156" s="90"/>
      <c r="C156" s="91"/>
      <c r="E156" s="90"/>
      <c r="G156" s="90"/>
      <c r="H156" s="91"/>
      <c r="J156" s="90"/>
    </row>
    <row r="157" spans="2:10" s="83" customFormat="1">
      <c r="B157" s="90"/>
      <c r="C157" s="91"/>
      <c r="E157" s="90"/>
      <c r="G157" s="90"/>
      <c r="H157" s="91"/>
      <c r="J157" s="90"/>
    </row>
    <row r="158" spans="2:10" s="83" customFormat="1">
      <c r="B158" s="90"/>
      <c r="C158" s="91"/>
      <c r="E158" s="90"/>
      <c r="G158" s="90"/>
      <c r="H158" s="91"/>
      <c r="J158" s="90"/>
    </row>
    <row r="159" spans="2:10" s="83" customFormat="1">
      <c r="B159" s="90"/>
      <c r="C159" s="91"/>
      <c r="E159" s="90"/>
      <c r="G159" s="90"/>
      <c r="H159" s="91"/>
      <c r="J159" s="90"/>
    </row>
    <row r="160" spans="2:10" s="83" customFormat="1">
      <c r="B160" s="90"/>
      <c r="C160" s="91"/>
      <c r="E160" s="90"/>
      <c r="G160" s="90"/>
      <c r="H160" s="91"/>
      <c r="J160" s="90"/>
    </row>
    <row r="161" spans="2:10" s="83" customFormat="1">
      <c r="B161" s="90"/>
      <c r="C161" s="91"/>
      <c r="E161" s="90"/>
      <c r="G161" s="90"/>
      <c r="H161" s="91"/>
      <c r="J161" s="90"/>
    </row>
    <row r="162" spans="2:10" s="83" customFormat="1">
      <c r="B162" s="90"/>
      <c r="C162" s="91"/>
      <c r="E162" s="90"/>
      <c r="G162" s="90"/>
      <c r="H162" s="91"/>
      <c r="J162" s="90"/>
    </row>
    <row r="163" spans="2:10" s="83" customFormat="1">
      <c r="B163" s="90"/>
      <c r="C163" s="91"/>
      <c r="E163" s="90"/>
      <c r="G163" s="90"/>
      <c r="H163" s="91"/>
      <c r="J163" s="90"/>
    </row>
    <row r="164" spans="2:10" s="83" customFormat="1">
      <c r="B164" s="90"/>
      <c r="C164" s="91"/>
      <c r="E164" s="90"/>
      <c r="G164" s="90"/>
      <c r="H164" s="91"/>
      <c r="J164" s="90"/>
    </row>
    <row r="165" spans="2:10" s="83" customFormat="1">
      <c r="B165" s="90"/>
      <c r="C165" s="91"/>
      <c r="E165" s="90"/>
      <c r="G165" s="90"/>
      <c r="H165" s="91"/>
      <c r="J165" s="90"/>
    </row>
    <row r="166" spans="2:10" s="83" customFormat="1">
      <c r="B166" s="90"/>
      <c r="C166" s="91"/>
      <c r="E166" s="90"/>
      <c r="G166" s="90"/>
      <c r="H166" s="91"/>
      <c r="J166" s="90"/>
    </row>
    <row r="167" spans="2:10" s="83" customFormat="1">
      <c r="B167" s="90"/>
      <c r="C167" s="91"/>
      <c r="E167" s="90"/>
      <c r="G167" s="90"/>
      <c r="H167" s="91"/>
      <c r="J167" s="90"/>
    </row>
    <row r="168" spans="2:10" s="83" customFormat="1">
      <c r="B168" s="90"/>
      <c r="C168" s="91"/>
      <c r="E168" s="90"/>
      <c r="G168" s="90"/>
      <c r="H168" s="91"/>
      <c r="J168" s="90"/>
    </row>
    <row r="169" spans="2:10" s="83" customFormat="1">
      <c r="B169" s="90"/>
      <c r="C169" s="91"/>
      <c r="E169" s="90"/>
      <c r="G169" s="90"/>
      <c r="H169" s="91"/>
      <c r="J169" s="90"/>
    </row>
    <row r="170" spans="2:10" s="83" customFormat="1">
      <c r="B170" s="90"/>
      <c r="C170" s="91"/>
      <c r="E170" s="90"/>
      <c r="G170" s="90"/>
      <c r="H170" s="91"/>
      <c r="J170" s="90"/>
    </row>
    <row r="171" spans="2:10" s="83" customFormat="1">
      <c r="B171" s="90"/>
      <c r="C171" s="91"/>
      <c r="E171" s="90"/>
      <c r="G171" s="90"/>
      <c r="H171" s="91"/>
      <c r="J171" s="90"/>
    </row>
    <row r="172" spans="2:10" s="83" customFormat="1">
      <c r="B172" s="90"/>
      <c r="C172" s="91"/>
      <c r="E172" s="90"/>
      <c r="G172" s="90"/>
      <c r="H172" s="91"/>
      <c r="J172" s="90"/>
    </row>
    <row r="173" spans="2:10" s="83" customFormat="1">
      <c r="B173" s="90"/>
      <c r="C173" s="91"/>
      <c r="E173" s="90"/>
      <c r="G173" s="90"/>
      <c r="H173" s="91"/>
      <c r="J173" s="90"/>
    </row>
    <row r="174" spans="2:10" s="83" customFormat="1">
      <c r="B174" s="90"/>
      <c r="C174" s="91"/>
      <c r="E174" s="90"/>
      <c r="G174" s="90"/>
      <c r="H174" s="91"/>
      <c r="J174" s="90"/>
    </row>
    <row r="175" spans="2:10" s="83" customFormat="1">
      <c r="B175" s="90"/>
      <c r="C175" s="91"/>
      <c r="E175" s="90"/>
      <c r="G175" s="90"/>
      <c r="H175" s="91"/>
      <c r="J175" s="90"/>
    </row>
    <row r="176" spans="2:10" s="83" customFormat="1">
      <c r="B176" s="90"/>
      <c r="C176" s="91"/>
      <c r="E176" s="90"/>
      <c r="G176" s="90"/>
      <c r="H176" s="91"/>
      <c r="J176" s="90"/>
    </row>
    <row r="177" spans="2:10" s="83" customFormat="1">
      <c r="B177" s="90"/>
      <c r="C177" s="91"/>
      <c r="E177" s="90"/>
      <c r="G177" s="90"/>
      <c r="H177" s="91"/>
      <c r="J177" s="90"/>
    </row>
    <row r="178" spans="2:10" s="83" customFormat="1">
      <c r="B178" s="90"/>
      <c r="C178" s="91"/>
      <c r="E178" s="90"/>
      <c r="G178" s="90"/>
      <c r="H178" s="91"/>
      <c r="J178" s="90"/>
    </row>
    <row r="179" spans="2:10" s="83" customFormat="1">
      <c r="B179" s="90"/>
      <c r="C179" s="91"/>
      <c r="E179" s="90"/>
      <c r="G179" s="90"/>
      <c r="H179" s="91"/>
      <c r="J179" s="90"/>
    </row>
    <row r="180" spans="2:10" s="83" customFormat="1">
      <c r="B180" s="90"/>
      <c r="C180" s="91"/>
      <c r="E180" s="90"/>
      <c r="G180" s="90"/>
      <c r="H180" s="91"/>
      <c r="J180" s="90"/>
    </row>
    <row r="181" spans="2:10" s="83" customFormat="1">
      <c r="B181" s="90"/>
      <c r="C181" s="91"/>
      <c r="E181" s="90"/>
      <c r="G181" s="90"/>
      <c r="H181" s="91"/>
      <c r="J181" s="90"/>
    </row>
    <row r="182" spans="2:10" s="83" customFormat="1">
      <c r="B182" s="90"/>
      <c r="C182" s="91"/>
      <c r="E182" s="90"/>
      <c r="G182" s="90"/>
      <c r="H182" s="91"/>
      <c r="J182" s="90"/>
    </row>
    <row r="183" spans="2:10" s="83" customFormat="1">
      <c r="B183" s="90"/>
      <c r="C183" s="91"/>
      <c r="E183" s="90"/>
      <c r="G183" s="90"/>
      <c r="H183" s="91"/>
      <c r="J183" s="90"/>
    </row>
    <row r="184" spans="2:10" s="83" customFormat="1">
      <c r="B184" s="90"/>
      <c r="C184" s="91"/>
      <c r="E184" s="90"/>
      <c r="G184" s="90"/>
      <c r="H184" s="91"/>
      <c r="J184" s="90"/>
    </row>
    <row r="185" spans="2:10" s="83" customFormat="1">
      <c r="B185" s="90"/>
      <c r="C185" s="91"/>
      <c r="E185" s="90"/>
      <c r="G185" s="90"/>
      <c r="H185" s="91"/>
      <c r="J185" s="90"/>
    </row>
    <row r="186" spans="2:10" s="83" customFormat="1">
      <c r="B186" s="90"/>
      <c r="C186" s="91"/>
      <c r="E186" s="90"/>
      <c r="G186" s="90"/>
      <c r="H186" s="91"/>
      <c r="J186" s="90"/>
    </row>
    <row r="187" spans="2:10" s="83" customFormat="1">
      <c r="B187" s="90"/>
      <c r="C187" s="91"/>
      <c r="E187" s="90"/>
      <c r="G187" s="90"/>
      <c r="H187" s="91"/>
      <c r="J187" s="90"/>
    </row>
    <row r="188" spans="2:10" s="83" customFormat="1">
      <c r="B188" s="90"/>
      <c r="C188" s="91"/>
      <c r="E188" s="90"/>
      <c r="G188" s="90"/>
      <c r="H188" s="91"/>
      <c r="J188" s="90"/>
    </row>
    <row r="189" spans="2:10" s="83" customFormat="1">
      <c r="B189" s="90"/>
      <c r="C189" s="91"/>
      <c r="E189" s="90"/>
      <c r="G189" s="90"/>
      <c r="H189" s="91"/>
      <c r="J189" s="90"/>
    </row>
    <row r="190" spans="2:10" s="83" customFormat="1">
      <c r="B190" s="90"/>
      <c r="C190" s="91"/>
      <c r="E190" s="90"/>
      <c r="G190" s="90"/>
      <c r="H190" s="91"/>
      <c r="J190" s="90"/>
    </row>
    <row r="191" spans="2:10" s="83" customFormat="1">
      <c r="B191" s="90"/>
      <c r="C191" s="91"/>
      <c r="E191" s="90"/>
      <c r="G191" s="90"/>
      <c r="H191" s="91"/>
      <c r="J191" s="90"/>
    </row>
    <row r="192" spans="2:10" s="83" customFormat="1">
      <c r="B192" s="90"/>
      <c r="C192" s="91"/>
      <c r="E192" s="90"/>
      <c r="G192" s="90"/>
      <c r="H192" s="91"/>
      <c r="J192" s="90"/>
    </row>
    <row r="193" spans="2:10" s="83" customFormat="1">
      <c r="B193" s="90"/>
      <c r="C193" s="91"/>
      <c r="E193" s="90"/>
      <c r="G193" s="90"/>
      <c r="H193" s="91"/>
      <c r="J193" s="90"/>
    </row>
    <row r="194" spans="2:10" s="83" customFormat="1">
      <c r="B194" s="90"/>
      <c r="C194" s="91"/>
      <c r="E194" s="90"/>
      <c r="G194" s="90"/>
      <c r="H194" s="91"/>
      <c r="J194" s="90"/>
    </row>
    <row r="195" spans="2:10" s="83" customFormat="1">
      <c r="B195" s="90"/>
      <c r="C195" s="91"/>
      <c r="E195" s="90"/>
      <c r="G195" s="90"/>
      <c r="H195" s="91"/>
      <c r="J195" s="90"/>
    </row>
    <row r="196" spans="2:10" s="83" customFormat="1">
      <c r="B196" s="90"/>
      <c r="C196" s="91"/>
      <c r="E196" s="90"/>
      <c r="G196" s="90"/>
      <c r="H196" s="91"/>
      <c r="J196" s="90"/>
    </row>
    <row r="197" spans="2:10" s="83" customFormat="1">
      <c r="B197" s="90"/>
      <c r="C197" s="91"/>
      <c r="E197" s="90"/>
      <c r="G197" s="90"/>
      <c r="H197" s="91"/>
      <c r="J197" s="90"/>
    </row>
    <row r="198" spans="2:10" s="83" customFormat="1">
      <c r="B198" s="90"/>
      <c r="C198" s="91"/>
      <c r="E198" s="90"/>
      <c r="G198" s="90"/>
      <c r="H198" s="91"/>
      <c r="J198" s="90"/>
    </row>
    <row r="199" spans="2:10" s="83" customFormat="1">
      <c r="B199" s="90"/>
      <c r="C199" s="91"/>
      <c r="E199" s="90"/>
      <c r="G199" s="90"/>
      <c r="H199" s="91"/>
      <c r="J199" s="90"/>
    </row>
    <row r="200" spans="2:10" s="83" customFormat="1">
      <c r="B200" s="90"/>
      <c r="C200" s="91"/>
      <c r="E200" s="90"/>
      <c r="G200" s="90"/>
      <c r="H200" s="91"/>
      <c r="J200" s="90"/>
    </row>
    <row r="201" spans="2:10" s="83" customFormat="1">
      <c r="B201" s="90"/>
      <c r="C201" s="91"/>
      <c r="E201" s="90"/>
      <c r="G201" s="90"/>
      <c r="H201" s="91"/>
      <c r="J201" s="90"/>
    </row>
    <row r="202" spans="2:10" s="83" customFormat="1">
      <c r="B202" s="90"/>
      <c r="C202" s="91"/>
      <c r="E202" s="90"/>
      <c r="G202" s="90"/>
      <c r="H202" s="91"/>
      <c r="J202" s="90"/>
    </row>
    <row r="203" spans="2:10" s="83" customFormat="1">
      <c r="B203" s="90"/>
      <c r="C203" s="91"/>
      <c r="E203" s="90"/>
      <c r="G203" s="90"/>
      <c r="H203" s="91"/>
      <c r="J203" s="90"/>
    </row>
    <row r="204" spans="2:10" s="83" customFormat="1">
      <c r="B204" s="90"/>
      <c r="C204" s="91"/>
      <c r="E204" s="90"/>
      <c r="G204" s="90"/>
      <c r="H204" s="91"/>
      <c r="J204" s="90"/>
    </row>
    <row r="205" spans="2:10" s="83" customFormat="1">
      <c r="B205" s="90"/>
      <c r="C205" s="91"/>
      <c r="E205" s="90"/>
      <c r="G205" s="90"/>
      <c r="H205" s="91"/>
      <c r="J205" s="90"/>
    </row>
    <row r="206" spans="2:10" s="83" customFormat="1">
      <c r="B206" s="90"/>
      <c r="C206" s="91"/>
      <c r="E206" s="90"/>
      <c r="G206" s="90"/>
      <c r="H206" s="91"/>
      <c r="J206" s="90"/>
    </row>
    <row r="207" spans="2:10" s="83" customFormat="1">
      <c r="B207" s="90"/>
      <c r="C207" s="91"/>
      <c r="E207" s="90"/>
      <c r="G207" s="90"/>
      <c r="H207" s="91"/>
      <c r="J207" s="90"/>
    </row>
    <row r="208" spans="2:10" s="83" customFormat="1">
      <c r="B208" s="90"/>
      <c r="C208" s="91"/>
      <c r="E208" s="90"/>
      <c r="G208" s="90"/>
      <c r="H208" s="91"/>
      <c r="J208" s="90"/>
    </row>
  </sheetData>
  <sheetProtection sheet="1" objects="1" scenarios="1"/>
  <mergeCells count="1">
    <mergeCell ref="B2:J2"/>
  </mergeCells>
  <conditionalFormatting sqref="B1:B4 B6:B26 B35:B1048576">
    <cfRule type="cellIs" dxfId="2" priority="3" operator="equal">
      <formula>"Sim"</formula>
    </cfRule>
  </conditionalFormatting>
  <conditionalFormatting sqref="G1 G6:G1048576 G3:G4">
    <cfRule type="cellIs" dxfId="1" priority="2" operator="equal">
      <formula>"Sim"</formula>
    </cfRule>
  </conditionalFormatting>
  <conditionalFormatting sqref="B27:B34">
    <cfRule type="cellIs" dxfId="0" priority="1" operator="equal">
      <formula>"Sim"</formula>
    </cfRule>
  </conditionalFormatting>
  <dataValidations count="1">
    <dataValidation type="list" allowBlank="1" showInputMessage="1" showErrorMessage="1" sqref="B6:B34 G6:G52">
      <formula1>$A$1:$A$3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109375"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BD_Geral</vt:lpstr>
      <vt:lpstr>Cronograma</vt:lpstr>
      <vt:lpstr>Documentos</vt:lpstr>
      <vt:lpstr>Plano de Ação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Campos</dc:creator>
  <cp:lastModifiedBy>Pavilion</cp:lastModifiedBy>
  <dcterms:created xsi:type="dcterms:W3CDTF">2017-06-14T16:07:53Z</dcterms:created>
  <dcterms:modified xsi:type="dcterms:W3CDTF">2018-03-02T12:58:53Z</dcterms:modified>
</cp:coreProperties>
</file>