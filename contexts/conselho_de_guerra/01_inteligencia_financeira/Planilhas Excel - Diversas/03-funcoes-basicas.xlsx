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oturno\Paulista37\Aluno4\VIVIANE CAMPOS\3º Aula\"/>
    </mc:Choice>
  </mc:AlternateContent>
  <xr:revisionPtr revIDLastSave="0" documentId="10_ncr:8100000_{9F4D00D9-1BAF-4BEA-BBB8-03F96F6FED7C}" xr6:coauthVersionLast="33" xr6:coauthVersionMax="33" xr10:uidLastSave="{00000000-0000-0000-0000-000000000000}"/>
  <bookViews>
    <workbookView xWindow="0" yWindow="0" windowWidth="19200" windowHeight="11085" tabRatio="751" firstSheet="6" activeTab="15" xr2:uid="{00000000-000D-0000-FFFF-FFFF00000000}"/>
  </bookViews>
  <sheets>
    <sheet name="Índice" sheetId="72" r:id="rId1"/>
    <sheet name="Funções" sheetId="61" r:id="rId2"/>
    <sheet name="Média" sheetId="62" r:id="rId3"/>
    <sheet name="CONTAR.VAZIO" sheetId="67" r:id="rId4"/>
    <sheet name="CONT.NÚM" sheetId="70" r:id="rId5"/>
    <sheet name="CONT.VALORES" sheetId="69" r:id="rId6"/>
    <sheet name="Função CONT.SE" sheetId="17" r:id="rId7"/>
    <sheet name="Função SOMASE" sheetId="19" r:id="rId8"/>
    <sheet name="EX01" sheetId="66" r:id="rId9"/>
    <sheet name="EX02" sheetId="68" r:id="rId10"/>
    <sheet name=" EX03" sheetId="71" r:id="rId11"/>
    <sheet name="EX04" sheetId="75" r:id="rId12"/>
    <sheet name="EX05" sheetId="59" r:id="rId13"/>
    <sheet name="EX06" sheetId="60" r:id="rId14"/>
    <sheet name="EX07" sheetId="73" r:id="rId15"/>
    <sheet name="EX08" sheetId="74" r:id="rId16"/>
  </sheets>
  <definedNames>
    <definedName name="_xlnm._FilterDatabase" localSheetId="13" hidden="1">'EX06'!$A$2:$F$20</definedName>
    <definedName name="_xlnm._FilterDatabase" localSheetId="15" hidden="1">'EX08'!$B$4:$F$51</definedName>
    <definedName name="a" localSheetId="11" hidden="1">{"azul",#N/A,FALSE,"geral";"verde",#N/A,FALSE,"geral";"vermelho",#N/A,FALSE,"geral"}</definedName>
    <definedName name="a" hidden="1">{"azul",#N/A,FALSE,"geral";"verde",#N/A,FALSE,"geral";"vermelho",#N/A,FALSE,"geral"}</definedName>
    <definedName name="anscount" hidden="1">5</definedName>
    <definedName name="b" localSheetId="11" hidden="1">{"azul",#N/A,FALSE,"geral";"verde",#N/A,FALSE,"geral";"vermelho",#N/A,FALSE,"geral"}</definedName>
    <definedName name="b" hidden="1">{"azul",#N/A,FALSE,"geral";"verde",#N/A,FALSE,"geral";"vermelho",#N/A,FALSE,"geral"}</definedName>
    <definedName name="ba" localSheetId="11" hidden="1">{"azul",#N/A,FALSE,"geral";"verde",#N/A,FALSE,"geral";"vermelho",#N/A,FALSE,"geral"}</definedName>
    <definedName name="ba" hidden="1">{"azul",#N/A,FALSE,"geral";"verde",#N/A,FALSE,"geral";"vermelho",#N/A,FALSE,"geral"}</definedName>
    <definedName name="conf" localSheetId="11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localSheetId="11" hidden="1">{"azul",#N/A,FALSE,"geral";"verde",#N/A,FALSE,"geral";"vermelho",#N/A,FALSE,"geral"}</definedName>
    <definedName name="conf1" hidden="1">{"azul",#N/A,FALSE,"geral";"verde",#N/A,FALSE,"geral";"vermelho",#N/A,FALSE,"geral"}</definedName>
    <definedName name="cursos">#REF!</definedName>
    <definedName name="d" localSheetId="11" hidden="1">{"azul",#N/A,FALSE,"geral";"verde",#N/A,FALSE,"geral";"vermelho",#N/A,FALSE,"geral"}</definedName>
    <definedName name="d" hidden="1">{"azul",#N/A,FALSE,"geral";"verde",#N/A,FALSE,"geral";"vermelho",#N/A,FALSE,"geral"}</definedName>
    <definedName name="da" localSheetId="11" hidden="1">{"azul",#N/A,FALSE,"geral";"verde",#N/A,FALSE,"geral";"vermelho",#N/A,FALSE,"geral"}</definedName>
    <definedName name="da" hidden="1">{"azul",#N/A,FALSE,"geral";"verde",#N/A,FALSE,"geral";"vermelho",#N/A,FALSE,"geral"}</definedName>
    <definedName name="DFDFD" localSheetId="11" hidden="1">{#N/A,"Médio",TRUE,"Plan30";"3º Trimestre Geral",#N/A,TRUE,"1º Trimestre"}</definedName>
    <definedName name="DFDFD" hidden="1">{#N/A,"Médio",TRUE,"Plan30";"3º Trimestre Geral",#N/A,TRUE,"1º Trimestre"}</definedName>
    <definedName name="e" localSheetId="11" hidden="1">{"azul",#N/A,FALSE,"geral";"verde",#N/A,FALSE,"geral";"vermelho",#N/A,FALSE,"geral"}</definedName>
    <definedName name="e" hidden="1">{"azul",#N/A,FALSE,"geral";"verde",#N/A,FALSE,"geral";"vermelho",#N/A,FALSE,"geral"}</definedName>
    <definedName name="ea" localSheetId="11" hidden="1">{"azul",#N/A,FALSE,"geral";"verde",#N/A,FALSE,"geral";"vermelho",#N/A,FALSE,"geral"}</definedName>
    <definedName name="ea" hidden="1">{"azul",#N/A,FALSE,"geral";"verde",#N/A,FALSE,"geral";"vermelho",#N/A,FALSE,"geral"}</definedName>
    <definedName name="EXER" localSheetId="11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localSheetId="11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localSheetId="11" hidden="1">{"normal","argentina",FALSE,"cenários e solver";#N/A,#N/A,FALSE,"banco de dados"}</definedName>
    <definedName name="g" hidden="1">{"normal","argentina",FALSE,"cenários e solver";#N/A,#N/A,FALSE,"banco de dados"}</definedName>
    <definedName name="limcount" hidden="1">1</definedName>
    <definedName name="Resumo" localSheetId="11" hidden="1">{"azul",#N/A,FALSE,"geral";"verde",#N/A,FALSE,"geral";"vermelho",#N/A,FALSE,"geral"}</definedName>
    <definedName name="Resumo" hidden="1">{"azul",#N/A,FALSE,"geral";"verde",#N/A,FALSE,"geral";"vermelho",#N/A,FALSE,"geral"}</definedName>
    <definedName name="resumoa" localSheetId="11" hidden="1">{"azul",#N/A,FALSE,"geral";"verde",#N/A,FALSE,"geral";"vermelho",#N/A,FALSE,"geral"}</definedName>
    <definedName name="resumoa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localSheetId="11" hidden="1">número</definedName>
    <definedName name="solver_rhs11" hidden="1">número</definedName>
    <definedName name="solver_rhs12" localSheetId="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v" localSheetId="11" hidden="1">{"normal","argentina",FALSE,"cenários e solver";#N/A,#N/A,FALSE,"banco de dados"}</definedName>
    <definedName name="v" hidden="1">{"normal","argentina",FALSE,"cenários e solver";#N/A,#N/A,FALSE,"banco de dados"}</definedName>
    <definedName name="vandasa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localSheetId="11" hidden="1">{#N/A,"Médio",TRUE,"Plan30";"3º Trimestre Geral",#N/A,TRUE,"1º Trimestre"}</definedName>
    <definedName name="wrn.Alfa." hidden="1">{#N/A,"Médio",TRUE,"Plan30";"3º Trimestre Geral",#N/A,TRUE,"1º Trimestre"}</definedName>
    <definedName name="wrn.aula." localSheetId="11" hidden="1">{"azul",#N/A,FALSE,"geral";"verde",#N/A,FALSE,"geral";"vermelho",#N/A,FALSE,"geral"}</definedName>
    <definedName name="wrn.aula." hidden="1">{"azul",#N/A,FALSE,"geral";"verde",#N/A,FALSE,"geral";"vermelho",#N/A,FALSE,"geral"}</definedName>
    <definedName name="wrn.aulaa" localSheetId="11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localSheetId="11" hidden="1">{#N/A,"Bom",FALSE,"Cenario 34"}</definedName>
    <definedName name="wrn.Bom." hidden="1">{#N/A,"Bom",FALSE,"Cenario 34"}</definedName>
    <definedName name="wrn.Cenários." localSheetId="11" hidden="1">{"Todos os estados",#N/A,TRUE,"Exibição 41";"Todos os estados",#N/A,TRUE,"Exibição 41";#N/A,"Ruim",TRUE,"Cenario 34";#N/A,"Médio",TRUE,"Cenario 34";#N/A,"Bom",TRUE,"Cenario 34";#N/A,"Excelente",TRUE,"Cenario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localSheetId="11" hidden="1">{#N/A,#N/A,FALSE,"Colar com vinculo"}</definedName>
    <definedName name="wrn.Colar._.com._.vinculo." hidden="1">{#N/A,#N/A,FALSE,"Colar com vinculo"}</definedName>
    <definedName name="wrn.Colar._.Especial." localSheetId="11" hidden="1">{#N/A,#N/A,FALSE,"Colar especial"}</definedName>
    <definedName name="wrn.Colar._.Especial." hidden="1">{#N/A,#N/A,FALSE,"Colar especial"}</definedName>
    <definedName name="wrn.fluxo._.de._.caixa." localSheetId="11" hidden="1">{"normal","argentina",FALSE,"cenários e solver";#N/A,#N/A,FALSE,"banco de dados"}</definedName>
    <definedName name="wrn.fluxo._.de._.caixa." hidden="1">{"normal","argentina",FALSE,"cenários e solver";#N/A,#N/A,FALSE,"banco de dados"}</definedName>
    <definedName name="wrn.Mensal." localSheetId="11" hidden="1">{"Integral",#N/A,FALSE,"Plan1"}</definedName>
    <definedName name="wrn.Mensal." hidden="1">{"Integral",#N/A,FALSE,"Plan1"}</definedName>
    <definedName name="wrn.Minas._.Gerais." localSheetId="11" hidden="1">{"Minas Gerais",#N/A,FALSE,"Exibição 41"}</definedName>
    <definedName name="wrn.Minas._.Gerais." hidden="1">{"Minas Gerais",#N/A,FALSE,"Exibição 41"}</definedName>
    <definedName name="wrn.Referencias." localSheetId="11" hidden="1">{#N/A,#N/A,FALSE,"Referencia"}</definedName>
    <definedName name="wrn.Referencias." hidden="1">{#N/A,#N/A,FALSE,"Referencia"}</definedName>
    <definedName name="wrn.Relat." localSheetId="1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localSheetId="1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localSheetId="11" hidden="1">{"Modo1","Otimista",FALSE,"Orçamento Pessoal"}</definedName>
    <definedName name="wrn.Relatório._.Mensal." hidden="1">{"Modo1","Otimista",FALSE,"Orçamento Pessoal"}</definedName>
    <definedName name="wrn.Ruim." localSheetId="11" hidden="1">{#N/A,"Ruim",FALSE,"Cenario 34"}</definedName>
    <definedName name="wrn.Ruim." hidden="1">{#N/A,"Ruim",FALSE,"Cenario 34"}</definedName>
    <definedName name="wrn.Santa._.Catarina." localSheetId="11" hidden="1">{"Santa Catarina",#N/A,FALSE,"Exibição 41"}</definedName>
    <definedName name="wrn.Santa._.Catarina." hidden="1">{"Santa Catarina",#N/A,FALSE,"Exibição 41"}</definedName>
    <definedName name="wrn.São._.Paulo_._.Minas._.Gerais." localSheetId="11" hidden="1">{"São Paulo",#N/A,TRUE,"Exibição 41";"Minas Gerais",#N/A,TRUE,"Exibição 41"}</definedName>
    <definedName name="wrn.São._.Paulo_._.Minas._.Gerais." hidden="1">{"São Paulo",#N/A,TRUE,"Exibição 41";"Minas Gerais",#N/A,TRUE,"Exibição 41"}</definedName>
    <definedName name="yu" localSheetId="11" hidden="1">{"normal","argentina",FALSE,"cenários e solver";#N/A,#N/A,FALSE,"banco de dados"}</definedName>
    <definedName name="yu" hidden="1">{"normal","argentina",FALSE,"cenários e solver";#N/A,#N/A,FALSE,"banco de dados"}</definedName>
  </definedNames>
  <calcPr calcId="162913"/>
</workbook>
</file>

<file path=xl/calcChain.xml><?xml version="1.0" encoding="utf-8"?>
<calcChain xmlns="http://schemas.openxmlformats.org/spreadsheetml/2006/main">
  <c r="E22" i="73" l="1"/>
  <c r="F22" i="73"/>
  <c r="G22" i="73"/>
  <c r="D22" i="73"/>
  <c r="E23" i="73"/>
  <c r="F23" i="73"/>
  <c r="G23" i="73"/>
  <c r="D23" i="73"/>
  <c r="G5" i="73"/>
  <c r="G6" i="73"/>
  <c r="G7" i="73"/>
  <c r="G8" i="73"/>
  <c r="G9" i="73"/>
  <c r="G10" i="73"/>
  <c r="G11" i="73"/>
  <c r="G12" i="73"/>
  <c r="G13" i="73"/>
  <c r="G14" i="73"/>
  <c r="G15" i="73"/>
  <c r="G16" i="73"/>
  <c r="G17" i="73"/>
  <c r="G18" i="73"/>
  <c r="G4" i="73"/>
  <c r="F5" i="73"/>
  <c r="F6" i="73"/>
  <c r="F7" i="73"/>
  <c r="F8" i="73"/>
  <c r="F9" i="73"/>
  <c r="F10" i="73"/>
  <c r="F11" i="73"/>
  <c r="F12" i="73"/>
  <c r="F13" i="73"/>
  <c r="F14" i="73"/>
  <c r="F15" i="73"/>
  <c r="F16" i="73"/>
  <c r="F17" i="73"/>
  <c r="F18" i="73"/>
  <c r="F4" i="73"/>
  <c r="J14" i="74" l="1"/>
  <c r="J15" i="74"/>
  <c r="J16" i="74"/>
  <c r="J17" i="74"/>
  <c r="J18" i="74"/>
  <c r="J19" i="74"/>
  <c r="J20" i="74"/>
  <c r="J21" i="74"/>
  <c r="J22" i="74"/>
  <c r="J23" i="74"/>
  <c r="J24" i="74"/>
  <c r="J25" i="74"/>
  <c r="J26" i="74"/>
  <c r="J27" i="74"/>
  <c r="J13" i="74"/>
  <c r="J5" i="74"/>
  <c r="I5" i="74"/>
  <c r="L9" i="60"/>
  <c r="K9" i="60"/>
  <c r="J9" i="60"/>
  <c r="I9" i="60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13" i="74"/>
  <c r="D27" i="73"/>
  <c r="D28" i="73"/>
  <c r="D29" i="73"/>
  <c r="D30" i="73"/>
  <c r="D31" i="73"/>
  <c r="D26" i="73"/>
  <c r="G27" i="73"/>
  <c r="G28" i="73"/>
  <c r="G29" i="73"/>
  <c r="G30" i="73"/>
  <c r="G31" i="73"/>
  <c r="G26" i="73"/>
  <c r="F21" i="73"/>
  <c r="G21" i="73"/>
  <c r="E21" i="73"/>
  <c r="D21" i="73"/>
  <c r="E20" i="73"/>
  <c r="F20" i="73"/>
  <c r="G20" i="73"/>
  <c r="D20" i="73"/>
  <c r="B17" i="71"/>
  <c r="B16" i="71"/>
  <c r="E5" i="73"/>
  <c r="E6" i="73"/>
  <c r="E7" i="73"/>
  <c r="E8" i="73"/>
  <c r="E9" i="73"/>
  <c r="E10" i="73"/>
  <c r="E11" i="73"/>
  <c r="E12" i="73"/>
  <c r="E13" i="73"/>
  <c r="E14" i="73"/>
  <c r="E15" i="73"/>
  <c r="E16" i="73"/>
  <c r="E17" i="73"/>
  <c r="E18" i="73"/>
  <c r="E4" i="73"/>
  <c r="L10" i="60"/>
  <c r="L11" i="60"/>
  <c r="L12" i="60"/>
  <c r="L13" i="60"/>
  <c r="L14" i="60"/>
  <c r="L15" i="60"/>
  <c r="K10" i="60"/>
  <c r="K11" i="60"/>
  <c r="K12" i="60"/>
  <c r="K13" i="60"/>
  <c r="K14" i="60"/>
  <c r="K15" i="60"/>
  <c r="J10" i="60"/>
  <c r="J11" i="60"/>
  <c r="J12" i="60"/>
  <c r="J13" i="60"/>
  <c r="J14" i="60"/>
  <c r="J15" i="60"/>
  <c r="I10" i="60"/>
  <c r="I11" i="60"/>
  <c r="I12" i="60"/>
  <c r="I13" i="60"/>
  <c r="I14" i="60"/>
  <c r="I15" i="60"/>
  <c r="H5" i="75"/>
  <c r="H6" i="75"/>
  <c r="H7" i="75"/>
  <c r="H8" i="75"/>
  <c r="H9" i="75"/>
  <c r="H10" i="75"/>
  <c r="H11" i="75"/>
  <c r="H12" i="75"/>
  <c r="H13" i="75"/>
  <c r="H14" i="75"/>
  <c r="H15" i="75"/>
  <c r="H16" i="75"/>
  <c r="H17" i="75"/>
  <c r="H18" i="75"/>
  <c r="H19" i="75"/>
  <c r="H20" i="75"/>
  <c r="H21" i="75"/>
  <c r="H22" i="75"/>
  <c r="H23" i="75"/>
  <c r="H24" i="75"/>
  <c r="H25" i="75"/>
  <c r="H26" i="75"/>
  <c r="H27" i="75"/>
  <c r="H28" i="75"/>
  <c r="H29" i="75"/>
  <c r="H4" i="75"/>
  <c r="I13" i="59"/>
  <c r="I14" i="59"/>
  <c r="I15" i="59"/>
  <c r="I12" i="59"/>
  <c r="I7" i="59"/>
  <c r="I6" i="59"/>
  <c r="I5" i="59"/>
  <c r="I4" i="59"/>
  <c r="B18" i="71"/>
  <c r="C17" i="71"/>
  <c r="C16" i="71"/>
  <c r="G11" i="66"/>
  <c r="G12" i="66"/>
  <c r="G13" i="66"/>
  <c r="G14" i="66"/>
  <c r="G15" i="66"/>
  <c r="G10" i="66"/>
  <c r="B15" i="71"/>
  <c r="F5" i="71"/>
  <c r="F6" i="71"/>
  <c r="F7" i="71"/>
  <c r="F8" i="71"/>
  <c r="F9" i="71"/>
  <c r="F10" i="71"/>
  <c r="F11" i="71"/>
  <c r="F12" i="71"/>
  <c r="F13" i="71"/>
  <c r="F4" i="71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2" i="68"/>
  <c r="G4" i="66"/>
  <c r="G5" i="66"/>
  <c r="G6" i="66"/>
  <c r="G7" i="66"/>
  <c r="G8" i="66"/>
  <c r="G9" i="66"/>
  <c r="G16" i="66"/>
  <c r="G17" i="66"/>
  <c r="G3" i="66"/>
  <c r="F4" i="66"/>
  <c r="F5" i="66"/>
  <c r="F6" i="66"/>
  <c r="F7" i="66"/>
  <c r="F8" i="66"/>
  <c r="F9" i="66"/>
  <c r="F10" i="66"/>
  <c r="F11" i="66"/>
  <c r="F12" i="66"/>
  <c r="F13" i="66"/>
  <c r="F14" i="66"/>
  <c r="F15" i="66"/>
  <c r="F16" i="66"/>
  <c r="F17" i="66"/>
  <c r="F3" i="66"/>
  <c r="E4" i="66"/>
  <c r="E5" i="66"/>
  <c r="E6" i="66"/>
  <c r="E7" i="66"/>
  <c r="E8" i="66"/>
  <c r="E9" i="66"/>
  <c r="E10" i="66"/>
  <c r="E11" i="66"/>
  <c r="E12" i="66"/>
  <c r="E13" i="66"/>
  <c r="E14" i="66"/>
  <c r="E15" i="66"/>
  <c r="E16" i="66"/>
  <c r="E17" i="66"/>
  <c r="E3" i="66"/>
  <c r="D4" i="66"/>
  <c r="D5" i="66"/>
  <c r="D6" i="66"/>
  <c r="D7" i="66"/>
  <c r="D8" i="66"/>
  <c r="D9" i="66"/>
  <c r="D10" i="66"/>
  <c r="D11" i="66"/>
  <c r="D12" i="66"/>
  <c r="D13" i="66"/>
  <c r="D14" i="66"/>
  <c r="D15" i="66"/>
  <c r="D16" i="66"/>
  <c r="D17" i="66"/>
  <c r="D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3" i="66"/>
  <c r="F12" i="19"/>
  <c r="F13" i="19"/>
  <c r="F11" i="19"/>
  <c r="F10" i="19"/>
  <c r="G12" i="17"/>
  <c r="G11" i="17"/>
  <c r="G10" i="17"/>
  <c r="G9" i="17"/>
  <c r="A21" i="69"/>
  <c r="B20" i="70"/>
  <c r="A20" i="67"/>
  <c r="C19" i="62"/>
  <c r="C18" i="62"/>
  <c r="B19" i="62"/>
  <c r="B18" i="62"/>
  <c r="B17" i="62"/>
  <c r="E8" i="61"/>
  <c r="E4" i="61"/>
  <c r="A24" i="61"/>
  <c r="A20" i="61"/>
  <c r="A16" i="61"/>
  <c r="A12" i="61"/>
  <c r="A8" i="61"/>
  <c r="C4" i="61"/>
  <c r="C3" i="61"/>
  <c r="A4" i="61"/>
  <c r="J29" i="74" l="1"/>
  <c r="I29" i="7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Divisão de Controle de Licenças</author>
  </authors>
  <commentList>
    <comment ref="C16" authorId="0" shapeId="0" xr:uid="{DA1AE6C5-95F9-4A01-AD90-A13CBB4D9F6E}">
      <text>
        <r>
          <rPr>
            <sz val="8"/>
            <color indexed="81"/>
            <rFont val="Segoe UI"/>
            <family val="2"/>
          </rPr>
          <t xml:space="preserve">3º Maior nota
</t>
        </r>
      </text>
    </comment>
    <comment ref="C17" authorId="0" shapeId="0" xr:uid="{B8E701FC-B9BD-4DF9-A59C-A24A5D8F069C}">
      <text>
        <r>
          <rPr>
            <sz val="8"/>
            <color indexed="81"/>
            <rFont val="Segoe UI"/>
            <family val="2"/>
          </rPr>
          <t>3º Menor nota</t>
        </r>
      </text>
    </comment>
  </commentList>
</comments>
</file>

<file path=xl/sharedStrings.xml><?xml version="1.0" encoding="utf-8"?>
<sst xmlns="http://schemas.openxmlformats.org/spreadsheetml/2006/main" count="909" uniqueCount="592">
  <si>
    <t>Nome</t>
  </si>
  <si>
    <t>Produto</t>
  </si>
  <si>
    <t>Vendedor</t>
  </si>
  <si>
    <t>Total</t>
  </si>
  <si>
    <t>Ana</t>
  </si>
  <si>
    <t>Impressora</t>
  </si>
  <si>
    <t>Micro</t>
  </si>
  <si>
    <t>Paulo</t>
  </si>
  <si>
    <t>TV</t>
  </si>
  <si>
    <t>Marcos</t>
  </si>
  <si>
    <t>Video</t>
  </si>
  <si>
    <t>Vera</t>
  </si>
  <si>
    <t>SP</t>
  </si>
  <si>
    <t>VEN</t>
  </si>
  <si>
    <t>Silvana Crescentti</t>
  </si>
  <si>
    <t>RJ</t>
  </si>
  <si>
    <t>ADM</t>
  </si>
  <si>
    <t>Maria Helena Marca</t>
  </si>
  <si>
    <t>Roberto Sanches</t>
  </si>
  <si>
    <t>RH</t>
  </si>
  <si>
    <t>Carlos de Brito</t>
  </si>
  <si>
    <t>CPD</t>
  </si>
  <si>
    <t>Gilberto Garcia</t>
  </si>
  <si>
    <t>Silmara Barreira</t>
  </si>
  <si>
    <t>Frederico Passas</t>
  </si>
  <si>
    <t>Katia Ferrari</t>
  </si>
  <si>
    <t>Eduardo Ferreira</t>
  </si>
  <si>
    <t>Pedro Paulo Lopes</t>
  </si>
  <si>
    <t>Mario de Campos</t>
  </si>
  <si>
    <t>Sergio Pelorin</t>
  </si>
  <si>
    <t>Alberto Souza Mello</t>
  </si>
  <si>
    <t>Carmem Peron</t>
  </si>
  <si>
    <t>Silvio Ferreira</t>
  </si>
  <si>
    <t>Salário</t>
  </si>
  <si>
    <t>Admissão</t>
  </si>
  <si>
    <t>Unidade</t>
  </si>
  <si>
    <t>Código</t>
  </si>
  <si>
    <t>=CONT.SE(intervalo;critérios)</t>
  </si>
  <si>
    <t>Departamento</t>
  </si>
  <si>
    <t>Despesas com salários por departamento</t>
  </si>
  <si>
    <t>Contagem de funcionários por departamento</t>
  </si>
  <si>
    <t xml:space="preserve">Localidade </t>
  </si>
  <si>
    <t>Lucro Final</t>
  </si>
  <si>
    <t>Qtde. de Entregadores</t>
  </si>
  <si>
    <t>Fretes Terceirizados?</t>
  </si>
  <si>
    <t>SC</t>
  </si>
  <si>
    <t>MG</t>
  </si>
  <si>
    <t>BA</t>
  </si>
  <si>
    <t>PR</t>
  </si>
  <si>
    <t>PA</t>
  </si>
  <si>
    <t>TRANS-SP-212</t>
  </si>
  <si>
    <t>TRANS-BH-89</t>
  </si>
  <si>
    <t>TRANS-SC-44</t>
  </si>
  <si>
    <t>TRANS-BH-137</t>
  </si>
  <si>
    <t>TRANS-RJ-232</t>
  </si>
  <si>
    <t>TRANS-MG-41</t>
  </si>
  <si>
    <t>TRANS-PR-215</t>
  </si>
  <si>
    <t>TRANS-BA-61</t>
  </si>
  <si>
    <t>TRANS-SC-237</t>
  </si>
  <si>
    <t>TRANS-BH-143</t>
  </si>
  <si>
    <t>TRANS-SC-113</t>
  </si>
  <si>
    <t>TRANS-PA-71</t>
  </si>
  <si>
    <t>TRANS-MG-190</t>
  </si>
  <si>
    <t>TRANS-BA-216</t>
  </si>
  <si>
    <t>TRANS-RJ-228</t>
  </si>
  <si>
    <t>TRANS-PR-41</t>
  </si>
  <si>
    <t>TRANS-RJ-113</t>
  </si>
  <si>
    <t>TRANS-SC-235</t>
  </si>
  <si>
    <t>Entregas Realizadas</t>
  </si>
  <si>
    <t>Localidade / Critério</t>
  </si>
  <si>
    <t>Neste Exercício</t>
  </si>
  <si>
    <t>=CONT.SE</t>
  </si>
  <si>
    <t>=SOMASE</t>
  </si>
  <si>
    <t>Transportadora Vito</t>
  </si>
  <si>
    <t>Análise por Localidade</t>
  </si>
  <si>
    <t>Função ABS</t>
  </si>
  <si>
    <t>Função INT</t>
  </si>
  <si>
    <t>Função Truncar</t>
  </si>
  <si>
    <t>Função RAIZ</t>
  </si>
  <si>
    <t>Meses</t>
  </si>
  <si>
    <t>Dias trabalhados</t>
  </si>
  <si>
    <t>Colégio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</si>
  <si>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</si>
  <si>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</si>
  <si>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</si>
  <si>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</si>
  <si>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</si>
  <si>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</si>
  <si>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</si>
  <si>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</si>
  <si>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</si>
  <si>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</si>
  <si>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</si>
  <si>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</si>
  <si>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Média:</t>
  </si>
  <si>
    <t>Bruno</t>
  </si>
  <si>
    <t>Costa</t>
  </si>
  <si>
    <t>Função CONCATENAR</t>
  </si>
  <si>
    <t>Qtde. de Filiais</t>
  </si>
  <si>
    <t>Fretes Terceirizados</t>
  </si>
  <si>
    <t>Código da Filial</t>
  </si>
  <si>
    <t>Aluno</t>
  </si>
  <si>
    <t>N1</t>
  </si>
  <si>
    <t>N2</t>
  </si>
  <si>
    <t>N3</t>
  </si>
  <si>
    <t>N4</t>
  </si>
  <si>
    <t>Média Final</t>
  </si>
  <si>
    <t>Rafael Delazeri</t>
  </si>
  <si>
    <t>Alunos</t>
  </si>
  <si>
    <t>Maior nota</t>
  </si>
  <si>
    <t>Menor nota</t>
  </si>
  <si>
    <t>Marco Rossi</t>
  </si>
  <si>
    <t>Paola Grassi</t>
  </si>
  <si>
    <t>Giuseppe Coppola</t>
  </si>
  <si>
    <t>Lucca de Santis</t>
  </si>
  <si>
    <t>Roberta D'Angelo</t>
  </si>
  <si>
    <t>Cristina Marchetti</t>
  </si>
  <si>
    <t>Lorenzo Montanari</t>
  </si>
  <si>
    <t>Manuela Ferraro</t>
  </si>
  <si>
    <t>Giulia Ferreti</t>
  </si>
  <si>
    <t>Boletim Escolar - Nota Mínima: 6</t>
  </si>
  <si>
    <t>Média da Turma</t>
  </si>
  <si>
    <t>Valores</t>
  </si>
  <si>
    <t>ABS</t>
  </si>
  <si>
    <t>Truncar</t>
  </si>
  <si>
    <t>Int</t>
  </si>
  <si>
    <t>Arred</t>
  </si>
  <si>
    <t>Raiz</t>
  </si>
  <si>
    <t>Marco</t>
  </si>
  <si>
    <t>Elena</t>
  </si>
  <si>
    <t>Ilaria</t>
  </si>
  <si>
    <t>Andrea</t>
  </si>
  <si>
    <t>Paola</t>
  </si>
  <si>
    <t>Gianni</t>
  </si>
  <si>
    <t>Giuseppe</t>
  </si>
  <si>
    <t>Stefania</t>
  </si>
  <si>
    <t>Pietro</t>
  </si>
  <si>
    <t>Antonio</t>
  </si>
  <si>
    <t>Angela</t>
  </si>
  <si>
    <t>Valeira</t>
  </si>
  <si>
    <t>Luca</t>
  </si>
  <si>
    <t>Nicola</t>
  </si>
  <si>
    <t>Emanuele</t>
  </si>
  <si>
    <t>Alessandro</t>
  </si>
  <si>
    <t>Roberta</t>
  </si>
  <si>
    <t>Sabrina</t>
  </si>
  <si>
    <t>Anna</t>
  </si>
  <si>
    <t>Angelo</t>
  </si>
  <si>
    <t>Enrico</t>
  </si>
  <si>
    <t>Giovanni</t>
  </si>
  <si>
    <t>Serena</t>
  </si>
  <si>
    <t>Roberto</t>
  </si>
  <si>
    <t>Veronica</t>
  </si>
  <si>
    <t>Elisa</t>
  </si>
  <si>
    <t>Pasquale</t>
  </si>
  <si>
    <t>Maria</t>
  </si>
  <si>
    <t>Alessia</t>
  </si>
  <si>
    <t>Mattia</t>
  </si>
  <si>
    <t>Sara</t>
  </si>
  <si>
    <t>Martina</t>
  </si>
  <si>
    <t>Raffaele</t>
  </si>
  <si>
    <t>Paolo</t>
  </si>
  <si>
    <t>Claudio</t>
  </si>
  <si>
    <t>Rosa</t>
  </si>
  <si>
    <t>Lorenzo</t>
  </si>
  <si>
    <t>Filipo</t>
  </si>
  <si>
    <t>Michele</t>
  </si>
  <si>
    <t>Eleonora</t>
  </si>
  <si>
    <t>Fabio</t>
  </si>
  <si>
    <t>Monica</t>
  </si>
  <si>
    <t>Giacomo</t>
  </si>
  <si>
    <t>Davide</t>
  </si>
  <si>
    <t>Rita</t>
  </si>
  <si>
    <t>Valentina</t>
  </si>
  <si>
    <t>Alessio</t>
  </si>
  <si>
    <t>Massimiliano</t>
  </si>
  <si>
    <t>Lucia</t>
  </si>
  <si>
    <t>Sergio</t>
  </si>
  <si>
    <t>Salvatore</t>
  </si>
  <si>
    <t>Barbara</t>
  </si>
  <si>
    <t>Tiziana</t>
  </si>
  <si>
    <t>Massimo</t>
  </si>
  <si>
    <t>Alberto</t>
  </si>
  <si>
    <t>Giorgia</t>
  </si>
  <si>
    <t>Daniele</t>
  </si>
  <si>
    <t>Federico</t>
  </si>
  <si>
    <t>Cinzia</t>
  </si>
  <si>
    <t>Giulia</t>
  </si>
  <si>
    <t>Gianluca</t>
  </si>
  <si>
    <t>Manuela</t>
  </si>
  <si>
    <t>Riccardo</t>
  </si>
  <si>
    <t>Giusy</t>
  </si>
  <si>
    <t>Antonella</t>
  </si>
  <si>
    <t>Patrizia</t>
  </si>
  <si>
    <t>Sonia</t>
  </si>
  <si>
    <t>Chiara</t>
  </si>
  <si>
    <t>Domenico</t>
  </si>
  <si>
    <t>Cristian</t>
  </si>
  <si>
    <t>Luigi</t>
  </si>
  <si>
    <t>Carlo</t>
  </si>
  <si>
    <t>Marta</t>
  </si>
  <si>
    <t>Silvia</t>
  </si>
  <si>
    <t>Mauro</t>
  </si>
  <si>
    <t>Alex</t>
  </si>
  <si>
    <t>Giovanna</t>
  </si>
  <si>
    <t>Emanuela</t>
  </si>
  <si>
    <t>Daniela</t>
  </si>
  <si>
    <t>Michela</t>
  </si>
  <si>
    <t>Dario</t>
  </si>
  <si>
    <t>Vincenzo</t>
  </si>
  <si>
    <t>Giorgio</t>
  </si>
  <si>
    <t>Mirko</t>
  </si>
  <si>
    <t>Federica</t>
  </si>
  <si>
    <t>Fabrizio</t>
  </si>
  <si>
    <t>Elisabetta</t>
  </si>
  <si>
    <t>Alessandra</t>
  </si>
  <si>
    <t>Gabiele</t>
  </si>
  <si>
    <t>Enzo</t>
  </si>
  <si>
    <t>Teresa</t>
  </si>
  <si>
    <t>Sobrenome</t>
  </si>
  <si>
    <t>Concatenar</t>
  </si>
  <si>
    <t>Sem função</t>
  </si>
  <si>
    <t>Rossi</t>
  </si>
  <si>
    <t>Vitale</t>
  </si>
  <si>
    <t>Grassi</t>
  </si>
  <si>
    <t>Russo</t>
  </si>
  <si>
    <t>Lombardo</t>
  </si>
  <si>
    <t>Pellegrino</t>
  </si>
  <si>
    <t>Ferrari</t>
  </si>
  <si>
    <t>Serra</t>
  </si>
  <si>
    <t>Carbone</t>
  </si>
  <si>
    <t>Esposito</t>
  </si>
  <si>
    <t>Coppola</t>
  </si>
  <si>
    <t>Giuliani</t>
  </si>
  <si>
    <t>Bianchi</t>
  </si>
  <si>
    <t>De Santis</t>
  </si>
  <si>
    <t>Benedetti</t>
  </si>
  <si>
    <t>Romano</t>
  </si>
  <si>
    <t>D’Angelo</t>
  </si>
  <si>
    <t>Barone</t>
  </si>
  <si>
    <t>Colombo</t>
  </si>
  <si>
    <t>Marchetti</t>
  </si>
  <si>
    <t>Rossetti</t>
  </si>
  <si>
    <t>Ricci</t>
  </si>
  <si>
    <t>Parisi</t>
  </si>
  <si>
    <t>Caputo</t>
  </si>
  <si>
    <t>Marino</t>
  </si>
  <si>
    <t>Villa</t>
  </si>
  <si>
    <t>Montanari</t>
  </si>
  <si>
    <t>Greco</t>
  </si>
  <si>
    <t>Conte</t>
  </si>
  <si>
    <t>Guerra</t>
  </si>
  <si>
    <t>Ferraro</t>
  </si>
  <si>
    <t>Palmieri</t>
  </si>
  <si>
    <t>Gallo</t>
  </si>
  <si>
    <t>Ferri</t>
  </si>
  <si>
    <t>Bernardi</t>
  </si>
  <si>
    <t>Conti</t>
  </si>
  <si>
    <t>Fabbri</t>
  </si>
  <si>
    <t>Martino</t>
  </si>
  <si>
    <t>De Luca</t>
  </si>
  <si>
    <t>Bianco</t>
  </si>
  <si>
    <t>Fiore</t>
  </si>
  <si>
    <t>Mancini</t>
  </si>
  <si>
    <t>Marini</t>
  </si>
  <si>
    <t>De Rosa</t>
  </si>
  <si>
    <t>Grasso</t>
  </si>
  <si>
    <t>Ferretti</t>
  </si>
  <si>
    <t>Giordano</t>
  </si>
  <si>
    <t>Valentini</t>
  </si>
  <si>
    <t>Bellini</t>
  </si>
  <si>
    <t>Rizzo</t>
  </si>
  <si>
    <t>Messina</t>
  </si>
  <si>
    <t>Basile</t>
  </si>
  <si>
    <t>Lombardi</t>
  </si>
  <si>
    <t>Sala</t>
  </si>
  <si>
    <t>Riva</t>
  </si>
  <si>
    <t>Moretti</t>
  </si>
  <si>
    <t>De Angelis</t>
  </si>
  <si>
    <t>Donati</t>
  </si>
  <si>
    <t>Barbieri</t>
  </si>
  <si>
    <t>Gatti</t>
  </si>
  <si>
    <t>Piras</t>
  </si>
  <si>
    <t>Fontana</t>
  </si>
  <si>
    <t>Pellegrini</t>
  </si>
  <si>
    <t>Vitali</t>
  </si>
  <si>
    <t>Santoro</t>
  </si>
  <si>
    <t>Palumbo</t>
  </si>
  <si>
    <t>Battaglia</t>
  </si>
  <si>
    <t>Mariani</t>
  </si>
  <si>
    <t>Sanna</t>
  </si>
  <si>
    <t>Sartori</t>
  </si>
  <si>
    <t>Rinaldi</t>
  </si>
  <si>
    <t>Farina</t>
  </si>
  <si>
    <t>Neri</t>
  </si>
  <si>
    <t>Caruso</t>
  </si>
  <si>
    <t>Rizzi</t>
  </si>
  <si>
    <t>Costatini</t>
  </si>
  <si>
    <t>Ferrara</t>
  </si>
  <si>
    <t>Monti</t>
  </si>
  <si>
    <t>Milani</t>
  </si>
  <si>
    <t>Galli</t>
  </si>
  <si>
    <t>Cattaneo</t>
  </si>
  <si>
    <t>Pagano</t>
  </si>
  <si>
    <t>Martini</t>
  </si>
  <si>
    <t>Morelli</t>
  </si>
  <si>
    <t>Ruggiero</t>
  </si>
  <si>
    <t>Leone</t>
  </si>
  <si>
    <t>Amato</t>
  </si>
  <si>
    <t>Sorrentino</t>
  </si>
  <si>
    <t>Longo</t>
  </si>
  <si>
    <t>Silvestri</t>
  </si>
  <si>
    <t>D’Amico</t>
  </si>
  <si>
    <t>Gentile</t>
  </si>
  <si>
    <t>Mazza</t>
  </si>
  <si>
    <t>Orlando</t>
  </si>
  <si>
    <t>Martinelli</t>
  </si>
  <si>
    <t>Testa</t>
  </si>
  <si>
    <t>Damico</t>
  </si>
  <si>
    <t>Negri</t>
  </si>
  <si>
    <t xml:space="preserve">Stefano </t>
  </si>
  <si>
    <t xml:space="preserve">Laura </t>
  </si>
  <si>
    <t xml:space="preserve">Matteo </t>
  </si>
  <si>
    <t xml:space="preserve">Simone </t>
  </si>
  <si>
    <t xml:space="preserve">Mario </t>
  </si>
  <si>
    <t xml:space="preserve">Cristina </t>
  </si>
  <si>
    <t xml:space="preserve">Simona </t>
  </si>
  <si>
    <t xml:space="preserve">Claudia </t>
  </si>
  <si>
    <t xml:space="preserve">Maurizio </t>
  </si>
  <si>
    <t>Alberto Gatti</t>
  </si>
  <si>
    <t>Federico Pellegrini</t>
  </si>
  <si>
    <t>Riccardo Sanna</t>
  </si>
  <si>
    <t>Patrizia Farina</t>
  </si>
  <si>
    <t>Domenico Rizzi</t>
  </si>
  <si>
    <t>Carlo Monti</t>
  </si>
  <si>
    <t>Giovanna Morelli</t>
  </si>
  <si>
    <t>Michela Amato</t>
  </si>
  <si>
    <t>Giorgio Silvestri</t>
  </si>
  <si>
    <t>Gabiele Testa</t>
  </si>
  <si>
    <t>Ilaria Grassi</t>
  </si>
  <si>
    <t>Valeira Giuliani</t>
  </si>
  <si>
    <t>Inscritos</t>
  </si>
  <si>
    <t>Idade</t>
  </si>
  <si>
    <t>Hogwarts</t>
  </si>
  <si>
    <t>Função ARRED</t>
  </si>
  <si>
    <t>Capítulo 6</t>
  </si>
  <si>
    <t>Funções básicas</t>
  </si>
  <si>
    <t>Páginas 184 à 200</t>
  </si>
  <si>
    <t>Função TRUNCAR</t>
  </si>
  <si>
    <t>Funções estatísticas</t>
  </si>
  <si>
    <t>Função SOMA</t>
  </si>
  <si>
    <t>Função MÉDIA</t>
  </si>
  <si>
    <t>Digitando funções</t>
  </si>
  <si>
    <t>Digitação direta</t>
  </si>
  <si>
    <t>Usando o Assistente de Função</t>
  </si>
  <si>
    <t>Pela Faixa de Opções</t>
  </si>
  <si>
    <t>Pela Caixa de Nome</t>
  </si>
  <si>
    <t>Funções aninhadas</t>
  </si>
  <si>
    <t>Obtendo ajuda</t>
  </si>
  <si>
    <t>Funções matemáticas</t>
  </si>
  <si>
    <t>Função MÁXIMO</t>
  </si>
  <si>
    <t>Função MÍNIMO</t>
  </si>
  <si>
    <t>Função CONT.VALORES</t>
  </si>
  <si>
    <t>Função CONTAR.VAZIO</t>
  </si>
  <si>
    <t>Função CONT.NÚM</t>
  </si>
  <si>
    <t>Agora</t>
  </si>
  <si>
    <t>Hoje</t>
  </si>
  <si>
    <t>Maior qtd dias:</t>
  </si>
  <si>
    <t>Menor qtd dias:</t>
  </si>
  <si>
    <t>2º  Maior</t>
  </si>
  <si>
    <t>Desconto do IPI</t>
  </si>
  <si>
    <t>Parcelas</t>
  </si>
  <si>
    <t>MARCA</t>
  </si>
  <si>
    <t>MODELO</t>
  </si>
  <si>
    <t>POTÊNCIA (cv)</t>
  </si>
  <si>
    <t>PREÇO BÁSICO</t>
  </si>
  <si>
    <t>PREÇO BÁS.
C/ DESCONTO DO IPI</t>
  </si>
  <si>
    <t>Valor em 12 Parcelas</t>
  </si>
  <si>
    <t>Valor em 24 Parcelas</t>
  </si>
  <si>
    <t>BMW</t>
  </si>
  <si>
    <t>G 650 Xcountry Std.</t>
  </si>
  <si>
    <t>R 1200 GS Advent.</t>
  </si>
  <si>
    <t>Dafra</t>
  </si>
  <si>
    <t>Laser 150 (Scooter)</t>
  </si>
  <si>
    <t>Yamaha</t>
  </si>
  <si>
    <t>XT 660R</t>
  </si>
  <si>
    <t>Kansas 150 (custom)</t>
  </si>
  <si>
    <t>Honda</t>
  </si>
  <si>
    <t>CB 600F Hornet</t>
  </si>
  <si>
    <t>Kasinski</t>
  </si>
  <si>
    <t>Comet 650 (esport)</t>
  </si>
  <si>
    <t>CG Titan KS Mix</t>
  </si>
  <si>
    <t>Suzuki</t>
  </si>
  <si>
    <t>GSX 1300 Hayabusa</t>
  </si>
  <si>
    <t>Bandit</t>
  </si>
  <si>
    <t>Fazer 250</t>
  </si>
  <si>
    <t>CG 125 Fan ES</t>
  </si>
  <si>
    <t>XTZ 250X</t>
  </si>
  <si>
    <t>XTZ 1250K</t>
  </si>
  <si>
    <t>NXR 150 Bros KS</t>
  </si>
  <si>
    <t>TOTAL</t>
  </si>
  <si>
    <t>MÉDIA</t>
  </si>
  <si>
    <t>MAIOR VALOR</t>
  </si>
  <si>
    <t>MENOR VALOR</t>
  </si>
  <si>
    <t>TOTAIS POR MARCA ¹</t>
  </si>
  <si>
    <t>QUANTIDADE DE
MOTOS POR MARCA ²</t>
  </si>
  <si>
    <t>PROGRAMAÇÃO  DE  EMBARQUES    -     EXPORTAÇÃO</t>
  </si>
  <si>
    <t>RESUMO  DOS  EMBARQUES</t>
  </si>
  <si>
    <t>Nº.Pedido</t>
  </si>
  <si>
    <t>Pais</t>
  </si>
  <si>
    <t>Continente</t>
  </si>
  <si>
    <t>Qtd.Container</t>
  </si>
  <si>
    <t>Valor Pedido</t>
  </si>
  <si>
    <t>Valor Pedidos</t>
  </si>
  <si>
    <t>Qt.Pedidos</t>
  </si>
  <si>
    <t>França</t>
  </si>
  <si>
    <t>Europa</t>
  </si>
  <si>
    <t>América</t>
  </si>
  <si>
    <t>Holanda</t>
  </si>
  <si>
    <t>Japão</t>
  </si>
  <si>
    <t>Asia</t>
  </si>
  <si>
    <t>Canadá</t>
  </si>
  <si>
    <t>EUA</t>
  </si>
  <si>
    <t>China</t>
  </si>
  <si>
    <t>Dinamarca</t>
  </si>
  <si>
    <t>Itália</t>
  </si>
  <si>
    <t>Espanha</t>
  </si>
  <si>
    <t>Alemanha</t>
  </si>
  <si>
    <t>Coreia</t>
  </si>
  <si>
    <t>Mexico</t>
  </si>
  <si>
    <t>Argentina</t>
  </si>
  <si>
    <t>Russia</t>
  </si>
  <si>
    <t>Egito</t>
  </si>
  <si>
    <t>Africa do Sul</t>
  </si>
  <si>
    <t>Africa</t>
  </si>
  <si>
    <t>ARTILHEIROS  DAS  COPAS  DO MUNDO</t>
  </si>
  <si>
    <t>Ano</t>
  </si>
  <si>
    <t>Jogador</t>
  </si>
  <si>
    <t>País</t>
  </si>
  <si>
    <t>Gols</t>
  </si>
  <si>
    <t>PAIS</t>
  </si>
  <si>
    <t>Nº.ARTILHEIROS</t>
  </si>
  <si>
    <t>Guillermo Stábile</t>
  </si>
  <si>
    <t>Oldrich Nejedly</t>
  </si>
  <si>
    <t>Tchecoeslováquia</t>
  </si>
  <si>
    <t>Leônidas</t>
  </si>
  <si>
    <t>Brasil</t>
  </si>
  <si>
    <t>Austria</t>
  </si>
  <si>
    <t>Ademir</t>
  </si>
  <si>
    <t>Sandor Kocsis</t>
  </si>
  <si>
    <t>Hungria</t>
  </si>
  <si>
    <t>Bulgária</t>
  </si>
  <si>
    <t>Just Fontaine</t>
  </si>
  <si>
    <t>Chile</t>
  </si>
  <si>
    <t>Garrincha</t>
  </si>
  <si>
    <t>Croácia</t>
  </si>
  <si>
    <t>Vavá</t>
  </si>
  <si>
    <t>Valentin Ivanov</t>
  </si>
  <si>
    <t>URSS</t>
  </si>
  <si>
    <t>Estados Unidos</t>
  </si>
  <si>
    <t>Leonel Sanchez</t>
  </si>
  <si>
    <t>Florian Albert</t>
  </si>
  <si>
    <t>Drazan Jerkovic</t>
  </si>
  <si>
    <t>Iuguslávia</t>
  </si>
  <si>
    <t>Colombia</t>
  </si>
  <si>
    <t>Eusebio</t>
  </si>
  <si>
    <t>Portugal</t>
  </si>
  <si>
    <t>Inglaterra</t>
  </si>
  <si>
    <t>Gerd Müller</t>
  </si>
  <si>
    <t>Grzegorz Lato</t>
  </si>
  <si>
    <t>Polônia</t>
  </si>
  <si>
    <t>Mario Kempes</t>
  </si>
  <si>
    <t>Paolo Rossi</t>
  </si>
  <si>
    <t>Gary Lineker</t>
  </si>
  <si>
    <t>Salvatore Schillaci</t>
  </si>
  <si>
    <t>Rússia</t>
  </si>
  <si>
    <t>Hristo Stoitchkov</t>
  </si>
  <si>
    <t>Suécia</t>
  </si>
  <si>
    <t>Oleg Salenko</t>
  </si>
  <si>
    <t>Davor Suker</t>
  </si>
  <si>
    <t>Ronaldinho</t>
  </si>
  <si>
    <t>Uruguai</t>
  </si>
  <si>
    <t>Miroslav Klose</t>
  </si>
  <si>
    <t>Müller</t>
  </si>
  <si>
    <t>Sneijder</t>
  </si>
  <si>
    <t>Diego Forlán</t>
  </si>
  <si>
    <t>James Rodríguez</t>
  </si>
  <si>
    <t>Colômbia</t>
  </si>
  <si>
    <t>serve para tirar o numero negativo</t>
  </si>
  <si>
    <t xml:space="preserve">tira os numeros decimais </t>
  </si>
  <si>
    <t>serve para arredondar</t>
  </si>
  <si>
    <t>ignora os numeros</t>
  </si>
  <si>
    <t xml:space="preserve">viviane </t>
  </si>
  <si>
    <t>campos</t>
  </si>
  <si>
    <t>mostra a data e a hora de hoje</t>
  </si>
  <si>
    <t>maior</t>
  </si>
  <si>
    <t>menor</t>
  </si>
  <si>
    <t>2 argumentos: one você vai procurar e o que você vai procurar</t>
  </si>
  <si>
    <t>onde eu vou procurar</t>
  </si>
  <si>
    <t>o que eu vou procurar</t>
  </si>
  <si>
    <t xml:space="preserve">o que eu vou somar </t>
  </si>
  <si>
    <t>=SOMASE(intervalo;critérios;(intervalo_soma))</t>
  </si>
  <si>
    <t>Andrea Russo</t>
  </si>
  <si>
    <t>Giuseppe Ferrari</t>
  </si>
  <si>
    <t>Antonio Esposito</t>
  </si>
  <si>
    <t>Luca Bianchi</t>
  </si>
  <si>
    <t>Alessandro Romano</t>
  </si>
  <si>
    <t>Anna Colombo</t>
  </si>
  <si>
    <t>Giovanni Ricci</t>
  </si>
  <si>
    <t>Roberto Marino</t>
  </si>
  <si>
    <t>Stefano  Greco</t>
  </si>
  <si>
    <t>Maria Bruno</t>
  </si>
  <si>
    <t>Sara Gallo</t>
  </si>
  <si>
    <t>Paolo Conti</t>
  </si>
  <si>
    <t>Laura  De Luca</t>
  </si>
  <si>
    <t>Michele Mancini</t>
  </si>
  <si>
    <t>Fabio Costa</t>
  </si>
  <si>
    <t>Davide Giordano</t>
  </si>
  <si>
    <t>Valentina Rizzo</t>
  </si>
  <si>
    <t>Matteo  Lombardi</t>
  </si>
  <si>
    <t>Salvatore Moretti</t>
  </si>
  <si>
    <t>Massimo Barbieri</t>
  </si>
  <si>
    <t>Daniele Fontana</t>
  </si>
  <si>
    <t>Giulia Santoro</t>
  </si>
  <si>
    <t>Simone  Mariani</t>
  </si>
  <si>
    <t>Antonella Rinaldi</t>
  </si>
  <si>
    <t>Chiara Caruso</t>
  </si>
  <si>
    <t>Luigi Ferrara</t>
  </si>
  <si>
    <t>Silvia Galli</t>
  </si>
  <si>
    <t>Mario  Martini</t>
  </si>
  <si>
    <t>Daniela Leone</t>
  </si>
  <si>
    <t>Vincenzo Longo</t>
  </si>
  <si>
    <t>Federica Gentile</t>
  </si>
  <si>
    <t>Alessandra Martinelli</t>
  </si>
  <si>
    <t>Elena Vitale</t>
  </si>
  <si>
    <t>Paola Lombardo</t>
  </si>
  <si>
    <t>Stefania Serra</t>
  </si>
  <si>
    <t>Angela Coppola</t>
  </si>
  <si>
    <t>Nicola De Santis</t>
  </si>
  <si>
    <t>Roberta D’Angelo</t>
  </si>
  <si>
    <t>Angelo Marchetti</t>
  </si>
  <si>
    <t>Cristina  Parisi</t>
  </si>
  <si>
    <t>Simona  Villa</t>
  </si>
  <si>
    <t>Elisa Conte</t>
  </si>
  <si>
    <t>Alessia Ferraro</t>
  </si>
  <si>
    <t>Martina Ferri</t>
  </si>
  <si>
    <t>Claudio Fabbri</t>
  </si>
  <si>
    <t>Lorenzo Bianco</t>
  </si>
  <si>
    <t>Claudia  Marini</t>
  </si>
  <si>
    <t>Monica Grasso</t>
  </si>
  <si>
    <t>Maurizio  Valentini</t>
  </si>
  <si>
    <t>Alessio Messina</t>
  </si>
  <si>
    <t>Lucia Sala</t>
  </si>
  <si>
    <t>Barbara De Angelis</t>
  </si>
  <si>
    <t>Gianluca Palumbo</t>
  </si>
  <si>
    <t>Mauro Cattaneo</t>
  </si>
  <si>
    <t>Fabrizio Mazza</t>
  </si>
  <si>
    <t>Gianni Pellegrino</t>
  </si>
  <si>
    <t>Pietro Carbone</t>
  </si>
  <si>
    <t>Emanuele Benedetti</t>
  </si>
  <si>
    <t>Sabrina Barone</t>
  </si>
  <si>
    <t>Enrico Rossetti</t>
  </si>
  <si>
    <t>Serena Caputo</t>
  </si>
  <si>
    <t>Veronica Montanari</t>
  </si>
  <si>
    <t>Pasquale Guerra</t>
  </si>
  <si>
    <t>Mattia Palmieri</t>
  </si>
  <si>
    <t>Raffaele Bernardi</t>
  </si>
  <si>
    <t>Rosa Martino</t>
  </si>
  <si>
    <t>Filipo Fiore</t>
  </si>
  <si>
    <t>Eleonora De Rosa</t>
  </si>
  <si>
    <t>Giacomo Ferretti</t>
  </si>
  <si>
    <t>Rita Bellini</t>
  </si>
  <si>
    <t>Massimiliano Basile</t>
  </si>
  <si>
    <t>Sergio Riva</t>
  </si>
  <si>
    <t>Tiziana Donati</t>
  </si>
  <si>
    <t>Giorgia Piras</t>
  </si>
  <si>
    <t>Cinzia Vitali</t>
  </si>
  <si>
    <t>Manuela Battaglia</t>
  </si>
  <si>
    <t>Giusy Sartori</t>
  </si>
  <si>
    <t>Sonia Neri</t>
  </si>
  <si>
    <t>Cristian Costatini</t>
  </si>
  <si>
    <t>Marta Milani</t>
  </si>
  <si>
    <t>Alex Pagano</t>
  </si>
  <si>
    <t>Emanuela Ruggiero</t>
  </si>
  <si>
    <t>Dario Sorrentino</t>
  </si>
  <si>
    <t>Mirko D’Amico</t>
  </si>
  <si>
    <t>Elisabetta Orlando</t>
  </si>
  <si>
    <t>Enzo Damico</t>
  </si>
  <si>
    <t>Teresa Negri</t>
  </si>
  <si>
    <t>=média</t>
  </si>
  <si>
    <t>=cont.valores</t>
  </si>
  <si>
    <t>formula contse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</si>
</sst>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"/>
    <numFmt numFmtId="166" formatCode="_(&quot;R$ &quot;* #,##0.00_);_(&quot;R$ &quot;* \(#,##0.00\);_(&quot;R$ &quot;* &quot;-&quot;??_);_(@_)"/>
    <numFmt numFmtId="167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System"/>
      <family val="2"/>
    </font>
    <font>
      <b/>
      <sz val="10"/>
      <color indexed="9"/>
      <name val="System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color indexed="62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indexed="12"/>
      <name val="Georgia Pro Semibold"/>
      <family val="1"/>
    </font>
    <font>
      <sz val="12"/>
      <name val="Georgia Pro Semibold"/>
      <family val="1"/>
    </font>
    <font>
      <b/>
      <sz val="12"/>
      <color indexed="9"/>
      <name val="Georgia Pro Semibold"/>
      <family val="1"/>
    </font>
    <font>
      <b/>
      <sz val="12"/>
      <name val="Georgia Pro Semibold"/>
      <family val="1"/>
    </font>
    <font>
      <sz val="8"/>
      <color indexed="81"/>
      <name val="Segoe UI"/>
      <family val="2"/>
    </font>
  </fonts>
  <fills count="2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gradientFill degree="90">
        <stop position="0">
          <color theme="3"/>
        </stop>
        <stop position="1">
          <color theme="8" tint="0.59999389629810485"/>
        </stop>
      </gradientFill>
    </fill>
    <fill>
      <gradientFill degree="135">
        <stop position="0">
          <color theme="8" tint="0.40000610370189521"/>
        </stop>
        <stop position="1">
          <color theme="4"/>
        </stop>
      </gradient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horizontal="left" vertical="center"/>
    </xf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5" borderId="0" applyNumberFormat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6" fillId="14" borderId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4" fillId="0" borderId="0"/>
    <xf numFmtId="167" fontId="14" fillId="0" borderId="0" applyFont="0" applyFill="0" applyBorder="0" applyAlignment="0" applyProtection="0"/>
    <xf numFmtId="0" fontId="22" fillId="0" borderId="0" applyNumberFormat="0" applyFill="0" applyBorder="0" applyAlignment="0" applyProtection="0">
      <alignment horizontal="left" vertical="center"/>
    </xf>
    <xf numFmtId="43" fontId="1" fillId="0" borderId="0" applyFont="0" applyFill="0" applyBorder="0" applyAlignment="0" applyProtection="0"/>
  </cellStyleXfs>
  <cellXfs count="194">
    <xf numFmtId="0" fontId="0" fillId="0" borderId="0" xfId="0">
      <alignment horizontal="left" vertical="center"/>
    </xf>
    <xf numFmtId="0" fontId="0" fillId="0" borderId="1" xfId="0" applyFont="1" applyBorder="1">
      <alignment horizontal="left" vertical="center"/>
    </xf>
    <xf numFmtId="0" fontId="2" fillId="4" borderId="1" xfId="0" applyFont="1" applyFill="1" applyBorder="1">
      <alignment horizontal="left" vertical="center"/>
    </xf>
    <xf numFmtId="0" fontId="2" fillId="4" borderId="2" xfId="0" applyFont="1" applyFill="1" applyBorder="1">
      <alignment horizontal="left" vertical="center"/>
    </xf>
    <xf numFmtId="0" fontId="2" fillId="4" borderId="3" xfId="0" applyFont="1" applyFill="1" applyBorder="1">
      <alignment horizontal="left" vertical="center"/>
    </xf>
    <xf numFmtId="44" fontId="2" fillId="4" borderId="1" xfId="0" applyNumberFormat="1" applyFont="1" applyFill="1" applyBorder="1">
      <alignment horizontal="left" vertical="center"/>
    </xf>
    <xf numFmtId="44" fontId="0" fillId="0" borderId="1" xfId="0" applyNumberFormat="1" applyFont="1" applyBorder="1">
      <alignment horizontal="left" vertical="center"/>
    </xf>
    <xf numFmtId="44" fontId="2" fillId="4" borderId="3" xfId="0" applyNumberFormat="1" applyFont="1" applyFill="1" applyBorder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>
      <alignment horizontal="left" vertical="center"/>
    </xf>
    <xf numFmtId="44" fontId="2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>
      <alignment horizontal="left" vertical="center"/>
    </xf>
    <xf numFmtId="0" fontId="1" fillId="0" borderId="0" xfId="0" applyFont="1">
      <alignment horizontal="left" vertical="center"/>
    </xf>
    <xf numFmtId="0" fontId="1" fillId="0" borderId="0" xfId="0" quotePrefix="1" applyFont="1">
      <alignment horizontal="left" vertical="center"/>
    </xf>
    <xf numFmtId="0" fontId="1" fillId="0" borderId="1" xfId="0" applyFont="1" applyBorder="1">
      <alignment horizontal="left" vertical="center"/>
    </xf>
    <xf numFmtId="0" fontId="1" fillId="3" borderId="1" xfId="2" applyFont="1" applyBorder="1"/>
    <xf numFmtId="44" fontId="1" fillId="0" borderId="1" xfId="0" applyNumberFormat="1" applyFont="1" applyBorder="1">
      <alignment horizontal="left" vertical="center"/>
    </xf>
    <xf numFmtId="44" fontId="1" fillId="0" borderId="0" xfId="0" applyNumberFormat="1" applyFont="1">
      <alignment horizontal="left" vertical="center"/>
    </xf>
    <xf numFmtId="0" fontId="1" fillId="0" borderId="2" xfId="0" applyFont="1" applyBorder="1">
      <alignment horizontal="left" vertical="center"/>
    </xf>
    <xf numFmtId="0" fontId="1" fillId="0" borderId="4" xfId="0" applyFont="1" applyBorder="1">
      <alignment horizontal="left" vertical="center"/>
    </xf>
    <xf numFmtId="0" fontId="0" fillId="0" borderId="0" xfId="0" applyFont="1">
      <alignment horizontal="left" vertical="center"/>
    </xf>
    <xf numFmtId="0" fontId="0" fillId="3" borderId="1" xfId="2" applyFont="1" applyBorder="1" applyAlignment="1">
      <alignment horizontal="center" vertical="center"/>
    </xf>
    <xf numFmtId="44" fontId="0" fillId="3" borderId="1" xfId="2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>
      <alignment horizontal="left" vertical="center"/>
    </xf>
    <xf numFmtId="44" fontId="0" fillId="0" borderId="0" xfId="0" applyNumberFormat="1" applyFont="1" applyAlignment="1">
      <alignment horizontal="center" vertical="center"/>
    </xf>
    <xf numFmtId="0" fontId="1" fillId="3" borderId="2" xfId="2" applyBorder="1"/>
    <xf numFmtId="0" fontId="1" fillId="3" borderId="4" xfId="2" applyBorder="1"/>
    <xf numFmtId="44" fontId="1" fillId="3" borderId="3" xfId="2" applyNumberFormat="1" applyBorder="1"/>
    <xf numFmtId="44" fontId="1" fillId="3" borderId="1" xfId="2" applyNumberFormat="1" applyBorder="1"/>
    <xf numFmtId="0" fontId="1" fillId="0" borderId="1" xfId="0" applyNumberFormat="1" applyFont="1" applyBorder="1">
      <alignment horizontal="left" vertical="center"/>
    </xf>
    <xf numFmtId="0" fontId="0" fillId="0" borderId="0" xfId="0" quotePrefix="1" applyFont="1">
      <alignment horizontal="left" vertical="center"/>
    </xf>
    <xf numFmtId="0" fontId="0" fillId="0" borderId="1" xfId="0" applyNumberFormat="1" applyFont="1" applyBorder="1">
      <alignment horizontal="left" vertical="center"/>
    </xf>
    <xf numFmtId="0" fontId="0" fillId="0" borderId="0" xfId="0" applyNumberFormat="1" applyFont="1">
      <alignment horizontal="left" vertical="center"/>
    </xf>
    <xf numFmtId="0" fontId="4" fillId="0" borderId="0" xfId="0" applyFont="1">
      <alignment horizontal="left" vertical="center"/>
    </xf>
    <xf numFmtId="0" fontId="0" fillId="0" borderId="1" xfId="0" applyBorder="1">
      <alignment horizontal="left" vertical="center"/>
    </xf>
    <xf numFmtId="44" fontId="0" fillId="0" borderId="1" xfId="0" applyNumberFormat="1" applyBorder="1">
      <alignment horizontal="left" vertical="center"/>
    </xf>
    <xf numFmtId="0" fontId="5" fillId="5" borderId="1" xfId="3" applyBorder="1" applyAlignment="1">
      <alignment horizontal="left" vertical="center"/>
    </xf>
    <xf numFmtId="0" fontId="0" fillId="0" borderId="1" xfId="0" quotePrefix="1" applyFont="1" applyBorder="1">
      <alignment horizontal="left" vertical="center"/>
    </xf>
    <xf numFmtId="0" fontId="0" fillId="0" borderId="0" xfId="0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>
      <alignment horizontal="left" vertical="center"/>
    </xf>
    <xf numFmtId="0" fontId="3" fillId="2" borderId="0" xfId="1" quotePrefix="1" applyFont="1" applyAlignment="1">
      <alignment horizontal="left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applyFill="1" applyBorder="1">
      <alignment horizontal="left" vertical="center"/>
    </xf>
    <xf numFmtId="0" fontId="0" fillId="7" borderId="1" xfId="0" applyFill="1" applyBorder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5" fillId="10" borderId="1" xfId="3" applyFill="1" applyBorder="1" applyAlignment="1">
      <alignment horizontal="center" vertical="center" wrapText="1"/>
    </xf>
    <xf numFmtId="0" fontId="5" fillId="10" borderId="1" xfId="3" applyFill="1" applyBorder="1" applyAlignment="1">
      <alignment horizontal="center" vertical="center"/>
    </xf>
    <xf numFmtId="0" fontId="7" fillId="0" borderId="0" xfId="5"/>
    <xf numFmtId="0" fontId="8" fillId="5" borderId="10" xfId="8" applyFont="1" applyBorder="1"/>
    <xf numFmtId="0" fontId="7" fillId="0" borderId="1" xfId="5" applyFont="1" applyBorder="1"/>
    <xf numFmtId="165" fontId="7" fillId="0" borderId="1" xfId="5" applyNumberFormat="1" applyFont="1" applyBorder="1" applyAlignment="1">
      <alignment horizontal="center" vertical="center"/>
    </xf>
    <xf numFmtId="0" fontId="7" fillId="0" borderId="11" xfId="5" applyFont="1" applyBorder="1"/>
    <xf numFmtId="165" fontId="7" fillId="0" borderId="11" xfId="5" applyNumberFormat="1" applyFont="1" applyBorder="1" applyAlignment="1">
      <alignment horizontal="center" vertical="center"/>
    </xf>
    <xf numFmtId="165" fontId="7" fillId="0" borderId="1" xfId="5" applyNumberFormat="1" applyFont="1" applyBorder="1" applyAlignment="1">
      <alignment vertical="center"/>
    </xf>
    <xf numFmtId="0" fontId="7" fillId="0" borderId="12" xfId="5" applyFont="1" applyBorder="1" applyAlignment="1">
      <alignment vertical="center"/>
    </xf>
    <xf numFmtId="0" fontId="7" fillId="0" borderId="13" xfId="5" applyFont="1" applyBorder="1" applyAlignment="1">
      <alignment vertical="center"/>
    </xf>
    <xf numFmtId="0" fontId="7" fillId="0" borderId="14" xfId="5" applyFont="1" applyBorder="1" applyAlignment="1">
      <alignment vertical="center"/>
    </xf>
    <xf numFmtId="0" fontId="7" fillId="0" borderId="15" xfId="5" applyFont="1" applyBorder="1" applyAlignment="1">
      <alignment horizontal="left" vertical="center" wrapText="1"/>
    </xf>
    <xf numFmtId="165" fontId="7" fillId="0" borderId="16" xfId="5" applyNumberFormat="1" applyFont="1" applyBorder="1" applyAlignment="1">
      <alignment horizontal="right" vertical="center"/>
    </xf>
    <xf numFmtId="0" fontId="0" fillId="0" borderId="0" xfId="0" quotePrefix="1" applyAlignment="1">
      <alignment vertical="center"/>
    </xf>
    <xf numFmtId="0" fontId="0" fillId="0" borderId="10" xfId="0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3" fillId="15" borderId="18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16" borderId="1" xfId="0" applyFill="1" applyBorder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5" borderId="10" xfId="8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ill="1" applyBorder="1" applyAlignment="1"/>
    <xf numFmtId="14" fontId="0" fillId="0" borderId="0" xfId="0" applyNumberFormat="1">
      <alignment horizontal="left" vertical="center"/>
    </xf>
    <xf numFmtId="0" fontId="10" fillId="0" borderId="1" xfId="0" applyFont="1" applyBorder="1">
      <alignment horizontal="left" vertical="center"/>
    </xf>
    <xf numFmtId="0" fontId="0" fillId="18" borderId="1" xfId="0" applyFill="1" applyBorder="1">
      <alignment horizontal="left" vertical="center"/>
    </xf>
    <xf numFmtId="0" fontId="2" fillId="18" borderId="1" xfId="0" applyFont="1" applyFill="1" applyBorder="1">
      <alignment horizontal="left" vertical="center"/>
    </xf>
    <xf numFmtId="0" fontId="2" fillId="18" borderId="3" xfId="0" applyFont="1" applyFill="1" applyBorder="1">
      <alignment horizontal="left" vertical="center"/>
    </xf>
    <xf numFmtId="0" fontId="0" fillId="19" borderId="1" xfId="0" applyFill="1" applyBorder="1">
      <alignment horizontal="left" vertical="center"/>
    </xf>
    <xf numFmtId="0" fontId="1" fillId="0" borderId="0" xfId="9"/>
    <xf numFmtId="0" fontId="1" fillId="0" borderId="1" xfId="9" applyBorder="1"/>
    <xf numFmtId="9" fontId="1" fillId="0" borderId="1" xfId="9" applyNumberFormat="1" applyBorder="1"/>
    <xf numFmtId="166" fontId="1" fillId="0" borderId="1" xfId="10" applyFont="1" applyBorder="1"/>
    <xf numFmtId="166" fontId="1" fillId="0" borderId="1" xfId="9" applyNumberFormat="1" applyBorder="1"/>
    <xf numFmtId="0" fontId="13" fillId="0" borderId="0" xfId="9" applyFont="1" applyAlignment="1">
      <alignment horizontal="center"/>
    </xf>
    <xf numFmtId="0" fontId="12" fillId="0" borderId="1" xfId="9" applyFont="1" applyBorder="1" applyAlignment="1">
      <alignment horizontal="center" vertical="center" wrapText="1"/>
    </xf>
    <xf numFmtId="0" fontId="13" fillId="0" borderId="0" xfId="9" applyFont="1"/>
    <xf numFmtId="0" fontId="3" fillId="8" borderId="1" xfId="9" applyFont="1" applyFill="1" applyBorder="1" applyAlignment="1">
      <alignment horizontal="center" vertical="center"/>
    </xf>
    <xf numFmtId="0" fontId="3" fillId="8" borderId="1" xfId="9" applyFont="1" applyFill="1" applyBorder="1" applyAlignment="1">
      <alignment horizontal="center" vertical="center" wrapText="1"/>
    </xf>
    <xf numFmtId="0" fontId="14" fillId="0" borderId="0" xfId="11"/>
    <xf numFmtId="0" fontId="15" fillId="16" borderId="20" xfId="11" applyFont="1" applyFill="1" applyBorder="1" applyAlignment="1">
      <alignment horizontal="centerContinuous" vertical="center"/>
    </xf>
    <xf numFmtId="0" fontId="15" fillId="16" borderId="21" xfId="11" applyFont="1" applyFill="1" applyBorder="1" applyAlignment="1">
      <alignment horizontal="centerContinuous" vertical="center"/>
    </xf>
    <xf numFmtId="0" fontId="15" fillId="16" borderId="22" xfId="11" applyFont="1" applyFill="1" applyBorder="1" applyAlignment="1">
      <alignment horizontal="centerContinuous" vertical="center"/>
    </xf>
    <xf numFmtId="0" fontId="17" fillId="0" borderId="0" xfId="11" applyFont="1" applyAlignment="1">
      <alignment horizontal="center"/>
    </xf>
    <xf numFmtId="0" fontId="18" fillId="16" borderId="23" xfId="11" applyFont="1" applyFill="1" applyBorder="1" applyAlignment="1">
      <alignment horizontal="center"/>
    </xf>
    <xf numFmtId="0" fontId="18" fillId="16" borderId="24" xfId="11" applyFont="1" applyFill="1" applyBorder="1" applyAlignment="1">
      <alignment horizontal="center"/>
    </xf>
    <xf numFmtId="0" fontId="19" fillId="21" borderId="17" xfId="11" applyFont="1" applyFill="1" applyBorder="1"/>
    <xf numFmtId="0" fontId="19" fillId="21" borderId="23" xfId="11" applyFont="1" applyFill="1" applyBorder="1" applyAlignment="1">
      <alignment horizontal="center"/>
    </xf>
    <xf numFmtId="0" fontId="20" fillId="0" borderId="25" xfId="11" applyNumberFormat="1" applyFont="1" applyBorder="1" applyAlignment="1">
      <alignment horizontal="center"/>
    </xf>
    <xf numFmtId="0" fontId="20" fillId="0" borderId="10" xfId="11" applyFont="1" applyBorder="1"/>
    <xf numFmtId="0" fontId="20" fillId="0" borderId="10" xfId="11" applyFont="1" applyBorder="1" applyAlignment="1">
      <alignment horizontal="center"/>
    </xf>
    <xf numFmtId="167" fontId="20" fillId="0" borderId="26" xfId="12" applyFont="1" applyBorder="1"/>
    <xf numFmtId="0" fontId="20" fillId="0" borderId="0" xfId="11" applyFont="1"/>
    <xf numFmtId="0" fontId="21" fillId="22" borderId="27" xfId="11" applyFont="1" applyFill="1" applyBorder="1" applyAlignment="1">
      <alignment horizontal="center"/>
    </xf>
    <xf numFmtId="167" fontId="21" fillId="22" borderId="28" xfId="12" applyFont="1" applyFill="1" applyBorder="1"/>
    <xf numFmtId="0" fontId="21" fillId="22" borderId="28" xfId="11" applyFont="1" applyFill="1" applyBorder="1" applyAlignment="1">
      <alignment horizontal="center"/>
    </xf>
    <xf numFmtId="0" fontId="20" fillId="0" borderId="1" xfId="11" applyFont="1" applyBorder="1"/>
    <xf numFmtId="0" fontId="20" fillId="0" borderId="1" xfId="11" applyFont="1" applyBorder="1" applyAlignment="1">
      <alignment horizontal="center"/>
    </xf>
    <xf numFmtId="167" fontId="20" fillId="0" borderId="29" xfId="12" applyFont="1" applyBorder="1"/>
    <xf numFmtId="0" fontId="18" fillId="23" borderId="30" xfId="11" applyFont="1" applyFill="1" applyBorder="1"/>
    <xf numFmtId="0" fontId="18" fillId="23" borderId="23" xfId="11" applyFont="1" applyFill="1" applyBorder="1" applyAlignment="1">
      <alignment horizontal="center"/>
    </xf>
    <xf numFmtId="0" fontId="18" fillId="23" borderId="31" xfId="11" applyFont="1" applyFill="1" applyBorder="1" applyAlignment="1">
      <alignment horizontal="center"/>
    </xf>
    <xf numFmtId="0" fontId="18" fillId="22" borderId="32" xfId="11" applyFont="1" applyFill="1" applyBorder="1"/>
    <xf numFmtId="167" fontId="20" fillId="22" borderId="33" xfId="12" applyFont="1" applyFill="1" applyBorder="1"/>
    <xf numFmtId="0" fontId="18" fillId="22" borderId="34" xfId="11" applyFont="1" applyFill="1" applyBorder="1"/>
    <xf numFmtId="0" fontId="18" fillId="22" borderId="35" xfId="11" applyFont="1" applyFill="1" applyBorder="1"/>
    <xf numFmtId="0" fontId="14" fillId="22" borderId="0" xfId="11" applyFill="1"/>
    <xf numFmtId="0" fontId="18" fillId="22" borderId="30" xfId="11" applyFont="1" applyFill="1" applyBorder="1" applyAlignment="1">
      <alignment horizontal="center"/>
    </xf>
    <xf numFmtId="167" fontId="20" fillId="22" borderId="23" xfId="12" applyFont="1" applyFill="1" applyBorder="1"/>
    <xf numFmtId="0" fontId="20" fillId="0" borderId="0" xfId="11" applyFont="1" applyAlignment="1">
      <alignment horizontal="center"/>
    </xf>
    <xf numFmtId="167" fontId="20" fillId="0" borderId="0" xfId="11" applyNumberFormat="1" applyFont="1"/>
    <xf numFmtId="0" fontId="14" fillId="0" borderId="0" xfId="11" applyAlignment="1">
      <alignment horizontal="center"/>
    </xf>
    <xf numFmtId="0" fontId="14" fillId="0" borderId="0" xfId="1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11" applyFont="1" applyAlignment="1">
      <alignment horizontal="center" vertical="center"/>
    </xf>
    <xf numFmtId="0" fontId="25" fillId="25" borderId="39" xfId="11" applyFont="1" applyFill="1" applyBorder="1" applyAlignment="1">
      <alignment horizontal="center" vertical="center" wrapText="1"/>
    </xf>
    <xf numFmtId="0" fontId="25" fillId="25" borderId="40" xfId="11" applyFont="1" applyFill="1" applyBorder="1" applyAlignment="1">
      <alignment horizontal="center" vertical="center" wrapText="1"/>
    </xf>
    <xf numFmtId="0" fontId="25" fillId="25" borderId="41" xfId="11" applyFont="1" applyFill="1" applyBorder="1" applyAlignment="1">
      <alignment horizontal="center" vertical="center" wrapText="1"/>
    </xf>
    <xf numFmtId="0" fontId="25" fillId="26" borderId="49" xfId="11" applyFont="1" applyFill="1" applyBorder="1" applyAlignment="1">
      <alignment horizontal="center" vertical="center" wrapText="1"/>
    </xf>
    <xf numFmtId="0" fontId="25" fillId="26" borderId="50" xfId="11" applyFont="1" applyFill="1" applyBorder="1" applyAlignment="1">
      <alignment horizontal="center" vertical="center" wrapText="1"/>
    </xf>
    <xf numFmtId="0" fontId="26" fillId="24" borderId="39" xfId="11" applyFont="1" applyFill="1" applyBorder="1" applyAlignment="1">
      <alignment horizontal="center" vertical="center" wrapText="1"/>
    </xf>
    <xf numFmtId="0" fontId="24" fillId="24" borderId="40" xfId="11" applyFont="1" applyFill="1" applyBorder="1" applyAlignment="1">
      <alignment horizontal="center" vertical="center" wrapText="1"/>
    </xf>
    <xf numFmtId="0" fontId="24" fillId="24" borderId="41" xfId="11" applyFont="1" applyFill="1" applyBorder="1" applyAlignment="1">
      <alignment horizontal="center" vertical="center" wrapText="1"/>
    </xf>
    <xf numFmtId="0" fontId="26" fillId="24" borderId="47" xfId="11" applyFont="1" applyFill="1" applyBorder="1" applyAlignment="1">
      <alignment horizontal="left" vertical="center" wrapText="1"/>
    </xf>
    <xf numFmtId="0" fontId="26" fillId="0" borderId="48" xfId="11" applyFont="1" applyBorder="1" applyAlignment="1">
      <alignment horizontal="center" vertical="center"/>
    </xf>
    <xf numFmtId="0" fontId="26" fillId="24" borderId="45" xfId="11" applyFont="1" applyFill="1" applyBorder="1" applyAlignment="1">
      <alignment horizontal="left" vertical="center" wrapText="1"/>
    </xf>
    <xf numFmtId="0" fontId="26" fillId="0" borderId="39" xfId="11" applyFont="1" applyBorder="1" applyAlignment="1">
      <alignment horizontal="center" vertical="center"/>
    </xf>
    <xf numFmtId="0" fontId="24" fillId="0" borderId="40" xfId="11" applyFont="1" applyBorder="1" applyAlignment="1">
      <alignment horizontal="center" vertical="center"/>
    </xf>
    <xf numFmtId="0" fontId="24" fillId="0" borderId="41" xfId="11" applyFont="1" applyBorder="1" applyAlignment="1">
      <alignment horizontal="center" vertical="center"/>
    </xf>
    <xf numFmtId="0" fontId="26" fillId="24" borderId="46" xfId="11" applyFont="1" applyFill="1" applyBorder="1" applyAlignment="1">
      <alignment horizontal="left" vertical="center" wrapText="1"/>
    </xf>
    <xf numFmtId="0" fontId="26" fillId="0" borderId="42" xfId="11" applyFont="1" applyBorder="1" applyAlignment="1">
      <alignment horizontal="center" vertical="center"/>
    </xf>
    <xf numFmtId="0" fontId="24" fillId="0" borderId="43" xfId="11" applyFont="1" applyBorder="1" applyAlignment="1">
      <alignment horizontal="center" vertical="center"/>
    </xf>
    <xf numFmtId="0" fontId="24" fillId="0" borderId="44" xfId="11" applyFont="1" applyBorder="1" applyAlignment="1">
      <alignment horizontal="center" vertical="center"/>
    </xf>
    <xf numFmtId="0" fontId="24" fillId="0" borderId="40" xfId="13" applyFont="1" applyBorder="1">
      <alignment horizontal="left" vertical="center"/>
    </xf>
    <xf numFmtId="0" fontId="8" fillId="5" borderId="51" xfId="8" quotePrefix="1" applyFont="1" applyBorder="1"/>
    <xf numFmtId="0" fontId="0" fillId="0" borderId="10" xfId="0" applyFill="1" applyBorder="1" applyAlignment="1">
      <alignment horizontal="center" vertical="center"/>
    </xf>
    <xf numFmtId="0" fontId="7" fillId="0" borderId="0" xfId="5" quotePrefix="1" applyAlignment="1">
      <alignment horizontal="center"/>
    </xf>
    <xf numFmtId="0" fontId="0" fillId="27" borderId="10" xfId="0" applyFill="1" applyBorder="1" applyAlignment="1">
      <alignment horizontal="center" vertical="center"/>
    </xf>
    <xf numFmtId="43" fontId="1" fillId="0" borderId="1" xfId="9" applyNumberFormat="1" applyBorder="1"/>
    <xf numFmtId="165" fontId="7" fillId="0" borderId="13" xfId="5" applyNumberFormat="1" applyBorder="1"/>
    <xf numFmtId="165" fontId="7" fillId="0" borderId="16" xfId="5" applyNumberFormat="1" applyBorder="1"/>
    <xf numFmtId="43" fontId="1" fillId="0" borderId="1" xfId="14" applyBorder="1"/>
    <xf numFmtId="0" fontId="0" fillId="6" borderId="4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22" fontId="0" fillId="6" borderId="4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2" fillId="8" borderId="1" xfId="4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4" xfId="4" applyNumberFormat="1" applyFont="1" applyFill="1" applyBorder="1" applyAlignment="1">
      <alignment vertical="center"/>
    </xf>
    <xf numFmtId="0" fontId="0" fillId="6" borderId="8" xfId="4" applyNumberFormat="1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3" fillId="2" borderId="0" xfId="1" quotePrefix="1" applyFont="1" applyAlignment="1">
      <alignment horizontal="left" vertical="center"/>
    </xf>
    <xf numFmtId="0" fontId="2" fillId="4" borderId="0" xfId="0" applyFont="1" applyFill="1" applyBorder="1">
      <alignment horizontal="left" vertical="center"/>
    </xf>
    <xf numFmtId="0" fontId="8" fillId="13" borderId="9" xfId="5" applyFont="1" applyFill="1" applyBorder="1" applyAlignment="1">
      <alignment horizontal="center" vertical="center"/>
    </xf>
    <xf numFmtId="0" fontId="9" fillId="2" borderId="4" xfId="7" applyFont="1" applyBorder="1"/>
    <xf numFmtId="0" fontId="9" fillId="2" borderId="7" xfId="7" applyFont="1" applyBorder="1"/>
    <xf numFmtId="0" fontId="23" fillId="24" borderId="36" xfId="11" applyFont="1" applyFill="1" applyBorder="1" applyAlignment="1">
      <alignment horizontal="center" vertical="center"/>
    </xf>
    <xf numFmtId="0" fontId="23" fillId="24" borderId="37" xfId="11" applyFont="1" applyFill="1" applyBorder="1" applyAlignment="1">
      <alignment horizontal="center" vertical="center"/>
    </xf>
    <xf numFmtId="0" fontId="23" fillId="24" borderId="38" xfId="1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4" borderId="5" xfId="4" applyNumberFormat="1" applyFont="1" applyFill="1" applyBorder="1" applyAlignment="1">
      <alignment horizontal="center" vertical="center"/>
    </xf>
    <xf numFmtId="0" fontId="2" fillId="4" borderId="6" xfId="4" applyNumberFormat="1" applyFont="1" applyFill="1" applyBorder="1" applyAlignment="1">
      <alignment horizontal="center" vertical="center"/>
    </xf>
    <xf numFmtId="44" fontId="2" fillId="4" borderId="4" xfId="0" applyNumberFormat="1" applyFont="1" applyFill="1" applyBorder="1" applyAlignment="1">
      <alignment horizontal="center" vertical="center"/>
    </xf>
    <xf numFmtId="44" fontId="2" fillId="4" borderId="7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5" fillId="12" borderId="6" xfId="1" applyFont="1" applyFill="1" applyBorder="1" applyAlignment="1">
      <alignment horizontal="left" vertical="center"/>
    </xf>
    <xf numFmtId="0" fontId="6" fillId="12" borderId="6" xfId="1" applyFont="1" applyFill="1" applyBorder="1" applyAlignment="1">
      <alignment horizontal="center" vertical="center"/>
    </xf>
    <xf numFmtId="0" fontId="12" fillId="0" borderId="1" xfId="9" applyFont="1" applyBorder="1" applyAlignment="1">
      <alignment horizontal="center" vertical="center"/>
    </xf>
    <xf numFmtId="0" fontId="16" fillId="20" borderId="20" xfId="11" applyFont="1" applyFill="1" applyBorder="1" applyAlignment="1">
      <alignment horizontal="center" vertical="center"/>
    </xf>
    <xf numFmtId="0" fontId="16" fillId="20" borderId="21" xfId="11" applyFont="1" applyFill="1" applyBorder="1" applyAlignment="1">
      <alignment horizontal="center" vertical="center"/>
    </xf>
  </cellXfs>
  <cellStyles count="15">
    <cellStyle name="20% - Ênfase1" xfId="2" builtinId="30"/>
    <cellStyle name="Ênfase1" xfId="1" builtinId="29"/>
    <cellStyle name="Ênfase1 2" xfId="7" xr:uid="{BD6E144F-35DF-474D-81EE-867770A60B5A}"/>
    <cellStyle name="Ênfase5" xfId="3" builtinId="45" customBuiltin="1"/>
    <cellStyle name="Ênfase5 2" xfId="8" xr:uid="{DB9968BA-AB53-4118-978B-6135BBB5E4A4}"/>
    <cellStyle name="Hiperlink" xfId="13" builtinId="8"/>
    <cellStyle name="Moeda" xfId="4" builtinId="4"/>
    <cellStyle name="Moeda 2" xfId="10" xr:uid="{B5C71E47-CC11-4590-A57B-1EC79B2E4F1C}"/>
    <cellStyle name="Normal" xfId="0" builtinId="0" customBuiltin="1"/>
    <cellStyle name="Normal 2" xfId="5" xr:uid="{B2D7AD42-24DD-4BA4-908F-91B3E6695FA4}"/>
    <cellStyle name="Normal 2 2" xfId="11" xr:uid="{999FE32F-3B12-4635-84CB-07341C2D3114}"/>
    <cellStyle name="Normal 3" xfId="9" xr:uid="{31FEF5F3-3059-4558-9467-2EE0769FCD56}"/>
    <cellStyle name="Titles" xfId="6" xr:uid="{30EB5432-F2F4-4FD4-8DD7-79F50068ADE1}"/>
    <cellStyle name="Vírgula" xfId="14" builtinId="3"/>
    <cellStyle name="Vírgula 2" xfId="12" xr:uid="{4A22BBB3-A031-4A6D-8ADA-81CFB5B6322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82BA2707-484D-4901-9FC6-89A6FA92529A}">
      <tableStyleElement type="wholeTable" dxfId="1"/>
      <tableStyleElement type="headerRow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6C0C-0996-4D7C-AF70-EE88E89D09E8}">
  <dimension ref="A1:E24"/>
  <sheetViews>
    <sheetView workbookViewId="0">
      <selection activeCell="D23" sqref="D23"/>
    </sheetView>
  </sheetViews>
  <sheetFormatPr defaultRowHeight="15" x14ac:dyDescent="0.25"/>
  <cols>
    <col min="1" max="1" width="31.5703125" bestFit="1" customWidth="1"/>
    <col min="5" max="5" width="10.7109375" bestFit="1" customWidth="1"/>
  </cols>
  <sheetData>
    <row r="1" spans="1:5" ht="18.75" x14ac:dyDescent="0.25">
      <c r="A1" s="75" t="s">
        <v>345</v>
      </c>
    </row>
    <row r="2" spans="1:5" ht="18.75" x14ac:dyDescent="0.25">
      <c r="A2" s="75" t="s">
        <v>346</v>
      </c>
      <c r="E2" s="78"/>
    </row>
    <row r="3" spans="1:5" ht="18.75" x14ac:dyDescent="0.25">
      <c r="A3" s="75" t="s">
        <v>347</v>
      </c>
      <c r="E3" s="78"/>
    </row>
    <row r="4" spans="1:5" x14ac:dyDescent="0.25">
      <c r="A4" s="76" t="s">
        <v>352</v>
      </c>
    </row>
    <row r="5" spans="1:5" x14ac:dyDescent="0.25">
      <c r="A5" s="76" t="s">
        <v>353</v>
      </c>
    </row>
    <row r="6" spans="1:5" x14ac:dyDescent="0.25">
      <c r="A6" s="76" t="s">
        <v>354</v>
      </c>
    </row>
    <row r="7" spans="1:5" x14ac:dyDescent="0.25">
      <c r="A7" s="77" t="s">
        <v>355</v>
      </c>
    </row>
    <row r="8" spans="1:5" x14ac:dyDescent="0.25">
      <c r="A8" s="77" t="s">
        <v>356</v>
      </c>
    </row>
    <row r="9" spans="1:5" x14ac:dyDescent="0.25">
      <c r="A9" s="36" t="s">
        <v>357</v>
      </c>
    </row>
    <row r="10" spans="1:5" x14ac:dyDescent="0.25">
      <c r="A10" s="36" t="s">
        <v>358</v>
      </c>
    </row>
    <row r="11" spans="1:5" x14ac:dyDescent="0.25">
      <c r="A11" s="79" t="s">
        <v>359</v>
      </c>
    </row>
    <row r="12" spans="1:5" x14ac:dyDescent="0.25">
      <c r="A12" s="36" t="s">
        <v>75</v>
      </c>
    </row>
    <row r="13" spans="1:5" x14ac:dyDescent="0.25">
      <c r="A13" s="36" t="s">
        <v>76</v>
      </c>
    </row>
    <row r="14" spans="1:5" x14ac:dyDescent="0.25">
      <c r="A14" s="36" t="s">
        <v>344</v>
      </c>
    </row>
    <row r="15" spans="1:5" x14ac:dyDescent="0.25">
      <c r="A15" s="36" t="s">
        <v>348</v>
      </c>
    </row>
    <row r="16" spans="1:5" x14ac:dyDescent="0.25">
      <c r="A16" s="36" t="s">
        <v>78</v>
      </c>
    </row>
    <row r="17" spans="1:1" x14ac:dyDescent="0.25">
      <c r="A17" s="79" t="s">
        <v>349</v>
      </c>
    </row>
    <row r="18" spans="1:1" x14ac:dyDescent="0.25">
      <c r="A18" s="36" t="s">
        <v>350</v>
      </c>
    </row>
    <row r="19" spans="1:1" x14ac:dyDescent="0.25">
      <c r="A19" s="36" t="s">
        <v>351</v>
      </c>
    </row>
    <row r="20" spans="1:1" x14ac:dyDescent="0.25">
      <c r="A20" s="36" t="s">
        <v>360</v>
      </c>
    </row>
    <row r="21" spans="1:1" x14ac:dyDescent="0.25">
      <c r="A21" s="36" t="s">
        <v>361</v>
      </c>
    </row>
    <row r="22" spans="1:1" x14ac:dyDescent="0.25">
      <c r="A22" s="36" t="s">
        <v>362</v>
      </c>
    </row>
    <row r="23" spans="1:1" x14ac:dyDescent="0.25">
      <c r="A23" s="36" t="s">
        <v>363</v>
      </c>
    </row>
    <row r="24" spans="1:1" x14ac:dyDescent="0.25">
      <c r="A24" s="36" t="s">
        <v>364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A03C-2A1F-4E17-B412-D3CCE529174B}">
  <dimension ref="A1:R26"/>
  <sheetViews>
    <sheetView workbookViewId="0">
      <selection activeCell="F15" sqref="F15"/>
    </sheetView>
  </sheetViews>
  <sheetFormatPr defaultRowHeight="15" x14ac:dyDescent="0.25"/>
  <cols>
    <col min="1" max="2" width="15.28515625" customWidth="1"/>
    <col min="5" max="5" width="15.85546875" customWidth="1"/>
    <col min="6" max="6" width="15.5703125" customWidth="1"/>
    <col min="8" max="8" width="13.85546875" bestFit="1" customWidth="1"/>
    <col min="13" max="13" width="16.85546875" bestFit="1" customWidth="1"/>
    <col min="14" max="14" width="17.28515625" customWidth="1"/>
    <col min="15" max="15" width="11.85546875" bestFit="1" customWidth="1"/>
  </cols>
  <sheetData>
    <row r="1" spans="1:18" x14ac:dyDescent="0.25">
      <c r="A1" t="s">
        <v>488</v>
      </c>
      <c r="E1" t="s">
        <v>494</v>
      </c>
    </row>
    <row r="2" spans="1:18" x14ac:dyDescent="0.25">
      <c r="A2" s="161" t="s">
        <v>75</v>
      </c>
      <c r="B2" s="162"/>
      <c r="E2" s="160" t="s">
        <v>365</v>
      </c>
      <c r="F2" s="160"/>
    </row>
    <row r="3" spans="1:18" x14ac:dyDescent="0.25">
      <c r="A3" s="74">
        <v>8</v>
      </c>
      <c r="B3" s="74">
        <v>11</v>
      </c>
      <c r="C3" s="83">
        <f>A3-B3</f>
        <v>-3</v>
      </c>
      <c r="E3" s="36"/>
      <c r="F3" s="36"/>
    </row>
    <row r="4" spans="1:18" x14ac:dyDescent="0.25">
      <c r="A4" s="167">
        <f>ABS(A3-B3)</f>
        <v>3</v>
      </c>
      <c r="B4" s="164"/>
      <c r="C4">
        <f>ABS(C3)</f>
        <v>3</v>
      </c>
      <c r="E4" s="163">
        <f ca="1">NOW()</f>
        <v>43265.809552430554</v>
      </c>
      <c r="F4" s="164"/>
    </row>
    <row r="5" spans="1:18" s="42" customFormat="1" x14ac:dyDescent="0.25">
      <c r="A5" s="42" t="s">
        <v>489</v>
      </c>
      <c r="H5"/>
      <c r="I5"/>
      <c r="J5"/>
      <c r="K5"/>
      <c r="L5"/>
      <c r="M5"/>
      <c r="N5"/>
      <c r="O5"/>
      <c r="P5"/>
      <c r="Q5"/>
      <c r="R5"/>
    </row>
    <row r="6" spans="1:18" x14ac:dyDescent="0.25">
      <c r="A6" s="166" t="s">
        <v>76</v>
      </c>
      <c r="B6" s="166"/>
      <c r="E6" s="161" t="s">
        <v>366</v>
      </c>
      <c r="F6" s="162"/>
    </row>
    <row r="7" spans="1:18" x14ac:dyDescent="0.25">
      <c r="A7" s="168">
        <v>125.3985</v>
      </c>
      <c r="B7" s="168"/>
      <c r="E7" s="36"/>
      <c r="F7" s="36"/>
    </row>
    <row r="8" spans="1:18" x14ac:dyDescent="0.25">
      <c r="A8" s="159">
        <f>INT(A7)</f>
        <v>125</v>
      </c>
      <c r="B8" s="159"/>
      <c r="E8" s="165">
        <f ca="1">TODAY()</f>
        <v>43265</v>
      </c>
      <c r="F8" s="164"/>
    </row>
    <row r="9" spans="1:18" x14ac:dyDescent="0.25">
      <c r="A9" t="s">
        <v>490</v>
      </c>
    </row>
    <row r="10" spans="1:18" x14ac:dyDescent="0.25">
      <c r="A10" s="166" t="s">
        <v>344</v>
      </c>
      <c r="B10" s="166"/>
    </row>
    <row r="11" spans="1:18" x14ac:dyDescent="0.25">
      <c r="A11" s="168">
        <v>125.3985</v>
      </c>
      <c r="B11" s="168"/>
    </row>
    <row r="12" spans="1:18" x14ac:dyDescent="0.25">
      <c r="A12" s="159">
        <f>ROUND(A11,2)</f>
        <v>125.4</v>
      </c>
      <c r="B12" s="159"/>
    </row>
    <row r="13" spans="1:18" x14ac:dyDescent="0.25">
      <c r="A13" t="s">
        <v>491</v>
      </c>
    </row>
    <row r="14" spans="1:18" x14ac:dyDescent="0.25">
      <c r="A14" s="166" t="s">
        <v>77</v>
      </c>
      <c r="B14" s="166"/>
    </row>
    <row r="15" spans="1:18" x14ac:dyDescent="0.25">
      <c r="A15" s="168">
        <v>125.3985</v>
      </c>
      <c r="B15" s="168"/>
    </row>
    <row r="16" spans="1:18" x14ac:dyDescent="0.25">
      <c r="A16" s="159">
        <f>TRUNC(A15,2)</f>
        <v>125.39</v>
      </c>
      <c r="B16" s="159"/>
    </row>
    <row r="18" spans="1:2" x14ac:dyDescent="0.25">
      <c r="A18" s="166" t="s">
        <v>78</v>
      </c>
      <c r="B18" s="166"/>
    </row>
    <row r="19" spans="1:2" x14ac:dyDescent="0.25">
      <c r="A19" s="168">
        <v>9</v>
      </c>
      <c r="B19" s="168"/>
    </row>
    <row r="20" spans="1:2" x14ac:dyDescent="0.25">
      <c r="A20" s="159">
        <f>SQRT(A19)</f>
        <v>3</v>
      </c>
      <c r="B20" s="159"/>
    </row>
    <row r="22" spans="1:2" x14ac:dyDescent="0.25">
      <c r="A22" s="166" t="s">
        <v>97</v>
      </c>
      <c r="B22" s="166"/>
    </row>
    <row r="23" spans="1:2" x14ac:dyDescent="0.25">
      <c r="A23" s="44" t="s">
        <v>492</v>
      </c>
      <c r="B23" s="44" t="s">
        <v>493</v>
      </c>
    </row>
    <row r="24" spans="1:2" x14ac:dyDescent="0.25">
      <c r="A24" s="169" t="str">
        <f>CONCATENATE(A23," ",B23)</f>
        <v>viviane  campos</v>
      </c>
      <c r="B24" s="170"/>
    </row>
    <row r="25" spans="1:2" x14ac:dyDescent="0.25">
      <c r="A25" s="157"/>
      <c r="B25" s="158"/>
    </row>
    <row r="26" spans="1:2" x14ac:dyDescent="0.25">
      <c r="A26" s="157"/>
      <c r="B26" s="158"/>
    </row>
  </sheetData>
  <mergeCells count="22">
    <mergeCell ref="A18:B18"/>
    <mergeCell ref="A19:B19"/>
    <mergeCell ref="A20:B20"/>
    <mergeCell ref="A24:B24"/>
    <mergeCell ref="A15:B15"/>
    <mergeCell ref="A16:B16"/>
    <mergeCell ref="A26:B26"/>
    <mergeCell ref="A12:B12"/>
    <mergeCell ref="E2:F2"/>
    <mergeCell ref="E6:F6"/>
    <mergeCell ref="E4:F4"/>
    <mergeCell ref="E8:F8"/>
    <mergeCell ref="A25:B25"/>
    <mergeCell ref="A2:B2"/>
    <mergeCell ref="A22:B22"/>
    <mergeCell ref="A14:B14"/>
    <mergeCell ref="A10:B10"/>
    <mergeCell ref="A6:B6"/>
    <mergeCell ref="A4:B4"/>
    <mergeCell ref="A7:B7"/>
    <mergeCell ref="A8:B8"/>
    <mergeCell ref="A11:B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ADDD-37FD-4648-A0E2-6847979EDE8F}">
  <dimension ref="A1:E24"/>
  <sheetViews>
    <sheetView workbookViewId="0">
      <selection activeCell="B18" sqref="B18"/>
    </sheetView>
  </sheetViews>
  <sheetFormatPr defaultRowHeight="15" x14ac:dyDescent="0.25"/>
  <cols>
    <col min="1" max="2" width="15.42578125" customWidth="1"/>
  </cols>
  <sheetData>
    <row r="1" spans="1:3" x14ac:dyDescent="0.25">
      <c r="A1" s="171" t="s">
        <v>81</v>
      </c>
      <c r="B1" s="171"/>
    </row>
    <row r="2" spans="1:3" x14ac:dyDescent="0.25">
      <c r="A2" s="47" t="s">
        <v>79</v>
      </c>
      <c r="B2" s="47" t="s">
        <v>80</v>
      </c>
    </row>
    <row r="3" spans="1:3" x14ac:dyDescent="0.25">
      <c r="A3" s="48" t="s">
        <v>82</v>
      </c>
      <c r="B3" s="49">
        <v>3</v>
      </c>
    </row>
    <row r="4" spans="1:3" x14ac:dyDescent="0.25">
      <c r="A4" s="48" t="s">
        <v>83</v>
      </c>
      <c r="B4" s="49">
        <v>17</v>
      </c>
    </row>
    <row r="5" spans="1:3" x14ac:dyDescent="0.25">
      <c r="A5" s="48" t="s">
        <v>84</v>
      </c>
      <c r="B5" s="49">
        <v>23</v>
      </c>
    </row>
    <row r="6" spans="1:3" x14ac:dyDescent="0.25">
      <c r="A6" s="48" t="s">
        <v>85</v>
      </c>
      <c r="B6" s="49">
        <v>20</v>
      </c>
    </row>
    <row r="7" spans="1:3" x14ac:dyDescent="0.25">
      <c r="A7" s="48" t="s">
        <v>86</v>
      </c>
      <c r="B7" s="49">
        <v>22</v>
      </c>
    </row>
    <row r="8" spans="1:3" x14ac:dyDescent="0.25">
      <c r="A8" s="48" t="s">
        <v>87</v>
      </c>
      <c r="B8" s="49">
        <v>20</v>
      </c>
    </row>
    <row r="9" spans="1:3" x14ac:dyDescent="0.25">
      <c r="A9" s="48" t="s">
        <v>88</v>
      </c>
      <c r="B9" s="49">
        <v>0</v>
      </c>
    </row>
    <row r="10" spans="1:3" x14ac:dyDescent="0.25">
      <c r="A10" s="48" t="s">
        <v>89</v>
      </c>
      <c r="B10" s="49">
        <v>24</v>
      </c>
    </row>
    <row r="11" spans="1:3" x14ac:dyDescent="0.25">
      <c r="A11" s="48" t="s">
        <v>90</v>
      </c>
      <c r="B11" s="49">
        <v>21</v>
      </c>
    </row>
    <row r="12" spans="1:3" x14ac:dyDescent="0.25">
      <c r="A12" s="48" t="s">
        <v>91</v>
      </c>
      <c r="B12" s="49">
        <v>22</v>
      </c>
    </row>
    <row r="13" spans="1:3" x14ac:dyDescent="0.25">
      <c r="A13" s="48" t="s">
        <v>92</v>
      </c>
      <c r="B13" s="49">
        <v>17</v>
      </c>
    </row>
    <row r="14" spans="1:3" x14ac:dyDescent="0.25">
      <c r="A14" s="48" t="s">
        <v>93</v>
      </c>
      <c r="B14" s="49">
        <v>11</v>
      </c>
    </row>
    <row r="15" spans="1:3" x14ac:dyDescent="0.25">
      <c r="A15" s="36"/>
      <c r="B15" s="36"/>
    </row>
    <row r="16" spans="1:3" x14ac:dyDescent="0.25">
      <c r="C16" s="81" t="s">
        <v>369</v>
      </c>
    </row>
    <row r="17" spans="1:5" x14ac:dyDescent="0.25">
      <c r="A17" s="81" t="s">
        <v>94</v>
      </c>
      <c r="B17" s="82">
        <f>AVERAGE(B3:B14)</f>
        <v>16.666666666666668</v>
      </c>
    </row>
    <row r="18" spans="1:5" x14ac:dyDescent="0.25">
      <c r="A18" s="81" t="s">
        <v>367</v>
      </c>
      <c r="B18" s="81">
        <f>MAX(B3:B14)</f>
        <v>24</v>
      </c>
      <c r="C18" s="80">
        <f>LARGE(B3:B14,2)</f>
        <v>23</v>
      </c>
      <c r="D18" t="s">
        <v>495</v>
      </c>
    </row>
    <row r="19" spans="1:5" x14ac:dyDescent="0.25">
      <c r="A19" s="81" t="s">
        <v>368</v>
      </c>
      <c r="B19" s="81">
        <f>MIN(B3:B14)</f>
        <v>0</v>
      </c>
      <c r="C19" s="80">
        <f>SMALL(B3:B14,2)</f>
        <v>3</v>
      </c>
      <c r="D19" t="s">
        <v>496</v>
      </c>
    </row>
    <row r="24" spans="1:5" x14ac:dyDescent="0.25">
      <c r="E24" s="36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A418-B015-408F-90B7-94EE1C026713}">
  <dimension ref="A1:I20"/>
  <sheetViews>
    <sheetView workbookViewId="0">
      <selection activeCell="A21" sqref="A21"/>
    </sheetView>
  </sheetViews>
  <sheetFormatPr defaultRowHeight="15" x14ac:dyDescent="0.25"/>
  <cols>
    <col min="1" max="1" width="20.140625" bestFit="1" customWidth="1"/>
  </cols>
  <sheetData>
    <row r="1" spans="1:9" s="42" customFormat="1" x14ac:dyDescent="0.25">
      <c r="A1" s="71" t="s">
        <v>341</v>
      </c>
      <c r="G1"/>
      <c r="H1"/>
      <c r="I1"/>
    </row>
    <row r="2" spans="1:9" x14ac:dyDescent="0.25">
      <c r="A2" s="36" t="s">
        <v>329</v>
      </c>
    </row>
    <row r="3" spans="1:9" x14ac:dyDescent="0.25">
      <c r="A3" s="36" t="s">
        <v>330</v>
      </c>
    </row>
    <row r="4" spans="1:9" x14ac:dyDescent="0.25">
      <c r="A4" s="36"/>
    </row>
    <row r="5" spans="1:9" x14ac:dyDescent="0.25">
      <c r="A5" s="36" t="s">
        <v>331</v>
      </c>
    </row>
    <row r="6" spans="1:9" x14ac:dyDescent="0.25">
      <c r="A6" s="36" t="s">
        <v>332</v>
      </c>
    </row>
    <row r="7" spans="1:9" x14ac:dyDescent="0.25">
      <c r="A7" s="36" t="s">
        <v>333</v>
      </c>
    </row>
    <row r="8" spans="1:9" x14ac:dyDescent="0.25">
      <c r="A8" s="36" t="s">
        <v>334</v>
      </c>
    </row>
    <row r="9" spans="1:9" x14ac:dyDescent="0.25">
      <c r="A9" s="36"/>
    </row>
    <row r="10" spans="1:9" x14ac:dyDescent="0.25">
      <c r="A10" s="36" t="s">
        <v>335</v>
      </c>
    </row>
    <row r="11" spans="1:9" x14ac:dyDescent="0.25">
      <c r="A11" s="36" t="s">
        <v>336</v>
      </c>
    </row>
    <row r="12" spans="1:9" x14ac:dyDescent="0.25">
      <c r="A12" s="36" t="s">
        <v>337</v>
      </c>
    </row>
    <row r="13" spans="1:9" x14ac:dyDescent="0.25">
      <c r="A13" s="36"/>
    </row>
    <row r="14" spans="1:9" x14ac:dyDescent="0.25">
      <c r="A14" s="36" t="s">
        <v>338</v>
      </c>
    </row>
    <row r="15" spans="1:9" x14ac:dyDescent="0.25">
      <c r="A15" s="36" t="s">
        <v>339</v>
      </c>
    </row>
    <row r="16" spans="1:9" x14ac:dyDescent="0.25">
      <c r="A16" s="36"/>
    </row>
    <row r="17" spans="1:1" x14ac:dyDescent="0.25">
      <c r="A17" s="36"/>
    </row>
    <row r="18" spans="1:1" x14ac:dyDescent="0.25">
      <c r="A18" s="36" t="s">
        <v>340</v>
      </c>
    </row>
    <row r="20" spans="1:1" x14ac:dyDescent="0.25">
      <c r="A20" s="36">
        <f>COUNTBLANK(A2:A18)</f>
        <v>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CC21-D5FE-49B4-A123-968609E1059E}">
  <dimension ref="A1:B20"/>
  <sheetViews>
    <sheetView workbookViewId="0">
      <selection activeCell="B21" sqref="B21"/>
    </sheetView>
  </sheetViews>
  <sheetFormatPr defaultColWidth="9.140625" defaultRowHeight="15" x14ac:dyDescent="0.25"/>
  <cols>
    <col min="1" max="1" width="20.140625" style="42" bestFit="1" customWidth="1"/>
    <col min="2" max="16384" width="9.140625" style="42"/>
  </cols>
  <sheetData>
    <row r="1" spans="1:2" x14ac:dyDescent="0.25">
      <c r="A1" s="71" t="s">
        <v>341</v>
      </c>
      <c r="B1" s="72" t="s">
        <v>342</v>
      </c>
    </row>
    <row r="2" spans="1:2" x14ac:dyDescent="0.25">
      <c r="A2" s="36" t="s">
        <v>329</v>
      </c>
      <c r="B2" s="36">
        <v>18</v>
      </c>
    </row>
    <row r="3" spans="1:2" x14ac:dyDescent="0.25">
      <c r="A3" s="36" t="s">
        <v>330</v>
      </c>
      <c r="B3" s="36">
        <v>23</v>
      </c>
    </row>
    <row r="4" spans="1:2" x14ac:dyDescent="0.25">
      <c r="A4" s="36"/>
      <c r="B4" s="36"/>
    </row>
    <row r="5" spans="1:2" x14ac:dyDescent="0.25">
      <c r="A5" s="36" t="s">
        <v>331</v>
      </c>
      <c r="B5" s="36">
        <v>53</v>
      </c>
    </row>
    <row r="6" spans="1:2" x14ac:dyDescent="0.25">
      <c r="A6" s="36" t="s">
        <v>332</v>
      </c>
      <c r="B6" s="36">
        <v>21</v>
      </c>
    </row>
    <row r="7" spans="1:2" x14ac:dyDescent="0.25">
      <c r="A7" s="36" t="s">
        <v>333</v>
      </c>
      <c r="B7" s="36">
        <v>19</v>
      </c>
    </row>
    <row r="8" spans="1:2" x14ac:dyDescent="0.25">
      <c r="A8" s="36" t="s">
        <v>334</v>
      </c>
      <c r="B8" s="36">
        <v>33</v>
      </c>
    </row>
    <row r="9" spans="1:2" x14ac:dyDescent="0.25">
      <c r="A9" s="36"/>
      <c r="B9" s="36"/>
    </row>
    <row r="10" spans="1:2" x14ac:dyDescent="0.25">
      <c r="A10" s="36" t="s">
        <v>335</v>
      </c>
      <c r="B10" s="36">
        <v>24</v>
      </c>
    </row>
    <row r="11" spans="1:2" x14ac:dyDescent="0.25">
      <c r="A11" s="36" t="s">
        <v>336</v>
      </c>
      <c r="B11" s="36">
        <v>25</v>
      </c>
    </row>
    <row r="12" spans="1:2" x14ac:dyDescent="0.25">
      <c r="A12" s="36" t="s">
        <v>337</v>
      </c>
      <c r="B12" s="36">
        <v>29</v>
      </c>
    </row>
    <row r="13" spans="1:2" x14ac:dyDescent="0.25">
      <c r="A13" s="36"/>
      <c r="B13" s="36"/>
    </row>
    <row r="14" spans="1:2" x14ac:dyDescent="0.25">
      <c r="A14" s="36" t="s">
        <v>338</v>
      </c>
      <c r="B14" s="36">
        <v>19</v>
      </c>
    </row>
    <row r="15" spans="1:2" x14ac:dyDescent="0.25">
      <c r="A15" s="36" t="s">
        <v>339</v>
      </c>
      <c r="B15" s="36">
        <v>53</v>
      </c>
    </row>
    <row r="16" spans="1:2" x14ac:dyDescent="0.25">
      <c r="A16" s="36"/>
      <c r="B16" s="36"/>
    </row>
    <row r="17" spans="1:2" x14ac:dyDescent="0.25">
      <c r="A17" s="36"/>
      <c r="B17" s="36"/>
    </row>
    <row r="18" spans="1:2" x14ac:dyDescent="0.25">
      <c r="A18" s="36" t="s">
        <v>340</v>
      </c>
      <c r="B18" s="36">
        <v>18</v>
      </c>
    </row>
    <row r="20" spans="1:2" x14ac:dyDescent="0.25">
      <c r="A20" s="36" t="s">
        <v>3</v>
      </c>
      <c r="B20" s="36">
        <f>COUNT(B2:B18)</f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65C7-ACD9-45EC-90BA-975D0D63810C}">
  <dimension ref="A1:A21"/>
  <sheetViews>
    <sheetView workbookViewId="0">
      <selection activeCell="A22" sqref="A22"/>
    </sheetView>
  </sheetViews>
  <sheetFormatPr defaultColWidth="9.140625" defaultRowHeight="15" x14ac:dyDescent="0.25"/>
  <cols>
    <col min="1" max="1" width="20.140625" style="42" bestFit="1" customWidth="1"/>
    <col min="2" max="16384" width="9.140625" style="42"/>
  </cols>
  <sheetData>
    <row r="1" spans="1:1" x14ac:dyDescent="0.25">
      <c r="A1" s="71" t="s">
        <v>341</v>
      </c>
    </row>
    <row r="2" spans="1:1" x14ac:dyDescent="0.25">
      <c r="A2" s="36" t="s">
        <v>329</v>
      </c>
    </row>
    <row r="3" spans="1:1" x14ac:dyDescent="0.25">
      <c r="A3" s="36" t="s">
        <v>330</v>
      </c>
    </row>
    <row r="4" spans="1:1" x14ac:dyDescent="0.25">
      <c r="A4" s="36"/>
    </row>
    <row r="5" spans="1:1" x14ac:dyDescent="0.25">
      <c r="A5" s="36" t="s">
        <v>331</v>
      </c>
    </row>
    <row r="6" spans="1:1" x14ac:dyDescent="0.25">
      <c r="A6" s="36" t="s">
        <v>332</v>
      </c>
    </row>
    <row r="7" spans="1:1" x14ac:dyDescent="0.25">
      <c r="A7" s="36" t="s">
        <v>333</v>
      </c>
    </row>
    <row r="8" spans="1:1" x14ac:dyDescent="0.25">
      <c r="A8" s="36" t="s">
        <v>334</v>
      </c>
    </row>
    <row r="9" spans="1:1" x14ac:dyDescent="0.25">
      <c r="A9" s="36"/>
    </row>
    <row r="10" spans="1:1" x14ac:dyDescent="0.25">
      <c r="A10" s="36" t="s">
        <v>335</v>
      </c>
    </row>
    <row r="11" spans="1:1" x14ac:dyDescent="0.25">
      <c r="A11" s="36" t="s">
        <v>336</v>
      </c>
    </row>
    <row r="12" spans="1:1" x14ac:dyDescent="0.25">
      <c r="A12" s="36" t="s">
        <v>337</v>
      </c>
    </row>
    <row r="13" spans="1:1" x14ac:dyDescent="0.25">
      <c r="A13" s="36"/>
    </row>
    <row r="14" spans="1:1" x14ac:dyDescent="0.25">
      <c r="A14" s="36" t="s">
        <v>338</v>
      </c>
    </row>
    <row r="15" spans="1:1" x14ac:dyDescent="0.25">
      <c r="A15" s="36" t="s">
        <v>339</v>
      </c>
    </row>
    <row r="16" spans="1:1" x14ac:dyDescent="0.25">
      <c r="A16" s="36"/>
    </row>
    <row r="17" spans="1:1" x14ac:dyDescent="0.25">
      <c r="A17" s="36"/>
    </row>
    <row r="18" spans="1:1" x14ac:dyDescent="0.25">
      <c r="A18" s="36" t="s">
        <v>340</v>
      </c>
    </row>
    <row r="21" spans="1:1" x14ac:dyDescent="0.25">
      <c r="A21" s="36">
        <f>COUNTA(A2:A18)</f>
        <v>12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FD23"/>
  <sheetViews>
    <sheetView zoomScaleNormal="100" workbookViewId="0">
      <selection activeCell="G11" sqref="G11"/>
    </sheetView>
  </sheetViews>
  <sheetFormatPr defaultColWidth="9.140625" defaultRowHeight="15" x14ac:dyDescent="0.25"/>
  <cols>
    <col min="1" max="1" width="9.85546875" style="13" bestFit="1" customWidth="1"/>
    <col min="2" max="2" width="10.85546875" style="13" bestFit="1" customWidth="1"/>
    <col min="3" max="3" width="16.5703125" style="18" bestFit="1" customWidth="1"/>
    <col min="4" max="4" width="12.140625" style="13" bestFit="1" customWidth="1"/>
    <col min="5" max="5" width="14.140625" style="13" bestFit="1" customWidth="1"/>
    <col min="6" max="6" width="15.7109375" style="13" customWidth="1"/>
    <col min="7" max="7" width="12.140625" style="13" customWidth="1"/>
    <col min="8" max="16384" width="9.140625" style="13"/>
  </cols>
  <sheetData>
    <row r="2" spans="2:16384" x14ac:dyDescent="0.25">
      <c r="B2" s="43" t="s">
        <v>37</v>
      </c>
      <c r="C2" s="43"/>
      <c r="D2" s="4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  <c r="XEU2" s="14"/>
      <c r="XEV2" s="14"/>
      <c r="XEW2" s="14"/>
      <c r="XEX2" s="14"/>
      <c r="XEY2" s="14"/>
      <c r="XEZ2" s="14"/>
      <c r="XFA2" s="14"/>
      <c r="XFB2" s="14"/>
      <c r="XFC2" s="14"/>
      <c r="XFD2" s="14"/>
    </row>
    <row r="3" spans="2:16384" x14ac:dyDescent="0.25">
      <c r="B3" s="14"/>
      <c r="C3" s="14"/>
      <c r="D3" s="14"/>
      <c r="E3" s="14"/>
      <c r="F3" s="14"/>
      <c r="G3" s="14"/>
    </row>
    <row r="4" spans="2:16384" x14ac:dyDescent="0.25">
      <c r="B4" s="2" t="s">
        <v>2</v>
      </c>
      <c r="C4" s="2" t="s">
        <v>1</v>
      </c>
      <c r="D4" s="5" t="s">
        <v>3</v>
      </c>
      <c r="I4" s="14"/>
    </row>
    <row r="5" spans="2:16384" x14ac:dyDescent="0.25">
      <c r="B5" s="15" t="s">
        <v>4</v>
      </c>
      <c r="C5" s="16" t="s">
        <v>5</v>
      </c>
      <c r="D5" s="17">
        <v>1280</v>
      </c>
    </row>
    <row r="6" spans="2:16384" x14ac:dyDescent="0.25">
      <c r="B6" s="15" t="s">
        <v>4</v>
      </c>
      <c r="C6" s="16" t="s">
        <v>5</v>
      </c>
      <c r="D6" s="17">
        <v>768</v>
      </c>
    </row>
    <row r="7" spans="2:16384" x14ac:dyDescent="0.25">
      <c r="B7" s="15" t="s">
        <v>7</v>
      </c>
      <c r="C7" s="16" t="s">
        <v>5</v>
      </c>
      <c r="D7" s="17">
        <v>1280</v>
      </c>
    </row>
    <row r="8" spans="2:16384" x14ac:dyDescent="0.25">
      <c r="B8" s="15" t="s">
        <v>4</v>
      </c>
      <c r="C8" s="16" t="s">
        <v>6</v>
      </c>
      <c r="D8" s="17">
        <v>1234</v>
      </c>
    </row>
    <row r="9" spans="2:16384" x14ac:dyDescent="0.25">
      <c r="B9" s="15" t="s">
        <v>9</v>
      </c>
      <c r="C9" s="16" t="s">
        <v>6</v>
      </c>
      <c r="D9" s="17">
        <v>4936</v>
      </c>
      <c r="F9" s="2" t="s">
        <v>5</v>
      </c>
      <c r="G9" s="31">
        <f>COUNTIF(C5:C20,F9)</f>
        <v>3</v>
      </c>
    </row>
    <row r="10" spans="2:16384" x14ac:dyDescent="0.25">
      <c r="B10" s="15" t="s">
        <v>7</v>
      </c>
      <c r="C10" s="16" t="s">
        <v>6</v>
      </c>
      <c r="D10" s="17">
        <v>7404</v>
      </c>
      <c r="F10" s="2" t="s">
        <v>6</v>
      </c>
      <c r="G10" s="31">
        <f>COUNTIF(C5:C20,F10)</f>
        <v>4</v>
      </c>
    </row>
    <row r="11" spans="2:16384" x14ac:dyDescent="0.25">
      <c r="B11" s="15" t="s">
        <v>7</v>
      </c>
      <c r="C11" s="16" t="s">
        <v>6</v>
      </c>
      <c r="D11" s="17">
        <v>7404</v>
      </c>
      <c r="F11" s="2" t="s">
        <v>8</v>
      </c>
      <c r="G11" s="31">
        <f>COUNTIF(C5:C20,F11)</f>
        <v>6</v>
      </c>
    </row>
    <row r="12" spans="2:16384" x14ac:dyDescent="0.25">
      <c r="B12" s="15" t="s">
        <v>4</v>
      </c>
      <c r="C12" s="16" t="s">
        <v>8</v>
      </c>
      <c r="D12" s="17">
        <v>714</v>
      </c>
      <c r="F12" s="2" t="s">
        <v>10</v>
      </c>
      <c r="G12" s="31">
        <f>COUNTIF(C5:C20,"Video")</f>
        <v>3</v>
      </c>
    </row>
    <row r="13" spans="2:16384" x14ac:dyDescent="0.25">
      <c r="B13" s="15" t="s">
        <v>4</v>
      </c>
      <c r="C13" s="16" t="s">
        <v>8</v>
      </c>
      <c r="D13" s="17">
        <v>714</v>
      </c>
    </row>
    <row r="14" spans="2:16384" x14ac:dyDescent="0.25">
      <c r="B14" s="15" t="s">
        <v>7</v>
      </c>
      <c r="C14" s="16" t="s">
        <v>8</v>
      </c>
      <c r="D14" s="17">
        <v>1071</v>
      </c>
    </row>
    <row r="15" spans="2:16384" x14ac:dyDescent="0.25">
      <c r="B15" s="15" t="s">
        <v>7</v>
      </c>
      <c r="C15" s="16" t="s">
        <v>8</v>
      </c>
      <c r="D15" s="17">
        <v>1785</v>
      </c>
      <c r="G15" s="32"/>
    </row>
    <row r="16" spans="2:16384" x14ac:dyDescent="0.25">
      <c r="B16" s="15" t="s">
        <v>7</v>
      </c>
      <c r="C16" s="16" t="s">
        <v>8</v>
      </c>
      <c r="D16" s="17">
        <v>1071</v>
      </c>
    </row>
    <row r="17" spans="2:4" x14ac:dyDescent="0.25">
      <c r="B17" s="15" t="s">
        <v>11</v>
      </c>
      <c r="C17" s="16" t="s">
        <v>8</v>
      </c>
      <c r="D17" s="17">
        <v>1428</v>
      </c>
    </row>
    <row r="18" spans="2:4" x14ac:dyDescent="0.25">
      <c r="B18" s="15" t="s">
        <v>4</v>
      </c>
      <c r="C18" s="16" t="s">
        <v>10</v>
      </c>
      <c r="D18" s="17">
        <v>2532</v>
      </c>
    </row>
    <row r="19" spans="2:4" x14ac:dyDescent="0.25">
      <c r="B19" s="15" t="s">
        <v>11</v>
      </c>
      <c r="C19" s="16" t="s">
        <v>10</v>
      </c>
      <c r="D19" s="17">
        <v>2532</v>
      </c>
    </row>
    <row r="20" spans="2:4" x14ac:dyDescent="0.25">
      <c r="B20" s="15" t="s">
        <v>11</v>
      </c>
      <c r="C20" s="16" t="s">
        <v>10</v>
      </c>
      <c r="D20" s="17">
        <v>1688</v>
      </c>
    </row>
    <row r="21" spans="2:4" x14ac:dyDescent="0.25">
      <c r="C21" s="13"/>
      <c r="D21" s="18"/>
    </row>
    <row r="23" spans="2:4" x14ac:dyDescent="0.25">
      <c r="D23" s="21" t="s">
        <v>497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9"/>
  <sheetViews>
    <sheetView showGridLines="0" zoomScaleNormal="100" workbookViewId="0">
      <selection activeCell="E10" sqref="E10"/>
    </sheetView>
  </sheetViews>
  <sheetFormatPr defaultColWidth="0" defaultRowHeight="15" zeroHeight="1" x14ac:dyDescent="0.25"/>
  <cols>
    <col min="1" max="1" width="9.85546875" style="13" bestFit="1" customWidth="1"/>
    <col min="2" max="2" width="10.85546875" style="13" bestFit="1" customWidth="1"/>
    <col min="3" max="3" width="14.28515625" style="18" customWidth="1"/>
    <col min="4" max="4" width="9.140625" style="13" customWidth="1"/>
    <col min="5" max="5" width="7.28515625" style="13" bestFit="1" customWidth="1"/>
    <col min="6" max="6" width="14.28515625" style="18" customWidth="1"/>
    <col min="7" max="7" width="9.140625" style="13" customWidth="1"/>
    <col min="8" max="16384" width="9.140625" style="13" hidden="1"/>
  </cols>
  <sheetData>
    <row r="1" spans="1:16384" x14ac:dyDescent="0.25">
      <c r="A1" s="172" t="s">
        <v>501</v>
      </c>
      <c r="B1" s="172"/>
      <c r="C1" s="172"/>
      <c r="D1" s="172"/>
    </row>
    <row r="2" spans="1:1638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  <c r="XEU2" s="14"/>
      <c r="XEV2" s="14"/>
      <c r="XEW2" s="14"/>
      <c r="XEX2" s="14"/>
      <c r="XEY2" s="14"/>
      <c r="XEZ2" s="14"/>
      <c r="XFA2" s="14"/>
      <c r="XFB2" s="14"/>
      <c r="XFC2" s="14"/>
      <c r="XFD2" s="14"/>
    </row>
    <row r="3" spans="1:16384" x14ac:dyDescent="0.25">
      <c r="A3" s="3" t="s">
        <v>2</v>
      </c>
      <c r="B3" s="3" t="s">
        <v>1</v>
      </c>
      <c r="C3" s="7" t="s">
        <v>3</v>
      </c>
    </row>
    <row r="4" spans="1:16384" x14ac:dyDescent="0.25">
      <c r="A4" s="27" t="s">
        <v>4</v>
      </c>
      <c r="B4" s="19" t="s">
        <v>5</v>
      </c>
      <c r="C4" s="29">
        <v>1280</v>
      </c>
    </row>
    <row r="5" spans="1:16384" x14ac:dyDescent="0.25">
      <c r="A5" s="27" t="s">
        <v>4</v>
      </c>
      <c r="B5" s="19" t="s">
        <v>5</v>
      </c>
      <c r="C5" s="29">
        <v>768</v>
      </c>
    </row>
    <row r="6" spans="1:16384" x14ac:dyDescent="0.25">
      <c r="A6" s="27" t="s">
        <v>7</v>
      </c>
      <c r="B6" s="19" t="s">
        <v>5</v>
      </c>
      <c r="C6" s="29">
        <v>1280</v>
      </c>
    </row>
    <row r="7" spans="1:16384" x14ac:dyDescent="0.25">
      <c r="A7" s="27" t="s">
        <v>4</v>
      </c>
      <c r="B7" s="19" t="s">
        <v>6</v>
      </c>
      <c r="C7" s="29">
        <v>1234</v>
      </c>
    </row>
    <row r="8" spans="1:16384" x14ac:dyDescent="0.25">
      <c r="A8" s="27" t="s">
        <v>9</v>
      </c>
      <c r="B8" s="19" t="s">
        <v>6</v>
      </c>
      <c r="C8" s="29">
        <v>4936</v>
      </c>
    </row>
    <row r="9" spans="1:16384" x14ac:dyDescent="0.25">
      <c r="A9" s="27" t="s">
        <v>7</v>
      </c>
      <c r="B9" s="19" t="s">
        <v>6</v>
      </c>
      <c r="C9" s="29">
        <v>7404</v>
      </c>
    </row>
    <row r="10" spans="1:16384" x14ac:dyDescent="0.25">
      <c r="A10" s="27" t="s">
        <v>7</v>
      </c>
      <c r="B10" s="19" t="s">
        <v>6</v>
      </c>
      <c r="C10" s="29">
        <v>7404</v>
      </c>
      <c r="E10" s="4" t="s">
        <v>4</v>
      </c>
      <c r="F10" s="17">
        <f>SUMIF($A$4:$A$19,"ana",($C$4:$C$19))</f>
        <v>7242</v>
      </c>
    </row>
    <row r="11" spans="1:16384" x14ac:dyDescent="0.25">
      <c r="A11" s="27" t="s">
        <v>4</v>
      </c>
      <c r="B11" s="19" t="s">
        <v>8</v>
      </c>
      <c r="C11" s="29">
        <v>714</v>
      </c>
      <c r="E11" s="4" t="s">
        <v>7</v>
      </c>
      <c r="F11" s="17">
        <f>SUMIF($A$4:$A$19,E11,($C$4:$C$19))</f>
        <v>20015</v>
      </c>
    </row>
    <row r="12" spans="1:16384" x14ac:dyDescent="0.25">
      <c r="A12" s="27" t="s">
        <v>4</v>
      </c>
      <c r="B12" s="19" t="s">
        <v>8</v>
      </c>
      <c r="C12" s="29">
        <v>714</v>
      </c>
      <c r="E12" s="4" t="s">
        <v>9</v>
      </c>
      <c r="F12" s="17">
        <f t="shared" ref="F12:F13" si="0">SUMIF($A$4:$A$19,E12,($C$4:$C$19))</f>
        <v>4936</v>
      </c>
    </row>
    <row r="13" spans="1:16384" x14ac:dyDescent="0.25">
      <c r="A13" s="27" t="s">
        <v>7</v>
      </c>
      <c r="B13" s="19" t="s">
        <v>8</v>
      </c>
      <c r="C13" s="29">
        <v>1071</v>
      </c>
      <c r="E13" s="4" t="s">
        <v>11</v>
      </c>
      <c r="F13" s="17">
        <f t="shared" si="0"/>
        <v>5648</v>
      </c>
    </row>
    <row r="14" spans="1:16384" x14ac:dyDescent="0.25">
      <c r="A14" s="27" t="s">
        <v>7</v>
      </c>
      <c r="B14" s="19" t="s">
        <v>8</v>
      </c>
      <c r="C14" s="29">
        <v>1785</v>
      </c>
    </row>
    <row r="15" spans="1:16384" x14ac:dyDescent="0.25">
      <c r="A15" s="27" t="s">
        <v>7</v>
      </c>
      <c r="B15" s="19" t="s">
        <v>8</v>
      </c>
      <c r="C15" s="29">
        <v>1071</v>
      </c>
    </row>
    <row r="16" spans="1:16384" x14ac:dyDescent="0.25">
      <c r="A16" s="27" t="s">
        <v>11</v>
      </c>
      <c r="B16" s="19" t="s">
        <v>8</v>
      </c>
      <c r="C16" s="29">
        <v>1428</v>
      </c>
      <c r="E16" s="173" t="s">
        <v>498</v>
      </c>
      <c r="F16" s="173"/>
      <c r="G16" s="173"/>
    </row>
    <row r="17" spans="1:7" x14ac:dyDescent="0.25">
      <c r="A17" s="27" t="s">
        <v>4</v>
      </c>
      <c r="B17" s="19" t="s">
        <v>10</v>
      </c>
      <c r="C17" s="29">
        <v>2532</v>
      </c>
      <c r="E17" s="173" t="s">
        <v>499</v>
      </c>
      <c r="F17" s="173"/>
      <c r="G17" s="173"/>
    </row>
    <row r="18" spans="1:7" x14ac:dyDescent="0.25">
      <c r="A18" s="27" t="s">
        <v>11</v>
      </c>
      <c r="B18" s="19" t="s">
        <v>10</v>
      </c>
      <c r="C18" s="29">
        <v>2532</v>
      </c>
      <c r="E18" s="173" t="s">
        <v>500</v>
      </c>
      <c r="F18" s="173"/>
      <c r="G18" s="173"/>
    </row>
    <row r="19" spans="1:7" x14ac:dyDescent="0.25">
      <c r="A19" s="28" t="s">
        <v>11</v>
      </c>
      <c r="B19" s="20" t="s">
        <v>10</v>
      </c>
      <c r="C19" s="30">
        <v>1688</v>
      </c>
    </row>
  </sheetData>
  <mergeCells count="4">
    <mergeCell ref="A1:D1"/>
    <mergeCell ref="E16:G16"/>
    <mergeCell ref="E17:G17"/>
    <mergeCell ref="E18:G1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F371-6787-435A-BCFE-7F03583004CC}">
  <dimension ref="A1:G17"/>
  <sheetViews>
    <sheetView workbookViewId="0">
      <selection activeCell="E35" sqref="E35"/>
    </sheetView>
  </sheetViews>
  <sheetFormatPr defaultRowHeight="15" x14ac:dyDescent="0.25"/>
  <cols>
    <col min="1" max="1" width="9.140625" style="42"/>
    <col min="2" max="2" width="14.85546875" customWidth="1"/>
    <col min="4" max="4" width="20.5703125" bestFit="1" customWidth="1"/>
    <col min="5" max="5" width="21" bestFit="1" customWidth="1"/>
  </cols>
  <sheetData>
    <row r="1" spans="2:7" s="42" customFormat="1" ht="15.75" thickBot="1" x14ac:dyDescent="0.3"/>
    <row r="2" spans="2:7" ht="15.75" thickBot="1" x14ac:dyDescent="0.3">
      <c r="B2" s="66" t="s">
        <v>122</v>
      </c>
      <c r="C2" s="67" t="s">
        <v>123</v>
      </c>
      <c r="D2" s="67" t="s">
        <v>124</v>
      </c>
      <c r="E2" s="67" t="s">
        <v>125</v>
      </c>
      <c r="F2" s="67" t="s">
        <v>126</v>
      </c>
      <c r="G2" s="68" t="s">
        <v>127</v>
      </c>
    </row>
    <row r="3" spans="2:7" x14ac:dyDescent="0.25">
      <c r="B3" s="69">
        <v>150</v>
      </c>
      <c r="C3" s="65">
        <f>ABS(B3)</f>
        <v>150</v>
      </c>
      <c r="D3" s="65">
        <f>TRUNC(B3,2)</f>
        <v>150</v>
      </c>
      <c r="E3" s="65">
        <f>INT(B3)</f>
        <v>150</v>
      </c>
      <c r="F3" s="65">
        <f>ROUND(B3,2)</f>
        <v>150</v>
      </c>
      <c r="G3" s="65">
        <f>SQRT(B3)</f>
        <v>12.24744871391589</v>
      </c>
    </row>
    <row r="4" spans="2:7" x14ac:dyDescent="0.25">
      <c r="B4" s="41">
        <v>5.4245429999999999</v>
      </c>
      <c r="C4" s="65">
        <f t="shared" ref="C4:C17" si="0">ABS(B4)</f>
        <v>5.4245429999999999</v>
      </c>
      <c r="D4" s="65">
        <f t="shared" ref="D4:D17" si="1">TRUNC(B4,2)</f>
        <v>5.42</v>
      </c>
      <c r="E4" s="65">
        <f t="shared" ref="E4:E17" si="2">INT(B4)</f>
        <v>5</v>
      </c>
      <c r="F4" s="65">
        <f t="shared" ref="F4:F17" si="3">ROUND(B4,2)</f>
        <v>5.42</v>
      </c>
      <c r="G4" s="65">
        <f t="shared" ref="G4:G17" si="4">SQRT(B4)</f>
        <v>2.3290648337905924</v>
      </c>
    </row>
    <row r="5" spans="2:7" x14ac:dyDescent="0.25">
      <c r="B5" s="41">
        <v>2</v>
      </c>
      <c r="C5" s="65">
        <f t="shared" si="0"/>
        <v>2</v>
      </c>
      <c r="D5" s="65">
        <f t="shared" si="1"/>
        <v>2</v>
      </c>
      <c r="E5" s="65">
        <f t="shared" si="2"/>
        <v>2</v>
      </c>
      <c r="F5" s="65">
        <f t="shared" si="3"/>
        <v>2</v>
      </c>
      <c r="G5" s="65">
        <f t="shared" si="4"/>
        <v>1.4142135623730951</v>
      </c>
    </row>
    <row r="6" spans="2:7" x14ac:dyDescent="0.25">
      <c r="B6" s="41">
        <v>2.154E-2</v>
      </c>
      <c r="C6" s="65">
        <f t="shared" si="0"/>
        <v>2.154E-2</v>
      </c>
      <c r="D6" s="65">
        <f t="shared" si="1"/>
        <v>0.02</v>
      </c>
      <c r="E6" s="65">
        <f t="shared" si="2"/>
        <v>0</v>
      </c>
      <c r="F6" s="65">
        <f t="shared" si="3"/>
        <v>0.02</v>
      </c>
      <c r="G6" s="65">
        <f t="shared" si="4"/>
        <v>0.14676511847165866</v>
      </c>
    </row>
    <row r="7" spans="2:7" x14ac:dyDescent="0.25">
      <c r="B7" s="41">
        <v>27.112235236</v>
      </c>
      <c r="C7" s="65">
        <f t="shared" si="0"/>
        <v>27.112235236</v>
      </c>
      <c r="D7" s="65">
        <f t="shared" si="1"/>
        <v>27.11</v>
      </c>
      <c r="E7" s="65">
        <f t="shared" si="2"/>
        <v>27</v>
      </c>
      <c r="F7" s="65">
        <f t="shared" si="3"/>
        <v>27.11</v>
      </c>
      <c r="G7" s="65">
        <f t="shared" si="4"/>
        <v>5.2069410632347282</v>
      </c>
    </row>
    <row r="8" spans="2:7" x14ac:dyDescent="0.25">
      <c r="B8" s="41">
        <v>3.33</v>
      </c>
      <c r="C8" s="65">
        <f t="shared" si="0"/>
        <v>3.33</v>
      </c>
      <c r="D8" s="65">
        <f t="shared" si="1"/>
        <v>3.33</v>
      </c>
      <c r="E8" s="65">
        <f t="shared" si="2"/>
        <v>3</v>
      </c>
      <c r="F8" s="65">
        <f t="shared" si="3"/>
        <v>3.33</v>
      </c>
      <c r="G8" s="65">
        <f t="shared" si="4"/>
        <v>1.8248287590894658</v>
      </c>
    </row>
    <row r="9" spans="2:7" x14ac:dyDescent="0.25">
      <c r="B9" s="41">
        <v>7</v>
      </c>
      <c r="C9" s="65">
        <f t="shared" si="0"/>
        <v>7</v>
      </c>
      <c r="D9" s="65">
        <f t="shared" si="1"/>
        <v>7</v>
      </c>
      <c r="E9" s="65">
        <f t="shared" si="2"/>
        <v>7</v>
      </c>
      <c r="F9" s="65">
        <f t="shared" si="3"/>
        <v>7</v>
      </c>
      <c r="G9" s="65">
        <f t="shared" si="4"/>
        <v>2.6457513110645907</v>
      </c>
    </row>
    <row r="10" spans="2:7" x14ac:dyDescent="0.25">
      <c r="B10" s="41">
        <v>-9.9312330000000006</v>
      </c>
      <c r="C10" s="65">
        <f t="shared" si="0"/>
        <v>9.9312330000000006</v>
      </c>
      <c r="D10" s="65">
        <f t="shared" si="1"/>
        <v>-9.93</v>
      </c>
      <c r="E10" s="65">
        <f t="shared" si="2"/>
        <v>-10</v>
      </c>
      <c r="F10" s="65">
        <f t="shared" si="3"/>
        <v>-9.93</v>
      </c>
      <c r="G10" s="152">
        <f>SQRT(ABS(B10))</f>
        <v>3.1513858856065218</v>
      </c>
    </row>
    <row r="11" spans="2:7" x14ac:dyDescent="0.25">
      <c r="B11" s="41">
        <v>120.9</v>
      </c>
      <c r="C11" s="65">
        <f t="shared" si="0"/>
        <v>120.9</v>
      </c>
      <c r="D11" s="65">
        <f t="shared" si="1"/>
        <v>120.9</v>
      </c>
      <c r="E11" s="65">
        <f t="shared" si="2"/>
        <v>120</v>
      </c>
      <c r="F11" s="65">
        <f t="shared" si="3"/>
        <v>120.9</v>
      </c>
      <c r="G11" s="150">
        <f t="shared" ref="G11:G15" si="5">SQRT(ABS(B11))</f>
        <v>10.995453605922767</v>
      </c>
    </row>
    <row r="12" spans="2:7" x14ac:dyDescent="0.25">
      <c r="B12" s="41">
        <v>20</v>
      </c>
      <c r="C12" s="65">
        <f t="shared" si="0"/>
        <v>20</v>
      </c>
      <c r="D12" s="65">
        <f t="shared" si="1"/>
        <v>20</v>
      </c>
      <c r="E12" s="65">
        <f t="shared" si="2"/>
        <v>20</v>
      </c>
      <c r="F12" s="65">
        <f t="shared" si="3"/>
        <v>20</v>
      </c>
      <c r="G12" s="150">
        <f t="shared" si="5"/>
        <v>4.4721359549995796</v>
      </c>
    </row>
    <row r="13" spans="2:7" x14ac:dyDescent="0.25">
      <c r="B13" s="41">
        <v>-100.9921365</v>
      </c>
      <c r="C13" s="65">
        <f t="shared" si="0"/>
        <v>100.9921365</v>
      </c>
      <c r="D13" s="65">
        <f t="shared" si="1"/>
        <v>-100.99</v>
      </c>
      <c r="E13" s="65">
        <f t="shared" si="2"/>
        <v>-101</v>
      </c>
      <c r="F13" s="65">
        <f t="shared" si="3"/>
        <v>-100.99</v>
      </c>
      <c r="G13" s="152">
        <f t="shared" si="5"/>
        <v>10.049484389758511</v>
      </c>
    </row>
    <row r="14" spans="2:7" x14ac:dyDescent="0.25">
      <c r="B14" s="41">
        <v>800</v>
      </c>
      <c r="C14" s="65">
        <f t="shared" si="0"/>
        <v>800</v>
      </c>
      <c r="D14" s="65">
        <f t="shared" si="1"/>
        <v>800</v>
      </c>
      <c r="E14" s="65">
        <f t="shared" si="2"/>
        <v>800</v>
      </c>
      <c r="F14" s="65">
        <f t="shared" si="3"/>
        <v>800</v>
      </c>
      <c r="G14" s="150">
        <f t="shared" si="5"/>
        <v>28.284271247461902</v>
      </c>
    </row>
    <row r="15" spans="2:7" x14ac:dyDescent="0.25">
      <c r="B15" s="41">
        <v>-7.8235999999999999</v>
      </c>
      <c r="C15" s="65">
        <f t="shared" si="0"/>
        <v>7.8235999999999999</v>
      </c>
      <c r="D15" s="65">
        <f t="shared" si="1"/>
        <v>-7.82</v>
      </c>
      <c r="E15" s="65">
        <f t="shared" si="2"/>
        <v>-8</v>
      </c>
      <c r="F15" s="65">
        <f t="shared" si="3"/>
        <v>-7.82</v>
      </c>
      <c r="G15" s="152">
        <f t="shared" si="5"/>
        <v>2.7970698954441593</v>
      </c>
    </row>
    <row r="16" spans="2:7" x14ac:dyDescent="0.25">
      <c r="B16" s="41">
        <v>1.1197999999999999</v>
      </c>
      <c r="C16" s="65">
        <f t="shared" si="0"/>
        <v>1.1197999999999999</v>
      </c>
      <c r="D16" s="65">
        <f t="shared" si="1"/>
        <v>1.1100000000000001</v>
      </c>
      <c r="E16" s="65">
        <f t="shared" si="2"/>
        <v>1</v>
      </c>
      <c r="F16" s="65">
        <f t="shared" si="3"/>
        <v>1.1200000000000001</v>
      </c>
      <c r="G16" s="65">
        <f t="shared" si="4"/>
        <v>1.0582060290888538</v>
      </c>
    </row>
    <row r="17" spans="2:7" x14ac:dyDescent="0.25">
      <c r="B17" s="41">
        <v>4.4123000000000001</v>
      </c>
      <c r="C17" s="65">
        <f t="shared" si="0"/>
        <v>4.4123000000000001</v>
      </c>
      <c r="D17" s="65">
        <f t="shared" si="1"/>
        <v>4.41</v>
      </c>
      <c r="E17" s="65">
        <f t="shared" si="2"/>
        <v>4</v>
      </c>
      <c r="F17" s="65">
        <f t="shared" si="3"/>
        <v>4.41</v>
      </c>
      <c r="G17" s="65">
        <f t="shared" si="4"/>
        <v>2.100547547664656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E627-4E0B-4C8C-915D-1E3A522CE144}">
  <dimension ref="A1:D101"/>
  <sheetViews>
    <sheetView workbookViewId="0">
      <selection activeCell="F14" sqref="F14"/>
    </sheetView>
  </sheetViews>
  <sheetFormatPr defaultColWidth="9.140625" defaultRowHeight="15" x14ac:dyDescent="0.25"/>
  <cols>
    <col min="1" max="1" width="12.7109375" style="42" bestFit="1" customWidth="1"/>
    <col min="2" max="2" width="24.85546875" style="42" customWidth="1"/>
    <col min="3" max="3" width="22.85546875" style="42" customWidth="1"/>
    <col min="4" max="4" width="20.140625" style="42" bestFit="1" customWidth="1"/>
    <col min="5" max="16384" width="9.140625" style="42"/>
  </cols>
  <sheetData>
    <row r="1" spans="1:4" x14ac:dyDescent="0.25">
      <c r="A1" s="70" t="s">
        <v>0</v>
      </c>
      <c r="B1" s="70" t="s">
        <v>219</v>
      </c>
      <c r="C1" s="70" t="s">
        <v>220</v>
      </c>
      <c r="D1" s="70" t="s">
        <v>221</v>
      </c>
    </row>
    <row r="2" spans="1:4" x14ac:dyDescent="0.25">
      <c r="A2" s="36" t="s">
        <v>128</v>
      </c>
      <c r="B2" s="36" t="s">
        <v>222</v>
      </c>
      <c r="C2" s="36" t="str">
        <f>CONCATENATE(A2," ",B2)</f>
        <v>Marco Rossi</v>
      </c>
      <c r="D2" s="36" t="s">
        <v>111</v>
      </c>
    </row>
    <row r="3" spans="1:4" x14ac:dyDescent="0.25">
      <c r="A3" s="36" t="s">
        <v>131</v>
      </c>
      <c r="B3" s="36" t="s">
        <v>225</v>
      </c>
      <c r="C3" s="36" t="str">
        <f t="shared" ref="C3:C66" si="0">CONCATENATE(A3," ",B3)</f>
        <v>Andrea Russo</v>
      </c>
      <c r="D3" s="36" t="s">
        <v>502</v>
      </c>
    </row>
    <row r="4" spans="1:4" x14ac:dyDescent="0.25">
      <c r="A4" s="36" t="s">
        <v>134</v>
      </c>
      <c r="B4" s="36" t="s">
        <v>228</v>
      </c>
      <c r="C4" s="36" t="str">
        <f t="shared" si="0"/>
        <v>Giuseppe Ferrari</v>
      </c>
      <c r="D4" s="36" t="s">
        <v>503</v>
      </c>
    </row>
    <row r="5" spans="1:4" x14ac:dyDescent="0.25">
      <c r="A5" s="36" t="s">
        <v>137</v>
      </c>
      <c r="B5" s="36" t="s">
        <v>231</v>
      </c>
      <c r="C5" s="36" t="str">
        <f t="shared" si="0"/>
        <v>Antonio Esposito</v>
      </c>
      <c r="D5" s="36" t="s">
        <v>504</v>
      </c>
    </row>
    <row r="6" spans="1:4" x14ac:dyDescent="0.25">
      <c r="A6" s="36" t="s">
        <v>140</v>
      </c>
      <c r="B6" s="36" t="s">
        <v>234</v>
      </c>
      <c r="C6" s="36" t="str">
        <f t="shared" si="0"/>
        <v>Luca Bianchi</v>
      </c>
      <c r="D6" s="36" t="s">
        <v>505</v>
      </c>
    </row>
    <row r="7" spans="1:4" x14ac:dyDescent="0.25">
      <c r="A7" s="36" t="s">
        <v>143</v>
      </c>
      <c r="B7" s="36" t="s">
        <v>237</v>
      </c>
      <c r="C7" s="36" t="str">
        <f t="shared" si="0"/>
        <v>Alessandro Romano</v>
      </c>
      <c r="D7" s="36" t="s">
        <v>506</v>
      </c>
    </row>
    <row r="8" spans="1:4" x14ac:dyDescent="0.25">
      <c r="A8" s="36" t="s">
        <v>146</v>
      </c>
      <c r="B8" s="36" t="s">
        <v>240</v>
      </c>
      <c r="C8" s="36" t="str">
        <f t="shared" si="0"/>
        <v>Anna Colombo</v>
      </c>
      <c r="D8" s="36" t="s">
        <v>507</v>
      </c>
    </row>
    <row r="9" spans="1:4" x14ac:dyDescent="0.25">
      <c r="A9" s="36" t="s">
        <v>149</v>
      </c>
      <c r="B9" s="36" t="s">
        <v>243</v>
      </c>
      <c r="C9" s="36" t="str">
        <f t="shared" si="0"/>
        <v>Giovanni Ricci</v>
      </c>
      <c r="D9" s="36" t="s">
        <v>508</v>
      </c>
    </row>
    <row r="10" spans="1:4" x14ac:dyDescent="0.25">
      <c r="A10" s="36" t="s">
        <v>151</v>
      </c>
      <c r="B10" s="36" t="s">
        <v>246</v>
      </c>
      <c r="C10" s="36" t="str">
        <f t="shared" si="0"/>
        <v>Roberto Marino</v>
      </c>
      <c r="D10" s="36" t="s">
        <v>509</v>
      </c>
    </row>
    <row r="11" spans="1:4" x14ac:dyDescent="0.25">
      <c r="A11" s="36" t="s">
        <v>320</v>
      </c>
      <c r="B11" s="36" t="s">
        <v>249</v>
      </c>
      <c r="C11" s="36" t="str">
        <f t="shared" si="0"/>
        <v>Stefano  Greco</v>
      </c>
      <c r="D11" s="36" t="s">
        <v>510</v>
      </c>
    </row>
    <row r="12" spans="1:4" x14ac:dyDescent="0.25">
      <c r="A12" s="36" t="s">
        <v>155</v>
      </c>
      <c r="B12" s="36" t="s">
        <v>95</v>
      </c>
      <c r="C12" s="36" t="str">
        <f t="shared" si="0"/>
        <v>Maria Bruno</v>
      </c>
      <c r="D12" s="36" t="s">
        <v>511</v>
      </c>
    </row>
    <row r="13" spans="1:4" x14ac:dyDescent="0.25">
      <c r="A13" s="36" t="s">
        <v>158</v>
      </c>
      <c r="B13" s="36" t="s">
        <v>254</v>
      </c>
      <c r="C13" s="36" t="str">
        <f t="shared" si="0"/>
        <v>Sara Gallo</v>
      </c>
      <c r="D13" s="36" t="s">
        <v>512</v>
      </c>
    </row>
    <row r="14" spans="1:4" x14ac:dyDescent="0.25">
      <c r="A14" s="36" t="s">
        <v>161</v>
      </c>
      <c r="B14" s="36" t="s">
        <v>257</v>
      </c>
      <c r="C14" s="36" t="str">
        <f t="shared" si="0"/>
        <v>Paolo Conti</v>
      </c>
      <c r="D14" s="36" t="s">
        <v>513</v>
      </c>
    </row>
    <row r="15" spans="1:4" x14ac:dyDescent="0.25">
      <c r="A15" s="36" t="s">
        <v>321</v>
      </c>
      <c r="B15" s="36" t="s">
        <v>260</v>
      </c>
      <c r="C15" s="36" t="str">
        <f t="shared" si="0"/>
        <v>Laura  De Luca</v>
      </c>
      <c r="D15" s="36" t="s">
        <v>514</v>
      </c>
    </row>
    <row r="16" spans="1:4" x14ac:dyDescent="0.25">
      <c r="A16" s="36" t="s">
        <v>166</v>
      </c>
      <c r="B16" s="36" t="s">
        <v>263</v>
      </c>
      <c r="C16" s="36" t="str">
        <f t="shared" si="0"/>
        <v>Michele Mancini</v>
      </c>
      <c r="D16" s="36" t="s">
        <v>515</v>
      </c>
    </row>
    <row r="17" spans="1:4" x14ac:dyDescent="0.25">
      <c r="A17" s="36" t="s">
        <v>168</v>
      </c>
      <c r="B17" s="36" t="s">
        <v>96</v>
      </c>
      <c r="C17" s="36" t="str">
        <f t="shared" si="0"/>
        <v>Fabio Costa</v>
      </c>
      <c r="D17" s="36" t="s">
        <v>516</v>
      </c>
    </row>
    <row r="18" spans="1:4" x14ac:dyDescent="0.25">
      <c r="A18" s="36" t="s">
        <v>171</v>
      </c>
      <c r="B18" s="36" t="s">
        <v>268</v>
      </c>
      <c r="C18" s="36" t="str">
        <f t="shared" si="0"/>
        <v>Davide Giordano</v>
      </c>
      <c r="D18" s="36" t="s">
        <v>517</v>
      </c>
    </row>
    <row r="19" spans="1:4" x14ac:dyDescent="0.25">
      <c r="A19" s="36" t="s">
        <v>173</v>
      </c>
      <c r="B19" s="36" t="s">
        <v>271</v>
      </c>
      <c r="C19" s="36" t="str">
        <f t="shared" si="0"/>
        <v>Valentina Rizzo</v>
      </c>
      <c r="D19" s="36" t="s">
        <v>518</v>
      </c>
    </row>
    <row r="20" spans="1:4" x14ac:dyDescent="0.25">
      <c r="A20" s="36" t="s">
        <v>322</v>
      </c>
      <c r="B20" s="36" t="s">
        <v>274</v>
      </c>
      <c r="C20" s="36" t="str">
        <f t="shared" si="0"/>
        <v>Matteo  Lombardi</v>
      </c>
      <c r="D20" s="36" t="s">
        <v>519</v>
      </c>
    </row>
    <row r="21" spans="1:4" x14ac:dyDescent="0.25">
      <c r="A21" s="36" t="s">
        <v>178</v>
      </c>
      <c r="B21" s="36" t="s">
        <v>277</v>
      </c>
      <c r="C21" s="36" t="str">
        <f t="shared" si="0"/>
        <v>Salvatore Moretti</v>
      </c>
      <c r="D21" s="36" t="s">
        <v>520</v>
      </c>
    </row>
    <row r="22" spans="1:4" x14ac:dyDescent="0.25">
      <c r="A22" s="36" t="s">
        <v>181</v>
      </c>
      <c r="B22" s="36" t="s">
        <v>280</v>
      </c>
      <c r="C22" s="36" t="str">
        <f t="shared" si="0"/>
        <v>Massimo Barbieri</v>
      </c>
      <c r="D22" s="36" t="s">
        <v>521</v>
      </c>
    </row>
    <row r="23" spans="1:4" x14ac:dyDescent="0.25">
      <c r="A23" s="36" t="s">
        <v>184</v>
      </c>
      <c r="B23" s="36" t="s">
        <v>283</v>
      </c>
      <c r="C23" s="36" t="str">
        <f t="shared" si="0"/>
        <v>Daniele Fontana</v>
      </c>
      <c r="D23" s="36" t="s">
        <v>522</v>
      </c>
    </row>
    <row r="24" spans="1:4" x14ac:dyDescent="0.25">
      <c r="A24" s="36" t="s">
        <v>187</v>
      </c>
      <c r="B24" s="36" t="s">
        <v>286</v>
      </c>
      <c r="C24" s="36" t="str">
        <f t="shared" si="0"/>
        <v>Giulia Santoro</v>
      </c>
      <c r="D24" s="36" t="s">
        <v>523</v>
      </c>
    </row>
    <row r="25" spans="1:4" x14ac:dyDescent="0.25">
      <c r="A25" s="36" t="s">
        <v>323</v>
      </c>
      <c r="B25" s="36" t="s">
        <v>289</v>
      </c>
      <c r="C25" s="36" t="str">
        <f t="shared" si="0"/>
        <v>Simone  Mariani</v>
      </c>
      <c r="D25" s="36" t="s">
        <v>524</v>
      </c>
    </row>
    <row r="26" spans="1:4" x14ac:dyDescent="0.25">
      <c r="A26" s="36" t="s">
        <v>192</v>
      </c>
      <c r="B26" s="36" t="s">
        <v>292</v>
      </c>
      <c r="C26" s="36" t="str">
        <f t="shared" si="0"/>
        <v>Antonella Rinaldi</v>
      </c>
      <c r="D26" s="36" t="s">
        <v>525</v>
      </c>
    </row>
    <row r="27" spans="1:4" x14ac:dyDescent="0.25">
      <c r="A27" s="36" t="s">
        <v>195</v>
      </c>
      <c r="B27" s="36" t="s">
        <v>295</v>
      </c>
      <c r="C27" s="36" t="str">
        <f t="shared" si="0"/>
        <v>Chiara Caruso</v>
      </c>
      <c r="D27" s="36" t="s">
        <v>526</v>
      </c>
    </row>
    <row r="28" spans="1:4" x14ac:dyDescent="0.25">
      <c r="A28" s="36" t="s">
        <v>198</v>
      </c>
      <c r="B28" s="36" t="s">
        <v>298</v>
      </c>
      <c r="C28" s="36" t="str">
        <f t="shared" si="0"/>
        <v>Luigi Ferrara</v>
      </c>
      <c r="D28" s="36" t="s">
        <v>527</v>
      </c>
    </row>
    <row r="29" spans="1:4" x14ac:dyDescent="0.25">
      <c r="A29" s="36" t="s">
        <v>201</v>
      </c>
      <c r="B29" s="36" t="s">
        <v>301</v>
      </c>
      <c r="C29" s="36" t="str">
        <f t="shared" si="0"/>
        <v>Silvia Galli</v>
      </c>
      <c r="D29" s="36" t="s">
        <v>528</v>
      </c>
    </row>
    <row r="30" spans="1:4" x14ac:dyDescent="0.25">
      <c r="A30" s="36" t="s">
        <v>324</v>
      </c>
      <c r="B30" s="36" t="s">
        <v>304</v>
      </c>
      <c r="C30" s="36" t="str">
        <f t="shared" si="0"/>
        <v>Mario  Martini</v>
      </c>
      <c r="D30" s="36" t="s">
        <v>529</v>
      </c>
    </row>
    <row r="31" spans="1:4" x14ac:dyDescent="0.25">
      <c r="A31" s="36" t="s">
        <v>206</v>
      </c>
      <c r="B31" s="36" t="s">
        <v>307</v>
      </c>
      <c r="C31" s="36" t="str">
        <f t="shared" si="0"/>
        <v>Daniela Leone</v>
      </c>
      <c r="D31" s="36" t="s">
        <v>530</v>
      </c>
    </row>
    <row r="32" spans="1:4" x14ac:dyDescent="0.25">
      <c r="A32" s="36" t="s">
        <v>209</v>
      </c>
      <c r="B32" s="36" t="s">
        <v>310</v>
      </c>
      <c r="C32" s="36" t="str">
        <f t="shared" si="0"/>
        <v>Vincenzo Longo</v>
      </c>
      <c r="D32" s="36" t="s">
        <v>531</v>
      </c>
    </row>
    <row r="33" spans="1:4" x14ac:dyDescent="0.25">
      <c r="A33" s="36" t="s">
        <v>212</v>
      </c>
      <c r="B33" s="36" t="s">
        <v>313</v>
      </c>
      <c r="C33" s="36" t="str">
        <f t="shared" si="0"/>
        <v>Federica Gentile</v>
      </c>
      <c r="D33" s="36" t="s">
        <v>532</v>
      </c>
    </row>
    <row r="34" spans="1:4" x14ac:dyDescent="0.25">
      <c r="A34" s="36" t="s">
        <v>215</v>
      </c>
      <c r="B34" s="36" t="s">
        <v>316</v>
      </c>
      <c r="C34" s="36" t="str">
        <f t="shared" si="0"/>
        <v>Alessandra Martinelli</v>
      </c>
      <c r="D34" s="36" t="s">
        <v>533</v>
      </c>
    </row>
    <row r="35" spans="1:4" x14ac:dyDescent="0.25">
      <c r="A35" s="36" t="s">
        <v>129</v>
      </c>
      <c r="B35" s="36" t="s">
        <v>223</v>
      </c>
      <c r="C35" s="36" t="str">
        <f t="shared" si="0"/>
        <v>Elena Vitale</v>
      </c>
      <c r="D35" s="36" t="s">
        <v>534</v>
      </c>
    </row>
    <row r="36" spans="1:4" x14ac:dyDescent="0.25">
      <c r="A36" s="36" t="s">
        <v>132</v>
      </c>
      <c r="B36" s="36" t="s">
        <v>226</v>
      </c>
      <c r="C36" s="36" t="str">
        <f t="shared" si="0"/>
        <v>Paola Lombardo</v>
      </c>
      <c r="D36" s="36" t="s">
        <v>535</v>
      </c>
    </row>
    <row r="37" spans="1:4" x14ac:dyDescent="0.25">
      <c r="A37" s="36" t="s">
        <v>135</v>
      </c>
      <c r="B37" s="36" t="s">
        <v>229</v>
      </c>
      <c r="C37" s="36" t="str">
        <f t="shared" si="0"/>
        <v>Stefania Serra</v>
      </c>
      <c r="D37" s="36" t="s">
        <v>536</v>
      </c>
    </row>
    <row r="38" spans="1:4" x14ac:dyDescent="0.25">
      <c r="A38" s="36" t="s">
        <v>138</v>
      </c>
      <c r="B38" s="36" t="s">
        <v>232</v>
      </c>
      <c r="C38" s="36" t="str">
        <f t="shared" si="0"/>
        <v>Angela Coppola</v>
      </c>
      <c r="D38" s="36" t="s">
        <v>537</v>
      </c>
    </row>
    <row r="39" spans="1:4" x14ac:dyDescent="0.25">
      <c r="A39" s="36" t="s">
        <v>141</v>
      </c>
      <c r="B39" s="36" t="s">
        <v>235</v>
      </c>
      <c r="C39" s="36" t="str">
        <f t="shared" si="0"/>
        <v>Nicola De Santis</v>
      </c>
      <c r="D39" s="36" t="s">
        <v>538</v>
      </c>
    </row>
    <row r="40" spans="1:4" x14ac:dyDescent="0.25">
      <c r="A40" s="36" t="s">
        <v>144</v>
      </c>
      <c r="B40" s="36" t="s">
        <v>238</v>
      </c>
      <c r="C40" s="36" t="str">
        <f t="shared" si="0"/>
        <v>Roberta D’Angelo</v>
      </c>
      <c r="D40" s="36" t="s">
        <v>539</v>
      </c>
    </row>
    <row r="41" spans="1:4" x14ac:dyDescent="0.25">
      <c r="A41" s="36" t="s">
        <v>147</v>
      </c>
      <c r="B41" s="36" t="s">
        <v>241</v>
      </c>
      <c r="C41" s="36" t="str">
        <f t="shared" si="0"/>
        <v>Angelo Marchetti</v>
      </c>
      <c r="D41" s="36" t="s">
        <v>540</v>
      </c>
    </row>
    <row r="42" spans="1:4" x14ac:dyDescent="0.25">
      <c r="A42" s="36" t="s">
        <v>325</v>
      </c>
      <c r="B42" s="36" t="s">
        <v>244</v>
      </c>
      <c r="C42" s="36" t="str">
        <f t="shared" si="0"/>
        <v>Cristina  Parisi</v>
      </c>
      <c r="D42" s="36" t="s">
        <v>541</v>
      </c>
    </row>
    <row r="43" spans="1:4" x14ac:dyDescent="0.25">
      <c r="A43" s="36" t="s">
        <v>326</v>
      </c>
      <c r="B43" s="36" t="s">
        <v>247</v>
      </c>
      <c r="C43" s="36" t="str">
        <f t="shared" si="0"/>
        <v>Simona  Villa</v>
      </c>
      <c r="D43" s="36" t="s">
        <v>542</v>
      </c>
    </row>
    <row r="44" spans="1:4" x14ac:dyDescent="0.25">
      <c r="A44" s="36" t="s">
        <v>153</v>
      </c>
      <c r="B44" s="36" t="s">
        <v>250</v>
      </c>
      <c r="C44" s="36" t="str">
        <f t="shared" si="0"/>
        <v>Elisa Conte</v>
      </c>
      <c r="D44" s="36" t="s">
        <v>543</v>
      </c>
    </row>
    <row r="45" spans="1:4" x14ac:dyDescent="0.25">
      <c r="A45" s="36" t="s">
        <v>156</v>
      </c>
      <c r="B45" s="36" t="s">
        <v>252</v>
      </c>
      <c r="C45" s="36" t="str">
        <f t="shared" si="0"/>
        <v>Alessia Ferraro</v>
      </c>
      <c r="D45" s="36" t="s">
        <v>544</v>
      </c>
    </row>
    <row r="46" spans="1:4" x14ac:dyDescent="0.25">
      <c r="A46" s="36" t="s">
        <v>159</v>
      </c>
      <c r="B46" s="36" t="s">
        <v>255</v>
      </c>
      <c r="C46" s="36" t="str">
        <f t="shared" si="0"/>
        <v>Martina Ferri</v>
      </c>
      <c r="D46" s="36" t="s">
        <v>545</v>
      </c>
    </row>
    <row r="47" spans="1:4" x14ac:dyDescent="0.25">
      <c r="A47" s="36" t="s">
        <v>162</v>
      </c>
      <c r="B47" s="36" t="s">
        <v>258</v>
      </c>
      <c r="C47" s="36" t="str">
        <f t="shared" si="0"/>
        <v>Claudio Fabbri</v>
      </c>
      <c r="D47" s="36" t="s">
        <v>546</v>
      </c>
    </row>
    <row r="48" spans="1:4" x14ac:dyDescent="0.25">
      <c r="A48" s="36" t="s">
        <v>164</v>
      </c>
      <c r="B48" s="36" t="s">
        <v>261</v>
      </c>
      <c r="C48" s="36" t="str">
        <f t="shared" si="0"/>
        <v>Lorenzo Bianco</v>
      </c>
      <c r="D48" s="36" t="s">
        <v>547</v>
      </c>
    </row>
    <row r="49" spans="1:4" x14ac:dyDescent="0.25">
      <c r="A49" s="36" t="s">
        <v>327</v>
      </c>
      <c r="B49" s="36" t="s">
        <v>264</v>
      </c>
      <c r="C49" s="36" t="str">
        <f t="shared" si="0"/>
        <v>Claudia  Marini</v>
      </c>
      <c r="D49" s="36" t="s">
        <v>548</v>
      </c>
    </row>
    <row r="50" spans="1:4" x14ac:dyDescent="0.25">
      <c r="A50" s="36" t="s">
        <v>169</v>
      </c>
      <c r="B50" s="36" t="s">
        <v>266</v>
      </c>
      <c r="C50" s="36" t="str">
        <f t="shared" si="0"/>
        <v>Monica Grasso</v>
      </c>
      <c r="D50" s="36" t="s">
        <v>549</v>
      </c>
    </row>
    <row r="51" spans="1:4" x14ac:dyDescent="0.25">
      <c r="A51" s="36" t="s">
        <v>328</v>
      </c>
      <c r="B51" s="36" t="s">
        <v>269</v>
      </c>
      <c r="C51" s="36" t="str">
        <f t="shared" si="0"/>
        <v>Maurizio  Valentini</v>
      </c>
      <c r="D51" s="36" t="s">
        <v>550</v>
      </c>
    </row>
    <row r="52" spans="1:4" x14ac:dyDescent="0.25">
      <c r="A52" s="36" t="s">
        <v>174</v>
      </c>
      <c r="B52" s="36" t="s">
        <v>272</v>
      </c>
      <c r="C52" s="36" t="str">
        <f t="shared" si="0"/>
        <v>Alessio Messina</v>
      </c>
      <c r="D52" s="36" t="s">
        <v>551</v>
      </c>
    </row>
    <row r="53" spans="1:4" x14ac:dyDescent="0.25">
      <c r="A53" s="36" t="s">
        <v>176</v>
      </c>
      <c r="B53" s="36" t="s">
        <v>275</v>
      </c>
      <c r="C53" s="36" t="str">
        <f t="shared" si="0"/>
        <v>Lucia Sala</v>
      </c>
      <c r="D53" s="36" t="s">
        <v>552</v>
      </c>
    </row>
    <row r="54" spans="1:4" x14ac:dyDescent="0.25">
      <c r="A54" s="36" t="s">
        <v>179</v>
      </c>
      <c r="B54" s="36" t="s">
        <v>278</v>
      </c>
      <c r="C54" s="36" t="str">
        <f t="shared" si="0"/>
        <v>Barbara De Angelis</v>
      </c>
      <c r="D54" s="36" t="s">
        <v>553</v>
      </c>
    </row>
    <row r="55" spans="1:4" x14ac:dyDescent="0.25">
      <c r="A55" s="36" t="s">
        <v>182</v>
      </c>
      <c r="B55" s="36" t="s">
        <v>281</v>
      </c>
      <c r="C55" s="36" t="str">
        <f t="shared" si="0"/>
        <v>Alberto Gatti</v>
      </c>
      <c r="D55" s="36" t="s">
        <v>329</v>
      </c>
    </row>
    <row r="56" spans="1:4" x14ac:dyDescent="0.25">
      <c r="A56" s="36" t="s">
        <v>185</v>
      </c>
      <c r="B56" s="36" t="s">
        <v>284</v>
      </c>
      <c r="C56" s="36" t="str">
        <f t="shared" si="0"/>
        <v>Federico Pellegrini</v>
      </c>
      <c r="D56" s="36" t="s">
        <v>330</v>
      </c>
    </row>
    <row r="57" spans="1:4" x14ac:dyDescent="0.25">
      <c r="A57" s="36" t="s">
        <v>188</v>
      </c>
      <c r="B57" s="36" t="s">
        <v>287</v>
      </c>
      <c r="C57" s="36" t="str">
        <f t="shared" si="0"/>
        <v>Gianluca Palumbo</v>
      </c>
      <c r="D57" s="36" t="s">
        <v>554</v>
      </c>
    </row>
    <row r="58" spans="1:4" x14ac:dyDescent="0.25">
      <c r="A58" s="36" t="s">
        <v>190</v>
      </c>
      <c r="B58" s="36" t="s">
        <v>290</v>
      </c>
      <c r="C58" s="36" t="str">
        <f t="shared" si="0"/>
        <v>Riccardo Sanna</v>
      </c>
      <c r="D58" s="36" t="s">
        <v>331</v>
      </c>
    </row>
    <row r="59" spans="1:4" x14ac:dyDescent="0.25">
      <c r="A59" s="36" t="s">
        <v>193</v>
      </c>
      <c r="B59" s="36" t="s">
        <v>293</v>
      </c>
      <c r="C59" s="36" t="str">
        <f t="shared" si="0"/>
        <v>Patrizia Farina</v>
      </c>
      <c r="D59" s="36" t="s">
        <v>332</v>
      </c>
    </row>
    <row r="60" spans="1:4" x14ac:dyDescent="0.25">
      <c r="A60" s="36" t="s">
        <v>196</v>
      </c>
      <c r="B60" s="36" t="s">
        <v>296</v>
      </c>
      <c r="C60" s="36" t="str">
        <f t="shared" si="0"/>
        <v>Domenico Rizzi</v>
      </c>
      <c r="D60" s="36" t="s">
        <v>333</v>
      </c>
    </row>
    <row r="61" spans="1:4" x14ac:dyDescent="0.25">
      <c r="A61" s="36" t="s">
        <v>199</v>
      </c>
      <c r="B61" s="36" t="s">
        <v>299</v>
      </c>
      <c r="C61" s="36" t="str">
        <f t="shared" si="0"/>
        <v>Carlo Monti</v>
      </c>
      <c r="D61" s="36" t="s">
        <v>334</v>
      </c>
    </row>
    <row r="62" spans="1:4" x14ac:dyDescent="0.25">
      <c r="A62" s="36" t="s">
        <v>202</v>
      </c>
      <c r="B62" s="36" t="s">
        <v>302</v>
      </c>
      <c r="C62" s="36" t="str">
        <f t="shared" si="0"/>
        <v>Mauro Cattaneo</v>
      </c>
      <c r="D62" s="36" t="s">
        <v>555</v>
      </c>
    </row>
    <row r="63" spans="1:4" x14ac:dyDescent="0.25">
      <c r="A63" s="36" t="s">
        <v>204</v>
      </c>
      <c r="B63" s="36" t="s">
        <v>305</v>
      </c>
      <c r="C63" s="36" t="str">
        <f t="shared" si="0"/>
        <v>Giovanna Morelli</v>
      </c>
      <c r="D63" s="36" t="s">
        <v>335</v>
      </c>
    </row>
    <row r="64" spans="1:4" x14ac:dyDescent="0.25">
      <c r="A64" s="36" t="s">
        <v>207</v>
      </c>
      <c r="B64" s="36" t="s">
        <v>308</v>
      </c>
      <c r="C64" s="36" t="str">
        <f t="shared" si="0"/>
        <v>Michela Amato</v>
      </c>
      <c r="D64" s="36" t="s">
        <v>336</v>
      </c>
    </row>
    <row r="65" spans="1:4" x14ac:dyDescent="0.25">
      <c r="A65" s="36" t="s">
        <v>210</v>
      </c>
      <c r="B65" s="36" t="s">
        <v>311</v>
      </c>
      <c r="C65" s="36" t="str">
        <f t="shared" si="0"/>
        <v>Giorgio Silvestri</v>
      </c>
      <c r="D65" s="36" t="s">
        <v>337</v>
      </c>
    </row>
    <row r="66" spans="1:4" x14ac:dyDescent="0.25">
      <c r="A66" s="36" t="s">
        <v>213</v>
      </c>
      <c r="B66" s="36" t="s">
        <v>314</v>
      </c>
      <c r="C66" s="36" t="str">
        <f t="shared" si="0"/>
        <v>Fabrizio Mazza</v>
      </c>
      <c r="D66" s="36" t="s">
        <v>556</v>
      </c>
    </row>
    <row r="67" spans="1:4" x14ac:dyDescent="0.25">
      <c r="A67" s="36" t="s">
        <v>216</v>
      </c>
      <c r="B67" s="36" t="s">
        <v>317</v>
      </c>
      <c r="C67" s="36" t="str">
        <f t="shared" ref="C67:C101" si="1">CONCATENATE(A67," ",B67)</f>
        <v>Gabiele Testa</v>
      </c>
      <c r="D67" s="36" t="s">
        <v>338</v>
      </c>
    </row>
    <row r="68" spans="1:4" x14ac:dyDescent="0.25">
      <c r="A68" s="36" t="s">
        <v>130</v>
      </c>
      <c r="B68" s="36" t="s">
        <v>224</v>
      </c>
      <c r="C68" s="36" t="str">
        <f t="shared" si="1"/>
        <v>Ilaria Grassi</v>
      </c>
      <c r="D68" s="36" t="s">
        <v>339</v>
      </c>
    </row>
    <row r="69" spans="1:4" x14ac:dyDescent="0.25">
      <c r="A69" s="36" t="s">
        <v>133</v>
      </c>
      <c r="B69" s="36" t="s">
        <v>227</v>
      </c>
      <c r="C69" s="36" t="str">
        <f t="shared" si="1"/>
        <v>Gianni Pellegrino</v>
      </c>
      <c r="D69" s="36" t="s">
        <v>557</v>
      </c>
    </row>
    <row r="70" spans="1:4" x14ac:dyDescent="0.25">
      <c r="A70" s="36" t="s">
        <v>136</v>
      </c>
      <c r="B70" s="36" t="s">
        <v>230</v>
      </c>
      <c r="C70" s="36" t="str">
        <f t="shared" si="1"/>
        <v>Pietro Carbone</v>
      </c>
      <c r="D70" s="36" t="s">
        <v>558</v>
      </c>
    </row>
    <row r="71" spans="1:4" x14ac:dyDescent="0.25">
      <c r="A71" s="36" t="s">
        <v>139</v>
      </c>
      <c r="B71" s="36" t="s">
        <v>233</v>
      </c>
      <c r="C71" s="36" t="str">
        <f t="shared" si="1"/>
        <v>Valeira Giuliani</v>
      </c>
      <c r="D71" s="36" t="s">
        <v>340</v>
      </c>
    </row>
    <row r="72" spans="1:4" x14ac:dyDescent="0.25">
      <c r="A72" s="36" t="s">
        <v>142</v>
      </c>
      <c r="B72" s="36" t="s">
        <v>236</v>
      </c>
      <c r="C72" s="36" t="str">
        <f t="shared" si="1"/>
        <v>Emanuele Benedetti</v>
      </c>
      <c r="D72" s="36" t="s">
        <v>559</v>
      </c>
    </row>
    <row r="73" spans="1:4" x14ac:dyDescent="0.25">
      <c r="A73" s="36" t="s">
        <v>145</v>
      </c>
      <c r="B73" s="36" t="s">
        <v>239</v>
      </c>
      <c r="C73" s="36" t="str">
        <f t="shared" si="1"/>
        <v>Sabrina Barone</v>
      </c>
      <c r="D73" s="36" t="s">
        <v>560</v>
      </c>
    </row>
    <row r="74" spans="1:4" x14ac:dyDescent="0.25">
      <c r="A74" s="36" t="s">
        <v>148</v>
      </c>
      <c r="B74" s="36" t="s">
        <v>242</v>
      </c>
      <c r="C74" s="36" t="str">
        <f t="shared" si="1"/>
        <v>Enrico Rossetti</v>
      </c>
      <c r="D74" s="36" t="s">
        <v>561</v>
      </c>
    </row>
    <row r="75" spans="1:4" x14ac:dyDescent="0.25">
      <c r="A75" s="36" t="s">
        <v>150</v>
      </c>
      <c r="B75" s="36" t="s">
        <v>245</v>
      </c>
      <c r="C75" s="36" t="str">
        <f t="shared" si="1"/>
        <v>Serena Caputo</v>
      </c>
      <c r="D75" s="36" t="s">
        <v>562</v>
      </c>
    </row>
    <row r="76" spans="1:4" x14ac:dyDescent="0.25">
      <c r="A76" s="36" t="s">
        <v>152</v>
      </c>
      <c r="B76" s="36" t="s">
        <v>248</v>
      </c>
      <c r="C76" s="36" t="str">
        <f t="shared" si="1"/>
        <v>Veronica Montanari</v>
      </c>
      <c r="D76" s="36" t="s">
        <v>563</v>
      </c>
    </row>
    <row r="77" spans="1:4" x14ac:dyDescent="0.25">
      <c r="A77" s="36" t="s">
        <v>154</v>
      </c>
      <c r="B77" s="36" t="s">
        <v>251</v>
      </c>
      <c r="C77" s="36" t="str">
        <f t="shared" si="1"/>
        <v>Pasquale Guerra</v>
      </c>
      <c r="D77" s="36" t="s">
        <v>564</v>
      </c>
    </row>
    <row r="78" spans="1:4" x14ac:dyDescent="0.25">
      <c r="A78" s="36" t="s">
        <v>157</v>
      </c>
      <c r="B78" s="36" t="s">
        <v>253</v>
      </c>
      <c r="C78" s="36" t="str">
        <f t="shared" si="1"/>
        <v>Mattia Palmieri</v>
      </c>
      <c r="D78" s="36" t="s">
        <v>565</v>
      </c>
    </row>
    <row r="79" spans="1:4" x14ac:dyDescent="0.25">
      <c r="A79" s="36" t="s">
        <v>160</v>
      </c>
      <c r="B79" s="36" t="s">
        <v>256</v>
      </c>
      <c r="C79" s="36" t="str">
        <f t="shared" si="1"/>
        <v>Raffaele Bernardi</v>
      </c>
      <c r="D79" s="36" t="s">
        <v>566</v>
      </c>
    </row>
    <row r="80" spans="1:4" x14ac:dyDescent="0.25">
      <c r="A80" s="36" t="s">
        <v>163</v>
      </c>
      <c r="B80" s="36" t="s">
        <v>259</v>
      </c>
      <c r="C80" s="36" t="str">
        <f t="shared" si="1"/>
        <v>Rosa Martino</v>
      </c>
      <c r="D80" s="36" t="s">
        <v>567</v>
      </c>
    </row>
    <row r="81" spans="1:4" x14ac:dyDescent="0.25">
      <c r="A81" s="36" t="s">
        <v>165</v>
      </c>
      <c r="B81" s="36" t="s">
        <v>262</v>
      </c>
      <c r="C81" s="36" t="str">
        <f t="shared" si="1"/>
        <v>Filipo Fiore</v>
      </c>
      <c r="D81" s="36" t="s">
        <v>568</v>
      </c>
    </row>
    <row r="82" spans="1:4" x14ac:dyDescent="0.25">
      <c r="A82" s="36" t="s">
        <v>167</v>
      </c>
      <c r="B82" s="36" t="s">
        <v>265</v>
      </c>
      <c r="C82" s="36" t="str">
        <f t="shared" si="1"/>
        <v>Eleonora De Rosa</v>
      </c>
      <c r="D82" s="36" t="s">
        <v>569</v>
      </c>
    </row>
    <row r="83" spans="1:4" x14ac:dyDescent="0.25">
      <c r="A83" s="36" t="s">
        <v>170</v>
      </c>
      <c r="B83" s="36" t="s">
        <v>267</v>
      </c>
      <c r="C83" s="36" t="str">
        <f t="shared" si="1"/>
        <v>Giacomo Ferretti</v>
      </c>
      <c r="D83" s="36" t="s">
        <v>570</v>
      </c>
    </row>
    <row r="84" spans="1:4" x14ac:dyDescent="0.25">
      <c r="A84" s="36" t="s">
        <v>172</v>
      </c>
      <c r="B84" s="36" t="s">
        <v>270</v>
      </c>
      <c r="C84" s="36" t="str">
        <f t="shared" si="1"/>
        <v>Rita Bellini</v>
      </c>
      <c r="D84" s="36" t="s">
        <v>571</v>
      </c>
    </row>
    <row r="85" spans="1:4" x14ac:dyDescent="0.25">
      <c r="A85" s="36" t="s">
        <v>175</v>
      </c>
      <c r="B85" s="36" t="s">
        <v>273</v>
      </c>
      <c r="C85" s="36" t="str">
        <f t="shared" si="1"/>
        <v>Massimiliano Basile</v>
      </c>
      <c r="D85" s="36" t="s">
        <v>572</v>
      </c>
    </row>
    <row r="86" spans="1:4" x14ac:dyDescent="0.25">
      <c r="A86" s="36" t="s">
        <v>177</v>
      </c>
      <c r="B86" s="36" t="s">
        <v>276</v>
      </c>
      <c r="C86" s="36" t="str">
        <f t="shared" si="1"/>
        <v>Sergio Riva</v>
      </c>
      <c r="D86" s="36" t="s">
        <v>573</v>
      </c>
    </row>
    <row r="87" spans="1:4" x14ac:dyDescent="0.25">
      <c r="A87" s="36" t="s">
        <v>180</v>
      </c>
      <c r="B87" s="36" t="s">
        <v>279</v>
      </c>
      <c r="C87" s="36" t="str">
        <f t="shared" si="1"/>
        <v>Tiziana Donati</v>
      </c>
      <c r="D87" s="36" t="s">
        <v>574</v>
      </c>
    </row>
    <row r="88" spans="1:4" x14ac:dyDescent="0.25">
      <c r="A88" s="36" t="s">
        <v>183</v>
      </c>
      <c r="B88" s="36" t="s">
        <v>282</v>
      </c>
      <c r="C88" s="36" t="str">
        <f t="shared" si="1"/>
        <v>Giorgia Piras</v>
      </c>
      <c r="D88" s="36" t="s">
        <v>575</v>
      </c>
    </row>
    <row r="89" spans="1:4" x14ac:dyDescent="0.25">
      <c r="A89" s="36" t="s">
        <v>186</v>
      </c>
      <c r="B89" s="36" t="s">
        <v>285</v>
      </c>
      <c r="C89" s="36" t="str">
        <f t="shared" si="1"/>
        <v>Cinzia Vitali</v>
      </c>
      <c r="D89" s="36" t="s">
        <v>576</v>
      </c>
    </row>
    <row r="90" spans="1:4" x14ac:dyDescent="0.25">
      <c r="A90" s="36" t="s">
        <v>189</v>
      </c>
      <c r="B90" s="36" t="s">
        <v>288</v>
      </c>
      <c r="C90" s="36" t="str">
        <f t="shared" si="1"/>
        <v>Manuela Battaglia</v>
      </c>
      <c r="D90" s="36" t="s">
        <v>577</v>
      </c>
    </row>
    <row r="91" spans="1:4" x14ac:dyDescent="0.25">
      <c r="A91" s="36" t="s">
        <v>191</v>
      </c>
      <c r="B91" s="36" t="s">
        <v>291</v>
      </c>
      <c r="C91" s="36" t="str">
        <f t="shared" si="1"/>
        <v>Giusy Sartori</v>
      </c>
      <c r="D91" s="36" t="s">
        <v>578</v>
      </c>
    </row>
    <row r="92" spans="1:4" x14ac:dyDescent="0.25">
      <c r="A92" s="36" t="s">
        <v>194</v>
      </c>
      <c r="B92" s="36" t="s">
        <v>294</v>
      </c>
      <c r="C92" s="36" t="str">
        <f t="shared" si="1"/>
        <v>Sonia Neri</v>
      </c>
      <c r="D92" s="36" t="s">
        <v>579</v>
      </c>
    </row>
    <row r="93" spans="1:4" x14ac:dyDescent="0.25">
      <c r="A93" s="36" t="s">
        <v>197</v>
      </c>
      <c r="B93" s="36" t="s">
        <v>297</v>
      </c>
      <c r="C93" s="36" t="str">
        <f t="shared" si="1"/>
        <v>Cristian Costatini</v>
      </c>
      <c r="D93" s="36" t="s">
        <v>580</v>
      </c>
    </row>
    <row r="94" spans="1:4" x14ac:dyDescent="0.25">
      <c r="A94" s="36" t="s">
        <v>200</v>
      </c>
      <c r="B94" s="36" t="s">
        <v>300</v>
      </c>
      <c r="C94" s="36" t="str">
        <f t="shared" si="1"/>
        <v>Marta Milani</v>
      </c>
      <c r="D94" s="36" t="s">
        <v>581</v>
      </c>
    </row>
    <row r="95" spans="1:4" x14ac:dyDescent="0.25">
      <c r="A95" s="36" t="s">
        <v>203</v>
      </c>
      <c r="B95" s="36" t="s">
        <v>303</v>
      </c>
      <c r="C95" s="36" t="str">
        <f t="shared" si="1"/>
        <v>Alex Pagano</v>
      </c>
      <c r="D95" s="36" t="s">
        <v>582</v>
      </c>
    </row>
    <row r="96" spans="1:4" x14ac:dyDescent="0.25">
      <c r="A96" s="36" t="s">
        <v>205</v>
      </c>
      <c r="B96" s="36" t="s">
        <v>306</v>
      </c>
      <c r="C96" s="36" t="str">
        <f t="shared" si="1"/>
        <v>Emanuela Ruggiero</v>
      </c>
      <c r="D96" s="36" t="s">
        <v>583</v>
      </c>
    </row>
    <row r="97" spans="1:4" x14ac:dyDescent="0.25">
      <c r="A97" s="36" t="s">
        <v>208</v>
      </c>
      <c r="B97" s="36" t="s">
        <v>309</v>
      </c>
      <c r="C97" s="36" t="str">
        <f t="shared" si="1"/>
        <v>Dario Sorrentino</v>
      </c>
      <c r="D97" s="36" t="s">
        <v>584</v>
      </c>
    </row>
    <row r="98" spans="1:4" x14ac:dyDescent="0.25">
      <c r="A98" s="36" t="s">
        <v>211</v>
      </c>
      <c r="B98" s="36" t="s">
        <v>312</v>
      </c>
      <c r="C98" s="36" t="str">
        <f t="shared" si="1"/>
        <v>Mirko D’Amico</v>
      </c>
      <c r="D98" s="36" t="s">
        <v>585</v>
      </c>
    </row>
    <row r="99" spans="1:4" x14ac:dyDescent="0.25">
      <c r="A99" s="36" t="s">
        <v>214</v>
      </c>
      <c r="B99" s="36" t="s">
        <v>315</v>
      </c>
      <c r="C99" s="36" t="str">
        <f t="shared" si="1"/>
        <v>Elisabetta Orlando</v>
      </c>
      <c r="D99" s="36" t="s">
        <v>586</v>
      </c>
    </row>
    <row r="100" spans="1:4" x14ac:dyDescent="0.25">
      <c r="A100" s="36" t="s">
        <v>217</v>
      </c>
      <c r="B100" s="36" t="s">
        <v>318</v>
      </c>
      <c r="C100" s="36" t="str">
        <f t="shared" si="1"/>
        <v>Enzo Damico</v>
      </c>
      <c r="D100" s="36" t="s">
        <v>587</v>
      </c>
    </row>
    <row r="101" spans="1:4" x14ac:dyDescent="0.25">
      <c r="A101" s="36" t="s">
        <v>218</v>
      </c>
      <c r="B101" s="36" t="s">
        <v>319</v>
      </c>
      <c r="C101" s="36" t="str">
        <f t="shared" si="1"/>
        <v>Teresa Negri</v>
      </c>
      <c r="D101" s="36" t="s">
        <v>588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4D6B-78F1-4A8D-8BE0-4CAC786D5BA6}">
  <dimension ref="A1:G19"/>
  <sheetViews>
    <sheetView workbookViewId="0">
      <selection activeCell="E16" sqref="E16"/>
    </sheetView>
  </sheetViews>
  <sheetFormatPr defaultRowHeight="15" x14ac:dyDescent="0.25"/>
  <cols>
    <col min="1" max="1" width="22.7109375" bestFit="1" customWidth="1"/>
    <col min="2" max="2" width="21.42578125" customWidth="1"/>
    <col min="3" max="3" width="19.140625" customWidth="1"/>
    <col min="6" max="6" width="33.5703125" customWidth="1"/>
  </cols>
  <sheetData>
    <row r="1" spans="1:7" ht="18.75" x14ac:dyDescent="0.25">
      <c r="A1" s="174" t="s">
        <v>343</v>
      </c>
      <c r="B1" s="174"/>
      <c r="C1" s="174"/>
      <c r="D1" s="174"/>
      <c r="E1" s="174"/>
      <c r="F1" s="174"/>
    </row>
    <row r="2" spans="1:7" ht="18.75" x14ac:dyDescent="0.3">
      <c r="A2" s="175" t="s">
        <v>120</v>
      </c>
      <c r="B2" s="176"/>
      <c r="C2" s="176"/>
      <c r="D2" s="176"/>
      <c r="E2" s="176"/>
      <c r="F2" s="176"/>
    </row>
    <row r="3" spans="1:7" ht="18.75" x14ac:dyDescent="0.3">
      <c r="A3" s="53" t="s">
        <v>101</v>
      </c>
      <c r="B3" s="53" t="s">
        <v>102</v>
      </c>
      <c r="C3" s="53" t="s">
        <v>103</v>
      </c>
      <c r="D3" s="53" t="s">
        <v>104</v>
      </c>
      <c r="E3" s="53" t="s">
        <v>105</v>
      </c>
      <c r="F3" s="73" t="s">
        <v>106</v>
      </c>
      <c r="G3" s="149" t="s">
        <v>589</v>
      </c>
    </row>
    <row r="4" spans="1:7" ht="18.75" x14ac:dyDescent="0.3">
      <c r="A4" s="54" t="s">
        <v>107</v>
      </c>
      <c r="B4" s="55">
        <v>8.9</v>
      </c>
      <c r="C4" s="55">
        <v>9.3000000000000007</v>
      </c>
      <c r="D4" s="55">
        <v>10</v>
      </c>
      <c r="E4" s="55">
        <v>8.5</v>
      </c>
      <c r="F4" s="55">
        <f>AVERAGE(B4:E4)</f>
        <v>9.1750000000000007</v>
      </c>
    </row>
    <row r="5" spans="1:7" ht="18.75" x14ac:dyDescent="0.3">
      <c r="A5" s="54" t="s">
        <v>111</v>
      </c>
      <c r="B5" s="55">
        <v>9</v>
      </c>
      <c r="C5" s="55">
        <v>8</v>
      </c>
      <c r="D5" s="55">
        <v>3</v>
      </c>
      <c r="E5" s="55">
        <v>10</v>
      </c>
      <c r="F5" s="55">
        <f t="shared" ref="F5:F13" si="0">AVERAGE(B5:E5)</f>
        <v>7.5</v>
      </c>
    </row>
    <row r="6" spans="1:7" ht="18.75" x14ac:dyDescent="0.3">
      <c r="A6" s="54" t="s">
        <v>112</v>
      </c>
      <c r="B6" s="55">
        <v>7.6</v>
      </c>
      <c r="C6" s="55">
        <v>2</v>
      </c>
      <c r="D6" s="55">
        <v>10</v>
      </c>
      <c r="E6" s="55">
        <v>9.8000000000000007</v>
      </c>
      <c r="F6" s="55">
        <f t="shared" si="0"/>
        <v>7.3500000000000005</v>
      </c>
    </row>
    <row r="7" spans="1:7" ht="18.75" x14ac:dyDescent="0.3">
      <c r="A7" s="54" t="s">
        <v>113</v>
      </c>
      <c r="B7" s="55">
        <v>7</v>
      </c>
      <c r="C7" s="55">
        <v>10</v>
      </c>
      <c r="D7" s="55">
        <v>9</v>
      </c>
      <c r="E7" s="55">
        <v>2</v>
      </c>
      <c r="F7" s="55">
        <f t="shared" si="0"/>
        <v>7</v>
      </c>
    </row>
    <row r="8" spans="1:7" ht="18.75" x14ac:dyDescent="0.3">
      <c r="A8" s="54" t="s">
        <v>114</v>
      </c>
      <c r="B8" s="55">
        <v>5.5</v>
      </c>
      <c r="C8" s="55">
        <v>6.3</v>
      </c>
      <c r="D8" s="55">
        <v>9.6</v>
      </c>
      <c r="E8" s="55">
        <v>1</v>
      </c>
      <c r="F8" s="55">
        <f t="shared" si="0"/>
        <v>5.6</v>
      </c>
    </row>
    <row r="9" spans="1:7" ht="18.75" x14ac:dyDescent="0.3">
      <c r="A9" s="54" t="s">
        <v>115</v>
      </c>
      <c r="B9" s="55">
        <v>5</v>
      </c>
      <c r="C9" s="55">
        <v>3.5</v>
      </c>
      <c r="D9" s="55">
        <v>6</v>
      </c>
      <c r="E9" s="55">
        <v>4</v>
      </c>
      <c r="F9" s="55">
        <f t="shared" si="0"/>
        <v>4.625</v>
      </c>
    </row>
    <row r="10" spans="1:7" ht="18.75" x14ac:dyDescent="0.3">
      <c r="A10" s="54" t="s">
        <v>116</v>
      </c>
      <c r="B10" s="55">
        <v>6</v>
      </c>
      <c r="C10" s="55">
        <v>8.4</v>
      </c>
      <c r="D10" s="55">
        <v>7.1</v>
      </c>
      <c r="E10" s="55">
        <v>10</v>
      </c>
      <c r="F10" s="55">
        <f t="shared" si="0"/>
        <v>7.875</v>
      </c>
    </row>
    <row r="11" spans="1:7" ht="18.75" x14ac:dyDescent="0.3">
      <c r="A11" s="54" t="s">
        <v>117</v>
      </c>
      <c r="B11" s="55">
        <v>5</v>
      </c>
      <c r="C11" s="55">
        <v>4</v>
      </c>
      <c r="D11" s="55">
        <v>9</v>
      </c>
      <c r="E11" s="55">
        <v>5</v>
      </c>
      <c r="F11" s="55">
        <f t="shared" si="0"/>
        <v>5.75</v>
      </c>
    </row>
    <row r="12" spans="1:7" ht="18.75" x14ac:dyDescent="0.3">
      <c r="A12" s="54" t="s">
        <v>118</v>
      </c>
      <c r="B12" s="55">
        <v>6.2</v>
      </c>
      <c r="C12" s="55">
        <v>3</v>
      </c>
      <c r="D12" s="55">
        <v>8.4</v>
      </c>
      <c r="E12" s="55">
        <v>5</v>
      </c>
      <c r="F12" s="55">
        <f t="shared" si="0"/>
        <v>5.65</v>
      </c>
    </row>
    <row r="13" spans="1:7" ht="19.5" thickBot="1" x14ac:dyDescent="0.35">
      <c r="A13" s="56" t="s">
        <v>119</v>
      </c>
      <c r="B13" s="57">
        <v>10</v>
      </c>
      <c r="C13" s="57">
        <v>10</v>
      </c>
      <c r="D13" s="57">
        <v>10</v>
      </c>
      <c r="E13" s="57">
        <v>10</v>
      </c>
      <c r="F13" s="55">
        <f t="shared" si="0"/>
        <v>10</v>
      </c>
    </row>
    <row r="14" spans="1:7" ht="19.5" thickBot="1" x14ac:dyDescent="0.35">
      <c r="A14" s="52"/>
      <c r="B14" s="52"/>
      <c r="C14" s="52"/>
      <c r="D14" s="52"/>
      <c r="E14" s="52"/>
      <c r="F14" s="52"/>
    </row>
    <row r="15" spans="1:7" ht="20.25" thickTop="1" thickBot="1" x14ac:dyDescent="0.35">
      <c r="A15" s="59" t="s">
        <v>108</v>
      </c>
      <c r="B15" s="60">
        <f>COUNTA(A4:A13)</f>
        <v>10</v>
      </c>
      <c r="C15" s="151" t="s">
        <v>590</v>
      </c>
      <c r="D15" s="52"/>
      <c r="E15" s="52"/>
      <c r="F15" s="52"/>
    </row>
    <row r="16" spans="1:7" ht="19.5" thickTop="1" x14ac:dyDescent="0.3">
      <c r="A16" s="61" t="s">
        <v>109</v>
      </c>
      <c r="B16" s="58">
        <f>MAX(F4:F13)</f>
        <v>10</v>
      </c>
      <c r="C16" s="154">
        <f>LARGE(F4:F13,3)</f>
        <v>7.875</v>
      </c>
      <c r="D16" s="42"/>
      <c r="E16" s="42"/>
      <c r="F16" s="42"/>
    </row>
    <row r="17" spans="1:6" ht="19.5" thickBot="1" x14ac:dyDescent="0.35">
      <c r="A17" s="61" t="s">
        <v>110</v>
      </c>
      <c r="B17" s="58">
        <f>MIN(F4:F13)</f>
        <v>4.625</v>
      </c>
      <c r="C17" s="155">
        <f>SMALL(F4:F13,3)</f>
        <v>5.65</v>
      </c>
      <c r="D17" s="42"/>
      <c r="E17" s="42"/>
      <c r="F17" s="42"/>
    </row>
    <row r="18" spans="1:6" ht="20.25" thickTop="1" thickBot="1" x14ac:dyDescent="0.35">
      <c r="A18" s="62" t="s">
        <v>121</v>
      </c>
      <c r="B18" s="63">
        <f>AVERAGE(F4:F13)</f>
        <v>7.0525000000000002</v>
      </c>
      <c r="C18" s="52"/>
      <c r="D18" s="42"/>
      <c r="E18" s="42"/>
      <c r="F18" s="42"/>
    </row>
    <row r="19" spans="1:6" ht="19.5" thickTop="1" x14ac:dyDescent="0.3">
      <c r="A19" s="52"/>
      <c r="B19" s="52"/>
      <c r="C19" s="52"/>
      <c r="D19" s="52"/>
      <c r="E19" s="52"/>
      <c r="F19" s="52"/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B4FB-EB23-45B5-8C71-F013C26DB905}">
  <dimension ref="B1:L32"/>
  <sheetViews>
    <sheetView showGridLines="0" zoomScaleNormal="100" workbookViewId="0">
      <selection activeCell="H4" sqref="H4"/>
    </sheetView>
  </sheetViews>
  <sheetFormatPr defaultColWidth="9.140625" defaultRowHeight="12.75" x14ac:dyDescent="0.25"/>
  <cols>
    <col min="1" max="1" width="3.140625" style="127" customWidth="1"/>
    <col min="2" max="2" width="7" style="127" bestFit="1" customWidth="1"/>
    <col min="3" max="3" width="16" style="127" bestFit="1" customWidth="1"/>
    <col min="4" max="4" width="18.7109375" style="127" customWidth="1"/>
    <col min="5" max="5" width="12" style="127" customWidth="1"/>
    <col min="6" max="6" width="4.7109375" style="127" customWidth="1"/>
    <col min="7" max="7" width="24.140625" style="127" customWidth="1"/>
    <col min="8" max="8" width="29.85546875" style="127" customWidth="1"/>
    <col min="9" max="9" width="4.28515625" style="127" customWidth="1"/>
    <col min="10" max="10" width="17.28515625" style="127" customWidth="1"/>
    <col min="11" max="16384" width="9.140625" style="127"/>
  </cols>
  <sheetData>
    <row r="1" spans="2:12" ht="15.75" thickBot="1" x14ac:dyDescent="0.3">
      <c r="J1" s="128"/>
      <c r="K1" s="128"/>
      <c r="L1" s="128"/>
    </row>
    <row r="2" spans="2:12" ht="24.75" customHeight="1" thickBot="1" x14ac:dyDescent="0.3">
      <c r="B2" s="177" t="s">
        <v>435</v>
      </c>
      <c r="C2" s="178"/>
      <c r="D2" s="178"/>
      <c r="E2" s="179"/>
      <c r="F2" s="129"/>
      <c r="G2" s="129"/>
      <c r="H2" s="129"/>
      <c r="J2" s="128"/>
      <c r="K2" s="128"/>
      <c r="L2" s="128"/>
    </row>
    <row r="3" spans="2:12" ht="17.25" customHeight="1" thickTop="1" thickBot="1" x14ac:dyDescent="0.3">
      <c r="B3" s="130" t="s">
        <v>436</v>
      </c>
      <c r="C3" s="131" t="s">
        <v>437</v>
      </c>
      <c r="D3" s="131" t="s">
        <v>438</v>
      </c>
      <c r="E3" s="132" t="s">
        <v>439</v>
      </c>
      <c r="F3" s="129"/>
      <c r="G3" s="133" t="s">
        <v>440</v>
      </c>
      <c r="H3" s="134" t="s">
        <v>441</v>
      </c>
      <c r="J3" s="128"/>
      <c r="K3" s="128"/>
      <c r="L3" s="128"/>
    </row>
    <row r="4" spans="2:12" ht="13.5" customHeight="1" thickTop="1" x14ac:dyDescent="0.25">
      <c r="B4" s="135">
        <v>1930</v>
      </c>
      <c r="C4" s="136" t="s">
        <v>442</v>
      </c>
      <c r="D4" s="136" t="s">
        <v>430</v>
      </c>
      <c r="E4" s="137">
        <v>8</v>
      </c>
      <c r="F4" s="129"/>
      <c r="G4" s="138" t="s">
        <v>427</v>
      </c>
      <c r="H4" s="139">
        <f>COUNTIF($D$4:$D$32,G4)</f>
        <v>3</v>
      </c>
      <c r="J4" s="128"/>
      <c r="K4" s="128"/>
      <c r="L4" s="128"/>
    </row>
    <row r="5" spans="2:12" ht="13.5" customHeight="1" x14ac:dyDescent="0.25">
      <c r="B5" s="135">
        <v>1934</v>
      </c>
      <c r="C5" s="136" t="s">
        <v>443</v>
      </c>
      <c r="D5" s="136" t="s">
        <v>444</v>
      </c>
      <c r="E5" s="137">
        <v>5</v>
      </c>
      <c r="F5" s="129"/>
      <c r="G5" s="140" t="s">
        <v>430</v>
      </c>
      <c r="H5" s="139">
        <f t="shared" ref="H5:H29" si="0">COUNTIF($D$4:$D$32,G5)</f>
        <v>2</v>
      </c>
      <c r="J5" s="128"/>
      <c r="K5" s="128"/>
      <c r="L5" s="128"/>
    </row>
    <row r="6" spans="2:12" ht="13.5" customHeight="1" x14ac:dyDescent="0.25">
      <c r="B6" s="135">
        <v>1938</v>
      </c>
      <c r="C6" s="136" t="s">
        <v>445</v>
      </c>
      <c r="D6" s="136" t="s">
        <v>446</v>
      </c>
      <c r="E6" s="137">
        <v>8</v>
      </c>
      <c r="F6" s="129"/>
      <c r="G6" s="140" t="s">
        <v>447</v>
      </c>
      <c r="H6" s="139">
        <f t="shared" si="0"/>
        <v>0</v>
      </c>
      <c r="J6" s="128"/>
      <c r="K6" s="128"/>
      <c r="L6" s="128"/>
    </row>
    <row r="7" spans="2:12" ht="13.5" customHeight="1" x14ac:dyDescent="0.25">
      <c r="B7" s="135">
        <v>1950</v>
      </c>
      <c r="C7" s="136" t="s">
        <v>448</v>
      </c>
      <c r="D7" s="136" t="s">
        <v>446</v>
      </c>
      <c r="E7" s="137">
        <v>9</v>
      </c>
      <c r="F7" s="129"/>
      <c r="G7" s="140" t="s">
        <v>446</v>
      </c>
      <c r="H7" s="139">
        <f t="shared" si="0"/>
        <v>5</v>
      </c>
      <c r="J7" s="128"/>
      <c r="K7" s="128"/>
      <c r="L7" s="128"/>
    </row>
    <row r="8" spans="2:12" ht="13.5" customHeight="1" x14ac:dyDescent="0.25">
      <c r="B8" s="135">
        <v>1954</v>
      </c>
      <c r="C8" s="136" t="s">
        <v>449</v>
      </c>
      <c r="D8" s="136" t="s">
        <v>450</v>
      </c>
      <c r="E8" s="137">
        <v>11</v>
      </c>
      <c r="F8" s="129"/>
      <c r="G8" s="140" t="s">
        <v>451</v>
      </c>
      <c r="H8" s="139">
        <f t="shared" si="0"/>
        <v>1</v>
      </c>
      <c r="J8" s="128"/>
      <c r="K8" s="128"/>
      <c r="L8" s="128"/>
    </row>
    <row r="9" spans="2:12" ht="13.5" customHeight="1" x14ac:dyDescent="0.25">
      <c r="B9" s="135">
        <v>1958</v>
      </c>
      <c r="C9" s="136" t="s">
        <v>452</v>
      </c>
      <c r="D9" s="136" t="s">
        <v>415</v>
      </c>
      <c r="E9" s="137">
        <v>13</v>
      </c>
      <c r="F9" s="129"/>
      <c r="G9" s="140" t="s">
        <v>453</v>
      </c>
      <c r="H9" s="139">
        <f t="shared" si="0"/>
        <v>1</v>
      </c>
      <c r="J9" s="128"/>
      <c r="K9" s="128"/>
      <c r="L9" s="128"/>
    </row>
    <row r="10" spans="2:12" ht="13.5" customHeight="1" x14ac:dyDescent="0.25">
      <c r="B10" s="135">
        <v>1962</v>
      </c>
      <c r="C10" s="136" t="s">
        <v>454</v>
      </c>
      <c r="D10" s="136" t="s">
        <v>446</v>
      </c>
      <c r="E10" s="137">
        <v>4</v>
      </c>
      <c r="F10" s="129"/>
      <c r="G10" s="140" t="s">
        <v>487</v>
      </c>
      <c r="H10" s="139">
        <f t="shared" si="0"/>
        <v>1</v>
      </c>
      <c r="J10" s="128"/>
      <c r="K10" s="128"/>
      <c r="L10" s="128"/>
    </row>
    <row r="11" spans="2:12" ht="13.5" customHeight="1" x14ac:dyDescent="0.25">
      <c r="B11" s="135"/>
      <c r="C11" s="136" t="s">
        <v>456</v>
      </c>
      <c r="D11" s="136" t="s">
        <v>446</v>
      </c>
      <c r="E11" s="137">
        <v>4</v>
      </c>
      <c r="F11" s="129"/>
      <c r="G11" s="140" t="s">
        <v>455</v>
      </c>
      <c r="H11" s="139">
        <f t="shared" si="0"/>
        <v>1</v>
      </c>
      <c r="J11" s="128"/>
      <c r="K11" s="128"/>
      <c r="L11" s="128"/>
    </row>
    <row r="12" spans="2:12" ht="13.5" customHeight="1" x14ac:dyDescent="0.25">
      <c r="B12" s="135"/>
      <c r="C12" s="136" t="s">
        <v>457</v>
      </c>
      <c r="D12" s="136" t="s">
        <v>458</v>
      </c>
      <c r="E12" s="137">
        <v>4</v>
      </c>
      <c r="F12" s="129"/>
      <c r="G12" s="140" t="s">
        <v>424</v>
      </c>
      <c r="H12" s="139">
        <f t="shared" si="0"/>
        <v>0</v>
      </c>
      <c r="J12" s="128"/>
      <c r="K12" s="128"/>
      <c r="L12" s="128"/>
    </row>
    <row r="13" spans="2:12" ht="13.5" customHeight="1" x14ac:dyDescent="0.25">
      <c r="B13" s="135"/>
      <c r="C13" s="136" t="s">
        <v>460</v>
      </c>
      <c r="D13" s="136" t="s">
        <v>453</v>
      </c>
      <c r="E13" s="137">
        <v>4</v>
      </c>
      <c r="F13" s="129"/>
      <c r="G13" s="140" t="s">
        <v>426</v>
      </c>
      <c r="H13" s="139">
        <f t="shared" si="0"/>
        <v>1</v>
      </c>
      <c r="J13" s="128"/>
      <c r="K13" s="128"/>
      <c r="L13" s="128"/>
    </row>
    <row r="14" spans="2:12" ht="13.5" customHeight="1" x14ac:dyDescent="0.25">
      <c r="B14" s="135"/>
      <c r="C14" s="136" t="s">
        <v>461</v>
      </c>
      <c r="D14" s="136" t="s">
        <v>450</v>
      </c>
      <c r="E14" s="137">
        <v>4</v>
      </c>
      <c r="F14" s="129"/>
      <c r="G14" s="140" t="s">
        <v>459</v>
      </c>
      <c r="H14" s="139">
        <f t="shared" si="0"/>
        <v>0</v>
      </c>
      <c r="J14" s="128"/>
      <c r="K14" s="128"/>
      <c r="L14" s="128"/>
    </row>
    <row r="15" spans="2:12" ht="13.5" customHeight="1" x14ac:dyDescent="0.25">
      <c r="B15" s="135"/>
      <c r="C15" s="136" t="s">
        <v>462</v>
      </c>
      <c r="D15" s="136" t="s">
        <v>463</v>
      </c>
      <c r="E15" s="137">
        <v>4</v>
      </c>
      <c r="F15" s="129"/>
      <c r="G15" s="140" t="s">
        <v>415</v>
      </c>
      <c r="H15" s="139">
        <f t="shared" si="0"/>
        <v>1</v>
      </c>
      <c r="J15" s="128"/>
      <c r="K15" s="128"/>
      <c r="L15" s="128"/>
    </row>
    <row r="16" spans="2:12" ht="13.5" customHeight="1" x14ac:dyDescent="0.25">
      <c r="B16" s="135">
        <v>1966</v>
      </c>
      <c r="C16" s="136" t="s">
        <v>465</v>
      </c>
      <c r="D16" s="136" t="s">
        <v>466</v>
      </c>
      <c r="E16" s="137">
        <v>9</v>
      </c>
      <c r="F16" s="129"/>
      <c r="G16" s="140" t="s">
        <v>418</v>
      </c>
      <c r="H16" s="139">
        <f t="shared" si="0"/>
        <v>1</v>
      </c>
      <c r="J16" s="128"/>
      <c r="K16" s="128"/>
      <c r="L16" s="128"/>
    </row>
    <row r="17" spans="2:12" ht="13.5" customHeight="1" x14ac:dyDescent="0.25">
      <c r="B17" s="135">
        <v>1970</v>
      </c>
      <c r="C17" s="136" t="s">
        <v>468</v>
      </c>
      <c r="D17" s="136" t="s">
        <v>427</v>
      </c>
      <c r="E17" s="137">
        <v>10</v>
      </c>
      <c r="F17" s="129"/>
      <c r="G17" s="140" t="s">
        <v>450</v>
      </c>
      <c r="H17" s="139">
        <f t="shared" si="0"/>
        <v>2</v>
      </c>
      <c r="J17" s="128"/>
      <c r="K17" s="128"/>
      <c r="L17" s="128"/>
    </row>
    <row r="18" spans="2:12" ht="13.5" customHeight="1" x14ac:dyDescent="0.25">
      <c r="B18" s="135">
        <v>1974</v>
      </c>
      <c r="C18" s="136" t="s">
        <v>469</v>
      </c>
      <c r="D18" s="136" t="s">
        <v>470</v>
      </c>
      <c r="E18" s="137">
        <v>7</v>
      </c>
      <c r="F18" s="129"/>
      <c r="G18" s="140" t="s">
        <v>464</v>
      </c>
      <c r="H18" s="139">
        <f t="shared" si="0"/>
        <v>0</v>
      </c>
      <c r="J18" s="128"/>
      <c r="K18" s="128"/>
      <c r="L18" s="128"/>
    </row>
    <row r="19" spans="2:12" ht="13.5" customHeight="1" x14ac:dyDescent="0.25">
      <c r="B19" s="135">
        <v>1978</v>
      </c>
      <c r="C19" s="136" t="s">
        <v>471</v>
      </c>
      <c r="D19" s="136" t="s">
        <v>430</v>
      </c>
      <c r="E19" s="137">
        <v>6</v>
      </c>
      <c r="F19" s="129"/>
      <c r="G19" s="140" t="s">
        <v>467</v>
      </c>
      <c r="H19" s="139">
        <f t="shared" si="0"/>
        <v>1</v>
      </c>
      <c r="J19" s="128"/>
      <c r="K19" s="128"/>
      <c r="L19" s="128"/>
    </row>
    <row r="20" spans="2:12" ht="13.5" customHeight="1" x14ac:dyDescent="0.25">
      <c r="B20" s="135">
        <v>1982</v>
      </c>
      <c r="C20" s="136" t="s">
        <v>472</v>
      </c>
      <c r="D20" s="136" t="s">
        <v>425</v>
      </c>
      <c r="E20" s="137">
        <v>6</v>
      </c>
      <c r="F20" s="129"/>
      <c r="G20" s="140" t="s">
        <v>425</v>
      </c>
      <c r="H20" s="139">
        <f t="shared" si="0"/>
        <v>2</v>
      </c>
      <c r="J20" s="128"/>
      <c r="K20" s="128"/>
      <c r="L20" s="128"/>
    </row>
    <row r="21" spans="2:12" ht="13.5" customHeight="1" x14ac:dyDescent="0.25">
      <c r="B21" s="135">
        <v>1986</v>
      </c>
      <c r="C21" s="136" t="s">
        <v>473</v>
      </c>
      <c r="D21" s="136" t="s">
        <v>467</v>
      </c>
      <c r="E21" s="137">
        <v>6</v>
      </c>
      <c r="F21" s="129"/>
      <c r="G21" s="140" t="s">
        <v>463</v>
      </c>
      <c r="H21" s="139">
        <f t="shared" si="0"/>
        <v>1</v>
      </c>
      <c r="J21" s="128"/>
      <c r="K21" s="128"/>
      <c r="L21" s="128"/>
    </row>
    <row r="22" spans="2:12" ht="13.5" customHeight="1" x14ac:dyDescent="0.25">
      <c r="B22" s="135">
        <v>1990</v>
      </c>
      <c r="C22" s="136" t="s">
        <v>474</v>
      </c>
      <c r="D22" s="136" t="s">
        <v>425</v>
      </c>
      <c r="E22" s="137">
        <v>6</v>
      </c>
      <c r="F22" s="129"/>
      <c r="G22" s="140" t="s">
        <v>429</v>
      </c>
      <c r="H22" s="139">
        <f t="shared" si="0"/>
        <v>0</v>
      </c>
      <c r="J22" s="128"/>
      <c r="K22" s="128"/>
      <c r="L22" s="128"/>
    </row>
    <row r="23" spans="2:12" ht="13.5" customHeight="1" x14ac:dyDescent="0.25">
      <c r="B23" s="135">
        <v>1994</v>
      </c>
      <c r="C23" s="136" t="s">
        <v>476</v>
      </c>
      <c r="D23" s="136" t="s">
        <v>451</v>
      </c>
      <c r="E23" s="137">
        <v>6</v>
      </c>
      <c r="F23" s="129"/>
      <c r="G23" s="140" t="s">
        <v>470</v>
      </c>
      <c r="H23" s="139">
        <f t="shared" si="0"/>
        <v>1</v>
      </c>
      <c r="J23" s="128"/>
      <c r="K23" s="128"/>
      <c r="L23" s="128"/>
    </row>
    <row r="24" spans="2:12" ht="13.5" customHeight="1" x14ac:dyDescent="0.25">
      <c r="B24" s="135"/>
      <c r="C24" s="136" t="s">
        <v>478</v>
      </c>
      <c r="D24" s="136" t="s">
        <v>475</v>
      </c>
      <c r="E24" s="137">
        <v>6</v>
      </c>
      <c r="F24" s="129"/>
      <c r="G24" s="140" t="s">
        <v>466</v>
      </c>
      <c r="H24" s="139">
        <f t="shared" si="0"/>
        <v>1</v>
      </c>
      <c r="J24" s="128"/>
      <c r="K24" s="128"/>
      <c r="L24" s="128"/>
    </row>
    <row r="25" spans="2:12" ht="13.5" customHeight="1" x14ac:dyDescent="0.25">
      <c r="B25" s="135">
        <v>1998</v>
      </c>
      <c r="C25" s="136" t="s">
        <v>479</v>
      </c>
      <c r="D25" s="136" t="s">
        <v>455</v>
      </c>
      <c r="E25" s="137">
        <v>6</v>
      </c>
      <c r="F25" s="129"/>
      <c r="G25" s="140" t="s">
        <v>475</v>
      </c>
      <c r="H25" s="139">
        <f t="shared" si="0"/>
        <v>1</v>
      </c>
      <c r="J25" s="128"/>
      <c r="K25" s="128"/>
      <c r="L25" s="128"/>
    </row>
    <row r="26" spans="2:12" ht="13.5" customHeight="1" x14ac:dyDescent="0.25">
      <c r="B26" s="135">
        <v>2002</v>
      </c>
      <c r="C26" s="136" t="s">
        <v>480</v>
      </c>
      <c r="D26" s="136" t="s">
        <v>446</v>
      </c>
      <c r="E26" s="137">
        <v>8</v>
      </c>
      <c r="F26" s="129"/>
      <c r="G26" s="140" t="s">
        <v>477</v>
      </c>
      <c r="H26" s="139">
        <f t="shared" si="0"/>
        <v>0</v>
      </c>
      <c r="J26" s="128"/>
      <c r="K26" s="128"/>
      <c r="L26" s="128"/>
    </row>
    <row r="27" spans="2:12" ht="15" x14ac:dyDescent="0.25">
      <c r="B27" s="141">
        <v>2006</v>
      </c>
      <c r="C27" s="148" t="s">
        <v>482</v>
      </c>
      <c r="D27" s="142" t="s">
        <v>427</v>
      </c>
      <c r="E27" s="143">
        <v>5</v>
      </c>
      <c r="F27" s="129"/>
      <c r="G27" s="140" t="s">
        <v>444</v>
      </c>
      <c r="H27" s="139">
        <f t="shared" si="0"/>
        <v>1</v>
      </c>
      <c r="J27" s="128"/>
      <c r="K27" s="128"/>
      <c r="L27" s="128"/>
    </row>
    <row r="28" spans="2:12" ht="15" x14ac:dyDescent="0.25">
      <c r="B28" s="141">
        <v>2010</v>
      </c>
      <c r="C28" s="142" t="s">
        <v>483</v>
      </c>
      <c r="D28" s="142" t="s">
        <v>427</v>
      </c>
      <c r="E28" s="143">
        <v>5</v>
      </c>
      <c r="F28" s="129"/>
      <c r="G28" s="140" t="s">
        <v>458</v>
      </c>
      <c r="H28" s="139">
        <f t="shared" si="0"/>
        <v>1</v>
      </c>
      <c r="J28" s="128"/>
      <c r="K28" s="128"/>
      <c r="L28" s="128"/>
    </row>
    <row r="29" spans="2:12" ht="15.75" thickBot="1" x14ac:dyDescent="0.3">
      <c r="B29" s="141"/>
      <c r="C29" s="142" t="s">
        <v>247</v>
      </c>
      <c r="D29" s="142" t="s">
        <v>426</v>
      </c>
      <c r="E29" s="143">
        <v>5</v>
      </c>
      <c r="F29" s="129"/>
      <c r="G29" s="144" t="s">
        <v>481</v>
      </c>
      <c r="H29" s="139">
        <f t="shared" si="0"/>
        <v>1</v>
      </c>
      <c r="J29" s="128"/>
      <c r="K29" s="128"/>
      <c r="L29" s="128"/>
    </row>
    <row r="30" spans="2:12" ht="15.75" thickTop="1" x14ac:dyDescent="0.25">
      <c r="B30" s="141"/>
      <c r="C30" s="142" t="s">
        <v>484</v>
      </c>
      <c r="D30" s="142" t="s">
        <v>418</v>
      </c>
      <c r="E30" s="143">
        <v>5</v>
      </c>
      <c r="F30" s="129"/>
      <c r="G30" s="129"/>
      <c r="H30" s="129"/>
    </row>
    <row r="31" spans="2:12" ht="15" x14ac:dyDescent="0.25">
      <c r="B31" s="141"/>
      <c r="C31" s="142" t="s">
        <v>485</v>
      </c>
      <c r="D31" s="142" t="s">
        <v>481</v>
      </c>
      <c r="E31" s="143">
        <v>5</v>
      </c>
      <c r="F31" s="129"/>
      <c r="G31" s="129"/>
      <c r="H31" s="129"/>
    </row>
    <row r="32" spans="2:12" ht="15.75" thickBot="1" x14ac:dyDescent="0.3">
      <c r="B32" s="145">
        <v>2014</v>
      </c>
      <c r="C32" s="146" t="s">
        <v>486</v>
      </c>
      <c r="D32" s="146" t="s">
        <v>487</v>
      </c>
      <c r="E32" s="147">
        <v>6</v>
      </c>
      <c r="F32" s="129"/>
      <c r="G32" s="129" t="s">
        <v>591</v>
      </c>
      <c r="H32" s="129"/>
    </row>
  </sheetData>
  <mergeCells count="1">
    <mergeCell ref="B2:E2"/>
  </mergeCell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zoomScaleNormal="100" workbookViewId="0">
      <selection activeCell="I12" sqref="I12"/>
    </sheetView>
  </sheetViews>
  <sheetFormatPr defaultColWidth="9.140625" defaultRowHeight="15" x14ac:dyDescent="0.25"/>
  <cols>
    <col min="1" max="1" width="7.140625" style="24" bestFit="1" customWidth="1"/>
    <col min="2" max="2" width="19.140625" style="21" bestFit="1" customWidth="1"/>
    <col min="3" max="3" width="14" style="24" bestFit="1" customWidth="1"/>
    <col min="4" max="4" width="8.5703125" style="24" bestFit="1" customWidth="1"/>
    <col min="5" max="5" width="11" style="25" bestFit="1" customWidth="1"/>
    <col min="6" max="6" width="12.140625" style="26" bestFit="1" customWidth="1"/>
    <col min="7" max="7" width="9.140625" style="21" customWidth="1"/>
    <col min="8" max="8" width="10.28515625" style="21" customWidth="1"/>
    <col min="9" max="9" width="30.5703125" style="21" customWidth="1"/>
    <col min="10" max="10" width="9.140625" style="21" customWidth="1"/>
    <col min="11" max="11" width="15.85546875" style="21" bestFit="1" customWidth="1"/>
    <col min="12" max="12" width="10" style="21" customWidth="1"/>
    <col min="13" max="13" width="9.140625" style="21" customWidth="1"/>
    <col min="14" max="16384" width="9.140625" style="21"/>
  </cols>
  <sheetData>
    <row r="1" spans="1:11" x14ac:dyDescent="0.25">
      <c r="A1" s="180"/>
      <c r="B1" s="181"/>
      <c r="C1" s="181"/>
      <c r="D1" s="181"/>
      <c r="E1" s="181"/>
      <c r="F1" s="182"/>
    </row>
    <row r="2" spans="1:11" x14ac:dyDescent="0.25">
      <c r="A2" s="183"/>
      <c r="B2" s="183"/>
      <c r="C2" s="183"/>
      <c r="D2" s="183"/>
      <c r="E2" s="183"/>
      <c r="F2" s="183"/>
      <c r="H2" s="188"/>
      <c r="I2" s="188"/>
    </row>
    <row r="3" spans="1:11" ht="15.75" x14ac:dyDescent="0.25">
      <c r="A3" s="8" t="s">
        <v>36</v>
      </c>
      <c r="B3" s="2" t="s">
        <v>0</v>
      </c>
      <c r="C3" s="8" t="s">
        <v>38</v>
      </c>
      <c r="D3" s="8" t="s">
        <v>35</v>
      </c>
      <c r="E3" s="9" t="s">
        <v>34</v>
      </c>
      <c r="F3" s="10" t="s">
        <v>33</v>
      </c>
      <c r="H3" s="184" t="s">
        <v>39</v>
      </c>
      <c r="I3" s="185"/>
      <c r="K3" s="38" t="s">
        <v>70</v>
      </c>
    </row>
    <row r="4" spans="1:11" x14ac:dyDescent="0.25">
      <c r="A4" s="11">
        <v>1</v>
      </c>
      <c r="B4" s="1" t="s">
        <v>32</v>
      </c>
      <c r="C4" s="22" t="s">
        <v>21</v>
      </c>
      <c r="D4" s="11" t="s">
        <v>12</v>
      </c>
      <c r="E4" s="12">
        <v>32431</v>
      </c>
      <c r="F4" s="23">
        <v>1200</v>
      </c>
      <c r="H4" s="1" t="s">
        <v>16</v>
      </c>
      <c r="I4" s="6">
        <f>SUMIF(C4:C18,H4,F4:F18)</f>
        <v>3750</v>
      </c>
      <c r="K4" s="39" t="s">
        <v>71</v>
      </c>
    </row>
    <row r="5" spans="1:11" x14ac:dyDescent="0.25">
      <c r="A5" s="11">
        <v>2</v>
      </c>
      <c r="B5" s="1" t="s">
        <v>31</v>
      </c>
      <c r="C5" s="22" t="s">
        <v>13</v>
      </c>
      <c r="D5" s="11" t="s">
        <v>15</v>
      </c>
      <c r="E5" s="12">
        <v>33468</v>
      </c>
      <c r="F5" s="23">
        <v>1500</v>
      </c>
      <c r="H5" s="1" t="s">
        <v>21</v>
      </c>
      <c r="I5" s="6">
        <f>SUMIF(C4:C18,H5,F4:F18)</f>
        <v>4300</v>
      </c>
      <c r="K5" s="39" t="s">
        <v>72</v>
      </c>
    </row>
    <row r="6" spans="1:11" x14ac:dyDescent="0.25">
      <c r="A6" s="11">
        <v>3</v>
      </c>
      <c r="B6" s="1" t="s">
        <v>30</v>
      </c>
      <c r="C6" s="22" t="s">
        <v>21</v>
      </c>
      <c r="D6" s="11" t="s">
        <v>12</v>
      </c>
      <c r="E6" s="12">
        <v>32988</v>
      </c>
      <c r="F6" s="23">
        <v>950</v>
      </c>
      <c r="H6" s="1" t="s">
        <v>19</v>
      </c>
      <c r="I6" s="6">
        <f>SUMIF(C4:C18,H6,F4:F18)</f>
        <v>2670</v>
      </c>
    </row>
    <row r="7" spans="1:11" x14ac:dyDescent="0.25">
      <c r="A7" s="11">
        <v>4</v>
      </c>
      <c r="B7" s="1" t="s">
        <v>29</v>
      </c>
      <c r="C7" s="22" t="s">
        <v>19</v>
      </c>
      <c r="D7" s="11" t="s">
        <v>12</v>
      </c>
      <c r="E7" s="12">
        <v>33641</v>
      </c>
      <c r="F7" s="23">
        <v>840</v>
      </c>
      <c r="H7" s="1" t="s">
        <v>13</v>
      </c>
      <c r="I7" s="6">
        <f>SUMIF(C4:C18,H7,F4:F18)</f>
        <v>4930</v>
      </c>
    </row>
    <row r="8" spans="1:11" x14ac:dyDescent="0.25">
      <c r="A8" s="11">
        <v>5</v>
      </c>
      <c r="B8" s="1" t="s">
        <v>28</v>
      </c>
      <c r="C8" s="22" t="s">
        <v>13</v>
      </c>
      <c r="D8" s="11" t="s">
        <v>12</v>
      </c>
      <c r="E8" s="12">
        <v>32059</v>
      </c>
      <c r="F8" s="23">
        <v>1300</v>
      </c>
      <c r="I8" s="35"/>
    </row>
    <row r="9" spans="1:11" x14ac:dyDescent="0.25">
      <c r="A9" s="11">
        <v>6</v>
      </c>
      <c r="B9" s="1" t="s">
        <v>27</v>
      </c>
      <c r="C9" s="22" t="s">
        <v>16</v>
      </c>
      <c r="D9" s="11" t="s">
        <v>12</v>
      </c>
      <c r="E9" s="12">
        <v>33371</v>
      </c>
      <c r="F9" s="23">
        <v>1100</v>
      </c>
    </row>
    <row r="10" spans="1:11" x14ac:dyDescent="0.25">
      <c r="A10" s="11">
        <v>7</v>
      </c>
      <c r="B10" s="1" t="s">
        <v>26</v>
      </c>
      <c r="C10" s="22" t="s">
        <v>16</v>
      </c>
      <c r="D10" s="11" t="s">
        <v>15</v>
      </c>
      <c r="E10" s="12">
        <v>32891</v>
      </c>
      <c r="F10" s="23">
        <v>750</v>
      </c>
      <c r="H10" s="64"/>
      <c r="I10" s="64"/>
    </row>
    <row r="11" spans="1:11" x14ac:dyDescent="0.25">
      <c r="A11" s="11">
        <v>8</v>
      </c>
      <c r="B11" s="1" t="s">
        <v>25</v>
      </c>
      <c r="C11" s="22" t="s">
        <v>13</v>
      </c>
      <c r="D11" s="11" t="s">
        <v>15</v>
      </c>
      <c r="E11" s="12">
        <v>32343</v>
      </c>
      <c r="F11" s="23">
        <v>980</v>
      </c>
      <c r="H11" s="186" t="s">
        <v>40</v>
      </c>
      <c r="I11" s="187"/>
    </row>
    <row r="12" spans="1:11" x14ac:dyDescent="0.25">
      <c r="A12" s="11">
        <v>9</v>
      </c>
      <c r="B12" s="1" t="s">
        <v>24</v>
      </c>
      <c r="C12" s="22" t="s">
        <v>21</v>
      </c>
      <c r="D12" s="11" t="s">
        <v>12</v>
      </c>
      <c r="E12" s="12">
        <v>32984</v>
      </c>
      <c r="F12" s="23">
        <v>950</v>
      </c>
      <c r="H12" s="1" t="s">
        <v>16</v>
      </c>
      <c r="I12" s="33">
        <f>COUNTIF(C4:C18,H12)</f>
        <v>4</v>
      </c>
    </row>
    <row r="13" spans="1:11" x14ac:dyDescent="0.25">
      <c r="A13" s="11">
        <v>10</v>
      </c>
      <c r="B13" s="1" t="s">
        <v>23</v>
      </c>
      <c r="C13" s="22" t="s">
        <v>19</v>
      </c>
      <c r="D13" s="11" t="s">
        <v>15</v>
      </c>
      <c r="E13" s="12">
        <v>33496</v>
      </c>
      <c r="F13" s="23">
        <v>830</v>
      </c>
      <c r="H13" s="1" t="s">
        <v>21</v>
      </c>
      <c r="I13" s="33">
        <f t="shared" ref="I13:I15" si="0">COUNTIF(C5:C19,H13)</f>
        <v>3</v>
      </c>
    </row>
    <row r="14" spans="1:11" x14ac:dyDescent="0.25">
      <c r="A14" s="11">
        <v>11</v>
      </c>
      <c r="B14" s="1" t="s">
        <v>22</v>
      </c>
      <c r="C14" s="22" t="s">
        <v>21</v>
      </c>
      <c r="D14" s="11" t="s">
        <v>15</v>
      </c>
      <c r="E14" s="12">
        <v>32669</v>
      </c>
      <c r="F14" s="23">
        <v>1200</v>
      </c>
      <c r="H14" s="1" t="s">
        <v>19</v>
      </c>
      <c r="I14" s="33">
        <f t="shared" si="0"/>
        <v>3</v>
      </c>
    </row>
    <row r="15" spans="1:11" x14ac:dyDescent="0.25">
      <c r="A15" s="11">
        <v>12</v>
      </c>
      <c r="B15" s="1" t="s">
        <v>20</v>
      </c>
      <c r="C15" s="22" t="s">
        <v>19</v>
      </c>
      <c r="D15" s="11" t="s">
        <v>15</v>
      </c>
      <c r="E15" s="12">
        <v>33068</v>
      </c>
      <c r="F15" s="23">
        <v>1000</v>
      </c>
      <c r="H15" s="1" t="s">
        <v>13</v>
      </c>
      <c r="I15" s="33">
        <f t="shared" si="0"/>
        <v>3</v>
      </c>
    </row>
    <row r="16" spans="1:11" x14ac:dyDescent="0.25">
      <c r="A16" s="11">
        <v>13</v>
      </c>
      <c r="B16" s="1" t="s">
        <v>18</v>
      </c>
      <c r="C16" s="22" t="s">
        <v>16</v>
      </c>
      <c r="D16" s="11" t="s">
        <v>12</v>
      </c>
      <c r="E16" s="12">
        <v>33098</v>
      </c>
      <c r="F16" s="23">
        <v>900</v>
      </c>
      <c r="I16" s="34"/>
    </row>
    <row r="17" spans="1:9" x14ac:dyDescent="0.25">
      <c r="A17" s="11">
        <v>14</v>
      </c>
      <c r="B17" s="1" t="s">
        <v>17</v>
      </c>
      <c r="C17" s="22" t="s">
        <v>16</v>
      </c>
      <c r="D17" s="11" t="s">
        <v>15</v>
      </c>
      <c r="E17" s="12">
        <v>34894</v>
      </c>
      <c r="F17" s="23">
        <v>1000</v>
      </c>
      <c r="I17" s="34"/>
    </row>
    <row r="18" spans="1:9" x14ac:dyDescent="0.25">
      <c r="A18" s="11">
        <v>15</v>
      </c>
      <c r="B18" s="1" t="s">
        <v>14</v>
      </c>
      <c r="C18" s="22" t="s">
        <v>13</v>
      </c>
      <c r="D18" s="11" t="s">
        <v>12</v>
      </c>
      <c r="E18" s="12">
        <v>34270</v>
      </c>
      <c r="F18" s="23">
        <v>1150</v>
      </c>
      <c r="I18" s="34"/>
    </row>
    <row r="19" spans="1:9" x14ac:dyDescent="0.25">
      <c r="I19" s="34"/>
    </row>
  </sheetData>
  <mergeCells count="5">
    <mergeCell ref="A1:F1"/>
    <mergeCell ref="A2:F2"/>
    <mergeCell ref="H3:I3"/>
    <mergeCell ref="H11:I11"/>
    <mergeCell ref="H2: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showGridLines="0" zoomScale="85" zoomScaleNormal="85" workbookViewId="0">
      <selection activeCell="H23" sqref="H23"/>
    </sheetView>
  </sheetViews>
  <sheetFormatPr defaultColWidth="0" defaultRowHeight="15" x14ac:dyDescent="0.25"/>
  <cols>
    <col min="1" max="1" width="15.85546875" bestFit="1" customWidth="1"/>
    <col min="2" max="2" width="12" bestFit="1" customWidth="1"/>
    <col min="3" max="3" width="23.42578125" bestFit="1" customWidth="1"/>
    <col min="4" max="4" width="21.5703125" bestFit="1" customWidth="1"/>
    <col min="5" max="5" width="15.85546875" bestFit="1" customWidth="1"/>
    <col min="6" max="6" width="20.28515625" bestFit="1" customWidth="1"/>
    <col min="7" max="7" width="9.140625" customWidth="1"/>
    <col min="8" max="8" width="21.140625" bestFit="1" customWidth="1"/>
    <col min="9" max="9" width="20.28515625" bestFit="1" customWidth="1"/>
    <col min="10" max="10" width="20.42578125" bestFit="1" customWidth="1"/>
    <col min="11" max="11" width="16" bestFit="1" customWidth="1"/>
    <col min="12" max="12" width="15.42578125" bestFit="1" customWidth="1"/>
    <col min="13" max="13" width="9.28515625" bestFit="1" customWidth="1"/>
    <col min="14" max="14" width="15.85546875" bestFit="1" customWidth="1"/>
    <col min="15" max="15" width="9.140625" customWidth="1"/>
    <col min="16" max="16" width="0" hidden="1" customWidth="1"/>
    <col min="17" max="16384" width="9.140625" hidden="1"/>
  </cols>
  <sheetData>
    <row r="1" spans="1:12" s="40" customFormat="1" ht="18.75" x14ac:dyDescent="0.25">
      <c r="A1" s="190" t="s">
        <v>73</v>
      </c>
      <c r="B1" s="190"/>
      <c r="C1" s="190"/>
      <c r="D1" s="190"/>
      <c r="E1" s="190"/>
      <c r="F1" s="190"/>
      <c r="I1"/>
      <c r="J1"/>
      <c r="K1"/>
    </row>
    <row r="2" spans="1:12" ht="31.5" x14ac:dyDescent="0.25">
      <c r="A2" s="50" t="s">
        <v>100</v>
      </c>
      <c r="B2" s="51" t="s">
        <v>41</v>
      </c>
      <c r="C2" s="50" t="s">
        <v>43</v>
      </c>
      <c r="D2" s="50" t="s">
        <v>44</v>
      </c>
      <c r="E2" s="51" t="s">
        <v>42</v>
      </c>
      <c r="F2" s="50" t="s">
        <v>68</v>
      </c>
      <c r="H2" s="50" t="s">
        <v>70</v>
      </c>
    </row>
    <row r="3" spans="1:12" x14ac:dyDescent="0.25">
      <c r="A3" s="44" t="s">
        <v>57</v>
      </c>
      <c r="B3" s="44" t="s">
        <v>47</v>
      </c>
      <c r="C3" s="44">
        <v>354</v>
      </c>
      <c r="D3" s="44">
        <v>7</v>
      </c>
      <c r="E3" s="45">
        <v>1330575</v>
      </c>
      <c r="F3" s="44">
        <v>1695</v>
      </c>
      <c r="H3" s="39" t="s">
        <v>71</v>
      </c>
    </row>
    <row r="4" spans="1:12" x14ac:dyDescent="0.25">
      <c r="A4" s="44" t="s">
        <v>63</v>
      </c>
      <c r="B4" s="44" t="s">
        <v>47</v>
      </c>
      <c r="C4" s="46">
        <v>190</v>
      </c>
      <c r="D4" s="46">
        <v>42</v>
      </c>
      <c r="E4" s="45">
        <v>513390</v>
      </c>
      <c r="F4" s="46">
        <v>732</v>
      </c>
      <c r="H4" s="39" t="s">
        <v>72</v>
      </c>
    </row>
    <row r="5" spans="1:12" x14ac:dyDescent="0.25">
      <c r="A5" s="44" t="s">
        <v>53</v>
      </c>
      <c r="B5" s="44" t="s">
        <v>46</v>
      </c>
      <c r="C5" s="46">
        <v>194</v>
      </c>
      <c r="D5" s="46">
        <v>11</v>
      </c>
      <c r="E5" s="45">
        <v>626430</v>
      </c>
      <c r="F5" s="46">
        <v>798</v>
      </c>
    </row>
    <row r="6" spans="1:12" x14ac:dyDescent="0.25">
      <c r="A6" s="44" t="s">
        <v>62</v>
      </c>
      <c r="B6" s="44" t="s">
        <v>46</v>
      </c>
      <c r="C6" s="46">
        <v>145</v>
      </c>
      <c r="D6" s="46">
        <v>25</v>
      </c>
      <c r="E6" s="45">
        <v>619365</v>
      </c>
      <c r="F6" s="46">
        <v>789</v>
      </c>
    </row>
    <row r="7" spans="1:12" ht="15.75" x14ac:dyDescent="0.25">
      <c r="A7" s="44" t="s">
        <v>59</v>
      </c>
      <c r="B7" s="44" t="s">
        <v>46</v>
      </c>
      <c r="C7" s="46">
        <v>129</v>
      </c>
      <c r="D7" s="46">
        <v>32</v>
      </c>
      <c r="E7" s="45">
        <v>545575</v>
      </c>
      <c r="F7" s="46">
        <v>695</v>
      </c>
      <c r="H7" s="189" t="s">
        <v>74</v>
      </c>
      <c r="I7" s="189"/>
    </row>
    <row r="8" spans="1:12" ht="31.5" x14ac:dyDescent="0.25">
      <c r="A8" s="44" t="s">
        <v>51</v>
      </c>
      <c r="B8" s="44" t="s">
        <v>46</v>
      </c>
      <c r="C8" s="44">
        <v>137</v>
      </c>
      <c r="D8" s="44">
        <v>26</v>
      </c>
      <c r="E8" s="45">
        <v>357960</v>
      </c>
      <c r="F8" s="44">
        <v>456</v>
      </c>
      <c r="H8" s="50" t="s">
        <v>69</v>
      </c>
      <c r="I8" s="51" t="s">
        <v>68</v>
      </c>
      <c r="J8" s="50" t="s">
        <v>99</v>
      </c>
      <c r="K8" s="51" t="s">
        <v>42</v>
      </c>
      <c r="L8" s="50" t="s">
        <v>98</v>
      </c>
    </row>
    <row r="9" spans="1:12" x14ac:dyDescent="0.25">
      <c r="A9" s="44" t="s">
        <v>55</v>
      </c>
      <c r="B9" s="44" t="s">
        <v>46</v>
      </c>
      <c r="C9" s="46">
        <v>18</v>
      </c>
      <c r="D9" s="46">
        <v>23</v>
      </c>
      <c r="E9" s="45">
        <v>69865</v>
      </c>
      <c r="F9" s="46">
        <v>89</v>
      </c>
      <c r="H9" s="36" t="s">
        <v>47</v>
      </c>
      <c r="I9" s="36">
        <f>SUMIF($B$3:$B$20,H9,$F$3:$F$20)</f>
        <v>2427</v>
      </c>
      <c r="J9" s="36">
        <f>SUMIF($B$3:$B$20,H9,$D$3:$D$20)</f>
        <v>49</v>
      </c>
      <c r="K9" s="37">
        <f>SUMIF($B$3:$B$20,H9,$E$3:$E$20)</f>
        <v>1843965</v>
      </c>
      <c r="L9" s="36">
        <f>COUNTIF($B$3:$B$20,H9)</f>
        <v>2</v>
      </c>
    </row>
    <row r="10" spans="1:12" x14ac:dyDescent="0.25">
      <c r="A10" s="44" t="s">
        <v>61</v>
      </c>
      <c r="B10" s="44" t="s">
        <v>49</v>
      </c>
      <c r="C10" s="46">
        <v>184</v>
      </c>
      <c r="D10" s="46">
        <v>1</v>
      </c>
      <c r="E10" s="45">
        <v>513390</v>
      </c>
      <c r="F10" s="46">
        <v>654</v>
      </c>
      <c r="H10" s="36" t="s">
        <v>46</v>
      </c>
      <c r="I10" s="36">
        <f t="shared" ref="I10:I15" si="0">SUMIF($B$3:$B$20,H10,$F$3:$F$20)</f>
        <v>2827</v>
      </c>
      <c r="J10" s="36">
        <f t="shared" ref="J10:J15" si="1">SUMIF($B$3:$B$20,H10,$D$3:$D$20)</f>
        <v>117</v>
      </c>
      <c r="K10" s="37">
        <f t="shared" ref="K10:K15" si="2">SUMIF($B$3:$B$20,H10,$E$3:$E$20)</f>
        <v>2219195</v>
      </c>
      <c r="L10" s="36">
        <f t="shared" ref="L10:L15" si="3">COUNTIF($B$3:$B$20,H10)</f>
        <v>5</v>
      </c>
    </row>
    <row r="11" spans="1:12" x14ac:dyDescent="0.25">
      <c r="A11" s="44" t="s">
        <v>65</v>
      </c>
      <c r="B11" s="44" t="s">
        <v>48</v>
      </c>
      <c r="C11" s="46">
        <v>335</v>
      </c>
      <c r="D11" s="46">
        <v>31</v>
      </c>
      <c r="E11" s="45">
        <v>874490</v>
      </c>
      <c r="F11" s="46">
        <v>1114</v>
      </c>
      <c r="H11" s="36" t="s">
        <v>49</v>
      </c>
      <c r="I11" s="36">
        <f t="shared" si="0"/>
        <v>654</v>
      </c>
      <c r="J11" s="36">
        <f t="shared" si="1"/>
        <v>1</v>
      </c>
      <c r="K11" s="37">
        <f t="shared" si="2"/>
        <v>513390</v>
      </c>
      <c r="L11" s="36">
        <f t="shared" si="3"/>
        <v>1</v>
      </c>
    </row>
    <row r="12" spans="1:12" x14ac:dyDescent="0.25">
      <c r="A12" s="44" t="s">
        <v>56</v>
      </c>
      <c r="B12" s="44" t="s">
        <v>48</v>
      </c>
      <c r="C12" s="46">
        <v>231</v>
      </c>
      <c r="D12" s="46">
        <v>9</v>
      </c>
      <c r="E12" s="45">
        <v>863500</v>
      </c>
      <c r="F12" s="46">
        <v>1100</v>
      </c>
      <c r="H12" s="36" t="s">
        <v>48</v>
      </c>
      <c r="I12" s="36">
        <f t="shared" si="0"/>
        <v>2214</v>
      </c>
      <c r="J12" s="36">
        <f t="shared" si="1"/>
        <v>40</v>
      </c>
      <c r="K12" s="37">
        <f t="shared" si="2"/>
        <v>1737990</v>
      </c>
      <c r="L12" s="36">
        <f t="shared" si="3"/>
        <v>2</v>
      </c>
    </row>
    <row r="13" spans="1:12" x14ac:dyDescent="0.25">
      <c r="A13" s="44" t="s">
        <v>54</v>
      </c>
      <c r="B13" s="44" t="s">
        <v>15</v>
      </c>
      <c r="C13" s="46">
        <v>300</v>
      </c>
      <c r="D13" s="46">
        <v>10</v>
      </c>
      <c r="E13" s="45">
        <v>1142960</v>
      </c>
      <c r="F13" s="46">
        <v>1456</v>
      </c>
      <c r="H13" s="36" t="s">
        <v>15</v>
      </c>
      <c r="I13" s="36">
        <f t="shared" si="0"/>
        <v>2977</v>
      </c>
      <c r="J13" s="36">
        <f t="shared" si="1"/>
        <v>74</v>
      </c>
      <c r="K13" s="37">
        <f t="shared" si="2"/>
        <v>2336945</v>
      </c>
      <c r="L13" s="36">
        <f t="shared" si="3"/>
        <v>3</v>
      </c>
    </row>
    <row r="14" spans="1:12" x14ac:dyDescent="0.25">
      <c r="A14" s="44" t="s">
        <v>64</v>
      </c>
      <c r="B14" s="44" t="s">
        <v>15</v>
      </c>
      <c r="C14" s="46">
        <v>379</v>
      </c>
      <c r="D14" s="46">
        <v>41</v>
      </c>
      <c r="E14" s="45">
        <v>970260</v>
      </c>
      <c r="F14" s="46">
        <v>1236</v>
      </c>
      <c r="H14" s="36" t="s">
        <v>45</v>
      </c>
      <c r="I14" s="36">
        <f t="shared" si="0"/>
        <v>2963</v>
      </c>
      <c r="J14" s="36">
        <f t="shared" si="1"/>
        <v>148</v>
      </c>
      <c r="K14" s="37">
        <f t="shared" si="2"/>
        <v>2328244</v>
      </c>
      <c r="L14" s="36">
        <f t="shared" si="3"/>
        <v>4</v>
      </c>
    </row>
    <row r="15" spans="1:12" x14ac:dyDescent="0.25">
      <c r="A15" s="44" t="s">
        <v>66</v>
      </c>
      <c r="B15" s="44" t="s">
        <v>15</v>
      </c>
      <c r="C15" s="46">
        <v>49</v>
      </c>
      <c r="D15" s="46">
        <v>23</v>
      </c>
      <c r="E15" s="45">
        <v>223725</v>
      </c>
      <c r="F15" s="46">
        <v>285</v>
      </c>
      <c r="H15" s="36" t="s">
        <v>12</v>
      </c>
      <c r="I15" s="36">
        <f t="shared" si="0"/>
        <v>985</v>
      </c>
      <c r="J15" s="36">
        <f t="shared" si="1"/>
        <v>14</v>
      </c>
      <c r="K15" s="37">
        <f t="shared" si="2"/>
        <v>773225</v>
      </c>
      <c r="L15" s="36">
        <f t="shared" si="3"/>
        <v>1</v>
      </c>
    </row>
    <row r="16" spans="1:12" x14ac:dyDescent="0.25">
      <c r="A16" s="44" t="s">
        <v>58</v>
      </c>
      <c r="B16" s="44" t="s">
        <v>45</v>
      </c>
      <c r="C16" s="46">
        <v>340</v>
      </c>
      <c r="D16" s="46">
        <v>45</v>
      </c>
      <c r="E16" s="45">
        <v>1168865</v>
      </c>
      <c r="F16" s="46">
        <v>1489</v>
      </c>
    </row>
    <row r="17" spans="1:6" x14ac:dyDescent="0.25">
      <c r="A17" s="44" t="s">
        <v>60</v>
      </c>
      <c r="B17" s="44" t="s">
        <v>45</v>
      </c>
      <c r="C17" s="46">
        <v>304</v>
      </c>
      <c r="D17" s="46">
        <v>48</v>
      </c>
      <c r="E17" s="45">
        <v>967905</v>
      </c>
      <c r="F17" s="46">
        <v>1233</v>
      </c>
    </row>
    <row r="18" spans="1:6" x14ac:dyDescent="0.25">
      <c r="A18" s="44" t="s">
        <v>52</v>
      </c>
      <c r="B18" s="44" t="s">
        <v>45</v>
      </c>
      <c r="C18" s="46">
        <v>20</v>
      </c>
      <c r="D18" s="46">
        <v>12</v>
      </c>
      <c r="E18" s="45">
        <v>98910</v>
      </c>
      <c r="F18" s="46">
        <v>126</v>
      </c>
    </row>
    <row r="19" spans="1:6" x14ac:dyDescent="0.25">
      <c r="A19" s="44" t="s">
        <v>67</v>
      </c>
      <c r="B19" s="44" t="s">
        <v>45</v>
      </c>
      <c r="C19" s="46">
        <v>20</v>
      </c>
      <c r="D19" s="46">
        <v>43</v>
      </c>
      <c r="E19" s="45">
        <v>92564</v>
      </c>
      <c r="F19" s="46">
        <v>115</v>
      </c>
    </row>
    <row r="20" spans="1:6" x14ac:dyDescent="0.25">
      <c r="A20" s="44" t="s">
        <v>50</v>
      </c>
      <c r="B20" s="44" t="s">
        <v>12</v>
      </c>
      <c r="C20" s="46">
        <v>195</v>
      </c>
      <c r="D20" s="46">
        <v>14</v>
      </c>
      <c r="E20" s="45">
        <v>773225</v>
      </c>
      <c r="F20" s="46">
        <v>985</v>
      </c>
    </row>
  </sheetData>
  <mergeCells count="2">
    <mergeCell ref="H7:I7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956B-73EC-4FF4-B132-28C6BACAC12A}">
  <dimension ref="A1:I33"/>
  <sheetViews>
    <sheetView topLeftCell="A7" workbookViewId="0">
      <selection activeCell="F26" sqref="F26"/>
    </sheetView>
  </sheetViews>
  <sheetFormatPr defaultRowHeight="15" x14ac:dyDescent="0.25"/>
  <cols>
    <col min="1" max="1" width="8.140625" style="84" bestFit="1" customWidth="1"/>
    <col min="2" max="2" width="19" style="84" bestFit="1" customWidth="1"/>
    <col min="3" max="3" width="14.28515625" style="84" bestFit="1" customWidth="1"/>
    <col min="4" max="4" width="14.85546875" style="84" bestFit="1" customWidth="1"/>
    <col min="5" max="5" width="22.85546875" style="84" customWidth="1"/>
    <col min="6" max="6" width="30" style="84" customWidth="1"/>
    <col min="7" max="7" width="33.42578125" style="84" customWidth="1"/>
    <col min="8" max="8" width="15.140625" style="84" customWidth="1"/>
    <col min="9" max="256" width="9.140625" style="84"/>
    <col min="257" max="257" width="8.140625" style="84" bestFit="1" customWidth="1"/>
    <col min="258" max="258" width="19" style="84" bestFit="1" customWidth="1"/>
    <col min="259" max="259" width="14.28515625" style="84" bestFit="1" customWidth="1"/>
    <col min="260" max="260" width="14.85546875" style="84" bestFit="1" customWidth="1"/>
    <col min="261" max="261" width="22.42578125" style="84" customWidth="1"/>
    <col min="262" max="263" width="19.42578125" style="84" bestFit="1" customWidth="1"/>
    <col min="264" max="264" width="15.140625" style="84" customWidth="1"/>
    <col min="265" max="512" width="9.140625" style="84"/>
    <col min="513" max="513" width="8.140625" style="84" bestFit="1" customWidth="1"/>
    <col min="514" max="514" width="19" style="84" bestFit="1" customWidth="1"/>
    <col min="515" max="515" width="14.28515625" style="84" bestFit="1" customWidth="1"/>
    <col min="516" max="516" width="14.85546875" style="84" bestFit="1" customWidth="1"/>
    <col min="517" max="517" width="22.42578125" style="84" customWidth="1"/>
    <col min="518" max="519" width="19.42578125" style="84" bestFit="1" customWidth="1"/>
    <col min="520" max="520" width="15.140625" style="84" customWidth="1"/>
    <col min="521" max="768" width="9.140625" style="84"/>
    <col min="769" max="769" width="8.140625" style="84" bestFit="1" customWidth="1"/>
    <col min="770" max="770" width="19" style="84" bestFit="1" customWidth="1"/>
    <col min="771" max="771" width="14.28515625" style="84" bestFit="1" customWidth="1"/>
    <col min="772" max="772" width="14.85546875" style="84" bestFit="1" customWidth="1"/>
    <col min="773" max="773" width="22.42578125" style="84" customWidth="1"/>
    <col min="774" max="775" width="19.42578125" style="84" bestFit="1" customWidth="1"/>
    <col min="776" max="776" width="15.140625" style="84" customWidth="1"/>
    <col min="777" max="1024" width="9.140625" style="84"/>
    <col min="1025" max="1025" width="8.140625" style="84" bestFit="1" customWidth="1"/>
    <col min="1026" max="1026" width="19" style="84" bestFit="1" customWidth="1"/>
    <col min="1027" max="1027" width="14.28515625" style="84" bestFit="1" customWidth="1"/>
    <col min="1028" max="1028" width="14.85546875" style="84" bestFit="1" customWidth="1"/>
    <col min="1029" max="1029" width="22.42578125" style="84" customWidth="1"/>
    <col min="1030" max="1031" width="19.42578125" style="84" bestFit="1" customWidth="1"/>
    <col min="1032" max="1032" width="15.140625" style="84" customWidth="1"/>
    <col min="1033" max="1280" width="9.140625" style="84"/>
    <col min="1281" max="1281" width="8.140625" style="84" bestFit="1" customWidth="1"/>
    <col min="1282" max="1282" width="19" style="84" bestFit="1" customWidth="1"/>
    <col min="1283" max="1283" width="14.28515625" style="84" bestFit="1" customWidth="1"/>
    <col min="1284" max="1284" width="14.85546875" style="84" bestFit="1" customWidth="1"/>
    <col min="1285" max="1285" width="22.42578125" style="84" customWidth="1"/>
    <col min="1286" max="1287" width="19.42578125" style="84" bestFit="1" customWidth="1"/>
    <col min="1288" max="1288" width="15.140625" style="84" customWidth="1"/>
    <col min="1289" max="1536" width="9.140625" style="84"/>
    <col min="1537" max="1537" width="8.140625" style="84" bestFit="1" customWidth="1"/>
    <col min="1538" max="1538" width="19" style="84" bestFit="1" customWidth="1"/>
    <col min="1539" max="1539" width="14.28515625" style="84" bestFit="1" customWidth="1"/>
    <col min="1540" max="1540" width="14.85546875" style="84" bestFit="1" customWidth="1"/>
    <col min="1541" max="1541" width="22.42578125" style="84" customWidth="1"/>
    <col min="1542" max="1543" width="19.42578125" style="84" bestFit="1" customWidth="1"/>
    <col min="1544" max="1544" width="15.140625" style="84" customWidth="1"/>
    <col min="1545" max="1792" width="9.140625" style="84"/>
    <col min="1793" max="1793" width="8.140625" style="84" bestFit="1" customWidth="1"/>
    <col min="1794" max="1794" width="19" style="84" bestFit="1" customWidth="1"/>
    <col min="1795" max="1795" width="14.28515625" style="84" bestFit="1" customWidth="1"/>
    <col min="1796" max="1796" width="14.85546875" style="84" bestFit="1" customWidth="1"/>
    <col min="1797" max="1797" width="22.42578125" style="84" customWidth="1"/>
    <col min="1798" max="1799" width="19.42578125" style="84" bestFit="1" customWidth="1"/>
    <col min="1800" max="1800" width="15.140625" style="84" customWidth="1"/>
    <col min="1801" max="2048" width="9.140625" style="84"/>
    <col min="2049" max="2049" width="8.140625" style="84" bestFit="1" customWidth="1"/>
    <col min="2050" max="2050" width="19" style="84" bestFit="1" customWidth="1"/>
    <col min="2051" max="2051" width="14.28515625" style="84" bestFit="1" customWidth="1"/>
    <col min="2052" max="2052" width="14.85546875" style="84" bestFit="1" customWidth="1"/>
    <col min="2053" max="2053" width="22.42578125" style="84" customWidth="1"/>
    <col min="2054" max="2055" width="19.42578125" style="84" bestFit="1" customWidth="1"/>
    <col min="2056" max="2056" width="15.140625" style="84" customWidth="1"/>
    <col min="2057" max="2304" width="9.140625" style="84"/>
    <col min="2305" max="2305" width="8.140625" style="84" bestFit="1" customWidth="1"/>
    <col min="2306" max="2306" width="19" style="84" bestFit="1" customWidth="1"/>
    <col min="2307" max="2307" width="14.28515625" style="84" bestFit="1" customWidth="1"/>
    <col min="2308" max="2308" width="14.85546875" style="84" bestFit="1" customWidth="1"/>
    <col min="2309" max="2309" width="22.42578125" style="84" customWidth="1"/>
    <col min="2310" max="2311" width="19.42578125" style="84" bestFit="1" customWidth="1"/>
    <col min="2312" max="2312" width="15.140625" style="84" customWidth="1"/>
    <col min="2313" max="2560" width="9.140625" style="84"/>
    <col min="2561" max="2561" width="8.140625" style="84" bestFit="1" customWidth="1"/>
    <col min="2562" max="2562" width="19" style="84" bestFit="1" customWidth="1"/>
    <col min="2563" max="2563" width="14.28515625" style="84" bestFit="1" customWidth="1"/>
    <col min="2564" max="2564" width="14.85546875" style="84" bestFit="1" customWidth="1"/>
    <col min="2565" max="2565" width="22.42578125" style="84" customWidth="1"/>
    <col min="2566" max="2567" width="19.42578125" style="84" bestFit="1" customWidth="1"/>
    <col min="2568" max="2568" width="15.140625" style="84" customWidth="1"/>
    <col min="2569" max="2816" width="9.140625" style="84"/>
    <col min="2817" max="2817" width="8.140625" style="84" bestFit="1" customWidth="1"/>
    <col min="2818" max="2818" width="19" style="84" bestFit="1" customWidth="1"/>
    <col min="2819" max="2819" width="14.28515625" style="84" bestFit="1" customWidth="1"/>
    <col min="2820" max="2820" width="14.85546875" style="84" bestFit="1" customWidth="1"/>
    <col min="2821" max="2821" width="22.42578125" style="84" customWidth="1"/>
    <col min="2822" max="2823" width="19.42578125" style="84" bestFit="1" customWidth="1"/>
    <col min="2824" max="2824" width="15.140625" style="84" customWidth="1"/>
    <col min="2825" max="3072" width="9.140625" style="84"/>
    <col min="3073" max="3073" width="8.140625" style="84" bestFit="1" customWidth="1"/>
    <col min="3074" max="3074" width="19" style="84" bestFit="1" customWidth="1"/>
    <col min="3075" max="3075" width="14.28515625" style="84" bestFit="1" customWidth="1"/>
    <col min="3076" max="3076" width="14.85546875" style="84" bestFit="1" customWidth="1"/>
    <col min="3077" max="3077" width="22.42578125" style="84" customWidth="1"/>
    <col min="3078" max="3079" width="19.42578125" style="84" bestFit="1" customWidth="1"/>
    <col min="3080" max="3080" width="15.140625" style="84" customWidth="1"/>
    <col min="3081" max="3328" width="9.140625" style="84"/>
    <col min="3329" max="3329" width="8.140625" style="84" bestFit="1" customWidth="1"/>
    <col min="3330" max="3330" width="19" style="84" bestFit="1" customWidth="1"/>
    <col min="3331" max="3331" width="14.28515625" style="84" bestFit="1" customWidth="1"/>
    <col min="3332" max="3332" width="14.85546875" style="84" bestFit="1" customWidth="1"/>
    <col min="3333" max="3333" width="22.42578125" style="84" customWidth="1"/>
    <col min="3334" max="3335" width="19.42578125" style="84" bestFit="1" customWidth="1"/>
    <col min="3336" max="3336" width="15.140625" style="84" customWidth="1"/>
    <col min="3337" max="3584" width="9.140625" style="84"/>
    <col min="3585" max="3585" width="8.140625" style="84" bestFit="1" customWidth="1"/>
    <col min="3586" max="3586" width="19" style="84" bestFit="1" customWidth="1"/>
    <col min="3587" max="3587" width="14.28515625" style="84" bestFit="1" customWidth="1"/>
    <col min="3588" max="3588" width="14.85546875" style="84" bestFit="1" customWidth="1"/>
    <col min="3589" max="3589" width="22.42578125" style="84" customWidth="1"/>
    <col min="3590" max="3591" width="19.42578125" style="84" bestFit="1" customWidth="1"/>
    <col min="3592" max="3592" width="15.140625" style="84" customWidth="1"/>
    <col min="3593" max="3840" width="9.140625" style="84"/>
    <col min="3841" max="3841" width="8.140625" style="84" bestFit="1" customWidth="1"/>
    <col min="3842" max="3842" width="19" style="84" bestFit="1" customWidth="1"/>
    <col min="3843" max="3843" width="14.28515625" style="84" bestFit="1" customWidth="1"/>
    <col min="3844" max="3844" width="14.85546875" style="84" bestFit="1" customWidth="1"/>
    <col min="3845" max="3845" width="22.42578125" style="84" customWidth="1"/>
    <col min="3846" max="3847" width="19.42578125" style="84" bestFit="1" customWidth="1"/>
    <col min="3848" max="3848" width="15.140625" style="84" customWidth="1"/>
    <col min="3849" max="4096" width="9.140625" style="84"/>
    <col min="4097" max="4097" width="8.140625" style="84" bestFit="1" customWidth="1"/>
    <col min="4098" max="4098" width="19" style="84" bestFit="1" customWidth="1"/>
    <col min="4099" max="4099" width="14.28515625" style="84" bestFit="1" customWidth="1"/>
    <col min="4100" max="4100" width="14.85546875" style="84" bestFit="1" customWidth="1"/>
    <col min="4101" max="4101" width="22.42578125" style="84" customWidth="1"/>
    <col min="4102" max="4103" width="19.42578125" style="84" bestFit="1" customWidth="1"/>
    <col min="4104" max="4104" width="15.140625" style="84" customWidth="1"/>
    <col min="4105" max="4352" width="9.140625" style="84"/>
    <col min="4353" max="4353" width="8.140625" style="84" bestFit="1" customWidth="1"/>
    <col min="4354" max="4354" width="19" style="84" bestFit="1" customWidth="1"/>
    <col min="4355" max="4355" width="14.28515625" style="84" bestFit="1" customWidth="1"/>
    <col min="4356" max="4356" width="14.85546875" style="84" bestFit="1" customWidth="1"/>
    <col min="4357" max="4357" width="22.42578125" style="84" customWidth="1"/>
    <col min="4358" max="4359" width="19.42578125" style="84" bestFit="1" customWidth="1"/>
    <col min="4360" max="4360" width="15.140625" style="84" customWidth="1"/>
    <col min="4361" max="4608" width="9.140625" style="84"/>
    <col min="4609" max="4609" width="8.140625" style="84" bestFit="1" customWidth="1"/>
    <col min="4610" max="4610" width="19" style="84" bestFit="1" customWidth="1"/>
    <col min="4611" max="4611" width="14.28515625" style="84" bestFit="1" customWidth="1"/>
    <col min="4612" max="4612" width="14.85546875" style="84" bestFit="1" customWidth="1"/>
    <col min="4613" max="4613" width="22.42578125" style="84" customWidth="1"/>
    <col min="4614" max="4615" width="19.42578125" style="84" bestFit="1" customWidth="1"/>
    <col min="4616" max="4616" width="15.140625" style="84" customWidth="1"/>
    <col min="4617" max="4864" width="9.140625" style="84"/>
    <col min="4865" max="4865" width="8.140625" style="84" bestFit="1" customWidth="1"/>
    <col min="4866" max="4866" width="19" style="84" bestFit="1" customWidth="1"/>
    <col min="4867" max="4867" width="14.28515625" style="84" bestFit="1" customWidth="1"/>
    <col min="4868" max="4868" width="14.85546875" style="84" bestFit="1" customWidth="1"/>
    <col min="4869" max="4869" width="22.42578125" style="84" customWidth="1"/>
    <col min="4870" max="4871" width="19.42578125" style="84" bestFit="1" customWidth="1"/>
    <col min="4872" max="4872" width="15.140625" style="84" customWidth="1"/>
    <col min="4873" max="5120" width="9.140625" style="84"/>
    <col min="5121" max="5121" width="8.140625" style="84" bestFit="1" customWidth="1"/>
    <col min="5122" max="5122" width="19" style="84" bestFit="1" customWidth="1"/>
    <col min="5123" max="5123" width="14.28515625" style="84" bestFit="1" customWidth="1"/>
    <col min="5124" max="5124" width="14.85546875" style="84" bestFit="1" customWidth="1"/>
    <col min="5125" max="5125" width="22.42578125" style="84" customWidth="1"/>
    <col min="5126" max="5127" width="19.42578125" style="84" bestFit="1" customWidth="1"/>
    <col min="5128" max="5128" width="15.140625" style="84" customWidth="1"/>
    <col min="5129" max="5376" width="9.140625" style="84"/>
    <col min="5377" max="5377" width="8.140625" style="84" bestFit="1" customWidth="1"/>
    <col min="5378" max="5378" width="19" style="84" bestFit="1" customWidth="1"/>
    <col min="5379" max="5379" width="14.28515625" style="84" bestFit="1" customWidth="1"/>
    <col min="5380" max="5380" width="14.85546875" style="84" bestFit="1" customWidth="1"/>
    <col min="5381" max="5381" width="22.42578125" style="84" customWidth="1"/>
    <col min="5382" max="5383" width="19.42578125" style="84" bestFit="1" customWidth="1"/>
    <col min="5384" max="5384" width="15.140625" style="84" customWidth="1"/>
    <col min="5385" max="5632" width="9.140625" style="84"/>
    <col min="5633" max="5633" width="8.140625" style="84" bestFit="1" customWidth="1"/>
    <col min="5634" max="5634" width="19" style="84" bestFit="1" customWidth="1"/>
    <col min="5635" max="5635" width="14.28515625" style="84" bestFit="1" customWidth="1"/>
    <col min="5636" max="5636" width="14.85546875" style="84" bestFit="1" customWidth="1"/>
    <col min="5637" max="5637" width="22.42578125" style="84" customWidth="1"/>
    <col min="5638" max="5639" width="19.42578125" style="84" bestFit="1" customWidth="1"/>
    <col min="5640" max="5640" width="15.140625" style="84" customWidth="1"/>
    <col min="5641" max="5888" width="9.140625" style="84"/>
    <col min="5889" max="5889" width="8.140625" style="84" bestFit="1" customWidth="1"/>
    <col min="5890" max="5890" width="19" style="84" bestFit="1" customWidth="1"/>
    <col min="5891" max="5891" width="14.28515625" style="84" bestFit="1" customWidth="1"/>
    <col min="5892" max="5892" width="14.85546875" style="84" bestFit="1" customWidth="1"/>
    <col min="5893" max="5893" width="22.42578125" style="84" customWidth="1"/>
    <col min="5894" max="5895" width="19.42578125" style="84" bestFit="1" customWidth="1"/>
    <col min="5896" max="5896" width="15.140625" style="84" customWidth="1"/>
    <col min="5897" max="6144" width="9.140625" style="84"/>
    <col min="6145" max="6145" width="8.140625" style="84" bestFit="1" customWidth="1"/>
    <col min="6146" max="6146" width="19" style="84" bestFit="1" customWidth="1"/>
    <col min="6147" max="6147" width="14.28515625" style="84" bestFit="1" customWidth="1"/>
    <col min="6148" max="6148" width="14.85546875" style="84" bestFit="1" customWidth="1"/>
    <col min="6149" max="6149" width="22.42578125" style="84" customWidth="1"/>
    <col min="6150" max="6151" width="19.42578125" style="84" bestFit="1" customWidth="1"/>
    <col min="6152" max="6152" width="15.140625" style="84" customWidth="1"/>
    <col min="6153" max="6400" width="9.140625" style="84"/>
    <col min="6401" max="6401" width="8.140625" style="84" bestFit="1" customWidth="1"/>
    <col min="6402" max="6402" width="19" style="84" bestFit="1" customWidth="1"/>
    <col min="6403" max="6403" width="14.28515625" style="84" bestFit="1" customWidth="1"/>
    <col min="6404" max="6404" width="14.85546875" style="84" bestFit="1" customWidth="1"/>
    <col min="6405" max="6405" width="22.42578125" style="84" customWidth="1"/>
    <col min="6406" max="6407" width="19.42578125" style="84" bestFit="1" customWidth="1"/>
    <col min="6408" max="6408" width="15.140625" style="84" customWidth="1"/>
    <col min="6409" max="6656" width="9.140625" style="84"/>
    <col min="6657" max="6657" width="8.140625" style="84" bestFit="1" customWidth="1"/>
    <col min="6658" max="6658" width="19" style="84" bestFit="1" customWidth="1"/>
    <col min="6659" max="6659" width="14.28515625" style="84" bestFit="1" customWidth="1"/>
    <col min="6660" max="6660" width="14.85546875" style="84" bestFit="1" customWidth="1"/>
    <col min="6661" max="6661" width="22.42578125" style="84" customWidth="1"/>
    <col min="6662" max="6663" width="19.42578125" style="84" bestFit="1" customWidth="1"/>
    <col min="6664" max="6664" width="15.140625" style="84" customWidth="1"/>
    <col min="6665" max="6912" width="9.140625" style="84"/>
    <col min="6913" max="6913" width="8.140625" style="84" bestFit="1" customWidth="1"/>
    <col min="6914" max="6914" width="19" style="84" bestFit="1" customWidth="1"/>
    <col min="6915" max="6915" width="14.28515625" style="84" bestFit="1" customWidth="1"/>
    <col min="6916" max="6916" width="14.85546875" style="84" bestFit="1" customWidth="1"/>
    <col min="6917" max="6917" width="22.42578125" style="84" customWidth="1"/>
    <col min="6918" max="6919" width="19.42578125" style="84" bestFit="1" customWidth="1"/>
    <col min="6920" max="6920" width="15.140625" style="84" customWidth="1"/>
    <col min="6921" max="7168" width="9.140625" style="84"/>
    <col min="7169" max="7169" width="8.140625" style="84" bestFit="1" customWidth="1"/>
    <col min="7170" max="7170" width="19" style="84" bestFit="1" customWidth="1"/>
    <col min="7171" max="7171" width="14.28515625" style="84" bestFit="1" customWidth="1"/>
    <col min="7172" max="7172" width="14.85546875" style="84" bestFit="1" customWidth="1"/>
    <col min="7173" max="7173" width="22.42578125" style="84" customWidth="1"/>
    <col min="7174" max="7175" width="19.42578125" style="84" bestFit="1" customWidth="1"/>
    <col min="7176" max="7176" width="15.140625" style="84" customWidth="1"/>
    <col min="7177" max="7424" width="9.140625" style="84"/>
    <col min="7425" max="7425" width="8.140625" style="84" bestFit="1" customWidth="1"/>
    <col min="7426" max="7426" width="19" style="84" bestFit="1" customWidth="1"/>
    <col min="7427" max="7427" width="14.28515625" style="84" bestFit="1" customWidth="1"/>
    <col min="7428" max="7428" width="14.85546875" style="84" bestFit="1" customWidth="1"/>
    <col min="7429" max="7429" width="22.42578125" style="84" customWidth="1"/>
    <col min="7430" max="7431" width="19.42578125" style="84" bestFit="1" customWidth="1"/>
    <col min="7432" max="7432" width="15.140625" style="84" customWidth="1"/>
    <col min="7433" max="7680" width="9.140625" style="84"/>
    <col min="7681" max="7681" width="8.140625" style="84" bestFit="1" customWidth="1"/>
    <col min="7682" max="7682" width="19" style="84" bestFit="1" customWidth="1"/>
    <col min="7683" max="7683" width="14.28515625" style="84" bestFit="1" customWidth="1"/>
    <col min="7684" max="7684" width="14.85546875" style="84" bestFit="1" customWidth="1"/>
    <col min="7685" max="7685" width="22.42578125" style="84" customWidth="1"/>
    <col min="7686" max="7687" width="19.42578125" style="84" bestFit="1" customWidth="1"/>
    <col min="7688" max="7688" width="15.140625" style="84" customWidth="1"/>
    <col min="7689" max="7936" width="9.140625" style="84"/>
    <col min="7937" max="7937" width="8.140625" style="84" bestFit="1" customWidth="1"/>
    <col min="7938" max="7938" width="19" style="84" bestFit="1" customWidth="1"/>
    <col min="7939" max="7939" width="14.28515625" style="84" bestFit="1" customWidth="1"/>
    <col min="7940" max="7940" width="14.85546875" style="84" bestFit="1" customWidth="1"/>
    <col min="7941" max="7941" width="22.42578125" style="84" customWidth="1"/>
    <col min="7942" max="7943" width="19.42578125" style="84" bestFit="1" customWidth="1"/>
    <col min="7944" max="7944" width="15.140625" style="84" customWidth="1"/>
    <col min="7945" max="8192" width="9.140625" style="84"/>
    <col min="8193" max="8193" width="8.140625" style="84" bestFit="1" customWidth="1"/>
    <col min="8194" max="8194" width="19" style="84" bestFit="1" customWidth="1"/>
    <col min="8195" max="8195" width="14.28515625" style="84" bestFit="1" customWidth="1"/>
    <col min="8196" max="8196" width="14.85546875" style="84" bestFit="1" customWidth="1"/>
    <col min="8197" max="8197" width="22.42578125" style="84" customWidth="1"/>
    <col min="8198" max="8199" width="19.42578125" style="84" bestFit="1" customWidth="1"/>
    <col min="8200" max="8200" width="15.140625" style="84" customWidth="1"/>
    <col min="8201" max="8448" width="9.140625" style="84"/>
    <col min="8449" max="8449" width="8.140625" style="84" bestFit="1" customWidth="1"/>
    <col min="8450" max="8450" width="19" style="84" bestFit="1" customWidth="1"/>
    <col min="8451" max="8451" width="14.28515625" style="84" bestFit="1" customWidth="1"/>
    <col min="8452" max="8452" width="14.85546875" style="84" bestFit="1" customWidth="1"/>
    <col min="8453" max="8453" width="22.42578125" style="84" customWidth="1"/>
    <col min="8454" max="8455" width="19.42578125" style="84" bestFit="1" customWidth="1"/>
    <col min="8456" max="8456" width="15.140625" style="84" customWidth="1"/>
    <col min="8457" max="8704" width="9.140625" style="84"/>
    <col min="8705" max="8705" width="8.140625" style="84" bestFit="1" customWidth="1"/>
    <col min="8706" max="8706" width="19" style="84" bestFit="1" customWidth="1"/>
    <col min="8707" max="8707" width="14.28515625" style="84" bestFit="1" customWidth="1"/>
    <col min="8708" max="8708" width="14.85546875" style="84" bestFit="1" customWidth="1"/>
    <col min="8709" max="8709" width="22.42578125" style="84" customWidth="1"/>
    <col min="8710" max="8711" width="19.42578125" style="84" bestFit="1" customWidth="1"/>
    <col min="8712" max="8712" width="15.140625" style="84" customWidth="1"/>
    <col min="8713" max="8960" width="9.140625" style="84"/>
    <col min="8961" max="8961" width="8.140625" style="84" bestFit="1" customWidth="1"/>
    <col min="8962" max="8962" width="19" style="84" bestFit="1" customWidth="1"/>
    <col min="8963" max="8963" width="14.28515625" style="84" bestFit="1" customWidth="1"/>
    <col min="8964" max="8964" width="14.85546875" style="84" bestFit="1" customWidth="1"/>
    <col min="8965" max="8965" width="22.42578125" style="84" customWidth="1"/>
    <col min="8966" max="8967" width="19.42578125" style="84" bestFit="1" customWidth="1"/>
    <col min="8968" max="8968" width="15.140625" style="84" customWidth="1"/>
    <col min="8969" max="9216" width="9.140625" style="84"/>
    <col min="9217" max="9217" width="8.140625" style="84" bestFit="1" customWidth="1"/>
    <col min="9218" max="9218" width="19" style="84" bestFit="1" customWidth="1"/>
    <col min="9219" max="9219" width="14.28515625" style="84" bestFit="1" customWidth="1"/>
    <col min="9220" max="9220" width="14.85546875" style="84" bestFit="1" customWidth="1"/>
    <col min="9221" max="9221" width="22.42578125" style="84" customWidth="1"/>
    <col min="9222" max="9223" width="19.42578125" style="84" bestFit="1" customWidth="1"/>
    <col min="9224" max="9224" width="15.140625" style="84" customWidth="1"/>
    <col min="9225" max="9472" width="9.140625" style="84"/>
    <col min="9473" max="9473" width="8.140625" style="84" bestFit="1" customWidth="1"/>
    <col min="9474" max="9474" width="19" style="84" bestFit="1" customWidth="1"/>
    <col min="9475" max="9475" width="14.28515625" style="84" bestFit="1" customWidth="1"/>
    <col min="9476" max="9476" width="14.85546875" style="84" bestFit="1" customWidth="1"/>
    <col min="9477" max="9477" width="22.42578125" style="84" customWidth="1"/>
    <col min="9478" max="9479" width="19.42578125" style="84" bestFit="1" customWidth="1"/>
    <col min="9480" max="9480" width="15.140625" style="84" customWidth="1"/>
    <col min="9481" max="9728" width="9.140625" style="84"/>
    <col min="9729" max="9729" width="8.140625" style="84" bestFit="1" customWidth="1"/>
    <col min="9730" max="9730" width="19" style="84" bestFit="1" customWidth="1"/>
    <col min="9731" max="9731" width="14.28515625" style="84" bestFit="1" customWidth="1"/>
    <col min="9732" max="9732" width="14.85546875" style="84" bestFit="1" customWidth="1"/>
    <col min="9733" max="9733" width="22.42578125" style="84" customWidth="1"/>
    <col min="9734" max="9735" width="19.42578125" style="84" bestFit="1" customWidth="1"/>
    <col min="9736" max="9736" width="15.140625" style="84" customWidth="1"/>
    <col min="9737" max="9984" width="9.140625" style="84"/>
    <col min="9985" max="9985" width="8.140625" style="84" bestFit="1" customWidth="1"/>
    <col min="9986" max="9986" width="19" style="84" bestFit="1" customWidth="1"/>
    <col min="9987" max="9987" width="14.28515625" style="84" bestFit="1" customWidth="1"/>
    <col min="9988" max="9988" width="14.85546875" style="84" bestFit="1" customWidth="1"/>
    <col min="9989" max="9989" width="22.42578125" style="84" customWidth="1"/>
    <col min="9990" max="9991" width="19.42578125" style="84" bestFit="1" customWidth="1"/>
    <col min="9992" max="9992" width="15.140625" style="84" customWidth="1"/>
    <col min="9993" max="10240" width="9.140625" style="84"/>
    <col min="10241" max="10241" width="8.140625" style="84" bestFit="1" customWidth="1"/>
    <col min="10242" max="10242" width="19" style="84" bestFit="1" customWidth="1"/>
    <col min="10243" max="10243" width="14.28515625" style="84" bestFit="1" customWidth="1"/>
    <col min="10244" max="10244" width="14.85546875" style="84" bestFit="1" customWidth="1"/>
    <col min="10245" max="10245" width="22.42578125" style="84" customWidth="1"/>
    <col min="10246" max="10247" width="19.42578125" style="84" bestFit="1" customWidth="1"/>
    <col min="10248" max="10248" width="15.140625" style="84" customWidth="1"/>
    <col min="10249" max="10496" width="9.140625" style="84"/>
    <col min="10497" max="10497" width="8.140625" style="84" bestFit="1" customWidth="1"/>
    <col min="10498" max="10498" width="19" style="84" bestFit="1" customWidth="1"/>
    <col min="10499" max="10499" width="14.28515625" style="84" bestFit="1" customWidth="1"/>
    <col min="10500" max="10500" width="14.85546875" style="84" bestFit="1" customWidth="1"/>
    <col min="10501" max="10501" width="22.42578125" style="84" customWidth="1"/>
    <col min="10502" max="10503" width="19.42578125" style="84" bestFit="1" customWidth="1"/>
    <col min="10504" max="10504" width="15.140625" style="84" customWidth="1"/>
    <col min="10505" max="10752" width="9.140625" style="84"/>
    <col min="10753" max="10753" width="8.140625" style="84" bestFit="1" customWidth="1"/>
    <col min="10754" max="10754" width="19" style="84" bestFit="1" customWidth="1"/>
    <col min="10755" max="10755" width="14.28515625" style="84" bestFit="1" customWidth="1"/>
    <col min="10756" max="10756" width="14.85546875" style="84" bestFit="1" customWidth="1"/>
    <col min="10757" max="10757" width="22.42578125" style="84" customWidth="1"/>
    <col min="10758" max="10759" width="19.42578125" style="84" bestFit="1" customWidth="1"/>
    <col min="10760" max="10760" width="15.140625" style="84" customWidth="1"/>
    <col min="10761" max="11008" width="9.140625" style="84"/>
    <col min="11009" max="11009" width="8.140625" style="84" bestFit="1" customWidth="1"/>
    <col min="11010" max="11010" width="19" style="84" bestFit="1" customWidth="1"/>
    <col min="11011" max="11011" width="14.28515625" style="84" bestFit="1" customWidth="1"/>
    <col min="11012" max="11012" width="14.85546875" style="84" bestFit="1" customWidth="1"/>
    <col min="11013" max="11013" width="22.42578125" style="84" customWidth="1"/>
    <col min="11014" max="11015" width="19.42578125" style="84" bestFit="1" customWidth="1"/>
    <col min="11016" max="11016" width="15.140625" style="84" customWidth="1"/>
    <col min="11017" max="11264" width="9.140625" style="84"/>
    <col min="11265" max="11265" width="8.140625" style="84" bestFit="1" customWidth="1"/>
    <col min="11266" max="11266" width="19" style="84" bestFit="1" customWidth="1"/>
    <col min="11267" max="11267" width="14.28515625" style="84" bestFit="1" customWidth="1"/>
    <col min="11268" max="11268" width="14.85546875" style="84" bestFit="1" customWidth="1"/>
    <col min="11269" max="11269" width="22.42578125" style="84" customWidth="1"/>
    <col min="11270" max="11271" width="19.42578125" style="84" bestFit="1" customWidth="1"/>
    <col min="11272" max="11272" width="15.140625" style="84" customWidth="1"/>
    <col min="11273" max="11520" width="9.140625" style="84"/>
    <col min="11521" max="11521" width="8.140625" style="84" bestFit="1" customWidth="1"/>
    <col min="11522" max="11522" width="19" style="84" bestFit="1" customWidth="1"/>
    <col min="11523" max="11523" width="14.28515625" style="84" bestFit="1" customWidth="1"/>
    <col min="11524" max="11524" width="14.85546875" style="84" bestFit="1" customWidth="1"/>
    <col min="11525" max="11525" width="22.42578125" style="84" customWidth="1"/>
    <col min="11526" max="11527" width="19.42578125" style="84" bestFit="1" customWidth="1"/>
    <col min="11528" max="11528" width="15.140625" style="84" customWidth="1"/>
    <col min="11529" max="11776" width="9.140625" style="84"/>
    <col min="11777" max="11777" width="8.140625" style="84" bestFit="1" customWidth="1"/>
    <col min="11778" max="11778" width="19" style="84" bestFit="1" customWidth="1"/>
    <col min="11779" max="11779" width="14.28515625" style="84" bestFit="1" customWidth="1"/>
    <col min="11780" max="11780" width="14.85546875" style="84" bestFit="1" customWidth="1"/>
    <col min="11781" max="11781" width="22.42578125" style="84" customWidth="1"/>
    <col min="11782" max="11783" width="19.42578125" style="84" bestFit="1" customWidth="1"/>
    <col min="11784" max="11784" width="15.140625" style="84" customWidth="1"/>
    <col min="11785" max="12032" width="9.140625" style="84"/>
    <col min="12033" max="12033" width="8.140625" style="84" bestFit="1" customWidth="1"/>
    <col min="12034" max="12034" width="19" style="84" bestFit="1" customWidth="1"/>
    <col min="12035" max="12035" width="14.28515625" style="84" bestFit="1" customWidth="1"/>
    <col min="12036" max="12036" width="14.85546875" style="84" bestFit="1" customWidth="1"/>
    <col min="12037" max="12037" width="22.42578125" style="84" customWidth="1"/>
    <col min="12038" max="12039" width="19.42578125" style="84" bestFit="1" customWidth="1"/>
    <col min="12040" max="12040" width="15.140625" style="84" customWidth="1"/>
    <col min="12041" max="12288" width="9.140625" style="84"/>
    <col min="12289" max="12289" width="8.140625" style="84" bestFit="1" customWidth="1"/>
    <col min="12290" max="12290" width="19" style="84" bestFit="1" customWidth="1"/>
    <col min="12291" max="12291" width="14.28515625" style="84" bestFit="1" customWidth="1"/>
    <col min="12292" max="12292" width="14.85546875" style="84" bestFit="1" customWidth="1"/>
    <col min="12293" max="12293" width="22.42578125" style="84" customWidth="1"/>
    <col min="12294" max="12295" width="19.42578125" style="84" bestFit="1" customWidth="1"/>
    <col min="12296" max="12296" width="15.140625" style="84" customWidth="1"/>
    <col min="12297" max="12544" width="9.140625" style="84"/>
    <col min="12545" max="12545" width="8.140625" style="84" bestFit="1" customWidth="1"/>
    <col min="12546" max="12546" width="19" style="84" bestFit="1" customWidth="1"/>
    <col min="12547" max="12547" width="14.28515625" style="84" bestFit="1" customWidth="1"/>
    <col min="12548" max="12548" width="14.85546875" style="84" bestFit="1" customWidth="1"/>
    <col min="12549" max="12549" width="22.42578125" style="84" customWidth="1"/>
    <col min="12550" max="12551" width="19.42578125" style="84" bestFit="1" customWidth="1"/>
    <col min="12552" max="12552" width="15.140625" style="84" customWidth="1"/>
    <col min="12553" max="12800" width="9.140625" style="84"/>
    <col min="12801" max="12801" width="8.140625" style="84" bestFit="1" customWidth="1"/>
    <col min="12802" max="12802" width="19" style="84" bestFit="1" customWidth="1"/>
    <col min="12803" max="12803" width="14.28515625" style="84" bestFit="1" customWidth="1"/>
    <col min="12804" max="12804" width="14.85546875" style="84" bestFit="1" customWidth="1"/>
    <col min="12805" max="12805" width="22.42578125" style="84" customWidth="1"/>
    <col min="12806" max="12807" width="19.42578125" style="84" bestFit="1" customWidth="1"/>
    <col min="12808" max="12808" width="15.140625" style="84" customWidth="1"/>
    <col min="12809" max="13056" width="9.140625" style="84"/>
    <col min="13057" max="13057" width="8.140625" style="84" bestFit="1" customWidth="1"/>
    <col min="13058" max="13058" width="19" style="84" bestFit="1" customWidth="1"/>
    <col min="13059" max="13059" width="14.28515625" style="84" bestFit="1" customWidth="1"/>
    <col min="13060" max="13060" width="14.85546875" style="84" bestFit="1" customWidth="1"/>
    <col min="13061" max="13061" width="22.42578125" style="84" customWidth="1"/>
    <col min="13062" max="13063" width="19.42578125" style="84" bestFit="1" customWidth="1"/>
    <col min="13064" max="13064" width="15.140625" style="84" customWidth="1"/>
    <col min="13065" max="13312" width="9.140625" style="84"/>
    <col min="13313" max="13313" width="8.140625" style="84" bestFit="1" customWidth="1"/>
    <col min="13314" max="13314" width="19" style="84" bestFit="1" customWidth="1"/>
    <col min="13315" max="13315" width="14.28515625" style="84" bestFit="1" customWidth="1"/>
    <col min="13316" max="13316" width="14.85546875" style="84" bestFit="1" customWidth="1"/>
    <col min="13317" max="13317" width="22.42578125" style="84" customWidth="1"/>
    <col min="13318" max="13319" width="19.42578125" style="84" bestFit="1" customWidth="1"/>
    <col min="13320" max="13320" width="15.140625" style="84" customWidth="1"/>
    <col min="13321" max="13568" width="9.140625" style="84"/>
    <col min="13569" max="13569" width="8.140625" style="84" bestFit="1" customWidth="1"/>
    <col min="13570" max="13570" width="19" style="84" bestFit="1" customWidth="1"/>
    <col min="13571" max="13571" width="14.28515625" style="84" bestFit="1" customWidth="1"/>
    <col min="13572" max="13572" width="14.85546875" style="84" bestFit="1" customWidth="1"/>
    <col min="13573" max="13573" width="22.42578125" style="84" customWidth="1"/>
    <col min="13574" max="13575" width="19.42578125" style="84" bestFit="1" customWidth="1"/>
    <col min="13576" max="13576" width="15.140625" style="84" customWidth="1"/>
    <col min="13577" max="13824" width="9.140625" style="84"/>
    <col min="13825" max="13825" width="8.140625" style="84" bestFit="1" customWidth="1"/>
    <col min="13826" max="13826" width="19" style="84" bestFit="1" customWidth="1"/>
    <col min="13827" max="13827" width="14.28515625" style="84" bestFit="1" customWidth="1"/>
    <col min="13828" max="13828" width="14.85546875" style="84" bestFit="1" customWidth="1"/>
    <col min="13829" max="13829" width="22.42578125" style="84" customWidth="1"/>
    <col min="13830" max="13831" width="19.42578125" style="84" bestFit="1" customWidth="1"/>
    <col min="13832" max="13832" width="15.140625" style="84" customWidth="1"/>
    <col min="13833" max="14080" width="9.140625" style="84"/>
    <col min="14081" max="14081" width="8.140625" style="84" bestFit="1" customWidth="1"/>
    <col min="14082" max="14082" width="19" style="84" bestFit="1" customWidth="1"/>
    <col min="14083" max="14083" width="14.28515625" style="84" bestFit="1" customWidth="1"/>
    <col min="14084" max="14084" width="14.85546875" style="84" bestFit="1" customWidth="1"/>
    <col min="14085" max="14085" width="22.42578125" style="84" customWidth="1"/>
    <col min="14086" max="14087" width="19.42578125" style="84" bestFit="1" customWidth="1"/>
    <col min="14088" max="14088" width="15.140625" style="84" customWidth="1"/>
    <col min="14089" max="14336" width="9.140625" style="84"/>
    <col min="14337" max="14337" width="8.140625" style="84" bestFit="1" customWidth="1"/>
    <col min="14338" max="14338" width="19" style="84" bestFit="1" customWidth="1"/>
    <col min="14339" max="14339" width="14.28515625" style="84" bestFit="1" customWidth="1"/>
    <col min="14340" max="14340" width="14.85546875" style="84" bestFit="1" customWidth="1"/>
    <col min="14341" max="14341" width="22.42578125" style="84" customWidth="1"/>
    <col min="14342" max="14343" width="19.42578125" style="84" bestFit="1" customWidth="1"/>
    <col min="14344" max="14344" width="15.140625" style="84" customWidth="1"/>
    <col min="14345" max="14592" width="9.140625" style="84"/>
    <col min="14593" max="14593" width="8.140625" style="84" bestFit="1" customWidth="1"/>
    <col min="14594" max="14594" width="19" style="84" bestFit="1" customWidth="1"/>
    <col min="14595" max="14595" width="14.28515625" style="84" bestFit="1" customWidth="1"/>
    <col min="14596" max="14596" width="14.85546875" style="84" bestFit="1" customWidth="1"/>
    <col min="14597" max="14597" width="22.42578125" style="84" customWidth="1"/>
    <col min="14598" max="14599" width="19.42578125" style="84" bestFit="1" customWidth="1"/>
    <col min="14600" max="14600" width="15.140625" style="84" customWidth="1"/>
    <col min="14601" max="14848" width="9.140625" style="84"/>
    <col min="14849" max="14849" width="8.140625" style="84" bestFit="1" customWidth="1"/>
    <col min="14850" max="14850" width="19" style="84" bestFit="1" customWidth="1"/>
    <col min="14851" max="14851" width="14.28515625" style="84" bestFit="1" customWidth="1"/>
    <col min="14852" max="14852" width="14.85546875" style="84" bestFit="1" customWidth="1"/>
    <col min="14853" max="14853" width="22.42578125" style="84" customWidth="1"/>
    <col min="14854" max="14855" width="19.42578125" style="84" bestFit="1" customWidth="1"/>
    <col min="14856" max="14856" width="15.140625" style="84" customWidth="1"/>
    <col min="14857" max="15104" width="9.140625" style="84"/>
    <col min="15105" max="15105" width="8.140625" style="84" bestFit="1" customWidth="1"/>
    <col min="15106" max="15106" width="19" style="84" bestFit="1" customWidth="1"/>
    <col min="15107" max="15107" width="14.28515625" style="84" bestFit="1" customWidth="1"/>
    <col min="15108" max="15108" width="14.85546875" style="84" bestFit="1" customWidth="1"/>
    <col min="15109" max="15109" width="22.42578125" style="84" customWidth="1"/>
    <col min="15110" max="15111" width="19.42578125" style="84" bestFit="1" customWidth="1"/>
    <col min="15112" max="15112" width="15.140625" style="84" customWidth="1"/>
    <col min="15113" max="15360" width="9.140625" style="84"/>
    <col min="15361" max="15361" width="8.140625" style="84" bestFit="1" customWidth="1"/>
    <col min="15362" max="15362" width="19" style="84" bestFit="1" customWidth="1"/>
    <col min="15363" max="15363" width="14.28515625" style="84" bestFit="1" customWidth="1"/>
    <col min="15364" max="15364" width="14.85546875" style="84" bestFit="1" customWidth="1"/>
    <col min="15365" max="15365" width="22.42578125" style="84" customWidth="1"/>
    <col min="15366" max="15367" width="19.42578125" style="84" bestFit="1" customWidth="1"/>
    <col min="15368" max="15368" width="15.140625" style="84" customWidth="1"/>
    <col min="15369" max="15616" width="9.140625" style="84"/>
    <col min="15617" max="15617" width="8.140625" style="84" bestFit="1" customWidth="1"/>
    <col min="15618" max="15618" width="19" style="84" bestFit="1" customWidth="1"/>
    <col min="15619" max="15619" width="14.28515625" style="84" bestFit="1" customWidth="1"/>
    <col min="15620" max="15620" width="14.85546875" style="84" bestFit="1" customWidth="1"/>
    <col min="15621" max="15621" width="22.42578125" style="84" customWidth="1"/>
    <col min="15622" max="15623" width="19.42578125" style="84" bestFit="1" customWidth="1"/>
    <col min="15624" max="15624" width="15.140625" style="84" customWidth="1"/>
    <col min="15625" max="15872" width="9.140625" style="84"/>
    <col min="15873" max="15873" width="8.140625" style="84" bestFit="1" customWidth="1"/>
    <col min="15874" max="15874" width="19" style="84" bestFit="1" customWidth="1"/>
    <col min="15875" max="15875" width="14.28515625" style="84" bestFit="1" customWidth="1"/>
    <col min="15876" max="15876" width="14.85546875" style="84" bestFit="1" customWidth="1"/>
    <col min="15877" max="15877" width="22.42578125" style="84" customWidth="1"/>
    <col min="15878" max="15879" width="19.42578125" style="84" bestFit="1" customWidth="1"/>
    <col min="15880" max="15880" width="15.140625" style="84" customWidth="1"/>
    <col min="15881" max="16128" width="9.140625" style="84"/>
    <col min="16129" max="16129" width="8.140625" style="84" bestFit="1" customWidth="1"/>
    <col min="16130" max="16130" width="19" style="84" bestFit="1" customWidth="1"/>
    <col min="16131" max="16131" width="14.28515625" style="84" bestFit="1" customWidth="1"/>
    <col min="16132" max="16132" width="14.85546875" style="84" bestFit="1" customWidth="1"/>
    <col min="16133" max="16133" width="22.42578125" style="84" customWidth="1"/>
    <col min="16134" max="16135" width="19.42578125" style="84" bestFit="1" customWidth="1"/>
    <col min="16136" max="16136" width="15.140625" style="84" customWidth="1"/>
    <col min="16137" max="16384" width="9.140625" style="84"/>
  </cols>
  <sheetData>
    <row r="1" spans="1:7" x14ac:dyDescent="0.25">
      <c r="D1" s="85" t="s">
        <v>370</v>
      </c>
      <c r="E1" s="86">
        <v>7.0000000000000007E-2</v>
      </c>
    </row>
    <row r="2" spans="1:7" x14ac:dyDescent="0.25">
      <c r="D2" s="85" t="s">
        <v>371</v>
      </c>
      <c r="E2" s="85">
        <v>12</v>
      </c>
    </row>
    <row r="3" spans="1:7" ht="30" x14ac:dyDescent="0.25">
      <c r="A3" s="92" t="s">
        <v>372</v>
      </c>
      <c r="B3" s="92" t="s">
        <v>373</v>
      </c>
      <c r="C3" s="92" t="s">
        <v>374</v>
      </c>
      <c r="D3" s="92" t="s">
        <v>375</v>
      </c>
      <c r="E3" s="93" t="s">
        <v>376</v>
      </c>
      <c r="F3" s="92" t="s">
        <v>377</v>
      </c>
      <c r="G3" s="92" t="s">
        <v>378</v>
      </c>
    </row>
    <row r="4" spans="1:7" x14ac:dyDescent="0.25">
      <c r="A4" s="85" t="s">
        <v>379</v>
      </c>
      <c r="B4" s="85" t="s">
        <v>380</v>
      </c>
      <c r="C4" s="85">
        <v>53</v>
      </c>
      <c r="D4" s="87">
        <v>37900</v>
      </c>
      <c r="E4" s="153">
        <f>D4-(D4*$E$1)</f>
        <v>35247</v>
      </c>
      <c r="F4" s="153">
        <f>E4/$E$2</f>
        <v>2937.25</v>
      </c>
      <c r="G4" s="153">
        <f>E4/24</f>
        <v>1468.625</v>
      </c>
    </row>
    <row r="5" spans="1:7" x14ac:dyDescent="0.25">
      <c r="A5" s="85" t="s">
        <v>379</v>
      </c>
      <c r="B5" s="85" t="s">
        <v>381</v>
      </c>
      <c r="C5" s="85">
        <v>100</v>
      </c>
      <c r="D5" s="87">
        <v>88900</v>
      </c>
      <c r="E5" s="153">
        <f t="shared" ref="E5:E18" si="0">D5-(D5*$E$1)</f>
        <v>82677</v>
      </c>
      <c r="F5" s="153">
        <f t="shared" ref="F5:F18" si="1">E5/$E$2</f>
        <v>6889.75</v>
      </c>
      <c r="G5" s="153">
        <f t="shared" ref="G5:G18" si="2">E5/24</f>
        <v>3444.875</v>
      </c>
    </row>
    <row r="6" spans="1:7" x14ac:dyDescent="0.25">
      <c r="A6" s="85" t="s">
        <v>382</v>
      </c>
      <c r="B6" s="85" t="s">
        <v>383</v>
      </c>
      <c r="C6" s="85">
        <v>11.5</v>
      </c>
      <c r="D6" s="87">
        <v>5490</v>
      </c>
      <c r="E6" s="153">
        <f t="shared" si="0"/>
        <v>5105.7</v>
      </c>
      <c r="F6" s="153">
        <f t="shared" si="1"/>
        <v>425.47499999999997</v>
      </c>
      <c r="G6" s="153">
        <f t="shared" si="2"/>
        <v>212.73749999999998</v>
      </c>
    </row>
    <row r="7" spans="1:7" x14ac:dyDescent="0.25">
      <c r="A7" s="85" t="s">
        <v>384</v>
      </c>
      <c r="B7" s="85" t="s">
        <v>385</v>
      </c>
      <c r="C7" s="85">
        <v>48</v>
      </c>
      <c r="D7" s="87">
        <v>27273</v>
      </c>
      <c r="E7" s="153">
        <f t="shared" si="0"/>
        <v>25363.89</v>
      </c>
      <c r="F7" s="153">
        <f t="shared" si="1"/>
        <v>2113.6574999999998</v>
      </c>
      <c r="G7" s="153">
        <f t="shared" si="2"/>
        <v>1056.8287499999999</v>
      </c>
    </row>
    <row r="8" spans="1:7" x14ac:dyDescent="0.25">
      <c r="A8" s="85" t="s">
        <v>382</v>
      </c>
      <c r="B8" s="85" t="s">
        <v>386</v>
      </c>
      <c r="C8" s="85">
        <v>13.1</v>
      </c>
      <c r="D8" s="87">
        <v>5490</v>
      </c>
      <c r="E8" s="153">
        <f t="shared" si="0"/>
        <v>5105.7</v>
      </c>
      <c r="F8" s="153">
        <f t="shared" si="1"/>
        <v>425.47499999999997</v>
      </c>
      <c r="G8" s="153">
        <f t="shared" si="2"/>
        <v>212.73749999999998</v>
      </c>
    </row>
    <row r="9" spans="1:7" x14ac:dyDescent="0.25">
      <c r="A9" s="85" t="s">
        <v>387</v>
      </c>
      <c r="B9" s="85" t="s">
        <v>388</v>
      </c>
      <c r="C9" s="85">
        <v>96.5</v>
      </c>
      <c r="D9" s="87">
        <v>31980</v>
      </c>
      <c r="E9" s="153">
        <f t="shared" si="0"/>
        <v>29741.4</v>
      </c>
      <c r="F9" s="153">
        <f t="shared" si="1"/>
        <v>2478.4500000000003</v>
      </c>
      <c r="G9" s="153">
        <f t="shared" si="2"/>
        <v>1239.2250000000001</v>
      </c>
    </row>
    <row r="10" spans="1:7" x14ac:dyDescent="0.25">
      <c r="A10" s="85" t="s">
        <v>389</v>
      </c>
      <c r="B10" s="85" t="s">
        <v>390</v>
      </c>
      <c r="C10" s="85">
        <v>79.5</v>
      </c>
      <c r="D10" s="87">
        <v>27900</v>
      </c>
      <c r="E10" s="153">
        <f t="shared" si="0"/>
        <v>25947</v>
      </c>
      <c r="F10" s="153">
        <f t="shared" si="1"/>
        <v>2162.25</v>
      </c>
      <c r="G10" s="153">
        <f t="shared" si="2"/>
        <v>1081.125</v>
      </c>
    </row>
    <row r="11" spans="1:7" x14ac:dyDescent="0.25">
      <c r="A11" s="85" t="s">
        <v>387</v>
      </c>
      <c r="B11" s="85" t="s">
        <v>391</v>
      </c>
      <c r="C11" s="85">
        <v>14.3</v>
      </c>
      <c r="D11" s="87">
        <v>6151</v>
      </c>
      <c r="E11" s="153">
        <f t="shared" si="0"/>
        <v>5720.43</v>
      </c>
      <c r="F11" s="153">
        <f t="shared" si="1"/>
        <v>476.70250000000004</v>
      </c>
      <c r="G11" s="153">
        <f t="shared" si="2"/>
        <v>238.35125000000002</v>
      </c>
    </row>
    <row r="12" spans="1:7" x14ac:dyDescent="0.25">
      <c r="A12" s="85" t="s">
        <v>392</v>
      </c>
      <c r="B12" s="85" t="s">
        <v>393</v>
      </c>
      <c r="C12" s="85">
        <v>200</v>
      </c>
      <c r="D12" s="87">
        <v>61200</v>
      </c>
      <c r="E12" s="153">
        <f t="shared" si="0"/>
        <v>56916</v>
      </c>
      <c r="F12" s="153">
        <f t="shared" si="1"/>
        <v>4743</v>
      </c>
      <c r="G12" s="153">
        <f t="shared" si="2"/>
        <v>2371.5</v>
      </c>
    </row>
    <row r="13" spans="1:7" x14ac:dyDescent="0.25">
      <c r="A13" s="85" t="s">
        <v>392</v>
      </c>
      <c r="B13" s="85" t="s">
        <v>394</v>
      </c>
      <c r="C13" s="85">
        <v>98</v>
      </c>
      <c r="D13" s="87">
        <v>39033</v>
      </c>
      <c r="E13" s="153">
        <f t="shared" si="0"/>
        <v>36300.69</v>
      </c>
      <c r="F13" s="153">
        <f t="shared" si="1"/>
        <v>3025.0575000000003</v>
      </c>
      <c r="G13" s="153">
        <f t="shared" si="2"/>
        <v>1512.5287500000002</v>
      </c>
    </row>
    <row r="14" spans="1:7" x14ac:dyDescent="0.25">
      <c r="A14" s="85" t="s">
        <v>384</v>
      </c>
      <c r="B14" s="85" t="s">
        <v>395</v>
      </c>
      <c r="C14" s="85">
        <v>21</v>
      </c>
      <c r="D14" s="87">
        <v>10477</v>
      </c>
      <c r="E14" s="153">
        <f t="shared" si="0"/>
        <v>9743.61</v>
      </c>
      <c r="F14" s="153">
        <f t="shared" si="1"/>
        <v>811.96750000000009</v>
      </c>
      <c r="G14" s="153">
        <f t="shared" si="2"/>
        <v>405.98375000000004</v>
      </c>
    </row>
    <row r="15" spans="1:7" x14ac:dyDescent="0.25">
      <c r="A15" s="85" t="s">
        <v>387</v>
      </c>
      <c r="B15" s="85" t="s">
        <v>396</v>
      </c>
      <c r="C15" s="85">
        <v>11.6</v>
      </c>
      <c r="D15" s="87">
        <v>5422</v>
      </c>
      <c r="E15" s="153">
        <f t="shared" si="0"/>
        <v>5042.46</v>
      </c>
      <c r="F15" s="153">
        <f t="shared" si="1"/>
        <v>420.20499999999998</v>
      </c>
      <c r="G15" s="153">
        <f t="shared" si="2"/>
        <v>210.10249999999999</v>
      </c>
    </row>
    <row r="16" spans="1:7" x14ac:dyDescent="0.25">
      <c r="A16" s="85" t="s">
        <v>384</v>
      </c>
      <c r="B16" s="85" t="s">
        <v>397</v>
      </c>
      <c r="C16" s="85">
        <v>21</v>
      </c>
      <c r="D16" s="87">
        <v>13266</v>
      </c>
      <c r="E16" s="153">
        <f t="shared" si="0"/>
        <v>12337.38</v>
      </c>
      <c r="F16" s="153">
        <f t="shared" si="1"/>
        <v>1028.115</v>
      </c>
      <c r="G16" s="153">
        <f t="shared" si="2"/>
        <v>514.0575</v>
      </c>
    </row>
    <row r="17" spans="1:9" x14ac:dyDescent="0.25">
      <c r="A17" s="85" t="s">
        <v>384</v>
      </c>
      <c r="B17" s="85" t="s">
        <v>398</v>
      </c>
      <c r="C17" s="85">
        <v>10.9</v>
      </c>
      <c r="D17" s="87">
        <v>7589</v>
      </c>
      <c r="E17" s="153">
        <f t="shared" si="0"/>
        <v>7057.77</v>
      </c>
      <c r="F17" s="153">
        <f t="shared" si="1"/>
        <v>588.14750000000004</v>
      </c>
      <c r="G17" s="153">
        <f t="shared" si="2"/>
        <v>294.07375000000002</v>
      </c>
    </row>
    <row r="18" spans="1:9" x14ac:dyDescent="0.25">
      <c r="A18" s="85" t="s">
        <v>387</v>
      </c>
      <c r="B18" s="85" t="s">
        <v>399</v>
      </c>
      <c r="C18" s="85">
        <v>14</v>
      </c>
      <c r="D18" s="87">
        <v>7361</v>
      </c>
      <c r="E18" s="153">
        <f t="shared" si="0"/>
        <v>6845.73</v>
      </c>
      <c r="F18" s="153">
        <f t="shared" si="1"/>
        <v>570.47749999999996</v>
      </c>
      <c r="G18" s="153">
        <f t="shared" si="2"/>
        <v>285.23874999999998</v>
      </c>
    </row>
    <row r="20" spans="1:9" x14ac:dyDescent="0.25">
      <c r="B20" s="89"/>
      <c r="C20" s="85" t="s">
        <v>400</v>
      </c>
      <c r="D20" s="88">
        <f>SUM(D4:D18)</f>
        <v>375432</v>
      </c>
      <c r="E20" s="88">
        <f t="shared" ref="E20:G20" si="3">SUM(E4:E18)</f>
        <v>349151.76</v>
      </c>
      <c r="F20" s="88">
        <f t="shared" si="3"/>
        <v>29095.980000000003</v>
      </c>
      <c r="G20" s="88">
        <f t="shared" si="3"/>
        <v>14547.990000000002</v>
      </c>
    </row>
    <row r="21" spans="1:9" x14ac:dyDescent="0.25">
      <c r="B21" s="89"/>
      <c r="C21" s="85" t="s">
        <v>401</v>
      </c>
      <c r="D21" s="88">
        <f>AVERAGE(D4:D18)</f>
        <v>25028.799999999999</v>
      </c>
      <c r="E21" s="153">
        <f>AVERAGE(E4:E18)</f>
        <v>23276.784</v>
      </c>
      <c r="F21" s="153">
        <f t="shared" ref="F21:G21" si="4">AVERAGE(F4:F18)</f>
        <v>1939.7320000000002</v>
      </c>
      <c r="G21" s="153">
        <f t="shared" si="4"/>
        <v>969.8660000000001</v>
      </c>
    </row>
    <row r="22" spans="1:9" x14ac:dyDescent="0.25">
      <c r="B22" s="89"/>
      <c r="C22" s="85" t="s">
        <v>402</v>
      </c>
      <c r="D22" s="85">
        <f>LARGE(D4:D18,1)</f>
        <v>88900</v>
      </c>
      <c r="E22" s="85">
        <f t="shared" ref="E22:G22" si="5">LARGE(E4:E18,1)</f>
        <v>82677</v>
      </c>
      <c r="F22" s="85">
        <f t="shared" si="5"/>
        <v>6889.75</v>
      </c>
      <c r="G22" s="85">
        <f t="shared" si="5"/>
        <v>3444.875</v>
      </c>
    </row>
    <row r="23" spans="1:9" x14ac:dyDescent="0.25">
      <c r="B23" s="89"/>
      <c r="C23" s="85" t="s">
        <v>403</v>
      </c>
      <c r="D23" s="85">
        <f>SMALL(D4:D18,1)</f>
        <v>5422</v>
      </c>
      <c r="E23" s="85">
        <f t="shared" ref="E23:G23" si="6">SMALL(E4:E18,1)</f>
        <v>5042.46</v>
      </c>
      <c r="F23" s="85">
        <f t="shared" si="6"/>
        <v>420.20499999999998</v>
      </c>
      <c r="G23" s="85">
        <f t="shared" si="6"/>
        <v>210.10249999999999</v>
      </c>
    </row>
    <row r="25" spans="1:9" ht="30" x14ac:dyDescent="0.25">
      <c r="C25" s="191" t="s">
        <v>404</v>
      </c>
      <c r="D25" s="191"/>
      <c r="F25"/>
      <c r="G25" s="90" t="s">
        <v>405</v>
      </c>
      <c r="H25"/>
      <c r="I25"/>
    </row>
    <row r="26" spans="1:9" x14ac:dyDescent="0.25">
      <c r="C26" s="85" t="s">
        <v>379</v>
      </c>
      <c r="D26" s="156">
        <f>SUMIF($A$4:$A$18,C26,$D$4:$D$18)</f>
        <v>126800</v>
      </c>
      <c r="F26"/>
      <c r="G26" s="85">
        <f>COUNTIF($A$4:$A$18,C26)</f>
        <v>2</v>
      </c>
      <c r="H26"/>
      <c r="I26"/>
    </row>
    <row r="27" spans="1:9" x14ac:dyDescent="0.25">
      <c r="C27" s="85" t="s">
        <v>382</v>
      </c>
      <c r="D27" s="156">
        <f t="shared" ref="D27:D31" si="7">SUMIF($A$4:$A$18,C27,$D$4:$D$18)</f>
        <v>10980</v>
      </c>
      <c r="F27"/>
      <c r="G27" s="85">
        <f t="shared" ref="G27:G31" si="8">COUNTIF($A$4:$A$18,C27)</f>
        <v>2</v>
      </c>
      <c r="H27"/>
      <c r="I27"/>
    </row>
    <row r="28" spans="1:9" x14ac:dyDescent="0.25">
      <c r="C28" s="85" t="s">
        <v>387</v>
      </c>
      <c r="D28" s="156">
        <f t="shared" si="7"/>
        <v>50914</v>
      </c>
      <c r="F28"/>
      <c r="G28" s="85">
        <f t="shared" si="8"/>
        <v>4</v>
      </c>
      <c r="H28"/>
      <c r="I28"/>
    </row>
    <row r="29" spans="1:9" x14ac:dyDescent="0.25">
      <c r="C29" s="85" t="s">
        <v>389</v>
      </c>
      <c r="D29" s="156">
        <f t="shared" si="7"/>
        <v>27900</v>
      </c>
      <c r="F29"/>
      <c r="G29" s="85">
        <f t="shared" si="8"/>
        <v>1</v>
      </c>
      <c r="H29"/>
      <c r="I29"/>
    </row>
    <row r="30" spans="1:9" x14ac:dyDescent="0.25">
      <c r="C30" s="85" t="s">
        <v>392</v>
      </c>
      <c r="D30" s="156">
        <f t="shared" si="7"/>
        <v>100233</v>
      </c>
      <c r="F30"/>
      <c r="G30" s="85">
        <f t="shared" si="8"/>
        <v>2</v>
      </c>
      <c r="H30"/>
      <c r="I30"/>
    </row>
    <row r="31" spans="1:9" x14ac:dyDescent="0.25">
      <c r="C31" s="85" t="s">
        <v>384</v>
      </c>
      <c r="D31" s="156">
        <f t="shared" si="7"/>
        <v>58605</v>
      </c>
      <c r="G31" s="85">
        <f t="shared" si="8"/>
        <v>4</v>
      </c>
    </row>
    <row r="33" spans="3:5" x14ac:dyDescent="0.25">
      <c r="C33" s="91"/>
      <c r="E33" s="91"/>
    </row>
  </sheetData>
  <mergeCells count="1">
    <mergeCell ref="C25:D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499A-08E9-4B59-8FD2-D780123B8385}">
  <dimension ref="B1:Q562"/>
  <sheetViews>
    <sheetView showGridLines="0" tabSelected="1" zoomScaleNormal="100" workbookViewId="0">
      <selection activeCell="L26" sqref="L26"/>
    </sheetView>
  </sheetViews>
  <sheetFormatPr defaultColWidth="9.140625" defaultRowHeight="12.75" x14ac:dyDescent="0.2"/>
  <cols>
    <col min="1" max="1" width="2.85546875" style="94" customWidth="1"/>
    <col min="2" max="2" width="8.7109375" style="94" customWidth="1"/>
    <col min="3" max="3" width="10.7109375" style="94" bestFit="1" customWidth="1"/>
    <col min="4" max="4" width="9.7109375" style="94" bestFit="1" customWidth="1"/>
    <col min="5" max="5" width="12.140625" style="94" bestFit="1" customWidth="1"/>
    <col min="6" max="6" width="11.28515625" style="94" bestFit="1" customWidth="1"/>
    <col min="7" max="7" width="5" style="94" customWidth="1"/>
    <col min="8" max="8" width="9.85546875" style="94" bestFit="1" customWidth="1"/>
    <col min="9" max="9" width="12.28515625" style="94" bestFit="1" customWidth="1"/>
    <col min="10" max="10" width="9.85546875" style="94" bestFit="1" customWidth="1"/>
    <col min="11" max="11" width="9.140625" style="94"/>
    <col min="12" max="12" width="10.28515625" style="94" bestFit="1" customWidth="1"/>
    <col min="13" max="13" width="12.5703125" style="94" bestFit="1" customWidth="1"/>
    <col min="14" max="14" width="10" style="94" bestFit="1" customWidth="1"/>
    <col min="15" max="16384" width="9.140625" style="94"/>
  </cols>
  <sheetData>
    <row r="1" spans="2:17" ht="15.75" thickBot="1" x14ac:dyDescent="0.25">
      <c r="L1"/>
      <c r="M1"/>
      <c r="N1"/>
      <c r="O1"/>
      <c r="P1"/>
      <c r="Q1"/>
    </row>
    <row r="2" spans="2:17" ht="16.5" thickTop="1" thickBot="1" x14ac:dyDescent="0.25">
      <c r="B2" s="95" t="s">
        <v>406</v>
      </c>
      <c r="C2" s="96"/>
      <c r="D2" s="96"/>
      <c r="E2" s="96"/>
      <c r="F2" s="97"/>
      <c r="H2" s="192" t="s">
        <v>407</v>
      </c>
      <c r="I2" s="193"/>
      <c r="J2" s="193"/>
      <c r="L2"/>
      <c r="M2"/>
      <c r="N2"/>
      <c r="O2"/>
      <c r="P2"/>
      <c r="Q2"/>
    </row>
    <row r="3" spans="2:17" ht="16.5" thickTop="1" thickBot="1" x14ac:dyDescent="0.25">
      <c r="B3" s="98"/>
      <c r="C3" s="98"/>
      <c r="D3" s="98"/>
      <c r="E3" s="98"/>
      <c r="F3" s="98"/>
      <c r="L3"/>
      <c r="M3"/>
      <c r="N3"/>
      <c r="O3"/>
      <c r="P3"/>
      <c r="Q3"/>
    </row>
    <row r="4" spans="2:17" ht="15.75" thickBot="1" x14ac:dyDescent="0.25">
      <c r="B4" s="99" t="s">
        <v>408</v>
      </c>
      <c r="C4" s="100" t="s">
        <v>409</v>
      </c>
      <c r="D4" s="99" t="s">
        <v>410</v>
      </c>
      <c r="E4" s="100" t="s">
        <v>411</v>
      </c>
      <c r="F4" s="99" t="s">
        <v>412</v>
      </c>
      <c r="H4" s="101" t="s">
        <v>410</v>
      </c>
      <c r="I4" s="102" t="s">
        <v>413</v>
      </c>
      <c r="J4" s="102" t="s">
        <v>414</v>
      </c>
      <c r="L4"/>
      <c r="M4"/>
      <c r="N4"/>
      <c r="O4"/>
      <c r="P4"/>
      <c r="Q4"/>
    </row>
    <row r="5" spans="2:17" ht="15.75" thickBot="1" x14ac:dyDescent="0.25">
      <c r="B5" s="103">
        <v>1</v>
      </c>
      <c r="C5" s="104" t="s">
        <v>415</v>
      </c>
      <c r="D5" s="104" t="s">
        <v>416</v>
      </c>
      <c r="E5" s="105">
        <v>4</v>
      </c>
      <c r="F5" s="106">
        <v>50000</v>
      </c>
      <c r="G5" s="107"/>
      <c r="H5" s="108" t="s">
        <v>417</v>
      </c>
      <c r="I5" s="109">
        <f>SUMIF($D$5:$D$51,H5,$F$5:$F$51)</f>
        <v>677985</v>
      </c>
      <c r="J5" s="110">
        <f>COUNTIF($D$5:$D$51,H5)</f>
        <v>13</v>
      </c>
      <c r="K5" s="107"/>
      <c r="L5"/>
      <c r="M5"/>
      <c r="N5"/>
      <c r="O5"/>
      <c r="P5"/>
      <c r="Q5"/>
    </row>
    <row r="6" spans="2:17" ht="15" x14ac:dyDescent="0.2">
      <c r="B6" s="103">
        <v>2</v>
      </c>
      <c r="C6" s="111" t="s">
        <v>418</v>
      </c>
      <c r="D6" s="111" t="s">
        <v>416</v>
      </c>
      <c r="E6" s="112">
        <v>1</v>
      </c>
      <c r="F6" s="113">
        <v>12250</v>
      </c>
      <c r="G6" s="107"/>
      <c r="K6" s="107"/>
      <c r="L6"/>
      <c r="M6"/>
      <c r="N6"/>
      <c r="O6"/>
      <c r="P6"/>
      <c r="Q6"/>
    </row>
    <row r="7" spans="2:17" ht="15" x14ac:dyDescent="0.2">
      <c r="B7" s="103">
        <v>3</v>
      </c>
      <c r="C7" s="111" t="s">
        <v>419</v>
      </c>
      <c r="D7" s="111" t="s">
        <v>420</v>
      </c>
      <c r="E7" s="112">
        <v>5</v>
      </c>
      <c r="F7" s="113">
        <v>53150</v>
      </c>
      <c r="G7" s="107"/>
      <c r="K7" s="107"/>
      <c r="L7"/>
      <c r="M7"/>
      <c r="N7"/>
      <c r="O7"/>
      <c r="P7"/>
      <c r="Q7"/>
    </row>
    <row r="8" spans="2:17" ht="15" x14ac:dyDescent="0.2">
      <c r="B8" s="103">
        <v>4</v>
      </c>
      <c r="C8" s="111" t="s">
        <v>421</v>
      </c>
      <c r="D8" s="111" t="s">
        <v>417</v>
      </c>
      <c r="E8" s="112">
        <v>2</v>
      </c>
      <c r="F8" s="113">
        <v>24800</v>
      </c>
      <c r="G8" s="107"/>
      <c r="K8" s="107"/>
      <c r="L8"/>
      <c r="M8"/>
      <c r="N8"/>
      <c r="O8"/>
      <c r="P8"/>
      <c r="Q8"/>
    </row>
    <row r="9" spans="2:17" ht="15" x14ac:dyDescent="0.2">
      <c r="B9" s="103">
        <v>5</v>
      </c>
      <c r="C9" s="111" t="s">
        <v>419</v>
      </c>
      <c r="D9" s="111" t="s">
        <v>420</v>
      </c>
      <c r="E9" s="112">
        <v>2</v>
      </c>
      <c r="F9" s="113">
        <v>23300</v>
      </c>
      <c r="G9" s="107"/>
      <c r="K9" s="107"/>
      <c r="L9"/>
      <c r="M9"/>
      <c r="N9"/>
      <c r="O9"/>
      <c r="P9"/>
      <c r="Q9"/>
    </row>
    <row r="10" spans="2:17" ht="15" x14ac:dyDescent="0.2">
      <c r="B10" s="103">
        <v>6</v>
      </c>
      <c r="C10" s="111" t="s">
        <v>422</v>
      </c>
      <c r="D10" s="111" t="s">
        <v>417</v>
      </c>
      <c r="E10" s="112">
        <v>8</v>
      </c>
      <c r="F10" s="113">
        <v>110500</v>
      </c>
      <c r="G10" s="107"/>
      <c r="K10" s="107"/>
      <c r="L10"/>
      <c r="M10"/>
      <c r="N10"/>
      <c r="O10"/>
      <c r="P10"/>
      <c r="Q10"/>
    </row>
    <row r="11" spans="2:17" ht="15.75" thickBot="1" x14ac:dyDescent="0.25">
      <c r="B11" s="103">
        <v>7</v>
      </c>
      <c r="C11" s="111" t="s">
        <v>421</v>
      </c>
      <c r="D11" s="111" t="s">
        <v>417</v>
      </c>
      <c r="E11" s="112">
        <v>3</v>
      </c>
      <c r="F11" s="113">
        <v>36125</v>
      </c>
      <c r="G11" s="107"/>
      <c r="K11" s="107"/>
      <c r="L11"/>
      <c r="M11"/>
      <c r="N11"/>
      <c r="O11"/>
      <c r="P11"/>
      <c r="Q11"/>
    </row>
    <row r="12" spans="2:17" ht="15.75" thickBot="1" x14ac:dyDescent="0.25">
      <c r="B12" s="103">
        <v>8</v>
      </c>
      <c r="C12" s="111" t="s">
        <v>418</v>
      </c>
      <c r="D12" s="111" t="s">
        <v>416</v>
      </c>
      <c r="E12" s="112">
        <v>10</v>
      </c>
      <c r="F12" s="113">
        <v>128000</v>
      </c>
      <c r="G12" s="107"/>
      <c r="H12" s="114" t="s">
        <v>409</v>
      </c>
      <c r="I12" s="115" t="s">
        <v>413</v>
      </c>
      <c r="J12" s="116" t="s">
        <v>414</v>
      </c>
      <c r="K12" s="107"/>
      <c r="L12"/>
      <c r="M12"/>
      <c r="N12"/>
      <c r="O12"/>
      <c r="P12"/>
      <c r="Q12"/>
    </row>
    <row r="13" spans="2:17" ht="15.75" thickBot="1" x14ac:dyDescent="0.25">
      <c r="B13" s="103">
        <v>9</v>
      </c>
      <c r="C13" s="111" t="s">
        <v>423</v>
      </c>
      <c r="D13" s="111" t="s">
        <v>420</v>
      </c>
      <c r="E13" s="112">
        <v>8</v>
      </c>
      <c r="F13" s="113">
        <v>125000</v>
      </c>
      <c r="G13" s="107"/>
      <c r="H13" s="117" t="s">
        <v>415</v>
      </c>
      <c r="I13" s="118">
        <f>SUMIF($C$5:$C$51,H13,$F$5:$F$51)</f>
        <v>297270</v>
      </c>
      <c r="J13" s="118">
        <f>COUNTIF($C$5:$C$51,H13)</f>
        <v>4</v>
      </c>
      <c r="K13" s="107"/>
      <c r="L13"/>
      <c r="M13"/>
      <c r="N13"/>
      <c r="O13"/>
      <c r="P13"/>
      <c r="Q13"/>
    </row>
    <row r="14" spans="2:17" ht="15.75" thickBot="1" x14ac:dyDescent="0.25">
      <c r="B14" s="103">
        <v>10</v>
      </c>
      <c r="C14" s="111" t="s">
        <v>423</v>
      </c>
      <c r="D14" s="111" t="s">
        <v>420</v>
      </c>
      <c r="E14" s="112">
        <v>8</v>
      </c>
      <c r="F14" s="113">
        <v>109505</v>
      </c>
      <c r="G14" s="107"/>
      <c r="H14" s="119" t="s">
        <v>418</v>
      </c>
      <c r="I14" s="118">
        <f t="shared" ref="I14:I27" si="0">SUMIF($C$5:$C$51,H14,$F$5:$F$51)</f>
        <v>310230</v>
      </c>
      <c r="J14" s="118">
        <f t="shared" ref="J14:J27" si="1">COUNTIF($C$5:$C$51,H14)</f>
        <v>7</v>
      </c>
      <c r="K14" s="107"/>
      <c r="L14"/>
      <c r="M14"/>
      <c r="N14"/>
      <c r="O14"/>
      <c r="P14"/>
      <c r="Q14"/>
    </row>
    <row r="15" spans="2:17" ht="15.75" thickBot="1" x14ac:dyDescent="0.25">
      <c r="B15" s="103">
        <v>11</v>
      </c>
      <c r="C15" s="111" t="s">
        <v>423</v>
      </c>
      <c r="D15" s="111" t="s">
        <v>420</v>
      </c>
      <c r="E15" s="112">
        <v>2</v>
      </c>
      <c r="F15" s="113">
        <v>26400</v>
      </c>
      <c r="G15" s="107"/>
      <c r="H15" s="119" t="s">
        <v>424</v>
      </c>
      <c r="I15" s="118">
        <f t="shared" si="0"/>
        <v>0</v>
      </c>
      <c r="J15" s="118">
        <f t="shared" si="1"/>
        <v>0</v>
      </c>
      <c r="K15" s="107"/>
      <c r="L15"/>
      <c r="M15"/>
      <c r="N15"/>
      <c r="O15"/>
      <c r="P15"/>
      <c r="Q15"/>
    </row>
    <row r="16" spans="2:17" ht="15.75" thickBot="1" x14ac:dyDescent="0.25">
      <c r="B16" s="103">
        <v>12</v>
      </c>
      <c r="C16" s="111" t="s">
        <v>425</v>
      </c>
      <c r="D16" s="111" t="s">
        <v>416</v>
      </c>
      <c r="E16" s="112">
        <v>10</v>
      </c>
      <c r="F16" s="113">
        <v>135230</v>
      </c>
      <c r="G16" s="107"/>
      <c r="H16" s="119" t="s">
        <v>419</v>
      </c>
      <c r="I16" s="118">
        <f t="shared" si="0"/>
        <v>102430</v>
      </c>
      <c r="J16" s="118">
        <f t="shared" si="1"/>
        <v>3</v>
      </c>
      <c r="K16" s="107"/>
      <c r="L16"/>
      <c r="M16"/>
      <c r="N16"/>
      <c r="O16"/>
      <c r="P16"/>
      <c r="Q16"/>
    </row>
    <row r="17" spans="2:17" ht="15.75" thickBot="1" x14ac:dyDescent="0.25">
      <c r="B17" s="103">
        <v>13</v>
      </c>
      <c r="C17" s="111" t="s">
        <v>426</v>
      </c>
      <c r="D17" s="111" t="s">
        <v>416</v>
      </c>
      <c r="E17" s="112">
        <v>3</v>
      </c>
      <c r="F17" s="113">
        <v>29150</v>
      </c>
      <c r="G17" s="107"/>
      <c r="H17" s="119" t="s">
        <v>427</v>
      </c>
      <c r="I17" s="118">
        <f t="shared" si="0"/>
        <v>42080</v>
      </c>
      <c r="J17" s="118">
        <f t="shared" si="1"/>
        <v>3</v>
      </c>
      <c r="K17" s="107"/>
      <c r="L17"/>
      <c r="M17"/>
      <c r="N17"/>
      <c r="O17"/>
      <c r="P17"/>
      <c r="Q17"/>
    </row>
    <row r="18" spans="2:17" ht="15.75" thickBot="1" x14ac:dyDescent="0.25">
      <c r="B18" s="103">
        <v>14</v>
      </c>
      <c r="C18" s="111" t="s">
        <v>418</v>
      </c>
      <c r="D18" s="111" t="s">
        <v>416</v>
      </c>
      <c r="E18" s="112">
        <v>1</v>
      </c>
      <c r="F18" s="113">
        <v>13840</v>
      </c>
      <c r="G18" s="107"/>
      <c r="H18" s="119" t="s">
        <v>422</v>
      </c>
      <c r="I18" s="118">
        <f t="shared" si="0"/>
        <v>252160</v>
      </c>
      <c r="J18" s="118">
        <f t="shared" si="1"/>
        <v>4</v>
      </c>
      <c r="K18" s="107"/>
      <c r="L18"/>
      <c r="M18"/>
      <c r="N18"/>
      <c r="O18"/>
      <c r="P18"/>
      <c r="Q18"/>
    </row>
    <row r="19" spans="2:17" ht="15.75" thickBot="1" x14ac:dyDescent="0.25">
      <c r="B19" s="103">
        <v>15</v>
      </c>
      <c r="C19" s="111" t="s">
        <v>426</v>
      </c>
      <c r="D19" s="111" t="s">
        <v>416</v>
      </c>
      <c r="E19" s="112">
        <v>3</v>
      </c>
      <c r="F19" s="113">
        <v>34250</v>
      </c>
      <c r="G19" s="107"/>
      <c r="H19" s="119" t="s">
        <v>428</v>
      </c>
      <c r="I19" s="118">
        <f t="shared" si="0"/>
        <v>0</v>
      </c>
      <c r="J19" s="118">
        <f t="shared" si="1"/>
        <v>0</v>
      </c>
      <c r="K19" s="107"/>
      <c r="L19"/>
      <c r="M19"/>
      <c r="N19"/>
      <c r="O19"/>
      <c r="P19"/>
      <c r="Q19"/>
    </row>
    <row r="20" spans="2:17" ht="15.75" thickBot="1" x14ac:dyDescent="0.25">
      <c r="B20" s="103">
        <v>16</v>
      </c>
      <c r="C20" s="111" t="s">
        <v>415</v>
      </c>
      <c r="D20" s="111" t="s">
        <v>416</v>
      </c>
      <c r="E20" s="112">
        <v>3</v>
      </c>
      <c r="F20" s="113">
        <v>34250</v>
      </c>
      <c r="G20" s="107"/>
      <c r="H20" s="119" t="s">
        <v>421</v>
      </c>
      <c r="I20" s="118">
        <f t="shared" si="0"/>
        <v>239925</v>
      </c>
      <c r="J20" s="118">
        <f t="shared" si="1"/>
        <v>5</v>
      </c>
      <c r="K20" s="107"/>
      <c r="L20"/>
      <c r="M20"/>
      <c r="N20"/>
      <c r="O20"/>
      <c r="P20"/>
      <c r="Q20"/>
    </row>
    <row r="21" spans="2:17" ht="15.75" thickBot="1" x14ac:dyDescent="0.25">
      <c r="B21" s="103">
        <v>17</v>
      </c>
      <c r="C21" s="111" t="s">
        <v>429</v>
      </c>
      <c r="D21" s="111" t="s">
        <v>417</v>
      </c>
      <c r="E21" s="112">
        <v>4</v>
      </c>
      <c r="F21" s="113">
        <v>51250</v>
      </c>
      <c r="G21" s="107"/>
      <c r="H21" s="119" t="s">
        <v>426</v>
      </c>
      <c r="I21" s="118">
        <f t="shared" si="0"/>
        <v>89850</v>
      </c>
      <c r="J21" s="118">
        <f t="shared" si="1"/>
        <v>3</v>
      </c>
      <c r="K21" s="107"/>
      <c r="L21"/>
      <c r="M21"/>
      <c r="N21"/>
      <c r="O21"/>
      <c r="P21"/>
      <c r="Q21"/>
    </row>
    <row r="22" spans="2:17" ht="15.75" thickBot="1" x14ac:dyDescent="0.25">
      <c r="B22" s="103">
        <v>18</v>
      </c>
      <c r="C22" s="111" t="s">
        <v>421</v>
      </c>
      <c r="D22" s="111" t="s">
        <v>417</v>
      </c>
      <c r="E22" s="112">
        <v>9</v>
      </c>
      <c r="F22" s="113">
        <v>114150</v>
      </c>
      <c r="G22" s="107"/>
      <c r="H22" s="119" t="s">
        <v>423</v>
      </c>
      <c r="I22" s="118">
        <f t="shared" si="0"/>
        <v>544999</v>
      </c>
      <c r="J22" s="118">
        <f t="shared" si="1"/>
        <v>8</v>
      </c>
      <c r="K22" s="107"/>
      <c r="L22"/>
      <c r="M22"/>
      <c r="N22"/>
      <c r="O22"/>
      <c r="P22"/>
      <c r="Q22"/>
    </row>
    <row r="23" spans="2:17" ht="15.75" thickBot="1" x14ac:dyDescent="0.25">
      <c r="B23" s="103">
        <v>19</v>
      </c>
      <c r="C23" s="111" t="s">
        <v>423</v>
      </c>
      <c r="D23" s="111" t="s">
        <v>420</v>
      </c>
      <c r="E23" s="112">
        <v>1</v>
      </c>
      <c r="F23" s="113">
        <v>13500</v>
      </c>
      <c r="G23" s="107"/>
      <c r="H23" s="119" t="s">
        <v>430</v>
      </c>
      <c r="I23" s="118">
        <f t="shared" si="0"/>
        <v>0</v>
      </c>
      <c r="J23" s="118">
        <f t="shared" si="1"/>
        <v>0</v>
      </c>
      <c r="K23" s="107"/>
      <c r="L23"/>
      <c r="M23"/>
      <c r="N23"/>
      <c r="O23"/>
      <c r="P23"/>
      <c r="Q23"/>
    </row>
    <row r="24" spans="2:17" ht="15.75" thickBot="1" x14ac:dyDescent="0.25">
      <c r="B24" s="103">
        <v>20</v>
      </c>
      <c r="C24" s="111" t="s">
        <v>431</v>
      </c>
      <c r="D24" s="111" t="s">
        <v>420</v>
      </c>
      <c r="E24" s="112">
        <v>9</v>
      </c>
      <c r="F24" s="113">
        <v>108300</v>
      </c>
      <c r="G24" s="107"/>
      <c r="H24" s="119" t="s">
        <v>425</v>
      </c>
      <c r="I24" s="118">
        <f t="shared" si="0"/>
        <v>216590</v>
      </c>
      <c r="J24" s="118">
        <f t="shared" si="1"/>
        <v>2</v>
      </c>
      <c r="K24" s="107"/>
      <c r="L24"/>
      <c r="M24"/>
      <c r="N24"/>
      <c r="O24"/>
      <c r="P24"/>
      <c r="Q24"/>
    </row>
    <row r="25" spans="2:17" ht="15.75" thickBot="1" x14ac:dyDescent="0.25">
      <c r="B25" s="103">
        <v>21</v>
      </c>
      <c r="C25" s="111" t="s">
        <v>423</v>
      </c>
      <c r="D25" s="111" t="s">
        <v>420</v>
      </c>
      <c r="E25" s="112">
        <v>3</v>
      </c>
      <c r="F25" s="113">
        <v>38590</v>
      </c>
      <c r="G25" s="107"/>
      <c r="H25" s="119" t="s">
        <v>432</v>
      </c>
      <c r="I25" s="118">
        <f t="shared" si="0"/>
        <v>24200</v>
      </c>
      <c r="J25" s="118">
        <f t="shared" si="1"/>
        <v>1</v>
      </c>
      <c r="K25" s="107"/>
      <c r="L25"/>
      <c r="M25"/>
      <c r="N25"/>
      <c r="O25"/>
      <c r="P25"/>
      <c r="Q25"/>
    </row>
    <row r="26" spans="2:17" ht="15.75" thickBot="1" x14ac:dyDescent="0.25">
      <c r="B26" s="103">
        <v>22</v>
      </c>
      <c r="C26" s="111" t="s">
        <v>423</v>
      </c>
      <c r="D26" s="111" t="s">
        <v>420</v>
      </c>
      <c r="E26" s="112">
        <v>10</v>
      </c>
      <c r="F26" s="113">
        <v>111100</v>
      </c>
      <c r="G26" s="107"/>
      <c r="H26" s="119" t="s">
        <v>429</v>
      </c>
      <c r="I26" s="118">
        <f t="shared" si="0"/>
        <v>185900</v>
      </c>
      <c r="J26" s="118">
        <f t="shared" si="1"/>
        <v>4</v>
      </c>
      <c r="K26" s="107"/>
      <c r="L26"/>
      <c r="M26"/>
      <c r="N26"/>
      <c r="O26"/>
      <c r="P26"/>
      <c r="Q26"/>
    </row>
    <row r="27" spans="2:17" ht="15.75" thickBot="1" x14ac:dyDescent="0.25">
      <c r="B27" s="103">
        <v>23</v>
      </c>
      <c r="C27" s="111" t="s">
        <v>418</v>
      </c>
      <c r="D27" s="111" t="s">
        <v>416</v>
      </c>
      <c r="E27" s="112">
        <v>4</v>
      </c>
      <c r="F27" s="113">
        <v>52300</v>
      </c>
      <c r="G27" s="107"/>
      <c r="H27" s="120" t="s">
        <v>431</v>
      </c>
      <c r="I27" s="118">
        <f t="shared" si="0"/>
        <v>145550</v>
      </c>
      <c r="J27" s="118">
        <f t="shared" si="1"/>
        <v>2</v>
      </c>
      <c r="K27" s="107"/>
      <c r="L27"/>
      <c r="M27"/>
      <c r="N27"/>
      <c r="O27"/>
      <c r="P27"/>
      <c r="Q27"/>
    </row>
    <row r="28" spans="2:17" ht="15.75" thickBot="1" x14ac:dyDescent="0.25">
      <c r="B28" s="103">
        <v>24</v>
      </c>
      <c r="C28" s="111" t="s">
        <v>429</v>
      </c>
      <c r="D28" s="111" t="s">
        <v>417</v>
      </c>
      <c r="E28" s="112">
        <v>4</v>
      </c>
      <c r="F28" s="113">
        <v>52100</v>
      </c>
      <c r="G28" s="107"/>
      <c r="H28" s="121"/>
      <c r="I28" s="121"/>
      <c r="J28" s="121"/>
      <c r="K28" s="107"/>
      <c r="L28"/>
      <c r="M28"/>
      <c r="N28"/>
      <c r="O28"/>
      <c r="P28"/>
      <c r="Q28"/>
    </row>
    <row r="29" spans="2:17" ht="15.75" thickBot="1" x14ac:dyDescent="0.25">
      <c r="B29" s="103">
        <v>25</v>
      </c>
      <c r="C29" s="111" t="s">
        <v>427</v>
      </c>
      <c r="D29" s="111" t="s">
        <v>416</v>
      </c>
      <c r="E29" s="112">
        <v>1</v>
      </c>
      <c r="F29" s="113">
        <v>14250</v>
      </c>
      <c r="G29" s="107"/>
      <c r="H29" s="122" t="s">
        <v>3</v>
      </c>
      <c r="I29" s="123">
        <f>SUM(I13:I27)</f>
        <v>2451184</v>
      </c>
      <c r="J29" s="123">
        <f>SUM(J13:J27)</f>
        <v>46</v>
      </c>
      <c r="K29" s="107"/>
      <c r="L29"/>
      <c r="M29"/>
      <c r="N29"/>
      <c r="O29"/>
      <c r="P29"/>
      <c r="Q29"/>
    </row>
    <row r="30" spans="2:17" ht="15" x14ac:dyDescent="0.2">
      <c r="B30" s="103">
        <v>26</v>
      </c>
      <c r="C30" s="111" t="s">
        <v>425</v>
      </c>
      <c r="D30" s="111" t="s">
        <v>416</v>
      </c>
      <c r="E30" s="112">
        <v>7</v>
      </c>
      <c r="F30" s="113">
        <v>81360</v>
      </c>
      <c r="G30" s="107"/>
      <c r="K30" s="107"/>
      <c r="L30"/>
      <c r="M30"/>
      <c r="N30"/>
      <c r="O30"/>
      <c r="P30"/>
      <c r="Q30"/>
    </row>
    <row r="31" spans="2:17" ht="15" x14ac:dyDescent="0.2">
      <c r="B31" s="103">
        <v>27</v>
      </c>
      <c r="C31" s="111" t="s">
        <v>419</v>
      </c>
      <c r="D31" s="111" t="s">
        <v>420</v>
      </c>
      <c r="E31" s="112">
        <v>2</v>
      </c>
      <c r="F31" s="113">
        <v>25980</v>
      </c>
      <c r="G31" s="107"/>
      <c r="K31" s="107"/>
      <c r="L31"/>
      <c r="M31"/>
      <c r="N31"/>
      <c r="O31"/>
      <c r="P31"/>
      <c r="Q31"/>
    </row>
    <row r="32" spans="2:17" ht="15" x14ac:dyDescent="0.2">
      <c r="B32" s="103">
        <v>28</v>
      </c>
      <c r="C32" s="111" t="s">
        <v>418</v>
      </c>
      <c r="D32" s="111" t="s">
        <v>416</v>
      </c>
      <c r="E32" s="112">
        <v>1</v>
      </c>
      <c r="F32" s="113">
        <v>12540</v>
      </c>
      <c r="G32" s="107"/>
      <c r="K32" s="107"/>
      <c r="L32"/>
      <c r="M32"/>
      <c r="N32"/>
      <c r="O32"/>
      <c r="P32"/>
      <c r="Q32"/>
    </row>
    <row r="33" spans="2:17" ht="15" x14ac:dyDescent="0.2">
      <c r="B33" s="103">
        <v>29</v>
      </c>
      <c r="C33" s="111" t="s">
        <v>422</v>
      </c>
      <c r="D33" s="111" t="s">
        <v>417</v>
      </c>
      <c r="E33" s="112">
        <v>2</v>
      </c>
      <c r="F33" s="113">
        <v>26450</v>
      </c>
      <c r="G33" s="107"/>
      <c r="K33" s="107"/>
      <c r="L33"/>
      <c r="M33"/>
      <c r="N33"/>
      <c r="O33"/>
      <c r="P33"/>
      <c r="Q33"/>
    </row>
    <row r="34" spans="2:17" ht="15" x14ac:dyDescent="0.2">
      <c r="B34" s="103">
        <v>30</v>
      </c>
      <c r="C34" s="111" t="s">
        <v>421</v>
      </c>
      <c r="D34" s="111" t="s">
        <v>417</v>
      </c>
      <c r="E34" s="112">
        <v>3</v>
      </c>
      <c r="F34" s="113">
        <v>38400</v>
      </c>
      <c r="G34" s="107"/>
      <c r="K34" s="107"/>
      <c r="L34"/>
      <c r="M34"/>
      <c r="N34"/>
      <c r="O34"/>
      <c r="P34"/>
      <c r="Q34"/>
    </row>
    <row r="35" spans="2:17" ht="15" x14ac:dyDescent="0.2">
      <c r="B35" s="103">
        <v>31</v>
      </c>
      <c r="C35" s="111" t="s">
        <v>422</v>
      </c>
      <c r="D35" s="111" t="s">
        <v>417</v>
      </c>
      <c r="E35" s="112">
        <v>3</v>
      </c>
      <c r="F35" s="113">
        <v>38400</v>
      </c>
      <c r="G35" s="107"/>
      <c r="K35" s="107"/>
      <c r="L35"/>
      <c r="M35"/>
      <c r="N35"/>
      <c r="O35"/>
      <c r="P35"/>
      <c r="Q35"/>
    </row>
    <row r="36" spans="2:17" x14ac:dyDescent="0.2">
      <c r="B36" s="103">
        <v>32</v>
      </c>
      <c r="C36" s="111" t="s">
        <v>418</v>
      </c>
      <c r="D36" s="111" t="s">
        <v>416</v>
      </c>
      <c r="E36" s="112">
        <v>3</v>
      </c>
      <c r="F36" s="113">
        <v>39000</v>
      </c>
      <c r="G36" s="107"/>
      <c r="K36" s="107"/>
    </row>
    <row r="37" spans="2:17" x14ac:dyDescent="0.2">
      <c r="B37" s="103">
        <v>33</v>
      </c>
      <c r="C37" s="111" t="s">
        <v>433</v>
      </c>
      <c r="D37" s="111" t="s">
        <v>434</v>
      </c>
      <c r="E37" s="112">
        <v>1</v>
      </c>
      <c r="F37" s="113">
        <v>12548</v>
      </c>
      <c r="G37" s="107"/>
      <c r="K37" s="107"/>
    </row>
    <row r="38" spans="2:17" x14ac:dyDescent="0.2">
      <c r="B38" s="103">
        <v>34</v>
      </c>
      <c r="C38" s="111" t="s">
        <v>422</v>
      </c>
      <c r="D38" s="111" t="s">
        <v>417</v>
      </c>
      <c r="E38" s="112">
        <v>6</v>
      </c>
      <c r="F38" s="113">
        <v>76810</v>
      </c>
      <c r="G38" s="107"/>
      <c r="K38" s="107"/>
    </row>
    <row r="39" spans="2:17" x14ac:dyDescent="0.2">
      <c r="B39" s="103">
        <v>35</v>
      </c>
      <c r="C39" s="111" t="s">
        <v>415</v>
      </c>
      <c r="D39" s="111" t="s">
        <v>416</v>
      </c>
      <c r="E39" s="112">
        <v>11</v>
      </c>
      <c r="F39" s="113">
        <v>130000</v>
      </c>
      <c r="G39" s="107"/>
      <c r="K39" s="107"/>
    </row>
    <row r="40" spans="2:17" x14ac:dyDescent="0.2">
      <c r="B40" s="103">
        <v>36</v>
      </c>
      <c r="C40" s="111" t="s">
        <v>415</v>
      </c>
      <c r="D40" s="111" t="s">
        <v>416</v>
      </c>
      <c r="E40" s="112">
        <v>7</v>
      </c>
      <c r="F40" s="113">
        <v>83020</v>
      </c>
      <c r="G40" s="107"/>
      <c r="K40" s="107"/>
    </row>
    <row r="41" spans="2:17" x14ac:dyDescent="0.2">
      <c r="B41" s="103">
        <v>37</v>
      </c>
      <c r="C41" s="111" t="s">
        <v>423</v>
      </c>
      <c r="D41" s="111" t="s">
        <v>420</v>
      </c>
      <c r="E41" s="112">
        <v>3</v>
      </c>
      <c r="F41" s="113">
        <v>32780</v>
      </c>
      <c r="G41" s="107"/>
      <c r="H41" s="107"/>
      <c r="I41" s="107"/>
      <c r="J41" s="107"/>
      <c r="K41" s="107"/>
    </row>
    <row r="42" spans="2:17" x14ac:dyDescent="0.2">
      <c r="B42" s="103">
        <v>38</v>
      </c>
      <c r="C42" s="111" t="s">
        <v>431</v>
      </c>
      <c r="D42" s="111" t="s">
        <v>420</v>
      </c>
      <c r="E42" s="112">
        <v>3</v>
      </c>
      <c r="F42" s="113">
        <v>37250</v>
      </c>
      <c r="G42" s="107"/>
      <c r="H42" s="107"/>
      <c r="I42" s="107"/>
      <c r="J42" s="107"/>
      <c r="K42" s="107"/>
    </row>
    <row r="43" spans="2:17" x14ac:dyDescent="0.2">
      <c r="B43" s="103">
        <v>39</v>
      </c>
      <c r="C43" s="111" t="s">
        <v>421</v>
      </c>
      <c r="D43" s="111" t="s">
        <v>417</v>
      </c>
      <c r="E43" s="112">
        <v>2</v>
      </c>
      <c r="F43" s="113">
        <v>26450</v>
      </c>
      <c r="G43" s="107"/>
      <c r="H43" s="107"/>
      <c r="I43" s="107"/>
      <c r="J43" s="107"/>
      <c r="K43" s="107"/>
    </row>
    <row r="44" spans="2:17" x14ac:dyDescent="0.2">
      <c r="B44" s="103">
        <v>40</v>
      </c>
      <c r="C44" s="111" t="s">
        <v>432</v>
      </c>
      <c r="D44" s="111" t="s">
        <v>434</v>
      </c>
      <c r="E44" s="112">
        <v>2</v>
      </c>
      <c r="F44" s="113">
        <v>24200</v>
      </c>
      <c r="G44" s="107"/>
      <c r="H44" s="107"/>
      <c r="I44" s="107"/>
      <c r="J44" s="107"/>
      <c r="K44" s="107"/>
    </row>
    <row r="45" spans="2:17" x14ac:dyDescent="0.2">
      <c r="B45" s="103">
        <v>41</v>
      </c>
      <c r="C45" s="111" t="s">
        <v>427</v>
      </c>
      <c r="D45" s="111" t="s">
        <v>416</v>
      </c>
      <c r="E45" s="112">
        <v>1</v>
      </c>
      <c r="F45" s="113">
        <v>13580</v>
      </c>
      <c r="G45" s="107"/>
      <c r="H45" s="107"/>
      <c r="I45" s="107"/>
      <c r="J45" s="107"/>
      <c r="K45" s="107"/>
    </row>
    <row r="46" spans="2:17" x14ac:dyDescent="0.2">
      <c r="B46" s="103">
        <v>42</v>
      </c>
      <c r="C46" s="111" t="s">
        <v>426</v>
      </c>
      <c r="D46" s="111" t="s">
        <v>416</v>
      </c>
      <c r="E46" s="112">
        <v>2</v>
      </c>
      <c r="F46" s="113">
        <v>26450</v>
      </c>
      <c r="G46" s="107"/>
      <c r="H46" s="107"/>
      <c r="I46" s="107"/>
      <c r="J46" s="107"/>
      <c r="K46" s="107"/>
    </row>
    <row r="47" spans="2:17" x14ac:dyDescent="0.2">
      <c r="B47" s="103">
        <v>43</v>
      </c>
      <c r="C47" s="111" t="s">
        <v>429</v>
      </c>
      <c r="D47" s="111" t="s">
        <v>417</v>
      </c>
      <c r="E47" s="112">
        <v>3</v>
      </c>
      <c r="F47" s="113">
        <v>30450</v>
      </c>
      <c r="G47" s="107"/>
      <c r="H47" s="107"/>
      <c r="I47" s="107"/>
      <c r="J47" s="107"/>
      <c r="K47" s="107"/>
    </row>
    <row r="48" spans="2:17" x14ac:dyDescent="0.2">
      <c r="B48" s="103">
        <v>44</v>
      </c>
      <c r="C48" s="111" t="s">
        <v>418</v>
      </c>
      <c r="D48" s="111" t="s">
        <v>416</v>
      </c>
      <c r="E48" s="112">
        <v>4</v>
      </c>
      <c r="F48" s="113">
        <v>52300</v>
      </c>
      <c r="G48" s="107"/>
      <c r="H48" s="107"/>
      <c r="I48" s="107"/>
      <c r="J48" s="107"/>
      <c r="K48" s="107"/>
    </row>
    <row r="49" spans="2:11" x14ac:dyDescent="0.2">
      <c r="B49" s="103">
        <v>45</v>
      </c>
      <c r="C49" s="111" t="s">
        <v>429</v>
      </c>
      <c r="D49" s="111" t="s">
        <v>417</v>
      </c>
      <c r="E49" s="112">
        <v>4</v>
      </c>
      <c r="F49" s="113">
        <v>52100</v>
      </c>
      <c r="G49" s="107"/>
      <c r="H49" s="107"/>
      <c r="I49" s="107"/>
      <c r="J49" s="107"/>
      <c r="K49" s="107"/>
    </row>
    <row r="50" spans="2:11" x14ac:dyDescent="0.2">
      <c r="B50" s="103">
        <v>46</v>
      </c>
      <c r="C50" s="111" t="s">
        <v>427</v>
      </c>
      <c r="D50" s="111" t="s">
        <v>416</v>
      </c>
      <c r="E50" s="112">
        <v>1</v>
      </c>
      <c r="F50" s="113">
        <v>14250</v>
      </c>
      <c r="G50" s="107"/>
      <c r="H50" s="107"/>
      <c r="I50" s="107"/>
      <c r="J50" s="107"/>
      <c r="K50" s="107"/>
    </row>
    <row r="51" spans="2:11" x14ac:dyDescent="0.2">
      <c r="B51" s="103">
        <v>47</v>
      </c>
      <c r="C51" s="111" t="s">
        <v>423</v>
      </c>
      <c r="D51" s="111" t="s">
        <v>420</v>
      </c>
      <c r="E51" s="112">
        <v>7</v>
      </c>
      <c r="F51" s="113">
        <v>88124</v>
      </c>
      <c r="G51" s="107"/>
      <c r="H51" s="107"/>
      <c r="I51" s="107"/>
      <c r="J51" s="107"/>
      <c r="K51" s="107"/>
    </row>
    <row r="52" spans="2:11" x14ac:dyDescent="0.2">
      <c r="B52" s="124"/>
      <c r="C52" s="107"/>
      <c r="D52" s="107"/>
      <c r="E52" s="124"/>
      <c r="F52" s="125"/>
      <c r="G52" s="107"/>
      <c r="H52" s="107"/>
      <c r="I52" s="107"/>
      <c r="J52" s="107"/>
      <c r="K52" s="107"/>
    </row>
    <row r="53" spans="2:11" x14ac:dyDescent="0.2">
      <c r="B53" s="124"/>
      <c r="C53" s="107"/>
      <c r="D53" s="107"/>
      <c r="E53" s="124"/>
      <c r="F53" s="107"/>
      <c r="G53" s="107"/>
      <c r="H53" s="107"/>
      <c r="I53" s="107"/>
      <c r="J53" s="107"/>
      <c r="K53" s="107"/>
    </row>
    <row r="54" spans="2:11" x14ac:dyDescent="0.2">
      <c r="B54" s="124"/>
      <c r="C54" s="107"/>
      <c r="D54" s="107"/>
      <c r="E54" s="124"/>
      <c r="F54" s="107"/>
      <c r="G54" s="107"/>
      <c r="H54" s="107"/>
      <c r="I54" s="107"/>
      <c r="J54" s="107"/>
      <c r="K54" s="107"/>
    </row>
    <row r="55" spans="2:11" x14ac:dyDescent="0.2">
      <c r="B55" s="124"/>
      <c r="C55" s="107"/>
      <c r="D55" s="107"/>
      <c r="E55" s="124"/>
      <c r="F55" s="107"/>
      <c r="G55" s="107"/>
      <c r="H55" s="107"/>
      <c r="I55" s="107"/>
      <c r="J55" s="107"/>
      <c r="K55" s="107"/>
    </row>
    <row r="56" spans="2:11" x14ac:dyDescent="0.2">
      <c r="B56" s="124"/>
      <c r="C56" s="107"/>
      <c r="D56" s="107"/>
      <c r="E56" s="124"/>
      <c r="F56" s="107"/>
      <c r="G56" s="107"/>
      <c r="H56" s="107"/>
      <c r="I56" s="107"/>
      <c r="J56" s="107"/>
      <c r="K56" s="107"/>
    </row>
    <row r="57" spans="2:11" x14ac:dyDescent="0.2">
      <c r="B57" s="124"/>
      <c r="C57" s="107"/>
      <c r="D57" s="107"/>
      <c r="E57" s="124"/>
      <c r="F57" s="107"/>
      <c r="G57" s="107"/>
      <c r="H57" s="107"/>
      <c r="I57" s="107"/>
      <c r="J57" s="107"/>
      <c r="K57" s="107"/>
    </row>
    <row r="58" spans="2:11" x14ac:dyDescent="0.2">
      <c r="B58" s="124"/>
      <c r="C58" s="107"/>
      <c r="D58" s="107"/>
      <c r="E58" s="124"/>
      <c r="F58" s="107"/>
      <c r="G58" s="107"/>
      <c r="H58" s="107"/>
      <c r="I58" s="107"/>
      <c r="J58" s="107"/>
      <c r="K58" s="107"/>
    </row>
    <row r="59" spans="2:11" x14ac:dyDescent="0.2">
      <c r="B59" s="124"/>
      <c r="C59" s="107"/>
      <c r="D59" s="107"/>
      <c r="E59" s="124"/>
      <c r="F59" s="107"/>
      <c r="G59" s="107"/>
      <c r="H59" s="107"/>
      <c r="I59" s="107"/>
      <c r="J59" s="107"/>
      <c r="K59" s="107"/>
    </row>
    <row r="60" spans="2:11" x14ac:dyDescent="0.2">
      <c r="B60" s="124"/>
      <c r="C60" s="107"/>
      <c r="D60" s="107"/>
      <c r="E60" s="124"/>
      <c r="F60" s="107"/>
      <c r="G60" s="107"/>
      <c r="H60" s="107"/>
      <c r="I60" s="107"/>
      <c r="J60" s="107"/>
      <c r="K60" s="107"/>
    </row>
    <row r="61" spans="2:11" x14ac:dyDescent="0.2">
      <c r="B61" s="124"/>
      <c r="C61" s="107"/>
      <c r="D61" s="107"/>
      <c r="E61" s="124"/>
      <c r="F61" s="107"/>
      <c r="G61" s="107"/>
      <c r="H61" s="107"/>
      <c r="I61" s="107"/>
      <c r="J61" s="107"/>
      <c r="K61" s="107"/>
    </row>
    <row r="62" spans="2:11" x14ac:dyDescent="0.2">
      <c r="B62" s="124"/>
      <c r="C62" s="107"/>
      <c r="D62" s="107"/>
      <c r="E62" s="124"/>
      <c r="F62" s="107"/>
      <c r="G62" s="107"/>
      <c r="H62" s="107"/>
      <c r="I62" s="107"/>
      <c r="J62" s="107"/>
      <c r="K62" s="107"/>
    </row>
    <row r="63" spans="2:11" x14ac:dyDescent="0.2">
      <c r="B63" s="124"/>
      <c r="C63" s="107"/>
      <c r="D63" s="107"/>
      <c r="E63" s="124"/>
      <c r="F63" s="107"/>
      <c r="G63" s="107"/>
      <c r="H63" s="107"/>
      <c r="I63" s="107"/>
      <c r="J63" s="107"/>
      <c r="K63" s="107"/>
    </row>
    <row r="64" spans="2:11" x14ac:dyDescent="0.2">
      <c r="B64" s="124"/>
      <c r="C64" s="107"/>
      <c r="D64" s="107"/>
      <c r="E64" s="124"/>
      <c r="F64" s="107"/>
      <c r="G64" s="107"/>
      <c r="H64" s="107"/>
      <c r="I64" s="107"/>
      <c r="J64" s="107"/>
      <c r="K64" s="107"/>
    </row>
    <row r="65" spans="2:11" x14ac:dyDescent="0.2">
      <c r="B65" s="124"/>
      <c r="C65" s="107"/>
      <c r="D65" s="107"/>
      <c r="E65" s="124"/>
      <c r="F65" s="107"/>
      <c r="G65" s="107"/>
      <c r="H65" s="107"/>
      <c r="I65" s="107"/>
      <c r="J65" s="107"/>
      <c r="K65" s="107"/>
    </row>
    <row r="66" spans="2:11" x14ac:dyDescent="0.2">
      <c r="B66" s="124"/>
      <c r="C66" s="107"/>
      <c r="D66" s="107"/>
      <c r="E66" s="124"/>
      <c r="F66" s="107"/>
      <c r="G66" s="107"/>
      <c r="H66" s="107"/>
      <c r="I66" s="107"/>
      <c r="J66" s="107"/>
      <c r="K66" s="107"/>
    </row>
    <row r="67" spans="2:11" x14ac:dyDescent="0.2">
      <c r="B67" s="124"/>
      <c r="C67" s="107"/>
      <c r="D67" s="107"/>
      <c r="E67" s="124"/>
      <c r="F67" s="107"/>
      <c r="G67" s="107"/>
      <c r="H67" s="107"/>
      <c r="I67" s="107"/>
      <c r="J67" s="107"/>
      <c r="K67" s="107"/>
    </row>
    <row r="68" spans="2:11" x14ac:dyDescent="0.2">
      <c r="B68" s="124"/>
      <c r="C68" s="107"/>
      <c r="D68" s="107"/>
      <c r="E68" s="124"/>
      <c r="F68" s="107"/>
      <c r="G68" s="107"/>
      <c r="H68" s="107"/>
      <c r="I68" s="107"/>
      <c r="J68" s="107"/>
      <c r="K68" s="107"/>
    </row>
    <row r="69" spans="2:11" x14ac:dyDescent="0.2">
      <c r="B69" s="124"/>
      <c r="C69" s="107"/>
      <c r="D69" s="107"/>
      <c r="E69" s="124"/>
      <c r="F69" s="107"/>
      <c r="G69" s="107"/>
      <c r="H69" s="107"/>
      <c r="I69" s="107"/>
      <c r="J69" s="107"/>
      <c r="K69" s="107"/>
    </row>
    <row r="70" spans="2:11" x14ac:dyDescent="0.2">
      <c r="B70" s="124"/>
      <c r="C70" s="107"/>
      <c r="D70" s="107"/>
      <c r="E70" s="124"/>
      <c r="F70" s="107"/>
      <c r="G70" s="107"/>
      <c r="H70" s="107"/>
      <c r="I70" s="107"/>
      <c r="J70" s="107"/>
      <c r="K70" s="107"/>
    </row>
    <row r="71" spans="2:11" x14ac:dyDescent="0.2">
      <c r="B71" s="124"/>
      <c r="C71" s="107"/>
      <c r="D71" s="107"/>
      <c r="E71" s="124"/>
      <c r="F71" s="107"/>
      <c r="G71" s="107"/>
      <c r="H71" s="107"/>
      <c r="I71" s="107"/>
      <c r="J71" s="107"/>
      <c r="K71" s="107"/>
    </row>
    <row r="72" spans="2:11" x14ac:dyDescent="0.2">
      <c r="B72" s="124"/>
      <c r="C72" s="107"/>
      <c r="D72" s="107"/>
      <c r="E72" s="124"/>
      <c r="F72" s="107"/>
      <c r="G72" s="107"/>
      <c r="H72" s="107"/>
      <c r="I72" s="107"/>
      <c r="J72" s="107"/>
      <c r="K72" s="107"/>
    </row>
    <row r="73" spans="2:11" x14ac:dyDescent="0.2">
      <c r="B73" s="124"/>
      <c r="C73" s="107"/>
      <c r="D73" s="107"/>
      <c r="E73" s="124"/>
      <c r="F73" s="107"/>
      <c r="G73" s="107"/>
      <c r="H73" s="107"/>
      <c r="I73" s="107"/>
      <c r="J73" s="107"/>
      <c r="K73" s="107"/>
    </row>
    <row r="74" spans="2:11" x14ac:dyDescent="0.2">
      <c r="B74" s="124"/>
      <c r="C74" s="107"/>
      <c r="D74" s="107"/>
      <c r="E74" s="124"/>
      <c r="F74" s="107"/>
      <c r="G74" s="107"/>
      <c r="H74" s="107"/>
      <c r="I74" s="107"/>
      <c r="J74" s="107"/>
      <c r="K74" s="107"/>
    </row>
    <row r="75" spans="2:11" x14ac:dyDescent="0.2">
      <c r="B75" s="124"/>
      <c r="C75" s="107"/>
      <c r="D75" s="107"/>
      <c r="E75" s="124"/>
      <c r="F75" s="107"/>
      <c r="G75" s="107"/>
      <c r="H75" s="107"/>
      <c r="I75" s="107"/>
      <c r="J75" s="107"/>
      <c r="K75" s="107"/>
    </row>
    <row r="76" spans="2:11" x14ac:dyDescent="0.2">
      <c r="B76" s="124"/>
      <c r="C76" s="107"/>
      <c r="D76" s="107"/>
      <c r="E76" s="124"/>
      <c r="F76" s="107"/>
      <c r="G76" s="107"/>
      <c r="H76" s="107"/>
      <c r="I76" s="107"/>
      <c r="J76" s="107"/>
      <c r="K76" s="107"/>
    </row>
    <row r="77" spans="2:11" x14ac:dyDescent="0.2">
      <c r="B77" s="124"/>
      <c r="C77" s="107"/>
      <c r="D77" s="107"/>
      <c r="E77" s="124"/>
      <c r="F77" s="107"/>
      <c r="G77" s="107"/>
      <c r="H77" s="107"/>
      <c r="I77" s="107"/>
      <c r="J77" s="107"/>
      <c r="K77" s="107"/>
    </row>
    <row r="78" spans="2:11" x14ac:dyDescent="0.2">
      <c r="B78" s="124"/>
      <c r="C78" s="107"/>
      <c r="D78" s="107"/>
      <c r="E78" s="124"/>
      <c r="F78" s="107"/>
      <c r="G78" s="107"/>
      <c r="H78" s="107"/>
      <c r="I78" s="107"/>
      <c r="J78" s="107"/>
      <c r="K78" s="107"/>
    </row>
    <row r="79" spans="2:11" x14ac:dyDescent="0.2">
      <c r="B79" s="124"/>
      <c r="C79" s="107"/>
      <c r="D79" s="107"/>
      <c r="E79" s="124"/>
      <c r="F79" s="107"/>
      <c r="G79" s="107"/>
      <c r="H79" s="107"/>
      <c r="I79" s="107"/>
      <c r="J79" s="107"/>
      <c r="K79" s="107"/>
    </row>
    <row r="80" spans="2:11" x14ac:dyDescent="0.2">
      <c r="B80" s="124"/>
      <c r="C80" s="107"/>
      <c r="D80" s="107"/>
      <c r="E80" s="124"/>
      <c r="F80" s="107"/>
      <c r="G80" s="107"/>
      <c r="H80" s="107"/>
      <c r="I80" s="107"/>
      <c r="J80" s="107"/>
      <c r="K80" s="107"/>
    </row>
    <row r="81" spans="2:11" x14ac:dyDescent="0.2">
      <c r="B81" s="124"/>
      <c r="C81" s="107"/>
      <c r="D81" s="107"/>
      <c r="E81" s="124"/>
      <c r="F81" s="107"/>
      <c r="G81" s="107"/>
      <c r="H81" s="107"/>
      <c r="I81" s="107"/>
      <c r="J81" s="107"/>
      <c r="K81" s="107"/>
    </row>
    <row r="82" spans="2:11" x14ac:dyDescent="0.2">
      <c r="B82" s="124"/>
      <c r="C82" s="107"/>
      <c r="D82" s="107"/>
      <c r="E82" s="124"/>
      <c r="F82" s="107"/>
      <c r="G82" s="107"/>
      <c r="H82" s="107"/>
      <c r="I82" s="107"/>
      <c r="J82" s="107"/>
      <c r="K82" s="107"/>
    </row>
    <row r="83" spans="2:11" x14ac:dyDescent="0.2">
      <c r="B83" s="124"/>
      <c r="C83" s="107"/>
      <c r="D83" s="107"/>
      <c r="E83" s="124"/>
      <c r="F83" s="107"/>
      <c r="G83" s="107"/>
      <c r="H83" s="107"/>
      <c r="I83" s="107"/>
      <c r="J83" s="107"/>
      <c r="K83" s="107"/>
    </row>
    <row r="84" spans="2:11" x14ac:dyDescent="0.2">
      <c r="B84" s="124"/>
      <c r="C84" s="107"/>
      <c r="D84" s="107"/>
      <c r="E84" s="124"/>
      <c r="F84" s="107"/>
      <c r="G84" s="107"/>
      <c r="H84" s="107"/>
      <c r="I84" s="107"/>
      <c r="J84" s="107"/>
      <c r="K84" s="107"/>
    </row>
    <row r="85" spans="2:11" x14ac:dyDescent="0.2">
      <c r="B85" s="124"/>
      <c r="C85" s="107"/>
      <c r="D85" s="107"/>
      <c r="E85" s="124"/>
      <c r="F85" s="107"/>
      <c r="G85" s="107"/>
      <c r="H85" s="107"/>
      <c r="I85" s="107"/>
      <c r="J85" s="107"/>
      <c r="K85" s="107"/>
    </row>
    <row r="86" spans="2:11" x14ac:dyDescent="0.2">
      <c r="B86" s="124"/>
      <c r="C86" s="107"/>
      <c r="D86" s="107"/>
      <c r="E86" s="124"/>
      <c r="F86" s="107"/>
      <c r="G86" s="107"/>
      <c r="H86" s="107"/>
      <c r="I86" s="107"/>
      <c r="J86" s="107"/>
      <c r="K86" s="107"/>
    </row>
    <row r="87" spans="2:11" x14ac:dyDescent="0.2">
      <c r="B87" s="124"/>
      <c r="C87" s="107"/>
      <c r="D87" s="107"/>
      <c r="E87" s="124"/>
      <c r="F87" s="107"/>
      <c r="G87" s="107"/>
      <c r="H87" s="107"/>
      <c r="I87" s="107"/>
      <c r="J87" s="107"/>
      <c r="K87" s="107"/>
    </row>
    <row r="88" spans="2:11" x14ac:dyDescent="0.2">
      <c r="B88" s="124"/>
      <c r="C88" s="107"/>
      <c r="D88" s="107"/>
      <c r="E88" s="124"/>
      <c r="F88" s="107"/>
      <c r="G88" s="107"/>
      <c r="H88" s="107"/>
      <c r="I88" s="107"/>
      <c r="J88" s="107"/>
      <c r="K88" s="107"/>
    </row>
    <row r="89" spans="2:11" x14ac:dyDescent="0.2">
      <c r="B89" s="124"/>
      <c r="C89" s="107"/>
      <c r="D89" s="107"/>
      <c r="E89" s="124"/>
      <c r="F89" s="107"/>
      <c r="G89" s="107"/>
      <c r="H89" s="107"/>
      <c r="I89" s="107"/>
      <c r="J89" s="107"/>
      <c r="K89" s="107"/>
    </row>
    <row r="90" spans="2:11" x14ac:dyDescent="0.2">
      <c r="B90" s="124"/>
      <c r="C90" s="107"/>
      <c r="D90" s="107"/>
      <c r="E90" s="124"/>
      <c r="F90" s="107"/>
      <c r="G90" s="107"/>
      <c r="H90" s="107"/>
      <c r="I90" s="107"/>
      <c r="J90" s="107"/>
      <c r="K90" s="107"/>
    </row>
    <row r="91" spans="2:11" x14ac:dyDescent="0.2">
      <c r="B91" s="124"/>
      <c r="C91" s="107"/>
      <c r="D91" s="107"/>
      <c r="E91" s="124"/>
      <c r="F91" s="107"/>
      <c r="G91" s="107"/>
      <c r="H91" s="107"/>
      <c r="I91" s="107"/>
      <c r="J91" s="107"/>
      <c r="K91" s="107"/>
    </row>
    <row r="92" spans="2:11" x14ac:dyDescent="0.2">
      <c r="B92" s="124"/>
      <c r="C92" s="107"/>
      <c r="D92" s="107"/>
      <c r="E92" s="124"/>
      <c r="F92" s="107"/>
      <c r="G92" s="107"/>
      <c r="H92" s="107"/>
      <c r="I92" s="107"/>
      <c r="J92" s="107"/>
      <c r="K92" s="107"/>
    </row>
    <row r="93" spans="2:11" x14ac:dyDescent="0.2">
      <c r="B93" s="124"/>
      <c r="C93" s="107"/>
      <c r="D93" s="107"/>
      <c r="E93" s="124"/>
      <c r="F93" s="107"/>
      <c r="G93" s="107"/>
      <c r="H93" s="107"/>
      <c r="I93" s="107"/>
      <c r="J93" s="107"/>
      <c r="K93" s="107"/>
    </row>
    <row r="94" spans="2:11" x14ac:dyDescent="0.2">
      <c r="B94" s="124"/>
      <c r="C94" s="107"/>
      <c r="D94" s="107"/>
      <c r="E94" s="124"/>
      <c r="F94" s="107"/>
      <c r="G94" s="107"/>
      <c r="H94" s="107"/>
      <c r="I94" s="107"/>
      <c r="J94" s="107"/>
      <c r="K94" s="107"/>
    </row>
    <row r="95" spans="2:11" x14ac:dyDescent="0.2">
      <c r="B95" s="124"/>
      <c r="C95" s="107"/>
      <c r="D95" s="107"/>
      <c r="E95" s="124"/>
      <c r="F95" s="107"/>
      <c r="G95" s="107"/>
      <c r="H95" s="107"/>
      <c r="I95" s="107"/>
      <c r="J95" s="107"/>
      <c r="K95" s="107"/>
    </row>
    <row r="96" spans="2:11" x14ac:dyDescent="0.2">
      <c r="B96" s="124"/>
      <c r="C96" s="107"/>
      <c r="D96" s="107"/>
      <c r="E96" s="124"/>
      <c r="F96" s="107"/>
      <c r="G96" s="107"/>
      <c r="H96" s="107"/>
      <c r="I96" s="107"/>
      <c r="J96" s="107"/>
      <c r="K96" s="107"/>
    </row>
    <row r="97" spans="2:11" x14ac:dyDescent="0.2">
      <c r="B97" s="124"/>
      <c r="C97" s="107"/>
      <c r="D97" s="107"/>
      <c r="E97" s="124"/>
      <c r="F97" s="107"/>
      <c r="G97" s="107"/>
      <c r="H97" s="107"/>
      <c r="I97" s="107"/>
      <c r="J97" s="107"/>
      <c r="K97" s="107"/>
    </row>
    <row r="98" spans="2:11" x14ac:dyDescent="0.2">
      <c r="B98" s="124"/>
      <c r="C98" s="107"/>
      <c r="D98" s="107"/>
      <c r="E98" s="124"/>
      <c r="F98" s="107"/>
      <c r="G98" s="107"/>
      <c r="H98" s="107"/>
      <c r="I98" s="107"/>
      <c r="J98" s="107"/>
      <c r="K98" s="107"/>
    </row>
    <row r="99" spans="2:11" x14ac:dyDescent="0.2">
      <c r="B99" s="124"/>
      <c r="C99" s="107"/>
      <c r="D99" s="107"/>
      <c r="E99" s="124"/>
      <c r="F99" s="107"/>
      <c r="G99" s="107"/>
      <c r="H99" s="107"/>
      <c r="I99" s="107"/>
      <c r="J99" s="107"/>
      <c r="K99" s="107"/>
    </row>
    <row r="100" spans="2:11" x14ac:dyDescent="0.2">
      <c r="B100" s="124"/>
      <c r="C100" s="107"/>
      <c r="D100" s="107"/>
      <c r="E100" s="124"/>
      <c r="F100" s="107"/>
      <c r="G100" s="107"/>
      <c r="H100" s="107"/>
      <c r="I100" s="107"/>
      <c r="J100" s="107"/>
      <c r="K100" s="107"/>
    </row>
    <row r="101" spans="2:11" x14ac:dyDescent="0.2">
      <c r="B101" s="124"/>
      <c r="C101" s="107"/>
      <c r="D101" s="107"/>
      <c r="E101" s="124"/>
      <c r="F101" s="107"/>
      <c r="G101" s="107"/>
      <c r="H101" s="107"/>
      <c r="I101" s="107"/>
      <c r="J101" s="107"/>
      <c r="K101" s="107"/>
    </row>
    <row r="102" spans="2:11" x14ac:dyDescent="0.2">
      <c r="B102" s="124"/>
      <c r="C102" s="107"/>
      <c r="D102" s="107"/>
      <c r="E102" s="124"/>
      <c r="F102" s="107"/>
      <c r="G102" s="107"/>
      <c r="H102" s="107"/>
      <c r="I102" s="107"/>
      <c r="J102" s="107"/>
      <c r="K102" s="107"/>
    </row>
    <row r="103" spans="2:11" x14ac:dyDescent="0.2">
      <c r="B103" s="124"/>
      <c r="C103" s="107"/>
      <c r="D103" s="107"/>
      <c r="E103" s="124"/>
      <c r="F103" s="107"/>
      <c r="G103" s="107"/>
      <c r="H103" s="107"/>
      <c r="I103" s="107"/>
      <c r="J103" s="107"/>
      <c r="K103" s="107"/>
    </row>
    <row r="104" spans="2:11" x14ac:dyDescent="0.2">
      <c r="B104" s="124"/>
      <c r="C104" s="107"/>
      <c r="D104" s="107"/>
      <c r="E104" s="124"/>
      <c r="F104" s="107"/>
      <c r="G104" s="107"/>
      <c r="H104" s="107"/>
      <c r="I104" s="107"/>
      <c r="J104" s="107"/>
      <c r="K104" s="107"/>
    </row>
    <row r="105" spans="2:11" x14ac:dyDescent="0.2">
      <c r="B105" s="124"/>
      <c r="C105" s="107"/>
      <c r="D105" s="107"/>
      <c r="E105" s="124"/>
      <c r="F105" s="107"/>
      <c r="G105" s="107"/>
      <c r="H105" s="107"/>
      <c r="I105" s="107"/>
      <c r="J105" s="107"/>
      <c r="K105" s="107"/>
    </row>
    <row r="106" spans="2:11" x14ac:dyDescent="0.2">
      <c r="B106" s="124"/>
      <c r="C106" s="107"/>
      <c r="D106" s="107"/>
      <c r="E106" s="124"/>
      <c r="F106" s="107"/>
      <c r="G106" s="107"/>
      <c r="H106" s="107"/>
      <c r="I106" s="107"/>
      <c r="J106" s="107"/>
      <c r="K106" s="107"/>
    </row>
    <row r="107" spans="2:11" x14ac:dyDescent="0.2">
      <c r="B107" s="124"/>
      <c r="C107" s="107"/>
      <c r="D107" s="107"/>
      <c r="E107" s="124"/>
      <c r="F107" s="107"/>
      <c r="G107" s="107"/>
      <c r="H107" s="107"/>
      <c r="I107" s="107"/>
      <c r="J107" s="107"/>
      <c r="K107" s="107"/>
    </row>
    <row r="108" spans="2:11" x14ac:dyDescent="0.2">
      <c r="B108" s="124"/>
      <c r="C108" s="107"/>
      <c r="D108" s="107"/>
      <c r="E108" s="124"/>
      <c r="F108" s="107"/>
      <c r="G108" s="107"/>
      <c r="H108" s="107"/>
      <c r="I108" s="107"/>
      <c r="J108" s="107"/>
      <c r="K108" s="107"/>
    </row>
    <row r="109" spans="2:11" x14ac:dyDescent="0.2">
      <c r="B109" s="124"/>
      <c r="C109" s="107"/>
      <c r="D109" s="107"/>
      <c r="E109" s="124"/>
      <c r="F109" s="107"/>
      <c r="G109" s="107"/>
      <c r="H109" s="107"/>
      <c r="I109" s="107"/>
      <c r="J109" s="107"/>
      <c r="K109" s="107"/>
    </row>
    <row r="110" spans="2:11" x14ac:dyDescent="0.2">
      <c r="B110" s="124"/>
      <c r="C110" s="107"/>
      <c r="D110" s="107"/>
      <c r="E110" s="124"/>
      <c r="F110" s="107"/>
      <c r="G110" s="107"/>
      <c r="H110" s="107"/>
      <c r="I110" s="107"/>
      <c r="J110" s="107"/>
      <c r="K110" s="107"/>
    </row>
    <row r="111" spans="2:11" x14ac:dyDescent="0.2">
      <c r="B111" s="124"/>
      <c r="C111" s="107"/>
      <c r="D111" s="107"/>
      <c r="E111" s="124"/>
      <c r="F111" s="107"/>
      <c r="G111" s="107"/>
      <c r="H111" s="107"/>
      <c r="I111" s="107"/>
      <c r="J111" s="107"/>
      <c r="K111" s="107"/>
    </row>
    <row r="112" spans="2:11" x14ac:dyDescent="0.2">
      <c r="B112" s="124"/>
      <c r="C112" s="107"/>
      <c r="D112" s="107"/>
      <c r="E112" s="124"/>
      <c r="F112" s="107"/>
      <c r="G112" s="107"/>
      <c r="H112" s="107"/>
      <c r="I112" s="107"/>
      <c r="J112" s="107"/>
      <c r="K112" s="107"/>
    </row>
    <row r="113" spans="2:11" x14ac:dyDescent="0.2">
      <c r="B113" s="124"/>
      <c r="C113" s="107"/>
      <c r="D113" s="107"/>
      <c r="E113" s="124"/>
      <c r="F113" s="107"/>
      <c r="G113" s="107"/>
      <c r="H113" s="107"/>
      <c r="I113" s="107"/>
      <c r="J113" s="107"/>
      <c r="K113" s="107"/>
    </row>
    <row r="114" spans="2:11" x14ac:dyDescent="0.2">
      <c r="B114" s="124"/>
      <c r="C114" s="107"/>
      <c r="D114" s="107"/>
      <c r="E114" s="124"/>
      <c r="F114" s="107"/>
      <c r="G114" s="107"/>
      <c r="H114" s="107"/>
      <c r="I114" s="107"/>
      <c r="J114" s="107"/>
      <c r="K114" s="107"/>
    </row>
    <row r="115" spans="2:11" x14ac:dyDescent="0.2">
      <c r="B115" s="124"/>
      <c r="C115" s="107"/>
      <c r="D115" s="107"/>
      <c r="E115" s="124"/>
      <c r="F115" s="107"/>
      <c r="G115" s="107"/>
      <c r="H115" s="107"/>
      <c r="I115" s="107"/>
      <c r="J115" s="107"/>
      <c r="K115" s="107"/>
    </row>
    <row r="116" spans="2:11" x14ac:dyDescent="0.2">
      <c r="B116" s="124"/>
      <c r="C116" s="107"/>
      <c r="D116" s="107"/>
      <c r="E116" s="124"/>
      <c r="F116" s="107"/>
      <c r="G116" s="107"/>
      <c r="H116" s="107"/>
      <c r="I116" s="107"/>
      <c r="J116" s="107"/>
      <c r="K116" s="107"/>
    </row>
    <row r="117" spans="2:11" x14ac:dyDescent="0.2">
      <c r="B117" s="124"/>
      <c r="C117" s="107"/>
      <c r="D117" s="107"/>
      <c r="E117" s="124"/>
      <c r="F117" s="107"/>
      <c r="G117" s="107"/>
      <c r="H117" s="107"/>
      <c r="I117" s="107"/>
      <c r="J117" s="107"/>
      <c r="K117" s="107"/>
    </row>
    <row r="118" spans="2:11" x14ac:dyDescent="0.2">
      <c r="B118" s="124"/>
      <c r="C118" s="107"/>
      <c r="D118" s="107"/>
      <c r="E118" s="124"/>
      <c r="F118" s="107"/>
      <c r="G118" s="107"/>
      <c r="H118" s="107"/>
      <c r="I118" s="107"/>
      <c r="J118" s="107"/>
      <c r="K118" s="107"/>
    </row>
    <row r="119" spans="2:11" x14ac:dyDescent="0.2">
      <c r="B119" s="124"/>
      <c r="C119" s="107"/>
      <c r="D119" s="107"/>
      <c r="E119" s="124"/>
      <c r="F119" s="107"/>
      <c r="G119" s="107"/>
      <c r="H119" s="107"/>
      <c r="I119" s="107"/>
      <c r="J119" s="107"/>
      <c r="K119" s="107"/>
    </row>
    <row r="120" spans="2:11" x14ac:dyDescent="0.2">
      <c r="B120" s="124"/>
      <c r="C120" s="107"/>
      <c r="D120" s="107"/>
      <c r="E120" s="124"/>
      <c r="F120" s="107"/>
      <c r="G120" s="107"/>
      <c r="H120" s="107"/>
      <c r="I120" s="107"/>
      <c r="J120" s="107"/>
      <c r="K120" s="107"/>
    </row>
    <row r="121" spans="2:11" x14ac:dyDescent="0.2">
      <c r="B121" s="124"/>
      <c r="C121" s="107"/>
      <c r="D121" s="107"/>
      <c r="E121" s="124"/>
      <c r="F121" s="107"/>
      <c r="G121" s="107"/>
      <c r="H121" s="107"/>
      <c r="I121" s="107"/>
      <c r="J121" s="107"/>
      <c r="K121" s="107"/>
    </row>
    <row r="122" spans="2:11" x14ac:dyDescent="0.2">
      <c r="B122" s="124"/>
      <c r="C122" s="107"/>
      <c r="D122" s="107"/>
      <c r="E122" s="124"/>
      <c r="F122" s="107"/>
      <c r="G122" s="107"/>
      <c r="H122" s="107"/>
      <c r="I122" s="107"/>
      <c r="J122" s="107"/>
      <c r="K122" s="107"/>
    </row>
    <row r="123" spans="2:11" x14ac:dyDescent="0.2">
      <c r="B123" s="124"/>
      <c r="C123" s="107"/>
      <c r="D123" s="107"/>
      <c r="E123" s="124"/>
      <c r="F123" s="107"/>
      <c r="G123" s="107"/>
      <c r="H123" s="107"/>
      <c r="I123" s="107"/>
      <c r="J123" s="107"/>
      <c r="K123" s="107"/>
    </row>
    <row r="124" spans="2:11" x14ac:dyDescent="0.2">
      <c r="B124" s="124"/>
      <c r="C124" s="107"/>
      <c r="D124" s="107"/>
      <c r="E124" s="124"/>
      <c r="F124" s="107"/>
      <c r="G124" s="107"/>
      <c r="H124" s="107"/>
      <c r="I124" s="107"/>
      <c r="J124" s="107"/>
      <c r="K124" s="107"/>
    </row>
    <row r="125" spans="2:11" x14ac:dyDescent="0.2">
      <c r="B125" s="124"/>
      <c r="C125" s="107"/>
      <c r="D125" s="107"/>
      <c r="E125" s="124"/>
      <c r="F125" s="107"/>
      <c r="G125" s="107"/>
      <c r="H125" s="107"/>
      <c r="I125" s="107"/>
      <c r="J125" s="107"/>
      <c r="K125" s="107"/>
    </row>
    <row r="126" spans="2:11" x14ac:dyDescent="0.2">
      <c r="B126" s="124"/>
      <c r="C126" s="107"/>
      <c r="D126" s="107"/>
      <c r="E126" s="124"/>
      <c r="F126" s="107"/>
      <c r="G126" s="107"/>
      <c r="H126" s="107"/>
      <c r="I126" s="107"/>
      <c r="J126" s="107"/>
      <c r="K126" s="107"/>
    </row>
    <row r="127" spans="2:11" x14ac:dyDescent="0.2">
      <c r="B127" s="124"/>
      <c r="C127" s="107"/>
      <c r="D127" s="107"/>
      <c r="E127" s="124"/>
      <c r="F127" s="107"/>
      <c r="G127" s="107"/>
      <c r="H127" s="107"/>
      <c r="I127" s="107"/>
      <c r="J127" s="107"/>
      <c r="K127" s="107"/>
    </row>
    <row r="128" spans="2:11" x14ac:dyDescent="0.2">
      <c r="B128" s="124"/>
      <c r="C128" s="107"/>
      <c r="D128" s="107"/>
      <c r="E128" s="124"/>
      <c r="F128" s="107"/>
      <c r="G128" s="107"/>
      <c r="H128" s="107"/>
      <c r="I128" s="107"/>
      <c r="J128" s="107"/>
      <c r="K128" s="107"/>
    </row>
    <row r="129" spans="2:11" x14ac:dyDescent="0.2">
      <c r="B129" s="124"/>
      <c r="C129" s="107"/>
      <c r="D129" s="107"/>
      <c r="E129" s="124"/>
      <c r="F129" s="107"/>
      <c r="G129" s="107"/>
      <c r="H129" s="107"/>
      <c r="I129" s="107"/>
      <c r="J129" s="107"/>
      <c r="K129" s="107"/>
    </row>
    <row r="130" spans="2:11" x14ac:dyDescent="0.2">
      <c r="B130" s="124"/>
      <c r="C130" s="107"/>
      <c r="D130" s="107"/>
      <c r="E130" s="124"/>
      <c r="F130" s="107"/>
      <c r="G130" s="107"/>
      <c r="H130" s="107"/>
      <c r="I130" s="107"/>
      <c r="J130" s="107"/>
      <c r="K130" s="107"/>
    </row>
    <row r="131" spans="2:11" x14ac:dyDescent="0.2">
      <c r="B131" s="124"/>
      <c r="C131" s="107"/>
      <c r="D131" s="107"/>
      <c r="E131" s="124"/>
      <c r="F131" s="107"/>
      <c r="G131" s="107"/>
      <c r="H131" s="107"/>
      <c r="I131" s="107"/>
      <c r="J131" s="107"/>
      <c r="K131" s="107"/>
    </row>
    <row r="132" spans="2:11" x14ac:dyDescent="0.2">
      <c r="B132" s="124"/>
      <c r="C132" s="107"/>
      <c r="D132" s="107"/>
      <c r="E132" s="124"/>
      <c r="F132" s="107"/>
      <c r="G132" s="107"/>
      <c r="H132" s="107"/>
      <c r="I132" s="107"/>
      <c r="J132" s="107"/>
      <c r="K132" s="107"/>
    </row>
    <row r="133" spans="2:11" x14ac:dyDescent="0.2">
      <c r="B133" s="124"/>
      <c r="C133" s="107"/>
      <c r="D133" s="107"/>
      <c r="E133" s="124"/>
      <c r="F133" s="107"/>
      <c r="G133" s="107"/>
      <c r="H133" s="107"/>
      <c r="I133" s="107"/>
      <c r="J133" s="107"/>
      <c r="K133" s="107"/>
    </row>
    <row r="134" spans="2:11" x14ac:dyDescent="0.2">
      <c r="B134" s="124"/>
      <c r="C134" s="107"/>
      <c r="D134" s="107"/>
      <c r="E134" s="124"/>
      <c r="F134" s="107"/>
      <c r="G134" s="107"/>
      <c r="H134" s="107"/>
      <c r="I134" s="107"/>
      <c r="J134" s="107"/>
      <c r="K134" s="107"/>
    </row>
    <row r="135" spans="2:11" x14ac:dyDescent="0.2">
      <c r="B135" s="124"/>
      <c r="C135" s="107"/>
      <c r="D135" s="107"/>
      <c r="E135" s="124"/>
      <c r="F135" s="107"/>
      <c r="G135" s="107"/>
      <c r="H135" s="107"/>
      <c r="I135" s="107"/>
      <c r="J135" s="107"/>
      <c r="K135" s="107"/>
    </row>
    <row r="136" spans="2:11" x14ac:dyDescent="0.2">
      <c r="B136" s="124"/>
      <c r="C136" s="107"/>
      <c r="D136" s="107"/>
      <c r="E136" s="124"/>
      <c r="F136" s="107"/>
      <c r="G136" s="107"/>
      <c r="H136" s="107"/>
      <c r="I136" s="107"/>
      <c r="J136" s="107"/>
      <c r="K136" s="107"/>
    </row>
    <row r="137" spans="2:11" x14ac:dyDescent="0.2">
      <c r="B137" s="124"/>
      <c r="C137" s="107"/>
      <c r="D137" s="107"/>
      <c r="E137" s="124"/>
      <c r="F137" s="107"/>
      <c r="G137" s="107"/>
      <c r="H137" s="107"/>
      <c r="I137" s="107"/>
      <c r="J137" s="107"/>
      <c r="K137" s="107"/>
    </row>
    <row r="138" spans="2:11" x14ac:dyDescent="0.2">
      <c r="B138" s="124"/>
      <c r="C138" s="107"/>
      <c r="D138" s="107"/>
      <c r="E138" s="124"/>
      <c r="F138" s="107"/>
      <c r="G138" s="107"/>
      <c r="H138" s="107"/>
      <c r="I138" s="107"/>
      <c r="J138" s="107"/>
      <c r="K138" s="107"/>
    </row>
    <row r="139" spans="2:11" x14ac:dyDescent="0.2">
      <c r="B139" s="124"/>
      <c r="C139" s="107"/>
      <c r="D139" s="107"/>
      <c r="E139" s="124"/>
      <c r="F139" s="107"/>
      <c r="G139" s="107"/>
      <c r="H139" s="107"/>
      <c r="I139" s="107"/>
      <c r="J139" s="107"/>
      <c r="K139" s="107"/>
    </row>
    <row r="140" spans="2:11" x14ac:dyDescent="0.2">
      <c r="B140" s="124"/>
      <c r="C140" s="107"/>
      <c r="D140" s="107"/>
      <c r="E140" s="124"/>
      <c r="F140" s="107"/>
      <c r="G140" s="107"/>
      <c r="H140" s="107"/>
      <c r="I140" s="107"/>
      <c r="J140" s="107"/>
      <c r="K140" s="107"/>
    </row>
    <row r="141" spans="2:11" x14ac:dyDescent="0.2">
      <c r="B141" s="124"/>
      <c r="C141" s="107"/>
      <c r="D141" s="107"/>
      <c r="E141" s="124"/>
      <c r="F141" s="107"/>
      <c r="G141" s="107"/>
      <c r="H141" s="107"/>
      <c r="I141" s="107"/>
      <c r="J141" s="107"/>
      <c r="K141" s="107"/>
    </row>
    <row r="142" spans="2:11" x14ac:dyDescent="0.2">
      <c r="B142" s="124"/>
      <c r="C142" s="107"/>
      <c r="D142" s="107"/>
      <c r="E142" s="124"/>
      <c r="F142" s="107"/>
      <c r="G142" s="107"/>
      <c r="H142" s="107"/>
      <c r="I142" s="107"/>
      <c r="J142" s="107"/>
      <c r="K142" s="107"/>
    </row>
    <row r="143" spans="2:11" x14ac:dyDescent="0.2">
      <c r="B143" s="124"/>
      <c r="C143" s="107"/>
      <c r="D143" s="107"/>
      <c r="E143" s="124"/>
      <c r="F143" s="107"/>
      <c r="G143" s="107"/>
      <c r="H143" s="107"/>
      <c r="I143" s="107"/>
      <c r="J143" s="107"/>
      <c r="K143" s="107"/>
    </row>
    <row r="144" spans="2:11" x14ac:dyDescent="0.2">
      <c r="B144" s="124"/>
      <c r="C144" s="107"/>
      <c r="D144" s="107"/>
      <c r="E144" s="124"/>
      <c r="F144" s="107"/>
      <c r="G144" s="107"/>
      <c r="H144" s="107"/>
      <c r="I144" s="107"/>
      <c r="J144" s="107"/>
      <c r="K144" s="107"/>
    </row>
    <row r="145" spans="2:11" x14ac:dyDescent="0.2">
      <c r="B145" s="124"/>
      <c r="C145" s="107"/>
      <c r="D145" s="107"/>
      <c r="E145" s="124"/>
      <c r="F145" s="107"/>
      <c r="G145" s="107"/>
      <c r="H145" s="107"/>
      <c r="I145" s="107"/>
      <c r="J145" s="107"/>
      <c r="K145" s="107"/>
    </row>
    <row r="146" spans="2:11" x14ac:dyDescent="0.2">
      <c r="B146" s="124"/>
      <c r="C146" s="107"/>
      <c r="D146" s="107"/>
      <c r="E146" s="124"/>
      <c r="F146" s="107"/>
      <c r="G146" s="107"/>
      <c r="H146" s="107"/>
      <c r="I146" s="107"/>
      <c r="J146" s="107"/>
      <c r="K146" s="107"/>
    </row>
    <row r="147" spans="2:11" x14ac:dyDescent="0.2">
      <c r="B147" s="124"/>
      <c r="C147" s="107"/>
      <c r="D147" s="107"/>
      <c r="E147" s="124"/>
      <c r="F147" s="107"/>
      <c r="G147" s="107"/>
      <c r="H147" s="107"/>
      <c r="I147" s="107"/>
      <c r="J147" s="107"/>
      <c r="K147" s="107"/>
    </row>
    <row r="148" spans="2:11" x14ac:dyDescent="0.2">
      <c r="B148" s="124"/>
      <c r="C148" s="107"/>
      <c r="D148" s="107"/>
      <c r="E148" s="124"/>
      <c r="F148" s="107"/>
      <c r="G148" s="107"/>
      <c r="H148" s="107"/>
      <c r="I148" s="107"/>
      <c r="J148" s="107"/>
      <c r="K148" s="107"/>
    </row>
    <row r="149" spans="2:11" x14ac:dyDescent="0.2">
      <c r="B149" s="124"/>
      <c r="C149" s="107"/>
      <c r="D149" s="107"/>
      <c r="E149" s="124"/>
      <c r="F149" s="107"/>
      <c r="G149" s="107"/>
      <c r="H149" s="107"/>
      <c r="I149" s="107"/>
      <c r="J149" s="107"/>
      <c r="K149" s="107"/>
    </row>
    <row r="150" spans="2:11" x14ac:dyDescent="0.2">
      <c r="B150" s="124"/>
      <c r="C150" s="107"/>
      <c r="D150" s="107"/>
      <c r="E150" s="124"/>
      <c r="F150" s="107"/>
      <c r="G150" s="107"/>
      <c r="H150" s="107"/>
      <c r="I150" s="107"/>
      <c r="J150" s="107"/>
      <c r="K150" s="107"/>
    </row>
    <row r="151" spans="2:11" x14ac:dyDescent="0.2">
      <c r="B151" s="124"/>
      <c r="C151" s="107"/>
      <c r="D151" s="107"/>
      <c r="E151" s="124"/>
      <c r="F151" s="107"/>
      <c r="G151" s="107"/>
      <c r="H151" s="107"/>
      <c r="I151" s="107"/>
      <c r="J151" s="107"/>
      <c r="K151" s="107"/>
    </row>
    <row r="152" spans="2:11" x14ac:dyDescent="0.2">
      <c r="B152" s="124"/>
      <c r="C152" s="107"/>
      <c r="D152" s="107"/>
      <c r="E152" s="124"/>
      <c r="F152" s="107"/>
      <c r="G152" s="107"/>
      <c r="H152" s="107"/>
      <c r="I152" s="107"/>
      <c r="J152" s="107"/>
      <c r="K152" s="107"/>
    </row>
    <row r="153" spans="2:11" x14ac:dyDescent="0.2">
      <c r="B153" s="124"/>
      <c r="C153" s="107"/>
      <c r="D153" s="107"/>
      <c r="E153" s="124"/>
      <c r="F153" s="107"/>
      <c r="G153" s="107"/>
      <c r="H153" s="107"/>
      <c r="I153" s="107"/>
      <c r="J153" s="107"/>
      <c r="K153" s="107"/>
    </row>
    <row r="154" spans="2:11" x14ac:dyDescent="0.2">
      <c r="B154" s="124"/>
      <c r="C154" s="107"/>
      <c r="D154" s="107"/>
      <c r="E154" s="124"/>
      <c r="F154" s="107"/>
      <c r="G154" s="107"/>
      <c r="H154" s="107"/>
      <c r="I154" s="107"/>
      <c r="J154" s="107"/>
      <c r="K154" s="107"/>
    </row>
    <row r="155" spans="2:11" x14ac:dyDescent="0.2">
      <c r="B155" s="124"/>
      <c r="C155" s="107"/>
      <c r="D155" s="107"/>
      <c r="E155" s="124"/>
      <c r="F155" s="107"/>
      <c r="G155" s="107"/>
      <c r="H155" s="107"/>
      <c r="I155" s="107"/>
      <c r="J155" s="107"/>
      <c r="K155" s="107"/>
    </row>
    <row r="156" spans="2:11" x14ac:dyDescent="0.2">
      <c r="B156" s="124"/>
      <c r="C156" s="107"/>
      <c r="D156" s="107"/>
      <c r="E156" s="124"/>
      <c r="F156" s="107"/>
      <c r="G156" s="107"/>
      <c r="H156" s="107"/>
      <c r="I156" s="107"/>
      <c r="J156" s="107"/>
      <c r="K156" s="107"/>
    </row>
    <row r="157" spans="2:11" x14ac:dyDescent="0.2">
      <c r="B157" s="124"/>
      <c r="C157" s="107"/>
      <c r="D157" s="107"/>
      <c r="E157" s="124"/>
      <c r="F157" s="107"/>
      <c r="G157" s="107"/>
      <c r="H157" s="107"/>
      <c r="I157" s="107"/>
      <c r="J157" s="107"/>
      <c r="K157" s="107"/>
    </row>
    <row r="158" spans="2:11" x14ac:dyDescent="0.2">
      <c r="B158" s="124"/>
      <c r="C158" s="107"/>
      <c r="D158" s="107"/>
      <c r="E158" s="124"/>
      <c r="F158" s="107"/>
      <c r="G158" s="107"/>
      <c r="H158" s="107"/>
      <c r="I158" s="107"/>
      <c r="J158" s="107"/>
      <c r="K158" s="107"/>
    </row>
    <row r="159" spans="2:11" x14ac:dyDescent="0.2">
      <c r="B159" s="124"/>
      <c r="C159" s="107"/>
      <c r="D159" s="107"/>
      <c r="E159" s="124"/>
      <c r="F159" s="107"/>
      <c r="G159" s="107"/>
      <c r="H159" s="107"/>
      <c r="I159" s="107"/>
      <c r="J159" s="107"/>
      <c r="K159" s="107"/>
    </row>
    <row r="160" spans="2:11" x14ac:dyDescent="0.2">
      <c r="B160" s="124"/>
      <c r="C160" s="107"/>
      <c r="D160" s="107"/>
      <c r="E160" s="124"/>
      <c r="F160" s="107"/>
      <c r="G160" s="107"/>
      <c r="H160" s="107"/>
      <c r="I160" s="107"/>
      <c r="J160" s="107"/>
      <c r="K160" s="107"/>
    </row>
    <row r="161" spans="2:11" x14ac:dyDescent="0.2">
      <c r="B161" s="124"/>
      <c r="C161" s="107"/>
      <c r="D161" s="107"/>
      <c r="E161" s="124"/>
      <c r="F161" s="107"/>
      <c r="G161" s="107"/>
      <c r="H161" s="107"/>
      <c r="I161" s="107"/>
      <c r="J161" s="107"/>
      <c r="K161" s="107"/>
    </row>
    <row r="162" spans="2:11" x14ac:dyDescent="0.2">
      <c r="B162" s="124"/>
      <c r="C162" s="107"/>
      <c r="D162" s="107"/>
      <c r="E162" s="124"/>
      <c r="F162" s="107"/>
      <c r="G162" s="107"/>
      <c r="H162" s="107"/>
      <c r="I162" s="107"/>
      <c r="J162" s="107"/>
      <c r="K162" s="107"/>
    </row>
    <row r="163" spans="2:11" x14ac:dyDescent="0.2">
      <c r="B163" s="107"/>
      <c r="C163" s="107"/>
      <c r="D163" s="107"/>
      <c r="E163" s="124"/>
      <c r="F163" s="107"/>
      <c r="G163" s="107"/>
      <c r="H163" s="107"/>
      <c r="I163" s="107"/>
      <c r="J163" s="107"/>
      <c r="K163" s="107"/>
    </row>
    <row r="164" spans="2:11" x14ac:dyDescent="0.2">
      <c r="B164" s="107"/>
      <c r="C164" s="107"/>
      <c r="D164" s="107"/>
      <c r="E164" s="124"/>
      <c r="F164" s="107"/>
      <c r="G164" s="107"/>
      <c r="H164" s="107"/>
      <c r="I164" s="107"/>
      <c r="J164" s="107"/>
      <c r="K164" s="107"/>
    </row>
    <row r="165" spans="2:11" x14ac:dyDescent="0.2">
      <c r="B165" s="107"/>
      <c r="C165" s="107"/>
      <c r="D165" s="107"/>
      <c r="E165" s="124"/>
      <c r="F165" s="107"/>
      <c r="G165" s="107"/>
      <c r="H165" s="107"/>
      <c r="I165" s="107"/>
      <c r="J165" s="107"/>
      <c r="K165" s="107"/>
    </row>
    <row r="166" spans="2:11" x14ac:dyDescent="0.2">
      <c r="B166" s="107"/>
      <c r="C166" s="107"/>
      <c r="D166" s="107"/>
      <c r="E166" s="124"/>
      <c r="F166" s="107"/>
      <c r="G166" s="107"/>
      <c r="H166" s="107"/>
      <c r="I166" s="107"/>
      <c r="J166" s="107"/>
      <c r="K166" s="107"/>
    </row>
    <row r="167" spans="2:11" x14ac:dyDescent="0.2">
      <c r="B167" s="107"/>
      <c r="C167" s="107"/>
      <c r="D167" s="107"/>
      <c r="E167" s="124"/>
      <c r="F167" s="107"/>
      <c r="G167" s="107"/>
      <c r="H167" s="107"/>
      <c r="I167" s="107"/>
      <c r="J167" s="107"/>
      <c r="K167" s="107"/>
    </row>
    <row r="168" spans="2:11" x14ac:dyDescent="0.2">
      <c r="B168" s="107"/>
      <c r="C168" s="107"/>
      <c r="D168" s="107"/>
      <c r="E168" s="124"/>
      <c r="F168" s="107"/>
      <c r="G168" s="107"/>
      <c r="H168" s="107"/>
      <c r="I168" s="107"/>
      <c r="J168" s="107"/>
      <c r="K168" s="107"/>
    </row>
    <row r="169" spans="2:11" x14ac:dyDescent="0.2">
      <c r="B169" s="107"/>
      <c r="C169" s="107"/>
      <c r="D169" s="107"/>
      <c r="E169" s="124"/>
      <c r="F169" s="107"/>
      <c r="G169" s="107"/>
      <c r="H169" s="107"/>
      <c r="I169" s="107"/>
      <c r="J169" s="107"/>
      <c r="K169" s="107"/>
    </row>
    <row r="170" spans="2:11" x14ac:dyDescent="0.2">
      <c r="B170" s="107"/>
      <c r="C170" s="107"/>
      <c r="D170" s="107"/>
      <c r="E170" s="124"/>
      <c r="F170" s="107"/>
      <c r="G170" s="107"/>
      <c r="H170" s="107"/>
      <c r="I170" s="107"/>
      <c r="J170" s="107"/>
      <c r="K170" s="107"/>
    </row>
    <row r="171" spans="2:11" x14ac:dyDescent="0.2">
      <c r="B171" s="107"/>
      <c r="C171" s="107"/>
      <c r="D171" s="107"/>
      <c r="E171" s="124"/>
      <c r="F171" s="107"/>
      <c r="G171" s="107"/>
      <c r="H171" s="107"/>
      <c r="I171" s="107"/>
      <c r="J171" s="107"/>
      <c r="K171" s="107"/>
    </row>
    <row r="172" spans="2:11" x14ac:dyDescent="0.2">
      <c r="B172" s="107"/>
      <c r="C172" s="107"/>
      <c r="D172" s="107"/>
      <c r="E172" s="124"/>
      <c r="F172" s="107"/>
      <c r="G172" s="107"/>
      <c r="H172" s="107"/>
      <c r="I172" s="107"/>
      <c r="J172" s="107"/>
      <c r="K172" s="107"/>
    </row>
    <row r="173" spans="2:11" x14ac:dyDescent="0.2">
      <c r="B173" s="107"/>
      <c r="C173" s="107"/>
      <c r="D173" s="107"/>
      <c r="E173" s="124"/>
      <c r="F173" s="107"/>
      <c r="G173" s="107"/>
      <c r="H173" s="107"/>
      <c r="I173" s="107"/>
      <c r="J173" s="107"/>
      <c r="K173" s="107"/>
    </row>
    <row r="174" spans="2:11" x14ac:dyDescent="0.2">
      <c r="B174" s="107"/>
      <c r="C174" s="107"/>
      <c r="D174" s="107"/>
      <c r="E174" s="124"/>
      <c r="F174" s="107"/>
      <c r="G174" s="107"/>
      <c r="H174" s="107"/>
      <c r="I174" s="107"/>
      <c r="J174" s="107"/>
      <c r="K174" s="107"/>
    </row>
    <row r="175" spans="2:11" x14ac:dyDescent="0.2">
      <c r="B175" s="107"/>
      <c r="C175" s="107"/>
      <c r="D175" s="107"/>
      <c r="E175" s="124"/>
      <c r="F175" s="107"/>
      <c r="G175" s="107"/>
      <c r="H175" s="107"/>
      <c r="I175" s="107"/>
      <c r="J175" s="107"/>
      <c r="K175" s="107"/>
    </row>
    <row r="176" spans="2:11" x14ac:dyDescent="0.2">
      <c r="B176" s="107"/>
      <c r="C176" s="107"/>
      <c r="D176" s="107"/>
      <c r="E176" s="124"/>
      <c r="F176" s="107"/>
      <c r="G176" s="107"/>
      <c r="H176" s="107"/>
      <c r="I176" s="107"/>
      <c r="J176" s="107"/>
      <c r="K176" s="107"/>
    </row>
    <row r="177" spans="2:11" x14ac:dyDescent="0.2">
      <c r="B177" s="107"/>
      <c r="C177" s="107"/>
      <c r="D177" s="107"/>
      <c r="E177" s="124"/>
      <c r="F177" s="107"/>
      <c r="G177" s="107"/>
      <c r="H177" s="107"/>
      <c r="I177" s="107"/>
      <c r="J177" s="107"/>
      <c r="K177" s="107"/>
    </row>
    <row r="178" spans="2:11" x14ac:dyDescent="0.2">
      <c r="B178" s="107"/>
      <c r="C178" s="107"/>
      <c r="D178" s="107"/>
      <c r="E178" s="124"/>
      <c r="F178" s="107"/>
      <c r="G178" s="107"/>
      <c r="H178" s="107"/>
      <c r="I178" s="107"/>
      <c r="J178" s="107"/>
      <c r="K178" s="107"/>
    </row>
    <row r="179" spans="2:11" x14ac:dyDescent="0.2">
      <c r="B179" s="107"/>
      <c r="C179" s="107"/>
      <c r="D179" s="107"/>
      <c r="E179" s="124"/>
      <c r="F179" s="107"/>
      <c r="G179" s="107"/>
      <c r="H179" s="107"/>
      <c r="I179" s="107"/>
      <c r="J179" s="107"/>
      <c r="K179" s="107"/>
    </row>
    <row r="180" spans="2:11" x14ac:dyDescent="0.2">
      <c r="B180" s="107"/>
      <c r="C180" s="107"/>
      <c r="D180" s="107"/>
      <c r="E180" s="124"/>
      <c r="F180" s="107"/>
      <c r="G180" s="107"/>
      <c r="H180" s="107"/>
      <c r="I180" s="107"/>
      <c r="J180" s="107"/>
      <c r="K180" s="107"/>
    </row>
    <row r="181" spans="2:11" x14ac:dyDescent="0.2">
      <c r="B181" s="107"/>
      <c r="C181" s="107"/>
      <c r="D181" s="107"/>
      <c r="E181" s="124"/>
      <c r="F181" s="107"/>
      <c r="G181" s="107"/>
      <c r="H181" s="107"/>
      <c r="I181" s="107"/>
      <c r="J181" s="107"/>
      <c r="K181" s="107"/>
    </row>
    <row r="182" spans="2:11" x14ac:dyDescent="0.2">
      <c r="B182" s="107"/>
      <c r="C182" s="107"/>
      <c r="D182" s="107"/>
      <c r="E182" s="124"/>
      <c r="F182" s="107"/>
      <c r="G182" s="107"/>
      <c r="H182" s="107"/>
      <c r="I182" s="107"/>
      <c r="J182" s="107"/>
      <c r="K182" s="107"/>
    </row>
    <row r="183" spans="2:11" x14ac:dyDescent="0.2">
      <c r="B183" s="107"/>
      <c r="C183" s="107"/>
      <c r="D183" s="107"/>
      <c r="E183" s="124"/>
      <c r="F183" s="107"/>
      <c r="G183" s="107"/>
      <c r="H183" s="107"/>
      <c r="I183" s="107"/>
      <c r="J183" s="107"/>
      <c r="K183" s="107"/>
    </row>
    <row r="184" spans="2:11" x14ac:dyDescent="0.2">
      <c r="B184" s="107"/>
      <c r="C184" s="107"/>
      <c r="D184" s="107"/>
      <c r="E184" s="124"/>
      <c r="F184" s="107"/>
      <c r="G184" s="107"/>
      <c r="H184" s="107"/>
      <c r="I184" s="107"/>
      <c r="J184" s="107"/>
      <c r="K184" s="107"/>
    </row>
    <row r="185" spans="2:11" x14ac:dyDescent="0.2">
      <c r="B185" s="107"/>
      <c r="C185" s="107"/>
      <c r="D185" s="107"/>
      <c r="E185" s="124"/>
      <c r="F185" s="107"/>
      <c r="G185" s="107"/>
      <c r="H185" s="107"/>
      <c r="I185" s="107"/>
      <c r="J185" s="107"/>
      <c r="K185" s="107"/>
    </row>
    <row r="186" spans="2:11" x14ac:dyDescent="0.2">
      <c r="B186" s="107"/>
      <c r="C186" s="107"/>
      <c r="D186" s="107"/>
      <c r="E186" s="124"/>
      <c r="F186" s="107"/>
      <c r="G186" s="107"/>
      <c r="H186" s="107"/>
      <c r="I186" s="107"/>
      <c r="J186" s="107"/>
      <c r="K186" s="107"/>
    </row>
    <row r="187" spans="2:11" x14ac:dyDescent="0.2">
      <c r="B187" s="107"/>
      <c r="C187" s="107"/>
      <c r="D187" s="107"/>
      <c r="E187" s="124"/>
      <c r="F187" s="107"/>
      <c r="G187" s="107"/>
      <c r="H187" s="107"/>
      <c r="I187" s="107"/>
      <c r="J187" s="107"/>
      <c r="K187" s="107"/>
    </row>
    <row r="188" spans="2:11" x14ac:dyDescent="0.2">
      <c r="B188" s="107"/>
      <c r="C188" s="107"/>
      <c r="D188" s="107"/>
      <c r="E188" s="124"/>
      <c r="F188" s="107"/>
      <c r="G188" s="107"/>
      <c r="H188" s="107"/>
      <c r="I188" s="107"/>
      <c r="J188" s="107"/>
      <c r="K188" s="107"/>
    </row>
    <row r="189" spans="2:11" x14ac:dyDescent="0.2">
      <c r="B189" s="107"/>
      <c r="C189" s="107"/>
      <c r="D189" s="107"/>
      <c r="E189" s="124"/>
      <c r="F189" s="107"/>
      <c r="G189" s="107"/>
      <c r="H189" s="107"/>
      <c r="I189" s="107"/>
      <c r="J189" s="107"/>
      <c r="K189" s="107"/>
    </row>
    <row r="190" spans="2:11" x14ac:dyDescent="0.2">
      <c r="B190" s="107"/>
      <c r="C190" s="107"/>
      <c r="D190" s="107"/>
      <c r="E190" s="124"/>
      <c r="F190" s="107"/>
      <c r="G190" s="107"/>
      <c r="H190" s="107"/>
      <c r="I190" s="107"/>
      <c r="J190" s="107"/>
      <c r="K190" s="107"/>
    </row>
    <row r="191" spans="2:11" x14ac:dyDescent="0.2">
      <c r="B191" s="107"/>
      <c r="C191" s="107"/>
      <c r="D191" s="107"/>
      <c r="E191" s="124"/>
      <c r="F191" s="107"/>
      <c r="G191" s="107"/>
      <c r="H191" s="107"/>
      <c r="I191" s="107"/>
      <c r="J191" s="107"/>
      <c r="K191" s="107"/>
    </row>
    <row r="192" spans="2:11" x14ac:dyDescent="0.2">
      <c r="B192" s="107"/>
      <c r="C192" s="107"/>
      <c r="D192" s="107"/>
      <c r="E192" s="124"/>
      <c r="F192" s="107"/>
      <c r="G192" s="107"/>
      <c r="H192" s="107"/>
      <c r="I192" s="107"/>
      <c r="J192" s="107"/>
      <c r="K192" s="107"/>
    </row>
    <row r="193" spans="2:11" x14ac:dyDescent="0.2">
      <c r="B193" s="107"/>
      <c r="C193" s="107"/>
      <c r="D193" s="107"/>
      <c r="E193" s="124"/>
      <c r="F193" s="107"/>
      <c r="G193" s="107"/>
      <c r="H193" s="107"/>
      <c r="I193" s="107"/>
      <c r="J193" s="107"/>
      <c r="K193" s="107"/>
    </row>
    <row r="194" spans="2:11" x14ac:dyDescent="0.2">
      <c r="B194" s="107"/>
      <c r="C194" s="107"/>
      <c r="D194" s="107"/>
      <c r="E194" s="124"/>
      <c r="F194" s="107"/>
      <c r="G194" s="107"/>
      <c r="H194" s="107"/>
      <c r="I194" s="107"/>
      <c r="J194" s="107"/>
      <c r="K194" s="107"/>
    </row>
    <row r="195" spans="2:11" x14ac:dyDescent="0.2">
      <c r="B195" s="107"/>
      <c r="C195" s="107"/>
      <c r="D195" s="107"/>
      <c r="E195" s="124"/>
      <c r="F195" s="107"/>
      <c r="G195" s="107"/>
      <c r="H195" s="107"/>
      <c r="I195" s="107"/>
      <c r="J195" s="107"/>
      <c r="K195" s="107"/>
    </row>
    <row r="196" spans="2:11" x14ac:dyDescent="0.2">
      <c r="B196" s="107"/>
      <c r="C196" s="107"/>
      <c r="D196" s="107"/>
      <c r="E196" s="124"/>
      <c r="F196" s="107"/>
      <c r="G196" s="107"/>
      <c r="H196" s="107"/>
      <c r="I196" s="107"/>
      <c r="J196" s="107"/>
      <c r="K196" s="107"/>
    </row>
    <row r="197" spans="2:11" x14ac:dyDescent="0.2">
      <c r="B197" s="107"/>
      <c r="C197" s="107"/>
      <c r="D197" s="107"/>
      <c r="E197" s="124"/>
      <c r="F197" s="107"/>
      <c r="G197" s="107"/>
      <c r="H197" s="107"/>
      <c r="I197" s="107"/>
      <c r="J197" s="107"/>
      <c r="K197" s="107"/>
    </row>
    <row r="198" spans="2:11" x14ac:dyDescent="0.2">
      <c r="B198" s="107"/>
      <c r="C198" s="107"/>
      <c r="D198" s="107"/>
      <c r="E198" s="124"/>
      <c r="F198" s="107"/>
      <c r="G198" s="107"/>
      <c r="H198" s="107"/>
      <c r="I198" s="107"/>
      <c r="J198" s="107"/>
      <c r="K198" s="107"/>
    </row>
    <row r="199" spans="2:11" x14ac:dyDescent="0.2">
      <c r="B199" s="107"/>
      <c r="C199" s="107"/>
      <c r="D199" s="107"/>
      <c r="E199" s="124"/>
      <c r="F199" s="107"/>
      <c r="G199" s="107"/>
      <c r="H199" s="107"/>
      <c r="I199" s="107"/>
      <c r="J199" s="107"/>
      <c r="K199" s="107"/>
    </row>
    <row r="200" spans="2:11" x14ac:dyDescent="0.2">
      <c r="B200" s="107"/>
      <c r="C200" s="107"/>
      <c r="D200" s="107"/>
      <c r="E200" s="124"/>
      <c r="F200" s="107"/>
      <c r="G200" s="107"/>
      <c r="H200" s="107"/>
      <c r="I200" s="107"/>
      <c r="J200" s="107"/>
      <c r="K200" s="107"/>
    </row>
    <row r="201" spans="2:11" x14ac:dyDescent="0.2">
      <c r="B201" s="107"/>
      <c r="C201" s="107"/>
      <c r="D201" s="107"/>
      <c r="E201" s="124"/>
      <c r="F201" s="107"/>
      <c r="G201" s="107"/>
      <c r="H201" s="107"/>
      <c r="I201" s="107"/>
      <c r="J201" s="107"/>
      <c r="K201" s="107"/>
    </row>
    <row r="202" spans="2:11" x14ac:dyDescent="0.2">
      <c r="B202" s="107"/>
      <c r="C202" s="107"/>
      <c r="D202" s="107"/>
      <c r="E202" s="124"/>
      <c r="F202" s="107"/>
      <c r="G202" s="107"/>
      <c r="H202" s="107"/>
      <c r="I202" s="107"/>
      <c r="J202" s="107"/>
      <c r="K202" s="107"/>
    </row>
    <row r="203" spans="2:11" x14ac:dyDescent="0.2">
      <c r="B203" s="107"/>
      <c r="C203" s="107"/>
      <c r="D203" s="107"/>
      <c r="E203" s="124"/>
      <c r="F203" s="107"/>
      <c r="G203" s="107"/>
      <c r="H203" s="107"/>
      <c r="I203" s="107"/>
      <c r="J203" s="107"/>
      <c r="K203" s="107"/>
    </row>
    <row r="204" spans="2:11" x14ac:dyDescent="0.2">
      <c r="B204" s="107"/>
      <c r="C204" s="107"/>
      <c r="D204" s="107"/>
      <c r="E204" s="124"/>
      <c r="F204" s="107"/>
      <c r="G204" s="107"/>
      <c r="H204" s="107"/>
      <c r="I204" s="107"/>
      <c r="J204" s="107"/>
      <c r="K204" s="107"/>
    </row>
    <row r="205" spans="2:11" x14ac:dyDescent="0.2">
      <c r="B205" s="107"/>
      <c r="C205" s="107"/>
      <c r="D205" s="107"/>
      <c r="E205" s="124"/>
      <c r="F205" s="107"/>
      <c r="G205" s="107"/>
      <c r="H205" s="107"/>
      <c r="I205" s="107"/>
      <c r="J205" s="107"/>
      <c r="K205" s="107"/>
    </row>
    <row r="206" spans="2:11" x14ac:dyDescent="0.2">
      <c r="B206" s="107"/>
      <c r="C206" s="107"/>
      <c r="D206" s="107"/>
      <c r="E206" s="124"/>
      <c r="F206" s="107"/>
      <c r="G206" s="107"/>
      <c r="H206" s="107"/>
      <c r="I206" s="107"/>
      <c r="J206" s="107"/>
      <c r="K206" s="107"/>
    </row>
    <row r="207" spans="2:11" x14ac:dyDescent="0.2">
      <c r="B207" s="107"/>
      <c r="C207" s="107"/>
      <c r="D207" s="107"/>
      <c r="E207" s="124"/>
      <c r="F207" s="107"/>
      <c r="G207" s="107"/>
      <c r="H207" s="107"/>
      <c r="I207" s="107"/>
      <c r="J207" s="107"/>
      <c r="K207" s="107"/>
    </row>
    <row r="208" spans="2:11" x14ac:dyDescent="0.2">
      <c r="B208" s="107"/>
      <c r="C208" s="107"/>
      <c r="D208" s="107"/>
      <c r="E208" s="124"/>
      <c r="F208" s="107"/>
      <c r="G208" s="107"/>
      <c r="H208" s="107"/>
      <c r="I208" s="107"/>
      <c r="J208" s="107"/>
      <c r="K208" s="107"/>
    </row>
    <row r="209" spans="2:11" x14ac:dyDescent="0.2">
      <c r="B209" s="107"/>
      <c r="C209" s="107"/>
      <c r="D209" s="107"/>
      <c r="E209" s="124"/>
      <c r="F209" s="107"/>
      <c r="G209" s="107"/>
      <c r="H209" s="107"/>
      <c r="I209" s="107"/>
      <c r="J209" s="107"/>
      <c r="K209" s="107"/>
    </row>
    <row r="210" spans="2:11" x14ac:dyDescent="0.2">
      <c r="B210" s="107"/>
      <c r="C210" s="107"/>
      <c r="D210" s="107"/>
      <c r="E210" s="124"/>
      <c r="F210" s="107"/>
      <c r="G210" s="107"/>
      <c r="H210" s="107"/>
      <c r="I210" s="107"/>
      <c r="J210" s="107"/>
      <c r="K210" s="107"/>
    </row>
    <row r="211" spans="2:11" x14ac:dyDescent="0.2">
      <c r="B211" s="107"/>
      <c r="C211" s="107"/>
      <c r="D211" s="107"/>
      <c r="E211" s="124"/>
      <c r="F211" s="107"/>
      <c r="G211" s="107"/>
      <c r="H211" s="107"/>
      <c r="I211" s="107"/>
      <c r="J211" s="107"/>
      <c r="K211" s="107"/>
    </row>
    <row r="212" spans="2:11" x14ac:dyDescent="0.2">
      <c r="B212" s="107"/>
      <c r="C212" s="107"/>
      <c r="D212" s="107"/>
      <c r="E212" s="124"/>
      <c r="F212" s="107"/>
      <c r="G212" s="107"/>
      <c r="H212" s="107"/>
      <c r="I212" s="107"/>
      <c r="J212" s="107"/>
      <c r="K212" s="107"/>
    </row>
    <row r="213" spans="2:11" x14ac:dyDescent="0.2">
      <c r="B213" s="107"/>
      <c r="C213" s="107"/>
      <c r="D213" s="107"/>
      <c r="E213" s="124"/>
      <c r="F213" s="107"/>
      <c r="G213" s="107"/>
      <c r="H213" s="107"/>
      <c r="I213" s="107"/>
      <c r="J213" s="107"/>
      <c r="K213" s="107"/>
    </row>
    <row r="214" spans="2:11" x14ac:dyDescent="0.2">
      <c r="B214" s="107"/>
      <c r="C214" s="107"/>
      <c r="D214" s="107"/>
      <c r="E214" s="124"/>
      <c r="F214" s="107"/>
      <c r="G214" s="107"/>
      <c r="H214" s="107"/>
      <c r="I214" s="107"/>
      <c r="J214" s="107"/>
      <c r="K214" s="107"/>
    </row>
    <row r="215" spans="2:11" x14ac:dyDescent="0.2">
      <c r="B215" s="107"/>
      <c r="C215" s="107"/>
      <c r="D215" s="107"/>
      <c r="E215" s="124"/>
      <c r="F215" s="107"/>
      <c r="G215" s="107"/>
      <c r="H215" s="107"/>
      <c r="I215" s="107"/>
      <c r="J215" s="107"/>
      <c r="K215" s="107"/>
    </row>
    <row r="216" spans="2:11" x14ac:dyDescent="0.2">
      <c r="B216" s="107"/>
      <c r="C216" s="107"/>
      <c r="D216" s="107"/>
      <c r="E216" s="124"/>
      <c r="F216" s="107"/>
      <c r="G216" s="107"/>
      <c r="H216" s="107"/>
      <c r="I216" s="107"/>
      <c r="J216" s="107"/>
      <c r="K216" s="107"/>
    </row>
    <row r="217" spans="2:11" x14ac:dyDescent="0.2">
      <c r="B217" s="107"/>
      <c r="C217" s="107"/>
      <c r="D217" s="107"/>
      <c r="E217" s="124"/>
      <c r="F217" s="107"/>
      <c r="G217" s="107"/>
      <c r="H217" s="107"/>
      <c r="I217" s="107"/>
      <c r="J217" s="107"/>
      <c r="K217" s="107"/>
    </row>
    <row r="218" spans="2:11" x14ac:dyDescent="0.2">
      <c r="B218" s="107"/>
      <c r="C218" s="107"/>
      <c r="D218" s="107"/>
      <c r="E218" s="124"/>
      <c r="F218" s="107"/>
      <c r="G218" s="107"/>
      <c r="H218" s="107"/>
      <c r="I218" s="107"/>
      <c r="J218" s="107"/>
      <c r="K218" s="107"/>
    </row>
    <row r="219" spans="2:11" x14ac:dyDescent="0.2">
      <c r="B219" s="107"/>
      <c r="C219" s="107"/>
      <c r="D219" s="107"/>
      <c r="E219" s="124"/>
      <c r="F219" s="107"/>
      <c r="G219" s="107"/>
      <c r="H219" s="107"/>
      <c r="I219" s="107"/>
      <c r="J219" s="107"/>
      <c r="K219" s="107"/>
    </row>
    <row r="220" spans="2:11" x14ac:dyDescent="0.2">
      <c r="B220" s="107"/>
      <c r="C220" s="107"/>
      <c r="D220" s="107"/>
      <c r="E220" s="124"/>
      <c r="F220" s="107"/>
      <c r="G220" s="107"/>
      <c r="H220" s="107"/>
      <c r="I220" s="107"/>
      <c r="J220" s="107"/>
      <c r="K220" s="107"/>
    </row>
    <row r="221" spans="2:11" x14ac:dyDescent="0.2">
      <c r="B221" s="107"/>
      <c r="C221" s="107"/>
      <c r="D221" s="107"/>
      <c r="E221" s="124"/>
      <c r="F221" s="107"/>
      <c r="G221" s="107"/>
      <c r="H221" s="107"/>
      <c r="I221" s="107"/>
      <c r="J221" s="107"/>
      <c r="K221" s="107"/>
    </row>
    <row r="222" spans="2:11" x14ac:dyDescent="0.2">
      <c r="B222" s="107"/>
      <c r="C222" s="107"/>
      <c r="D222" s="107"/>
      <c r="E222" s="124"/>
      <c r="F222" s="107"/>
      <c r="G222" s="107"/>
      <c r="H222" s="107"/>
      <c r="I222" s="107"/>
      <c r="J222" s="107"/>
      <c r="K222" s="107"/>
    </row>
    <row r="223" spans="2:11" x14ac:dyDescent="0.2">
      <c r="B223" s="107"/>
      <c r="C223" s="107"/>
      <c r="D223" s="107"/>
      <c r="E223" s="124"/>
      <c r="F223" s="107"/>
      <c r="G223" s="107"/>
      <c r="H223" s="107"/>
      <c r="I223" s="107"/>
      <c r="J223" s="107"/>
      <c r="K223" s="107"/>
    </row>
    <row r="224" spans="2:11" x14ac:dyDescent="0.2">
      <c r="B224" s="107"/>
      <c r="C224" s="107"/>
      <c r="D224" s="107"/>
      <c r="E224" s="124"/>
      <c r="F224" s="107"/>
      <c r="G224" s="107"/>
      <c r="H224" s="107"/>
      <c r="I224" s="107"/>
      <c r="J224" s="107"/>
      <c r="K224" s="107"/>
    </row>
    <row r="225" spans="2:11" x14ac:dyDescent="0.2">
      <c r="B225" s="107"/>
      <c r="C225" s="107"/>
      <c r="D225" s="107"/>
      <c r="E225" s="124"/>
      <c r="F225" s="107"/>
      <c r="G225" s="107"/>
      <c r="H225" s="107"/>
      <c r="I225" s="107"/>
      <c r="J225" s="107"/>
      <c r="K225" s="107"/>
    </row>
    <row r="226" spans="2:11" x14ac:dyDescent="0.2">
      <c r="B226" s="107"/>
      <c r="C226" s="107"/>
      <c r="D226" s="107"/>
      <c r="E226" s="124"/>
      <c r="F226" s="107"/>
      <c r="G226" s="107"/>
      <c r="H226" s="107"/>
      <c r="I226" s="107"/>
      <c r="J226" s="107"/>
      <c r="K226" s="107"/>
    </row>
    <row r="227" spans="2:11" x14ac:dyDescent="0.2">
      <c r="B227" s="107"/>
      <c r="C227" s="107"/>
      <c r="D227" s="107"/>
      <c r="E227" s="124"/>
      <c r="F227" s="107"/>
      <c r="G227" s="107"/>
      <c r="H227" s="107"/>
      <c r="I227" s="107"/>
      <c r="J227" s="107"/>
      <c r="K227" s="107"/>
    </row>
    <row r="228" spans="2:11" x14ac:dyDescent="0.2">
      <c r="B228" s="107"/>
      <c r="C228" s="107"/>
      <c r="D228" s="107"/>
      <c r="E228" s="124"/>
      <c r="F228" s="107"/>
      <c r="G228" s="107"/>
      <c r="H228" s="107"/>
      <c r="I228" s="107"/>
      <c r="J228" s="107"/>
      <c r="K228" s="107"/>
    </row>
    <row r="229" spans="2:11" x14ac:dyDescent="0.2">
      <c r="B229" s="107"/>
      <c r="C229" s="107"/>
      <c r="D229" s="107"/>
      <c r="E229" s="124"/>
      <c r="F229" s="107"/>
      <c r="G229" s="107"/>
      <c r="H229" s="107"/>
      <c r="I229" s="107"/>
      <c r="J229" s="107"/>
      <c r="K229" s="107"/>
    </row>
    <row r="230" spans="2:11" x14ac:dyDescent="0.2">
      <c r="B230" s="107"/>
      <c r="C230" s="107"/>
      <c r="D230" s="107"/>
      <c r="E230" s="124"/>
      <c r="F230" s="107"/>
      <c r="G230" s="107"/>
      <c r="H230" s="107"/>
      <c r="I230" s="107"/>
      <c r="J230" s="107"/>
      <c r="K230" s="107"/>
    </row>
    <row r="231" spans="2:11" x14ac:dyDescent="0.2">
      <c r="B231" s="107"/>
      <c r="C231" s="107"/>
      <c r="D231" s="107"/>
      <c r="E231" s="124"/>
      <c r="F231" s="107"/>
      <c r="G231" s="107"/>
      <c r="H231" s="107"/>
      <c r="I231" s="107"/>
      <c r="J231" s="107"/>
      <c r="K231" s="107"/>
    </row>
    <row r="232" spans="2:11" x14ac:dyDescent="0.2">
      <c r="B232" s="107"/>
      <c r="C232" s="107"/>
      <c r="D232" s="107"/>
      <c r="E232" s="124"/>
      <c r="F232" s="107"/>
      <c r="G232" s="107"/>
      <c r="H232" s="107"/>
      <c r="I232" s="107"/>
      <c r="J232" s="107"/>
      <c r="K232" s="107"/>
    </row>
    <row r="233" spans="2:11" x14ac:dyDescent="0.2">
      <c r="B233" s="107"/>
      <c r="C233" s="107"/>
      <c r="D233" s="107"/>
      <c r="E233" s="124"/>
      <c r="F233" s="107"/>
      <c r="G233" s="107"/>
      <c r="H233" s="107"/>
      <c r="I233" s="107"/>
      <c r="J233" s="107"/>
      <c r="K233" s="107"/>
    </row>
    <row r="234" spans="2:11" x14ac:dyDescent="0.2">
      <c r="B234" s="107"/>
      <c r="C234" s="107"/>
      <c r="D234" s="107"/>
      <c r="E234" s="124"/>
      <c r="F234" s="107"/>
      <c r="G234" s="107"/>
      <c r="H234" s="107"/>
      <c r="I234" s="107"/>
      <c r="J234" s="107"/>
      <c r="K234" s="107"/>
    </row>
    <row r="235" spans="2:11" x14ac:dyDescent="0.2">
      <c r="B235" s="107"/>
      <c r="C235" s="107"/>
      <c r="D235" s="107"/>
      <c r="E235" s="124"/>
      <c r="F235" s="107"/>
      <c r="G235" s="107"/>
      <c r="H235" s="107"/>
      <c r="I235" s="107"/>
      <c r="J235" s="107"/>
      <c r="K235" s="107"/>
    </row>
    <row r="236" spans="2:11" x14ac:dyDescent="0.2">
      <c r="B236" s="107"/>
      <c r="C236" s="107"/>
      <c r="D236" s="107"/>
      <c r="E236" s="124"/>
      <c r="F236" s="107"/>
      <c r="G236" s="107"/>
      <c r="H236" s="107"/>
      <c r="I236" s="107"/>
      <c r="J236" s="107"/>
      <c r="K236" s="107"/>
    </row>
    <row r="237" spans="2:11" x14ac:dyDescent="0.2">
      <c r="B237" s="107"/>
      <c r="C237" s="107"/>
      <c r="D237" s="107"/>
      <c r="E237" s="124"/>
      <c r="F237" s="107"/>
      <c r="G237" s="107"/>
      <c r="H237" s="107"/>
      <c r="I237" s="107"/>
      <c r="J237" s="107"/>
      <c r="K237" s="107"/>
    </row>
    <row r="238" spans="2:11" x14ac:dyDescent="0.2">
      <c r="B238" s="107"/>
      <c r="C238" s="107"/>
      <c r="D238" s="107"/>
      <c r="E238" s="124"/>
      <c r="F238" s="107"/>
      <c r="G238" s="107"/>
      <c r="H238" s="107"/>
      <c r="I238" s="107"/>
      <c r="J238" s="107"/>
      <c r="K238" s="107"/>
    </row>
    <row r="239" spans="2:11" x14ac:dyDescent="0.2">
      <c r="B239" s="107"/>
      <c r="C239" s="107"/>
      <c r="D239" s="107"/>
      <c r="E239" s="124"/>
      <c r="F239" s="107"/>
      <c r="G239" s="107"/>
      <c r="H239" s="107"/>
      <c r="I239" s="107"/>
      <c r="J239" s="107"/>
      <c r="K239" s="107"/>
    </row>
    <row r="240" spans="2:11" x14ac:dyDescent="0.2">
      <c r="B240" s="107"/>
      <c r="C240" s="107"/>
      <c r="D240" s="107"/>
      <c r="E240" s="124"/>
      <c r="F240" s="107"/>
      <c r="G240" s="107"/>
      <c r="H240" s="107"/>
      <c r="I240" s="107"/>
      <c r="J240" s="107"/>
      <c r="K240" s="107"/>
    </row>
    <row r="241" spans="2:11" x14ac:dyDescent="0.2">
      <c r="B241" s="107"/>
      <c r="C241" s="107"/>
      <c r="D241" s="107"/>
      <c r="E241" s="124"/>
      <c r="F241" s="107"/>
      <c r="G241" s="107"/>
      <c r="H241" s="107"/>
      <c r="I241" s="107"/>
      <c r="J241" s="107"/>
      <c r="K241" s="107"/>
    </row>
    <row r="242" spans="2:11" x14ac:dyDescent="0.2">
      <c r="B242" s="107"/>
      <c r="C242" s="107"/>
      <c r="D242" s="107"/>
      <c r="E242" s="124"/>
      <c r="F242" s="107"/>
      <c r="G242" s="107"/>
      <c r="H242" s="107"/>
      <c r="I242" s="107"/>
      <c r="J242" s="107"/>
      <c r="K242" s="107"/>
    </row>
    <row r="243" spans="2:11" x14ac:dyDescent="0.2">
      <c r="B243" s="107"/>
      <c r="C243" s="107"/>
      <c r="D243" s="107"/>
      <c r="E243" s="124"/>
      <c r="F243" s="107"/>
      <c r="G243" s="107"/>
      <c r="H243" s="107"/>
      <c r="I243" s="107"/>
      <c r="J243" s="107"/>
      <c r="K243" s="107"/>
    </row>
    <row r="244" spans="2:11" x14ac:dyDescent="0.2">
      <c r="B244" s="107"/>
      <c r="C244" s="107"/>
      <c r="D244" s="107"/>
      <c r="E244" s="124"/>
      <c r="F244" s="107"/>
      <c r="G244" s="107"/>
      <c r="H244" s="107"/>
      <c r="I244" s="107"/>
      <c r="J244" s="107"/>
      <c r="K244" s="107"/>
    </row>
    <row r="245" spans="2:11" x14ac:dyDescent="0.2">
      <c r="B245" s="107"/>
      <c r="C245" s="107"/>
      <c r="D245" s="107"/>
      <c r="E245" s="124"/>
      <c r="F245" s="107"/>
      <c r="G245" s="107"/>
      <c r="H245" s="107"/>
      <c r="I245" s="107"/>
      <c r="J245" s="107"/>
      <c r="K245" s="107"/>
    </row>
    <row r="246" spans="2:11" x14ac:dyDescent="0.2">
      <c r="B246" s="107"/>
      <c r="C246" s="107"/>
      <c r="D246" s="107"/>
      <c r="E246" s="124"/>
      <c r="F246" s="107"/>
      <c r="G246" s="107"/>
      <c r="H246" s="107"/>
      <c r="I246" s="107"/>
      <c r="J246" s="107"/>
      <c r="K246" s="107"/>
    </row>
    <row r="247" spans="2:11" x14ac:dyDescent="0.2">
      <c r="B247" s="107"/>
      <c r="C247" s="107"/>
      <c r="D247" s="107"/>
      <c r="E247" s="124"/>
      <c r="F247" s="107"/>
      <c r="G247" s="107"/>
      <c r="H247" s="107"/>
      <c r="I247" s="107"/>
      <c r="J247" s="107"/>
      <c r="K247" s="107"/>
    </row>
    <row r="248" spans="2:11" x14ac:dyDescent="0.2">
      <c r="B248" s="107"/>
      <c r="C248" s="107"/>
      <c r="D248" s="107"/>
      <c r="E248" s="124"/>
      <c r="F248" s="107"/>
      <c r="G248" s="107"/>
      <c r="H248" s="107"/>
      <c r="I248" s="107"/>
      <c r="J248" s="107"/>
      <c r="K248" s="107"/>
    </row>
    <row r="249" spans="2:11" x14ac:dyDescent="0.2">
      <c r="B249" s="107"/>
      <c r="C249" s="107"/>
      <c r="D249" s="107"/>
      <c r="E249" s="124"/>
      <c r="F249" s="107"/>
      <c r="G249" s="107"/>
      <c r="H249" s="107"/>
      <c r="I249" s="107"/>
      <c r="J249" s="107"/>
      <c r="K249" s="107"/>
    </row>
    <row r="250" spans="2:11" x14ac:dyDescent="0.2">
      <c r="B250" s="107"/>
      <c r="C250" s="107"/>
      <c r="D250" s="107"/>
      <c r="E250" s="124"/>
      <c r="F250" s="107"/>
      <c r="G250" s="107"/>
      <c r="H250" s="107"/>
      <c r="I250" s="107"/>
      <c r="J250" s="107"/>
      <c r="K250" s="107"/>
    </row>
    <row r="251" spans="2:11" x14ac:dyDescent="0.2">
      <c r="B251" s="107"/>
      <c r="C251" s="107"/>
      <c r="D251" s="107"/>
      <c r="E251" s="124"/>
      <c r="F251" s="107"/>
      <c r="G251" s="107"/>
      <c r="H251" s="107"/>
      <c r="I251" s="107"/>
      <c r="J251" s="107"/>
      <c r="K251" s="107"/>
    </row>
    <row r="252" spans="2:11" x14ac:dyDescent="0.2">
      <c r="B252" s="107"/>
      <c r="C252" s="107"/>
      <c r="D252" s="107"/>
      <c r="E252" s="124"/>
      <c r="F252" s="107"/>
      <c r="G252" s="107"/>
      <c r="H252" s="107"/>
      <c r="I252" s="107"/>
      <c r="J252" s="107"/>
      <c r="K252" s="107"/>
    </row>
    <row r="253" spans="2:11" x14ac:dyDescent="0.2">
      <c r="B253" s="107"/>
      <c r="C253" s="107"/>
      <c r="D253" s="107"/>
      <c r="E253" s="124"/>
      <c r="F253" s="107"/>
      <c r="G253" s="107"/>
      <c r="H253" s="107"/>
      <c r="I253" s="107"/>
      <c r="J253" s="107"/>
      <c r="K253" s="107"/>
    </row>
    <row r="254" spans="2:11" x14ac:dyDescent="0.2">
      <c r="B254" s="107"/>
      <c r="C254" s="107"/>
      <c r="D254" s="107"/>
      <c r="E254" s="124"/>
      <c r="F254" s="107"/>
      <c r="G254" s="107"/>
      <c r="H254" s="107"/>
      <c r="I254" s="107"/>
      <c r="J254" s="107"/>
      <c r="K254" s="107"/>
    </row>
    <row r="255" spans="2:11" x14ac:dyDescent="0.2">
      <c r="B255" s="107"/>
      <c r="C255" s="107"/>
      <c r="D255" s="107"/>
      <c r="E255" s="124"/>
      <c r="F255" s="107"/>
      <c r="G255" s="107"/>
      <c r="H255" s="107"/>
      <c r="I255" s="107"/>
      <c r="J255" s="107"/>
      <c r="K255" s="107"/>
    </row>
    <row r="256" spans="2:11" x14ac:dyDescent="0.2">
      <c r="B256" s="107"/>
      <c r="C256" s="107"/>
      <c r="D256" s="107"/>
      <c r="E256" s="124"/>
      <c r="F256" s="107"/>
      <c r="G256" s="107"/>
      <c r="H256" s="107"/>
      <c r="I256" s="107"/>
      <c r="J256" s="107"/>
      <c r="K256" s="107"/>
    </row>
    <row r="257" spans="2:11" x14ac:dyDescent="0.2">
      <c r="B257" s="107"/>
      <c r="C257" s="107"/>
      <c r="D257" s="107"/>
      <c r="E257" s="124"/>
      <c r="F257" s="107"/>
      <c r="G257" s="107"/>
      <c r="H257" s="107"/>
      <c r="I257" s="107"/>
      <c r="J257" s="107"/>
      <c r="K257" s="107"/>
    </row>
    <row r="258" spans="2:11" x14ac:dyDescent="0.2">
      <c r="B258" s="107"/>
      <c r="C258" s="107"/>
      <c r="D258" s="107"/>
      <c r="E258" s="124"/>
      <c r="F258" s="107"/>
      <c r="G258" s="107"/>
      <c r="H258" s="107"/>
      <c r="I258" s="107"/>
      <c r="J258" s="107"/>
      <c r="K258" s="107"/>
    </row>
    <row r="259" spans="2:11" x14ac:dyDescent="0.2">
      <c r="B259" s="107"/>
      <c r="C259" s="107"/>
      <c r="D259" s="107"/>
      <c r="E259" s="124"/>
      <c r="F259" s="107"/>
      <c r="G259" s="107"/>
      <c r="H259" s="107"/>
      <c r="I259" s="107"/>
      <c r="J259" s="107"/>
      <c r="K259" s="107"/>
    </row>
    <row r="260" spans="2:11" x14ac:dyDescent="0.2">
      <c r="B260" s="107"/>
      <c r="C260" s="107"/>
      <c r="D260" s="107"/>
      <c r="E260" s="124"/>
      <c r="F260" s="107"/>
      <c r="G260" s="107"/>
      <c r="H260" s="107"/>
      <c r="I260" s="107"/>
      <c r="J260" s="107"/>
      <c r="K260" s="107"/>
    </row>
    <row r="261" spans="2:11" x14ac:dyDescent="0.2">
      <c r="B261" s="107"/>
      <c r="C261" s="107"/>
      <c r="D261" s="107"/>
      <c r="E261" s="124"/>
      <c r="F261" s="107"/>
      <c r="G261" s="107"/>
      <c r="H261" s="107"/>
      <c r="I261" s="107"/>
      <c r="J261" s="107"/>
      <c r="K261" s="107"/>
    </row>
    <row r="262" spans="2:11" x14ac:dyDescent="0.2">
      <c r="B262" s="107"/>
      <c r="C262" s="107"/>
      <c r="D262" s="107"/>
      <c r="E262" s="124"/>
      <c r="F262" s="107"/>
      <c r="G262" s="107"/>
      <c r="H262" s="107"/>
      <c r="I262" s="107"/>
      <c r="J262" s="107"/>
      <c r="K262" s="107"/>
    </row>
    <row r="263" spans="2:11" x14ac:dyDescent="0.2">
      <c r="B263" s="107"/>
      <c r="C263" s="107"/>
      <c r="D263" s="107"/>
      <c r="E263" s="124"/>
      <c r="F263" s="107"/>
      <c r="G263" s="107"/>
      <c r="H263" s="107"/>
      <c r="I263" s="107"/>
      <c r="J263" s="107"/>
      <c r="K263" s="107"/>
    </row>
    <row r="264" spans="2:11" x14ac:dyDescent="0.2">
      <c r="B264" s="107"/>
      <c r="C264" s="107"/>
      <c r="D264" s="107"/>
      <c r="E264" s="124"/>
      <c r="F264" s="107"/>
      <c r="G264" s="107"/>
      <c r="H264" s="107"/>
      <c r="I264" s="107"/>
      <c r="J264" s="107"/>
      <c r="K264" s="107"/>
    </row>
    <row r="265" spans="2:11" x14ac:dyDescent="0.2">
      <c r="B265" s="107"/>
      <c r="C265" s="107"/>
      <c r="D265" s="107"/>
      <c r="E265" s="124"/>
      <c r="F265" s="107"/>
      <c r="G265" s="107"/>
      <c r="H265" s="107"/>
      <c r="I265" s="107"/>
      <c r="J265" s="107"/>
      <c r="K265" s="107"/>
    </row>
    <row r="266" spans="2:11" x14ac:dyDescent="0.2">
      <c r="B266" s="107"/>
      <c r="C266" s="107"/>
      <c r="D266" s="107"/>
      <c r="E266" s="124"/>
      <c r="F266" s="107"/>
      <c r="G266" s="107"/>
      <c r="H266" s="107"/>
      <c r="I266" s="107"/>
      <c r="J266" s="107"/>
      <c r="K266" s="107"/>
    </row>
    <row r="267" spans="2:11" x14ac:dyDescent="0.2">
      <c r="B267" s="107"/>
      <c r="C267" s="107"/>
      <c r="D267" s="107"/>
      <c r="E267" s="124"/>
      <c r="F267" s="107"/>
      <c r="G267" s="107"/>
      <c r="H267" s="107"/>
      <c r="I267" s="107"/>
      <c r="J267" s="107"/>
      <c r="K267" s="107"/>
    </row>
    <row r="268" spans="2:11" x14ac:dyDescent="0.2">
      <c r="B268" s="107"/>
      <c r="C268" s="107"/>
      <c r="D268" s="107"/>
      <c r="E268" s="124"/>
      <c r="F268" s="107"/>
      <c r="G268" s="107"/>
      <c r="H268" s="107"/>
      <c r="I268" s="107"/>
      <c r="J268" s="107"/>
      <c r="K268" s="107"/>
    </row>
    <row r="269" spans="2:11" x14ac:dyDescent="0.2">
      <c r="B269" s="107"/>
      <c r="C269" s="107"/>
      <c r="D269" s="107"/>
      <c r="E269" s="124"/>
      <c r="F269" s="107"/>
      <c r="G269" s="107"/>
      <c r="H269" s="107"/>
      <c r="I269" s="107"/>
      <c r="J269" s="107"/>
      <c r="K269" s="107"/>
    </row>
    <row r="270" spans="2:11" x14ac:dyDescent="0.2">
      <c r="B270" s="107"/>
      <c r="C270" s="107"/>
      <c r="D270" s="107"/>
      <c r="E270" s="124"/>
      <c r="F270" s="107"/>
      <c r="G270" s="107"/>
      <c r="H270" s="107"/>
      <c r="I270" s="107"/>
      <c r="J270" s="107"/>
      <c r="K270" s="107"/>
    </row>
    <row r="271" spans="2:11" x14ac:dyDescent="0.2">
      <c r="B271" s="107"/>
      <c r="C271" s="107"/>
      <c r="D271" s="107"/>
      <c r="E271" s="124"/>
      <c r="F271" s="107"/>
      <c r="G271" s="107"/>
      <c r="H271" s="107"/>
      <c r="I271" s="107"/>
      <c r="J271" s="107"/>
      <c r="K271" s="107"/>
    </row>
    <row r="272" spans="2:11" x14ac:dyDescent="0.2">
      <c r="B272" s="107"/>
      <c r="C272" s="107"/>
      <c r="D272" s="107"/>
      <c r="E272" s="124"/>
      <c r="F272" s="107"/>
      <c r="G272" s="107"/>
      <c r="H272" s="107"/>
      <c r="I272" s="107"/>
      <c r="J272" s="107"/>
      <c r="K272" s="107"/>
    </row>
    <row r="273" spans="2:11" x14ac:dyDescent="0.2">
      <c r="B273" s="107"/>
      <c r="C273" s="107"/>
      <c r="D273" s="107"/>
      <c r="E273" s="124"/>
      <c r="F273" s="107"/>
      <c r="G273" s="107"/>
      <c r="H273" s="107"/>
      <c r="I273" s="107"/>
      <c r="J273" s="107"/>
      <c r="K273" s="107"/>
    </row>
    <row r="274" spans="2:11" x14ac:dyDescent="0.2">
      <c r="B274" s="107"/>
      <c r="C274" s="107"/>
      <c r="D274" s="107"/>
      <c r="E274" s="124"/>
      <c r="F274" s="107"/>
      <c r="G274" s="107"/>
      <c r="H274" s="107"/>
      <c r="I274" s="107"/>
      <c r="J274" s="107"/>
      <c r="K274" s="107"/>
    </row>
    <row r="275" spans="2:11" x14ac:dyDescent="0.2">
      <c r="B275" s="107"/>
      <c r="C275" s="107"/>
      <c r="D275" s="107"/>
      <c r="E275" s="124"/>
      <c r="F275" s="107"/>
      <c r="G275" s="107"/>
      <c r="H275" s="107"/>
      <c r="I275" s="107"/>
      <c r="J275" s="107"/>
      <c r="K275" s="107"/>
    </row>
    <row r="276" spans="2:11" x14ac:dyDescent="0.2">
      <c r="B276" s="107"/>
      <c r="C276" s="107"/>
      <c r="D276" s="107"/>
      <c r="E276" s="124"/>
      <c r="F276" s="107"/>
      <c r="G276" s="107"/>
      <c r="H276" s="107"/>
      <c r="I276" s="107"/>
      <c r="J276" s="107"/>
      <c r="K276" s="107"/>
    </row>
    <row r="277" spans="2:11" x14ac:dyDescent="0.2">
      <c r="B277" s="107"/>
      <c r="C277" s="107"/>
      <c r="D277" s="107"/>
      <c r="E277" s="124"/>
      <c r="F277" s="107"/>
      <c r="G277" s="107"/>
      <c r="H277" s="107"/>
      <c r="I277" s="107"/>
      <c r="J277" s="107"/>
      <c r="K277" s="107"/>
    </row>
    <row r="278" spans="2:11" x14ac:dyDescent="0.2">
      <c r="B278" s="107"/>
      <c r="C278" s="107"/>
      <c r="D278" s="107"/>
      <c r="E278" s="124"/>
      <c r="F278" s="107"/>
      <c r="G278" s="107"/>
      <c r="H278" s="107"/>
      <c r="I278" s="107"/>
      <c r="J278" s="107"/>
      <c r="K278" s="107"/>
    </row>
    <row r="279" spans="2:11" x14ac:dyDescent="0.2">
      <c r="B279" s="107"/>
      <c r="C279" s="107"/>
      <c r="D279" s="107"/>
      <c r="E279" s="124"/>
      <c r="F279" s="107"/>
      <c r="G279" s="107"/>
      <c r="H279" s="107"/>
      <c r="I279" s="107"/>
      <c r="J279" s="107"/>
      <c r="K279" s="107"/>
    </row>
    <row r="280" spans="2:11" x14ac:dyDescent="0.2">
      <c r="B280" s="107"/>
      <c r="C280" s="107"/>
      <c r="D280" s="107"/>
      <c r="E280" s="124"/>
      <c r="F280" s="107"/>
      <c r="G280" s="107"/>
      <c r="H280" s="107"/>
      <c r="I280" s="107"/>
      <c r="J280" s="107"/>
      <c r="K280" s="107"/>
    </row>
    <row r="281" spans="2:11" x14ac:dyDescent="0.2">
      <c r="B281" s="107"/>
      <c r="C281" s="107"/>
      <c r="D281" s="107"/>
      <c r="E281" s="124"/>
      <c r="F281" s="107"/>
      <c r="G281" s="107"/>
      <c r="H281" s="107"/>
      <c r="I281" s="107"/>
      <c r="J281" s="107"/>
      <c r="K281" s="107"/>
    </row>
    <row r="282" spans="2:11" x14ac:dyDescent="0.2">
      <c r="B282" s="107"/>
      <c r="C282" s="107"/>
      <c r="D282" s="107"/>
      <c r="E282" s="124"/>
      <c r="F282" s="107"/>
      <c r="G282" s="107"/>
      <c r="H282" s="107"/>
      <c r="I282" s="107"/>
      <c r="J282" s="107"/>
      <c r="K282" s="107"/>
    </row>
    <row r="283" spans="2:11" x14ac:dyDescent="0.2">
      <c r="B283" s="107"/>
      <c r="C283" s="107"/>
      <c r="D283" s="107"/>
      <c r="E283" s="124"/>
      <c r="F283" s="107"/>
      <c r="G283" s="107"/>
      <c r="H283" s="107"/>
      <c r="I283" s="107"/>
      <c r="J283" s="107"/>
      <c r="K283" s="107"/>
    </row>
    <row r="284" spans="2:11" x14ac:dyDescent="0.2">
      <c r="B284" s="107"/>
      <c r="C284" s="107"/>
      <c r="D284" s="107"/>
      <c r="E284" s="124"/>
      <c r="F284" s="107"/>
      <c r="G284" s="107"/>
      <c r="H284" s="107"/>
      <c r="I284" s="107"/>
      <c r="J284" s="107"/>
      <c r="K284" s="107"/>
    </row>
    <row r="285" spans="2:11" x14ac:dyDescent="0.2">
      <c r="B285" s="107"/>
      <c r="C285" s="107"/>
      <c r="D285" s="107"/>
      <c r="E285" s="124"/>
      <c r="F285" s="107"/>
      <c r="G285" s="107"/>
      <c r="H285" s="107"/>
      <c r="I285" s="107"/>
      <c r="J285" s="107"/>
      <c r="K285" s="107"/>
    </row>
    <row r="286" spans="2:11" x14ac:dyDescent="0.2">
      <c r="B286" s="107"/>
      <c r="C286" s="107"/>
      <c r="D286" s="107"/>
      <c r="E286" s="124"/>
      <c r="F286" s="107"/>
      <c r="G286" s="107"/>
      <c r="H286" s="107"/>
      <c r="I286" s="107"/>
      <c r="J286" s="107"/>
      <c r="K286" s="107"/>
    </row>
    <row r="287" spans="2:11" x14ac:dyDescent="0.2">
      <c r="B287" s="107"/>
      <c r="C287" s="107"/>
      <c r="D287" s="107"/>
      <c r="E287" s="124"/>
      <c r="F287" s="107"/>
      <c r="G287" s="107"/>
      <c r="H287" s="107"/>
      <c r="I287" s="107"/>
      <c r="J287" s="107"/>
      <c r="K287" s="107"/>
    </row>
    <row r="288" spans="2:11" x14ac:dyDescent="0.2">
      <c r="B288" s="107"/>
      <c r="C288" s="107"/>
      <c r="D288" s="107"/>
      <c r="E288" s="124"/>
      <c r="F288" s="107"/>
      <c r="G288" s="107"/>
      <c r="H288" s="107"/>
      <c r="I288" s="107"/>
      <c r="J288" s="107"/>
      <c r="K288" s="107"/>
    </row>
    <row r="289" spans="2:11" x14ac:dyDescent="0.2">
      <c r="B289" s="107"/>
      <c r="C289" s="107"/>
      <c r="D289" s="107"/>
      <c r="E289" s="124"/>
      <c r="F289" s="107"/>
      <c r="G289" s="107"/>
      <c r="H289" s="107"/>
      <c r="I289" s="107"/>
      <c r="J289" s="107"/>
      <c r="K289" s="107"/>
    </row>
    <row r="290" spans="2:11" x14ac:dyDescent="0.2">
      <c r="B290" s="107"/>
      <c r="C290" s="107"/>
      <c r="D290" s="107"/>
      <c r="E290" s="124"/>
      <c r="F290" s="107"/>
      <c r="G290" s="107"/>
      <c r="H290" s="107"/>
      <c r="I290" s="107"/>
      <c r="J290" s="107"/>
      <c r="K290" s="107"/>
    </row>
    <row r="291" spans="2:11" x14ac:dyDescent="0.2">
      <c r="B291" s="107"/>
      <c r="C291" s="107"/>
      <c r="D291" s="107"/>
      <c r="E291" s="124"/>
      <c r="F291" s="107"/>
      <c r="G291" s="107"/>
      <c r="H291" s="107"/>
      <c r="I291" s="107"/>
      <c r="J291" s="107"/>
      <c r="K291" s="107"/>
    </row>
    <row r="292" spans="2:11" x14ac:dyDescent="0.2">
      <c r="B292" s="107"/>
      <c r="C292" s="107"/>
      <c r="D292" s="107"/>
      <c r="E292" s="124"/>
      <c r="F292" s="107"/>
      <c r="G292" s="107"/>
      <c r="H292" s="107"/>
      <c r="I292" s="107"/>
      <c r="J292" s="107"/>
      <c r="K292" s="107"/>
    </row>
    <row r="293" spans="2:11" x14ac:dyDescent="0.2">
      <c r="B293" s="107"/>
      <c r="C293" s="107"/>
      <c r="D293" s="107"/>
      <c r="E293" s="124"/>
      <c r="F293" s="107"/>
      <c r="G293" s="107"/>
      <c r="H293" s="107"/>
      <c r="I293" s="107"/>
      <c r="J293" s="107"/>
      <c r="K293" s="107"/>
    </row>
    <row r="294" spans="2:11" x14ac:dyDescent="0.2">
      <c r="B294" s="107"/>
      <c r="C294" s="107"/>
      <c r="D294" s="107"/>
      <c r="E294" s="124"/>
      <c r="F294" s="107"/>
      <c r="G294" s="107"/>
      <c r="H294" s="107"/>
      <c r="I294" s="107"/>
      <c r="J294" s="107"/>
      <c r="K294" s="107"/>
    </row>
    <row r="295" spans="2:11" x14ac:dyDescent="0.2">
      <c r="B295" s="107"/>
      <c r="C295" s="107"/>
      <c r="D295" s="107"/>
      <c r="E295" s="124"/>
      <c r="F295" s="107"/>
      <c r="G295" s="107"/>
      <c r="H295" s="107"/>
      <c r="I295" s="107"/>
      <c r="J295" s="107"/>
      <c r="K295" s="107"/>
    </row>
    <row r="296" spans="2:11" x14ac:dyDescent="0.2">
      <c r="B296" s="107"/>
      <c r="C296" s="107"/>
      <c r="D296" s="107"/>
      <c r="E296" s="124"/>
      <c r="F296" s="107"/>
      <c r="G296" s="107"/>
      <c r="H296" s="107"/>
      <c r="I296" s="107"/>
      <c r="J296" s="107"/>
      <c r="K296" s="107"/>
    </row>
    <row r="297" spans="2:11" x14ac:dyDescent="0.2">
      <c r="B297" s="107"/>
      <c r="C297" s="107"/>
      <c r="D297" s="107"/>
      <c r="E297" s="124"/>
      <c r="F297" s="107"/>
      <c r="G297" s="107"/>
      <c r="H297" s="107"/>
      <c r="I297" s="107"/>
      <c r="J297" s="107"/>
      <c r="K297" s="107"/>
    </row>
    <row r="298" spans="2:11" x14ac:dyDescent="0.2">
      <c r="B298" s="107"/>
      <c r="C298" s="107"/>
      <c r="D298" s="107"/>
      <c r="E298" s="124"/>
      <c r="F298" s="107"/>
      <c r="G298" s="107"/>
      <c r="H298" s="107"/>
      <c r="I298" s="107"/>
      <c r="J298" s="107"/>
      <c r="K298" s="107"/>
    </row>
    <row r="299" spans="2:11" x14ac:dyDescent="0.2">
      <c r="B299" s="107"/>
      <c r="C299" s="107"/>
      <c r="D299" s="107"/>
      <c r="E299" s="124"/>
      <c r="F299" s="107"/>
      <c r="G299" s="107"/>
      <c r="H299" s="107"/>
      <c r="I299" s="107"/>
      <c r="J299" s="107"/>
      <c r="K299" s="107"/>
    </row>
    <row r="300" spans="2:11" x14ac:dyDescent="0.2">
      <c r="B300" s="107"/>
      <c r="C300" s="107"/>
      <c r="D300" s="107"/>
      <c r="E300" s="124"/>
      <c r="F300" s="107"/>
      <c r="G300" s="107"/>
      <c r="H300" s="107"/>
      <c r="I300" s="107"/>
      <c r="J300" s="107"/>
      <c r="K300" s="107"/>
    </row>
    <row r="301" spans="2:11" x14ac:dyDescent="0.2">
      <c r="B301" s="107"/>
      <c r="C301" s="107"/>
      <c r="D301" s="107"/>
      <c r="E301" s="124"/>
      <c r="F301" s="107"/>
      <c r="G301" s="107"/>
      <c r="H301" s="107"/>
      <c r="I301" s="107"/>
      <c r="J301" s="107"/>
      <c r="K301" s="107"/>
    </row>
    <row r="302" spans="2:11" x14ac:dyDescent="0.2">
      <c r="B302" s="107"/>
      <c r="C302" s="107"/>
      <c r="D302" s="107"/>
      <c r="E302" s="124"/>
      <c r="F302" s="107"/>
      <c r="G302" s="107"/>
      <c r="H302" s="107"/>
      <c r="I302" s="107"/>
      <c r="J302" s="107"/>
      <c r="K302" s="107"/>
    </row>
    <row r="303" spans="2:11" x14ac:dyDescent="0.2">
      <c r="B303" s="107"/>
      <c r="C303" s="107"/>
      <c r="D303" s="107"/>
      <c r="E303" s="124"/>
      <c r="F303" s="107"/>
      <c r="G303" s="107"/>
      <c r="H303" s="107"/>
      <c r="I303" s="107"/>
      <c r="J303" s="107"/>
      <c r="K303" s="107"/>
    </row>
    <row r="304" spans="2:11" x14ac:dyDescent="0.2">
      <c r="B304" s="107"/>
      <c r="C304" s="107"/>
      <c r="D304" s="107"/>
      <c r="E304" s="124"/>
      <c r="F304" s="107"/>
      <c r="G304" s="107"/>
      <c r="H304" s="107"/>
      <c r="I304" s="107"/>
      <c r="J304" s="107"/>
      <c r="K304" s="107"/>
    </row>
    <row r="305" spans="2:11" x14ac:dyDescent="0.2">
      <c r="B305" s="107"/>
      <c r="C305" s="107"/>
      <c r="D305" s="107"/>
      <c r="E305" s="124"/>
      <c r="F305" s="107"/>
      <c r="G305" s="107"/>
      <c r="H305" s="107"/>
      <c r="I305" s="107"/>
      <c r="J305" s="107"/>
      <c r="K305" s="107"/>
    </row>
    <row r="306" spans="2:11" x14ac:dyDescent="0.2">
      <c r="B306" s="107"/>
      <c r="C306" s="107"/>
      <c r="D306" s="107"/>
      <c r="E306" s="124"/>
      <c r="F306" s="107"/>
      <c r="G306" s="107"/>
      <c r="H306" s="107"/>
      <c r="I306" s="107"/>
      <c r="J306" s="107"/>
      <c r="K306" s="107"/>
    </row>
    <row r="307" spans="2:11" x14ac:dyDescent="0.2">
      <c r="B307" s="107"/>
      <c r="C307" s="107"/>
      <c r="D307" s="107"/>
      <c r="E307" s="124"/>
      <c r="F307" s="107"/>
      <c r="G307" s="107"/>
      <c r="H307" s="107"/>
      <c r="I307" s="107"/>
      <c r="J307" s="107"/>
      <c r="K307" s="107"/>
    </row>
    <row r="308" spans="2:11" x14ac:dyDescent="0.2">
      <c r="B308" s="107"/>
      <c r="C308" s="107"/>
      <c r="D308" s="107"/>
      <c r="E308" s="124"/>
      <c r="F308" s="107"/>
      <c r="G308" s="107"/>
      <c r="H308" s="107"/>
      <c r="I308" s="107"/>
      <c r="J308" s="107"/>
      <c r="K308" s="107"/>
    </row>
    <row r="309" spans="2:11" x14ac:dyDescent="0.2">
      <c r="B309" s="107"/>
      <c r="C309" s="107"/>
      <c r="D309" s="107"/>
      <c r="E309" s="124"/>
      <c r="F309" s="107"/>
      <c r="G309" s="107"/>
      <c r="H309" s="107"/>
      <c r="I309" s="107"/>
      <c r="J309" s="107"/>
      <c r="K309" s="107"/>
    </row>
    <row r="310" spans="2:11" x14ac:dyDescent="0.2">
      <c r="B310" s="107"/>
      <c r="C310" s="107"/>
      <c r="D310" s="107"/>
      <c r="E310" s="124"/>
      <c r="F310" s="107"/>
      <c r="G310" s="107"/>
      <c r="H310" s="107"/>
      <c r="I310" s="107"/>
      <c r="J310" s="107"/>
      <c r="K310" s="107"/>
    </row>
    <row r="311" spans="2:11" x14ac:dyDescent="0.2">
      <c r="B311" s="107"/>
      <c r="C311" s="107"/>
      <c r="D311" s="107"/>
      <c r="E311" s="124"/>
      <c r="F311" s="107"/>
      <c r="G311" s="107"/>
      <c r="H311" s="107"/>
      <c r="I311" s="107"/>
      <c r="J311" s="107"/>
      <c r="K311" s="107"/>
    </row>
    <row r="312" spans="2:11" x14ac:dyDescent="0.2">
      <c r="B312" s="107"/>
      <c r="C312" s="107"/>
      <c r="D312" s="107"/>
      <c r="E312" s="124"/>
      <c r="F312" s="107"/>
      <c r="G312" s="107"/>
      <c r="H312" s="107"/>
      <c r="I312" s="107"/>
      <c r="J312" s="107"/>
      <c r="K312" s="107"/>
    </row>
    <row r="313" spans="2:11" x14ac:dyDescent="0.2">
      <c r="B313" s="107"/>
      <c r="C313" s="107"/>
      <c r="D313" s="107"/>
      <c r="E313" s="124"/>
      <c r="F313" s="107"/>
      <c r="G313" s="107"/>
      <c r="H313" s="107"/>
      <c r="I313" s="107"/>
      <c r="J313" s="107"/>
      <c r="K313" s="107"/>
    </row>
    <row r="314" spans="2:11" x14ac:dyDescent="0.2">
      <c r="B314" s="107"/>
      <c r="C314" s="107"/>
      <c r="D314" s="107"/>
      <c r="E314" s="124"/>
      <c r="F314" s="107"/>
      <c r="G314" s="107"/>
      <c r="H314" s="107"/>
      <c r="I314" s="107"/>
      <c r="J314" s="107"/>
      <c r="K314" s="107"/>
    </row>
    <row r="315" spans="2:11" x14ac:dyDescent="0.2">
      <c r="B315" s="107"/>
      <c r="C315" s="107"/>
      <c r="D315" s="107"/>
      <c r="E315" s="124"/>
      <c r="F315" s="107"/>
      <c r="G315" s="107"/>
      <c r="H315" s="107"/>
      <c r="I315" s="107"/>
      <c r="J315" s="107"/>
      <c r="K315" s="107"/>
    </row>
    <row r="316" spans="2:11" x14ac:dyDescent="0.2">
      <c r="B316" s="107"/>
      <c r="C316" s="107"/>
      <c r="D316" s="107"/>
      <c r="E316" s="124"/>
      <c r="F316" s="107"/>
      <c r="G316" s="107"/>
      <c r="H316" s="107"/>
      <c r="I316" s="107"/>
      <c r="J316" s="107"/>
      <c r="K316" s="107"/>
    </row>
    <row r="317" spans="2:11" x14ac:dyDescent="0.2">
      <c r="B317" s="107"/>
      <c r="C317" s="107"/>
      <c r="D317" s="107"/>
      <c r="E317" s="124"/>
      <c r="F317" s="107"/>
      <c r="G317" s="107"/>
      <c r="H317" s="107"/>
      <c r="I317" s="107"/>
      <c r="J317" s="107"/>
      <c r="K317" s="107"/>
    </row>
    <row r="318" spans="2:11" x14ac:dyDescent="0.2">
      <c r="B318" s="107"/>
      <c r="C318" s="107"/>
      <c r="D318" s="107"/>
      <c r="E318" s="124"/>
      <c r="F318" s="107"/>
      <c r="G318" s="107"/>
      <c r="H318" s="107"/>
      <c r="I318" s="107"/>
      <c r="J318" s="107"/>
      <c r="K318" s="107"/>
    </row>
    <row r="319" spans="2:11" x14ac:dyDescent="0.2">
      <c r="B319" s="107"/>
      <c r="C319" s="107"/>
      <c r="D319" s="107"/>
      <c r="E319" s="124"/>
      <c r="F319" s="107"/>
      <c r="G319" s="107"/>
      <c r="H319" s="107"/>
      <c r="I319" s="107"/>
      <c r="J319" s="107"/>
      <c r="K319" s="107"/>
    </row>
    <row r="320" spans="2:11" x14ac:dyDescent="0.2">
      <c r="B320" s="107"/>
      <c r="C320" s="107"/>
      <c r="D320" s="107"/>
      <c r="E320" s="124"/>
      <c r="F320" s="107"/>
      <c r="G320" s="107"/>
      <c r="H320" s="107"/>
      <c r="I320" s="107"/>
      <c r="J320" s="107"/>
      <c r="K320" s="107"/>
    </row>
    <row r="321" spans="2:11" x14ac:dyDescent="0.2">
      <c r="B321" s="107"/>
      <c r="C321" s="107"/>
      <c r="D321" s="107"/>
      <c r="E321" s="124"/>
      <c r="F321" s="107"/>
      <c r="G321" s="107"/>
      <c r="H321" s="107"/>
      <c r="I321" s="107"/>
      <c r="J321" s="107"/>
      <c r="K321" s="107"/>
    </row>
    <row r="322" spans="2:11" x14ac:dyDescent="0.2">
      <c r="B322" s="107"/>
      <c r="C322" s="107"/>
      <c r="D322" s="107"/>
      <c r="E322" s="124"/>
      <c r="F322" s="107"/>
      <c r="G322" s="107"/>
      <c r="H322" s="107"/>
      <c r="I322" s="107"/>
      <c r="J322" s="107"/>
      <c r="K322" s="107"/>
    </row>
    <row r="323" spans="2:11" x14ac:dyDescent="0.2">
      <c r="B323" s="107"/>
      <c r="C323" s="107"/>
      <c r="D323" s="107"/>
      <c r="E323" s="124"/>
      <c r="F323" s="107"/>
      <c r="G323" s="107"/>
      <c r="H323" s="107"/>
      <c r="I323" s="107"/>
      <c r="J323" s="107"/>
      <c r="K323" s="107"/>
    </row>
    <row r="324" spans="2:11" x14ac:dyDescent="0.2">
      <c r="B324" s="107"/>
      <c r="C324" s="107"/>
      <c r="D324" s="107"/>
      <c r="E324" s="124"/>
      <c r="F324" s="107"/>
      <c r="G324" s="107"/>
      <c r="H324" s="107"/>
      <c r="I324" s="107"/>
      <c r="J324" s="107"/>
      <c r="K324" s="107"/>
    </row>
    <row r="325" spans="2:11" x14ac:dyDescent="0.2">
      <c r="B325" s="107"/>
      <c r="C325" s="107"/>
      <c r="D325" s="107"/>
      <c r="E325" s="124"/>
      <c r="F325" s="107"/>
      <c r="G325" s="107"/>
      <c r="H325" s="107"/>
      <c r="I325" s="107"/>
      <c r="J325" s="107"/>
      <c r="K325" s="107"/>
    </row>
    <row r="326" spans="2:11" x14ac:dyDescent="0.2">
      <c r="B326" s="107"/>
      <c r="C326" s="107"/>
      <c r="D326" s="107"/>
      <c r="E326" s="124"/>
      <c r="F326" s="107"/>
      <c r="G326" s="107"/>
      <c r="H326" s="107"/>
      <c r="I326" s="107"/>
      <c r="J326" s="107"/>
      <c r="K326" s="107"/>
    </row>
    <row r="327" spans="2:11" x14ac:dyDescent="0.2">
      <c r="B327" s="107"/>
      <c r="C327" s="107"/>
      <c r="D327" s="107"/>
      <c r="E327" s="124"/>
      <c r="F327" s="107"/>
      <c r="G327" s="107"/>
      <c r="H327" s="107"/>
      <c r="I327" s="107"/>
      <c r="J327" s="107"/>
      <c r="K327" s="107"/>
    </row>
    <row r="328" spans="2:11" x14ac:dyDescent="0.2">
      <c r="B328" s="107"/>
      <c r="C328" s="107"/>
      <c r="D328" s="107"/>
      <c r="E328" s="124"/>
      <c r="F328" s="107"/>
      <c r="G328" s="107"/>
      <c r="H328" s="107"/>
      <c r="I328" s="107"/>
      <c r="J328" s="107"/>
      <c r="K328" s="107"/>
    </row>
    <row r="329" spans="2:11" x14ac:dyDescent="0.2">
      <c r="B329" s="107"/>
      <c r="C329" s="107"/>
      <c r="D329" s="107"/>
      <c r="E329" s="124"/>
      <c r="F329" s="107"/>
      <c r="G329" s="107"/>
      <c r="H329" s="107"/>
      <c r="I329" s="107"/>
      <c r="J329" s="107"/>
      <c r="K329" s="107"/>
    </row>
    <row r="330" spans="2:11" x14ac:dyDescent="0.2">
      <c r="B330" s="107"/>
      <c r="C330" s="107"/>
      <c r="D330" s="107"/>
      <c r="E330" s="124"/>
      <c r="F330" s="107"/>
      <c r="G330" s="107"/>
      <c r="H330" s="107"/>
      <c r="I330" s="107"/>
      <c r="J330" s="107"/>
      <c r="K330" s="107"/>
    </row>
    <row r="331" spans="2:11" x14ac:dyDescent="0.2">
      <c r="B331" s="107"/>
      <c r="C331" s="107"/>
      <c r="D331" s="107"/>
      <c r="E331" s="124"/>
      <c r="F331" s="107"/>
      <c r="G331" s="107"/>
      <c r="H331" s="107"/>
      <c r="I331" s="107"/>
      <c r="J331" s="107"/>
      <c r="K331" s="107"/>
    </row>
    <row r="332" spans="2:11" x14ac:dyDescent="0.2">
      <c r="B332" s="107"/>
      <c r="C332" s="107"/>
      <c r="D332" s="107"/>
      <c r="E332" s="124"/>
      <c r="F332" s="107"/>
      <c r="G332" s="107"/>
      <c r="H332" s="107"/>
      <c r="I332" s="107"/>
      <c r="J332" s="107"/>
      <c r="K332" s="107"/>
    </row>
    <row r="333" spans="2:11" x14ac:dyDescent="0.2">
      <c r="B333" s="107"/>
      <c r="C333" s="107"/>
      <c r="D333" s="107"/>
      <c r="E333" s="124"/>
      <c r="F333" s="107"/>
      <c r="G333" s="107"/>
      <c r="H333" s="107"/>
      <c r="I333" s="107"/>
      <c r="J333" s="107"/>
      <c r="K333" s="107"/>
    </row>
    <row r="334" spans="2:11" x14ac:dyDescent="0.2">
      <c r="B334" s="107"/>
      <c r="C334" s="107"/>
      <c r="D334" s="107"/>
      <c r="E334" s="124"/>
      <c r="F334" s="107"/>
      <c r="G334" s="107"/>
      <c r="H334" s="107"/>
      <c r="I334" s="107"/>
      <c r="J334" s="107"/>
      <c r="K334" s="107"/>
    </row>
    <row r="335" spans="2:11" x14ac:dyDescent="0.2">
      <c r="B335" s="107"/>
      <c r="C335" s="107"/>
      <c r="D335" s="107"/>
      <c r="E335" s="124"/>
      <c r="F335" s="107"/>
      <c r="G335" s="107"/>
      <c r="H335" s="107"/>
      <c r="I335" s="107"/>
      <c r="J335" s="107"/>
      <c r="K335" s="107"/>
    </row>
    <row r="336" spans="2:11" x14ac:dyDescent="0.2">
      <c r="B336" s="107"/>
      <c r="C336" s="107"/>
      <c r="D336" s="107"/>
      <c r="E336" s="124"/>
      <c r="F336" s="107"/>
      <c r="G336" s="107"/>
      <c r="H336" s="107"/>
      <c r="I336" s="107"/>
      <c r="J336" s="107"/>
      <c r="K336" s="107"/>
    </row>
    <row r="337" spans="2:11" x14ac:dyDescent="0.2">
      <c r="B337" s="107"/>
      <c r="C337" s="107"/>
      <c r="D337" s="107"/>
      <c r="E337" s="124"/>
      <c r="F337" s="107"/>
      <c r="G337" s="107"/>
      <c r="H337" s="107"/>
      <c r="I337" s="107"/>
      <c r="J337" s="107"/>
      <c r="K337" s="107"/>
    </row>
    <row r="338" spans="2:11" x14ac:dyDescent="0.2">
      <c r="B338" s="107"/>
      <c r="C338" s="107"/>
      <c r="D338" s="107"/>
      <c r="E338" s="124"/>
      <c r="F338" s="107"/>
      <c r="G338" s="107"/>
      <c r="H338" s="107"/>
      <c r="I338" s="107"/>
      <c r="J338" s="107"/>
      <c r="K338" s="107"/>
    </row>
    <row r="339" spans="2:11" x14ac:dyDescent="0.2">
      <c r="B339" s="107"/>
      <c r="C339" s="107"/>
      <c r="D339" s="107"/>
      <c r="E339" s="124"/>
      <c r="F339" s="107"/>
      <c r="G339" s="107"/>
      <c r="H339" s="107"/>
      <c r="I339" s="107"/>
      <c r="J339" s="107"/>
      <c r="K339" s="107"/>
    </row>
    <row r="340" spans="2:11" x14ac:dyDescent="0.2">
      <c r="B340" s="107"/>
      <c r="C340" s="107"/>
      <c r="D340" s="107"/>
      <c r="E340" s="124"/>
      <c r="F340" s="107"/>
      <c r="G340" s="107"/>
      <c r="H340" s="107"/>
      <c r="I340" s="107"/>
      <c r="J340" s="107"/>
      <c r="K340" s="107"/>
    </row>
    <row r="341" spans="2:11" x14ac:dyDescent="0.2">
      <c r="B341" s="107"/>
      <c r="C341" s="107"/>
      <c r="D341" s="107"/>
      <c r="E341" s="124"/>
      <c r="F341" s="107"/>
      <c r="G341" s="107"/>
      <c r="H341" s="107"/>
      <c r="I341" s="107"/>
      <c r="J341" s="107"/>
      <c r="K341" s="107"/>
    </row>
    <row r="342" spans="2:11" x14ac:dyDescent="0.2">
      <c r="B342" s="107"/>
      <c r="C342" s="107"/>
      <c r="D342" s="107"/>
      <c r="E342" s="124"/>
      <c r="F342" s="107"/>
      <c r="G342" s="107"/>
      <c r="H342" s="107"/>
      <c r="I342" s="107"/>
      <c r="J342" s="107"/>
      <c r="K342" s="107"/>
    </row>
    <row r="343" spans="2:11" x14ac:dyDescent="0.2">
      <c r="B343" s="107"/>
      <c r="C343" s="107"/>
      <c r="D343" s="107"/>
      <c r="E343" s="124"/>
      <c r="F343" s="107"/>
      <c r="G343" s="107"/>
      <c r="H343" s="107"/>
      <c r="I343" s="107"/>
      <c r="J343" s="107"/>
      <c r="K343" s="107"/>
    </row>
    <row r="344" spans="2:11" x14ac:dyDescent="0.2">
      <c r="B344" s="107"/>
      <c r="C344" s="107"/>
      <c r="D344" s="107"/>
      <c r="E344" s="124"/>
      <c r="F344" s="107"/>
      <c r="G344" s="107"/>
      <c r="H344" s="107"/>
      <c r="I344" s="107"/>
      <c r="J344" s="107"/>
      <c r="K344" s="107"/>
    </row>
    <row r="345" spans="2:11" x14ac:dyDescent="0.2">
      <c r="B345" s="107"/>
      <c r="C345" s="107"/>
      <c r="D345" s="107"/>
      <c r="E345" s="124"/>
      <c r="F345" s="107"/>
      <c r="G345" s="107"/>
      <c r="H345" s="107"/>
      <c r="I345" s="107"/>
      <c r="J345" s="107"/>
      <c r="K345" s="107"/>
    </row>
    <row r="346" spans="2:11" x14ac:dyDescent="0.2">
      <c r="B346" s="107"/>
      <c r="C346" s="107"/>
      <c r="D346" s="107"/>
      <c r="E346" s="124"/>
      <c r="F346" s="107"/>
      <c r="G346" s="107"/>
      <c r="H346" s="107"/>
      <c r="I346" s="107"/>
      <c r="J346" s="107"/>
      <c r="K346" s="107"/>
    </row>
    <row r="347" spans="2:11" x14ac:dyDescent="0.2">
      <c r="B347" s="107"/>
      <c r="C347" s="107"/>
      <c r="D347" s="107"/>
      <c r="E347" s="124"/>
      <c r="F347" s="107"/>
      <c r="G347" s="107"/>
      <c r="H347" s="107"/>
      <c r="I347" s="107"/>
      <c r="J347" s="107"/>
      <c r="K347" s="107"/>
    </row>
    <row r="348" spans="2:11" x14ac:dyDescent="0.2">
      <c r="B348" s="107"/>
      <c r="C348" s="107"/>
      <c r="D348" s="107"/>
      <c r="E348" s="124"/>
      <c r="F348" s="107"/>
      <c r="G348" s="107"/>
      <c r="H348" s="107"/>
      <c r="I348" s="107"/>
      <c r="J348" s="107"/>
      <c r="K348" s="107"/>
    </row>
    <row r="349" spans="2:11" x14ac:dyDescent="0.2">
      <c r="B349" s="107"/>
      <c r="C349" s="107"/>
      <c r="D349" s="107"/>
      <c r="E349" s="124"/>
      <c r="F349" s="107"/>
      <c r="G349" s="107"/>
      <c r="H349" s="107"/>
      <c r="I349" s="107"/>
      <c r="J349" s="107"/>
      <c r="K349" s="107"/>
    </row>
    <row r="350" spans="2:11" x14ac:dyDescent="0.2">
      <c r="B350" s="107"/>
      <c r="C350" s="107"/>
      <c r="D350" s="107"/>
      <c r="E350" s="124"/>
      <c r="F350" s="107"/>
      <c r="G350" s="107"/>
      <c r="H350" s="107"/>
      <c r="I350" s="107"/>
      <c r="J350" s="107"/>
      <c r="K350" s="107"/>
    </row>
    <row r="351" spans="2:11" x14ac:dyDescent="0.2">
      <c r="B351" s="107"/>
      <c r="C351" s="107"/>
      <c r="D351" s="107"/>
      <c r="E351" s="124"/>
      <c r="F351" s="107"/>
      <c r="G351" s="107"/>
      <c r="H351" s="107"/>
      <c r="I351" s="107"/>
      <c r="J351" s="107"/>
      <c r="K351" s="107"/>
    </row>
    <row r="352" spans="2:11" x14ac:dyDescent="0.2">
      <c r="B352" s="107"/>
      <c r="C352" s="107"/>
      <c r="D352" s="107"/>
      <c r="E352" s="124"/>
      <c r="F352" s="107"/>
      <c r="G352" s="107"/>
      <c r="H352" s="107"/>
      <c r="I352" s="107"/>
      <c r="J352" s="107"/>
      <c r="K352" s="107"/>
    </row>
    <row r="353" spans="2:11" x14ac:dyDescent="0.2">
      <c r="B353" s="107"/>
      <c r="C353" s="107"/>
      <c r="D353" s="107"/>
      <c r="E353" s="124"/>
      <c r="F353" s="107"/>
      <c r="G353" s="107"/>
      <c r="H353" s="107"/>
      <c r="I353" s="107"/>
      <c r="J353" s="107"/>
      <c r="K353" s="107"/>
    </row>
    <row r="354" spans="2:11" x14ac:dyDescent="0.2">
      <c r="B354" s="107"/>
      <c r="C354" s="107"/>
      <c r="D354" s="107"/>
      <c r="E354" s="124"/>
      <c r="F354" s="107"/>
      <c r="G354" s="107"/>
      <c r="H354" s="107"/>
      <c r="I354" s="107"/>
      <c r="J354" s="107"/>
      <c r="K354" s="107"/>
    </row>
    <row r="355" spans="2:11" x14ac:dyDescent="0.2">
      <c r="B355" s="107"/>
      <c r="C355" s="107"/>
      <c r="D355" s="107"/>
      <c r="E355" s="124"/>
      <c r="F355" s="107"/>
      <c r="G355" s="107"/>
      <c r="H355" s="107"/>
      <c r="I355" s="107"/>
      <c r="J355" s="107"/>
      <c r="K355" s="107"/>
    </row>
    <row r="356" spans="2:11" x14ac:dyDescent="0.2">
      <c r="B356" s="107"/>
      <c r="C356" s="107"/>
      <c r="D356" s="107"/>
      <c r="E356" s="124"/>
      <c r="F356" s="107"/>
      <c r="G356" s="107"/>
      <c r="H356" s="107"/>
      <c r="I356" s="107"/>
      <c r="J356" s="107"/>
      <c r="K356" s="107"/>
    </row>
    <row r="357" spans="2:11" x14ac:dyDescent="0.2">
      <c r="B357" s="107"/>
      <c r="C357" s="107"/>
      <c r="D357" s="107"/>
      <c r="E357" s="124"/>
      <c r="F357" s="107"/>
      <c r="G357" s="107"/>
      <c r="H357" s="107"/>
      <c r="I357" s="107"/>
      <c r="J357" s="107"/>
      <c r="K357" s="107"/>
    </row>
    <row r="358" spans="2:11" x14ac:dyDescent="0.2">
      <c r="B358" s="107"/>
      <c r="C358" s="107"/>
      <c r="D358" s="107"/>
      <c r="E358" s="124"/>
      <c r="F358" s="107"/>
      <c r="G358" s="107"/>
      <c r="H358" s="107"/>
      <c r="I358" s="107"/>
      <c r="J358" s="107"/>
      <c r="K358" s="107"/>
    </row>
    <row r="359" spans="2:11" x14ac:dyDescent="0.2">
      <c r="B359" s="107"/>
      <c r="C359" s="107"/>
      <c r="D359" s="107"/>
      <c r="E359" s="124"/>
      <c r="F359" s="107"/>
      <c r="G359" s="107"/>
      <c r="H359" s="107"/>
      <c r="I359" s="107"/>
      <c r="J359" s="107"/>
      <c r="K359" s="107"/>
    </row>
    <row r="360" spans="2:11" x14ac:dyDescent="0.2">
      <c r="B360" s="107"/>
      <c r="C360" s="107"/>
      <c r="D360" s="107"/>
      <c r="E360" s="124"/>
      <c r="F360" s="107"/>
      <c r="G360" s="107"/>
      <c r="H360" s="107"/>
      <c r="I360" s="107"/>
      <c r="J360" s="107"/>
      <c r="K360" s="107"/>
    </row>
    <row r="361" spans="2:11" x14ac:dyDescent="0.2">
      <c r="B361" s="107"/>
      <c r="C361" s="107"/>
      <c r="D361" s="107"/>
      <c r="E361" s="124"/>
      <c r="F361" s="107"/>
      <c r="G361" s="107"/>
      <c r="H361" s="107"/>
      <c r="I361" s="107"/>
      <c r="J361" s="107"/>
      <c r="K361" s="107"/>
    </row>
    <row r="362" spans="2:11" x14ac:dyDescent="0.2">
      <c r="B362" s="107"/>
      <c r="C362" s="107"/>
      <c r="D362" s="107"/>
      <c r="E362" s="124"/>
      <c r="F362" s="107"/>
      <c r="G362" s="107"/>
      <c r="H362" s="107"/>
      <c r="I362" s="107"/>
      <c r="J362" s="107"/>
      <c r="K362" s="107"/>
    </row>
    <row r="363" spans="2:11" x14ac:dyDescent="0.2">
      <c r="B363" s="107"/>
      <c r="C363" s="107"/>
      <c r="D363" s="107"/>
      <c r="E363" s="124"/>
      <c r="F363" s="107"/>
      <c r="G363" s="107"/>
      <c r="H363" s="107"/>
      <c r="I363" s="107"/>
      <c r="J363" s="107"/>
      <c r="K363" s="107"/>
    </row>
    <row r="364" spans="2:11" x14ac:dyDescent="0.2">
      <c r="B364" s="107"/>
      <c r="C364" s="107"/>
      <c r="D364" s="107"/>
      <c r="E364" s="124"/>
      <c r="F364" s="107"/>
      <c r="G364" s="107"/>
      <c r="H364" s="107"/>
      <c r="I364" s="107"/>
      <c r="J364" s="107"/>
      <c r="K364" s="107"/>
    </row>
    <row r="365" spans="2:11" x14ac:dyDescent="0.2">
      <c r="B365" s="107"/>
      <c r="C365" s="107"/>
      <c r="D365" s="107"/>
      <c r="E365" s="124"/>
      <c r="F365" s="107"/>
      <c r="G365" s="107"/>
      <c r="H365" s="107"/>
      <c r="I365" s="107"/>
      <c r="J365" s="107"/>
      <c r="K365" s="107"/>
    </row>
    <row r="366" spans="2:11" x14ac:dyDescent="0.2">
      <c r="B366" s="107"/>
      <c r="C366" s="107"/>
      <c r="D366" s="107"/>
      <c r="E366" s="124"/>
      <c r="F366" s="107"/>
      <c r="G366" s="107"/>
      <c r="H366" s="107"/>
      <c r="I366" s="107"/>
      <c r="J366" s="107"/>
      <c r="K366" s="107"/>
    </row>
    <row r="367" spans="2:11" x14ac:dyDescent="0.2">
      <c r="B367" s="107"/>
      <c r="C367" s="107"/>
      <c r="D367" s="107"/>
      <c r="E367" s="124"/>
      <c r="F367" s="107"/>
      <c r="G367" s="107"/>
      <c r="H367" s="107"/>
      <c r="I367" s="107"/>
      <c r="J367" s="107"/>
      <c r="K367" s="107"/>
    </row>
    <row r="368" spans="2:11" x14ac:dyDescent="0.2">
      <c r="B368" s="107"/>
      <c r="C368" s="107"/>
      <c r="D368" s="107"/>
      <c r="E368" s="124"/>
      <c r="F368" s="107"/>
      <c r="G368" s="107"/>
      <c r="H368" s="107"/>
      <c r="I368" s="107"/>
      <c r="J368" s="107"/>
      <c r="K368" s="107"/>
    </row>
    <row r="369" spans="2:11" x14ac:dyDescent="0.2">
      <c r="B369" s="107"/>
      <c r="C369" s="107"/>
      <c r="D369" s="107"/>
      <c r="E369" s="124"/>
      <c r="F369" s="107"/>
      <c r="G369" s="107"/>
      <c r="H369" s="107"/>
      <c r="I369" s="107"/>
      <c r="J369" s="107"/>
      <c r="K369" s="107"/>
    </row>
    <row r="370" spans="2:11" x14ac:dyDescent="0.2">
      <c r="B370" s="107"/>
      <c r="C370" s="107"/>
      <c r="D370" s="107"/>
      <c r="E370" s="124"/>
      <c r="F370" s="107"/>
      <c r="G370" s="107"/>
      <c r="H370" s="107"/>
      <c r="I370" s="107"/>
      <c r="J370" s="107"/>
      <c r="K370" s="107"/>
    </row>
    <row r="371" spans="2:11" x14ac:dyDescent="0.2">
      <c r="B371" s="107"/>
      <c r="C371" s="107"/>
      <c r="D371" s="107"/>
      <c r="E371" s="124"/>
      <c r="F371" s="107"/>
      <c r="G371" s="107"/>
      <c r="H371" s="107"/>
      <c r="I371" s="107"/>
      <c r="J371" s="107"/>
      <c r="K371" s="107"/>
    </row>
    <row r="372" spans="2:11" x14ac:dyDescent="0.2">
      <c r="B372" s="107"/>
      <c r="C372" s="107"/>
      <c r="D372" s="107"/>
      <c r="E372" s="124"/>
      <c r="F372" s="107"/>
      <c r="G372" s="107"/>
      <c r="H372" s="107"/>
      <c r="I372" s="107"/>
      <c r="J372" s="107"/>
      <c r="K372" s="107"/>
    </row>
    <row r="373" spans="2:11" x14ac:dyDescent="0.2">
      <c r="B373" s="107"/>
      <c r="C373" s="107"/>
      <c r="D373" s="107"/>
      <c r="E373" s="124"/>
      <c r="F373" s="107"/>
      <c r="G373" s="107"/>
      <c r="H373" s="107"/>
      <c r="I373" s="107"/>
      <c r="J373" s="107"/>
      <c r="K373" s="107"/>
    </row>
    <row r="374" spans="2:11" x14ac:dyDescent="0.2">
      <c r="B374" s="107"/>
      <c r="C374" s="107"/>
      <c r="D374" s="107"/>
      <c r="E374" s="124"/>
      <c r="F374" s="107"/>
      <c r="G374" s="107"/>
      <c r="H374" s="107"/>
      <c r="I374" s="107"/>
      <c r="J374" s="107"/>
      <c r="K374" s="107"/>
    </row>
    <row r="375" spans="2:11" x14ac:dyDescent="0.2">
      <c r="B375" s="107"/>
      <c r="C375" s="107"/>
      <c r="D375" s="107"/>
      <c r="E375" s="124"/>
      <c r="F375" s="107"/>
      <c r="G375" s="107"/>
      <c r="H375" s="107"/>
      <c r="I375" s="107"/>
      <c r="J375" s="107"/>
      <c r="K375" s="107"/>
    </row>
    <row r="376" spans="2:11" x14ac:dyDescent="0.2">
      <c r="B376" s="107"/>
      <c r="C376" s="107"/>
      <c r="D376" s="107"/>
      <c r="E376" s="124"/>
      <c r="F376" s="107"/>
      <c r="G376" s="107"/>
      <c r="H376" s="107"/>
      <c r="I376" s="107"/>
      <c r="J376" s="107"/>
      <c r="K376" s="107"/>
    </row>
    <row r="377" spans="2:11" x14ac:dyDescent="0.2">
      <c r="B377" s="107"/>
      <c r="C377" s="107"/>
      <c r="D377" s="107"/>
      <c r="E377" s="124"/>
      <c r="F377" s="107"/>
      <c r="G377" s="107"/>
      <c r="H377" s="107"/>
      <c r="I377" s="107"/>
      <c r="J377" s="107"/>
      <c r="K377" s="107"/>
    </row>
    <row r="378" spans="2:11" x14ac:dyDescent="0.2">
      <c r="B378" s="107"/>
      <c r="C378" s="107"/>
      <c r="D378" s="107"/>
      <c r="E378" s="124"/>
      <c r="F378" s="107"/>
      <c r="G378" s="107"/>
      <c r="H378" s="107"/>
      <c r="I378" s="107"/>
      <c r="J378" s="107"/>
      <c r="K378" s="107"/>
    </row>
    <row r="379" spans="2:11" x14ac:dyDescent="0.2">
      <c r="B379" s="107"/>
      <c r="C379" s="107"/>
      <c r="D379" s="107"/>
      <c r="E379" s="124"/>
      <c r="F379" s="107"/>
      <c r="G379" s="107"/>
      <c r="H379" s="107"/>
      <c r="I379" s="107"/>
      <c r="J379" s="107"/>
      <c r="K379" s="107"/>
    </row>
    <row r="380" spans="2:11" x14ac:dyDescent="0.2">
      <c r="B380" s="107"/>
      <c r="C380" s="107"/>
      <c r="D380" s="107"/>
      <c r="E380" s="124"/>
      <c r="F380" s="107"/>
      <c r="G380" s="107"/>
      <c r="H380" s="107"/>
      <c r="I380" s="107"/>
      <c r="J380" s="107"/>
      <c r="K380" s="107"/>
    </row>
    <row r="381" spans="2:11" x14ac:dyDescent="0.2">
      <c r="B381" s="107"/>
      <c r="C381" s="107"/>
      <c r="D381" s="107"/>
      <c r="E381" s="124"/>
      <c r="F381" s="107"/>
      <c r="G381" s="107"/>
      <c r="H381" s="107"/>
      <c r="I381" s="107"/>
      <c r="J381" s="107"/>
      <c r="K381" s="107"/>
    </row>
    <row r="382" spans="2:11" x14ac:dyDescent="0.2">
      <c r="B382" s="107"/>
      <c r="C382" s="107"/>
      <c r="D382" s="107"/>
      <c r="E382" s="124"/>
      <c r="F382" s="107"/>
      <c r="G382" s="107"/>
      <c r="H382" s="107"/>
      <c r="I382" s="107"/>
      <c r="J382" s="107"/>
      <c r="K382" s="107"/>
    </row>
    <row r="383" spans="2:11" x14ac:dyDescent="0.2">
      <c r="B383" s="107"/>
      <c r="C383" s="107"/>
      <c r="D383" s="107"/>
      <c r="E383" s="124"/>
      <c r="F383" s="107"/>
      <c r="G383" s="107"/>
      <c r="H383" s="107"/>
      <c r="I383" s="107"/>
      <c r="J383" s="107"/>
      <c r="K383" s="107"/>
    </row>
    <row r="384" spans="2:11" x14ac:dyDescent="0.2">
      <c r="B384" s="107"/>
      <c r="C384" s="107"/>
      <c r="D384" s="107"/>
      <c r="E384" s="124"/>
      <c r="F384" s="107"/>
      <c r="G384" s="107"/>
      <c r="H384" s="107"/>
      <c r="I384" s="107"/>
      <c r="J384" s="107"/>
      <c r="K384" s="107"/>
    </row>
    <row r="385" spans="2:11" x14ac:dyDescent="0.2">
      <c r="B385" s="107"/>
      <c r="C385" s="107"/>
      <c r="D385" s="107"/>
      <c r="E385" s="124"/>
      <c r="F385" s="107"/>
      <c r="G385" s="107"/>
      <c r="H385" s="107"/>
      <c r="I385" s="107"/>
      <c r="J385" s="107"/>
      <c r="K385" s="107"/>
    </row>
    <row r="386" spans="2:11" x14ac:dyDescent="0.2">
      <c r="B386" s="107"/>
      <c r="C386" s="107"/>
      <c r="D386" s="107"/>
      <c r="E386" s="124"/>
      <c r="F386" s="107"/>
      <c r="G386" s="107"/>
      <c r="H386" s="107"/>
      <c r="I386" s="107"/>
      <c r="J386" s="107"/>
      <c r="K386" s="107"/>
    </row>
    <row r="387" spans="2:11" x14ac:dyDescent="0.2">
      <c r="B387" s="107"/>
      <c r="C387" s="107"/>
      <c r="D387" s="107"/>
      <c r="E387" s="124"/>
      <c r="F387" s="107"/>
      <c r="G387" s="107"/>
      <c r="H387" s="107"/>
      <c r="I387" s="107"/>
      <c r="J387" s="107"/>
      <c r="K387" s="107"/>
    </row>
    <row r="388" spans="2:11" x14ac:dyDescent="0.2">
      <c r="B388" s="107"/>
      <c r="C388" s="107"/>
      <c r="D388" s="107"/>
      <c r="E388" s="124"/>
      <c r="F388" s="107"/>
      <c r="G388" s="107"/>
      <c r="H388" s="107"/>
      <c r="I388" s="107"/>
      <c r="J388" s="107"/>
      <c r="K388" s="107"/>
    </row>
    <row r="389" spans="2:11" x14ac:dyDescent="0.2">
      <c r="B389" s="107"/>
      <c r="C389" s="107"/>
      <c r="D389" s="107"/>
      <c r="E389" s="124"/>
      <c r="F389" s="107"/>
      <c r="G389" s="107"/>
      <c r="H389" s="107"/>
      <c r="I389" s="107"/>
      <c r="J389" s="107"/>
      <c r="K389" s="107"/>
    </row>
    <row r="390" spans="2:11" x14ac:dyDescent="0.2">
      <c r="B390" s="107"/>
      <c r="C390" s="107"/>
      <c r="D390" s="107"/>
      <c r="E390" s="124"/>
      <c r="F390" s="107"/>
      <c r="G390" s="107"/>
      <c r="H390" s="107"/>
      <c r="I390" s="107"/>
      <c r="J390" s="107"/>
      <c r="K390" s="107"/>
    </row>
    <row r="391" spans="2:11" x14ac:dyDescent="0.2">
      <c r="B391" s="107"/>
      <c r="C391" s="107"/>
      <c r="D391" s="107"/>
      <c r="E391" s="124"/>
      <c r="F391" s="107"/>
      <c r="G391" s="107"/>
      <c r="H391" s="107"/>
      <c r="I391" s="107"/>
      <c r="J391" s="107"/>
      <c r="K391" s="107"/>
    </row>
    <row r="392" spans="2:11" x14ac:dyDescent="0.2">
      <c r="B392" s="107"/>
      <c r="C392" s="107"/>
      <c r="D392" s="107"/>
      <c r="E392" s="124"/>
      <c r="F392" s="107"/>
      <c r="G392" s="107"/>
      <c r="H392" s="107"/>
      <c r="I392" s="107"/>
      <c r="J392" s="107"/>
      <c r="K392" s="107"/>
    </row>
    <row r="393" spans="2:11" x14ac:dyDescent="0.2">
      <c r="B393" s="107"/>
      <c r="C393" s="107"/>
      <c r="D393" s="107"/>
      <c r="E393" s="124"/>
      <c r="F393" s="107"/>
      <c r="G393" s="107"/>
      <c r="H393" s="107"/>
      <c r="I393" s="107"/>
      <c r="J393" s="107"/>
      <c r="K393" s="107"/>
    </row>
    <row r="394" spans="2:11" x14ac:dyDescent="0.2">
      <c r="B394" s="107"/>
      <c r="C394" s="107"/>
      <c r="D394" s="107"/>
      <c r="E394" s="124"/>
      <c r="F394" s="107"/>
      <c r="G394" s="107"/>
      <c r="H394" s="107"/>
      <c r="I394" s="107"/>
      <c r="J394" s="107"/>
      <c r="K394" s="107"/>
    </row>
    <row r="395" spans="2:11" x14ac:dyDescent="0.2">
      <c r="B395" s="107"/>
      <c r="C395" s="107"/>
      <c r="D395" s="107"/>
      <c r="E395" s="124"/>
      <c r="F395" s="107"/>
      <c r="G395" s="107"/>
      <c r="H395" s="107"/>
      <c r="I395" s="107"/>
      <c r="J395" s="107"/>
      <c r="K395" s="107"/>
    </row>
    <row r="396" spans="2:11" x14ac:dyDescent="0.2">
      <c r="B396" s="107"/>
      <c r="C396" s="107"/>
      <c r="D396" s="107"/>
      <c r="E396" s="124"/>
      <c r="F396" s="107"/>
      <c r="G396" s="107"/>
      <c r="H396" s="107"/>
      <c r="I396" s="107"/>
      <c r="J396" s="107"/>
      <c r="K396" s="107"/>
    </row>
    <row r="397" spans="2:11" x14ac:dyDescent="0.2">
      <c r="B397" s="107"/>
      <c r="C397" s="107"/>
      <c r="D397" s="107"/>
      <c r="E397" s="124"/>
      <c r="F397" s="107"/>
      <c r="G397" s="107"/>
      <c r="H397" s="107"/>
      <c r="I397" s="107"/>
      <c r="J397" s="107"/>
      <c r="K397" s="107"/>
    </row>
    <row r="398" spans="2:11" x14ac:dyDescent="0.2">
      <c r="B398" s="107"/>
      <c r="C398" s="107"/>
      <c r="D398" s="107"/>
      <c r="E398" s="124"/>
      <c r="F398" s="107"/>
      <c r="G398" s="107"/>
      <c r="H398" s="107"/>
      <c r="I398" s="107"/>
      <c r="J398" s="107"/>
      <c r="K398" s="107"/>
    </row>
    <row r="399" spans="2:11" x14ac:dyDescent="0.2">
      <c r="B399" s="107"/>
      <c r="C399" s="107"/>
      <c r="D399" s="107"/>
      <c r="E399" s="124"/>
      <c r="F399" s="107"/>
      <c r="G399" s="107"/>
      <c r="H399" s="107"/>
      <c r="I399" s="107"/>
      <c r="J399" s="107"/>
      <c r="K399" s="107"/>
    </row>
    <row r="400" spans="2:11" x14ac:dyDescent="0.2">
      <c r="B400" s="107"/>
      <c r="C400" s="107"/>
      <c r="D400" s="107"/>
      <c r="E400" s="124"/>
      <c r="F400" s="107"/>
      <c r="G400" s="107"/>
      <c r="H400" s="107"/>
      <c r="I400" s="107"/>
      <c r="J400" s="107"/>
      <c r="K400" s="107"/>
    </row>
    <row r="401" spans="2:11" x14ac:dyDescent="0.2">
      <c r="B401" s="107"/>
      <c r="C401" s="107"/>
      <c r="D401" s="107"/>
      <c r="E401" s="124"/>
      <c r="F401" s="107"/>
      <c r="G401" s="107"/>
      <c r="H401" s="107"/>
      <c r="I401" s="107"/>
      <c r="J401" s="107"/>
      <c r="K401" s="107"/>
    </row>
    <row r="402" spans="2:11" x14ac:dyDescent="0.2">
      <c r="B402" s="107"/>
      <c r="C402" s="107"/>
      <c r="D402" s="107"/>
      <c r="E402" s="124"/>
      <c r="F402" s="107"/>
      <c r="G402" s="107"/>
      <c r="H402" s="107"/>
      <c r="I402" s="107"/>
      <c r="J402" s="107"/>
      <c r="K402" s="107"/>
    </row>
    <row r="403" spans="2:11" x14ac:dyDescent="0.2">
      <c r="B403" s="107"/>
      <c r="C403" s="107"/>
      <c r="D403" s="107"/>
      <c r="E403" s="124"/>
      <c r="F403" s="107"/>
      <c r="G403" s="107"/>
      <c r="H403" s="107"/>
      <c r="I403" s="107"/>
      <c r="J403" s="107"/>
      <c r="K403" s="107"/>
    </row>
    <row r="404" spans="2:11" x14ac:dyDescent="0.2">
      <c r="B404" s="107"/>
      <c r="C404" s="107"/>
      <c r="D404" s="107"/>
      <c r="E404" s="124"/>
      <c r="F404" s="107"/>
      <c r="G404" s="107"/>
      <c r="H404" s="107"/>
      <c r="I404" s="107"/>
      <c r="J404" s="107"/>
      <c r="K404" s="107"/>
    </row>
    <row r="405" spans="2:11" x14ac:dyDescent="0.2">
      <c r="B405" s="107"/>
      <c r="C405" s="107"/>
      <c r="D405" s="107"/>
      <c r="E405" s="124"/>
      <c r="F405" s="107"/>
      <c r="G405" s="107"/>
      <c r="H405" s="107"/>
      <c r="I405" s="107"/>
      <c r="J405" s="107"/>
      <c r="K405" s="107"/>
    </row>
    <row r="406" spans="2:11" x14ac:dyDescent="0.2">
      <c r="B406" s="107"/>
      <c r="C406" s="107"/>
      <c r="D406" s="107"/>
      <c r="E406" s="124"/>
      <c r="F406" s="107"/>
      <c r="G406" s="107"/>
      <c r="H406" s="107"/>
      <c r="I406" s="107"/>
      <c r="J406" s="107"/>
      <c r="K406" s="107"/>
    </row>
    <row r="407" spans="2:11" x14ac:dyDescent="0.2">
      <c r="B407" s="107"/>
      <c r="C407" s="107"/>
      <c r="D407" s="107"/>
      <c r="E407" s="124"/>
      <c r="F407" s="107"/>
      <c r="G407" s="107"/>
      <c r="H407" s="107"/>
      <c r="I407" s="107"/>
      <c r="J407" s="107"/>
      <c r="K407" s="107"/>
    </row>
    <row r="408" spans="2:11" x14ac:dyDescent="0.2">
      <c r="B408" s="107"/>
      <c r="C408" s="107"/>
      <c r="D408" s="107"/>
      <c r="E408" s="124"/>
      <c r="F408" s="107"/>
      <c r="G408" s="107"/>
      <c r="H408" s="107"/>
      <c r="I408" s="107"/>
      <c r="J408" s="107"/>
      <c r="K408" s="107"/>
    </row>
    <row r="409" spans="2:11" x14ac:dyDescent="0.2">
      <c r="B409" s="107"/>
      <c r="C409" s="107"/>
      <c r="D409" s="107"/>
      <c r="E409" s="124"/>
      <c r="F409" s="107"/>
      <c r="G409" s="107"/>
      <c r="H409" s="107"/>
      <c r="I409" s="107"/>
      <c r="J409" s="107"/>
      <c r="K409" s="107"/>
    </row>
    <row r="410" spans="2:11" x14ac:dyDescent="0.2">
      <c r="B410" s="107"/>
      <c r="C410" s="107"/>
      <c r="D410" s="107"/>
      <c r="E410" s="124"/>
      <c r="F410" s="107"/>
      <c r="G410" s="107"/>
      <c r="H410" s="107"/>
      <c r="I410" s="107"/>
      <c r="J410" s="107"/>
      <c r="K410" s="107"/>
    </row>
    <row r="411" spans="2:11" x14ac:dyDescent="0.2">
      <c r="B411" s="107"/>
      <c r="C411" s="107"/>
      <c r="D411" s="107"/>
      <c r="E411" s="124"/>
      <c r="F411" s="107"/>
      <c r="G411" s="107"/>
      <c r="H411" s="107"/>
      <c r="I411" s="107"/>
      <c r="J411" s="107"/>
      <c r="K411" s="107"/>
    </row>
    <row r="412" spans="2:11" x14ac:dyDescent="0.2">
      <c r="B412" s="107"/>
      <c r="C412" s="107"/>
      <c r="D412" s="107"/>
      <c r="E412" s="124"/>
      <c r="F412" s="107"/>
      <c r="G412" s="107"/>
      <c r="H412" s="107"/>
      <c r="I412" s="107"/>
      <c r="J412" s="107"/>
      <c r="K412" s="107"/>
    </row>
    <row r="413" spans="2:11" x14ac:dyDescent="0.2">
      <c r="B413" s="107"/>
      <c r="C413" s="107"/>
      <c r="D413" s="107"/>
      <c r="E413" s="124"/>
      <c r="F413" s="107"/>
      <c r="G413" s="107"/>
      <c r="H413" s="107"/>
      <c r="I413" s="107"/>
      <c r="J413" s="107"/>
      <c r="K413" s="107"/>
    </row>
    <row r="414" spans="2:11" x14ac:dyDescent="0.2">
      <c r="B414" s="107"/>
      <c r="C414" s="107"/>
      <c r="D414" s="107"/>
      <c r="E414" s="124"/>
      <c r="F414" s="107"/>
      <c r="G414" s="107"/>
      <c r="H414" s="107"/>
      <c r="I414" s="107"/>
      <c r="J414" s="107"/>
      <c r="K414" s="107"/>
    </row>
    <row r="415" spans="2:11" x14ac:dyDescent="0.2">
      <c r="B415" s="107"/>
      <c r="C415" s="107"/>
      <c r="D415" s="107"/>
      <c r="E415" s="124"/>
      <c r="F415" s="107"/>
      <c r="G415" s="107"/>
      <c r="H415" s="107"/>
      <c r="I415" s="107"/>
      <c r="J415" s="107"/>
      <c r="K415" s="107"/>
    </row>
    <row r="416" spans="2:11" x14ac:dyDescent="0.2">
      <c r="B416" s="107"/>
      <c r="C416" s="107"/>
      <c r="D416" s="107"/>
      <c r="E416" s="124"/>
      <c r="F416" s="107"/>
      <c r="G416" s="107"/>
      <c r="H416" s="107"/>
      <c r="I416" s="107"/>
      <c r="J416" s="107"/>
      <c r="K416" s="107"/>
    </row>
    <row r="417" spans="2:11" x14ac:dyDescent="0.2">
      <c r="B417" s="107"/>
      <c r="C417" s="107"/>
      <c r="D417" s="107"/>
      <c r="E417" s="124"/>
      <c r="F417" s="107"/>
      <c r="G417" s="107"/>
      <c r="H417" s="107"/>
      <c r="I417" s="107"/>
      <c r="J417" s="107"/>
      <c r="K417" s="107"/>
    </row>
    <row r="418" spans="2:11" x14ac:dyDescent="0.2">
      <c r="B418" s="107"/>
      <c r="C418" s="107"/>
      <c r="D418" s="107"/>
      <c r="E418" s="124"/>
      <c r="F418" s="107"/>
      <c r="G418" s="107"/>
      <c r="H418" s="107"/>
      <c r="I418" s="107"/>
      <c r="J418" s="107"/>
      <c r="K418" s="107"/>
    </row>
    <row r="419" spans="2:11" x14ac:dyDescent="0.2">
      <c r="B419" s="107"/>
      <c r="C419" s="107"/>
      <c r="D419" s="107"/>
      <c r="E419" s="124"/>
      <c r="F419" s="107"/>
      <c r="G419" s="107"/>
      <c r="H419" s="107"/>
      <c r="I419" s="107"/>
      <c r="J419" s="107"/>
      <c r="K419" s="107"/>
    </row>
    <row r="420" spans="2:11" x14ac:dyDescent="0.2">
      <c r="B420" s="107"/>
      <c r="C420" s="107"/>
      <c r="D420" s="107"/>
      <c r="E420" s="124"/>
      <c r="F420" s="107"/>
      <c r="G420" s="107"/>
      <c r="H420" s="107"/>
      <c r="I420" s="107"/>
      <c r="J420" s="107"/>
      <c r="K420" s="107"/>
    </row>
    <row r="421" spans="2:11" x14ac:dyDescent="0.2">
      <c r="B421" s="107"/>
      <c r="C421" s="107"/>
      <c r="D421" s="107"/>
      <c r="E421" s="124"/>
      <c r="F421" s="107"/>
      <c r="G421" s="107"/>
      <c r="H421" s="107"/>
      <c r="I421" s="107"/>
      <c r="J421" s="107"/>
      <c r="K421" s="107"/>
    </row>
    <row r="422" spans="2:11" x14ac:dyDescent="0.2">
      <c r="B422" s="107"/>
      <c r="C422" s="107"/>
      <c r="D422" s="107"/>
      <c r="E422" s="124"/>
      <c r="F422" s="107"/>
      <c r="G422" s="107"/>
      <c r="H422" s="107"/>
      <c r="I422" s="107"/>
      <c r="J422" s="107"/>
      <c r="K422" s="107"/>
    </row>
    <row r="423" spans="2:11" x14ac:dyDescent="0.2">
      <c r="B423" s="107"/>
      <c r="C423" s="107"/>
      <c r="D423" s="107"/>
      <c r="E423" s="124"/>
      <c r="F423" s="107"/>
      <c r="G423" s="107"/>
      <c r="H423" s="107"/>
      <c r="I423" s="107"/>
      <c r="J423" s="107"/>
      <c r="K423" s="107"/>
    </row>
    <row r="424" spans="2:11" x14ac:dyDescent="0.2">
      <c r="B424" s="107"/>
      <c r="C424" s="107"/>
      <c r="D424" s="107"/>
      <c r="E424" s="124"/>
      <c r="F424" s="107"/>
      <c r="G424" s="107"/>
      <c r="H424" s="107"/>
      <c r="I424" s="107"/>
      <c r="J424" s="107"/>
      <c r="K424" s="107"/>
    </row>
    <row r="425" spans="2:11" x14ac:dyDescent="0.2">
      <c r="B425" s="107"/>
      <c r="C425" s="107"/>
      <c r="D425" s="107"/>
      <c r="E425" s="124"/>
      <c r="F425" s="107"/>
      <c r="G425" s="107"/>
      <c r="H425" s="107"/>
      <c r="I425" s="107"/>
      <c r="J425" s="107"/>
      <c r="K425" s="107"/>
    </row>
    <row r="426" spans="2:11" x14ac:dyDescent="0.2">
      <c r="B426" s="107"/>
      <c r="C426" s="107"/>
      <c r="D426" s="107"/>
      <c r="E426" s="124"/>
      <c r="F426" s="107"/>
      <c r="G426" s="107"/>
      <c r="H426" s="107"/>
      <c r="I426" s="107"/>
      <c r="J426" s="107"/>
      <c r="K426" s="107"/>
    </row>
    <row r="427" spans="2:11" x14ac:dyDescent="0.2">
      <c r="B427" s="107"/>
      <c r="C427" s="107"/>
      <c r="D427" s="107"/>
      <c r="E427" s="124"/>
      <c r="F427" s="107"/>
      <c r="G427" s="107"/>
      <c r="H427" s="107"/>
      <c r="I427" s="107"/>
      <c r="J427" s="107"/>
      <c r="K427" s="107"/>
    </row>
    <row r="428" spans="2:11" x14ac:dyDescent="0.2">
      <c r="B428" s="107"/>
      <c r="C428" s="107"/>
      <c r="D428" s="107"/>
      <c r="E428" s="124"/>
      <c r="F428" s="107"/>
      <c r="G428" s="107"/>
      <c r="H428" s="107"/>
      <c r="I428" s="107"/>
      <c r="J428" s="107"/>
      <c r="K428" s="107"/>
    </row>
    <row r="429" spans="2:11" x14ac:dyDescent="0.2">
      <c r="B429" s="107"/>
      <c r="C429" s="107"/>
      <c r="D429" s="107"/>
      <c r="E429" s="124"/>
      <c r="F429" s="107"/>
      <c r="G429" s="107"/>
      <c r="H429" s="107"/>
      <c r="I429" s="107"/>
      <c r="J429" s="107"/>
      <c r="K429" s="107"/>
    </row>
    <row r="430" spans="2:11" x14ac:dyDescent="0.2">
      <c r="B430" s="107"/>
      <c r="C430" s="107"/>
      <c r="D430" s="107"/>
      <c r="E430" s="124"/>
      <c r="F430" s="107"/>
      <c r="G430" s="107"/>
      <c r="H430" s="107"/>
      <c r="I430" s="107"/>
      <c r="J430" s="107"/>
      <c r="K430" s="107"/>
    </row>
    <row r="431" spans="2:11" x14ac:dyDescent="0.2">
      <c r="B431" s="107"/>
      <c r="C431" s="107"/>
      <c r="D431" s="107"/>
      <c r="E431" s="124"/>
      <c r="F431" s="107"/>
      <c r="G431" s="107"/>
      <c r="H431" s="107"/>
      <c r="I431" s="107"/>
      <c r="J431" s="107"/>
      <c r="K431" s="107"/>
    </row>
    <row r="432" spans="2:11" x14ac:dyDescent="0.2">
      <c r="B432" s="107"/>
      <c r="C432" s="107"/>
      <c r="D432" s="107"/>
      <c r="E432" s="124"/>
      <c r="F432" s="107"/>
      <c r="G432" s="107"/>
      <c r="H432" s="107"/>
      <c r="I432" s="107"/>
      <c r="J432" s="107"/>
      <c r="K432" s="107"/>
    </row>
    <row r="433" spans="2:11" x14ac:dyDescent="0.2">
      <c r="B433" s="107"/>
      <c r="C433" s="107"/>
      <c r="D433" s="107"/>
      <c r="E433" s="124"/>
      <c r="F433" s="107"/>
      <c r="G433" s="107"/>
      <c r="H433" s="107"/>
      <c r="I433" s="107"/>
      <c r="J433" s="107"/>
      <c r="K433" s="107"/>
    </row>
    <row r="434" spans="2:11" x14ac:dyDescent="0.2">
      <c r="B434" s="107"/>
      <c r="C434" s="107"/>
      <c r="D434" s="107"/>
      <c r="E434" s="124"/>
      <c r="F434" s="107"/>
      <c r="G434" s="107"/>
      <c r="H434" s="107"/>
      <c r="I434" s="107"/>
      <c r="J434" s="107"/>
      <c r="K434" s="107"/>
    </row>
    <row r="435" spans="2:11" x14ac:dyDescent="0.2">
      <c r="B435" s="107"/>
      <c r="C435" s="107"/>
      <c r="D435" s="107"/>
      <c r="E435" s="124"/>
      <c r="F435" s="107"/>
      <c r="G435" s="107"/>
      <c r="H435" s="107"/>
      <c r="I435" s="107"/>
      <c r="J435" s="107"/>
      <c r="K435" s="107"/>
    </row>
    <row r="436" spans="2:11" x14ac:dyDescent="0.2">
      <c r="B436" s="107"/>
      <c r="C436" s="107"/>
      <c r="D436" s="107"/>
      <c r="E436" s="124"/>
      <c r="F436" s="107"/>
      <c r="G436" s="107"/>
      <c r="H436" s="107"/>
      <c r="I436" s="107"/>
      <c r="J436" s="107"/>
      <c r="K436" s="107"/>
    </row>
    <row r="437" spans="2:11" x14ac:dyDescent="0.2">
      <c r="B437" s="107"/>
      <c r="C437" s="107"/>
      <c r="D437" s="107"/>
      <c r="E437" s="124"/>
      <c r="F437" s="107"/>
      <c r="G437" s="107"/>
      <c r="H437" s="107"/>
      <c r="I437" s="107"/>
      <c r="J437" s="107"/>
      <c r="K437" s="107"/>
    </row>
    <row r="438" spans="2:11" x14ac:dyDescent="0.2">
      <c r="B438" s="107"/>
      <c r="C438" s="107"/>
      <c r="D438" s="107"/>
      <c r="E438" s="124"/>
      <c r="F438" s="107"/>
      <c r="G438" s="107"/>
      <c r="H438" s="107"/>
      <c r="I438" s="107"/>
      <c r="J438" s="107"/>
      <c r="K438" s="107"/>
    </row>
    <row r="439" spans="2:11" x14ac:dyDescent="0.2">
      <c r="B439" s="107"/>
      <c r="C439" s="107"/>
      <c r="D439" s="107"/>
      <c r="E439" s="124"/>
      <c r="F439" s="107"/>
      <c r="G439" s="107"/>
      <c r="H439" s="107"/>
      <c r="I439" s="107"/>
      <c r="J439" s="107"/>
      <c r="K439" s="107"/>
    </row>
    <row r="440" spans="2:11" x14ac:dyDescent="0.2">
      <c r="B440" s="107"/>
      <c r="C440" s="107"/>
      <c r="D440" s="107"/>
      <c r="E440" s="124"/>
      <c r="F440" s="107"/>
      <c r="G440" s="107"/>
      <c r="H440" s="107"/>
      <c r="I440" s="107"/>
      <c r="J440" s="107"/>
      <c r="K440" s="107"/>
    </row>
    <row r="441" spans="2:11" x14ac:dyDescent="0.2">
      <c r="B441" s="107"/>
      <c r="C441" s="107"/>
      <c r="D441" s="107"/>
      <c r="E441" s="124"/>
      <c r="F441" s="107"/>
      <c r="G441" s="107"/>
      <c r="H441" s="107"/>
      <c r="I441" s="107"/>
      <c r="J441" s="107"/>
      <c r="K441" s="107"/>
    </row>
    <row r="442" spans="2:11" x14ac:dyDescent="0.2">
      <c r="B442" s="107"/>
      <c r="C442" s="107"/>
      <c r="D442" s="107"/>
      <c r="E442" s="124"/>
      <c r="F442" s="107"/>
      <c r="G442" s="107"/>
      <c r="H442" s="107"/>
      <c r="I442" s="107"/>
      <c r="J442" s="107"/>
      <c r="K442" s="107"/>
    </row>
    <row r="443" spans="2:11" x14ac:dyDescent="0.2">
      <c r="B443" s="107"/>
      <c r="C443" s="107"/>
      <c r="D443" s="107"/>
      <c r="E443" s="124"/>
      <c r="F443" s="107"/>
      <c r="G443" s="107"/>
      <c r="H443" s="107"/>
      <c r="I443" s="107"/>
      <c r="J443" s="107"/>
      <c r="K443" s="107"/>
    </row>
    <row r="444" spans="2:11" x14ac:dyDescent="0.2">
      <c r="B444" s="107"/>
      <c r="C444" s="107"/>
      <c r="D444" s="107"/>
      <c r="E444" s="124"/>
      <c r="F444" s="107"/>
      <c r="G444" s="107"/>
      <c r="H444" s="107"/>
      <c r="I444" s="107"/>
      <c r="J444" s="107"/>
      <c r="K444" s="107"/>
    </row>
    <row r="445" spans="2:11" x14ac:dyDescent="0.2">
      <c r="B445" s="107"/>
      <c r="C445" s="107"/>
      <c r="D445" s="107"/>
      <c r="E445" s="124"/>
      <c r="F445" s="107"/>
      <c r="G445" s="107"/>
      <c r="H445" s="107"/>
      <c r="I445" s="107"/>
      <c r="J445" s="107"/>
      <c r="K445" s="107"/>
    </row>
    <row r="446" spans="2:11" x14ac:dyDescent="0.2">
      <c r="B446" s="107"/>
      <c r="C446" s="107"/>
      <c r="D446" s="107"/>
      <c r="E446" s="124"/>
      <c r="F446" s="107"/>
      <c r="G446" s="107"/>
      <c r="H446" s="107"/>
      <c r="I446" s="107"/>
      <c r="J446" s="107"/>
      <c r="K446" s="107"/>
    </row>
    <row r="447" spans="2:11" x14ac:dyDescent="0.2">
      <c r="B447" s="107"/>
      <c r="C447" s="107"/>
      <c r="D447" s="107"/>
      <c r="E447" s="124"/>
      <c r="F447" s="107"/>
      <c r="G447" s="107"/>
      <c r="H447" s="107"/>
      <c r="I447" s="107"/>
      <c r="J447" s="107"/>
      <c r="K447" s="107"/>
    </row>
    <row r="448" spans="2:11" x14ac:dyDescent="0.2">
      <c r="B448" s="107"/>
      <c r="C448" s="107"/>
      <c r="D448" s="107"/>
      <c r="E448" s="124"/>
      <c r="F448" s="107"/>
      <c r="G448" s="107"/>
      <c r="H448" s="107"/>
      <c r="I448" s="107"/>
      <c r="J448" s="107"/>
      <c r="K448" s="107"/>
    </row>
    <row r="449" spans="2:11" x14ac:dyDescent="0.2">
      <c r="B449" s="107"/>
      <c r="C449" s="107"/>
      <c r="D449" s="107"/>
      <c r="E449" s="124"/>
      <c r="F449" s="107"/>
      <c r="G449" s="107"/>
      <c r="H449" s="107"/>
      <c r="I449" s="107"/>
      <c r="J449" s="107"/>
      <c r="K449" s="107"/>
    </row>
    <row r="450" spans="2:11" x14ac:dyDescent="0.2">
      <c r="B450" s="107"/>
      <c r="C450" s="107"/>
      <c r="D450" s="107"/>
      <c r="E450" s="124"/>
      <c r="F450" s="107"/>
      <c r="G450" s="107"/>
      <c r="H450" s="107"/>
      <c r="I450" s="107"/>
      <c r="J450" s="107"/>
      <c r="K450" s="107"/>
    </row>
    <row r="451" spans="2:11" x14ac:dyDescent="0.2">
      <c r="B451" s="107"/>
      <c r="C451" s="107"/>
      <c r="D451" s="107"/>
      <c r="E451" s="124"/>
      <c r="F451" s="107"/>
      <c r="G451" s="107"/>
      <c r="H451" s="107"/>
      <c r="I451" s="107"/>
      <c r="J451" s="107"/>
      <c r="K451" s="107"/>
    </row>
    <row r="452" spans="2:11" x14ac:dyDescent="0.2">
      <c r="B452" s="107"/>
      <c r="C452" s="107"/>
      <c r="D452" s="107"/>
      <c r="E452" s="124"/>
      <c r="F452" s="107"/>
      <c r="G452" s="107"/>
      <c r="H452" s="107"/>
      <c r="I452" s="107"/>
      <c r="J452" s="107"/>
      <c r="K452" s="107"/>
    </row>
    <row r="453" spans="2:11" x14ac:dyDescent="0.2">
      <c r="B453" s="107"/>
      <c r="C453" s="107"/>
      <c r="D453" s="107"/>
      <c r="E453" s="124"/>
      <c r="F453" s="107"/>
      <c r="G453" s="107"/>
      <c r="H453" s="107"/>
      <c r="I453" s="107"/>
      <c r="J453" s="107"/>
      <c r="K453" s="107"/>
    </row>
    <row r="454" spans="2:11" x14ac:dyDescent="0.2">
      <c r="B454" s="107"/>
      <c r="C454" s="107"/>
      <c r="D454" s="107"/>
      <c r="E454" s="124"/>
      <c r="F454" s="107"/>
      <c r="G454" s="107"/>
      <c r="H454" s="107"/>
      <c r="I454" s="107"/>
      <c r="J454" s="107"/>
      <c r="K454" s="107"/>
    </row>
    <row r="455" spans="2:11" x14ac:dyDescent="0.2">
      <c r="B455" s="107"/>
      <c r="C455" s="107"/>
      <c r="D455" s="107"/>
      <c r="E455" s="124"/>
      <c r="F455" s="107"/>
      <c r="G455" s="107"/>
      <c r="H455" s="107"/>
      <c r="I455" s="107"/>
      <c r="J455" s="107"/>
      <c r="K455" s="107"/>
    </row>
    <row r="456" spans="2:11" x14ac:dyDescent="0.2">
      <c r="B456" s="107"/>
      <c r="C456" s="107"/>
      <c r="D456" s="107"/>
      <c r="E456" s="124"/>
      <c r="F456" s="107"/>
      <c r="G456" s="107"/>
      <c r="H456" s="107"/>
      <c r="I456" s="107"/>
      <c r="J456" s="107"/>
      <c r="K456" s="107"/>
    </row>
    <row r="457" spans="2:11" x14ac:dyDescent="0.2">
      <c r="B457" s="107"/>
      <c r="C457" s="107"/>
      <c r="D457" s="107"/>
      <c r="E457" s="124"/>
      <c r="F457" s="107"/>
      <c r="G457" s="107"/>
      <c r="H457" s="107"/>
      <c r="I457" s="107"/>
      <c r="J457" s="107"/>
      <c r="K457" s="107"/>
    </row>
    <row r="458" spans="2:11" x14ac:dyDescent="0.2">
      <c r="B458" s="107"/>
      <c r="C458" s="107"/>
      <c r="D458" s="107"/>
      <c r="E458" s="124"/>
      <c r="F458" s="107"/>
      <c r="G458" s="107"/>
      <c r="H458" s="107"/>
      <c r="I458" s="107"/>
      <c r="J458" s="107"/>
      <c r="K458" s="107"/>
    </row>
    <row r="459" spans="2:11" x14ac:dyDescent="0.2">
      <c r="B459" s="107"/>
      <c r="C459" s="107"/>
      <c r="D459" s="107"/>
      <c r="E459" s="124"/>
      <c r="F459" s="107"/>
      <c r="G459" s="107"/>
      <c r="H459" s="107"/>
      <c r="I459" s="107"/>
      <c r="J459" s="107"/>
      <c r="K459" s="107"/>
    </row>
    <row r="460" spans="2:11" x14ac:dyDescent="0.2">
      <c r="B460" s="107"/>
      <c r="C460" s="107"/>
      <c r="D460" s="107"/>
      <c r="E460" s="124"/>
      <c r="F460" s="107"/>
      <c r="G460" s="107"/>
      <c r="H460" s="107"/>
      <c r="I460" s="107"/>
      <c r="J460" s="107"/>
      <c r="K460" s="107"/>
    </row>
    <row r="461" spans="2:11" x14ac:dyDescent="0.2">
      <c r="B461" s="107"/>
      <c r="C461" s="107"/>
      <c r="D461" s="107"/>
      <c r="E461" s="124"/>
      <c r="F461" s="107"/>
      <c r="G461" s="107"/>
      <c r="H461" s="107"/>
      <c r="I461" s="107"/>
      <c r="J461" s="107"/>
      <c r="K461" s="107"/>
    </row>
    <row r="462" spans="2:11" x14ac:dyDescent="0.2">
      <c r="B462" s="107"/>
      <c r="C462" s="107"/>
      <c r="D462" s="107"/>
      <c r="E462" s="124"/>
      <c r="F462" s="107"/>
      <c r="G462" s="107"/>
      <c r="H462" s="107"/>
      <c r="I462" s="107"/>
      <c r="J462" s="107"/>
      <c r="K462" s="107"/>
    </row>
    <row r="463" spans="2:11" x14ac:dyDescent="0.2">
      <c r="B463" s="107"/>
      <c r="C463" s="107"/>
      <c r="D463" s="107"/>
      <c r="E463" s="124"/>
      <c r="F463" s="107"/>
      <c r="G463" s="107"/>
      <c r="H463" s="107"/>
      <c r="I463" s="107"/>
      <c r="J463" s="107"/>
      <c r="K463" s="107"/>
    </row>
    <row r="464" spans="2:11" x14ac:dyDescent="0.2">
      <c r="B464" s="107"/>
      <c r="C464" s="107"/>
      <c r="D464" s="107"/>
      <c r="E464" s="124"/>
      <c r="F464" s="107"/>
      <c r="G464" s="107"/>
      <c r="H464" s="107"/>
      <c r="I464" s="107"/>
      <c r="J464" s="107"/>
      <c r="K464" s="107"/>
    </row>
    <row r="465" spans="2:11" x14ac:dyDescent="0.2">
      <c r="B465" s="107"/>
      <c r="C465" s="107"/>
      <c r="D465" s="107"/>
      <c r="E465" s="124"/>
      <c r="F465" s="107"/>
      <c r="G465" s="107"/>
      <c r="H465" s="107"/>
      <c r="I465" s="107"/>
      <c r="J465" s="107"/>
      <c r="K465" s="107"/>
    </row>
    <row r="466" spans="2:11" x14ac:dyDescent="0.2">
      <c r="B466" s="107"/>
      <c r="C466" s="107"/>
      <c r="D466" s="107"/>
      <c r="E466" s="124"/>
      <c r="F466" s="107"/>
      <c r="G466" s="107"/>
      <c r="H466" s="107"/>
      <c r="I466" s="107"/>
      <c r="J466" s="107"/>
      <c r="K466" s="107"/>
    </row>
    <row r="467" spans="2:11" x14ac:dyDescent="0.2">
      <c r="B467" s="107"/>
      <c r="C467" s="107"/>
      <c r="D467" s="107"/>
      <c r="E467" s="124"/>
      <c r="F467" s="107"/>
      <c r="G467" s="107"/>
      <c r="H467" s="107"/>
      <c r="I467" s="107"/>
      <c r="J467" s="107"/>
      <c r="K467" s="107"/>
    </row>
    <row r="468" spans="2:11" x14ac:dyDescent="0.2">
      <c r="B468" s="107"/>
      <c r="C468" s="107"/>
      <c r="D468" s="107"/>
      <c r="E468" s="124"/>
      <c r="F468" s="107"/>
      <c r="G468" s="107"/>
      <c r="H468" s="107"/>
      <c r="I468" s="107"/>
      <c r="J468" s="107"/>
      <c r="K468" s="107"/>
    </row>
    <row r="469" spans="2:11" x14ac:dyDescent="0.2">
      <c r="B469" s="107"/>
      <c r="C469" s="107"/>
      <c r="D469" s="107"/>
      <c r="E469" s="124"/>
      <c r="F469" s="107"/>
      <c r="G469" s="107"/>
      <c r="H469" s="107"/>
      <c r="I469" s="107"/>
      <c r="J469" s="107"/>
      <c r="K469" s="107"/>
    </row>
    <row r="470" spans="2:11" x14ac:dyDescent="0.2">
      <c r="B470" s="107"/>
      <c r="C470" s="107"/>
      <c r="D470" s="107"/>
      <c r="E470" s="124"/>
      <c r="F470" s="107"/>
      <c r="G470" s="107"/>
      <c r="H470" s="107"/>
      <c r="I470" s="107"/>
      <c r="J470" s="107"/>
      <c r="K470" s="107"/>
    </row>
    <row r="471" spans="2:11" x14ac:dyDescent="0.2">
      <c r="B471" s="107"/>
      <c r="C471" s="107"/>
      <c r="D471" s="107"/>
      <c r="E471" s="124"/>
      <c r="F471" s="107"/>
      <c r="G471" s="107"/>
      <c r="H471" s="107"/>
      <c r="I471" s="107"/>
      <c r="J471" s="107"/>
      <c r="K471" s="107"/>
    </row>
    <row r="472" spans="2:11" x14ac:dyDescent="0.2">
      <c r="B472" s="107"/>
      <c r="C472" s="107"/>
      <c r="D472" s="107"/>
      <c r="E472" s="124"/>
      <c r="F472" s="107"/>
      <c r="G472" s="107"/>
      <c r="H472" s="107"/>
      <c r="I472" s="107"/>
      <c r="J472" s="107"/>
      <c r="K472" s="107"/>
    </row>
    <row r="473" spans="2:11" x14ac:dyDescent="0.2">
      <c r="B473" s="107"/>
      <c r="C473" s="107"/>
      <c r="D473" s="107"/>
      <c r="E473" s="124"/>
      <c r="F473" s="107"/>
      <c r="G473" s="107"/>
      <c r="H473" s="107"/>
      <c r="I473" s="107"/>
      <c r="J473" s="107"/>
      <c r="K473" s="107"/>
    </row>
    <row r="474" spans="2:11" x14ac:dyDescent="0.2">
      <c r="B474" s="107"/>
      <c r="C474" s="107"/>
      <c r="D474" s="107"/>
      <c r="E474" s="124"/>
      <c r="F474" s="107"/>
      <c r="G474" s="107"/>
      <c r="H474" s="107"/>
      <c r="I474" s="107"/>
      <c r="J474" s="107"/>
      <c r="K474" s="107"/>
    </row>
    <row r="475" spans="2:11" x14ac:dyDescent="0.2">
      <c r="B475" s="107"/>
      <c r="C475" s="107"/>
      <c r="D475" s="107"/>
      <c r="E475" s="124"/>
      <c r="F475" s="107"/>
      <c r="G475" s="107"/>
      <c r="H475" s="107"/>
      <c r="I475" s="107"/>
      <c r="J475" s="107"/>
      <c r="K475" s="107"/>
    </row>
    <row r="476" spans="2:11" x14ac:dyDescent="0.2">
      <c r="B476" s="107"/>
      <c r="C476" s="107"/>
      <c r="D476" s="107"/>
      <c r="E476" s="124"/>
      <c r="F476" s="107"/>
      <c r="G476" s="107"/>
      <c r="H476" s="107"/>
      <c r="I476" s="107"/>
      <c r="J476" s="107"/>
      <c r="K476" s="107"/>
    </row>
    <row r="477" spans="2:11" x14ac:dyDescent="0.2">
      <c r="B477" s="107"/>
      <c r="C477" s="107"/>
      <c r="D477" s="107"/>
      <c r="E477" s="124"/>
      <c r="F477" s="107"/>
      <c r="G477" s="107"/>
      <c r="H477" s="107"/>
      <c r="I477" s="107"/>
      <c r="J477" s="107"/>
      <c r="K477" s="107"/>
    </row>
    <row r="478" spans="2:11" x14ac:dyDescent="0.2">
      <c r="B478" s="107"/>
      <c r="C478" s="107"/>
      <c r="D478" s="107"/>
      <c r="E478" s="124"/>
      <c r="F478" s="107"/>
      <c r="G478" s="107"/>
      <c r="H478" s="107"/>
      <c r="I478" s="107"/>
      <c r="J478" s="107"/>
      <c r="K478" s="107"/>
    </row>
    <row r="479" spans="2:11" x14ac:dyDescent="0.2">
      <c r="B479" s="107"/>
      <c r="C479" s="107"/>
      <c r="D479" s="107"/>
      <c r="E479" s="124"/>
      <c r="F479" s="107"/>
      <c r="G479" s="107"/>
      <c r="H479" s="107"/>
      <c r="I479" s="107"/>
      <c r="J479" s="107"/>
      <c r="K479" s="107"/>
    </row>
    <row r="480" spans="2:11" x14ac:dyDescent="0.2">
      <c r="B480" s="107"/>
      <c r="C480" s="107"/>
      <c r="D480" s="107"/>
      <c r="E480" s="124"/>
      <c r="F480" s="107"/>
      <c r="G480" s="107"/>
      <c r="H480" s="107"/>
      <c r="I480" s="107"/>
      <c r="J480" s="107"/>
      <c r="K480" s="107"/>
    </row>
    <row r="481" spans="2:11" x14ac:dyDescent="0.2">
      <c r="B481" s="107"/>
      <c r="C481" s="107"/>
      <c r="D481" s="107"/>
      <c r="E481" s="124"/>
      <c r="F481" s="107"/>
      <c r="G481" s="107"/>
      <c r="H481" s="107"/>
      <c r="I481" s="107"/>
      <c r="J481" s="107"/>
      <c r="K481" s="107"/>
    </row>
    <row r="482" spans="2:11" x14ac:dyDescent="0.2">
      <c r="B482" s="107"/>
      <c r="C482" s="107"/>
      <c r="D482" s="107"/>
      <c r="E482" s="124"/>
      <c r="F482" s="107"/>
      <c r="G482" s="107"/>
      <c r="H482" s="107"/>
      <c r="I482" s="107"/>
      <c r="J482" s="107"/>
      <c r="K482" s="107"/>
    </row>
    <row r="483" spans="2:11" x14ac:dyDescent="0.2">
      <c r="B483" s="107"/>
      <c r="C483" s="107"/>
      <c r="D483" s="107"/>
      <c r="E483" s="124"/>
      <c r="F483" s="107"/>
      <c r="G483" s="107"/>
      <c r="H483" s="107"/>
      <c r="I483" s="107"/>
      <c r="J483" s="107"/>
      <c r="K483" s="107"/>
    </row>
    <row r="484" spans="2:11" x14ac:dyDescent="0.2">
      <c r="B484" s="107"/>
      <c r="C484" s="107"/>
      <c r="D484" s="107"/>
      <c r="E484" s="124"/>
      <c r="F484" s="107"/>
      <c r="G484" s="107"/>
      <c r="H484" s="107"/>
      <c r="I484" s="107"/>
      <c r="J484" s="107"/>
      <c r="K484" s="107"/>
    </row>
    <row r="485" spans="2:11" x14ac:dyDescent="0.2">
      <c r="B485" s="107"/>
      <c r="C485" s="107"/>
      <c r="D485" s="107"/>
      <c r="E485" s="124"/>
      <c r="F485" s="107"/>
      <c r="G485" s="107"/>
      <c r="H485" s="107"/>
      <c r="I485" s="107"/>
      <c r="J485" s="107"/>
      <c r="K485" s="107"/>
    </row>
    <row r="486" spans="2:11" x14ac:dyDescent="0.2">
      <c r="B486" s="107"/>
      <c r="C486" s="107"/>
      <c r="D486" s="107"/>
      <c r="E486" s="124"/>
      <c r="F486" s="107"/>
      <c r="G486" s="107"/>
      <c r="H486" s="107"/>
      <c r="I486" s="107"/>
      <c r="J486" s="107"/>
      <c r="K486" s="107"/>
    </row>
    <row r="487" spans="2:11" x14ac:dyDescent="0.2">
      <c r="B487" s="107"/>
      <c r="C487" s="107"/>
      <c r="D487" s="107"/>
      <c r="E487" s="124"/>
      <c r="F487" s="107"/>
      <c r="G487" s="107"/>
      <c r="H487" s="107"/>
      <c r="I487" s="107"/>
      <c r="J487" s="107"/>
      <c r="K487" s="107"/>
    </row>
    <row r="488" spans="2:11" x14ac:dyDescent="0.2">
      <c r="B488" s="107"/>
      <c r="C488" s="107"/>
      <c r="D488" s="107"/>
      <c r="E488" s="124"/>
      <c r="F488" s="107"/>
      <c r="G488" s="107"/>
      <c r="H488" s="107"/>
      <c r="I488" s="107"/>
      <c r="J488" s="107"/>
      <c r="K488" s="107"/>
    </row>
    <row r="489" spans="2:11" x14ac:dyDescent="0.2">
      <c r="B489" s="107"/>
      <c r="C489" s="107"/>
      <c r="D489" s="107"/>
      <c r="E489" s="124"/>
      <c r="F489" s="107"/>
      <c r="G489" s="107"/>
      <c r="H489" s="107"/>
      <c r="I489" s="107"/>
      <c r="J489" s="107"/>
      <c r="K489" s="107"/>
    </row>
    <row r="490" spans="2:11" x14ac:dyDescent="0.2">
      <c r="B490" s="107"/>
      <c r="C490" s="107"/>
      <c r="D490" s="107"/>
      <c r="E490" s="124"/>
      <c r="F490" s="107"/>
      <c r="G490" s="107"/>
      <c r="H490" s="107"/>
      <c r="I490" s="107"/>
      <c r="J490" s="107"/>
      <c r="K490" s="107"/>
    </row>
    <row r="491" spans="2:11" x14ac:dyDescent="0.2">
      <c r="B491" s="107"/>
      <c r="C491" s="107"/>
      <c r="D491" s="107"/>
      <c r="E491" s="124"/>
      <c r="F491" s="107"/>
      <c r="G491" s="107"/>
      <c r="H491" s="107"/>
      <c r="I491" s="107"/>
      <c r="J491" s="107"/>
      <c r="K491" s="107"/>
    </row>
    <row r="492" spans="2:11" x14ac:dyDescent="0.2">
      <c r="B492" s="107"/>
      <c r="C492" s="107"/>
      <c r="D492" s="107"/>
      <c r="E492" s="124"/>
      <c r="F492" s="107"/>
      <c r="G492" s="107"/>
      <c r="H492" s="107"/>
      <c r="I492" s="107"/>
      <c r="J492" s="107"/>
      <c r="K492" s="107"/>
    </row>
    <row r="493" spans="2:11" x14ac:dyDescent="0.2">
      <c r="B493" s="107"/>
      <c r="C493" s="107"/>
      <c r="D493" s="107"/>
      <c r="E493" s="124"/>
      <c r="F493" s="107"/>
      <c r="G493" s="107"/>
      <c r="H493" s="107"/>
      <c r="I493" s="107"/>
      <c r="J493" s="107"/>
      <c r="K493" s="107"/>
    </row>
    <row r="494" spans="2:11" x14ac:dyDescent="0.2">
      <c r="B494" s="107"/>
      <c r="C494" s="107"/>
      <c r="D494" s="107"/>
      <c r="E494" s="124"/>
      <c r="F494" s="107"/>
      <c r="G494" s="107"/>
      <c r="H494" s="107"/>
      <c r="I494" s="107"/>
      <c r="J494" s="107"/>
      <c r="K494" s="107"/>
    </row>
    <row r="495" spans="2:11" x14ac:dyDescent="0.2">
      <c r="B495" s="107"/>
      <c r="C495" s="107"/>
      <c r="D495" s="107"/>
      <c r="E495" s="124"/>
      <c r="F495" s="107"/>
      <c r="G495" s="107"/>
      <c r="H495" s="107"/>
      <c r="I495" s="107"/>
      <c r="J495" s="107"/>
      <c r="K495" s="107"/>
    </row>
    <row r="496" spans="2:11" x14ac:dyDescent="0.2">
      <c r="B496" s="107"/>
      <c r="C496" s="107"/>
      <c r="D496" s="107"/>
      <c r="E496" s="124"/>
      <c r="F496" s="107"/>
      <c r="G496" s="107"/>
      <c r="H496" s="107"/>
      <c r="I496" s="107"/>
      <c r="J496" s="107"/>
      <c r="K496" s="107"/>
    </row>
    <row r="497" spans="2:11" x14ac:dyDescent="0.2">
      <c r="B497" s="107"/>
      <c r="C497" s="107"/>
      <c r="D497" s="107"/>
      <c r="E497" s="124"/>
      <c r="F497" s="107"/>
      <c r="G497" s="107"/>
      <c r="H497" s="107"/>
      <c r="I497" s="107"/>
      <c r="J497" s="107"/>
      <c r="K497" s="107"/>
    </row>
    <row r="498" spans="2:11" x14ac:dyDescent="0.2">
      <c r="B498" s="107"/>
      <c r="C498" s="107"/>
      <c r="D498" s="107"/>
      <c r="E498" s="124"/>
      <c r="F498" s="107"/>
      <c r="G498" s="107"/>
      <c r="H498" s="107"/>
      <c r="I498" s="107"/>
      <c r="J498" s="107"/>
      <c r="K498" s="107"/>
    </row>
    <row r="499" spans="2:11" x14ac:dyDescent="0.2">
      <c r="B499" s="107"/>
      <c r="C499" s="107"/>
      <c r="D499" s="107"/>
      <c r="E499" s="124"/>
      <c r="F499" s="107"/>
      <c r="G499" s="107"/>
      <c r="H499" s="107"/>
      <c r="I499" s="107"/>
      <c r="J499" s="107"/>
      <c r="K499" s="107"/>
    </row>
    <row r="500" spans="2:11" x14ac:dyDescent="0.2">
      <c r="B500" s="107"/>
      <c r="C500" s="107"/>
      <c r="D500" s="107"/>
      <c r="E500" s="124"/>
      <c r="F500" s="107"/>
      <c r="G500" s="107"/>
      <c r="H500" s="107"/>
      <c r="I500" s="107"/>
      <c r="J500" s="107"/>
      <c r="K500" s="107"/>
    </row>
    <row r="501" spans="2:11" x14ac:dyDescent="0.2">
      <c r="B501" s="107"/>
      <c r="C501" s="107"/>
      <c r="D501" s="107"/>
      <c r="E501" s="124"/>
      <c r="F501" s="107"/>
      <c r="G501" s="107"/>
      <c r="H501" s="107"/>
      <c r="I501" s="107"/>
      <c r="J501" s="107"/>
      <c r="K501" s="107"/>
    </row>
    <row r="502" spans="2:11" x14ac:dyDescent="0.2">
      <c r="B502" s="107"/>
      <c r="C502" s="107"/>
      <c r="D502" s="107"/>
      <c r="E502" s="124"/>
      <c r="F502" s="107"/>
      <c r="G502" s="107"/>
      <c r="H502" s="107"/>
      <c r="I502" s="107"/>
      <c r="J502" s="107"/>
      <c r="K502" s="107"/>
    </row>
    <row r="503" spans="2:11" x14ac:dyDescent="0.2">
      <c r="B503" s="107"/>
      <c r="C503" s="107"/>
      <c r="D503" s="107"/>
      <c r="E503" s="124"/>
      <c r="F503" s="107"/>
      <c r="G503" s="107"/>
      <c r="H503" s="107"/>
      <c r="I503" s="107"/>
      <c r="J503" s="107"/>
      <c r="K503" s="107"/>
    </row>
    <row r="504" spans="2:11" x14ac:dyDescent="0.2">
      <c r="B504" s="107"/>
      <c r="C504" s="107"/>
      <c r="D504" s="107"/>
      <c r="E504" s="124"/>
      <c r="F504" s="107"/>
      <c r="G504" s="107"/>
      <c r="H504" s="107"/>
      <c r="I504" s="107"/>
      <c r="J504" s="107"/>
      <c r="K504" s="107"/>
    </row>
    <row r="505" spans="2:11" x14ac:dyDescent="0.2">
      <c r="B505" s="107"/>
      <c r="C505" s="107"/>
      <c r="D505" s="107"/>
      <c r="E505" s="124"/>
      <c r="F505" s="107"/>
      <c r="G505" s="107"/>
      <c r="H505" s="107"/>
      <c r="I505" s="107"/>
      <c r="J505" s="107"/>
      <c r="K505" s="107"/>
    </row>
    <row r="506" spans="2:11" x14ac:dyDescent="0.2">
      <c r="B506" s="107"/>
      <c r="C506" s="107"/>
      <c r="D506" s="107"/>
      <c r="E506" s="124"/>
      <c r="F506" s="107"/>
      <c r="G506" s="107"/>
      <c r="H506" s="107"/>
      <c r="I506" s="107"/>
      <c r="J506" s="107"/>
      <c r="K506" s="107"/>
    </row>
    <row r="507" spans="2:11" x14ac:dyDescent="0.2">
      <c r="B507" s="107"/>
      <c r="C507" s="107"/>
      <c r="D507" s="107"/>
      <c r="E507" s="124"/>
      <c r="F507" s="107"/>
      <c r="G507" s="107"/>
      <c r="H507" s="107"/>
      <c r="I507" s="107"/>
      <c r="J507" s="107"/>
      <c r="K507" s="107"/>
    </row>
    <row r="508" spans="2:11" x14ac:dyDescent="0.2">
      <c r="B508" s="107"/>
      <c r="C508" s="107"/>
      <c r="D508" s="107"/>
      <c r="E508" s="124"/>
      <c r="F508" s="107"/>
      <c r="G508" s="107"/>
      <c r="H508" s="107"/>
      <c r="I508" s="107"/>
      <c r="J508" s="107"/>
      <c r="K508" s="107"/>
    </row>
    <row r="509" spans="2:11" x14ac:dyDescent="0.2">
      <c r="B509" s="107"/>
      <c r="C509" s="107"/>
      <c r="D509" s="107"/>
      <c r="E509" s="124"/>
      <c r="F509" s="107"/>
      <c r="G509" s="107"/>
      <c r="H509" s="107"/>
      <c r="I509" s="107"/>
      <c r="J509" s="107"/>
      <c r="K509" s="107"/>
    </row>
    <row r="510" spans="2:11" x14ac:dyDescent="0.2">
      <c r="B510" s="107"/>
      <c r="C510" s="107"/>
      <c r="D510" s="107"/>
      <c r="E510" s="124"/>
      <c r="F510" s="107"/>
      <c r="G510" s="107"/>
      <c r="H510" s="107"/>
      <c r="I510" s="107"/>
      <c r="J510" s="107"/>
      <c r="K510" s="107"/>
    </row>
    <row r="511" spans="2:11" x14ac:dyDescent="0.2">
      <c r="B511" s="107"/>
      <c r="C511" s="107"/>
      <c r="D511" s="107"/>
      <c r="E511" s="124"/>
      <c r="F511" s="107"/>
      <c r="G511" s="107"/>
      <c r="H511" s="107"/>
      <c r="I511" s="107"/>
      <c r="J511" s="107"/>
      <c r="K511" s="107"/>
    </row>
    <row r="512" spans="2:11" x14ac:dyDescent="0.2">
      <c r="B512" s="107"/>
      <c r="C512" s="107"/>
      <c r="D512" s="107"/>
      <c r="E512" s="124"/>
      <c r="F512" s="107"/>
      <c r="G512" s="107"/>
      <c r="H512" s="107"/>
      <c r="I512" s="107"/>
      <c r="J512" s="107"/>
      <c r="K512" s="107"/>
    </row>
    <row r="513" spans="2:11" x14ac:dyDescent="0.2">
      <c r="B513" s="107"/>
      <c r="C513" s="107"/>
      <c r="D513" s="107"/>
      <c r="E513" s="124"/>
      <c r="F513" s="107"/>
      <c r="G513" s="107"/>
      <c r="H513" s="107"/>
      <c r="I513" s="107"/>
      <c r="J513" s="107"/>
      <c r="K513" s="107"/>
    </row>
    <row r="514" spans="2:11" x14ac:dyDescent="0.2">
      <c r="B514" s="107"/>
      <c r="C514" s="107"/>
      <c r="D514" s="107"/>
      <c r="E514" s="124"/>
      <c r="F514" s="107"/>
      <c r="G514" s="107"/>
      <c r="H514" s="107"/>
      <c r="I514" s="107"/>
      <c r="J514" s="107"/>
      <c r="K514" s="107"/>
    </row>
    <row r="515" spans="2:11" x14ac:dyDescent="0.2">
      <c r="B515" s="107"/>
      <c r="C515" s="107"/>
      <c r="D515" s="107"/>
      <c r="E515" s="124"/>
      <c r="F515" s="107"/>
      <c r="G515" s="107"/>
      <c r="H515" s="107"/>
      <c r="I515" s="107"/>
      <c r="J515" s="107"/>
      <c r="K515" s="107"/>
    </row>
    <row r="516" spans="2:11" x14ac:dyDescent="0.2">
      <c r="B516" s="107"/>
      <c r="C516" s="107"/>
      <c r="D516" s="107"/>
      <c r="E516" s="124"/>
      <c r="F516" s="107"/>
      <c r="G516" s="107"/>
      <c r="H516" s="107"/>
      <c r="I516" s="107"/>
      <c r="J516" s="107"/>
      <c r="K516" s="107"/>
    </row>
    <row r="517" spans="2:11" x14ac:dyDescent="0.2">
      <c r="B517" s="107"/>
      <c r="C517" s="107"/>
      <c r="D517" s="107"/>
      <c r="E517" s="124"/>
      <c r="F517" s="107"/>
      <c r="G517" s="107"/>
      <c r="H517" s="107"/>
      <c r="I517" s="107"/>
      <c r="J517" s="107"/>
      <c r="K517" s="107"/>
    </row>
    <row r="518" spans="2:11" x14ac:dyDescent="0.2">
      <c r="B518" s="107"/>
      <c r="C518" s="107"/>
      <c r="D518" s="107"/>
      <c r="E518" s="124"/>
      <c r="F518" s="107"/>
      <c r="G518" s="107"/>
      <c r="H518" s="107"/>
      <c r="I518" s="107"/>
      <c r="J518" s="107"/>
      <c r="K518" s="107"/>
    </row>
    <row r="519" spans="2:11" x14ac:dyDescent="0.2">
      <c r="B519" s="107"/>
      <c r="C519" s="107"/>
      <c r="D519" s="107"/>
      <c r="E519" s="124"/>
      <c r="F519" s="107"/>
      <c r="G519" s="107"/>
      <c r="H519" s="107"/>
      <c r="I519" s="107"/>
      <c r="J519" s="107"/>
      <c r="K519" s="107"/>
    </row>
    <row r="520" spans="2:11" x14ac:dyDescent="0.2">
      <c r="B520" s="107"/>
      <c r="C520" s="107"/>
      <c r="D520" s="107"/>
      <c r="E520" s="124"/>
      <c r="F520" s="107"/>
      <c r="G520" s="107"/>
      <c r="H520" s="107"/>
      <c r="I520" s="107"/>
      <c r="J520" s="107"/>
      <c r="K520" s="107"/>
    </row>
    <row r="521" spans="2:11" x14ac:dyDescent="0.2">
      <c r="B521" s="107"/>
      <c r="C521" s="107"/>
      <c r="D521" s="107"/>
      <c r="E521" s="124"/>
      <c r="F521" s="107"/>
      <c r="G521" s="107"/>
      <c r="H521" s="107"/>
      <c r="I521" s="107"/>
      <c r="J521" s="107"/>
      <c r="K521" s="107"/>
    </row>
    <row r="522" spans="2:11" x14ac:dyDescent="0.2">
      <c r="B522" s="107"/>
      <c r="C522" s="107"/>
      <c r="D522" s="107"/>
      <c r="E522" s="124"/>
      <c r="F522" s="107"/>
      <c r="G522" s="107"/>
      <c r="H522" s="107"/>
      <c r="I522" s="107"/>
      <c r="J522" s="107"/>
      <c r="K522" s="107"/>
    </row>
    <row r="523" spans="2:11" x14ac:dyDescent="0.2">
      <c r="B523" s="107"/>
      <c r="C523" s="107"/>
      <c r="D523" s="107"/>
      <c r="E523" s="124"/>
      <c r="F523" s="107"/>
      <c r="G523" s="107"/>
      <c r="H523" s="107"/>
      <c r="I523" s="107"/>
      <c r="J523" s="107"/>
      <c r="K523" s="107"/>
    </row>
    <row r="524" spans="2:11" x14ac:dyDescent="0.2">
      <c r="B524" s="107"/>
      <c r="C524" s="107"/>
      <c r="D524" s="107"/>
      <c r="E524" s="124"/>
      <c r="F524" s="107"/>
      <c r="G524" s="107"/>
      <c r="H524" s="107"/>
      <c r="I524" s="107"/>
      <c r="J524" s="107"/>
      <c r="K524" s="107"/>
    </row>
    <row r="525" spans="2:11" x14ac:dyDescent="0.2">
      <c r="B525" s="107"/>
      <c r="C525" s="107"/>
      <c r="D525" s="107"/>
      <c r="E525" s="124"/>
      <c r="F525" s="107"/>
      <c r="G525" s="107"/>
      <c r="H525" s="107"/>
      <c r="I525" s="107"/>
      <c r="J525" s="107"/>
      <c r="K525" s="107"/>
    </row>
    <row r="526" spans="2:11" x14ac:dyDescent="0.2">
      <c r="B526" s="107"/>
      <c r="C526" s="107"/>
      <c r="D526" s="107"/>
      <c r="E526" s="124"/>
      <c r="F526" s="107"/>
      <c r="G526" s="107"/>
      <c r="H526" s="107"/>
      <c r="I526" s="107"/>
      <c r="J526" s="107"/>
      <c r="K526" s="107"/>
    </row>
    <row r="527" spans="2:11" x14ac:dyDescent="0.2">
      <c r="B527" s="107"/>
      <c r="C527" s="107"/>
      <c r="D527" s="107"/>
      <c r="E527" s="124"/>
      <c r="F527" s="107"/>
      <c r="G527" s="107"/>
      <c r="H527" s="107"/>
      <c r="I527" s="107"/>
      <c r="J527" s="107"/>
      <c r="K527" s="107"/>
    </row>
    <row r="528" spans="2:11" x14ac:dyDescent="0.2">
      <c r="B528" s="107"/>
      <c r="C528" s="107"/>
      <c r="D528" s="107"/>
      <c r="E528" s="124"/>
      <c r="F528" s="107"/>
      <c r="G528" s="107"/>
      <c r="H528" s="107"/>
      <c r="I528" s="107"/>
      <c r="J528" s="107"/>
      <c r="K528" s="107"/>
    </row>
    <row r="529" spans="2:11" x14ac:dyDescent="0.2">
      <c r="B529" s="107"/>
      <c r="C529" s="107"/>
      <c r="D529" s="107"/>
      <c r="E529" s="124"/>
      <c r="F529" s="107"/>
      <c r="G529" s="107"/>
      <c r="H529" s="107"/>
      <c r="I529" s="107"/>
      <c r="J529" s="107"/>
      <c r="K529" s="107"/>
    </row>
    <row r="530" spans="2:11" x14ac:dyDescent="0.2">
      <c r="B530" s="107"/>
      <c r="C530" s="107"/>
      <c r="D530" s="107"/>
      <c r="E530" s="124"/>
      <c r="F530" s="107"/>
      <c r="G530" s="107"/>
      <c r="H530" s="107"/>
      <c r="I530" s="107"/>
      <c r="J530" s="107"/>
      <c r="K530" s="107"/>
    </row>
    <row r="531" spans="2:11" x14ac:dyDescent="0.2">
      <c r="B531" s="107"/>
      <c r="C531" s="107"/>
      <c r="D531" s="107"/>
      <c r="E531" s="124"/>
      <c r="F531" s="107"/>
      <c r="G531" s="107"/>
      <c r="H531" s="107"/>
      <c r="I531" s="107"/>
      <c r="J531" s="107"/>
      <c r="K531" s="107"/>
    </row>
    <row r="532" spans="2:11" x14ac:dyDescent="0.2">
      <c r="B532" s="107"/>
      <c r="C532" s="107"/>
      <c r="D532" s="107"/>
      <c r="E532" s="124"/>
      <c r="F532" s="107"/>
      <c r="G532" s="107"/>
      <c r="H532" s="107"/>
      <c r="I532" s="107"/>
      <c r="J532" s="107"/>
      <c r="K532" s="107"/>
    </row>
    <row r="533" spans="2:11" x14ac:dyDescent="0.2">
      <c r="B533" s="107"/>
      <c r="C533" s="107"/>
      <c r="D533" s="107"/>
      <c r="E533" s="124"/>
      <c r="F533" s="107"/>
      <c r="G533" s="107"/>
      <c r="H533" s="107"/>
      <c r="I533" s="107"/>
      <c r="J533" s="107"/>
      <c r="K533" s="107"/>
    </row>
    <row r="534" spans="2:11" x14ac:dyDescent="0.2">
      <c r="B534" s="107"/>
      <c r="C534" s="107"/>
      <c r="D534" s="107"/>
      <c r="E534" s="124"/>
      <c r="F534" s="107"/>
      <c r="G534" s="107"/>
      <c r="H534" s="107"/>
      <c r="I534" s="107"/>
      <c r="J534" s="107"/>
      <c r="K534" s="107"/>
    </row>
    <row r="535" spans="2:11" x14ac:dyDescent="0.2">
      <c r="B535" s="107"/>
      <c r="C535" s="107"/>
      <c r="D535" s="107"/>
      <c r="E535" s="124"/>
      <c r="F535" s="107"/>
      <c r="G535" s="107"/>
      <c r="H535" s="107"/>
      <c r="I535" s="107"/>
      <c r="J535" s="107"/>
      <c r="K535" s="107"/>
    </row>
    <row r="536" spans="2:11" x14ac:dyDescent="0.2">
      <c r="B536" s="107"/>
      <c r="C536" s="107"/>
      <c r="D536" s="107"/>
      <c r="E536" s="124"/>
      <c r="F536" s="107"/>
      <c r="G536" s="107"/>
      <c r="H536" s="107"/>
      <c r="I536" s="107"/>
      <c r="J536" s="107"/>
      <c r="K536" s="107"/>
    </row>
    <row r="537" spans="2:11" x14ac:dyDescent="0.2">
      <c r="B537" s="107"/>
      <c r="C537" s="107"/>
      <c r="D537" s="107"/>
      <c r="E537" s="124"/>
      <c r="F537" s="107"/>
      <c r="G537" s="107"/>
      <c r="H537" s="107"/>
      <c r="I537" s="107"/>
      <c r="J537" s="107"/>
      <c r="K537" s="107"/>
    </row>
    <row r="538" spans="2:11" x14ac:dyDescent="0.2">
      <c r="B538" s="107"/>
      <c r="C538" s="107"/>
      <c r="D538" s="107"/>
      <c r="E538" s="124"/>
      <c r="F538" s="107"/>
      <c r="G538" s="107"/>
      <c r="H538" s="107"/>
      <c r="I538" s="107"/>
      <c r="J538" s="107"/>
      <c r="K538" s="107"/>
    </row>
    <row r="539" spans="2:11" x14ac:dyDescent="0.2">
      <c r="B539" s="107"/>
      <c r="C539" s="107"/>
      <c r="D539" s="107"/>
      <c r="E539" s="124"/>
      <c r="F539" s="107"/>
      <c r="G539" s="107"/>
      <c r="H539" s="107"/>
      <c r="I539" s="107"/>
      <c r="J539" s="107"/>
      <c r="K539" s="107"/>
    </row>
    <row r="540" spans="2:11" x14ac:dyDescent="0.2">
      <c r="B540" s="107"/>
      <c r="C540" s="107"/>
      <c r="D540" s="107"/>
      <c r="E540" s="124"/>
      <c r="F540" s="107"/>
      <c r="G540" s="107"/>
      <c r="H540" s="107"/>
      <c r="I540" s="107"/>
      <c r="J540" s="107"/>
      <c r="K540" s="107"/>
    </row>
    <row r="541" spans="2:11" x14ac:dyDescent="0.2">
      <c r="B541" s="107"/>
      <c r="C541" s="107"/>
      <c r="D541" s="107"/>
      <c r="E541" s="124"/>
      <c r="F541" s="107"/>
      <c r="G541" s="107"/>
      <c r="H541" s="107"/>
      <c r="I541" s="107"/>
      <c r="J541" s="107"/>
      <c r="K541" s="107"/>
    </row>
    <row r="542" spans="2:11" x14ac:dyDescent="0.2">
      <c r="B542" s="107"/>
      <c r="C542" s="107"/>
      <c r="D542" s="107"/>
      <c r="E542" s="124"/>
      <c r="F542" s="107"/>
      <c r="G542" s="107"/>
      <c r="H542" s="107"/>
      <c r="I542" s="107"/>
      <c r="J542" s="107"/>
      <c r="K542" s="107"/>
    </row>
    <row r="543" spans="2:11" x14ac:dyDescent="0.2">
      <c r="B543" s="107"/>
      <c r="C543" s="107"/>
      <c r="D543" s="107"/>
      <c r="E543" s="124"/>
      <c r="F543" s="107"/>
      <c r="G543" s="107"/>
      <c r="H543" s="107"/>
      <c r="I543" s="107"/>
      <c r="J543" s="107"/>
      <c r="K543" s="107"/>
    </row>
    <row r="544" spans="2:11" x14ac:dyDescent="0.2">
      <c r="B544" s="107"/>
      <c r="C544" s="107"/>
      <c r="D544" s="107"/>
      <c r="E544" s="124"/>
      <c r="F544" s="107"/>
      <c r="G544" s="107"/>
      <c r="H544" s="107"/>
      <c r="I544" s="107"/>
      <c r="J544" s="107"/>
      <c r="K544" s="107"/>
    </row>
    <row r="545" spans="2:11" x14ac:dyDescent="0.2">
      <c r="B545" s="107"/>
      <c r="C545" s="107"/>
      <c r="D545" s="107"/>
      <c r="E545" s="124"/>
      <c r="F545" s="107"/>
      <c r="G545" s="107"/>
      <c r="H545" s="107"/>
      <c r="I545" s="107"/>
      <c r="J545" s="107"/>
      <c r="K545" s="107"/>
    </row>
    <row r="546" spans="2:11" x14ac:dyDescent="0.2">
      <c r="B546" s="107"/>
      <c r="C546" s="107"/>
      <c r="D546" s="107"/>
      <c r="E546" s="124"/>
      <c r="F546" s="107"/>
      <c r="G546" s="107"/>
      <c r="H546" s="107"/>
      <c r="I546" s="107"/>
      <c r="J546" s="107"/>
      <c r="K546" s="107"/>
    </row>
    <row r="547" spans="2:11" x14ac:dyDescent="0.2">
      <c r="B547" s="107"/>
      <c r="C547" s="107"/>
      <c r="D547" s="107"/>
      <c r="E547" s="124"/>
      <c r="F547" s="107"/>
      <c r="G547" s="107"/>
      <c r="H547" s="107"/>
      <c r="I547" s="107"/>
      <c r="J547" s="107"/>
      <c r="K547" s="107"/>
    </row>
    <row r="548" spans="2:11" x14ac:dyDescent="0.2">
      <c r="B548" s="107"/>
      <c r="C548" s="107"/>
      <c r="D548" s="107"/>
      <c r="E548" s="124"/>
      <c r="F548" s="107"/>
      <c r="G548" s="107"/>
      <c r="H548" s="107"/>
      <c r="I548" s="107"/>
      <c r="J548" s="107"/>
      <c r="K548" s="107"/>
    </row>
    <row r="549" spans="2:11" x14ac:dyDescent="0.2">
      <c r="B549" s="107"/>
      <c r="C549" s="107"/>
      <c r="D549" s="107"/>
      <c r="E549" s="124"/>
      <c r="F549" s="107"/>
      <c r="G549" s="107"/>
      <c r="H549" s="107"/>
      <c r="I549" s="107"/>
      <c r="J549" s="107"/>
      <c r="K549" s="107"/>
    </row>
    <row r="550" spans="2:11" x14ac:dyDescent="0.2">
      <c r="B550" s="107"/>
      <c r="C550" s="107"/>
      <c r="D550" s="107"/>
      <c r="E550" s="124"/>
      <c r="F550" s="107"/>
      <c r="G550" s="107"/>
      <c r="H550" s="107"/>
      <c r="I550" s="107"/>
      <c r="J550" s="107"/>
      <c r="K550" s="107"/>
    </row>
    <row r="551" spans="2:11" x14ac:dyDescent="0.2">
      <c r="B551" s="107"/>
      <c r="C551" s="107"/>
      <c r="D551" s="107"/>
      <c r="E551" s="124"/>
      <c r="F551" s="107"/>
      <c r="G551" s="107"/>
      <c r="H551" s="107"/>
      <c r="I551" s="107"/>
      <c r="J551" s="107"/>
      <c r="K551" s="107"/>
    </row>
    <row r="552" spans="2:11" x14ac:dyDescent="0.2">
      <c r="B552" s="107"/>
      <c r="C552" s="107"/>
      <c r="D552" s="107"/>
      <c r="E552" s="124"/>
      <c r="F552" s="107"/>
      <c r="G552" s="107"/>
      <c r="H552" s="107"/>
      <c r="I552" s="107"/>
      <c r="J552" s="107"/>
      <c r="K552" s="107"/>
    </row>
    <row r="553" spans="2:11" x14ac:dyDescent="0.2">
      <c r="B553" s="107"/>
      <c r="C553" s="107"/>
      <c r="D553" s="107"/>
      <c r="E553" s="124"/>
      <c r="F553" s="107"/>
      <c r="G553" s="107"/>
      <c r="H553" s="107"/>
      <c r="I553" s="107"/>
      <c r="J553" s="107"/>
      <c r="K553" s="107"/>
    </row>
    <row r="554" spans="2:11" x14ac:dyDescent="0.2">
      <c r="B554" s="107"/>
      <c r="C554" s="107"/>
      <c r="D554" s="107"/>
      <c r="E554" s="124"/>
      <c r="F554" s="107"/>
      <c r="G554" s="107"/>
      <c r="H554" s="107"/>
      <c r="I554" s="107"/>
      <c r="J554" s="107"/>
      <c r="K554" s="107"/>
    </row>
    <row r="555" spans="2:11" x14ac:dyDescent="0.2">
      <c r="B555" s="107"/>
      <c r="C555" s="107"/>
      <c r="D555" s="107"/>
      <c r="E555" s="124"/>
      <c r="F555" s="107"/>
      <c r="G555" s="107"/>
      <c r="H555" s="107"/>
      <c r="I555" s="107"/>
      <c r="J555" s="107"/>
      <c r="K555" s="107"/>
    </row>
    <row r="556" spans="2:11" x14ac:dyDescent="0.2">
      <c r="B556" s="107"/>
      <c r="C556" s="107"/>
      <c r="D556" s="107"/>
      <c r="E556" s="124"/>
      <c r="F556" s="107"/>
      <c r="G556" s="107"/>
      <c r="H556" s="107"/>
      <c r="I556" s="107"/>
      <c r="J556" s="107"/>
      <c r="K556" s="107"/>
    </row>
    <row r="557" spans="2:11" x14ac:dyDescent="0.2">
      <c r="E557" s="126"/>
    </row>
    <row r="558" spans="2:11" x14ac:dyDescent="0.2">
      <c r="E558" s="126"/>
    </row>
    <row r="559" spans="2:11" x14ac:dyDescent="0.2">
      <c r="E559" s="126"/>
    </row>
    <row r="560" spans="2:11" x14ac:dyDescent="0.2">
      <c r="E560" s="126"/>
    </row>
    <row r="561" spans="5:5" x14ac:dyDescent="0.2">
      <c r="E561" s="126"/>
    </row>
    <row r="562" spans="5:5" x14ac:dyDescent="0.2">
      <c r="E562" s="126"/>
    </row>
  </sheetData>
  <autoFilter ref="B4:F51" xr:uid="{A013C687-FE40-472A-AFB2-0C0314F6FDC9}"/>
  <mergeCells count="1">
    <mergeCell ref="H2:J2"/>
  </mergeCells>
  <pageMargins left="0.78740157499999996" right="0.78740157499999996" top="0.984251969" bottom="0.984251969" header="0.56000000000000005" footer="0.49212598499999999"/>
  <pageSetup orientation="landscape" r:id="rId1"/>
  <headerFooter alignWithMargins="0">
    <oddHeader>&amp;CMarcelo Venske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Índice</vt:lpstr>
      <vt:lpstr>Funções</vt:lpstr>
      <vt:lpstr>Média</vt:lpstr>
      <vt:lpstr>CONTAR.VAZIO</vt:lpstr>
      <vt:lpstr>CONT.NÚM</vt:lpstr>
      <vt:lpstr>CONT.VALORES</vt:lpstr>
      <vt:lpstr>Função CONT.SE</vt:lpstr>
      <vt:lpstr>Função SOMASE</vt:lpstr>
      <vt:lpstr>EX01</vt:lpstr>
      <vt:lpstr>EX02</vt:lpstr>
      <vt:lpstr> EX03</vt:lpstr>
      <vt:lpstr>EX04</vt:lpstr>
      <vt:lpstr>EX05</vt:lpstr>
      <vt:lpstr>EX06</vt:lpstr>
      <vt:lpstr>EX07</vt:lpstr>
      <vt:lpstr>EX08</vt:lpstr>
    </vt:vector>
  </TitlesOfParts>
  <Company>Scipione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Delazeri;Roberto</dc:creator>
  <cp:lastModifiedBy>MARIANA</cp:lastModifiedBy>
  <dcterms:created xsi:type="dcterms:W3CDTF">2008-05-03T12:35:23Z</dcterms:created>
  <dcterms:modified xsi:type="dcterms:W3CDTF">2018-06-14T22:49:10Z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76bacc27-c789-4e86-a73a-fdd441dc0391</vt:lpwstr>
  </property>
</Properties>
</file>