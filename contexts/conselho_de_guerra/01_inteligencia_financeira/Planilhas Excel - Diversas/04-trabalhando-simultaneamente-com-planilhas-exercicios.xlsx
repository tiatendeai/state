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Noturno\Paulista37\Aluno4\VIVIANE CAMPOS\2º Aula\"/>
    </mc:Choice>
  </mc:AlternateContent>
  <xr:revisionPtr revIDLastSave="0" documentId="10_ncr:8100000_{F04F8E51-5BE9-4132-BCD8-598B6160137D}" xr6:coauthVersionLast="33" xr6:coauthVersionMax="33" xr10:uidLastSave="{00000000-0000-0000-0000-000000000000}"/>
  <bookViews>
    <workbookView xWindow="0" yWindow="0" windowWidth="19200" windowHeight="11085" xr2:uid="{00000000-000D-0000-FFFF-FFFF00000000}"/>
  </bookViews>
  <sheets>
    <sheet name="            CONSOLIDADO        " sheetId="4" r:id="rId1"/>
    <sheet name="         JANEIRO               " sheetId="1" r:id="rId2"/>
    <sheet name="         FEVEREIRO             " sheetId="2" r:id="rId3"/>
    <sheet name="              MARÇO            " sheetId="3" r:id="rId4"/>
  </sheets>
  <calcPr calcId="162913"/>
</workbook>
</file>

<file path=xl/calcChain.xml><?xml version="1.0" encoding="utf-8"?>
<calcChain xmlns="http://schemas.openxmlformats.org/spreadsheetml/2006/main">
  <c r="B4" i="4" l="1"/>
  <c r="B3" i="4"/>
  <c r="B2" i="4"/>
  <c r="D4" i="3"/>
  <c r="D5" i="3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3" i="3"/>
  <c r="D2" i="3"/>
  <c r="D4" i="2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3" i="2"/>
  <c r="D2" i="2"/>
  <c r="D4" i="4"/>
  <c r="C4" i="4"/>
  <c r="D3" i="4"/>
  <c r="C3" i="4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3" i="1"/>
  <c r="C25" i="3"/>
  <c r="B25" i="3"/>
  <c r="D2" i="4"/>
  <c r="C2" i="4"/>
  <c r="C25" i="2"/>
  <c r="B25" i="2"/>
  <c r="D2" i="1"/>
  <c r="C25" i="1"/>
  <c r="B25" i="1"/>
</calcChain>
</file>

<file path=xl/sharedStrings.xml><?xml version="1.0" encoding="utf-8"?>
<sst xmlns="http://schemas.openxmlformats.org/spreadsheetml/2006/main" count="22" uniqueCount="11">
  <si>
    <t>DATA</t>
  </si>
  <si>
    <t>DEPÓSITO</t>
  </si>
  <si>
    <t>SAQUE</t>
  </si>
  <si>
    <t>SALDO</t>
  </si>
  <si>
    <t>MESES</t>
  </si>
  <si>
    <t>DEPÓSITOS</t>
  </si>
  <si>
    <t>SAQUES</t>
  </si>
  <si>
    <t>JANEIRO</t>
  </si>
  <si>
    <t>FEVEREIRO</t>
  </si>
  <si>
    <t>MARÇO</t>
  </si>
  <si>
    <t>Totais: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</si>
</sst>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" fontId="0" fillId="0" borderId="0" xfId="0" applyNumberFormat="1"/>
    <xf numFmtId="0" fontId="0" fillId="0" borderId="0" xfId="0" applyNumberFormat="1"/>
    <xf numFmtId="0" fontId="0" fillId="0" borderId="1" xfId="0" applyBorder="1"/>
    <xf numFmtId="16" fontId="0" fillId="0" borderId="1" xfId="0" applyNumberFormat="1" applyBorder="1"/>
    <xf numFmtId="2" fontId="0" fillId="0" borderId="1" xfId="0" applyNumberFormat="1" applyBorder="1"/>
    <xf numFmtId="0" fontId="0" fillId="0" borderId="1" xfId="0" applyNumberFormat="1" applyBorder="1"/>
    <xf numFmtId="0" fontId="0" fillId="0" borderId="1" xfId="0" applyBorder="1" applyAlignment="1">
      <alignment horizontal="center" vertical="center"/>
    </xf>
    <xf numFmtId="2" fontId="0" fillId="2" borderId="1" xfId="0" applyNumberFormat="1" applyFill="1" applyBorder="1"/>
    <xf numFmtId="2" fontId="0" fillId="3" borderId="1" xfId="0" applyNumberFormat="1" applyFill="1" applyBorder="1"/>
    <xf numFmtId="0" fontId="1" fillId="4" borderId="1" xfId="0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6"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B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tabSelected="1" zoomScaleNormal="100" workbookViewId="0">
      <selection activeCell="H10" sqref="H10"/>
    </sheetView>
  </sheetViews>
  <sheetFormatPr defaultRowHeight="15" x14ac:dyDescent="0.25"/>
  <cols>
    <col min="1" max="1" width="10.5703125" bestFit="1" customWidth="1"/>
    <col min="2" max="3" width="13.28515625" customWidth="1"/>
    <col min="4" max="4" width="10.140625" customWidth="1"/>
  </cols>
  <sheetData>
    <row r="1" spans="1:4" x14ac:dyDescent="0.25">
      <c r="A1" s="7" t="s">
        <v>4</v>
      </c>
      <c r="B1" s="7" t="s">
        <v>3</v>
      </c>
      <c r="C1" s="7" t="s">
        <v>5</v>
      </c>
      <c r="D1" s="7" t="s">
        <v>6</v>
      </c>
    </row>
    <row r="2" spans="1:4" x14ac:dyDescent="0.25">
      <c r="A2" s="3" t="s">
        <v>7</v>
      </c>
      <c r="B2" s="5">
        <f>'         JANEIRO               '!D23</f>
        <v>70</v>
      </c>
      <c r="C2" s="5">
        <f>'         JANEIRO               '!B25</f>
        <v>2500</v>
      </c>
      <c r="D2" s="5">
        <f>'         JANEIRO               '!C25</f>
        <v>2430</v>
      </c>
    </row>
    <row r="3" spans="1:4" x14ac:dyDescent="0.25">
      <c r="A3" s="3" t="s">
        <v>8</v>
      </c>
      <c r="B3" s="5">
        <f>B2+C3-D3</f>
        <v>938</v>
      </c>
      <c r="C3" s="5">
        <f>'         FEVEREIRO             '!B25</f>
        <v>2700</v>
      </c>
      <c r="D3" s="5">
        <f>'         FEVEREIRO             '!C25</f>
        <v>1832</v>
      </c>
    </row>
    <row r="4" spans="1:4" x14ac:dyDescent="0.25">
      <c r="A4" s="3" t="s">
        <v>9</v>
      </c>
      <c r="B4" s="5">
        <f>B3+C4-D4</f>
        <v>31</v>
      </c>
      <c r="C4" s="5">
        <f>'              MARÇO            '!B25</f>
        <v>2700</v>
      </c>
      <c r="D4" s="5">
        <f>'              MARÇO            '!C25</f>
        <v>3607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zoomScaleNormal="100" workbookViewId="0">
      <selection activeCell="E12" sqref="E12"/>
    </sheetView>
  </sheetViews>
  <sheetFormatPr defaultColWidth="25.28515625" defaultRowHeight="15" x14ac:dyDescent="0.25"/>
  <cols>
    <col min="1" max="1" width="6.85546875" bestFit="1" customWidth="1"/>
    <col min="2" max="2" width="9.85546875" bestFit="1" customWidth="1"/>
    <col min="3" max="3" width="7.5703125" bestFit="1" customWidth="1"/>
    <col min="4" max="4" width="32.28515625" customWidth="1"/>
  </cols>
  <sheetData>
    <row r="1" spans="1:4" x14ac:dyDescent="0.25">
      <c r="A1" s="10" t="s">
        <v>0</v>
      </c>
      <c r="B1" s="10" t="s">
        <v>1</v>
      </c>
      <c r="C1" s="10" t="s">
        <v>2</v>
      </c>
      <c r="D1" s="10" t="s">
        <v>3</v>
      </c>
    </row>
    <row r="2" spans="1:4" x14ac:dyDescent="0.25">
      <c r="A2" s="11">
        <v>40910</v>
      </c>
      <c r="B2" s="12">
        <v>2000</v>
      </c>
      <c r="C2" s="13"/>
      <c r="D2" s="14">
        <f>B2-C2</f>
        <v>2000</v>
      </c>
    </row>
    <row r="3" spans="1:4" x14ac:dyDescent="0.25">
      <c r="A3" s="11">
        <v>40911</v>
      </c>
      <c r="B3" s="12"/>
      <c r="C3" s="13">
        <v>400</v>
      </c>
      <c r="D3" s="14">
        <f>D2+B3-C3</f>
        <v>1600</v>
      </c>
    </row>
    <row r="4" spans="1:4" x14ac:dyDescent="0.25">
      <c r="A4" s="11">
        <v>40912</v>
      </c>
      <c r="B4" s="12"/>
      <c r="C4" s="13">
        <v>130</v>
      </c>
      <c r="D4" s="14">
        <f t="shared" ref="D4:D23" si="0">D3+B4-C4</f>
        <v>1470</v>
      </c>
    </row>
    <row r="5" spans="1:4" x14ac:dyDescent="0.25">
      <c r="A5" s="11">
        <v>40913</v>
      </c>
      <c r="B5" s="12"/>
      <c r="C5" s="13">
        <v>10</v>
      </c>
      <c r="D5" s="14">
        <f t="shared" si="0"/>
        <v>1460</v>
      </c>
    </row>
    <row r="6" spans="1:4" x14ac:dyDescent="0.25">
      <c r="A6" s="11">
        <v>40914</v>
      </c>
      <c r="B6" s="12"/>
      <c r="C6" s="13">
        <v>60</v>
      </c>
      <c r="D6" s="14">
        <f t="shared" si="0"/>
        <v>1400</v>
      </c>
    </row>
    <row r="7" spans="1:4" x14ac:dyDescent="0.25">
      <c r="A7" s="11">
        <v>40917</v>
      </c>
      <c r="B7" s="12"/>
      <c r="C7" s="13">
        <v>50</v>
      </c>
      <c r="D7" s="14">
        <f t="shared" si="0"/>
        <v>1350</v>
      </c>
    </row>
    <row r="8" spans="1:4" x14ac:dyDescent="0.25">
      <c r="A8" s="11">
        <v>40918</v>
      </c>
      <c r="B8" s="12"/>
      <c r="C8" s="13">
        <v>10</v>
      </c>
      <c r="D8" s="14">
        <f t="shared" si="0"/>
        <v>1340</v>
      </c>
    </row>
    <row r="9" spans="1:4" x14ac:dyDescent="0.25">
      <c r="A9" s="11">
        <v>40919</v>
      </c>
      <c r="B9" s="12"/>
      <c r="C9" s="13">
        <v>30</v>
      </c>
      <c r="D9" s="14">
        <f t="shared" si="0"/>
        <v>1310</v>
      </c>
    </row>
    <row r="10" spans="1:4" x14ac:dyDescent="0.25">
      <c r="A10" s="11">
        <v>40920</v>
      </c>
      <c r="B10" s="12"/>
      <c r="C10" s="13">
        <v>120</v>
      </c>
      <c r="D10" s="14">
        <f t="shared" si="0"/>
        <v>1190</v>
      </c>
    </row>
    <row r="11" spans="1:4" x14ac:dyDescent="0.25">
      <c r="A11" s="11">
        <v>40921</v>
      </c>
      <c r="B11" s="12"/>
      <c r="C11" s="13"/>
      <c r="D11" s="14">
        <f t="shared" si="0"/>
        <v>1190</v>
      </c>
    </row>
    <row r="12" spans="1:4" x14ac:dyDescent="0.25">
      <c r="A12" s="11">
        <v>40924</v>
      </c>
      <c r="B12" s="12"/>
      <c r="C12" s="13">
        <v>180</v>
      </c>
      <c r="D12" s="14">
        <f t="shared" si="0"/>
        <v>1010</v>
      </c>
    </row>
    <row r="13" spans="1:4" x14ac:dyDescent="0.25">
      <c r="A13" s="11">
        <v>40925</v>
      </c>
      <c r="B13" s="12"/>
      <c r="C13" s="13">
        <v>80</v>
      </c>
      <c r="D13" s="14">
        <f t="shared" si="0"/>
        <v>930</v>
      </c>
    </row>
    <row r="14" spans="1:4" x14ac:dyDescent="0.25">
      <c r="A14" s="11">
        <v>40926</v>
      </c>
      <c r="B14" s="12"/>
      <c r="C14" s="13"/>
      <c r="D14" s="14">
        <f t="shared" si="0"/>
        <v>930</v>
      </c>
    </row>
    <row r="15" spans="1:4" x14ac:dyDescent="0.25">
      <c r="A15" s="11">
        <v>40927</v>
      </c>
      <c r="B15" s="12">
        <v>500</v>
      </c>
      <c r="C15" s="13">
        <v>290</v>
      </c>
      <c r="D15" s="14">
        <f t="shared" si="0"/>
        <v>1140</v>
      </c>
    </row>
    <row r="16" spans="1:4" x14ac:dyDescent="0.25">
      <c r="A16" s="11">
        <v>40928</v>
      </c>
      <c r="B16" s="12"/>
      <c r="C16" s="13">
        <v>30</v>
      </c>
      <c r="D16" s="14">
        <f t="shared" si="0"/>
        <v>1110</v>
      </c>
    </row>
    <row r="17" spans="1:4" x14ac:dyDescent="0.25">
      <c r="A17" s="11">
        <v>40931</v>
      </c>
      <c r="B17" s="12"/>
      <c r="C17" s="13">
        <v>430</v>
      </c>
      <c r="D17" s="14">
        <f t="shared" si="0"/>
        <v>680</v>
      </c>
    </row>
    <row r="18" spans="1:4" x14ac:dyDescent="0.25">
      <c r="A18" s="11">
        <v>40932</v>
      </c>
      <c r="B18" s="12"/>
      <c r="C18" s="13"/>
      <c r="D18" s="14">
        <f t="shared" si="0"/>
        <v>680</v>
      </c>
    </row>
    <row r="19" spans="1:4" x14ac:dyDescent="0.25">
      <c r="A19" s="11">
        <v>40933</v>
      </c>
      <c r="B19" s="12"/>
      <c r="C19" s="13">
        <v>20</v>
      </c>
      <c r="D19" s="14">
        <f t="shared" si="0"/>
        <v>660</v>
      </c>
    </row>
    <row r="20" spans="1:4" x14ac:dyDescent="0.25">
      <c r="A20" s="11">
        <v>40934</v>
      </c>
      <c r="B20" s="12"/>
      <c r="C20" s="13">
        <v>580</v>
      </c>
      <c r="D20" s="14">
        <f t="shared" si="0"/>
        <v>80</v>
      </c>
    </row>
    <row r="21" spans="1:4" x14ac:dyDescent="0.25">
      <c r="A21" s="11">
        <v>40935</v>
      </c>
      <c r="B21" s="12"/>
      <c r="C21" s="13"/>
      <c r="D21" s="14">
        <f t="shared" si="0"/>
        <v>80</v>
      </c>
    </row>
    <row r="22" spans="1:4" x14ac:dyDescent="0.25">
      <c r="A22" s="11">
        <v>40938</v>
      </c>
      <c r="B22" s="12"/>
      <c r="C22" s="13">
        <v>10</v>
      </c>
      <c r="D22" s="14">
        <f t="shared" si="0"/>
        <v>70</v>
      </c>
    </row>
    <row r="23" spans="1:4" x14ac:dyDescent="0.25">
      <c r="A23" s="4">
        <v>40939</v>
      </c>
      <c r="B23" s="8"/>
      <c r="C23" s="9"/>
      <c r="D23" s="14">
        <f t="shared" si="0"/>
        <v>70</v>
      </c>
    </row>
    <row r="24" spans="1:4" x14ac:dyDescent="0.25">
      <c r="A24" s="1"/>
    </row>
    <row r="25" spans="1:4" x14ac:dyDescent="0.25">
      <c r="A25" s="6" t="s">
        <v>10</v>
      </c>
      <c r="B25" s="8">
        <f>SUM(B2:B23)</f>
        <v>2500</v>
      </c>
      <c r="C25" s="9">
        <f>SUM(C2:C23)</f>
        <v>2430</v>
      </c>
    </row>
    <row r="26" spans="1:4" x14ac:dyDescent="0.25">
      <c r="A26" s="2"/>
    </row>
    <row r="27" spans="1:4" x14ac:dyDescent="0.25">
      <c r="A27" s="2"/>
    </row>
    <row r="28" spans="1:4" x14ac:dyDescent="0.25">
      <c r="A28" s="2"/>
    </row>
    <row r="29" spans="1:4" x14ac:dyDescent="0.25">
      <c r="A29" s="2"/>
    </row>
    <row r="30" spans="1:4" x14ac:dyDescent="0.25">
      <c r="A30" s="2"/>
    </row>
    <row r="31" spans="1:4" x14ac:dyDescent="0.25">
      <c r="A31" s="2"/>
    </row>
    <row r="32" spans="1:4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</sheetData>
  <conditionalFormatting sqref="D2:D23">
    <cfRule type="cellIs" dxfId="5" priority="5" operator="lessThan">
      <formula>0</formula>
    </cfRule>
    <cfRule type="cellIs" dxfId="4" priority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1"/>
  <sheetViews>
    <sheetView zoomScaleNormal="100" workbookViewId="0">
      <selection activeCell="E14" sqref="E14"/>
    </sheetView>
  </sheetViews>
  <sheetFormatPr defaultColWidth="25.28515625" defaultRowHeight="15" x14ac:dyDescent="0.25"/>
  <cols>
    <col min="1" max="1" width="6.85546875" bestFit="1" customWidth="1"/>
    <col min="2" max="2" width="9.85546875" bestFit="1" customWidth="1"/>
    <col min="3" max="3" width="7.5703125" bestFit="1" customWidth="1"/>
    <col min="4" max="4" width="32.28515625" customWidth="1"/>
  </cols>
  <sheetData>
    <row r="1" spans="1:4" x14ac:dyDescent="0.25">
      <c r="A1" s="10" t="s">
        <v>0</v>
      </c>
      <c r="B1" s="10" t="s">
        <v>1</v>
      </c>
      <c r="C1" s="10" t="s">
        <v>2</v>
      </c>
      <c r="D1" s="10" t="s">
        <v>3</v>
      </c>
    </row>
    <row r="2" spans="1:4" x14ac:dyDescent="0.25">
      <c r="A2" s="11">
        <v>40940</v>
      </c>
      <c r="B2" s="12">
        <v>2200</v>
      </c>
      <c r="C2" s="13"/>
      <c r="D2" s="14">
        <f>'         JANEIRO               '!D23+'         FEVEREIRO             '!B2-C2</f>
        <v>2270</v>
      </c>
    </row>
    <row r="3" spans="1:4" x14ac:dyDescent="0.25">
      <c r="A3" s="11">
        <v>40941</v>
      </c>
      <c r="B3" s="12"/>
      <c r="C3" s="13">
        <v>420</v>
      </c>
      <c r="D3" s="14">
        <f>D2+B3-C3</f>
        <v>1850</v>
      </c>
    </row>
    <row r="4" spans="1:4" x14ac:dyDescent="0.25">
      <c r="A4" s="11">
        <v>40942</v>
      </c>
      <c r="B4" s="12"/>
      <c r="C4" s="13"/>
      <c r="D4" s="14">
        <f t="shared" ref="D4:D22" si="0">D3+B4-C4</f>
        <v>1850</v>
      </c>
    </row>
    <row r="5" spans="1:4" x14ac:dyDescent="0.25">
      <c r="A5" s="11">
        <v>40945</v>
      </c>
      <c r="B5" s="12"/>
      <c r="C5" s="13"/>
      <c r="D5" s="14">
        <f t="shared" si="0"/>
        <v>1850</v>
      </c>
    </row>
    <row r="6" spans="1:4" x14ac:dyDescent="0.25">
      <c r="A6" s="11">
        <v>40946</v>
      </c>
      <c r="B6" s="12"/>
      <c r="C6" s="13"/>
      <c r="D6" s="14">
        <f t="shared" si="0"/>
        <v>1850</v>
      </c>
    </row>
    <row r="7" spans="1:4" x14ac:dyDescent="0.25">
      <c r="A7" s="11">
        <v>40947</v>
      </c>
      <c r="B7" s="12"/>
      <c r="C7" s="13"/>
      <c r="D7" s="14">
        <f t="shared" si="0"/>
        <v>1850</v>
      </c>
    </row>
    <row r="8" spans="1:4" x14ac:dyDescent="0.25">
      <c r="A8" s="11">
        <v>40948</v>
      </c>
      <c r="B8" s="12"/>
      <c r="C8" s="13"/>
      <c r="D8" s="14">
        <f t="shared" si="0"/>
        <v>1850</v>
      </c>
    </row>
    <row r="9" spans="1:4" x14ac:dyDescent="0.25">
      <c r="A9" s="11">
        <v>40949</v>
      </c>
      <c r="B9" s="12"/>
      <c r="C9" s="13">
        <v>1200</v>
      </c>
      <c r="D9" s="14">
        <f t="shared" si="0"/>
        <v>650</v>
      </c>
    </row>
    <row r="10" spans="1:4" x14ac:dyDescent="0.25">
      <c r="A10" s="11">
        <v>40952</v>
      </c>
      <c r="B10" s="12"/>
      <c r="C10" s="13"/>
      <c r="D10" s="14">
        <f t="shared" si="0"/>
        <v>650</v>
      </c>
    </row>
    <row r="11" spans="1:4" x14ac:dyDescent="0.25">
      <c r="A11" s="11">
        <v>40953</v>
      </c>
      <c r="B11" s="12"/>
      <c r="C11" s="13"/>
      <c r="D11" s="14">
        <f t="shared" si="0"/>
        <v>650</v>
      </c>
    </row>
    <row r="12" spans="1:4" x14ac:dyDescent="0.25">
      <c r="A12" s="11">
        <v>40954</v>
      </c>
      <c r="B12" s="12"/>
      <c r="C12" s="13"/>
      <c r="D12" s="14">
        <f t="shared" si="0"/>
        <v>650</v>
      </c>
    </row>
    <row r="13" spans="1:4" x14ac:dyDescent="0.25">
      <c r="A13" s="11">
        <v>40955</v>
      </c>
      <c r="B13" s="12"/>
      <c r="C13" s="13"/>
      <c r="D13" s="14">
        <f t="shared" si="0"/>
        <v>650</v>
      </c>
    </row>
    <row r="14" spans="1:4" x14ac:dyDescent="0.25">
      <c r="A14" s="11">
        <v>40956</v>
      </c>
      <c r="B14" s="12"/>
      <c r="C14" s="13"/>
      <c r="D14" s="14">
        <f t="shared" si="0"/>
        <v>650</v>
      </c>
    </row>
    <row r="15" spans="1:4" x14ac:dyDescent="0.25">
      <c r="A15" s="11">
        <v>40959</v>
      </c>
      <c r="B15" s="12"/>
      <c r="C15" s="13">
        <v>212</v>
      </c>
      <c r="D15" s="14">
        <f t="shared" si="0"/>
        <v>438</v>
      </c>
    </row>
    <row r="16" spans="1:4" x14ac:dyDescent="0.25">
      <c r="A16" s="11">
        <v>40960</v>
      </c>
      <c r="B16" s="12"/>
      <c r="C16" s="13"/>
      <c r="D16" s="14">
        <f t="shared" si="0"/>
        <v>438</v>
      </c>
    </row>
    <row r="17" spans="1:4" x14ac:dyDescent="0.25">
      <c r="A17" s="11">
        <v>40961</v>
      </c>
      <c r="B17" s="12">
        <v>500</v>
      </c>
      <c r="C17" s="13"/>
      <c r="D17" s="14">
        <f t="shared" si="0"/>
        <v>938</v>
      </c>
    </row>
    <row r="18" spans="1:4" x14ac:dyDescent="0.25">
      <c r="A18" s="11">
        <v>40962</v>
      </c>
      <c r="B18" s="12"/>
      <c r="C18" s="13"/>
      <c r="D18" s="14">
        <f t="shared" si="0"/>
        <v>938</v>
      </c>
    </row>
    <row r="19" spans="1:4" x14ac:dyDescent="0.25">
      <c r="A19" s="11">
        <v>40963</v>
      </c>
      <c r="B19" s="12"/>
      <c r="C19" s="13"/>
      <c r="D19" s="14">
        <f t="shared" si="0"/>
        <v>938</v>
      </c>
    </row>
    <row r="20" spans="1:4" x14ac:dyDescent="0.25">
      <c r="A20" s="11">
        <v>40966</v>
      </c>
      <c r="B20" s="12"/>
      <c r="C20" s="13"/>
      <c r="D20" s="14">
        <f t="shared" si="0"/>
        <v>938</v>
      </c>
    </row>
    <row r="21" spans="1:4" x14ac:dyDescent="0.25">
      <c r="A21" s="11">
        <v>40967</v>
      </c>
      <c r="B21" s="12"/>
      <c r="C21" s="13"/>
      <c r="D21" s="14">
        <f t="shared" si="0"/>
        <v>938</v>
      </c>
    </row>
    <row r="22" spans="1:4" x14ac:dyDescent="0.25">
      <c r="A22" s="11">
        <v>40968</v>
      </c>
      <c r="B22" s="12"/>
      <c r="C22" s="13"/>
      <c r="D22" s="14">
        <f t="shared" si="0"/>
        <v>938</v>
      </c>
    </row>
    <row r="24" spans="1:4" x14ac:dyDescent="0.25">
      <c r="A24" s="2"/>
    </row>
    <row r="25" spans="1:4" x14ac:dyDescent="0.25">
      <c r="A25" s="6" t="s">
        <v>10</v>
      </c>
      <c r="B25" s="8">
        <f>SUM(B2:B22)</f>
        <v>2700</v>
      </c>
      <c r="C25" s="9">
        <f>SUM(C2:C22)</f>
        <v>1832</v>
      </c>
    </row>
    <row r="26" spans="1:4" x14ac:dyDescent="0.25">
      <c r="A26" s="2"/>
    </row>
    <row r="27" spans="1:4" x14ac:dyDescent="0.25">
      <c r="A27" s="2"/>
    </row>
    <row r="28" spans="1:4" x14ac:dyDescent="0.25">
      <c r="A28" s="2"/>
    </row>
    <row r="29" spans="1:4" x14ac:dyDescent="0.25">
      <c r="A29" s="2"/>
    </row>
    <row r="30" spans="1:4" x14ac:dyDescent="0.25">
      <c r="A30" s="2"/>
    </row>
    <row r="31" spans="1:4" x14ac:dyDescent="0.25">
      <c r="A31" s="2"/>
    </row>
    <row r="32" spans="1:4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</sheetData>
  <conditionalFormatting sqref="D2:D22">
    <cfRule type="cellIs" dxfId="3" priority="2" operator="lessThan">
      <formula>0</formula>
    </cfRule>
    <cfRule type="cellIs" dxfId="2" priority="1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1"/>
  <sheetViews>
    <sheetView zoomScaleNormal="100" workbookViewId="0">
      <selection activeCell="D30" sqref="D30"/>
    </sheetView>
  </sheetViews>
  <sheetFormatPr defaultColWidth="25.28515625" defaultRowHeight="15" x14ac:dyDescent="0.25"/>
  <cols>
    <col min="1" max="1" width="7.28515625" bestFit="1" customWidth="1"/>
    <col min="2" max="2" width="9.85546875" bestFit="1" customWidth="1"/>
    <col min="3" max="3" width="7.5703125" bestFit="1" customWidth="1"/>
    <col min="4" max="4" width="32.28515625" customWidth="1"/>
  </cols>
  <sheetData>
    <row r="1" spans="1:4" x14ac:dyDescent="0.25">
      <c r="A1" s="10" t="s">
        <v>0</v>
      </c>
      <c r="B1" s="10" t="s">
        <v>1</v>
      </c>
      <c r="C1" s="10" t="s">
        <v>2</v>
      </c>
      <c r="D1" s="10" t="s">
        <v>3</v>
      </c>
    </row>
    <row r="2" spans="1:4" x14ac:dyDescent="0.25">
      <c r="A2" s="11">
        <v>40969</v>
      </c>
      <c r="B2" s="12">
        <v>2200</v>
      </c>
      <c r="C2" s="13"/>
      <c r="D2" s="14">
        <f>'         FEVEREIRO             '!D22+'         FEVEREIRO             '!B2-'         FEVEREIRO             '!C2</f>
        <v>3138</v>
      </c>
    </row>
    <row r="3" spans="1:4" x14ac:dyDescent="0.25">
      <c r="A3" s="11">
        <v>40970</v>
      </c>
      <c r="B3" s="12"/>
      <c r="C3" s="13">
        <v>970</v>
      </c>
      <c r="D3" s="14">
        <f>D2+B3-C3</f>
        <v>2168</v>
      </c>
    </row>
    <row r="4" spans="1:4" x14ac:dyDescent="0.25">
      <c r="A4" s="11">
        <v>40973</v>
      </c>
      <c r="B4" s="12"/>
      <c r="C4" s="13"/>
      <c r="D4" s="14">
        <f t="shared" ref="D4:D23" si="0">D3+B4-C4</f>
        <v>2168</v>
      </c>
    </row>
    <row r="5" spans="1:4" x14ac:dyDescent="0.25">
      <c r="A5" s="11">
        <v>40974</v>
      </c>
      <c r="B5" s="12"/>
      <c r="C5" s="13">
        <v>300</v>
      </c>
      <c r="D5" s="14">
        <f t="shared" si="0"/>
        <v>1868</v>
      </c>
    </row>
    <row r="6" spans="1:4" x14ac:dyDescent="0.25">
      <c r="A6" s="11">
        <v>40975</v>
      </c>
      <c r="B6" s="12"/>
      <c r="C6" s="13">
        <v>10</v>
      </c>
      <c r="D6" s="14">
        <f t="shared" si="0"/>
        <v>1858</v>
      </c>
    </row>
    <row r="7" spans="1:4" x14ac:dyDescent="0.25">
      <c r="A7" s="11">
        <v>40976</v>
      </c>
      <c r="B7" s="12"/>
      <c r="C7" s="13">
        <v>20</v>
      </c>
      <c r="D7" s="14">
        <f t="shared" si="0"/>
        <v>1838</v>
      </c>
    </row>
    <row r="8" spans="1:4" x14ac:dyDescent="0.25">
      <c r="A8" s="11">
        <v>40977</v>
      </c>
      <c r="B8" s="12"/>
      <c r="C8" s="13">
        <v>10</v>
      </c>
      <c r="D8" s="14">
        <f t="shared" si="0"/>
        <v>1828</v>
      </c>
    </row>
    <row r="9" spans="1:4" x14ac:dyDescent="0.25">
      <c r="A9" s="11">
        <v>40980</v>
      </c>
      <c r="B9" s="12"/>
      <c r="C9" s="13">
        <v>10</v>
      </c>
      <c r="D9" s="14">
        <f t="shared" si="0"/>
        <v>1818</v>
      </c>
    </row>
    <row r="10" spans="1:4" x14ac:dyDescent="0.25">
      <c r="A10" s="11">
        <v>40981</v>
      </c>
      <c r="B10" s="12"/>
      <c r="C10" s="13">
        <v>420</v>
      </c>
      <c r="D10" s="14">
        <f t="shared" si="0"/>
        <v>1398</v>
      </c>
    </row>
    <row r="11" spans="1:4" x14ac:dyDescent="0.25">
      <c r="A11" s="11">
        <v>40982</v>
      </c>
      <c r="B11" s="12"/>
      <c r="C11" s="13"/>
      <c r="D11" s="14">
        <f t="shared" si="0"/>
        <v>1398</v>
      </c>
    </row>
    <row r="12" spans="1:4" x14ac:dyDescent="0.25">
      <c r="A12" s="11">
        <v>40983</v>
      </c>
      <c r="B12" s="12"/>
      <c r="C12" s="13">
        <v>15</v>
      </c>
      <c r="D12" s="14">
        <f t="shared" si="0"/>
        <v>1383</v>
      </c>
    </row>
    <row r="13" spans="1:4" x14ac:dyDescent="0.25">
      <c r="A13" s="11">
        <v>40984</v>
      </c>
      <c r="B13" s="12"/>
      <c r="C13" s="13"/>
      <c r="D13" s="14">
        <f t="shared" si="0"/>
        <v>1383</v>
      </c>
    </row>
    <row r="14" spans="1:4" x14ac:dyDescent="0.25">
      <c r="A14" s="11">
        <v>40987</v>
      </c>
      <c r="B14" s="12"/>
      <c r="C14" s="13">
        <v>50</v>
      </c>
      <c r="D14" s="14">
        <f t="shared" si="0"/>
        <v>1333</v>
      </c>
    </row>
    <row r="15" spans="1:4" x14ac:dyDescent="0.25">
      <c r="A15" s="11">
        <v>40988</v>
      </c>
      <c r="B15" s="12"/>
      <c r="C15" s="13"/>
      <c r="D15" s="14">
        <f t="shared" si="0"/>
        <v>1333</v>
      </c>
    </row>
    <row r="16" spans="1:4" x14ac:dyDescent="0.25">
      <c r="A16" s="11">
        <v>40989</v>
      </c>
      <c r="B16" s="12"/>
      <c r="C16" s="13">
        <v>212</v>
      </c>
      <c r="D16" s="14">
        <f t="shared" si="0"/>
        <v>1121</v>
      </c>
    </row>
    <row r="17" spans="1:4" x14ac:dyDescent="0.25">
      <c r="A17" s="11">
        <v>40990</v>
      </c>
      <c r="B17" s="12">
        <v>500</v>
      </c>
      <c r="C17" s="13"/>
      <c r="D17" s="14">
        <f t="shared" si="0"/>
        <v>1621</v>
      </c>
    </row>
    <row r="18" spans="1:4" x14ac:dyDescent="0.25">
      <c r="A18" s="11">
        <v>40991</v>
      </c>
      <c r="B18" s="12"/>
      <c r="C18" s="13">
        <v>30</v>
      </c>
      <c r="D18" s="14">
        <f t="shared" si="0"/>
        <v>1591</v>
      </c>
    </row>
    <row r="19" spans="1:4" x14ac:dyDescent="0.25">
      <c r="A19" s="11">
        <v>40994</v>
      </c>
      <c r="B19" s="12"/>
      <c r="C19" s="13">
        <v>200</v>
      </c>
      <c r="D19" s="14">
        <f t="shared" si="0"/>
        <v>1391</v>
      </c>
    </row>
    <row r="20" spans="1:4" x14ac:dyDescent="0.25">
      <c r="A20" s="11">
        <v>40995</v>
      </c>
      <c r="B20" s="12"/>
      <c r="C20" s="13">
        <v>100</v>
      </c>
      <c r="D20" s="14">
        <f t="shared" si="0"/>
        <v>1291</v>
      </c>
    </row>
    <row r="21" spans="1:4" x14ac:dyDescent="0.25">
      <c r="A21" s="11">
        <v>40996</v>
      </c>
      <c r="B21" s="12"/>
      <c r="C21" s="13">
        <v>280</v>
      </c>
      <c r="D21" s="14">
        <f t="shared" si="0"/>
        <v>1011</v>
      </c>
    </row>
    <row r="22" spans="1:4" x14ac:dyDescent="0.25">
      <c r="A22" s="11">
        <v>40997</v>
      </c>
      <c r="B22" s="12"/>
      <c r="C22" s="13"/>
      <c r="D22" s="14">
        <f t="shared" si="0"/>
        <v>1011</v>
      </c>
    </row>
    <row r="23" spans="1:4" x14ac:dyDescent="0.25">
      <c r="A23" s="4">
        <v>40998</v>
      </c>
      <c r="B23" s="8"/>
      <c r="C23" s="9">
        <v>980</v>
      </c>
      <c r="D23" s="14">
        <f t="shared" si="0"/>
        <v>31</v>
      </c>
    </row>
    <row r="24" spans="1:4" x14ac:dyDescent="0.25">
      <c r="A24" s="2"/>
    </row>
    <row r="25" spans="1:4" x14ac:dyDescent="0.25">
      <c r="A25" s="6" t="s">
        <v>10</v>
      </c>
      <c r="B25" s="8">
        <f>SUM(B2:B23)</f>
        <v>2700</v>
      </c>
      <c r="C25" s="9">
        <f>SUM(C2:C23)</f>
        <v>3607</v>
      </c>
    </row>
    <row r="26" spans="1:4" x14ac:dyDescent="0.25">
      <c r="A26" s="2"/>
    </row>
    <row r="27" spans="1:4" x14ac:dyDescent="0.25">
      <c r="A27" s="2"/>
    </row>
    <row r="28" spans="1:4" x14ac:dyDescent="0.25">
      <c r="A28" s="2"/>
    </row>
    <row r="29" spans="1:4" x14ac:dyDescent="0.25">
      <c r="A29" s="2"/>
    </row>
    <row r="30" spans="1:4" x14ac:dyDescent="0.25">
      <c r="A30" s="2"/>
    </row>
    <row r="31" spans="1:4" x14ac:dyDescent="0.25">
      <c r="A31" s="2"/>
    </row>
    <row r="32" spans="1:4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</sheetData>
  <conditionalFormatting sqref="D2:D23">
    <cfRule type="cellIs" dxfId="1" priority="2" operator="lessThan">
      <formula>0</formula>
    </cfRule>
    <cfRule type="cellIs" dxfId="0" priority="1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            CONSOLIDADO        </vt:lpstr>
      <vt:lpstr>         JANEIRO               </vt:lpstr>
      <vt:lpstr>         FEVEREIRO             </vt:lpstr>
      <vt:lpstr>              MARÇO            </vt:lpstr>
    </vt:vector>
  </TitlesOfParts>
  <Company>Crystiano Rodrigues Cardoso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Crystiano Cardoso</dc:creator>
  <cp:keywords>Crystiano Cardoso;Inserindo as Fórmulas das Planilhas Mensais e Consolidado- Págs 024 a 032</cp:keywords>
  <cp:lastModifiedBy>MARIANA</cp:lastModifiedBy>
  <dcterms:created xsi:type="dcterms:W3CDTF">2012-05-31T17:00:50Z</dcterms:created>
  <dcterms:modified xsi:type="dcterms:W3CDTF">2018-06-13T22:56:56Z</dcterms:modified>
</cp:coreProperties>
</file>