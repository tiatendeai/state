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530"/>
  </bookViews>
  <sheets>
    <sheet name="Exemplo 1" sheetId="2" r:id="rId1"/>
    <sheet name="Exemplo 2" sheetId="3" r:id="rId2"/>
    <sheet name="Exemplo 3" sheetId="4" r:id="rId3"/>
    <sheet name="Exemplo 4" sheetId="5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5" l="1"/>
  <c r="J11" i="5"/>
  <c r="E22" i="5"/>
  <c r="G26" i="5"/>
  <c r="E19" i="4"/>
  <c r="J11" i="4"/>
  <c r="E22" i="4"/>
  <c r="G26" i="4"/>
  <c r="E19" i="3"/>
  <c r="J11" i="3"/>
  <c r="E22" i="3"/>
  <c r="E25" i="3"/>
  <c r="G26" i="3"/>
  <c r="E25" i="5"/>
  <c r="E25" i="4"/>
  <c r="E28" i="3"/>
  <c r="G28" i="3"/>
  <c r="G23" i="3"/>
  <c r="E19" i="2"/>
  <c r="J11" i="2"/>
  <c r="E22" i="2" s="1"/>
  <c r="G26" i="2" s="1"/>
  <c r="G23" i="5"/>
  <c r="E28" i="5"/>
  <c r="G28" i="5"/>
  <c r="G23" i="4"/>
  <c r="E28" i="4"/>
  <c r="G28" i="4"/>
  <c r="E25" i="2" l="1"/>
  <c r="E28" i="2" s="1"/>
  <c r="G28" i="2" s="1"/>
  <c r="G23" i="2" l="1"/>
</calcChain>
</file>

<file path=xl/sharedStrings.xml><?xml version="1.0" encoding="utf-8"?>
<sst xmlns="http://schemas.openxmlformats.org/spreadsheetml/2006/main" count="132" uniqueCount="32">
  <si>
    <t>(Receita Bruta - Despesas)</t>
  </si>
  <si>
    <t>(% da atividade sobre a Receita Bruta)</t>
  </si>
  <si>
    <t>(Lucro Evidenciado - Parcela Isenta)</t>
  </si>
  <si>
    <t>Ficha de Rendimento Tributável recebido de Pessoa Jurídica</t>
  </si>
  <si>
    <t>Ficha de Rendimento Isentos - ( Lucros e Dividendos Recebidos pelo Titular)</t>
  </si>
  <si>
    <t>( Parte correspondente ao MEI)</t>
  </si>
  <si>
    <t>Lucro Evidenciado:</t>
  </si>
  <si>
    <t>Parcela Isenta :</t>
  </si>
  <si>
    <t>Parcela Tributável:</t>
  </si>
  <si>
    <t>TOTAL RENDIMENTOS:</t>
  </si>
  <si>
    <t>Receita Bruta MEI</t>
  </si>
  <si>
    <t>Despesas MEI</t>
  </si>
  <si>
    <t>Atividade realizada pelo MEI</t>
  </si>
  <si>
    <t>Transporte de passageiros;</t>
  </si>
  <si>
    <t>Prestação de Serviços em geral.</t>
  </si>
  <si>
    <t>Comércio, Indústria ou transporte de carga;</t>
  </si>
  <si>
    <t>A parcela da receita bruta que pode ser considerada como lucro líquido, de acordo com o art. 14 da LC 123/2006 fica limitada aos percentuais previstos para o lucro presumido:</t>
  </si>
  <si>
    <t>RESULTADO</t>
  </si>
  <si>
    <t>Outras Fontes de Renda</t>
  </si>
  <si>
    <t>PREENCHA OS CAMPOS EM BRANCO</t>
  </si>
  <si>
    <t>Como declarar no seu DIRPF:</t>
  </si>
  <si>
    <t>Preencha com os rendimentos que você tenha fora da atividade de MEI</t>
  </si>
  <si>
    <t>CÁLCULO DE RENDA DO MEI PARA PREENCHIMENTO DA DIRPF</t>
  </si>
  <si>
    <t>Rendimentos TRIBUTÁVEIS acima de:</t>
  </si>
  <si>
    <r>
      <t xml:space="preserve">A presente planilha verifica a necessidade de Declarar avaliando somente a questão dos Rendimentos auferidos. 
</t>
    </r>
    <r>
      <rPr>
        <b/>
        <sz val="9"/>
        <color rgb="FF000000"/>
        <rFont val="Calibri Light"/>
        <family val="2"/>
      </rPr>
      <t>Lembre-se, não só os rendimentos auferidos tornam obrigatória a apresentação de declaração. Para saber quem está obrigado a declarar IRPF, acesse o site da Receita Federal.</t>
    </r>
  </si>
  <si>
    <t>Instruções: Preencha os campos em Branco do Quadro Verde para obter os resultados no Quadro Azul.</t>
  </si>
  <si>
    <t>facebook.com.br/contengrs</t>
  </si>
  <si>
    <t>contengpoa@gmail.com</t>
  </si>
  <si>
    <t>CONTENG - CONTABILIDADE &amp; CONSULTORIA</t>
  </si>
  <si>
    <t>facebook.com.br/contegrs</t>
  </si>
  <si>
    <t xml:space="preserve">www.conteng.com.br </t>
  </si>
  <si>
    <t>Limite IRPF Exercício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</si>
</sst>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rgb="FF000000"/>
      <name val="Calibri Light"/>
      <family val="2"/>
    </font>
    <font>
      <b/>
      <sz val="16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C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C00000"/>
      </left>
      <right style="thin">
        <color theme="0" tint="-0.499984740745262"/>
      </right>
      <top style="thin">
        <color theme="0" tint="-0.499984740745262"/>
      </top>
      <bottom style="medium">
        <color rgb="FFC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C00000"/>
      </bottom>
      <diagonal/>
    </border>
    <border>
      <left/>
      <right style="medium">
        <color rgb="FFC00000"/>
      </right>
      <top style="thin">
        <color theme="0" tint="-0.499984740745262"/>
      </top>
      <bottom style="medium">
        <color rgb="FFC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rgb="FFC00000"/>
      </bottom>
      <diagonal/>
    </border>
    <border>
      <left/>
      <right style="medium">
        <color rgb="FFC0000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rgb="FFC00000"/>
      </right>
      <top/>
      <bottom style="thin">
        <color theme="0" tint="-0.499984740745262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6" borderId="0" xfId="0" applyFill="1"/>
    <xf numFmtId="9" fontId="2" fillId="0" borderId="0" xfId="0" applyNumberFormat="1" applyFont="1" applyFill="1" applyBorder="1" applyAlignment="1">
      <alignment horizontal="center" vertical="center"/>
    </xf>
    <xf numFmtId="9" fontId="2" fillId="7" borderId="9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left" vertical="center"/>
    </xf>
    <xf numFmtId="9" fontId="2" fillId="7" borderId="12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left" vertical="center"/>
    </xf>
    <xf numFmtId="0" fontId="9" fillId="5" borderId="21" xfId="0" applyFont="1" applyFill="1" applyBorder="1"/>
    <xf numFmtId="0" fontId="11" fillId="5" borderId="22" xfId="0" applyFont="1" applyFill="1" applyBorder="1"/>
    <xf numFmtId="0" fontId="0" fillId="7" borderId="10" xfId="0" applyFill="1" applyBorder="1" applyAlignment="1"/>
    <xf numFmtId="0" fontId="0" fillId="7" borderId="11" xfId="0" applyFill="1" applyBorder="1" applyAlignment="1"/>
    <xf numFmtId="0" fontId="0" fillId="7" borderId="15" xfId="0" applyFill="1" applyBorder="1" applyAlignment="1"/>
    <xf numFmtId="0" fontId="0" fillId="7" borderId="17" xfId="0" applyFill="1" applyBorder="1" applyAlignment="1"/>
    <xf numFmtId="0" fontId="0" fillId="7" borderId="13" xfId="0" applyFill="1" applyBorder="1" applyAlignment="1"/>
    <xf numFmtId="0" fontId="0" fillId="7" borderId="16" xfId="0" applyFill="1" applyBorder="1" applyAlignment="1"/>
    <xf numFmtId="0" fontId="0" fillId="7" borderId="14" xfId="0" applyFill="1" applyBorder="1" applyAlignment="1"/>
    <xf numFmtId="44" fontId="0" fillId="0" borderId="22" xfId="0" applyNumberFormat="1" applyFill="1" applyBorder="1" applyAlignment="1" applyProtection="1">
      <alignment horizontal="center" vertical="center"/>
      <protection locked="0"/>
    </xf>
    <xf numFmtId="0" fontId="3" fillId="0" borderId="0" xfId="1" applyAlignment="1"/>
    <xf numFmtId="0" fontId="9" fillId="5" borderId="21" xfId="0" applyFont="1" applyFill="1" applyBorder="1" applyAlignment="1">
      <alignment wrapText="1"/>
    </xf>
    <xf numFmtId="0" fontId="0" fillId="9" borderId="0" xfId="0" applyFill="1" applyBorder="1"/>
    <xf numFmtId="0" fontId="9" fillId="10" borderId="21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 wrapText="1"/>
    </xf>
    <xf numFmtId="0" fontId="0" fillId="11" borderId="0" xfId="0" applyFill="1"/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 vertical="center"/>
    </xf>
    <xf numFmtId="44" fontId="0" fillId="11" borderId="0" xfId="0" applyNumberFormat="1" applyFill="1" applyAlignment="1">
      <alignment horizontal="center"/>
    </xf>
    <xf numFmtId="44" fontId="0" fillId="11" borderId="0" xfId="0" applyNumberFormat="1" applyFill="1"/>
    <xf numFmtId="0" fontId="1" fillId="11" borderId="0" xfId="0" applyFont="1" applyFill="1"/>
    <xf numFmtId="0" fontId="0" fillId="11" borderId="0" xfId="0" applyFill="1" applyBorder="1"/>
    <xf numFmtId="0" fontId="0" fillId="11" borderId="30" xfId="0" applyFill="1" applyBorder="1" applyAlignment="1"/>
    <xf numFmtId="0" fontId="1" fillId="11" borderId="29" xfId="0" applyFont="1" applyFill="1" applyBorder="1" applyAlignment="1">
      <alignment horizontal="center"/>
    </xf>
    <xf numFmtId="0" fontId="0" fillId="11" borderId="29" xfId="0" applyFill="1" applyBorder="1" applyAlignment="1"/>
    <xf numFmtId="44" fontId="1" fillId="11" borderId="27" xfId="0" applyNumberFormat="1" applyFont="1" applyFill="1" applyBorder="1" applyAlignment="1"/>
    <xf numFmtId="9" fontId="0" fillId="12" borderId="30" xfId="2" applyFont="1" applyFill="1" applyBorder="1" applyAlignment="1">
      <alignment horizontal="center" vertical="center"/>
    </xf>
    <xf numFmtId="44" fontId="0" fillId="12" borderId="22" xfId="0" applyNumberFormat="1" applyFont="1" applyFill="1" applyBorder="1" applyAlignment="1" applyProtection="1">
      <alignment horizontal="center"/>
      <protection locked="0"/>
    </xf>
    <xf numFmtId="44" fontId="1" fillId="12" borderId="20" xfId="0" applyNumberFormat="1" applyFont="1" applyFill="1" applyBorder="1" applyAlignment="1">
      <alignment vertical="center"/>
    </xf>
    <xf numFmtId="0" fontId="0" fillId="9" borderId="26" xfId="0" applyFill="1" applyBorder="1"/>
    <xf numFmtId="0" fontId="0" fillId="9" borderId="27" xfId="0" applyFill="1" applyBorder="1"/>
    <xf numFmtId="0" fontId="6" fillId="9" borderId="26" xfId="0" applyFont="1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0" fillId="9" borderId="27" xfId="0" applyFill="1" applyBorder="1" applyAlignment="1">
      <alignment horizontal="left" vertical="center"/>
    </xf>
    <xf numFmtId="44" fontId="4" fillId="9" borderId="26" xfId="0" applyNumberFormat="1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left" vertical="center"/>
    </xf>
    <xf numFmtId="44" fontId="4" fillId="9" borderId="28" xfId="0" applyNumberFormat="1" applyFont="1" applyFill="1" applyBorder="1" applyAlignment="1">
      <alignment horizontal="left" vertical="center"/>
    </xf>
    <xf numFmtId="0" fontId="0" fillId="9" borderId="29" xfId="0" applyFill="1" applyBorder="1" applyAlignment="1">
      <alignment horizontal="left" vertical="center"/>
    </xf>
    <xf numFmtId="0" fontId="0" fillId="9" borderId="30" xfId="0" applyFill="1" applyBorder="1" applyAlignment="1">
      <alignment horizontal="left" vertical="center"/>
    </xf>
    <xf numFmtId="44" fontId="1" fillId="12" borderId="33" xfId="0" applyNumberFormat="1" applyFont="1" applyFill="1" applyBorder="1" applyAlignment="1">
      <alignment vertical="center"/>
    </xf>
    <xf numFmtId="44" fontId="0" fillId="12" borderId="22" xfId="0" applyNumberFormat="1" applyFill="1" applyBorder="1" applyAlignment="1" applyProtection="1">
      <alignment vertical="center"/>
      <protection locked="0"/>
    </xf>
    <xf numFmtId="44" fontId="0" fillId="12" borderId="18" xfId="0" applyNumberFormat="1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9" fillId="13" borderId="31" xfId="0" applyFont="1" applyFill="1" applyBorder="1" applyAlignment="1">
      <alignment horizontal="center" vertical="center"/>
    </xf>
    <xf numFmtId="0" fontId="9" fillId="13" borderId="33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44" fontId="0" fillId="12" borderId="19" xfId="0" applyNumberForma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10" borderId="0" xfId="0" applyFont="1" applyFill="1" applyAlignment="1">
      <alignment horizont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10" fillId="12" borderId="28" xfId="0" applyFont="1" applyFill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 applyProtection="1">
      <alignment horizontal="center" vertical="center"/>
      <protection locked="0"/>
    </xf>
    <xf numFmtId="0" fontId="1" fillId="11" borderId="24" xfId="0" applyFont="1" applyFill="1" applyBorder="1" applyAlignment="1">
      <alignment horizontal="center"/>
    </xf>
    <xf numFmtId="0" fontId="0" fillId="10" borderId="31" xfId="0" applyFont="1" applyFill="1" applyBorder="1" applyAlignment="1">
      <alignment horizontal="center" wrapText="1"/>
    </xf>
    <xf numFmtId="0" fontId="0" fillId="10" borderId="32" xfId="0" applyFont="1" applyFill="1" applyBorder="1" applyAlignment="1">
      <alignment horizontal="center" wrapText="1"/>
    </xf>
    <xf numFmtId="0" fontId="5" fillId="11" borderId="0" xfId="0" applyFont="1" applyFill="1" applyAlignment="1">
      <alignment horizontal="center" wrapText="1"/>
    </xf>
  </cellXfs>
  <cellStyles count="3">
    <cellStyle name="Hiperlink" xfId="1" builtinId="8"/>
    <cellStyle name="Normal" xfId="0" builtinId="0"/>
    <cellStyle name="Porcentagem" xfId="2" builtinId="5"/>
  </cellStyles>
  <dxfs count="8"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EB8A51"/>
      <color rgb="FF1781BD"/>
      <color rgb="FFE26925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0645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4" name="Seta para a direita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5" name="Seta dobrada para cima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 rot="5400000">
          <a:off x="7205662" y="23002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6" name="Conector de seta reta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1839359" y="23526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8" name="Imagem 7">
          <a:extLst>
            <a:ext uri="{FF2B5EF4-FFF2-40B4-BE49-F238E27FC236}">
              <a16:creationId xmlns="" xmlns:a16="http://schemas.microsoft.com/office/drawing/2014/main" id="{0A49F5D5-B3FF-4AD8-8FDD-8F6F14882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10" name="Imagem 9">
          <a:extLst>
            <a:ext uri="{FF2B5EF4-FFF2-40B4-BE49-F238E27FC236}">
              <a16:creationId xmlns="" xmlns:a16="http://schemas.microsoft.com/office/drawing/2014/main" id="{CC477361-0202-46B7-BC74-3810235E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EBDB7A6E-E0B5-48F1-B260-1E9178A31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2931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3" name="Seta para a direita 3">
          <a:extLst>
            <a:ext uri="{FF2B5EF4-FFF2-40B4-BE49-F238E27FC236}">
              <a16:creationId xmlns="" xmlns:a16="http://schemas.microsoft.com/office/drawing/2014/main" id="{CB27ED8B-B864-48E0-95A9-5CA062E8604A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4" name="Seta dobrada para cima 4">
          <a:extLst>
            <a:ext uri="{FF2B5EF4-FFF2-40B4-BE49-F238E27FC236}">
              <a16:creationId xmlns="" xmlns:a16="http://schemas.microsoft.com/office/drawing/2014/main" id="{A5CCEFBD-A2E3-409F-AA51-C86192B42D91}"/>
            </a:ext>
          </a:extLst>
        </xdr:cNvPr>
        <xdr:cNvSpPr/>
      </xdr:nvSpPr>
      <xdr:spPr>
        <a:xfrm rot="5400000">
          <a:off x="7205662" y="25288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5" name="Conector de seta reta 5">
          <a:extLst>
            <a:ext uri="{FF2B5EF4-FFF2-40B4-BE49-F238E27FC236}">
              <a16:creationId xmlns="" xmlns:a16="http://schemas.microsoft.com/office/drawing/2014/main" id="{C757D063-DF0B-4794-8C45-2C734481AC29}"/>
            </a:ext>
          </a:extLst>
        </xdr:cNvPr>
        <xdr:cNvCxnSpPr/>
      </xdr:nvCxnSpPr>
      <xdr:spPr>
        <a:xfrm flipH="1">
          <a:off x="1839359" y="25812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6C5B79DC-6DBC-47BA-85CF-01BFD69B6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57E02BF0-49F0-4360-99C0-91655BBB4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3BE960D-2A4F-4860-9DC9-7D4A80F2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2931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3" name="Seta para a direita 3">
          <a:extLst>
            <a:ext uri="{FF2B5EF4-FFF2-40B4-BE49-F238E27FC236}">
              <a16:creationId xmlns="" xmlns:a16="http://schemas.microsoft.com/office/drawing/2014/main" id="{1E7E0FF5-5D6D-4235-BAF6-D45F9BAAAF24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4" name="Seta dobrada para cima 4">
          <a:extLst>
            <a:ext uri="{FF2B5EF4-FFF2-40B4-BE49-F238E27FC236}">
              <a16:creationId xmlns="" xmlns:a16="http://schemas.microsoft.com/office/drawing/2014/main" id="{767AD7CD-8B3A-472C-B78E-0424CB6ED26F}"/>
            </a:ext>
          </a:extLst>
        </xdr:cNvPr>
        <xdr:cNvSpPr/>
      </xdr:nvSpPr>
      <xdr:spPr>
        <a:xfrm rot="5400000">
          <a:off x="7205662" y="25288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5" name="Conector de seta reta 5">
          <a:extLst>
            <a:ext uri="{FF2B5EF4-FFF2-40B4-BE49-F238E27FC236}">
              <a16:creationId xmlns="" xmlns:a16="http://schemas.microsoft.com/office/drawing/2014/main" id="{CCDE1910-DA0B-4280-9080-F3CEF43FAB74}"/>
            </a:ext>
          </a:extLst>
        </xdr:cNvPr>
        <xdr:cNvCxnSpPr/>
      </xdr:nvCxnSpPr>
      <xdr:spPr>
        <a:xfrm flipH="1">
          <a:off x="1839359" y="25812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990BB8FE-1382-4E60-9EE8-4CEA0208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1DF064FD-86D9-42E0-AF04-E7EBDBDF5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FF27419A-73A2-4F63-8F5E-53B9B847F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2931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3" name="Seta para a direita 3">
          <a:extLst>
            <a:ext uri="{FF2B5EF4-FFF2-40B4-BE49-F238E27FC236}">
              <a16:creationId xmlns="" xmlns:a16="http://schemas.microsoft.com/office/drawing/2014/main" id="{59C7EDEC-4EA7-4BBE-9C8E-20B530120FCA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4" name="Seta dobrada para cima 4">
          <a:extLst>
            <a:ext uri="{FF2B5EF4-FFF2-40B4-BE49-F238E27FC236}">
              <a16:creationId xmlns="" xmlns:a16="http://schemas.microsoft.com/office/drawing/2014/main" id="{681B9C52-C2E2-4A54-9C32-9E7089E45A54}"/>
            </a:ext>
          </a:extLst>
        </xdr:cNvPr>
        <xdr:cNvSpPr/>
      </xdr:nvSpPr>
      <xdr:spPr>
        <a:xfrm rot="5400000">
          <a:off x="7205662" y="25288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5" name="Conector de seta reta 5">
          <a:extLst>
            <a:ext uri="{FF2B5EF4-FFF2-40B4-BE49-F238E27FC236}">
              <a16:creationId xmlns="" xmlns:a16="http://schemas.microsoft.com/office/drawing/2014/main" id="{E9BD7BE0-B921-4DF7-BC61-56A7CCEF273B}"/>
            </a:ext>
          </a:extLst>
        </xdr:cNvPr>
        <xdr:cNvCxnSpPr/>
      </xdr:nvCxnSpPr>
      <xdr:spPr>
        <a:xfrm flipH="1">
          <a:off x="1839359" y="25812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115C24BA-B335-49EC-A500-A94D013A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BAFF94FA-1D23-468E-AACD-23025112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adctec.com.br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facebook.com/adctecassessoria?_rdr=p" TargetMode="External"/><Relationship Id="rId1" Type="http://schemas.openxmlformats.org/officeDocument/2006/relationships/hyperlink" Target="mailto:contengpoa@gmail.com" TargetMode="External"/><Relationship Id="rId6" Type="http://schemas.openxmlformats.org/officeDocument/2006/relationships/hyperlink" Target="http://www.conteng.com.br/" TargetMode="External"/><Relationship Id="rId5" Type="http://schemas.openxmlformats.org/officeDocument/2006/relationships/hyperlink" Target="https://www.facebook.com/contengrs/?ref=aymt_homepage_panel" TargetMode="External"/><Relationship Id="rId4" Type="http://schemas.openxmlformats.org/officeDocument/2006/relationships/hyperlink" Target="https://www.facebook.com/contengrs/?ref=aymt_homepage_pane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://www.adctec.com.br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facebook.com/adctecassessoria?_rdr=p" TargetMode="External"/><Relationship Id="rId1" Type="http://schemas.openxmlformats.org/officeDocument/2006/relationships/hyperlink" Target="mailto:contengpoa@gmail.com" TargetMode="External"/><Relationship Id="rId6" Type="http://schemas.openxmlformats.org/officeDocument/2006/relationships/hyperlink" Target="http://www.conteng.com.br/" TargetMode="External"/><Relationship Id="rId5" Type="http://schemas.openxmlformats.org/officeDocument/2006/relationships/hyperlink" Target="https://www.facebook.com/contengrs/?ref=aymt_homepage_panel" TargetMode="External"/><Relationship Id="rId4" Type="http://schemas.openxmlformats.org/officeDocument/2006/relationships/hyperlink" Target="https://www.facebook.com/contengrs/?ref=aymt_homepage_pane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://www.adctec.com.br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facebook.com/adctecassessoria?_rdr=p" TargetMode="External"/><Relationship Id="rId1" Type="http://schemas.openxmlformats.org/officeDocument/2006/relationships/hyperlink" Target="mailto:contengpoa@gmail.com" TargetMode="External"/><Relationship Id="rId6" Type="http://schemas.openxmlformats.org/officeDocument/2006/relationships/hyperlink" Target="http://www.conteng.com.br/" TargetMode="External"/><Relationship Id="rId5" Type="http://schemas.openxmlformats.org/officeDocument/2006/relationships/hyperlink" Target="https://www.facebook.com/contengrs/?ref=aymt_homepage_panel" TargetMode="External"/><Relationship Id="rId4" Type="http://schemas.openxmlformats.org/officeDocument/2006/relationships/hyperlink" Target="https://www.facebook.com/contengrs/?ref=aymt_homepage_pane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://www.adctec.com.br/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www.facebook.com/adctecassessoria?_rdr=p" TargetMode="External"/><Relationship Id="rId1" Type="http://schemas.openxmlformats.org/officeDocument/2006/relationships/hyperlink" Target="mailto:contengpoa@gmail.com" TargetMode="External"/><Relationship Id="rId6" Type="http://schemas.openxmlformats.org/officeDocument/2006/relationships/hyperlink" Target="http://www.conteng.com.br/" TargetMode="External"/><Relationship Id="rId5" Type="http://schemas.openxmlformats.org/officeDocument/2006/relationships/hyperlink" Target="https://www.facebook.com/contengrs/?ref=aymt_homepage_panel" TargetMode="External"/><Relationship Id="rId4" Type="http://schemas.openxmlformats.org/officeDocument/2006/relationships/hyperlink" Target="https://www.facebook.com/contengrs/?ref=aymt_homepage_pan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7"/>
  <sheetViews>
    <sheetView showGridLines="0" tabSelected="1" topLeftCell="C13" zoomScale="110" zoomScaleNormal="110" workbookViewId="0">
      <selection activeCell="E35" sqref="E35"/>
    </sheetView>
  </sheetViews>
  <sheetFormatPr defaultRowHeight="15" x14ac:dyDescent="0.25"/>
  <cols>
    <col min="1" max="2" width="2" customWidth="1"/>
    <col min="3" max="3" width="23.28515625" customWidth="1"/>
    <col min="4" max="4" width="2.7109375" customWidth="1"/>
    <col min="5" max="5" width="17.7109375" customWidth="1"/>
    <col min="6" max="6" width="2.7109375" customWidth="1"/>
    <col min="7" max="7" width="13.28515625" bestFit="1" customWidth="1"/>
    <col min="8" max="8" width="10.28515625" customWidth="1"/>
    <col min="9" max="9" width="14.28515625" customWidth="1"/>
    <col min="10" max="10" width="19.7109375" customWidth="1"/>
    <col min="11" max="11" width="2.42578125" customWidth="1"/>
    <col min="12" max="12" width="4.28515625" customWidth="1"/>
    <col min="16" max="16" width="12.85546875" customWidth="1"/>
  </cols>
  <sheetData>
    <row r="1" spans="2:22" ht="6.75" customHeight="1" x14ac:dyDescent="0.2"/>
    <row r="2" spans="2:22" x14ac:dyDescent="0.25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5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5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5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5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ht="15.75" x14ac:dyDescent="0.25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5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5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5">
      <c r="B11" s="27"/>
      <c r="C11" s="20">
        <v>60000</v>
      </c>
      <c r="D11" s="30"/>
      <c r="E11" s="52">
        <v>27034.2</v>
      </c>
      <c r="F11" s="27"/>
      <c r="G11" s="87" t="s">
        <v>14</v>
      </c>
      <c r="H11" s="88"/>
      <c r="I11" s="88"/>
      <c r="J11" s="38">
        <f>IF(G11=N12,M12,IF(G11=N13,M13,IF(G11=N14,M14,"")))</f>
        <v>0.32</v>
      </c>
      <c r="K11" s="27"/>
      <c r="M11" s="81"/>
      <c r="N11" s="82"/>
      <c r="O11" s="82"/>
      <c r="P11" s="82"/>
      <c r="Q11" s="83"/>
    </row>
    <row r="12" spans="2:22" ht="15.75" customHeight="1" x14ac:dyDescent="0.25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5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3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5">
      <c r="M16" s="59" t="s">
        <v>24</v>
      </c>
      <c r="N16" s="60"/>
      <c r="O16" s="60"/>
      <c r="P16" s="60"/>
      <c r="Q16" s="61"/>
    </row>
    <row r="17" spans="2:18" ht="15.75" x14ac:dyDescent="0.25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5">
      <c r="B19" s="5"/>
      <c r="C19" s="11" t="s">
        <v>6</v>
      </c>
      <c r="D19" s="5"/>
      <c r="E19" s="53">
        <f>C11-E11</f>
        <v>32965.800000000003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5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5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5">
      <c r="B22" s="5"/>
      <c r="C22" s="11" t="s">
        <v>7</v>
      </c>
      <c r="D22" s="5"/>
      <c r="E22" s="53">
        <f>C11*J11</f>
        <v>19200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5">
      <c r="B23" s="5"/>
      <c r="C23" s="12" t="s">
        <v>1</v>
      </c>
      <c r="D23" s="5"/>
      <c r="E23" s="69"/>
      <c r="F23" s="5"/>
      <c r="G23" s="46">
        <f>E25</f>
        <v>13765.800000000003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3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5">
      <c r="B25" s="5"/>
      <c r="C25" s="22" t="s">
        <v>8</v>
      </c>
      <c r="D25" s="5"/>
      <c r="E25" s="53">
        <f>E19-E22</f>
        <v>13765.800000000003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5">
      <c r="B26" s="5"/>
      <c r="C26" s="12" t="s">
        <v>2</v>
      </c>
      <c r="D26" s="5"/>
      <c r="E26" s="54"/>
      <c r="F26" s="5"/>
      <c r="G26" s="48">
        <f>E22</f>
        <v>19200</v>
      </c>
      <c r="H26" s="49"/>
      <c r="I26" s="49"/>
      <c r="J26" s="50"/>
      <c r="K26" s="5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5">
      <c r="B28" s="5"/>
      <c r="C28" s="55" t="s">
        <v>9</v>
      </c>
      <c r="D28" s="56"/>
      <c r="E28" s="40">
        <f>C14+E25</f>
        <v>13765.800000000003</v>
      </c>
      <c r="F28" s="5"/>
      <c r="G28" s="57" t="str">
        <f>IF(E28&gt;J13,"ESTÁ OBRIGADO A DECLARAR O IMPOSTO DE RENDA.","NÃO ESTÁ OBRIGADO A DECLARAR O IMPOSTO DE RENDA.")</f>
        <v>NÃO 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5"/>
    <row r="32" spans="2:18" x14ac:dyDescent="0.25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5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5">
      <c r="J37" s="1"/>
    </row>
  </sheetData>
  <sheetProtection selectLockedCells="1"/>
  <mergeCells count="22">
    <mergeCell ref="B8:K8"/>
    <mergeCell ref="M8:Q11"/>
    <mergeCell ref="G10:J10"/>
    <mergeCell ref="G11:I11"/>
    <mergeCell ref="G14:J14"/>
    <mergeCell ref="H13:I13"/>
    <mergeCell ref="E13:E14"/>
    <mergeCell ref="E2:K5"/>
    <mergeCell ref="M3:Q3"/>
    <mergeCell ref="M4:Q4"/>
    <mergeCell ref="M5:Q5"/>
    <mergeCell ref="B6:K6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7" priority="2" operator="equal">
      <formula>"ESTÁ OBRIGADO A DECLARAR O IMPOSTO DE RENDA."</formula>
    </cfRule>
  </conditionalFormatting>
  <conditionalFormatting sqref="G28:J28">
    <cfRule type="cellIs" dxfId="6" priority="1" operator="equal">
      <formula>"NÃO ESTÁ OBRIGADO A DECLARAR O IMPOSTO DE RENDA."</formula>
    </cfRule>
  </conditionalFormatting>
  <dataValidations count="2"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>
      <formula1>60000</formula1>
    </dataValidation>
    <dataValidation type="list" allowBlank="1" showInputMessage="1" showErrorMessage="1" error="Selecione uma das atividades." sqref="G11">
      <formula1>$N$12:$N$14</formula1>
    </dataValidation>
  </dataValidations>
  <hyperlinks>
    <hyperlink ref="B33" r:id="rId1"/>
    <hyperlink ref="B32" r:id="rId2" display="facebook.com.br/adctecassessoria"/>
    <hyperlink ref="M4:Q4" r:id="rId3" display="visite o nosso site: www.adctec.com.br "/>
    <hyperlink ref="M5:Q5" r:id="rId4" display="Curta no facebook: facebook.com.br/contegrs"/>
    <hyperlink ref="B32:K32" r:id="rId5" display="facebook.com.br/contengrs"/>
    <hyperlink ref="M4" r:id="rId6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7"/>
  <sheetViews>
    <sheetView showGridLines="0" topLeftCell="C1" zoomScale="110" zoomScaleNormal="110" workbookViewId="0">
      <selection activeCell="C14" sqref="C14"/>
    </sheetView>
  </sheetViews>
  <sheetFormatPr defaultRowHeight="15" x14ac:dyDescent="0.25"/>
  <cols>
    <col min="1" max="2" width="2" customWidth="1"/>
    <col min="3" max="3" width="23.28515625" customWidth="1"/>
    <col min="4" max="4" width="2.7109375" customWidth="1"/>
    <col min="5" max="5" width="17.7109375" customWidth="1"/>
    <col min="6" max="6" width="2.7109375" customWidth="1"/>
    <col min="7" max="7" width="13.28515625" customWidth="1"/>
    <col min="8" max="8" width="10.28515625" customWidth="1"/>
    <col min="9" max="9" width="14.28515625" customWidth="1"/>
    <col min="10" max="10" width="19.7109375" customWidth="1"/>
    <col min="11" max="11" width="2.42578125" customWidth="1"/>
    <col min="12" max="12" width="4.28515625" customWidth="1"/>
    <col min="16" max="16" width="12.85546875" customWidth="1"/>
  </cols>
  <sheetData>
    <row r="1" spans="2:22" ht="6.75" customHeight="1" x14ac:dyDescent="0.2"/>
    <row r="2" spans="2:22" x14ac:dyDescent="0.25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5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5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5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5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ht="15.75" x14ac:dyDescent="0.25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5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5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5">
      <c r="B11" s="27"/>
      <c r="C11" s="20">
        <v>54000</v>
      </c>
      <c r="D11" s="30"/>
      <c r="E11" s="52">
        <v>6570</v>
      </c>
      <c r="F11" s="27"/>
      <c r="G11" s="87" t="s">
        <v>14</v>
      </c>
      <c r="H11" s="88"/>
      <c r="I11" s="88"/>
      <c r="J11" s="38">
        <f>IF(G11=N12,M12,IF(G11=N13,M13,IF(G11=N14,M14,"")))</f>
        <v>0.32</v>
      </c>
      <c r="K11" s="27"/>
      <c r="M11" s="81"/>
      <c r="N11" s="82"/>
      <c r="O11" s="82"/>
      <c r="P11" s="82"/>
      <c r="Q11" s="83"/>
    </row>
    <row r="12" spans="2:22" ht="15.75" customHeight="1" x14ac:dyDescent="0.25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5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3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5">
      <c r="M16" s="59" t="s">
        <v>24</v>
      </c>
      <c r="N16" s="60"/>
      <c r="O16" s="60"/>
      <c r="P16" s="60"/>
      <c r="Q16" s="61"/>
    </row>
    <row r="17" spans="2:18" ht="15.75" x14ac:dyDescent="0.25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5">
      <c r="B19" s="5"/>
      <c r="C19" s="11" t="s">
        <v>6</v>
      </c>
      <c r="D19" s="5"/>
      <c r="E19" s="53">
        <f>C11-E11</f>
        <v>47430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5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5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5">
      <c r="B22" s="5"/>
      <c r="C22" s="11" t="s">
        <v>7</v>
      </c>
      <c r="D22" s="5"/>
      <c r="E22" s="53">
        <f>C11*J11</f>
        <v>17280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5">
      <c r="B23" s="5"/>
      <c r="C23" s="12" t="s">
        <v>1</v>
      </c>
      <c r="D23" s="5"/>
      <c r="E23" s="69"/>
      <c r="F23" s="5"/>
      <c r="G23" s="46">
        <f>E25</f>
        <v>30150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3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5">
      <c r="B25" s="5"/>
      <c r="C25" s="22" t="s">
        <v>8</v>
      </c>
      <c r="D25" s="5"/>
      <c r="E25" s="53">
        <f>E19-E22</f>
        <v>30150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5">
      <c r="B26" s="5"/>
      <c r="C26" s="12" t="s">
        <v>2</v>
      </c>
      <c r="D26" s="5"/>
      <c r="E26" s="54"/>
      <c r="F26" s="5"/>
      <c r="G26" s="48">
        <f>E22</f>
        <v>17280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30150</v>
      </c>
      <c r="F28" s="5"/>
      <c r="G28" s="57" t="str">
        <f>IF(E28&gt;J13,"ESTÁ OBRIGADO A DECLARAR O IMPOSTO DE RENDA.","NÃO ESTÁ OBRIGADO A DECLARAR O IMPOSTO DE RENDA.")</f>
        <v>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5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5">
      <c r="J37" s="1"/>
    </row>
  </sheetData>
  <sheetProtection selectLockedCells="1"/>
  <mergeCells count="22">
    <mergeCell ref="B8:K8"/>
    <mergeCell ref="M8:Q11"/>
    <mergeCell ref="G10:J10"/>
    <mergeCell ref="G11:I11"/>
    <mergeCell ref="E2:K5"/>
    <mergeCell ref="M3:Q3"/>
    <mergeCell ref="M4:Q4"/>
    <mergeCell ref="M5:Q5"/>
    <mergeCell ref="B6:K6"/>
    <mergeCell ref="E13:E14"/>
    <mergeCell ref="H13:I13"/>
    <mergeCell ref="G14:J14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5" priority="2" operator="equal">
      <formula>"ESTÁ OBRIGADO A DECLARAR O IMPOSTO DE RENDA."</formula>
    </cfRule>
  </conditionalFormatting>
  <conditionalFormatting sqref="G28:J28">
    <cfRule type="cellIs" dxfId="4" priority="1" operator="equal">
      <formula>"NÃO ESTÁ OBRIGADO A DECLARAR O IMPOSTO DE RENDA."</formula>
    </cfRule>
  </conditionalFormatting>
  <dataValidations count="2">
    <dataValidation type="list" allowBlank="1" showInputMessage="1" showErrorMessage="1" error="Selecione uma das atividades." sqref="G11">
      <formula1>$N$12:$N$14</formula1>
    </dataValidation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>
      <formula1>60000</formula1>
    </dataValidation>
  </dataValidations>
  <hyperlinks>
    <hyperlink ref="B33" r:id="rId1"/>
    <hyperlink ref="B32" r:id="rId2" display="facebook.com.br/adctecassessoria"/>
    <hyperlink ref="M4:Q4" r:id="rId3" display="visite o nosso site: www.adctec.com.br "/>
    <hyperlink ref="M5:Q5" r:id="rId4" display="Curta no facebook: facebook.com.br/contegrs"/>
    <hyperlink ref="B32:K32" r:id="rId5" display="facebook.com.br/contengrs"/>
    <hyperlink ref="M4" r:id="rId6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7"/>
  <sheetViews>
    <sheetView showGridLines="0" topLeftCell="C1" zoomScale="110" zoomScaleNormal="110" workbookViewId="0">
      <selection activeCell="G11" sqref="G11:I11"/>
    </sheetView>
  </sheetViews>
  <sheetFormatPr defaultRowHeight="15" x14ac:dyDescent="0.25"/>
  <cols>
    <col min="1" max="2" width="2" customWidth="1"/>
    <col min="3" max="3" width="23.28515625" customWidth="1"/>
    <col min="4" max="4" width="2.7109375" customWidth="1"/>
    <col min="5" max="5" width="17.7109375" customWidth="1"/>
    <col min="6" max="6" width="2.7109375" customWidth="1"/>
    <col min="7" max="7" width="13.28515625" customWidth="1"/>
    <col min="8" max="8" width="10.28515625" customWidth="1"/>
    <col min="9" max="9" width="14.28515625" customWidth="1"/>
    <col min="10" max="10" width="19.7109375" customWidth="1"/>
    <col min="11" max="11" width="2.42578125" customWidth="1"/>
    <col min="12" max="12" width="4.28515625" customWidth="1"/>
    <col min="16" max="16" width="12.85546875" customWidth="1"/>
  </cols>
  <sheetData>
    <row r="1" spans="2:22" ht="6.75" customHeight="1" x14ac:dyDescent="0.2"/>
    <row r="2" spans="2:22" x14ac:dyDescent="0.25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5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5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5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5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ht="15.75" x14ac:dyDescent="0.25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5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5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5">
      <c r="B11" s="27"/>
      <c r="C11" s="20">
        <v>54000</v>
      </c>
      <c r="D11" s="30"/>
      <c r="E11" s="52">
        <v>6570</v>
      </c>
      <c r="F11" s="27"/>
      <c r="G11" s="87" t="s">
        <v>15</v>
      </c>
      <c r="H11" s="88"/>
      <c r="I11" s="88"/>
      <c r="J11" s="38">
        <f>IF(G11=N12,M12,IF(G11=N13,M13,IF(G11=N14,M14,"")))</f>
        <v>0.08</v>
      </c>
      <c r="K11" s="27"/>
      <c r="M11" s="81"/>
      <c r="N11" s="82"/>
      <c r="O11" s="82"/>
      <c r="P11" s="82"/>
      <c r="Q11" s="83"/>
    </row>
    <row r="12" spans="2:22" ht="15.75" customHeight="1" x14ac:dyDescent="0.25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5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3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5">
      <c r="M16" s="59" t="s">
        <v>24</v>
      </c>
      <c r="N16" s="60"/>
      <c r="O16" s="60"/>
      <c r="P16" s="60"/>
      <c r="Q16" s="61"/>
    </row>
    <row r="17" spans="2:18" ht="15.75" x14ac:dyDescent="0.25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5">
      <c r="B19" s="5"/>
      <c r="C19" s="11" t="s">
        <v>6</v>
      </c>
      <c r="D19" s="5"/>
      <c r="E19" s="53">
        <f>C11-E11</f>
        <v>47430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5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5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5">
      <c r="B22" s="5"/>
      <c r="C22" s="11" t="s">
        <v>7</v>
      </c>
      <c r="D22" s="5"/>
      <c r="E22" s="53">
        <f>C11*J11</f>
        <v>4320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5">
      <c r="B23" s="5"/>
      <c r="C23" s="12" t="s">
        <v>1</v>
      </c>
      <c r="D23" s="5"/>
      <c r="E23" s="69"/>
      <c r="F23" s="5"/>
      <c r="G23" s="46">
        <f>E25</f>
        <v>43110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3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5">
      <c r="B25" s="5"/>
      <c r="C25" s="22" t="s">
        <v>8</v>
      </c>
      <c r="D25" s="5"/>
      <c r="E25" s="53">
        <f>E19-E22</f>
        <v>43110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5">
      <c r="B26" s="5"/>
      <c r="C26" s="12" t="s">
        <v>2</v>
      </c>
      <c r="D26" s="5"/>
      <c r="E26" s="54"/>
      <c r="F26" s="5"/>
      <c r="G26" s="48">
        <f>E22</f>
        <v>4320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43110</v>
      </c>
      <c r="F28" s="5"/>
      <c r="G28" s="57" t="str">
        <f>IF(E28&gt;J13,"ESTÁ OBRIGADO A DECLARAR O IMPOSTO DE RENDA.","NÃO ESTÁ OBRIGADO A DECLARAR O IMPOSTO DE RENDA.")</f>
        <v>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5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5">
      <c r="J37" s="1"/>
    </row>
  </sheetData>
  <sheetProtection selectLockedCells="1"/>
  <mergeCells count="22">
    <mergeCell ref="B8:K8"/>
    <mergeCell ref="M8:Q11"/>
    <mergeCell ref="G10:J10"/>
    <mergeCell ref="G11:I11"/>
    <mergeCell ref="E2:K5"/>
    <mergeCell ref="M3:Q3"/>
    <mergeCell ref="M4:Q4"/>
    <mergeCell ref="M5:Q5"/>
    <mergeCell ref="B6:K6"/>
    <mergeCell ref="E13:E14"/>
    <mergeCell ref="H13:I13"/>
    <mergeCell ref="G14:J14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3" priority="2" operator="equal">
      <formula>"ESTÁ OBRIGADO A DECLARAR O IMPOSTO DE RENDA."</formula>
    </cfRule>
  </conditionalFormatting>
  <conditionalFormatting sqref="G28:J28">
    <cfRule type="cellIs" dxfId="2" priority="1" operator="equal">
      <formula>"NÃO ESTÁ OBRIGADO A DECLARAR O IMPOSTO DE RENDA."</formula>
    </cfRule>
  </conditionalFormatting>
  <dataValidations count="2"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>
      <formula1>60000</formula1>
    </dataValidation>
    <dataValidation type="list" allowBlank="1" showInputMessage="1" showErrorMessage="1" error="Selecione uma das atividades." sqref="G11">
      <formula1>$N$12:$N$14</formula1>
    </dataValidation>
  </dataValidations>
  <hyperlinks>
    <hyperlink ref="B33" r:id="rId1"/>
    <hyperlink ref="B32" r:id="rId2" display="facebook.com.br/adctecassessoria"/>
    <hyperlink ref="M4:Q4" r:id="rId3" display="visite o nosso site: www.adctec.com.br "/>
    <hyperlink ref="M5:Q5" r:id="rId4" display="Curta no facebook: facebook.com.br/contegrs"/>
    <hyperlink ref="B32:K32" r:id="rId5" display="facebook.com.br/contengrs"/>
    <hyperlink ref="M4" r:id="rId6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7"/>
  <sheetViews>
    <sheetView showGridLines="0" topLeftCell="C13" zoomScale="110" zoomScaleNormal="110" workbookViewId="0">
      <selection activeCell="G11" sqref="G11:I11"/>
    </sheetView>
  </sheetViews>
  <sheetFormatPr defaultRowHeight="15" x14ac:dyDescent="0.25"/>
  <cols>
    <col min="1" max="2" width="2" customWidth="1"/>
    <col min="3" max="3" width="23.28515625" customWidth="1"/>
    <col min="4" max="4" width="2.7109375" customWidth="1"/>
    <col min="5" max="5" width="17.7109375" customWidth="1"/>
    <col min="6" max="6" width="2.7109375" customWidth="1"/>
    <col min="7" max="7" width="13.28515625" customWidth="1"/>
    <col min="8" max="8" width="10.28515625" customWidth="1"/>
    <col min="9" max="9" width="14.28515625" customWidth="1"/>
    <col min="10" max="10" width="19.7109375" customWidth="1"/>
    <col min="11" max="11" width="2.42578125" customWidth="1"/>
    <col min="12" max="12" width="4.28515625" customWidth="1"/>
    <col min="16" max="16" width="12.85546875" customWidth="1"/>
  </cols>
  <sheetData>
    <row r="1" spans="2:22" ht="6.75" customHeight="1" x14ac:dyDescent="0.2"/>
    <row r="2" spans="2:22" x14ac:dyDescent="0.25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5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5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5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5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ht="15.75" x14ac:dyDescent="0.25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5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5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5">
      <c r="B11" s="27"/>
      <c r="C11" s="20">
        <v>54000</v>
      </c>
      <c r="D11" s="30"/>
      <c r="E11" s="52">
        <v>6570</v>
      </c>
      <c r="F11" s="27"/>
      <c r="G11" s="87" t="s">
        <v>13</v>
      </c>
      <c r="H11" s="88"/>
      <c r="I11" s="88"/>
      <c r="J11" s="38">
        <f>IF(G11=N12,M12,IF(G11=N13,M13,IF(G11=N14,M14,"")))</f>
        <v>0.16</v>
      </c>
      <c r="K11" s="27"/>
      <c r="M11" s="81"/>
      <c r="N11" s="82"/>
      <c r="O11" s="82"/>
      <c r="P11" s="82"/>
      <c r="Q11" s="83"/>
    </row>
    <row r="12" spans="2:22" ht="15.75" customHeight="1" x14ac:dyDescent="0.25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5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3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5">
      <c r="M16" s="59" t="s">
        <v>24</v>
      </c>
      <c r="N16" s="60"/>
      <c r="O16" s="60"/>
      <c r="P16" s="60"/>
      <c r="Q16" s="61"/>
    </row>
    <row r="17" spans="2:18" ht="15.75" x14ac:dyDescent="0.25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5">
      <c r="B19" s="5"/>
      <c r="C19" s="11" t="s">
        <v>6</v>
      </c>
      <c r="D19" s="5"/>
      <c r="E19" s="53">
        <f>C11-E11</f>
        <v>47430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5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5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5">
      <c r="B22" s="5"/>
      <c r="C22" s="11" t="s">
        <v>7</v>
      </c>
      <c r="D22" s="5"/>
      <c r="E22" s="53">
        <f>C11*J11</f>
        <v>8640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5">
      <c r="B23" s="5"/>
      <c r="C23" s="12" t="s">
        <v>1</v>
      </c>
      <c r="D23" s="5"/>
      <c r="E23" s="69"/>
      <c r="F23" s="5"/>
      <c r="G23" s="46">
        <f>E25</f>
        <v>38790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3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5">
      <c r="B25" s="5"/>
      <c r="C25" s="22" t="s">
        <v>8</v>
      </c>
      <c r="D25" s="5"/>
      <c r="E25" s="53">
        <f>E19-E22</f>
        <v>38790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5">
      <c r="B26" s="5"/>
      <c r="C26" s="12" t="s">
        <v>2</v>
      </c>
      <c r="D26" s="5"/>
      <c r="E26" s="54"/>
      <c r="F26" s="5"/>
      <c r="G26" s="48">
        <f>E22</f>
        <v>8640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38790</v>
      </c>
      <c r="F28" s="5"/>
      <c r="G28" s="57" t="str">
        <f>IF(E28&gt;J13,"ESTÁ OBRIGADO A DECLARAR O IMPOSTO DE RENDA.","NÃO ESTÁ OBRIGADO A DECLARAR O IMPOSTO DE RENDA.")</f>
        <v>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5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5">
      <c r="J37" s="1"/>
    </row>
  </sheetData>
  <sheetProtection selectLockedCells="1"/>
  <mergeCells count="22">
    <mergeCell ref="B8:K8"/>
    <mergeCell ref="M8:Q11"/>
    <mergeCell ref="G10:J10"/>
    <mergeCell ref="G11:I11"/>
    <mergeCell ref="E2:K5"/>
    <mergeCell ref="M3:Q3"/>
    <mergeCell ref="M4:Q4"/>
    <mergeCell ref="M5:Q5"/>
    <mergeCell ref="B6:K6"/>
    <mergeCell ref="E13:E14"/>
    <mergeCell ref="H13:I13"/>
    <mergeCell ref="G14:J14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1" priority="2" operator="equal">
      <formula>"ESTÁ OBRIGADO A DECLARAR O IMPOSTO DE RENDA."</formula>
    </cfRule>
  </conditionalFormatting>
  <conditionalFormatting sqref="G28:J28">
    <cfRule type="cellIs" dxfId="0" priority="1" operator="equal">
      <formula>"NÃO ESTÁ OBRIGADO A DECLARAR O IMPOSTO DE RENDA."</formula>
    </cfRule>
  </conditionalFormatting>
  <dataValidations count="2">
    <dataValidation type="list" allowBlank="1" showInputMessage="1" showErrorMessage="1" error="Selecione uma das atividades." sqref="G11">
      <formula1>$N$12:$N$14</formula1>
    </dataValidation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>
      <formula1>60000</formula1>
    </dataValidation>
  </dataValidations>
  <hyperlinks>
    <hyperlink ref="B33" r:id="rId1"/>
    <hyperlink ref="B32" r:id="rId2" display="facebook.com.br/adctecassessoria"/>
    <hyperlink ref="M4:Q4" r:id="rId3" display="visite o nosso site: www.adctec.com.br "/>
    <hyperlink ref="M5:Q5" r:id="rId4" display="Curta no facebook: facebook.com.br/contegrs"/>
    <hyperlink ref="B32:K32" r:id="rId5" display="facebook.com.br/contengrs"/>
    <hyperlink ref="M4" r:id="rId6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Exemplo 1</vt:lpstr>
      <vt:lpstr>Exemplo 2</vt:lpstr>
      <vt:lpstr>Exemplo 3</vt:lpstr>
      <vt:lpstr>Exemplo 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Paula</cp:lastModifiedBy>
  <cp:lastPrinted>2016-01-28T13:57:45Z</cp:lastPrinted>
  <dcterms:created xsi:type="dcterms:W3CDTF">2016-01-28T11:43:53Z</dcterms:created>
  <dcterms:modified xsi:type="dcterms:W3CDTF">2018-03-26T22:25:05Z</dcterms:modified>
</cp:coreProperties>
</file>