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workbookPr filterPrivacy="1" codeName="ThisWorkbook"/>
  <xr:revisionPtr revIDLastSave="0" documentId="10_ncr:100000_{72908725-7321-40B8-9619-59C869427167}" xr6:coauthVersionLast="31" xr6:coauthVersionMax="40" xr10:uidLastSave="{00000000-0000-0000-0000-000000000000}"/>
  <bookViews>
    <workbookView xWindow="750" yWindow="-120" windowWidth="15030" windowHeight="8370" xr2:uid="{00000000-000D-0000-FFFF-FFFF00000000}"/>
  </bookViews>
  <sheets>
    <sheet name="Quadro de horários anual" sheetId="1" r:id="rId1"/>
  </sheets>
  <definedNames>
    <definedName name="_xlnm.Print_Area" localSheetId="0">'Quadro de horários anual'!$B$1:$L$140</definedName>
    <definedName name="_xlnm.Print_Titles" localSheetId="0">'Quadro de horários anual'!$1:$5</definedName>
  </definedNames>
  <calcPr calcId="1790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39" i="1" l="1"/>
  <c r="K139" i="1" l="1"/>
  <c r="J139" i="1"/>
  <c r="I139" i="1"/>
  <c r="H139" i="1"/>
  <c r="G139" i="1"/>
  <c r="F139" i="1"/>
  <c r="D139" i="1"/>
  <c r="C139" i="1"/>
  <c r="K128" i="1"/>
  <c r="J128" i="1"/>
  <c r="I128" i="1"/>
  <c r="H128" i="1"/>
  <c r="G128" i="1"/>
  <c r="F128" i="1"/>
  <c r="E128" i="1"/>
  <c r="D128" i="1"/>
  <c r="C128" i="1"/>
  <c r="K117" i="1"/>
  <c r="J117" i="1"/>
  <c r="I117" i="1"/>
  <c r="H117" i="1"/>
  <c r="G117" i="1"/>
  <c r="F117" i="1"/>
  <c r="E117" i="1"/>
  <c r="D117" i="1"/>
  <c r="C117" i="1"/>
  <c r="K105" i="1"/>
  <c r="J105" i="1"/>
  <c r="I105" i="1"/>
  <c r="H105" i="1"/>
  <c r="G105" i="1"/>
  <c r="F105" i="1"/>
  <c r="E105" i="1"/>
  <c r="D105" i="1"/>
  <c r="C105" i="1"/>
  <c r="K94" i="1"/>
  <c r="J94" i="1"/>
  <c r="I94" i="1"/>
  <c r="H94" i="1"/>
  <c r="G94" i="1"/>
  <c r="F94" i="1"/>
  <c r="E94" i="1"/>
  <c r="D94" i="1"/>
  <c r="C94" i="1"/>
  <c r="K83" i="1"/>
  <c r="J83" i="1"/>
  <c r="I83" i="1"/>
  <c r="H83" i="1"/>
  <c r="G83" i="1"/>
  <c r="F83" i="1"/>
  <c r="E83" i="1"/>
  <c r="D83" i="1"/>
  <c r="C83" i="1"/>
  <c r="K71" i="1"/>
  <c r="J71" i="1"/>
  <c r="I71" i="1"/>
  <c r="H71" i="1"/>
  <c r="G71" i="1"/>
  <c r="F71" i="1"/>
  <c r="E71" i="1"/>
  <c r="D71" i="1"/>
  <c r="C71" i="1"/>
  <c r="K60" i="1"/>
  <c r="J60" i="1"/>
  <c r="I60" i="1"/>
  <c r="H60" i="1"/>
  <c r="G60" i="1"/>
  <c r="F60" i="1"/>
  <c r="E60" i="1"/>
  <c r="D60" i="1"/>
  <c r="C60" i="1"/>
  <c r="K49" i="1"/>
  <c r="J49" i="1"/>
  <c r="I49" i="1"/>
  <c r="H49" i="1"/>
  <c r="G49" i="1"/>
  <c r="F49" i="1"/>
  <c r="E49" i="1"/>
  <c r="D49" i="1"/>
  <c r="C49" i="1"/>
  <c r="K37" i="1"/>
  <c r="J37" i="1"/>
  <c r="I37" i="1"/>
  <c r="H37" i="1"/>
  <c r="G37" i="1"/>
  <c r="F37" i="1"/>
  <c r="E37" i="1"/>
  <c r="D37" i="1"/>
  <c r="C37" i="1"/>
  <c r="E26" i="1"/>
  <c r="I26" i="1"/>
  <c r="K26" i="1"/>
  <c r="J26" i="1"/>
  <c r="H26" i="1"/>
  <c r="G26" i="1"/>
  <c r="F26" i="1"/>
  <c r="D26" i="1"/>
  <c r="C26" i="1"/>
  <c r="C140" i="1" l="1"/>
  <c r="C118" i="1"/>
  <c r="C129" i="1"/>
  <c r="C95" i="1"/>
  <c r="C106" i="1"/>
  <c r="C84" i="1"/>
  <c r="C72" i="1"/>
  <c r="C61" i="1"/>
  <c r="C50" i="1"/>
  <c r="C38" i="1"/>
  <c r="C27" i="1"/>
  <c r="K15" i="1"/>
  <c r="J15" i="1"/>
  <c r="I15" i="1"/>
  <c r="H15" i="1"/>
  <c r="G15" i="1"/>
  <c r="C15" i="1"/>
  <c r="F15" i="1"/>
  <c r="E15" i="1"/>
  <c r="D15" i="1"/>
  <c r="C16" i="1" l="1"/>
  <c r="L15" i="1"/>
  <c r="F16" i="1" s="1"/>
  <c r="L26" i="1"/>
  <c r="F27" i="1" s="1"/>
  <c r="L37" i="1"/>
  <c r="F38" i="1" s="1"/>
  <c r="L49" i="1"/>
  <c r="F50" i="1" s="1"/>
  <c r="L60" i="1"/>
  <c r="F61" i="1" s="1"/>
  <c r="L71" i="1"/>
  <c r="F72" i="1" s="1"/>
  <c r="L83" i="1"/>
  <c r="F84" i="1" s="1"/>
  <c r="L94" i="1"/>
  <c r="F95" i="1" s="1"/>
  <c r="L105" i="1"/>
  <c r="F106" i="1" s="1"/>
  <c r="L117" i="1"/>
  <c r="F118" i="1" s="1"/>
  <c r="L128" i="1"/>
  <c r="F129" i="1" s="1"/>
  <c r="L139" i="1"/>
  <c r="F140" i="1" s="1"/>
  <c r="H4" i="1" l="1"/>
  <c r="J4" i="1"/>
  <c r="L4" i="1" l="1"/>
</calcChain>
</file>

<file path=xl/sharedStrings.xml><?xml version="1.0" encoding="utf-8"?>
<sst xmlns="http://schemas.openxmlformats.org/spreadsheetml/2006/main" count="265" uniqueCount="67">
  <si>
    <t>Cartão de ponto de funcionário</t>
  </si>
  <si>
    <t>Nome do funcionário:</t>
  </si>
  <si>
    <t>Gerente:</t>
  </si>
  <si>
    <r>
      <t xml:space="preserve">Janeiro, fevereiro, março      </t>
    </r>
    <r>
      <rPr>
        <sz val="11"/>
        <color theme="0"/>
        <rFont val="Century Gothic"/>
        <family val="2"/>
        <scheme val="major"/>
      </rPr>
      <t>Cartão de ponto do funcionário: Diário, semanal, mensal, anual</t>
    </r>
  </si>
  <si>
    <t>Janeiro</t>
  </si>
  <si>
    <t>Segunda</t>
  </si>
  <si>
    <t>Terça</t>
  </si>
  <si>
    <t>Quarta</t>
  </si>
  <si>
    <t>Quinta-feira</t>
  </si>
  <si>
    <t>Sexta</t>
  </si>
  <si>
    <t>Sábado</t>
  </si>
  <si>
    <t>Domingo</t>
  </si>
  <si>
    <t>Total de horas semanal</t>
  </si>
  <si>
    <t>Total de janeiro: Horas normais</t>
  </si>
  <si>
    <t>Fevereiro</t>
  </si>
  <si>
    <t>Total de fevereiro: Horas normais</t>
  </si>
  <si>
    <t>Março</t>
  </si>
  <si>
    <t>Total de março: Horas normais</t>
  </si>
  <si>
    <r>
      <t xml:space="preserve">Abril, maio, junho      </t>
    </r>
    <r>
      <rPr>
        <sz val="11"/>
        <color theme="0"/>
        <rFont val="Century Gothic"/>
        <family val="2"/>
        <scheme val="major"/>
      </rPr>
      <t>Cartão de ponto do funcionário: Diário, semanal, mensal, anual</t>
    </r>
  </si>
  <si>
    <t>Abril</t>
  </si>
  <si>
    <t>Total de abril: Horas normais</t>
  </si>
  <si>
    <t>Maio</t>
  </si>
  <si>
    <t>Total de maio: Horas normais</t>
  </si>
  <si>
    <t>Junho</t>
  </si>
  <si>
    <t>Total de junho: Horas normais</t>
  </si>
  <si>
    <r>
      <t xml:space="preserve">Julho, agosto, setembro      </t>
    </r>
    <r>
      <rPr>
        <sz val="11"/>
        <color theme="0"/>
        <rFont val="Century Gothic"/>
        <family val="2"/>
        <scheme val="major"/>
      </rPr>
      <t>Cartão de ponto do funcionário: Diário, semanal, mensal, anual</t>
    </r>
  </si>
  <si>
    <t>Julho</t>
  </si>
  <si>
    <t>Total de julho: Horas normais</t>
  </si>
  <si>
    <t>Agosto</t>
  </si>
  <si>
    <t>Total de agosto: Horas normais</t>
  </si>
  <si>
    <t>Setembro</t>
  </si>
  <si>
    <t>Total de setembro: Horas normais</t>
  </si>
  <si>
    <r>
      <t xml:space="preserve">Outubro, novembro, dezembro      </t>
    </r>
    <r>
      <rPr>
        <sz val="11"/>
        <color theme="0"/>
        <rFont val="Century Gothic"/>
        <family val="2"/>
        <scheme val="major"/>
      </rPr>
      <t>Cartão de ponto do funcionário: Diário, semanal, mensal, anual</t>
    </r>
  </si>
  <si>
    <t>Outubro</t>
  </si>
  <si>
    <t>Total de outubro: Horas normais</t>
  </si>
  <si>
    <t>Novembro</t>
  </si>
  <si>
    <t>Total de novembro: Horas normais</t>
  </si>
  <si>
    <t>Dezembro</t>
  </si>
  <si>
    <t>Total de dezembro: Horas normais</t>
  </si>
  <si>
    <t>Semana 1</t>
  </si>
  <si>
    <t>Email:</t>
  </si>
  <si>
    <t>Telefone:</t>
  </si>
  <si>
    <t>Horas extras</t>
  </si>
  <si>
    <t>Total de janeiro: Horas extras</t>
  </si>
  <si>
    <t>Total de fevereiro: Horas extras</t>
  </si>
  <si>
    <t>Total de março: Horas extras</t>
  </si>
  <si>
    <t>Total de abril: Horas extras</t>
  </si>
  <si>
    <t>Total de maio: Horas extras</t>
  </si>
  <si>
    <t>Total de junho: Horas extras</t>
  </si>
  <si>
    <t>Total de julho: Horas extras</t>
  </si>
  <si>
    <t>Total de agosto: Horas extras</t>
  </si>
  <si>
    <t>Total de setembro: Horas extras</t>
  </si>
  <si>
    <t>Total de outubro: Horas extras</t>
  </si>
  <si>
    <t>Total de novembro: Horas extras</t>
  </si>
  <si>
    <t>Total de dezembro: Horas extras</t>
  </si>
  <si>
    <t>Semana 2</t>
  </si>
  <si>
    <t xml:space="preserve">Horas extras </t>
  </si>
  <si>
    <t>Totais acumulados no ano:</t>
  </si>
  <si>
    <t>Horas normais:</t>
  </si>
  <si>
    <t>Semana 3</t>
  </si>
  <si>
    <t xml:space="preserve">Horas extras  </t>
  </si>
  <si>
    <t>Horas extras:</t>
  </si>
  <si>
    <t>Semana 4</t>
  </si>
  <si>
    <t xml:space="preserve">Horas extras   </t>
  </si>
  <si>
    <t>Total:</t>
  </si>
  <si>
    <t>Semana 5</t>
  </si>
  <si>
    <t xml:space="preserve">Horas extras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</si>
</sst>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0"/>
      <name val="Arial"/>
    </font>
    <font>
      <sz val="8"/>
      <name val="Arial"/>
      <family val="2"/>
    </font>
    <font>
      <sz val="9"/>
      <name val="Century Gothic"/>
      <family val="2"/>
      <scheme val="minor"/>
    </font>
    <font>
      <b/>
      <sz val="9"/>
      <name val="Century Gothic"/>
      <family val="2"/>
      <scheme val="minor"/>
    </font>
    <font>
      <sz val="14"/>
      <color indexed="9"/>
      <name val="Century Gothic"/>
      <family val="2"/>
      <scheme val="minor"/>
    </font>
    <font>
      <sz val="14"/>
      <name val="Century Gothic"/>
      <family val="2"/>
      <scheme val="minor"/>
    </font>
    <font>
      <sz val="26"/>
      <name val="Century Gothic"/>
      <family val="2"/>
      <scheme val="major"/>
    </font>
    <font>
      <b/>
      <sz val="11"/>
      <name val="Century Gothic"/>
      <family val="2"/>
      <scheme val="major"/>
    </font>
    <font>
      <b/>
      <sz val="9"/>
      <name val="Century Gothic"/>
      <family val="2"/>
      <scheme val="major"/>
    </font>
    <font>
      <b/>
      <sz val="14"/>
      <color theme="0"/>
      <name val="Century Gothic"/>
      <family val="2"/>
      <scheme val="major"/>
    </font>
    <font>
      <sz val="11"/>
      <color theme="0"/>
      <name val="Century Gothic"/>
      <family val="2"/>
      <scheme val="major"/>
    </font>
    <font>
      <b/>
      <sz val="9"/>
      <color theme="0"/>
      <name val="Century Gothic"/>
      <family val="2"/>
      <scheme val="minor"/>
    </font>
    <font>
      <sz val="14"/>
      <color theme="0"/>
      <name val="Century Gothic"/>
      <family val="2"/>
      <scheme val="major"/>
    </font>
  </fonts>
  <fills count="7">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1" tint="0.34998626667073579"/>
        <bgColor indexed="64"/>
      </patternFill>
    </fill>
  </fills>
  <borders count="12">
    <border>
      <left/>
      <right/>
      <top/>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s>
  <cellStyleXfs count="1">
    <xf numFmtId="0" fontId="0" fillId="0" borderId="0"/>
  </cellStyleXfs>
  <cellXfs count="30">
    <xf numFmtId="0" fontId="0" fillId="0" borderId="0" xfId="0"/>
    <xf numFmtId="0" fontId="2" fillId="2" borderId="0" xfId="0" applyFont="1" applyFill="1"/>
    <xf numFmtId="0" fontId="2" fillId="2" borderId="0" xfId="0" applyFont="1" applyFill="1" applyAlignment="1">
      <alignment horizontal="left"/>
    </xf>
    <xf numFmtId="0" fontId="2" fillId="2" borderId="0" xfId="0" applyFont="1" applyFill="1" applyAlignment="1">
      <alignment horizontal="left" indent="3"/>
    </xf>
    <xf numFmtId="0" fontId="2" fillId="2" borderId="0" xfId="0" applyFont="1" applyFill="1" applyAlignment="1">
      <alignment horizontal="right"/>
    </xf>
    <xf numFmtId="0" fontId="3" fillId="2" borderId="0" xfId="0" applyFont="1" applyFill="1" applyAlignment="1">
      <alignment horizontal="left"/>
    </xf>
    <xf numFmtId="0" fontId="4" fillId="2" borderId="0" xfId="0" applyFont="1" applyFill="1" applyAlignment="1">
      <alignment vertical="center"/>
    </xf>
    <xf numFmtId="0" fontId="5" fillId="2" borderId="0" xfId="0" applyFont="1" applyFill="1" applyAlignment="1">
      <alignment vertical="center"/>
    </xf>
    <xf numFmtId="0" fontId="2" fillId="2" borderId="1" xfId="0" applyFont="1" applyFill="1" applyBorder="1" applyAlignment="1">
      <alignment horizontal="left"/>
    </xf>
    <xf numFmtId="0" fontId="2" fillId="2" borderId="2" xfId="0" applyFont="1" applyFill="1" applyBorder="1" applyAlignment="1">
      <alignment horizontal="left"/>
    </xf>
    <xf numFmtId="0" fontId="3" fillId="3" borderId="3" xfId="0" applyFont="1" applyFill="1" applyBorder="1" applyAlignment="1">
      <alignment horizontal="left"/>
    </xf>
    <xf numFmtId="0" fontId="2" fillId="0" borderId="3" xfId="0" applyFont="1" applyBorder="1" applyAlignment="1">
      <alignment horizontal="right"/>
    </xf>
    <xf numFmtId="0" fontId="2" fillId="4" borderId="3" xfId="0" applyFont="1" applyFill="1" applyBorder="1" applyAlignment="1">
      <alignment horizontal="right"/>
    </xf>
    <xf numFmtId="0" fontId="3" fillId="3" borderId="3" xfId="0" applyFont="1" applyFill="1" applyBorder="1" applyAlignment="1">
      <alignment horizontal="right"/>
    </xf>
    <xf numFmtId="0" fontId="11" fillId="6" borderId="3" xfId="0" applyFont="1" applyFill="1" applyBorder="1" applyAlignment="1">
      <alignment horizontal="left"/>
    </xf>
    <xf numFmtId="0" fontId="2" fillId="3" borderId="4" xfId="0" applyFont="1" applyFill="1" applyBorder="1" applyAlignment="1">
      <alignment horizontal="left"/>
    </xf>
    <xf numFmtId="0" fontId="2" fillId="4" borderId="5" xfId="0" applyFont="1" applyFill="1" applyBorder="1" applyAlignment="1">
      <alignment horizontal="right"/>
    </xf>
    <xf numFmtId="0" fontId="7" fillId="5" borderId="6" xfId="0" applyFont="1" applyFill="1" applyBorder="1" applyAlignment="1">
      <alignment horizontal="left"/>
    </xf>
    <xf numFmtId="0" fontId="8" fillId="5" borderId="7" xfId="0" applyFont="1" applyFill="1" applyBorder="1" applyAlignment="1">
      <alignment horizontal="center"/>
    </xf>
    <xf numFmtId="0" fontId="8" fillId="5" borderId="8" xfId="0" applyFont="1" applyFill="1" applyBorder="1" applyAlignment="1">
      <alignment horizontal="center"/>
    </xf>
    <xf numFmtId="0" fontId="3" fillId="3" borderId="9" xfId="0" applyFont="1" applyFill="1" applyBorder="1" applyAlignment="1">
      <alignment horizontal="left"/>
    </xf>
    <xf numFmtId="0" fontId="2" fillId="0" borderId="10" xfId="0" applyFont="1" applyBorder="1" applyAlignment="1">
      <alignment horizontal="right"/>
    </xf>
    <xf numFmtId="0" fontId="2" fillId="4" borderId="10" xfId="0" applyFont="1" applyFill="1" applyBorder="1" applyAlignment="1">
      <alignment horizontal="right"/>
    </xf>
    <xf numFmtId="0" fontId="2" fillId="4" borderId="11" xfId="0" applyFont="1" applyFill="1" applyBorder="1" applyAlignment="1">
      <alignment horizontal="right"/>
    </xf>
    <xf numFmtId="0" fontId="2" fillId="2" borderId="0" xfId="0" applyFont="1" applyFill="1" applyAlignment="1">
      <alignment horizontal="right" vertical="center"/>
    </xf>
    <xf numFmtId="0" fontId="11" fillId="6" borderId="3" xfId="0" applyFont="1" applyFill="1" applyBorder="1" applyAlignment="1">
      <alignment horizontal="left"/>
    </xf>
    <xf numFmtId="0" fontId="6" fillId="2" borderId="0" xfId="0" applyFont="1" applyFill="1" applyAlignment="1">
      <alignment vertical="center"/>
    </xf>
    <xf numFmtId="0" fontId="9" fillId="6" borderId="3" xfId="0" applyFont="1" applyFill="1" applyBorder="1" applyAlignment="1">
      <alignment horizontal="left" vertical="center"/>
    </xf>
    <xf numFmtId="0" fontId="12" fillId="6" borderId="3" xfId="0" applyFont="1" applyFill="1" applyBorder="1" applyAlignment="1">
      <alignment horizontal="left" vertical="center"/>
    </xf>
    <xf numFmtId="0" fontId="2" fillId="2" borderId="0" xfId="0" applyFont="1" applyFill="1" applyAlignment="1">
      <alignment vertical="center"/>
    </xf>
  </cellXfs>
  <cellStyles count="1">
    <cellStyle name="Normal" xfId="0" builtinId="0"/>
  </cellStyles>
  <dxfs count="209">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family val="2"/>
        <scheme val="minor"/>
      </font>
      <alignment horizontal="righ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9"/>
        <color auto="1"/>
        <name val="Century Gothic"/>
        <scheme val="major"/>
      </font>
      <numFmt numFmtId="0" formatCode="General"/>
      <fill>
        <patternFill patternType="solid">
          <fgColor indexed="64"/>
          <bgColor theme="6" tint="0.5999938962981048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9"/>
        <color auto="1"/>
        <name val="Century Gothic"/>
        <scheme val="major"/>
      </font>
      <numFmt numFmtId="0" formatCode="General"/>
      <fill>
        <patternFill patternType="solid">
          <fgColor indexed="64"/>
          <bgColor theme="6" tint="0.5999938962981048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9"/>
        <color auto="1"/>
        <name val="Century Gothic"/>
        <scheme val="major"/>
      </font>
      <numFmt numFmtId="0" formatCode="General"/>
      <fill>
        <patternFill patternType="solid">
          <fgColor indexed="64"/>
          <bgColor theme="6" tint="0.5999938962981048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9"/>
        <color auto="1"/>
        <name val="Century Gothic"/>
        <scheme val="major"/>
      </font>
      <numFmt numFmtId="0" formatCode="General"/>
      <fill>
        <patternFill patternType="solid">
          <fgColor indexed="64"/>
          <bgColor theme="6" tint="0.5999938962981048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9"/>
        <color auto="1"/>
        <name val="Century Gothic"/>
        <scheme val="major"/>
      </font>
      <numFmt numFmtId="0" formatCode="General"/>
      <fill>
        <patternFill patternType="solid">
          <fgColor indexed="64"/>
          <bgColor theme="6" tint="0.5999938962981048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9"/>
        <color auto="1"/>
        <name val="Century Gothic"/>
        <scheme val="major"/>
      </font>
      <numFmt numFmtId="0" formatCode="General"/>
      <fill>
        <patternFill patternType="solid">
          <fgColor indexed="64"/>
          <bgColor theme="6" tint="0.5999938962981048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9"/>
        <color auto="1"/>
        <name val="Century Gothic"/>
        <scheme val="major"/>
      </font>
      <numFmt numFmtId="0" formatCode="General"/>
      <fill>
        <patternFill patternType="solid">
          <fgColor indexed="64"/>
          <bgColor theme="6" tint="0.5999938962981048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9"/>
        <color auto="1"/>
        <name val="Century Gothic"/>
        <scheme val="major"/>
      </font>
      <numFmt numFmtId="0" formatCode="General"/>
      <fill>
        <patternFill patternType="solid">
          <fgColor indexed="64"/>
          <bgColor theme="6" tint="0.5999938962981048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9"/>
        <color auto="1"/>
        <name val="Century Gothic"/>
        <scheme val="major"/>
      </font>
      <numFmt numFmtId="0" formatCode="General"/>
      <fill>
        <patternFill patternType="solid">
          <fgColor indexed="64"/>
          <bgColor theme="6" tint="0.5999938962981048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9"/>
        <color auto="1"/>
        <name val="Century Gothic"/>
        <scheme val="major"/>
      </font>
      <numFmt numFmtId="0" formatCode="General"/>
      <fill>
        <patternFill patternType="solid">
          <fgColor indexed="64"/>
          <bgColor theme="6" tint="0.5999938962981048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9"/>
        <color auto="1"/>
        <name val="Century Gothic"/>
        <scheme val="major"/>
      </font>
      <numFmt numFmtId="0" formatCode="General"/>
      <fill>
        <patternFill patternType="solid">
          <fgColor indexed="64"/>
          <bgColor theme="6" tint="0.5999938962981048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9"/>
        <color auto="1"/>
        <name val="Century Gothic"/>
        <scheme val="minor"/>
      </font>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theme="0" tint="-0.24994659260841701"/>
        </left>
        <right/>
        <top style="thin">
          <color theme="0" tint="-0.24994659260841701"/>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numFmt numFmtId="0" formatCode="General"/>
      <fill>
        <patternFill patternType="solid">
          <fgColor indexed="64"/>
          <bgColor theme="6" tint="0.79998168889431442"/>
        </patternFill>
      </fill>
      <alignment horizontal="righ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9"/>
        <color auto="1"/>
        <name val="Century Gothic"/>
        <scheme val="minor"/>
      </font>
      <numFmt numFmtId="0" formatCode="General"/>
      <fill>
        <patternFill patternType="none">
          <fgColor indexed="64"/>
          <bgColor auto="1"/>
        </patternFill>
      </fill>
      <alignment horizontal="righ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b/>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9"/>
        <color auto="1"/>
        <name val="Century Gothic"/>
        <scheme val="minor"/>
      </font>
      <fill>
        <patternFill patternType="solid">
          <fgColor indexed="64"/>
          <bgColor theme="0" tint="-4.9989318521683403E-2"/>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9"/>
        <color auto="1"/>
        <name val="Century Gothic"/>
        <scheme val="major"/>
      </font>
      <numFmt numFmtId="0" formatCode="General"/>
      <fill>
        <patternFill patternType="solid">
          <fgColor indexed="64"/>
          <bgColor theme="6" tint="0.5999938962981048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6"/>
          <bgColor theme="6"/>
        </patternFill>
      </fill>
    </dxf>
    <dxf>
      <font>
        <b val="0"/>
        <i val="0"/>
        <color theme="1"/>
      </font>
      <fill>
        <patternFill patternType="solid">
          <fgColor theme="6"/>
          <bgColor theme="6"/>
        </patternFill>
      </fill>
    </dxf>
    <dxf>
      <font>
        <b/>
        <i val="0"/>
      </font>
      <fill>
        <patternFill>
          <bgColor theme="0" tint="-4.9989318521683403E-2"/>
        </patternFill>
      </fill>
      <border>
        <top style="double">
          <color theme="1"/>
        </top>
      </border>
    </dxf>
    <dxf>
      <font>
        <b/>
        <i val="0"/>
        <color theme="1"/>
      </font>
      <fill>
        <patternFill patternType="solid">
          <fgColor theme="6"/>
          <bgColor theme="6"/>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Mês" pivot="0" count="7" xr9:uid="{00000000-0011-0000-FFFF-FFFF00000000}">
      <tableStyleElement type="wholeTable" dxfId="208"/>
      <tableStyleElement type="headerRow" dxfId="207"/>
      <tableStyleElement type="totalRow" dxfId="206"/>
      <tableStyleElement type="firstColumn" dxfId="205"/>
      <tableStyleElement type="lastColumn" dxfId="204"/>
      <tableStyleElement type="firstRowStripe" dxfId="203"/>
      <tableStyleElement type="firstColumnStripe" dxfId="20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6896CE"/>
      <rgbColor rgb="00FFFF00"/>
      <rgbColor rgb="00FF00FF"/>
      <rgbColor rgb="0000FFFF"/>
      <rgbColor rgb="00800000"/>
      <rgbColor rgb="00547D92"/>
      <rgbColor rgb="00C2D5E0"/>
      <rgbColor rgb="0037525F"/>
      <rgbColor rgb="00BCBCBC"/>
      <rgbColor rgb="00008080"/>
      <rgbColor rgb="00E0E0E0"/>
      <rgbColor rgb="0096969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FEFCF2"/>
      <rgbColor rgb="00CCFFCC"/>
      <rgbColor rgb="00FFE7BD"/>
      <rgbColor rgb="00FCFAF2"/>
      <rgbColor rgb="00FF99CC"/>
      <rgbColor rgb="00EAEAEA"/>
      <rgbColor rgb="00FDF7DF"/>
      <rgbColor rgb="003366FF"/>
      <rgbColor rgb="0033CCCC"/>
      <rgbColor rgb="0099CC00"/>
      <rgbColor rgb="00FFCC00"/>
      <rgbColor rgb="00FF9900"/>
      <rgbColor rgb="00FF6600"/>
      <rgbColor rgb="00FBF8EF"/>
      <rgbColor rgb="00CFCFCF"/>
      <rgbColor rgb="00748EA8"/>
      <rgbColor rgb="00339966"/>
      <rgbColor rgb="00739ED3"/>
      <rgbColor rgb="00ECF5D7"/>
      <rgbColor rgb="00993300"/>
      <rgbColor rgb="00993366"/>
      <rgbColor rgb="00F1F6F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Janeiro" displayName="Janeiro" ref="B7:L15" totalsRowCount="1" headerRowDxfId="201" headerRowBorderDxfId="200" tableBorderDxfId="199" totalsRowBorderDxfId="198">
  <autoFilter ref="B7:L14"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000-000001000000}" name="Janeiro" totalsRowLabel="Total de horas semanal" dataDxfId="197" totalsRowDxfId="196"/>
    <tableColumn id="3" xr3:uid="{00000000-0010-0000-0000-000003000000}" name="Semana 1" totalsRowFunction="sum" totalsRowDxfId="195"/>
    <tableColumn id="4" xr3:uid="{00000000-0010-0000-0000-000004000000}" name="Horas extras" totalsRowFunction="sum" dataDxfId="194" totalsRowDxfId="193"/>
    <tableColumn id="5" xr3:uid="{00000000-0010-0000-0000-000005000000}" name="Semana 2" totalsRowFunction="sum" dataDxfId="192" totalsRowDxfId="191"/>
    <tableColumn id="6" xr3:uid="{00000000-0010-0000-0000-000006000000}" name="Horas extras " totalsRowFunction="sum" dataDxfId="190" totalsRowDxfId="189"/>
    <tableColumn id="7" xr3:uid="{00000000-0010-0000-0000-000007000000}" name="Semana 3" totalsRowFunction="sum" dataDxfId="188" totalsRowDxfId="187"/>
    <tableColumn id="8" xr3:uid="{00000000-0010-0000-0000-000008000000}" name="Horas extras  " totalsRowFunction="sum" dataDxfId="186" totalsRowDxfId="185"/>
    <tableColumn id="9" xr3:uid="{00000000-0010-0000-0000-000009000000}" name="Semana 4" totalsRowFunction="sum" dataDxfId="184" totalsRowDxfId="183"/>
    <tableColumn id="10" xr3:uid="{00000000-0010-0000-0000-00000A000000}" name="Horas extras   " totalsRowFunction="sum" dataDxfId="182" totalsRowDxfId="181"/>
    <tableColumn id="11" xr3:uid="{00000000-0010-0000-0000-00000B000000}" name="Semana 5" totalsRowFunction="sum" dataDxfId="180" totalsRowDxfId="179"/>
    <tableColumn id="12" xr3:uid="{00000000-0010-0000-0000-00000C000000}" name="Horas extras    " totalsRowFunction="sum" dataDxfId="178" totalsRowDxfId="177"/>
  </tableColumns>
  <tableStyleInfo name="Mês" showFirstColumn="1" showLastColumn="0" showRowStripes="0" showColumnStripes="0"/>
  <extLst>
    <ext xmlns:x14="http://schemas.microsoft.com/office/spreadsheetml/2009/9/main" uri="{504A1905-F514-4f6f-8877-14C23A59335A}">
      <x14:table altTextSummary="Insira as horas normais e extras da Semana 1, 2, 3, 4 e 5 do mês de janeiro nesta tabela. O Total de horas semanal serão calculados automaticament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Fevereiro" displayName="Fevereiro" ref="B18:L26" totalsRowCount="1" headerRowDxfId="176" headerRowBorderDxfId="175" tableBorderDxfId="174" totalsRowBorderDxfId="173">
  <autoFilter ref="B18:L25"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100-000001000000}" name="Fevereiro" totalsRowLabel="Total de horas semanal" dataDxfId="172" totalsRowDxfId="171"/>
    <tableColumn id="2" xr3:uid="{00000000-0010-0000-0100-000002000000}" name="Semana 1" totalsRowFunction="sum" dataDxfId="170"/>
    <tableColumn id="3" xr3:uid="{00000000-0010-0000-0100-000003000000}" name="Horas extras" totalsRowFunction="sum" dataDxfId="169"/>
    <tableColumn id="4" xr3:uid="{00000000-0010-0000-0100-000004000000}" name="Semana 2" totalsRowFunction="sum" dataDxfId="168"/>
    <tableColumn id="5" xr3:uid="{00000000-0010-0000-0100-000005000000}" name="Horas extras " totalsRowFunction="sum" dataDxfId="167"/>
    <tableColumn id="6" xr3:uid="{00000000-0010-0000-0100-000006000000}" name="Semana 3" totalsRowFunction="sum" dataDxfId="166"/>
    <tableColumn id="7" xr3:uid="{00000000-0010-0000-0100-000007000000}" name="Horas extras  " totalsRowFunction="sum" dataDxfId="165"/>
    <tableColumn id="8" xr3:uid="{00000000-0010-0000-0100-000008000000}" name="Semana 4" totalsRowFunction="sum" dataDxfId="164"/>
    <tableColumn id="9" xr3:uid="{00000000-0010-0000-0100-000009000000}" name="Horas extras   " totalsRowFunction="sum" dataDxfId="163"/>
    <tableColumn id="10" xr3:uid="{00000000-0010-0000-0100-00000A000000}" name="Semana 5" totalsRowFunction="sum" dataDxfId="162"/>
    <tableColumn id="11" xr3:uid="{00000000-0010-0000-0100-00000B000000}" name="Horas extras    " totalsRowFunction="sum" dataDxfId="161"/>
  </tableColumns>
  <tableStyleInfo name="Mês" showFirstColumn="1" showLastColumn="0" showRowStripes="0" showColumnStripes="0"/>
  <extLst>
    <ext xmlns:x14="http://schemas.microsoft.com/office/spreadsheetml/2009/9/main" uri="{504A1905-F514-4f6f-8877-14C23A59335A}">
      <x14:table altTextSummary="Insira as horas normais e extras da Semana 1, 2, 3, 4 e 5 do mês de fevereiro nesta tabela. O Total de horas semanal serão calculados automaticamente"/>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arço" displayName="Março" ref="B29:L37" totalsRowCount="1" headerRowDxfId="160" headerRowBorderDxfId="159" tableBorderDxfId="158" totalsRowBorderDxfId="157">
  <autoFilter ref="B29:L36"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200-000001000000}" name="Março" totalsRowLabel="Total de horas semanal" dataDxfId="156" totalsRowDxfId="155"/>
    <tableColumn id="2" xr3:uid="{00000000-0010-0000-0200-000002000000}" name="Semana 1" totalsRowFunction="sum" dataDxfId="154"/>
    <tableColumn id="3" xr3:uid="{00000000-0010-0000-0200-000003000000}" name="Horas extras" totalsRowFunction="sum" dataDxfId="153"/>
    <tableColumn id="4" xr3:uid="{00000000-0010-0000-0200-000004000000}" name="Semana 2" totalsRowFunction="sum" dataDxfId="152"/>
    <tableColumn id="5" xr3:uid="{00000000-0010-0000-0200-000005000000}" name="Horas extras " totalsRowFunction="sum" dataDxfId="151"/>
    <tableColumn id="6" xr3:uid="{00000000-0010-0000-0200-000006000000}" name="Semana 3" totalsRowFunction="sum" dataDxfId="150"/>
    <tableColumn id="7" xr3:uid="{00000000-0010-0000-0200-000007000000}" name="Horas extras  " totalsRowFunction="sum" dataDxfId="149"/>
    <tableColumn id="8" xr3:uid="{00000000-0010-0000-0200-000008000000}" name="Semana 4" totalsRowFunction="sum" dataDxfId="148"/>
    <tableColumn id="9" xr3:uid="{00000000-0010-0000-0200-000009000000}" name="Horas extras   " totalsRowFunction="sum" dataDxfId="147"/>
    <tableColumn id="10" xr3:uid="{00000000-0010-0000-0200-00000A000000}" name="Semana 5" totalsRowFunction="sum" dataDxfId="146"/>
    <tableColumn id="11" xr3:uid="{00000000-0010-0000-0200-00000B000000}" name="Horas extras    " totalsRowFunction="sum" dataDxfId="145"/>
  </tableColumns>
  <tableStyleInfo name="Mês" showFirstColumn="1" showLastColumn="0" showRowStripes="0" showColumnStripes="0"/>
  <extLst>
    <ext xmlns:x14="http://schemas.microsoft.com/office/spreadsheetml/2009/9/main" uri="{504A1905-F514-4f6f-8877-14C23A59335A}">
      <x14:table altTextSummary="Insira as horas normais e extras da Semana 1, 2, 3, 4 e 5 do mês de março nesta tabela. O Total de horas semanal serão calculados automaticamente"/>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Abril" displayName="Abril" ref="B41:L49" totalsRowCount="1" headerRowDxfId="144" headerRowBorderDxfId="143" tableBorderDxfId="142" totalsRowBorderDxfId="141">
  <autoFilter ref="B41:L48"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300-000001000000}" name="Abril" totalsRowLabel="Total de horas semanal" dataDxfId="140" totalsRowDxfId="139"/>
    <tableColumn id="2" xr3:uid="{00000000-0010-0000-0300-000002000000}" name="Semana 1" totalsRowFunction="sum" dataDxfId="138"/>
    <tableColumn id="3" xr3:uid="{00000000-0010-0000-0300-000003000000}" name="Horas extras" totalsRowFunction="sum" dataDxfId="137"/>
    <tableColumn id="4" xr3:uid="{00000000-0010-0000-0300-000004000000}" name="Semana 2" totalsRowFunction="sum" dataDxfId="136"/>
    <tableColumn id="5" xr3:uid="{00000000-0010-0000-0300-000005000000}" name="Horas extras " totalsRowFunction="sum" dataDxfId="135"/>
    <tableColumn id="6" xr3:uid="{00000000-0010-0000-0300-000006000000}" name="Semana 3" totalsRowFunction="sum" dataDxfId="134"/>
    <tableColumn id="7" xr3:uid="{00000000-0010-0000-0300-000007000000}" name="Horas extras  " totalsRowFunction="sum" dataDxfId="133"/>
    <tableColumn id="8" xr3:uid="{00000000-0010-0000-0300-000008000000}" name="Semana 4" totalsRowFunction="sum" dataDxfId="132"/>
    <tableColumn id="9" xr3:uid="{00000000-0010-0000-0300-000009000000}" name="Horas extras   " totalsRowFunction="sum" dataDxfId="131"/>
    <tableColumn id="10" xr3:uid="{00000000-0010-0000-0300-00000A000000}" name="Semana 5" totalsRowFunction="sum" dataDxfId="130"/>
    <tableColumn id="11" xr3:uid="{00000000-0010-0000-0300-00000B000000}" name="Horas extras    " totalsRowFunction="sum" dataDxfId="129"/>
  </tableColumns>
  <tableStyleInfo name="Mês" showFirstColumn="1" showLastColumn="0" showRowStripes="0" showColumnStripes="0"/>
  <extLst>
    <ext xmlns:x14="http://schemas.microsoft.com/office/spreadsheetml/2009/9/main" uri="{504A1905-F514-4f6f-8877-14C23A59335A}">
      <x14:table altTextSummary="Insira as horas normais e extras da Semana 1, 2, 3, 4 e 5 do mês de abril nesta tabela. O Total de horas semanal serão calculados automaticament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Maio" displayName="Maio" ref="B52:L60" totalsRowCount="1" headerRowDxfId="128" headerRowBorderDxfId="127" tableBorderDxfId="126" totalsRowBorderDxfId="125">
  <autoFilter ref="B52:L59"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400-000001000000}" name="Maio" totalsRowLabel="Total de horas semanal" dataDxfId="124" totalsRowDxfId="123"/>
    <tableColumn id="2" xr3:uid="{00000000-0010-0000-0400-000002000000}" name="Semana 1" totalsRowFunction="sum" dataDxfId="122"/>
    <tableColumn id="3" xr3:uid="{00000000-0010-0000-0400-000003000000}" name="Horas extras" totalsRowFunction="sum" dataDxfId="121"/>
    <tableColumn id="4" xr3:uid="{00000000-0010-0000-0400-000004000000}" name="Semana 2" totalsRowFunction="sum" dataDxfId="120"/>
    <tableColumn id="5" xr3:uid="{00000000-0010-0000-0400-000005000000}" name="Horas extras " totalsRowFunction="sum" dataDxfId="119"/>
    <tableColumn id="6" xr3:uid="{00000000-0010-0000-0400-000006000000}" name="Semana 3" totalsRowFunction="sum" dataDxfId="118"/>
    <tableColumn id="7" xr3:uid="{00000000-0010-0000-0400-000007000000}" name="Horas extras  " totalsRowFunction="sum" dataDxfId="117"/>
    <tableColumn id="8" xr3:uid="{00000000-0010-0000-0400-000008000000}" name="Semana 4" totalsRowFunction="sum" dataDxfId="116"/>
    <tableColumn id="9" xr3:uid="{00000000-0010-0000-0400-000009000000}" name="Horas extras   " totalsRowFunction="sum" dataDxfId="115"/>
    <tableColumn id="10" xr3:uid="{00000000-0010-0000-0400-00000A000000}" name="Semana 5" totalsRowFunction="sum" dataDxfId="114"/>
    <tableColumn id="11" xr3:uid="{00000000-0010-0000-0400-00000B000000}" name="Horas extras    " totalsRowFunction="sum" dataDxfId="113"/>
  </tableColumns>
  <tableStyleInfo name="Mês" showFirstColumn="1" showLastColumn="0" showRowStripes="0" showColumnStripes="0"/>
  <extLst>
    <ext xmlns:x14="http://schemas.microsoft.com/office/spreadsheetml/2009/9/main" uri="{504A1905-F514-4f6f-8877-14C23A59335A}">
      <x14:table altTextSummary="Insira as horas normais e extras da Semana 1, 2, 3, 4 e 5 do mês de maio nesta tabela. O Total de horas semanal serão calculados automaticamente"/>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Junho" displayName="Junho" ref="B63:L71" totalsRowCount="1" headerRowDxfId="112" headerRowBorderDxfId="111" tableBorderDxfId="110" totalsRowBorderDxfId="109">
  <autoFilter ref="B63:L70" xr:uid="{00000000-0009-0000-0100-000007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500-000001000000}" name="Junho" totalsRowLabel="Total de horas semanal" dataDxfId="108" totalsRowDxfId="107"/>
    <tableColumn id="2" xr3:uid="{00000000-0010-0000-0500-000002000000}" name="Semana 1" totalsRowFunction="sum" dataDxfId="106"/>
    <tableColumn id="3" xr3:uid="{00000000-0010-0000-0500-000003000000}" name="Horas extras" totalsRowFunction="sum" dataDxfId="105"/>
    <tableColumn id="4" xr3:uid="{00000000-0010-0000-0500-000004000000}" name="Semana 2" totalsRowFunction="sum" dataDxfId="104"/>
    <tableColumn id="5" xr3:uid="{00000000-0010-0000-0500-000005000000}" name="Horas extras " totalsRowFunction="sum" dataDxfId="103"/>
    <tableColumn id="6" xr3:uid="{00000000-0010-0000-0500-000006000000}" name="Semana 3" totalsRowFunction="sum" dataDxfId="102"/>
    <tableColumn id="7" xr3:uid="{00000000-0010-0000-0500-000007000000}" name="Horas extras  " totalsRowFunction="sum" dataDxfId="101"/>
    <tableColumn id="8" xr3:uid="{00000000-0010-0000-0500-000008000000}" name="Semana 4" totalsRowFunction="sum" dataDxfId="100"/>
    <tableColumn id="9" xr3:uid="{00000000-0010-0000-0500-000009000000}" name="Horas extras   " totalsRowFunction="sum" dataDxfId="99"/>
    <tableColumn id="10" xr3:uid="{00000000-0010-0000-0500-00000A000000}" name="Semana 5" totalsRowFunction="sum" dataDxfId="98"/>
    <tableColumn id="11" xr3:uid="{00000000-0010-0000-0500-00000B000000}" name="Horas extras    " totalsRowFunction="sum" dataDxfId="97"/>
  </tableColumns>
  <tableStyleInfo name="Mês" showFirstColumn="1" showLastColumn="0" showRowStripes="0" showColumnStripes="0"/>
  <extLst>
    <ext xmlns:x14="http://schemas.microsoft.com/office/spreadsheetml/2009/9/main" uri="{504A1905-F514-4f6f-8877-14C23A59335A}">
      <x14:table altTextSummary="Insira as horas normais e extras da Semana 1, 2, 3, 4 e 5 do mês de junho nesta tabela. O Total de horas semanal serão calculados automaticamente"/>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Julho" displayName="Julho" ref="B75:L83" totalsRowCount="1" headerRowDxfId="96" headerRowBorderDxfId="95" tableBorderDxfId="94" totalsRowBorderDxfId="93">
  <autoFilter ref="B75:L82"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600-000001000000}" name="Julho" totalsRowLabel="Total de horas semanal" dataDxfId="92" totalsRowDxfId="91"/>
    <tableColumn id="2" xr3:uid="{00000000-0010-0000-0600-000002000000}" name="Semana 1" totalsRowFunction="sum" dataDxfId="90"/>
    <tableColumn id="3" xr3:uid="{00000000-0010-0000-0600-000003000000}" name="Horas extras" totalsRowFunction="sum" dataDxfId="89"/>
    <tableColumn id="4" xr3:uid="{00000000-0010-0000-0600-000004000000}" name="Semana 2" totalsRowFunction="sum" dataDxfId="88"/>
    <tableColumn id="5" xr3:uid="{00000000-0010-0000-0600-000005000000}" name="Horas extras " totalsRowFunction="sum" dataDxfId="87"/>
    <tableColumn id="6" xr3:uid="{00000000-0010-0000-0600-000006000000}" name="Semana 3" totalsRowFunction="sum" dataDxfId="86"/>
    <tableColumn id="7" xr3:uid="{00000000-0010-0000-0600-000007000000}" name="Horas extras  " totalsRowFunction="sum" dataDxfId="85"/>
    <tableColumn id="8" xr3:uid="{00000000-0010-0000-0600-000008000000}" name="Semana 4" totalsRowFunction="sum" dataDxfId="84"/>
    <tableColumn id="9" xr3:uid="{00000000-0010-0000-0600-000009000000}" name="Horas extras   " totalsRowFunction="sum" dataDxfId="83"/>
    <tableColumn id="10" xr3:uid="{00000000-0010-0000-0600-00000A000000}" name="Semana 5" totalsRowFunction="sum" dataDxfId="82"/>
    <tableColumn id="11" xr3:uid="{00000000-0010-0000-0600-00000B000000}" name="Horas extras    " totalsRowFunction="sum" dataDxfId="81"/>
  </tableColumns>
  <tableStyleInfo name="Mês" showFirstColumn="1" showLastColumn="0" showRowStripes="0" showColumnStripes="0"/>
  <extLst>
    <ext xmlns:x14="http://schemas.microsoft.com/office/spreadsheetml/2009/9/main" uri="{504A1905-F514-4f6f-8877-14C23A59335A}">
      <x14:table altTextSummary="Insira as horas normais e extras da Semana 1, 2, 3, 4 e 5 do mês de julho nesta tabela. O Total de horas semanal serão calculados automaticamente"/>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Agosto" displayName="Agosto" ref="B86:L94" totalsRowCount="1" headerRowDxfId="80" headerRowBorderDxfId="79" tableBorderDxfId="78" totalsRowBorderDxfId="77">
  <autoFilter ref="B86:L93" xr:uid="{00000000-0009-0000-0100-000009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700-000001000000}" name="Agosto" totalsRowLabel="Total de horas semanal" dataDxfId="76" totalsRowDxfId="75"/>
    <tableColumn id="2" xr3:uid="{00000000-0010-0000-0700-000002000000}" name="Semana 1" totalsRowFunction="sum" dataDxfId="74"/>
    <tableColumn id="3" xr3:uid="{00000000-0010-0000-0700-000003000000}" name="Horas extras" totalsRowFunction="sum" dataDxfId="73"/>
    <tableColumn id="4" xr3:uid="{00000000-0010-0000-0700-000004000000}" name="Semana 2" totalsRowFunction="sum" dataDxfId="72"/>
    <tableColumn id="5" xr3:uid="{00000000-0010-0000-0700-000005000000}" name="Horas extras " totalsRowFunction="sum" dataDxfId="71"/>
    <tableColumn id="6" xr3:uid="{00000000-0010-0000-0700-000006000000}" name="Semana 3" totalsRowFunction="sum" dataDxfId="70"/>
    <tableColumn id="7" xr3:uid="{00000000-0010-0000-0700-000007000000}" name="Horas extras  " totalsRowFunction="sum" dataDxfId="69"/>
    <tableColumn id="8" xr3:uid="{00000000-0010-0000-0700-000008000000}" name="Semana 4" totalsRowFunction="sum" dataDxfId="68"/>
    <tableColumn id="9" xr3:uid="{00000000-0010-0000-0700-000009000000}" name="Horas extras   " totalsRowFunction="sum" dataDxfId="67"/>
    <tableColumn id="10" xr3:uid="{00000000-0010-0000-0700-00000A000000}" name="Semana 5" totalsRowFunction="sum" dataDxfId="66"/>
    <tableColumn id="11" xr3:uid="{00000000-0010-0000-0700-00000B000000}" name="Horas extras    " totalsRowFunction="sum" dataDxfId="65"/>
  </tableColumns>
  <tableStyleInfo name="Mês" showFirstColumn="1" showLastColumn="0" showRowStripes="0" showColumnStripes="0"/>
  <extLst>
    <ext xmlns:x14="http://schemas.microsoft.com/office/spreadsheetml/2009/9/main" uri="{504A1905-F514-4f6f-8877-14C23A59335A}">
      <x14:table altTextSummary="Insira as horas normais e extras da Semana 1, 2, 3, 4 e 5 do mês de agosto nesta tabela. O Total de horas semanal serão calculados automaticamente"/>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Setembro" displayName="Setembro" ref="B97:L105" totalsRowCount="1" headerRowDxfId="64" headerRowBorderDxfId="63" tableBorderDxfId="62" totalsRowBorderDxfId="61">
  <autoFilter ref="B97:L104"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800-000001000000}" name="Setembro" totalsRowLabel="Total de horas semanal" dataDxfId="60" totalsRowDxfId="59"/>
    <tableColumn id="2" xr3:uid="{00000000-0010-0000-0800-000002000000}" name="Semana 1" totalsRowFunction="sum" dataDxfId="58"/>
    <tableColumn id="3" xr3:uid="{00000000-0010-0000-0800-000003000000}" name="Horas extras" totalsRowFunction="sum" dataDxfId="57"/>
    <tableColumn id="4" xr3:uid="{00000000-0010-0000-0800-000004000000}" name="Semana 2" totalsRowFunction="sum" dataDxfId="56"/>
    <tableColumn id="5" xr3:uid="{00000000-0010-0000-0800-000005000000}" name="Horas extras " totalsRowFunction="sum" dataDxfId="55"/>
    <tableColumn id="6" xr3:uid="{00000000-0010-0000-0800-000006000000}" name="Semana 3" totalsRowFunction="sum" dataDxfId="54"/>
    <tableColumn id="7" xr3:uid="{00000000-0010-0000-0800-000007000000}" name="Horas extras  " totalsRowFunction="sum" dataDxfId="53"/>
    <tableColumn id="8" xr3:uid="{00000000-0010-0000-0800-000008000000}" name="Semana 4" totalsRowFunction="sum" dataDxfId="52"/>
    <tableColumn id="9" xr3:uid="{00000000-0010-0000-0800-000009000000}" name="Horas extras   " totalsRowFunction="sum" dataDxfId="51"/>
    <tableColumn id="10" xr3:uid="{00000000-0010-0000-0800-00000A000000}" name="Semana 5" totalsRowFunction="sum" dataDxfId="50"/>
    <tableColumn id="11" xr3:uid="{00000000-0010-0000-0800-00000B000000}" name="Horas extras    " totalsRowFunction="sum" dataDxfId="49"/>
  </tableColumns>
  <tableStyleInfo name="Mês" showFirstColumn="1" showLastColumn="0" showRowStripes="0" showColumnStripes="0"/>
  <extLst>
    <ext xmlns:x14="http://schemas.microsoft.com/office/spreadsheetml/2009/9/main" uri="{504A1905-F514-4f6f-8877-14C23A59335A}">
      <x14:table altTextSummary="Insira as horas normais e extras da Semana 1, 2, 3, 4 e 5 do mês de setembro nesta tabela. O Total de horas semanal serão calculados automaticamente"/>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Outubro" displayName="Outubro" ref="B109:L117" totalsRowCount="1" headerRowDxfId="48" headerRowBorderDxfId="47" tableBorderDxfId="46" totalsRowBorderDxfId="45">
  <autoFilter ref="B109:L116"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900-000001000000}" name="Outubro" totalsRowLabel="Total de horas semanal" dataDxfId="44" totalsRowDxfId="43"/>
    <tableColumn id="2" xr3:uid="{00000000-0010-0000-0900-000002000000}" name="Semana 1" totalsRowFunction="sum" dataDxfId="42"/>
    <tableColumn id="3" xr3:uid="{00000000-0010-0000-0900-000003000000}" name="Horas extras" totalsRowFunction="sum" dataDxfId="41"/>
    <tableColumn id="4" xr3:uid="{00000000-0010-0000-0900-000004000000}" name="Semana 2" totalsRowFunction="sum" dataDxfId="40"/>
    <tableColumn id="5" xr3:uid="{00000000-0010-0000-0900-000005000000}" name="Horas extras " totalsRowFunction="sum" dataDxfId="39"/>
    <tableColumn id="6" xr3:uid="{00000000-0010-0000-0900-000006000000}" name="Semana 3" totalsRowFunction="sum" dataDxfId="38"/>
    <tableColumn id="7" xr3:uid="{00000000-0010-0000-0900-000007000000}" name="Horas extras  " totalsRowFunction="sum" dataDxfId="37"/>
    <tableColumn id="8" xr3:uid="{00000000-0010-0000-0900-000008000000}" name="Semana 4" totalsRowFunction="sum" dataDxfId="36"/>
    <tableColumn id="9" xr3:uid="{00000000-0010-0000-0900-000009000000}" name="Horas extras   " totalsRowFunction="sum" dataDxfId="35"/>
    <tableColumn id="10" xr3:uid="{00000000-0010-0000-0900-00000A000000}" name="Semana 5" totalsRowFunction="sum" dataDxfId="34"/>
    <tableColumn id="11" xr3:uid="{00000000-0010-0000-0900-00000B000000}" name="Horas extras    " totalsRowFunction="sum" dataDxfId="33"/>
  </tableColumns>
  <tableStyleInfo name="Mês" showFirstColumn="1" showLastColumn="0" showRowStripes="0" showColumnStripes="0"/>
  <extLst>
    <ext xmlns:x14="http://schemas.microsoft.com/office/spreadsheetml/2009/9/main" uri="{504A1905-F514-4f6f-8877-14C23A59335A}">
      <x14:table altTextSummary="Insira as horas normais e extras da Semana 1, 2, 3, 4 e 5 do mês de outubro nesta tabela. O Total de horas semanal serão calculados automaticamente"/>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Novembro" displayName="Novembro" ref="B120:L128" totalsRowCount="1" headerRowDxfId="32" headerRowBorderDxfId="31" tableBorderDxfId="30" totalsRowBorderDxfId="29">
  <autoFilter ref="B120:L127"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A00-000001000000}" name="Novembro" totalsRowLabel="Total de horas semanal" dataDxfId="28" totalsRowDxfId="27"/>
    <tableColumn id="2" xr3:uid="{00000000-0010-0000-0A00-000002000000}" name="Semana 1" totalsRowFunction="sum" dataDxfId="26"/>
    <tableColumn id="3" xr3:uid="{00000000-0010-0000-0A00-000003000000}" name="Horas extras" totalsRowFunction="sum" dataDxfId="25"/>
    <tableColumn id="4" xr3:uid="{00000000-0010-0000-0A00-000004000000}" name="Semana 2" totalsRowFunction="sum" dataDxfId="24"/>
    <tableColumn id="5" xr3:uid="{00000000-0010-0000-0A00-000005000000}" name="Horas extras " totalsRowFunction="sum" dataDxfId="23"/>
    <tableColumn id="6" xr3:uid="{00000000-0010-0000-0A00-000006000000}" name="Semana 3" totalsRowFunction="sum" dataDxfId="22"/>
    <tableColumn id="7" xr3:uid="{00000000-0010-0000-0A00-000007000000}" name="Horas extras  " totalsRowFunction="sum" dataDxfId="21"/>
    <tableColumn id="8" xr3:uid="{00000000-0010-0000-0A00-000008000000}" name="Semana 4" totalsRowFunction="sum" dataDxfId="20"/>
    <tableColumn id="9" xr3:uid="{00000000-0010-0000-0A00-000009000000}" name="Horas extras   " totalsRowFunction="sum" dataDxfId="19"/>
    <tableColumn id="10" xr3:uid="{00000000-0010-0000-0A00-00000A000000}" name="Semana 5" totalsRowFunction="sum" dataDxfId="18"/>
    <tableColumn id="11" xr3:uid="{00000000-0010-0000-0A00-00000B000000}" name="Horas extras    " totalsRowFunction="sum" dataDxfId="17"/>
  </tableColumns>
  <tableStyleInfo name="Mês" showFirstColumn="1" showLastColumn="0" showRowStripes="0" showColumnStripes="0"/>
  <extLst>
    <ext xmlns:x14="http://schemas.microsoft.com/office/spreadsheetml/2009/9/main" uri="{504A1905-F514-4f6f-8877-14C23A59335A}">
      <x14:table altTextSummary="Insira as horas normais e extras da Semana 1, 2, 3, 4 e 5 do mês de novembro nesta tabela. O Total de horas semanal serão calculados automaticamente"/>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Dezembro" displayName="Dezembro" ref="B131:L139" totalsRowCount="1" headerRowDxfId="16" headerRowBorderDxfId="15" tableBorderDxfId="14" totalsRowBorderDxfId="13">
  <autoFilter ref="B131:L138" xr:uid="{00000000-0009-0000-0100-00000D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B00-000001000000}" name="Dezembro" totalsRowLabel="Total de horas semanal" dataDxfId="12" totalsRowDxfId="11"/>
    <tableColumn id="2" xr3:uid="{00000000-0010-0000-0B00-000002000000}" name="Semana 1" totalsRowFunction="sum" dataDxfId="10"/>
    <tableColumn id="3" xr3:uid="{00000000-0010-0000-0B00-000003000000}" name="Horas extras" totalsRowFunction="sum" dataDxfId="9"/>
    <tableColumn id="4" xr3:uid="{00000000-0010-0000-0B00-000004000000}" name="Semana 2" totalsRowFunction="sum" dataDxfId="8" totalsRowDxfId="7"/>
    <tableColumn id="5" xr3:uid="{00000000-0010-0000-0B00-000005000000}" name="Horas extras " totalsRowFunction="sum" dataDxfId="6"/>
    <tableColumn id="6" xr3:uid="{00000000-0010-0000-0B00-000006000000}" name="Semana 3" totalsRowFunction="sum" dataDxfId="5"/>
    <tableColumn id="7" xr3:uid="{00000000-0010-0000-0B00-000007000000}" name="Horas extras  " totalsRowFunction="sum" dataDxfId="4"/>
    <tableColumn id="8" xr3:uid="{00000000-0010-0000-0B00-000008000000}" name="Semana 4" totalsRowFunction="sum" dataDxfId="3"/>
    <tableColumn id="9" xr3:uid="{00000000-0010-0000-0B00-000009000000}" name="Horas extras   " totalsRowFunction="sum" dataDxfId="2"/>
    <tableColumn id="10" xr3:uid="{00000000-0010-0000-0B00-00000A000000}" name="Semana 5" totalsRowFunction="sum" dataDxfId="1"/>
    <tableColumn id="11" xr3:uid="{00000000-0010-0000-0B00-00000B000000}" name="Horas extras    " totalsRowFunction="sum" dataDxfId="0"/>
  </tableColumns>
  <tableStyleInfo name="Mês" showFirstColumn="1" showLastColumn="0" showRowStripes="0" showColumnStripes="0"/>
  <extLst>
    <ext xmlns:x14="http://schemas.microsoft.com/office/spreadsheetml/2009/9/main" uri="{504A1905-F514-4f6f-8877-14C23A59335A}">
      <x14:table altTextSummary="Insira as horas normais e extras da Semana 1, 2, 3, 4 e 5 do mês de dezembro nesta tabela. O Total de horas semanal serão calculados automaticament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Verve">
      <a:majorFont>
        <a:latin typeface="Century Gothic"/>
        <a:ea typeface=""/>
        <a:cs typeface=""/>
        <a:font script="Jpan" typeface="HGｺﾞｼｯｸM"/>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23"/>
  </sheetPr>
  <dimension ref="B1:L140"/>
  <sheetViews>
    <sheetView tabSelected="1" zoomScaleNormal="100" workbookViewId="0"/>
  </sheetViews>
  <sheetFormatPr defaultRowHeight="14.25" x14ac:dyDescent="0.3"/>
  <cols>
    <col min="1" max="1" width="3.42578125" style="1" customWidth="1"/>
    <col min="2" max="2" width="30.140625" style="2" bestFit="1" customWidth="1"/>
    <col min="3" max="12" width="14.7109375" style="2" customWidth="1"/>
    <col min="13" max="13" width="2.7109375" style="1" customWidth="1"/>
    <col min="14" max="16384" width="9.140625" style="1"/>
  </cols>
  <sheetData>
    <row r="1" spans="2:12" ht="15.95" customHeight="1" x14ac:dyDescent="0.3">
      <c r="B1" s="26" t="s">
        <v>0</v>
      </c>
      <c r="C1" s="26"/>
      <c r="D1" s="26"/>
      <c r="E1" s="26"/>
      <c r="F1" s="26"/>
      <c r="G1" s="26"/>
      <c r="H1" s="26"/>
      <c r="I1" s="26"/>
      <c r="J1" s="26"/>
      <c r="K1" s="26"/>
      <c r="L1" s="26"/>
    </row>
    <row r="2" spans="2:12" ht="23.25" customHeight="1" x14ac:dyDescent="0.3">
      <c r="B2" s="26"/>
      <c r="C2" s="26"/>
      <c r="D2" s="26"/>
      <c r="E2" s="26"/>
      <c r="F2" s="26"/>
      <c r="G2" s="26"/>
      <c r="H2" s="26"/>
      <c r="I2" s="26"/>
      <c r="J2" s="26"/>
      <c r="K2" s="26"/>
      <c r="L2" s="26"/>
    </row>
    <row r="3" spans="2:12" ht="15.95" customHeight="1" x14ac:dyDescent="0.3">
      <c r="B3" s="2" t="s">
        <v>1</v>
      </c>
      <c r="C3" s="8"/>
      <c r="D3" s="3" t="s">
        <v>40</v>
      </c>
      <c r="E3" s="8"/>
      <c r="G3" s="29" t="s">
        <v>57</v>
      </c>
      <c r="H3" s="29"/>
      <c r="I3" s="24"/>
      <c r="J3" s="24"/>
    </row>
    <row r="4" spans="2:12" ht="15.95" customHeight="1" x14ac:dyDescent="0.3">
      <c r="B4" s="2" t="s">
        <v>2</v>
      </c>
      <c r="C4" s="9"/>
      <c r="D4" s="3" t="s">
        <v>41</v>
      </c>
      <c r="E4" s="9"/>
      <c r="G4" s="1" t="s">
        <v>58</v>
      </c>
      <c r="H4" s="10">
        <f>SUM(C16,C27,C38,C50,C61,C72,C84,C95,C106,C118,C129,C140)</f>
        <v>0</v>
      </c>
      <c r="I4" s="4" t="s">
        <v>61</v>
      </c>
      <c r="J4" s="10">
        <f>SUM(F16,F27,F38,F50,F61,F72,F84,F95,F106,F118,F129,F140)</f>
        <v>0</v>
      </c>
      <c r="K4" s="4" t="s">
        <v>64</v>
      </c>
      <c r="L4" s="10">
        <f>SUM(H4,J4)</f>
        <v>0</v>
      </c>
    </row>
    <row r="5" spans="2:12" ht="6" customHeight="1" x14ac:dyDescent="0.3">
      <c r="L5" s="5"/>
    </row>
    <row r="6" spans="2:12" s="6" customFormat="1" ht="24.95" customHeight="1" x14ac:dyDescent="0.2">
      <c r="B6" s="27" t="s">
        <v>3</v>
      </c>
      <c r="C6" s="27"/>
      <c r="D6" s="27"/>
      <c r="E6" s="27"/>
      <c r="F6" s="27"/>
      <c r="G6" s="27"/>
      <c r="H6" s="27"/>
      <c r="I6" s="27"/>
      <c r="J6" s="27"/>
      <c r="K6" s="27"/>
      <c r="L6" s="27"/>
    </row>
    <row r="7" spans="2:12" ht="15" customHeight="1" x14ac:dyDescent="0.3">
      <c r="B7" s="17" t="s">
        <v>4</v>
      </c>
      <c r="C7" s="18" t="s">
        <v>39</v>
      </c>
      <c r="D7" s="18" t="s">
        <v>42</v>
      </c>
      <c r="E7" s="18" t="s">
        <v>55</v>
      </c>
      <c r="F7" s="18" t="s">
        <v>56</v>
      </c>
      <c r="G7" s="18" t="s">
        <v>59</v>
      </c>
      <c r="H7" s="18" t="s">
        <v>60</v>
      </c>
      <c r="I7" s="18" t="s">
        <v>62</v>
      </c>
      <c r="J7" s="18" t="s">
        <v>63</v>
      </c>
      <c r="K7" s="18" t="s">
        <v>65</v>
      </c>
      <c r="L7" s="19" t="s">
        <v>66</v>
      </c>
    </row>
    <row r="8" spans="2:12" ht="15" customHeight="1" x14ac:dyDescent="0.3">
      <c r="B8" s="15" t="s">
        <v>5</v>
      </c>
      <c r="C8" s="11"/>
      <c r="D8" s="12"/>
      <c r="E8" s="11"/>
      <c r="F8" s="12"/>
      <c r="G8" s="11"/>
      <c r="H8" s="12"/>
      <c r="I8" s="11"/>
      <c r="J8" s="12"/>
      <c r="K8" s="11"/>
      <c r="L8" s="16"/>
    </row>
    <row r="9" spans="2:12" ht="15" customHeight="1" x14ac:dyDescent="0.3">
      <c r="B9" s="15" t="s">
        <v>6</v>
      </c>
      <c r="C9" s="11"/>
      <c r="D9" s="12"/>
      <c r="E9" s="11"/>
      <c r="F9" s="12"/>
      <c r="G9" s="11"/>
      <c r="H9" s="12"/>
      <c r="I9" s="11"/>
      <c r="J9" s="12"/>
      <c r="K9" s="11"/>
      <c r="L9" s="16"/>
    </row>
    <row r="10" spans="2:12" ht="15" customHeight="1" x14ac:dyDescent="0.3">
      <c r="B10" s="15" t="s">
        <v>7</v>
      </c>
      <c r="C10" s="11"/>
      <c r="D10" s="12"/>
      <c r="E10" s="11"/>
      <c r="F10" s="12"/>
      <c r="G10" s="11"/>
      <c r="H10" s="12"/>
      <c r="I10" s="11"/>
      <c r="J10" s="12"/>
      <c r="K10" s="11"/>
      <c r="L10" s="16"/>
    </row>
    <row r="11" spans="2:12" ht="15" customHeight="1" x14ac:dyDescent="0.3">
      <c r="B11" s="15" t="s">
        <v>8</v>
      </c>
      <c r="C11" s="11"/>
      <c r="D11" s="12"/>
      <c r="E11" s="11"/>
      <c r="F11" s="12"/>
      <c r="G11" s="11"/>
      <c r="H11" s="12"/>
      <c r="I11" s="11"/>
      <c r="J11" s="12"/>
      <c r="K11" s="11"/>
      <c r="L11" s="16"/>
    </row>
    <row r="12" spans="2:12" ht="15" customHeight="1" x14ac:dyDescent="0.3">
      <c r="B12" s="15" t="s">
        <v>9</v>
      </c>
      <c r="C12" s="11"/>
      <c r="D12" s="12"/>
      <c r="E12" s="11"/>
      <c r="F12" s="12"/>
      <c r="G12" s="11"/>
      <c r="H12" s="12"/>
      <c r="I12" s="11"/>
      <c r="J12" s="12"/>
      <c r="K12" s="11"/>
      <c r="L12" s="16"/>
    </row>
    <row r="13" spans="2:12" ht="15" customHeight="1" x14ac:dyDescent="0.3">
      <c r="B13" s="15" t="s">
        <v>10</v>
      </c>
      <c r="C13" s="11"/>
      <c r="D13" s="12"/>
      <c r="E13" s="11"/>
      <c r="F13" s="12"/>
      <c r="G13" s="11"/>
      <c r="H13" s="12"/>
      <c r="I13" s="11"/>
      <c r="J13" s="12"/>
      <c r="K13" s="11"/>
      <c r="L13" s="16"/>
    </row>
    <row r="14" spans="2:12" ht="15" customHeight="1" x14ac:dyDescent="0.3">
      <c r="B14" s="15" t="s">
        <v>11</v>
      </c>
      <c r="C14" s="11"/>
      <c r="D14" s="12"/>
      <c r="E14" s="11"/>
      <c r="F14" s="12"/>
      <c r="G14" s="11"/>
      <c r="H14" s="12"/>
      <c r="I14" s="11"/>
      <c r="J14" s="12"/>
      <c r="K14" s="11"/>
      <c r="L14" s="16"/>
    </row>
    <row r="15" spans="2:12" ht="15" customHeight="1" x14ac:dyDescent="0.3">
      <c r="B15" s="20" t="s">
        <v>12</v>
      </c>
      <c r="C15" s="21">
        <f>SUBTOTAL(109,Janeiro[Semana 1])</f>
        <v>0</v>
      </c>
      <c r="D15" s="22">
        <f>SUBTOTAL(109,Janeiro[Horas extras])</f>
        <v>0</v>
      </c>
      <c r="E15" s="21">
        <f>SUBTOTAL(109,Janeiro[Semana 2])</f>
        <v>0</v>
      </c>
      <c r="F15" s="22">
        <f>SUBTOTAL(109,Janeiro[[Horas extras ]])</f>
        <v>0</v>
      </c>
      <c r="G15" s="21">
        <f>SUBTOTAL(109,Janeiro[Semana 3])</f>
        <v>0</v>
      </c>
      <c r="H15" s="22">
        <f>SUBTOTAL(109,Janeiro[[Horas extras  ]])</f>
        <v>0</v>
      </c>
      <c r="I15" s="21">
        <f>SUBTOTAL(109,Janeiro[Semana 4])</f>
        <v>0</v>
      </c>
      <c r="J15" s="22">
        <f>SUBTOTAL(109,Janeiro[[Horas extras   ]])</f>
        <v>0</v>
      </c>
      <c r="K15" s="21">
        <f>SUBTOTAL(109,Janeiro[Semana 5])</f>
        <v>0</v>
      </c>
      <c r="L15" s="23">
        <f>SUBTOTAL(109,Janeiro[[Horas extras    ]])</f>
        <v>0</v>
      </c>
    </row>
    <row r="16" spans="2:12" ht="15" customHeight="1" x14ac:dyDescent="0.3">
      <c r="B16" s="14" t="s">
        <v>13</v>
      </c>
      <c r="C16" s="13">
        <f>SUM(Janeiro[[#Totals],[Semana 1]],Janeiro[[#Totals],[Semana 2]],Janeiro[[#Totals],[Semana 3]],Janeiro[[#Totals],[Semana 4]],Janeiro[[#Totals],[Semana 5]])</f>
        <v>0</v>
      </c>
      <c r="D16" s="25" t="s">
        <v>43</v>
      </c>
      <c r="E16" s="25"/>
      <c r="F16" s="13">
        <f>SUM(Janeiro[[#Totals],[Horas extras]],Janeiro[[#Totals],[Horas extras ]],Janeiro[[#Totals],[Horas extras  ]],Janeiro[[#Totals],[Horas extras   ]],Janeiro[[#Totals],[Horas extras    ]])</f>
        <v>0</v>
      </c>
    </row>
    <row r="17" spans="2:12" ht="9" customHeight="1" x14ac:dyDescent="0.3"/>
    <row r="18" spans="2:12" ht="15" customHeight="1" x14ac:dyDescent="0.3">
      <c r="B18" s="17" t="s">
        <v>14</v>
      </c>
      <c r="C18" s="18" t="s">
        <v>39</v>
      </c>
      <c r="D18" s="18" t="s">
        <v>42</v>
      </c>
      <c r="E18" s="18" t="s">
        <v>55</v>
      </c>
      <c r="F18" s="18" t="s">
        <v>56</v>
      </c>
      <c r="G18" s="18" t="s">
        <v>59</v>
      </c>
      <c r="H18" s="18" t="s">
        <v>60</v>
      </c>
      <c r="I18" s="18" t="s">
        <v>62</v>
      </c>
      <c r="J18" s="18" t="s">
        <v>63</v>
      </c>
      <c r="K18" s="18" t="s">
        <v>65</v>
      </c>
      <c r="L18" s="19" t="s">
        <v>66</v>
      </c>
    </row>
    <row r="19" spans="2:12" ht="15" customHeight="1" x14ac:dyDescent="0.3">
      <c r="B19" s="15" t="s">
        <v>5</v>
      </c>
      <c r="C19" s="11"/>
      <c r="D19" s="12"/>
      <c r="E19" s="11"/>
      <c r="F19" s="12"/>
      <c r="G19" s="11"/>
      <c r="H19" s="12"/>
      <c r="I19" s="11"/>
      <c r="J19" s="12"/>
      <c r="K19" s="11"/>
      <c r="L19" s="16"/>
    </row>
    <row r="20" spans="2:12" ht="15" customHeight="1" x14ac:dyDescent="0.3">
      <c r="B20" s="15" t="s">
        <v>6</v>
      </c>
      <c r="C20" s="11"/>
      <c r="D20" s="12"/>
      <c r="E20" s="11"/>
      <c r="F20" s="12"/>
      <c r="G20" s="11"/>
      <c r="H20" s="12"/>
      <c r="I20" s="11"/>
      <c r="J20" s="12"/>
      <c r="K20" s="11"/>
      <c r="L20" s="16"/>
    </row>
    <row r="21" spans="2:12" ht="15" customHeight="1" x14ac:dyDescent="0.3">
      <c r="B21" s="15" t="s">
        <v>7</v>
      </c>
      <c r="C21" s="11"/>
      <c r="D21" s="12"/>
      <c r="E21" s="11"/>
      <c r="F21" s="12"/>
      <c r="G21" s="11"/>
      <c r="H21" s="12"/>
      <c r="I21" s="11"/>
      <c r="J21" s="12"/>
      <c r="K21" s="11"/>
      <c r="L21" s="16"/>
    </row>
    <row r="22" spans="2:12" ht="15" customHeight="1" x14ac:dyDescent="0.3">
      <c r="B22" s="15" t="s">
        <v>8</v>
      </c>
      <c r="C22" s="11"/>
      <c r="D22" s="12"/>
      <c r="E22" s="11"/>
      <c r="F22" s="12"/>
      <c r="G22" s="11"/>
      <c r="H22" s="12"/>
      <c r="I22" s="11"/>
      <c r="J22" s="12"/>
      <c r="K22" s="11"/>
      <c r="L22" s="16"/>
    </row>
    <row r="23" spans="2:12" ht="15" customHeight="1" x14ac:dyDescent="0.3">
      <c r="B23" s="15" t="s">
        <v>9</v>
      </c>
      <c r="C23" s="11"/>
      <c r="D23" s="12"/>
      <c r="E23" s="11"/>
      <c r="F23" s="12"/>
      <c r="G23" s="11"/>
      <c r="H23" s="12"/>
      <c r="I23" s="11"/>
      <c r="J23" s="12"/>
      <c r="K23" s="11"/>
      <c r="L23" s="16"/>
    </row>
    <row r="24" spans="2:12" ht="15" customHeight="1" x14ac:dyDescent="0.3">
      <c r="B24" s="15" t="s">
        <v>10</v>
      </c>
      <c r="C24" s="11"/>
      <c r="D24" s="12"/>
      <c r="E24" s="11"/>
      <c r="F24" s="12"/>
      <c r="G24" s="11"/>
      <c r="H24" s="12"/>
      <c r="I24" s="11"/>
      <c r="J24" s="12"/>
      <c r="K24" s="11"/>
      <c r="L24" s="16"/>
    </row>
    <row r="25" spans="2:12" ht="15" customHeight="1" x14ac:dyDescent="0.3">
      <c r="B25" s="15" t="s">
        <v>11</v>
      </c>
      <c r="C25" s="11"/>
      <c r="D25" s="12"/>
      <c r="E25" s="11"/>
      <c r="F25" s="12"/>
      <c r="G25" s="11"/>
      <c r="H25" s="12"/>
      <c r="I25" s="11"/>
      <c r="J25" s="12"/>
      <c r="K25" s="11"/>
      <c r="L25" s="16"/>
    </row>
    <row r="26" spans="2:12" ht="15" customHeight="1" x14ac:dyDescent="0.3">
      <c r="B26" s="20" t="s">
        <v>12</v>
      </c>
      <c r="C26" s="21">
        <f>SUBTOTAL(109,Fevereiro[Semana 1])</f>
        <v>0</v>
      </c>
      <c r="D26" s="22">
        <f>SUBTOTAL(109,Fevereiro[Horas extras])</f>
        <v>0</v>
      </c>
      <c r="E26" s="21">
        <f>SUBTOTAL(109,Fevereiro[Semana 2])</f>
        <v>0</v>
      </c>
      <c r="F26" s="22">
        <f>SUBTOTAL(109,Fevereiro[[Horas extras ]])</f>
        <v>0</v>
      </c>
      <c r="G26" s="21">
        <f>SUBTOTAL(109,Fevereiro[Semana 3])</f>
        <v>0</v>
      </c>
      <c r="H26" s="22">
        <f>SUBTOTAL(109,Fevereiro[[Horas extras  ]])</f>
        <v>0</v>
      </c>
      <c r="I26" s="21">
        <f>SUBTOTAL(109,Fevereiro[Semana 4])</f>
        <v>0</v>
      </c>
      <c r="J26" s="22">
        <f>SUBTOTAL(109,Fevereiro[[Horas extras   ]])</f>
        <v>0</v>
      </c>
      <c r="K26" s="21">
        <f>SUBTOTAL(109,Fevereiro[Semana 5])</f>
        <v>0</v>
      </c>
      <c r="L26" s="23">
        <f>SUBTOTAL(109,Fevereiro[[Horas extras    ]])</f>
        <v>0</v>
      </c>
    </row>
    <row r="27" spans="2:12" ht="15" customHeight="1" x14ac:dyDescent="0.3">
      <c r="B27" s="14" t="s">
        <v>15</v>
      </c>
      <c r="C27" s="13">
        <f>SUM(Fevereiro[[#Totals],[Semana 1]],Fevereiro[[#Totals],[Semana 2]],Fevereiro[[#Totals],[Semana 3]],Fevereiro[[#Totals],[Semana 4]],Fevereiro[[#Totals],[Semana 5]])</f>
        <v>0</v>
      </c>
      <c r="D27" s="25" t="s">
        <v>44</v>
      </c>
      <c r="E27" s="25"/>
      <c r="F27" s="13">
        <f>SUM(Fevereiro[[#Totals],[Horas extras]],Fevereiro[[#Totals],[Horas extras ]],Fevereiro[[#Totals],[Horas extras  ]],Fevereiro[[#Totals],[Horas extras   ]],Fevereiro[[#Totals],[Horas extras    ]])</f>
        <v>0</v>
      </c>
    </row>
    <row r="28" spans="2:12" ht="9" customHeight="1" x14ac:dyDescent="0.3"/>
    <row r="29" spans="2:12" ht="15" customHeight="1" x14ac:dyDescent="0.3">
      <c r="B29" s="17" t="s">
        <v>16</v>
      </c>
      <c r="C29" s="18" t="s">
        <v>39</v>
      </c>
      <c r="D29" s="18" t="s">
        <v>42</v>
      </c>
      <c r="E29" s="18" t="s">
        <v>55</v>
      </c>
      <c r="F29" s="18" t="s">
        <v>56</v>
      </c>
      <c r="G29" s="18" t="s">
        <v>59</v>
      </c>
      <c r="H29" s="18" t="s">
        <v>60</v>
      </c>
      <c r="I29" s="18" t="s">
        <v>62</v>
      </c>
      <c r="J29" s="18" t="s">
        <v>63</v>
      </c>
      <c r="K29" s="18" t="s">
        <v>65</v>
      </c>
      <c r="L29" s="19" t="s">
        <v>66</v>
      </c>
    </row>
    <row r="30" spans="2:12" ht="15" customHeight="1" x14ac:dyDescent="0.3">
      <c r="B30" s="15" t="s">
        <v>5</v>
      </c>
      <c r="C30" s="11"/>
      <c r="D30" s="12"/>
      <c r="E30" s="11"/>
      <c r="F30" s="12"/>
      <c r="G30" s="11"/>
      <c r="H30" s="12"/>
      <c r="I30" s="11"/>
      <c r="J30" s="12"/>
      <c r="K30" s="11"/>
      <c r="L30" s="16"/>
    </row>
    <row r="31" spans="2:12" ht="15" customHeight="1" x14ac:dyDescent="0.3">
      <c r="B31" s="15" t="s">
        <v>6</v>
      </c>
      <c r="C31" s="11"/>
      <c r="D31" s="12"/>
      <c r="E31" s="11"/>
      <c r="F31" s="12"/>
      <c r="G31" s="11"/>
      <c r="H31" s="12"/>
      <c r="I31" s="11"/>
      <c r="J31" s="12"/>
      <c r="K31" s="11"/>
      <c r="L31" s="16"/>
    </row>
    <row r="32" spans="2:12" ht="15" customHeight="1" x14ac:dyDescent="0.3">
      <c r="B32" s="15" t="s">
        <v>7</v>
      </c>
      <c r="C32" s="11"/>
      <c r="D32" s="12"/>
      <c r="E32" s="11"/>
      <c r="F32" s="12"/>
      <c r="G32" s="11"/>
      <c r="H32" s="12"/>
      <c r="I32" s="11"/>
      <c r="J32" s="12"/>
      <c r="K32" s="11"/>
      <c r="L32" s="16"/>
    </row>
    <row r="33" spans="2:12" ht="15" customHeight="1" x14ac:dyDescent="0.3">
      <c r="B33" s="15" t="s">
        <v>8</v>
      </c>
      <c r="C33" s="11"/>
      <c r="D33" s="12"/>
      <c r="E33" s="11"/>
      <c r="F33" s="12"/>
      <c r="G33" s="11"/>
      <c r="H33" s="12"/>
      <c r="I33" s="11"/>
      <c r="J33" s="12"/>
      <c r="K33" s="11"/>
      <c r="L33" s="16"/>
    </row>
    <row r="34" spans="2:12" ht="15" customHeight="1" x14ac:dyDescent="0.3">
      <c r="B34" s="15" t="s">
        <v>9</v>
      </c>
      <c r="C34" s="11"/>
      <c r="D34" s="12"/>
      <c r="E34" s="11"/>
      <c r="F34" s="12"/>
      <c r="G34" s="11"/>
      <c r="H34" s="12"/>
      <c r="I34" s="11"/>
      <c r="J34" s="12"/>
      <c r="K34" s="11"/>
      <c r="L34" s="16"/>
    </row>
    <row r="35" spans="2:12" ht="15" customHeight="1" x14ac:dyDescent="0.3">
      <c r="B35" s="15" t="s">
        <v>10</v>
      </c>
      <c r="C35" s="11"/>
      <c r="D35" s="12"/>
      <c r="E35" s="11"/>
      <c r="F35" s="12"/>
      <c r="G35" s="11"/>
      <c r="H35" s="12"/>
      <c r="I35" s="11"/>
      <c r="J35" s="12"/>
      <c r="K35" s="11"/>
      <c r="L35" s="16"/>
    </row>
    <row r="36" spans="2:12" ht="15" customHeight="1" x14ac:dyDescent="0.3">
      <c r="B36" s="15" t="s">
        <v>11</v>
      </c>
      <c r="C36" s="11"/>
      <c r="D36" s="12"/>
      <c r="E36" s="11"/>
      <c r="F36" s="12"/>
      <c r="G36" s="11"/>
      <c r="H36" s="12"/>
      <c r="I36" s="11"/>
      <c r="J36" s="12"/>
      <c r="K36" s="11"/>
      <c r="L36" s="16"/>
    </row>
    <row r="37" spans="2:12" ht="15" customHeight="1" x14ac:dyDescent="0.3">
      <c r="B37" s="20" t="s">
        <v>12</v>
      </c>
      <c r="C37" s="21">
        <f>SUBTOTAL(109,Março[Semana 1])</f>
        <v>0</v>
      </c>
      <c r="D37" s="22">
        <f>SUBTOTAL(109,Março[Horas extras])</f>
        <v>0</v>
      </c>
      <c r="E37" s="21">
        <f>SUBTOTAL(109,Março[Semana 2])</f>
        <v>0</v>
      </c>
      <c r="F37" s="22">
        <f>SUBTOTAL(109,Março[[Horas extras ]])</f>
        <v>0</v>
      </c>
      <c r="G37" s="21">
        <f>SUBTOTAL(109,Março[Semana 3])</f>
        <v>0</v>
      </c>
      <c r="H37" s="22">
        <f>SUBTOTAL(109,Março[[Horas extras  ]])</f>
        <v>0</v>
      </c>
      <c r="I37" s="21">
        <f>SUBTOTAL(109,Março[Semana 4])</f>
        <v>0</v>
      </c>
      <c r="J37" s="22">
        <f>SUBTOTAL(109,Março[[Horas extras   ]])</f>
        <v>0</v>
      </c>
      <c r="K37" s="21">
        <f>SUBTOTAL(109,Março[Semana 5])</f>
        <v>0</v>
      </c>
      <c r="L37" s="23">
        <f>SUBTOTAL(109,Março[[Horas extras    ]])</f>
        <v>0</v>
      </c>
    </row>
    <row r="38" spans="2:12" ht="15" customHeight="1" x14ac:dyDescent="0.3">
      <c r="B38" s="14" t="s">
        <v>17</v>
      </c>
      <c r="C38" s="13">
        <f>SUM(Março[[#Totals],[Semana 1]],Março[[#Totals],[Semana 2]],Março[[#Totals],[Semana 3]],Março[[#Totals],[Semana 4]],Março[[#Totals],[Semana 5]])</f>
        <v>0</v>
      </c>
      <c r="D38" s="25" t="s">
        <v>45</v>
      </c>
      <c r="E38" s="25"/>
      <c r="F38" s="13">
        <f>SUM(Março[[#Totals],[Horas extras]],Março[[#Totals],[Horas extras ]],Março[[#Totals],[Horas extras  ]],Março[[#Totals],[Horas extras   ]],Março[[#Totals],[Horas extras    ]])</f>
        <v>0</v>
      </c>
    </row>
    <row r="39" spans="2:12" ht="9" customHeight="1" x14ac:dyDescent="0.3"/>
    <row r="40" spans="2:12" s="7" customFormat="1" ht="24.95" customHeight="1" x14ac:dyDescent="0.2">
      <c r="B40" s="27" t="s">
        <v>18</v>
      </c>
      <c r="C40" s="27"/>
      <c r="D40" s="27"/>
      <c r="E40" s="27"/>
      <c r="F40" s="27"/>
      <c r="G40" s="27"/>
      <c r="H40" s="27"/>
      <c r="I40" s="27"/>
      <c r="J40" s="27"/>
      <c r="K40" s="27"/>
      <c r="L40" s="27"/>
    </row>
    <row r="41" spans="2:12" ht="15" customHeight="1" x14ac:dyDescent="0.3">
      <c r="B41" s="17" t="s">
        <v>19</v>
      </c>
      <c r="C41" s="18" t="s">
        <v>39</v>
      </c>
      <c r="D41" s="18" t="s">
        <v>42</v>
      </c>
      <c r="E41" s="18" t="s">
        <v>55</v>
      </c>
      <c r="F41" s="18" t="s">
        <v>56</v>
      </c>
      <c r="G41" s="18" t="s">
        <v>59</v>
      </c>
      <c r="H41" s="18" t="s">
        <v>60</v>
      </c>
      <c r="I41" s="18" t="s">
        <v>62</v>
      </c>
      <c r="J41" s="18" t="s">
        <v>63</v>
      </c>
      <c r="K41" s="18" t="s">
        <v>65</v>
      </c>
      <c r="L41" s="19" t="s">
        <v>66</v>
      </c>
    </row>
    <row r="42" spans="2:12" ht="15" customHeight="1" x14ac:dyDescent="0.3">
      <c r="B42" s="15" t="s">
        <v>5</v>
      </c>
      <c r="C42" s="11"/>
      <c r="D42" s="12"/>
      <c r="E42" s="11"/>
      <c r="F42" s="12"/>
      <c r="G42" s="11"/>
      <c r="H42" s="12"/>
      <c r="I42" s="11"/>
      <c r="J42" s="12"/>
      <c r="K42" s="11"/>
      <c r="L42" s="16"/>
    </row>
    <row r="43" spans="2:12" ht="15" customHeight="1" x14ac:dyDescent="0.3">
      <c r="B43" s="15" t="s">
        <v>6</v>
      </c>
      <c r="C43" s="11"/>
      <c r="D43" s="12"/>
      <c r="E43" s="11"/>
      <c r="F43" s="12"/>
      <c r="G43" s="11"/>
      <c r="H43" s="12"/>
      <c r="I43" s="11"/>
      <c r="J43" s="12"/>
      <c r="K43" s="11"/>
      <c r="L43" s="16"/>
    </row>
    <row r="44" spans="2:12" ht="15" customHeight="1" x14ac:dyDescent="0.3">
      <c r="B44" s="15" t="s">
        <v>7</v>
      </c>
      <c r="C44" s="11"/>
      <c r="D44" s="12"/>
      <c r="E44" s="11"/>
      <c r="F44" s="12"/>
      <c r="G44" s="11"/>
      <c r="H44" s="12"/>
      <c r="I44" s="11"/>
      <c r="J44" s="12"/>
      <c r="K44" s="11"/>
      <c r="L44" s="16"/>
    </row>
    <row r="45" spans="2:12" ht="15" customHeight="1" x14ac:dyDescent="0.3">
      <c r="B45" s="15" t="s">
        <v>8</v>
      </c>
      <c r="C45" s="11"/>
      <c r="D45" s="12"/>
      <c r="E45" s="11"/>
      <c r="F45" s="12"/>
      <c r="G45" s="11"/>
      <c r="H45" s="12"/>
      <c r="I45" s="11"/>
      <c r="J45" s="12"/>
      <c r="K45" s="11"/>
      <c r="L45" s="16"/>
    </row>
    <row r="46" spans="2:12" ht="15" customHeight="1" x14ac:dyDescent="0.3">
      <c r="B46" s="15" t="s">
        <v>9</v>
      </c>
      <c r="C46" s="11"/>
      <c r="D46" s="12"/>
      <c r="E46" s="11"/>
      <c r="F46" s="12"/>
      <c r="G46" s="11"/>
      <c r="H46" s="12"/>
      <c r="I46" s="11"/>
      <c r="J46" s="12"/>
      <c r="K46" s="11"/>
      <c r="L46" s="16"/>
    </row>
    <row r="47" spans="2:12" ht="15" customHeight="1" x14ac:dyDescent="0.3">
      <c r="B47" s="15" t="s">
        <v>10</v>
      </c>
      <c r="C47" s="11"/>
      <c r="D47" s="12"/>
      <c r="E47" s="11"/>
      <c r="F47" s="12"/>
      <c r="G47" s="11"/>
      <c r="H47" s="12"/>
      <c r="I47" s="11"/>
      <c r="J47" s="12"/>
      <c r="K47" s="11"/>
      <c r="L47" s="16"/>
    </row>
    <row r="48" spans="2:12" ht="15" customHeight="1" x14ac:dyDescent="0.3">
      <c r="B48" s="15" t="s">
        <v>11</v>
      </c>
      <c r="C48" s="11"/>
      <c r="D48" s="12"/>
      <c r="E48" s="11"/>
      <c r="F48" s="12"/>
      <c r="G48" s="11"/>
      <c r="H48" s="12"/>
      <c r="I48" s="11"/>
      <c r="J48" s="12"/>
      <c r="K48" s="11"/>
      <c r="L48" s="16"/>
    </row>
    <row r="49" spans="2:12" ht="15" customHeight="1" x14ac:dyDescent="0.3">
      <c r="B49" s="20" t="s">
        <v>12</v>
      </c>
      <c r="C49" s="21">
        <f>SUBTOTAL(109,Abril[Semana 1])</f>
        <v>0</v>
      </c>
      <c r="D49" s="22">
        <f>SUBTOTAL(109,Abril[Horas extras])</f>
        <v>0</v>
      </c>
      <c r="E49" s="21">
        <f>SUBTOTAL(109,Abril[Semana 2])</f>
        <v>0</v>
      </c>
      <c r="F49" s="22">
        <f>SUBTOTAL(109,Abril[[Horas extras ]])</f>
        <v>0</v>
      </c>
      <c r="G49" s="21">
        <f>SUBTOTAL(109,Abril[Semana 3])</f>
        <v>0</v>
      </c>
      <c r="H49" s="22">
        <f>SUBTOTAL(109,Abril[[Horas extras  ]])</f>
        <v>0</v>
      </c>
      <c r="I49" s="21">
        <f>SUBTOTAL(109,Abril[Semana 4])</f>
        <v>0</v>
      </c>
      <c r="J49" s="22">
        <f>SUBTOTAL(109,Abril[[Horas extras   ]])</f>
        <v>0</v>
      </c>
      <c r="K49" s="21">
        <f>SUBTOTAL(109,Abril[Semana 5])</f>
        <v>0</v>
      </c>
      <c r="L49" s="23">
        <f>SUBTOTAL(109,Abril[[Horas extras    ]])</f>
        <v>0</v>
      </c>
    </row>
    <row r="50" spans="2:12" ht="15" customHeight="1" x14ac:dyDescent="0.3">
      <c r="B50" s="14" t="s">
        <v>20</v>
      </c>
      <c r="C50" s="13">
        <f>SUM(Abril[[#Totals],[Semana 1]],Abril[[#Totals],[Semana 2]],Abril[[#Totals],[Semana 3]],Abril[[#Totals],[Semana 4]],Abril[[#Totals],[Semana 5]])</f>
        <v>0</v>
      </c>
      <c r="D50" s="25" t="s">
        <v>46</v>
      </c>
      <c r="E50" s="25"/>
      <c r="F50" s="13">
        <f>SUM(Abril[[#Totals],[Horas extras]],Abril[[#Totals],[Horas extras ]],Abril[[#Totals],[Horas extras  ]],Abril[[#Totals],[Horas extras   ]],Abril[[#Totals],[Horas extras    ]])</f>
        <v>0</v>
      </c>
    </row>
    <row r="51" spans="2:12" ht="9" customHeight="1" x14ac:dyDescent="0.3"/>
    <row r="52" spans="2:12" ht="15" customHeight="1" x14ac:dyDescent="0.3">
      <c r="B52" s="17" t="s">
        <v>21</v>
      </c>
      <c r="C52" s="18" t="s">
        <v>39</v>
      </c>
      <c r="D52" s="18" t="s">
        <v>42</v>
      </c>
      <c r="E52" s="18" t="s">
        <v>55</v>
      </c>
      <c r="F52" s="18" t="s">
        <v>56</v>
      </c>
      <c r="G52" s="18" t="s">
        <v>59</v>
      </c>
      <c r="H52" s="18" t="s">
        <v>60</v>
      </c>
      <c r="I52" s="18" t="s">
        <v>62</v>
      </c>
      <c r="J52" s="18" t="s">
        <v>63</v>
      </c>
      <c r="K52" s="18" t="s">
        <v>65</v>
      </c>
      <c r="L52" s="19" t="s">
        <v>66</v>
      </c>
    </row>
    <row r="53" spans="2:12" ht="15" customHeight="1" x14ac:dyDescent="0.3">
      <c r="B53" s="15" t="s">
        <v>5</v>
      </c>
      <c r="C53" s="11"/>
      <c r="D53" s="12"/>
      <c r="E53" s="11"/>
      <c r="F53" s="12"/>
      <c r="G53" s="11"/>
      <c r="H53" s="12"/>
      <c r="I53" s="11"/>
      <c r="J53" s="12"/>
      <c r="K53" s="11"/>
      <c r="L53" s="16"/>
    </row>
    <row r="54" spans="2:12" ht="15" customHeight="1" x14ac:dyDescent="0.3">
      <c r="B54" s="15" t="s">
        <v>6</v>
      </c>
      <c r="C54" s="11"/>
      <c r="D54" s="12"/>
      <c r="E54" s="11"/>
      <c r="F54" s="12"/>
      <c r="G54" s="11"/>
      <c r="H54" s="12"/>
      <c r="I54" s="11"/>
      <c r="J54" s="12"/>
      <c r="K54" s="11"/>
      <c r="L54" s="16"/>
    </row>
    <row r="55" spans="2:12" ht="15" customHeight="1" x14ac:dyDescent="0.3">
      <c r="B55" s="15" t="s">
        <v>7</v>
      </c>
      <c r="C55" s="11"/>
      <c r="D55" s="12"/>
      <c r="E55" s="11"/>
      <c r="F55" s="12"/>
      <c r="G55" s="11"/>
      <c r="H55" s="12"/>
      <c r="I55" s="11"/>
      <c r="J55" s="12"/>
      <c r="K55" s="11"/>
      <c r="L55" s="16"/>
    </row>
    <row r="56" spans="2:12" ht="15" customHeight="1" x14ac:dyDescent="0.3">
      <c r="B56" s="15" t="s">
        <v>8</v>
      </c>
      <c r="C56" s="11"/>
      <c r="D56" s="12"/>
      <c r="E56" s="11"/>
      <c r="F56" s="12"/>
      <c r="G56" s="11"/>
      <c r="H56" s="12"/>
      <c r="I56" s="11"/>
      <c r="J56" s="12"/>
      <c r="K56" s="11"/>
      <c r="L56" s="16"/>
    </row>
    <row r="57" spans="2:12" ht="15" customHeight="1" x14ac:dyDescent="0.3">
      <c r="B57" s="15" t="s">
        <v>9</v>
      </c>
      <c r="C57" s="11"/>
      <c r="D57" s="12"/>
      <c r="E57" s="11"/>
      <c r="F57" s="12"/>
      <c r="G57" s="11"/>
      <c r="H57" s="12"/>
      <c r="I57" s="11"/>
      <c r="J57" s="12"/>
      <c r="K57" s="11"/>
      <c r="L57" s="16"/>
    </row>
    <row r="58" spans="2:12" ht="15" customHeight="1" x14ac:dyDescent="0.3">
      <c r="B58" s="15" t="s">
        <v>10</v>
      </c>
      <c r="C58" s="11"/>
      <c r="D58" s="12"/>
      <c r="E58" s="11"/>
      <c r="F58" s="12"/>
      <c r="G58" s="11"/>
      <c r="H58" s="12"/>
      <c r="I58" s="11"/>
      <c r="J58" s="12"/>
      <c r="K58" s="11"/>
      <c r="L58" s="16"/>
    </row>
    <row r="59" spans="2:12" ht="15" customHeight="1" x14ac:dyDescent="0.3">
      <c r="B59" s="15" t="s">
        <v>11</v>
      </c>
      <c r="C59" s="11"/>
      <c r="D59" s="12"/>
      <c r="E59" s="11"/>
      <c r="F59" s="12"/>
      <c r="G59" s="11"/>
      <c r="H59" s="12"/>
      <c r="I59" s="11"/>
      <c r="J59" s="12"/>
      <c r="K59" s="11"/>
      <c r="L59" s="16"/>
    </row>
    <row r="60" spans="2:12" ht="15" customHeight="1" x14ac:dyDescent="0.3">
      <c r="B60" s="20" t="s">
        <v>12</v>
      </c>
      <c r="C60" s="21">
        <f>SUBTOTAL(109,Maio[Semana 1])</f>
        <v>0</v>
      </c>
      <c r="D60" s="22">
        <f>SUBTOTAL(109,Maio[Horas extras])</f>
        <v>0</v>
      </c>
      <c r="E60" s="21">
        <f>SUBTOTAL(109,Maio[Semana 2])</f>
        <v>0</v>
      </c>
      <c r="F60" s="22">
        <f>SUBTOTAL(109,Maio[[Horas extras ]])</f>
        <v>0</v>
      </c>
      <c r="G60" s="21">
        <f>SUBTOTAL(109,Maio[Semana 3])</f>
        <v>0</v>
      </c>
      <c r="H60" s="22">
        <f>SUBTOTAL(109,Maio[[Horas extras  ]])</f>
        <v>0</v>
      </c>
      <c r="I60" s="21">
        <f>SUBTOTAL(109,Maio[Semana 4])</f>
        <v>0</v>
      </c>
      <c r="J60" s="22">
        <f>SUBTOTAL(109,Maio[[Horas extras   ]])</f>
        <v>0</v>
      </c>
      <c r="K60" s="21">
        <f>SUBTOTAL(109,Maio[Semana 5])</f>
        <v>0</v>
      </c>
      <c r="L60" s="23">
        <f>SUBTOTAL(109,Maio[[Horas extras    ]])</f>
        <v>0</v>
      </c>
    </row>
    <row r="61" spans="2:12" ht="15" customHeight="1" x14ac:dyDescent="0.3">
      <c r="B61" s="14" t="s">
        <v>22</v>
      </c>
      <c r="C61" s="13">
        <f>SUM(Maio[[#Totals],[Semana 1]],Maio[[#Totals],[Semana 2]],Maio[[#Totals],[Semana 3]],Maio[[#Totals],[Semana 4]],Maio[[#Totals],[Semana 5]])</f>
        <v>0</v>
      </c>
      <c r="D61" s="25" t="s">
        <v>47</v>
      </c>
      <c r="E61" s="25"/>
      <c r="F61" s="13">
        <f>SUM(Maio[[#Totals],[Horas extras]],Maio[[#Totals],[Horas extras ]],Maio[[#Totals],[Horas extras  ]],Maio[[#Totals],[Horas extras   ]],Maio[[#Totals],[Horas extras    ]])</f>
        <v>0</v>
      </c>
    </row>
    <row r="62" spans="2:12" ht="9" customHeight="1" x14ac:dyDescent="0.3"/>
    <row r="63" spans="2:12" ht="15" customHeight="1" x14ac:dyDescent="0.3">
      <c r="B63" s="17" t="s">
        <v>23</v>
      </c>
      <c r="C63" s="18" t="s">
        <v>39</v>
      </c>
      <c r="D63" s="18" t="s">
        <v>42</v>
      </c>
      <c r="E63" s="18" t="s">
        <v>55</v>
      </c>
      <c r="F63" s="18" t="s">
        <v>56</v>
      </c>
      <c r="G63" s="18" t="s">
        <v>59</v>
      </c>
      <c r="H63" s="18" t="s">
        <v>60</v>
      </c>
      <c r="I63" s="18" t="s">
        <v>62</v>
      </c>
      <c r="J63" s="18" t="s">
        <v>63</v>
      </c>
      <c r="K63" s="18" t="s">
        <v>65</v>
      </c>
      <c r="L63" s="19" t="s">
        <v>66</v>
      </c>
    </row>
    <row r="64" spans="2:12" ht="15" customHeight="1" x14ac:dyDescent="0.3">
      <c r="B64" s="15" t="s">
        <v>5</v>
      </c>
      <c r="C64" s="11"/>
      <c r="D64" s="12"/>
      <c r="E64" s="11"/>
      <c r="F64" s="12"/>
      <c r="G64" s="11"/>
      <c r="H64" s="12"/>
      <c r="I64" s="11"/>
      <c r="J64" s="12"/>
      <c r="K64" s="11"/>
      <c r="L64" s="16"/>
    </row>
    <row r="65" spans="2:12" ht="15" customHeight="1" x14ac:dyDescent="0.3">
      <c r="B65" s="15" t="s">
        <v>6</v>
      </c>
      <c r="C65" s="11"/>
      <c r="D65" s="12"/>
      <c r="E65" s="11"/>
      <c r="F65" s="12"/>
      <c r="G65" s="11"/>
      <c r="H65" s="12"/>
      <c r="I65" s="11"/>
      <c r="J65" s="12"/>
      <c r="K65" s="11"/>
      <c r="L65" s="16"/>
    </row>
    <row r="66" spans="2:12" ht="15" customHeight="1" x14ac:dyDescent="0.3">
      <c r="B66" s="15" t="s">
        <v>7</v>
      </c>
      <c r="C66" s="11"/>
      <c r="D66" s="12"/>
      <c r="E66" s="11"/>
      <c r="F66" s="12"/>
      <c r="G66" s="11"/>
      <c r="H66" s="12"/>
      <c r="I66" s="11"/>
      <c r="J66" s="12"/>
      <c r="K66" s="11"/>
      <c r="L66" s="16"/>
    </row>
    <row r="67" spans="2:12" ht="15" customHeight="1" x14ac:dyDescent="0.3">
      <c r="B67" s="15" t="s">
        <v>8</v>
      </c>
      <c r="C67" s="11"/>
      <c r="D67" s="12"/>
      <c r="E67" s="11"/>
      <c r="F67" s="12"/>
      <c r="G67" s="11"/>
      <c r="H67" s="12"/>
      <c r="I67" s="11"/>
      <c r="J67" s="12"/>
      <c r="K67" s="11"/>
      <c r="L67" s="16"/>
    </row>
    <row r="68" spans="2:12" ht="15" customHeight="1" x14ac:dyDescent="0.3">
      <c r="B68" s="15" t="s">
        <v>9</v>
      </c>
      <c r="C68" s="11"/>
      <c r="D68" s="12"/>
      <c r="E68" s="11"/>
      <c r="F68" s="12"/>
      <c r="G68" s="11"/>
      <c r="H68" s="12"/>
      <c r="I68" s="11"/>
      <c r="J68" s="12"/>
      <c r="K68" s="11"/>
      <c r="L68" s="16"/>
    </row>
    <row r="69" spans="2:12" ht="15" customHeight="1" x14ac:dyDescent="0.3">
      <c r="B69" s="15" t="s">
        <v>10</v>
      </c>
      <c r="C69" s="11"/>
      <c r="D69" s="12"/>
      <c r="E69" s="11"/>
      <c r="F69" s="12"/>
      <c r="G69" s="11"/>
      <c r="H69" s="12"/>
      <c r="I69" s="11"/>
      <c r="J69" s="12"/>
      <c r="K69" s="11"/>
      <c r="L69" s="16"/>
    </row>
    <row r="70" spans="2:12" ht="15" customHeight="1" x14ac:dyDescent="0.3">
      <c r="B70" s="15" t="s">
        <v>11</v>
      </c>
      <c r="C70" s="11"/>
      <c r="D70" s="12"/>
      <c r="E70" s="11"/>
      <c r="F70" s="12"/>
      <c r="G70" s="11"/>
      <c r="H70" s="12"/>
      <c r="I70" s="11"/>
      <c r="J70" s="12"/>
      <c r="K70" s="11"/>
      <c r="L70" s="16"/>
    </row>
    <row r="71" spans="2:12" ht="15" customHeight="1" x14ac:dyDescent="0.3">
      <c r="B71" s="20" t="s">
        <v>12</v>
      </c>
      <c r="C71" s="21">
        <f>SUBTOTAL(109,Junho[Semana 1])</f>
        <v>0</v>
      </c>
      <c r="D71" s="22">
        <f>SUBTOTAL(109,Junho[Horas extras])</f>
        <v>0</v>
      </c>
      <c r="E71" s="21">
        <f>SUBTOTAL(109,Junho[Semana 2])</f>
        <v>0</v>
      </c>
      <c r="F71" s="22">
        <f>SUBTOTAL(109,Junho[[Horas extras ]])</f>
        <v>0</v>
      </c>
      <c r="G71" s="21">
        <f>SUBTOTAL(109,Junho[Semana 3])</f>
        <v>0</v>
      </c>
      <c r="H71" s="22">
        <f>SUBTOTAL(109,Junho[[Horas extras  ]])</f>
        <v>0</v>
      </c>
      <c r="I71" s="21">
        <f>SUBTOTAL(109,Junho[Semana 4])</f>
        <v>0</v>
      </c>
      <c r="J71" s="22">
        <f>SUBTOTAL(109,Junho[[Horas extras   ]])</f>
        <v>0</v>
      </c>
      <c r="K71" s="21">
        <f>SUBTOTAL(109,Junho[Semana 5])</f>
        <v>0</v>
      </c>
      <c r="L71" s="23">
        <f>SUBTOTAL(109,Junho[[Horas extras    ]])</f>
        <v>0</v>
      </c>
    </row>
    <row r="72" spans="2:12" ht="15" customHeight="1" x14ac:dyDescent="0.3">
      <c r="B72" s="14" t="s">
        <v>24</v>
      </c>
      <c r="C72" s="13">
        <f>SUM(Junho[[#Totals],[Semana 1]],Junho[[#Totals],[Semana 2]],Junho[[#Totals],[Semana 3]],Junho[[#Totals],[Semana 4]],Junho[[#Totals],[Semana 5]])</f>
        <v>0</v>
      </c>
      <c r="D72" s="25" t="s">
        <v>48</v>
      </c>
      <c r="E72" s="25"/>
      <c r="F72" s="13">
        <f>SUM(Junho[[#Totals],[Horas extras]],Junho[[#Totals],[Horas extras ]],Junho[[#Totals],[Horas extras  ]],Junho[[#Totals],[Horas extras   ]],Junho[[#Totals],[Horas extras    ]])</f>
        <v>0</v>
      </c>
    </row>
    <row r="73" spans="2:12" ht="9" customHeight="1" x14ac:dyDescent="0.3">
      <c r="B73" s="5"/>
      <c r="C73" s="5"/>
    </row>
    <row r="74" spans="2:12" s="6" customFormat="1" ht="24.95" customHeight="1" x14ac:dyDescent="0.2">
      <c r="B74" s="27" t="s">
        <v>25</v>
      </c>
      <c r="C74" s="28"/>
      <c r="D74" s="28"/>
      <c r="E74" s="28"/>
      <c r="F74" s="28"/>
      <c r="G74" s="28"/>
      <c r="H74" s="28"/>
      <c r="I74" s="28"/>
      <c r="J74" s="28"/>
      <c r="K74" s="28"/>
      <c r="L74" s="28"/>
    </row>
    <row r="75" spans="2:12" ht="15" customHeight="1" x14ac:dyDescent="0.3">
      <c r="B75" s="17" t="s">
        <v>26</v>
      </c>
      <c r="C75" s="18" t="s">
        <v>39</v>
      </c>
      <c r="D75" s="18" t="s">
        <v>42</v>
      </c>
      <c r="E75" s="18" t="s">
        <v>55</v>
      </c>
      <c r="F75" s="18" t="s">
        <v>56</v>
      </c>
      <c r="G75" s="18" t="s">
        <v>59</v>
      </c>
      <c r="H75" s="18" t="s">
        <v>60</v>
      </c>
      <c r="I75" s="18" t="s">
        <v>62</v>
      </c>
      <c r="J75" s="18" t="s">
        <v>63</v>
      </c>
      <c r="K75" s="18" t="s">
        <v>65</v>
      </c>
      <c r="L75" s="19" t="s">
        <v>66</v>
      </c>
    </row>
    <row r="76" spans="2:12" ht="15" customHeight="1" x14ac:dyDescent="0.3">
      <c r="B76" s="15" t="s">
        <v>5</v>
      </c>
      <c r="C76" s="11"/>
      <c r="D76" s="12"/>
      <c r="E76" s="11"/>
      <c r="F76" s="12"/>
      <c r="G76" s="11"/>
      <c r="H76" s="12"/>
      <c r="I76" s="11"/>
      <c r="J76" s="12"/>
      <c r="K76" s="11"/>
      <c r="L76" s="16"/>
    </row>
    <row r="77" spans="2:12" ht="15" customHeight="1" x14ac:dyDescent="0.3">
      <c r="B77" s="15" t="s">
        <v>6</v>
      </c>
      <c r="C77" s="11"/>
      <c r="D77" s="12"/>
      <c r="E77" s="11"/>
      <c r="F77" s="12"/>
      <c r="G77" s="11"/>
      <c r="H77" s="12"/>
      <c r="I77" s="11"/>
      <c r="J77" s="12"/>
      <c r="K77" s="11"/>
      <c r="L77" s="16"/>
    </row>
    <row r="78" spans="2:12" ht="15" customHeight="1" x14ac:dyDescent="0.3">
      <c r="B78" s="15" t="s">
        <v>7</v>
      </c>
      <c r="C78" s="11"/>
      <c r="D78" s="12"/>
      <c r="E78" s="11"/>
      <c r="F78" s="12"/>
      <c r="G78" s="11"/>
      <c r="H78" s="12"/>
      <c r="I78" s="11"/>
      <c r="J78" s="12"/>
      <c r="K78" s="11"/>
      <c r="L78" s="16"/>
    </row>
    <row r="79" spans="2:12" ht="15" customHeight="1" x14ac:dyDescent="0.3">
      <c r="B79" s="15" t="s">
        <v>8</v>
      </c>
      <c r="C79" s="11"/>
      <c r="D79" s="12"/>
      <c r="E79" s="11"/>
      <c r="F79" s="12"/>
      <c r="G79" s="11"/>
      <c r="H79" s="12"/>
      <c r="I79" s="11"/>
      <c r="J79" s="12"/>
      <c r="K79" s="11"/>
      <c r="L79" s="16"/>
    </row>
    <row r="80" spans="2:12" ht="15" customHeight="1" x14ac:dyDescent="0.3">
      <c r="B80" s="15" t="s">
        <v>9</v>
      </c>
      <c r="C80" s="11"/>
      <c r="D80" s="12"/>
      <c r="E80" s="11"/>
      <c r="F80" s="12"/>
      <c r="G80" s="11"/>
      <c r="H80" s="12"/>
      <c r="I80" s="11"/>
      <c r="J80" s="12"/>
      <c r="K80" s="11"/>
      <c r="L80" s="16"/>
    </row>
    <row r="81" spans="2:12" ht="15" customHeight="1" x14ac:dyDescent="0.3">
      <c r="B81" s="15" t="s">
        <v>10</v>
      </c>
      <c r="C81" s="11"/>
      <c r="D81" s="12"/>
      <c r="E81" s="11"/>
      <c r="F81" s="12"/>
      <c r="G81" s="11"/>
      <c r="H81" s="12"/>
      <c r="I81" s="11"/>
      <c r="J81" s="12"/>
      <c r="K81" s="11"/>
      <c r="L81" s="16"/>
    </row>
    <row r="82" spans="2:12" ht="15" customHeight="1" x14ac:dyDescent="0.3">
      <c r="B82" s="15" t="s">
        <v>11</v>
      </c>
      <c r="C82" s="11"/>
      <c r="D82" s="12"/>
      <c r="E82" s="11"/>
      <c r="F82" s="12"/>
      <c r="G82" s="11"/>
      <c r="H82" s="12"/>
      <c r="I82" s="11"/>
      <c r="J82" s="12"/>
      <c r="K82" s="11"/>
      <c r="L82" s="16"/>
    </row>
    <row r="83" spans="2:12" ht="15" customHeight="1" x14ac:dyDescent="0.3">
      <c r="B83" s="20" t="s">
        <v>12</v>
      </c>
      <c r="C83" s="21">
        <f>SUBTOTAL(109,Julho[Semana 1])</f>
        <v>0</v>
      </c>
      <c r="D83" s="22">
        <f>SUBTOTAL(109,Julho[Horas extras])</f>
        <v>0</v>
      </c>
      <c r="E83" s="21">
        <f>SUBTOTAL(109,Julho[Semana 2])</f>
        <v>0</v>
      </c>
      <c r="F83" s="22">
        <f>SUBTOTAL(109,Julho[[Horas extras ]])</f>
        <v>0</v>
      </c>
      <c r="G83" s="21">
        <f>SUBTOTAL(109,Julho[Semana 3])</f>
        <v>0</v>
      </c>
      <c r="H83" s="22">
        <f>SUBTOTAL(109,Julho[[Horas extras  ]])</f>
        <v>0</v>
      </c>
      <c r="I83" s="21">
        <f>SUBTOTAL(109,Julho[Semana 4])</f>
        <v>0</v>
      </c>
      <c r="J83" s="22">
        <f>SUBTOTAL(109,Julho[[Horas extras   ]])</f>
        <v>0</v>
      </c>
      <c r="K83" s="21">
        <f>SUBTOTAL(109,Julho[Semana 5])</f>
        <v>0</v>
      </c>
      <c r="L83" s="23">
        <f>SUBTOTAL(109,Julho[[Horas extras    ]])</f>
        <v>0</v>
      </c>
    </row>
    <row r="84" spans="2:12" ht="15" customHeight="1" x14ac:dyDescent="0.3">
      <c r="B84" s="14" t="s">
        <v>27</v>
      </c>
      <c r="C84" s="13">
        <f>SUM(Julho[[#Totals],[Semana 1]],Julho[[#Totals],[Semana 2]],Julho[[#Totals],[Semana 3]],Julho[[#Totals],[Semana 4]],Julho[[#Totals],[Semana 5]])</f>
        <v>0</v>
      </c>
      <c r="D84" s="25" t="s">
        <v>49</v>
      </c>
      <c r="E84" s="25"/>
      <c r="F84" s="13">
        <f>SUM(Julho[[#Totals],[Horas extras]],Julho[[#Totals],[Horas extras ]],Julho[[#Totals],[Horas extras  ]],Julho[[#Totals],[Horas extras   ]],Julho[[#Totals],[Horas extras    ]])</f>
        <v>0</v>
      </c>
    </row>
    <row r="85" spans="2:12" ht="9" customHeight="1" x14ac:dyDescent="0.3"/>
    <row r="86" spans="2:12" ht="15" customHeight="1" x14ac:dyDescent="0.3">
      <c r="B86" s="17" t="s">
        <v>28</v>
      </c>
      <c r="C86" s="18" t="s">
        <v>39</v>
      </c>
      <c r="D86" s="18" t="s">
        <v>42</v>
      </c>
      <c r="E86" s="18" t="s">
        <v>55</v>
      </c>
      <c r="F86" s="18" t="s">
        <v>56</v>
      </c>
      <c r="G86" s="18" t="s">
        <v>59</v>
      </c>
      <c r="H86" s="18" t="s">
        <v>60</v>
      </c>
      <c r="I86" s="18" t="s">
        <v>62</v>
      </c>
      <c r="J86" s="18" t="s">
        <v>63</v>
      </c>
      <c r="K86" s="18" t="s">
        <v>65</v>
      </c>
      <c r="L86" s="19" t="s">
        <v>66</v>
      </c>
    </row>
    <row r="87" spans="2:12" ht="15" customHeight="1" x14ac:dyDescent="0.3">
      <c r="B87" s="15" t="s">
        <v>5</v>
      </c>
      <c r="C87" s="11"/>
      <c r="D87" s="12"/>
      <c r="E87" s="11"/>
      <c r="F87" s="12"/>
      <c r="G87" s="11"/>
      <c r="H87" s="12"/>
      <c r="I87" s="11"/>
      <c r="J87" s="12"/>
      <c r="K87" s="11"/>
      <c r="L87" s="16"/>
    </row>
    <row r="88" spans="2:12" ht="15" customHeight="1" x14ac:dyDescent="0.3">
      <c r="B88" s="15" t="s">
        <v>6</v>
      </c>
      <c r="C88" s="11"/>
      <c r="D88" s="12"/>
      <c r="E88" s="11"/>
      <c r="F88" s="12"/>
      <c r="G88" s="11"/>
      <c r="H88" s="12"/>
      <c r="I88" s="11"/>
      <c r="J88" s="12"/>
      <c r="K88" s="11"/>
      <c r="L88" s="16"/>
    </row>
    <row r="89" spans="2:12" ht="15" customHeight="1" x14ac:dyDescent="0.3">
      <c r="B89" s="15" t="s">
        <v>7</v>
      </c>
      <c r="C89" s="11"/>
      <c r="D89" s="12"/>
      <c r="E89" s="11"/>
      <c r="F89" s="12"/>
      <c r="G89" s="11"/>
      <c r="H89" s="12"/>
      <c r="I89" s="11"/>
      <c r="J89" s="12"/>
      <c r="K89" s="11"/>
      <c r="L89" s="16"/>
    </row>
    <row r="90" spans="2:12" ht="15" customHeight="1" x14ac:dyDescent="0.3">
      <c r="B90" s="15" t="s">
        <v>8</v>
      </c>
      <c r="C90" s="11"/>
      <c r="D90" s="12"/>
      <c r="E90" s="11"/>
      <c r="F90" s="12"/>
      <c r="G90" s="11"/>
      <c r="H90" s="12"/>
      <c r="I90" s="11"/>
      <c r="J90" s="12"/>
      <c r="K90" s="11"/>
      <c r="L90" s="16"/>
    </row>
    <row r="91" spans="2:12" ht="15" customHeight="1" x14ac:dyDescent="0.3">
      <c r="B91" s="15" t="s">
        <v>9</v>
      </c>
      <c r="C91" s="11"/>
      <c r="D91" s="12"/>
      <c r="E91" s="11"/>
      <c r="F91" s="12"/>
      <c r="G91" s="11"/>
      <c r="H91" s="12"/>
      <c r="I91" s="11"/>
      <c r="J91" s="12"/>
      <c r="K91" s="11"/>
      <c r="L91" s="16"/>
    </row>
    <row r="92" spans="2:12" ht="15" customHeight="1" x14ac:dyDescent="0.3">
      <c r="B92" s="15" t="s">
        <v>10</v>
      </c>
      <c r="C92" s="11"/>
      <c r="D92" s="12"/>
      <c r="E92" s="11"/>
      <c r="F92" s="12"/>
      <c r="G92" s="11"/>
      <c r="H92" s="12"/>
      <c r="I92" s="11"/>
      <c r="J92" s="12"/>
      <c r="K92" s="11"/>
      <c r="L92" s="16"/>
    </row>
    <row r="93" spans="2:12" ht="15" customHeight="1" x14ac:dyDescent="0.3">
      <c r="B93" s="15" t="s">
        <v>11</v>
      </c>
      <c r="C93" s="11"/>
      <c r="D93" s="12"/>
      <c r="E93" s="11"/>
      <c r="F93" s="12"/>
      <c r="G93" s="11"/>
      <c r="H93" s="12"/>
      <c r="I93" s="11"/>
      <c r="J93" s="12"/>
      <c r="K93" s="11"/>
      <c r="L93" s="16"/>
    </row>
    <row r="94" spans="2:12" ht="15" customHeight="1" x14ac:dyDescent="0.3">
      <c r="B94" s="20" t="s">
        <v>12</v>
      </c>
      <c r="C94" s="21">
        <f>SUBTOTAL(109,Agosto[Semana 1])</f>
        <v>0</v>
      </c>
      <c r="D94" s="22">
        <f>SUBTOTAL(109,Agosto[Horas extras])</f>
        <v>0</v>
      </c>
      <c r="E94" s="21">
        <f>SUBTOTAL(109,Agosto[Semana 2])</f>
        <v>0</v>
      </c>
      <c r="F94" s="22">
        <f>SUBTOTAL(109,Agosto[[Horas extras ]])</f>
        <v>0</v>
      </c>
      <c r="G94" s="21">
        <f>SUBTOTAL(109,Agosto[Semana 3])</f>
        <v>0</v>
      </c>
      <c r="H94" s="22">
        <f>SUBTOTAL(109,Agosto[[Horas extras  ]])</f>
        <v>0</v>
      </c>
      <c r="I94" s="21">
        <f>SUBTOTAL(109,Agosto[Semana 4])</f>
        <v>0</v>
      </c>
      <c r="J94" s="22">
        <f>SUBTOTAL(109,Agosto[[Horas extras   ]])</f>
        <v>0</v>
      </c>
      <c r="K94" s="21">
        <f>SUBTOTAL(109,Agosto[Semana 5])</f>
        <v>0</v>
      </c>
      <c r="L94" s="23">
        <f>SUBTOTAL(109,Agosto[[Horas extras    ]])</f>
        <v>0</v>
      </c>
    </row>
    <row r="95" spans="2:12" ht="15" customHeight="1" x14ac:dyDescent="0.3">
      <c r="B95" s="14" t="s">
        <v>29</v>
      </c>
      <c r="C95" s="13">
        <f>SUM(Agosto[[#Totals],[Semana 1]],Agosto[[#Totals],[Semana 2]],Agosto[[#Totals],[Semana 3]],Agosto[[#Totals],[Semana 4]],Agosto[[#Totals],[Semana 5]])</f>
        <v>0</v>
      </c>
      <c r="D95" s="25" t="s">
        <v>50</v>
      </c>
      <c r="E95" s="25"/>
      <c r="F95" s="13">
        <f>SUM(Agosto[[#Totals],[Horas extras]],Agosto[[#Totals],[Horas extras ]],Agosto[[#Totals],[Horas extras  ]],Agosto[[#Totals],[Horas extras   ]],Agosto[[#Totals],[Horas extras    ]])</f>
        <v>0</v>
      </c>
    </row>
    <row r="96" spans="2:12" ht="9" customHeight="1" x14ac:dyDescent="0.3"/>
    <row r="97" spans="2:12" ht="15" customHeight="1" x14ac:dyDescent="0.3">
      <c r="B97" s="17" t="s">
        <v>30</v>
      </c>
      <c r="C97" s="18" t="s">
        <v>39</v>
      </c>
      <c r="D97" s="18" t="s">
        <v>42</v>
      </c>
      <c r="E97" s="18" t="s">
        <v>55</v>
      </c>
      <c r="F97" s="18" t="s">
        <v>56</v>
      </c>
      <c r="G97" s="18" t="s">
        <v>59</v>
      </c>
      <c r="H97" s="18" t="s">
        <v>60</v>
      </c>
      <c r="I97" s="18" t="s">
        <v>62</v>
      </c>
      <c r="J97" s="18" t="s">
        <v>63</v>
      </c>
      <c r="K97" s="18" t="s">
        <v>65</v>
      </c>
      <c r="L97" s="19" t="s">
        <v>66</v>
      </c>
    </row>
    <row r="98" spans="2:12" ht="15" customHeight="1" x14ac:dyDescent="0.3">
      <c r="B98" s="15" t="s">
        <v>5</v>
      </c>
      <c r="C98" s="11"/>
      <c r="D98" s="12"/>
      <c r="E98" s="11"/>
      <c r="F98" s="12"/>
      <c r="G98" s="11"/>
      <c r="H98" s="12"/>
      <c r="I98" s="11"/>
      <c r="J98" s="12"/>
      <c r="K98" s="11"/>
      <c r="L98" s="16"/>
    </row>
    <row r="99" spans="2:12" ht="15" customHeight="1" x14ac:dyDescent="0.3">
      <c r="B99" s="15" t="s">
        <v>6</v>
      </c>
      <c r="C99" s="11"/>
      <c r="D99" s="12"/>
      <c r="E99" s="11"/>
      <c r="F99" s="12"/>
      <c r="G99" s="11"/>
      <c r="H99" s="12"/>
      <c r="I99" s="11"/>
      <c r="J99" s="12"/>
      <c r="K99" s="11"/>
      <c r="L99" s="16"/>
    </row>
    <row r="100" spans="2:12" ht="15" customHeight="1" x14ac:dyDescent="0.3">
      <c r="B100" s="15" t="s">
        <v>7</v>
      </c>
      <c r="C100" s="11"/>
      <c r="D100" s="12"/>
      <c r="E100" s="11"/>
      <c r="F100" s="12"/>
      <c r="G100" s="11"/>
      <c r="H100" s="12"/>
      <c r="I100" s="11"/>
      <c r="J100" s="12"/>
      <c r="K100" s="11"/>
      <c r="L100" s="16"/>
    </row>
    <row r="101" spans="2:12" ht="15" customHeight="1" x14ac:dyDescent="0.3">
      <c r="B101" s="15" t="s">
        <v>8</v>
      </c>
      <c r="C101" s="11"/>
      <c r="D101" s="12"/>
      <c r="E101" s="11"/>
      <c r="F101" s="12"/>
      <c r="G101" s="11"/>
      <c r="H101" s="12"/>
      <c r="I101" s="11"/>
      <c r="J101" s="12"/>
      <c r="K101" s="11"/>
      <c r="L101" s="16"/>
    </row>
    <row r="102" spans="2:12" ht="15" customHeight="1" x14ac:dyDescent="0.3">
      <c r="B102" s="15" t="s">
        <v>9</v>
      </c>
      <c r="C102" s="11"/>
      <c r="D102" s="12"/>
      <c r="E102" s="11"/>
      <c r="F102" s="12"/>
      <c r="G102" s="11"/>
      <c r="H102" s="12"/>
      <c r="I102" s="11"/>
      <c r="J102" s="12"/>
      <c r="K102" s="11"/>
      <c r="L102" s="16"/>
    </row>
    <row r="103" spans="2:12" ht="15" customHeight="1" x14ac:dyDescent="0.3">
      <c r="B103" s="15" t="s">
        <v>10</v>
      </c>
      <c r="C103" s="11"/>
      <c r="D103" s="12"/>
      <c r="E103" s="11"/>
      <c r="F103" s="12"/>
      <c r="G103" s="11"/>
      <c r="H103" s="12"/>
      <c r="I103" s="11"/>
      <c r="J103" s="12"/>
      <c r="K103" s="11"/>
      <c r="L103" s="16"/>
    </row>
    <row r="104" spans="2:12" ht="15" customHeight="1" x14ac:dyDescent="0.3">
      <c r="B104" s="15" t="s">
        <v>11</v>
      </c>
      <c r="C104" s="11"/>
      <c r="D104" s="12"/>
      <c r="E104" s="11"/>
      <c r="F104" s="12"/>
      <c r="G104" s="11"/>
      <c r="H104" s="12"/>
      <c r="I104" s="11"/>
      <c r="J104" s="12"/>
      <c r="K104" s="11"/>
      <c r="L104" s="16"/>
    </row>
    <row r="105" spans="2:12" ht="15" customHeight="1" x14ac:dyDescent="0.3">
      <c r="B105" s="20" t="s">
        <v>12</v>
      </c>
      <c r="C105" s="21">
        <f>SUBTOTAL(109,Setembro[Semana 1])</f>
        <v>0</v>
      </c>
      <c r="D105" s="22">
        <f>SUBTOTAL(109,Setembro[Horas extras])</f>
        <v>0</v>
      </c>
      <c r="E105" s="21">
        <f>SUBTOTAL(109,Setembro[Semana 2])</f>
        <v>0</v>
      </c>
      <c r="F105" s="22">
        <f>SUBTOTAL(109,Setembro[[Horas extras ]])</f>
        <v>0</v>
      </c>
      <c r="G105" s="21">
        <f>SUBTOTAL(109,Setembro[Semana 3])</f>
        <v>0</v>
      </c>
      <c r="H105" s="22">
        <f>SUBTOTAL(109,Setembro[[Horas extras  ]])</f>
        <v>0</v>
      </c>
      <c r="I105" s="21">
        <f>SUBTOTAL(109,Setembro[Semana 4])</f>
        <v>0</v>
      </c>
      <c r="J105" s="22">
        <f>SUBTOTAL(109,Setembro[[Horas extras   ]])</f>
        <v>0</v>
      </c>
      <c r="K105" s="21">
        <f>SUBTOTAL(109,Setembro[Semana 5])</f>
        <v>0</v>
      </c>
      <c r="L105" s="23">
        <f>SUBTOTAL(109,Setembro[[Horas extras    ]])</f>
        <v>0</v>
      </c>
    </row>
    <row r="106" spans="2:12" ht="15" customHeight="1" x14ac:dyDescent="0.3">
      <c r="B106" s="14" t="s">
        <v>31</v>
      </c>
      <c r="C106" s="13">
        <f>SUM(Setembro[[#Totals],[Semana 1]],Setembro[[#Totals],[Semana 2]],Setembro[[#Totals],[Semana 3]],Setembro[[#Totals],[Semana 4]],Setembro[[#Totals],[Semana 5]])</f>
        <v>0</v>
      </c>
      <c r="D106" s="25" t="s">
        <v>51</v>
      </c>
      <c r="E106" s="25"/>
      <c r="F106" s="13">
        <f>SUM(Setembro[[#Totals],[Horas extras]],Setembro[[#Totals],[Horas extras ]],Setembro[[#Totals],[Horas extras  ]],Setembro[[#Totals],[Horas extras   ]],Setembro[[#Totals],[Horas extras    ]])</f>
        <v>0</v>
      </c>
    </row>
    <row r="107" spans="2:12" ht="9" customHeight="1" x14ac:dyDescent="0.3">
      <c r="B107" s="7"/>
    </row>
    <row r="108" spans="2:12" s="7" customFormat="1" ht="24.95" customHeight="1" x14ac:dyDescent="0.2">
      <c r="B108" s="27" t="s">
        <v>32</v>
      </c>
      <c r="C108" s="27"/>
      <c r="D108" s="27"/>
      <c r="E108" s="27"/>
      <c r="F108" s="27"/>
      <c r="G108" s="27"/>
      <c r="H108" s="27"/>
      <c r="I108" s="27"/>
      <c r="J108" s="27"/>
      <c r="K108" s="27"/>
      <c r="L108" s="27"/>
    </row>
    <row r="109" spans="2:12" ht="15" customHeight="1" x14ac:dyDescent="0.3">
      <c r="B109" s="17" t="s">
        <v>33</v>
      </c>
      <c r="C109" s="18" t="s">
        <v>39</v>
      </c>
      <c r="D109" s="18" t="s">
        <v>42</v>
      </c>
      <c r="E109" s="18" t="s">
        <v>55</v>
      </c>
      <c r="F109" s="18" t="s">
        <v>56</v>
      </c>
      <c r="G109" s="18" t="s">
        <v>59</v>
      </c>
      <c r="H109" s="18" t="s">
        <v>60</v>
      </c>
      <c r="I109" s="18" t="s">
        <v>62</v>
      </c>
      <c r="J109" s="18" t="s">
        <v>63</v>
      </c>
      <c r="K109" s="18" t="s">
        <v>65</v>
      </c>
      <c r="L109" s="19" t="s">
        <v>66</v>
      </c>
    </row>
    <row r="110" spans="2:12" ht="15" customHeight="1" x14ac:dyDescent="0.3">
      <c r="B110" s="15" t="s">
        <v>5</v>
      </c>
      <c r="C110" s="11"/>
      <c r="D110" s="12"/>
      <c r="E110" s="11"/>
      <c r="F110" s="12"/>
      <c r="G110" s="11"/>
      <c r="H110" s="12"/>
      <c r="I110" s="11"/>
      <c r="J110" s="12"/>
      <c r="K110" s="11"/>
      <c r="L110" s="16"/>
    </row>
    <row r="111" spans="2:12" ht="15" customHeight="1" x14ac:dyDescent="0.3">
      <c r="B111" s="15" t="s">
        <v>6</v>
      </c>
      <c r="C111" s="11"/>
      <c r="D111" s="12"/>
      <c r="E111" s="11"/>
      <c r="F111" s="12"/>
      <c r="G111" s="11"/>
      <c r="H111" s="12"/>
      <c r="I111" s="11"/>
      <c r="J111" s="12"/>
      <c r="K111" s="11"/>
      <c r="L111" s="16"/>
    </row>
    <row r="112" spans="2:12" ht="15" customHeight="1" x14ac:dyDescent="0.3">
      <c r="B112" s="15" t="s">
        <v>7</v>
      </c>
      <c r="C112" s="11"/>
      <c r="D112" s="12"/>
      <c r="E112" s="11"/>
      <c r="F112" s="12"/>
      <c r="G112" s="11"/>
      <c r="H112" s="12"/>
      <c r="I112" s="11"/>
      <c r="J112" s="12"/>
      <c r="K112" s="11"/>
      <c r="L112" s="16"/>
    </row>
    <row r="113" spans="2:12" ht="15" customHeight="1" x14ac:dyDescent="0.3">
      <c r="B113" s="15" t="s">
        <v>8</v>
      </c>
      <c r="C113" s="11"/>
      <c r="D113" s="12"/>
      <c r="E113" s="11"/>
      <c r="F113" s="12"/>
      <c r="G113" s="11"/>
      <c r="H113" s="12"/>
      <c r="I113" s="11"/>
      <c r="J113" s="12"/>
      <c r="K113" s="11"/>
      <c r="L113" s="16"/>
    </row>
    <row r="114" spans="2:12" ht="15" customHeight="1" x14ac:dyDescent="0.3">
      <c r="B114" s="15" t="s">
        <v>9</v>
      </c>
      <c r="C114" s="11"/>
      <c r="D114" s="12"/>
      <c r="E114" s="11"/>
      <c r="F114" s="12"/>
      <c r="G114" s="11"/>
      <c r="H114" s="12"/>
      <c r="I114" s="11"/>
      <c r="J114" s="12"/>
      <c r="K114" s="11"/>
      <c r="L114" s="16"/>
    </row>
    <row r="115" spans="2:12" ht="15" customHeight="1" x14ac:dyDescent="0.3">
      <c r="B115" s="15" t="s">
        <v>10</v>
      </c>
      <c r="C115" s="11"/>
      <c r="D115" s="12"/>
      <c r="E115" s="11"/>
      <c r="F115" s="12"/>
      <c r="G115" s="11"/>
      <c r="H115" s="12"/>
      <c r="I115" s="11"/>
      <c r="J115" s="12"/>
      <c r="K115" s="11"/>
      <c r="L115" s="16"/>
    </row>
    <row r="116" spans="2:12" ht="15" customHeight="1" x14ac:dyDescent="0.3">
      <c r="B116" s="15" t="s">
        <v>11</v>
      </c>
      <c r="C116" s="11"/>
      <c r="D116" s="12"/>
      <c r="E116" s="11"/>
      <c r="F116" s="12"/>
      <c r="G116" s="11"/>
      <c r="H116" s="12"/>
      <c r="I116" s="11"/>
      <c r="J116" s="12"/>
      <c r="K116" s="11"/>
      <c r="L116" s="16"/>
    </row>
    <row r="117" spans="2:12" ht="15" customHeight="1" x14ac:dyDescent="0.3">
      <c r="B117" s="20" t="s">
        <v>12</v>
      </c>
      <c r="C117" s="21">
        <f>SUBTOTAL(109,Outubro[Semana 1])</f>
        <v>0</v>
      </c>
      <c r="D117" s="22">
        <f>SUBTOTAL(109,Outubro[Horas extras])</f>
        <v>0</v>
      </c>
      <c r="E117" s="21">
        <f>SUBTOTAL(109,Outubro[Semana 2])</f>
        <v>0</v>
      </c>
      <c r="F117" s="22">
        <f>SUBTOTAL(109,Outubro[[Horas extras ]])</f>
        <v>0</v>
      </c>
      <c r="G117" s="21">
        <f>SUBTOTAL(109,Outubro[Semana 3])</f>
        <v>0</v>
      </c>
      <c r="H117" s="22">
        <f>SUBTOTAL(109,Outubro[[Horas extras  ]])</f>
        <v>0</v>
      </c>
      <c r="I117" s="21">
        <f>SUBTOTAL(109,Outubro[Semana 4])</f>
        <v>0</v>
      </c>
      <c r="J117" s="22">
        <f>SUBTOTAL(109,Outubro[[Horas extras   ]])</f>
        <v>0</v>
      </c>
      <c r="K117" s="21">
        <f>SUBTOTAL(109,Outubro[Semana 5])</f>
        <v>0</v>
      </c>
      <c r="L117" s="23">
        <f>SUBTOTAL(109,Outubro[[Horas extras    ]])</f>
        <v>0</v>
      </c>
    </row>
    <row r="118" spans="2:12" ht="15" customHeight="1" x14ac:dyDescent="0.3">
      <c r="B118" s="14" t="s">
        <v>34</v>
      </c>
      <c r="C118" s="13">
        <f>SUM(Outubro[[#Totals],[Semana 1]],Outubro[[#Totals],[Semana 2]],Outubro[[#Totals],[Semana 3]],Outubro[[#Totals],[Semana 4]],Outubro[[#Totals],[Semana 5]])</f>
        <v>0</v>
      </c>
      <c r="D118" s="25" t="s">
        <v>52</v>
      </c>
      <c r="E118" s="25"/>
      <c r="F118" s="13">
        <f>SUM(Outubro[[#Totals],[Horas extras]],Outubro[[#Totals],[Horas extras ]],Outubro[[#Totals],[Horas extras  ]],Outubro[[#Totals],[Horas extras   ]],Outubro[[#Totals],[Horas extras    ]])</f>
        <v>0</v>
      </c>
    </row>
    <row r="119" spans="2:12" ht="9" customHeight="1" x14ac:dyDescent="0.3"/>
    <row r="120" spans="2:12" ht="15" customHeight="1" x14ac:dyDescent="0.3">
      <c r="B120" s="17" t="s">
        <v>35</v>
      </c>
      <c r="C120" s="18" t="s">
        <v>39</v>
      </c>
      <c r="D120" s="18" t="s">
        <v>42</v>
      </c>
      <c r="E120" s="18" t="s">
        <v>55</v>
      </c>
      <c r="F120" s="18" t="s">
        <v>56</v>
      </c>
      <c r="G120" s="18" t="s">
        <v>59</v>
      </c>
      <c r="H120" s="18" t="s">
        <v>60</v>
      </c>
      <c r="I120" s="18" t="s">
        <v>62</v>
      </c>
      <c r="J120" s="18" t="s">
        <v>63</v>
      </c>
      <c r="K120" s="18" t="s">
        <v>65</v>
      </c>
      <c r="L120" s="19" t="s">
        <v>66</v>
      </c>
    </row>
    <row r="121" spans="2:12" ht="15" customHeight="1" x14ac:dyDescent="0.3">
      <c r="B121" s="15" t="s">
        <v>5</v>
      </c>
      <c r="C121" s="11"/>
      <c r="D121" s="12"/>
      <c r="E121" s="11"/>
      <c r="F121" s="12"/>
      <c r="G121" s="11"/>
      <c r="H121" s="12"/>
      <c r="I121" s="11"/>
      <c r="J121" s="12"/>
      <c r="K121" s="11"/>
      <c r="L121" s="16"/>
    </row>
    <row r="122" spans="2:12" ht="15" customHeight="1" x14ac:dyDescent="0.3">
      <c r="B122" s="15" t="s">
        <v>6</v>
      </c>
      <c r="C122" s="11"/>
      <c r="D122" s="12"/>
      <c r="E122" s="11"/>
      <c r="F122" s="12"/>
      <c r="G122" s="11"/>
      <c r="H122" s="12"/>
      <c r="I122" s="11"/>
      <c r="J122" s="12"/>
      <c r="K122" s="11"/>
      <c r="L122" s="16"/>
    </row>
    <row r="123" spans="2:12" ht="15" customHeight="1" x14ac:dyDescent="0.3">
      <c r="B123" s="15" t="s">
        <v>7</v>
      </c>
      <c r="C123" s="11"/>
      <c r="D123" s="12"/>
      <c r="E123" s="11"/>
      <c r="F123" s="12"/>
      <c r="G123" s="11"/>
      <c r="H123" s="12"/>
      <c r="I123" s="11"/>
      <c r="J123" s="12"/>
      <c r="K123" s="11"/>
      <c r="L123" s="16"/>
    </row>
    <row r="124" spans="2:12" ht="15" customHeight="1" x14ac:dyDescent="0.3">
      <c r="B124" s="15" t="s">
        <v>8</v>
      </c>
      <c r="C124" s="11"/>
      <c r="D124" s="12"/>
      <c r="E124" s="11"/>
      <c r="F124" s="12"/>
      <c r="G124" s="11"/>
      <c r="H124" s="12"/>
      <c r="I124" s="11"/>
      <c r="J124" s="12"/>
      <c r="K124" s="11"/>
      <c r="L124" s="16"/>
    </row>
    <row r="125" spans="2:12" ht="15" customHeight="1" x14ac:dyDescent="0.3">
      <c r="B125" s="15" t="s">
        <v>9</v>
      </c>
      <c r="C125" s="11"/>
      <c r="D125" s="12"/>
      <c r="E125" s="11"/>
      <c r="F125" s="12"/>
      <c r="G125" s="11"/>
      <c r="H125" s="12"/>
      <c r="I125" s="11"/>
      <c r="J125" s="12"/>
      <c r="K125" s="11"/>
      <c r="L125" s="16"/>
    </row>
    <row r="126" spans="2:12" ht="15" customHeight="1" x14ac:dyDescent="0.3">
      <c r="B126" s="15" t="s">
        <v>10</v>
      </c>
      <c r="C126" s="11"/>
      <c r="D126" s="12"/>
      <c r="E126" s="11"/>
      <c r="F126" s="12"/>
      <c r="G126" s="11"/>
      <c r="H126" s="12"/>
      <c r="I126" s="11"/>
      <c r="J126" s="12"/>
      <c r="K126" s="11"/>
      <c r="L126" s="16"/>
    </row>
    <row r="127" spans="2:12" ht="15" customHeight="1" x14ac:dyDescent="0.3">
      <c r="B127" s="15" t="s">
        <v>11</v>
      </c>
      <c r="C127" s="11"/>
      <c r="D127" s="12"/>
      <c r="E127" s="11"/>
      <c r="F127" s="12"/>
      <c r="G127" s="11"/>
      <c r="H127" s="12"/>
      <c r="I127" s="11"/>
      <c r="J127" s="12"/>
      <c r="K127" s="11"/>
      <c r="L127" s="16"/>
    </row>
    <row r="128" spans="2:12" ht="15" customHeight="1" x14ac:dyDescent="0.3">
      <c r="B128" s="20" t="s">
        <v>12</v>
      </c>
      <c r="C128" s="21">
        <f>SUBTOTAL(109,Novembro[Semana 1])</f>
        <v>0</v>
      </c>
      <c r="D128" s="22">
        <f>SUBTOTAL(109,Novembro[Horas extras])</f>
        <v>0</v>
      </c>
      <c r="E128" s="21">
        <f>SUBTOTAL(109,Novembro[Semana 2])</f>
        <v>0</v>
      </c>
      <c r="F128" s="22">
        <f>SUBTOTAL(109,Novembro[[Horas extras ]])</f>
        <v>0</v>
      </c>
      <c r="G128" s="21">
        <f>SUBTOTAL(109,Novembro[Semana 3])</f>
        <v>0</v>
      </c>
      <c r="H128" s="22">
        <f>SUBTOTAL(109,Novembro[[Horas extras  ]])</f>
        <v>0</v>
      </c>
      <c r="I128" s="21">
        <f>SUBTOTAL(109,Novembro[Semana 4])</f>
        <v>0</v>
      </c>
      <c r="J128" s="22">
        <f>SUBTOTAL(109,Novembro[[Horas extras   ]])</f>
        <v>0</v>
      </c>
      <c r="K128" s="21">
        <f>SUBTOTAL(109,Novembro[Semana 5])</f>
        <v>0</v>
      </c>
      <c r="L128" s="23">
        <f>SUBTOTAL(109,Novembro[[Horas extras    ]])</f>
        <v>0</v>
      </c>
    </row>
    <row r="129" spans="2:12" ht="15" customHeight="1" x14ac:dyDescent="0.3">
      <c r="B129" s="14" t="s">
        <v>36</v>
      </c>
      <c r="C129" s="13">
        <f>SUM(Novembro[[#Totals],[Semana 1]],Novembro[[#Totals],[Semana 2]],Novembro[[#Totals],[Semana 3]],Novembro[[#Totals],[Semana 4]],Novembro[[#Totals],[Semana 5]])</f>
        <v>0</v>
      </c>
      <c r="D129" s="25" t="s">
        <v>53</v>
      </c>
      <c r="E129" s="25"/>
      <c r="F129" s="13">
        <f>SUM(Novembro[[#Totals],[Horas extras]],Novembro[[#Totals],[Horas extras ]],Novembro[[#Totals],[Horas extras  ]],Novembro[[#Totals],[Horas extras   ]],Novembro[[#Totals],[Horas extras    ]])</f>
        <v>0</v>
      </c>
    </row>
    <row r="130" spans="2:12" ht="9" customHeight="1" x14ac:dyDescent="0.3"/>
    <row r="131" spans="2:12" ht="15" customHeight="1" x14ac:dyDescent="0.3">
      <c r="B131" s="17" t="s">
        <v>37</v>
      </c>
      <c r="C131" s="18" t="s">
        <v>39</v>
      </c>
      <c r="D131" s="18" t="s">
        <v>42</v>
      </c>
      <c r="E131" s="18" t="s">
        <v>55</v>
      </c>
      <c r="F131" s="18" t="s">
        <v>56</v>
      </c>
      <c r="G131" s="18" t="s">
        <v>59</v>
      </c>
      <c r="H131" s="18" t="s">
        <v>60</v>
      </c>
      <c r="I131" s="18" t="s">
        <v>62</v>
      </c>
      <c r="J131" s="18" t="s">
        <v>63</v>
      </c>
      <c r="K131" s="18" t="s">
        <v>65</v>
      </c>
      <c r="L131" s="19" t="s">
        <v>66</v>
      </c>
    </row>
    <row r="132" spans="2:12" ht="15" customHeight="1" x14ac:dyDescent="0.3">
      <c r="B132" s="15" t="s">
        <v>5</v>
      </c>
      <c r="C132" s="11"/>
      <c r="D132" s="12"/>
      <c r="E132" s="11"/>
      <c r="F132" s="12"/>
      <c r="G132" s="11"/>
      <c r="H132" s="12"/>
      <c r="I132" s="11"/>
      <c r="J132" s="12"/>
      <c r="K132" s="11"/>
      <c r="L132" s="16"/>
    </row>
    <row r="133" spans="2:12" ht="15" customHeight="1" x14ac:dyDescent="0.3">
      <c r="B133" s="15" t="s">
        <v>6</v>
      </c>
      <c r="C133" s="11"/>
      <c r="D133" s="12"/>
      <c r="E133" s="11"/>
      <c r="F133" s="12"/>
      <c r="G133" s="11"/>
      <c r="H133" s="12"/>
      <c r="I133" s="11"/>
      <c r="J133" s="12"/>
      <c r="K133" s="11"/>
      <c r="L133" s="16"/>
    </row>
    <row r="134" spans="2:12" ht="15" customHeight="1" x14ac:dyDescent="0.3">
      <c r="B134" s="15" t="s">
        <v>7</v>
      </c>
      <c r="C134" s="11"/>
      <c r="D134" s="12"/>
      <c r="E134" s="11"/>
      <c r="F134" s="12"/>
      <c r="G134" s="11"/>
      <c r="H134" s="12"/>
      <c r="I134" s="11"/>
      <c r="J134" s="12"/>
      <c r="K134" s="11"/>
      <c r="L134" s="16"/>
    </row>
    <row r="135" spans="2:12" ht="15" customHeight="1" x14ac:dyDescent="0.3">
      <c r="B135" s="15" t="s">
        <v>8</v>
      </c>
      <c r="C135" s="11"/>
      <c r="D135" s="12"/>
      <c r="E135" s="11"/>
      <c r="F135" s="12"/>
      <c r="G135" s="11"/>
      <c r="H135" s="12"/>
      <c r="I135" s="11"/>
      <c r="J135" s="12"/>
      <c r="K135" s="11"/>
      <c r="L135" s="16"/>
    </row>
    <row r="136" spans="2:12" ht="15" customHeight="1" x14ac:dyDescent="0.3">
      <c r="B136" s="15" t="s">
        <v>9</v>
      </c>
      <c r="C136" s="11"/>
      <c r="D136" s="12"/>
      <c r="E136" s="11"/>
      <c r="F136" s="12"/>
      <c r="G136" s="11"/>
      <c r="H136" s="12"/>
      <c r="I136" s="11"/>
      <c r="J136" s="12"/>
      <c r="K136" s="11"/>
      <c r="L136" s="16"/>
    </row>
    <row r="137" spans="2:12" ht="15" customHeight="1" x14ac:dyDescent="0.3">
      <c r="B137" s="15" t="s">
        <v>10</v>
      </c>
      <c r="C137" s="11"/>
      <c r="D137" s="12"/>
      <c r="E137" s="11"/>
      <c r="F137" s="12"/>
      <c r="G137" s="11"/>
      <c r="H137" s="12"/>
      <c r="I137" s="11"/>
      <c r="J137" s="12"/>
      <c r="K137" s="11"/>
      <c r="L137" s="16"/>
    </row>
    <row r="138" spans="2:12" ht="15" customHeight="1" x14ac:dyDescent="0.3">
      <c r="B138" s="15" t="s">
        <v>11</v>
      </c>
      <c r="C138" s="11"/>
      <c r="D138" s="12"/>
      <c r="E138" s="11"/>
      <c r="F138" s="12"/>
      <c r="G138" s="11"/>
      <c r="H138" s="12"/>
      <c r="I138" s="11"/>
      <c r="J138" s="12"/>
      <c r="K138" s="11"/>
      <c r="L138" s="16"/>
    </row>
    <row r="139" spans="2:12" ht="15" customHeight="1" x14ac:dyDescent="0.3">
      <c r="B139" s="20" t="s">
        <v>12</v>
      </c>
      <c r="C139" s="21">
        <f>SUBTOTAL(109,Dezembro[Semana 1])</f>
        <v>0</v>
      </c>
      <c r="D139" s="22">
        <f>SUBTOTAL(109,Dezembro[Horas extras])</f>
        <v>0</v>
      </c>
      <c r="E139" s="21">
        <f>SUBTOTAL(109,Dezembro[Semana 2])</f>
        <v>0</v>
      </c>
      <c r="F139" s="22">
        <f>SUBTOTAL(109,Dezembro[[Horas extras ]])</f>
        <v>0</v>
      </c>
      <c r="G139" s="21">
        <f>SUBTOTAL(109,Dezembro[Semana 3])</f>
        <v>0</v>
      </c>
      <c r="H139" s="22">
        <f>SUBTOTAL(109,Dezembro[[Horas extras  ]])</f>
        <v>0</v>
      </c>
      <c r="I139" s="21">
        <f>SUBTOTAL(109,Dezembro[Semana 4])</f>
        <v>0</v>
      </c>
      <c r="J139" s="22">
        <f>SUBTOTAL(109,Dezembro[[Horas extras   ]])</f>
        <v>0</v>
      </c>
      <c r="K139" s="21">
        <f>SUBTOTAL(109,Dezembro[Semana 5])</f>
        <v>0</v>
      </c>
      <c r="L139" s="23">
        <f>SUBTOTAL(109,Dezembro[[Horas extras    ]])</f>
        <v>0</v>
      </c>
    </row>
    <row r="140" spans="2:12" ht="15" customHeight="1" x14ac:dyDescent="0.3">
      <c r="B140" s="14" t="s">
        <v>38</v>
      </c>
      <c r="C140" s="13">
        <f>SUM(Dezembro[[#Totals],[Semana 1]],Dezembro[[#Totals],[Semana 2]],Dezembro[[#Totals],[Semana 3]],Dezembro[[#Totals],[Semana 4]],Dezembro[[#Totals],[Semana 5]])</f>
        <v>0</v>
      </c>
      <c r="D140" s="25" t="s">
        <v>54</v>
      </c>
      <c r="E140" s="25"/>
      <c r="F140" s="13">
        <f>SUM(Dezembro[[#Totals],[Horas extras]],Dezembro[[#Totals],[Horas extras ]],Dezembro[[#Totals],[Horas extras  ]],Dezembro[[#Totals],[Horas extras   ]],Dezembro[[#Totals],[Horas extras    ]])</f>
        <v>0</v>
      </c>
    </row>
  </sheetData>
  <mergeCells count="19">
    <mergeCell ref="D95:E95"/>
    <mergeCell ref="D84:E84"/>
    <mergeCell ref="G3:H3"/>
    <mergeCell ref="I3:J3"/>
    <mergeCell ref="D118:E118"/>
    <mergeCell ref="D106:E106"/>
    <mergeCell ref="D140:E140"/>
    <mergeCell ref="B1:L2"/>
    <mergeCell ref="D129:E129"/>
    <mergeCell ref="B6:L6"/>
    <mergeCell ref="D16:E16"/>
    <mergeCell ref="D27:E27"/>
    <mergeCell ref="B108:L108"/>
    <mergeCell ref="B74:L74"/>
    <mergeCell ref="D38:E38"/>
    <mergeCell ref="D61:E61"/>
    <mergeCell ref="B40:L40"/>
    <mergeCell ref="D50:E50"/>
    <mergeCell ref="D72:E72"/>
  </mergeCells>
  <phoneticPr fontId="1" type="noConversion"/>
  <dataValidations count="100">
    <dataValidation allowBlank="1" showInputMessage="1" showErrorMessage="1" prompt="Crie um Cartão de ponto de funcionário diário, semanal, mensal e anual Employee nesta planilha. As horas Normais, Extras e Totais são calculadas automaticamente" sqref="A1" xr:uid="{00000000-0002-0000-0000-000000000000}"/>
    <dataValidation allowBlank="1" showInputMessage="1" showErrorMessage="1" prompt="Insira o Nome do Funcionário na célula à direita" sqref="B3" xr:uid="{00000000-0002-0000-0000-000001000000}"/>
    <dataValidation allowBlank="1" showInputMessage="1" showErrorMessage="1" prompt="Insira o Nome do Gerente na célula à direita" sqref="B4" xr:uid="{00000000-0002-0000-0000-000002000000}"/>
    <dataValidation allowBlank="1" showInputMessage="1" showErrorMessage="1" prompt="Insira o Endereço de email na célula à direita" sqref="D3" xr:uid="{00000000-0002-0000-0000-000003000000}"/>
    <dataValidation allowBlank="1" showInputMessage="1" showErrorMessage="1" prompt="Insira o Endereço de email nesta célula" sqref="E3" xr:uid="{00000000-0002-0000-0000-000004000000}"/>
    <dataValidation allowBlank="1" showInputMessage="1" showErrorMessage="1" prompt="Insira o número de telefone na célula à direita." sqref="D4" xr:uid="{00000000-0002-0000-0000-000005000000}"/>
    <dataValidation allowBlank="1" showInputMessage="1" showErrorMessage="1" prompt="Insira o Telefone nesta célula" sqref="E4" xr:uid="{00000000-0002-0000-0000-000006000000}"/>
    <dataValidation allowBlank="1" showInputMessage="1" showErrorMessage="1" prompt="As horas normais são calculadas automaticamente na célula à direita" sqref="G4" xr:uid="{00000000-0002-0000-0000-000007000000}"/>
    <dataValidation allowBlank="1" showInputMessage="1" showErrorMessage="1" prompt="As horas normais são calculadas automaticamente nesta célula" sqref="H4" xr:uid="{00000000-0002-0000-0000-000008000000}"/>
    <dataValidation allowBlank="1" showInputMessage="1" showErrorMessage="1" prompt="As horas extras são calculadas automaticamente na célula à direita" sqref="I4" xr:uid="{00000000-0002-0000-0000-000009000000}"/>
    <dataValidation allowBlank="1" showInputMessage="1" showErrorMessage="1" prompt="As horas extras são calculadas automaticamente nesta célula" sqref="J4" xr:uid="{00000000-0002-0000-0000-00000A000000}"/>
    <dataValidation allowBlank="1" showInputMessage="1" showErrorMessage="1" prompt="As horas totais são calculadas automaticamente na célula à direita" sqref="K4" xr:uid="{00000000-0002-0000-0000-00000B000000}"/>
    <dataValidation allowBlank="1" showInputMessage="1" showErrorMessage="1" prompt="O total de horas é calculado automaticamente nessa célula. Insira as horas normais e extras para cada dia da semana de janeiro na tabela que começa na célula B7" sqref="L4" xr:uid="{00000000-0002-0000-0000-00000C000000}"/>
    <dataValidation allowBlank="1" showInputMessage="1" showErrorMessage="1" prompt="Os dias da semana estão nesta coluna para este mês" sqref="B7 B18 B29 B52 B63 B75 B86 B97 B109 B120 B131 B41" xr:uid="{00000000-0002-0000-0000-00000D000000}"/>
    <dataValidation allowBlank="1" showInputMessage="1" showErrorMessage="1" prompt="Insira as horas normais da Semana 1 na coluna sob este cabeçalho" sqref="C7 C18 C29 C131 C120 C109 C97 C86 C75 C63 C52 C41" xr:uid="{00000000-0002-0000-0000-00000E000000}"/>
    <dataValidation allowBlank="1" showInputMessage="1" showErrorMessage="1" prompt="Insira as horas extras na coluna sob este cabeçalho" sqref="D7 D18 D29 F18 F29 F7 H7 H18 H29 J7 J18 J29 D41 F41 H41 J41 F120 D52 F52 H52 J52 J131 D63 F63 H63 J63 H131 D75 F75 H75 J75 F131 D86 F86 H86 J86 D131 D97 F97 H97 J97 H120 D109 F109 H109 J109 J120 D120" xr:uid="{00000000-0002-0000-0000-00000F000000}"/>
    <dataValidation allowBlank="1" showInputMessage="1" showErrorMessage="1" prompt="Insira as horas normais da Semana 2 na coluna sob este cabeçalho" sqref="E7 E18 E29 E131 E120 E109 E97 E86 E75 E63 E52 E41" xr:uid="{00000000-0002-0000-0000-000010000000}"/>
    <dataValidation allowBlank="1" showInputMessage="1" showErrorMessage="1" prompt="Insira as horas normais da Semana 3 na coluna sob este cabeçalho" sqref="G7 G18 G29 G41 G52 G63 G75 G86 G97 G109 G120 G131" xr:uid="{00000000-0002-0000-0000-000011000000}"/>
    <dataValidation allowBlank="1" showInputMessage="1" showErrorMessage="1" prompt="Insira as horas normais da Semana 4 na coluna sob este cabeçalho" sqref="I7 I18 I29 I131 I120 I109 I97 I86 I75 I63 I52 I41" xr:uid="{00000000-0002-0000-0000-000012000000}"/>
    <dataValidation allowBlank="1" showInputMessage="1" showErrorMessage="1" prompt="Insira as horas normais da Semana 5 na coluna sob este cabeçalho" sqref="K7 K18 K29 K41 K52 K63 K75 K86 K97 K109 K120 K131" xr:uid="{00000000-0002-0000-0000-000013000000}"/>
    <dataValidation allowBlank="1" showInputMessage="1" showErrorMessage="1" prompt="Insira as Horas extras nesta coluna sob este título. O total de horas semanais é calculado automaticamente no final da tabela, as Horas Normais Totais de janeiro na célula C16 e as Horas extras na célula F16" sqref="L7" xr:uid="{00000000-0002-0000-0000-000014000000}"/>
    <dataValidation allowBlank="1" showInputMessage="1" showErrorMessage="1" prompt="O título desta planilha está nesta célula. Digite os detalhes nas células C3, C4, E3, E4, H3 e I3. As Horas normais são atualizadas automaticamente na célula H4, as Horas extras na célula J4 e as Horas totais na célula L4" sqref="B1:L2" xr:uid="{00000000-0002-0000-0000-000015000000}"/>
    <dataValidation allowBlank="1" showInputMessage="1" showErrorMessage="1" prompt="Insira o Nome do funcionário nesta célula" sqref="C3" xr:uid="{00000000-0002-0000-0000-000016000000}"/>
    <dataValidation allowBlank="1" showInputMessage="1" showErrorMessage="1" prompt="Insira o Nome do Gerente nesta célula" sqref="C4" xr:uid="{00000000-0002-0000-0000-000017000000}"/>
    <dataValidation allowBlank="1" showInputMessage="1" showErrorMessage="1" prompt="Insira as horas de janeiro na tabela abaixo, as horas de fevereiro na tabela que começa na célula B18 e as horas de março na tabela que começa na célula B29. Os totais são calculados automaticamente " sqref="B6:L6" xr:uid="{00000000-0002-0000-0000-000018000000}"/>
    <dataValidation allowBlank="1" showInputMessage="1" showErrorMessage="1" prompt="As Horas Normais Totais de janeiro são calculadas automaticamente na célula à direita" sqref="B16" xr:uid="{00000000-0002-0000-0000-000019000000}"/>
    <dataValidation allowBlank="1" showInputMessage="1" showErrorMessage="1" prompt="As Horas Normais Totais de janeiro são calculadas automaticamente nesta célula" sqref="C16" xr:uid="{00000000-0002-0000-0000-00001A000000}"/>
    <dataValidation allowBlank="1" showInputMessage="1" showErrorMessage="1" prompt="As Horas Extras Totais de janeiro são calculadas automaticamente na célula à direita" sqref="D16:E16" xr:uid="{00000000-0002-0000-0000-00001B000000}"/>
    <dataValidation allowBlank="1" showInputMessage="1" showErrorMessage="1" prompt="As Horas Extras Totais de janeiro são calculadas automaticamente nesta célula" sqref="F16" xr:uid="{00000000-0002-0000-0000-00001C000000}"/>
    <dataValidation allowBlank="1" showInputMessage="1" showErrorMessage="1" prompt="Inserir as horas de fevereiro na tabela abaixo" sqref="B17" xr:uid="{00000000-0002-0000-0000-00001D000000}"/>
    <dataValidation allowBlank="1" showInputMessage="1" showErrorMessage="1" prompt="Insira as Horas extras nesta coluna sob este título. O total de horas semanais é calculado automaticamente no final da tabela, as Horas Normais Totais de fevereiro na célula C27 e as Horas Extras na célula F27" sqref="L18" xr:uid="{00000000-0002-0000-0000-00001E000000}"/>
    <dataValidation allowBlank="1" showInputMessage="1" showErrorMessage="1" prompt="As Horas Normais Totais de fevereiro são calculadas automaticamente na célula à direita" sqref="B27" xr:uid="{00000000-0002-0000-0000-00001F000000}"/>
    <dataValidation allowBlank="1" showInputMessage="1" showErrorMessage="1" prompt="As Horas Normais Totais de fevereiro são calculadas automaticamente nesta célula" sqref="C27" xr:uid="{00000000-0002-0000-0000-000020000000}"/>
    <dataValidation allowBlank="1" showInputMessage="1" showErrorMessage="1" prompt="As Horas Extras Totais de fevereiro são calculadas automaticamente na célula à direita" sqref="D27:E27" xr:uid="{00000000-0002-0000-0000-000021000000}"/>
    <dataValidation allowBlank="1" showInputMessage="1" showErrorMessage="1" prompt="As Horas Extras Totais de fevereiro são calculadas automaticamente nesta célula" sqref="F27" xr:uid="{00000000-0002-0000-0000-000022000000}"/>
    <dataValidation allowBlank="1" showInputMessage="1" showErrorMessage="1" prompt="Inserir as oras de março na tabela abaixo" sqref="B28" xr:uid="{00000000-0002-0000-0000-000023000000}"/>
    <dataValidation allowBlank="1" showInputMessage="1" showErrorMessage="1" prompt="As Horas Normais Totais de março são calculadas automaticamente na célula à direita" sqref="B38" xr:uid="{00000000-0002-0000-0000-000024000000}"/>
    <dataValidation allowBlank="1" showInputMessage="1" showErrorMessage="1" prompt="As Horas Normais Totais de março são calculadas automaticamente nesta célula" sqref="C38" xr:uid="{00000000-0002-0000-0000-000025000000}"/>
    <dataValidation allowBlank="1" showInputMessage="1" showErrorMessage="1" prompt="As Horas Extras Totais de março são calculadas automaticamente na célula à direita" sqref="D38:E38" xr:uid="{00000000-0002-0000-0000-000026000000}"/>
    <dataValidation allowBlank="1" showInputMessage="1" showErrorMessage="1" prompt="As Horas Extras Totais de março são calculadas automaticamente nesta célula" sqref="F38" xr:uid="{00000000-0002-0000-0000-000027000000}"/>
    <dataValidation allowBlank="1" showInputMessage="1" showErrorMessage="1" prompt="Insira as horas normais e extras para cada dia da semana em tabelas chamadas Abril, Maio e Junho. O rótulo está na célula abaixo" sqref="B39" xr:uid="{00000000-0002-0000-0000-000028000000}"/>
    <dataValidation allowBlank="1" showInputMessage="1" showErrorMessage="1" prompt="Insira as horas de abril na tabela que começa na célula B41, as horas de maio na tabela que começa na célula B52 e as horas de junho na tabela que começa na célula B63. Os totais são calculados automaticamente" sqref="B40:L40" xr:uid="{00000000-0002-0000-0000-000029000000}"/>
    <dataValidation allowBlank="1" showInputMessage="1" showErrorMessage="1" prompt="Insira as Horas extras nesta coluna sob este título. O total de horas semanais é calculado automaticamente no final da tabela, as Horas Normais Totais de abril na célula C50 e as Horas extras na célula F50" sqref="L41" xr:uid="{00000000-0002-0000-0000-00002A000000}"/>
    <dataValidation allowBlank="1" showInputMessage="1" showErrorMessage="1" prompt="Insira as Horas extras nesta coluna sob este título. O total de horas semanais é calculado automaticamente no final da tabela, as Horas Normais Totais de março na célula C38 e as Horas extras na célula F38" sqref="L29" xr:uid="{00000000-0002-0000-0000-00002B000000}"/>
    <dataValidation allowBlank="1" showInputMessage="1" showErrorMessage="1" prompt="As Horas Normais Totais de abril são calculadas automaticamente na célula à direita" sqref="B50" xr:uid="{00000000-0002-0000-0000-00002C000000}"/>
    <dataValidation allowBlank="1" showInputMessage="1" showErrorMessage="1" prompt="As Horas Normais Totais de abril são calculadas automaticamente nesta célula" sqref="C50" xr:uid="{00000000-0002-0000-0000-00002D000000}"/>
    <dataValidation allowBlank="1" showInputMessage="1" showErrorMessage="1" prompt="As Horas Extras Totais de abril são calculadas automaticamente na célula à direita" sqref="D50:E50" xr:uid="{00000000-0002-0000-0000-00002E000000}"/>
    <dataValidation allowBlank="1" showInputMessage="1" showErrorMessage="1" prompt="As Horas Extras Totais de abril são calculadas automaticamente nesta célula" sqref="F50" xr:uid="{00000000-0002-0000-0000-00002F000000}"/>
    <dataValidation allowBlank="1" showInputMessage="1" showErrorMessage="1" prompt="Inserir as horas de maio na tabela abaixo" sqref="B51" xr:uid="{00000000-0002-0000-0000-000030000000}"/>
    <dataValidation allowBlank="1" showInputMessage="1" showErrorMessage="1" prompt="Insira as Horas extras nesta coluna sob este título. O total de horas semanais é calculado automaticamente no final da tabela, as Horas Normais Totais de maio na célula C61 e as Horas extras na célula F61" sqref="L52" xr:uid="{00000000-0002-0000-0000-000031000000}"/>
    <dataValidation allowBlank="1" showInputMessage="1" showErrorMessage="1" prompt="As Horas Normais Totais de maio são calculadas automaticamente na célula à direita" sqref="B61" xr:uid="{00000000-0002-0000-0000-000032000000}"/>
    <dataValidation allowBlank="1" showInputMessage="1" showErrorMessage="1" prompt="As Horas Normais Totais de maio são calculadas automaticamente nesta célula" sqref="C61" xr:uid="{00000000-0002-0000-0000-000033000000}"/>
    <dataValidation allowBlank="1" showInputMessage="1" showErrorMessage="1" prompt="As Horas Extras Totais de maio são calculadas automaticamente na célula à direita" sqref="D61:E61" xr:uid="{00000000-0002-0000-0000-000034000000}"/>
    <dataValidation allowBlank="1" showInputMessage="1" showErrorMessage="1" prompt="As Horas Extras Totais de maio são calculadas automaticamente nesta célula" sqref="F61" xr:uid="{00000000-0002-0000-0000-000035000000}"/>
    <dataValidation allowBlank="1" showInputMessage="1" showErrorMessage="1" prompt="Inserir as horas de junho na tabela abaixo" sqref="B62" xr:uid="{00000000-0002-0000-0000-000036000000}"/>
    <dataValidation allowBlank="1" showInputMessage="1" showErrorMessage="1" prompt="Insira as Horas extras nesta coluna sob este título. O total de horas semanais é calculado automaticamente no final da tabela, as Horas Normais Totais de junho na célula C72 e as Horas extras na célula F72" sqref="L63" xr:uid="{00000000-0002-0000-0000-000037000000}"/>
    <dataValidation allowBlank="1" showInputMessage="1" showErrorMessage="1" prompt="As Horas Normais Totais de junho são calculadas automaticamente na célula à direita" sqref="B72" xr:uid="{00000000-0002-0000-0000-000038000000}"/>
    <dataValidation allowBlank="1" showInputMessage="1" showErrorMessage="1" prompt="As Horas Normais Totais de junho são calculadas automaticamente nesta célula" sqref="C72" xr:uid="{00000000-0002-0000-0000-000039000000}"/>
    <dataValidation allowBlank="1" showInputMessage="1" showErrorMessage="1" prompt="As Horas Extras Totais de junho são calculadas automaticamente na célula à direita" sqref="D72:E72" xr:uid="{00000000-0002-0000-0000-00003A000000}"/>
    <dataValidation allowBlank="1" showInputMessage="1" showErrorMessage="1" prompt="As Horas Extras Totais de junho são calculadas automaticamente nesta célula" sqref="F72" xr:uid="{00000000-0002-0000-0000-00003B000000}"/>
    <dataValidation allowBlank="1" showInputMessage="1" showErrorMessage="1" prompt="Insira as horas de julho na tabela que começa na célula B75, as horas de agosto na tabela que começa na célula B86 e as horas de setembro na tabela que começa na célula B97. Os totais são calculados automaticamente" sqref="B74:L74" xr:uid="{00000000-0002-0000-0000-00003C000000}"/>
    <dataValidation allowBlank="1" showInputMessage="1" showErrorMessage="1" prompt="Insira as horas normais e extras para cada dia da semana nas tabelas chamadas julho, agosto e setembro" sqref="B73" xr:uid="{00000000-0002-0000-0000-00003D000000}"/>
    <dataValidation allowBlank="1" showInputMessage="1" showErrorMessage="1" prompt="Insira as Horas extras nesta coluna sob este título. O total de horas semanais é calculado automaticamente no final da tabela, as Horas Normais Totais de julho na célula C84 e as Horas extras na célula F84" sqref="L75" xr:uid="{00000000-0002-0000-0000-00003E000000}"/>
    <dataValidation allowBlank="1" showInputMessage="1" showErrorMessage="1" prompt="As Horas Normais Totais de julho são calculadas automaticamente na célula à direita" sqref="B84" xr:uid="{00000000-0002-0000-0000-00003F000000}"/>
    <dataValidation allowBlank="1" showInputMessage="1" showErrorMessage="1" prompt="As Horas Normais Totais de julho são calculadas automaticamente nesta célula" sqref="C84" xr:uid="{00000000-0002-0000-0000-000040000000}"/>
    <dataValidation allowBlank="1" showInputMessage="1" showErrorMessage="1" prompt="As Horas Extras Totais de julho são calculadas automaticamente na célula à direita" sqref="D84:E84" xr:uid="{00000000-0002-0000-0000-000041000000}"/>
    <dataValidation allowBlank="1" showInputMessage="1" showErrorMessage="1" prompt="As Horas Extras Totais de julho são calculadas automaticamente nesta célula" sqref="F84" xr:uid="{00000000-0002-0000-0000-000042000000}"/>
    <dataValidation allowBlank="1" showInputMessage="1" showErrorMessage="1" prompt="Inserir as horas de agosto na tabela abaixo" sqref="B85" xr:uid="{00000000-0002-0000-0000-000043000000}"/>
    <dataValidation allowBlank="1" showInputMessage="1" showErrorMessage="1" prompt="Insira as Horas extras nesta coluna sob este título. O total de horas semanais é calculado automaticamente no final da tabela, as Horas Normais Totais de agosto na célula C95 e as Horas extras na célula F95" sqref="L86" xr:uid="{00000000-0002-0000-0000-000044000000}"/>
    <dataValidation allowBlank="1" showInputMessage="1" showErrorMessage="1" prompt="As Horas Normais Totais de agosto são calculadas automaticamente na célula à direita" sqref="B95" xr:uid="{00000000-0002-0000-0000-000045000000}"/>
    <dataValidation allowBlank="1" showInputMessage="1" showErrorMessage="1" prompt="As Horas Normais Totais de agosto são calculadas automaticamente nesta célula" sqref="C95" xr:uid="{00000000-0002-0000-0000-000046000000}"/>
    <dataValidation allowBlank="1" showInputMessage="1" showErrorMessage="1" prompt="As Horas Extras Totais de agosto são calculadas automaticamente na célula à direita" sqref="D95:E95" xr:uid="{00000000-0002-0000-0000-000047000000}"/>
    <dataValidation allowBlank="1" showInputMessage="1" showErrorMessage="1" prompt="As Horas Extras Totais de agosto são calculadas automaticamente nesta célula" sqref="F95" xr:uid="{00000000-0002-0000-0000-000048000000}"/>
    <dataValidation allowBlank="1" showInputMessage="1" showErrorMessage="1" prompt="Inserir as horas de setembro nas células da tabela abaixo" sqref="B96" xr:uid="{00000000-0002-0000-0000-000049000000}"/>
    <dataValidation allowBlank="1" showInputMessage="1" showErrorMessage="1" prompt="Insira as Horas extras nesta coluna sob este título. O total de horas semanais é calculado automaticamente no final da tabela, as Horas Normais Totais de setembro na célula C106 e as Horas extras na célula F106" sqref="L97" xr:uid="{00000000-0002-0000-0000-00004A000000}"/>
    <dataValidation allowBlank="1" showInputMessage="1" showErrorMessage="1" prompt="As Horas Normais Totais de setembro são calculadas automaticamente na célula à direita" sqref="B106" xr:uid="{00000000-0002-0000-0000-00004B000000}"/>
    <dataValidation allowBlank="1" showInputMessage="1" showErrorMessage="1" prompt="As Horas Normais Totais de setembro são calculadas automaticamente nesta célula" sqref="C106" xr:uid="{00000000-0002-0000-0000-00004C000000}"/>
    <dataValidation allowBlank="1" showInputMessage="1" showErrorMessage="1" prompt="As Horas Extras Totais de setembro são calculadas automaticamente na célula à direita" sqref="D106:E106" xr:uid="{00000000-0002-0000-0000-00004D000000}"/>
    <dataValidation allowBlank="1" showInputMessage="1" showErrorMessage="1" prompt="As Horas Extras Totais de setembro são calculadas automaticamente nesta célula" sqref="F106" xr:uid="{00000000-0002-0000-0000-00004E000000}"/>
    <dataValidation allowBlank="1" showInputMessage="1" showErrorMessage="1" prompt="Insira as horas normais e extras para cada dia da semana em tabelas chamadas Outubro, Novembro e Dezembro" sqref="B107" xr:uid="{00000000-0002-0000-0000-00004F000000}"/>
    <dataValidation allowBlank="1" showInputMessage="1" showErrorMessage="1" prompt="Insira as horas de outubro na tabela que começa na célula B109, as horas de novembro na tabela que começa na célula B120 e as horas de dezembro na tabela que começa na célula B131. Os totais são calculados automaticamente" sqref="B108:L108" xr:uid="{00000000-0002-0000-0000-000050000000}"/>
    <dataValidation allowBlank="1" showInputMessage="1" showErrorMessage="1" prompt="Insira as Horas extras nesta coluna sob este título. O total de horas semanais é calculado automaticamente no final da tabela, as Horas Normais Totais de outubro na célula C118 e as Horas extras na célula F118" sqref="L109" xr:uid="{00000000-0002-0000-0000-000051000000}"/>
    <dataValidation allowBlank="1" showInputMessage="1" showErrorMessage="1" prompt="As Horas Normais Totais de outubro são calculadas automaticamente na célula à direita" sqref="B118" xr:uid="{00000000-0002-0000-0000-000052000000}"/>
    <dataValidation allowBlank="1" showInputMessage="1" showErrorMessage="1" prompt="As Horas Normais Totais de outubro são calculadas automaticamente nesta célula" sqref="C118" xr:uid="{00000000-0002-0000-0000-000053000000}"/>
    <dataValidation allowBlank="1" showInputMessage="1" showErrorMessage="1" prompt="As Horas Extras Totais de outubro são calculadas automaticamente na célula à direita" sqref="D118:E118" xr:uid="{00000000-0002-0000-0000-000054000000}"/>
    <dataValidation allowBlank="1" showInputMessage="1" showErrorMessage="1" prompt="As Horas Extras Totais de outubro são calculadas automaticamente nesta célula" sqref="F118" xr:uid="{00000000-0002-0000-0000-000055000000}"/>
    <dataValidation allowBlank="1" showInputMessage="1" showErrorMessage="1" prompt="Inserir as horas de novembro na tabela abaixo" sqref="B119" xr:uid="{00000000-0002-0000-0000-000056000000}"/>
    <dataValidation allowBlank="1" showInputMessage="1" showErrorMessage="1" prompt="Insira as Horas extras nesta coluna sob este título. O total de horas semanais é calculado automaticamente no final da tabela, as Horas Normais Totais de novembro na célula C129 e as Horas extras na célula F129" sqref="L120" xr:uid="{00000000-0002-0000-0000-000057000000}"/>
    <dataValidation allowBlank="1" showInputMessage="1" showErrorMessage="1" prompt="As Horas Normais Totais de novembro são calculadas automaticamente na célula à direita" sqref="B129" xr:uid="{00000000-0002-0000-0000-000058000000}"/>
    <dataValidation allowBlank="1" showInputMessage="1" showErrorMessage="1" prompt="As Horas Normais Totais de novembro são calculadas automaticamente nesta célula" sqref="C129" xr:uid="{00000000-0002-0000-0000-000059000000}"/>
    <dataValidation allowBlank="1" showInputMessage="1" showErrorMessage="1" prompt="As Horas Extras Totais de novembro são calculadas automaticamente na célula à direita" sqref="D129:E129" xr:uid="{00000000-0002-0000-0000-00005A000000}"/>
    <dataValidation allowBlank="1" showInputMessage="1" showErrorMessage="1" prompt="As Horas Extras Totais de novembro são calculadas automaticamente nesta célula" sqref="F129" xr:uid="{00000000-0002-0000-0000-00005B000000}"/>
    <dataValidation allowBlank="1" showInputMessage="1" showErrorMessage="1" prompt="Inserir as horas de dezembro na tabela abaixo" sqref="B130" xr:uid="{00000000-0002-0000-0000-00005C000000}"/>
    <dataValidation allowBlank="1" showInputMessage="1" showErrorMessage="1" prompt="Insira as Horas extras nesta coluna sob este título. O total de horas semanais é calculado automaticamente no final da tabela, as Horas Normais Totais de dezembro na célula C140 e as Horas extras na célula F140" sqref="L131" xr:uid="{00000000-0002-0000-0000-00005D000000}"/>
    <dataValidation allowBlank="1" showInputMessage="1" showErrorMessage="1" prompt="As Horas Normais Totais de dezembro são calculadas automaticamente na célula à direita" sqref="B140" xr:uid="{00000000-0002-0000-0000-00005E000000}"/>
    <dataValidation allowBlank="1" showInputMessage="1" showErrorMessage="1" prompt="As Horas Normais Totais de dezembro são calculadas automaticamente nesta célula" sqref="C140" xr:uid="{00000000-0002-0000-0000-00005F000000}"/>
    <dataValidation allowBlank="1" showInputMessage="1" showErrorMessage="1" prompt="As Horas Extras Totais de dezembro são calculadas automaticamente na célula à direita" sqref="D140:E140" xr:uid="{00000000-0002-0000-0000-000060000000}"/>
    <dataValidation allowBlank="1" showInputMessage="1" showErrorMessage="1" prompt="As Horas Extras Totais de dezembro são calculadas automaticamente nesta célula" sqref="F140" xr:uid="{00000000-0002-0000-0000-000061000000}"/>
    <dataValidation allowBlank="1" showInputMessage="1" showErrorMessage="1" prompt="Insira os totais do ano até a data na célula à direita" sqref="G3" xr:uid="{00000000-0002-0000-0000-000062000000}"/>
    <dataValidation allowBlank="1" showInputMessage="1" showErrorMessage="1" prompt="Insira os totais do ano até a data nesta célula" sqref="I3" xr:uid="{00000000-0002-0000-0000-000063000000}"/>
  </dataValidations>
  <printOptions horizontalCentered="1"/>
  <pageMargins left="0.75" right="0.75" top="1" bottom="1" header="0.5" footer="0.5"/>
  <pageSetup paperSize="9" scale="80" orientation="landscape" r:id="rId1"/>
  <headerFooter alignWithMargins="0"/>
  <rowBreaks count="3" manualBreakCount="3">
    <brk id="39" max="16383" man="1"/>
    <brk id="73" max="16383" man="1"/>
    <brk id="107" max="16383" man="1"/>
  </rowBreaks>
  <tableParts count="12">
    <tablePart r:id="rId2"/>
    <tablePart r:id="rId3"/>
    <tablePart r:id="rId4"/>
    <tablePart r:id="rId5"/>
    <tablePart r:id="rId6"/>
    <tablePart r:id="rId7"/>
    <tablePart r:id="rId8"/>
    <tablePart r:id="rId9"/>
    <tablePart r:id="rId10"/>
    <tablePart r:id="rId11"/>
    <tablePart r:id="rId12"/>
    <tablePart r:id="rId1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Quadro de horários anual</vt:lpstr>
      <vt:lpstr>'Quadro de horários anual'!Print_Area</vt:lpstr>
      <vt:lpstr>'Quadro de horários anual'!Print_Titles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2018-12-13T13:03:57Z</dcterms:created>
  <dcterms:modified xsi:type="dcterms:W3CDTF">2018-12-13T13:03:57Z</dcterms:modified>
</cp:coreProperties>
</file>