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0" yWindow="60" windowWidth="19440" windowHeight="11700" tabRatio="500"/>
  </bookViews>
  <sheets>
    <sheet name="Início" sheetId="4" r:id="rId1"/>
    <sheet name="Tabulação" sheetId="1" r:id="rId2"/>
    <sheet name="Pagamentos" sheetId="2" r:id="rId3"/>
    <sheet name="Gráficos" sheetId="3" r:id="rId4"/>
  </sheets>
  <externalReferences>
    <externalReference r:id="rId5"/>
  </externalReferences>
  <definedNames>
    <definedName name="CANAIS">[1]Registros!$D$4:$D$13</definedName>
    <definedName name="CLIENTES">[1]Registros!$D$16:$D$1048576</definedName>
    <definedName name="FORMASPGTO">[1]Registros!$G$4:$G$11</definedName>
    <definedName name="MESES">[1]Registros!$I$15:$I$26</definedName>
    <definedName name="PRODUTOS">[1]Registros!$A$4:$A$500</definedName>
  </definedNames>
  <calcPr calcId="14562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38" i="3" l="1"/>
  <c r="C6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C301" i="2"/>
  <c r="C165" i="2"/>
  <c r="D301" i="2"/>
  <c r="D165" i="2"/>
  <c r="E301" i="2"/>
  <c r="E165" i="2"/>
  <c r="F301" i="2"/>
  <c r="F165" i="2"/>
  <c r="G301" i="2"/>
  <c r="G165" i="2"/>
  <c r="H301" i="2"/>
  <c r="H165" i="2"/>
  <c r="I301" i="2"/>
  <c r="I165" i="2"/>
  <c r="J301" i="2"/>
  <c r="J165" i="2"/>
  <c r="K301" i="2"/>
  <c r="K165" i="2"/>
  <c r="L301" i="2"/>
  <c r="L165" i="2"/>
  <c r="M301" i="2"/>
  <c r="M165" i="2"/>
  <c r="N301" i="2"/>
  <c r="N165" i="2"/>
  <c r="O301" i="2"/>
  <c r="O165" i="2"/>
  <c r="P301" i="2"/>
  <c r="P165" i="2"/>
  <c r="C302" i="2"/>
  <c r="C166" i="2"/>
  <c r="D302" i="2"/>
  <c r="D166" i="2"/>
  <c r="E302" i="2"/>
  <c r="E166" i="2"/>
  <c r="F302" i="2"/>
  <c r="F166" i="2"/>
  <c r="G302" i="2"/>
  <c r="G166" i="2"/>
  <c r="H302" i="2"/>
  <c r="H166" i="2"/>
  <c r="I302" i="2"/>
  <c r="I166" i="2"/>
  <c r="J302" i="2"/>
  <c r="J166" i="2"/>
  <c r="K302" i="2"/>
  <c r="K166" i="2"/>
  <c r="L302" i="2"/>
  <c r="L166" i="2"/>
  <c r="M302" i="2"/>
  <c r="M166" i="2"/>
  <c r="N302" i="2"/>
  <c r="N166" i="2"/>
  <c r="O302" i="2"/>
  <c r="O166" i="2"/>
  <c r="P302" i="2"/>
  <c r="P166" i="2"/>
  <c r="C303" i="2"/>
  <c r="C167" i="2"/>
  <c r="D303" i="2"/>
  <c r="D167" i="2"/>
  <c r="E303" i="2"/>
  <c r="E167" i="2"/>
  <c r="F303" i="2"/>
  <c r="F167" i="2"/>
  <c r="G303" i="2"/>
  <c r="G167" i="2"/>
  <c r="H303" i="2"/>
  <c r="H167" i="2"/>
  <c r="I303" i="2"/>
  <c r="I167" i="2"/>
  <c r="J303" i="2"/>
  <c r="J167" i="2"/>
  <c r="K303" i="2"/>
  <c r="K167" i="2"/>
  <c r="L303" i="2"/>
  <c r="L167" i="2"/>
  <c r="M303" i="2"/>
  <c r="M167" i="2"/>
  <c r="N303" i="2"/>
  <c r="N167" i="2"/>
  <c r="O303" i="2"/>
  <c r="O167" i="2"/>
  <c r="P303" i="2"/>
  <c r="P167" i="2"/>
  <c r="C304" i="2"/>
  <c r="C168" i="2"/>
  <c r="D304" i="2"/>
  <c r="D168" i="2"/>
  <c r="E304" i="2"/>
  <c r="E168" i="2"/>
  <c r="F304" i="2"/>
  <c r="F168" i="2"/>
  <c r="G304" i="2"/>
  <c r="G168" i="2"/>
  <c r="H304" i="2"/>
  <c r="H168" i="2"/>
  <c r="I304" i="2"/>
  <c r="I168" i="2"/>
  <c r="J304" i="2"/>
  <c r="J168" i="2"/>
  <c r="K304" i="2"/>
  <c r="K168" i="2"/>
  <c r="L304" i="2"/>
  <c r="L168" i="2"/>
  <c r="M304" i="2"/>
  <c r="M168" i="2"/>
  <c r="N304" i="2"/>
  <c r="N168" i="2"/>
  <c r="O304" i="2"/>
  <c r="O168" i="2"/>
  <c r="P304" i="2"/>
  <c r="P168" i="2"/>
  <c r="C305" i="2"/>
  <c r="C169" i="2"/>
  <c r="D305" i="2"/>
  <c r="D169" i="2"/>
  <c r="E305" i="2"/>
  <c r="E169" i="2"/>
  <c r="F305" i="2"/>
  <c r="F169" i="2"/>
  <c r="G305" i="2"/>
  <c r="G169" i="2"/>
  <c r="H305" i="2"/>
  <c r="H169" i="2"/>
  <c r="I305" i="2"/>
  <c r="I169" i="2"/>
  <c r="J305" i="2"/>
  <c r="J169" i="2"/>
  <c r="K305" i="2"/>
  <c r="K169" i="2"/>
  <c r="L305" i="2"/>
  <c r="L169" i="2"/>
  <c r="M305" i="2"/>
  <c r="M169" i="2"/>
  <c r="N305" i="2"/>
  <c r="N169" i="2"/>
  <c r="O305" i="2"/>
  <c r="O169" i="2"/>
  <c r="P305" i="2"/>
  <c r="P169" i="2"/>
  <c r="C306" i="2"/>
  <c r="C170" i="2"/>
  <c r="D306" i="2"/>
  <c r="D170" i="2"/>
  <c r="E306" i="2"/>
  <c r="E170" i="2"/>
  <c r="F306" i="2"/>
  <c r="F170" i="2"/>
  <c r="G306" i="2"/>
  <c r="G170" i="2"/>
  <c r="H306" i="2"/>
  <c r="H170" i="2"/>
  <c r="I306" i="2"/>
  <c r="I170" i="2"/>
  <c r="J306" i="2"/>
  <c r="J170" i="2"/>
  <c r="K306" i="2"/>
  <c r="K170" i="2"/>
  <c r="L306" i="2"/>
  <c r="L170" i="2"/>
  <c r="M306" i="2"/>
  <c r="M170" i="2"/>
  <c r="N306" i="2"/>
  <c r="N170" i="2"/>
  <c r="O306" i="2"/>
  <c r="O170" i="2"/>
  <c r="P306" i="2"/>
  <c r="P170" i="2"/>
  <c r="C307" i="2"/>
  <c r="C171" i="2"/>
  <c r="D307" i="2"/>
  <c r="D171" i="2"/>
  <c r="E307" i="2"/>
  <c r="E171" i="2"/>
  <c r="F307" i="2"/>
  <c r="F171" i="2"/>
  <c r="G307" i="2"/>
  <c r="G171" i="2"/>
  <c r="H307" i="2"/>
  <c r="H171" i="2"/>
  <c r="I307" i="2"/>
  <c r="I171" i="2"/>
  <c r="J307" i="2"/>
  <c r="J171" i="2"/>
  <c r="K307" i="2"/>
  <c r="K171" i="2"/>
  <c r="L307" i="2"/>
  <c r="L171" i="2"/>
  <c r="M307" i="2"/>
  <c r="M171" i="2"/>
  <c r="N307" i="2"/>
  <c r="N171" i="2"/>
  <c r="O307" i="2"/>
  <c r="O171" i="2"/>
  <c r="P307" i="2"/>
  <c r="P171" i="2"/>
  <c r="C308" i="2"/>
  <c r="C172" i="2"/>
  <c r="D308" i="2"/>
  <c r="D172" i="2"/>
  <c r="E308" i="2"/>
  <c r="E172" i="2"/>
  <c r="F308" i="2"/>
  <c r="F172" i="2"/>
  <c r="G308" i="2"/>
  <c r="G172" i="2"/>
  <c r="H308" i="2"/>
  <c r="H172" i="2"/>
  <c r="I308" i="2"/>
  <c r="I172" i="2"/>
  <c r="J308" i="2"/>
  <c r="J172" i="2"/>
  <c r="K308" i="2"/>
  <c r="K172" i="2"/>
  <c r="L308" i="2"/>
  <c r="L172" i="2"/>
  <c r="M308" i="2"/>
  <c r="M172" i="2"/>
  <c r="N308" i="2"/>
  <c r="N172" i="2"/>
  <c r="O308" i="2"/>
  <c r="O172" i="2"/>
  <c r="P308" i="2"/>
  <c r="P172" i="2"/>
  <c r="C19" i="2"/>
  <c r="C291" i="2"/>
  <c r="C189" i="2"/>
  <c r="C155" i="2"/>
  <c r="D19" i="2"/>
  <c r="D291" i="2"/>
  <c r="D189" i="2"/>
  <c r="D155" i="2"/>
  <c r="E19" i="2"/>
  <c r="E291" i="2"/>
  <c r="E189" i="2"/>
  <c r="E155" i="2"/>
  <c r="F19" i="2"/>
  <c r="F291" i="2"/>
  <c r="F189" i="2"/>
  <c r="F155" i="2"/>
  <c r="G19" i="2"/>
  <c r="G291" i="2"/>
  <c r="G189" i="2"/>
  <c r="G155" i="2"/>
  <c r="H19" i="2"/>
  <c r="H291" i="2"/>
  <c r="H189" i="2"/>
  <c r="H155" i="2"/>
  <c r="I19" i="2"/>
  <c r="I291" i="2"/>
  <c r="I189" i="2"/>
  <c r="I155" i="2"/>
  <c r="J19" i="2"/>
  <c r="J291" i="2"/>
  <c r="J189" i="2"/>
  <c r="J155" i="2"/>
  <c r="K19" i="2"/>
  <c r="K291" i="2"/>
  <c r="K189" i="2"/>
  <c r="K155" i="2"/>
  <c r="L19" i="2"/>
  <c r="L291" i="2"/>
  <c r="L189" i="2"/>
  <c r="L155" i="2"/>
  <c r="M19" i="2"/>
  <c r="M291" i="2"/>
  <c r="M189" i="2"/>
  <c r="M155" i="2"/>
  <c r="N19" i="2"/>
  <c r="N291" i="2"/>
  <c r="N189" i="2"/>
  <c r="N155" i="2"/>
  <c r="O19" i="2"/>
  <c r="O291" i="2"/>
  <c r="O189" i="2"/>
  <c r="O155" i="2"/>
  <c r="P19" i="2"/>
  <c r="P291" i="2"/>
  <c r="P189" i="2"/>
  <c r="P155" i="2"/>
  <c r="C292" i="2"/>
  <c r="C156" i="2"/>
  <c r="D292" i="2"/>
  <c r="D156" i="2"/>
  <c r="E292" i="2"/>
  <c r="E156" i="2"/>
  <c r="F292" i="2"/>
  <c r="F156" i="2"/>
  <c r="G292" i="2"/>
  <c r="G156" i="2"/>
  <c r="H292" i="2"/>
  <c r="H156" i="2"/>
  <c r="I292" i="2"/>
  <c r="I156" i="2"/>
  <c r="J292" i="2"/>
  <c r="J156" i="2"/>
  <c r="K292" i="2"/>
  <c r="K156" i="2"/>
  <c r="L292" i="2"/>
  <c r="L156" i="2"/>
  <c r="M292" i="2"/>
  <c r="M156" i="2"/>
  <c r="N292" i="2"/>
  <c r="N156" i="2"/>
  <c r="O292" i="2"/>
  <c r="O156" i="2"/>
  <c r="P292" i="2"/>
  <c r="P156" i="2"/>
  <c r="C293" i="2"/>
  <c r="C157" i="2"/>
  <c r="D293" i="2"/>
  <c r="D157" i="2"/>
  <c r="E293" i="2"/>
  <c r="E157" i="2"/>
  <c r="F293" i="2"/>
  <c r="F157" i="2"/>
  <c r="G293" i="2"/>
  <c r="G157" i="2"/>
  <c r="H293" i="2"/>
  <c r="H157" i="2"/>
  <c r="I293" i="2"/>
  <c r="I157" i="2"/>
  <c r="J293" i="2"/>
  <c r="J157" i="2"/>
  <c r="K293" i="2"/>
  <c r="K157" i="2"/>
  <c r="L293" i="2"/>
  <c r="L157" i="2"/>
  <c r="M293" i="2"/>
  <c r="M157" i="2"/>
  <c r="N293" i="2"/>
  <c r="N157" i="2"/>
  <c r="O293" i="2"/>
  <c r="O157" i="2"/>
  <c r="P293" i="2"/>
  <c r="P157" i="2"/>
  <c r="C294" i="2"/>
  <c r="C158" i="2"/>
  <c r="D294" i="2"/>
  <c r="D158" i="2"/>
  <c r="E294" i="2"/>
  <c r="E158" i="2"/>
  <c r="F294" i="2"/>
  <c r="F158" i="2"/>
  <c r="G294" i="2"/>
  <c r="G158" i="2"/>
  <c r="H294" i="2"/>
  <c r="H158" i="2"/>
  <c r="I294" i="2"/>
  <c r="I158" i="2"/>
  <c r="J294" i="2"/>
  <c r="J158" i="2"/>
  <c r="K294" i="2"/>
  <c r="K158" i="2"/>
  <c r="L294" i="2"/>
  <c r="L158" i="2"/>
  <c r="M294" i="2"/>
  <c r="M158" i="2"/>
  <c r="N294" i="2"/>
  <c r="N158" i="2"/>
  <c r="O294" i="2"/>
  <c r="O158" i="2"/>
  <c r="P294" i="2"/>
  <c r="P158" i="2"/>
  <c r="C295" i="2"/>
  <c r="C159" i="2"/>
  <c r="D295" i="2"/>
  <c r="D159" i="2"/>
  <c r="E295" i="2"/>
  <c r="E159" i="2"/>
  <c r="F295" i="2"/>
  <c r="F159" i="2"/>
  <c r="G295" i="2"/>
  <c r="G159" i="2"/>
  <c r="H295" i="2"/>
  <c r="H159" i="2"/>
  <c r="I295" i="2"/>
  <c r="I159" i="2"/>
  <c r="J295" i="2"/>
  <c r="J159" i="2"/>
  <c r="K295" i="2"/>
  <c r="K159" i="2"/>
  <c r="L295" i="2"/>
  <c r="L159" i="2"/>
  <c r="M295" i="2"/>
  <c r="M159" i="2"/>
  <c r="N295" i="2"/>
  <c r="N159" i="2"/>
  <c r="O295" i="2"/>
  <c r="O159" i="2"/>
  <c r="P295" i="2"/>
  <c r="P159" i="2"/>
  <c r="C296" i="2"/>
  <c r="C160" i="2"/>
  <c r="D296" i="2"/>
  <c r="D160" i="2"/>
  <c r="E296" i="2"/>
  <c r="E160" i="2"/>
  <c r="F296" i="2"/>
  <c r="F160" i="2"/>
  <c r="G296" i="2"/>
  <c r="G160" i="2"/>
  <c r="H296" i="2"/>
  <c r="H160" i="2"/>
  <c r="I296" i="2"/>
  <c r="I160" i="2"/>
  <c r="J296" i="2"/>
  <c r="J160" i="2"/>
  <c r="K296" i="2"/>
  <c r="K160" i="2"/>
  <c r="L296" i="2"/>
  <c r="L160" i="2"/>
  <c r="M296" i="2"/>
  <c r="M160" i="2"/>
  <c r="N296" i="2"/>
  <c r="N160" i="2"/>
  <c r="O296" i="2"/>
  <c r="O160" i="2"/>
  <c r="P296" i="2"/>
  <c r="P160" i="2"/>
  <c r="C297" i="2"/>
  <c r="C161" i="2"/>
  <c r="D297" i="2"/>
  <c r="D161" i="2"/>
  <c r="E297" i="2"/>
  <c r="E161" i="2"/>
  <c r="F297" i="2"/>
  <c r="F161" i="2"/>
  <c r="G297" i="2"/>
  <c r="G161" i="2"/>
  <c r="H297" i="2"/>
  <c r="H161" i="2"/>
  <c r="I297" i="2"/>
  <c r="I161" i="2"/>
  <c r="J297" i="2"/>
  <c r="J161" i="2"/>
  <c r="K297" i="2"/>
  <c r="K161" i="2"/>
  <c r="L297" i="2"/>
  <c r="L161" i="2"/>
  <c r="M297" i="2"/>
  <c r="M161" i="2"/>
  <c r="N297" i="2"/>
  <c r="N161" i="2"/>
  <c r="O297" i="2"/>
  <c r="O161" i="2"/>
  <c r="P297" i="2"/>
  <c r="P161" i="2"/>
  <c r="C298" i="2"/>
  <c r="C162" i="2"/>
  <c r="D298" i="2"/>
  <c r="D162" i="2"/>
  <c r="E298" i="2"/>
  <c r="E162" i="2"/>
  <c r="F298" i="2"/>
  <c r="F162" i="2"/>
  <c r="G298" i="2"/>
  <c r="G162" i="2"/>
  <c r="H298" i="2"/>
  <c r="H162" i="2"/>
  <c r="I298" i="2"/>
  <c r="I162" i="2"/>
  <c r="J298" i="2"/>
  <c r="J162" i="2"/>
  <c r="K298" i="2"/>
  <c r="K162" i="2"/>
  <c r="L298" i="2"/>
  <c r="L162" i="2"/>
  <c r="M298" i="2"/>
  <c r="M162" i="2"/>
  <c r="N298" i="2"/>
  <c r="N162" i="2"/>
  <c r="O298" i="2"/>
  <c r="O162" i="2"/>
  <c r="P298" i="2"/>
  <c r="P162" i="2"/>
  <c r="C299" i="2"/>
  <c r="C163" i="2"/>
  <c r="D299" i="2"/>
  <c r="D163" i="2"/>
  <c r="E299" i="2"/>
  <c r="E163" i="2"/>
  <c r="F299" i="2"/>
  <c r="F163" i="2"/>
  <c r="G299" i="2"/>
  <c r="G163" i="2"/>
  <c r="H299" i="2"/>
  <c r="H163" i="2"/>
  <c r="I299" i="2"/>
  <c r="I163" i="2"/>
  <c r="J299" i="2"/>
  <c r="J163" i="2"/>
  <c r="K299" i="2"/>
  <c r="K163" i="2"/>
  <c r="L299" i="2"/>
  <c r="L163" i="2"/>
  <c r="M299" i="2"/>
  <c r="M163" i="2"/>
  <c r="N299" i="2"/>
  <c r="N163" i="2"/>
  <c r="O299" i="2"/>
  <c r="O163" i="2"/>
  <c r="P299" i="2"/>
  <c r="P163" i="2"/>
  <c r="C300" i="2"/>
  <c r="C164" i="2"/>
  <c r="D300" i="2"/>
  <c r="D164" i="2"/>
  <c r="E300" i="2"/>
  <c r="E164" i="2"/>
  <c r="F300" i="2"/>
  <c r="F164" i="2"/>
  <c r="G300" i="2"/>
  <c r="G164" i="2"/>
  <c r="H300" i="2"/>
  <c r="H164" i="2"/>
  <c r="I300" i="2"/>
  <c r="I164" i="2"/>
  <c r="J300" i="2"/>
  <c r="J164" i="2"/>
  <c r="K300" i="2"/>
  <c r="K164" i="2"/>
  <c r="L300" i="2"/>
  <c r="L164" i="2"/>
  <c r="M300" i="2"/>
  <c r="M164" i="2"/>
  <c r="N300" i="2"/>
  <c r="N164" i="2"/>
  <c r="O300" i="2"/>
  <c r="O164" i="2"/>
  <c r="P300" i="2"/>
  <c r="P164" i="2"/>
  <c r="C326" i="2"/>
  <c r="D326" i="2"/>
  <c r="E326" i="2"/>
  <c r="F326" i="2"/>
  <c r="G326" i="2"/>
  <c r="H326" i="2"/>
  <c r="I326" i="2"/>
  <c r="J326" i="2"/>
  <c r="K326" i="2"/>
  <c r="L326" i="2"/>
  <c r="M326" i="2"/>
  <c r="N326" i="2"/>
  <c r="O326" i="2"/>
  <c r="P326" i="2"/>
  <c r="C327" i="2"/>
  <c r="D327" i="2"/>
  <c r="E327" i="2"/>
  <c r="F327" i="2"/>
  <c r="G327" i="2"/>
  <c r="H327" i="2"/>
  <c r="I327" i="2"/>
  <c r="J327" i="2"/>
  <c r="K327" i="2"/>
  <c r="L327" i="2"/>
  <c r="M327" i="2"/>
  <c r="N327" i="2"/>
  <c r="O327" i="2"/>
  <c r="P327" i="2"/>
  <c r="C328" i="2"/>
  <c r="D328" i="2"/>
  <c r="E328" i="2"/>
  <c r="F328" i="2"/>
  <c r="G328" i="2"/>
  <c r="H328" i="2"/>
  <c r="I328" i="2"/>
  <c r="J328" i="2"/>
  <c r="K328" i="2"/>
  <c r="L328" i="2"/>
  <c r="M328" i="2"/>
  <c r="N328" i="2"/>
  <c r="O328" i="2"/>
  <c r="P328" i="2"/>
  <c r="C329" i="2"/>
  <c r="D329" i="2"/>
  <c r="E329" i="2"/>
  <c r="F329" i="2"/>
  <c r="G329" i="2"/>
  <c r="H329" i="2"/>
  <c r="I329" i="2"/>
  <c r="J329" i="2"/>
  <c r="K329" i="2"/>
  <c r="L329" i="2"/>
  <c r="M329" i="2"/>
  <c r="N329" i="2"/>
  <c r="O329" i="2"/>
  <c r="P329" i="2"/>
  <c r="C330" i="2"/>
  <c r="D330" i="2"/>
  <c r="E330" i="2"/>
  <c r="F330" i="2"/>
  <c r="G330" i="2"/>
  <c r="H330" i="2"/>
  <c r="I330" i="2"/>
  <c r="J330" i="2"/>
  <c r="K330" i="2"/>
  <c r="L330" i="2"/>
  <c r="M330" i="2"/>
  <c r="N330" i="2"/>
  <c r="O330" i="2"/>
  <c r="P330" i="2"/>
  <c r="C331" i="2"/>
  <c r="D331" i="2"/>
  <c r="E331" i="2"/>
  <c r="F331" i="2"/>
  <c r="G331" i="2"/>
  <c r="H331" i="2"/>
  <c r="I331" i="2"/>
  <c r="J331" i="2"/>
  <c r="K331" i="2"/>
  <c r="L331" i="2"/>
  <c r="M331" i="2"/>
  <c r="N331" i="2"/>
  <c r="O331" i="2"/>
  <c r="P331" i="2"/>
  <c r="C332" i="2"/>
  <c r="D332" i="2"/>
  <c r="E332" i="2"/>
  <c r="F332" i="2"/>
  <c r="G332" i="2"/>
  <c r="H332" i="2"/>
  <c r="I332" i="2"/>
  <c r="J332" i="2"/>
  <c r="K332" i="2"/>
  <c r="L332" i="2"/>
  <c r="M332" i="2"/>
  <c r="N332" i="2"/>
  <c r="O332" i="2"/>
  <c r="P332" i="2"/>
  <c r="C333" i="2"/>
  <c r="D333" i="2"/>
  <c r="E333" i="2"/>
  <c r="F333" i="2"/>
  <c r="G333" i="2"/>
  <c r="H333" i="2"/>
  <c r="I333" i="2"/>
  <c r="J333" i="2"/>
  <c r="K333" i="2"/>
  <c r="L333" i="2"/>
  <c r="M333" i="2"/>
  <c r="N333" i="2"/>
  <c r="O333" i="2"/>
  <c r="P333" i="2"/>
  <c r="C334" i="2"/>
  <c r="D334" i="2"/>
  <c r="E334" i="2"/>
  <c r="F334" i="2"/>
  <c r="G334" i="2"/>
  <c r="H334" i="2"/>
  <c r="I334" i="2"/>
  <c r="J334" i="2"/>
  <c r="K334" i="2"/>
  <c r="L334" i="2"/>
  <c r="M334" i="2"/>
  <c r="N334" i="2"/>
  <c r="O334" i="2"/>
  <c r="P334" i="2"/>
  <c r="C335" i="2"/>
  <c r="D335" i="2"/>
  <c r="E335" i="2"/>
  <c r="F335" i="2"/>
  <c r="G335" i="2"/>
  <c r="H335" i="2"/>
  <c r="I335" i="2"/>
  <c r="J335" i="2"/>
  <c r="K335" i="2"/>
  <c r="L335" i="2"/>
  <c r="M335" i="2"/>
  <c r="N335" i="2"/>
  <c r="O335" i="2"/>
  <c r="P335" i="2"/>
  <c r="C336" i="2"/>
  <c r="D336" i="2"/>
  <c r="E336" i="2"/>
  <c r="F336" i="2"/>
  <c r="G336" i="2"/>
  <c r="H336" i="2"/>
  <c r="I336" i="2"/>
  <c r="J336" i="2"/>
  <c r="K336" i="2"/>
  <c r="L336" i="2"/>
  <c r="M336" i="2"/>
  <c r="N336" i="2"/>
  <c r="O336" i="2"/>
  <c r="P336" i="2"/>
  <c r="C337" i="2"/>
  <c r="D337" i="2"/>
  <c r="E337" i="2"/>
  <c r="F337" i="2"/>
  <c r="G337" i="2"/>
  <c r="H337" i="2"/>
  <c r="I337" i="2"/>
  <c r="J337" i="2"/>
  <c r="K337" i="2"/>
  <c r="L337" i="2"/>
  <c r="M337" i="2"/>
  <c r="N337" i="2"/>
  <c r="O337" i="2"/>
  <c r="P337" i="2"/>
  <c r="C338" i="2"/>
  <c r="D338" i="2"/>
  <c r="E338" i="2"/>
  <c r="F338" i="2"/>
  <c r="G338" i="2"/>
  <c r="H338" i="2"/>
  <c r="I338" i="2"/>
  <c r="J338" i="2"/>
  <c r="K338" i="2"/>
  <c r="L338" i="2"/>
  <c r="M338" i="2"/>
  <c r="N338" i="2"/>
  <c r="O338" i="2"/>
  <c r="P338" i="2"/>
  <c r="C339" i="2"/>
  <c r="D339" i="2"/>
  <c r="E339" i="2"/>
  <c r="F339" i="2"/>
  <c r="G339" i="2"/>
  <c r="H339" i="2"/>
  <c r="I339" i="2"/>
  <c r="J339" i="2"/>
  <c r="K339" i="2"/>
  <c r="L339" i="2"/>
  <c r="M339" i="2"/>
  <c r="N339" i="2"/>
  <c r="O339" i="2"/>
  <c r="P339" i="2"/>
  <c r="C340" i="2"/>
  <c r="D340" i="2"/>
  <c r="E340" i="2"/>
  <c r="F340" i="2"/>
  <c r="G340" i="2"/>
  <c r="H340" i="2"/>
  <c r="I340" i="2"/>
  <c r="J340" i="2"/>
  <c r="K340" i="2"/>
  <c r="L340" i="2"/>
  <c r="M340" i="2"/>
  <c r="N340" i="2"/>
  <c r="O340" i="2"/>
  <c r="P340" i="2"/>
  <c r="C341" i="2"/>
  <c r="D341" i="2"/>
  <c r="E341" i="2"/>
  <c r="F341" i="2"/>
  <c r="G341" i="2"/>
  <c r="H341" i="2"/>
  <c r="I341" i="2"/>
  <c r="J341" i="2"/>
  <c r="K341" i="2"/>
  <c r="L341" i="2"/>
  <c r="M341" i="2"/>
  <c r="N341" i="2"/>
  <c r="O341" i="2"/>
  <c r="P341" i="2"/>
  <c r="C342" i="2"/>
  <c r="D342" i="2"/>
  <c r="E342" i="2"/>
  <c r="F342" i="2"/>
  <c r="G342" i="2"/>
  <c r="H342" i="2"/>
  <c r="I342" i="2"/>
  <c r="J342" i="2"/>
  <c r="K342" i="2"/>
  <c r="L342" i="2"/>
  <c r="M342" i="2"/>
  <c r="N342" i="2"/>
  <c r="O342" i="2"/>
  <c r="P342" i="2"/>
  <c r="B70" i="2"/>
  <c r="B138" i="2"/>
  <c r="B206" i="2"/>
  <c r="B274" i="2"/>
  <c r="B342" i="2"/>
  <c r="A70" i="2"/>
  <c r="A138" i="2"/>
  <c r="A206" i="2"/>
  <c r="A274" i="2"/>
  <c r="A342" i="2"/>
  <c r="B69" i="2"/>
  <c r="B137" i="2"/>
  <c r="B205" i="2"/>
  <c r="B273" i="2"/>
  <c r="B341" i="2"/>
  <c r="A69" i="2"/>
  <c r="A137" i="2"/>
  <c r="A205" i="2"/>
  <c r="A273" i="2"/>
  <c r="A341" i="2"/>
  <c r="B68" i="2"/>
  <c r="B136" i="2"/>
  <c r="B204" i="2"/>
  <c r="B272" i="2"/>
  <c r="B340" i="2"/>
  <c r="A68" i="2"/>
  <c r="A136" i="2"/>
  <c r="A204" i="2"/>
  <c r="A272" i="2"/>
  <c r="A340" i="2"/>
  <c r="B67" i="2"/>
  <c r="B135" i="2"/>
  <c r="B203" i="2"/>
  <c r="B271" i="2"/>
  <c r="B339" i="2"/>
  <c r="A67" i="2"/>
  <c r="A135" i="2"/>
  <c r="A203" i="2"/>
  <c r="A271" i="2"/>
  <c r="A339" i="2"/>
  <c r="B66" i="2"/>
  <c r="B134" i="2"/>
  <c r="B202" i="2"/>
  <c r="B270" i="2"/>
  <c r="B338" i="2"/>
  <c r="A66" i="2"/>
  <c r="A134" i="2"/>
  <c r="A202" i="2"/>
  <c r="A270" i="2"/>
  <c r="A338" i="2"/>
  <c r="B65" i="2"/>
  <c r="B133" i="2"/>
  <c r="B201" i="2"/>
  <c r="B269" i="2"/>
  <c r="B337" i="2"/>
  <c r="A65" i="2"/>
  <c r="A133" i="2"/>
  <c r="A201" i="2"/>
  <c r="A269" i="2"/>
  <c r="A337" i="2"/>
  <c r="B64" i="2"/>
  <c r="B132" i="2"/>
  <c r="B200" i="2"/>
  <c r="B268" i="2"/>
  <c r="B336" i="2"/>
  <c r="A64" i="2"/>
  <c r="A132" i="2"/>
  <c r="A200" i="2"/>
  <c r="A268" i="2"/>
  <c r="A336" i="2"/>
  <c r="B63" i="2"/>
  <c r="B131" i="2"/>
  <c r="B199" i="2"/>
  <c r="B267" i="2"/>
  <c r="B335" i="2"/>
  <c r="A63" i="2"/>
  <c r="A131" i="2"/>
  <c r="A199" i="2"/>
  <c r="A267" i="2"/>
  <c r="A335" i="2"/>
  <c r="B62" i="2"/>
  <c r="B130" i="2"/>
  <c r="B198" i="2"/>
  <c r="B266" i="2"/>
  <c r="B334" i="2"/>
  <c r="A62" i="2"/>
  <c r="A130" i="2"/>
  <c r="A198" i="2"/>
  <c r="A266" i="2"/>
  <c r="A334" i="2"/>
  <c r="B61" i="2"/>
  <c r="B129" i="2"/>
  <c r="B197" i="2"/>
  <c r="B265" i="2"/>
  <c r="B333" i="2"/>
  <c r="A61" i="2"/>
  <c r="A129" i="2"/>
  <c r="A197" i="2"/>
  <c r="A265" i="2"/>
  <c r="A333" i="2"/>
  <c r="B60" i="2"/>
  <c r="B128" i="2"/>
  <c r="B196" i="2"/>
  <c r="B264" i="2"/>
  <c r="B332" i="2"/>
  <c r="A60" i="2"/>
  <c r="A128" i="2"/>
  <c r="A196" i="2"/>
  <c r="A264" i="2"/>
  <c r="A332" i="2"/>
  <c r="B59" i="2"/>
  <c r="B127" i="2"/>
  <c r="B195" i="2"/>
  <c r="B263" i="2"/>
  <c r="B331" i="2"/>
  <c r="A59" i="2"/>
  <c r="A127" i="2"/>
  <c r="A195" i="2"/>
  <c r="A263" i="2"/>
  <c r="A331" i="2"/>
  <c r="B58" i="2"/>
  <c r="B126" i="2"/>
  <c r="B194" i="2"/>
  <c r="B262" i="2"/>
  <c r="B330" i="2"/>
  <c r="A58" i="2"/>
  <c r="A126" i="2"/>
  <c r="A194" i="2"/>
  <c r="A262" i="2"/>
  <c r="A330" i="2"/>
  <c r="B57" i="2"/>
  <c r="B125" i="2"/>
  <c r="B193" i="2"/>
  <c r="B261" i="2"/>
  <c r="B329" i="2"/>
  <c r="A57" i="2"/>
  <c r="A125" i="2"/>
  <c r="A193" i="2"/>
  <c r="A261" i="2"/>
  <c r="A329" i="2"/>
  <c r="B56" i="2"/>
  <c r="B124" i="2"/>
  <c r="B192" i="2"/>
  <c r="B260" i="2"/>
  <c r="B328" i="2"/>
  <c r="A56" i="2"/>
  <c r="A124" i="2"/>
  <c r="A192" i="2"/>
  <c r="A260" i="2"/>
  <c r="A328" i="2"/>
  <c r="B55" i="2"/>
  <c r="B123" i="2"/>
  <c r="B191" i="2"/>
  <c r="B259" i="2"/>
  <c r="B327" i="2"/>
  <c r="A55" i="2"/>
  <c r="A123" i="2"/>
  <c r="A191" i="2"/>
  <c r="A259" i="2"/>
  <c r="A327" i="2"/>
  <c r="B54" i="2"/>
  <c r="B122" i="2"/>
  <c r="B190" i="2"/>
  <c r="B258" i="2"/>
  <c r="B326" i="2"/>
  <c r="A54" i="2"/>
  <c r="A122" i="2"/>
  <c r="A190" i="2"/>
  <c r="A258" i="2"/>
  <c r="A326" i="2"/>
  <c r="B53" i="2"/>
  <c r="B121" i="2"/>
  <c r="B189" i="2"/>
  <c r="B257" i="2"/>
  <c r="B325" i="2"/>
  <c r="A53" i="2"/>
  <c r="A121" i="2"/>
  <c r="A189" i="2"/>
  <c r="A257" i="2"/>
  <c r="A325" i="2"/>
  <c r="B52" i="2"/>
  <c r="B120" i="2"/>
  <c r="B188" i="2"/>
  <c r="B256" i="2"/>
  <c r="B324" i="2"/>
  <c r="A52" i="2"/>
  <c r="A120" i="2"/>
  <c r="A188" i="2"/>
  <c r="A256" i="2"/>
  <c r="A324" i="2"/>
  <c r="B51" i="2"/>
  <c r="B119" i="2"/>
  <c r="B187" i="2"/>
  <c r="B255" i="2"/>
  <c r="B323" i="2"/>
  <c r="A51" i="2"/>
  <c r="A119" i="2"/>
  <c r="A187" i="2"/>
  <c r="A255" i="2"/>
  <c r="A323" i="2"/>
  <c r="B50" i="2"/>
  <c r="B118" i="2"/>
  <c r="B186" i="2"/>
  <c r="B254" i="2"/>
  <c r="B322" i="2"/>
  <c r="A50" i="2"/>
  <c r="A118" i="2"/>
  <c r="A186" i="2"/>
  <c r="A254" i="2"/>
  <c r="A322" i="2"/>
  <c r="B49" i="2"/>
  <c r="B117" i="2"/>
  <c r="B185" i="2"/>
  <c r="B253" i="2"/>
  <c r="B321" i="2"/>
  <c r="A49" i="2"/>
  <c r="A117" i="2"/>
  <c r="A185" i="2"/>
  <c r="A253" i="2"/>
  <c r="A321" i="2"/>
  <c r="B48" i="2"/>
  <c r="B116" i="2"/>
  <c r="B184" i="2"/>
  <c r="B252" i="2"/>
  <c r="B320" i="2"/>
  <c r="A48" i="2"/>
  <c r="A116" i="2"/>
  <c r="A184" i="2"/>
  <c r="A252" i="2"/>
  <c r="A320" i="2"/>
  <c r="B47" i="2"/>
  <c r="B115" i="2"/>
  <c r="B183" i="2"/>
  <c r="B251" i="2"/>
  <c r="B319" i="2"/>
  <c r="A47" i="2"/>
  <c r="A115" i="2"/>
  <c r="A183" i="2"/>
  <c r="A251" i="2"/>
  <c r="A319" i="2"/>
  <c r="B46" i="2"/>
  <c r="B114" i="2"/>
  <c r="B182" i="2"/>
  <c r="B250" i="2"/>
  <c r="B318" i="2"/>
  <c r="A46" i="2"/>
  <c r="A114" i="2"/>
  <c r="A182" i="2"/>
  <c r="A250" i="2"/>
  <c r="A318" i="2"/>
  <c r="B45" i="2"/>
  <c r="B113" i="2"/>
  <c r="B181" i="2"/>
  <c r="B249" i="2"/>
  <c r="B317" i="2"/>
  <c r="A45" i="2"/>
  <c r="A113" i="2"/>
  <c r="A181" i="2"/>
  <c r="A249" i="2"/>
  <c r="A317" i="2"/>
  <c r="B44" i="2"/>
  <c r="B112" i="2"/>
  <c r="B180" i="2"/>
  <c r="B248" i="2"/>
  <c r="B316" i="2"/>
  <c r="A44" i="2"/>
  <c r="A112" i="2"/>
  <c r="A180" i="2"/>
  <c r="A248" i="2"/>
  <c r="A316" i="2"/>
  <c r="B43" i="2"/>
  <c r="B111" i="2"/>
  <c r="B179" i="2"/>
  <c r="B247" i="2"/>
  <c r="B315" i="2"/>
  <c r="A43" i="2"/>
  <c r="A111" i="2"/>
  <c r="A179" i="2"/>
  <c r="A247" i="2"/>
  <c r="A315" i="2"/>
  <c r="B42" i="2"/>
  <c r="B110" i="2"/>
  <c r="B178" i="2"/>
  <c r="B246" i="2"/>
  <c r="B314" i="2"/>
  <c r="A42" i="2"/>
  <c r="A110" i="2"/>
  <c r="A178" i="2"/>
  <c r="A246" i="2"/>
  <c r="A314" i="2"/>
  <c r="B41" i="2"/>
  <c r="B109" i="2"/>
  <c r="B177" i="2"/>
  <c r="B245" i="2"/>
  <c r="B313" i="2"/>
  <c r="A41" i="2"/>
  <c r="A109" i="2"/>
  <c r="A177" i="2"/>
  <c r="A245" i="2"/>
  <c r="A313" i="2"/>
  <c r="B40" i="2"/>
  <c r="B108" i="2"/>
  <c r="B176" i="2"/>
  <c r="B244" i="2"/>
  <c r="B312" i="2"/>
  <c r="A40" i="2"/>
  <c r="A108" i="2"/>
  <c r="A176" i="2"/>
  <c r="A244" i="2"/>
  <c r="A312" i="2"/>
  <c r="C105" i="2"/>
  <c r="D105" i="2"/>
  <c r="E105" i="2"/>
  <c r="F105" i="2"/>
  <c r="G105" i="2"/>
  <c r="H105" i="2"/>
  <c r="I105" i="2"/>
  <c r="J105" i="2"/>
  <c r="K105" i="2"/>
  <c r="L105" i="2"/>
  <c r="M105" i="2"/>
  <c r="N105" i="2"/>
  <c r="E20" i="1"/>
  <c r="C4" i="1"/>
  <c r="J4" i="1"/>
  <c r="C108" i="2"/>
  <c r="C5" i="1"/>
  <c r="J5" i="1"/>
  <c r="D108" i="2"/>
  <c r="C6" i="1"/>
  <c r="J6" i="1"/>
  <c r="E108" i="2"/>
  <c r="C7" i="1"/>
  <c r="J7" i="1"/>
  <c r="F108" i="2"/>
  <c r="C8" i="1"/>
  <c r="J8" i="1"/>
  <c r="G108" i="2"/>
  <c r="C9" i="1"/>
  <c r="J9" i="1"/>
  <c r="H108" i="2"/>
  <c r="C10" i="1"/>
  <c r="J10" i="1"/>
  <c r="I108" i="2"/>
  <c r="C11" i="1"/>
  <c r="J11" i="1"/>
  <c r="J108" i="2"/>
  <c r="C12" i="1"/>
  <c r="J12" i="1"/>
  <c r="K108" i="2"/>
  <c r="C13" i="1"/>
  <c r="J13" i="1"/>
  <c r="L108" i="2"/>
  <c r="C14" i="1"/>
  <c r="J14" i="1"/>
  <c r="M108" i="2"/>
  <c r="C15" i="1"/>
  <c r="J15" i="1"/>
  <c r="N108" i="2"/>
  <c r="E21" i="1"/>
  <c r="C109" i="2"/>
  <c r="D109" i="2"/>
  <c r="E109" i="2"/>
  <c r="F109" i="2"/>
  <c r="G109" i="2"/>
  <c r="H109" i="2"/>
  <c r="I109" i="2"/>
  <c r="J109" i="2"/>
  <c r="K109" i="2"/>
  <c r="L109" i="2"/>
  <c r="M109" i="2"/>
  <c r="N109" i="2"/>
  <c r="E22" i="1"/>
  <c r="C110" i="2"/>
  <c r="D110" i="2"/>
  <c r="E110" i="2"/>
  <c r="F110" i="2"/>
  <c r="G110" i="2"/>
  <c r="H110" i="2"/>
  <c r="I110" i="2"/>
  <c r="J110" i="2"/>
  <c r="K110" i="2"/>
  <c r="L110" i="2"/>
  <c r="M110" i="2"/>
  <c r="N110" i="2"/>
  <c r="E23" i="1"/>
  <c r="C111" i="2"/>
  <c r="D111" i="2"/>
  <c r="E111" i="2"/>
  <c r="F111" i="2"/>
  <c r="G111" i="2"/>
  <c r="H111" i="2"/>
  <c r="I111" i="2"/>
  <c r="J111" i="2"/>
  <c r="K111" i="2"/>
  <c r="L111" i="2"/>
  <c r="M111" i="2"/>
  <c r="N111" i="2"/>
  <c r="E24" i="1"/>
  <c r="C112" i="2"/>
  <c r="D112" i="2"/>
  <c r="E112" i="2"/>
  <c r="F112" i="2"/>
  <c r="G112" i="2"/>
  <c r="H112" i="2"/>
  <c r="I112" i="2"/>
  <c r="J112" i="2"/>
  <c r="K112" i="2"/>
  <c r="L112" i="2"/>
  <c r="M112" i="2"/>
  <c r="N112" i="2"/>
  <c r="E25" i="1"/>
  <c r="C113" i="2"/>
  <c r="D113" i="2"/>
  <c r="E113" i="2"/>
  <c r="F113" i="2"/>
  <c r="G113" i="2"/>
  <c r="H113" i="2"/>
  <c r="I113" i="2"/>
  <c r="J113" i="2"/>
  <c r="K113" i="2"/>
  <c r="L113" i="2"/>
  <c r="M113" i="2"/>
  <c r="N113" i="2"/>
  <c r="E26" i="1"/>
  <c r="C114" i="2"/>
  <c r="D114" i="2"/>
  <c r="E114" i="2"/>
  <c r="F114" i="2"/>
  <c r="G114" i="2"/>
  <c r="H114" i="2"/>
  <c r="I114" i="2"/>
  <c r="J114" i="2"/>
  <c r="K114" i="2"/>
  <c r="L114" i="2"/>
  <c r="M114" i="2"/>
  <c r="N114" i="2"/>
  <c r="E27" i="1"/>
  <c r="C115" i="2"/>
  <c r="D115" i="2"/>
  <c r="E115" i="2"/>
  <c r="F115" i="2"/>
  <c r="G115" i="2"/>
  <c r="H115" i="2"/>
  <c r="I115" i="2"/>
  <c r="J115" i="2"/>
  <c r="K115" i="2"/>
  <c r="L115" i="2"/>
  <c r="M115" i="2"/>
  <c r="N115" i="2"/>
  <c r="E28" i="1"/>
  <c r="C116" i="2"/>
  <c r="D116" i="2"/>
  <c r="E116" i="2"/>
  <c r="F116" i="2"/>
  <c r="G116" i="2"/>
  <c r="H116" i="2"/>
  <c r="I116" i="2"/>
  <c r="J116" i="2"/>
  <c r="K116" i="2"/>
  <c r="L116" i="2"/>
  <c r="M116" i="2"/>
  <c r="N116" i="2"/>
  <c r="E29" i="1"/>
  <c r="C117" i="2"/>
  <c r="D117" i="2"/>
  <c r="E117" i="2"/>
  <c r="F117" i="2"/>
  <c r="G117" i="2"/>
  <c r="H117" i="2"/>
  <c r="I117" i="2"/>
  <c r="J117" i="2"/>
  <c r="K117" i="2"/>
  <c r="L117" i="2"/>
  <c r="M117" i="2"/>
  <c r="N117" i="2"/>
  <c r="E30" i="1"/>
  <c r="C118" i="2"/>
  <c r="D118" i="2"/>
  <c r="E118" i="2"/>
  <c r="F118" i="2"/>
  <c r="G118" i="2"/>
  <c r="H118" i="2"/>
  <c r="I118" i="2"/>
  <c r="J118" i="2"/>
  <c r="K118" i="2"/>
  <c r="L118" i="2"/>
  <c r="M118" i="2"/>
  <c r="N118" i="2"/>
  <c r="E31" i="1"/>
  <c r="C119" i="2"/>
  <c r="D119" i="2"/>
  <c r="E119" i="2"/>
  <c r="F119" i="2"/>
  <c r="G119" i="2"/>
  <c r="H119" i="2"/>
  <c r="I119" i="2"/>
  <c r="J119" i="2"/>
  <c r="K119" i="2"/>
  <c r="L119" i="2"/>
  <c r="M119" i="2"/>
  <c r="N119" i="2"/>
  <c r="E32" i="1"/>
  <c r="C120" i="2"/>
  <c r="D120" i="2"/>
  <c r="E120" i="2"/>
  <c r="F120" i="2"/>
  <c r="G120" i="2"/>
  <c r="H120" i="2"/>
  <c r="I120" i="2"/>
  <c r="J120" i="2"/>
  <c r="K120" i="2"/>
  <c r="L120" i="2"/>
  <c r="M120" i="2"/>
  <c r="N120" i="2"/>
  <c r="B104" i="2"/>
  <c r="B172" i="2"/>
  <c r="B240" i="2"/>
  <c r="B308" i="2"/>
  <c r="A104" i="2"/>
  <c r="A172" i="2"/>
  <c r="A240" i="2"/>
  <c r="A308" i="2"/>
  <c r="B103" i="2"/>
  <c r="B171" i="2"/>
  <c r="B239" i="2"/>
  <c r="B307" i="2"/>
  <c r="A103" i="2"/>
  <c r="A171" i="2"/>
  <c r="A239" i="2"/>
  <c r="A307" i="2"/>
  <c r="B102" i="2"/>
  <c r="B170" i="2"/>
  <c r="B238" i="2"/>
  <c r="B306" i="2"/>
  <c r="A102" i="2"/>
  <c r="A170" i="2"/>
  <c r="A238" i="2"/>
  <c r="A306" i="2"/>
  <c r="B101" i="2"/>
  <c r="B169" i="2"/>
  <c r="B237" i="2"/>
  <c r="B305" i="2"/>
  <c r="A101" i="2"/>
  <c r="A169" i="2"/>
  <c r="A237" i="2"/>
  <c r="A305" i="2"/>
  <c r="B100" i="2"/>
  <c r="B168" i="2"/>
  <c r="B236" i="2"/>
  <c r="B304" i="2"/>
  <c r="A100" i="2"/>
  <c r="A168" i="2"/>
  <c r="A236" i="2"/>
  <c r="A304" i="2"/>
  <c r="B99" i="2"/>
  <c r="B167" i="2"/>
  <c r="B235" i="2"/>
  <c r="B303" i="2"/>
  <c r="A99" i="2"/>
  <c r="A167" i="2"/>
  <c r="A235" i="2"/>
  <c r="A303" i="2"/>
  <c r="B98" i="2"/>
  <c r="B166" i="2"/>
  <c r="B234" i="2"/>
  <c r="B302" i="2"/>
  <c r="A98" i="2"/>
  <c r="A166" i="2"/>
  <c r="A234" i="2"/>
  <c r="A302" i="2"/>
  <c r="B97" i="2"/>
  <c r="B165" i="2"/>
  <c r="B233" i="2"/>
  <c r="B301" i="2"/>
  <c r="A97" i="2"/>
  <c r="A165" i="2"/>
  <c r="A233" i="2"/>
  <c r="A301" i="2"/>
  <c r="B96" i="2"/>
  <c r="B164" i="2"/>
  <c r="B232" i="2"/>
  <c r="B300" i="2"/>
  <c r="A96" i="2"/>
  <c r="A164" i="2"/>
  <c r="A232" i="2"/>
  <c r="A300" i="2"/>
  <c r="B95" i="2"/>
  <c r="B163" i="2"/>
  <c r="B231" i="2"/>
  <c r="B299" i="2"/>
  <c r="A95" i="2"/>
  <c r="A163" i="2"/>
  <c r="A231" i="2"/>
  <c r="A299" i="2"/>
  <c r="B94" i="2"/>
  <c r="B162" i="2"/>
  <c r="B230" i="2"/>
  <c r="B298" i="2"/>
  <c r="A94" i="2"/>
  <c r="A162" i="2"/>
  <c r="A230" i="2"/>
  <c r="A298" i="2"/>
  <c r="B93" i="2"/>
  <c r="B161" i="2"/>
  <c r="B229" i="2"/>
  <c r="B297" i="2"/>
  <c r="A93" i="2"/>
  <c r="A161" i="2"/>
  <c r="A229" i="2"/>
  <c r="A297" i="2"/>
  <c r="B92" i="2"/>
  <c r="B160" i="2"/>
  <c r="B228" i="2"/>
  <c r="B296" i="2"/>
  <c r="A92" i="2"/>
  <c r="A160" i="2"/>
  <c r="A228" i="2"/>
  <c r="A296" i="2"/>
  <c r="B91" i="2"/>
  <c r="B159" i="2"/>
  <c r="B227" i="2"/>
  <c r="B295" i="2"/>
  <c r="A91" i="2"/>
  <c r="A159" i="2"/>
  <c r="A227" i="2"/>
  <c r="A295" i="2"/>
  <c r="B90" i="2"/>
  <c r="B158" i="2"/>
  <c r="B226" i="2"/>
  <c r="B294" i="2"/>
  <c r="A90" i="2"/>
  <c r="A158" i="2"/>
  <c r="A226" i="2"/>
  <c r="A294" i="2"/>
  <c r="B89" i="2"/>
  <c r="B157" i="2"/>
  <c r="B225" i="2"/>
  <c r="B293" i="2"/>
  <c r="A89" i="2"/>
  <c r="A157" i="2"/>
  <c r="A225" i="2"/>
  <c r="A293" i="2"/>
  <c r="B88" i="2"/>
  <c r="B156" i="2"/>
  <c r="B224" i="2"/>
  <c r="B292" i="2"/>
  <c r="A88" i="2"/>
  <c r="A156" i="2"/>
  <c r="A224" i="2"/>
  <c r="A292" i="2"/>
  <c r="B87" i="2"/>
  <c r="B155" i="2"/>
  <c r="B223" i="2"/>
  <c r="B291" i="2"/>
  <c r="A87" i="2"/>
  <c r="A155" i="2"/>
  <c r="A223" i="2"/>
  <c r="A291" i="2"/>
  <c r="B86" i="2"/>
  <c r="B154" i="2"/>
  <c r="B222" i="2"/>
  <c r="B290" i="2"/>
  <c r="A86" i="2"/>
  <c r="A154" i="2"/>
  <c r="A222" i="2"/>
  <c r="A290" i="2"/>
  <c r="B85" i="2"/>
  <c r="B153" i="2"/>
  <c r="B221" i="2"/>
  <c r="B289" i="2"/>
  <c r="A85" i="2"/>
  <c r="A153" i="2"/>
  <c r="A221" i="2"/>
  <c r="A289" i="2"/>
  <c r="B84" i="2"/>
  <c r="B152" i="2"/>
  <c r="B220" i="2"/>
  <c r="B288" i="2"/>
  <c r="A84" i="2"/>
  <c r="A152" i="2"/>
  <c r="A220" i="2"/>
  <c r="A288" i="2"/>
  <c r="B83" i="2"/>
  <c r="B151" i="2"/>
  <c r="B219" i="2"/>
  <c r="B287" i="2"/>
  <c r="A83" i="2"/>
  <c r="A151" i="2"/>
  <c r="A219" i="2"/>
  <c r="A287" i="2"/>
  <c r="B82" i="2"/>
  <c r="B150" i="2"/>
  <c r="B218" i="2"/>
  <c r="B286" i="2"/>
  <c r="A82" i="2"/>
  <c r="A150" i="2"/>
  <c r="A218" i="2"/>
  <c r="A286" i="2"/>
  <c r="B81" i="2"/>
  <c r="B149" i="2"/>
  <c r="B217" i="2"/>
  <c r="B285" i="2"/>
  <c r="A81" i="2"/>
  <c r="A149" i="2"/>
  <c r="A217" i="2"/>
  <c r="A285" i="2"/>
  <c r="B80" i="2"/>
  <c r="B148" i="2"/>
  <c r="B216" i="2"/>
  <c r="B284" i="2"/>
  <c r="A80" i="2"/>
  <c r="A148" i="2"/>
  <c r="A216" i="2"/>
  <c r="A284" i="2"/>
  <c r="B79" i="2"/>
  <c r="B147" i="2"/>
  <c r="B215" i="2"/>
  <c r="B283" i="2"/>
  <c r="A79" i="2"/>
  <c r="A147" i="2"/>
  <c r="A215" i="2"/>
  <c r="A283" i="2"/>
  <c r="B78" i="2"/>
  <c r="B146" i="2"/>
  <c r="B214" i="2"/>
  <c r="B282" i="2"/>
  <c r="A78" i="2"/>
  <c r="A146" i="2"/>
  <c r="A214" i="2"/>
  <c r="A282" i="2"/>
  <c r="B77" i="2"/>
  <c r="B145" i="2"/>
  <c r="B213" i="2"/>
  <c r="B281" i="2"/>
  <c r="A77" i="2"/>
  <c r="A145" i="2"/>
  <c r="A213" i="2"/>
  <c r="A281" i="2"/>
  <c r="B76" i="2"/>
  <c r="B144" i="2"/>
  <c r="B212" i="2"/>
  <c r="B280" i="2"/>
  <c r="A76" i="2"/>
  <c r="A144" i="2"/>
  <c r="A212" i="2"/>
  <c r="A280" i="2"/>
  <c r="B75" i="2"/>
  <c r="B143" i="2"/>
  <c r="B211" i="2"/>
  <c r="B279" i="2"/>
  <c r="A75" i="2"/>
  <c r="A143" i="2"/>
  <c r="A211" i="2"/>
  <c r="A279" i="2"/>
  <c r="B74" i="2"/>
  <c r="B142" i="2"/>
  <c r="B210" i="2"/>
  <c r="B278" i="2"/>
  <c r="A74" i="2"/>
  <c r="A142" i="2"/>
  <c r="A210" i="2"/>
  <c r="A278" i="2"/>
  <c r="C224" i="2"/>
  <c r="D224" i="2"/>
  <c r="E224" i="2"/>
  <c r="F224" i="2"/>
  <c r="G224" i="2"/>
  <c r="H224" i="2"/>
  <c r="I224" i="2"/>
  <c r="J224" i="2"/>
  <c r="K224" i="2"/>
  <c r="L224" i="2"/>
  <c r="M224" i="2"/>
  <c r="N224" i="2"/>
  <c r="O224" i="2"/>
  <c r="P224" i="2"/>
  <c r="C225" i="2"/>
  <c r="D225" i="2"/>
  <c r="E225" i="2"/>
  <c r="F225" i="2"/>
  <c r="G225" i="2"/>
  <c r="H225" i="2"/>
  <c r="I225" i="2"/>
  <c r="J225" i="2"/>
  <c r="K225" i="2"/>
  <c r="L225" i="2"/>
  <c r="M225" i="2"/>
  <c r="N225" i="2"/>
  <c r="O225" i="2"/>
  <c r="P225" i="2"/>
  <c r="C226" i="2"/>
  <c r="D226" i="2"/>
  <c r="E226" i="2"/>
  <c r="F226" i="2"/>
  <c r="G226" i="2"/>
  <c r="H226" i="2"/>
  <c r="I226" i="2"/>
  <c r="J226" i="2"/>
  <c r="K226" i="2"/>
  <c r="L226" i="2"/>
  <c r="M226" i="2"/>
  <c r="N226" i="2"/>
  <c r="O226" i="2"/>
  <c r="P226" i="2"/>
  <c r="C227" i="2"/>
  <c r="D227" i="2"/>
  <c r="E227" i="2"/>
  <c r="F227" i="2"/>
  <c r="G227" i="2"/>
  <c r="H227" i="2"/>
  <c r="I227" i="2"/>
  <c r="J227" i="2"/>
  <c r="K227" i="2"/>
  <c r="L227" i="2"/>
  <c r="M227" i="2"/>
  <c r="N227" i="2"/>
  <c r="O227" i="2"/>
  <c r="P227" i="2"/>
  <c r="C228" i="2"/>
  <c r="D228" i="2"/>
  <c r="E228" i="2"/>
  <c r="F228" i="2"/>
  <c r="G228" i="2"/>
  <c r="H228" i="2"/>
  <c r="I228" i="2"/>
  <c r="J228" i="2"/>
  <c r="K228" i="2"/>
  <c r="L228" i="2"/>
  <c r="M228" i="2"/>
  <c r="N228" i="2"/>
  <c r="O228" i="2"/>
  <c r="P228" i="2"/>
  <c r="C229" i="2"/>
  <c r="D229" i="2"/>
  <c r="E229" i="2"/>
  <c r="F229" i="2"/>
  <c r="G229" i="2"/>
  <c r="H229" i="2"/>
  <c r="I229" i="2"/>
  <c r="J229" i="2"/>
  <c r="K229" i="2"/>
  <c r="L229" i="2"/>
  <c r="M229" i="2"/>
  <c r="N229" i="2"/>
  <c r="O229" i="2"/>
  <c r="P229" i="2"/>
  <c r="C230" i="2"/>
  <c r="D230" i="2"/>
  <c r="E230" i="2"/>
  <c r="F230" i="2"/>
  <c r="G230" i="2"/>
  <c r="H230" i="2"/>
  <c r="I230" i="2"/>
  <c r="J230" i="2"/>
  <c r="K230" i="2"/>
  <c r="L230" i="2"/>
  <c r="M230" i="2"/>
  <c r="N230" i="2"/>
  <c r="O230" i="2"/>
  <c r="P230" i="2"/>
  <c r="C231" i="2"/>
  <c r="D231" i="2"/>
  <c r="E231" i="2"/>
  <c r="F231" i="2"/>
  <c r="G231" i="2"/>
  <c r="H231" i="2"/>
  <c r="I231" i="2"/>
  <c r="J231" i="2"/>
  <c r="K231" i="2"/>
  <c r="L231" i="2"/>
  <c r="M231" i="2"/>
  <c r="N231" i="2"/>
  <c r="O231" i="2"/>
  <c r="P231" i="2"/>
  <c r="C232" i="2"/>
  <c r="D232" i="2"/>
  <c r="E232" i="2"/>
  <c r="F232" i="2"/>
  <c r="G232" i="2"/>
  <c r="H232" i="2"/>
  <c r="I232" i="2"/>
  <c r="J232" i="2"/>
  <c r="K232" i="2"/>
  <c r="L232" i="2"/>
  <c r="M232" i="2"/>
  <c r="N232" i="2"/>
  <c r="O232" i="2"/>
  <c r="P232" i="2"/>
  <c r="C233" i="2"/>
  <c r="D233" i="2"/>
  <c r="E233" i="2"/>
  <c r="F233" i="2"/>
  <c r="G233" i="2"/>
  <c r="H233" i="2"/>
  <c r="I233" i="2"/>
  <c r="J233" i="2"/>
  <c r="K233" i="2"/>
  <c r="L233" i="2"/>
  <c r="M233" i="2"/>
  <c r="N233" i="2"/>
  <c r="O233" i="2"/>
  <c r="P233" i="2"/>
  <c r="C234" i="2"/>
  <c r="D234" i="2"/>
  <c r="E234" i="2"/>
  <c r="F234" i="2"/>
  <c r="G234" i="2"/>
  <c r="H234" i="2"/>
  <c r="I234" i="2"/>
  <c r="J234" i="2"/>
  <c r="K234" i="2"/>
  <c r="L234" i="2"/>
  <c r="M234" i="2"/>
  <c r="N234" i="2"/>
  <c r="O234" i="2"/>
  <c r="P234" i="2"/>
  <c r="C235" i="2"/>
  <c r="D235" i="2"/>
  <c r="E235" i="2"/>
  <c r="F235" i="2"/>
  <c r="G235" i="2"/>
  <c r="H235" i="2"/>
  <c r="I235" i="2"/>
  <c r="J235" i="2"/>
  <c r="K235" i="2"/>
  <c r="L235" i="2"/>
  <c r="M235" i="2"/>
  <c r="N235" i="2"/>
  <c r="O235" i="2"/>
  <c r="P235" i="2"/>
  <c r="C236" i="2"/>
  <c r="D236" i="2"/>
  <c r="E236" i="2"/>
  <c r="F236" i="2"/>
  <c r="G236" i="2"/>
  <c r="H236" i="2"/>
  <c r="I236" i="2"/>
  <c r="J236" i="2"/>
  <c r="K236" i="2"/>
  <c r="L236" i="2"/>
  <c r="M236" i="2"/>
  <c r="N236" i="2"/>
  <c r="O236" i="2"/>
  <c r="P236" i="2"/>
  <c r="C237" i="2"/>
  <c r="D237" i="2"/>
  <c r="E237" i="2"/>
  <c r="F237" i="2"/>
  <c r="G237" i="2"/>
  <c r="H237" i="2"/>
  <c r="I237" i="2"/>
  <c r="J237" i="2"/>
  <c r="K237" i="2"/>
  <c r="L237" i="2"/>
  <c r="M237" i="2"/>
  <c r="N237" i="2"/>
  <c r="O237" i="2"/>
  <c r="P237" i="2"/>
  <c r="C238" i="2"/>
  <c r="D238" i="2"/>
  <c r="E238" i="2"/>
  <c r="F238" i="2"/>
  <c r="G238" i="2"/>
  <c r="H238" i="2"/>
  <c r="I238" i="2"/>
  <c r="J238" i="2"/>
  <c r="K238" i="2"/>
  <c r="L238" i="2"/>
  <c r="M238" i="2"/>
  <c r="N238" i="2"/>
  <c r="O238" i="2"/>
  <c r="P238" i="2"/>
  <c r="C239" i="2"/>
  <c r="D239" i="2"/>
  <c r="E239" i="2"/>
  <c r="F239" i="2"/>
  <c r="G239" i="2"/>
  <c r="H239" i="2"/>
  <c r="I239" i="2"/>
  <c r="J239" i="2"/>
  <c r="K239" i="2"/>
  <c r="L239" i="2"/>
  <c r="M239" i="2"/>
  <c r="N239" i="2"/>
  <c r="O239" i="2"/>
  <c r="P239" i="2"/>
  <c r="C240" i="2"/>
  <c r="D240" i="2"/>
  <c r="E240" i="2"/>
  <c r="F240" i="2"/>
  <c r="G240" i="2"/>
  <c r="H240" i="2"/>
  <c r="I240" i="2"/>
  <c r="J240" i="2"/>
  <c r="K240" i="2"/>
  <c r="L240" i="2"/>
  <c r="M240" i="2"/>
  <c r="N240" i="2"/>
  <c r="O240" i="2"/>
  <c r="P240" i="2"/>
  <c r="C258" i="2"/>
  <c r="D258" i="2"/>
  <c r="E258" i="2"/>
  <c r="F258" i="2"/>
  <c r="G258" i="2"/>
  <c r="H258" i="2"/>
  <c r="I258" i="2"/>
  <c r="J258" i="2"/>
  <c r="K258" i="2"/>
  <c r="L258" i="2"/>
  <c r="M258" i="2"/>
  <c r="N258" i="2"/>
  <c r="O258" i="2"/>
  <c r="P258" i="2"/>
  <c r="C259" i="2"/>
  <c r="D259" i="2"/>
  <c r="E259" i="2"/>
  <c r="F259" i="2"/>
  <c r="G259" i="2"/>
  <c r="H259" i="2"/>
  <c r="I259" i="2"/>
  <c r="J259" i="2"/>
  <c r="K259" i="2"/>
  <c r="L259" i="2"/>
  <c r="M259" i="2"/>
  <c r="N259" i="2"/>
  <c r="O259" i="2"/>
  <c r="P259" i="2"/>
  <c r="C260" i="2"/>
  <c r="D260" i="2"/>
  <c r="E260" i="2"/>
  <c r="F260" i="2"/>
  <c r="G260" i="2"/>
  <c r="H260" i="2"/>
  <c r="I260" i="2"/>
  <c r="J260" i="2"/>
  <c r="K260" i="2"/>
  <c r="L260" i="2"/>
  <c r="M260" i="2"/>
  <c r="N260" i="2"/>
  <c r="O260" i="2"/>
  <c r="P260" i="2"/>
  <c r="C261" i="2"/>
  <c r="D261" i="2"/>
  <c r="E261" i="2"/>
  <c r="F261" i="2"/>
  <c r="G261" i="2"/>
  <c r="H261" i="2"/>
  <c r="I261" i="2"/>
  <c r="J261" i="2"/>
  <c r="K261" i="2"/>
  <c r="L261" i="2"/>
  <c r="M261" i="2"/>
  <c r="N261" i="2"/>
  <c r="O261" i="2"/>
  <c r="P261" i="2"/>
  <c r="C262" i="2"/>
  <c r="D262" i="2"/>
  <c r="E262" i="2"/>
  <c r="F262" i="2"/>
  <c r="G262" i="2"/>
  <c r="H262" i="2"/>
  <c r="I262" i="2"/>
  <c r="J262" i="2"/>
  <c r="K262" i="2"/>
  <c r="L262" i="2"/>
  <c r="M262" i="2"/>
  <c r="N262" i="2"/>
  <c r="O262" i="2"/>
  <c r="P262" i="2"/>
  <c r="C263" i="2"/>
  <c r="D263" i="2"/>
  <c r="E263" i="2"/>
  <c r="F263" i="2"/>
  <c r="G263" i="2"/>
  <c r="H263" i="2"/>
  <c r="I263" i="2"/>
  <c r="J263" i="2"/>
  <c r="K263" i="2"/>
  <c r="L263" i="2"/>
  <c r="M263" i="2"/>
  <c r="N263" i="2"/>
  <c r="O263" i="2"/>
  <c r="P263" i="2"/>
  <c r="C264" i="2"/>
  <c r="D264" i="2"/>
  <c r="E264" i="2"/>
  <c r="F264" i="2"/>
  <c r="G264" i="2"/>
  <c r="H264" i="2"/>
  <c r="I264" i="2"/>
  <c r="J264" i="2"/>
  <c r="K264" i="2"/>
  <c r="L264" i="2"/>
  <c r="M264" i="2"/>
  <c r="N264" i="2"/>
  <c r="O264" i="2"/>
  <c r="P264" i="2"/>
  <c r="C265" i="2"/>
  <c r="D265" i="2"/>
  <c r="E265" i="2"/>
  <c r="F265" i="2"/>
  <c r="G265" i="2"/>
  <c r="H265" i="2"/>
  <c r="I265" i="2"/>
  <c r="J265" i="2"/>
  <c r="K265" i="2"/>
  <c r="L265" i="2"/>
  <c r="M265" i="2"/>
  <c r="N265" i="2"/>
  <c r="O265" i="2"/>
  <c r="P265" i="2"/>
  <c r="C266" i="2"/>
  <c r="D266" i="2"/>
  <c r="E266" i="2"/>
  <c r="F266" i="2"/>
  <c r="G266" i="2"/>
  <c r="H266" i="2"/>
  <c r="I266" i="2"/>
  <c r="J266" i="2"/>
  <c r="K266" i="2"/>
  <c r="L266" i="2"/>
  <c r="M266" i="2"/>
  <c r="N266" i="2"/>
  <c r="O266" i="2"/>
  <c r="P266" i="2"/>
  <c r="C267" i="2"/>
  <c r="D267" i="2"/>
  <c r="E267" i="2"/>
  <c r="F267" i="2"/>
  <c r="G267" i="2"/>
  <c r="H267" i="2"/>
  <c r="I267" i="2"/>
  <c r="J267" i="2"/>
  <c r="K267" i="2"/>
  <c r="L267" i="2"/>
  <c r="M267" i="2"/>
  <c r="N267" i="2"/>
  <c r="O267" i="2"/>
  <c r="P267" i="2"/>
  <c r="C268" i="2"/>
  <c r="D268" i="2"/>
  <c r="E268" i="2"/>
  <c r="F268" i="2"/>
  <c r="G268" i="2"/>
  <c r="H268" i="2"/>
  <c r="I268" i="2"/>
  <c r="J268" i="2"/>
  <c r="K268" i="2"/>
  <c r="L268" i="2"/>
  <c r="M268" i="2"/>
  <c r="N268" i="2"/>
  <c r="O268" i="2"/>
  <c r="P268" i="2"/>
  <c r="C269" i="2"/>
  <c r="D269" i="2"/>
  <c r="E269" i="2"/>
  <c r="F269" i="2"/>
  <c r="G269" i="2"/>
  <c r="H269" i="2"/>
  <c r="I269" i="2"/>
  <c r="J269" i="2"/>
  <c r="K269" i="2"/>
  <c r="L269" i="2"/>
  <c r="M269" i="2"/>
  <c r="N269" i="2"/>
  <c r="O269" i="2"/>
  <c r="P269" i="2"/>
  <c r="C270" i="2"/>
  <c r="D270" i="2"/>
  <c r="E270" i="2"/>
  <c r="F270" i="2"/>
  <c r="G270" i="2"/>
  <c r="H270" i="2"/>
  <c r="I270" i="2"/>
  <c r="J270" i="2"/>
  <c r="K270" i="2"/>
  <c r="L270" i="2"/>
  <c r="M270" i="2"/>
  <c r="N270" i="2"/>
  <c r="O270" i="2"/>
  <c r="P270" i="2"/>
  <c r="C271" i="2"/>
  <c r="D271" i="2"/>
  <c r="E271" i="2"/>
  <c r="F271" i="2"/>
  <c r="G271" i="2"/>
  <c r="H271" i="2"/>
  <c r="I271" i="2"/>
  <c r="J271" i="2"/>
  <c r="K271" i="2"/>
  <c r="L271" i="2"/>
  <c r="M271" i="2"/>
  <c r="N271" i="2"/>
  <c r="O271" i="2"/>
  <c r="P271" i="2"/>
  <c r="C272" i="2"/>
  <c r="D272" i="2"/>
  <c r="E272" i="2"/>
  <c r="F272" i="2"/>
  <c r="G272" i="2"/>
  <c r="H272" i="2"/>
  <c r="I272" i="2"/>
  <c r="J272" i="2"/>
  <c r="K272" i="2"/>
  <c r="L272" i="2"/>
  <c r="M272" i="2"/>
  <c r="N272" i="2"/>
  <c r="O272" i="2"/>
  <c r="P272" i="2"/>
  <c r="C273" i="2"/>
  <c r="D273" i="2"/>
  <c r="E273" i="2"/>
  <c r="F273" i="2"/>
  <c r="G273" i="2"/>
  <c r="H273" i="2"/>
  <c r="I273" i="2"/>
  <c r="J273" i="2"/>
  <c r="K273" i="2"/>
  <c r="L273" i="2"/>
  <c r="M273" i="2"/>
  <c r="N273" i="2"/>
  <c r="O273" i="2"/>
  <c r="P273" i="2"/>
  <c r="C274" i="2"/>
  <c r="D274" i="2"/>
  <c r="E274" i="2"/>
  <c r="F274" i="2"/>
  <c r="G274" i="2"/>
  <c r="H274" i="2"/>
  <c r="I274" i="2"/>
  <c r="J274" i="2"/>
  <c r="K274" i="2"/>
  <c r="L274" i="2"/>
  <c r="M274" i="2"/>
  <c r="N274" i="2"/>
  <c r="O274" i="2"/>
  <c r="P274" i="2"/>
  <c r="I29" i="1"/>
  <c r="C278" i="2"/>
  <c r="C7" i="2"/>
  <c r="C279" i="2"/>
  <c r="C8" i="2"/>
  <c r="C280" i="2"/>
  <c r="C9" i="2"/>
  <c r="C281" i="2"/>
  <c r="C10" i="2"/>
  <c r="C282" i="2"/>
  <c r="C11" i="2"/>
  <c r="C283" i="2"/>
  <c r="C12" i="2"/>
  <c r="C284" i="2"/>
  <c r="C13" i="2"/>
  <c r="C285" i="2"/>
  <c r="C14" i="2"/>
  <c r="C286" i="2"/>
  <c r="C15" i="2"/>
  <c r="C287" i="2"/>
  <c r="C16" i="2"/>
  <c r="C288" i="2"/>
  <c r="C17" i="2"/>
  <c r="C289" i="2"/>
  <c r="C18" i="2"/>
  <c r="C290" i="2"/>
  <c r="C309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207" i="2"/>
  <c r="D6" i="2"/>
  <c r="D278" i="2"/>
  <c r="D7" i="2"/>
  <c r="D279" i="2"/>
  <c r="D8" i="2"/>
  <c r="D280" i="2"/>
  <c r="D9" i="2"/>
  <c r="D281" i="2"/>
  <c r="D10" i="2"/>
  <c r="D282" i="2"/>
  <c r="D11" i="2"/>
  <c r="D283" i="2"/>
  <c r="D12" i="2"/>
  <c r="D284" i="2"/>
  <c r="D13" i="2"/>
  <c r="D285" i="2"/>
  <c r="D14" i="2"/>
  <c r="D286" i="2"/>
  <c r="D15" i="2"/>
  <c r="D287" i="2"/>
  <c r="D16" i="2"/>
  <c r="D288" i="2"/>
  <c r="D17" i="2"/>
  <c r="D289" i="2"/>
  <c r="D18" i="2"/>
  <c r="D290" i="2"/>
  <c r="D309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207" i="2"/>
  <c r="E6" i="2"/>
  <c r="E278" i="2"/>
  <c r="E7" i="2"/>
  <c r="E279" i="2"/>
  <c r="E8" i="2"/>
  <c r="E280" i="2"/>
  <c r="E9" i="2"/>
  <c r="E281" i="2"/>
  <c r="E10" i="2"/>
  <c r="E282" i="2"/>
  <c r="E11" i="2"/>
  <c r="E283" i="2"/>
  <c r="E12" i="2"/>
  <c r="E284" i="2"/>
  <c r="E13" i="2"/>
  <c r="E285" i="2"/>
  <c r="E14" i="2"/>
  <c r="E286" i="2"/>
  <c r="E15" i="2"/>
  <c r="E287" i="2"/>
  <c r="E16" i="2"/>
  <c r="E288" i="2"/>
  <c r="E17" i="2"/>
  <c r="E289" i="2"/>
  <c r="E18" i="2"/>
  <c r="E290" i="2"/>
  <c r="E309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207" i="2"/>
  <c r="F6" i="2"/>
  <c r="F278" i="2"/>
  <c r="F7" i="2"/>
  <c r="F279" i="2"/>
  <c r="F8" i="2"/>
  <c r="F280" i="2"/>
  <c r="F9" i="2"/>
  <c r="F281" i="2"/>
  <c r="F10" i="2"/>
  <c r="F282" i="2"/>
  <c r="F11" i="2"/>
  <c r="F283" i="2"/>
  <c r="F12" i="2"/>
  <c r="F284" i="2"/>
  <c r="F13" i="2"/>
  <c r="F285" i="2"/>
  <c r="F14" i="2"/>
  <c r="F286" i="2"/>
  <c r="F15" i="2"/>
  <c r="F287" i="2"/>
  <c r="F16" i="2"/>
  <c r="F288" i="2"/>
  <c r="F17" i="2"/>
  <c r="F289" i="2"/>
  <c r="F18" i="2"/>
  <c r="F290" i="2"/>
  <c r="F309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207" i="2"/>
  <c r="G6" i="2"/>
  <c r="G278" i="2"/>
  <c r="G7" i="2"/>
  <c r="G279" i="2"/>
  <c r="G8" i="2"/>
  <c r="G280" i="2"/>
  <c r="G9" i="2"/>
  <c r="G281" i="2"/>
  <c r="G10" i="2"/>
  <c r="G282" i="2"/>
  <c r="G11" i="2"/>
  <c r="G283" i="2"/>
  <c r="G12" i="2"/>
  <c r="G284" i="2"/>
  <c r="G13" i="2"/>
  <c r="G285" i="2"/>
  <c r="G14" i="2"/>
  <c r="G286" i="2"/>
  <c r="G15" i="2"/>
  <c r="G287" i="2"/>
  <c r="G16" i="2"/>
  <c r="G288" i="2"/>
  <c r="G17" i="2"/>
  <c r="G289" i="2"/>
  <c r="G18" i="2"/>
  <c r="G290" i="2"/>
  <c r="G309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207" i="2"/>
  <c r="H6" i="2"/>
  <c r="H278" i="2"/>
  <c r="H7" i="2"/>
  <c r="H279" i="2"/>
  <c r="H8" i="2"/>
  <c r="H280" i="2"/>
  <c r="H9" i="2"/>
  <c r="H281" i="2"/>
  <c r="H10" i="2"/>
  <c r="H282" i="2"/>
  <c r="H11" i="2"/>
  <c r="H283" i="2"/>
  <c r="H12" i="2"/>
  <c r="H284" i="2"/>
  <c r="H13" i="2"/>
  <c r="H285" i="2"/>
  <c r="H14" i="2"/>
  <c r="H286" i="2"/>
  <c r="H15" i="2"/>
  <c r="H287" i="2"/>
  <c r="H16" i="2"/>
  <c r="H288" i="2"/>
  <c r="H17" i="2"/>
  <c r="H289" i="2"/>
  <c r="H18" i="2"/>
  <c r="H290" i="2"/>
  <c r="H309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207" i="2"/>
  <c r="I6" i="2"/>
  <c r="I278" i="2"/>
  <c r="I7" i="2"/>
  <c r="I279" i="2"/>
  <c r="I8" i="2"/>
  <c r="I280" i="2"/>
  <c r="I9" i="2"/>
  <c r="I281" i="2"/>
  <c r="I10" i="2"/>
  <c r="I282" i="2"/>
  <c r="I11" i="2"/>
  <c r="I283" i="2"/>
  <c r="I12" i="2"/>
  <c r="I284" i="2"/>
  <c r="I13" i="2"/>
  <c r="I285" i="2"/>
  <c r="I14" i="2"/>
  <c r="I286" i="2"/>
  <c r="I15" i="2"/>
  <c r="I287" i="2"/>
  <c r="I16" i="2"/>
  <c r="I288" i="2"/>
  <c r="I17" i="2"/>
  <c r="I289" i="2"/>
  <c r="I18" i="2"/>
  <c r="I290" i="2"/>
  <c r="I309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207" i="2"/>
  <c r="J6" i="2"/>
  <c r="J278" i="2"/>
  <c r="J7" i="2"/>
  <c r="J279" i="2"/>
  <c r="J8" i="2"/>
  <c r="J280" i="2"/>
  <c r="J9" i="2"/>
  <c r="J281" i="2"/>
  <c r="J10" i="2"/>
  <c r="J282" i="2"/>
  <c r="J11" i="2"/>
  <c r="J283" i="2"/>
  <c r="J12" i="2"/>
  <c r="J284" i="2"/>
  <c r="J13" i="2"/>
  <c r="J285" i="2"/>
  <c r="J14" i="2"/>
  <c r="J286" i="2"/>
  <c r="J15" i="2"/>
  <c r="J287" i="2"/>
  <c r="J16" i="2"/>
  <c r="J288" i="2"/>
  <c r="J17" i="2"/>
  <c r="J289" i="2"/>
  <c r="J18" i="2"/>
  <c r="J290" i="2"/>
  <c r="J309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207" i="2"/>
  <c r="K6" i="2"/>
  <c r="K278" i="2"/>
  <c r="K7" i="2"/>
  <c r="K279" i="2"/>
  <c r="K8" i="2"/>
  <c r="K280" i="2"/>
  <c r="K9" i="2"/>
  <c r="K281" i="2"/>
  <c r="K10" i="2"/>
  <c r="K282" i="2"/>
  <c r="K11" i="2"/>
  <c r="K283" i="2"/>
  <c r="K12" i="2"/>
  <c r="K284" i="2"/>
  <c r="K13" i="2"/>
  <c r="K285" i="2"/>
  <c r="K14" i="2"/>
  <c r="K286" i="2"/>
  <c r="K15" i="2"/>
  <c r="K287" i="2"/>
  <c r="K16" i="2"/>
  <c r="K288" i="2"/>
  <c r="K17" i="2"/>
  <c r="K289" i="2"/>
  <c r="K18" i="2"/>
  <c r="K290" i="2"/>
  <c r="K309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207" i="2"/>
  <c r="L6" i="2"/>
  <c r="L278" i="2"/>
  <c r="L7" i="2"/>
  <c r="L279" i="2"/>
  <c r="L8" i="2"/>
  <c r="L280" i="2"/>
  <c r="L9" i="2"/>
  <c r="L281" i="2"/>
  <c r="L10" i="2"/>
  <c r="L282" i="2"/>
  <c r="L11" i="2"/>
  <c r="L283" i="2"/>
  <c r="L12" i="2"/>
  <c r="L284" i="2"/>
  <c r="L13" i="2"/>
  <c r="L285" i="2"/>
  <c r="L14" i="2"/>
  <c r="L286" i="2"/>
  <c r="L15" i="2"/>
  <c r="L287" i="2"/>
  <c r="L16" i="2"/>
  <c r="L288" i="2"/>
  <c r="L17" i="2"/>
  <c r="L289" i="2"/>
  <c r="L18" i="2"/>
  <c r="L290" i="2"/>
  <c r="L309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207" i="2"/>
  <c r="M6" i="2"/>
  <c r="M278" i="2"/>
  <c r="M7" i="2"/>
  <c r="M279" i="2"/>
  <c r="M8" i="2"/>
  <c r="M280" i="2"/>
  <c r="M9" i="2"/>
  <c r="M281" i="2"/>
  <c r="M10" i="2"/>
  <c r="M282" i="2"/>
  <c r="M11" i="2"/>
  <c r="M283" i="2"/>
  <c r="M12" i="2"/>
  <c r="M284" i="2"/>
  <c r="M13" i="2"/>
  <c r="M285" i="2"/>
  <c r="M14" i="2"/>
  <c r="M286" i="2"/>
  <c r="M15" i="2"/>
  <c r="M287" i="2"/>
  <c r="M16" i="2"/>
  <c r="M288" i="2"/>
  <c r="M17" i="2"/>
  <c r="M289" i="2"/>
  <c r="M18" i="2"/>
  <c r="M290" i="2"/>
  <c r="M309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207" i="2"/>
  <c r="N6" i="2"/>
  <c r="N278" i="2"/>
  <c r="N7" i="2"/>
  <c r="N279" i="2"/>
  <c r="N8" i="2"/>
  <c r="N280" i="2"/>
  <c r="N9" i="2"/>
  <c r="N281" i="2"/>
  <c r="N10" i="2"/>
  <c r="N282" i="2"/>
  <c r="N11" i="2"/>
  <c r="N283" i="2"/>
  <c r="N12" i="2"/>
  <c r="N284" i="2"/>
  <c r="N13" i="2"/>
  <c r="N285" i="2"/>
  <c r="N14" i="2"/>
  <c r="N286" i="2"/>
  <c r="N15" i="2"/>
  <c r="N287" i="2"/>
  <c r="N16" i="2"/>
  <c r="N288" i="2"/>
  <c r="N17" i="2"/>
  <c r="N289" i="2"/>
  <c r="N18" i="2"/>
  <c r="N290" i="2"/>
  <c r="N309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207" i="2"/>
  <c r="O6" i="2"/>
  <c r="O278" i="2"/>
  <c r="O7" i="2"/>
  <c r="O279" i="2"/>
  <c r="O8" i="2"/>
  <c r="O280" i="2"/>
  <c r="O9" i="2"/>
  <c r="O281" i="2"/>
  <c r="O10" i="2"/>
  <c r="O282" i="2"/>
  <c r="O11" i="2"/>
  <c r="O283" i="2"/>
  <c r="O12" i="2"/>
  <c r="O284" i="2"/>
  <c r="O13" i="2"/>
  <c r="O285" i="2"/>
  <c r="O14" i="2"/>
  <c r="O286" i="2"/>
  <c r="O15" i="2"/>
  <c r="O287" i="2"/>
  <c r="O16" i="2"/>
  <c r="O288" i="2"/>
  <c r="O17" i="2"/>
  <c r="O289" i="2"/>
  <c r="O18" i="2"/>
  <c r="O290" i="2"/>
  <c r="O309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20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309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207" i="2"/>
  <c r="C312" i="2"/>
  <c r="C210" i="2"/>
  <c r="D312" i="2"/>
  <c r="D210" i="2"/>
  <c r="E312" i="2"/>
  <c r="E210" i="2"/>
  <c r="F312" i="2"/>
  <c r="F210" i="2"/>
  <c r="G312" i="2"/>
  <c r="G210" i="2"/>
  <c r="H312" i="2"/>
  <c r="H210" i="2"/>
  <c r="I312" i="2"/>
  <c r="I210" i="2"/>
  <c r="J312" i="2"/>
  <c r="J210" i="2"/>
  <c r="K312" i="2"/>
  <c r="K210" i="2"/>
  <c r="L312" i="2"/>
  <c r="L210" i="2"/>
  <c r="M312" i="2"/>
  <c r="M210" i="2"/>
  <c r="N312" i="2"/>
  <c r="N210" i="2"/>
  <c r="O312" i="2"/>
  <c r="O210" i="2"/>
  <c r="P312" i="2"/>
  <c r="P210" i="2"/>
  <c r="C313" i="2"/>
  <c r="C211" i="2"/>
  <c r="D313" i="2"/>
  <c r="D211" i="2"/>
  <c r="E313" i="2"/>
  <c r="E211" i="2"/>
  <c r="F313" i="2"/>
  <c r="F211" i="2"/>
  <c r="G313" i="2"/>
  <c r="G211" i="2"/>
  <c r="H313" i="2"/>
  <c r="H211" i="2"/>
  <c r="I313" i="2"/>
  <c r="I211" i="2"/>
  <c r="J313" i="2"/>
  <c r="J211" i="2"/>
  <c r="K313" i="2"/>
  <c r="K211" i="2"/>
  <c r="L313" i="2"/>
  <c r="L211" i="2"/>
  <c r="M313" i="2"/>
  <c r="M211" i="2"/>
  <c r="N313" i="2"/>
  <c r="N211" i="2"/>
  <c r="O313" i="2"/>
  <c r="O211" i="2"/>
  <c r="P313" i="2"/>
  <c r="P211" i="2"/>
  <c r="C314" i="2"/>
  <c r="C212" i="2"/>
  <c r="D314" i="2"/>
  <c r="D212" i="2"/>
  <c r="E314" i="2"/>
  <c r="E212" i="2"/>
  <c r="F314" i="2"/>
  <c r="F212" i="2"/>
  <c r="G314" i="2"/>
  <c r="G212" i="2"/>
  <c r="H314" i="2"/>
  <c r="H212" i="2"/>
  <c r="I314" i="2"/>
  <c r="I212" i="2"/>
  <c r="J314" i="2"/>
  <c r="J212" i="2"/>
  <c r="K314" i="2"/>
  <c r="K212" i="2"/>
  <c r="L314" i="2"/>
  <c r="L212" i="2"/>
  <c r="M314" i="2"/>
  <c r="M212" i="2"/>
  <c r="N314" i="2"/>
  <c r="N212" i="2"/>
  <c r="O314" i="2"/>
  <c r="O212" i="2"/>
  <c r="P314" i="2"/>
  <c r="P212" i="2"/>
  <c r="C315" i="2"/>
  <c r="C213" i="2"/>
  <c r="D315" i="2"/>
  <c r="D213" i="2"/>
  <c r="E315" i="2"/>
  <c r="E213" i="2"/>
  <c r="F315" i="2"/>
  <c r="F213" i="2"/>
  <c r="G315" i="2"/>
  <c r="G213" i="2"/>
  <c r="H315" i="2"/>
  <c r="H213" i="2"/>
  <c r="I315" i="2"/>
  <c r="I213" i="2"/>
  <c r="J315" i="2"/>
  <c r="J213" i="2"/>
  <c r="K315" i="2"/>
  <c r="K213" i="2"/>
  <c r="L315" i="2"/>
  <c r="L213" i="2"/>
  <c r="M315" i="2"/>
  <c r="M213" i="2"/>
  <c r="N315" i="2"/>
  <c r="N213" i="2"/>
  <c r="O315" i="2"/>
  <c r="O213" i="2"/>
  <c r="P315" i="2"/>
  <c r="P213" i="2"/>
  <c r="C316" i="2"/>
  <c r="C214" i="2"/>
  <c r="D316" i="2"/>
  <c r="D214" i="2"/>
  <c r="E316" i="2"/>
  <c r="E214" i="2"/>
  <c r="F316" i="2"/>
  <c r="F214" i="2"/>
  <c r="G316" i="2"/>
  <c r="G214" i="2"/>
  <c r="H316" i="2"/>
  <c r="H214" i="2"/>
  <c r="I316" i="2"/>
  <c r="I214" i="2"/>
  <c r="J316" i="2"/>
  <c r="J214" i="2"/>
  <c r="K316" i="2"/>
  <c r="K214" i="2"/>
  <c r="L316" i="2"/>
  <c r="L214" i="2"/>
  <c r="M316" i="2"/>
  <c r="M214" i="2"/>
  <c r="N316" i="2"/>
  <c r="N214" i="2"/>
  <c r="O316" i="2"/>
  <c r="O214" i="2"/>
  <c r="P316" i="2"/>
  <c r="P214" i="2"/>
  <c r="C317" i="2"/>
  <c r="C215" i="2"/>
  <c r="D317" i="2"/>
  <c r="D215" i="2"/>
  <c r="E317" i="2"/>
  <c r="E215" i="2"/>
  <c r="F317" i="2"/>
  <c r="F215" i="2"/>
  <c r="G317" i="2"/>
  <c r="G215" i="2"/>
  <c r="H317" i="2"/>
  <c r="H215" i="2"/>
  <c r="I317" i="2"/>
  <c r="I215" i="2"/>
  <c r="J317" i="2"/>
  <c r="J215" i="2"/>
  <c r="K317" i="2"/>
  <c r="K215" i="2"/>
  <c r="L317" i="2"/>
  <c r="L215" i="2"/>
  <c r="M317" i="2"/>
  <c r="M215" i="2"/>
  <c r="N317" i="2"/>
  <c r="N215" i="2"/>
  <c r="O317" i="2"/>
  <c r="O215" i="2"/>
  <c r="P317" i="2"/>
  <c r="P215" i="2"/>
  <c r="C318" i="2"/>
  <c r="C216" i="2"/>
  <c r="D318" i="2"/>
  <c r="D216" i="2"/>
  <c r="E318" i="2"/>
  <c r="E216" i="2"/>
  <c r="F318" i="2"/>
  <c r="F216" i="2"/>
  <c r="G318" i="2"/>
  <c r="G216" i="2"/>
  <c r="H318" i="2"/>
  <c r="H216" i="2"/>
  <c r="I318" i="2"/>
  <c r="I216" i="2"/>
  <c r="J318" i="2"/>
  <c r="J216" i="2"/>
  <c r="K318" i="2"/>
  <c r="K216" i="2"/>
  <c r="L318" i="2"/>
  <c r="L216" i="2"/>
  <c r="M318" i="2"/>
  <c r="M216" i="2"/>
  <c r="N318" i="2"/>
  <c r="N216" i="2"/>
  <c r="O318" i="2"/>
  <c r="O216" i="2"/>
  <c r="P318" i="2"/>
  <c r="P216" i="2"/>
  <c r="C319" i="2"/>
  <c r="C217" i="2"/>
  <c r="D319" i="2"/>
  <c r="D217" i="2"/>
  <c r="E319" i="2"/>
  <c r="E217" i="2"/>
  <c r="F319" i="2"/>
  <c r="F217" i="2"/>
  <c r="G319" i="2"/>
  <c r="G217" i="2"/>
  <c r="H319" i="2"/>
  <c r="H217" i="2"/>
  <c r="I319" i="2"/>
  <c r="I217" i="2"/>
  <c r="J319" i="2"/>
  <c r="J217" i="2"/>
  <c r="K319" i="2"/>
  <c r="K217" i="2"/>
  <c r="L319" i="2"/>
  <c r="L217" i="2"/>
  <c r="M319" i="2"/>
  <c r="M217" i="2"/>
  <c r="N319" i="2"/>
  <c r="N217" i="2"/>
  <c r="O319" i="2"/>
  <c r="O217" i="2"/>
  <c r="P319" i="2"/>
  <c r="P217" i="2"/>
  <c r="C320" i="2"/>
  <c r="C218" i="2"/>
  <c r="D320" i="2"/>
  <c r="D218" i="2"/>
  <c r="E320" i="2"/>
  <c r="E218" i="2"/>
  <c r="F320" i="2"/>
  <c r="F218" i="2"/>
  <c r="G320" i="2"/>
  <c r="G218" i="2"/>
  <c r="H320" i="2"/>
  <c r="H218" i="2"/>
  <c r="I320" i="2"/>
  <c r="I218" i="2"/>
  <c r="J320" i="2"/>
  <c r="J218" i="2"/>
  <c r="K320" i="2"/>
  <c r="K218" i="2"/>
  <c r="L320" i="2"/>
  <c r="L218" i="2"/>
  <c r="M320" i="2"/>
  <c r="M218" i="2"/>
  <c r="N320" i="2"/>
  <c r="N218" i="2"/>
  <c r="O320" i="2"/>
  <c r="O218" i="2"/>
  <c r="P320" i="2"/>
  <c r="P218" i="2"/>
  <c r="C321" i="2"/>
  <c r="C219" i="2"/>
  <c r="D321" i="2"/>
  <c r="D219" i="2"/>
  <c r="E321" i="2"/>
  <c r="E219" i="2"/>
  <c r="F321" i="2"/>
  <c r="F219" i="2"/>
  <c r="G321" i="2"/>
  <c r="G219" i="2"/>
  <c r="H321" i="2"/>
  <c r="H219" i="2"/>
  <c r="I321" i="2"/>
  <c r="I219" i="2"/>
  <c r="J321" i="2"/>
  <c r="J219" i="2"/>
  <c r="K321" i="2"/>
  <c r="K219" i="2"/>
  <c r="L321" i="2"/>
  <c r="L219" i="2"/>
  <c r="M321" i="2"/>
  <c r="M219" i="2"/>
  <c r="N321" i="2"/>
  <c r="N219" i="2"/>
  <c r="O321" i="2"/>
  <c r="O219" i="2"/>
  <c r="P321" i="2"/>
  <c r="P219" i="2"/>
  <c r="C322" i="2"/>
  <c r="C220" i="2"/>
  <c r="D322" i="2"/>
  <c r="D220" i="2"/>
  <c r="E322" i="2"/>
  <c r="E220" i="2"/>
  <c r="F322" i="2"/>
  <c r="F220" i="2"/>
  <c r="G322" i="2"/>
  <c r="G220" i="2"/>
  <c r="H322" i="2"/>
  <c r="H220" i="2"/>
  <c r="I322" i="2"/>
  <c r="I220" i="2"/>
  <c r="J322" i="2"/>
  <c r="J220" i="2"/>
  <c r="K322" i="2"/>
  <c r="K220" i="2"/>
  <c r="L322" i="2"/>
  <c r="L220" i="2"/>
  <c r="M322" i="2"/>
  <c r="M220" i="2"/>
  <c r="N322" i="2"/>
  <c r="N220" i="2"/>
  <c r="O322" i="2"/>
  <c r="O220" i="2"/>
  <c r="P322" i="2"/>
  <c r="P220" i="2"/>
  <c r="C323" i="2"/>
  <c r="C221" i="2"/>
  <c r="D323" i="2"/>
  <c r="D221" i="2"/>
  <c r="E323" i="2"/>
  <c r="E221" i="2"/>
  <c r="F323" i="2"/>
  <c r="F221" i="2"/>
  <c r="G323" i="2"/>
  <c r="G221" i="2"/>
  <c r="H323" i="2"/>
  <c r="H221" i="2"/>
  <c r="I323" i="2"/>
  <c r="I221" i="2"/>
  <c r="J323" i="2"/>
  <c r="J221" i="2"/>
  <c r="K323" i="2"/>
  <c r="K221" i="2"/>
  <c r="L323" i="2"/>
  <c r="L221" i="2"/>
  <c r="M323" i="2"/>
  <c r="M221" i="2"/>
  <c r="N323" i="2"/>
  <c r="N221" i="2"/>
  <c r="O323" i="2"/>
  <c r="O221" i="2"/>
  <c r="P323" i="2"/>
  <c r="P221" i="2"/>
  <c r="C324" i="2"/>
  <c r="C222" i="2"/>
  <c r="D324" i="2"/>
  <c r="D222" i="2"/>
  <c r="E324" i="2"/>
  <c r="E222" i="2"/>
  <c r="F324" i="2"/>
  <c r="F222" i="2"/>
  <c r="G324" i="2"/>
  <c r="G222" i="2"/>
  <c r="H324" i="2"/>
  <c r="H222" i="2"/>
  <c r="I324" i="2"/>
  <c r="I222" i="2"/>
  <c r="J324" i="2"/>
  <c r="J222" i="2"/>
  <c r="K324" i="2"/>
  <c r="K222" i="2"/>
  <c r="L324" i="2"/>
  <c r="L222" i="2"/>
  <c r="M324" i="2"/>
  <c r="M222" i="2"/>
  <c r="N324" i="2"/>
  <c r="N222" i="2"/>
  <c r="O324" i="2"/>
  <c r="O222" i="2"/>
  <c r="P324" i="2"/>
  <c r="P222" i="2"/>
  <c r="C122" i="2"/>
  <c r="D122" i="2"/>
  <c r="E122" i="2"/>
  <c r="F122" i="2"/>
  <c r="G122" i="2"/>
  <c r="H122" i="2"/>
  <c r="I122" i="2"/>
  <c r="J122" i="2"/>
  <c r="K122" i="2"/>
  <c r="L122" i="2"/>
  <c r="M122" i="2"/>
  <c r="N122" i="2"/>
  <c r="P122" i="2"/>
  <c r="C123" i="2"/>
  <c r="D123" i="2"/>
  <c r="E123" i="2"/>
  <c r="F123" i="2"/>
  <c r="G123" i="2"/>
  <c r="H123" i="2"/>
  <c r="I123" i="2"/>
  <c r="J123" i="2"/>
  <c r="K123" i="2"/>
  <c r="L123" i="2"/>
  <c r="M123" i="2"/>
  <c r="N123" i="2"/>
  <c r="P123" i="2"/>
  <c r="C124" i="2"/>
  <c r="D124" i="2"/>
  <c r="E124" i="2"/>
  <c r="F124" i="2"/>
  <c r="G124" i="2"/>
  <c r="H124" i="2"/>
  <c r="I124" i="2"/>
  <c r="J124" i="2"/>
  <c r="K124" i="2"/>
  <c r="L124" i="2"/>
  <c r="M124" i="2"/>
  <c r="N124" i="2"/>
  <c r="P124" i="2"/>
  <c r="C125" i="2"/>
  <c r="D125" i="2"/>
  <c r="E125" i="2"/>
  <c r="F125" i="2"/>
  <c r="G125" i="2"/>
  <c r="H125" i="2"/>
  <c r="I125" i="2"/>
  <c r="J125" i="2"/>
  <c r="K125" i="2"/>
  <c r="L125" i="2"/>
  <c r="M125" i="2"/>
  <c r="N125" i="2"/>
  <c r="P125" i="2"/>
  <c r="C126" i="2"/>
  <c r="D126" i="2"/>
  <c r="E126" i="2"/>
  <c r="F126" i="2"/>
  <c r="G126" i="2"/>
  <c r="H126" i="2"/>
  <c r="I126" i="2"/>
  <c r="J126" i="2"/>
  <c r="K126" i="2"/>
  <c r="L126" i="2"/>
  <c r="M126" i="2"/>
  <c r="N126" i="2"/>
  <c r="P126" i="2"/>
  <c r="C127" i="2"/>
  <c r="D127" i="2"/>
  <c r="E127" i="2"/>
  <c r="F127" i="2"/>
  <c r="G127" i="2"/>
  <c r="H127" i="2"/>
  <c r="I127" i="2"/>
  <c r="J127" i="2"/>
  <c r="K127" i="2"/>
  <c r="L127" i="2"/>
  <c r="M127" i="2"/>
  <c r="N127" i="2"/>
  <c r="P127" i="2"/>
  <c r="C128" i="2"/>
  <c r="D128" i="2"/>
  <c r="E128" i="2"/>
  <c r="F128" i="2"/>
  <c r="G128" i="2"/>
  <c r="H128" i="2"/>
  <c r="I128" i="2"/>
  <c r="J128" i="2"/>
  <c r="K128" i="2"/>
  <c r="L128" i="2"/>
  <c r="M128" i="2"/>
  <c r="N128" i="2"/>
  <c r="P128" i="2"/>
  <c r="C129" i="2"/>
  <c r="D129" i="2"/>
  <c r="E129" i="2"/>
  <c r="F129" i="2"/>
  <c r="G129" i="2"/>
  <c r="H129" i="2"/>
  <c r="I129" i="2"/>
  <c r="J129" i="2"/>
  <c r="K129" i="2"/>
  <c r="L129" i="2"/>
  <c r="M129" i="2"/>
  <c r="N129" i="2"/>
  <c r="P129" i="2"/>
  <c r="C130" i="2"/>
  <c r="D130" i="2"/>
  <c r="E130" i="2"/>
  <c r="F130" i="2"/>
  <c r="G130" i="2"/>
  <c r="H130" i="2"/>
  <c r="I130" i="2"/>
  <c r="J130" i="2"/>
  <c r="K130" i="2"/>
  <c r="L130" i="2"/>
  <c r="M130" i="2"/>
  <c r="N130" i="2"/>
  <c r="P130" i="2"/>
  <c r="C131" i="2"/>
  <c r="D131" i="2"/>
  <c r="E131" i="2"/>
  <c r="F131" i="2"/>
  <c r="G131" i="2"/>
  <c r="H131" i="2"/>
  <c r="I131" i="2"/>
  <c r="J131" i="2"/>
  <c r="K131" i="2"/>
  <c r="L131" i="2"/>
  <c r="M131" i="2"/>
  <c r="N131" i="2"/>
  <c r="P131" i="2"/>
  <c r="C132" i="2"/>
  <c r="D132" i="2"/>
  <c r="E132" i="2"/>
  <c r="F132" i="2"/>
  <c r="G132" i="2"/>
  <c r="H132" i="2"/>
  <c r="I132" i="2"/>
  <c r="J132" i="2"/>
  <c r="K132" i="2"/>
  <c r="L132" i="2"/>
  <c r="M132" i="2"/>
  <c r="N132" i="2"/>
  <c r="P132" i="2"/>
  <c r="C133" i="2"/>
  <c r="D133" i="2"/>
  <c r="E133" i="2"/>
  <c r="F133" i="2"/>
  <c r="G133" i="2"/>
  <c r="H133" i="2"/>
  <c r="I133" i="2"/>
  <c r="J133" i="2"/>
  <c r="K133" i="2"/>
  <c r="L133" i="2"/>
  <c r="M133" i="2"/>
  <c r="N133" i="2"/>
  <c r="P133" i="2"/>
  <c r="C134" i="2"/>
  <c r="D134" i="2"/>
  <c r="E134" i="2"/>
  <c r="F134" i="2"/>
  <c r="G134" i="2"/>
  <c r="H134" i="2"/>
  <c r="I134" i="2"/>
  <c r="J134" i="2"/>
  <c r="K134" i="2"/>
  <c r="L134" i="2"/>
  <c r="M134" i="2"/>
  <c r="N134" i="2"/>
  <c r="P134" i="2"/>
  <c r="C135" i="2"/>
  <c r="D135" i="2"/>
  <c r="E135" i="2"/>
  <c r="F135" i="2"/>
  <c r="G135" i="2"/>
  <c r="H135" i="2"/>
  <c r="I135" i="2"/>
  <c r="J135" i="2"/>
  <c r="K135" i="2"/>
  <c r="L135" i="2"/>
  <c r="M135" i="2"/>
  <c r="N135" i="2"/>
  <c r="P135" i="2"/>
  <c r="C136" i="2"/>
  <c r="D136" i="2"/>
  <c r="E136" i="2"/>
  <c r="F136" i="2"/>
  <c r="G136" i="2"/>
  <c r="H136" i="2"/>
  <c r="I136" i="2"/>
  <c r="J136" i="2"/>
  <c r="K136" i="2"/>
  <c r="L136" i="2"/>
  <c r="M136" i="2"/>
  <c r="N136" i="2"/>
  <c r="P136" i="2"/>
  <c r="C137" i="2"/>
  <c r="D137" i="2"/>
  <c r="E137" i="2"/>
  <c r="F137" i="2"/>
  <c r="G137" i="2"/>
  <c r="H137" i="2"/>
  <c r="I137" i="2"/>
  <c r="J137" i="2"/>
  <c r="K137" i="2"/>
  <c r="L137" i="2"/>
  <c r="M137" i="2"/>
  <c r="N137" i="2"/>
  <c r="P137" i="2"/>
  <c r="C138" i="2"/>
  <c r="D138" i="2"/>
  <c r="E138" i="2"/>
  <c r="F138" i="2"/>
  <c r="G138" i="2"/>
  <c r="H138" i="2"/>
  <c r="I138" i="2"/>
  <c r="J138" i="2"/>
  <c r="K138" i="2"/>
  <c r="L138" i="2"/>
  <c r="M138" i="2"/>
  <c r="N138" i="2"/>
  <c r="P138" i="2"/>
  <c r="A36" i="2"/>
  <c r="B36" i="2"/>
  <c r="A32" i="2"/>
  <c r="B32" i="2"/>
  <c r="A33" i="2"/>
  <c r="B33" i="2"/>
  <c r="A34" i="2"/>
  <c r="B34" i="2"/>
  <c r="A35" i="2"/>
  <c r="B35" i="2"/>
  <c r="A20" i="2"/>
  <c r="B20" i="2"/>
  <c r="A21" i="2"/>
  <c r="B21" i="2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10" i="2"/>
  <c r="B10" i="2"/>
  <c r="A11" i="2"/>
  <c r="B11" i="2"/>
  <c r="A12" i="2"/>
  <c r="B12" i="2"/>
  <c r="A13" i="2"/>
  <c r="B13" i="2"/>
  <c r="A14" i="2"/>
  <c r="B14" i="2"/>
  <c r="A15" i="2"/>
  <c r="B15" i="2"/>
  <c r="A16" i="2"/>
  <c r="B16" i="2"/>
  <c r="A17" i="2"/>
  <c r="B17" i="2"/>
  <c r="A18" i="2"/>
  <c r="B18" i="2"/>
  <c r="A19" i="2"/>
  <c r="B19" i="2"/>
  <c r="A7" i="2"/>
  <c r="B7" i="2"/>
  <c r="A8" i="2"/>
  <c r="B8" i="2"/>
  <c r="A9" i="2"/>
  <c r="B9" i="2"/>
  <c r="B6" i="2"/>
  <c r="A6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D4" i="2"/>
  <c r="B53" i="3"/>
  <c r="C53" i="3"/>
  <c r="B54" i="3"/>
  <c r="C54" i="3"/>
  <c r="B55" i="3"/>
  <c r="C55" i="3"/>
  <c r="B56" i="3"/>
  <c r="C56" i="3"/>
  <c r="B57" i="3"/>
  <c r="C57" i="3"/>
  <c r="B58" i="3"/>
  <c r="C58" i="3"/>
  <c r="B59" i="3"/>
  <c r="C59" i="3"/>
  <c r="B60" i="3"/>
  <c r="C60" i="3"/>
  <c r="B61" i="3"/>
  <c r="C61" i="3"/>
  <c r="B62" i="3"/>
  <c r="C62" i="3"/>
  <c r="B63" i="3"/>
  <c r="C63" i="3"/>
  <c r="B64" i="3"/>
  <c r="C64" i="3"/>
  <c r="B65" i="3"/>
  <c r="C65" i="3"/>
  <c r="B66" i="3"/>
  <c r="C66" i="3"/>
  <c r="B67" i="3"/>
  <c r="C67" i="3"/>
  <c r="B68" i="3"/>
  <c r="C68" i="3"/>
  <c r="B69" i="3"/>
  <c r="C69" i="3"/>
  <c r="B70" i="3"/>
  <c r="C70" i="3"/>
  <c r="B71" i="3"/>
  <c r="C71" i="3"/>
  <c r="B72" i="3"/>
  <c r="C72" i="3"/>
  <c r="B73" i="3"/>
  <c r="C73" i="3"/>
  <c r="B74" i="3"/>
  <c r="C74" i="3"/>
  <c r="B75" i="3"/>
  <c r="C75" i="3"/>
  <c r="B76" i="3"/>
  <c r="C76" i="3"/>
  <c r="B77" i="3"/>
  <c r="C77" i="3"/>
  <c r="B78" i="3"/>
  <c r="C78" i="3"/>
  <c r="B79" i="3"/>
  <c r="C79" i="3"/>
  <c r="B80" i="3"/>
  <c r="C80" i="3"/>
  <c r="B40" i="3"/>
  <c r="C40" i="3"/>
  <c r="B41" i="3"/>
  <c r="C41" i="3"/>
  <c r="B42" i="3"/>
  <c r="C42" i="3"/>
  <c r="B43" i="3"/>
  <c r="C43" i="3"/>
  <c r="B44" i="3"/>
  <c r="C44" i="3"/>
  <c r="B45" i="3"/>
  <c r="C45" i="3"/>
  <c r="B46" i="3"/>
  <c r="C46" i="3"/>
  <c r="B47" i="3"/>
  <c r="C47" i="3"/>
  <c r="B48" i="3"/>
  <c r="C48" i="3"/>
  <c r="B49" i="3"/>
  <c r="C49" i="3"/>
  <c r="B50" i="3"/>
  <c r="C50" i="3"/>
  <c r="B51" i="3"/>
  <c r="C51" i="3"/>
  <c r="B52" i="3"/>
  <c r="C52" i="3"/>
  <c r="B39" i="3"/>
  <c r="C39" i="3"/>
  <c r="D8" i="3"/>
  <c r="D347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C71" i="2"/>
  <c r="D71" i="2"/>
  <c r="E71" i="2"/>
  <c r="F71" i="2"/>
  <c r="G71" i="2"/>
  <c r="H71" i="2"/>
  <c r="I71" i="2"/>
  <c r="J71" i="2"/>
  <c r="K71" i="2"/>
  <c r="L71" i="2"/>
  <c r="M71" i="2"/>
  <c r="N71" i="2"/>
  <c r="P71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E33" i="1"/>
  <c r="C121" i="2"/>
  <c r="D121" i="2"/>
  <c r="E121" i="2"/>
  <c r="F121" i="2"/>
  <c r="G121" i="2"/>
  <c r="H121" i="2"/>
  <c r="I121" i="2"/>
  <c r="J121" i="2"/>
  <c r="K121" i="2"/>
  <c r="L121" i="2"/>
  <c r="M121" i="2"/>
  <c r="N121" i="2"/>
  <c r="P121" i="2"/>
  <c r="C139" i="2"/>
  <c r="D139" i="2"/>
  <c r="E139" i="2"/>
  <c r="F139" i="2"/>
  <c r="G139" i="2"/>
  <c r="H139" i="2"/>
  <c r="I139" i="2"/>
  <c r="J139" i="2"/>
  <c r="K139" i="2"/>
  <c r="L139" i="2"/>
  <c r="M139" i="2"/>
  <c r="N139" i="2"/>
  <c r="P139" i="2"/>
  <c r="C142" i="2"/>
  <c r="D142" i="2"/>
  <c r="E142" i="2"/>
  <c r="F142" i="2"/>
  <c r="G142" i="2"/>
  <c r="H142" i="2"/>
  <c r="I142" i="2"/>
  <c r="J142" i="2"/>
  <c r="K142" i="2"/>
  <c r="L142" i="2"/>
  <c r="M142" i="2"/>
  <c r="N142" i="2"/>
  <c r="O142" i="2"/>
  <c r="P142" i="2"/>
  <c r="C143" i="2"/>
  <c r="D143" i="2"/>
  <c r="E143" i="2"/>
  <c r="F143" i="2"/>
  <c r="G143" i="2"/>
  <c r="H143" i="2"/>
  <c r="I143" i="2"/>
  <c r="J143" i="2"/>
  <c r="K143" i="2"/>
  <c r="L143" i="2"/>
  <c r="M143" i="2"/>
  <c r="N143" i="2"/>
  <c r="O143" i="2"/>
  <c r="P143" i="2"/>
  <c r="C144" i="2"/>
  <c r="D144" i="2"/>
  <c r="E144" i="2"/>
  <c r="F144" i="2"/>
  <c r="G144" i="2"/>
  <c r="H144" i="2"/>
  <c r="I144" i="2"/>
  <c r="J144" i="2"/>
  <c r="K144" i="2"/>
  <c r="L144" i="2"/>
  <c r="M144" i="2"/>
  <c r="N144" i="2"/>
  <c r="O144" i="2"/>
  <c r="P144" i="2"/>
  <c r="C145" i="2"/>
  <c r="D145" i="2"/>
  <c r="E145" i="2"/>
  <c r="F145" i="2"/>
  <c r="G145" i="2"/>
  <c r="H145" i="2"/>
  <c r="I145" i="2"/>
  <c r="J145" i="2"/>
  <c r="K145" i="2"/>
  <c r="L145" i="2"/>
  <c r="M145" i="2"/>
  <c r="N145" i="2"/>
  <c r="O145" i="2"/>
  <c r="P145" i="2"/>
  <c r="C146" i="2"/>
  <c r="D146" i="2"/>
  <c r="E146" i="2"/>
  <c r="F146" i="2"/>
  <c r="G146" i="2"/>
  <c r="H146" i="2"/>
  <c r="I146" i="2"/>
  <c r="J146" i="2"/>
  <c r="K146" i="2"/>
  <c r="L146" i="2"/>
  <c r="M146" i="2"/>
  <c r="N146" i="2"/>
  <c r="O146" i="2"/>
  <c r="P146" i="2"/>
  <c r="C147" i="2"/>
  <c r="D147" i="2"/>
  <c r="E147" i="2"/>
  <c r="F147" i="2"/>
  <c r="G147" i="2"/>
  <c r="H147" i="2"/>
  <c r="I147" i="2"/>
  <c r="J147" i="2"/>
  <c r="K147" i="2"/>
  <c r="L147" i="2"/>
  <c r="M147" i="2"/>
  <c r="N147" i="2"/>
  <c r="O147" i="2"/>
  <c r="P147" i="2"/>
  <c r="C148" i="2"/>
  <c r="D148" i="2"/>
  <c r="E148" i="2"/>
  <c r="F148" i="2"/>
  <c r="G148" i="2"/>
  <c r="H148" i="2"/>
  <c r="I148" i="2"/>
  <c r="J148" i="2"/>
  <c r="K148" i="2"/>
  <c r="L148" i="2"/>
  <c r="M148" i="2"/>
  <c r="N148" i="2"/>
  <c r="O148" i="2"/>
  <c r="P148" i="2"/>
  <c r="C149" i="2"/>
  <c r="D149" i="2"/>
  <c r="E149" i="2"/>
  <c r="F149" i="2"/>
  <c r="G149" i="2"/>
  <c r="H149" i="2"/>
  <c r="I149" i="2"/>
  <c r="J149" i="2"/>
  <c r="K149" i="2"/>
  <c r="L149" i="2"/>
  <c r="M149" i="2"/>
  <c r="N149" i="2"/>
  <c r="O149" i="2"/>
  <c r="P149" i="2"/>
  <c r="C150" i="2"/>
  <c r="D150" i="2"/>
  <c r="E150" i="2"/>
  <c r="F150" i="2"/>
  <c r="G150" i="2"/>
  <c r="H150" i="2"/>
  <c r="I150" i="2"/>
  <c r="J150" i="2"/>
  <c r="K150" i="2"/>
  <c r="L150" i="2"/>
  <c r="M150" i="2"/>
  <c r="N150" i="2"/>
  <c r="O150" i="2"/>
  <c r="P150" i="2"/>
  <c r="C151" i="2"/>
  <c r="D151" i="2"/>
  <c r="E151" i="2"/>
  <c r="F151" i="2"/>
  <c r="G151" i="2"/>
  <c r="H151" i="2"/>
  <c r="I151" i="2"/>
  <c r="J151" i="2"/>
  <c r="K151" i="2"/>
  <c r="L151" i="2"/>
  <c r="M151" i="2"/>
  <c r="N151" i="2"/>
  <c r="O151" i="2"/>
  <c r="P151" i="2"/>
  <c r="C152" i="2"/>
  <c r="D152" i="2"/>
  <c r="E152" i="2"/>
  <c r="F152" i="2"/>
  <c r="G152" i="2"/>
  <c r="H152" i="2"/>
  <c r="I152" i="2"/>
  <c r="J152" i="2"/>
  <c r="K152" i="2"/>
  <c r="L152" i="2"/>
  <c r="M152" i="2"/>
  <c r="N152" i="2"/>
  <c r="O152" i="2"/>
  <c r="P152" i="2"/>
  <c r="C153" i="2"/>
  <c r="D153" i="2"/>
  <c r="E153" i="2"/>
  <c r="F153" i="2"/>
  <c r="G153" i="2"/>
  <c r="H153" i="2"/>
  <c r="I153" i="2"/>
  <c r="J153" i="2"/>
  <c r="K153" i="2"/>
  <c r="L153" i="2"/>
  <c r="M153" i="2"/>
  <c r="N153" i="2"/>
  <c r="O153" i="2"/>
  <c r="P153" i="2"/>
  <c r="C154" i="2"/>
  <c r="D154" i="2"/>
  <c r="E154" i="2"/>
  <c r="F154" i="2"/>
  <c r="G154" i="2"/>
  <c r="H154" i="2"/>
  <c r="I154" i="2"/>
  <c r="J154" i="2"/>
  <c r="K154" i="2"/>
  <c r="L154" i="2"/>
  <c r="M154" i="2"/>
  <c r="N154" i="2"/>
  <c r="O154" i="2"/>
  <c r="P154" i="2"/>
  <c r="C173" i="2"/>
  <c r="D173" i="2"/>
  <c r="E173" i="2"/>
  <c r="F173" i="2"/>
  <c r="G173" i="2"/>
  <c r="H173" i="2"/>
  <c r="I173" i="2"/>
  <c r="J173" i="2"/>
  <c r="K173" i="2"/>
  <c r="L173" i="2"/>
  <c r="M173" i="2"/>
  <c r="N173" i="2"/>
  <c r="O173" i="2"/>
  <c r="P173" i="2"/>
  <c r="C223" i="2"/>
  <c r="D223" i="2"/>
  <c r="E223" i="2"/>
  <c r="F223" i="2"/>
  <c r="G223" i="2"/>
  <c r="H223" i="2"/>
  <c r="I223" i="2"/>
  <c r="J223" i="2"/>
  <c r="K223" i="2"/>
  <c r="L223" i="2"/>
  <c r="M223" i="2"/>
  <c r="N223" i="2"/>
  <c r="O223" i="2"/>
  <c r="P223" i="2"/>
  <c r="C241" i="2"/>
  <c r="D241" i="2"/>
  <c r="E241" i="2"/>
  <c r="F241" i="2"/>
  <c r="G241" i="2"/>
  <c r="H241" i="2"/>
  <c r="I241" i="2"/>
  <c r="J241" i="2"/>
  <c r="K241" i="2"/>
  <c r="L241" i="2"/>
  <c r="M241" i="2"/>
  <c r="N241" i="2"/>
  <c r="O241" i="2"/>
  <c r="P241" i="2"/>
  <c r="C244" i="2"/>
  <c r="D244" i="2"/>
  <c r="E244" i="2"/>
  <c r="F244" i="2"/>
  <c r="G244" i="2"/>
  <c r="H244" i="2"/>
  <c r="I244" i="2"/>
  <c r="J244" i="2"/>
  <c r="K244" i="2"/>
  <c r="L244" i="2"/>
  <c r="M244" i="2"/>
  <c r="N244" i="2"/>
  <c r="O244" i="2"/>
  <c r="P244" i="2"/>
  <c r="C245" i="2"/>
  <c r="D245" i="2"/>
  <c r="E245" i="2"/>
  <c r="F245" i="2"/>
  <c r="G245" i="2"/>
  <c r="H245" i="2"/>
  <c r="I245" i="2"/>
  <c r="J245" i="2"/>
  <c r="K245" i="2"/>
  <c r="L245" i="2"/>
  <c r="M245" i="2"/>
  <c r="N245" i="2"/>
  <c r="O245" i="2"/>
  <c r="P245" i="2"/>
  <c r="C246" i="2"/>
  <c r="D246" i="2"/>
  <c r="E246" i="2"/>
  <c r="F246" i="2"/>
  <c r="G246" i="2"/>
  <c r="H246" i="2"/>
  <c r="I246" i="2"/>
  <c r="J246" i="2"/>
  <c r="K246" i="2"/>
  <c r="L246" i="2"/>
  <c r="M246" i="2"/>
  <c r="N246" i="2"/>
  <c r="O246" i="2"/>
  <c r="P246" i="2"/>
  <c r="C247" i="2"/>
  <c r="D247" i="2"/>
  <c r="E247" i="2"/>
  <c r="F247" i="2"/>
  <c r="G247" i="2"/>
  <c r="H247" i="2"/>
  <c r="I247" i="2"/>
  <c r="J247" i="2"/>
  <c r="K247" i="2"/>
  <c r="L247" i="2"/>
  <c r="M247" i="2"/>
  <c r="N247" i="2"/>
  <c r="O247" i="2"/>
  <c r="P247" i="2"/>
  <c r="C248" i="2"/>
  <c r="D248" i="2"/>
  <c r="E248" i="2"/>
  <c r="F248" i="2"/>
  <c r="G248" i="2"/>
  <c r="H248" i="2"/>
  <c r="I248" i="2"/>
  <c r="J248" i="2"/>
  <c r="K248" i="2"/>
  <c r="L248" i="2"/>
  <c r="M248" i="2"/>
  <c r="N248" i="2"/>
  <c r="O248" i="2"/>
  <c r="P248" i="2"/>
  <c r="C249" i="2"/>
  <c r="D249" i="2"/>
  <c r="E249" i="2"/>
  <c r="F249" i="2"/>
  <c r="G249" i="2"/>
  <c r="H249" i="2"/>
  <c r="I249" i="2"/>
  <c r="J249" i="2"/>
  <c r="K249" i="2"/>
  <c r="L249" i="2"/>
  <c r="M249" i="2"/>
  <c r="N249" i="2"/>
  <c r="O249" i="2"/>
  <c r="P249" i="2"/>
  <c r="C250" i="2"/>
  <c r="D250" i="2"/>
  <c r="E250" i="2"/>
  <c r="F250" i="2"/>
  <c r="G250" i="2"/>
  <c r="H250" i="2"/>
  <c r="I250" i="2"/>
  <c r="J250" i="2"/>
  <c r="K250" i="2"/>
  <c r="L250" i="2"/>
  <c r="M250" i="2"/>
  <c r="N250" i="2"/>
  <c r="O250" i="2"/>
  <c r="P250" i="2"/>
  <c r="C251" i="2"/>
  <c r="D251" i="2"/>
  <c r="E251" i="2"/>
  <c r="F251" i="2"/>
  <c r="G251" i="2"/>
  <c r="H251" i="2"/>
  <c r="I251" i="2"/>
  <c r="J251" i="2"/>
  <c r="K251" i="2"/>
  <c r="L251" i="2"/>
  <c r="M251" i="2"/>
  <c r="N251" i="2"/>
  <c r="O251" i="2"/>
  <c r="P251" i="2"/>
  <c r="C252" i="2"/>
  <c r="D252" i="2"/>
  <c r="E252" i="2"/>
  <c r="F252" i="2"/>
  <c r="G252" i="2"/>
  <c r="H252" i="2"/>
  <c r="I252" i="2"/>
  <c r="J252" i="2"/>
  <c r="K252" i="2"/>
  <c r="L252" i="2"/>
  <c r="M252" i="2"/>
  <c r="N252" i="2"/>
  <c r="O252" i="2"/>
  <c r="P252" i="2"/>
  <c r="C253" i="2"/>
  <c r="D253" i="2"/>
  <c r="E253" i="2"/>
  <c r="F253" i="2"/>
  <c r="G253" i="2"/>
  <c r="H253" i="2"/>
  <c r="I253" i="2"/>
  <c r="J253" i="2"/>
  <c r="K253" i="2"/>
  <c r="L253" i="2"/>
  <c r="M253" i="2"/>
  <c r="N253" i="2"/>
  <c r="O253" i="2"/>
  <c r="P253" i="2"/>
  <c r="C254" i="2"/>
  <c r="D254" i="2"/>
  <c r="E254" i="2"/>
  <c r="F254" i="2"/>
  <c r="G254" i="2"/>
  <c r="H254" i="2"/>
  <c r="I254" i="2"/>
  <c r="J254" i="2"/>
  <c r="K254" i="2"/>
  <c r="L254" i="2"/>
  <c r="M254" i="2"/>
  <c r="N254" i="2"/>
  <c r="O254" i="2"/>
  <c r="P254" i="2"/>
  <c r="C255" i="2"/>
  <c r="D255" i="2"/>
  <c r="E255" i="2"/>
  <c r="F255" i="2"/>
  <c r="G255" i="2"/>
  <c r="H255" i="2"/>
  <c r="I255" i="2"/>
  <c r="J255" i="2"/>
  <c r="K255" i="2"/>
  <c r="L255" i="2"/>
  <c r="M255" i="2"/>
  <c r="N255" i="2"/>
  <c r="O255" i="2"/>
  <c r="P255" i="2"/>
  <c r="C256" i="2"/>
  <c r="D256" i="2"/>
  <c r="E256" i="2"/>
  <c r="F256" i="2"/>
  <c r="G256" i="2"/>
  <c r="H256" i="2"/>
  <c r="I256" i="2"/>
  <c r="J256" i="2"/>
  <c r="K256" i="2"/>
  <c r="L256" i="2"/>
  <c r="M256" i="2"/>
  <c r="N256" i="2"/>
  <c r="O256" i="2"/>
  <c r="P256" i="2"/>
  <c r="C257" i="2"/>
  <c r="D257" i="2"/>
  <c r="E257" i="2"/>
  <c r="F257" i="2"/>
  <c r="G257" i="2"/>
  <c r="H257" i="2"/>
  <c r="I257" i="2"/>
  <c r="J257" i="2"/>
  <c r="K257" i="2"/>
  <c r="L257" i="2"/>
  <c r="M257" i="2"/>
  <c r="N257" i="2"/>
  <c r="O257" i="2"/>
  <c r="P257" i="2"/>
  <c r="C275" i="2"/>
  <c r="D275" i="2"/>
  <c r="E275" i="2"/>
  <c r="F275" i="2"/>
  <c r="G275" i="2"/>
  <c r="H275" i="2"/>
  <c r="I275" i="2"/>
  <c r="J275" i="2"/>
  <c r="K275" i="2"/>
  <c r="L275" i="2"/>
  <c r="M275" i="2"/>
  <c r="N275" i="2"/>
  <c r="O275" i="2"/>
  <c r="P275" i="2"/>
  <c r="C325" i="2"/>
  <c r="D325" i="2"/>
  <c r="E325" i="2"/>
  <c r="F325" i="2"/>
  <c r="G325" i="2"/>
  <c r="H325" i="2"/>
  <c r="I325" i="2"/>
  <c r="J325" i="2"/>
  <c r="K325" i="2"/>
  <c r="L325" i="2"/>
  <c r="M325" i="2"/>
  <c r="N325" i="2"/>
  <c r="O325" i="2"/>
  <c r="P325" i="2"/>
  <c r="C343" i="2"/>
  <c r="D343" i="2"/>
  <c r="E343" i="2"/>
  <c r="F343" i="2"/>
  <c r="G343" i="2"/>
  <c r="H343" i="2"/>
  <c r="I343" i="2"/>
  <c r="J343" i="2"/>
  <c r="K343" i="2"/>
  <c r="L343" i="2"/>
  <c r="M343" i="2"/>
  <c r="N343" i="2"/>
  <c r="O343" i="2"/>
  <c r="P343" i="2"/>
  <c r="C346" i="2"/>
  <c r="D346" i="2"/>
  <c r="E346" i="2"/>
  <c r="F346" i="2"/>
  <c r="G346" i="2"/>
  <c r="H346" i="2"/>
  <c r="I346" i="2"/>
  <c r="J346" i="2"/>
  <c r="K346" i="2"/>
  <c r="L346" i="2"/>
  <c r="M346" i="2"/>
  <c r="N346" i="2"/>
  <c r="O346" i="2"/>
  <c r="P346" i="2"/>
  <c r="C347" i="2"/>
  <c r="E347" i="2"/>
  <c r="F347" i="2"/>
  <c r="G347" i="2"/>
  <c r="H347" i="2"/>
  <c r="I347" i="2"/>
  <c r="J347" i="2"/>
  <c r="K347" i="2"/>
  <c r="L347" i="2"/>
  <c r="M347" i="2"/>
  <c r="N347" i="2"/>
  <c r="O347" i="2"/>
  <c r="P347" i="2"/>
  <c r="C348" i="2"/>
  <c r="D348" i="2"/>
  <c r="E348" i="2"/>
  <c r="F348" i="2"/>
  <c r="G348" i="2"/>
  <c r="H348" i="2"/>
  <c r="I348" i="2"/>
  <c r="J348" i="2"/>
  <c r="K348" i="2"/>
  <c r="L348" i="2"/>
  <c r="M348" i="2"/>
  <c r="N348" i="2"/>
  <c r="O348" i="2"/>
  <c r="P348" i="2"/>
  <c r="C349" i="2"/>
  <c r="D349" i="2"/>
  <c r="E349" i="2"/>
  <c r="F349" i="2"/>
  <c r="G349" i="2"/>
  <c r="H349" i="2"/>
  <c r="I349" i="2"/>
  <c r="J349" i="2"/>
  <c r="K349" i="2"/>
  <c r="L349" i="2"/>
  <c r="M349" i="2"/>
  <c r="N349" i="2"/>
  <c r="P349" i="2"/>
  <c r="C350" i="2"/>
  <c r="D350" i="2"/>
  <c r="E350" i="2"/>
  <c r="F350" i="2"/>
  <c r="G350" i="2"/>
  <c r="H350" i="2"/>
  <c r="I350" i="2"/>
  <c r="J350" i="2"/>
  <c r="K350" i="2"/>
  <c r="L350" i="2"/>
  <c r="M350" i="2"/>
  <c r="N350" i="2"/>
  <c r="O350" i="2"/>
  <c r="P350" i="2"/>
  <c r="C351" i="2"/>
  <c r="D351" i="2"/>
  <c r="E351" i="2"/>
  <c r="F351" i="2"/>
  <c r="G351" i="2"/>
  <c r="H351" i="2"/>
  <c r="I351" i="2"/>
  <c r="J351" i="2"/>
  <c r="K351" i="2"/>
  <c r="L351" i="2"/>
  <c r="M351" i="2"/>
  <c r="N351" i="2"/>
  <c r="O351" i="2"/>
  <c r="P351" i="2"/>
  <c r="C352" i="2"/>
  <c r="D352" i="2"/>
  <c r="E352" i="2"/>
  <c r="F352" i="2"/>
  <c r="G352" i="2"/>
  <c r="H352" i="2"/>
  <c r="I352" i="2"/>
  <c r="J352" i="2"/>
  <c r="K352" i="2"/>
  <c r="L352" i="2"/>
  <c r="M352" i="2"/>
  <c r="N352" i="2"/>
  <c r="O352" i="2"/>
  <c r="P352" i="2"/>
  <c r="C353" i="2"/>
  <c r="D353" i="2"/>
  <c r="E353" i="2"/>
  <c r="F353" i="2"/>
  <c r="G353" i="2"/>
  <c r="H353" i="2"/>
  <c r="I353" i="2"/>
  <c r="J353" i="2"/>
  <c r="K353" i="2"/>
  <c r="L353" i="2"/>
  <c r="M353" i="2"/>
  <c r="N353" i="2"/>
  <c r="O349" i="2"/>
  <c r="O353" i="2"/>
  <c r="P353" i="2"/>
  <c r="D10" i="3"/>
  <c r="D11" i="3"/>
  <c r="D12" i="3"/>
  <c r="D13" i="3"/>
  <c r="D14" i="3"/>
  <c r="D15" i="3"/>
  <c r="D9" i="3"/>
  <c r="E4" i="2"/>
  <c r="F4" i="2"/>
  <c r="G4" i="2"/>
  <c r="H4" i="2"/>
  <c r="I4" i="2"/>
  <c r="J4" i="2"/>
  <c r="K4" i="2"/>
  <c r="L4" i="2"/>
  <c r="M4" i="2"/>
  <c r="N4" i="2"/>
  <c r="O4" i="2"/>
  <c r="P4" i="2"/>
  <c r="C4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105" i="2"/>
</calcChain>
</file>

<file path=xl/sharedStrings.xml><?xml version="1.0" encoding="utf-8"?>
<sst xmlns="http://schemas.openxmlformats.org/spreadsheetml/2006/main" count="92" uniqueCount="53">
  <si>
    <t xml:space="preserve"> R$-  </t>
  </si>
  <si>
    <t xml:space="preserve"> Acima </t>
  </si>
  <si>
    <t>Acima</t>
  </si>
  <si>
    <t>INSS Empresa</t>
  </si>
  <si>
    <t>SAT</t>
  </si>
  <si>
    <t>FGTS</t>
  </si>
  <si>
    <t>Total</t>
  </si>
  <si>
    <t>IR</t>
  </si>
  <si>
    <t>INSS</t>
  </si>
  <si>
    <t>13º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</si>
  <si>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</si>
  <si>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</si>
  <si>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</si>
  <si>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</si>
  <si>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</si>
  <si>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</si>
  <si>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</si>
  <si>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</si>
  <si>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</si>
  <si>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</si>
  <si>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</si>
  <si>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</si>
  <si>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DATAINICIO</t>
  </si>
  <si>
    <t>DATAFIM</t>
  </si>
  <si>
    <t>FERIADOS/RECESSO</t>
  </si>
  <si>
    <t>MÊS</t>
  </si>
  <si>
    <t>DIAS ÚTEIS</t>
  </si>
  <si>
    <t>FUNCIONÁRIO</t>
  </si>
  <si>
    <t>CARGO/FUNÇÃO</t>
  </si>
  <si>
    <t>FORMAÇÃO</t>
  </si>
  <si>
    <t>AUXILIO TRANSPORTE/DIA</t>
  </si>
  <si>
    <t>SALÁRIO BASE</t>
  </si>
  <si>
    <t>TABELA IR</t>
  </si>
  <si>
    <t>PARCELA A DESCONTAR</t>
  </si>
  <si>
    <t>TABELAS INSS</t>
  </si>
  <si>
    <t>ENCARGOS</t>
  </si>
  <si>
    <t>TOTAL</t>
  </si>
  <si>
    <t>TRANSPORTE</t>
  </si>
  <si>
    <t>INSS EMPRESA</t>
  </si>
  <si>
    <t>QUANTIDADE DE  VIAGENS</t>
  </si>
  <si>
    <t>PREÇO DA PASSAGEM:</t>
  </si>
  <si>
    <t>SALÁRIO BRUTO</t>
  </si>
  <si>
    <t>IMPOSTO DE RENDA (IR)</t>
  </si>
  <si>
    <t>SEGURO DE ACIDENTE DE TRABALHO (SAT)</t>
  </si>
  <si>
    <t>SALÁRIO LÍQUIDO</t>
  </si>
  <si>
    <t>RESUMO DOS PAGAMENTOS DA EMPRESA</t>
  </si>
  <si>
    <t>INSS PAGO PELA EMPRESA</t>
  </si>
  <si>
    <t>SELECIONE O MÊS:</t>
  </si>
  <si>
    <t>PARTICIPAÇÃO NOS RESULTADOS/ADICIONAIS</t>
  </si>
  <si>
    <r>
      <rPr>
        <b/>
        <i/>
        <sz val="18"/>
        <color theme="0"/>
        <rFont val="Calibri"/>
        <family val="2"/>
        <scheme val="minor"/>
      </rPr>
      <t xml:space="preserve">FOLHA DE PAGAMENTO </t>
    </r>
    <r>
      <rPr>
        <i/>
        <sz val="16"/>
        <color theme="0"/>
        <rFont val="Calibri"/>
        <family val="2"/>
        <scheme val="minor"/>
      </rPr>
      <t>- INÍCIO</t>
    </r>
  </si>
  <si>
    <r>
      <rPr>
        <b/>
        <i/>
        <sz val="18"/>
        <color theme="0"/>
        <rFont val="Calibri"/>
        <family val="2"/>
        <scheme val="minor"/>
      </rPr>
      <t xml:space="preserve">FOLHA DE PAGAMENTO </t>
    </r>
    <r>
      <rPr>
        <i/>
        <sz val="16"/>
        <color theme="0"/>
        <rFont val="Calibri"/>
        <family val="2"/>
        <scheme val="minor"/>
      </rPr>
      <t>- PAGAMENTOS</t>
    </r>
  </si>
  <si>
    <r>
      <rPr>
        <b/>
        <i/>
        <sz val="18"/>
        <color theme="0"/>
        <rFont val="Calibri"/>
        <family val="2"/>
        <scheme val="minor"/>
      </rPr>
      <t xml:space="preserve">FOLHA DE PAGAMENTO </t>
    </r>
    <r>
      <rPr>
        <i/>
        <sz val="16"/>
        <color theme="0"/>
        <rFont val="Calibri"/>
        <family val="2"/>
        <scheme val="minor"/>
      </rPr>
      <t>- GRÁFICOS</t>
    </r>
  </si>
  <si>
    <r>
      <rPr>
        <b/>
        <i/>
        <sz val="18"/>
        <color theme="0"/>
        <rFont val="Calibri"/>
        <family val="2"/>
        <scheme val="minor"/>
      </rPr>
      <t xml:space="preserve">FOLHA DE PAGAMENTO </t>
    </r>
    <r>
      <rPr>
        <i/>
        <sz val="16"/>
        <color theme="0"/>
        <rFont val="Calibri"/>
        <family val="2"/>
        <scheme val="minor"/>
      </rPr>
      <t>- TABULAÇÃO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</si>
</sst>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&quot;R$&quot;* #,##0.00_);_(&quot;R$&quot;* \(#,##0.00\);_(&quot;R$&quot;* &quot;-&quot;??_);_(@_)"/>
    <numFmt numFmtId="165" formatCode="0.0%"/>
  </numFmts>
  <fonts count="3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indexed="8"/>
      <name val="Calibri"/>
      <family val="2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9" tint="0.39997558519241921"/>
      <name val="Calibri"/>
      <family val="2"/>
      <scheme val="minor"/>
    </font>
    <font>
      <sz val="12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3" tint="-0.249977111117893"/>
      <name val="Calibri"/>
      <family val="2"/>
      <scheme val="minor"/>
    </font>
    <font>
      <sz val="12"/>
      <color theme="4" tint="0.59999389629810485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22"/>
      <color theme="0"/>
      <name val="Calibri"/>
      <family val="2"/>
      <scheme val="minor"/>
    </font>
    <font>
      <b/>
      <i/>
      <sz val="18"/>
      <color theme="0"/>
      <name val="Calibri"/>
      <family val="2"/>
      <scheme val="minor"/>
    </font>
    <font>
      <i/>
      <sz val="16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8080"/>
        <bgColor indexed="64"/>
      </patternFill>
    </fill>
  </fills>
  <borders count="11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/>
      <top style="medium">
        <color indexed="64"/>
      </top>
      <bottom style="dashed">
        <color theme="6" tint="-0.499984740745262"/>
      </bottom>
      <diagonal/>
    </border>
    <border>
      <left/>
      <right/>
      <top style="medium">
        <color indexed="64"/>
      </top>
      <bottom style="dashed">
        <color theme="6" tint="-0.499984740745262"/>
      </bottom>
      <diagonal/>
    </border>
    <border>
      <left/>
      <right/>
      <top/>
      <bottom style="dashed">
        <color theme="6" tint="-0.499984740745262"/>
      </bottom>
      <diagonal/>
    </border>
  </borders>
  <cellStyleXfs count="143">
    <xf numFmtId="0" fontId="0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63">
    <xf numFmtId="0" fontId="0" fillId="0" borderId="0" xfId="0"/>
    <xf numFmtId="0" fontId="7" fillId="0" borderId="0" xfId="0" applyFont="1"/>
    <xf numFmtId="0" fontId="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164" fontId="7" fillId="0" borderId="2" xfId="1" applyFont="1" applyBorder="1" applyAlignment="1">
      <alignment horizontal="center"/>
    </xf>
    <xf numFmtId="164" fontId="7" fillId="0" borderId="2" xfId="1" applyFont="1" applyBorder="1" applyAlignment="1">
      <alignment horizontal="center" vertical="center"/>
    </xf>
    <xf numFmtId="165" fontId="7" fillId="0" borderId="2" xfId="2" applyNumberFormat="1" applyFont="1" applyBorder="1" applyAlignment="1">
      <alignment horizontal="center" vertical="center"/>
    </xf>
    <xf numFmtId="164" fontId="7" fillId="0" borderId="2" xfId="1" applyFont="1" applyBorder="1" applyAlignment="1">
      <alignment horizontal="left" vertical="center"/>
    </xf>
    <xf numFmtId="164" fontId="7" fillId="0" borderId="2" xfId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9" fontId="8" fillId="0" borderId="2" xfId="0" applyNumberFormat="1" applyFont="1" applyBorder="1" applyAlignment="1">
      <alignment horizontal="center" vertical="center"/>
    </xf>
    <xf numFmtId="164" fontId="8" fillId="0" borderId="2" xfId="1" applyFont="1" applyBorder="1" applyAlignment="1">
      <alignment horizontal="center" vertical="center"/>
    </xf>
    <xf numFmtId="165" fontId="13" fillId="2" borderId="2" xfId="2" applyNumberFormat="1" applyFont="1" applyFill="1" applyBorder="1" applyAlignment="1">
      <alignment horizontal="center" vertical="center"/>
    </xf>
    <xf numFmtId="165" fontId="13" fillId="0" borderId="2" xfId="2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18" fillId="0" borderId="2" xfId="1" applyFont="1" applyBorder="1" applyAlignment="1">
      <alignment horizontal="center"/>
    </xf>
    <xf numFmtId="0" fontId="14" fillId="0" borderId="2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164" fontId="20" fillId="0" borderId="0" xfId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1" fillId="0" borderId="0" xfId="0" applyFont="1"/>
    <xf numFmtId="164" fontId="21" fillId="0" borderId="0" xfId="1" applyFont="1"/>
    <xf numFmtId="0" fontId="22" fillId="0" borderId="1" xfId="0" applyFont="1" applyBorder="1"/>
    <xf numFmtId="0" fontId="16" fillId="8" borderId="6" xfId="0" applyFont="1" applyFill="1" applyBorder="1" applyAlignment="1">
      <alignment horizontal="center"/>
    </xf>
    <xf numFmtId="164" fontId="0" fillId="0" borderId="0" xfId="1" applyFont="1"/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4" borderId="7" xfId="0" applyFont="1" applyFill="1" applyBorder="1" applyAlignment="1">
      <alignment horizontal="center" vertical="center"/>
    </xf>
    <xf numFmtId="164" fontId="5" fillId="7" borderId="7" xfId="1" applyFont="1" applyFill="1" applyBorder="1" applyAlignment="1">
      <alignment horizontal="center" vertical="center"/>
    </xf>
    <xf numFmtId="164" fontId="5" fillId="4" borderId="7" xfId="1" applyFont="1" applyFill="1" applyBorder="1" applyAlignment="1">
      <alignment horizontal="center" vertical="center"/>
    </xf>
    <xf numFmtId="164" fontId="23" fillId="10" borderId="7" xfId="1" applyFont="1" applyFill="1" applyBorder="1" applyAlignment="1">
      <alignment horizontal="center" vertical="center"/>
    </xf>
    <xf numFmtId="164" fontId="5" fillId="0" borderId="7" xfId="1" applyFont="1" applyBorder="1" applyAlignment="1">
      <alignment horizontal="center" vertical="center"/>
    </xf>
    <xf numFmtId="164" fontId="6" fillId="7" borderId="7" xfId="0" applyNumberFormat="1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17" fillId="11" borderId="2" xfId="0" applyFont="1" applyFill="1" applyBorder="1" applyAlignment="1">
      <alignment horizontal="center" vertical="center"/>
    </xf>
    <xf numFmtId="0" fontId="0" fillId="0" borderId="0" xfId="0" applyBorder="1"/>
    <xf numFmtId="0" fontId="24" fillId="0" borderId="7" xfId="0" applyFont="1" applyBorder="1"/>
    <xf numFmtId="164" fontId="24" fillId="0" borderId="7" xfId="1" applyFont="1" applyBorder="1"/>
    <xf numFmtId="0" fontId="29" fillId="12" borderId="9" xfId="0" applyFont="1" applyFill="1" applyBorder="1" applyAlignment="1">
      <alignment vertical="center"/>
    </xf>
    <xf numFmtId="0" fontId="25" fillId="12" borderId="10" xfId="0" applyFont="1" applyFill="1" applyBorder="1"/>
    <xf numFmtId="0" fontId="26" fillId="12" borderId="9" xfId="0" applyFont="1" applyFill="1" applyBorder="1" applyAlignment="1">
      <alignment vertical="center"/>
    </xf>
    <xf numFmtId="0" fontId="26" fillId="12" borderId="8" xfId="0" applyFont="1" applyFill="1" applyBorder="1" applyAlignment="1">
      <alignment horizontal="center" vertical="center"/>
    </xf>
    <xf numFmtId="0" fontId="26" fillId="12" borderId="9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6" borderId="7" xfId="0" applyFont="1" applyFill="1" applyBorder="1" applyAlignment="1">
      <alignment horizontal="center" vertical="center"/>
    </xf>
    <xf numFmtId="0" fontId="19" fillId="9" borderId="7" xfId="0" applyFont="1" applyFill="1" applyBorder="1" applyAlignment="1">
      <alignment horizontal="center" vertical="center"/>
    </xf>
    <xf numFmtId="0" fontId="11" fillId="5" borderId="7" xfId="0" applyFont="1" applyFill="1" applyBorder="1" applyAlignment="1">
      <alignment horizontal="center" vertical="center"/>
    </xf>
  </cellXfs>
  <cellStyles count="143">
    <cellStyle name="Hiperlink" xfId="3" builtinId="8" hidden="1"/>
    <cellStyle name="Hiperlink" xfId="5" builtinId="8" hidden="1"/>
    <cellStyle name="Hiperlink" xfId="7" builtinId="8" hidden="1"/>
    <cellStyle name="Hiperlink" xfId="9" builtinId="8" hidden="1"/>
    <cellStyle name="Hiperlink" xfId="11" builtinId="8" hidden="1"/>
    <cellStyle name="Hiperlink" xfId="13" builtinId="8" hidden="1"/>
    <cellStyle name="Hiperlink" xfId="15" builtinId="8" hidden="1"/>
    <cellStyle name="Hiperlink" xfId="17" builtinId="8" hidden="1"/>
    <cellStyle name="Hiperlink" xfId="19" builtinId="8" hidden="1"/>
    <cellStyle name="Hiperlink" xfId="21" builtinId="8" hidden="1"/>
    <cellStyle name="Hiperlink" xfId="23" builtinId="8" hidden="1"/>
    <cellStyle name="Hiperlink" xfId="25" builtinId="8" hidden="1"/>
    <cellStyle name="Hiperlink" xfId="27" builtinId="8" hidden="1"/>
    <cellStyle name="Hiperlink" xfId="29" builtinId="8" hidden="1"/>
    <cellStyle name="Hiperlink" xfId="31" builtinId="8" hidden="1"/>
    <cellStyle name="Hiperlink" xfId="33" builtinId="8" hidden="1"/>
    <cellStyle name="Hiperlink" xfId="35" builtinId="8" hidden="1"/>
    <cellStyle name="Hiperlink" xfId="37" builtinId="8" hidden="1"/>
    <cellStyle name="Hiperlink" xfId="39" builtinId="8" hidden="1"/>
    <cellStyle name="Hiperlink" xfId="41" builtinId="8" hidden="1"/>
    <cellStyle name="Hiperlink" xfId="43" builtinId="8" hidden="1"/>
    <cellStyle name="Hiperlink" xfId="45" builtinId="8" hidden="1"/>
    <cellStyle name="Hiperlink" xfId="47" builtinId="8" hidden="1"/>
    <cellStyle name="Hiperlink" xfId="49" builtinId="8" hidden="1"/>
    <cellStyle name="Hiperlink" xfId="51" builtinId="8" hidden="1"/>
    <cellStyle name="Hiperlink" xfId="53" builtinId="8" hidden="1"/>
    <cellStyle name="Hiperlink" xfId="55" builtinId="8" hidden="1"/>
    <cellStyle name="Hiperlink" xfId="57" builtinId="8" hidden="1"/>
    <cellStyle name="Hiperlink" xfId="59" builtinId="8" hidden="1"/>
    <cellStyle name="Hiperlink" xfId="61" builtinId="8" hidden="1"/>
    <cellStyle name="Hiperlink" xfId="63" builtinId="8" hidden="1"/>
    <cellStyle name="Hiperlink" xfId="65" builtinId="8" hidden="1"/>
    <cellStyle name="Hiperlink" xfId="67" builtinId="8" hidden="1"/>
    <cellStyle name="Hiperlink" xfId="69" builtinId="8" hidden="1"/>
    <cellStyle name="Hiperlink" xfId="71" builtinId="8" hidden="1"/>
    <cellStyle name="Hiperlink" xfId="73" builtinId="8" hidden="1"/>
    <cellStyle name="Hiperlink" xfId="75" builtinId="8" hidden="1"/>
    <cellStyle name="Hiperlink" xfId="77" builtinId="8" hidden="1"/>
    <cellStyle name="Hiperlink" xfId="79" builtinId="8" hidden="1"/>
    <cellStyle name="Hiperlink" xfId="81" builtinId="8" hidden="1"/>
    <cellStyle name="Hiperlink" xfId="83" builtinId="8" hidden="1"/>
    <cellStyle name="Hiperlink" xfId="85" builtinId="8" hidden="1"/>
    <cellStyle name="Hiperlink" xfId="87" builtinId="8" hidden="1"/>
    <cellStyle name="Hiperlink" xfId="89" builtinId="8" hidden="1"/>
    <cellStyle name="Hiperlink" xfId="91" builtinId="8" hidden="1"/>
    <cellStyle name="Hiperlink" xfId="93" builtinId="8" hidden="1"/>
    <cellStyle name="Hiperlink" xfId="95" builtinId="8" hidden="1"/>
    <cellStyle name="Hiperlink" xfId="97" builtinId="8" hidden="1"/>
    <cellStyle name="Hiperlink" xfId="99" builtinId="8" hidden="1"/>
    <cellStyle name="Hiperlink" xfId="101" builtinId="8" hidden="1"/>
    <cellStyle name="Hiperlink" xfId="103" builtinId="8" hidden="1"/>
    <cellStyle name="Hiperlink" xfId="105" builtinId="8" hidden="1"/>
    <cellStyle name="Hiperlink" xfId="107" builtinId="8" hidden="1"/>
    <cellStyle name="Hiperlink" xfId="109" builtinId="8" hidden="1"/>
    <cellStyle name="Hiperlink" xfId="111" builtinId="8" hidden="1"/>
    <cellStyle name="Hiperlink" xfId="113" builtinId="8" hidden="1"/>
    <cellStyle name="Hiperlink" xfId="115" builtinId="8" hidden="1"/>
    <cellStyle name="Hiperlink" xfId="117" builtinId="8" hidden="1"/>
    <cellStyle name="Hiperlink" xfId="119" builtinId="8" hidden="1"/>
    <cellStyle name="Hiperlink" xfId="121" builtinId="8" hidden="1"/>
    <cellStyle name="Hiperlink" xfId="123" builtinId="8" hidden="1"/>
    <cellStyle name="Hiperlink" xfId="125" builtinId="8" hidden="1"/>
    <cellStyle name="Hiperlink" xfId="127" builtinId="8" hidden="1"/>
    <cellStyle name="Hiperlink" xfId="129" builtinId="8" hidden="1"/>
    <cellStyle name="Hiperlink" xfId="131" builtinId="8" hidden="1"/>
    <cellStyle name="Hiperlink" xfId="133" builtinId="8" hidden="1"/>
    <cellStyle name="Hiperlink" xfId="135" builtinId="8" hidden="1"/>
    <cellStyle name="Hiperlink" xfId="137" builtinId="8" hidden="1"/>
    <cellStyle name="Hiperlink" xfId="139" builtinId="8" hidden="1"/>
    <cellStyle name="Hiperlink" xfId="141" builtinId="8" hidden="1"/>
    <cellStyle name="Hiperlink Visitado" xfId="4" builtinId="9" hidden="1"/>
    <cellStyle name="Hiperlink Visitado" xfId="6" builtinId="9" hidden="1"/>
    <cellStyle name="Hiperlink Visitado" xfId="8" builtinId="9" hidden="1"/>
    <cellStyle name="Hiperlink Visitado" xfId="10" builtinId="9" hidden="1"/>
    <cellStyle name="Hiperlink Visitado" xfId="12" builtinId="9" hidden="1"/>
    <cellStyle name="Hiperlink Visitado" xfId="14" builtinId="9" hidden="1"/>
    <cellStyle name="Hiperlink Visitado" xfId="16" builtinId="9" hidden="1"/>
    <cellStyle name="Hiperlink Visitado" xfId="18" builtinId="9" hidden="1"/>
    <cellStyle name="Hiperlink Visitado" xfId="20" builtinId="9" hidden="1"/>
    <cellStyle name="Hiperlink Visitado" xfId="22" builtinId="9" hidden="1"/>
    <cellStyle name="Hiperlink Visitado" xfId="24" builtinId="9" hidden="1"/>
    <cellStyle name="Hiperlink Visitado" xfId="26" builtinId="9" hidden="1"/>
    <cellStyle name="Hiperlink Visitado" xfId="28" builtinId="9" hidden="1"/>
    <cellStyle name="Hiperlink Visitado" xfId="30" builtinId="9" hidden="1"/>
    <cellStyle name="Hiperlink Visitado" xfId="32" builtinId="9" hidden="1"/>
    <cellStyle name="Hiperlink Visitado" xfId="34" builtinId="9" hidden="1"/>
    <cellStyle name="Hiperlink Visitado" xfId="36" builtinId="9" hidden="1"/>
    <cellStyle name="Hiperlink Visitado" xfId="38" builtinId="9" hidden="1"/>
    <cellStyle name="Hiperlink Visitado" xfId="40" builtinId="9" hidden="1"/>
    <cellStyle name="Hiperlink Visitado" xfId="42" builtinId="9" hidden="1"/>
    <cellStyle name="Hiperlink Visitado" xfId="44" builtinId="9" hidden="1"/>
    <cellStyle name="Hiperlink Visitado" xfId="46" builtinId="9" hidden="1"/>
    <cellStyle name="Hiperlink Visitado" xfId="48" builtinId="9" hidden="1"/>
    <cellStyle name="Hiperlink Visitado" xfId="50" builtinId="9" hidden="1"/>
    <cellStyle name="Hiperlink Visitado" xfId="52" builtinId="9" hidden="1"/>
    <cellStyle name="Hiperlink Visitado" xfId="54" builtinId="9" hidden="1"/>
    <cellStyle name="Hiperlink Visitado" xfId="56" builtinId="9" hidden="1"/>
    <cellStyle name="Hiperlink Visitado" xfId="58" builtinId="9" hidden="1"/>
    <cellStyle name="Hiperlink Visitado" xfId="60" builtinId="9" hidden="1"/>
    <cellStyle name="Hiperlink Visitado" xfId="62" builtinId="9" hidden="1"/>
    <cellStyle name="Hiperlink Visitado" xfId="64" builtinId="9" hidden="1"/>
    <cellStyle name="Hiperlink Visitado" xfId="66" builtinId="9" hidden="1"/>
    <cellStyle name="Hiperlink Visitado" xfId="68" builtinId="9" hidden="1"/>
    <cellStyle name="Hiperlink Visitado" xfId="70" builtinId="9" hidden="1"/>
    <cellStyle name="Hiperlink Visitado" xfId="72" builtinId="9" hidden="1"/>
    <cellStyle name="Hiperlink Visitado" xfId="74" builtinId="9" hidden="1"/>
    <cellStyle name="Hiperlink Visitado" xfId="76" builtinId="9" hidden="1"/>
    <cellStyle name="Hiperlink Visitado" xfId="78" builtinId="9" hidden="1"/>
    <cellStyle name="Hiperlink Visitado" xfId="80" builtinId="9" hidden="1"/>
    <cellStyle name="Hiperlink Visitado" xfId="82" builtinId="9" hidden="1"/>
    <cellStyle name="Hiperlink Visitado" xfId="84" builtinId="9" hidden="1"/>
    <cellStyle name="Hiperlink Visitado" xfId="86" builtinId="9" hidden="1"/>
    <cellStyle name="Hiperlink Visitado" xfId="88" builtinId="9" hidden="1"/>
    <cellStyle name="Hiperlink Visitado" xfId="90" builtinId="9" hidden="1"/>
    <cellStyle name="Hiperlink Visitado" xfId="92" builtinId="9" hidden="1"/>
    <cellStyle name="Hiperlink Visitado" xfId="94" builtinId="9" hidden="1"/>
    <cellStyle name="Hiperlink Visitado" xfId="96" builtinId="9" hidden="1"/>
    <cellStyle name="Hiperlink Visitado" xfId="98" builtinId="9" hidden="1"/>
    <cellStyle name="Hiperlink Visitado" xfId="100" builtinId="9" hidden="1"/>
    <cellStyle name="Hiperlink Visitado" xfId="102" builtinId="9" hidden="1"/>
    <cellStyle name="Hiperlink Visitado" xfId="104" builtinId="9" hidden="1"/>
    <cellStyle name="Hiperlink Visitado" xfId="106" builtinId="9" hidden="1"/>
    <cellStyle name="Hiperlink Visitado" xfId="108" builtinId="9" hidden="1"/>
    <cellStyle name="Hiperlink Visitado" xfId="110" builtinId="9" hidden="1"/>
    <cellStyle name="Hiperlink Visitado" xfId="112" builtinId="9" hidden="1"/>
    <cellStyle name="Hiperlink Visitado" xfId="114" builtinId="9" hidden="1"/>
    <cellStyle name="Hiperlink Visitado" xfId="116" builtinId="9" hidden="1"/>
    <cellStyle name="Hiperlink Visitado" xfId="118" builtinId="9" hidden="1"/>
    <cellStyle name="Hiperlink Visitado" xfId="120" builtinId="9" hidden="1"/>
    <cellStyle name="Hiperlink Visitado" xfId="122" builtinId="9" hidden="1"/>
    <cellStyle name="Hiperlink Visitado" xfId="124" builtinId="9" hidden="1"/>
    <cellStyle name="Hiperlink Visitado" xfId="126" builtinId="9" hidden="1"/>
    <cellStyle name="Hiperlink Visitado" xfId="128" builtinId="9" hidden="1"/>
    <cellStyle name="Hiperlink Visitado" xfId="130" builtinId="9" hidden="1"/>
    <cellStyle name="Hiperlink Visitado" xfId="132" builtinId="9" hidden="1"/>
    <cellStyle name="Hiperlink Visitado" xfId="134" builtinId="9" hidden="1"/>
    <cellStyle name="Hiperlink Visitado" xfId="136" builtinId="9" hidden="1"/>
    <cellStyle name="Hiperlink Visitado" xfId="138" builtinId="9" hidden="1"/>
    <cellStyle name="Hiperlink Visitado" xfId="140" builtinId="9" hidden="1"/>
    <cellStyle name="Hiperlink Visitado" xfId="142" builtinId="9" hidden="1"/>
    <cellStyle name="Moeda" xfId="1" builtinId="4"/>
    <cellStyle name="Normal" xfId="0" builtinId="0"/>
    <cellStyle name="Porcentagem" xfId="2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layout/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Gráficos!$D$8</c:f>
              <c:strCache>
                <c:ptCount val="1"/>
                <c:pt idx="0">
                  <c:v>Total pago pela empresa no mês de FEVEREIRO</c:v>
                </c:pt>
              </c:strCache>
            </c:strRef>
          </c:tx>
          <c:dLbls>
            <c:txPr>
              <a:bodyPr/>
              <a:lstStyle/>
              <a:p>
                <a:pPr>
                  <a:defRPr sz="1400" b="1"/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Gráficos!$C$9:$C$15</c:f>
              <c:strCache>
                <c:ptCount val="7"/>
                <c:pt idx="0">
                  <c:v>SALÁRIO LÍQUIDO</c:v>
                </c:pt>
                <c:pt idx="1">
                  <c:v>INSS</c:v>
                </c:pt>
                <c:pt idx="2">
                  <c:v>IR</c:v>
                </c:pt>
                <c:pt idx="3">
                  <c:v>TRANSPORTE</c:v>
                </c:pt>
                <c:pt idx="4">
                  <c:v>INSS PAGO PELA EMPRESA</c:v>
                </c:pt>
                <c:pt idx="5">
                  <c:v>FGTS</c:v>
                </c:pt>
                <c:pt idx="6">
                  <c:v>SAT</c:v>
                </c:pt>
              </c:strCache>
            </c:strRef>
          </c:cat>
          <c:val>
            <c:numRef>
              <c:f>Gráficos!$D$9:$D$15</c:f>
              <c:numCache>
                <c:formatCode>_("R$"* #,##0.00_);_("R$"* \(#,##0.00\);_("R$"* "-"??_);_(@_)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spPr>
    <a:ln>
      <a:solidFill>
        <a:schemeClr val="tx2">
          <a:lumMod val="60000"/>
          <a:lumOff val="40000"/>
        </a:schemeClr>
      </a:solidFill>
    </a:ln>
  </c:spPr>
  <c:printSettings>
    <c:headerFooter/>
    <c:pageMargins b="0.78740157499999996" l="0.511811024" r="0.511811024" t="0.78740157499999996" header="0.31496062000000014" footer="0.3149606200000001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187110447439192"/>
          <c:y val="1.3238771671321954E-2"/>
        </c:manualLayout>
      </c:layout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4.8167077104268534E-2"/>
          <c:y val="0.19411357649933866"/>
          <c:w val="0.9371452740939209"/>
          <c:h val="0.66737256075197604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Gráficos!$C$38</c:f>
              <c:strCache>
                <c:ptCount val="1"/>
                <c:pt idx="0">
                  <c:v>Participação nos resultados/Adicionais: FEVEREIRO</c:v>
                </c:pt>
              </c:strCache>
            </c:strRef>
          </c:tx>
          <c:invertIfNegative val="0"/>
          <c:dLbls>
            <c:txPr>
              <a:bodyPr rot="-5400000" vert="horz"/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Gráficos!$B$39:$B$68</c:f>
            </c:strRef>
          </c:cat>
          <c:val>
            <c:numRef>
              <c:f>Gráficos!$C$39:$C$68</c:f>
              <c:numCache>
                <c:formatCode>_("R$"* #,##0.00_);_("R$"* \(#,##0.00\);_("R$"* "-"??_);_(@_)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0932864"/>
        <c:axId val="170955136"/>
        <c:axId val="0"/>
      </c:bar3DChart>
      <c:catAx>
        <c:axId val="170932864"/>
        <c:scaling>
          <c:orientation val="minMax"/>
        </c:scaling>
        <c:delete val="0"/>
        <c:axPos val="b"/>
        <c:majorTickMark val="out"/>
        <c:minorTickMark val="none"/>
        <c:tickLblPos val="nextTo"/>
        <c:crossAx val="170955136"/>
        <c:crosses val="autoZero"/>
        <c:auto val="1"/>
        <c:lblAlgn val="ctr"/>
        <c:lblOffset val="100"/>
        <c:noMultiLvlLbl val="0"/>
      </c:catAx>
      <c:valAx>
        <c:axId val="170955136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one"/>
        <c:crossAx val="170932864"/>
        <c:crosses val="autoZero"/>
        <c:crossBetween val="between"/>
      </c:valAx>
    </c:plotArea>
    <c:plotVisOnly val="1"/>
    <c:dispBlanksAs val="gap"/>
    <c:showDLblsOverMax val="0"/>
  </c:chart>
  <c:spPr>
    <a:ln>
      <a:solidFill>
        <a:schemeClr val="tx2">
          <a:lumMod val="60000"/>
          <a:lumOff val="40000"/>
        </a:schemeClr>
      </a:solidFill>
    </a:ln>
  </c:spPr>
  <c:printSettings>
    <c:headerFooter/>
    <c:pageMargins b="0.78740157499999996" l="0.511811024" r="0.511811024" t="0.78740157499999996" header="0.31496062000000008" footer="0.31496062000000008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An&#225;lise!A1"/><Relationship Id="rId7" Type="http://schemas.openxmlformats.org/officeDocument/2006/relationships/hyperlink" Target="#Gr&#225;ficos!A1"/><Relationship Id="rId2" Type="http://schemas.openxmlformats.org/officeDocument/2006/relationships/image" Target="../media/image1.png"/><Relationship Id="rId1" Type="http://schemas.openxmlformats.org/officeDocument/2006/relationships/hyperlink" Target="http://www.acelere.vc" TargetMode="External"/><Relationship Id="rId6" Type="http://schemas.openxmlformats.org/officeDocument/2006/relationships/hyperlink" Target="#Tabula&#231;&#227;o!A1"/><Relationship Id="rId5" Type="http://schemas.openxmlformats.org/officeDocument/2006/relationships/hyperlink" Target="#Pagamentos!A1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&#237;cio!A1"/><Relationship Id="rId2" Type="http://schemas.openxmlformats.org/officeDocument/2006/relationships/image" Target="../media/image1.png"/><Relationship Id="rId1" Type="http://schemas.openxmlformats.org/officeDocument/2006/relationships/hyperlink" Target="http://www.acelere.vc" TargetMode="External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&#237;cio!A1"/><Relationship Id="rId2" Type="http://schemas.openxmlformats.org/officeDocument/2006/relationships/image" Target="../media/image1.png"/><Relationship Id="rId1" Type="http://schemas.openxmlformats.org/officeDocument/2006/relationships/hyperlink" Target="http://www.acelere.vc" TargetMode="External"/><Relationship Id="rId4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celere.vc" TargetMode="Externa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5" Type="http://schemas.openxmlformats.org/officeDocument/2006/relationships/hyperlink" Target="#In&#237;cio!A1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76200</xdr:colOff>
      <xdr:row>0</xdr:row>
      <xdr:rowOff>1</xdr:rowOff>
    </xdr:from>
    <xdr:to>
      <xdr:col>18</xdr:col>
      <xdr:colOff>57150</xdr:colOff>
      <xdr:row>1</xdr:row>
      <xdr:rowOff>1</xdr:rowOff>
    </xdr:to>
    <xdr:pic>
      <xdr:nvPicPr>
        <xdr:cNvPr id="8" name="Imagem 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0" y="1"/>
          <a:ext cx="1352550" cy="457200"/>
        </a:xfrm>
        <a:prstGeom prst="rect">
          <a:avLst/>
        </a:prstGeom>
      </xdr:spPr>
    </xdr:pic>
    <xdr:clientData/>
  </xdr:twoCellAnchor>
  <xdr:twoCellAnchor>
    <xdr:from>
      <xdr:col>6</xdr:col>
      <xdr:colOff>561975</xdr:colOff>
      <xdr:row>8</xdr:row>
      <xdr:rowOff>95250</xdr:rowOff>
    </xdr:from>
    <xdr:to>
      <xdr:col>9</xdr:col>
      <xdr:colOff>400050</xdr:colOff>
      <xdr:row>11</xdr:row>
      <xdr:rowOff>34213</xdr:rowOff>
    </xdr:to>
    <xdr:grpSp>
      <xdr:nvGrpSpPr>
        <xdr:cNvPr id="11" name="Grupo 10">
          <a:hlinkClick xmlns:r="http://schemas.openxmlformats.org/officeDocument/2006/relationships" r:id="rId3"/>
        </xdr:cNvPr>
        <xdr:cNvGrpSpPr/>
      </xdr:nvGrpSpPr>
      <xdr:grpSpPr>
        <a:xfrm>
          <a:off x="4676775" y="1952625"/>
          <a:ext cx="1895475" cy="539038"/>
          <a:chOff x="285750" y="2400300"/>
          <a:chExt cx="1895475" cy="539038"/>
        </a:xfrm>
      </xdr:grpSpPr>
      <xdr:pic>
        <xdr:nvPicPr>
          <xdr:cNvPr id="12" name="Imagem 11"/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3" name="CaixaDeTexto 12">
            <a:hlinkClick xmlns:r="http://schemas.openxmlformats.org/officeDocument/2006/relationships" r:id="rId5"/>
          </xdr:cNvPr>
          <xdr:cNvSpPr txBox="1"/>
        </xdr:nvSpPr>
        <xdr:spPr>
          <a:xfrm>
            <a:off x="542925" y="2524125"/>
            <a:ext cx="1390649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PAGAMENTOS</a:t>
            </a:r>
          </a:p>
        </xdr:txBody>
      </xdr:sp>
    </xdr:grpSp>
    <xdr:clientData/>
  </xdr:twoCellAnchor>
  <xdr:twoCellAnchor>
    <xdr:from>
      <xdr:col>2</xdr:col>
      <xdr:colOff>552450</xdr:colOff>
      <xdr:row>8</xdr:row>
      <xdr:rowOff>95250</xdr:rowOff>
    </xdr:from>
    <xdr:to>
      <xdr:col>5</xdr:col>
      <xdr:colOff>390525</xdr:colOff>
      <xdr:row>11</xdr:row>
      <xdr:rowOff>34213</xdr:rowOff>
    </xdr:to>
    <xdr:grpSp>
      <xdr:nvGrpSpPr>
        <xdr:cNvPr id="17" name="Grupo 16">
          <a:hlinkClick xmlns:r="http://schemas.openxmlformats.org/officeDocument/2006/relationships" r:id="rId3"/>
        </xdr:cNvPr>
        <xdr:cNvGrpSpPr/>
      </xdr:nvGrpSpPr>
      <xdr:grpSpPr>
        <a:xfrm>
          <a:off x="1924050" y="1952625"/>
          <a:ext cx="1895475" cy="539038"/>
          <a:chOff x="285750" y="2400300"/>
          <a:chExt cx="1895475" cy="539038"/>
        </a:xfrm>
      </xdr:grpSpPr>
      <xdr:pic>
        <xdr:nvPicPr>
          <xdr:cNvPr id="18" name="Imagem 17"/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9" name="CaixaDeTexto 18">
            <a:hlinkClick xmlns:r="http://schemas.openxmlformats.org/officeDocument/2006/relationships" r:id="rId6"/>
          </xdr:cNvPr>
          <xdr:cNvSpPr txBox="1"/>
        </xdr:nvSpPr>
        <xdr:spPr>
          <a:xfrm>
            <a:off x="542925" y="2524125"/>
            <a:ext cx="1390649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TABULAÇÃO</a:t>
            </a:r>
          </a:p>
        </xdr:txBody>
      </xdr:sp>
    </xdr:grpSp>
    <xdr:clientData/>
  </xdr:twoCellAnchor>
  <xdr:twoCellAnchor>
    <xdr:from>
      <xdr:col>10</xdr:col>
      <xdr:colOff>609600</xdr:colOff>
      <xdr:row>8</xdr:row>
      <xdr:rowOff>95250</xdr:rowOff>
    </xdr:from>
    <xdr:to>
      <xdr:col>13</xdr:col>
      <xdr:colOff>447675</xdr:colOff>
      <xdr:row>11</xdr:row>
      <xdr:rowOff>34213</xdr:rowOff>
    </xdr:to>
    <xdr:grpSp>
      <xdr:nvGrpSpPr>
        <xdr:cNvPr id="20" name="Grupo 19">
          <a:hlinkClick xmlns:r="http://schemas.openxmlformats.org/officeDocument/2006/relationships" r:id="rId3"/>
        </xdr:cNvPr>
        <xdr:cNvGrpSpPr/>
      </xdr:nvGrpSpPr>
      <xdr:grpSpPr>
        <a:xfrm>
          <a:off x="7467600" y="1952625"/>
          <a:ext cx="1895475" cy="539038"/>
          <a:chOff x="285750" y="2400300"/>
          <a:chExt cx="1895475" cy="539038"/>
        </a:xfrm>
      </xdr:grpSpPr>
      <xdr:pic>
        <xdr:nvPicPr>
          <xdr:cNvPr id="21" name="Imagem 20"/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2" name="CaixaDeTexto 21">
            <a:hlinkClick xmlns:r="http://schemas.openxmlformats.org/officeDocument/2006/relationships" r:id="rId7"/>
          </xdr:cNvPr>
          <xdr:cNvSpPr txBox="1"/>
        </xdr:nvSpPr>
        <xdr:spPr>
          <a:xfrm>
            <a:off x="542925" y="2524125"/>
            <a:ext cx="1390649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GRÁFICOS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504825</xdr:colOff>
      <xdr:row>0</xdr:row>
      <xdr:rowOff>0</xdr:rowOff>
    </xdr:from>
    <xdr:to>
      <xdr:col>8</xdr:col>
      <xdr:colOff>76200</xdr:colOff>
      <xdr:row>1</xdr:row>
      <xdr:rowOff>0</xdr:rowOff>
    </xdr:to>
    <xdr:pic>
      <xdr:nvPicPr>
        <xdr:cNvPr id="6" name="Imagem 5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53775" y="0"/>
          <a:ext cx="1352550" cy="45720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57150</xdr:rowOff>
    </xdr:from>
    <xdr:to>
      <xdr:col>0</xdr:col>
      <xdr:colOff>609600</xdr:colOff>
      <xdr:row>0</xdr:row>
      <xdr:rowOff>387199</xdr:rowOff>
    </xdr:to>
    <xdr:pic>
      <xdr:nvPicPr>
        <xdr:cNvPr id="7" name="Imagem 6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561975" cy="3300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619125</xdr:colOff>
      <xdr:row>0</xdr:row>
      <xdr:rowOff>0</xdr:rowOff>
    </xdr:from>
    <xdr:to>
      <xdr:col>6</xdr:col>
      <xdr:colOff>123825</xdr:colOff>
      <xdr:row>1</xdr:row>
      <xdr:rowOff>0</xdr:rowOff>
    </xdr:to>
    <xdr:pic>
      <xdr:nvPicPr>
        <xdr:cNvPr id="6" name="Imagem 5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20400" y="0"/>
          <a:ext cx="1352550" cy="45720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57150</xdr:rowOff>
    </xdr:from>
    <xdr:to>
      <xdr:col>0</xdr:col>
      <xdr:colOff>609600</xdr:colOff>
      <xdr:row>0</xdr:row>
      <xdr:rowOff>387199</xdr:rowOff>
    </xdr:to>
    <xdr:pic>
      <xdr:nvPicPr>
        <xdr:cNvPr id="7" name="Imagem 6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561975" cy="33004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517070</xdr:colOff>
      <xdr:row>5</xdr:row>
      <xdr:rowOff>40821</xdr:rowOff>
    </xdr:from>
    <xdr:to>
      <xdr:col>7</xdr:col>
      <xdr:colOff>183749</xdr:colOff>
      <xdr:row>33</xdr:row>
      <xdr:rowOff>85821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36</xdr:row>
      <xdr:rowOff>149678</xdr:rowOff>
    </xdr:from>
    <xdr:to>
      <xdr:col>20</xdr:col>
      <xdr:colOff>207818</xdr:colOff>
      <xdr:row>66</xdr:row>
      <xdr:rowOff>190500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581025</xdr:colOff>
      <xdr:row>0</xdr:row>
      <xdr:rowOff>0</xdr:rowOff>
    </xdr:from>
    <xdr:to>
      <xdr:col>10</xdr:col>
      <xdr:colOff>257175</xdr:colOff>
      <xdr:row>1</xdr:row>
      <xdr:rowOff>0</xdr:rowOff>
    </xdr:to>
    <xdr:pic>
      <xdr:nvPicPr>
        <xdr:cNvPr id="10" name="Imagem 9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91875" y="0"/>
          <a:ext cx="1352550" cy="45720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38100</xdr:rowOff>
    </xdr:from>
    <xdr:to>
      <xdr:col>0</xdr:col>
      <xdr:colOff>609600</xdr:colOff>
      <xdr:row>0</xdr:row>
      <xdr:rowOff>368149</xdr:rowOff>
    </xdr:to>
    <xdr:pic>
      <xdr:nvPicPr>
        <xdr:cNvPr id="11" name="Imagem 10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38100"/>
          <a:ext cx="561975" cy="3300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arcisio/Desktop/Planilhas/Em%20andamento/Vendas/Vendas(.xlsx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icio"/>
      <sheetName val="Registros"/>
      <sheetName val="Lançamentos"/>
      <sheetName val="Resumo"/>
      <sheetName val="Gráficos"/>
    </sheetNames>
    <sheetDataSet>
      <sheetData sheetId="0" refreshError="1"/>
      <sheetData sheetId="1">
        <row r="4">
          <cell r="A4" t="str">
            <v>CADERNO</v>
          </cell>
          <cell r="D4" t="str">
            <v>DIRETA</v>
          </cell>
          <cell r="G4" t="str">
            <v>À VISTA (DINHEIRO)</v>
          </cell>
        </row>
        <row r="5">
          <cell r="A5" t="str">
            <v>FICHÁRIO</v>
          </cell>
          <cell r="D5" t="str">
            <v>VENDEDOR EXTERNO</v>
          </cell>
          <cell r="G5" t="str">
            <v>À VISTA (CARTÃO)</v>
          </cell>
        </row>
        <row r="6">
          <cell r="A6" t="str">
            <v>LÁPIS</v>
          </cell>
          <cell r="D6" t="str">
            <v>WEB</v>
          </cell>
          <cell r="G6" t="str">
            <v>À PRAZO (CARTÃO)</v>
          </cell>
        </row>
        <row r="7">
          <cell r="A7" t="str">
            <v>BORRACHA</v>
          </cell>
          <cell r="D7" t="str">
            <v>INDICAÇÃO</v>
          </cell>
          <cell r="G7" t="str">
            <v>BOLETO BANCÁRIO</v>
          </cell>
        </row>
        <row r="8">
          <cell r="A8" t="str">
            <v>LAPISEIRA</v>
          </cell>
          <cell r="G8" t="str">
            <v>CHEQUE</v>
          </cell>
        </row>
        <row r="9">
          <cell r="A9" t="str">
            <v>PAPEL CHAMEX 500</v>
          </cell>
        </row>
        <row r="10">
          <cell r="A10" t="str">
            <v>PAPEL CHAMEX 100</v>
          </cell>
        </row>
        <row r="11">
          <cell r="A11" t="str">
            <v>RÉGUA</v>
          </cell>
        </row>
        <row r="12">
          <cell r="A12" t="str">
            <v>COMPASSO</v>
          </cell>
        </row>
        <row r="13">
          <cell r="A13" t="str">
            <v>CANETA PRETA 1</v>
          </cell>
        </row>
        <row r="14">
          <cell r="A14" t="str">
            <v>CANETA PRETA 2</v>
          </cell>
        </row>
        <row r="15">
          <cell r="A15" t="str">
            <v>COLA COLORIDA</v>
          </cell>
          <cell r="I15" t="str">
            <v>JANEIRO</v>
          </cell>
        </row>
        <row r="16">
          <cell r="A16" t="str">
            <v>COLA COMUM</v>
          </cell>
          <cell r="D16" t="str">
            <v>EMPRESA X</v>
          </cell>
          <cell r="I16" t="str">
            <v>FEVEREIRO</v>
          </cell>
        </row>
        <row r="17">
          <cell r="A17" t="str">
            <v>MOCHILA</v>
          </cell>
          <cell r="D17" t="str">
            <v>EMPRESA Y</v>
          </cell>
          <cell r="I17" t="str">
            <v>MARÇO</v>
          </cell>
        </row>
        <row r="18">
          <cell r="A18" t="str">
            <v>CALCULADORA</v>
          </cell>
          <cell r="D18" t="str">
            <v>EMPRESA Z</v>
          </cell>
          <cell r="I18" t="str">
            <v>ABRIL</v>
          </cell>
        </row>
        <row r="19">
          <cell r="D19" t="str">
            <v>EMPRESA W</v>
          </cell>
          <cell r="I19" t="str">
            <v>MAIO</v>
          </cell>
        </row>
        <row r="20">
          <cell r="D20" t="str">
            <v>PEDRO A.</v>
          </cell>
          <cell r="I20" t="str">
            <v>JUNHO</v>
          </cell>
        </row>
        <row r="21">
          <cell r="D21" t="str">
            <v>ELBIO</v>
          </cell>
          <cell r="I21" t="str">
            <v>JULHO</v>
          </cell>
        </row>
        <row r="22">
          <cell r="D22" t="str">
            <v>SILVANA</v>
          </cell>
          <cell r="I22" t="str">
            <v>AGOSTO</v>
          </cell>
        </row>
        <row r="23">
          <cell r="D23" t="str">
            <v>MARIANA</v>
          </cell>
          <cell r="I23" t="str">
            <v>SETEMBRO</v>
          </cell>
        </row>
        <row r="24">
          <cell r="D24" t="str">
            <v>MANUELA</v>
          </cell>
          <cell r="I24" t="str">
            <v>OUTUBRO</v>
          </cell>
        </row>
        <row r="25">
          <cell r="D25" t="str">
            <v>LUIS</v>
          </cell>
          <cell r="I25" t="str">
            <v>NOVEMBRO</v>
          </cell>
        </row>
        <row r="26">
          <cell r="D26" t="str">
            <v>CESAR</v>
          </cell>
          <cell r="I26" t="str">
            <v>DEZEMBRO</v>
          </cell>
        </row>
        <row r="27">
          <cell r="D27" t="str">
            <v>VICTOR B.</v>
          </cell>
        </row>
        <row r="28">
          <cell r="D28" t="str">
            <v>EMPRESA A</v>
          </cell>
        </row>
        <row r="29">
          <cell r="D29" t="str">
            <v>EMPRESA B</v>
          </cell>
        </row>
        <row r="30">
          <cell r="D30" t="str">
            <v>ROBERTO M.</v>
          </cell>
        </row>
        <row r="31">
          <cell r="D31" t="str">
            <v>GERALDO MAGELA</v>
          </cell>
        </row>
        <row r="32">
          <cell r="D32" t="str">
            <v>LEANDRO SANTOS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"/>
  <sheetViews>
    <sheetView showGridLines="0" tabSelected="1" workbookViewId="0">
      <selection sqref="A1:R1"/>
    </sheetView>
  </sheetViews>
  <sheetFormatPr defaultColWidth="9" defaultRowHeight="0" customHeight="1" zeroHeight="1" x14ac:dyDescent="0.25"/>
  <cols>
    <col min="1" max="10" width="9" customWidth="1"/>
  </cols>
  <sheetData>
    <row r="1" spans="1:25" s="53" customFormat="1" ht="36" customHeight="1" x14ac:dyDescent="0.25">
      <c r="A1" s="55" t="s">
        <v>49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4"/>
      <c r="T1" s="54"/>
      <c r="U1" s="52"/>
      <c r="V1" s="52"/>
      <c r="W1" s="52"/>
      <c r="X1" s="52"/>
      <c r="Y1" s="52"/>
    </row>
    <row r="2" spans="1:25" ht="15.75" x14ac:dyDescent="0.25"/>
    <row r="3" spans="1:25" ht="15.75" x14ac:dyDescent="0.25"/>
    <row r="4" spans="1:25" ht="15.75" x14ac:dyDescent="0.25"/>
    <row r="5" spans="1:25" ht="15.75" x14ac:dyDescent="0.25"/>
    <row r="6" spans="1:25" ht="15.75" x14ac:dyDescent="0.25"/>
    <row r="7" spans="1:25" ht="15.75" x14ac:dyDescent="0.25"/>
    <row r="8" spans="1:25" ht="15.75" x14ac:dyDescent="0.25"/>
    <row r="9" spans="1:25" ht="15.75" x14ac:dyDescent="0.25"/>
    <row r="10" spans="1:25" ht="15.75" x14ac:dyDescent="0.25"/>
    <row r="11" spans="1:25" ht="15.75" x14ac:dyDescent="0.25"/>
    <row r="12" spans="1:25" ht="15.75" x14ac:dyDescent="0.25"/>
    <row r="13" spans="1:25" ht="15.75" x14ac:dyDescent="0.25"/>
    <row r="14" spans="1:25" ht="15.75" x14ac:dyDescent="0.25"/>
    <row r="15" spans="1:25" ht="15.75" x14ac:dyDescent="0.25"/>
    <row r="16" spans="1:25" ht="15.75" x14ac:dyDescent="0.25"/>
    <row r="17" ht="15.75" x14ac:dyDescent="0.25"/>
    <row r="18" ht="15.75" x14ac:dyDescent="0.25"/>
    <row r="19" ht="15.75" x14ac:dyDescent="0.25"/>
    <row r="20" ht="15.75" x14ac:dyDescent="0.25"/>
    <row r="21" ht="15.75" x14ac:dyDescent="0.25"/>
  </sheetData>
  <mergeCells count="1">
    <mergeCell ref="A1:R1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"/>
  <sheetViews>
    <sheetView showGridLines="0" zoomScaleNormal="100" workbookViewId="0">
      <selection activeCell="D30" sqref="D30"/>
    </sheetView>
  </sheetViews>
  <sheetFormatPr defaultColWidth="13.375" defaultRowHeight="12.75" x14ac:dyDescent="0.2"/>
  <cols>
    <col min="1" max="1" width="15.625" style="1" bestFit="1" customWidth="1"/>
    <col min="2" max="2" width="28" style="1" bestFit="1" customWidth="1"/>
    <col min="3" max="3" width="25.125" style="1" bestFit="1" customWidth="1"/>
    <col min="4" max="4" width="28.875" style="1" bestFit="1" customWidth="1"/>
    <col min="5" max="5" width="29" style="1" bestFit="1" customWidth="1"/>
    <col min="6" max="6" width="13.125" style="1" bestFit="1" customWidth="1"/>
    <col min="7" max="7" width="12.75" style="1" bestFit="1" customWidth="1"/>
    <col min="8" max="8" width="10.625" style="1" bestFit="1" customWidth="1"/>
    <col min="9" max="9" width="9.375" style="1" bestFit="1" customWidth="1"/>
    <col min="10" max="10" width="26.875" style="1" bestFit="1" customWidth="1"/>
    <col min="11" max="11" width="13.375" style="1" customWidth="1"/>
    <col min="12" max="16384" width="13.375" style="1"/>
  </cols>
  <sheetData>
    <row r="1" spans="1:25" s="53" customFormat="1" ht="36" customHeight="1" x14ac:dyDescent="0.25">
      <c r="A1" s="55" t="s">
        <v>52</v>
      </c>
      <c r="B1" s="56"/>
      <c r="C1" s="56"/>
      <c r="D1" s="56"/>
      <c r="E1" s="56"/>
      <c r="F1" s="56"/>
      <c r="G1" s="56"/>
      <c r="H1" s="56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2"/>
      <c r="V1" s="52"/>
      <c r="W1" s="52"/>
      <c r="X1" s="52"/>
      <c r="Y1" s="52"/>
    </row>
    <row r="3" spans="1:25" ht="15" x14ac:dyDescent="0.2">
      <c r="A3" s="10" t="s">
        <v>25</v>
      </c>
      <c r="B3" s="10" t="s">
        <v>22</v>
      </c>
      <c r="C3" s="10" t="s">
        <v>23</v>
      </c>
      <c r="D3" s="57" t="s">
        <v>24</v>
      </c>
      <c r="E3" s="58"/>
      <c r="F3" s="58"/>
      <c r="G3" s="58"/>
      <c r="H3" s="58"/>
      <c r="I3" s="59"/>
      <c r="J3" s="10" t="s">
        <v>26</v>
      </c>
    </row>
    <row r="4" spans="1:25" ht="15" x14ac:dyDescent="0.2">
      <c r="A4" s="7"/>
      <c r="B4" s="8"/>
      <c r="C4" s="8">
        <f>B4+30</f>
        <v>30</v>
      </c>
      <c r="D4" s="8"/>
      <c r="E4" s="7"/>
      <c r="F4" s="7"/>
      <c r="G4" s="7"/>
      <c r="H4" s="7"/>
      <c r="I4" s="7"/>
      <c r="J4" s="7">
        <f>NETWORKDAYS(B4,C4,D4:I4)</f>
        <v>21</v>
      </c>
    </row>
    <row r="5" spans="1:25" ht="15" x14ac:dyDescent="0.2">
      <c r="A5" s="7"/>
      <c r="B5" s="8"/>
      <c r="C5" s="9">
        <f>B5+27</f>
        <v>27</v>
      </c>
      <c r="D5" s="7"/>
      <c r="E5" s="7"/>
      <c r="F5" s="7"/>
      <c r="G5" s="7"/>
      <c r="H5" s="7"/>
      <c r="I5" s="7"/>
      <c r="J5" s="7">
        <f t="shared" ref="J5:J15" si="0">NETWORKDAYS(B5,C5,D5:I5)</f>
        <v>20</v>
      </c>
    </row>
    <row r="6" spans="1:25" ht="15" x14ac:dyDescent="0.2">
      <c r="A6" s="7"/>
      <c r="B6" s="8"/>
      <c r="C6" s="9">
        <f>B6+30</f>
        <v>30</v>
      </c>
      <c r="D6" s="9"/>
      <c r="E6" s="7"/>
      <c r="F6" s="7"/>
      <c r="G6" s="7"/>
      <c r="H6" s="7"/>
      <c r="I6" s="7"/>
      <c r="J6" s="7">
        <f t="shared" si="0"/>
        <v>21</v>
      </c>
    </row>
    <row r="7" spans="1:25" ht="15" x14ac:dyDescent="0.2">
      <c r="A7" s="7"/>
      <c r="B7" s="8"/>
      <c r="C7" s="9">
        <f>B7+29</f>
        <v>29</v>
      </c>
      <c r="D7" s="9"/>
      <c r="E7" s="9"/>
      <c r="F7" s="7"/>
      <c r="G7" s="7"/>
      <c r="H7" s="7"/>
      <c r="I7" s="7"/>
      <c r="J7" s="7">
        <f t="shared" si="0"/>
        <v>20</v>
      </c>
    </row>
    <row r="8" spans="1:25" ht="15" x14ac:dyDescent="0.2">
      <c r="A8" s="7"/>
      <c r="B8" s="8"/>
      <c r="C8" s="9">
        <f>B8+30</f>
        <v>30</v>
      </c>
      <c r="D8" s="9"/>
      <c r="E8" s="7"/>
      <c r="F8" s="7"/>
      <c r="G8" s="7"/>
      <c r="H8" s="7"/>
      <c r="I8" s="7"/>
      <c r="J8" s="7">
        <f t="shared" si="0"/>
        <v>21</v>
      </c>
    </row>
    <row r="9" spans="1:25" ht="15" x14ac:dyDescent="0.2">
      <c r="A9" s="7"/>
      <c r="B9" s="8"/>
      <c r="C9" s="9">
        <f>B9+29</f>
        <v>29</v>
      </c>
      <c r="D9" s="9"/>
      <c r="E9" s="7"/>
      <c r="F9" s="7"/>
      <c r="G9" s="7"/>
      <c r="H9" s="7"/>
      <c r="I9" s="7"/>
      <c r="J9" s="7">
        <f t="shared" si="0"/>
        <v>20</v>
      </c>
    </row>
    <row r="10" spans="1:25" ht="15" x14ac:dyDescent="0.2">
      <c r="A10" s="7"/>
      <c r="B10" s="8"/>
      <c r="C10" s="9">
        <f>B10+30</f>
        <v>30</v>
      </c>
      <c r="D10" s="7"/>
      <c r="E10" s="7"/>
      <c r="F10" s="7"/>
      <c r="G10" s="7"/>
      <c r="H10" s="7"/>
      <c r="I10" s="7"/>
      <c r="J10" s="7">
        <f t="shared" si="0"/>
        <v>21</v>
      </c>
    </row>
    <row r="11" spans="1:25" ht="15" x14ac:dyDescent="0.2">
      <c r="A11" s="7"/>
      <c r="B11" s="8"/>
      <c r="C11" s="9">
        <f>B11+30</f>
        <v>30</v>
      </c>
      <c r="D11" s="7"/>
      <c r="E11" s="7"/>
      <c r="F11" s="7"/>
      <c r="G11" s="7"/>
      <c r="H11" s="7"/>
      <c r="I11" s="7"/>
      <c r="J11" s="7">
        <f t="shared" si="0"/>
        <v>21</v>
      </c>
    </row>
    <row r="12" spans="1:25" ht="15" x14ac:dyDescent="0.2">
      <c r="A12" s="7"/>
      <c r="B12" s="8"/>
      <c r="C12" s="9">
        <f>B12+29</f>
        <v>29</v>
      </c>
      <c r="D12" s="9"/>
      <c r="E12" s="7"/>
      <c r="F12" s="7"/>
      <c r="G12" s="7"/>
      <c r="H12" s="7"/>
      <c r="I12" s="7"/>
      <c r="J12" s="7">
        <f t="shared" si="0"/>
        <v>20</v>
      </c>
    </row>
    <row r="13" spans="1:25" ht="15" x14ac:dyDescent="0.2">
      <c r="A13" s="7"/>
      <c r="B13" s="8"/>
      <c r="C13" s="9">
        <f>B13+30</f>
        <v>30</v>
      </c>
      <c r="D13" s="9"/>
      <c r="E13" s="7"/>
      <c r="F13" s="7"/>
      <c r="G13" s="7"/>
      <c r="H13" s="7"/>
      <c r="I13" s="7"/>
      <c r="J13" s="7">
        <f>NETWORKDAYS(B13,C13,D13:I13)</f>
        <v>21</v>
      </c>
    </row>
    <row r="14" spans="1:25" ht="15" x14ac:dyDescent="0.2">
      <c r="A14" s="7"/>
      <c r="B14" s="8"/>
      <c r="C14" s="9">
        <f>B14+29</f>
        <v>29</v>
      </c>
      <c r="D14" s="9"/>
      <c r="E14" s="9"/>
      <c r="F14" s="7"/>
      <c r="G14" s="7"/>
      <c r="H14" s="7"/>
      <c r="I14" s="7"/>
      <c r="J14" s="7">
        <f t="shared" si="0"/>
        <v>20</v>
      </c>
    </row>
    <row r="15" spans="1:25" ht="15" x14ac:dyDescent="0.2">
      <c r="A15" s="7"/>
      <c r="B15" s="8"/>
      <c r="C15" s="9">
        <f>B15+30</f>
        <v>30</v>
      </c>
      <c r="D15" s="9"/>
      <c r="E15" s="7"/>
      <c r="F15" s="7"/>
      <c r="G15" s="7"/>
      <c r="H15" s="7"/>
      <c r="I15" s="7"/>
      <c r="J15" s="7">
        <f t="shared" si="0"/>
        <v>21</v>
      </c>
    </row>
    <row r="18" spans="1:10" ht="15" x14ac:dyDescent="0.2">
      <c r="C18" s="10" t="s">
        <v>40</v>
      </c>
      <c r="D18" s="25">
        <v>2.1</v>
      </c>
    </row>
    <row r="19" spans="1:10" ht="15" x14ac:dyDescent="0.2">
      <c r="A19" s="10" t="s">
        <v>27</v>
      </c>
      <c r="B19" s="10" t="s">
        <v>28</v>
      </c>
      <c r="C19" s="10" t="s">
        <v>29</v>
      </c>
      <c r="D19" s="10" t="s">
        <v>39</v>
      </c>
      <c r="E19" s="10" t="s">
        <v>30</v>
      </c>
      <c r="G19" s="57" t="s">
        <v>32</v>
      </c>
      <c r="H19" s="59"/>
      <c r="I19" s="10"/>
      <c r="J19" s="10" t="s">
        <v>33</v>
      </c>
    </row>
    <row r="20" spans="1:10" ht="15" x14ac:dyDescent="0.2">
      <c r="A20" s="7"/>
      <c r="B20" s="24"/>
      <c r="C20" s="12"/>
      <c r="D20" s="12"/>
      <c r="E20" s="13">
        <f>$D$18*D20</f>
        <v>0</v>
      </c>
      <c r="G20" s="14">
        <v>0</v>
      </c>
      <c r="H20" s="14">
        <v>1787.77</v>
      </c>
      <c r="I20" s="15">
        <v>0</v>
      </c>
      <c r="J20" s="16">
        <v>0</v>
      </c>
    </row>
    <row r="21" spans="1:10" ht="15" x14ac:dyDescent="0.2">
      <c r="A21" s="7"/>
      <c r="B21" s="24"/>
      <c r="C21" s="12"/>
      <c r="D21" s="12"/>
      <c r="E21" s="13">
        <f t="shared" ref="E21:E33" si="1">$D$18*D21</f>
        <v>0</v>
      </c>
      <c r="G21" s="17">
        <v>1787.78</v>
      </c>
      <c r="H21" s="14">
        <v>2679.29</v>
      </c>
      <c r="I21" s="15">
        <v>7.4999999999999997E-2</v>
      </c>
      <c r="J21" s="16">
        <v>134.08000000000001</v>
      </c>
    </row>
    <row r="22" spans="1:10" ht="15" x14ac:dyDescent="0.2">
      <c r="A22" s="7"/>
      <c r="B22" s="24"/>
      <c r="C22" s="12"/>
      <c r="D22" s="12"/>
      <c r="E22" s="13">
        <f t="shared" si="1"/>
        <v>0</v>
      </c>
      <c r="G22" s="14">
        <v>2679.3</v>
      </c>
      <c r="H22" s="14">
        <v>3572.43</v>
      </c>
      <c r="I22" s="15">
        <v>0.15</v>
      </c>
      <c r="J22" s="16">
        <v>335.03</v>
      </c>
    </row>
    <row r="23" spans="1:10" ht="15" x14ac:dyDescent="0.2">
      <c r="A23" s="7"/>
      <c r="B23" s="24"/>
      <c r="C23" s="12"/>
      <c r="D23" s="12"/>
      <c r="E23" s="13">
        <f t="shared" si="1"/>
        <v>0</v>
      </c>
      <c r="G23" s="14">
        <v>3572.44</v>
      </c>
      <c r="H23" s="14">
        <v>4463.8100000000004</v>
      </c>
      <c r="I23" s="15">
        <v>0.22500000000000001</v>
      </c>
      <c r="J23" s="16">
        <v>602.96</v>
      </c>
    </row>
    <row r="24" spans="1:10" ht="15" x14ac:dyDescent="0.2">
      <c r="A24" s="7"/>
      <c r="B24" s="24"/>
      <c r="C24" s="12"/>
      <c r="D24" s="12"/>
      <c r="E24" s="13">
        <f t="shared" si="1"/>
        <v>0</v>
      </c>
      <c r="G24" s="14">
        <v>4463.82</v>
      </c>
      <c r="H24" s="18" t="s">
        <v>2</v>
      </c>
      <c r="I24" s="15">
        <v>0.27500000000000002</v>
      </c>
      <c r="J24" s="16">
        <v>826.15</v>
      </c>
    </row>
    <row r="25" spans="1:10" ht="15" x14ac:dyDescent="0.2">
      <c r="A25" s="7"/>
      <c r="B25" s="7"/>
      <c r="C25" s="12"/>
      <c r="D25" s="12"/>
      <c r="E25" s="13">
        <f t="shared" si="1"/>
        <v>0</v>
      </c>
      <c r="G25" s="57" t="s">
        <v>34</v>
      </c>
      <c r="H25" s="59"/>
      <c r="I25" s="10"/>
    </row>
    <row r="26" spans="1:10" ht="15" x14ac:dyDescent="0.2">
      <c r="A26" s="7"/>
      <c r="B26" s="24"/>
      <c r="C26" s="12"/>
      <c r="D26" s="12"/>
      <c r="E26" s="13">
        <f t="shared" si="1"/>
        <v>0</v>
      </c>
      <c r="G26" s="19" t="s">
        <v>0</v>
      </c>
      <c r="H26" s="19">
        <v>1317.07</v>
      </c>
      <c r="I26" s="20">
        <v>0.08</v>
      </c>
    </row>
    <row r="27" spans="1:10" ht="15" x14ac:dyDescent="0.2">
      <c r="A27" s="7"/>
      <c r="B27" s="24"/>
      <c r="C27" s="12"/>
      <c r="D27" s="12"/>
      <c r="E27" s="13">
        <f t="shared" si="1"/>
        <v>0</v>
      </c>
      <c r="G27" s="19">
        <v>1317.08</v>
      </c>
      <c r="H27" s="19">
        <v>2195.12</v>
      </c>
      <c r="I27" s="20">
        <v>0.09</v>
      </c>
    </row>
    <row r="28" spans="1:10" ht="15" x14ac:dyDescent="0.2">
      <c r="A28" s="7"/>
      <c r="B28" s="24"/>
      <c r="C28" s="12"/>
      <c r="D28" s="12"/>
      <c r="E28" s="13">
        <f t="shared" si="1"/>
        <v>0</v>
      </c>
      <c r="G28" s="19">
        <v>2195.13</v>
      </c>
      <c r="H28" s="19">
        <v>4390.24</v>
      </c>
      <c r="I28" s="20">
        <v>0.11</v>
      </c>
    </row>
    <row r="29" spans="1:10" ht="15" x14ac:dyDescent="0.2">
      <c r="A29" s="7"/>
      <c r="B29" s="7"/>
      <c r="C29" s="12"/>
      <c r="D29" s="12"/>
      <c r="E29" s="13">
        <f t="shared" si="1"/>
        <v>0</v>
      </c>
      <c r="G29" s="19">
        <v>4390.24</v>
      </c>
      <c r="H29" s="19" t="s">
        <v>1</v>
      </c>
      <c r="I29" s="21">
        <f>G29*I28</f>
        <v>482.9264</v>
      </c>
    </row>
    <row r="30" spans="1:10" ht="15" x14ac:dyDescent="0.2">
      <c r="A30" s="7"/>
      <c r="B30" s="24"/>
      <c r="C30" s="12"/>
      <c r="D30" s="12"/>
      <c r="E30" s="13">
        <f t="shared" si="1"/>
        <v>0</v>
      </c>
      <c r="G30" s="57" t="s">
        <v>35</v>
      </c>
      <c r="H30" s="59"/>
    </row>
    <row r="31" spans="1:10" ht="15" x14ac:dyDescent="0.2">
      <c r="A31" s="7"/>
      <c r="B31" s="7"/>
      <c r="C31" s="12"/>
      <c r="D31" s="12"/>
      <c r="E31" s="13">
        <f t="shared" si="1"/>
        <v>0</v>
      </c>
      <c r="G31" s="26" t="s">
        <v>3</v>
      </c>
      <c r="H31" s="15">
        <v>0.25800000000000001</v>
      </c>
    </row>
    <row r="32" spans="1:10" ht="15" x14ac:dyDescent="0.2">
      <c r="A32" s="7"/>
      <c r="B32" s="7"/>
      <c r="C32" s="12"/>
      <c r="D32" s="12"/>
      <c r="E32" s="13">
        <f t="shared" si="1"/>
        <v>0</v>
      </c>
      <c r="G32" s="27" t="s">
        <v>4</v>
      </c>
      <c r="H32" s="22">
        <v>0.02</v>
      </c>
    </row>
    <row r="33" spans="1:8" ht="15" x14ac:dyDescent="0.2">
      <c r="A33" s="7"/>
      <c r="B33" s="7"/>
      <c r="C33" s="12"/>
      <c r="D33" s="12"/>
      <c r="E33" s="13">
        <f t="shared" si="1"/>
        <v>0</v>
      </c>
      <c r="G33" s="27" t="s">
        <v>5</v>
      </c>
      <c r="H33" s="23">
        <v>0.08</v>
      </c>
    </row>
    <row r="34" spans="1:8" ht="15" x14ac:dyDescent="0.2">
      <c r="A34" s="11"/>
      <c r="B34" s="11"/>
      <c r="C34" s="12"/>
      <c r="D34" s="12"/>
      <c r="E34" s="13">
        <f t="shared" ref="E34:E50" si="2">$D$18*D34</f>
        <v>0</v>
      </c>
    </row>
    <row r="35" spans="1:8" ht="15" x14ac:dyDescent="0.2">
      <c r="A35" s="11"/>
      <c r="B35" s="11"/>
      <c r="C35" s="12"/>
      <c r="D35" s="12"/>
      <c r="E35" s="13">
        <f t="shared" si="2"/>
        <v>0</v>
      </c>
    </row>
    <row r="36" spans="1:8" ht="15" x14ac:dyDescent="0.2">
      <c r="A36" s="11"/>
      <c r="B36" s="11"/>
      <c r="C36" s="12"/>
      <c r="D36" s="12"/>
      <c r="E36" s="13">
        <f t="shared" si="2"/>
        <v>0</v>
      </c>
    </row>
    <row r="37" spans="1:8" ht="15" x14ac:dyDescent="0.2">
      <c r="A37" s="11"/>
      <c r="B37" s="11"/>
      <c r="C37" s="12"/>
      <c r="D37" s="12"/>
      <c r="E37" s="13">
        <f t="shared" si="2"/>
        <v>0</v>
      </c>
    </row>
    <row r="38" spans="1:8" ht="15" x14ac:dyDescent="0.2">
      <c r="A38" s="11"/>
      <c r="B38" s="11"/>
      <c r="C38" s="12"/>
      <c r="D38" s="12"/>
      <c r="E38" s="13">
        <f t="shared" si="2"/>
        <v>0</v>
      </c>
    </row>
    <row r="39" spans="1:8" ht="15" x14ac:dyDescent="0.2">
      <c r="A39" s="11"/>
      <c r="B39" s="11"/>
      <c r="C39" s="12"/>
      <c r="D39" s="12"/>
      <c r="E39" s="13">
        <f t="shared" si="2"/>
        <v>0</v>
      </c>
    </row>
    <row r="40" spans="1:8" ht="15" x14ac:dyDescent="0.2">
      <c r="A40" s="11"/>
      <c r="B40" s="11"/>
      <c r="C40" s="12"/>
      <c r="D40" s="12"/>
      <c r="E40" s="13">
        <f t="shared" si="2"/>
        <v>0</v>
      </c>
    </row>
    <row r="41" spans="1:8" ht="15" x14ac:dyDescent="0.2">
      <c r="A41" s="11"/>
      <c r="B41" s="11"/>
      <c r="C41" s="12"/>
      <c r="D41" s="12"/>
      <c r="E41" s="13">
        <f t="shared" si="2"/>
        <v>0</v>
      </c>
    </row>
    <row r="42" spans="1:8" ht="15" x14ac:dyDescent="0.2">
      <c r="A42" s="11"/>
      <c r="B42" s="11"/>
      <c r="C42" s="12"/>
      <c r="D42" s="12"/>
      <c r="E42" s="13">
        <f t="shared" si="2"/>
        <v>0</v>
      </c>
    </row>
    <row r="43" spans="1:8" ht="15" x14ac:dyDescent="0.2">
      <c r="A43" s="11"/>
      <c r="B43" s="11"/>
      <c r="C43" s="12"/>
      <c r="D43" s="12"/>
      <c r="E43" s="13">
        <f t="shared" si="2"/>
        <v>0</v>
      </c>
    </row>
    <row r="44" spans="1:8" ht="15" x14ac:dyDescent="0.2">
      <c r="A44" s="11"/>
      <c r="B44" s="11"/>
      <c r="C44" s="12"/>
      <c r="D44" s="12"/>
      <c r="E44" s="13">
        <f t="shared" si="2"/>
        <v>0</v>
      </c>
    </row>
    <row r="45" spans="1:8" ht="15" x14ac:dyDescent="0.2">
      <c r="A45" s="11"/>
      <c r="B45" s="11"/>
      <c r="C45" s="12"/>
      <c r="D45" s="12"/>
      <c r="E45" s="13">
        <f t="shared" si="2"/>
        <v>0</v>
      </c>
    </row>
    <row r="46" spans="1:8" ht="15" x14ac:dyDescent="0.2">
      <c r="A46" s="11"/>
      <c r="B46" s="11"/>
      <c r="C46" s="12"/>
      <c r="D46" s="12"/>
      <c r="E46" s="13">
        <f t="shared" si="2"/>
        <v>0</v>
      </c>
    </row>
    <row r="47" spans="1:8" ht="15" x14ac:dyDescent="0.2">
      <c r="A47" s="11"/>
      <c r="B47" s="11"/>
      <c r="C47" s="12"/>
      <c r="D47" s="12"/>
      <c r="E47" s="13">
        <f t="shared" si="2"/>
        <v>0</v>
      </c>
    </row>
    <row r="48" spans="1:8" ht="15" x14ac:dyDescent="0.2">
      <c r="A48" s="11"/>
      <c r="B48" s="11"/>
      <c r="C48" s="12"/>
      <c r="D48" s="12"/>
      <c r="E48" s="13">
        <f t="shared" si="2"/>
        <v>0</v>
      </c>
    </row>
    <row r="49" spans="1:5" ht="15" x14ac:dyDescent="0.2">
      <c r="A49" s="11"/>
      <c r="B49" s="11"/>
      <c r="C49" s="12"/>
      <c r="D49" s="12"/>
      <c r="E49" s="13">
        <f t="shared" si="2"/>
        <v>0</v>
      </c>
    </row>
    <row r="50" spans="1:5" ht="15" x14ac:dyDescent="0.2">
      <c r="A50" s="37"/>
      <c r="B50" s="11"/>
      <c r="C50" s="12"/>
      <c r="D50" s="12"/>
      <c r="E50" s="13">
        <f t="shared" si="2"/>
        <v>0</v>
      </c>
    </row>
  </sheetData>
  <mergeCells count="5">
    <mergeCell ref="D3:I3"/>
    <mergeCell ref="G19:H19"/>
    <mergeCell ref="G25:H25"/>
    <mergeCell ref="G30:H30"/>
    <mergeCell ref="A1:H1"/>
  </mergeCells>
  <pageMargins left="0.75" right="0.75" top="1" bottom="1" header="0.5" footer="0.5"/>
  <ignoredErrors>
    <ignoredError sqref="C5:C14" formula="1"/>
  </ignoredErrors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63"/>
  <sheetViews>
    <sheetView showGridLines="0" zoomScaleNormal="100" zoomScalePageLayoutView="75" workbookViewId="0">
      <selection activeCell="C40" sqref="C40:O53 O71 C74:O87 O105 O108:O139"/>
    </sheetView>
  </sheetViews>
  <sheetFormatPr defaultColWidth="10.875" defaultRowHeight="30" customHeight="1" outlineLevelRow="1" x14ac:dyDescent="0.25"/>
  <cols>
    <col min="1" max="1" width="28" style="2" bestFit="1" customWidth="1"/>
    <col min="2" max="2" width="32.625" style="2" bestFit="1" customWidth="1"/>
    <col min="3" max="3" width="24.75" style="2" bestFit="1" customWidth="1"/>
    <col min="4" max="9" width="24.25" style="2" bestFit="1" customWidth="1"/>
    <col min="10" max="10" width="23.875" style="2" bestFit="1" customWidth="1"/>
    <col min="11" max="15" width="24.25" style="2" bestFit="1" customWidth="1"/>
    <col min="16" max="16" width="27.625" style="2" bestFit="1" customWidth="1"/>
    <col min="17" max="20" width="10.875" style="2" customWidth="1"/>
    <col min="21" max="22" width="16.375" style="2" customWidth="1"/>
    <col min="23" max="16384" width="10.875" style="2"/>
  </cols>
  <sheetData>
    <row r="1" spans="1:25" s="53" customFormat="1" ht="36" customHeight="1" x14ac:dyDescent="0.25">
      <c r="A1" s="55" t="s">
        <v>50</v>
      </c>
      <c r="B1" s="56"/>
      <c r="C1" s="56"/>
      <c r="D1" s="56"/>
      <c r="E1" s="56"/>
      <c r="F1" s="56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2"/>
      <c r="V1" s="52"/>
      <c r="W1" s="52"/>
      <c r="X1" s="52"/>
      <c r="Y1" s="52"/>
    </row>
    <row r="3" spans="1:25" ht="30" customHeight="1" x14ac:dyDescent="0.25">
      <c r="A3" s="48" t="s">
        <v>27</v>
      </c>
      <c r="B3" s="48" t="s">
        <v>28</v>
      </c>
      <c r="C3" s="48" t="s">
        <v>10</v>
      </c>
      <c r="D3" s="48" t="s">
        <v>11</v>
      </c>
      <c r="E3" s="48" t="s">
        <v>12</v>
      </c>
      <c r="F3" s="48" t="s">
        <v>13</v>
      </c>
      <c r="G3" s="48" t="s">
        <v>14</v>
      </c>
      <c r="H3" s="48" t="s">
        <v>15</v>
      </c>
      <c r="I3" s="48" t="s">
        <v>16</v>
      </c>
      <c r="J3" s="48" t="s">
        <v>17</v>
      </c>
      <c r="K3" s="48" t="s">
        <v>18</v>
      </c>
      <c r="L3" s="48" t="s">
        <v>19</v>
      </c>
      <c r="M3" s="48" t="s">
        <v>20</v>
      </c>
      <c r="N3" s="48" t="s">
        <v>21</v>
      </c>
      <c r="O3" s="48" t="s">
        <v>9</v>
      </c>
      <c r="P3" s="48" t="s">
        <v>36</v>
      </c>
    </row>
    <row r="4" spans="1:25" ht="30" customHeight="1" thickBot="1" x14ac:dyDescent="0.3">
      <c r="A4" s="3"/>
      <c r="B4" s="3"/>
      <c r="C4" s="31">
        <f>COLUMN(C3)-1</f>
        <v>2</v>
      </c>
      <c r="D4" s="31">
        <f t="shared" ref="D4:P4" si="0">COLUMN(D3)-1</f>
        <v>3</v>
      </c>
      <c r="E4" s="31">
        <f t="shared" si="0"/>
        <v>4</v>
      </c>
      <c r="F4" s="31">
        <f t="shared" si="0"/>
        <v>5</v>
      </c>
      <c r="G4" s="31">
        <f t="shared" si="0"/>
        <v>6</v>
      </c>
      <c r="H4" s="31">
        <f t="shared" si="0"/>
        <v>7</v>
      </c>
      <c r="I4" s="31">
        <f t="shared" si="0"/>
        <v>8</v>
      </c>
      <c r="J4" s="31">
        <f t="shared" si="0"/>
        <v>9</v>
      </c>
      <c r="K4" s="31">
        <f t="shared" si="0"/>
        <v>10</v>
      </c>
      <c r="L4" s="31">
        <f t="shared" si="0"/>
        <v>11</v>
      </c>
      <c r="M4" s="31">
        <f t="shared" si="0"/>
        <v>12</v>
      </c>
      <c r="N4" s="31">
        <f t="shared" si="0"/>
        <v>13</v>
      </c>
      <c r="O4" s="31">
        <f t="shared" si="0"/>
        <v>14</v>
      </c>
      <c r="P4" s="31">
        <f t="shared" si="0"/>
        <v>15</v>
      </c>
    </row>
    <row r="5" spans="1:25" ht="30" customHeight="1" thickBot="1" x14ac:dyDescent="0.3">
      <c r="A5" s="60" t="s">
        <v>41</v>
      </c>
      <c r="B5" s="60"/>
      <c r="C5" s="62" t="s">
        <v>41</v>
      </c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S5" s="6"/>
      <c r="T5" s="6"/>
      <c r="U5" s="6"/>
    </row>
    <row r="6" spans="1:25" ht="30" customHeight="1" outlineLevel="1" thickBot="1" x14ac:dyDescent="0.3">
      <c r="A6" s="39" t="str">
        <f t="shared" ref="A6:A36" si="1">IF($A40="","",$A40)</f>
        <v/>
      </c>
      <c r="B6" s="39" t="str">
        <f t="shared" ref="B6:B36" si="2">IF($B40="","",$B40)</f>
        <v/>
      </c>
      <c r="C6" s="40">
        <f t="shared" ref="C6:N6" si="3">C40+C74</f>
        <v>0</v>
      </c>
      <c r="D6" s="40">
        <f t="shared" si="3"/>
        <v>0</v>
      </c>
      <c r="E6" s="40">
        <f t="shared" si="3"/>
        <v>0</v>
      </c>
      <c r="F6" s="40">
        <f t="shared" si="3"/>
        <v>0</v>
      </c>
      <c r="G6" s="40">
        <f t="shared" si="3"/>
        <v>0</v>
      </c>
      <c r="H6" s="40">
        <f t="shared" si="3"/>
        <v>0</v>
      </c>
      <c r="I6" s="40">
        <f t="shared" si="3"/>
        <v>0</v>
      </c>
      <c r="J6" s="40">
        <f t="shared" si="3"/>
        <v>0</v>
      </c>
      <c r="K6" s="40">
        <f t="shared" si="3"/>
        <v>0</v>
      </c>
      <c r="L6" s="40">
        <f t="shared" si="3"/>
        <v>0</v>
      </c>
      <c r="M6" s="40">
        <f t="shared" si="3"/>
        <v>0</v>
      </c>
      <c r="N6" s="40">
        <f t="shared" si="3"/>
        <v>0</v>
      </c>
      <c r="O6" s="41">
        <f t="shared" ref="O6:O19" si="4">IF(COUNTIF(C40:N40,"&gt;0")&gt;0,(SUM(C40:N40)+SUM(C74:N74))/COUNTIF(C40:N40,"&gt;0"),0)</f>
        <v>0</v>
      </c>
      <c r="P6" s="41">
        <f>SUM(C6:N6)</f>
        <v>0</v>
      </c>
      <c r="R6" s="6"/>
      <c r="S6" s="5"/>
      <c r="T6" s="5"/>
      <c r="U6" s="5"/>
    </row>
    <row r="7" spans="1:25" ht="30" customHeight="1" outlineLevel="1" thickBot="1" x14ac:dyDescent="0.3">
      <c r="A7" s="39" t="str">
        <f t="shared" si="1"/>
        <v/>
      </c>
      <c r="B7" s="39" t="str">
        <f t="shared" si="2"/>
        <v/>
      </c>
      <c r="C7" s="40">
        <f t="shared" ref="C7:N7" si="5">C41+C75</f>
        <v>0</v>
      </c>
      <c r="D7" s="40">
        <f t="shared" si="5"/>
        <v>0</v>
      </c>
      <c r="E7" s="40">
        <f t="shared" si="5"/>
        <v>0</v>
      </c>
      <c r="F7" s="40">
        <f t="shared" si="5"/>
        <v>0</v>
      </c>
      <c r="G7" s="40">
        <f t="shared" si="5"/>
        <v>0</v>
      </c>
      <c r="H7" s="40">
        <f t="shared" si="5"/>
        <v>0</v>
      </c>
      <c r="I7" s="40">
        <f t="shared" si="5"/>
        <v>0</v>
      </c>
      <c r="J7" s="40">
        <f t="shared" si="5"/>
        <v>0</v>
      </c>
      <c r="K7" s="40">
        <f t="shared" si="5"/>
        <v>0</v>
      </c>
      <c r="L7" s="40">
        <f t="shared" si="5"/>
        <v>0</v>
      </c>
      <c r="M7" s="40">
        <f t="shared" si="5"/>
        <v>0</v>
      </c>
      <c r="N7" s="40">
        <f t="shared" si="5"/>
        <v>0</v>
      </c>
      <c r="O7" s="41">
        <f t="shared" si="4"/>
        <v>0</v>
      </c>
      <c r="P7" s="41">
        <f t="shared" ref="P7:P19" si="6">SUM(C7:N7)</f>
        <v>0</v>
      </c>
    </row>
    <row r="8" spans="1:25" ht="30" customHeight="1" outlineLevel="1" thickBot="1" x14ac:dyDescent="0.3">
      <c r="A8" s="39" t="str">
        <f t="shared" si="1"/>
        <v/>
      </c>
      <c r="B8" s="39" t="str">
        <f t="shared" si="2"/>
        <v/>
      </c>
      <c r="C8" s="40">
        <f t="shared" ref="C8:N8" si="7">C42+C76</f>
        <v>0</v>
      </c>
      <c r="D8" s="40">
        <f t="shared" si="7"/>
        <v>0</v>
      </c>
      <c r="E8" s="40">
        <f t="shared" si="7"/>
        <v>0</v>
      </c>
      <c r="F8" s="40">
        <f t="shared" si="7"/>
        <v>0</v>
      </c>
      <c r="G8" s="40">
        <f t="shared" si="7"/>
        <v>0</v>
      </c>
      <c r="H8" s="40">
        <f t="shared" si="7"/>
        <v>0</v>
      </c>
      <c r="I8" s="40">
        <f t="shared" si="7"/>
        <v>0</v>
      </c>
      <c r="J8" s="40">
        <f t="shared" si="7"/>
        <v>0</v>
      </c>
      <c r="K8" s="40">
        <f t="shared" si="7"/>
        <v>0</v>
      </c>
      <c r="L8" s="40">
        <f t="shared" si="7"/>
        <v>0</v>
      </c>
      <c r="M8" s="40">
        <f t="shared" si="7"/>
        <v>0</v>
      </c>
      <c r="N8" s="40">
        <f t="shared" si="7"/>
        <v>0</v>
      </c>
      <c r="O8" s="41">
        <f t="shared" si="4"/>
        <v>0</v>
      </c>
      <c r="P8" s="41">
        <f t="shared" si="6"/>
        <v>0</v>
      </c>
    </row>
    <row r="9" spans="1:25" ht="30" customHeight="1" outlineLevel="1" thickBot="1" x14ac:dyDescent="0.3">
      <c r="A9" s="39" t="str">
        <f t="shared" si="1"/>
        <v/>
      </c>
      <c r="B9" s="39" t="str">
        <f t="shared" si="2"/>
        <v/>
      </c>
      <c r="C9" s="40">
        <f t="shared" ref="C9:N9" si="8">C43+C77</f>
        <v>0</v>
      </c>
      <c r="D9" s="40">
        <f t="shared" si="8"/>
        <v>0</v>
      </c>
      <c r="E9" s="40">
        <f t="shared" si="8"/>
        <v>0</v>
      </c>
      <c r="F9" s="40">
        <f t="shared" si="8"/>
        <v>0</v>
      </c>
      <c r="G9" s="40">
        <f t="shared" si="8"/>
        <v>0</v>
      </c>
      <c r="H9" s="40">
        <f t="shared" si="8"/>
        <v>0</v>
      </c>
      <c r="I9" s="40">
        <f t="shared" si="8"/>
        <v>0</v>
      </c>
      <c r="J9" s="40">
        <f t="shared" si="8"/>
        <v>0</v>
      </c>
      <c r="K9" s="40">
        <f t="shared" si="8"/>
        <v>0</v>
      </c>
      <c r="L9" s="40">
        <f t="shared" si="8"/>
        <v>0</v>
      </c>
      <c r="M9" s="40">
        <f t="shared" si="8"/>
        <v>0</v>
      </c>
      <c r="N9" s="40">
        <f t="shared" si="8"/>
        <v>0</v>
      </c>
      <c r="O9" s="41">
        <f t="shared" si="4"/>
        <v>0</v>
      </c>
      <c r="P9" s="41">
        <f t="shared" si="6"/>
        <v>0</v>
      </c>
    </row>
    <row r="10" spans="1:25" ht="30" customHeight="1" outlineLevel="1" thickBot="1" x14ac:dyDescent="0.3">
      <c r="A10" s="39" t="str">
        <f t="shared" si="1"/>
        <v/>
      </c>
      <c r="B10" s="39" t="str">
        <f t="shared" si="2"/>
        <v/>
      </c>
      <c r="C10" s="40">
        <f t="shared" ref="C10:N10" si="9">C44+C78</f>
        <v>0</v>
      </c>
      <c r="D10" s="40">
        <f t="shared" si="9"/>
        <v>0</v>
      </c>
      <c r="E10" s="40">
        <f t="shared" si="9"/>
        <v>0</v>
      </c>
      <c r="F10" s="40">
        <f t="shared" si="9"/>
        <v>0</v>
      </c>
      <c r="G10" s="40">
        <f t="shared" si="9"/>
        <v>0</v>
      </c>
      <c r="H10" s="40">
        <f t="shared" si="9"/>
        <v>0</v>
      </c>
      <c r="I10" s="40">
        <f t="shared" si="9"/>
        <v>0</v>
      </c>
      <c r="J10" s="40">
        <f t="shared" si="9"/>
        <v>0</v>
      </c>
      <c r="K10" s="40">
        <f t="shared" si="9"/>
        <v>0</v>
      </c>
      <c r="L10" s="40">
        <f t="shared" si="9"/>
        <v>0</v>
      </c>
      <c r="M10" s="40">
        <f t="shared" si="9"/>
        <v>0</v>
      </c>
      <c r="N10" s="40">
        <f t="shared" si="9"/>
        <v>0</v>
      </c>
      <c r="O10" s="41">
        <f t="shared" si="4"/>
        <v>0</v>
      </c>
      <c r="P10" s="41">
        <f t="shared" si="6"/>
        <v>0</v>
      </c>
    </row>
    <row r="11" spans="1:25" ht="30" customHeight="1" outlineLevel="1" thickBot="1" x14ac:dyDescent="0.3">
      <c r="A11" s="39" t="str">
        <f t="shared" si="1"/>
        <v/>
      </c>
      <c r="B11" s="39" t="str">
        <f t="shared" si="2"/>
        <v/>
      </c>
      <c r="C11" s="40">
        <f t="shared" ref="C11:N11" si="10">C45+C79</f>
        <v>0</v>
      </c>
      <c r="D11" s="40">
        <f t="shared" si="10"/>
        <v>0</v>
      </c>
      <c r="E11" s="40">
        <f t="shared" si="10"/>
        <v>0</v>
      </c>
      <c r="F11" s="40">
        <f t="shared" si="10"/>
        <v>0</v>
      </c>
      <c r="G11" s="40">
        <f t="shared" si="10"/>
        <v>0</v>
      </c>
      <c r="H11" s="40">
        <f t="shared" si="10"/>
        <v>0</v>
      </c>
      <c r="I11" s="40">
        <f t="shared" si="10"/>
        <v>0</v>
      </c>
      <c r="J11" s="40">
        <f t="shared" si="10"/>
        <v>0</v>
      </c>
      <c r="K11" s="40">
        <f t="shared" si="10"/>
        <v>0</v>
      </c>
      <c r="L11" s="40">
        <f t="shared" si="10"/>
        <v>0</v>
      </c>
      <c r="M11" s="40">
        <f t="shared" si="10"/>
        <v>0</v>
      </c>
      <c r="N11" s="40">
        <f t="shared" si="10"/>
        <v>0</v>
      </c>
      <c r="O11" s="41">
        <f t="shared" si="4"/>
        <v>0</v>
      </c>
      <c r="P11" s="41">
        <f t="shared" si="6"/>
        <v>0</v>
      </c>
    </row>
    <row r="12" spans="1:25" ht="30" customHeight="1" outlineLevel="1" thickBot="1" x14ac:dyDescent="0.3">
      <c r="A12" s="39" t="str">
        <f t="shared" si="1"/>
        <v/>
      </c>
      <c r="B12" s="39" t="str">
        <f t="shared" si="2"/>
        <v/>
      </c>
      <c r="C12" s="40">
        <f t="shared" ref="C12:N12" si="11">C46+C80</f>
        <v>0</v>
      </c>
      <c r="D12" s="40">
        <f t="shared" si="11"/>
        <v>0</v>
      </c>
      <c r="E12" s="40">
        <f t="shared" si="11"/>
        <v>0</v>
      </c>
      <c r="F12" s="40">
        <f t="shared" si="11"/>
        <v>0</v>
      </c>
      <c r="G12" s="40">
        <f t="shared" si="11"/>
        <v>0</v>
      </c>
      <c r="H12" s="40">
        <f t="shared" si="11"/>
        <v>0</v>
      </c>
      <c r="I12" s="40">
        <f t="shared" si="11"/>
        <v>0</v>
      </c>
      <c r="J12" s="40">
        <f t="shared" si="11"/>
        <v>0</v>
      </c>
      <c r="K12" s="40">
        <f t="shared" si="11"/>
        <v>0</v>
      </c>
      <c r="L12" s="40">
        <f t="shared" si="11"/>
        <v>0</v>
      </c>
      <c r="M12" s="40">
        <f t="shared" si="11"/>
        <v>0</v>
      </c>
      <c r="N12" s="40">
        <f t="shared" si="11"/>
        <v>0</v>
      </c>
      <c r="O12" s="41">
        <f t="shared" si="4"/>
        <v>0</v>
      </c>
      <c r="P12" s="41">
        <f t="shared" si="6"/>
        <v>0</v>
      </c>
    </row>
    <row r="13" spans="1:25" ht="30" customHeight="1" outlineLevel="1" thickBot="1" x14ac:dyDescent="0.3">
      <c r="A13" s="39" t="str">
        <f t="shared" si="1"/>
        <v/>
      </c>
      <c r="B13" s="39" t="str">
        <f t="shared" si="2"/>
        <v/>
      </c>
      <c r="C13" s="40">
        <f t="shared" ref="C13:N13" si="12">C47+C81</f>
        <v>0</v>
      </c>
      <c r="D13" s="40">
        <f t="shared" si="12"/>
        <v>0</v>
      </c>
      <c r="E13" s="40">
        <f t="shared" si="12"/>
        <v>0</v>
      </c>
      <c r="F13" s="40">
        <f t="shared" si="12"/>
        <v>0</v>
      </c>
      <c r="G13" s="40">
        <f t="shared" si="12"/>
        <v>0</v>
      </c>
      <c r="H13" s="40">
        <f t="shared" si="12"/>
        <v>0</v>
      </c>
      <c r="I13" s="40">
        <f t="shared" si="12"/>
        <v>0</v>
      </c>
      <c r="J13" s="40">
        <f t="shared" si="12"/>
        <v>0</v>
      </c>
      <c r="K13" s="40">
        <f t="shared" si="12"/>
        <v>0</v>
      </c>
      <c r="L13" s="40">
        <f t="shared" si="12"/>
        <v>0</v>
      </c>
      <c r="M13" s="40">
        <f t="shared" si="12"/>
        <v>0</v>
      </c>
      <c r="N13" s="40">
        <f t="shared" si="12"/>
        <v>0</v>
      </c>
      <c r="O13" s="41">
        <f t="shared" si="4"/>
        <v>0</v>
      </c>
      <c r="P13" s="41">
        <f t="shared" si="6"/>
        <v>0</v>
      </c>
    </row>
    <row r="14" spans="1:25" ht="30" customHeight="1" outlineLevel="1" thickBot="1" x14ac:dyDescent="0.3">
      <c r="A14" s="39" t="str">
        <f t="shared" si="1"/>
        <v/>
      </c>
      <c r="B14" s="39" t="str">
        <f t="shared" si="2"/>
        <v/>
      </c>
      <c r="C14" s="40">
        <f t="shared" ref="C14:N14" si="13">C48+C82</f>
        <v>0</v>
      </c>
      <c r="D14" s="40">
        <f t="shared" si="13"/>
        <v>0</v>
      </c>
      <c r="E14" s="40">
        <f t="shared" si="13"/>
        <v>0</v>
      </c>
      <c r="F14" s="40">
        <f t="shared" si="13"/>
        <v>0</v>
      </c>
      <c r="G14" s="40">
        <f t="shared" si="13"/>
        <v>0</v>
      </c>
      <c r="H14" s="40">
        <f t="shared" si="13"/>
        <v>0</v>
      </c>
      <c r="I14" s="40">
        <f t="shared" si="13"/>
        <v>0</v>
      </c>
      <c r="J14" s="40">
        <f t="shared" si="13"/>
        <v>0</v>
      </c>
      <c r="K14" s="40">
        <f t="shared" si="13"/>
        <v>0</v>
      </c>
      <c r="L14" s="40">
        <f t="shared" si="13"/>
        <v>0</v>
      </c>
      <c r="M14" s="40">
        <f t="shared" si="13"/>
        <v>0</v>
      </c>
      <c r="N14" s="40">
        <f t="shared" si="13"/>
        <v>0</v>
      </c>
      <c r="O14" s="41">
        <f t="shared" si="4"/>
        <v>0</v>
      </c>
      <c r="P14" s="41">
        <f t="shared" si="6"/>
        <v>0</v>
      </c>
    </row>
    <row r="15" spans="1:25" ht="30" customHeight="1" outlineLevel="1" thickBot="1" x14ac:dyDescent="0.3">
      <c r="A15" s="39" t="str">
        <f t="shared" si="1"/>
        <v/>
      </c>
      <c r="B15" s="39" t="str">
        <f t="shared" si="2"/>
        <v/>
      </c>
      <c r="C15" s="40">
        <f t="shared" ref="C15:N15" si="14">C49+C83</f>
        <v>0</v>
      </c>
      <c r="D15" s="40">
        <f t="shared" si="14"/>
        <v>0</v>
      </c>
      <c r="E15" s="40">
        <f t="shared" si="14"/>
        <v>0</v>
      </c>
      <c r="F15" s="40">
        <f t="shared" si="14"/>
        <v>0</v>
      </c>
      <c r="G15" s="40">
        <f t="shared" si="14"/>
        <v>0</v>
      </c>
      <c r="H15" s="40">
        <f t="shared" si="14"/>
        <v>0</v>
      </c>
      <c r="I15" s="40">
        <f t="shared" si="14"/>
        <v>0</v>
      </c>
      <c r="J15" s="40">
        <f t="shared" si="14"/>
        <v>0</v>
      </c>
      <c r="K15" s="40">
        <f t="shared" si="14"/>
        <v>0</v>
      </c>
      <c r="L15" s="40">
        <f t="shared" si="14"/>
        <v>0</v>
      </c>
      <c r="M15" s="40">
        <f t="shared" si="14"/>
        <v>0</v>
      </c>
      <c r="N15" s="40">
        <f t="shared" si="14"/>
        <v>0</v>
      </c>
      <c r="O15" s="41">
        <f t="shared" si="4"/>
        <v>0</v>
      </c>
      <c r="P15" s="41">
        <f t="shared" si="6"/>
        <v>0</v>
      </c>
    </row>
    <row r="16" spans="1:25" ht="30" customHeight="1" outlineLevel="1" thickBot="1" x14ac:dyDescent="0.3">
      <c r="A16" s="39" t="str">
        <f t="shared" si="1"/>
        <v/>
      </c>
      <c r="B16" s="39" t="str">
        <f t="shared" si="2"/>
        <v/>
      </c>
      <c r="C16" s="40">
        <f t="shared" ref="C16:N16" si="15">C50+C84</f>
        <v>0</v>
      </c>
      <c r="D16" s="40">
        <f t="shared" si="15"/>
        <v>0</v>
      </c>
      <c r="E16" s="40">
        <f t="shared" si="15"/>
        <v>0</v>
      </c>
      <c r="F16" s="40">
        <f t="shared" si="15"/>
        <v>0</v>
      </c>
      <c r="G16" s="40">
        <f t="shared" si="15"/>
        <v>0</v>
      </c>
      <c r="H16" s="40">
        <f t="shared" si="15"/>
        <v>0</v>
      </c>
      <c r="I16" s="40">
        <f t="shared" si="15"/>
        <v>0</v>
      </c>
      <c r="J16" s="40">
        <f t="shared" si="15"/>
        <v>0</v>
      </c>
      <c r="K16" s="40">
        <f t="shared" si="15"/>
        <v>0</v>
      </c>
      <c r="L16" s="40">
        <f t="shared" si="15"/>
        <v>0</v>
      </c>
      <c r="M16" s="40">
        <f t="shared" si="15"/>
        <v>0</v>
      </c>
      <c r="N16" s="40">
        <f t="shared" si="15"/>
        <v>0</v>
      </c>
      <c r="O16" s="41">
        <f t="shared" si="4"/>
        <v>0</v>
      </c>
      <c r="P16" s="41">
        <f t="shared" si="6"/>
        <v>0</v>
      </c>
    </row>
    <row r="17" spans="1:16" ht="30" customHeight="1" outlineLevel="1" thickBot="1" x14ac:dyDescent="0.3">
      <c r="A17" s="39" t="str">
        <f t="shared" si="1"/>
        <v/>
      </c>
      <c r="B17" s="39" t="str">
        <f t="shared" si="2"/>
        <v/>
      </c>
      <c r="C17" s="40">
        <f t="shared" ref="C17:N17" si="16">C51+C85</f>
        <v>0</v>
      </c>
      <c r="D17" s="40">
        <f t="shared" si="16"/>
        <v>0</v>
      </c>
      <c r="E17" s="40">
        <f t="shared" si="16"/>
        <v>0</v>
      </c>
      <c r="F17" s="40">
        <f t="shared" si="16"/>
        <v>0</v>
      </c>
      <c r="G17" s="40">
        <f t="shared" si="16"/>
        <v>0</v>
      </c>
      <c r="H17" s="40">
        <f t="shared" si="16"/>
        <v>0</v>
      </c>
      <c r="I17" s="40">
        <f t="shared" si="16"/>
        <v>0</v>
      </c>
      <c r="J17" s="40">
        <f t="shared" si="16"/>
        <v>0</v>
      </c>
      <c r="K17" s="40">
        <f t="shared" si="16"/>
        <v>0</v>
      </c>
      <c r="L17" s="40">
        <f t="shared" si="16"/>
        <v>0</v>
      </c>
      <c r="M17" s="40">
        <f t="shared" si="16"/>
        <v>0</v>
      </c>
      <c r="N17" s="40">
        <f t="shared" si="16"/>
        <v>0</v>
      </c>
      <c r="O17" s="41">
        <f t="shared" si="4"/>
        <v>0</v>
      </c>
      <c r="P17" s="41">
        <f t="shared" si="6"/>
        <v>0</v>
      </c>
    </row>
    <row r="18" spans="1:16" ht="30" customHeight="1" outlineLevel="1" thickBot="1" x14ac:dyDescent="0.3">
      <c r="A18" s="39" t="str">
        <f t="shared" si="1"/>
        <v/>
      </c>
      <c r="B18" s="39" t="str">
        <f t="shared" si="2"/>
        <v/>
      </c>
      <c r="C18" s="40">
        <f t="shared" ref="C18:N18" si="17">C52+C86</f>
        <v>0</v>
      </c>
      <c r="D18" s="40">
        <f t="shared" si="17"/>
        <v>0</v>
      </c>
      <c r="E18" s="40">
        <f t="shared" si="17"/>
        <v>0</v>
      </c>
      <c r="F18" s="40">
        <f t="shared" si="17"/>
        <v>0</v>
      </c>
      <c r="G18" s="40">
        <f t="shared" si="17"/>
        <v>0</v>
      </c>
      <c r="H18" s="40">
        <f t="shared" si="17"/>
        <v>0</v>
      </c>
      <c r="I18" s="40">
        <f t="shared" si="17"/>
        <v>0</v>
      </c>
      <c r="J18" s="40">
        <f t="shared" si="17"/>
        <v>0</v>
      </c>
      <c r="K18" s="40">
        <f t="shared" si="17"/>
        <v>0</v>
      </c>
      <c r="L18" s="40">
        <f t="shared" si="17"/>
        <v>0</v>
      </c>
      <c r="M18" s="40">
        <f t="shared" si="17"/>
        <v>0</v>
      </c>
      <c r="N18" s="40">
        <f t="shared" si="17"/>
        <v>0</v>
      </c>
      <c r="O18" s="41">
        <f t="shared" si="4"/>
        <v>0</v>
      </c>
      <c r="P18" s="41">
        <f t="shared" si="6"/>
        <v>0</v>
      </c>
    </row>
    <row r="19" spans="1:16" ht="30" customHeight="1" outlineLevel="1" thickBot="1" x14ac:dyDescent="0.3">
      <c r="A19" s="39" t="str">
        <f t="shared" si="1"/>
        <v/>
      </c>
      <c r="B19" s="39" t="str">
        <f t="shared" si="2"/>
        <v/>
      </c>
      <c r="C19" s="40">
        <f t="shared" ref="C19:N19" si="18">C53+C87</f>
        <v>0</v>
      </c>
      <c r="D19" s="40">
        <f t="shared" si="18"/>
        <v>0</v>
      </c>
      <c r="E19" s="40">
        <f t="shared" si="18"/>
        <v>0</v>
      </c>
      <c r="F19" s="40">
        <f t="shared" si="18"/>
        <v>0</v>
      </c>
      <c r="G19" s="40">
        <f t="shared" si="18"/>
        <v>0</v>
      </c>
      <c r="H19" s="40">
        <f t="shared" si="18"/>
        <v>0</v>
      </c>
      <c r="I19" s="40">
        <f t="shared" si="18"/>
        <v>0</v>
      </c>
      <c r="J19" s="40">
        <f t="shared" si="18"/>
        <v>0</v>
      </c>
      <c r="K19" s="40">
        <f t="shared" si="18"/>
        <v>0</v>
      </c>
      <c r="L19" s="40">
        <f t="shared" si="18"/>
        <v>0</v>
      </c>
      <c r="M19" s="40">
        <f t="shared" si="18"/>
        <v>0</v>
      </c>
      <c r="N19" s="40">
        <f t="shared" si="18"/>
        <v>0</v>
      </c>
      <c r="O19" s="41">
        <f t="shared" si="4"/>
        <v>0</v>
      </c>
      <c r="P19" s="41">
        <f t="shared" si="6"/>
        <v>0</v>
      </c>
    </row>
    <row r="20" spans="1:16" ht="30" customHeight="1" outlineLevel="1" thickBot="1" x14ac:dyDescent="0.3">
      <c r="A20" s="39" t="str">
        <f t="shared" si="1"/>
        <v/>
      </c>
      <c r="B20" s="39" t="str">
        <f t="shared" si="2"/>
        <v/>
      </c>
      <c r="C20" s="40">
        <f t="shared" ref="C20:N20" si="19">C54+C88</f>
        <v>0</v>
      </c>
      <c r="D20" s="40">
        <f t="shared" si="19"/>
        <v>0</v>
      </c>
      <c r="E20" s="40">
        <f t="shared" si="19"/>
        <v>0</v>
      </c>
      <c r="F20" s="40">
        <f t="shared" si="19"/>
        <v>0</v>
      </c>
      <c r="G20" s="40">
        <f t="shared" si="19"/>
        <v>0</v>
      </c>
      <c r="H20" s="40">
        <f t="shared" si="19"/>
        <v>0</v>
      </c>
      <c r="I20" s="40">
        <f t="shared" si="19"/>
        <v>0</v>
      </c>
      <c r="J20" s="40">
        <f t="shared" si="19"/>
        <v>0</v>
      </c>
      <c r="K20" s="40">
        <f t="shared" si="19"/>
        <v>0</v>
      </c>
      <c r="L20" s="40">
        <f t="shared" si="19"/>
        <v>0</v>
      </c>
      <c r="M20" s="40">
        <f t="shared" si="19"/>
        <v>0</v>
      </c>
      <c r="N20" s="40">
        <f t="shared" si="19"/>
        <v>0</v>
      </c>
      <c r="O20" s="41">
        <f t="shared" ref="O20:O30" si="20">IF(COUNTIF(C54:N54,"&gt;0")&gt;0,(SUM(C54:N54)+SUM(C88:N88))/COUNTIF(C54:N54,"&gt;0"),0)</f>
        <v>0</v>
      </c>
      <c r="P20" s="41">
        <f t="shared" ref="P20:P31" si="21">SUM(C20:N20)</f>
        <v>0</v>
      </c>
    </row>
    <row r="21" spans="1:16" ht="30" customHeight="1" outlineLevel="1" thickBot="1" x14ac:dyDescent="0.3">
      <c r="A21" s="39" t="str">
        <f t="shared" si="1"/>
        <v/>
      </c>
      <c r="B21" s="39" t="str">
        <f t="shared" si="2"/>
        <v/>
      </c>
      <c r="C21" s="40">
        <f t="shared" ref="C21:N21" si="22">C55+C89</f>
        <v>0</v>
      </c>
      <c r="D21" s="40">
        <f t="shared" si="22"/>
        <v>0</v>
      </c>
      <c r="E21" s="40">
        <f t="shared" si="22"/>
        <v>0</v>
      </c>
      <c r="F21" s="40">
        <f t="shared" si="22"/>
        <v>0</v>
      </c>
      <c r="G21" s="40">
        <f t="shared" si="22"/>
        <v>0</v>
      </c>
      <c r="H21" s="40">
        <f t="shared" si="22"/>
        <v>0</v>
      </c>
      <c r="I21" s="40">
        <f t="shared" si="22"/>
        <v>0</v>
      </c>
      <c r="J21" s="40">
        <f t="shared" si="22"/>
        <v>0</v>
      </c>
      <c r="K21" s="40">
        <f t="shared" si="22"/>
        <v>0</v>
      </c>
      <c r="L21" s="40">
        <f t="shared" si="22"/>
        <v>0</v>
      </c>
      <c r="M21" s="40">
        <f t="shared" si="22"/>
        <v>0</v>
      </c>
      <c r="N21" s="40">
        <f t="shared" si="22"/>
        <v>0</v>
      </c>
      <c r="O21" s="41">
        <f t="shared" si="20"/>
        <v>0</v>
      </c>
      <c r="P21" s="41">
        <f t="shared" si="21"/>
        <v>0</v>
      </c>
    </row>
    <row r="22" spans="1:16" ht="30" customHeight="1" outlineLevel="1" thickBot="1" x14ac:dyDescent="0.3">
      <c r="A22" s="39" t="str">
        <f t="shared" si="1"/>
        <v/>
      </c>
      <c r="B22" s="39" t="str">
        <f t="shared" si="2"/>
        <v/>
      </c>
      <c r="C22" s="40">
        <f t="shared" ref="C22:N22" si="23">C56+C90</f>
        <v>0</v>
      </c>
      <c r="D22" s="40">
        <f t="shared" si="23"/>
        <v>0</v>
      </c>
      <c r="E22" s="40">
        <f t="shared" si="23"/>
        <v>0</v>
      </c>
      <c r="F22" s="40">
        <f t="shared" si="23"/>
        <v>0</v>
      </c>
      <c r="G22" s="40">
        <f t="shared" si="23"/>
        <v>0</v>
      </c>
      <c r="H22" s="40">
        <f t="shared" si="23"/>
        <v>0</v>
      </c>
      <c r="I22" s="40">
        <f t="shared" si="23"/>
        <v>0</v>
      </c>
      <c r="J22" s="40">
        <f t="shared" si="23"/>
        <v>0</v>
      </c>
      <c r="K22" s="40">
        <f t="shared" si="23"/>
        <v>0</v>
      </c>
      <c r="L22" s="40">
        <f t="shared" si="23"/>
        <v>0</v>
      </c>
      <c r="M22" s="40">
        <f t="shared" si="23"/>
        <v>0</v>
      </c>
      <c r="N22" s="40">
        <f t="shared" si="23"/>
        <v>0</v>
      </c>
      <c r="O22" s="41">
        <f t="shared" si="20"/>
        <v>0</v>
      </c>
      <c r="P22" s="41">
        <f t="shared" si="21"/>
        <v>0</v>
      </c>
    </row>
    <row r="23" spans="1:16" ht="30" customHeight="1" outlineLevel="1" thickBot="1" x14ac:dyDescent="0.3">
      <c r="A23" s="39" t="str">
        <f t="shared" si="1"/>
        <v/>
      </c>
      <c r="B23" s="39" t="str">
        <f t="shared" si="2"/>
        <v/>
      </c>
      <c r="C23" s="40">
        <f t="shared" ref="C23:N23" si="24">C57+C91</f>
        <v>0</v>
      </c>
      <c r="D23" s="40">
        <f t="shared" si="24"/>
        <v>0</v>
      </c>
      <c r="E23" s="40">
        <f t="shared" si="24"/>
        <v>0</v>
      </c>
      <c r="F23" s="40">
        <f t="shared" si="24"/>
        <v>0</v>
      </c>
      <c r="G23" s="40">
        <f t="shared" si="24"/>
        <v>0</v>
      </c>
      <c r="H23" s="40">
        <f t="shared" si="24"/>
        <v>0</v>
      </c>
      <c r="I23" s="40">
        <f t="shared" si="24"/>
        <v>0</v>
      </c>
      <c r="J23" s="40">
        <f t="shared" si="24"/>
        <v>0</v>
      </c>
      <c r="K23" s="40">
        <f t="shared" si="24"/>
        <v>0</v>
      </c>
      <c r="L23" s="40">
        <f t="shared" si="24"/>
        <v>0</v>
      </c>
      <c r="M23" s="40">
        <f t="shared" si="24"/>
        <v>0</v>
      </c>
      <c r="N23" s="40">
        <f t="shared" si="24"/>
        <v>0</v>
      </c>
      <c r="O23" s="41">
        <f t="shared" si="20"/>
        <v>0</v>
      </c>
      <c r="P23" s="41">
        <f t="shared" si="21"/>
        <v>0</v>
      </c>
    </row>
    <row r="24" spans="1:16" ht="30" customHeight="1" outlineLevel="1" thickBot="1" x14ac:dyDescent="0.3">
      <c r="A24" s="39" t="str">
        <f t="shared" si="1"/>
        <v/>
      </c>
      <c r="B24" s="39" t="str">
        <f t="shared" si="2"/>
        <v/>
      </c>
      <c r="C24" s="40">
        <f t="shared" ref="C24:N24" si="25">C58+C92</f>
        <v>0</v>
      </c>
      <c r="D24" s="40">
        <f t="shared" si="25"/>
        <v>0</v>
      </c>
      <c r="E24" s="40">
        <f t="shared" si="25"/>
        <v>0</v>
      </c>
      <c r="F24" s="40">
        <f t="shared" si="25"/>
        <v>0</v>
      </c>
      <c r="G24" s="40">
        <f t="shared" si="25"/>
        <v>0</v>
      </c>
      <c r="H24" s="40">
        <f t="shared" si="25"/>
        <v>0</v>
      </c>
      <c r="I24" s="40">
        <f t="shared" si="25"/>
        <v>0</v>
      </c>
      <c r="J24" s="40">
        <f t="shared" si="25"/>
        <v>0</v>
      </c>
      <c r="K24" s="40">
        <f t="shared" si="25"/>
        <v>0</v>
      </c>
      <c r="L24" s="40">
        <f t="shared" si="25"/>
        <v>0</v>
      </c>
      <c r="M24" s="40">
        <f t="shared" si="25"/>
        <v>0</v>
      </c>
      <c r="N24" s="40">
        <f t="shared" si="25"/>
        <v>0</v>
      </c>
      <c r="O24" s="41">
        <f t="shared" si="20"/>
        <v>0</v>
      </c>
      <c r="P24" s="41">
        <f t="shared" si="21"/>
        <v>0</v>
      </c>
    </row>
    <row r="25" spans="1:16" ht="30" customHeight="1" outlineLevel="1" thickBot="1" x14ac:dyDescent="0.3">
      <c r="A25" s="39" t="str">
        <f t="shared" si="1"/>
        <v/>
      </c>
      <c r="B25" s="39" t="str">
        <f t="shared" si="2"/>
        <v/>
      </c>
      <c r="C25" s="40">
        <f t="shared" ref="C25:N25" si="26">C59+C93</f>
        <v>0</v>
      </c>
      <c r="D25" s="40">
        <f t="shared" si="26"/>
        <v>0</v>
      </c>
      <c r="E25" s="40">
        <f t="shared" si="26"/>
        <v>0</v>
      </c>
      <c r="F25" s="40">
        <f t="shared" si="26"/>
        <v>0</v>
      </c>
      <c r="G25" s="40">
        <f t="shared" si="26"/>
        <v>0</v>
      </c>
      <c r="H25" s="40">
        <f t="shared" si="26"/>
        <v>0</v>
      </c>
      <c r="I25" s="40">
        <f t="shared" si="26"/>
        <v>0</v>
      </c>
      <c r="J25" s="40">
        <f t="shared" si="26"/>
        <v>0</v>
      </c>
      <c r="K25" s="40">
        <f t="shared" si="26"/>
        <v>0</v>
      </c>
      <c r="L25" s="40">
        <f t="shared" si="26"/>
        <v>0</v>
      </c>
      <c r="M25" s="40">
        <f t="shared" si="26"/>
        <v>0</v>
      </c>
      <c r="N25" s="40">
        <f t="shared" si="26"/>
        <v>0</v>
      </c>
      <c r="O25" s="41">
        <f t="shared" si="20"/>
        <v>0</v>
      </c>
      <c r="P25" s="41">
        <f t="shared" si="21"/>
        <v>0</v>
      </c>
    </row>
    <row r="26" spans="1:16" ht="30" customHeight="1" outlineLevel="1" thickBot="1" x14ac:dyDescent="0.3">
      <c r="A26" s="39" t="str">
        <f t="shared" si="1"/>
        <v/>
      </c>
      <c r="B26" s="39" t="str">
        <f t="shared" si="2"/>
        <v/>
      </c>
      <c r="C26" s="40">
        <f t="shared" ref="C26:N26" si="27">C60+C94</f>
        <v>0</v>
      </c>
      <c r="D26" s="40">
        <f t="shared" si="27"/>
        <v>0</v>
      </c>
      <c r="E26" s="40">
        <f t="shared" si="27"/>
        <v>0</v>
      </c>
      <c r="F26" s="40">
        <f t="shared" si="27"/>
        <v>0</v>
      </c>
      <c r="G26" s="40">
        <f t="shared" si="27"/>
        <v>0</v>
      </c>
      <c r="H26" s="40">
        <f t="shared" si="27"/>
        <v>0</v>
      </c>
      <c r="I26" s="40">
        <f t="shared" si="27"/>
        <v>0</v>
      </c>
      <c r="J26" s="40">
        <f t="shared" si="27"/>
        <v>0</v>
      </c>
      <c r="K26" s="40">
        <f t="shared" si="27"/>
        <v>0</v>
      </c>
      <c r="L26" s="40">
        <f t="shared" si="27"/>
        <v>0</v>
      </c>
      <c r="M26" s="40">
        <f t="shared" si="27"/>
        <v>0</v>
      </c>
      <c r="N26" s="40">
        <f t="shared" si="27"/>
        <v>0</v>
      </c>
      <c r="O26" s="41">
        <f t="shared" si="20"/>
        <v>0</v>
      </c>
      <c r="P26" s="41">
        <f t="shared" si="21"/>
        <v>0</v>
      </c>
    </row>
    <row r="27" spans="1:16" ht="30" customHeight="1" outlineLevel="1" thickBot="1" x14ac:dyDescent="0.3">
      <c r="A27" s="39" t="str">
        <f t="shared" si="1"/>
        <v/>
      </c>
      <c r="B27" s="39" t="str">
        <f t="shared" si="2"/>
        <v/>
      </c>
      <c r="C27" s="40">
        <f t="shared" ref="C27:N27" si="28">C61+C95</f>
        <v>0</v>
      </c>
      <c r="D27" s="40">
        <f t="shared" si="28"/>
        <v>0</v>
      </c>
      <c r="E27" s="40">
        <f t="shared" si="28"/>
        <v>0</v>
      </c>
      <c r="F27" s="40">
        <f t="shared" si="28"/>
        <v>0</v>
      </c>
      <c r="G27" s="40">
        <f t="shared" si="28"/>
        <v>0</v>
      </c>
      <c r="H27" s="40">
        <f t="shared" si="28"/>
        <v>0</v>
      </c>
      <c r="I27" s="40">
        <f t="shared" si="28"/>
        <v>0</v>
      </c>
      <c r="J27" s="40">
        <f t="shared" si="28"/>
        <v>0</v>
      </c>
      <c r="K27" s="40">
        <f t="shared" si="28"/>
        <v>0</v>
      </c>
      <c r="L27" s="40">
        <f t="shared" si="28"/>
        <v>0</v>
      </c>
      <c r="M27" s="40">
        <f t="shared" si="28"/>
        <v>0</v>
      </c>
      <c r="N27" s="40">
        <f t="shared" si="28"/>
        <v>0</v>
      </c>
      <c r="O27" s="41">
        <f t="shared" si="20"/>
        <v>0</v>
      </c>
      <c r="P27" s="41">
        <f t="shared" si="21"/>
        <v>0</v>
      </c>
    </row>
    <row r="28" spans="1:16" ht="30" customHeight="1" outlineLevel="1" thickBot="1" x14ac:dyDescent="0.3">
      <c r="A28" s="39" t="str">
        <f t="shared" si="1"/>
        <v/>
      </c>
      <c r="B28" s="39" t="str">
        <f t="shared" si="2"/>
        <v/>
      </c>
      <c r="C28" s="40">
        <f t="shared" ref="C28:N28" si="29">C62+C96</f>
        <v>0</v>
      </c>
      <c r="D28" s="40">
        <f t="shared" si="29"/>
        <v>0</v>
      </c>
      <c r="E28" s="40">
        <f t="shared" si="29"/>
        <v>0</v>
      </c>
      <c r="F28" s="40">
        <f t="shared" si="29"/>
        <v>0</v>
      </c>
      <c r="G28" s="40">
        <f t="shared" si="29"/>
        <v>0</v>
      </c>
      <c r="H28" s="40">
        <f t="shared" si="29"/>
        <v>0</v>
      </c>
      <c r="I28" s="40">
        <f t="shared" si="29"/>
        <v>0</v>
      </c>
      <c r="J28" s="40">
        <f t="shared" si="29"/>
        <v>0</v>
      </c>
      <c r="K28" s="40">
        <f t="shared" si="29"/>
        <v>0</v>
      </c>
      <c r="L28" s="40">
        <f t="shared" si="29"/>
        <v>0</v>
      </c>
      <c r="M28" s="40">
        <f t="shared" si="29"/>
        <v>0</v>
      </c>
      <c r="N28" s="40">
        <f t="shared" si="29"/>
        <v>0</v>
      </c>
      <c r="O28" s="41">
        <f t="shared" si="20"/>
        <v>0</v>
      </c>
      <c r="P28" s="41">
        <f t="shared" si="21"/>
        <v>0</v>
      </c>
    </row>
    <row r="29" spans="1:16" ht="30" customHeight="1" outlineLevel="1" thickBot="1" x14ac:dyDescent="0.3">
      <c r="A29" s="39" t="str">
        <f t="shared" si="1"/>
        <v/>
      </c>
      <c r="B29" s="39" t="str">
        <f t="shared" si="2"/>
        <v/>
      </c>
      <c r="C29" s="40">
        <f t="shared" ref="C29:N29" si="30">C63+C97</f>
        <v>0</v>
      </c>
      <c r="D29" s="40">
        <f t="shared" si="30"/>
        <v>0</v>
      </c>
      <c r="E29" s="40">
        <f t="shared" si="30"/>
        <v>0</v>
      </c>
      <c r="F29" s="40">
        <f t="shared" si="30"/>
        <v>0</v>
      </c>
      <c r="G29" s="40">
        <f t="shared" si="30"/>
        <v>0</v>
      </c>
      <c r="H29" s="40">
        <f t="shared" si="30"/>
        <v>0</v>
      </c>
      <c r="I29" s="40">
        <f t="shared" si="30"/>
        <v>0</v>
      </c>
      <c r="J29" s="40">
        <f t="shared" si="30"/>
        <v>0</v>
      </c>
      <c r="K29" s="40">
        <f t="shared" si="30"/>
        <v>0</v>
      </c>
      <c r="L29" s="40">
        <f t="shared" si="30"/>
        <v>0</v>
      </c>
      <c r="M29" s="40">
        <f t="shared" si="30"/>
        <v>0</v>
      </c>
      <c r="N29" s="40">
        <f t="shared" si="30"/>
        <v>0</v>
      </c>
      <c r="O29" s="41">
        <f t="shared" si="20"/>
        <v>0</v>
      </c>
      <c r="P29" s="41">
        <f t="shared" si="21"/>
        <v>0</v>
      </c>
    </row>
    <row r="30" spans="1:16" ht="30" customHeight="1" outlineLevel="1" thickBot="1" x14ac:dyDescent="0.3">
      <c r="A30" s="39" t="str">
        <f t="shared" si="1"/>
        <v/>
      </c>
      <c r="B30" s="39" t="str">
        <f t="shared" si="2"/>
        <v/>
      </c>
      <c r="C30" s="40">
        <f t="shared" ref="C30:N30" si="31">C64+C98</f>
        <v>0</v>
      </c>
      <c r="D30" s="40">
        <f t="shared" si="31"/>
        <v>0</v>
      </c>
      <c r="E30" s="40">
        <f t="shared" si="31"/>
        <v>0</v>
      </c>
      <c r="F30" s="40">
        <f t="shared" si="31"/>
        <v>0</v>
      </c>
      <c r="G30" s="40">
        <f t="shared" si="31"/>
        <v>0</v>
      </c>
      <c r="H30" s="40">
        <f t="shared" si="31"/>
        <v>0</v>
      </c>
      <c r="I30" s="40">
        <f t="shared" si="31"/>
        <v>0</v>
      </c>
      <c r="J30" s="40">
        <f t="shared" si="31"/>
        <v>0</v>
      </c>
      <c r="K30" s="40">
        <f t="shared" si="31"/>
        <v>0</v>
      </c>
      <c r="L30" s="40">
        <f t="shared" si="31"/>
        <v>0</v>
      </c>
      <c r="M30" s="40">
        <f t="shared" si="31"/>
        <v>0</v>
      </c>
      <c r="N30" s="40">
        <f t="shared" si="31"/>
        <v>0</v>
      </c>
      <c r="O30" s="41">
        <f t="shared" si="20"/>
        <v>0</v>
      </c>
      <c r="P30" s="41">
        <f t="shared" si="21"/>
        <v>0</v>
      </c>
    </row>
    <row r="31" spans="1:16" ht="30" customHeight="1" outlineLevel="1" thickBot="1" x14ac:dyDescent="0.3">
      <c r="A31" s="39" t="str">
        <f t="shared" si="1"/>
        <v/>
      </c>
      <c r="B31" s="39" t="str">
        <f t="shared" si="2"/>
        <v/>
      </c>
      <c r="C31" s="40">
        <f t="shared" ref="C31:N31" si="32">C65+C99</f>
        <v>0</v>
      </c>
      <c r="D31" s="40">
        <f t="shared" si="32"/>
        <v>0</v>
      </c>
      <c r="E31" s="40">
        <f t="shared" si="32"/>
        <v>0</v>
      </c>
      <c r="F31" s="40">
        <f t="shared" si="32"/>
        <v>0</v>
      </c>
      <c r="G31" s="40">
        <f t="shared" si="32"/>
        <v>0</v>
      </c>
      <c r="H31" s="40">
        <f t="shared" si="32"/>
        <v>0</v>
      </c>
      <c r="I31" s="40">
        <f t="shared" si="32"/>
        <v>0</v>
      </c>
      <c r="J31" s="40">
        <f t="shared" si="32"/>
        <v>0</v>
      </c>
      <c r="K31" s="40">
        <f t="shared" si="32"/>
        <v>0</v>
      </c>
      <c r="L31" s="40">
        <f t="shared" si="32"/>
        <v>0</v>
      </c>
      <c r="M31" s="40">
        <f t="shared" si="32"/>
        <v>0</v>
      </c>
      <c r="N31" s="40">
        <f t="shared" si="32"/>
        <v>0</v>
      </c>
      <c r="O31" s="41">
        <f>IF(COUNTIF(C65:N65,"&gt;0")&gt;0,(SUM(C65:N65)+SUM(C99:N99))/COUNTIF(C65:N65,"&gt;0"),0)</f>
        <v>0</v>
      </c>
      <c r="P31" s="41">
        <f t="shared" si="21"/>
        <v>0</v>
      </c>
    </row>
    <row r="32" spans="1:16" ht="30" customHeight="1" outlineLevel="1" thickBot="1" x14ac:dyDescent="0.3">
      <c r="A32" s="39" t="str">
        <f t="shared" si="1"/>
        <v/>
      </c>
      <c r="B32" s="39" t="str">
        <f t="shared" si="2"/>
        <v/>
      </c>
      <c r="C32" s="40">
        <f t="shared" ref="C32:N32" si="33">C66+C100</f>
        <v>0</v>
      </c>
      <c r="D32" s="40">
        <f t="shared" si="33"/>
        <v>0</v>
      </c>
      <c r="E32" s="40">
        <f t="shared" si="33"/>
        <v>0</v>
      </c>
      <c r="F32" s="40">
        <f t="shared" si="33"/>
        <v>0</v>
      </c>
      <c r="G32" s="40">
        <f t="shared" si="33"/>
        <v>0</v>
      </c>
      <c r="H32" s="40">
        <f t="shared" si="33"/>
        <v>0</v>
      </c>
      <c r="I32" s="40">
        <f t="shared" si="33"/>
        <v>0</v>
      </c>
      <c r="J32" s="40">
        <f t="shared" si="33"/>
        <v>0</v>
      </c>
      <c r="K32" s="40">
        <f t="shared" si="33"/>
        <v>0</v>
      </c>
      <c r="L32" s="40">
        <f t="shared" si="33"/>
        <v>0</v>
      </c>
      <c r="M32" s="40">
        <f t="shared" si="33"/>
        <v>0</v>
      </c>
      <c r="N32" s="40">
        <f t="shared" si="33"/>
        <v>0</v>
      </c>
      <c r="O32" s="41">
        <f t="shared" ref="O32:O36" si="34">IF(COUNTIF(C66:N66,"&gt;0")&gt;0,(SUM(C66:N66)+SUM(C100:N100))/COUNTIF(C66:N66,"&gt;0"),0)</f>
        <v>0</v>
      </c>
      <c r="P32" s="41">
        <f t="shared" ref="P32:P36" si="35">SUM(C32:N32)</f>
        <v>0</v>
      </c>
    </row>
    <row r="33" spans="1:16" ht="30" customHeight="1" outlineLevel="1" thickBot="1" x14ac:dyDescent="0.3">
      <c r="A33" s="39" t="str">
        <f t="shared" si="1"/>
        <v/>
      </c>
      <c r="B33" s="39" t="str">
        <f t="shared" si="2"/>
        <v/>
      </c>
      <c r="C33" s="40">
        <f t="shared" ref="C33:N33" si="36">C67+C101</f>
        <v>0</v>
      </c>
      <c r="D33" s="40">
        <f t="shared" si="36"/>
        <v>0</v>
      </c>
      <c r="E33" s="40">
        <f t="shared" si="36"/>
        <v>0</v>
      </c>
      <c r="F33" s="40">
        <f t="shared" si="36"/>
        <v>0</v>
      </c>
      <c r="G33" s="40">
        <f t="shared" si="36"/>
        <v>0</v>
      </c>
      <c r="H33" s="40">
        <f t="shared" si="36"/>
        <v>0</v>
      </c>
      <c r="I33" s="40">
        <f t="shared" si="36"/>
        <v>0</v>
      </c>
      <c r="J33" s="40">
        <f t="shared" si="36"/>
        <v>0</v>
      </c>
      <c r="K33" s="40">
        <f t="shared" si="36"/>
        <v>0</v>
      </c>
      <c r="L33" s="40">
        <f t="shared" si="36"/>
        <v>0</v>
      </c>
      <c r="M33" s="40">
        <f t="shared" si="36"/>
        <v>0</v>
      </c>
      <c r="N33" s="40">
        <f t="shared" si="36"/>
        <v>0</v>
      </c>
      <c r="O33" s="41">
        <f t="shared" si="34"/>
        <v>0</v>
      </c>
      <c r="P33" s="41">
        <f t="shared" si="35"/>
        <v>0</v>
      </c>
    </row>
    <row r="34" spans="1:16" ht="30" customHeight="1" outlineLevel="1" thickBot="1" x14ac:dyDescent="0.3">
      <c r="A34" s="39" t="str">
        <f t="shared" si="1"/>
        <v/>
      </c>
      <c r="B34" s="39" t="str">
        <f t="shared" si="2"/>
        <v/>
      </c>
      <c r="C34" s="40">
        <f t="shared" ref="C34:N34" si="37">C68+C102</f>
        <v>0</v>
      </c>
      <c r="D34" s="40">
        <f t="shared" si="37"/>
        <v>0</v>
      </c>
      <c r="E34" s="40">
        <f t="shared" si="37"/>
        <v>0</v>
      </c>
      <c r="F34" s="40">
        <f t="shared" si="37"/>
        <v>0</v>
      </c>
      <c r="G34" s="40">
        <f t="shared" si="37"/>
        <v>0</v>
      </c>
      <c r="H34" s="40">
        <f t="shared" si="37"/>
        <v>0</v>
      </c>
      <c r="I34" s="40">
        <f t="shared" si="37"/>
        <v>0</v>
      </c>
      <c r="J34" s="40">
        <f t="shared" si="37"/>
        <v>0</v>
      </c>
      <c r="K34" s="40">
        <f t="shared" si="37"/>
        <v>0</v>
      </c>
      <c r="L34" s="40">
        <f t="shared" si="37"/>
        <v>0</v>
      </c>
      <c r="M34" s="40">
        <f t="shared" si="37"/>
        <v>0</v>
      </c>
      <c r="N34" s="40">
        <f t="shared" si="37"/>
        <v>0</v>
      </c>
      <c r="O34" s="41">
        <f t="shared" si="34"/>
        <v>0</v>
      </c>
      <c r="P34" s="41">
        <f t="shared" si="35"/>
        <v>0</v>
      </c>
    </row>
    <row r="35" spans="1:16" ht="30" customHeight="1" outlineLevel="1" thickBot="1" x14ac:dyDescent="0.3">
      <c r="A35" s="39" t="str">
        <f t="shared" si="1"/>
        <v/>
      </c>
      <c r="B35" s="39" t="str">
        <f t="shared" si="2"/>
        <v/>
      </c>
      <c r="C35" s="40">
        <f t="shared" ref="C35:N35" si="38">C69+C103</f>
        <v>0</v>
      </c>
      <c r="D35" s="40">
        <f t="shared" si="38"/>
        <v>0</v>
      </c>
      <c r="E35" s="40">
        <f t="shared" si="38"/>
        <v>0</v>
      </c>
      <c r="F35" s="40">
        <f t="shared" si="38"/>
        <v>0</v>
      </c>
      <c r="G35" s="40">
        <f t="shared" si="38"/>
        <v>0</v>
      </c>
      <c r="H35" s="40">
        <f t="shared" si="38"/>
        <v>0</v>
      </c>
      <c r="I35" s="40">
        <f t="shared" si="38"/>
        <v>0</v>
      </c>
      <c r="J35" s="40">
        <f t="shared" si="38"/>
        <v>0</v>
      </c>
      <c r="K35" s="40">
        <f t="shared" si="38"/>
        <v>0</v>
      </c>
      <c r="L35" s="40">
        <f t="shared" si="38"/>
        <v>0</v>
      </c>
      <c r="M35" s="40">
        <f t="shared" si="38"/>
        <v>0</v>
      </c>
      <c r="N35" s="40">
        <f t="shared" si="38"/>
        <v>0</v>
      </c>
      <c r="O35" s="41">
        <f t="shared" si="34"/>
        <v>0</v>
      </c>
      <c r="P35" s="41">
        <f t="shared" si="35"/>
        <v>0</v>
      </c>
    </row>
    <row r="36" spans="1:16" ht="30" customHeight="1" outlineLevel="1" thickBot="1" x14ac:dyDescent="0.3">
      <c r="A36" s="39" t="str">
        <f t="shared" si="1"/>
        <v/>
      </c>
      <c r="B36" s="39" t="str">
        <f t="shared" si="2"/>
        <v/>
      </c>
      <c r="C36" s="40">
        <f t="shared" ref="C36:N36" si="39">C70+C104</f>
        <v>0</v>
      </c>
      <c r="D36" s="40">
        <f t="shared" si="39"/>
        <v>0</v>
      </c>
      <c r="E36" s="40">
        <f t="shared" si="39"/>
        <v>0</v>
      </c>
      <c r="F36" s="40">
        <f t="shared" si="39"/>
        <v>0</v>
      </c>
      <c r="G36" s="40">
        <f t="shared" si="39"/>
        <v>0</v>
      </c>
      <c r="H36" s="40">
        <f t="shared" si="39"/>
        <v>0</v>
      </c>
      <c r="I36" s="40">
        <f t="shared" si="39"/>
        <v>0</v>
      </c>
      <c r="J36" s="40">
        <f t="shared" si="39"/>
        <v>0</v>
      </c>
      <c r="K36" s="40">
        <f t="shared" si="39"/>
        <v>0</v>
      </c>
      <c r="L36" s="40">
        <f t="shared" si="39"/>
        <v>0</v>
      </c>
      <c r="M36" s="40">
        <f t="shared" si="39"/>
        <v>0</v>
      </c>
      <c r="N36" s="40">
        <f t="shared" si="39"/>
        <v>0</v>
      </c>
      <c r="O36" s="41">
        <f t="shared" si="34"/>
        <v>0</v>
      </c>
      <c r="P36" s="41">
        <f t="shared" si="35"/>
        <v>0</v>
      </c>
    </row>
    <row r="37" spans="1:16" ht="30" customHeight="1" thickBot="1" x14ac:dyDescent="0.3">
      <c r="A37" s="61" t="s">
        <v>36</v>
      </c>
      <c r="B37" s="61"/>
      <c r="C37" s="42">
        <f t="shared" ref="C37:P37" si="40">SUM(C6:C36)</f>
        <v>0</v>
      </c>
      <c r="D37" s="42">
        <f t="shared" si="40"/>
        <v>0</v>
      </c>
      <c r="E37" s="42">
        <f t="shared" si="40"/>
        <v>0</v>
      </c>
      <c r="F37" s="42">
        <f t="shared" si="40"/>
        <v>0</v>
      </c>
      <c r="G37" s="42">
        <f t="shared" si="40"/>
        <v>0</v>
      </c>
      <c r="H37" s="42">
        <f t="shared" si="40"/>
        <v>0</v>
      </c>
      <c r="I37" s="42">
        <f t="shared" si="40"/>
        <v>0</v>
      </c>
      <c r="J37" s="42">
        <f t="shared" si="40"/>
        <v>0</v>
      </c>
      <c r="K37" s="42">
        <f t="shared" si="40"/>
        <v>0</v>
      </c>
      <c r="L37" s="42">
        <f t="shared" si="40"/>
        <v>0</v>
      </c>
      <c r="M37" s="42">
        <f t="shared" si="40"/>
        <v>0</v>
      </c>
      <c r="N37" s="42">
        <f t="shared" si="40"/>
        <v>0</v>
      </c>
      <c r="O37" s="42">
        <f t="shared" si="40"/>
        <v>0</v>
      </c>
      <c r="P37" s="42">
        <f t="shared" si="40"/>
        <v>0</v>
      </c>
    </row>
    <row r="38" spans="1:16" ht="30" customHeight="1" thickBot="1" x14ac:dyDescent="0.3"/>
    <row r="39" spans="1:16" ht="30" customHeight="1" thickBot="1" x14ac:dyDescent="0.3">
      <c r="A39" s="60" t="s">
        <v>31</v>
      </c>
      <c r="B39" s="60"/>
      <c r="C39" s="62" t="s">
        <v>31</v>
      </c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</row>
    <row r="40" spans="1:16" ht="30" hidden="1" customHeight="1" outlineLevel="1" thickBot="1" x14ac:dyDescent="0.3">
      <c r="A40" s="39" t="str">
        <f>IF(Tabulação!A20&lt;&gt;"",Tabulação!A20,"")</f>
        <v/>
      </c>
      <c r="B40" s="39" t="str">
        <f>IF(Tabulação!B20&lt;&gt;"",Tabulação!B20,"")</f>
        <v/>
      </c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1"/>
      <c r="P40" s="41">
        <f>SUM(C40:O40)</f>
        <v>0</v>
      </c>
    </row>
    <row r="41" spans="1:16" ht="30" hidden="1" customHeight="1" outlineLevel="1" thickBot="1" x14ac:dyDescent="0.3">
      <c r="A41" s="39" t="str">
        <f>IF(Tabulação!A21&lt;&gt;"",Tabulação!A21,"")</f>
        <v/>
      </c>
      <c r="B41" s="39" t="str">
        <f>IF(Tabulação!B21&lt;&gt;"",Tabulação!B21,"")</f>
        <v/>
      </c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1"/>
      <c r="P41" s="41">
        <f>SUM(C41:N41)</f>
        <v>0</v>
      </c>
    </row>
    <row r="42" spans="1:16" ht="30" hidden="1" customHeight="1" outlineLevel="1" thickBot="1" x14ac:dyDescent="0.3">
      <c r="A42" s="39" t="str">
        <f>IF(Tabulação!A22&lt;&gt;"",Tabulação!A22,"")</f>
        <v/>
      </c>
      <c r="B42" s="39" t="str">
        <f>IF(Tabulação!B22&lt;&gt;"",Tabulação!B22,"")</f>
        <v/>
      </c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1"/>
      <c r="P42" s="41">
        <f t="shared" ref="P42:P70" si="41">SUM(C42:N42)</f>
        <v>0</v>
      </c>
    </row>
    <row r="43" spans="1:16" ht="30" hidden="1" customHeight="1" outlineLevel="1" thickBot="1" x14ac:dyDescent="0.3">
      <c r="A43" s="39" t="str">
        <f>IF(Tabulação!A23&lt;&gt;"",Tabulação!A23,"")</f>
        <v/>
      </c>
      <c r="B43" s="39" t="str">
        <f>IF(Tabulação!B23&lt;&gt;"",Tabulação!B23,"")</f>
        <v/>
      </c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1"/>
      <c r="P43" s="41">
        <f t="shared" si="41"/>
        <v>0</v>
      </c>
    </row>
    <row r="44" spans="1:16" ht="30" hidden="1" customHeight="1" outlineLevel="1" thickBot="1" x14ac:dyDescent="0.3">
      <c r="A44" s="39" t="str">
        <f>IF(Tabulação!A24&lt;&gt;"",Tabulação!A24,"")</f>
        <v/>
      </c>
      <c r="B44" s="39" t="str">
        <f>IF(Tabulação!B24&lt;&gt;"",Tabulação!B24,"")</f>
        <v/>
      </c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1"/>
      <c r="P44" s="41">
        <f t="shared" si="41"/>
        <v>0</v>
      </c>
    </row>
    <row r="45" spans="1:16" ht="30" hidden="1" customHeight="1" outlineLevel="1" thickBot="1" x14ac:dyDescent="0.3">
      <c r="A45" s="39" t="str">
        <f>IF(Tabulação!A25&lt;&gt;"",Tabulação!A25,"")</f>
        <v/>
      </c>
      <c r="B45" s="39" t="str">
        <f>IF(Tabulação!B25&lt;&gt;"",Tabulação!B25,"")</f>
        <v/>
      </c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1"/>
      <c r="P45" s="41">
        <f t="shared" si="41"/>
        <v>0</v>
      </c>
    </row>
    <row r="46" spans="1:16" ht="30" hidden="1" customHeight="1" outlineLevel="1" thickBot="1" x14ac:dyDescent="0.3">
      <c r="A46" s="39" t="str">
        <f>IF(Tabulação!A26&lt;&gt;"",Tabulação!A26,"")</f>
        <v/>
      </c>
      <c r="B46" s="39" t="str">
        <f>IF(Tabulação!B26&lt;&gt;"",Tabulação!B26,"")</f>
        <v/>
      </c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1"/>
      <c r="P46" s="41">
        <f t="shared" si="41"/>
        <v>0</v>
      </c>
    </row>
    <row r="47" spans="1:16" ht="30" hidden="1" customHeight="1" outlineLevel="1" thickBot="1" x14ac:dyDescent="0.3">
      <c r="A47" s="39" t="str">
        <f>IF(Tabulação!A27&lt;&gt;"",Tabulação!A27,"")</f>
        <v/>
      </c>
      <c r="B47" s="39" t="str">
        <f>IF(Tabulação!B27&lt;&gt;"",Tabulação!B27,"")</f>
        <v/>
      </c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1"/>
      <c r="P47" s="41">
        <f t="shared" si="41"/>
        <v>0</v>
      </c>
    </row>
    <row r="48" spans="1:16" ht="30" hidden="1" customHeight="1" outlineLevel="1" thickBot="1" x14ac:dyDescent="0.3">
      <c r="A48" s="39" t="str">
        <f>IF(Tabulação!A28&lt;&gt;"",Tabulação!A28,"")</f>
        <v/>
      </c>
      <c r="B48" s="39" t="str">
        <f>IF(Tabulação!B28&lt;&gt;"",Tabulação!B28,"")</f>
        <v/>
      </c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1"/>
      <c r="P48" s="41">
        <f t="shared" si="41"/>
        <v>0</v>
      </c>
    </row>
    <row r="49" spans="1:16" ht="30" hidden="1" customHeight="1" outlineLevel="1" thickBot="1" x14ac:dyDescent="0.3">
      <c r="A49" s="39" t="str">
        <f>IF(Tabulação!A29&lt;&gt;"",Tabulação!A29,"")</f>
        <v/>
      </c>
      <c r="B49" s="39" t="str">
        <f>IF(Tabulação!B29&lt;&gt;"",Tabulação!B29,"")</f>
        <v/>
      </c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1"/>
      <c r="P49" s="41">
        <f t="shared" si="41"/>
        <v>0</v>
      </c>
    </row>
    <row r="50" spans="1:16" ht="30" hidden="1" customHeight="1" outlineLevel="1" thickBot="1" x14ac:dyDescent="0.3">
      <c r="A50" s="39" t="str">
        <f>IF(Tabulação!A30&lt;&gt;"",Tabulação!A30,"")</f>
        <v/>
      </c>
      <c r="B50" s="39" t="str">
        <f>IF(Tabulação!B30&lt;&gt;"",Tabulação!B30,"")</f>
        <v/>
      </c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1"/>
      <c r="P50" s="41">
        <f t="shared" si="41"/>
        <v>0</v>
      </c>
    </row>
    <row r="51" spans="1:16" ht="30" hidden="1" customHeight="1" outlineLevel="1" thickBot="1" x14ac:dyDescent="0.3">
      <c r="A51" s="39" t="str">
        <f>IF(Tabulação!A31&lt;&gt;"",Tabulação!A31,"")</f>
        <v/>
      </c>
      <c r="B51" s="39" t="str">
        <f>IF(Tabulação!B31&lt;&gt;"",Tabulação!B31,"")</f>
        <v/>
      </c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1"/>
      <c r="P51" s="41">
        <f t="shared" si="41"/>
        <v>0</v>
      </c>
    </row>
    <row r="52" spans="1:16" ht="30" hidden="1" customHeight="1" outlineLevel="1" thickBot="1" x14ac:dyDescent="0.3">
      <c r="A52" s="39" t="str">
        <f>IF(Tabulação!A32&lt;&gt;"",Tabulação!A32,"")</f>
        <v/>
      </c>
      <c r="B52" s="39" t="str">
        <f>IF(Tabulação!B32&lt;&gt;"",Tabulação!B32,"")</f>
        <v/>
      </c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1"/>
      <c r="P52" s="41">
        <f t="shared" si="41"/>
        <v>0</v>
      </c>
    </row>
    <row r="53" spans="1:16" ht="30" hidden="1" customHeight="1" outlineLevel="1" thickBot="1" x14ac:dyDescent="0.3">
      <c r="A53" s="39" t="str">
        <f>IF(Tabulação!A33&lt;&gt;"",Tabulação!A33,"")</f>
        <v/>
      </c>
      <c r="B53" s="39" t="str">
        <f>IF(Tabulação!B33&lt;&gt;"",Tabulação!B33,"")</f>
        <v/>
      </c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1"/>
      <c r="P53" s="41">
        <f t="shared" si="41"/>
        <v>0</v>
      </c>
    </row>
    <row r="54" spans="1:16" ht="30" hidden="1" customHeight="1" outlineLevel="1" thickBot="1" x14ac:dyDescent="0.3">
      <c r="A54" s="39" t="str">
        <f>IF(Tabulação!A34&lt;&gt;"",Tabulação!A34,"")</f>
        <v/>
      </c>
      <c r="B54" s="39" t="str">
        <f>IF(Tabulação!B34&lt;&gt;"",Tabulação!B34,"")</f>
        <v/>
      </c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1"/>
      <c r="P54" s="41">
        <f t="shared" si="41"/>
        <v>0</v>
      </c>
    </row>
    <row r="55" spans="1:16" ht="30" hidden="1" customHeight="1" outlineLevel="1" thickBot="1" x14ac:dyDescent="0.3">
      <c r="A55" s="39" t="str">
        <f>IF(Tabulação!A35&lt;&gt;"",Tabulação!A35,"")</f>
        <v/>
      </c>
      <c r="B55" s="39" t="str">
        <f>IF(Tabulação!B35&lt;&gt;"",Tabulação!B35,"")</f>
        <v/>
      </c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1"/>
      <c r="P55" s="41">
        <f t="shared" si="41"/>
        <v>0</v>
      </c>
    </row>
    <row r="56" spans="1:16" ht="30" hidden="1" customHeight="1" outlineLevel="1" thickBot="1" x14ac:dyDescent="0.3">
      <c r="A56" s="39" t="str">
        <f>IF(Tabulação!A36&lt;&gt;"",Tabulação!A36,"")</f>
        <v/>
      </c>
      <c r="B56" s="39" t="str">
        <f>IF(Tabulação!B36&lt;&gt;"",Tabulação!B36,"")</f>
        <v/>
      </c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1"/>
      <c r="P56" s="41">
        <f t="shared" si="41"/>
        <v>0</v>
      </c>
    </row>
    <row r="57" spans="1:16" ht="30" hidden="1" customHeight="1" outlineLevel="1" thickBot="1" x14ac:dyDescent="0.3">
      <c r="A57" s="39" t="str">
        <f>IF(Tabulação!A37&lt;&gt;"",Tabulação!A37,"")</f>
        <v/>
      </c>
      <c r="B57" s="39" t="str">
        <f>IF(Tabulação!B37&lt;&gt;"",Tabulação!B37,"")</f>
        <v/>
      </c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1"/>
      <c r="P57" s="41">
        <f t="shared" si="41"/>
        <v>0</v>
      </c>
    </row>
    <row r="58" spans="1:16" ht="30" hidden="1" customHeight="1" outlineLevel="1" thickBot="1" x14ac:dyDescent="0.3">
      <c r="A58" s="39" t="str">
        <f>IF(Tabulação!A38&lt;&gt;"",Tabulação!A38,"")</f>
        <v/>
      </c>
      <c r="B58" s="39" t="str">
        <f>IF(Tabulação!B38&lt;&gt;"",Tabulação!B38,"")</f>
        <v/>
      </c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1"/>
      <c r="P58" s="41">
        <f t="shared" si="41"/>
        <v>0</v>
      </c>
    </row>
    <row r="59" spans="1:16" ht="30" hidden="1" customHeight="1" outlineLevel="1" thickBot="1" x14ac:dyDescent="0.3">
      <c r="A59" s="39" t="str">
        <f>IF(Tabulação!A39&lt;&gt;"",Tabulação!A39,"")</f>
        <v/>
      </c>
      <c r="B59" s="39" t="str">
        <f>IF(Tabulação!B39&lt;&gt;"",Tabulação!B39,"")</f>
        <v/>
      </c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1"/>
      <c r="P59" s="41">
        <f t="shared" si="41"/>
        <v>0</v>
      </c>
    </row>
    <row r="60" spans="1:16" ht="30" hidden="1" customHeight="1" outlineLevel="1" thickBot="1" x14ac:dyDescent="0.3">
      <c r="A60" s="39" t="str">
        <f>IF(Tabulação!A40&lt;&gt;"",Tabulação!A40,"")</f>
        <v/>
      </c>
      <c r="B60" s="39" t="str">
        <f>IF(Tabulação!B40&lt;&gt;"",Tabulação!B40,"")</f>
        <v/>
      </c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1"/>
      <c r="P60" s="41">
        <f t="shared" si="41"/>
        <v>0</v>
      </c>
    </row>
    <row r="61" spans="1:16" ht="30" hidden="1" customHeight="1" outlineLevel="1" thickBot="1" x14ac:dyDescent="0.3">
      <c r="A61" s="39" t="str">
        <f>IF(Tabulação!A41&lt;&gt;"",Tabulação!A41,"")</f>
        <v/>
      </c>
      <c r="B61" s="39" t="str">
        <f>IF(Tabulação!B41&lt;&gt;"",Tabulação!B41,"")</f>
        <v/>
      </c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1"/>
      <c r="P61" s="41">
        <f t="shared" si="41"/>
        <v>0</v>
      </c>
    </row>
    <row r="62" spans="1:16" ht="30" hidden="1" customHeight="1" outlineLevel="1" thickBot="1" x14ac:dyDescent="0.3">
      <c r="A62" s="39" t="str">
        <f>IF(Tabulação!A42&lt;&gt;"",Tabulação!A42,"")</f>
        <v/>
      </c>
      <c r="B62" s="39" t="str">
        <f>IF(Tabulação!B42&lt;&gt;"",Tabulação!B42,"")</f>
        <v/>
      </c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1"/>
      <c r="P62" s="41">
        <f t="shared" si="41"/>
        <v>0</v>
      </c>
    </row>
    <row r="63" spans="1:16" ht="30" hidden="1" customHeight="1" outlineLevel="1" thickBot="1" x14ac:dyDescent="0.3">
      <c r="A63" s="39" t="str">
        <f>IF(Tabulação!A43&lt;&gt;"",Tabulação!A43,"")</f>
        <v/>
      </c>
      <c r="B63" s="39" t="str">
        <f>IF(Tabulação!B43&lt;&gt;"",Tabulação!B43,"")</f>
        <v/>
      </c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1"/>
      <c r="P63" s="41">
        <f t="shared" si="41"/>
        <v>0</v>
      </c>
    </row>
    <row r="64" spans="1:16" ht="30" hidden="1" customHeight="1" outlineLevel="1" thickBot="1" x14ac:dyDescent="0.3">
      <c r="A64" s="39" t="str">
        <f>IF(Tabulação!A44&lt;&gt;"",Tabulação!A44,"")</f>
        <v/>
      </c>
      <c r="B64" s="39" t="str">
        <f>IF(Tabulação!B44&lt;&gt;"",Tabulação!B44,"")</f>
        <v/>
      </c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1"/>
      <c r="P64" s="41">
        <f t="shared" si="41"/>
        <v>0</v>
      </c>
    </row>
    <row r="65" spans="1:16" ht="30" hidden="1" customHeight="1" outlineLevel="1" thickBot="1" x14ac:dyDescent="0.3">
      <c r="A65" s="39" t="str">
        <f>IF(Tabulação!A45&lt;&gt;"",Tabulação!A45,"")</f>
        <v/>
      </c>
      <c r="B65" s="39" t="str">
        <f>IF(Tabulação!B45&lt;&gt;"",Tabulação!B45,"")</f>
        <v/>
      </c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1"/>
      <c r="P65" s="41">
        <f t="shared" si="41"/>
        <v>0</v>
      </c>
    </row>
    <row r="66" spans="1:16" ht="30" hidden="1" customHeight="1" outlineLevel="1" thickBot="1" x14ac:dyDescent="0.3">
      <c r="A66" s="39" t="str">
        <f>IF(Tabulação!A46&lt;&gt;"",Tabulação!A46,"")</f>
        <v/>
      </c>
      <c r="B66" s="39" t="str">
        <f>IF(Tabulação!B46&lt;&gt;"",Tabulação!B46,"")</f>
        <v/>
      </c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1"/>
      <c r="P66" s="41">
        <f t="shared" si="41"/>
        <v>0</v>
      </c>
    </row>
    <row r="67" spans="1:16" ht="30" hidden="1" customHeight="1" outlineLevel="1" thickBot="1" x14ac:dyDescent="0.3">
      <c r="A67" s="39" t="str">
        <f>IF(Tabulação!A47&lt;&gt;"",Tabulação!A47,"")</f>
        <v/>
      </c>
      <c r="B67" s="39" t="str">
        <f>IF(Tabulação!B47&lt;&gt;"",Tabulação!B47,"")</f>
        <v/>
      </c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1"/>
      <c r="P67" s="41">
        <f t="shared" si="41"/>
        <v>0</v>
      </c>
    </row>
    <row r="68" spans="1:16" ht="30" hidden="1" customHeight="1" outlineLevel="1" thickBot="1" x14ac:dyDescent="0.3">
      <c r="A68" s="39" t="str">
        <f>IF(Tabulação!A48&lt;&gt;"",Tabulação!A48,"")</f>
        <v/>
      </c>
      <c r="B68" s="39" t="str">
        <f>IF(Tabulação!B48&lt;&gt;"",Tabulação!B48,"")</f>
        <v/>
      </c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1"/>
      <c r="P68" s="41">
        <f t="shared" si="41"/>
        <v>0</v>
      </c>
    </row>
    <row r="69" spans="1:16" ht="30" hidden="1" customHeight="1" outlineLevel="1" thickBot="1" x14ac:dyDescent="0.3">
      <c r="A69" s="39" t="str">
        <f>IF(Tabulação!A49&lt;&gt;"",Tabulação!A49,"")</f>
        <v/>
      </c>
      <c r="B69" s="39" t="str">
        <f>IF(Tabulação!B49&lt;&gt;"",Tabulação!B49,"")</f>
        <v/>
      </c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1"/>
      <c r="P69" s="41">
        <f t="shared" si="41"/>
        <v>0</v>
      </c>
    </row>
    <row r="70" spans="1:16" ht="30" hidden="1" customHeight="1" outlineLevel="1" thickBot="1" x14ac:dyDescent="0.3">
      <c r="A70" s="39" t="str">
        <f>IF(Tabulação!A50&lt;&gt;"",Tabulação!A50,"")</f>
        <v/>
      </c>
      <c r="B70" s="39" t="str">
        <f>IF(Tabulação!B50&lt;&gt;"",Tabulação!B50,"")</f>
        <v/>
      </c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1"/>
      <c r="P70" s="41">
        <f t="shared" si="41"/>
        <v>0</v>
      </c>
    </row>
    <row r="71" spans="1:16" ht="30" customHeight="1" collapsed="1" thickBot="1" x14ac:dyDescent="0.3">
      <c r="A71" s="61" t="s">
        <v>36</v>
      </c>
      <c r="B71" s="61"/>
      <c r="C71" s="42">
        <f t="shared" ref="C71:N71" si="42">SUM(C40:C70)</f>
        <v>0</v>
      </c>
      <c r="D71" s="42">
        <f t="shared" si="42"/>
        <v>0</v>
      </c>
      <c r="E71" s="42">
        <f t="shared" si="42"/>
        <v>0</v>
      </c>
      <c r="F71" s="42">
        <f t="shared" si="42"/>
        <v>0</v>
      </c>
      <c r="G71" s="42">
        <f t="shared" si="42"/>
        <v>0</v>
      </c>
      <c r="H71" s="42">
        <f t="shared" si="42"/>
        <v>0</v>
      </c>
      <c r="I71" s="42">
        <f t="shared" si="42"/>
        <v>0</v>
      </c>
      <c r="J71" s="42">
        <f t="shared" si="42"/>
        <v>0</v>
      </c>
      <c r="K71" s="42">
        <f t="shared" si="42"/>
        <v>0</v>
      </c>
      <c r="L71" s="42">
        <f t="shared" si="42"/>
        <v>0</v>
      </c>
      <c r="M71" s="42">
        <f t="shared" si="42"/>
        <v>0</v>
      </c>
      <c r="N71" s="42">
        <f t="shared" si="42"/>
        <v>0</v>
      </c>
      <c r="O71" s="42"/>
      <c r="P71" s="42">
        <f>SUM(P40:P70)</f>
        <v>0</v>
      </c>
    </row>
    <row r="72" spans="1:16" ht="30" customHeight="1" thickBot="1" x14ac:dyDescent="0.3">
      <c r="A72" s="3"/>
    </row>
    <row r="73" spans="1:16" ht="30" customHeight="1" thickBot="1" x14ac:dyDescent="0.3">
      <c r="A73" s="60" t="s">
        <v>48</v>
      </c>
      <c r="B73" s="60"/>
      <c r="C73" s="62" t="s">
        <v>48</v>
      </c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</row>
    <row r="74" spans="1:16" ht="30" hidden="1" customHeight="1" outlineLevel="1" thickBot="1" x14ac:dyDescent="0.3">
      <c r="A74" s="39" t="str">
        <f>IF($A40="","",$A40)</f>
        <v/>
      </c>
      <c r="B74" s="39" t="str">
        <f>IF($B40="","",$B40)</f>
        <v/>
      </c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1"/>
      <c r="P74" s="41">
        <f>SUM(C74:O74)</f>
        <v>0</v>
      </c>
    </row>
    <row r="75" spans="1:16" ht="30" hidden="1" customHeight="1" outlineLevel="1" thickBot="1" x14ac:dyDescent="0.3">
      <c r="A75" s="39" t="str">
        <f t="shared" ref="A75:A103" si="43">IF($A41="","",$A41)</f>
        <v/>
      </c>
      <c r="B75" s="39" t="str">
        <f t="shared" ref="B75:B103" si="44">IF($B41="","",$B41)</f>
        <v/>
      </c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1"/>
      <c r="P75" s="41">
        <f t="shared" ref="P75:P87" si="45">SUM(C75:N75)</f>
        <v>0</v>
      </c>
    </row>
    <row r="76" spans="1:16" ht="30" hidden="1" customHeight="1" outlineLevel="1" thickBot="1" x14ac:dyDescent="0.3">
      <c r="A76" s="39" t="str">
        <f t="shared" si="43"/>
        <v/>
      </c>
      <c r="B76" s="39" t="str">
        <f t="shared" si="44"/>
        <v/>
      </c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1"/>
      <c r="P76" s="41">
        <f t="shared" si="45"/>
        <v>0</v>
      </c>
    </row>
    <row r="77" spans="1:16" ht="30" hidden="1" customHeight="1" outlineLevel="1" thickBot="1" x14ac:dyDescent="0.3">
      <c r="A77" s="39" t="str">
        <f t="shared" si="43"/>
        <v/>
      </c>
      <c r="B77" s="39" t="str">
        <f t="shared" si="44"/>
        <v/>
      </c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1"/>
      <c r="P77" s="41">
        <f t="shared" si="45"/>
        <v>0</v>
      </c>
    </row>
    <row r="78" spans="1:16" ht="30" hidden="1" customHeight="1" outlineLevel="1" thickBot="1" x14ac:dyDescent="0.3">
      <c r="A78" s="39" t="str">
        <f t="shared" si="43"/>
        <v/>
      </c>
      <c r="B78" s="39" t="str">
        <f t="shared" si="44"/>
        <v/>
      </c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1"/>
      <c r="P78" s="41">
        <f t="shared" si="45"/>
        <v>0</v>
      </c>
    </row>
    <row r="79" spans="1:16" ht="30" hidden="1" customHeight="1" outlineLevel="1" thickBot="1" x14ac:dyDescent="0.3">
      <c r="A79" s="39" t="str">
        <f t="shared" si="43"/>
        <v/>
      </c>
      <c r="B79" s="39" t="str">
        <f t="shared" si="44"/>
        <v/>
      </c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1"/>
      <c r="P79" s="41">
        <f t="shared" si="45"/>
        <v>0</v>
      </c>
    </row>
    <row r="80" spans="1:16" ht="30" hidden="1" customHeight="1" outlineLevel="1" thickBot="1" x14ac:dyDescent="0.3">
      <c r="A80" s="39" t="str">
        <f t="shared" si="43"/>
        <v/>
      </c>
      <c r="B80" s="39" t="str">
        <f t="shared" si="44"/>
        <v/>
      </c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1"/>
      <c r="P80" s="41">
        <f t="shared" si="45"/>
        <v>0</v>
      </c>
    </row>
    <row r="81" spans="1:16" ht="30" hidden="1" customHeight="1" outlineLevel="1" thickBot="1" x14ac:dyDescent="0.3">
      <c r="A81" s="39" t="str">
        <f t="shared" si="43"/>
        <v/>
      </c>
      <c r="B81" s="39" t="str">
        <f t="shared" si="44"/>
        <v/>
      </c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1"/>
      <c r="P81" s="41">
        <f t="shared" si="45"/>
        <v>0</v>
      </c>
    </row>
    <row r="82" spans="1:16" ht="30" hidden="1" customHeight="1" outlineLevel="1" thickBot="1" x14ac:dyDescent="0.3">
      <c r="A82" s="39" t="str">
        <f t="shared" si="43"/>
        <v/>
      </c>
      <c r="B82" s="39" t="str">
        <f t="shared" si="44"/>
        <v/>
      </c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1"/>
      <c r="P82" s="41">
        <f t="shared" si="45"/>
        <v>0</v>
      </c>
    </row>
    <row r="83" spans="1:16" ht="30" hidden="1" customHeight="1" outlineLevel="1" thickBot="1" x14ac:dyDescent="0.3">
      <c r="A83" s="39" t="str">
        <f t="shared" si="43"/>
        <v/>
      </c>
      <c r="B83" s="39" t="str">
        <f t="shared" si="44"/>
        <v/>
      </c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1"/>
      <c r="P83" s="41">
        <f t="shared" si="45"/>
        <v>0</v>
      </c>
    </row>
    <row r="84" spans="1:16" ht="30" hidden="1" customHeight="1" outlineLevel="1" thickBot="1" x14ac:dyDescent="0.3">
      <c r="A84" s="39" t="str">
        <f t="shared" si="43"/>
        <v/>
      </c>
      <c r="B84" s="39" t="str">
        <f t="shared" si="44"/>
        <v/>
      </c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1"/>
      <c r="P84" s="41">
        <f t="shared" si="45"/>
        <v>0</v>
      </c>
    </row>
    <row r="85" spans="1:16" ht="30" hidden="1" customHeight="1" outlineLevel="1" thickBot="1" x14ac:dyDescent="0.3">
      <c r="A85" s="39" t="str">
        <f t="shared" si="43"/>
        <v/>
      </c>
      <c r="B85" s="39" t="str">
        <f t="shared" si="44"/>
        <v/>
      </c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1"/>
      <c r="P85" s="41">
        <f t="shared" si="45"/>
        <v>0</v>
      </c>
    </row>
    <row r="86" spans="1:16" ht="30" hidden="1" customHeight="1" outlineLevel="1" thickBot="1" x14ac:dyDescent="0.3">
      <c r="A86" s="39" t="str">
        <f t="shared" si="43"/>
        <v/>
      </c>
      <c r="B86" s="39" t="str">
        <f t="shared" si="44"/>
        <v/>
      </c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1"/>
      <c r="P86" s="41">
        <f t="shared" si="45"/>
        <v>0</v>
      </c>
    </row>
    <row r="87" spans="1:16" ht="30" hidden="1" customHeight="1" outlineLevel="1" thickBot="1" x14ac:dyDescent="0.3">
      <c r="A87" s="39" t="str">
        <f t="shared" si="43"/>
        <v/>
      </c>
      <c r="B87" s="39" t="str">
        <f t="shared" si="44"/>
        <v/>
      </c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1"/>
      <c r="P87" s="41">
        <f t="shared" si="45"/>
        <v>0</v>
      </c>
    </row>
    <row r="88" spans="1:16" ht="30" hidden="1" customHeight="1" outlineLevel="1" thickBot="1" x14ac:dyDescent="0.3">
      <c r="A88" s="39" t="str">
        <f t="shared" si="43"/>
        <v/>
      </c>
      <c r="B88" s="39" t="str">
        <f t="shared" si="44"/>
        <v/>
      </c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1"/>
      <c r="P88" s="41"/>
    </row>
    <row r="89" spans="1:16" ht="30" hidden="1" customHeight="1" outlineLevel="1" thickBot="1" x14ac:dyDescent="0.3">
      <c r="A89" s="39" t="str">
        <f t="shared" si="43"/>
        <v/>
      </c>
      <c r="B89" s="39" t="str">
        <f t="shared" si="44"/>
        <v/>
      </c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1"/>
      <c r="P89" s="41"/>
    </row>
    <row r="90" spans="1:16" ht="30" hidden="1" customHeight="1" outlineLevel="1" thickBot="1" x14ac:dyDescent="0.3">
      <c r="A90" s="39" t="str">
        <f t="shared" si="43"/>
        <v/>
      </c>
      <c r="B90" s="39" t="str">
        <f t="shared" si="44"/>
        <v/>
      </c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1"/>
      <c r="P90" s="41"/>
    </row>
    <row r="91" spans="1:16" ht="30" hidden="1" customHeight="1" outlineLevel="1" thickBot="1" x14ac:dyDescent="0.3">
      <c r="A91" s="39" t="str">
        <f t="shared" si="43"/>
        <v/>
      </c>
      <c r="B91" s="39" t="str">
        <f t="shared" si="44"/>
        <v/>
      </c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1"/>
      <c r="P91" s="41"/>
    </row>
    <row r="92" spans="1:16" ht="30" hidden="1" customHeight="1" outlineLevel="1" thickBot="1" x14ac:dyDescent="0.3">
      <c r="A92" s="39" t="str">
        <f t="shared" si="43"/>
        <v/>
      </c>
      <c r="B92" s="39" t="str">
        <f t="shared" si="44"/>
        <v/>
      </c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1"/>
      <c r="P92" s="41"/>
    </row>
    <row r="93" spans="1:16" ht="30" hidden="1" customHeight="1" outlineLevel="1" thickBot="1" x14ac:dyDescent="0.3">
      <c r="A93" s="39" t="str">
        <f t="shared" si="43"/>
        <v/>
      </c>
      <c r="B93" s="39" t="str">
        <f t="shared" si="44"/>
        <v/>
      </c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1"/>
      <c r="P93" s="41"/>
    </row>
    <row r="94" spans="1:16" ht="30" hidden="1" customHeight="1" outlineLevel="1" thickBot="1" x14ac:dyDescent="0.3">
      <c r="A94" s="39" t="str">
        <f t="shared" si="43"/>
        <v/>
      </c>
      <c r="B94" s="39" t="str">
        <f t="shared" si="44"/>
        <v/>
      </c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1"/>
      <c r="P94" s="41"/>
    </row>
    <row r="95" spans="1:16" ht="30" hidden="1" customHeight="1" outlineLevel="1" thickBot="1" x14ac:dyDescent="0.3">
      <c r="A95" s="39" t="str">
        <f t="shared" si="43"/>
        <v/>
      </c>
      <c r="B95" s="39" t="str">
        <f t="shared" si="44"/>
        <v/>
      </c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1"/>
      <c r="P95" s="41"/>
    </row>
    <row r="96" spans="1:16" ht="30" hidden="1" customHeight="1" outlineLevel="1" thickBot="1" x14ac:dyDescent="0.3">
      <c r="A96" s="39" t="str">
        <f t="shared" si="43"/>
        <v/>
      </c>
      <c r="B96" s="39" t="str">
        <f t="shared" si="44"/>
        <v/>
      </c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1"/>
      <c r="P96" s="41"/>
    </row>
    <row r="97" spans="1:16" ht="30" hidden="1" customHeight="1" outlineLevel="1" thickBot="1" x14ac:dyDescent="0.3">
      <c r="A97" s="39" t="str">
        <f t="shared" si="43"/>
        <v/>
      </c>
      <c r="B97" s="39" t="str">
        <f t="shared" si="44"/>
        <v/>
      </c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1"/>
      <c r="P97" s="41"/>
    </row>
    <row r="98" spans="1:16" ht="30" hidden="1" customHeight="1" outlineLevel="1" thickBot="1" x14ac:dyDescent="0.3">
      <c r="A98" s="39" t="str">
        <f t="shared" si="43"/>
        <v/>
      </c>
      <c r="B98" s="39" t="str">
        <f t="shared" si="44"/>
        <v/>
      </c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1"/>
      <c r="P98" s="41"/>
    </row>
    <row r="99" spans="1:16" ht="30" hidden="1" customHeight="1" outlineLevel="1" thickBot="1" x14ac:dyDescent="0.3">
      <c r="A99" s="39" t="str">
        <f t="shared" si="43"/>
        <v/>
      </c>
      <c r="B99" s="39" t="str">
        <f t="shared" si="44"/>
        <v/>
      </c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1"/>
      <c r="P99" s="41"/>
    </row>
    <row r="100" spans="1:16" ht="30" hidden="1" customHeight="1" outlineLevel="1" thickBot="1" x14ac:dyDescent="0.3">
      <c r="A100" s="39" t="str">
        <f t="shared" si="43"/>
        <v/>
      </c>
      <c r="B100" s="39" t="str">
        <f t="shared" si="44"/>
        <v/>
      </c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1"/>
      <c r="P100" s="41"/>
    </row>
    <row r="101" spans="1:16" ht="30" hidden="1" customHeight="1" outlineLevel="1" thickBot="1" x14ac:dyDescent="0.3">
      <c r="A101" s="39" t="str">
        <f t="shared" si="43"/>
        <v/>
      </c>
      <c r="B101" s="39" t="str">
        <f t="shared" si="44"/>
        <v/>
      </c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1"/>
      <c r="P101" s="41"/>
    </row>
    <row r="102" spans="1:16" ht="30" hidden="1" customHeight="1" outlineLevel="1" thickBot="1" x14ac:dyDescent="0.3">
      <c r="A102" s="39" t="str">
        <f t="shared" si="43"/>
        <v/>
      </c>
      <c r="B102" s="39" t="str">
        <f t="shared" si="44"/>
        <v/>
      </c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1"/>
      <c r="P102" s="41"/>
    </row>
    <row r="103" spans="1:16" ht="30" hidden="1" customHeight="1" outlineLevel="1" thickBot="1" x14ac:dyDescent="0.3">
      <c r="A103" s="39" t="str">
        <f t="shared" si="43"/>
        <v/>
      </c>
      <c r="B103" s="39" t="str">
        <f t="shared" si="44"/>
        <v/>
      </c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1"/>
      <c r="P103" s="41"/>
    </row>
    <row r="104" spans="1:16" ht="30" hidden="1" customHeight="1" outlineLevel="1" thickBot="1" x14ac:dyDescent="0.3">
      <c r="A104" s="39" t="str">
        <f>IF($A70="","",$A70)</f>
        <v/>
      </c>
      <c r="B104" s="39" t="str">
        <f>IF($B70="","",$B70)</f>
        <v/>
      </c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1"/>
      <c r="P104" s="41"/>
    </row>
    <row r="105" spans="1:16" ht="30" customHeight="1" collapsed="1" thickBot="1" x14ac:dyDescent="0.3">
      <c r="A105" s="61" t="s">
        <v>36</v>
      </c>
      <c r="B105" s="61"/>
      <c r="C105" s="42">
        <f t="shared" ref="C105:N105" si="46">SUM(C74:C104)</f>
        <v>0</v>
      </c>
      <c r="D105" s="42">
        <f t="shared" si="46"/>
        <v>0</v>
      </c>
      <c r="E105" s="42">
        <f t="shared" si="46"/>
        <v>0</v>
      </c>
      <c r="F105" s="42">
        <f t="shared" si="46"/>
        <v>0</v>
      </c>
      <c r="G105" s="42">
        <f t="shared" si="46"/>
        <v>0</v>
      </c>
      <c r="H105" s="42">
        <f t="shared" si="46"/>
        <v>0</v>
      </c>
      <c r="I105" s="42">
        <f t="shared" si="46"/>
        <v>0</v>
      </c>
      <c r="J105" s="42">
        <f t="shared" si="46"/>
        <v>0</v>
      </c>
      <c r="K105" s="42">
        <f t="shared" si="46"/>
        <v>0</v>
      </c>
      <c r="L105" s="42">
        <f t="shared" si="46"/>
        <v>0</v>
      </c>
      <c r="M105" s="42">
        <f t="shared" si="46"/>
        <v>0</v>
      </c>
      <c r="N105" s="42">
        <f t="shared" si="46"/>
        <v>0</v>
      </c>
      <c r="O105" s="42"/>
      <c r="P105" s="42">
        <f>SUM(P74:P104)</f>
        <v>0</v>
      </c>
    </row>
    <row r="106" spans="1:16" ht="30" customHeight="1" thickBot="1" x14ac:dyDescent="0.3"/>
    <row r="107" spans="1:16" ht="30" customHeight="1" thickBot="1" x14ac:dyDescent="0.3">
      <c r="A107" s="60" t="s">
        <v>37</v>
      </c>
      <c r="B107" s="60"/>
      <c r="C107" s="62" t="s">
        <v>37</v>
      </c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</row>
    <row r="108" spans="1:16" ht="30" hidden="1" customHeight="1" outlineLevel="1" thickBot="1" x14ac:dyDescent="0.3">
      <c r="A108" s="39" t="str">
        <f>IF($A40="","",$A40)</f>
        <v/>
      </c>
      <c r="B108" s="39" t="str">
        <f>IF($B40="","",$B40)</f>
        <v/>
      </c>
      <c r="C108" s="40">
        <f>IF(C40=0,0,Tabulação!$E20*VLOOKUP(C$3,Tabulação!$A$3:$J$15,10,0))</f>
        <v>0</v>
      </c>
      <c r="D108" s="40">
        <f>IF(D40=0,0,Tabulação!$E20*VLOOKUP(D$3,Tabulação!$A$3:$J$15,10,0))</f>
        <v>0</v>
      </c>
      <c r="E108" s="40">
        <f>IF(E40=0,0,Tabulação!$E20*VLOOKUP(E$3,Tabulação!$A$3:$J$15,10,0))</f>
        <v>0</v>
      </c>
      <c r="F108" s="40">
        <f>IF(F40=0,0,Tabulação!$E20*VLOOKUP(F$3,Tabulação!$A$3:$J$15,10,0))</f>
        <v>0</v>
      </c>
      <c r="G108" s="40">
        <f>IF(G40=0,0,Tabulação!$E20*VLOOKUP(G$3,Tabulação!$A$3:$J$15,10,0))</f>
        <v>0</v>
      </c>
      <c r="H108" s="40">
        <f>IF(H40=0,0,Tabulação!$E20*VLOOKUP(H$3,Tabulação!$A$3:$J$15,10,0))</f>
        <v>0</v>
      </c>
      <c r="I108" s="40">
        <f>IF(I40=0,0,Tabulação!$E20*VLOOKUP(I$3,Tabulação!$A$3:$J$15,10,0))</f>
        <v>0</v>
      </c>
      <c r="J108" s="40">
        <f>IF(J40=0,0,Tabulação!$E20*VLOOKUP(J$3,Tabulação!$A$3:$J$15,10,0))</f>
        <v>0</v>
      </c>
      <c r="K108" s="40">
        <f>IF(K40=0,0,Tabulação!$E20*VLOOKUP(K$3,Tabulação!$A$3:$J$15,10,0))</f>
        <v>0</v>
      </c>
      <c r="L108" s="40">
        <f>IF(L40=0,0,Tabulação!$E20*VLOOKUP(L$3,Tabulação!$A$3:$J$15,10,0))</f>
        <v>0</v>
      </c>
      <c r="M108" s="40">
        <f>IF(M40=0,0,Tabulação!$E20*VLOOKUP(M$3,Tabulação!$A$3:$J$15,10,0))</f>
        <v>0</v>
      </c>
      <c r="N108" s="40">
        <f>IF(N40=0,0,Tabulação!$E20*VLOOKUP(N$3,Tabulação!$A$3:$J$15,10,0))</f>
        <v>0</v>
      </c>
      <c r="O108" s="41"/>
      <c r="P108" s="41">
        <f>SUM(C108:N108)</f>
        <v>0</v>
      </c>
    </row>
    <row r="109" spans="1:16" ht="30" hidden="1" customHeight="1" outlineLevel="1" thickBot="1" x14ac:dyDescent="0.3">
      <c r="A109" s="39" t="str">
        <f t="shared" ref="A109:A136" si="47">IF($A41="","",$A41)</f>
        <v/>
      </c>
      <c r="B109" s="39" t="str">
        <f t="shared" ref="B109:B136" si="48">IF($B41="","",$B41)</f>
        <v/>
      </c>
      <c r="C109" s="40">
        <f>IF(C41=0,0,Tabulação!$E21*VLOOKUP(C$3,Tabulação!$A$3:$J$15,10,0))</f>
        <v>0</v>
      </c>
      <c r="D109" s="40">
        <f>IF(D41=0,0,Tabulação!$E21*VLOOKUP(D$3,Tabulação!$A$3:$J$15,10,0))</f>
        <v>0</v>
      </c>
      <c r="E109" s="40">
        <f>IF(E41=0,0,Tabulação!$E21*VLOOKUP(E$3,Tabulação!$A$3:$J$15,10,0))</f>
        <v>0</v>
      </c>
      <c r="F109" s="40">
        <f>IF(F41=0,0,Tabulação!$E21*VLOOKUP(F$3,Tabulação!$A$3:$J$15,10,0))</f>
        <v>0</v>
      </c>
      <c r="G109" s="40">
        <f>IF(G41=0,0,Tabulação!$E21*VLOOKUP(G$3,Tabulação!$A$3:$J$15,10,0))</f>
        <v>0</v>
      </c>
      <c r="H109" s="40">
        <f>IF(H41=0,0,Tabulação!$E21*VLOOKUP(H$3,Tabulação!$A$3:$J$15,10,0))</f>
        <v>0</v>
      </c>
      <c r="I109" s="40">
        <f>IF(I41=0,0,Tabulação!$E21*VLOOKUP(I$3,Tabulação!$A$3:$J$15,10,0))</f>
        <v>0</v>
      </c>
      <c r="J109" s="40">
        <f>IF(J41=0,0,Tabulação!$E21*VLOOKUP(J$3,Tabulação!$A$3:$J$15,10,0))</f>
        <v>0</v>
      </c>
      <c r="K109" s="40">
        <f>IF(K41=0,0,Tabulação!$E21*VLOOKUP(K$3,Tabulação!$A$3:$J$15,10,0))</f>
        <v>0</v>
      </c>
      <c r="L109" s="40">
        <f>IF(L41=0,0,Tabulação!$E21*VLOOKUP(L$3,Tabulação!$A$3:$J$15,10,0))</f>
        <v>0</v>
      </c>
      <c r="M109" s="40">
        <f>IF(M41=0,0,Tabulação!$E21*VLOOKUP(M$3,Tabulação!$A$3:$J$15,10,0))</f>
        <v>0</v>
      </c>
      <c r="N109" s="40">
        <f>IF(N41=0,0,Tabulação!$E21*VLOOKUP(N$3,Tabulação!$A$3:$J$15,10,0))</f>
        <v>0</v>
      </c>
      <c r="O109" s="41"/>
      <c r="P109" s="41">
        <f t="shared" ref="P109:P121" si="49">SUM(C109:N109)</f>
        <v>0</v>
      </c>
    </row>
    <row r="110" spans="1:16" ht="30" hidden="1" customHeight="1" outlineLevel="1" thickBot="1" x14ac:dyDescent="0.3">
      <c r="A110" s="39" t="str">
        <f t="shared" si="47"/>
        <v/>
      </c>
      <c r="B110" s="39" t="str">
        <f t="shared" si="48"/>
        <v/>
      </c>
      <c r="C110" s="40">
        <f>IF(C42=0,0,Tabulação!$E22*VLOOKUP(C$3,Tabulação!$A$3:$J$15,10,0))</f>
        <v>0</v>
      </c>
      <c r="D110" s="40">
        <f>IF(D42=0,0,Tabulação!$E22*VLOOKUP(D$3,Tabulação!$A$3:$J$15,10,0))</f>
        <v>0</v>
      </c>
      <c r="E110" s="40">
        <f>IF(E42=0,0,Tabulação!$E22*VLOOKUP(E$3,Tabulação!$A$3:$J$15,10,0))</f>
        <v>0</v>
      </c>
      <c r="F110" s="40">
        <f>IF(F42=0,0,Tabulação!$E22*VLOOKUP(F$3,Tabulação!$A$3:$J$15,10,0))</f>
        <v>0</v>
      </c>
      <c r="G110" s="40">
        <f>IF(G42=0,0,Tabulação!$E22*VLOOKUP(G$3,Tabulação!$A$3:$J$15,10,0))</f>
        <v>0</v>
      </c>
      <c r="H110" s="40">
        <f>IF(H42=0,0,Tabulação!$E22*VLOOKUP(H$3,Tabulação!$A$3:$J$15,10,0))</f>
        <v>0</v>
      </c>
      <c r="I110" s="40">
        <f>IF(I42=0,0,Tabulação!$E22*VLOOKUP(I$3,Tabulação!$A$3:$J$15,10,0))</f>
        <v>0</v>
      </c>
      <c r="J110" s="40">
        <f>IF(J42=0,0,Tabulação!$E22*VLOOKUP(J$3,Tabulação!$A$3:$J$15,10,0))</f>
        <v>0</v>
      </c>
      <c r="K110" s="40">
        <f>IF(K42=0,0,Tabulação!$E22*VLOOKUP(K$3,Tabulação!$A$3:$J$15,10,0))</f>
        <v>0</v>
      </c>
      <c r="L110" s="40">
        <f>IF(L42=0,0,Tabulação!$E22*VLOOKUP(L$3,Tabulação!$A$3:$J$15,10,0))</f>
        <v>0</v>
      </c>
      <c r="M110" s="40">
        <f>IF(M42=0,0,Tabulação!$E22*VLOOKUP(M$3,Tabulação!$A$3:$J$15,10,0))</f>
        <v>0</v>
      </c>
      <c r="N110" s="40">
        <f>IF(N42=0,0,Tabulação!$E22*VLOOKUP(N$3,Tabulação!$A$3:$J$15,10,0))</f>
        <v>0</v>
      </c>
      <c r="O110" s="41"/>
      <c r="P110" s="41">
        <f t="shared" si="49"/>
        <v>0</v>
      </c>
    </row>
    <row r="111" spans="1:16" ht="30" hidden="1" customHeight="1" outlineLevel="1" thickBot="1" x14ac:dyDescent="0.3">
      <c r="A111" s="39" t="str">
        <f t="shared" si="47"/>
        <v/>
      </c>
      <c r="B111" s="39" t="str">
        <f t="shared" si="48"/>
        <v/>
      </c>
      <c r="C111" s="40">
        <f>IF(C43=0,0,Tabulação!$E23*VLOOKUP(C$3,Tabulação!$A$3:$J$15,10,0))</f>
        <v>0</v>
      </c>
      <c r="D111" s="40">
        <f>IF(D43=0,0,Tabulação!$E23*VLOOKUP(D$3,Tabulação!$A$3:$J$15,10,0))</f>
        <v>0</v>
      </c>
      <c r="E111" s="40">
        <f>IF(E43=0,0,Tabulação!$E23*VLOOKUP(E$3,Tabulação!$A$3:$J$15,10,0))</f>
        <v>0</v>
      </c>
      <c r="F111" s="40">
        <f>IF(F43=0,0,Tabulação!$E23*VLOOKUP(F$3,Tabulação!$A$3:$J$15,10,0))</f>
        <v>0</v>
      </c>
      <c r="G111" s="40">
        <f>IF(G43=0,0,Tabulação!$E23*VLOOKUP(G$3,Tabulação!$A$3:$J$15,10,0))</f>
        <v>0</v>
      </c>
      <c r="H111" s="40">
        <f>IF(H43=0,0,Tabulação!$E23*VLOOKUP(H$3,Tabulação!$A$3:$J$15,10,0))</f>
        <v>0</v>
      </c>
      <c r="I111" s="40">
        <f>IF(I43=0,0,Tabulação!$E23*VLOOKUP(I$3,Tabulação!$A$3:$J$15,10,0))</f>
        <v>0</v>
      </c>
      <c r="J111" s="40">
        <f>IF(J43=0,0,Tabulação!$E23*VLOOKUP(J$3,Tabulação!$A$3:$J$15,10,0))</f>
        <v>0</v>
      </c>
      <c r="K111" s="40">
        <f>IF(K43=0,0,Tabulação!$E23*VLOOKUP(K$3,Tabulação!$A$3:$J$15,10,0))</f>
        <v>0</v>
      </c>
      <c r="L111" s="40">
        <f>IF(L43=0,0,Tabulação!$E23*VLOOKUP(L$3,Tabulação!$A$3:$J$15,10,0))</f>
        <v>0</v>
      </c>
      <c r="M111" s="40">
        <f>IF(M43=0,0,Tabulação!$E23*VLOOKUP(M$3,Tabulação!$A$3:$J$15,10,0))</f>
        <v>0</v>
      </c>
      <c r="N111" s="40">
        <f>IF(N43=0,0,Tabulação!$E23*VLOOKUP(N$3,Tabulação!$A$3:$J$15,10,0))</f>
        <v>0</v>
      </c>
      <c r="O111" s="41"/>
      <c r="P111" s="41">
        <f t="shared" si="49"/>
        <v>0</v>
      </c>
    </row>
    <row r="112" spans="1:16" ht="30" hidden="1" customHeight="1" outlineLevel="1" thickBot="1" x14ac:dyDescent="0.3">
      <c r="A112" s="39" t="str">
        <f t="shared" si="47"/>
        <v/>
      </c>
      <c r="B112" s="39" t="str">
        <f t="shared" si="48"/>
        <v/>
      </c>
      <c r="C112" s="40">
        <f>IF(C44=0,0,Tabulação!$E24*VLOOKUP(C$3,Tabulação!$A$3:$J$15,10,0))</f>
        <v>0</v>
      </c>
      <c r="D112" s="40">
        <f>IF(D44=0,0,Tabulação!$E24*VLOOKUP(D$3,Tabulação!$A$3:$J$15,10,0))</f>
        <v>0</v>
      </c>
      <c r="E112" s="40">
        <f>IF(E44=0,0,Tabulação!$E24*VLOOKUP(E$3,Tabulação!$A$3:$J$15,10,0))</f>
        <v>0</v>
      </c>
      <c r="F112" s="40">
        <f>IF(F44=0,0,Tabulação!$E24*VLOOKUP(F$3,Tabulação!$A$3:$J$15,10,0))</f>
        <v>0</v>
      </c>
      <c r="G112" s="40">
        <f>IF(G44=0,0,Tabulação!$E24*VLOOKUP(G$3,Tabulação!$A$3:$J$15,10,0))</f>
        <v>0</v>
      </c>
      <c r="H112" s="40">
        <f>IF(H44=0,0,Tabulação!$E24*VLOOKUP(H$3,Tabulação!$A$3:$J$15,10,0))</f>
        <v>0</v>
      </c>
      <c r="I112" s="40">
        <f>IF(I44=0,0,Tabulação!$E24*VLOOKUP(I$3,Tabulação!$A$3:$J$15,10,0))</f>
        <v>0</v>
      </c>
      <c r="J112" s="40">
        <f>IF(J44=0,0,Tabulação!$E24*VLOOKUP(J$3,Tabulação!$A$3:$J$15,10,0))</f>
        <v>0</v>
      </c>
      <c r="K112" s="40">
        <f>IF(K44=0,0,Tabulação!$E24*VLOOKUP(K$3,Tabulação!$A$3:$J$15,10,0))</f>
        <v>0</v>
      </c>
      <c r="L112" s="40">
        <f>IF(L44=0,0,Tabulação!$E24*VLOOKUP(L$3,Tabulação!$A$3:$J$15,10,0))</f>
        <v>0</v>
      </c>
      <c r="M112" s="40">
        <f>IF(M44=0,0,Tabulação!$E24*VLOOKUP(M$3,Tabulação!$A$3:$J$15,10,0))</f>
        <v>0</v>
      </c>
      <c r="N112" s="40">
        <f>IF(N44=0,0,Tabulação!$E24*VLOOKUP(N$3,Tabulação!$A$3:$J$15,10,0))</f>
        <v>0</v>
      </c>
      <c r="O112" s="41"/>
      <c r="P112" s="41">
        <f t="shared" si="49"/>
        <v>0</v>
      </c>
    </row>
    <row r="113" spans="1:16" ht="30" hidden="1" customHeight="1" outlineLevel="1" thickBot="1" x14ac:dyDescent="0.3">
      <c r="A113" s="39" t="str">
        <f t="shared" si="47"/>
        <v/>
      </c>
      <c r="B113" s="39" t="str">
        <f t="shared" si="48"/>
        <v/>
      </c>
      <c r="C113" s="40">
        <f>IF(C45=0,0,Tabulação!$E25*VLOOKUP(C$3,Tabulação!$A$3:$J$15,10,0))</f>
        <v>0</v>
      </c>
      <c r="D113" s="40">
        <f>IF(D45=0,0,Tabulação!$E25*VLOOKUP(D$3,Tabulação!$A$3:$J$15,10,0))</f>
        <v>0</v>
      </c>
      <c r="E113" s="40">
        <f>IF(E45=0,0,Tabulação!$E25*VLOOKUP(E$3,Tabulação!$A$3:$J$15,10,0))</f>
        <v>0</v>
      </c>
      <c r="F113" s="40">
        <f>IF(F45=0,0,Tabulação!$E25*VLOOKUP(F$3,Tabulação!$A$3:$J$15,10,0))</f>
        <v>0</v>
      </c>
      <c r="G113" s="40">
        <f>IF(G45=0,0,Tabulação!$E25*VLOOKUP(G$3,Tabulação!$A$3:$J$15,10,0))</f>
        <v>0</v>
      </c>
      <c r="H113" s="40">
        <f>IF(H45=0,0,Tabulação!$E25*VLOOKUP(H$3,Tabulação!$A$3:$J$15,10,0))</f>
        <v>0</v>
      </c>
      <c r="I113" s="40">
        <f>IF(I45=0,0,Tabulação!$E25*VLOOKUP(I$3,Tabulação!$A$3:$J$15,10,0))</f>
        <v>0</v>
      </c>
      <c r="J113" s="40">
        <f>IF(J45=0,0,Tabulação!$E25*VLOOKUP(J$3,Tabulação!$A$3:$J$15,10,0))</f>
        <v>0</v>
      </c>
      <c r="K113" s="40">
        <f>IF(K45=0,0,Tabulação!$E25*VLOOKUP(K$3,Tabulação!$A$3:$J$15,10,0))</f>
        <v>0</v>
      </c>
      <c r="L113" s="40">
        <f>IF(L45=0,0,Tabulação!$E25*VLOOKUP(L$3,Tabulação!$A$3:$J$15,10,0))</f>
        <v>0</v>
      </c>
      <c r="M113" s="40">
        <f>IF(M45=0,0,Tabulação!$E25*VLOOKUP(M$3,Tabulação!$A$3:$J$15,10,0))</f>
        <v>0</v>
      </c>
      <c r="N113" s="40">
        <f>IF(N45=0,0,Tabulação!$E25*VLOOKUP(N$3,Tabulação!$A$3:$J$15,10,0))</f>
        <v>0</v>
      </c>
      <c r="O113" s="41"/>
      <c r="P113" s="41">
        <f t="shared" si="49"/>
        <v>0</v>
      </c>
    </row>
    <row r="114" spans="1:16" ht="30" hidden="1" customHeight="1" outlineLevel="1" thickBot="1" x14ac:dyDescent="0.3">
      <c r="A114" s="39" t="str">
        <f t="shared" si="47"/>
        <v/>
      </c>
      <c r="B114" s="39" t="str">
        <f t="shared" si="48"/>
        <v/>
      </c>
      <c r="C114" s="40">
        <f>IF(C46=0,0,Tabulação!$E26*VLOOKUP(C$3,Tabulação!$A$3:$J$15,10,0))</f>
        <v>0</v>
      </c>
      <c r="D114" s="40">
        <f>IF(D46=0,0,Tabulação!$E26*VLOOKUP(D$3,Tabulação!$A$3:$J$15,10,0))</f>
        <v>0</v>
      </c>
      <c r="E114" s="40">
        <f>IF(E46=0,0,Tabulação!$E26*VLOOKUP(E$3,Tabulação!$A$3:$J$15,10,0))</f>
        <v>0</v>
      </c>
      <c r="F114" s="40">
        <f>IF(F46=0,0,Tabulação!$E26*VLOOKUP(F$3,Tabulação!$A$3:$J$15,10,0))</f>
        <v>0</v>
      </c>
      <c r="G114" s="40">
        <f>IF(G46=0,0,Tabulação!$E26*VLOOKUP(G$3,Tabulação!$A$3:$J$15,10,0))</f>
        <v>0</v>
      </c>
      <c r="H114" s="40">
        <f>IF(H46=0,0,Tabulação!$E26*VLOOKUP(H$3,Tabulação!$A$3:$J$15,10,0))</f>
        <v>0</v>
      </c>
      <c r="I114" s="40">
        <f>IF(I46=0,0,Tabulação!$E26*VLOOKUP(I$3,Tabulação!$A$3:$J$15,10,0))</f>
        <v>0</v>
      </c>
      <c r="J114" s="40">
        <f>IF(J46=0,0,Tabulação!$E26*VLOOKUP(J$3,Tabulação!$A$3:$J$15,10,0))</f>
        <v>0</v>
      </c>
      <c r="K114" s="40">
        <f>IF(K46=0,0,Tabulação!$E26*VLOOKUP(K$3,Tabulação!$A$3:$J$15,10,0))</f>
        <v>0</v>
      </c>
      <c r="L114" s="40">
        <f>IF(L46=0,0,Tabulação!$E26*VLOOKUP(L$3,Tabulação!$A$3:$J$15,10,0))</f>
        <v>0</v>
      </c>
      <c r="M114" s="40">
        <f>IF(M46=0,0,Tabulação!$E26*VLOOKUP(M$3,Tabulação!$A$3:$J$15,10,0))</f>
        <v>0</v>
      </c>
      <c r="N114" s="40">
        <f>IF(N46=0,0,Tabulação!$E26*VLOOKUP(N$3,Tabulação!$A$3:$J$15,10,0))</f>
        <v>0</v>
      </c>
      <c r="O114" s="41"/>
      <c r="P114" s="41">
        <f t="shared" si="49"/>
        <v>0</v>
      </c>
    </row>
    <row r="115" spans="1:16" ht="30" hidden="1" customHeight="1" outlineLevel="1" thickBot="1" x14ac:dyDescent="0.3">
      <c r="A115" s="39" t="str">
        <f t="shared" si="47"/>
        <v/>
      </c>
      <c r="B115" s="39" t="str">
        <f t="shared" si="48"/>
        <v/>
      </c>
      <c r="C115" s="40">
        <f>IF(C47=0,0,Tabulação!$E27*VLOOKUP(C$3,Tabulação!$A$3:$J$15,10,0))</f>
        <v>0</v>
      </c>
      <c r="D115" s="40">
        <f>IF(D47=0,0,Tabulação!$E27*VLOOKUP(D$3,Tabulação!$A$3:$J$15,10,0))</f>
        <v>0</v>
      </c>
      <c r="E115" s="40">
        <f>IF(E47=0,0,Tabulação!$E27*VLOOKUP(E$3,Tabulação!$A$3:$J$15,10,0))</f>
        <v>0</v>
      </c>
      <c r="F115" s="40">
        <f>IF(F47=0,0,Tabulação!$E27*VLOOKUP(F$3,Tabulação!$A$3:$J$15,10,0))</f>
        <v>0</v>
      </c>
      <c r="G115" s="40">
        <f>IF(G47=0,0,Tabulação!$E27*VLOOKUP(G$3,Tabulação!$A$3:$J$15,10,0))</f>
        <v>0</v>
      </c>
      <c r="H115" s="40">
        <f>IF(H47=0,0,Tabulação!$E27*VLOOKUP(H$3,Tabulação!$A$3:$J$15,10,0))</f>
        <v>0</v>
      </c>
      <c r="I115" s="40">
        <f>IF(I47=0,0,Tabulação!$E27*VLOOKUP(I$3,Tabulação!$A$3:$J$15,10,0))</f>
        <v>0</v>
      </c>
      <c r="J115" s="40">
        <f>IF(J47=0,0,Tabulação!$E27*VLOOKUP(J$3,Tabulação!$A$3:$J$15,10,0))</f>
        <v>0</v>
      </c>
      <c r="K115" s="40">
        <f>IF(K47=0,0,Tabulação!$E27*VLOOKUP(K$3,Tabulação!$A$3:$J$15,10,0))</f>
        <v>0</v>
      </c>
      <c r="L115" s="40">
        <f>IF(L47=0,0,Tabulação!$E27*VLOOKUP(L$3,Tabulação!$A$3:$J$15,10,0))</f>
        <v>0</v>
      </c>
      <c r="M115" s="40">
        <f>IF(M47=0,0,Tabulação!$E27*VLOOKUP(M$3,Tabulação!$A$3:$J$15,10,0))</f>
        <v>0</v>
      </c>
      <c r="N115" s="40">
        <f>IF(N47=0,0,Tabulação!$E27*VLOOKUP(N$3,Tabulação!$A$3:$J$15,10,0))</f>
        <v>0</v>
      </c>
      <c r="O115" s="41"/>
      <c r="P115" s="41">
        <f t="shared" si="49"/>
        <v>0</v>
      </c>
    </row>
    <row r="116" spans="1:16" ht="30" hidden="1" customHeight="1" outlineLevel="1" thickBot="1" x14ac:dyDescent="0.3">
      <c r="A116" s="39" t="str">
        <f t="shared" si="47"/>
        <v/>
      </c>
      <c r="B116" s="39" t="str">
        <f t="shared" si="48"/>
        <v/>
      </c>
      <c r="C116" s="40">
        <f>IF(C48=0,0,Tabulação!$E28*VLOOKUP(C$3,Tabulação!$A$3:$J$15,10,0))</f>
        <v>0</v>
      </c>
      <c r="D116" s="40">
        <f>IF(D48=0,0,Tabulação!$E28*VLOOKUP(D$3,Tabulação!$A$3:$J$15,10,0))</f>
        <v>0</v>
      </c>
      <c r="E116" s="40">
        <f>IF(E48=0,0,Tabulação!$E28*VLOOKUP(E$3,Tabulação!$A$3:$J$15,10,0))</f>
        <v>0</v>
      </c>
      <c r="F116" s="40">
        <f>IF(F48=0,0,Tabulação!$E28*VLOOKUP(F$3,Tabulação!$A$3:$J$15,10,0))</f>
        <v>0</v>
      </c>
      <c r="G116" s="40">
        <f>IF(G48=0,0,Tabulação!$E28*VLOOKUP(G$3,Tabulação!$A$3:$J$15,10,0))</f>
        <v>0</v>
      </c>
      <c r="H116" s="40">
        <f>IF(H48=0,0,Tabulação!$E28*VLOOKUP(H$3,Tabulação!$A$3:$J$15,10,0))</f>
        <v>0</v>
      </c>
      <c r="I116" s="40">
        <f>IF(I48=0,0,Tabulação!$E28*VLOOKUP(I$3,Tabulação!$A$3:$J$15,10,0))</f>
        <v>0</v>
      </c>
      <c r="J116" s="40">
        <f>IF(J48=0,0,Tabulação!$E28*VLOOKUP(J$3,Tabulação!$A$3:$J$15,10,0))</f>
        <v>0</v>
      </c>
      <c r="K116" s="40">
        <f>IF(K48=0,0,Tabulação!$E28*VLOOKUP(K$3,Tabulação!$A$3:$J$15,10,0))</f>
        <v>0</v>
      </c>
      <c r="L116" s="40">
        <f>IF(L48=0,0,Tabulação!$E28*VLOOKUP(L$3,Tabulação!$A$3:$J$15,10,0))</f>
        <v>0</v>
      </c>
      <c r="M116" s="40">
        <f>IF(M48=0,0,Tabulação!$E28*VLOOKUP(M$3,Tabulação!$A$3:$J$15,10,0))</f>
        <v>0</v>
      </c>
      <c r="N116" s="40">
        <f>IF(N48=0,0,Tabulação!$E28*VLOOKUP(N$3,Tabulação!$A$3:$J$15,10,0))</f>
        <v>0</v>
      </c>
      <c r="O116" s="41"/>
      <c r="P116" s="41">
        <f t="shared" si="49"/>
        <v>0</v>
      </c>
    </row>
    <row r="117" spans="1:16" ht="30" hidden="1" customHeight="1" outlineLevel="1" thickBot="1" x14ac:dyDescent="0.3">
      <c r="A117" s="39" t="str">
        <f t="shared" si="47"/>
        <v/>
      </c>
      <c r="B117" s="39" t="str">
        <f t="shared" si="48"/>
        <v/>
      </c>
      <c r="C117" s="40">
        <f>IF(C49=0,0,Tabulação!$E29*VLOOKUP(C$3,Tabulação!$A$3:$J$15,10,0))</f>
        <v>0</v>
      </c>
      <c r="D117" s="40">
        <f>IF(D49=0,0,Tabulação!$E29*VLOOKUP(D$3,Tabulação!$A$3:$J$15,10,0))</f>
        <v>0</v>
      </c>
      <c r="E117" s="40">
        <f>IF(E49=0,0,Tabulação!$E29*VLOOKUP(E$3,Tabulação!$A$3:$J$15,10,0))</f>
        <v>0</v>
      </c>
      <c r="F117" s="40">
        <f>IF(F49=0,0,Tabulação!$E29*VLOOKUP(F$3,Tabulação!$A$3:$J$15,10,0))</f>
        <v>0</v>
      </c>
      <c r="G117" s="40">
        <f>IF(G49=0,0,Tabulação!$E29*VLOOKUP(G$3,Tabulação!$A$3:$J$15,10,0))</f>
        <v>0</v>
      </c>
      <c r="H117" s="40">
        <f>IF(H49=0,0,Tabulação!$E29*VLOOKUP(H$3,Tabulação!$A$3:$J$15,10,0))</f>
        <v>0</v>
      </c>
      <c r="I117" s="40">
        <f>IF(I49=0,0,Tabulação!$E29*VLOOKUP(I$3,Tabulação!$A$3:$J$15,10,0))</f>
        <v>0</v>
      </c>
      <c r="J117" s="40">
        <f>IF(J49=0,0,Tabulação!$E29*VLOOKUP(J$3,Tabulação!$A$3:$J$15,10,0))</f>
        <v>0</v>
      </c>
      <c r="K117" s="40">
        <f>IF(K49=0,0,Tabulação!$E29*VLOOKUP(K$3,Tabulação!$A$3:$J$15,10,0))</f>
        <v>0</v>
      </c>
      <c r="L117" s="40">
        <f>IF(L49=0,0,Tabulação!$E29*VLOOKUP(L$3,Tabulação!$A$3:$J$15,10,0))</f>
        <v>0</v>
      </c>
      <c r="M117" s="40">
        <f>IF(M49=0,0,Tabulação!$E29*VLOOKUP(M$3,Tabulação!$A$3:$J$15,10,0))</f>
        <v>0</v>
      </c>
      <c r="N117" s="40">
        <f>IF(N49=0,0,Tabulação!$E29*VLOOKUP(N$3,Tabulação!$A$3:$J$15,10,0))</f>
        <v>0</v>
      </c>
      <c r="O117" s="41"/>
      <c r="P117" s="41">
        <f t="shared" si="49"/>
        <v>0</v>
      </c>
    </row>
    <row r="118" spans="1:16" ht="30" hidden="1" customHeight="1" outlineLevel="1" thickBot="1" x14ac:dyDescent="0.3">
      <c r="A118" s="39" t="str">
        <f t="shared" si="47"/>
        <v/>
      </c>
      <c r="B118" s="39" t="str">
        <f t="shared" si="48"/>
        <v/>
      </c>
      <c r="C118" s="40">
        <f>IF(C50=0,0,Tabulação!$E30*VLOOKUP(C$3,Tabulação!$A$3:$J$15,10,0))</f>
        <v>0</v>
      </c>
      <c r="D118" s="40">
        <f>IF(D50=0,0,Tabulação!$E30*VLOOKUP(D$3,Tabulação!$A$3:$J$15,10,0))</f>
        <v>0</v>
      </c>
      <c r="E118" s="40">
        <f>IF(E50=0,0,Tabulação!$E30*VLOOKUP(E$3,Tabulação!$A$3:$J$15,10,0))</f>
        <v>0</v>
      </c>
      <c r="F118" s="40">
        <f>IF(F50=0,0,Tabulação!$E30*VLOOKUP(F$3,Tabulação!$A$3:$J$15,10,0))</f>
        <v>0</v>
      </c>
      <c r="G118" s="40">
        <f>IF(G50=0,0,Tabulação!$E30*VLOOKUP(G$3,Tabulação!$A$3:$J$15,10,0))</f>
        <v>0</v>
      </c>
      <c r="H118" s="40">
        <f>IF(H50=0,0,Tabulação!$E30*VLOOKUP(H$3,Tabulação!$A$3:$J$15,10,0))</f>
        <v>0</v>
      </c>
      <c r="I118" s="40">
        <f>IF(I50=0,0,Tabulação!$E30*VLOOKUP(I$3,Tabulação!$A$3:$J$15,10,0))</f>
        <v>0</v>
      </c>
      <c r="J118" s="40">
        <f>IF(J50=0,0,Tabulação!$E30*VLOOKUP(J$3,Tabulação!$A$3:$J$15,10,0))</f>
        <v>0</v>
      </c>
      <c r="K118" s="40">
        <f>IF(K50=0,0,Tabulação!$E30*VLOOKUP(K$3,Tabulação!$A$3:$J$15,10,0))</f>
        <v>0</v>
      </c>
      <c r="L118" s="40">
        <f>IF(L50=0,0,Tabulação!$E30*VLOOKUP(L$3,Tabulação!$A$3:$J$15,10,0))</f>
        <v>0</v>
      </c>
      <c r="M118" s="40">
        <f>IF(M50=0,0,Tabulação!$E30*VLOOKUP(M$3,Tabulação!$A$3:$J$15,10,0))</f>
        <v>0</v>
      </c>
      <c r="N118" s="40">
        <f>IF(N50=0,0,Tabulação!$E30*VLOOKUP(N$3,Tabulação!$A$3:$J$15,10,0))</f>
        <v>0</v>
      </c>
      <c r="O118" s="41"/>
      <c r="P118" s="41">
        <f t="shared" si="49"/>
        <v>0</v>
      </c>
    </row>
    <row r="119" spans="1:16" ht="30" hidden="1" customHeight="1" outlineLevel="1" thickBot="1" x14ac:dyDescent="0.3">
      <c r="A119" s="39" t="str">
        <f t="shared" si="47"/>
        <v/>
      </c>
      <c r="B119" s="39" t="str">
        <f t="shared" si="48"/>
        <v/>
      </c>
      <c r="C119" s="40">
        <f>IF(C51=0,0,Tabulação!$E31*VLOOKUP(C$3,Tabulação!$A$3:$J$15,10,0))</f>
        <v>0</v>
      </c>
      <c r="D119" s="40">
        <f>IF(D51=0,0,Tabulação!$E31*VLOOKUP(D$3,Tabulação!$A$3:$J$15,10,0))</f>
        <v>0</v>
      </c>
      <c r="E119" s="40">
        <f>IF(E51=0,0,Tabulação!$E31*VLOOKUP(E$3,Tabulação!$A$3:$J$15,10,0))</f>
        <v>0</v>
      </c>
      <c r="F119" s="40">
        <f>IF(F51=0,0,Tabulação!$E31*VLOOKUP(F$3,Tabulação!$A$3:$J$15,10,0))</f>
        <v>0</v>
      </c>
      <c r="G119" s="40">
        <f>IF(G51=0,0,Tabulação!$E31*VLOOKUP(G$3,Tabulação!$A$3:$J$15,10,0))</f>
        <v>0</v>
      </c>
      <c r="H119" s="40">
        <f>IF(H51=0,0,Tabulação!$E31*VLOOKUP(H$3,Tabulação!$A$3:$J$15,10,0))</f>
        <v>0</v>
      </c>
      <c r="I119" s="40">
        <f>IF(I51=0,0,Tabulação!$E31*VLOOKUP(I$3,Tabulação!$A$3:$J$15,10,0))</f>
        <v>0</v>
      </c>
      <c r="J119" s="40">
        <f>IF(J51=0,0,Tabulação!$E31*VLOOKUP(J$3,Tabulação!$A$3:$J$15,10,0))</f>
        <v>0</v>
      </c>
      <c r="K119" s="40">
        <f>IF(K51=0,0,Tabulação!$E31*VLOOKUP(K$3,Tabulação!$A$3:$J$15,10,0))</f>
        <v>0</v>
      </c>
      <c r="L119" s="40">
        <f>IF(L51=0,0,Tabulação!$E31*VLOOKUP(L$3,Tabulação!$A$3:$J$15,10,0))</f>
        <v>0</v>
      </c>
      <c r="M119" s="40">
        <f>IF(M51=0,0,Tabulação!$E31*VLOOKUP(M$3,Tabulação!$A$3:$J$15,10,0))</f>
        <v>0</v>
      </c>
      <c r="N119" s="40">
        <f>IF(N51=0,0,Tabulação!$E31*VLOOKUP(N$3,Tabulação!$A$3:$J$15,10,0))</f>
        <v>0</v>
      </c>
      <c r="O119" s="41"/>
      <c r="P119" s="41">
        <f t="shared" si="49"/>
        <v>0</v>
      </c>
    </row>
    <row r="120" spans="1:16" ht="30" hidden="1" customHeight="1" outlineLevel="1" thickBot="1" x14ac:dyDescent="0.3">
      <c r="A120" s="39" t="str">
        <f t="shared" si="47"/>
        <v/>
      </c>
      <c r="B120" s="39" t="str">
        <f t="shared" si="48"/>
        <v/>
      </c>
      <c r="C120" s="40">
        <f>IF(C52=0,0,Tabulação!$E32*VLOOKUP(C$3,Tabulação!$A$3:$J$15,10,0))</f>
        <v>0</v>
      </c>
      <c r="D120" s="40">
        <f>IF(D52=0,0,Tabulação!$E32*VLOOKUP(D$3,Tabulação!$A$3:$J$15,10,0))</f>
        <v>0</v>
      </c>
      <c r="E120" s="40">
        <f>IF(E52=0,0,Tabulação!$E32*VLOOKUP(E$3,Tabulação!$A$3:$J$15,10,0))</f>
        <v>0</v>
      </c>
      <c r="F120" s="40">
        <f>IF(F52=0,0,Tabulação!$E32*VLOOKUP(F$3,Tabulação!$A$3:$J$15,10,0))</f>
        <v>0</v>
      </c>
      <c r="G120" s="40">
        <f>IF(G52=0,0,Tabulação!$E32*VLOOKUP(G$3,Tabulação!$A$3:$J$15,10,0))</f>
        <v>0</v>
      </c>
      <c r="H120" s="40">
        <f>IF(H52=0,0,Tabulação!$E32*VLOOKUP(H$3,Tabulação!$A$3:$J$15,10,0))</f>
        <v>0</v>
      </c>
      <c r="I120" s="40">
        <f>IF(I52=0,0,Tabulação!$E32*VLOOKUP(I$3,Tabulação!$A$3:$J$15,10,0))</f>
        <v>0</v>
      </c>
      <c r="J120" s="40">
        <f>IF(J52=0,0,Tabulação!$E32*VLOOKUP(J$3,Tabulação!$A$3:$J$15,10,0))</f>
        <v>0</v>
      </c>
      <c r="K120" s="40">
        <f>IF(K52=0,0,Tabulação!$E32*VLOOKUP(K$3,Tabulação!$A$3:$J$15,10,0))</f>
        <v>0</v>
      </c>
      <c r="L120" s="40">
        <f>IF(L52=0,0,Tabulação!$E32*VLOOKUP(L$3,Tabulação!$A$3:$J$15,10,0))</f>
        <v>0</v>
      </c>
      <c r="M120" s="40">
        <f>IF(M52=0,0,Tabulação!$E32*VLOOKUP(M$3,Tabulação!$A$3:$J$15,10,0))</f>
        <v>0</v>
      </c>
      <c r="N120" s="40">
        <f>IF(N52=0,0,Tabulação!$E32*VLOOKUP(N$3,Tabulação!$A$3:$J$15,10,0))</f>
        <v>0</v>
      </c>
      <c r="O120" s="41"/>
      <c r="P120" s="41">
        <f t="shared" si="49"/>
        <v>0</v>
      </c>
    </row>
    <row r="121" spans="1:16" ht="30" hidden="1" customHeight="1" outlineLevel="1" thickBot="1" x14ac:dyDescent="0.3">
      <c r="A121" s="39" t="str">
        <f t="shared" si="47"/>
        <v/>
      </c>
      <c r="B121" s="39" t="str">
        <f t="shared" si="48"/>
        <v/>
      </c>
      <c r="C121" s="40">
        <f>IF(C53=0,0,Tabulação!$E33*VLOOKUP(C$3,Tabulação!$A$3:$J$15,10,0))</f>
        <v>0</v>
      </c>
      <c r="D121" s="40">
        <f>IF(D53=0,0,Tabulação!$E33*VLOOKUP(D$3,Tabulação!$A$3:$J$15,10,0))</f>
        <v>0</v>
      </c>
      <c r="E121" s="40">
        <f>IF(E53=0,0,Tabulação!$E33*VLOOKUP(E$3,Tabulação!$A$3:$J$15,10,0))</f>
        <v>0</v>
      </c>
      <c r="F121" s="40">
        <f>IF(F53=0,0,Tabulação!$E33*VLOOKUP(F$3,Tabulação!$A$3:$J$15,10,0))</f>
        <v>0</v>
      </c>
      <c r="G121" s="40">
        <f>IF(G53=0,0,Tabulação!$E33*VLOOKUP(G$3,Tabulação!$A$3:$J$15,10,0))</f>
        <v>0</v>
      </c>
      <c r="H121" s="40">
        <f>IF(H53=0,0,Tabulação!$E33*VLOOKUP(H$3,Tabulação!$A$3:$J$15,10,0))</f>
        <v>0</v>
      </c>
      <c r="I121" s="40">
        <f>IF(I53=0,0,Tabulação!$E33*VLOOKUP(I$3,Tabulação!$A$3:$J$15,10,0))</f>
        <v>0</v>
      </c>
      <c r="J121" s="40">
        <f>IF(J53=0,0,Tabulação!$E33*VLOOKUP(J$3,Tabulação!$A$3:$J$15,10,0))</f>
        <v>0</v>
      </c>
      <c r="K121" s="40">
        <f>IF(K53=0,0,Tabulação!$E33*VLOOKUP(K$3,Tabulação!$A$3:$J$15,10,0))</f>
        <v>0</v>
      </c>
      <c r="L121" s="40">
        <f>IF(L53=0,0,Tabulação!$E33*VLOOKUP(L$3,Tabulação!$A$3:$J$15,10,0))</f>
        <v>0</v>
      </c>
      <c r="M121" s="40">
        <f>IF(M53=0,0,Tabulação!$E33*VLOOKUP(M$3,Tabulação!$A$3:$J$15,10,0))</f>
        <v>0</v>
      </c>
      <c r="N121" s="40">
        <f>IF(N53=0,0,Tabulação!$E33*VLOOKUP(N$3,Tabulação!$A$3:$J$15,10,0))</f>
        <v>0</v>
      </c>
      <c r="O121" s="41"/>
      <c r="P121" s="41">
        <f t="shared" si="49"/>
        <v>0</v>
      </c>
    </row>
    <row r="122" spans="1:16" ht="30" hidden="1" customHeight="1" outlineLevel="1" thickBot="1" x14ac:dyDescent="0.3">
      <c r="A122" s="39" t="str">
        <f t="shared" si="47"/>
        <v/>
      </c>
      <c r="B122" s="39" t="str">
        <f t="shared" si="48"/>
        <v/>
      </c>
      <c r="C122" s="40">
        <f>IF(C54=0,0,Tabulação!$E34*VLOOKUP(C$3,Tabulação!$A$3:$J$15,10,0))</f>
        <v>0</v>
      </c>
      <c r="D122" s="40">
        <f>IF(D54=0,0,Tabulação!$E34*VLOOKUP(D$3,Tabulação!$A$3:$J$15,10,0))</f>
        <v>0</v>
      </c>
      <c r="E122" s="40">
        <f>IF(E54=0,0,Tabulação!$E34*VLOOKUP(E$3,Tabulação!$A$3:$J$15,10,0))</f>
        <v>0</v>
      </c>
      <c r="F122" s="40">
        <f>IF(F54=0,0,Tabulação!$E34*VLOOKUP(F$3,Tabulação!$A$3:$J$15,10,0))</f>
        <v>0</v>
      </c>
      <c r="G122" s="40">
        <f>IF(G54=0,0,Tabulação!$E34*VLOOKUP(G$3,Tabulação!$A$3:$J$15,10,0))</f>
        <v>0</v>
      </c>
      <c r="H122" s="40">
        <f>IF(H54=0,0,Tabulação!$E34*VLOOKUP(H$3,Tabulação!$A$3:$J$15,10,0))</f>
        <v>0</v>
      </c>
      <c r="I122" s="40">
        <f>IF(I54=0,0,Tabulação!$E34*VLOOKUP(I$3,Tabulação!$A$3:$J$15,10,0))</f>
        <v>0</v>
      </c>
      <c r="J122" s="40">
        <f>IF(J54=0,0,Tabulação!$E34*VLOOKUP(J$3,Tabulação!$A$3:$J$15,10,0))</f>
        <v>0</v>
      </c>
      <c r="K122" s="40">
        <f>IF(K54=0,0,Tabulação!$E34*VLOOKUP(K$3,Tabulação!$A$3:$J$15,10,0))</f>
        <v>0</v>
      </c>
      <c r="L122" s="40">
        <f>IF(L54=0,0,Tabulação!$E34*VLOOKUP(L$3,Tabulação!$A$3:$J$15,10,0))</f>
        <v>0</v>
      </c>
      <c r="M122" s="40">
        <f>IF(M54=0,0,Tabulação!$E34*VLOOKUP(M$3,Tabulação!$A$3:$J$15,10,0))</f>
        <v>0</v>
      </c>
      <c r="N122" s="40">
        <f>IF(N54=0,0,Tabulação!$E34*VLOOKUP(N$3,Tabulação!$A$3:$J$15,10,0))</f>
        <v>0</v>
      </c>
      <c r="O122" s="41"/>
      <c r="P122" s="41">
        <f t="shared" ref="P122:P138" si="50">SUM(C122:N122)</f>
        <v>0</v>
      </c>
    </row>
    <row r="123" spans="1:16" ht="30" hidden="1" customHeight="1" outlineLevel="1" thickBot="1" x14ac:dyDescent="0.3">
      <c r="A123" s="39" t="str">
        <f t="shared" si="47"/>
        <v/>
      </c>
      <c r="B123" s="39" t="str">
        <f t="shared" si="48"/>
        <v/>
      </c>
      <c r="C123" s="40">
        <f>IF(C55=0,0,Tabulação!$E35*VLOOKUP(C$3,Tabulação!$A$3:$J$15,10,0))</f>
        <v>0</v>
      </c>
      <c r="D123" s="40">
        <f>IF(D55=0,0,Tabulação!$E35*VLOOKUP(D$3,Tabulação!$A$3:$J$15,10,0))</f>
        <v>0</v>
      </c>
      <c r="E123" s="40">
        <f>IF(E55=0,0,Tabulação!$E35*VLOOKUP(E$3,Tabulação!$A$3:$J$15,10,0))</f>
        <v>0</v>
      </c>
      <c r="F123" s="40">
        <f>IF(F55=0,0,Tabulação!$E35*VLOOKUP(F$3,Tabulação!$A$3:$J$15,10,0))</f>
        <v>0</v>
      </c>
      <c r="G123" s="40">
        <f>IF(G55=0,0,Tabulação!$E35*VLOOKUP(G$3,Tabulação!$A$3:$J$15,10,0))</f>
        <v>0</v>
      </c>
      <c r="H123" s="40">
        <f>IF(H55=0,0,Tabulação!$E35*VLOOKUP(H$3,Tabulação!$A$3:$J$15,10,0))</f>
        <v>0</v>
      </c>
      <c r="I123" s="40">
        <f>IF(I55=0,0,Tabulação!$E35*VLOOKUP(I$3,Tabulação!$A$3:$J$15,10,0))</f>
        <v>0</v>
      </c>
      <c r="J123" s="40">
        <f>IF(J55=0,0,Tabulação!$E35*VLOOKUP(J$3,Tabulação!$A$3:$J$15,10,0))</f>
        <v>0</v>
      </c>
      <c r="K123" s="40">
        <f>IF(K55=0,0,Tabulação!$E35*VLOOKUP(K$3,Tabulação!$A$3:$J$15,10,0))</f>
        <v>0</v>
      </c>
      <c r="L123" s="40">
        <f>IF(L55=0,0,Tabulação!$E35*VLOOKUP(L$3,Tabulação!$A$3:$J$15,10,0))</f>
        <v>0</v>
      </c>
      <c r="M123" s="40">
        <f>IF(M55=0,0,Tabulação!$E35*VLOOKUP(M$3,Tabulação!$A$3:$J$15,10,0))</f>
        <v>0</v>
      </c>
      <c r="N123" s="40">
        <f>IF(N55=0,0,Tabulação!$E35*VLOOKUP(N$3,Tabulação!$A$3:$J$15,10,0))</f>
        <v>0</v>
      </c>
      <c r="O123" s="41"/>
      <c r="P123" s="41">
        <f t="shared" si="50"/>
        <v>0</v>
      </c>
    </row>
    <row r="124" spans="1:16" ht="30" hidden="1" customHeight="1" outlineLevel="1" thickBot="1" x14ac:dyDescent="0.3">
      <c r="A124" s="39" t="str">
        <f t="shared" si="47"/>
        <v/>
      </c>
      <c r="B124" s="39" t="str">
        <f t="shared" si="48"/>
        <v/>
      </c>
      <c r="C124" s="40">
        <f>IF(C56=0,0,Tabulação!$E36*VLOOKUP(C$3,Tabulação!$A$3:$J$15,10,0))</f>
        <v>0</v>
      </c>
      <c r="D124" s="40">
        <f>IF(D56=0,0,Tabulação!$E36*VLOOKUP(D$3,Tabulação!$A$3:$J$15,10,0))</f>
        <v>0</v>
      </c>
      <c r="E124" s="40">
        <f>IF(E56=0,0,Tabulação!$E36*VLOOKUP(E$3,Tabulação!$A$3:$J$15,10,0))</f>
        <v>0</v>
      </c>
      <c r="F124" s="40">
        <f>IF(F56=0,0,Tabulação!$E36*VLOOKUP(F$3,Tabulação!$A$3:$J$15,10,0))</f>
        <v>0</v>
      </c>
      <c r="G124" s="40">
        <f>IF(G56=0,0,Tabulação!$E36*VLOOKUP(G$3,Tabulação!$A$3:$J$15,10,0))</f>
        <v>0</v>
      </c>
      <c r="H124" s="40">
        <f>IF(H56=0,0,Tabulação!$E36*VLOOKUP(H$3,Tabulação!$A$3:$J$15,10,0))</f>
        <v>0</v>
      </c>
      <c r="I124" s="40">
        <f>IF(I56=0,0,Tabulação!$E36*VLOOKUP(I$3,Tabulação!$A$3:$J$15,10,0))</f>
        <v>0</v>
      </c>
      <c r="J124" s="40">
        <f>IF(J56=0,0,Tabulação!$E36*VLOOKUP(J$3,Tabulação!$A$3:$J$15,10,0))</f>
        <v>0</v>
      </c>
      <c r="K124" s="40">
        <f>IF(K56=0,0,Tabulação!$E36*VLOOKUP(K$3,Tabulação!$A$3:$J$15,10,0))</f>
        <v>0</v>
      </c>
      <c r="L124" s="40">
        <f>IF(L56=0,0,Tabulação!$E36*VLOOKUP(L$3,Tabulação!$A$3:$J$15,10,0))</f>
        <v>0</v>
      </c>
      <c r="M124" s="40">
        <f>IF(M56=0,0,Tabulação!$E36*VLOOKUP(M$3,Tabulação!$A$3:$J$15,10,0))</f>
        <v>0</v>
      </c>
      <c r="N124" s="40">
        <f>IF(N56=0,0,Tabulação!$E36*VLOOKUP(N$3,Tabulação!$A$3:$J$15,10,0))</f>
        <v>0</v>
      </c>
      <c r="O124" s="41"/>
      <c r="P124" s="41">
        <f t="shared" si="50"/>
        <v>0</v>
      </c>
    </row>
    <row r="125" spans="1:16" ht="30" hidden="1" customHeight="1" outlineLevel="1" thickBot="1" x14ac:dyDescent="0.3">
      <c r="A125" s="39" t="str">
        <f t="shared" si="47"/>
        <v/>
      </c>
      <c r="B125" s="39" t="str">
        <f t="shared" si="48"/>
        <v/>
      </c>
      <c r="C125" s="40">
        <f>IF(C57=0,0,Tabulação!$E37*VLOOKUP(C$3,Tabulação!$A$3:$J$15,10,0))</f>
        <v>0</v>
      </c>
      <c r="D125" s="40">
        <f>IF(D57=0,0,Tabulação!$E37*VLOOKUP(D$3,Tabulação!$A$3:$J$15,10,0))</f>
        <v>0</v>
      </c>
      <c r="E125" s="40">
        <f>IF(E57=0,0,Tabulação!$E37*VLOOKUP(E$3,Tabulação!$A$3:$J$15,10,0))</f>
        <v>0</v>
      </c>
      <c r="F125" s="40">
        <f>IF(F57=0,0,Tabulação!$E37*VLOOKUP(F$3,Tabulação!$A$3:$J$15,10,0))</f>
        <v>0</v>
      </c>
      <c r="G125" s="40">
        <f>IF(G57=0,0,Tabulação!$E37*VLOOKUP(G$3,Tabulação!$A$3:$J$15,10,0))</f>
        <v>0</v>
      </c>
      <c r="H125" s="40">
        <f>IF(H57=0,0,Tabulação!$E37*VLOOKUP(H$3,Tabulação!$A$3:$J$15,10,0))</f>
        <v>0</v>
      </c>
      <c r="I125" s="40">
        <f>IF(I57=0,0,Tabulação!$E37*VLOOKUP(I$3,Tabulação!$A$3:$J$15,10,0))</f>
        <v>0</v>
      </c>
      <c r="J125" s="40">
        <f>IF(J57=0,0,Tabulação!$E37*VLOOKUP(J$3,Tabulação!$A$3:$J$15,10,0))</f>
        <v>0</v>
      </c>
      <c r="K125" s="40">
        <f>IF(K57=0,0,Tabulação!$E37*VLOOKUP(K$3,Tabulação!$A$3:$J$15,10,0))</f>
        <v>0</v>
      </c>
      <c r="L125" s="40">
        <f>IF(L57=0,0,Tabulação!$E37*VLOOKUP(L$3,Tabulação!$A$3:$J$15,10,0))</f>
        <v>0</v>
      </c>
      <c r="M125" s="40">
        <f>IF(M57=0,0,Tabulação!$E37*VLOOKUP(M$3,Tabulação!$A$3:$J$15,10,0))</f>
        <v>0</v>
      </c>
      <c r="N125" s="40">
        <f>IF(N57=0,0,Tabulação!$E37*VLOOKUP(N$3,Tabulação!$A$3:$J$15,10,0))</f>
        <v>0</v>
      </c>
      <c r="O125" s="41"/>
      <c r="P125" s="41">
        <f t="shared" si="50"/>
        <v>0</v>
      </c>
    </row>
    <row r="126" spans="1:16" ht="30" hidden="1" customHeight="1" outlineLevel="1" thickBot="1" x14ac:dyDescent="0.3">
      <c r="A126" s="39" t="str">
        <f t="shared" si="47"/>
        <v/>
      </c>
      <c r="B126" s="39" t="str">
        <f t="shared" si="48"/>
        <v/>
      </c>
      <c r="C126" s="40">
        <f>IF(C58=0,0,Tabulação!$E38*VLOOKUP(C$3,Tabulação!$A$3:$J$15,10,0))</f>
        <v>0</v>
      </c>
      <c r="D126" s="40">
        <f>IF(D58=0,0,Tabulação!$E38*VLOOKUP(D$3,Tabulação!$A$3:$J$15,10,0))</f>
        <v>0</v>
      </c>
      <c r="E126" s="40">
        <f>IF(E58=0,0,Tabulação!$E38*VLOOKUP(E$3,Tabulação!$A$3:$J$15,10,0))</f>
        <v>0</v>
      </c>
      <c r="F126" s="40">
        <f>IF(F58=0,0,Tabulação!$E38*VLOOKUP(F$3,Tabulação!$A$3:$J$15,10,0))</f>
        <v>0</v>
      </c>
      <c r="G126" s="40">
        <f>IF(G58=0,0,Tabulação!$E38*VLOOKUP(G$3,Tabulação!$A$3:$J$15,10,0))</f>
        <v>0</v>
      </c>
      <c r="H126" s="40">
        <f>IF(H58=0,0,Tabulação!$E38*VLOOKUP(H$3,Tabulação!$A$3:$J$15,10,0))</f>
        <v>0</v>
      </c>
      <c r="I126" s="40">
        <f>IF(I58=0,0,Tabulação!$E38*VLOOKUP(I$3,Tabulação!$A$3:$J$15,10,0))</f>
        <v>0</v>
      </c>
      <c r="J126" s="40">
        <f>IF(J58=0,0,Tabulação!$E38*VLOOKUP(J$3,Tabulação!$A$3:$J$15,10,0))</f>
        <v>0</v>
      </c>
      <c r="K126" s="40">
        <f>IF(K58=0,0,Tabulação!$E38*VLOOKUP(K$3,Tabulação!$A$3:$J$15,10,0))</f>
        <v>0</v>
      </c>
      <c r="L126" s="40">
        <f>IF(L58=0,0,Tabulação!$E38*VLOOKUP(L$3,Tabulação!$A$3:$J$15,10,0))</f>
        <v>0</v>
      </c>
      <c r="M126" s="40">
        <f>IF(M58=0,0,Tabulação!$E38*VLOOKUP(M$3,Tabulação!$A$3:$J$15,10,0))</f>
        <v>0</v>
      </c>
      <c r="N126" s="40">
        <f>IF(N58=0,0,Tabulação!$E38*VLOOKUP(N$3,Tabulação!$A$3:$J$15,10,0))</f>
        <v>0</v>
      </c>
      <c r="O126" s="41"/>
      <c r="P126" s="41">
        <f t="shared" si="50"/>
        <v>0</v>
      </c>
    </row>
    <row r="127" spans="1:16" ht="30" hidden="1" customHeight="1" outlineLevel="1" thickBot="1" x14ac:dyDescent="0.3">
      <c r="A127" s="39" t="str">
        <f t="shared" si="47"/>
        <v/>
      </c>
      <c r="B127" s="39" t="str">
        <f t="shared" si="48"/>
        <v/>
      </c>
      <c r="C127" s="40">
        <f>IF(C59=0,0,Tabulação!$E39*VLOOKUP(C$3,Tabulação!$A$3:$J$15,10,0))</f>
        <v>0</v>
      </c>
      <c r="D127" s="40">
        <f>IF(D59=0,0,Tabulação!$E39*VLOOKUP(D$3,Tabulação!$A$3:$J$15,10,0))</f>
        <v>0</v>
      </c>
      <c r="E127" s="40">
        <f>IF(E59=0,0,Tabulação!$E39*VLOOKUP(E$3,Tabulação!$A$3:$J$15,10,0))</f>
        <v>0</v>
      </c>
      <c r="F127" s="40">
        <f>IF(F59=0,0,Tabulação!$E39*VLOOKUP(F$3,Tabulação!$A$3:$J$15,10,0))</f>
        <v>0</v>
      </c>
      <c r="G127" s="40">
        <f>IF(G59=0,0,Tabulação!$E39*VLOOKUP(G$3,Tabulação!$A$3:$J$15,10,0))</f>
        <v>0</v>
      </c>
      <c r="H127" s="40">
        <f>IF(H59=0,0,Tabulação!$E39*VLOOKUP(H$3,Tabulação!$A$3:$J$15,10,0))</f>
        <v>0</v>
      </c>
      <c r="I127" s="40">
        <f>IF(I59=0,0,Tabulação!$E39*VLOOKUP(I$3,Tabulação!$A$3:$J$15,10,0))</f>
        <v>0</v>
      </c>
      <c r="J127" s="40">
        <f>IF(J59=0,0,Tabulação!$E39*VLOOKUP(J$3,Tabulação!$A$3:$J$15,10,0))</f>
        <v>0</v>
      </c>
      <c r="K127" s="40">
        <f>IF(K59=0,0,Tabulação!$E39*VLOOKUP(K$3,Tabulação!$A$3:$J$15,10,0))</f>
        <v>0</v>
      </c>
      <c r="L127" s="40">
        <f>IF(L59=0,0,Tabulação!$E39*VLOOKUP(L$3,Tabulação!$A$3:$J$15,10,0))</f>
        <v>0</v>
      </c>
      <c r="M127" s="40">
        <f>IF(M59=0,0,Tabulação!$E39*VLOOKUP(M$3,Tabulação!$A$3:$J$15,10,0))</f>
        <v>0</v>
      </c>
      <c r="N127" s="40">
        <f>IF(N59=0,0,Tabulação!$E39*VLOOKUP(N$3,Tabulação!$A$3:$J$15,10,0))</f>
        <v>0</v>
      </c>
      <c r="O127" s="41"/>
      <c r="P127" s="41">
        <f t="shared" si="50"/>
        <v>0</v>
      </c>
    </row>
    <row r="128" spans="1:16" ht="30" hidden="1" customHeight="1" outlineLevel="1" thickBot="1" x14ac:dyDescent="0.3">
      <c r="A128" s="39" t="str">
        <f t="shared" si="47"/>
        <v/>
      </c>
      <c r="B128" s="39" t="str">
        <f t="shared" si="48"/>
        <v/>
      </c>
      <c r="C128" s="40">
        <f>IF(C60=0,0,Tabulação!$E40*VLOOKUP(C$3,Tabulação!$A$3:$J$15,10,0))</f>
        <v>0</v>
      </c>
      <c r="D128" s="40">
        <f>IF(D60=0,0,Tabulação!$E40*VLOOKUP(D$3,Tabulação!$A$3:$J$15,10,0))</f>
        <v>0</v>
      </c>
      <c r="E128" s="40">
        <f>IF(E60=0,0,Tabulação!$E40*VLOOKUP(E$3,Tabulação!$A$3:$J$15,10,0))</f>
        <v>0</v>
      </c>
      <c r="F128" s="40">
        <f>IF(F60=0,0,Tabulação!$E40*VLOOKUP(F$3,Tabulação!$A$3:$J$15,10,0))</f>
        <v>0</v>
      </c>
      <c r="G128" s="40">
        <f>IF(G60=0,0,Tabulação!$E40*VLOOKUP(G$3,Tabulação!$A$3:$J$15,10,0))</f>
        <v>0</v>
      </c>
      <c r="H128" s="40">
        <f>IF(H60=0,0,Tabulação!$E40*VLOOKUP(H$3,Tabulação!$A$3:$J$15,10,0))</f>
        <v>0</v>
      </c>
      <c r="I128" s="40">
        <f>IF(I60=0,0,Tabulação!$E40*VLOOKUP(I$3,Tabulação!$A$3:$J$15,10,0))</f>
        <v>0</v>
      </c>
      <c r="J128" s="40">
        <f>IF(J60=0,0,Tabulação!$E40*VLOOKUP(J$3,Tabulação!$A$3:$J$15,10,0))</f>
        <v>0</v>
      </c>
      <c r="K128" s="40">
        <f>IF(K60=0,0,Tabulação!$E40*VLOOKUP(K$3,Tabulação!$A$3:$J$15,10,0))</f>
        <v>0</v>
      </c>
      <c r="L128" s="40">
        <f>IF(L60=0,0,Tabulação!$E40*VLOOKUP(L$3,Tabulação!$A$3:$J$15,10,0))</f>
        <v>0</v>
      </c>
      <c r="M128" s="40">
        <f>IF(M60=0,0,Tabulação!$E40*VLOOKUP(M$3,Tabulação!$A$3:$J$15,10,0))</f>
        <v>0</v>
      </c>
      <c r="N128" s="40">
        <f>IF(N60=0,0,Tabulação!$E40*VLOOKUP(N$3,Tabulação!$A$3:$J$15,10,0))</f>
        <v>0</v>
      </c>
      <c r="O128" s="41"/>
      <c r="P128" s="41">
        <f t="shared" si="50"/>
        <v>0</v>
      </c>
    </row>
    <row r="129" spans="1:17" ht="30" hidden="1" customHeight="1" outlineLevel="1" thickBot="1" x14ac:dyDescent="0.3">
      <c r="A129" s="39" t="str">
        <f t="shared" si="47"/>
        <v/>
      </c>
      <c r="B129" s="39" t="str">
        <f t="shared" si="48"/>
        <v/>
      </c>
      <c r="C129" s="40">
        <f>IF(C61=0,0,Tabulação!$E41*VLOOKUP(C$3,Tabulação!$A$3:$J$15,10,0))</f>
        <v>0</v>
      </c>
      <c r="D129" s="40">
        <f>IF(D61=0,0,Tabulação!$E41*VLOOKUP(D$3,Tabulação!$A$3:$J$15,10,0))</f>
        <v>0</v>
      </c>
      <c r="E129" s="40">
        <f>IF(E61=0,0,Tabulação!$E41*VLOOKUP(E$3,Tabulação!$A$3:$J$15,10,0))</f>
        <v>0</v>
      </c>
      <c r="F129" s="40">
        <f>IF(F61=0,0,Tabulação!$E41*VLOOKUP(F$3,Tabulação!$A$3:$J$15,10,0))</f>
        <v>0</v>
      </c>
      <c r="G129" s="40">
        <f>IF(G61=0,0,Tabulação!$E41*VLOOKUP(G$3,Tabulação!$A$3:$J$15,10,0))</f>
        <v>0</v>
      </c>
      <c r="H129" s="40">
        <f>IF(H61=0,0,Tabulação!$E41*VLOOKUP(H$3,Tabulação!$A$3:$J$15,10,0))</f>
        <v>0</v>
      </c>
      <c r="I129" s="40">
        <f>IF(I61=0,0,Tabulação!$E41*VLOOKUP(I$3,Tabulação!$A$3:$J$15,10,0))</f>
        <v>0</v>
      </c>
      <c r="J129" s="40">
        <f>IF(J61=0,0,Tabulação!$E41*VLOOKUP(J$3,Tabulação!$A$3:$J$15,10,0))</f>
        <v>0</v>
      </c>
      <c r="K129" s="40">
        <f>IF(K61=0,0,Tabulação!$E41*VLOOKUP(K$3,Tabulação!$A$3:$J$15,10,0))</f>
        <v>0</v>
      </c>
      <c r="L129" s="40">
        <f>IF(L61=0,0,Tabulação!$E41*VLOOKUP(L$3,Tabulação!$A$3:$J$15,10,0))</f>
        <v>0</v>
      </c>
      <c r="M129" s="40">
        <f>IF(M61=0,0,Tabulação!$E41*VLOOKUP(M$3,Tabulação!$A$3:$J$15,10,0))</f>
        <v>0</v>
      </c>
      <c r="N129" s="40">
        <f>IF(N61=0,0,Tabulação!$E41*VLOOKUP(N$3,Tabulação!$A$3:$J$15,10,0))</f>
        <v>0</v>
      </c>
      <c r="O129" s="41"/>
      <c r="P129" s="41">
        <f t="shared" si="50"/>
        <v>0</v>
      </c>
    </row>
    <row r="130" spans="1:17" ht="30" hidden="1" customHeight="1" outlineLevel="1" thickBot="1" x14ac:dyDescent="0.3">
      <c r="A130" s="39" t="str">
        <f>IF($A62="","",$A62)</f>
        <v/>
      </c>
      <c r="B130" s="39" t="str">
        <f>IF($B62="","",$B62)</f>
        <v/>
      </c>
      <c r="C130" s="40">
        <f>IF(C62=0,0,Tabulação!$E42*VLOOKUP(C$3,Tabulação!$A$3:$J$15,10,0))</f>
        <v>0</v>
      </c>
      <c r="D130" s="40">
        <f>IF(D62=0,0,Tabulação!$E42*VLOOKUP(D$3,Tabulação!$A$3:$J$15,10,0))</f>
        <v>0</v>
      </c>
      <c r="E130" s="40">
        <f>IF(E62=0,0,Tabulação!$E42*VLOOKUP(E$3,Tabulação!$A$3:$J$15,10,0))</f>
        <v>0</v>
      </c>
      <c r="F130" s="40">
        <f>IF(F62=0,0,Tabulação!$E42*VLOOKUP(F$3,Tabulação!$A$3:$J$15,10,0))</f>
        <v>0</v>
      </c>
      <c r="G130" s="40">
        <f>IF(G62=0,0,Tabulação!$E42*VLOOKUP(G$3,Tabulação!$A$3:$J$15,10,0))</f>
        <v>0</v>
      </c>
      <c r="H130" s="40">
        <f>IF(H62=0,0,Tabulação!$E42*VLOOKUP(H$3,Tabulação!$A$3:$J$15,10,0))</f>
        <v>0</v>
      </c>
      <c r="I130" s="40">
        <f>IF(I62=0,0,Tabulação!$E42*VLOOKUP(I$3,Tabulação!$A$3:$J$15,10,0))</f>
        <v>0</v>
      </c>
      <c r="J130" s="40">
        <f>IF(J62=0,0,Tabulação!$E42*VLOOKUP(J$3,Tabulação!$A$3:$J$15,10,0))</f>
        <v>0</v>
      </c>
      <c r="K130" s="40">
        <f>IF(K62=0,0,Tabulação!$E42*VLOOKUP(K$3,Tabulação!$A$3:$J$15,10,0))</f>
        <v>0</v>
      </c>
      <c r="L130" s="40">
        <f>IF(L62=0,0,Tabulação!$E42*VLOOKUP(L$3,Tabulação!$A$3:$J$15,10,0))</f>
        <v>0</v>
      </c>
      <c r="M130" s="40">
        <f>IF(M62=0,0,Tabulação!$E42*VLOOKUP(M$3,Tabulação!$A$3:$J$15,10,0))</f>
        <v>0</v>
      </c>
      <c r="N130" s="40">
        <f>IF(N62=0,0,Tabulação!$E42*VLOOKUP(N$3,Tabulação!$A$3:$J$15,10,0))</f>
        <v>0</v>
      </c>
      <c r="O130" s="41"/>
      <c r="P130" s="41">
        <f t="shared" si="50"/>
        <v>0</v>
      </c>
    </row>
    <row r="131" spans="1:17" ht="30" hidden="1" customHeight="1" outlineLevel="1" thickBot="1" x14ac:dyDescent="0.3">
      <c r="A131" s="39" t="str">
        <f t="shared" si="47"/>
        <v/>
      </c>
      <c r="B131" s="39" t="str">
        <f t="shared" si="48"/>
        <v/>
      </c>
      <c r="C131" s="40">
        <f>IF(C63=0,0,Tabulação!$E43*VLOOKUP(C$3,Tabulação!$A$3:$J$15,10,0))</f>
        <v>0</v>
      </c>
      <c r="D131" s="40">
        <f>IF(D63=0,0,Tabulação!$E43*VLOOKUP(D$3,Tabulação!$A$3:$J$15,10,0))</f>
        <v>0</v>
      </c>
      <c r="E131" s="40">
        <f>IF(E63=0,0,Tabulação!$E43*VLOOKUP(E$3,Tabulação!$A$3:$J$15,10,0))</f>
        <v>0</v>
      </c>
      <c r="F131" s="40">
        <f>IF(F63=0,0,Tabulação!$E43*VLOOKUP(F$3,Tabulação!$A$3:$J$15,10,0))</f>
        <v>0</v>
      </c>
      <c r="G131" s="40">
        <f>IF(G63=0,0,Tabulação!$E43*VLOOKUP(G$3,Tabulação!$A$3:$J$15,10,0))</f>
        <v>0</v>
      </c>
      <c r="H131" s="40">
        <f>IF(H63=0,0,Tabulação!$E43*VLOOKUP(H$3,Tabulação!$A$3:$J$15,10,0))</f>
        <v>0</v>
      </c>
      <c r="I131" s="40">
        <f>IF(I63=0,0,Tabulação!$E43*VLOOKUP(I$3,Tabulação!$A$3:$J$15,10,0))</f>
        <v>0</v>
      </c>
      <c r="J131" s="40">
        <f>IF(J63=0,0,Tabulação!$E43*VLOOKUP(J$3,Tabulação!$A$3:$J$15,10,0))</f>
        <v>0</v>
      </c>
      <c r="K131" s="40">
        <f>IF(K63=0,0,Tabulação!$E43*VLOOKUP(K$3,Tabulação!$A$3:$J$15,10,0))</f>
        <v>0</v>
      </c>
      <c r="L131" s="40">
        <f>IF(L63=0,0,Tabulação!$E43*VLOOKUP(L$3,Tabulação!$A$3:$J$15,10,0))</f>
        <v>0</v>
      </c>
      <c r="M131" s="40">
        <f>IF(M63=0,0,Tabulação!$E43*VLOOKUP(M$3,Tabulação!$A$3:$J$15,10,0))</f>
        <v>0</v>
      </c>
      <c r="N131" s="40">
        <f>IF(N63=0,0,Tabulação!$E43*VLOOKUP(N$3,Tabulação!$A$3:$J$15,10,0))</f>
        <v>0</v>
      </c>
      <c r="O131" s="41"/>
      <c r="P131" s="41">
        <f t="shared" si="50"/>
        <v>0</v>
      </c>
    </row>
    <row r="132" spans="1:17" ht="30" hidden="1" customHeight="1" outlineLevel="1" thickBot="1" x14ac:dyDescent="0.3">
      <c r="A132" s="39" t="str">
        <f t="shared" si="47"/>
        <v/>
      </c>
      <c r="B132" s="39" t="str">
        <f t="shared" si="48"/>
        <v/>
      </c>
      <c r="C132" s="40">
        <f>IF(C64=0,0,Tabulação!$E44*VLOOKUP(C$3,Tabulação!$A$3:$J$15,10,0))</f>
        <v>0</v>
      </c>
      <c r="D132" s="40">
        <f>IF(D64=0,0,Tabulação!$E44*VLOOKUP(D$3,Tabulação!$A$3:$J$15,10,0))</f>
        <v>0</v>
      </c>
      <c r="E132" s="40">
        <f>IF(E64=0,0,Tabulação!$E44*VLOOKUP(E$3,Tabulação!$A$3:$J$15,10,0))</f>
        <v>0</v>
      </c>
      <c r="F132" s="40">
        <f>IF(F64=0,0,Tabulação!$E44*VLOOKUP(F$3,Tabulação!$A$3:$J$15,10,0))</f>
        <v>0</v>
      </c>
      <c r="G132" s="40">
        <f>IF(G64=0,0,Tabulação!$E44*VLOOKUP(G$3,Tabulação!$A$3:$J$15,10,0))</f>
        <v>0</v>
      </c>
      <c r="H132" s="40">
        <f>IF(H64=0,0,Tabulação!$E44*VLOOKUP(H$3,Tabulação!$A$3:$J$15,10,0))</f>
        <v>0</v>
      </c>
      <c r="I132" s="40">
        <f>IF(I64=0,0,Tabulação!$E44*VLOOKUP(I$3,Tabulação!$A$3:$J$15,10,0))</f>
        <v>0</v>
      </c>
      <c r="J132" s="40">
        <f>IF(J64=0,0,Tabulação!$E44*VLOOKUP(J$3,Tabulação!$A$3:$J$15,10,0))</f>
        <v>0</v>
      </c>
      <c r="K132" s="40">
        <f>IF(K64=0,0,Tabulação!$E44*VLOOKUP(K$3,Tabulação!$A$3:$J$15,10,0))</f>
        <v>0</v>
      </c>
      <c r="L132" s="40">
        <f>IF(L64=0,0,Tabulação!$E44*VLOOKUP(L$3,Tabulação!$A$3:$J$15,10,0))</f>
        <v>0</v>
      </c>
      <c r="M132" s="40">
        <f>IF(M64=0,0,Tabulação!$E44*VLOOKUP(M$3,Tabulação!$A$3:$J$15,10,0))</f>
        <v>0</v>
      </c>
      <c r="N132" s="40">
        <f>IF(N64=0,0,Tabulação!$E44*VLOOKUP(N$3,Tabulação!$A$3:$J$15,10,0))</f>
        <v>0</v>
      </c>
      <c r="O132" s="41"/>
      <c r="P132" s="41">
        <f t="shared" si="50"/>
        <v>0</v>
      </c>
    </row>
    <row r="133" spans="1:17" ht="30" hidden="1" customHeight="1" outlineLevel="1" thickBot="1" x14ac:dyDescent="0.3">
      <c r="A133" s="39" t="str">
        <f t="shared" si="47"/>
        <v/>
      </c>
      <c r="B133" s="39" t="str">
        <f t="shared" si="48"/>
        <v/>
      </c>
      <c r="C133" s="40">
        <f>IF(C65=0,0,Tabulação!$E45*VLOOKUP(C$3,Tabulação!$A$3:$J$15,10,0))</f>
        <v>0</v>
      </c>
      <c r="D133" s="40">
        <f>IF(D65=0,0,Tabulação!$E45*VLOOKUP(D$3,Tabulação!$A$3:$J$15,10,0))</f>
        <v>0</v>
      </c>
      <c r="E133" s="40">
        <f>IF(E65=0,0,Tabulação!$E45*VLOOKUP(E$3,Tabulação!$A$3:$J$15,10,0))</f>
        <v>0</v>
      </c>
      <c r="F133" s="40">
        <f>IF(F65=0,0,Tabulação!$E45*VLOOKUP(F$3,Tabulação!$A$3:$J$15,10,0))</f>
        <v>0</v>
      </c>
      <c r="G133" s="40">
        <f>IF(G65=0,0,Tabulação!$E45*VLOOKUP(G$3,Tabulação!$A$3:$J$15,10,0))</f>
        <v>0</v>
      </c>
      <c r="H133" s="40">
        <f>IF(H65=0,0,Tabulação!$E45*VLOOKUP(H$3,Tabulação!$A$3:$J$15,10,0))</f>
        <v>0</v>
      </c>
      <c r="I133" s="40">
        <f>IF(I65=0,0,Tabulação!$E45*VLOOKUP(I$3,Tabulação!$A$3:$J$15,10,0))</f>
        <v>0</v>
      </c>
      <c r="J133" s="40">
        <f>IF(J65=0,0,Tabulação!$E45*VLOOKUP(J$3,Tabulação!$A$3:$J$15,10,0))</f>
        <v>0</v>
      </c>
      <c r="K133" s="40">
        <f>IF(K65=0,0,Tabulação!$E45*VLOOKUP(K$3,Tabulação!$A$3:$J$15,10,0))</f>
        <v>0</v>
      </c>
      <c r="L133" s="40">
        <f>IF(L65=0,0,Tabulação!$E45*VLOOKUP(L$3,Tabulação!$A$3:$J$15,10,0))</f>
        <v>0</v>
      </c>
      <c r="M133" s="40">
        <f>IF(M65=0,0,Tabulação!$E45*VLOOKUP(M$3,Tabulação!$A$3:$J$15,10,0))</f>
        <v>0</v>
      </c>
      <c r="N133" s="40">
        <f>IF(N65=0,0,Tabulação!$E45*VLOOKUP(N$3,Tabulação!$A$3:$J$15,10,0))</f>
        <v>0</v>
      </c>
      <c r="O133" s="41"/>
      <c r="P133" s="41">
        <f t="shared" si="50"/>
        <v>0</v>
      </c>
    </row>
    <row r="134" spans="1:17" ht="30" hidden="1" customHeight="1" outlineLevel="1" thickBot="1" x14ac:dyDescent="0.3">
      <c r="A134" s="39" t="str">
        <f t="shared" si="47"/>
        <v/>
      </c>
      <c r="B134" s="39" t="str">
        <f t="shared" si="48"/>
        <v/>
      </c>
      <c r="C134" s="40">
        <f>IF(C66=0,0,Tabulação!$E46*VLOOKUP(C$3,Tabulação!$A$3:$J$15,10,0))</f>
        <v>0</v>
      </c>
      <c r="D134" s="40">
        <f>IF(D66=0,0,Tabulação!$E46*VLOOKUP(D$3,Tabulação!$A$3:$J$15,10,0))</f>
        <v>0</v>
      </c>
      <c r="E134" s="40">
        <f>IF(E66=0,0,Tabulação!$E46*VLOOKUP(E$3,Tabulação!$A$3:$J$15,10,0))</f>
        <v>0</v>
      </c>
      <c r="F134" s="40">
        <f>IF(F66=0,0,Tabulação!$E46*VLOOKUP(F$3,Tabulação!$A$3:$J$15,10,0))</f>
        <v>0</v>
      </c>
      <c r="G134" s="40">
        <f>IF(G66=0,0,Tabulação!$E46*VLOOKUP(G$3,Tabulação!$A$3:$J$15,10,0))</f>
        <v>0</v>
      </c>
      <c r="H134" s="40">
        <f>IF(H66=0,0,Tabulação!$E46*VLOOKUP(H$3,Tabulação!$A$3:$J$15,10,0))</f>
        <v>0</v>
      </c>
      <c r="I134" s="40">
        <f>IF(I66=0,0,Tabulação!$E46*VLOOKUP(I$3,Tabulação!$A$3:$J$15,10,0))</f>
        <v>0</v>
      </c>
      <c r="J134" s="40">
        <f>IF(J66=0,0,Tabulação!$E46*VLOOKUP(J$3,Tabulação!$A$3:$J$15,10,0))</f>
        <v>0</v>
      </c>
      <c r="K134" s="40">
        <f>IF(K66=0,0,Tabulação!$E46*VLOOKUP(K$3,Tabulação!$A$3:$J$15,10,0))</f>
        <v>0</v>
      </c>
      <c r="L134" s="40">
        <f>IF(L66=0,0,Tabulação!$E46*VLOOKUP(L$3,Tabulação!$A$3:$J$15,10,0))</f>
        <v>0</v>
      </c>
      <c r="M134" s="40">
        <f>IF(M66=0,0,Tabulação!$E46*VLOOKUP(M$3,Tabulação!$A$3:$J$15,10,0))</f>
        <v>0</v>
      </c>
      <c r="N134" s="40">
        <f>IF(N66=0,0,Tabulação!$E46*VLOOKUP(N$3,Tabulação!$A$3:$J$15,10,0))</f>
        <v>0</v>
      </c>
      <c r="O134" s="41"/>
      <c r="P134" s="41">
        <f t="shared" si="50"/>
        <v>0</v>
      </c>
    </row>
    <row r="135" spans="1:17" ht="30" hidden="1" customHeight="1" outlineLevel="1" thickBot="1" x14ac:dyDescent="0.3">
      <c r="A135" s="39" t="str">
        <f>IF($A67="","",$A67)</f>
        <v/>
      </c>
      <c r="B135" s="39" t="str">
        <f>IF($B67="","",$B67)</f>
        <v/>
      </c>
      <c r="C135" s="40">
        <f>IF(C67=0,0,Tabulação!$E47*VLOOKUP(C$3,Tabulação!$A$3:$J$15,10,0))</f>
        <v>0</v>
      </c>
      <c r="D135" s="40">
        <f>IF(D67=0,0,Tabulação!$E47*VLOOKUP(D$3,Tabulação!$A$3:$J$15,10,0))</f>
        <v>0</v>
      </c>
      <c r="E135" s="40">
        <f>IF(E67=0,0,Tabulação!$E47*VLOOKUP(E$3,Tabulação!$A$3:$J$15,10,0))</f>
        <v>0</v>
      </c>
      <c r="F135" s="40">
        <f>IF(F67=0,0,Tabulação!$E47*VLOOKUP(F$3,Tabulação!$A$3:$J$15,10,0))</f>
        <v>0</v>
      </c>
      <c r="G135" s="40">
        <f>IF(G67=0,0,Tabulação!$E47*VLOOKUP(G$3,Tabulação!$A$3:$J$15,10,0))</f>
        <v>0</v>
      </c>
      <c r="H135" s="40">
        <f>IF(H67=0,0,Tabulação!$E47*VLOOKUP(H$3,Tabulação!$A$3:$J$15,10,0))</f>
        <v>0</v>
      </c>
      <c r="I135" s="40">
        <f>IF(I67=0,0,Tabulação!$E47*VLOOKUP(I$3,Tabulação!$A$3:$J$15,10,0))</f>
        <v>0</v>
      </c>
      <c r="J135" s="40">
        <f>IF(J67=0,0,Tabulação!$E47*VLOOKUP(J$3,Tabulação!$A$3:$J$15,10,0))</f>
        <v>0</v>
      </c>
      <c r="K135" s="40">
        <f>IF(K67=0,0,Tabulação!$E47*VLOOKUP(K$3,Tabulação!$A$3:$J$15,10,0))</f>
        <v>0</v>
      </c>
      <c r="L135" s="40">
        <f>IF(L67=0,0,Tabulação!$E47*VLOOKUP(L$3,Tabulação!$A$3:$J$15,10,0))</f>
        <v>0</v>
      </c>
      <c r="M135" s="40">
        <f>IF(M67=0,0,Tabulação!$E47*VLOOKUP(M$3,Tabulação!$A$3:$J$15,10,0))</f>
        <v>0</v>
      </c>
      <c r="N135" s="40">
        <f>IF(N67=0,0,Tabulação!$E47*VLOOKUP(N$3,Tabulação!$A$3:$J$15,10,0))</f>
        <v>0</v>
      </c>
      <c r="O135" s="41"/>
      <c r="P135" s="41">
        <f t="shared" si="50"/>
        <v>0</v>
      </c>
    </row>
    <row r="136" spans="1:17" ht="30" hidden="1" customHeight="1" outlineLevel="1" thickBot="1" x14ac:dyDescent="0.3">
      <c r="A136" s="39" t="str">
        <f t="shared" si="47"/>
        <v/>
      </c>
      <c r="B136" s="39" t="str">
        <f t="shared" si="48"/>
        <v/>
      </c>
      <c r="C136" s="40">
        <f>IF(C68=0,0,Tabulação!$E48*VLOOKUP(C$3,Tabulação!$A$3:$J$15,10,0))</f>
        <v>0</v>
      </c>
      <c r="D136" s="40">
        <f>IF(D68=0,0,Tabulação!$E48*VLOOKUP(D$3,Tabulação!$A$3:$J$15,10,0))</f>
        <v>0</v>
      </c>
      <c r="E136" s="40">
        <f>IF(E68=0,0,Tabulação!$E48*VLOOKUP(E$3,Tabulação!$A$3:$J$15,10,0))</f>
        <v>0</v>
      </c>
      <c r="F136" s="40">
        <f>IF(F68=0,0,Tabulação!$E48*VLOOKUP(F$3,Tabulação!$A$3:$J$15,10,0))</f>
        <v>0</v>
      </c>
      <c r="G136" s="40">
        <f>IF(G68=0,0,Tabulação!$E48*VLOOKUP(G$3,Tabulação!$A$3:$J$15,10,0))</f>
        <v>0</v>
      </c>
      <c r="H136" s="40">
        <f>IF(H68=0,0,Tabulação!$E48*VLOOKUP(H$3,Tabulação!$A$3:$J$15,10,0))</f>
        <v>0</v>
      </c>
      <c r="I136" s="40">
        <f>IF(I68=0,0,Tabulação!$E48*VLOOKUP(I$3,Tabulação!$A$3:$J$15,10,0))</f>
        <v>0</v>
      </c>
      <c r="J136" s="40">
        <f>IF(J68=0,0,Tabulação!$E48*VLOOKUP(J$3,Tabulação!$A$3:$J$15,10,0))</f>
        <v>0</v>
      </c>
      <c r="K136" s="40">
        <f>IF(K68=0,0,Tabulação!$E48*VLOOKUP(K$3,Tabulação!$A$3:$J$15,10,0))</f>
        <v>0</v>
      </c>
      <c r="L136" s="40">
        <f>IF(L68=0,0,Tabulação!$E48*VLOOKUP(L$3,Tabulação!$A$3:$J$15,10,0))</f>
        <v>0</v>
      </c>
      <c r="M136" s="40">
        <f>IF(M68=0,0,Tabulação!$E48*VLOOKUP(M$3,Tabulação!$A$3:$J$15,10,0))</f>
        <v>0</v>
      </c>
      <c r="N136" s="40">
        <f>IF(N68=0,0,Tabulação!$E48*VLOOKUP(N$3,Tabulação!$A$3:$J$15,10,0))</f>
        <v>0</v>
      </c>
      <c r="O136" s="41"/>
      <c r="P136" s="41">
        <f t="shared" si="50"/>
        <v>0</v>
      </c>
    </row>
    <row r="137" spans="1:17" ht="30" hidden="1" customHeight="1" outlineLevel="1" thickBot="1" x14ac:dyDescent="0.3">
      <c r="A137" s="39" t="str">
        <f>IF($A69="","",$A69)</f>
        <v/>
      </c>
      <c r="B137" s="39" t="str">
        <f>IF($B69="","",$B69)</f>
        <v/>
      </c>
      <c r="C137" s="40">
        <f>IF(C69=0,0,Tabulação!$E49*VLOOKUP(C$3,Tabulação!$A$3:$J$15,10,0))</f>
        <v>0</v>
      </c>
      <c r="D137" s="40">
        <f>IF(D69=0,0,Tabulação!$E49*VLOOKUP(D$3,Tabulação!$A$3:$J$15,10,0))</f>
        <v>0</v>
      </c>
      <c r="E137" s="40">
        <f>IF(E69=0,0,Tabulação!$E49*VLOOKUP(E$3,Tabulação!$A$3:$J$15,10,0))</f>
        <v>0</v>
      </c>
      <c r="F137" s="40">
        <f>IF(F69=0,0,Tabulação!$E49*VLOOKUP(F$3,Tabulação!$A$3:$J$15,10,0))</f>
        <v>0</v>
      </c>
      <c r="G137" s="40">
        <f>IF(G69=0,0,Tabulação!$E49*VLOOKUP(G$3,Tabulação!$A$3:$J$15,10,0))</f>
        <v>0</v>
      </c>
      <c r="H137" s="40">
        <f>IF(H69=0,0,Tabulação!$E49*VLOOKUP(H$3,Tabulação!$A$3:$J$15,10,0))</f>
        <v>0</v>
      </c>
      <c r="I137" s="40">
        <f>IF(I69=0,0,Tabulação!$E49*VLOOKUP(I$3,Tabulação!$A$3:$J$15,10,0))</f>
        <v>0</v>
      </c>
      <c r="J137" s="40">
        <f>IF(J69=0,0,Tabulação!$E49*VLOOKUP(J$3,Tabulação!$A$3:$J$15,10,0))</f>
        <v>0</v>
      </c>
      <c r="K137" s="40">
        <f>IF(K69=0,0,Tabulação!$E49*VLOOKUP(K$3,Tabulação!$A$3:$J$15,10,0))</f>
        <v>0</v>
      </c>
      <c r="L137" s="40">
        <f>IF(L69=0,0,Tabulação!$E49*VLOOKUP(L$3,Tabulação!$A$3:$J$15,10,0))</f>
        <v>0</v>
      </c>
      <c r="M137" s="40">
        <f>IF(M69=0,0,Tabulação!$E49*VLOOKUP(M$3,Tabulação!$A$3:$J$15,10,0))</f>
        <v>0</v>
      </c>
      <c r="N137" s="40">
        <f>IF(N69=0,0,Tabulação!$E49*VLOOKUP(N$3,Tabulação!$A$3:$J$15,10,0))</f>
        <v>0</v>
      </c>
      <c r="O137" s="41"/>
      <c r="P137" s="41">
        <f t="shared" si="50"/>
        <v>0</v>
      </c>
    </row>
    <row r="138" spans="1:17" ht="30" hidden="1" customHeight="1" outlineLevel="1" thickBot="1" x14ac:dyDescent="0.3">
      <c r="A138" s="39" t="str">
        <f>IF($A70="","",$A70)</f>
        <v/>
      </c>
      <c r="B138" s="39" t="str">
        <f>IF($B70="","",$B70)</f>
        <v/>
      </c>
      <c r="C138" s="40">
        <f>IF(C70=0,0,Tabulação!$E50*VLOOKUP(C$3,Tabulação!$A$3:$J$15,10,0))</f>
        <v>0</v>
      </c>
      <c r="D138" s="40">
        <f>IF(D70=0,0,Tabulação!$E50*VLOOKUP(D$3,Tabulação!$A$3:$J$15,10,0))</f>
        <v>0</v>
      </c>
      <c r="E138" s="40">
        <f>IF(E70=0,0,Tabulação!$E50*VLOOKUP(E$3,Tabulação!$A$3:$J$15,10,0))</f>
        <v>0</v>
      </c>
      <c r="F138" s="40">
        <f>IF(F70=0,0,Tabulação!$E50*VLOOKUP(F$3,Tabulação!$A$3:$J$15,10,0))</f>
        <v>0</v>
      </c>
      <c r="G138" s="40">
        <f>IF(G70=0,0,Tabulação!$E50*VLOOKUP(G$3,Tabulação!$A$3:$J$15,10,0))</f>
        <v>0</v>
      </c>
      <c r="H138" s="40">
        <f>IF(H70=0,0,Tabulação!$E50*VLOOKUP(H$3,Tabulação!$A$3:$J$15,10,0))</f>
        <v>0</v>
      </c>
      <c r="I138" s="40">
        <f>IF(I70=0,0,Tabulação!$E50*VLOOKUP(I$3,Tabulação!$A$3:$J$15,10,0))</f>
        <v>0</v>
      </c>
      <c r="J138" s="40">
        <f>IF(J70=0,0,Tabulação!$E50*VLOOKUP(J$3,Tabulação!$A$3:$J$15,10,0))</f>
        <v>0</v>
      </c>
      <c r="K138" s="40">
        <f>IF(K70=0,0,Tabulação!$E50*VLOOKUP(K$3,Tabulação!$A$3:$J$15,10,0))</f>
        <v>0</v>
      </c>
      <c r="L138" s="40">
        <f>IF(L70=0,0,Tabulação!$E50*VLOOKUP(L$3,Tabulação!$A$3:$J$15,10,0))</f>
        <v>0</v>
      </c>
      <c r="M138" s="40">
        <f>IF(M70=0,0,Tabulação!$E50*VLOOKUP(M$3,Tabulação!$A$3:$J$15,10,0))</f>
        <v>0</v>
      </c>
      <c r="N138" s="40">
        <f>IF(N70=0,0,Tabulação!$E50*VLOOKUP(N$3,Tabulação!$A$3:$J$15,10,0))</f>
        <v>0</v>
      </c>
      <c r="O138" s="41"/>
      <c r="P138" s="41">
        <f t="shared" si="50"/>
        <v>0</v>
      </c>
    </row>
    <row r="139" spans="1:17" ht="30" customHeight="1" collapsed="1" thickBot="1" x14ac:dyDescent="0.3">
      <c r="A139" s="61" t="s">
        <v>36</v>
      </c>
      <c r="B139" s="61"/>
      <c r="C139" s="42">
        <f>SUM(C108:C138)</f>
        <v>0</v>
      </c>
      <c r="D139" s="42">
        <f t="shared" ref="D139:N139" si="51">SUM(D108:D138)</f>
        <v>0</v>
      </c>
      <c r="E139" s="42">
        <f t="shared" si="51"/>
        <v>0</v>
      </c>
      <c r="F139" s="42">
        <f t="shared" si="51"/>
        <v>0</v>
      </c>
      <c r="G139" s="42">
        <f t="shared" si="51"/>
        <v>0</v>
      </c>
      <c r="H139" s="42">
        <f t="shared" si="51"/>
        <v>0</v>
      </c>
      <c r="I139" s="42">
        <f t="shared" si="51"/>
        <v>0</v>
      </c>
      <c r="J139" s="42">
        <f t="shared" si="51"/>
        <v>0</v>
      </c>
      <c r="K139" s="42">
        <f t="shared" si="51"/>
        <v>0</v>
      </c>
      <c r="L139" s="42">
        <f t="shared" si="51"/>
        <v>0</v>
      </c>
      <c r="M139" s="42">
        <f t="shared" si="51"/>
        <v>0</v>
      </c>
      <c r="N139" s="42">
        <f t="shared" si="51"/>
        <v>0</v>
      </c>
      <c r="O139" s="42"/>
      <c r="P139" s="42">
        <f t="shared" ref="P139" si="52">SUM(P108:P138)</f>
        <v>0</v>
      </c>
    </row>
    <row r="140" spans="1:17" ht="30" customHeight="1" thickBot="1" x14ac:dyDescent="0.3">
      <c r="A140" s="28"/>
      <c r="B140" s="28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30"/>
    </row>
    <row r="141" spans="1:17" ht="30" customHeight="1" thickBot="1" x14ac:dyDescent="0.3">
      <c r="A141" s="60" t="s">
        <v>44</v>
      </c>
      <c r="B141" s="60"/>
      <c r="C141" s="62" t="s">
        <v>44</v>
      </c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</row>
    <row r="142" spans="1:17" ht="30" hidden="1" customHeight="1" outlineLevel="1" thickBot="1" x14ac:dyDescent="0.3">
      <c r="A142" s="39" t="str">
        <f>IF($A74="","",$A74)</f>
        <v/>
      </c>
      <c r="B142" s="39" t="str">
        <f>IF($B74="","",$B74)</f>
        <v/>
      </c>
      <c r="C142" s="44">
        <f t="shared" ref="C142:P142" si="53">C6-C278-C176</f>
        <v>0</v>
      </c>
      <c r="D142" s="44">
        <f t="shared" si="53"/>
        <v>0</v>
      </c>
      <c r="E142" s="44">
        <f t="shared" si="53"/>
        <v>0</v>
      </c>
      <c r="F142" s="44">
        <f t="shared" si="53"/>
        <v>0</v>
      </c>
      <c r="G142" s="44">
        <f t="shared" si="53"/>
        <v>0</v>
      </c>
      <c r="H142" s="44">
        <f t="shared" si="53"/>
        <v>0</v>
      </c>
      <c r="I142" s="44">
        <f t="shared" si="53"/>
        <v>0</v>
      </c>
      <c r="J142" s="44">
        <f t="shared" si="53"/>
        <v>0</v>
      </c>
      <c r="K142" s="44">
        <f t="shared" si="53"/>
        <v>0</v>
      </c>
      <c r="L142" s="44">
        <f t="shared" si="53"/>
        <v>0</v>
      </c>
      <c r="M142" s="44">
        <f t="shared" si="53"/>
        <v>0</v>
      </c>
      <c r="N142" s="44">
        <f t="shared" si="53"/>
        <v>0</v>
      </c>
      <c r="O142" s="44">
        <f t="shared" si="53"/>
        <v>0</v>
      </c>
      <c r="P142" s="44">
        <f t="shared" si="53"/>
        <v>0</v>
      </c>
    </row>
    <row r="143" spans="1:17" ht="30" hidden="1" customHeight="1" outlineLevel="1" thickBot="1" x14ac:dyDescent="0.3">
      <c r="A143" s="39" t="str">
        <f t="shared" ref="A143:A170" si="54">IF($A75="","",$A75)</f>
        <v/>
      </c>
      <c r="B143" s="39" t="str">
        <f t="shared" ref="B143:B170" si="55">IF($B75="","",$B75)</f>
        <v/>
      </c>
      <c r="C143" s="44">
        <f t="shared" ref="C143:P143" si="56">C7-C279-C177</f>
        <v>0</v>
      </c>
      <c r="D143" s="44">
        <f t="shared" si="56"/>
        <v>0</v>
      </c>
      <c r="E143" s="44">
        <f t="shared" si="56"/>
        <v>0</v>
      </c>
      <c r="F143" s="44">
        <f t="shared" si="56"/>
        <v>0</v>
      </c>
      <c r="G143" s="44">
        <f t="shared" si="56"/>
        <v>0</v>
      </c>
      <c r="H143" s="44">
        <f t="shared" si="56"/>
        <v>0</v>
      </c>
      <c r="I143" s="44">
        <f t="shared" si="56"/>
        <v>0</v>
      </c>
      <c r="J143" s="44">
        <f t="shared" si="56"/>
        <v>0</v>
      </c>
      <c r="K143" s="44">
        <f t="shared" si="56"/>
        <v>0</v>
      </c>
      <c r="L143" s="44">
        <f t="shared" si="56"/>
        <v>0</v>
      </c>
      <c r="M143" s="44">
        <f t="shared" si="56"/>
        <v>0</v>
      </c>
      <c r="N143" s="44">
        <f t="shared" si="56"/>
        <v>0</v>
      </c>
      <c r="O143" s="44">
        <f t="shared" si="56"/>
        <v>0</v>
      </c>
      <c r="P143" s="44">
        <f t="shared" si="56"/>
        <v>0</v>
      </c>
    </row>
    <row r="144" spans="1:17" ht="30" hidden="1" customHeight="1" outlineLevel="1" thickBot="1" x14ac:dyDescent="0.3">
      <c r="A144" s="39" t="str">
        <f t="shared" si="54"/>
        <v/>
      </c>
      <c r="B144" s="39" t="str">
        <f t="shared" si="55"/>
        <v/>
      </c>
      <c r="C144" s="44">
        <f t="shared" ref="C144:P144" si="57">C8-C280-C178</f>
        <v>0</v>
      </c>
      <c r="D144" s="44">
        <f t="shared" si="57"/>
        <v>0</v>
      </c>
      <c r="E144" s="44">
        <f t="shared" si="57"/>
        <v>0</v>
      </c>
      <c r="F144" s="44">
        <f t="shared" si="57"/>
        <v>0</v>
      </c>
      <c r="G144" s="44">
        <f t="shared" si="57"/>
        <v>0</v>
      </c>
      <c r="H144" s="44">
        <f t="shared" si="57"/>
        <v>0</v>
      </c>
      <c r="I144" s="44">
        <f t="shared" si="57"/>
        <v>0</v>
      </c>
      <c r="J144" s="44">
        <f t="shared" si="57"/>
        <v>0</v>
      </c>
      <c r="K144" s="44">
        <f t="shared" si="57"/>
        <v>0</v>
      </c>
      <c r="L144" s="44">
        <f t="shared" si="57"/>
        <v>0</v>
      </c>
      <c r="M144" s="44">
        <f t="shared" si="57"/>
        <v>0</v>
      </c>
      <c r="N144" s="44">
        <f t="shared" si="57"/>
        <v>0</v>
      </c>
      <c r="O144" s="44">
        <f t="shared" si="57"/>
        <v>0</v>
      </c>
      <c r="P144" s="44">
        <f t="shared" si="57"/>
        <v>0</v>
      </c>
    </row>
    <row r="145" spans="1:16" ht="30" hidden="1" customHeight="1" outlineLevel="1" thickBot="1" x14ac:dyDescent="0.3">
      <c r="A145" s="39" t="str">
        <f t="shared" si="54"/>
        <v/>
      </c>
      <c r="B145" s="39" t="str">
        <f t="shared" si="55"/>
        <v/>
      </c>
      <c r="C145" s="44">
        <f t="shared" ref="C145:P145" si="58">C9-C281-C179</f>
        <v>0</v>
      </c>
      <c r="D145" s="44">
        <f t="shared" si="58"/>
        <v>0</v>
      </c>
      <c r="E145" s="44">
        <f t="shared" si="58"/>
        <v>0</v>
      </c>
      <c r="F145" s="44">
        <f t="shared" si="58"/>
        <v>0</v>
      </c>
      <c r="G145" s="44">
        <f t="shared" si="58"/>
        <v>0</v>
      </c>
      <c r="H145" s="44">
        <f t="shared" si="58"/>
        <v>0</v>
      </c>
      <c r="I145" s="44">
        <f t="shared" si="58"/>
        <v>0</v>
      </c>
      <c r="J145" s="44">
        <f t="shared" si="58"/>
        <v>0</v>
      </c>
      <c r="K145" s="44">
        <f t="shared" si="58"/>
        <v>0</v>
      </c>
      <c r="L145" s="44">
        <f t="shared" si="58"/>
        <v>0</v>
      </c>
      <c r="M145" s="44">
        <f t="shared" si="58"/>
        <v>0</v>
      </c>
      <c r="N145" s="44">
        <f t="shared" si="58"/>
        <v>0</v>
      </c>
      <c r="O145" s="44">
        <f t="shared" si="58"/>
        <v>0</v>
      </c>
      <c r="P145" s="44">
        <f t="shared" si="58"/>
        <v>0</v>
      </c>
    </row>
    <row r="146" spans="1:16" ht="30" hidden="1" customHeight="1" outlineLevel="1" thickBot="1" x14ac:dyDescent="0.3">
      <c r="A146" s="39" t="str">
        <f t="shared" si="54"/>
        <v/>
      </c>
      <c r="B146" s="39" t="str">
        <f t="shared" si="55"/>
        <v/>
      </c>
      <c r="C146" s="44">
        <f t="shared" ref="C146:P146" si="59">C10-C282-C180</f>
        <v>0</v>
      </c>
      <c r="D146" s="44">
        <f t="shared" si="59"/>
        <v>0</v>
      </c>
      <c r="E146" s="44">
        <f t="shared" si="59"/>
        <v>0</v>
      </c>
      <c r="F146" s="44">
        <f t="shared" si="59"/>
        <v>0</v>
      </c>
      <c r="G146" s="44">
        <f t="shared" si="59"/>
        <v>0</v>
      </c>
      <c r="H146" s="44">
        <f t="shared" si="59"/>
        <v>0</v>
      </c>
      <c r="I146" s="44">
        <f t="shared" si="59"/>
        <v>0</v>
      </c>
      <c r="J146" s="44">
        <f t="shared" si="59"/>
        <v>0</v>
      </c>
      <c r="K146" s="44">
        <f t="shared" si="59"/>
        <v>0</v>
      </c>
      <c r="L146" s="44">
        <f t="shared" si="59"/>
        <v>0</v>
      </c>
      <c r="M146" s="44">
        <f t="shared" si="59"/>
        <v>0</v>
      </c>
      <c r="N146" s="44">
        <f t="shared" si="59"/>
        <v>0</v>
      </c>
      <c r="O146" s="44">
        <f t="shared" si="59"/>
        <v>0</v>
      </c>
      <c r="P146" s="44">
        <f t="shared" si="59"/>
        <v>0</v>
      </c>
    </row>
    <row r="147" spans="1:16" ht="30" hidden="1" customHeight="1" outlineLevel="1" thickBot="1" x14ac:dyDescent="0.3">
      <c r="A147" s="39" t="str">
        <f t="shared" si="54"/>
        <v/>
      </c>
      <c r="B147" s="39" t="str">
        <f t="shared" si="55"/>
        <v/>
      </c>
      <c r="C147" s="44">
        <f t="shared" ref="C147:P147" si="60">C11-C283-C181</f>
        <v>0</v>
      </c>
      <c r="D147" s="44">
        <f t="shared" si="60"/>
        <v>0</v>
      </c>
      <c r="E147" s="44">
        <f t="shared" si="60"/>
        <v>0</v>
      </c>
      <c r="F147" s="44">
        <f t="shared" si="60"/>
        <v>0</v>
      </c>
      <c r="G147" s="44">
        <f t="shared" si="60"/>
        <v>0</v>
      </c>
      <c r="H147" s="44">
        <f t="shared" si="60"/>
        <v>0</v>
      </c>
      <c r="I147" s="44">
        <f t="shared" si="60"/>
        <v>0</v>
      </c>
      <c r="J147" s="44">
        <f t="shared" si="60"/>
        <v>0</v>
      </c>
      <c r="K147" s="44">
        <f t="shared" si="60"/>
        <v>0</v>
      </c>
      <c r="L147" s="44">
        <f t="shared" si="60"/>
        <v>0</v>
      </c>
      <c r="M147" s="44">
        <f t="shared" si="60"/>
        <v>0</v>
      </c>
      <c r="N147" s="44">
        <f t="shared" si="60"/>
        <v>0</v>
      </c>
      <c r="O147" s="44">
        <f t="shared" si="60"/>
        <v>0</v>
      </c>
      <c r="P147" s="44">
        <f t="shared" si="60"/>
        <v>0</v>
      </c>
    </row>
    <row r="148" spans="1:16" ht="30" hidden="1" customHeight="1" outlineLevel="1" thickBot="1" x14ac:dyDescent="0.3">
      <c r="A148" s="39" t="str">
        <f t="shared" si="54"/>
        <v/>
      </c>
      <c r="B148" s="39" t="str">
        <f t="shared" si="55"/>
        <v/>
      </c>
      <c r="C148" s="44">
        <f t="shared" ref="C148:P148" si="61">C12-C284-C182</f>
        <v>0</v>
      </c>
      <c r="D148" s="44">
        <f t="shared" si="61"/>
        <v>0</v>
      </c>
      <c r="E148" s="44">
        <f t="shared" si="61"/>
        <v>0</v>
      </c>
      <c r="F148" s="44">
        <f t="shared" si="61"/>
        <v>0</v>
      </c>
      <c r="G148" s="44">
        <f t="shared" si="61"/>
        <v>0</v>
      </c>
      <c r="H148" s="44">
        <f t="shared" si="61"/>
        <v>0</v>
      </c>
      <c r="I148" s="44">
        <f t="shared" si="61"/>
        <v>0</v>
      </c>
      <c r="J148" s="44">
        <f t="shared" si="61"/>
        <v>0</v>
      </c>
      <c r="K148" s="44">
        <f t="shared" si="61"/>
        <v>0</v>
      </c>
      <c r="L148" s="44">
        <f t="shared" si="61"/>
        <v>0</v>
      </c>
      <c r="M148" s="44">
        <f t="shared" si="61"/>
        <v>0</v>
      </c>
      <c r="N148" s="44">
        <f t="shared" si="61"/>
        <v>0</v>
      </c>
      <c r="O148" s="44">
        <f t="shared" si="61"/>
        <v>0</v>
      </c>
      <c r="P148" s="44">
        <f t="shared" si="61"/>
        <v>0</v>
      </c>
    </row>
    <row r="149" spans="1:16" ht="30" hidden="1" customHeight="1" outlineLevel="1" thickBot="1" x14ac:dyDescent="0.3">
      <c r="A149" s="39" t="str">
        <f t="shared" si="54"/>
        <v/>
      </c>
      <c r="B149" s="39" t="str">
        <f t="shared" si="55"/>
        <v/>
      </c>
      <c r="C149" s="44">
        <f t="shared" ref="C149:P149" si="62">C13-C285-C183</f>
        <v>0</v>
      </c>
      <c r="D149" s="44">
        <f t="shared" si="62"/>
        <v>0</v>
      </c>
      <c r="E149" s="44">
        <f t="shared" si="62"/>
        <v>0</v>
      </c>
      <c r="F149" s="44">
        <f t="shared" si="62"/>
        <v>0</v>
      </c>
      <c r="G149" s="44">
        <f t="shared" si="62"/>
        <v>0</v>
      </c>
      <c r="H149" s="44">
        <f t="shared" si="62"/>
        <v>0</v>
      </c>
      <c r="I149" s="44">
        <f t="shared" si="62"/>
        <v>0</v>
      </c>
      <c r="J149" s="44">
        <f t="shared" si="62"/>
        <v>0</v>
      </c>
      <c r="K149" s="44">
        <f t="shared" si="62"/>
        <v>0</v>
      </c>
      <c r="L149" s="44">
        <f t="shared" si="62"/>
        <v>0</v>
      </c>
      <c r="M149" s="44">
        <f t="shared" si="62"/>
        <v>0</v>
      </c>
      <c r="N149" s="44">
        <f t="shared" si="62"/>
        <v>0</v>
      </c>
      <c r="O149" s="44">
        <f t="shared" si="62"/>
        <v>0</v>
      </c>
      <c r="P149" s="44">
        <f t="shared" si="62"/>
        <v>0</v>
      </c>
    </row>
    <row r="150" spans="1:16" ht="30" hidden="1" customHeight="1" outlineLevel="1" thickBot="1" x14ac:dyDescent="0.3">
      <c r="A150" s="39" t="str">
        <f t="shared" si="54"/>
        <v/>
      </c>
      <c r="B150" s="39" t="str">
        <f t="shared" si="55"/>
        <v/>
      </c>
      <c r="C150" s="44">
        <f t="shared" ref="C150:P150" si="63">C14-C286-C184</f>
        <v>0</v>
      </c>
      <c r="D150" s="44">
        <f t="shared" si="63"/>
        <v>0</v>
      </c>
      <c r="E150" s="44">
        <f t="shared" si="63"/>
        <v>0</v>
      </c>
      <c r="F150" s="44">
        <f t="shared" si="63"/>
        <v>0</v>
      </c>
      <c r="G150" s="44">
        <f t="shared" si="63"/>
        <v>0</v>
      </c>
      <c r="H150" s="44">
        <f t="shared" si="63"/>
        <v>0</v>
      </c>
      <c r="I150" s="44">
        <f t="shared" si="63"/>
        <v>0</v>
      </c>
      <c r="J150" s="44">
        <f t="shared" si="63"/>
        <v>0</v>
      </c>
      <c r="K150" s="44">
        <f t="shared" si="63"/>
        <v>0</v>
      </c>
      <c r="L150" s="44">
        <f t="shared" si="63"/>
        <v>0</v>
      </c>
      <c r="M150" s="44">
        <f t="shared" si="63"/>
        <v>0</v>
      </c>
      <c r="N150" s="44">
        <f t="shared" si="63"/>
        <v>0</v>
      </c>
      <c r="O150" s="44">
        <f t="shared" si="63"/>
        <v>0</v>
      </c>
      <c r="P150" s="44">
        <f t="shared" si="63"/>
        <v>0</v>
      </c>
    </row>
    <row r="151" spans="1:16" ht="30" hidden="1" customHeight="1" outlineLevel="1" thickBot="1" x14ac:dyDescent="0.3">
      <c r="A151" s="39" t="str">
        <f t="shared" si="54"/>
        <v/>
      </c>
      <c r="B151" s="39" t="str">
        <f t="shared" si="55"/>
        <v/>
      </c>
      <c r="C151" s="44">
        <f t="shared" ref="C151:P151" si="64">C15-C287-C185</f>
        <v>0</v>
      </c>
      <c r="D151" s="44">
        <f t="shared" si="64"/>
        <v>0</v>
      </c>
      <c r="E151" s="44">
        <f t="shared" si="64"/>
        <v>0</v>
      </c>
      <c r="F151" s="44">
        <f t="shared" si="64"/>
        <v>0</v>
      </c>
      <c r="G151" s="44">
        <f t="shared" si="64"/>
        <v>0</v>
      </c>
      <c r="H151" s="44">
        <f t="shared" si="64"/>
        <v>0</v>
      </c>
      <c r="I151" s="44">
        <f t="shared" si="64"/>
        <v>0</v>
      </c>
      <c r="J151" s="44">
        <f t="shared" si="64"/>
        <v>0</v>
      </c>
      <c r="K151" s="44">
        <f t="shared" si="64"/>
        <v>0</v>
      </c>
      <c r="L151" s="44">
        <f t="shared" si="64"/>
        <v>0</v>
      </c>
      <c r="M151" s="44">
        <f t="shared" si="64"/>
        <v>0</v>
      </c>
      <c r="N151" s="44">
        <f t="shared" si="64"/>
        <v>0</v>
      </c>
      <c r="O151" s="44">
        <f t="shared" si="64"/>
        <v>0</v>
      </c>
      <c r="P151" s="44">
        <f t="shared" si="64"/>
        <v>0</v>
      </c>
    </row>
    <row r="152" spans="1:16" ht="30" hidden="1" customHeight="1" outlineLevel="1" thickBot="1" x14ac:dyDescent="0.3">
      <c r="A152" s="39" t="str">
        <f t="shared" si="54"/>
        <v/>
      </c>
      <c r="B152" s="39" t="str">
        <f t="shared" si="55"/>
        <v/>
      </c>
      <c r="C152" s="44">
        <f t="shared" ref="C152:P152" si="65">C16-C288-C186</f>
        <v>0</v>
      </c>
      <c r="D152" s="44">
        <f t="shared" si="65"/>
        <v>0</v>
      </c>
      <c r="E152" s="44">
        <f t="shared" si="65"/>
        <v>0</v>
      </c>
      <c r="F152" s="44">
        <f t="shared" si="65"/>
        <v>0</v>
      </c>
      <c r="G152" s="44">
        <f t="shared" si="65"/>
        <v>0</v>
      </c>
      <c r="H152" s="44">
        <f t="shared" si="65"/>
        <v>0</v>
      </c>
      <c r="I152" s="44">
        <f t="shared" si="65"/>
        <v>0</v>
      </c>
      <c r="J152" s="44">
        <f t="shared" si="65"/>
        <v>0</v>
      </c>
      <c r="K152" s="44">
        <f t="shared" si="65"/>
        <v>0</v>
      </c>
      <c r="L152" s="44">
        <f t="shared" si="65"/>
        <v>0</v>
      </c>
      <c r="M152" s="44">
        <f t="shared" si="65"/>
        <v>0</v>
      </c>
      <c r="N152" s="44">
        <f t="shared" si="65"/>
        <v>0</v>
      </c>
      <c r="O152" s="44">
        <f t="shared" si="65"/>
        <v>0</v>
      </c>
      <c r="P152" s="44">
        <f t="shared" si="65"/>
        <v>0</v>
      </c>
    </row>
    <row r="153" spans="1:16" ht="30" hidden="1" customHeight="1" outlineLevel="1" thickBot="1" x14ac:dyDescent="0.3">
      <c r="A153" s="39" t="str">
        <f t="shared" si="54"/>
        <v/>
      </c>
      <c r="B153" s="39" t="str">
        <f t="shared" si="55"/>
        <v/>
      </c>
      <c r="C153" s="44">
        <f t="shared" ref="C153:P153" si="66">C17-C289-C187</f>
        <v>0</v>
      </c>
      <c r="D153" s="44">
        <f t="shared" si="66"/>
        <v>0</v>
      </c>
      <c r="E153" s="44">
        <f t="shared" si="66"/>
        <v>0</v>
      </c>
      <c r="F153" s="44">
        <f t="shared" si="66"/>
        <v>0</v>
      </c>
      <c r="G153" s="44">
        <f t="shared" si="66"/>
        <v>0</v>
      </c>
      <c r="H153" s="44">
        <f t="shared" si="66"/>
        <v>0</v>
      </c>
      <c r="I153" s="44">
        <f t="shared" si="66"/>
        <v>0</v>
      </c>
      <c r="J153" s="44">
        <f t="shared" si="66"/>
        <v>0</v>
      </c>
      <c r="K153" s="44">
        <f t="shared" si="66"/>
        <v>0</v>
      </c>
      <c r="L153" s="44">
        <f t="shared" si="66"/>
        <v>0</v>
      </c>
      <c r="M153" s="44">
        <f t="shared" si="66"/>
        <v>0</v>
      </c>
      <c r="N153" s="44">
        <f t="shared" si="66"/>
        <v>0</v>
      </c>
      <c r="O153" s="44">
        <f t="shared" si="66"/>
        <v>0</v>
      </c>
      <c r="P153" s="44">
        <f t="shared" si="66"/>
        <v>0</v>
      </c>
    </row>
    <row r="154" spans="1:16" ht="30" hidden="1" customHeight="1" outlineLevel="1" thickBot="1" x14ac:dyDescent="0.3">
      <c r="A154" s="39" t="str">
        <f t="shared" si="54"/>
        <v/>
      </c>
      <c r="B154" s="39" t="str">
        <f t="shared" si="55"/>
        <v/>
      </c>
      <c r="C154" s="44">
        <f t="shared" ref="C154:P154" si="67">C18-C290-C188</f>
        <v>0</v>
      </c>
      <c r="D154" s="44">
        <f t="shared" si="67"/>
        <v>0</v>
      </c>
      <c r="E154" s="44">
        <f t="shared" si="67"/>
        <v>0</v>
      </c>
      <c r="F154" s="44">
        <f t="shared" si="67"/>
        <v>0</v>
      </c>
      <c r="G154" s="44">
        <f t="shared" si="67"/>
        <v>0</v>
      </c>
      <c r="H154" s="44">
        <f t="shared" si="67"/>
        <v>0</v>
      </c>
      <c r="I154" s="44">
        <f t="shared" si="67"/>
        <v>0</v>
      </c>
      <c r="J154" s="44">
        <f t="shared" si="67"/>
        <v>0</v>
      </c>
      <c r="K154" s="44">
        <f t="shared" si="67"/>
        <v>0</v>
      </c>
      <c r="L154" s="44">
        <f t="shared" si="67"/>
        <v>0</v>
      </c>
      <c r="M154" s="44">
        <f t="shared" si="67"/>
        <v>0</v>
      </c>
      <c r="N154" s="44">
        <f t="shared" si="67"/>
        <v>0</v>
      </c>
      <c r="O154" s="44">
        <f t="shared" si="67"/>
        <v>0</v>
      </c>
      <c r="P154" s="44">
        <f t="shared" si="67"/>
        <v>0</v>
      </c>
    </row>
    <row r="155" spans="1:16" ht="30" hidden="1" customHeight="1" outlineLevel="1" thickBot="1" x14ac:dyDescent="0.3">
      <c r="A155" s="39" t="str">
        <f t="shared" si="54"/>
        <v/>
      </c>
      <c r="B155" s="39" t="str">
        <f t="shared" si="55"/>
        <v/>
      </c>
      <c r="C155" s="44">
        <f t="shared" ref="C155:P155" si="68">C19-C291-C189</f>
        <v>0</v>
      </c>
      <c r="D155" s="44">
        <f t="shared" si="68"/>
        <v>0</v>
      </c>
      <c r="E155" s="44">
        <f t="shared" si="68"/>
        <v>0</v>
      </c>
      <c r="F155" s="44">
        <f t="shared" si="68"/>
        <v>0</v>
      </c>
      <c r="G155" s="44">
        <f t="shared" si="68"/>
        <v>0</v>
      </c>
      <c r="H155" s="44">
        <f t="shared" si="68"/>
        <v>0</v>
      </c>
      <c r="I155" s="44">
        <f t="shared" si="68"/>
        <v>0</v>
      </c>
      <c r="J155" s="44">
        <f t="shared" si="68"/>
        <v>0</v>
      </c>
      <c r="K155" s="44">
        <f t="shared" si="68"/>
        <v>0</v>
      </c>
      <c r="L155" s="44">
        <f t="shared" si="68"/>
        <v>0</v>
      </c>
      <c r="M155" s="44">
        <f t="shared" si="68"/>
        <v>0</v>
      </c>
      <c r="N155" s="44">
        <f t="shared" si="68"/>
        <v>0</v>
      </c>
      <c r="O155" s="44">
        <f t="shared" si="68"/>
        <v>0</v>
      </c>
      <c r="P155" s="44">
        <f t="shared" si="68"/>
        <v>0</v>
      </c>
    </row>
    <row r="156" spans="1:16" ht="30" hidden="1" customHeight="1" outlineLevel="1" thickBot="1" x14ac:dyDescent="0.3">
      <c r="A156" s="39" t="str">
        <f t="shared" si="54"/>
        <v/>
      </c>
      <c r="B156" s="39" t="str">
        <f t="shared" si="55"/>
        <v/>
      </c>
      <c r="C156" s="44">
        <f t="shared" ref="C156:P156" si="69">C20-C292-C190</f>
        <v>0</v>
      </c>
      <c r="D156" s="44">
        <f t="shared" si="69"/>
        <v>0</v>
      </c>
      <c r="E156" s="44">
        <f t="shared" si="69"/>
        <v>0</v>
      </c>
      <c r="F156" s="44">
        <f t="shared" si="69"/>
        <v>0</v>
      </c>
      <c r="G156" s="44">
        <f t="shared" si="69"/>
        <v>0</v>
      </c>
      <c r="H156" s="44">
        <f t="shared" si="69"/>
        <v>0</v>
      </c>
      <c r="I156" s="44">
        <f t="shared" si="69"/>
        <v>0</v>
      </c>
      <c r="J156" s="44">
        <f t="shared" si="69"/>
        <v>0</v>
      </c>
      <c r="K156" s="44">
        <f t="shared" si="69"/>
        <v>0</v>
      </c>
      <c r="L156" s="44">
        <f t="shared" si="69"/>
        <v>0</v>
      </c>
      <c r="M156" s="44">
        <f t="shared" si="69"/>
        <v>0</v>
      </c>
      <c r="N156" s="44">
        <f t="shared" si="69"/>
        <v>0</v>
      </c>
      <c r="O156" s="44">
        <f t="shared" si="69"/>
        <v>0</v>
      </c>
      <c r="P156" s="44">
        <f t="shared" si="69"/>
        <v>0</v>
      </c>
    </row>
    <row r="157" spans="1:16" ht="30" hidden="1" customHeight="1" outlineLevel="1" thickBot="1" x14ac:dyDescent="0.3">
      <c r="A157" s="39" t="str">
        <f t="shared" si="54"/>
        <v/>
      </c>
      <c r="B157" s="39" t="str">
        <f t="shared" si="55"/>
        <v/>
      </c>
      <c r="C157" s="44">
        <f t="shared" ref="C157:P157" si="70">C21-C293-C191</f>
        <v>0</v>
      </c>
      <c r="D157" s="44">
        <f t="shared" si="70"/>
        <v>0</v>
      </c>
      <c r="E157" s="44">
        <f t="shared" si="70"/>
        <v>0</v>
      </c>
      <c r="F157" s="44">
        <f t="shared" si="70"/>
        <v>0</v>
      </c>
      <c r="G157" s="44">
        <f t="shared" si="70"/>
        <v>0</v>
      </c>
      <c r="H157" s="44">
        <f t="shared" si="70"/>
        <v>0</v>
      </c>
      <c r="I157" s="44">
        <f t="shared" si="70"/>
        <v>0</v>
      </c>
      <c r="J157" s="44">
        <f t="shared" si="70"/>
        <v>0</v>
      </c>
      <c r="K157" s="44">
        <f t="shared" si="70"/>
        <v>0</v>
      </c>
      <c r="L157" s="44">
        <f t="shared" si="70"/>
        <v>0</v>
      </c>
      <c r="M157" s="44">
        <f t="shared" si="70"/>
        <v>0</v>
      </c>
      <c r="N157" s="44">
        <f t="shared" si="70"/>
        <v>0</v>
      </c>
      <c r="O157" s="44">
        <f t="shared" si="70"/>
        <v>0</v>
      </c>
      <c r="P157" s="44">
        <f t="shared" si="70"/>
        <v>0</v>
      </c>
    </row>
    <row r="158" spans="1:16" ht="30" hidden="1" customHeight="1" outlineLevel="1" thickBot="1" x14ac:dyDescent="0.3">
      <c r="A158" s="39" t="str">
        <f t="shared" si="54"/>
        <v/>
      </c>
      <c r="B158" s="39" t="str">
        <f t="shared" si="55"/>
        <v/>
      </c>
      <c r="C158" s="44">
        <f t="shared" ref="C158:P158" si="71">C22-C294-C192</f>
        <v>0</v>
      </c>
      <c r="D158" s="44">
        <f t="shared" si="71"/>
        <v>0</v>
      </c>
      <c r="E158" s="44">
        <f t="shared" si="71"/>
        <v>0</v>
      </c>
      <c r="F158" s="44">
        <f t="shared" si="71"/>
        <v>0</v>
      </c>
      <c r="G158" s="44">
        <f t="shared" si="71"/>
        <v>0</v>
      </c>
      <c r="H158" s="44">
        <f t="shared" si="71"/>
        <v>0</v>
      </c>
      <c r="I158" s="44">
        <f t="shared" si="71"/>
        <v>0</v>
      </c>
      <c r="J158" s="44">
        <f t="shared" si="71"/>
        <v>0</v>
      </c>
      <c r="K158" s="44">
        <f t="shared" si="71"/>
        <v>0</v>
      </c>
      <c r="L158" s="44">
        <f t="shared" si="71"/>
        <v>0</v>
      </c>
      <c r="M158" s="44">
        <f t="shared" si="71"/>
        <v>0</v>
      </c>
      <c r="N158" s="44">
        <f t="shared" si="71"/>
        <v>0</v>
      </c>
      <c r="O158" s="44">
        <f t="shared" si="71"/>
        <v>0</v>
      </c>
      <c r="P158" s="44">
        <f t="shared" si="71"/>
        <v>0</v>
      </c>
    </row>
    <row r="159" spans="1:16" ht="30" hidden="1" customHeight="1" outlineLevel="1" thickBot="1" x14ac:dyDescent="0.3">
      <c r="A159" s="39" t="str">
        <f t="shared" si="54"/>
        <v/>
      </c>
      <c r="B159" s="39" t="str">
        <f t="shared" si="55"/>
        <v/>
      </c>
      <c r="C159" s="44">
        <f t="shared" ref="C159:P159" si="72">C23-C295-C193</f>
        <v>0</v>
      </c>
      <c r="D159" s="44">
        <f t="shared" si="72"/>
        <v>0</v>
      </c>
      <c r="E159" s="44">
        <f t="shared" si="72"/>
        <v>0</v>
      </c>
      <c r="F159" s="44">
        <f t="shared" si="72"/>
        <v>0</v>
      </c>
      <c r="G159" s="44">
        <f t="shared" si="72"/>
        <v>0</v>
      </c>
      <c r="H159" s="44">
        <f t="shared" si="72"/>
        <v>0</v>
      </c>
      <c r="I159" s="44">
        <f t="shared" si="72"/>
        <v>0</v>
      </c>
      <c r="J159" s="44">
        <f t="shared" si="72"/>
        <v>0</v>
      </c>
      <c r="K159" s="44">
        <f t="shared" si="72"/>
        <v>0</v>
      </c>
      <c r="L159" s="44">
        <f t="shared" si="72"/>
        <v>0</v>
      </c>
      <c r="M159" s="44">
        <f t="shared" si="72"/>
        <v>0</v>
      </c>
      <c r="N159" s="44">
        <f t="shared" si="72"/>
        <v>0</v>
      </c>
      <c r="O159" s="44">
        <f t="shared" si="72"/>
        <v>0</v>
      </c>
      <c r="P159" s="44">
        <f t="shared" si="72"/>
        <v>0</v>
      </c>
    </row>
    <row r="160" spans="1:16" ht="30" hidden="1" customHeight="1" outlineLevel="1" thickBot="1" x14ac:dyDescent="0.3">
      <c r="A160" s="39" t="str">
        <f t="shared" si="54"/>
        <v/>
      </c>
      <c r="B160" s="39" t="str">
        <f t="shared" si="55"/>
        <v/>
      </c>
      <c r="C160" s="44">
        <f t="shared" ref="C160:P160" si="73">C24-C296-C194</f>
        <v>0</v>
      </c>
      <c r="D160" s="44">
        <f t="shared" si="73"/>
        <v>0</v>
      </c>
      <c r="E160" s="44">
        <f t="shared" si="73"/>
        <v>0</v>
      </c>
      <c r="F160" s="44">
        <f t="shared" si="73"/>
        <v>0</v>
      </c>
      <c r="G160" s="44">
        <f t="shared" si="73"/>
        <v>0</v>
      </c>
      <c r="H160" s="44">
        <f t="shared" si="73"/>
        <v>0</v>
      </c>
      <c r="I160" s="44">
        <f t="shared" si="73"/>
        <v>0</v>
      </c>
      <c r="J160" s="44">
        <f t="shared" si="73"/>
        <v>0</v>
      </c>
      <c r="K160" s="44">
        <f t="shared" si="73"/>
        <v>0</v>
      </c>
      <c r="L160" s="44">
        <f t="shared" si="73"/>
        <v>0</v>
      </c>
      <c r="M160" s="44">
        <f t="shared" si="73"/>
        <v>0</v>
      </c>
      <c r="N160" s="44">
        <f t="shared" si="73"/>
        <v>0</v>
      </c>
      <c r="O160" s="44">
        <f t="shared" si="73"/>
        <v>0</v>
      </c>
      <c r="P160" s="44">
        <f t="shared" si="73"/>
        <v>0</v>
      </c>
    </row>
    <row r="161" spans="1:16" ht="30" hidden="1" customHeight="1" outlineLevel="1" thickBot="1" x14ac:dyDescent="0.3">
      <c r="A161" s="39" t="str">
        <f t="shared" si="54"/>
        <v/>
      </c>
      <c r="B161" s="39" t="str">
        <f t="shared" si="55"/>
        <v/>
      </c>
      <c r="C161" s="44">
        <f t="shared" ref="C161:P161" si="74">C25-C297-C195</f>
        <v>0</v>
      </c>
      <c r="D161" s="44">
        <f t="shared" si="74"/>
        <v>0</v>
      </c>
      <c r="E161" s="44">
        <f t="shared" si="74"/>
        <v>0</v>
      </c>
      <c r="F161" s="44">
        <f t="shared" si="74"/>
        <v>0</v>
      </c>
      <c r="G161" s="44">
        <f t="shared" si="74"/>
        <v>0</v>
      </c>
      <c r="H161" s="44">
        <f t="shared" si="74"/>
        <v>0</v>
      </c>
      <c r="I161" s="44">
        <f t="shared" si="74"/>
        <v>0</v>
      </c>
      <c r="J161" s="44">
        <f t="shared" si="74"/>
        <v>0</v>
      </c>
      <c r="K161" s="44">
        <f t="shared" si="74"/>
        <v>0</v>
      </c>
      <c r="L161" s="44">
        <f t="shared" si="74"/>
        <v>0</v>
      </c>
      <c r="M161" s="44">
        <f t="shared" si="74"/>
        <v>0</v>
      </c>
      <c r="N161" s="44">
        <f t="shared" si="74"/>
        <v>0</v>
      </c>
      <c r="O161" s="44">
        <f t="shared" si="74"/>
        <v>0</v>
      </c>
      <c r="P161" s="44">
        <f t="shared" si="74"/>
        <v>0</v>
      </c>
    </row>
    <row r="162" spans="1:16" ht="30" hidden="1" customHeight="1" outlineLevel="1" thickBot="1" x14ac:dyDescent="0.3">
      <c r="A162" s="39" t="str">
        <f t="shared" si="54"/>
        <v/>
      </c>
      <c r="B162" s="39" t="str">
        <f t="shared" si="55"/>
        <v/>
      </c>
      <c r="C162" s="44">
        <f t="shared" ref="C162:P162" si="75">C26-C298-C196</f>
        <v>0</v>
      </c>
      <c r="D162" s="44">
        <f t="shared" si="75"/>
        <v>0</v>
      </c>
      <c r="E162" s="44">
        <f t="shared" si="75"/>
        <v>0</v>
      </c>
      <c r="F162" s="44">
        <f t="shared" si="75"/>
        <v>0</v>
      </c>
      <c r="G162" s="44">
        <f t="shared" si="75"/>
        <v>0</v>
      </c>
      <c r="H162" s="44">
        <f t="shared" si="75"/>
        <v>0</v>
      </c>
      <c r="I162" s="44">
        <f t="shared" si="75"/>
        <v>0</v>
      </c>
      <c r="J162" s="44">
        <f t="shared" si="75"/>
        <v>0</v>
      </c>
      <c r="K162" s="44">
        <f t="shared" si="75"/>
        <v>0</v>
      </c>
      <c r="L162" s="44">
        <f t="shared" si="75"/>
        <v>0</v>
      </c>
      <c r="M162" s="44">
        <f t="shared" si="75"/>
        <v>0</v>
      </c>
      <c r="N162" s="44">
        <f t="shared" si="75"/>
        <v>0</v>
      </c>
      <c r="O162" s="44">
        <f t="shared" si="75"/>
        <v>0</v>
      </c>
      <c r="P162" s="44">
        <f t="shared" si="75"/>
        <v>0</v>
      </c>
    </row>
    <row r="163" spans="1:16" ht="30" hidden="1" customHeight="1" outlineLevel="1" thickBot="1" x14ac:dyDescent="0.3">
      <c r="A163" s="39" t="str">
        <f t="shared" si="54"/>
        <v/>
      </c>
      <c r="B163" s="39" t="str">
        <f t="shared" si="55"/>
        <v/>
      </c>
      <c r="C163" s="44">
        <f t="shared" ref="C163:P163" si="76">C27-C299-C197</f>
        <v>0</v>
      </c>
      <c r="D163" s="44">
        <f t="shared" si="76"/>
        <v>0</v>
      </c>
      <c r="E163" s="44">
        <f t="shared" si="76"/>
        <v>0</v>
      </c>
      <c r="F163" s="44">
        <f t="shared" si="76"/>
        <v>0</v>
      </c>
      <c r="G163" s="44">
        <f t="shared" si="76"/>
        <v>0</v>
      </c>
      <c r="H163" s="44">
        <f t="shared" si="76"/>
        <v>0</v>
      </c>
      <c r="I163" s="44">
        <f t="shared" si="76"/>
        <v>0</v>
      </c>
      <c r="J163" s="44">
        <f t="shared" si="76"/>
        <v>0</v>
      </c>
      <c r="K163" s="44">
        <f t="shared" si="76"/>
        <v>0</v>
      </c>
      <c r="L163" s="44">
        <f t="shared" si="76"/>
        <v>0</v>
      </c>
      <c r="M163" s="44">
        <f t="shared" si="76"/>
        <v>0</v>
      </c>
      <c r="N163" s="44">
        <f t="shared" si="76"/>
        <v>0</v>
      </c>
      <c r="O163" s="44">
        <f t="shared" si="76"/>
        <v>0</v>
      </c>
      <c r="P163" s="44">
        <f t="shared" si="76"/>
        <v>0</v>
      </c>
    </row>
    <row r="164" spans="1:16" ht="30" hidden="1" customHeight="1" outlineLevel="1" thickBot="1" x14ac:dyDescent="0.3">
      <c r="A164" s="39" t="str">
        <f>IF($A96="","",$A96)</f>
        <v/>
      </c>
      <c r="B164" s="39" t="str">
        <f>IF($B96="","",$B96)</f>
        <v/>
      </c>
      <c r="C164" s="44">
        <f t="shared" ref="C164:P164" si="77">C28-C300-C198</f>
        <v>0</v>
      </c>
      <c r="D164" s="44">
        <f t="shared" si="77"/>
        <v>0</v>
      </c>
      <c r="E164" s="44">
        <f t="shared" si="77"/>
        <v>0</v>
      </c>
      <c r="F164" s="44">
        <f t="shared" si="77"/>
        <v>0</v>
      </c>
      <c r="G164" s="44">
        <f t="shared" si="77"/>
        <v>0</v>
      </c>
      <c r="H164" s="44">
        <f t="shared" si="77"/>
        <v>0</v>
      </c>
      <c r="I164" s="44">
        <f t="shared" si="77"/>
        <v>0</v>
      </c>
      <c r="J164" s="44">
        <f t="shared" si="77"/>
        <v>0</v>
      </c>
      <c r="K164" s="44">
        <f t="shared" si="77"/>
        <v>0</v>
      </c>
      <c r="L164" s="44">
        <f t="shared" si="77"/>
        <v>0</v>
      </c>
      <c r="M164" s="44">
        <f t="shared" si="77"/>
        <v>0</v>
      </c>
      <c r="N164" s="44">
        <f t="shared" si="77"/>
        <v>0</v>
      </c>
      <c r="O164" s="44">
        <f t="shared" si="77"/>
        <v>0</v>
      </c>
      <c r="P164" s="44">
        <f t="shared" si="77"/>
        <v>0</v>
      </c>
    </row>
    <row r="165" spans="1:16" ht="30" hidden="1" customHeight="1" outlineLevel="1" thickBot="1" x14ac:dyDescent="0.3">
      <c r="A165" s="39" t="str">
        <f t="shared" si="54"/>
        <v/>
      </c>
      <c r="B165" s="39" t="str">
        <f t="shared" si="55"/>
        <v/>
      </c>
      <c r="C165" s="44">
        <f t="shared" ref="C165:P165" si="78">C29-C301-C199</f>
        <v>0</v>
      </c>
      <c r="D165" s="44">
        <f t="shared" si="78"/>
        <v>0</v>
      </c>
      <c r="E165" s="44">
        <f t="shared" si="78"/>
        <v>0</v>
      </c>
      <c r="F165" s="44">
        <f t="shared" si="78"/>
        <v>0</v>
      </c>
      <c r="G165" s="44">
        <f t="shared" si="78"/>
        <v>0</v>
      </c>
      <c r="H165" s="44">
        <f t="shared" si="78"/>
        <v>0</v>
      </c>
      <c r="I165" s="44">
        <f t="shared" si="78"/>
        <v>0</v>
      </c>
      <c r="J165" s="44">
        <f t="shared" si="78"/>
        <v>0</v>
      </c>
      <c r="K165" s="44">
        <f t="shared" si="78"/>
        <v>0</v>
      </c>
      <c r="L165" s="44">
        <f t="shared" si="78"/>
        <v>0</v>
      </c>
      <c r="M165" s="44">
        <f t="shared" si="78"/>
        <v>0</v>
      </c>
      <c r="N165" s="44">
        <f t="shared" si="78"/>
        <v>0</v>
      </c>
      <c r="O165" s="44">
        <f t="shared" si="78"/>
        <v>0</v>
      </c>
      <c r="P165" s="44">
        <f t="shared" si="78"/>
        <v>0</v>
      </c>
    </row>
    <row r="166" spans="1:16" ht="30" hidden="1" customHeight="1" outlineLevel="1" thickBot="1" x14ac:dyDescent="0.3">
      <c r="A166" s="39" t="str">
        <f t="shared" si="54"/>
        <v/>
      </c>
      <c r="B166" s="39" t="str">
        <f t="shared" si="55"/>
        <v/>
      </c>
      <c r="C166" s="44">
        <f t="shared" ref="C166:P166" si="79">C30-C302-C200</f>
        <v>0</v>
      </c>
      <c r="D166" s="44">
        <f t="shared" si="79"/>
        <v>0</v>
      </c>
      <c r="E166" s="44">
        <f t="shared" si="79"/>
        <v>0</v>
      </c>
      <c r="F166" s="44">
        <f t="shared" si="79"/>
        <v>0</v>
      </c>
      <c r="G166" s="44">
        <f t="shared" si="79"/>
        <v>0</v>
      </c>
      <c r="H166" s="44">
        <f t="shared" si="79"/>
        <v>0</v>
      </c>
      <c r="I166" s="44">
        <f t="shared" si="79"/>
        <v>0</v>
      </c>
      <c r="J166" s="44">
        <f t="shared" si="79"/>
        <v>0</v>
      </c>
      <c r="K166" s="44">
        <f t="shared" si="79"/>
        <v>0</v>
      </c>
      <c r="L166" s="44">
        <f t="shared" si="79"/>
        <v>0</v>
      </c>
      <c r="M166" s="44">
        <f t="shared" si="79"/>
        <v>0</v>
      </c>
      <c r="N166" s="44">
        <f t="shared" si="79"/>
        <v>0</v>
      </c>
      <c r="O166" s="44">
        <f t="shared" si="79"/>
        <v>0</v>
      </c>
      <c r="P166" s="44">
        <f t="shared" si="79"/>
        <v>0</v>
      </c>
    </row>
    <row r="167" spans="1:16" ht="30" hidden="1" customHeight="1" outlineLevel="1" thickBot="1" x14ac:dyDescent="0.3">
      <c r="A167" s="39" t="str">
        <f t="shared" si="54"/>
        <v/>
      </c>
      <c r="B167" s="39" t="str">
        <f t="shared" si="55"/>
        <v/>
      </c>
      <c r="C167" s="44">
        <f t="shared" ref="C167:P167" si="80">C31-C303-C201</f>
        <v>0</v>
      </c>
      <c r="D167" s="44">
        <f t="shared" si="80"/>
        <v>0</v>
      </c>
      <c r="E167" s="44">
        <f t="shared" si="80"/>
        <v>0</v>
      </c>
      <c r="F167" s="44">
        <f t="shared" si="80"/>
        <v>0</v>
      </c>
      <c r="G167" s="44">
        <f t="shared" si="80"/>
        <v>0</v>
      </c>
      <c r="H167" s="44">
        <f t="shared" si="80"/>
        <v>0</v>
      </c>
      <c r="I167" s="44">
        <f t="shared" si="80"/>
        <v>0</v>
      </c>
      <c r="J167" s="44">
        <f t="shared" si="80"/>
        <v>0</v>
      </c>
      <c r="K167" s="44">
        <f t="shared" si="80"/>
        <v>0</v>
      </c>
      <c r="L167" s="44">
        <f t="shared" si="80"/>
        <v>0</v>
      </c>
      <c r="M167" s="44">
        <f t="shared" si="80"/>
        <v>0</v>
      </c>
      <c r="N167" s="44">
        <f t="shared" si="80"/>
        <v>0</v>
      </c>
      <c r="O167" s="44">
        <f t="shared" si="80"/>
        <v>0</v>
      </c>
      <c r="P167" s="44">
        <f t="shared" si="80"/>
        <v>0</v>
      </c>
    </row>
    <row r="168" spans="1:16" ht="30" hidden="1" customHeight="1" outlineLevel="1" thickBot="1" x14ac:dyDescent="0.3">
      <c r="A168" s="39" t="str">
        <f t="shared" si="54"/>
        <v/>
      </c>
      <c r="B168" s="39" t="str">
        <f t="shared" si="55"/>
        <v/>
      </c>
      <c r="C168" s="44">
        <f t="shared" ref="C168:P168" si="81">C32-C304-C202</f>
        <v>0</v>
      </c>
      <c r="D168" s="44">
        <f t="shared" si="81"/>
        <v>0</v>
      </c>
      <c r="E168" s="44">
        <f t="shared" si="81"/>
        <v>0</v>
      </c>
      <c r="F168" s="44">
        <f t="shared" si="81"/>
        <v>0</v>
      </c>
      <c r="G168" s="44">
        <f t="shared" si="81"/>
        <v>0</v>
      </c>
      <c r="H168" s="44">
        <f t="shared" si="81"/>
        <v>0</v>
      </c>
      <c r="I168" s="44">
        <f t="shared" si="81"/>
        <v>0</v>
      </c>
      <c r="J168" s="44">
        <f t="shared" si="81"/>
        <v>0</v>
      </c>
      <c r="K168" s="44">
        <f t="shared" si="81"/>
        <v>0</v>
      </c>
      <c r="L168" s="44">
        <f t="shared" si="81"/>
        <v>0</v>
      </c>
      <c r="M168" s="44">
        <f t="shared" si="81"/>
        <v>0</v>
      </c>
      <c r="N168" s="44">
        <f t="shared" si="81"/>
        <v>0</v>
      </c>
      <c r="O168" s="44">
        <f t="shared" si="81"/>
        <v>0</v>
      </c>
      <c r="P168" s="44">
        <f t="shared" si="81"/>
        <v>0</v>
      </c>
    </row>
    <row r="169" spans="1:16" ht="30" hidden="1" customHeight="1" outlineLevel="1" thickBot="1" x14ac:dyDescent="0.3">
      <c r="A169" s="39" t="str">
        <f>IF($A101="","",$A101)</f>
        <v/>
      </c>
      <c r="B169" s="39" t="str">
        <f>IF($B101="","",$B101)</f>
        <v/>
      </c>
      <c r="C169" s="44">
        <f t="shared" ref="C169:P169" si="82">C33-C305-C203</f>
        <v>0</v>
      </c>
      <c r="D169" s="44">
        <f t="shared" si="82"/>
        <v>0</v>
      </c>
      <c r="E169" s="44">
        <f t="shared" si="82"/>
        <v>0</v>
      </c>
      <c r="F169" s="44">
        <f t="shared" si="82"/>
        <v>0</v>
      </c>
      <c r="G169" s="44">
        <f t="shared" si="82"/>
        <v>0</v>
      </c>
      <c r="H169" s="44">
        <f t="shared" si="82"/>
        <v>0</v>
      </c>
      <c r="I169" s="44">
        <f t="shared" si="82"/>
        <v>0</v>
      </c>
      <c r="J169" s="44">
        <f t="shared" si="82"/>
        <v>0</v>
      </c>
      <c r="K169" s="44">
        <f t="shared" si="82"/>
        <v>0</v>
      </c>
      <c r="L169" s="44">
        <f t="shared" si="82"/>
        <v>0</v>
      </c>
      <c r="M169" s="44">
        <f t="shared" si="82"/>
        <v>0</v>
      </c>
      <c r="N169" s="44">
        <f t="shared" si="82"/>
        <v>0</v>
      </c>
      <c r="O169" s="44">
        <f t="shared" si="82"/>
        <v>0</v>
      </c>
      <c r="P169" s="44">
        <f t="shared" si="82"/>
        <v>0</v>
      </c>
    </row>
    <row r="170" spans="1:16" ht="30" hidden="1" customHeight="1" outlineLevel="1" thickBot="1" x14ac:dyDescent="0.3">
      <c r="A170" s="39" t="str">
        <f t="shared" si="54"/>
        <v/>
      </c>
      <c r="B170" s="39" t="str">
        <f t="shared" si="55"/>
        <v/>
      </c>
      <c r="C170" s="44">
        <f t="shared" ref="C170:P170" si="83">C34-C306-C204</f>
        <v>0</v>
      </c>
      <c r="D170" s="44">
        <f t="shared" si="83"/>
        <v>0</v>
      </c>
      <c r="E170" s="44">
        <f t="shared" si="83"/>
        <v>0</v>
      </c>
      <c r="F170" s="44">
        <f t="shared" si="83"/>
        <v>0</v>
      </c>
      <c r="G170" s="44">
        <f t="shared" si="83"/>
        <v>0</v>
      </c>
      <c r="H170" s="44">
        <f t="shared" si="83"/>
        <v>0</v>
      </c>
      <c r="I170" s="44">
        <f t="shared" si="83"/>
        <v>0</v>
      </c>
      <c r="J170" s="44">
        <f t="shared" si="83"/>
        <v>0</v>
      </c>
      <c r="K170" s="44">
        <f t="shared" si="83"/>
        <v>0</v>
      </c>
      <c r="L170" s="44">
        <f t="shared" si="83"/>
        <v>0</v>
      </c>
      <c r="M170" s="44">
        <f t="shared" si="83"/>
        <v>0</v>
      </c>
      <c r="N170" s="44">
        <f t="shared" si="83"/>
        <v>0</v>
      </c>
      <c r="O170" s="44">
        <f t="shared" si="83"/>
        <v>0</v>
      </c>
      <c r="P170" s="44">
        <f t="shared" si="83"/>
        <v>0</v>
      </c>
    </row>
    <row r="171" spans="1:16" ht="30" hidden="1" customHeight="1" outlineLevel="1" thickBot="1" x14ac:dyDescent="0.3">
      <c r="A171" s="39" t="str">
        <f>IF($A103="","",$A103)</f>
        <v/>
      </c>
      <c r="B171" s="39" t="str">
        <f>IF($B103="","",$B103)</f>
        <v/>
      </c>
      <c r="C171" s="44">
        <f t="shared" ref="C171:P171" si="84">C35-C307-C205</f>
        <v>0</v>
      </c>
      <c r="D171" s="44">
        <f t="shared" si="84"/>
        <v>0</v>
      </c>
      <c r="E171" s="44">
        <f t="shared" si="84"/>
        <v>0</v>
      </c>
      <c r="F171" s="44">
        <f t="shared" si="84"/>
        <v>0</v>
      </c>
      <c r="G171" s="44">
        <f t="shared" si="84"/>
        <v>0</v>
      </c>
      <c r="H171" s="44">
        <f t="shared" si="84"/>
        <v>0</v>
      </c>
      <c r="I171" s="44">
        <f t="shared" si="84"/>
        <v>0</v>
      </c>
      <c r="J171" s="44">
        <f t="shared" si="84"/>
        <v>0</v>
      </c>
      <c r="K171" s="44">
        <f t="shared" si="84"/>
        <v>0</v>
      </c>
      <c r="L171" s="44">
        <f t="shared" si="84"/>
        <v>0</v>
      </c>
      <c r="M171" s="44">
        <f t="shared" si="84"/>
        <v>0</v>
      </c>
      <c r="N171" s="44">
        <f t="shared" si="84"/>
        <v>0</v>
      </c>
      <c r="O171" s="44">
        <f t="shared" si="84"/>
        <v>0</v>
      </c>
      <c r="P171" s="44">
        <f t="shared" si="84"/>
        <v>0</v>
      </c>
    </row>
    <row r="172" spans="1:16" ht="30" hidden="1" customHeight="1" outlineLevel="1" thickBot="1" x14ac:dyDescent="0.3">
      <c r="A172" s="39" t="str">
        <f>IF($A104="","",$A104)</f>
        <v/>
      </c>
      <c r="B172" s="39" t="str">
        <f>IF($B104="","",$B104)</f>
        <v/>
      </c>
      <c r="C172" s="44">
        <f t="shared" ref="C172:P172" si="85">C36-C308-C206</f>
        <v>0</v>
      </c>
      <c r="D172" s="44">
        <f t="shared" si="85"/>
        <v>0</v>
      </c>
      <c r="E172" s="44">
        <f t="shared" si="85"/>
        <v>0</v>
      </c>
      <c r="F172" s="44">
        <f t="shared" si="85"/>
        <v>0</v>
      </c>
      <c r="G172" s="44">
        <f t="shared" si="85"/>
        <v>0</v>
      </c>
      <c r="H172" s="44">
        <f t="shared" si="85"/>
        <v>0</v>
      </c>
      <c r="I172" s="44">
        <f t="shared" si="85"/>
        <v>0</v>
      </c>
      <c r="J172" s="44">
        <f t="shared" si="85"/>
        <v>0</v>
      </c>
      <c r="K172" s="44">
        <f t="shared" si="85"/>
        <v>0</v>
      </c>
      <c r="L172" s="44">
        <f t="shared" si="85"/>
        <v>0</v>
      </c>
      <c r="M172" s="44">
        <f t="shared" si="85"/>
        <v>0</v>
      </c>
      <c r="N172" s="44">
        <f t="shared" si="85"/>
        <v>0</v>
      </c>
      <c r="O172" s="44">
        <f t="shared" si="85"/>
        <v>0</v>
      </c>
      <c r="P172" s="44">
        <f t="shared" si="85"/>
        <v>0</v>
      </c>
    </row>
    <row r="173" spans="1:16" ht="30" customHeight="1" collapsed="1" thickBot="1" x14ac:dyDescent="0.3">
      <c r="A173" s="61" t="s">
        <v>6</v>
      </c>
      <c r="B173" s="61"/>
      <c r="C173" s="42">
        <f t="shared" ref="C173:P173" si="86">SUM(C142:C172)</f>
        <v>0</v>
      </c>
      <c r="D173" s="42">
        <f t="shared" si="86"/>
        <v>0</v>
      </c>
      <c r="E173" s="42">
        <f t="shared" si="86"/>
        <v>0</v>
      </c>
      <c r="F173" s="42">
        <f t="shared" si="86"/>
        <v>0</v>
      </c>
      <c r="G173" s="42">
        <f t="shared" si="86"/>
        <v>0</v>
      </c>
      <c r="H173" s="42">
        <f t="shared" si="86"/>
        <v>0</v>
      </c>
      <c r="I173" s="42">
        <f t="shared" si="86"/>
        <v>0</v>
      </c>
      <c r="J173" s="42">
        <f t="shared" si="86"/>
        <v>0</v>
      </c>
      <c r="K173" s="42">
        <f t="shared" si="86"/>
        <v>0</v>
      </c>
      <c r="L173" s="42">
        <f t="shared" si="86"/>
        <v>0</v>
      </c>
      <c r="M173" s="42">
        <f t="shared" si="86"/>
        <v>0</v>
      </c>
      <c r="N173" s="42">
        <f t="shared" si="86"/>
        <v>0</v>
      </c>
      <c r="O173" s="42">
        <f t="shared" si="86"/>
        <v>0</v>
      </c>
      <c r="P173" s="42">
        <f t="shared" si="86"/>
        <v>0</v>
      </c>
    </row>
    <row r="174" spans="1:16" ht="30" customHeight="1" thickBot="1" x14ac:dyDescent="0.3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</row>
    <row r="175" spans="1:16" ht="30" customHeight="1" collapsed="1" thickBot="1" x14ac:dyDescent="0.3">
      <c r="A175" s="60" t="s">
        <v>42</v>
      </c>
      <c r="B175" s="60"/>
      <c r="C175" s="62" t="s">
        <v>42</v>
      </c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</row>
    <row r="176" spans="1:16" ht="30" hidden="1" customHeight="1" outlineLevel="1" thickBot="1" x14ac:dyDescent="0.3">
      <c r="A176" s="39" t="str">
        <f>IF($A108="","",$A108)</f>
        <v/>
      </c>
      <c r="B176" s="39" t="str">
        <f>IF($B108="","",$B108)</f>
        <v/>
      </c>
      <c r="C176" s="40">
        <f>IF((C6-C278)&lt;Tabulação!$H$20,0,IF((C6-C278)&lt;Tabulação!$H$21,((C6-C278)*Tabulação!$I$21)-Tabulação!$J$21,IF((C6-C278)&lt;Tabulação!$H$22,((C6-C278)*Tabulação!$I$22)-Tabulação!$J$22,IF((C6-C278)&lt;Tabulação!$H$23,((C6-C278)*Tabulação!$I$23)-Tabulação!$J$23,((C6-C278)*Tabulação!$I$24)-Tabulação!$J$24))))</f>
        <v>0</v>
      </c>
      <c r="D176" s="40">
        <f>IF((D6-D278)&lt;Tabulação!$H$20,0,IF((D6-D278)&lt;Tabulação!$H$21,((D6-D278)*Tabulação!$I$21)-Tabulação!$J$21,IF((D6-D278)&lt;Tabulação!$H$22,((D6-D278)*Tabulação!$I$22)-Tabulação!$J$22,IF((D6-D278)&lt;Tabulação!$H$23,((D6-D278)*Tabulação!$I$23)-Tabulação!$J$23,((D6-D278)*Tabulação!$I$24)-Tabulação!$J$24))))</f>
        <v>0</v>
      </c>
      <c r="E176" s="40">
        <f>IF((E6-E278)&lt;Tabulação!$H$20,0,IF((E6-E278)&lt;Tabulação!$H$21,((E6-E278)*Tabulação!$I$21)-Tabulação!$J$21,IF((E6-E278)&lt;Tabulação!$H$22,((E6-E278)*Tabulação!$I$22)-Tabulação!$J$22,IF((E6-E278)&lt;Tabulação!$H$23,((E6-E278)*Tabulação!$I$23)-Tabulação!$J$23,((E6-E278)*Tabulação!$I$24)-Tabulação!$J$24))))</f>
        <v>0</v>
      </c>
      <c r="F176" s="40">
        <f>IF((F6-F278)&lt;Tabulação!$H$20,0,IF((F6-F278)&lt;Tabulação!$H$21,((F6-F278)*Tabulação!$I$21)-Tabulação!$J$21,IF((F6-F278)&lt;Tabulação!$H$22,((F6-F278)*Tabulação!$I$22)-Tabulação!$J$22,IF((F6-F278)&lt;Tabulação!$H$23,((F6-F278)*Tabulação!$I$23)-Tabulação!$J$23,((F6-F278)*Tabulação!$I$24)-Tabulação!$J$24))))</f>
        <v>0</v>
      </c>
      <c r="G176" s="40">
        <f>IF((G6-G278)&lt;Tabulação!$H$20,0,IF((G6-G278)&lt;Tabulação!$H$21,((G6-G278)*Tabulação!$I$21)-Tabulação!$J$21,IF((G6-G278)&lt;Tabulação!$H$22,((G6-G278)*Tabulação!$I$22)-Tabulação!$J$22,IF((G6-G278)&lt;Tabulação!$H$23,((G6-G278)*Tabulação!$I$23)-Tabulação!$J$23,((G6-G278)*Tabulação!$I$24)-Tabulação!$J$24))))</f>
        <v>0</v>
      </c>
      <c r="H176" s="40">
        <f>IF((H6-H278)&lt;Tabulação!$H$20,0,IF((H6-H278)&lt;Tabulação!$H$21,((H6-H278)*Tabulação!$I$21)-Tabulação!$J$21,IF((H6-H278)&lt;Tabulação!$H$22,((H6-H278)*Tabulação!$I$22)-Tabulação!$J$22,IF((H6-H278)&lt;Tabulação!$H$23,((H6-H278)*Tabulação!$I$23)-Tabulação!$J$23,((H6-H278)*Tabulação!$I$24)-Tabulação!$J$24))))</f>
        <v>0</v>
      </c>
      <c r="I176" s="40">
        <f>IF((I6-I278)&lt;Tabulação!$H$20,0,IF((I6-I278)&lt;Tabulação!$H$21,((I6-I278)*Tabulação!$I$21)-Tabulação!$J$21,IF((I6-I278)&lt;Tabulação!$H$22,((I6-I278)*Tabulação!$I$22)-Tabulação!$J$22,IF((I6-I278)&lt;Tabulação!$H$23,((I6-I278)*Tabulação!$I$23)-Tabulação!$J$23,((I6-I278)*Tabulação!$I$24)-Tabulação!$J$24))))</f>
        <v>0</v>
      </c>
      <c r="J176" s="40">
        <f>IF((J6-J278)&lt;Tabulação!$H$20,0,IF((J6-J278)&lt;Tabulação!$H$21,((J6-J278)*Tabulação!$I$21)-Tabulação!$J$21,IF((J6-J278)&lt;Tabulação!$H$22,((J6-J278)*Tabulação!$I$22)-Tabulação!$J$22,IF((J6-J278)&lt;Tabulação!$H$23,((J6-J278)*Tabulação!$I$23)-Tabulação!$J$23,((J6-J278)*Tabulação!$I$24)-Tabulação!$J$24))))</f>
        <v>0</v>
      </c>
      <c r="K176" s="40">
        <f>IF((K6-K278)&lt;Tabulação!$H$20,0,IF((K6-K278)&lt;Tabulação!$H$21,((K6-K278)*Tabulação!$I$21)-Tabulação!$J$21,IF((K6-K278)&lt;Tabulação!$H$22,((K6-K278)*Tabulação!$I$22)-Tabulação!$J$22,IF((K6-K278)&lt;Tabulação!$H$23,((K6-K278)*Tabulação!$I$23)-Tabulação!$J$23,((K6-K278)*Tabulação!$I$24)-Tabulação!$J$24))))</f>
        <v>0</v>
      </c>
      <c r="L176" s="40">
        <f>IF((L6-L278)&lt;Tabulação!$H$20,0,IF((L6-L278)&lt;Tabulação!$H$21,((L6-L278)*Tabulação!$I$21)-Tabulação!$J$21,IF((L6-L278)&lt;Tabulação!$H$22,((L6-L278)*Tabulação!$I$22)-Tabulação!$J$22,IF((L6-L278)&lt;Tabulação!$H$23,((L6-L278)*Tabulação!$I$23)-Tabulação!$J$23,((L6-L278)*Tabulação!$I$24)-Tabulação!$J$24))))</f>
        <v>0</v>
      </c>
      <c r="M176" s="40">
        <f>IF((M6-M278)&lt;Tabulação!$H$20,0,IF((M6-M278)&lt;Tabulação!$H$21,((M6-M278)*Tabulação!$I$21)-Tabulação!$J$21,IF((M6-M278)&lt;Tabulação!$H$22,((M6-M278)*Tabulação!$I$22)-Tabulação!$J$22,IF((M6-M278)&lt;Tabulação!$H$23,((M6-M278)*Tabulação!$I$23)-Tabulação!$J$23,((M6-M278)*Tabulação!$I$24)-Tabulação!$J$24))))</f>
        <v>0</v>
      </c>
      <c r="N176" s="40">
        <f>IF((N6-N278)&lt;Tabulação!$H$20,0,IF((N6-N278)&lt;Tabulação!$H$21,((N6-N278)*Tabulação!$I$21)-Tabulação!$J$21,IF((N6-N278)&lt;Tabulação!$H$22,((N6-N278)*Tabulação!$I$22)-Tabulação!$J$22,IF((N6-N278)&lt;Tabulação!$H$23,((N6-N278)*Tabulação!$I$23)-Tabulação!$J$23,((N6-N278)*Tabulação!$I$24)-Tabulação!$J$24))))</f>
        <v>0</v>
      </c>
      <c r="O176" s="41">
        <f>IF((O6-O278)&lt;Tabulação!$H$20,0,IF((O6-O278)&lt;Tabulação!$H$21,((O6-O278)*Tabulação!$I$21)-Tabulação!$J$21,IF((O6-O278)&lt;Tabulação!$H$22,((O6-O278)*Tabulação!$I$22)-Tabulação!$J$22,IF((O6-O278)&lt;Tabulação!$H$23,((O6-O278)*Tabulação!$I$23)-Tabulação!$J$23,((O6-O278)*Tabulação!$I$24)-Tabulação!$J$24))))</f>
        <v>0</v>
      </c>
      <c r="P176" s="41">
        <f>SUM(C176:N176)</f>
        <v>0</v>
      </c>
    </row>
    <row r="177" spans="1:16" ht="30" hidden="1" customHeight="1" outlineLevel="1" thickBot="1" x14ac:dyDescent="0.3">
      <c r="A177" s="39" t="str">
        <f t="shared" ref="A177:A204" si="87">IF($A109="","",$A109)</f>
        <v/>
      </c>
      <c r="B177" s="39" t="str">
        <f t="shared" ref="B177:B204" si="88">IF($B109="","",$B109)</f>
        <v/>
      </c>
      <c r="C177" s="40">
        <f>IF((C7-C279)&lt;Tabulação!$H$20,0,IF((C7-C279)&lt;Tabulação!$H$21,((C7-C279)*Tabulação!$I$21)-Tabulação!$J$21,IF((C7-C279)&lt;Tabulação!$H$22,((C7-C279)*Tabulação!$I$22)-Tabulação!$J$22,IF((C7-C279)&lt;Tabulação!$H$23,((C7-C279)*Tabulação!$I$23)-Tabulação!$J$23,((C7-C279)*Tabulação!$I$24)-Tabulação!$J$24))))</f>
        <v>0</v>
      </c>
      <c r="D177" s="40">
        <f>IF((D7-D279)&lt;Tabulação!$H$20,0,IF((D7-D279)&lt;Tabulação!$H$21,((D7-D279)*Tabulação!$I$21)-Tabulação!$J$21,IF((D7-D279)&lt;Tabulação!$H$22,((D7-D279)*Tabulação!$I$22)-Tabulação!$J$22,IF((D7-D279)&lt;Tabulação!$H$23,((D7-D279)*Tabulação!$I$23)-Tabulação!$J$23,((D7-D279)*Tabulação!$I$24)-Tabulação!$J$24))))</f>
        <v>0</v>
      </c>
      <c r="E177" s="40">
        <f>IF((E7-E279)&lt;Tabulação!$H$20,0,IF((E7-E279)&lt;Tabulação!$H$21,((E7-E279)*Tabulação!$I$21)-Tabulação!$J$21,IF((E7-E279)&lt;Tabulação!$H$22,((E7-E279)*Tabulação!$I$22)-Tabulação!$J$22,IF((E7-E279)&lt;Tabulação!$H$23,((E7-E279)*Tabulação!$I$23)-Tabulação!$J$23,((E7-E279)*Tabulação!$I$24)-Tabulação!$J$24))))</f>
        <v>0</v>
      </c>
      <c r="F177" s="40">
        <f>IF((F7-F279)&lt;Tabulação!$H$20,0,IF((F7-F279)&lt;Tabulação!$H$21,((F7-F279)*Tabulação!$I$21)-Tabulação!$J$21,IF((F7-F279)&lt;Tabulação!$H$22,((F7-F279)*Tabulação!$I$22)-Tabulação!$J$22,IF((F7-F279)&lt;Tabulação!$H$23,((F7-F279)*Tabulação!$I$23)-Tabulação!$J$23,((F7-F279)*Tabulação!$I$24)-Tabulação!$J$24))))</f>
        <v>0</v>
      </c>
      <c r="G177" s="40">
        <f>IF((G7-G279)&lt;Tabulação!$H$20,0,IF((G7-G279)&lt;Tabulação!$H$21,((G7-G279)*Tabulação!$I$21)-Tabulação!$J$21,IF((G7-G279)&lt;Tabulação!$H$22,((G7-G279)*Tabulação!$I$22)-Tabulação!$J$22,IF((G7-G279)&lt;Tabulação!$H$23,((G7-G279)*Tabulação!$I$23)-Tabulação!$J$23,((G7-G279)*Tabulação!$I$24)-Tabulação!$J$24))))</f>
        <v>0</v>
      </c>
      <c r="H177" s="40">
        <f>IF((H7-H279)&lt;Tabulação!$H$20,0,IF((H7-H279)&lt;Tabulação!$H$21,((H7-H279)*Tabulação!$I$21)-Tabulação!$J$21,IF((H7-H279)&lt;Tabulação!$H$22,((H7-H279)*Tabulação!$I$22)-Tabulação!$J$22,IF((H7-H279)&lt;Tabulação!$H$23,((H7-H279)*Tabulação!$I$23)-Tabulação!$J$23,((H7-H279)*Tabulação!$I$24)-Tabulação!$J$24))))</f>
        <v>0</v>
      </c>
      <c r="I177" s="40">
        <f>IF((I7-I279)&lt;Tabulação!$H$20,0,IF((I7-I279)&lt;Tabulação!$H$21,((I7-I279)*Tabulação!$I$21)-Tabulação!$J$21,IF((I7-I279)&lt;Tabulação!$H$22,((I7-I279)*Tabulação!$I$22)-Tabulação!$J$22,IF((I7-I279)&lt;Tabulação!$H$23,((I7-I279)*Tabulação!$I$23)-Tabulação!$J$23,((I7-I279)*Tabulação!$I$24)-Tabulação!$J$24))))</f>
        <v>0</v>
      </c>
      <c r="J177" s="40">
        <f>IF((J7-J279)&lt;Tabulação!$H$20,0,IF((J7-J279)&lt;Tabulação!$H$21,((J7-J279)*Tabulação!$I$21)-Tabulação!$J$21,IF((J7-J279)&lt;Tabulação!$H$22,((J7-J279)*Tabulação!$I$22)-Tabulação!$J$22,IF((J7-J279)&lt;Tabulação!$H$23,((J7-J279)*Tabulação!$I$23)-Tabulação!$J$23,((J7-J279)*Tabulação!$I$24)-Tabulação!$J$24))))</f>
        <v>0</v>
      </c>
      <c r="K177" s="40">
        <f>IF((K7-K279)&lt;Tabulação!$H$20,0,IF((K7-K279)&lt;Tabulação!$H$21,((K7-K279)*Tabulação!$I$21)-Tabulação!$J$21,IF((K7-K279)&lt;Tabulação!$H$22,((K7-K279)*Tabulação!$I$22)-Tabulação!$J$22,IF((K7-K279)&lt;Tabulação!$H$23,((K7-K279)*Tabulação!$I$23)-Tabulação!$J$23,((K7-K279)*Tabulação!$I$24)-Tabulação!$J$24))))</f>
        <v>0</v>
      </c>
      <c r="L177" s="40">
        <f>IF((L7-L279)&lt;Tabulação!$H$20,0,IF((L7-L279)&lt;Tabulação!$H$21,((L7-L279)*Tabulação!$I$21)-Tabulação!$J$21,IF((L7-L279)&lt;Tabulação!$H$22,((L7-L279)*Tabulação!$I$22)-Tabulação!$J$22,IF((L7-L279)&lt;Tabulação!$H$23,((L7-L279)*Tabulação!$I$23)-Tabulação!$J$23,((L7-L279)*Tabulação!$I$24)-Tabulação!$J$24))))</f>
        <v>0</v>
      </c>
      <c r="M177" s="40">
        <f>IF((M7-M279)&lt;Tabulação!$H$20,0,IF((M7-M279)&lt;Tabulação!$H$21,((M7-M279)*Tabulação!$I$21)-Tabulação!$J$21,IF((M7-M279)&lt;Tabulação!$H$22,((M7-M279)*Tabulação!$I$22)-Tabulação!$J$22,IF((M7-M279)&lt;Tabulação!$H$23,((M7-M279)*Tabulação!$I$23)-Tabulação!$J$23,((M7-M279)*Tabulação!$I$24)-Tabulação!$J$24))))</f>
        <v>0</v>
      </c>
      <c r="N177" s="40">
        <f>IF((N7-N279)&lt;Tabulação!$H$20,0,IF((N7-N279)&lt;Tabulação!$H$21,((N7-N279)*Tabulação!$I$21)-Tabulação!$J$21,IF((N7-N279)&lt;Tabulação!$H$22,((N7-N279)*Tabulação!$I$22)-Tabulação!$J$22,IF((N7-N279)&lt;Tabulação!$H$23,((N7-N279)*Tabulação!$I$23)-Tabulação!$J$23,((N7-N279)*Tabulação!$I$24)-Tabulação!$J$24))))</f>
        <v>0</v>
      </c>
      <c r="O177" s="41">
        <f>IF((O7-O279)&lt;Tabulação!$H$20,0,IF((O7-O279)&lt;Tabulação!$H$21,((O7-O279)*Tabulação!$I$21)-Tabulação!$J$21,IF((O7-O279)&lt;Tabulação!$H$22,((O7-O279)*Tabulação!$I$22)-Tabulação!$J$22,IF((O7-O279)&lt;Tabulação!$H$23,((O7-O279)*Tabulação!$I$23)-Tabulação!$J$23,((O7-O279)*Tabulação!$I$24)-Tabulação!$J$24))))</f>
        <v>0</v>
      </c>
      <c r="P177" s="41">
        <f t="shared" ref="P177:P189" si="89">SUM(C177:N177)</f>
        <v>0</v>
      </c>
    </row>
    <row r="178" spans="1:16" ht="30" hidden="1" customHeight="1" outlineLevel="1" thickBot="1" x14ac:dyDescent="0.3">
      <c r="A178" s="39" t="str">
        <f t="shared" si="87"/>
        <v/>
      </c>
      <c r="B178" s="39" t="str">
        <f t="shared" si="88"/>
        <v/>
      </c>
      <c r="C178" s="40">
        <f>IF((C8-C280)&lt;Tabulação!$H$20,0,IF((C8-C280)&lt;Tabulação!$H$21,((C8-C280)*Tabulação!$I$21)-Tabulação!$J$21,IF((C8-C280)&lt;Tabulação!$H$22,((C8-C280)*Tabulação!$I$22)-Tabulação!$J$22,IF((C8-C280)&lt;Tabulação!$H$23,((C8-C280)*Tabulação!$I$23)-Tabulação!$J$23,((C8-C280)*Tabulação!$I$24)-Tabulação!$J$24))))</f>
        <v>0</v>
      </c>
      <c r="D178" s="40">
        <f>IF((D8-D280)&lt;Tabulação!$H$20,0,IF((D8-D280)&lt;Tabulação!$H$21,((D8-D280)*Tabulação!$I$21)-Tabulação!$J$21,IF((D8-D280)&lt;Tabulação!$H$22,((D8-D280)*Tabulação!$I$22)-Tabulação!$J$22,IF((D8-D280)&lt;Tabulação!$H$23,((D8-D280)*Tabulação!$I$23)-Tabulação!$J$23,((D8-D280)*Tabulação!$I$24)-Tabulação!$J$24))))</f>
        <v>0</v>
      </c>
      <c r="E178" s="40">
        <f>IF((E8-E280)&lt;Tabulação!$H$20,0,IF((E8-E280)&lt;Tabulação!$H$21,((E8-E280)*Tabulação!$I$21)-Tabulação!$J$21,IF((E8-E280)&lt;Tabulação!$H$22,((E8-E280)*Tabulação!$I$22)-Tabulação!$J$22,IF((E8-E280)&lt;Tabulação!$H$23,((E8-E280)*Tabulação!$I$23)-Tabulação!$J$23,((E8-E280)*Tabulação!$I$24)-Tabulação!$J$24))))</f>
        <v>0</v>
      </c>
      <c r="F178" s="40">
        <f>IF((F8-F280)&lt;Tabulação!$H$20,0,IF((F8-F280)&lt;Tabulação!$H$21,((F8-F280)*Tabulação!$I$21)-Tabulação!$J$21,IF((F8-F280)&lt;Tabulação!$H$22,((F8-F280)*Tabulação!$I$22)-Tabulação!$J$22,IF((F8-F280)&lt;Tabulação!$H$23,((F8-F280)*Tabulação!$I$23)-Tabulação!$J$23,((F8-F280)*Tabulação!$I$24)-Tabulação!$J$24))))</f>
        <v>0</v>
      </c>
      <c r="G178" s="40">
        <f>IF((G8-G280)&lt;Tabulação!$H$20,0,IF((G8-G280)&lt;Tabulação!$H$21,((G8-G280)*Tabulação!$I$21)-Tabulação!$J$21,IF((G8-G280)&lt;Tabulação!$H$22,((G8-G280)*Tabulação!$I$22)-Tabulação!$J$22,IF((G8-G280)&lt;Tabulação!$H$23,((G8-G280)*Tabulação!$I$23)-Tabulação!$J$23,((G8-G280)*Tabulação!$I$24)-Tabulação!$J$24))))</f>
        <v>0</v>
      </c>
      <c r="H178" s="40">
        <f>IF((H8-H280)&lt;Tabulação!$H$20,0,IF((H8-H280)&lt;Tabulação!$H$21,((H8-H280)*Tabulação!$I$21)-Tabulação!$J$21,IF((H8-H280)&lt;Tabulação!$H$22,((H8-H280)*Tabulação!$I$22)-Tabulação!$J$22,IF((H8-H280)&lt;Tabulação!$H$23,((H8-H280)*Tabulação!$I$23)-Tabulação!$J$23,((H8-H280)*Tabulação!$I$24)-Tabulação!$J$24))))</f>
        <v>0</v>
      </c>
      <c r="I178" s="40">
        <f>IF((I8-I280)&lt;Tabulação!$H$20,0,IF((I8-I280)&lt;Tabulação!$H$21,((I8-I280)*Tabulação!$I$21)-Tabulação!$J$21,IF((I8-I280)&lt;Tabulação!$H$22,((I8-I280)*Tabulação!$I$22)-Tabulação!$J$22,IF((I8-I280)&lt;Tabulação!$H$23,((I8-I280)*Tabulação!$I$23)-Tabulação!$J$23,((I8-I280)*Tabulação!$I$24)-Tabulação!$J$24))))</f>
        <v>0</v>
      </c>
      <c r="J178" s="40">
        <f>IF((J8-J280)&lt;Tabulação!$H$20,0,IF((J8-J280)&lt;Tabulação!$H$21,((J8-J280)*Tabulação!$I$21)-Tabulação!$J$21,IF((J8-J280)&lt;Tabulação!$H$22,((J8-J280)*Tabulação!$I$22)-Tabulação!$J$22,IF((J8-J280)&lt;Tabulação!$H$23,((J8-J280)*Tabulação!$I$23)-Tabulação!$J$23,((J8-J280)*Tabulação!$I$24)-Tabulação!$J$24))))</f>
        <v>0</v>
      </c>
      <c r="K178" s="40">
        <f>IF((K8-K280)&lt;Tabulação!$H$20,0,IF((K8-K280)&lt;Tabulação!$H$21,((K8-K280)*Tabulação!$I$21)-Tabulação!$J$21,IF((K8-K280)&lt;Tabulação!$H$22,((K8-K280)*Tabulação!$I$22)-Tabulação!$J$22,IF((K8-K280)&lt;Tabulação!$H$23,((K8-K280)*Tabulação!$I$23)-Tabulação!$J$23,((K8-K280)*Tabulação!$I$24)-Tabulação!$J$24))))</f>
        <v>0</v>
      </c>
      <c r="L178" s="40">
        <f>IF((L8-L280)&lt;Tabulação!$H$20,0,IF((L8-L280)&lt;Tabulação!$H$21,((L8-L280)*Tabulação!$I$21)-Tabulação!$J$21,IF((L8-L280)&lt;Tabulação!$H$22,((L8-L280)*Tabulação!$I$22)-Tabulação!$J$22,IF((L8-L280)&lt;Tabulação!$H$23,((L8-L280)*Tabulação!$I$23)-Tabulação!$J$23,((L8-L280)*Tabulação!$I$24)-Tabulação!$J$24))))</f>
        <v>0</v>
      </c>
      <c r="M178" s="40">
        <f>IF((M8-M280)&lt;Tabulação!$H$20,0,IF((M8-M280)&lt;Tabulação!$H$21,((M8-M280)*Tabulação!$I$21)-Tabulação!$J$21,IF((M8-M280)&lt;Tabulação!$H$22,((M8-M280)*Tabulação!$I$22)-Tabulação!$J$22,IF((M8-M280)&lt;Tabulação!$H$23,((M8-M280)*Tabulação!$I$23)-Tabulação!$J$23,((M8-M280)*Tabulação!$I$24)-Tabulação!$J$24))))</f>
        <v>0</v>
      </c>
      <c r="N178" s="40">
        <f>IF((N8-N280)&lt;Tabulação!$H$20,0,IF((N8-N280)&lt;Tabulação!$H$21,((N8-N280)*Tabulação!$I$21)-Tabulação!$J$21,IF((N8-N280)&lt;Tabulação!$H$22,((N8-N280)*Tabulação!$I$22)-Tabulação!$J$22,IF((N8-N280)&lt;Tabulação!$H$23,((N8-N280)*Tabulação!$I$23)-Tabulação!$J$23,((N8-N280)*Tabulação!$I$24)-Tabulação!$J$24))))</f>
        <v>0</v>
      </c>
      <c r="O178" s="41">
        <f>IF((O8-O280)&lt;Tabulação!$H$20,0,IF((O8-O280)&lt;Tabulação!$H$21,((O8-O280)*Tabulação!$I$21)-Tabulação!$J$21,IF((O8-O280)&lt;Tabulação!$H$22,((O8-O280)*Tabulação!$I$22)-Tabulação!$J$22,IF((O8-O280)&lt;Tabulação!$H$23,((O8-O280)*Tabulação!$I$23)-Tabulação!$J$23,((O8-O280)*Tabulação!$I$24)-Tabulação!$J$24))))</f>
        <v>0</v>
      </c>
      <c r="P178" s="41">
        <f t="shared" si="89"/>
        <v>0</v>
      </c>
    </row>
    <row r="179" spans="1:16" ht="30" hidden="1" customHeight="1" outlineLevel="1" thickBot="1" x14ac:dyDescent="0.3">
      <c r="A179" s="39" t="str">
        <f t="shared" si="87"/>
        <v/>
      </c>
      <c r="B179" s="39" t="str">
        <f t="shared" si="88"/>
        <v/>
      </c>
      <c r="C179" s="40">
        <f>IF((C9-C281)&lt;Tabulação!$H$20,0,IF((C9-C281)&lt;Tabulação!$H$21,((C9-C281)*Tabulação!$I$21)-Tabulação!$J$21,IF((C9-C281)&lt;Tabulação!$H$22,((C9-C281)*Tabulação!$I$22)-Tabulação!$J$22,IF((C9-C281)&lt;Tabulação!$H$23,((C9-C281)*Tabulação!$I$23)-Tabulação!$J$23,((C9-C281)*Tabulação!$I$24)-Tabulação!$J$24))))</f>
        <v>0</v>
      </c>
      <c r="D179" s="40">
        <f>IF((D9-D281)&lt;Tabulação!$H$20,0,IF((D9-D281)&lt;Tabulação!$H$21,((D9-D281)*Tabulação!$I$21)-Tabulação!$J$21,IF((D9-D281)&lt;Tabulação!$H$22,((D9-D281)*Tabulação!$I$22)-Tabulação!$J$22,IF((D9-D281)&lt;Tabulação!$H$23,((D9-D281)*Tabulação!$I$23)-Tabulação!$J$23,((D9-D281)*Tabulação!$I$24)-Tabulação!$J$24))))</f>
        <v>0</v>
      </c>
      <c r="E179" s="40">
        <f>IF((E9-E281)&lt;Tabulação!$H$20,0,IF((E9-E281)&lt;Tabulação!$H$21,((E9-E281)*Tabulação!$I$21)-Tabulação!$J$21,IF((E9-E281)&lt;Tabulação!$H$22,((E9-E281)*Tabulação!$I$22)-Tabulação!$J$22,IF((E9-E281)&lt;Tabulação!$H$23,((E9-E281)*Tabulação!$I$23)-Tabulação!$J$23,((E9-E281)*Tabulação!$I$24)-Tabulação!$J$24))))</f>
        <v>0</v>
      </c>
      <c r="F179" s="40">
        <f>IF((F9-F281)&lt;Tabulação!$H$20,0,IF((F9-F281)&lt;Tabulação!$H$21,((F9-F281)*Tabulação!$I$21)-Tabulação!$J$21,IF((F9-F281)&lt;Tabulação!$H$22,((F9-F281)*Tabulação!$I$22)-Tabulação!$J$22,IF((F9-F281)&lt;Tabulação!$H$23,((F9-F281)*Tabulação!$I$23)-Tabulação!$J$23,((F9-F281)*Tabulação!$I$24)-Tabulação!$J$24))))</f>
        <v>0</v>
      </c>
      <c r="G179" s="40">
        <f>IF((G9-G281)&lt;Tabulação!$H$20,0,IF((G9-G281)&lt;Tabulação!$H$21,((G9-G281)*Tabulação!$I$21)-Tabulação!$J$21,IF((G9-G281)&lt;Tabulação!$H$22,((G9-G281)*Tabulação!$I$22)-Tabulação!$J$22,IF((G9-G281)&lt;Tabulação!$H$23,((G9-G281)*Tabulação!$I$23)-Tabulação!$J$23,((G9-G281)*Tabulação!$I$24)-Tabulação!$J$24))))</f>
        <v>0</v>
      </c>
      <c r="H179" s="40">
        <f>IF((H9-H281)&lt;Tabulação!$H$20,0,IF((H9-H281)&lt;Tabulação!$H$21,((H9-H281)*Tabulação!$I$21)-Tabulação!$J$21,IF((H9-H281)&lt;Tabulação!$H$22,((H9-H281)*Tabulação!$I$22)-Tabulação!$J$22,IF((H9-H281)&lt;Tabulação!$H$23,((H9-H281)*Tabulação!$I$23)-Tabulação!$J$23,((H9-H281)*Tabulação!$I$24)-Tabulação!$J$24))))</f>
        <v>0</v>
      </c>
      <c r="I179" s="40">
        <f>IF((I9-I281)&lt;Tabulação!$H$20,0,IF((I9-I281)&lt;Tabulação!$H$21,((I9-I281)*Tabulação!$I$21)-Tabulação!$J$21,IF((I9-I281)&lt;Tabulação!$H$22,((I9-I281)*Tabulação!$I$22)-Tabulação!$J$22,IF((I9-I281)&lt;Tabulação!$H$23,((I9-I281)*Tabulação!$I$23)-Tabulação!$J$23,((I9-I281)*Tabulação!$I$24)-Tabulação!$J$24))))</f>
        <v>0</v>
      </c>
      <c r="J179" s="40">
        <f>IF((J9-J281)&lt;Tabulação!$H$20,0,IF((J9-J281)&lt;Tabulação!$H$21,((J9-J281)*Tabulação!$I$21)-Tabulação!$J$21,IF((J9-J281)&lt;Tabulação!$H$22,((J9-J281)*Tabulação!$I$22)-Tabulação!$J$22,IF((J9-J281)&lt;Tabulação!$H$23,((J9-J281)*Tabulação!$I$23)-Tabulação!$J$23,((J9-J281)*Tabulação!$I$24)-Tabulação!$J$24))))</f>
        <v>0</v>
      </c>
      <c r="K179" s="40">
        <f>IF((K9-K281)&lt;Tabulação!$H$20,0,IF((K9-K281)&lt;Tabulação!$H$21,((K9-K281)*Tabulação!$I$21)-Tabulação!$J$21,IF((K9-K281)&lt;Tabulação!$H$22,((K9-K281)*Tabulação!$I$22)-Tabulação!$J$22,IF((K9-K281)&lt;Tabulação!$H$23,((K9-K281)*Tabulação!$I$23)-Tabulação!$J$23,((K9-K281)*Tabulação!$I$24)-Tabulação!$J$24))))</f>
        <v>0</v>
      </c>
      <c r="L179" s="40">
        <f>IF((L9-L281)&lt;Tabulação!$H$20,0,IF((L9-L281)&lt;Tabulação!$H$21,((L9-L281)*Tabulação!$I$21)-Tabulação!$J$21,IF((L9-L281)&lt;Tabulação!$H$22,((L9-L281)*Tabulação!$I$22)-Tabulação!$J$22,IF((L9-L281)&lt;Tabulação!$H$23,((L9-L281)*Tabulação!$I$23)-Tabulação!$J$23,((L9-L281)*Tabulação!$I$24)-Tabulação!$J$24))))</f>
        <v>0</v>
      </c>
      <c r="M179" s="40">
        <f>IF((M9-M281)&lt;Tabulação!$H$20,0,IF((M9-M281)&lt;Tabulação!$H$21,((M9-M281)*Tabulação!$I$21)-Tabulação!$J$21,IF((M9-M281)&lt;Tabulação!$H$22,((M9-M281)*Tabulação!$I$22)-Tabulação!$J$22,IF((M9-M281)&lt;Tabulação!$H$23,((M9-M281)*Tabulação!$I$23)-Tabulação!$J$23,((M9-M281)*Tabulação!$I$24)-Tabulação!$J$24))))</f>
        <v>0</v>
      </c>
      <c r="N179" s="40">
        <f>IF((N9-N281)&lt;Tabulação!$H$20,0,IF((N9-N281)&lt;Tabulação!$H$21,((N9-N281)*Tabulação!$I$21)-Tabulação!$J$21,IF((N9-N281)&lt;Tabulação!$H$22,((N9-N281)*Tabulação!$I$22)-Tabulação!$J$22,IF((N9-N281)&lt;Tabulação!$H$23,((N9-N281)*Tabulação!$I$23)-Tabulação!$J$23,((N9-N281)*Tabulação!$I$24)-Tabulação!$J$24))))</f>
        <v>0</v>
      </c>
      <c r="O179" s="41">
        <f>IF((O9-O281)&lt;Tabulação!$H$20,0,IF((O9-O281)&lt;Tabulação!$H$21,((O9-O281)*Tabulação!$I$21)-Tabulação!$J$21,IF((O9-O281)&lt;Tabulação!$H$22,((O9-O281)*Tabulação!$I$22)-Tabulação!$J$22,IF((O9-O281)&lt;Tabulação!$H$23,((O9-O281)*Tabulação!$I$23)-Tabulação!$J$23,((O9-O281)*Tabulação!$I$24)-Tabulação!$J$24))))</f>
        <v>0</v>
      </c>
      <c r="P179" s="41">
        <f t="shared" si="89"/>
        <v>0</v>
      </c>
    </row>
    <row r="180" spans="1:16" ht="30" hidden="1" customHeight="1" outlineLevel="1" thickBot="1" x14ac:dyDescent="0.3">
      <c r="A180" s="39" t="str">
        <f t="shared" si="87"/>
        <v/>
      </c>
      <c r="B180" s="39" t="str">
        <f t="shared" si="88"/>
        <v/>
      </c>
      <c r="C180" s="40">
        <f>IF((C10-C282)&lt;Tabulação!$H$20,0,IF((C10-C282)&lt;Tabulação!$H$21,((C10-C282)*Tabulação!$I$21)-Tabulação!$J$21,IF((C10-C282)&lt;Tabulação!$H$22,((C10-C282)*Tabulação!$I$22)-Tabulação!$J$22,IF((C10-C282)&lt;Tabulação!$H$23,((C10-C282)*Tabulação!$I$23)-Tabulação!$J$23,((C10-C282)*Tabulação!$I$24)-Tabulação!$J$24))))</f>
        <v>0</v>
      </c>
      <c r="D180" s="40">
        <f>IF((D10-D282)&lt;Tabulação!$H$20,0,IF((D10-D282)&lt;Tabulação!$H$21,((D10-D282)*Tabulação!$I$21)-Tabulação!$J$21,IF((D10-D282)&lt;Tabulação!$H$22,((D10-D282)*Tabulação!$I$22)-Tabulação!$J$22,IF((D10-D282)&lt;Tabulação!$H$23,((D10-D282)*Tabulação!$I$23)-Tabulação!$J$23,((D10-D282)*Tabulação!$I$24)-Tabulação!$J$24))))</f>
        <v>0</v>
      </c>
      <c r="E180" s="40">
        <f>IF((E10-E282)&lt;Tabulação!$H$20,0,IF((E10-E282)&lt;Tabulação!$H$21,((E10-E282)*Tabulação!$I$21)-Tabulação!$J$21,IF((E10-E282)&lt;Tabulação!$H$22,((E10-E282)*Tabulação!$I$22)-Tabulação!$J$22,IF((E10-E282)&lt;Tabulação!$H$23,((E10-E282)*Tabulação!$I$23)-Tabulação!$J$23,((E10-E282)*Tabulação!$I$24)-Tabulação!$J$24))))</f>
        <v>0</v>
      </c>
      <c r="F180" s="40">
        <f>IF((F10-F282)&lt;Tabulação!$H$20,0,IF((F10-F282)&lt;Tabulação!$H$21,((F10-F282)*Tabulação!$I$21)-Tabulação!$J$21,IF((F10-F282)&lt;Tabulação!$H$22,((F10-F282)*Tabulação!$I$22)-Tabulação!$J$22,IF((F10-F282)&lt;Tabulação!$H$23,((F10-F282)*Tabulação!$I$23)-Tabulação!$J$23,((F10-F282)*Tabulação!$I$24)-Tabulação!$J$24))))</f>
        <v>0</v>
      </c>
      <c r="G180" s="40">
        <f>IF((G10-G282)&lt;Tabulação!$H$20,0,IF((G10-G282)&lt;Tabulação!$H$21,((G10-G282)*Tabulação!$I$21)-Tabulação!$J$21,IF((G10-G282)&lt;Tabulação!$H$22,((G10-G282)*Tabulação!$I$22)-Tabulação!$J$22,IF((G10-G282)&lt;Tabulação!$H$23,((G10-G282)*Tabulação!$I$23)-Tabulação!$J$23,((G10-G282)*Tabulação!$I$24)-Tabulação!$J$24))))</f>
        <v>0</v>
      </c>
      <c r="H180" s="40">
        <f>IF((H10-H282)&lt;Tabulação!$H$20,0,IF((H10-H282)&lt;Tabulação!$H$21,((H10-H282)*Tabulação!$I$21)-Tabulação!$J$21,IF((H10-H282)&lt;Tabulação!$H$22,((H10-H282)*Tabulação!$I$22)-Tabulação!$J$22,IF((H10-H282)&lt;Tabulação!$H$23,((H10-H282)*Tabulação!$I$23)-Tabulação!$J$23,((H10-H282)*Tabulação!$I$24)-Tabulação!$J$24))))</f>
        <v>0</v>
      </c>
      <c r="I180" s="40">
        <f>IF((I10-I282)&lt;Tabulação!$H$20,0,IF((I10-I282)&lt;Tabulação!$H$21,((I10-I282)*Tabulação!$I$21)-Tabulação!$J$21,IF((I10-I282)&lt;Tabulação!$H$22,((I10-I282)*Tabulação!$I$22)-Tabulação!$J$22,IF((I10-I282)&lt;Tabulação!$H$23,((I10-I282)*Tabulação!$I$23)-Tabulação!$J$23,((I10-I282)*Tabulação!$I$24)-Tabulação!$J$24))))</f>
        <v>0</v>
      </c>
      <c r="J180" s="40">
        <f>IF((J10-J282)&lt;Tabulação!$H$20,0,IF((J10-J282)&lt;Tabulação!$H$21,((J10-J282)*Tabulação!$I$21)-Tabulação!$J$21,IF((J10-J282)&lt;Tabulação!$H$22,((J10-J282)*Tabulação!$I$22)-Tabulação!$J$22,IF((J10-J282)&lt;Tabulação!$H$23,((J10-J282)*Tabulação!$I$23)-Tabulação!$J$23,((J10-J282)*Tabulação!$I$24)-Tabulação!$J$24))))</f>
        <v>0</v>
      </c>
      <c r="K180" s="40">
        <f>IF((K10-K282)&lt;Tabulação!$H$20,0,IF((K10-K282)&lt;Tabulação!$H$21,((K10-K282)*Tabulação!$I$21)-Tabulação!$J$21,IF((K10-K282)&lt;Tabulação!$H$22,((K10-K282)*Tabulação!$I$22)-Tabulação!$J$22,IF((K10-K282)&lt;Tabulação!$H$23,((K10-K282)*Tabulação!$I$23)-Tabulação!$J$23,((K10-K282)*Tabulação!$I$24)-Tabulação!$J$24))))</f>
        <v>0</v>
      </c>
      <c r="L180" s="40">
        <f>IF((L10-L282)&lt;Tabulação!$H$20,0,IF((L10-L282)&lt;Tabulação!$H$21,((L10-L282)*Tabulação!$I$21)-Tabulação!$J$21,IF((L10-L282)&lt;Tabulação!$H$22,((L10-L282)*Tabulação!$I$22)-Tabulação!$J$22,IF((L10-L282)&lt;Tabulação!$H$23,((L10-L282)*Tabulação!$I$23)-Tabulação!$J$23,((L10-L282)*Tabulação!$I$24)-Tabulação!$J$24))))</f>
        <v>0</v>
      </c>
      <c r="M180" s="40">
        <f>IF((M10-M282)&lt;Tabulação!$H$20,0,IF((M10-M282)&lt;Tabulação!$H$21,((M10-M282)*Tabulação!$I$21)-Tabulação!$J$21,IF((M10-M282)&lt;Tabulação!$H$22,((M10-M282)*Tabulação!$I$22)-Tabulação!$J$22,IF((M10-M282)&lt;Tabulação!$H$23,((M10-M282)*Tabulação!$I$23)-Tabulação!$J$23,((M10-M282)*Tabulação!$I$24)-Tabulação!$J$24))))</f>
        <v>0</v>
      </c>
      <c r="N180" s="40">
        <f>IF((N10-N282)&lt;Tabulação!$H$20,0,IF((N10-N282)&lt;Tabulação!$H$21,((N10-N282)*Tabulação!$I$21)-Tabulação!$J$21,IF((N10-N282)&lt;Tabulação!$H$22,((N10-N282)*Tabulação!$I$22)-Tabulação!$J$22,IF((N10-N282)&lt;Tabulação!$H$23,((N10-N282)*Tabulação!$I$23)-Tabulação!$J$23,((N10-N282)*Tabulação!$I$24)-Tabulação!$J$24))))</f>
        <v>0</v>
      </c>
      <c r="O180" s="41">
        <f>IF((O10-O282)&lt;Tabulação!$H$20,0,IF((O10-O282)&lt;Tabulação!$H$21,((O10-O282)*Tabulação!$I$21)-Tabulação!$J$21,IF((O10-O282)&lt;Tabulação!$H$22,((O10-O282)*Tabulação!$I$22)-Tabulação!$J$22,IF((O10-O282)&lt;Tabulação!$H$23,((O10-O282)*Tabulação!$I$23)-Tabulação!$J$23,((O10-O282)*Tabulação!$I$24)-Tabulação!$J$24))))</f>
        <v>0</v>
      </c>
      <c r="P180" s="41">
        <f t="shared" si="89"/>
        <v>0</v>
      </c>
    </row>
    <row r="181" spans="1:16" ht="30" hidden="1" customHeight="1" outlineLevel="1" thickBot="1" x14ac:dyDescent="0.3">
      <c r="A181" s="39" t="str">
        <f t="shared" si="87"/>
        <v/>
      </c>
      <c r="B181" s="39" t="str">
        <f t="shared" si="88"/>
        <v/>
      </c>
      <c r="C181" s="40">
        <f>IF((C11-C283)&lt;Tabulação!$H$20,0,IF((C11-C283)&lt;Tabulação!$H$21,((C11-C283)*Tabulação!$I$21)-Tabulação!$J$21,IF((C11-C283)&lt;Tabulação!$H$22,((C11-C283)*Tabulação!$I$22)-Tabulação!$J$22,IF((C11-C283)&lt;Tabulação!$H$23,((C11-C283)*Tabulação!$I$23)-Tabulação!$J$23,((C11-C283)*Tabulação!$I$24)-Tabulação!$J$24))))</f>
        <v>0</v>
      </c>
      <c r="D181" s="40">
        <f>IF((D11-D283)&lt;Tabulação!$H$20,0,IF((D11-D283)&lt;Tabulação!$H$21,((D11-D283)*Tabulação!$I$21)-Tabulação!$J$21,IF((D11-D283)&lt;Tabulação!$H$22,((D11-D283)*Tabulação!$I$22)-Tabulação!$J$22,IF((D11-D283)&lt;Tabulação!$H$23,((D11-D283)*Tabulação!$I$23)-Tabulação!$J$23,((D11-D283)*Tabulação!$I$24)-Tabulação!$J$24))))</f>
        <v>0</v>
      </c>
      <c r="E181" s="40">
        <f>IF((E11-E283)&lt;Tabulação!$H$20,0,IF((E11-E283)&lt;Tabulação!$H$21,((E11-E283)*Tabulação!$I$21)-Tabulação!$J$21,IF((E11-E283)&lt;Tabulação!$H$22,((E11-E283)*Tabulação!$I$22)-Tabulação!$J$22,IF((E11-E283)&lt;Tabulação!$H$23,((E11-E283)*Tabulação!$I$23)-Tabulação!$J$23,((E11-E283)*Tabulação!$I$24)-Tabulação!$J$24))))</f>
        <v>0</v>
      </c>
      <c r="F181" s="40">
        <f>IF((F11-F283)&lt;Tabulação!$H$20,0,IF((F11-F283)&lt;Tabulação!$H$21,((F11-F283)*Tabulação!$I$21)-Tabulação!$J$21,IF((F11-F283)&lt;Tabulação!$H$22,((F11-F283)*Tabulação!$I$22)-Tabulação!$J$22,IF((F11-F283)&lt;Tabulação!$H$23,((F11-F283)*Tabulação!$I$23)-Tabulação!$J$23,((F11-F283)*Tabulação!$I$24)-Tabulação!$J$24))))</f>
        <v>0</v>
      </c>
      <c r="G181" s="40">
        <f>IF((G11-G283)&lt;Tabulação!$H$20,0,IF((G11-G283)&lt;Tabulação!$H$21,((G11-G283)*Tabulação!$I$21)-Tabulação!$J$21,IF((G11-G283)&lt;Tabulação!$H$22,((G11-G283)*Tabulação!$I$22)-Tabulação!$J$22,IF((G11-G283)&lt;Tabulação!$H$23,((G11-G283)*Tabulação!$I$23)-Tabulação!$J$23,((G11-G283)*Tabulação!$I$24)-Tabulação!$J$24))))</f>
        <v>0</v>
      </c>
      <c r="H181" s="40">
        <f>IF((H11-H283)&lt;Tabulação!$H$20,0,IF((H11-H283)&lt;Tabulação!$H$21,((H11-H283)*Tabulação!$I$21)-Tabulação!$J$21,IF((H11-H283)&lt;Tabulação!$H$22,((H11-H283)*Tabulação!$I$22)-Tabulação!$J$22,IF((H11-H283)&lt;Tabulação!$H$23,((H11-H283)*Tabulação!$I$23)-Tabulação!$J$23,((H11-H283)*Tabulação!$I$24)-Tabulação!$J$24))))</f>
        <v>0</v>
      </c>
      <c r="I181" s="40">
        <f>IF((I11-I283)&lt;Tabulação!$H$20,0,IF((I11-I283)&lt;Tabulação!$H$21,((I11-I283)*Tabulação!$I$21)-Tabulação!$J$21,IF((I11-I283)&lt;Tabulação!$H$22,((I11-I283)*Tabulação!$I$22)-Tabulação!$J$22,IF((I11-I283)&lt;Tabulação!$H$23,((I11-I283)*Tabulação!$I$23)-Tabulação!$J$23,((I11-I283)*Tabulação!$I$24)-Tabulação!$J$24))))</f>
        <v>0</v>
      </c>
      <c r="J181" s="40">
        <f>IF((J11-J283)&lt;Tabulação!$H$20,0,IF((J11-J283)&lt;Tabulação!$H$21,((J11-J283)*Tabulação!$I$21)-Tabulação!$J$21,IF((J11-J283)&lt;Tabulação!$H$22,((J11-J283)*Tabulação!$I$22)-Tabulação!$J$22,IF((J11-J283)&lt;Tabulação!$H$23,((J11-J283)*Tabulação!$I$23)-Tabulação!$J$23,((J11-J283)*Tabulação!$I$24)-Tabulação!$J$24))))</f>
        <v>0</v>
      </c>
      <c r="K181" s="40">
        <f>IF((K11-K283)&lt;Tabulação!$H$20,0,IF((K11-K283)&lt;Tabulação!$H$21,((K11-K283)*Tabulação!$I$21)-Tabulação!$J$21,IF((K11-K283)&lt;Tabulação!$H$22,((K11-K283)*Tabulação!$I$22)-Tabulação!$J$22,IF((K11-K283)&lt;Tabulação!$H$23,((K11-K283)*Tabulação!$I$23)-Tabulação!$J$23,((K11-K283)*Tabulação!$I$24)-Tabulação!$J$24))))</f>
        <v>0</v>
      </c>
      <c r="L181" s="40">
        <f>IF((L11-L283)&lt;Tabulação!$H$20,0,IF((L11-L283)&lt;Tabulação!$H$21,((L11-L283)*Tabulação!$I$21)-Tabulação!$J$21,IF((L11-L283)&lt;Tabulação!$H$22,((L11-L283)*Tabulação!$I$22)-Tabulação!$J$22,IF((L11-L283)&lt;Tabulação!$H$23,((L11-L283)*Tabulação!$I$23)-Tabulação!$J$23,((L11-L283)*Tabulação!$I$24)-Tabulação!$J$24))))</f>
        <v>0</v>
      </c>
      <c r="M181" s="40">
        <f>IF((M11-M283)&lt;Tabulação!$H$20,0,IF((M11-M283)&lt;Tabulação!$H$21,((M11-M283)*Tabulação!$I$21)-Tabulação!$J$21,IF((M11-M283)&lt;Tabulação!$H$22,((M11-M283)*Tabulação!$I$22)-Tabulação!$J$22,IF((M11-M283)&lt;Tabulação!$H$23,((M11-M283)*Tabulação!$I$23)-Tabulação!$J$23,((M11-M283)*Tabulação!$I$24)-Tabulação!$J$24))))</f>
        <v>0</v>
      </c>
      <c r="N181" s="40">
        <f>IF((N11-N283)&lt;Tabulação!$H$20,0,IF((N11-N283)&lt;Tabulação!$H$21,((N11-N283)*Tabulação!$I$21)-Tabulação!$J$21,IF((N11-N283)&lt;Tabulação!$H$22,((N11-N283)*Tabulação!$I$22)-Tabulação!$J$22,IF((N11-N283)&lt;Tabulação!$H$23,((N11-N283)*Tabulação!$I$23)-Tabulação!$J$23,((N11-N283)*Tabulação!$I$24)-Tabulação!$J$24))))</f>
        <v>0</v>
      </c>
      <c r="O181" s="41">
        <f>IF((O11-O283)&lt;Tabulação!$H$20,0,IF((O11-O283)&lt;Tabulação!$H$21,((O11-O283)*Tabulação!$I$21)-Tabulação!$J$21,IF((O11-O283)&lt;Tabulação!$H$22,((O11-O283)*Tabulação!$I$22)-Tabulação!$J$22,IF((O11-O283)&lt;Tabulação!$H$23,((O11-O283)*Tabulação!$I$23)-Tabulação!$J$23,((O11-O283)*Tabulação!$I$24)-Tabulação!$J$24))))</f>
        <v>0</v>
      </c>
      <c r="P181" s="41">
        <f t="shared" si="89"/>
        <v>0</v>
      </c>
    </row>
    <row r="182" spans="1:16" ht="30" hidden="1" customHeight="1" outlineLevel="1" thickBot="1" x14ac:dyDescent="0.3">
      <c r="A182" s="39" t="str">
        <f t="shared" si="87"/>
        <v/>
      </c>
      <c r="B182" s="39" t="str">
        <f t="shared" si="88"/>
        <v/>
      </c>
      <c r="C182" s="40">
        <f>IF((C12-C284)&lt;Tabulação!$H$20,0,IF((C12-C284)&lt;Tabulação!$H$21,((C12-C284)*Tabulação!$I$21)-Tabulação!$J$21,IF((C12-C284)&lt;Tabulação!$H$22,((C12-C284)*Tabulação!$I$22)-Tabulação!$J$22,IF((C12-C284)&lt;Tabulação!$H$23,((C12-C284)*Tabulação!$I$23)-Tabulação!$J$23,((C12-C284)*Tabulação!$I$24)-Tabulação!$J$24))))</f>
        <v>0</v>
      </c>
      <c r="D182" s="40">
        <f>IF((D12-D284)&lt;Tabulação!$H$20,0,IF((D12-D284)&lt;Tabulação!$H$21,((D12-D284)*Tabulação!$I$21)-Tabulação!$J$21,IF((D12-D284)&lt;Tabulação!$H$22,((D12-D284)*Tabulação!$I$22)-Tabulação!$J$22,IF((D12-D284)&lt;Tabulação!$H$23,((D12-D284)*Tabulação!$I$23)-Tabulação!$J$23,((D12-D284)*Tabulação!$I$24)-Tabulação!$J$24))))</f>
        <v>0</v>
      </c>
      <c r="E182" s="40">
        <f>IF((E12-E284)&lt;Tabulação!$H$20,0,IF((E12-E284)&lt;Tabulação!$H$21,((E12-E284)*Tabulação!$I$21)-Tabulação!$J$21,IF((E12-E284)&lt;Tabulação!$H$22,((E12-E284)*Tabulação!$I$22)-Tabulação!$J$22,IF((E12-E284)&lt;Tabulação!$H$23,((E12-E284)*Tabulação!$I$23)-Tabulação!$J$23,((E12-E284)*Tabulação!$I$24)-Tabulação!$J$24))))</f>
        <v>0</v>
      </c>
      <c r="F182" s="40">
        <f>IF((F12-F284)&lt;Tabulação!$H$20,0,IF((F12-F284)&lt;Tabulação!$H$21,((F12-F284)*Tabulação!$I$21)-Tabulação!$J$21,IF((F12-F284)&lt;Tabulação!$H$22,((F12-F284)*Tabulação!$I$22)-Tabulação!$J$22,IF((F12-F284)&lt;Tabulação!$H$23,((F12-F284)*Tabulação!$I$23)-Tabulação!$J$23,((F12-F284)*Tabulação!$I$24)-Tabulação!$J$24))))</f>
        <v>0</v>
      </c>
      <c r="G182" s="40">
        <f>IF((G12-G284)&lt;Tabulação!$H$20,0,IF((G12-G284)&lt;Tabulação!$H$21,((G12-G284)*Tabulação!$I$21)-Tabulação!$J$21,IF((G12-G284)&lt;Tabulação!$H$22,((G12-G284)*Tabulação!$I$22)-Tabulação!$J$22,IF((G12-G284)&lt;Tabulação!$H$23,((G12-G284)*Tabulação!$I$23)-Tabulação!$J$23,((G12-G284)*Tabulação!$I$24)-Tabulação!$J$24))))</f>
        <v>0</v>
      </c>
      <c r="H182" s="40">
        <f>IF((H12-H284)&lt;Tabulação!$H$20,0,IF((H12-H284)&lt;Tabulação!$H$21,((H12-H284)*Tabulação!$I$21)-Tabulação!$J$21,IF((H12-H284)&lt;Tabulação!$H$22,((H12-H284)*Tabulação!$I$22)-Tabulação!$J$22,IF((H12-H284)&lt;Tabulação!$H$23,((H12-H284)*Tabulação!$I$23)-Tabulação!$J$23,((H12-H284)*Tabulação!$I$24)-Tabulação!$J$24))))</f>
        <v>0</v>
      </c>
      <c r="I182" s="40">
        <f>IF((I12-I284)&lt;Tabulação!$H$20,0,IF((I12-I284)&lt;Tabulação!$H$21,((I12-I284)*Tabulação!$I$21)-Tabulação!$J$21,IF((I12-I284)&lt;Tabulação!$H$22,((I12-I284)*Tabulação!$I$22)-Tabulação!$J$22,IF((I12-I284)&lt;Tabulação!$H$23,((I12-I284)*Tabulação!$I$23)-Tabulação!$J$23,((I12-I284)*Tabulação!$I$24)-Tabulação!$J$24))))</f>
        <v>0</v>
      </c>
      <c r="J182" s="40">
        <f>IF((J12-J284)&lt;Tabulação!$H$20,0,IF((J12-J284)&lt;Tabulação!$H$21,((J12-J284)*Tabulação!$I$21)-Tabulação!$J$21,IF((J12-J284)&lt;Tabulação!$H$22,((J12-J284)*Tabulação!$I$22)-Tabulação!$J$22,IF((J12-J284)&lt;Tabulação!$H$23,((J12-J284)*Tabulação!$I$23)-Tabulação!$J$23,((J12-J284)*Tabulação!$I$24)-Tabulação!$J$24))))</f>
        <v>0</v>
      </c>
      <c r="K182" s="40">
        <f>IF((K12-K284)&lt;Tabulação!$H$20,0,IF((K12-K284)&lt;Tabulação!$H$21,((K12-K284)*Tabulação!$I$21)-Tabulação!$J$21,IF((K12-K284)&lt;Tabulação!$H$22,((K12-K284)*Tabulação!$I$22)-Tabulação!$J$22,IF((K12-K284)&lt;Tabulação!$H$23,((K12-K284)*Tabulação!$I$23)-Tabulação!$J$23,((K12-K284)*Tabulação!$I$24)-Tabulação!$J$24))))</f>
        <v>0</v>
      </c>
      <c r="L182" s="40">
        <f>IF((L12-L284)&lt;Tabulação!$H$20,0,IF((L12-L284)&lt;Tabulação!$H$21,((L12-L284)*Tabulação!$I$21)-Tabulação!$J$21,IF((L12-L284)&lt;Tabulação!$H$22,((L12-L284)*Tabulação!$I$22)-Tabulação!$J$22,IF((L12-L284)&lt;Tabulação!$H$23,((L12-L284)*Tabulação!$I$23)-Tabulação!$J$23,((L12-L284)*Tabulação!$I$24)-Tabulação!$J$24))))</f>
        <v>0</v>
      </c>
      <c r="M182" s="40">
        <f>IF((M12-M284)&lt;Tabulação!$H$20,0,IF((M12-M284)&lt;Tabulação!$H$21,((M12-M284)*Tabulação!$I$21)-Tabulação!$J$21,IF((M12-M284)&lt;Tabulação!$H$22,((M12-M284)*Tabulação!$I$22)-Tabulação!$J$22,IF((M12-M284)&lt;Tabulação!$H$23,((M12-M284)*Tabulação!$I$23)-Tabulação!$J$23,((M12-M284)*Tabulação!$I$24)-Tabulação!$J$24))))</f>
        <v>0</v>
      </c>
      <c r="N182" s="40">
        <f>IF((N12-N284)&lt;Tabulação!$H$20,0,IF((N12-N284)&lt;Tabulação!$H$21,((N12-N284)*Tabulação!$I$21)-Tabulação!$J$21,IF((N12-N284)&lt;Tabulação!$H$22,((N12-N284)*Tabulação!$I$22)-Tabulação!$J$22,IF((N12-N284)&lt;Tabulação!$H$23,((N12-N284)*Tabulação!$I$23)-Tabulação!$J$23,((N12-N284)*Tabulação!$I$24)-Tabulação!$J$24))))</f>
        <v>0</v>
      </c>
      <c r="O182" s="41">
        <f>IF((O12-O284)&lt;Tabulação!$H$20,0,IF((O12-O284)&lt;Tabulação!$H$21,((O12-O284)*Tabulação!$I$21)-Tabulação!$J$21,IF((O12-O284)&lt;Tabulação!$H$22,((O12-O284)*Tabulação!$I$22)-Tabulação!$J$22,IF((O12-O284)&lt;Tabulação!$H$23,((O12-O284)*Tabulação!$I$23)-Tabulação!$J$23,((O12-O284)*Tabulação!$I$24)-Tabulação!$J$24))))</f>
        <v>0</v>
      </c>
      <c r="P182" s="41">
        <f t="shared" si="89"/>
        <v>0</v>
      </c>
    </row>
    <row r="183" spans="1:16" ht="30" hidden="1" customHeight="1" outlineLevel="1" thickBot="1" x14ac:dyDescent="0.3">
      <c r="A183" s="39" t="str">
        <f t="shared" si="87"/>
        <v/>
      </c>
      <c r="B183" s="39" t="str">
        <f t="shared" si="88"/>
        <v/>
      </c>
      <c r="C183" s="40">
        <f>IF((C13-C285)&lt;Tabulação!$H$20,0,IF((C13-C285)&lt;Tabulação!$H$21,((C13-C285)*Tabulação!$I$21)-Tabulação!$J$21,IF((C13-C285)&lt;Tabulação!$H$22,((C13-C285)*Tabulação!$I$22)-Tabulação!$J$22,IF((C13-C285)&lt;Tabulação!$H$23,((C13-C285)*Tabulação!$I$23)-Tabulação!$J$23,((C13-C285)*Tabulação!$I$24)-Tabulação!$J$24))))</f>
        <v>0</v>
      </c>
      <c r="D183" s="40">
        <f>IF((D13-D285)&lt;Tabulação!$H$20,0,IF((D13-D285)&lt;Tabulação!$H$21,((D13-D285)*Tabulação!$I$21)-Tabulação!$J$21,IF((D13-D285)&lt;Tabulação!$H$22,((D13-D285)*Tabulação!$I$22)-Tabulação!$J$22,IF((D13-D285)&lt;Tabulação!$H$23,((D13-D285)*Tabulação!$I$23)-Tabulação!$J$23,((D13-D285)*Tabulação!$I$24)-Tabulação!$J$24))))</f>
        <v>0</v>
      </c>
      <c r="E183" s="40">
        <f>IF((E13-E285)&lt;Tabulação!$H$20,0,IF((E13-E285)&lt;Tabulação!$H$21,((E13-E285)*Tabulação!$I$21)-Tabulação!$J$21,IF((E13-E285)&lt;Tabulação!$H$22,((E13-E285)*Tabulação!$I$22)-Tabulação!$J$22,IF((E13-E285)&lt;Tabulação!$H$23,((E13-E285)*Tabulação!$I$23)-Tabulação!$J$23,((E13-E285)*Tabulação!$I$24)-Tabulação!$J$24))))</f>
        <v>0</v>
      </c>
      <c r="F183" s="40">
        <f>IF((F13-F285)&lt;Tabulação!$H$20,0,IF((F13-F285)&lt;Tabulação!$H$21,((F13-F285)*Tabulação!$I$21)-Tabulação!$J$21,IF((F13-F285)&lt;Tabulação!$H$22,((F13-F285)*Tabulação!$I$22)-Tabulação!$J$22,IF((F13-F285)&lt;Tabulação!$H$23,((F13-F285)*Tabulação!$I$23)-Tabulação!$J$23,((F13-F285)*Tabulação!$I$24)-Tabulação!$J$24))))</f>
        <v>0</v>
      </c>
      <c r="G183" s="40">
        <f>IF((G13-G285)&lt;Tabulação!$H$20,0,IF((G13-G285)&lt;Tabulação!$H$21,((G13-G285)*Tabulação!$I$21)-Tabulação!$J$21,IF((G13-G285)&lt;Tabulação!$H$22,((G13-G285)*Tabulação!$I$22)-Tabulação!$J$22,IF((G13-G285)&lt;Tabulação!$H$23,((G13-G285)*Tabulação!$I$23)-Tabulação!$J$23,((G13-G285)*Tabulação!$I$24)-Tabulação!$J$24))))</f>
        <v>0</v>
      </c>
      <c r="H183" s="40">
        <f>IF((H13-H285)&lt;Tabulação!$H$20,0,IF((H13-H285)&lt;Tabulação!$H$21,((H13-H285)*Tabulação!$I$21)-Tabulação!$J$21,IF((H13-H285)&lt;Tabulação!$H$22,((H13-H285)*Tabulação!$I$22)-Tabulação!$J$22,IF((H13-H285)&lt;Tabulação!$H$23,((H13-H285)*Tabulação!$I$23)-Tabulação!$J$23,((H13-H285)*Tabulação!$I$24)-Tabulação!$J$24))))</f>
        <v>0</v>
      </c>
      <c r="I183" s="40">
        <f>IF((I13-I285)&lt;Tabulação!$H$20,0,IF((I13-I285)&lt;Tabulação!$H$21,((I13-I285)*Tabulação!$I$21)-Tabulação!$J$21,IF((I13-I285)&lt;Tabulação!$H$22,((I13-I285)*Tabulação!$I$22)-Tabulação!$J$22,IF((I13-I285)&lt;Tabulação!$H$23,((I13-I285)*Tabulação!$I$23)-Tabulação!$J$23,((I13-I285)*Tabulação!$I$24)-Tabulação!$J$24))))</f>
        <v>0</v>
      </c>
      <c r="J183" s="40">
        <f>IF((J13-J285)&lt;Tabulação!$H$20,0,IF((J13-J285)&lt;Tabulação!$H$21,((J13-J285)*Tabulação!$I$21)-Tabulação!$J$21,IF((J13-J285)&lt;Tabulação!$H$22,((J13-J285)*Tabulação!$I$22)-Tabulação!$J$22,IF((J13-J285)&lt;Tabulação!$H$23,((J13-J285)*Tabulação!$I$23)-Tabulação!$J$23,((J13-J285)*Tabulação!$I$24)-Tabulação!$J$24))))</f>
        <v>0</v>
      </c>
      <c r="K183" s="40">
        <f>IF((K13-K285)&lt;Tabulação!$H$20,0,IF((K13-K285)&lt;Tabulação!$H$21,((K13-K285)*Tabulação!$I$21)-Tabulação!$J$21,IF((K13-K285)&lt;Tabulação!$H$22,((K13-K285)*Tabulação!$I$22)-Tabulação!$J$22,IF((K13-K285)&lt;Tabulação!$H$23,((K13-K285)*Tabulação!$I$23)-Tabulação!$J$23,((K13-K285)*Tabulação!$I$24)-Tabulação!$J$24))))</f>
        <v>0</v>
      </c>
      <c r="L183" s="40">
        <f>IF((L13-L285)&lt;Tabulação!$H$20,0,IF((L13-L285)&lt;Tabulação!$H$21,((L13-L285)*Tabulação!$I$21)-Tabulação!$J$21,IF((L13-L285)&lt;Tabulação!$H$22,((L13-L285)*Tabulação!$I$22)-Tabulação!$J$22,IF((L13-L285)&lt;Tabulação!$H$23,((L13-L285)*Tabulação!$I$23)-Tabulação!$J$23,((L13-L285)*Tabulação!$I$24)-Tabulação!$J$24))))</f>
        <v>0</v>
      </c>
      <c r="M183" s="40">
        <f>IF((M13-M285)&lt;Tabulação!$H$20,0,IF((M13-M285)&lt;Tabulação!$H$21,((M13-M285)*Tabulação!$I$21)-Tabulação!$J$21,IF((M13-M285)&lt;Tabulação!$H$22,((M13-M285)*Tabulação!$I$22)-Tabulação!$J$22,IF((M13-M285)&lt;Tabulação!$H$23,((M13-M285)*Tabulação!$I$23)-Tabulação!$J$23,((M13-M285)*Tabulação!$I$24)-Tabulação!$J$24))))</f>
        <v>0</v>
      </c>
      <c r="N183" s="40">
        <f>IF((N13-N285)&lt;Tabulação!$H$20,0,IF((N13-N285)&lt;Tabulação!$H$21,((N13-N285)*Tabulação!$I$21)-Tabulação!$J$21,IF((N13-N285)&lt;Tabulação!$H$22,((N13-N285)*Tabulação!$I$22)-Tabulação!$J$22,IF((N13-N285)&lt;Tabulação!$H$23,((N13-N285)*Tabulação!$I$23)-Tabulação!$J$23,((N13-N285)*Tabulação!$I$24)-Tabulação!$J$24))))</f>
        <v>0</v>
      </c>
      <c r="O183" s="41">
        <f>IF((O13-O285)&lt;Tabulação!$H$20,0,IF((O13-O285)&lt;Tabulação!$H$21,((O13-O285)*Tabulação!$I$21)-Tabulação!$J$21,IF((O13-O285)&lt;Tabulação!$H$22,((O13-O285)*Tabulação!$I$22)-Tabulação!$J$22,IF((O13-O285)&lt;Tabulação!$H$23,((O13-O285)*Tabulação!$I$23)-Tabulação!$J$23,((O13-O285)*Tabulação!$I$24)-Tabulação!$J$24))))</f>
        <v>0</v>
      </c>
      <c r="P183" s="41">
        <f t="shared" si="89"/>
        <v>0</v>
      </c>
    </row>
    <row r="184" spans="1:16" ht="30" hidden="1" customHeight="1" outlineLevel="1" thickBot="1" x14ac:dyDescent="0.3">
      <c r="A184" s="39" t="str">
        <f t="shared" si="87"/>
        <v/>
      </c>
      <c r="B184" s="39" t="str">
        <f t="shared" si="88"/>
        <v/>
      </c>
      <c r="C184" s="40">
        <f>IF((C14-C286)&lt;Tabulação!$H$20,0,IF((C14-C286)&lt;Tabulação!$H$21,((C14-C286)*Tabulação!$I$21)-Tabulação!$J$21,IF((C14-C286)&lt;Tabulação!$H$22,((C14-C286)*Tabulação!$I$22)-Tabulação!$J$22,IF((C14-C286)&lt;Tabulação!$H$23,((C14-C286)*Tabulação!$I$23)-Tabulação!$J$23,((C14-C286)*Tabulação!$I$24)-Tabulação!$J$24))))</f>
        <v>0</v>
      </c>
      <c r="D184" s="40">
        <f>IF((D14-D286)&lt;Tabulação!$H$20,0,IF((D14-D286)&lt;Tabulação!$H$21,((D14-D286)*Tabulação!$I$21)-Tabulação!$J$21,IF((D14-D286)&lt;Tabulação!$H$22,((D14-D286)*Tabulação!$I$22)-Tabulação!$J$22,IF((D14-D286)&lt;Tabulação!$H$23,((D14-D286)*Tabulação!$I$23)-Tabulação!$J$23,((D14-D286)*Tabulação!$I$24)-Tabulação!$J$24))))</f>
        <v>0</v>
      </c>
      <c r="E184" s="40">
        <f>IF((E14-E286)&lt;Tabulação!$H$20,0,IF((E14-E286)&lt;Tabulação!$H$21,((E14-E286)*Tabulação!$I$21)-Tabulação!$J$21,IF((E14-E286)&lt;Tabulação!$H$22,((E14-E286)*Tabulação!$I$22)-Tabulação!$J$22,IF((E14-E286)&lt;Tabulação!$H$23,((E14-E286)*Tabulação!$I$23)-Tabulação!$J$23,((E14-E286)*Tabulação!$I$24)-Tabulação!$J$24))))</f>
        <v>0</v>
      </c>
      <c r="F184" s="40">
        <f>IF((F14-F286)&lt;Tabulação!$H$20,0,IF((F14-F286)&lt;Tabulação!$H$21,((F14-F286)*Tabulação!$I$21)-Tabulação!$J$21,IF((F14-F286)&lt;Tabulação!$H$22,((F14-F286)*Tabulação!$I$22)-Tabulação!$J$22,IF((F14-F286)&lt;Tabulação!$H$23,((F14-F286)*Tabulação!$I$23)-Tabulação!$J$23,((F14-F286)*Tabulação!$I$24)-Tabulação!$J$24))))</f>
        <v>0</v>
      </c>
      <c r="G184" s="40">
        <f>IF((G14-G286)&lt;Tabulação!$H$20,0,IF((G14-G286)&lt;Tabulação!$H$21,((G14-G286)*Tabulação!$I$21)-Tabulação!$J$21,IF((G14-G286)&lt;Tabulação!$H$22,((G14-G286)*Tabulação!$I$22)-Tabulação!$J$22,IF((G14-G286)&lt;Tabulação!$H$23,((G14-G286)*Tabulação!$I$23)-Tabulação!$J$23,((G14-G286)*Tabulação!$I$24)-Tabulação!$J$24))))</f>
        <v>0</v>
      </c>
      <c r="H184" s="40">
        <f>IF((H14-H286)&lt;Tabulação!$H$20,0,IF((H14-H286)&lt;Tabulação!$H$21,((H14-H286)*Tabulação!$I$21)-Tabulação!$J$21,IF((H14-H286)&lt;Tabulação!$H$22,((H14-H286)*Tabulação!$I$22)-Tabulação!$J$22,IF((H14-H286)&lt;Tabulação!$H$23,((H14-H286)*Tabulação!$I$23)-Tabulação!$J$23,((H14-H286)*Tabulação!$I$24)-Tabulação!$J$24))))</f>
        <v>0</v>
      </c>
      <c r="I184" s="40">
        <f>IF((I14-I286)&lt;Tabulação!$H$20,0,IF((I14-I286)&lt;Tabulação!$H$21,((I14-I286)*Tabulação!$I$21)-Tabulação!$J$21,IF((I14-I286)&lt;Tabulação!$H$22,((I14-I286)*Tabulação!$I$22)-Tabulação!$J$22,IF((I14-I286)&lt;Tabulação!$H$23,((I14-I286)*Tabulação!$I$23)-Tabulação!$J$23,((I14-I286)*Tabulação!$I$24)-Tabulação!$J$24))))</f>
        <v>0</v>
      </c>
      <c r="J184" s="40">
        <f>IF((J14-J286)&lt;Tabulação!$H$20,0,IF((J14-J286)&lt;Tabulação!$H$21,((J14-J286)*Tabulação!$I$21)-Tabulação!$J$21,IF((J14-J286)&lt;Tabulação!$H$22,((J14-J286)*Tabulação!$I$22)-Tabulação!$J$22,IF((J14-J286)&lt;Tabulação!$H$23,((J14-J286)*Tabulação!$I$23)-Tabulação!$J$23,((J14-J286)*Tabulação!$I$24)-Tabulação!$J$24))))</f>
        <v>0</v>
      </c>
      <c r="K184" s="40">
        <f>IF((K14-K286)&lt;Tabulação!$H$20,0,IF((K14-K286)&lt;Tabulação!$H$21,((K14-K286)*Tabulação!$I$21)-Tabulação!$J$21,IF((K14-K286)&lt;Tabulação!$H$22,((K14-K286)*Tabulação!$I$22)-Tabulação!$J$22,IF((K14-K286)&lt;Tabulação!$H$23,((K14-K286)*Tabulação!$I$23)-Tabulação!$J$23,((K14-K286)*Tabulação!$I$24)-Tabulação!$J$24))))</f>
        <v>0</v>
      </c>
      <c r="L184" s="40">
        <f>IF((L14-L286)&lt;Tabulação!$H$20,0,IF((L14-L286)&lt;Tabulação!$H$21,((L14-L286)*Tabulação!$I$21)-Tabulação!$J$21,IF((L14-L286)&lt;Tabulação!$H$22,((L14-L286)*Tabulação!$I$22)-Tabulação!$J$22,IF((L14-L286)&lt;Tabulação!$H$23,((L14-L286)*Tabulação!$I$23)-Tabulação!$J$23,((L14-L286)*Tabulação!$I$24)-Tabulação!$J$24))))</f>
        <v>0</v>
      </c>
      <c r="M184" s="40">
        <f>IF((M14-M286)&lt;Tabulação!$H$20,0,IF((M14-M286)&lt;Tabulação!$H$21,((M14-M286)*Tabulação!$I$21)-Tabulação!$J$21,IF((M14-M286)&lt;Tabulação!$H$22,((M14-M286)*Tabulação!$I$22)-Tabulação!$J$22,IF((M14-M286)&lt;Tabulação!$H$23,((M14-M286)*Tabulação!$I$23)-Tabulação!$J$23,((M14-M286)*Tabulação!$I$24)-Tabulação!$J$24))))</f>
        <v>0</v>
      </c>
      <c r="N184" s="40">
        <f>IF((N14-N286)&lt;Tabulação!$H$20,0,IF((N14-N286)&lt;Tabulação!$H$21,((N14-N286)*Tabulação!$I$21)-Tabulação!$J$21,IF((N14-N286)&lt;Tabulação!$H$22,((N14-N286)*Tabulação!$I$22)-Tabulação!$J$22,IF((N14-N286)&lt;Tabulação!$H$23,((N14-N286)*Tabulação!$I$23)-Tabulação!$J$23,((N14-N286)*Tabulação!$I$24)-Tabulação!$J$24))))</f>
        <v>0</v>
      </c>
      <c r="O184" s="41">
        <f>IF((O14-O286)&lt;Tabulação!$H$20,0,IF((O14-O286)&lt;Tabulação!$H$21,((O14-O286)*Tabulação!$I$21)-Tabulação!$J$21,IF((O14-O286)&lt;Tabulação!$H$22,((O14-O286)*Tabulação!$I$22)-Tabulação!$J$22,IF((O14-O286)&lt;Tabulação!$H$23,((O14-O286)*Tabulação!$I$23)-Tabulação!$J$23,((O14-O286)*Tabulação!$I$24)-Tabulação!$J$24))))</f>
        <v>0</v>
      </c>
      <c r="P184" s="41">
        <f t="shared" si="89"/>
        <v>0</v>
      </c>
    </row>
    <row r="185" spans="1:16" ht="30" hidden="1" customHeight="1" outlineLevel="1" thickBot="1" x14ac:dyDescent="0.3">
      <c r="A185" s="39" t="str">
        <f t="shared" si="87"/>
        <v/>
      </c>
      <c r="B185" s="39" t="str">
        <f t="shared" si="88"/>
        <v/>
      </c>
      <c r="C185" s="40">
        <f>IF((C15-C287)&lt;Tabulação!$H$20,0,IF((C15-C287)&lt;Tabulação!$H$21,((C15-C287)*Tabulação!$I$21)-Tabulação!$J$21,IF((C15-C287)&lt;Tabulação!$H$22,((C15-C287)*Tabulação!$I$22)-Tabulação!$J$22,IF((C15-C287)&lt;Tabulação!$H$23,((C15-C287)*Tabulação!$I$23)-Tabulação!$J$23,((C15-C287)*Tabulação!$I$24)-Tabulação!$J$24))))</f>
        <v>0</v>
      </c>
      <c r="D185" s="40">
        <f>IF((D15-D287)&lt;Tabulação!$H$20,0,IF((D15-D287)&lt;Tabulação!$H$21,((D15-D287)*Tabulação!$I$21)-Tabulação!$J$21,IF((D15-D287)&lt;Tabulação!$H$22,((D15-D287)*Tabulação!$I$22)-Tabulação!$J$22,IF((D15-D287)&lt;Tabulação!$H$23,((D15-D287)*Tabulação!$I$23)-Tabulação!$J$23,((D15-D287)*Tabulação!$I$24)-Tabulação!$J$24))))</f>
        <v>0</v>
      </c>
      <c r="E185" s="40">
        <f>IF((E15-E287)&lt;Tabulação!$H$20,0,IF((E15-E287)&lt;Tabulação!$H$21,((E15-E287)*Tabulação!$I$21)-Tabulação!$J$21,IF((E15-E287)&lt;Tabulação!$H$22,((E15-E287)*Tabulação!$I$22)-Tabulação!$J$22,IF((E15-E287)&lt;Tabulação!$H$23,((E15-E287)*Tabulação!$I$23)-Tabulação!$J$23,((E15-E287)*Tabulação!$I$24)-Tabulação!$J$24))))</f>
        <v>0</v>
      </c>
      <c r="F185" s="40">
        <f>IF((F15-F287)&lt;Tabulação!$H$20,0,IF((F15-F287)&lt;Tabulação!$H$21,((F15-F287)*Tabulação!$I$21)-Tabulação!$J$21,IF((F15-F287)&lt;Tabulação!$H$22,((F15-F287)*Tabulação!$I$22)-Tabulação!$J$22,IF((F15-F287)&lt;Tabulação!$H$23,((F15-F287)*Tabulação!$I$23)-Tabulação!$J$23,((F15-F287)*Tabulação!$I$24)-Tabulação!$J$24))))</f>
        <v>0</v>
      </c>
      <c r="G185" s="40">
        <f>IF((G15-G287)&lt;Tabulação!$H$20,0,IF((G15-G287)&lt;Tabulação!$H$21,((G15-G287)*Tabulação!$I$21)-Tabulação!$J$21,IF((G15-G287)&lt;Tabulação!$H$22,((G15-G287)*Tabulação!$I$22)-Tabulação!$J$22,IF((G15-G287)&lt;Tabulação!$H$23,((G15-G287)*Tabulação!$I$23)-Tabulação!$J$23,((G15-G287)*Tabulação!$I$24)-Tabulação!$J$24))))</f>
        <v>0</v>
      </c>
      <c r="H185" s="40">
        <f>IF((H15-H287)&lt;Tabulação!$H$20,0,IF((H15-H287)&lt;Tabulação!$H$21,((H15-H287)*Tabulação!$I$21)-Tabulação!$J$21,IF((H15-H287)&lt;Tabulação!$H$22,((H15-H287)*Tabulação!$I$22)-Tabulação!$J$22,IF((H15-H287)&lt;Tabulação!$H$23,((H15-H287)*Tabulação!$I$23)-Tabulação!$J$23,((H15-H287)*Tabulação!$I$24)-Tabulação!$J$24))))</f>
        <v>0</v>
      </c>
      <c r="I185" s="40">
        <f>IF((I15-I287)&lt;Tabulação!$H$20,0,IF((I15-I287)&lt;Tabulação!$H$21,((I15-I287)*Tabulação!$I$21)-Tabulação!$J$21,IF((I15-I287)&lt;Tabulação!$H$22,((I15-I287)*Tabulação!$I$22)-Tabulação!$J$22,IF((I15-I287)&lt;Tabulação!$H$23,((I15-I287)*Tabulação!$I$23)-Tabulação!$J$23,((I15-I287)*Tabulação!$I$24)-Tabulação!$J$24))))</f>
        <v>0</v>
      </c>
      <c r="J185" s="40">
        <f>IF((J15-J287)&lt;Tabulação!$H$20,0,IF((J15-J287)&lt;Tabulação!$H$21,((J15-J287)*Tabulação!$I$21)-Tabulação!$J$21,IF((J15-J287)&lt;Tabulação!$H$22,((J15-J287)*Tabulação!$I$22)-Tabulação!$J$22,IF((J15-J287)&lt;Tabulação!$H$23,((J15-J287)*Tabulação!$I$23)-Tabulação!$J$23,((J15-J287)*Tabulação!$I$24)-Tabulação!$J$24))))</f>
        <v>0</v>
      </c>
      <c r="K185" s="40">
        <f>IF((K15-K287)&lt;Tabulação!$H$20,0,IF((K15-K287)&lt;Tabulação!$H$21,((K15-K287)*Tabulação!$I$21)-Tabulação!$J$21,IF((K15-K287)&lt;Tabulação!$H$22,((K15-K287)*Tabulação!$I$22)-Tabulação!$J$22,IF((K15-K287)&lt;Tabulação!$H$23,((K15-K287)*Tabulação!$I$23)-Tabulação!$J$23,((K15-K287)*Tabulação!$I$24)-Tabulação!$J$24))))</f>
        <v>0</v>
      </c>
      <c r="L185" s="40">
        <f>IF((L15-L287)&lt;Tabulação!$H$20,0,IF((L15-L287)&lt;Tabulação!$H$21,((L15-L287)*Tabulação!$I$21)-Tabulação!$J$21,IF((L15-L287)&lt;Tabulação!$H$22,((L15-L287)*Tabulação!$I$22)-Tabulação!$J$22,IF((L15-L287)&lt;Tabulação!$H$23,((L15-L287)*Tabulação!$I$23)-Tabulação!$J$23,((L15-L287)*Tabulação!$I$24)-Tabulação!$J$24))))</f>
        <v>0</v>
      </c>
      <c r="M185" s="40">
        <f>IF((M15-M287)&lt;Tabulação!$H$20,0,IF((M15-M287)&lt;Tabulação!$H$21,((M15-M287)*Tabulação!$I$21)-Tabulação!$J$21,IF((M15-M287)&lt;Tabulação!$H$22,((M15-M287)*Tabulação!$I$22)-Tabulação!$J$22,IF((M15-M287)&lt;Tabulação!$H$23,((M15-M287)*Tabulação!$I$23)-Tabulação!$J$23,((M15-M287)*Tabulação!$I$24)-Tabulação!$J$24))))</f>
        <v>0</v>
      </c>
      <c r="N185" s="40">
        <f>IF((N15-N287)&lt;Tabulação!$H$20,0,IF((N15-N287)&lt;Tabulação!$H$21,((N15-N287)*Tabulação!$I$21)-Tabulação!$J$21,IF((N15-N287)&lt;Tabulação!$H$22,((N15-N287)*Tabulação!$I$22)-Tabulação!$J$22,IF((N15-N287)&lt;Tabulação!$H$23,((N15-N287)*Tabulação!$I$23)-Tabulação!$J$23,((N15-N287)*Tabulação!$I$24)-Tabulação!$J$24))))</f>
        <v>0</v>
      </c>
      <c r="O185" s="41">
        <f>IF((O15-O287)&lt;Tabulação!$H$20,0,IF((O15-O287)&lt;Tabulação!$H$21,((O15-O287)*Tabulação!$I$21)-Tabulação!$J$21,IF((O15-O287)&lt;Tabulação!$H$22,((O15-O287)*Tabulação!$I$22)-Tabulação!$J$22,IF((O15-O287)&lt;Tabulação!$H$23,((O15-O287)*Tabulação!$I$23)-Tabulação!$J$23,((O15-O287)*Tabulação!$I$24)-Tabulação!$J$24))))</f>
        <v>0</v>
      </c>
      <c r="P185" s="41">
        <f t="shared" si="89"/>
        <v>0</v>
      </c>
    </row>
    <row r="186" spans="1:16" ht="30" hidden="1" customHeight="1" outlineLevel="1" thickBot="1" x14ac:dyDescent="0.3">
      <c r="A186" s="39" t="str">
        <f t="shared" si="87"/>
        <v/>
      </c>
      <c r="B186" s="39" t="str">
        <f t="shared" si="88"/>
        <v/>
      </c>
      <c r="C186" s="40">
        <f>IF((C16-C288)&lt;Tabulação!$H$20,0,IF((C16-C288)&lt;Tabulação!$H$21,((C16-C288)*Tabulação!$I$21)-Tabulação!$J$21,IF((C16-C288)&lt;Tabulação!$H$22,((C16-C288)*Tabulação!$I$22)-Tabulação!$J$22,IF((C16-C288)&lt;Tabulação!$H$23,((C16-C288)*Tabulação!$I$23)-Tabulação!$J$23,((C16-C288)*Tabulação!$I$24)-Tabulação!$J$24))))</f>
        <v>0</v>
      </c>
      <c r="D186" s="40">
        <f>IF((D16-D288)&lt;Tabulação!$H$20,0,IF((D16-D288)&lt;Tabulação!$H$21,((D16-D288)*Tabulação!$I$21)-Tabulação!$J$21,IF((D16-D288)&lt;Tabulação!$H$22,((D16-D288)*Tabulação!$I$22)-Tabulação!$J$22,IF((D16-D288)&lt;Tabulação!$H$23,((D16-D288)*Tabulação!$I$23)-Tabulação!$J$23,((D16-D288)*Tabulação!$I$24)-Tabulação!$J$24))))</f>
        <v>0</v>
      </c>
      <c r="E186" s="40">
        <f>IF((E16-E288)&lt;Tabulação!$H$20,0,IF((E16-E288)&lt;Tabulação!$H$21,((E16-E288)*Tabulação!$I$21)-Tabulação!$J$21,IF((E16-E288)&lt;Tabulação!$H$22,((E16-E288)*Tabulação!$I$22)-Tabulação!$J$22,IF((E16-E288)&lt;Tabulação!$H$23,((E16-E288)*Tabulação!$I$23)-Tabulação!$J$23,((E16-E288)*Tabulação!$I$24)-Tabulação!$J$24))))</f>
        <v>0</v>
      </c>
      <c r="F186" s="40">
        <f>IF((F16-F288)&lt;Tabulação!$H$20,0,IF((F16-F288)&lt;Tabulação!$H$21,((F16-F288)*Tabulação!$I$21)-Tabulação!$J$21,IF((F16-F288)&lt;Tabulação!$H$22,((F16-F288)*Tabulação!$I$22)-Tabulação!$J$22,IF((F16-F288)&lt;Tabulação!$H$23,((F16-F288)*Tabulação!$I$23)-Tabulação!$J$23,((F16-F288)*Tabulação!$I$24)-Tabulação!$J$24))))</f>
        <v>0</v>
      </c>
      <c r="G186" s="40">
        <f>IF((G16-G288)&lt;Tabulação!$H$20,0,IF((G16-G288)&lt;Tabulação!$H$21,((G16-G288)*Tabulação!$I$21)-Tabulação!$J$21,IF((G16-G288)&lt;Tabulação!$H$22,((G16-G288)*Tabulação!$I$22)-Tabulação!$J$22,IF((G16-G288)&lt;Tabulação!$H$23,((G16-G288)*Tabulação!$I$23)-Tabulação!$J$23,((G16-G288)*Tabulação!$I$24)-Tabulação!$J$24))))</f>
        <v>0</v>
      </c>
      <c r="H186" s="40">
        <f>IF((H16-H288)&lt;Tabulação!$H$20,0,IF((H16-H288)&lt;Tabulação!$H$21,((H16-H288)*Tabulação!$I$21)-Tabulação!$J$21,IF((H16-H288)&lt;Tabulação!$H$22,((H16-H288)*Tabulação!$I$22)-Tabulação!$J$22,IF((H16-H288)&lt;Tabulação!$H$23,((H16-H288)*Tabulação!$I$23)-Tabulação!$J$23,((H16-H288)*Tabulação!$I$24)-Tabulação!$J$24))))</f>
        <v>0</v>
      </c>
      <c r="I186" s="40">
        <f>IF((I16-I288)&lt;Tabulação!$H$20,0,IF((I16-I288)&lt;Tabulação!$H$21,((I16-I288)*Tabulação!$I$21)-Tabulação!$J$21,IF((I16-I288)&lt;Tabulação!$H$22,((I16-I288)*Tabulação!$I$22)-Tabulação!$J$22,IF((I16-I288)&lt;Tabulação!$H$23,((I16-I288)*Tabulação!$I$23)-Tabulação!$J$23,((I16-I288)*Tabulação!$I$24)-Tabulação!$J$24))))</f>
        <v>0</v>
      </c>
      <c r="J186" s="40">
        <f>IF((J16-J288)&lt;Tabulação!$H$20,0,IF((J16-J288)&lt;Tabulação!$H$21,((J16-J288)*Tabulação!$I$21)-Tabulação!$J$21,IF((J16-J288)&lt;Tabulação!$H$22,((J16-J288)*Tabulação!$I$22)-Tabulação!$J$22,IF((J16-J288)&lt;Tabulação!$H$23,((J16-J288)*Tabulação!$I$23)-Tabulação!$J$23,((J16-J288)*Tabulação!$I$24)-Tabulação!$J$24))))</f>
        <v>0</v>
      </c>
      <c r="K186" s="40">
        <f>IF((K16-K288)&lt;Tabulação!$H$20,0,IF((K16-K288)&lt;Tabulação!$H$21,((K16-K288)*Tabulação!$I$21)-Tabulação!$J$21,IF((K16-K288)&lt;Tabulação!$H$22,((K16-K288)*Tabulação!$I$22)-Tabulação!$J$22,IF((K16-K288)&lt;Tabulação!$H$23,((K16-K288)*Tabulação!$I$23)-Tabulação!$J$23,((K16-K288)*Tabulação!$I$24)-Tabulação!$J$24))))</f>
        <v>0</v>
      </c>
      <c r="L186" s="40">
        <f>IF((L16-L288)&lt;Tabulação!$H$20,0,IF((L16-L288)&lt;Tabulação!$H$21,((L16-L288)*Tabulação!$I$21)-Tabulação!$J$21,IF((L16-L288)&lt;Tabulação!$H$22,((L16-L288)*Tabulação!$I$22)-Tabulação!$J$22,IF((L16-L288)&lt;Tabulação!$H$23,((L16-L288)*Tabulação!$I$23)-Tabulação!$J$23,((L16-L288)*Tabulação!$I$24)-Tabulação!$J$24))))</f>
        <v>0</v>
      </c>
      <c r="M186" s="40">
        <f>IF((M16-M288)&lt;Tabulação!$H$20,0,IF((M16-M288)&lt;Tabulação!$H$21,((M16-M288)*Tabulação!$I$21)-Tabulação!$J$21,IF((M16-M288)&lt;Tabulação!$H$22,((M16-M288)*Tabulação!$I$22)-Tabulação!$J$22,IF((M16-M288)&lt;Tabulação!$H$23,((M16-M288)*Tabulação!$I$23)-Tabulação!$J$23,((M16-M288)*Tabulação!$I$24)-Tabulação!$J$24))))</f>
        <v>0</v>
      </c>
      <c r="N186" s="40">
        <f>IF((N16-N288)&lt;Tabulação!$H$20,0,IF((N16-N288)&lt;Tabulação!$H$21,((N16-N288)*Tabulação!$I$21)-Tabulação!$J$21,IF((N16-N288)&lt;Tabulação!$H$22,((N16-N288)*Tabulação!$I$22)-Tabulação!$J$22,IF((N16-N288)&lt;Tabulação!$H$23,((N16-N288)*Tabulação!$I$23)-Tabulação!$J$23,((N16-N288)*Tabulação!$I$24)-Tabulação!$J$24))))</f>
        <v>0</v>
      </c>
      <c r="O186" s="41">
        <f>IF((O16-O288)&lt;Tabulação!$H$20,0,IF((O16-O288)&lt;Tabulação!$H$21,((O16-O288)*Tabulação!$I$21)-Tabulação!$J$21,IF((O16-O288)&lt;Tabulação!$H$22,((O16-O288)*Tabulação!$I$22)-Tabulação!$J$22,IF((O16-O288)&lt;Tabulação!$H$23,((O16-O288)*Tabulação!$I$23)-Tabulação!$J$23,((O16-O288)*Tabulação!$I$24)-Tabulação!$J$24))))</f>
        <v>0</v>
      </c>
      <c r="P186" s="41">
        <f t="shared" si="89"/>
        <v>0</v>
      </c>
    </row>
    <row r="187" spans="1:16" ht="30" hidden="1" customHeight="1" outlineLevel="1" thickBot="1" x14ac:dyDescent="0.3">
      <c r="A187" s="39" t="str">
        <f t="shared" si="87"/>
        <v/>
      </c>
      <c r="B187" s="39" t="str">
        <f t="shared" si="88"/>
        <v/>
      </c>
      <c r="C187" s="40">
        <f>IF((C17-C289)&lt;Tabulação!$H$20,0,IF((C17-C289)&lt;Tabulação!$H$21,((C17-C289)*Tabulação!$I$21)-Tabulação!$J$21,IF((C17-C289)&lt;Tabulação!$H$22,((C17-C289)*Tabulação!$I$22)-Tabulação!$J$22,IF((C17-C289)&lt;Tabulação!$H$23,((C17-C289)*Tabulação!$I$23)-Tabulação!$J$23,((C17-C289)*Tabulação!$I$24)-Tabulação!$J$24))))</f>
        <v>0</v>
      </c>
      <c r="D187" s="40">
        <f>IF((D17-D289)&lt;Tabulação!$H$20,0,IF((D17-D289)&lt;Tabulação!$H$21,((D17-D289)*Tabulação!$I$21)-Tabulação!$J$21,IF((D17-D289)&lt;Tabulação!$H$22,((D17-D289)*Tabulação!$I$22)-Tabulação!$J$22,IF((D17-D289)&lt;Tabulação!$H$23,((D17-D289)*Tabulação!$I$23)-Tabulação!$J$23,((D17-D289)*Tabulação!$I$24)-Tabulação!$J$24))))</f>
        <v>0</v>
      </c>
      <c r="E187" s="40">
        <f>IF((E17-E289)&lt;Tabulação!$H$20,0,IF((E17-E289)&lt;Tabulação!$H$21,((E17-E289)*Tabulação!$I$21)-Tabulação!$J$21,IF((E17-E289)&lt;Tabulação!$H$22,((E17-E289)*Tabulação!$I$22)-Tabulação!$J$22,IF((E17-E289)&lt;Tabulação!$H$23,((E17-E289)*Tabulação!$I$23)-Tabulação!$J$23,((E17-E289)*Tabulação!$I$24)-Tabulação!$J$24))))</f>
        <v>0</v>
      </c>
      <c r="F187" s="40">
        <f>IF((F17-F289)&lt;Tabulação!$H$20,0,IF((F17-F289)&lt;Tabulação!$H$21,((F17-F289)*Tabulação!$I$21)-Tabulação!$J$21,IF((F17-F289)&lt;Tabulação!$H$22,((F17-F289)*Tabulação!$I$22)-Tabulação!$J$22,IF((F17-F289)&lt;Tabulação!$H$23,((F17-F289)*Tabulação!$I$23)-Tabulação!$J$23,((F17-F289)*Tabulação!$I$24)-Tabulação!$J$24))))</f>
        <v>0</v>
      </c>
      <c r="G187" s="40">
        <f>IF((G17-G289)&lt;Tabulação!$H$20,0,IF((G17-G289)&lt;Tabulação!$H$21,((G17-G289)*Tabulação!$I$21)-Tabulação!$J$21,IF((G17-G289)&lt;Tabulação!$H$22,((G17-G289)*Tabulação!$I$22)-Tabulação!$J$22,IF((G17-G289)&lt;Tabulação!$H$23,((G17-G289)*Tabulação!$I$23)-Tabulação!$J$23,((G17-G289)*Tabulação!$I$24)-Tabulação!$J$24))))</f>
        <v>0</v>
      </c>
      <c r="H187" s="40">
        <f>IF((H17-H289)&lt;Tabulação!$H$20,0,IF((H17-H289)&lt;Tabulação!$H$21,((H17-H289)*Tabulação!$I$21)-Tabulação!$J$21,IF((H17-H289)&lt;Tabulação!$H$22,((H17-H289)*Tabulação!$I$22)-Tabulação!$J$22,IF((H17-H289)&lt;Tabulação!$H$23,((H17-H289)*Tabulação!$I$23)-Tabulação!$J$23,((H17-H289)*Tabulação!$I$24)-Tabulação!$J$24))))</f>
        <v>0</v>
      </c>
      <c r="I187" s="40">
        <f>IF((I17-I289)&lt;Tabulação!$H$20,0,IF((I17-I289)&lt;Tabulação!$H$21,((I17-I289)*Tabulação!$I$21)-Tabulação!$J$21,IF((I17-I289)&lt;Tabulação!$H$22,((I17-I289)*Tabulação!$I$22)-Tabulação!$J$22,IF((I17-I289)&lt;Tabulação!$H$23,((I17-I289)*Tabulação!$I$23)-Tabulação!$J$23,((I17-I289)*Tabulação!$I$24)-Tabulação!$J$24))))</f>
        <v>0</v>
      </c>
      <c r="J187" s="40">
        <f>IF((J17-J289)&lt;Tabulação!$H$20,0,IF((J17-J289)&lt;Tabulação!$H$21,((J17-J289)*Tabulação!$I$21)-Tabulação!$J$21,IF((J17-J289)&lt;Tabulação!$H$22,((J17-J289)*Tabulação!$I$22)-Tabulação!$J$22,IF((J17-J289)&lt;Tabulação!$H$23,((J17-J289)*Tabulação!$I$23)-Tabulação!$J$23,((J17-J289)*Tabulação!$I$24)-Tabulação!$J$24))))</f>
        <v>0</v>
      </c>
      <c r="K187" s="40">
        <f>IF((K17-K289)&lt;Tabulação!$H$20,0,IF((K17-K289)&lt;Tabulação!$H$21,((K17-K289)*Tabulação!$I$21)-Tabulação!$J$21,IF((K17-K289)&lt;Tabulação!$H$22,((K17-K289)*Tabulação!$I$22)-Tabulação!$J$22,IF((K17-K289)&lt;Tabulação!$H$23,((K17-K289)*Tabulação!$I$23)-Tabulação!$J$23,((K17-K289)*Tabulação!$I$24)-Tabulação!$J$24))))</f>
        <v>0</v>
      </c>
      <c r="L187" s="40">
        <f>IF((L17-L289)&lt;Tabulação!$H$20,0,IF((L17-L289)&lt;Tabulação!$H$21,((L17-L289)*Tabulação!$I$21)-Tabulação!$J$21,IF((L17-L289)&lt;Tabulação!$H$22,((L17-L289)*Tabulação!$I$22)-Tabulação!$J$22,IF((L17-L289)&lt;Tabulação!$H$23,((L17-L289)*Tabulação!$I$23)-Tabulação!$J$23,((L17-L289)*Tabulação!$I$24)-Tabulação!$J$24))))</f>
        <v>0</v>
      </c>
      <c r="M187" s="40">
        <f>IF((M17-M289)&lt;Tabulação!$H$20,0,IF((M17-M289)&lt;Tabulação!$H$21,((M17-M289)*Tabulação!$I$21)-Tabulação!$J$21,IF((M17-M289)&lt;Tabulação!$H$22,((M17-M289)*Tabulação!$I$22)-Tabulação!$J$22,IF((M17-M289)&lt;Tabulação!$H$23,((M17-M289)*Tabulação!$I$23)-Tabulação!$J$23,((M17-M289)*Tabulação!$I$24)-Tabulação!$J$24))))</f>
        <v>0</v>
      </c>
      <c r="N187" s="40">
        <f>IF((N17-N289)&lt;Tabulação!$H$20,0,IF((N17-N289)&lt;Tabulação!$H$21,((N17-N289)*Tabulação!$I$21)-Tabulação!$J$21,IF((N17-N289)&lt;Tabulação!$H$22,((N17-N289)*Tabulação!$I$22)-Tabulação!$J$22,IF((N17-N289)&lt;Tabulação!$H$23,((N17-N289)*Tabulação!$I$23)-Tabulação!$J$23,((N17-N289)*Tabulação!$I$24)-Tabulação!$J$24))))</f>
        <v>0</v>
      </c>
      <c r="O187" s="41">
        <f>IF((O17-O289)&lt;Tabulação!$H$20,0,IF((O17-O289)&lt;Tabulação!$H$21,((O17-O289)*Tabulação!$I$21)-Tabulação!$J$21,IF((O17-O289)&lt;Tabulação!$H$22,((O17-O289)*Tabulação!$I$22)-Tabulação!$J$22,IF((O17-O289)&lt;Tabulação!$H$23,((O17-O289)*Tabulação!$I$23)-Tabulação!$J$23,((O17-O289)*Tabulação!$I$24)-Tabulação!$J$24))))</f>
        <v>0</v>
      </c>
      <c r="P187" s="41">
        <f>SUM(C187:N187)</f>
        <v>0</v>
      </c>
    </row>
    <row r="188" spans="1:16" ht="30" hidden="1" customHeight="1" outlineLevel="1" thickBot="1" x14ac:dyDescent="0.3">
      <c r="A188" s="39" t="str">
        <f t="shared" si="87"/>
        <v/>
      </c>
      <c r="B188" s="39" t="str">
        <f t="shared" si="88"/>
        <v/>
      </c>
      <c r="C188" s="40">
        <f>IF((C18-C290)&lt;Tabulação!$H$20,0,IF((C18-C290)&lt;Tabulação!$H$21,((C18-C290)*Tabulação!$I$21)-Tabulação!$J$21,IF((C18-C290)&lt;Tabulação!$H$22,((C18-C290)*Tabulação!$I$22)-Tabulação!$J$22,IF((C18-C290)&lt;Tabulação!$H$23,((C18-C290)*Tabulação!$I$23)-Tabulação!$J$23,((C18-C290)*Tabulação!$I$24)-Tabulação!$J$24))))</f>
        <v>0</v>
      </c>
      <c r="D188" s="40">
        <f>IF((D18-D290)&lt;Tabulação!$H$20,0,IF((D18-D290)&lt;Tabulação!$H$21,((D18-D290)*Tabulação!$I$21)-Tabulação!$J$21,IF((D18-D290)&lt;Tabulação!$H$22,((D18-D290)*Tabulação!$I$22)-Tabulação!$J$22,IF((D18-D290)&lt;Tabulação!$H$23,((D18-D290)*Tabulação!$I$23)-Tabulação!$J$23,((D18-D290)*Tabulação!$I$24)-Tabulação!$J$24))))</f>
        <v>0</v>
      </c>
      <c r="E188" s="40">
        <f>IF((E18-E290)&lt;Tabulação!$H$20,0,IF((E18-E290)&lt;Tabulação!$H$21,((E18-E290)*Tabulação!$I$21)-Tabulação!$J$21,IF((E18-E290)&lt;Tabulação!$H$22,((E18-E290)*Tabulação!$I$22)-Tabulação!$J$22,IF((E18-E290)&lt;Tabulação!$H$23,((E18-E290)*Tabulação!$I$23)-Tabulação!$J$23,((E18-E290)*Tabulação!$I$24)-Tabulação!$J$24))))</f>
        <v>0</v>
      </c>
      <c r="F188" s="40">
        <f>IF((F18-F290)&lt;Tabulação!$H$20,0,IF((F18-F290)&lt;Tabulação!$H$21,((F18-F290)*Tabulação!$I$21)-Tabulação!$J$21,IF((F18-F290)&lt;Tabulação!$H$22,((F18-F290)*Tabulação!$I$22)-Tabulação!$J$22,IF((F18-F290)&lt;Tabulação!$H$23,((F18-F290)*Tabulação!$I$23)-Tabulação!$J$23,((F18-F290)*Tabulação!$I$24)-Tabulação!$J$24))))</f>
        <v>0</v>
      </c>
      <c r="G188" s="40">
        <f>IF((G18-G290)&lt;Tabulação!$H$20,0,IF((G18-G290)&lt;Tabulação!$H$21,((G18-G290)*Tabulação!$I$21)-Tabulação!$J$21,IF((G18-G290)&lt;Tabulação!$H$22,((G18-G290)*Tabulação!$I$22)-Tabulação!$J$22,IF((G18-G290)&lt;Tabulação!$H$23,((G18-G290)*Tabulação!$I$23)-Tabulação!$J$23,((G18-G290)*Tabulação!$I$24)-Tabulação!$J$24))))</f>
        <v>0</v>
      </c>
      <c r="H188" s="40">
        <f>IF((H18-H290)&lt;Tabulação!$H$20,0,IF((H18-H290)&lt;Tabulação!$H$21,((H18-H290)*Tabulação!$I$21)-Tabulação!$J$21,IF((H18-H290)&lt;Tabulação!$H$22,((H18-H290)*Tabulação!$I$22)-Tabulação!$J$22,IF((H18-H290)&lt;Tabulação!$H$23,((H18-H290)*Tabulação!$I$23)-Tabulação!$J$23,((H18-H290)*Tabulação!$I$24)-Tabulação!$J$24))))</f>
        <v>0</v>
      </c>
      <c r="I188" s="40">
        <f>IF((I18-I290)&lt;Tabulação!$H$20,0,IF((I18-I290)&lt;Tabulação!$H$21,((I18-I290)*Tabulação!$I$21)-Tabulação!$J$21,IF((I18-I290)&lt;Tabulação!$H$22,((I18-I290)*Tabulação!$I$22)-Tabulação!$J$22,IF((I18-I290)&lt;Tabulação!$H$23,((I18-I290)*Tabulação!$I$23)-Tabulação!$J$23,((I18-I290)*Tabulação!$I$24)-Tabulação!$J$24))))</f>
        <v>0</v>
      </c>
      <c r="J188" s="40">
        <f>IF((J18-J290)&lt;Tabulação!$H$20,0,IF((J18-J290)&lt;Tabulação!$H$21,((J18-J290)*Tabulação!$I$21)-Tabulação!$J$21,IF((J18-J290)&lt;Tabulação!$H$22,((J18-J290)*Tabulação!$I$22)-Tabulação!$J$22,IF((J18-J290)&lt;Tabulação!$H$23,((J18-J290)*Tabulação!$I$23)-Tabulação!$J$23,((J18-J290)*Tabulação!$I$24)-Tabulação!$J$24))))</f>
        <v>0</v>
      </c>
      <c r="K188" s="40">
        <f>IF((K18-K290)&lt;Tabulação!$H$20,0,IF((K18-K290)&lt;Tabulação!$H$21,((K18-K290)*Tabulação!$I$21)-Tabulação!$J$21,IF((K18-K290)&lt;Tabulação!$H$22,((K18-K290)*Tabulação!$I$22)-Tabulação!$J$22,IF((K18-K290)&lt;Tabulação!$H$23,((K18-K290)*Tabulação!$I$23)-Tabulação!$J$23,((K18-K290)*Tabulação!$I$24)-Tabulação!$J$24))))</f>
        <v>0</v>
      </c>
      <c r="L188" s="40">
        <f>IF((L18-L290)&lt;Tabulação!$H$20,0,IF((L18-L290)&lt;Tabulação!$H$21,((L18-L290)*Tabulação!$I$21)-Tabulação!$J$21,IF((L18-L290)&lt;Tabulação!$H$22,((L18-L290)*Tabulação!$I$22)-Tabulação!$J$22,IF((L18-L290)&lt;Tabulação!$H$23,((L18-L290)*Tabulação!$I$23)-Tabulação!$J$23,((L18-L290)*Tabulação!$I$24)-Tabulação!$J$24))))</f>
        <v>0</v>
      </c>
      <c r="M188" s="40">
        <f>IF((M18-M290)&lt;Tabulação!$H$20,0,IF((M18-M290)&lt;Tabulação!$H$21,((M18-M290)*Tabulação!$I$21)-Tabulação!$J$21,IF((M18-M290)&lt;Tabulação!$H$22,((M18-M290)*Tabulação!$I$22)-Tabulação!$J$22,IF((M18-M290)&lt;Tabulação!$H$23,((M18-M290)*Tabulação!$I$23)-Tabulação!$J$23,((M18-M290)*Tabulação!$I$24)-Tabulação!$J$24))))</f>
        <v>0</v>
      </c>
      <c r="N188" s="40">
        <f>IF((N18-N290)&lt;Tabulação!$H$20,0,IF((N18-N290)&lt;Tabulação!$H$21,((N18-N290)*Tabulação!$I$21)-Tabulação!$J$21,IF((N18-N290)&lt;Tabulação!$H$22,((N18-N290)*Tabulação!$I$22)-Tabulação!$J$22,IF((N18-N290)&lt;Tabulação!$H$23,((N18-N290)*Tabulação!$I$23)-Tabulação!$J$23,((N18-N290)*Tabulação!$I$24)-Tabulação!$J$24))))</f>
        <v>0</v>
      </c>
      <c r="O188" s="41">
        <f>IF((O18-O290)&lt;Tabulação!$H$20,0,IF((O18-O290)&lt;Tabulação!$H$21,((O18-O290)*Tabulação!$I$21)-Tabulação!$J$21,IF((O18-O290)&lt;Tabulação!$H$22,((O18-O290)*Tabulação!$I$22)-Tabulação!$J$22,IF((O18-O290)&lt;Tabulação!$H$23,((O18-O290)*Tabulação!$I$23)-Tabulação!$J$23,((O18-O290)*Tabulação!$I$24)-Tabulação!$J$24))))</f>
        <v>0</v>
      </c>
      <c r="P188" s="41">
        <f t="shared" si="89"/>
        <v>0</v>
      </c>
    </row>
    <row r="189" spans="1:16" ht="30" hidden="1" customHeight="1" outlineLevel="1" thickBot="1" x14ac:dyDescent="0.3">
      <c r="A189" s="39" t="str">
        <f t="shared" si="87"/>
        <v/>
      </c>
      <c r="B189" s="39" t="str">
        <f t="shared" si="88"/>
        <v/>
      </c>
      <c r="C189" s="40">
        <f>IF((C19-C291)&lt;Tabulação!$H$20,0,IF((C19-C291)&lt;Tabulação!$H$21,((C19-C291)*Tabulação!$I$21)-Tabulação!$J$21,IF((C19-C291)&lt;Tabulação!$H$22,((C19-C291)*Tabulação!$I$22)-Tabulação!$J$22,IF((C19-C291)&lt;Tabulação!$H$23,((C19-C291)*Tabulação!$I$23)-Tabulação!$J$23,((C19-C291)*Tabulação!$I$24)-Tabulação!$J$24))))</f>
        <v>0</v>
      </c>
      <c r="D189" s="40">
        <f>IF((D19-D291)&lt;Tabulação!$H$20,0,IF((D19-D291)&lt;Tabulação!$H$21,((D19-D291)*Tabulação!$I$21)-Tabulação!$J$21,IF((D19-D291)&lt;Tabulação!$H$22,((D19-D291)*Tabulação!$I$22)-Tabulação!$J$22,IF((D19-D291)&lt;Tabulação!$H$23,((D19-D291)*Tabulação!$I$23)-Tabulação!$J$23,((D19-D291)*Tabulação!$I$24)-Tabulação!$J$24))))</f>
        <v>0</v>
      </c>
      <c r="E189" s="40">
        <f>IF((E19-E291)&lt;Tabulação!$H$20,0,IF((E19-E291)&lt;Tabulação!$H$21,((E19-E291)*Tabulação!$I$21)-Tabulação!$J$21,IF((E19-E291)&lt;Tabulação!$H$22,((E19-E291)*Tabulação!$I$22)-Tabulação!$J$22,IF((E19-E291)&lt;Tabulação!$H$23,((E19-E291)*Tabulação!$I$23)-Tabulação!$J$23,((E19-E291)*Tabulação!$I$24)-Tabulação!$J$24))))</f>
        <v>0</v>
      </c>
      <c r="F189" s="40">
        <f>IF((F19-F291)&lt;Tabulação!$H$20,0,IF((F19-F291)&lt;Tabulação!$H$21,((F19-F291)*Tabulação!$I$21)-Tabulação!$J$21,IF((F19-F291)&lt;Tabulação!$H$22,((F19-F291)*Tabulação!$I$22)-Tabulação!$J$22,IF((F19-F291)&lt;Tabulação!$H$23,((F19-F291)*Tabulação!$I$23)-Tabulação!$J$23,((F19-F291)*Tabulação!$I$24)-Tabulação!$J$24))))</f>
        <v>0</v>
      </c>
      <c r="G189" s="40">
        <f>IF((G19-G291)&lt;Tabulação!$H$20,0,IF((G19-G291)&lt;Tabulação!$H$21,((G19-G291)*Tabulação!$I$21)-Tabulação!$J$21,IF((G19-G291)&lt;Tabulação!$H$22,((G19-G291)*Tabulação!$I$22)-Tabulação!$J$22,IF((G19-G291)&lt;Tabulação!$H$23,((G19-G291)*Tabulação!$I$23)-Tabulação!$J$23,((G19-G291)*Tabulação!$I$24)-Tabulação!$J$24))))</f>
        <v>0</v>
      </c>
      <c r="H189" s="40">
        <f>IF((H19-H291)&lt;Tabulação!$H$20,0,IF((H19-H291)&lt;Tabulação!$H$21,((H19-H291)*Tabulação!$I$21)-Tabulação!$J$21,IF((H19-H291)&lt;Tabulação!$H$22,((H19-H291)*Tabulação!$I$22)-Tabulação!$J$22,IF((H19-H291)&lt;Tabulação!$H$23,((H19-H291)*Tabulação!$I$23)-Tabulação!$J$23,((H19-H291)*Tabulação!$I$24)-Tabulação!$J$24))))</f>
        <v>0</v>
      </c>
      <c r="I189" s="40">
        <f>IF((I19-I291)&lt;Tabulação!$H$20,0,IF((I19-I291)&lt;Tabulação!$H$21,((I19-I291)*Tabulação!$I$21)-Tabulação!$J$21,IF((I19-I291)&lt;Tabulação!$H$22,((I19-I291)*Tabulação!$I$22)-Tabulação!$J$22,IF((I19-I291)&lt;Tabulação!$H$23,((I19-I291)*Tabulação!$I$23)-Tabulação!$J$23,((I19-I291)*Tabulação!$I$24)-Tabulação!$J$24))))</f>
        <v>0</v>
      </c>
      <c r="J189" s="40">
        <f>IF((J19-J291)&lt;Tabulação!$H$20,0,IF((J19-J291)&lt;Tabulação!$H$21,((J19-J291)*Tabulação!$I$21)-Tabulação!$J$21,IF((J19-J291)&lt;Tabulação!$H$22,((J19-J291)*Tabulação!$I$22)-Tabulação!$J$22,IF((J19-J291)&lt;Tabulação!$H$23,((J19-J291)*Tabulação!$I$23)-Tabulação!$J$23,((J19-J291)*Tabulação!$I$24)-Tabulação!$J$24))))</f>
        <v>0</v>
      </c>
      <c r="K189" s="40">
        <f>IF((K19-K291)&lt;Tabulação!$H$20,0,IF((K19-K291)&lt;Tabulação!$H$21,((K19-K291)*Tabulação!$I$21)-Tabulação!$J$21,IF((K19-K291)&lt;Tabulação!$H$22,((K19-K291)*Tabulação!$I$22)-Tabulação!$J$22,IF((K19-K291)&lt;Tabulação!$H$23,((K19-K291)*Tabulação!$I$23)-Tabulação!$J$23,((K19-K291)*Tabulação!$I$24)-Tabulação!$J$24))))</f>
        <v>0</v>
      </c>
      <c r="L189" s="40">
        <f>IF((L19-L291)&lt;Tabulação!$H$20,0,IF((L19-L291)&lt;Tabulação!$H$21,((L19-L291)*Tabulação!$I$21)-Tabulação!$J$21,IF((L19-L291)&lt;Tabulação!$H$22,((L19-L291)*Tabulação!$I$22)-Tabulação!$J$22,IF((L19-L291)&lt;Tabulação!$H$23,((L19-L291)*Tabulação!$I$23)-Tabulação!$J$23,((L19-L291)*Tabulação!$I$24)-Tabulação!$J$24))))</f>
        <v>0</v>
      </c>
      <c r="M189" s="40">
        <f>IF((M19-M291)&lt;Tabulação!$H$20,0,IF((M19-M291)&lt;Tabulação!$H$21,((M19-M291)*Tabulação!$I$21)-Tabulação!$J$21,IF((M19-M291)&lt;Tabulação!$H$22,((M19-M291)*Tabulação!$I$22)-Tabulação!$J$22,IF((M19-M291)&lt;Tabulação!$H$23,((M19-M291)*Tabulação!$I$23)-Tabulação!$J$23,((M19-M291)*Tabulação!$I$24)-Tabulação!$J$24))))</f>
        <v>0</v>
      </c>
      <c r="N189" s="40">
        <f>IF((N19-N291)&lt;Tabulação!$H$20,0,IF((N19-N291)&lt;Tabulação!$H$21,((N19-N291)*Tabulação!$I$21)-Tabulação!$J$21,IF((N19-N291)&lt;Tabulação!$H$22,((N19-N291)*Tabulação!$I$22)-Tabulação!$J$22,IF((N19-N291)&lt;Tabulação!$H$23,((N19-N291)*Tabulação!$I$23)-Tabulação!$J$23,((N19-N291)*Tabulação!$I$24)-Tabulação!$J$24))))</f>
        <v>0</v>
      </c>
      <c r="O189" s="41">
        <f>IF((O19-O291)&lt;Tabulação!$H$20,0,IF((O19-O291)&lt;Tabulação!$H$21,((O19-O291)*Tabulação!$I$21)-Tabulação!$J$21,IF((O19-O291)&lt;Tabulação!$H$22,((O19-O291)*Tabulação!$I$22)-Tabulação!$J$22,IF((O19-O291)&lt;Tabulação!$H$23,((O19-O291)*Tabulação!$I$23)-Tabulação!$J$23,((O19-O291)*Tabulação!$I$24)-Tabulação!$J$24))))</f>
        <v>0</v>
      </c>
      <c r="P189" s="41">
        <f t="shared" si="89"/>
        <v>0</v>
      </c>
    </row>
    <row r="190" spans="1:16" ht="30" hidden="1" customHeight="1" outlineLevel="1" thickBot="1" x14ac:dyDescent="0.3">
      <c r="A190" s="39" t="str">
        <f t="shared" si="87"/>
        <v/>
      </c>
      <c r="B190" s="39" t="str">
        <f t="shared" si="88"/>
        <v/>
      </c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1"/>
      <c r="P190" s="41"/>
    </row>
    <row r="191" spans="1:16" ht="30" hidden="1" customHeight="1" outlineLevel="1" thickBot="1" x14ac:dyDescent="0.3">
      <c r="A191" s="39" t="str">
        <f t="shared" si="87"/>
        <v/>
      </c>
      <c r="B191" s="39" t="str">
        <f t="shared" si="88"/>
        <v/>
      </c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1"/>
      <c r="P191" s="41"/>
    </row>
    <row r="192" spans="1:16" ht="30" hidden="1" customHeight="1" outlineLevel="1" thickBot="1" x14ac:dyDescent="0.3">
      <c r="A192" s="39" t="str">
        <f t="shared" si="87"/>
        <v/>
      </c>
      <c r="B192" s="39" t="str">
        <f t="shared" si="88"/>
        <v/>
      </c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1"/>
      <c r="P192" s="41"/>
    </row>
    <row r="193" spans="1:16" ht="30" hidden="1" customHeight="1" outlineLevel="1" thickBot="1" x14ac:dyDescent="0.3">
      <c r="A193" s="39" t="str">
        <f t="shared" si="87"/>
        <v/>
      </c>
      <c r="B193" s="39" t="str">
        <f t="shared" si="88"/>
        <v/>
      </c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1"/>
      <c r="P193" s="41"/>
    </row>
    <row r="194" spans="1:16" ht="30" hidden="1" customHeight="1" outlineLevel="1" thickBot="1" x14ac:dyDescent="0.3">
      <c r="A194" s="39" t="str">
        <f t="shared" si="87"/>
        <v/>
      </c>
      <c r="B194" s="39" t="str">
        <f t="shared" si="88"/>
        <v/>
      </c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1"/>
      <c r="P194" s="41"/>
    </row>
    <row r="195" spans="1:16" ht="30" hidden="1" customHeight="1" outlineLevel="1" thickBot="1" x14ac:dyDescent="0.3">
      <c r="A195" s="39" t="str">
        <f t="shared" si="87"/>
        <v/>
      </c>
      <c r="B195" s="39" t="str">
        <f t="shared" si="88"/>
        <v/>
      </c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1"/>
      <c r="P195" s="41"/>
    </row>
    <row r="196" spans="1:16" ht="30" hidden="1" customHeight="1" outlineLevel="1" thickBot="1" x14ac:dyDescent="0.3">
      <c r="A196" s="39" t="str">
        <f t="shared" si="87"/>
        <v/>
      </c>
      <c r="B196" s="39" t="str">
        <f t="shared" si="88"/>
        <v/>
      </c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1"/>
      <c r="P196" s="41"/>
    </row>
    <row r="197" spans="1:16" ht="30" hidden="1" customHeight="1" outlineLevel="1" thickBot="1" x14ac:dyDescent="0.3">
      <c r="A197" s="39" t="str">
        <f t="shared" si="87"/>
        <v/>
      </c>
      <c r="B197" s="39" t="str">
        <f t="shared" si="88"/>
        <v/>
      </c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1"/>
      <c r="P197" s="41"/>
    </row>
    <row r="198" spans="1:16" ht="30" hidden="1" customHeight="1" outlineLevel="1" thickBot="1" x14ac:dyDescent="0.3">
      <c r="A198" s="39" t="str">
        <f>IF($A130="","",$A130)</f>
        <v/>
      </c>
      <c r="B198" s="39" t="str">
        <f>IF($B130="","",$B130)</f>
        <v/>
      </c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1"/>
      <c r="P198" s="41"/>
    </row>
    <row r="199" spans="1:16" ht="30" hidden="1" customHeight="1" outlineLevel="1" thickBot="1" x14ac:dyDescent="0.3">
      <c r="A199" s="39" t="str">
        <f t="shared" si="87"/>
        <v/>
      </c>
      <c r="B199" s="39" t="str">
        <f t="shared" si="88"/>
        <v/>
      </c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1"/>
      <c r="P199" s="41"/>
    </row>
    <row r="200" spans="1:16" ht="30" hidden="1" customHeight="1" outlineLevel="1" thickBot="1" x14ac:dyDescent="0.3">
      <c r="A200" s="39" t="str">
        <f t="shared" si="87"/>
        <v/>
      </c>
      <c r="B200" s="39" t="str">
        <f t="shared" si="88"/>
        <v/>
      </c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1"/>
      <c r="P200" s="41"/>
    </row>
    <row r="201" spans="1:16" ht="30" hidden="1" customHeight="1" outlineLevel="1" thickBot="1" x14ac:dyDescent="0.3">
      <c r="A201" s="39" t="str">
        <f t="shared" si="87"/>
        <v/>
      </c>
      <c r="B201" s="39" t="str">
        <f t="shared" si="88"/>
        <v/>
      </c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1"/>
      <c r="P201" s="41"/>
    </row>
    <row r="202" spans="1:16" ht="30" hidden="1" customHeight="1" outlineLevel="1" thickBot="1" x14ac:dyDescent="0.3">
      <c r="A202" s="39" t="str">
        <f t="shared" si="87"/>
        <v/>
      </c>
      <c r="B202" s="39" t="str">
        <f t="shared" si="88"/>
        <v/>
      </c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1"/>
      <c r="P202" s="41"/>
    </row>
    <row r="203" spans="1:16" ht="30" hidden="1" customHeight="1" outlineLevel="1" thickBot="1" x14ac:dyDescent="0.3">
      <c r="A203" s="39" t="str">
        <f>IF($A135="","",$A135)</f>
        <v/>
      </c>
      <c r="B203" s="39" t="str">
        <f>IF($B135="","",$B135)</f>
        <v/>
      </c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1"/>
      <c r="P203" s="41"/>
    </row>
    <row r="204" spans="1:16" ht="30" hidden="1" customHeight="1" outlineLevel="1" thickBot="1" x14ac:dyDescent="0.3">
      <c r="A204" s="39" t="str">
        <f t="shared" si="87"/>
        <v/>
      </c>
      <c r="B204" s="39" t="str">
        <f t="shared" si="88"/>
        <v/>
      </c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1"/>
      <c r="P204" s="41"/>
    </row>
    <row r="205" spans="1:16" ht="30" hidden="1" customHeight="1" outlineLevel="1" thickBot="1" x14ac:dyDescent="0.3">
      <c r="A205" s="39" t="str">
        <f>IF($A137="","",$A137)</f>
        <v/>
      </c>
      <c r="B205" s="39" t="str">
        <f>IF($B137="","",$B137)</f>
        <v/>
      </c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1"/>
      <c r="P205" s="41"/>
    </row>
    <row r="206" spans="1:16" ht="30" hidden="1" customHeight="1" outlineLevel="1" thickBot="1" x14ac:dyDescent="0.3">
      <c r="A206" s="39" t="str">
        <f>IF($A138="","",$A138)</f>
        <v/>
      </c>
      <c r="B206" s="39" t="str">
        <f>IF($B138="","",$B138)</f>
        <v/>
      </c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1"/>
      <c r="P206" s="41"/>
    </row>
    <row r="207" spans="1:16" ht="30" customHeight="1" collapsed="1" thickBot="1" x14ac:dyDescent="0.3">
      <c r="A207" s="61" t="s">
        <v>36</v>
      </c>
      <c r="B207" s="61"/>
      <c r="C207" s="42">
        <f t="shared" ref="C207:P207" si="90">SUM(C176:C206)</f>
        <v>0</v>
      </c>
      <c r="D207" s="42">
        <f t="shared" si="90"/>
        <v>0</v>
      </c>
      <c r="E207" s="42">
        <f t="shared" si="90"/>
        <v>0</v>
      </c>
      <c r="F207" s="42">
        <f t="shared" si="90"/>
        <v>0</v>
      </c>
      <c r="G207" s="42">
        <f t="shared" si="90"/>
        <v>0</v>
      </c>
      <c r="H207" s="42">
        <f t="shared" si="90"/>
        <v>0</v>
      </c>
      <c r="I207" s="42">
        <f t="shared" si="90"/>
        <v>0</v>
      </c>
      <c r="J207" s="42">
        <f t="shared" si="90"/>
        <v>0</v>
      </c>
      <c r="K207" s="42">
        <f t="shared" si="90"/>
        <v>0</v>
      </c>
      <c r="L207" s="42">
        <f t="shared" si="90"/>
        <v>0</v>
      </c>
      <c r="M207" s="42">
        <f t="shared" si="90"/>
        <v>0</v>
      </c>
      <c r="N207" s="42">
        <f t="shared" si="90"/>
        <v>0</v>
      </c>
      <c r="O207" s="42">
        <f t="shared" si="90"/>
        <v>0</v>
      </c>
      <c r="P207" s="42">
        <f t="shared" si="90"/>
        <v>0</v>
      </c>
    </row>
    <row r="208" spans="1:16" ht="30" customHeight="1" thickBot="1" x14ac:dyDescent="0.3"/>
    <row r="209" spans="1:16" ht="30" customHeight="1" thickBot="1" x14ac:dyDescent="0.3">
      <c r="A209" s="60" t="s">
        <v>5</v>
      </c>
      <c r="B209" s="60"/>
      <c r="C209" s="62" t="s">
        <v>5</v>
      </c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</row>
    <row r="210" spans="1:16" ht="30" hidden="1" customHeight="1" outlineLevel="1" thickBot="1" x14ac:dyDescent="0.3">
      <c r="A210" s="39" t="str">
        <f>IF($A142="","",$A142)</f>
        <v/>
      </c>
      <c r="B210" s="39" t="str">
        <f>IF($B142="","",$B142)</f>
        <v/>
      </c>
      <c r="C210" s="40">
        <f>C6*Tabulação!$H$33</f>
        <v>0</v>
      </c>
      <c r="D210" s="40">
        <f>D6*Tabulação!$H$33</f>
        <v>0</v>
      </c>
      <c r="E210" s="40">
        <f>E6*Tabulação!$H$33</f>
        <v>0</v>
      </c>
      <c r="F210" s="40">
        <f>F6*Tabulação!$H$33</f>
        <v>0</v>
      </c>
      <c r="G210" s="40">
        <f>G6*Tabulação!$H$33</f>
        <v>0</v>
      </c>
      <c r="H210" s="40">
        <f>H6*Tabulação!$H$33</f>
        <v>0</v>
      </c>
      <c r="I210" s="40">
        <f>I6*Tabulação!$H$33</f>
        <v>0</v>
      </c>
      <c r="J210" s="40">
        <f>J6*Tabulação!$H$33</f>
        <v>0</v>
      </c>
      <c r="K210" s="40">
        <f>K6*Tabulação!$H$33</f>
        <v>0</v>
      </c>
      <c r="L210" s="40">
        <f>L6*Tabulação!$H$33</f>
        <v>0</v>
      </c>
      <c r="M210" s="40">
        <f>M6*Tabulação!$H$33</f>
        <v>0</v>
      </c>
      <c r="N210" s="40">
        <f>N6*Tabulação!$H$33</f>
        <v>0</v>
      </c>
      <c r="O210" s="41">
        <f>O6*Tabulação!$H$33</f>
        <v>0</v>
      </c>
      <c r="P210" s="41">
        <f>SUM(C210:N210)</f>
        <v>0</v>
      </c>
    </row>
    <row r="211" spans="1:16" ht="30" hidden="1" customHeight="1" outlineLevel="1" thickBot="1" x14ac:dyDescent="0.3">
      <c r="A211" s="39" t="str">
        <f t="shared" ref="A211:A238" si="91">IF($A143="","",$A143)</f>
        <v/>
      </c>
      <c r="B211" s="39" t="str">
        <f t="shared" ref="B211:B238" si="92">IF($B143="","",$B143)</f>
        <v/>
      </c>
      <c r="C211" s="40">
        <f>C7*Tabulação!$H$33</f>
        <v>0</v>
      </c>
      <c r="D211" s="40">
        <f>D7*Tabulação!$H$33</f>
        <v>0</v>
      </c>
      <c r="E211" s="40">
        <f>E7*Tabulação!$H$33</f>
        <v>0</v>
      </c>
      <c r="F211" s="40">
        <f>F7*Tabulação!$H$33</f>
        <v>0</v>
      </c>
      <c r="G211" s="40">
        <f>G7*Tabulação!$H$33</f>
        <v>0</v>
      </c>
      <c r="H211" s="40">
        <f>H7*Tabulação!$H$33</f>
        <v>0</v>
      </c>
      <c r="I211" s="40">
        <f>I7*Tabulação!$H$33</f>
        <v>0</v>
      </c>
      <c r="J211" s="40">
        <f>J7*Tabulação!$H$33</f>
        <v>0</v>
      </c>
      <c r="K211" s="40">
        <f>K7*Tabulação!$H$33</f>
        <v>0</v>
      </c>
      <c r="L211" s="40">
        <f>L7*Tabulação!$H$33</f>
        <v>0</v>
      </c>
      <c r="M211" s="40">
        <f>M7*Tabulação!$H$33</f>
        <v>0</v>
      </c>
      <c r="N211" s="40">
        <f>N7*Tabulação!$H$33</f>
        <v>0</v>
      </c>
      <c r="O211" s="41">
        <f>O7*Tabulação!$H$33</f>
        <v>0</v>
      </c>
      <c r="P211" s="41">
        <f t="shared" ref="P211:P223" si="93">SUM(C211:N211)</f>
        <v>0</v>
      </c>
    </row>
    <row r="212" spans="1:16" ht="30" hidden="1" customHeight="1" outlineLevel="1" thickBot="1" x14ac:dyDescent="0.3">
      <c r="A212" s="39" t="str">
        <f t="shared" si="91"/>
        <v/>
      </c>
      <c r="B212" s="39" t="str">
        <f t="shared" si="92"/>
        <v/>
      </c>
      <c r="C212" s="40">
        <f>C8*Tabulação!$H$33</f>
        <v>0</v>
      </c>
      <c r="D212" s="40">
        <f>D8*Tabulação!$H$33</f>
        <v>0</v>
      </c>
      <c r="E212" s="40">
        <f>E8*Tabulação!$H$33</f>
        <v>0</v>
      </c>
      <c r="F212" s="40">
        <f>F8*Tabulação!$H$33</f>
        <v>0</v>
      </c>
      <c r="G212" s="40">
        <f>G8*Tabulação!$H$33</f>
        <v>0</v>
      </c>
      <c r="H212" s="40">
        <f>H8*Tabulação!$H$33</f>
        <v>0</v>
      </c>
      <c r="I212" s="40">
        <f>I8*Tabulação!$H$33</f>
        <v>0</v>
      </c>
      <c r="J212" s="40">
        <f>J8*Tabulação!$H$33</f>
        <v>0</v>
      </c>
      <c r="K212" s="40">
        <f>K8*Tabulação!$H$33</f>
        <v>0</v>
      </c>
      <c r="L212" s="40">
        <f>L8*Tabulação!$H$33</f>
        <v>0</v>
      </c>
      <c r="M212" s="40">
        <f>M8*Tabulação!$H$33</f>
        <v>0</v>
      </c>
      <c r="N212" s="40">
        <f>N8*Tabulação!$H$33</f>
        <v>0</v>
      </c>
      <c r="O212" s="41">
        <f>O8*Tabulação!$H$33</f>
        <v>0</v>
      </c>
      <c r="P212" s="41">
        <f t="shared" si="93"/>
        <v>0</v>
      </c>
    </row>
    <row r="213" spans="1:16" ht="30" hidden="1" customHeight="1" outlineLevel="1" thickBot="1" x14ac:dyDescent="0.3">
      <c r="A213" s="39" t="str">
        <f t="shared" si="91"/>
        <v/>
      </c>
      <c r="B213" s="39" t="str">
        <f t="shared" si="92"/>
        <v/>
      </c>
      <c r="C213" s="40">
        <f>C9*Tabulação!$H$33</f>
        <v>0</v>
      </c>
      <c r="D213" s="40">
        <f>D9*Tabulação!$H$33</f>
        <v>0</v>
      </c>
      <c r="E213" s="40">
        <f>E9*Tabulação!$H$33</f>
        <v>0</v>
      </c>
      <c r="F213" s="40">
        <f>F9*Tabulação!$H$33</f>
        <v>0</v>
      </c>
      <c r="G213" s="40">
        <f>G9*Tabulação!$H$33</f>
        <v>0</v>
      </c>
      <c r="H213" s="40">
        <f>H9*Tabulação!$H$33</f>
        <v>0</v>
      </c>
      <c r="I213" s="40">
        <f>I9*Tabulação!$H$33</f>
        <v>0</v>
      </c>
      <c r="J213" s="40">
        <f>J9*Tabulação!$H$33</f>
        <v>0</v>
      </c>
      <c r="K213" s="40">
        <f>K9*Tabulação!$H$33</f>
        <v>0</v>
      </c>
      <c r="L213" s="40">
        <f>L9*Tabulação!$H$33</f>
        <v>0</v>
      </c>
      <c r="M213" s="40">
        <f>M9*Tabulação!$H$33</f>
        <v>0</v>
      </c>
      <c r="N213" s="40">
        <f>N9*Tabulação!$H$33</f>
        <v>0</v>
      </c>
      <c r="O213" s="41">
        <f>O9*Tabulação!$H$33</f>
        <v>0</v>
      </c>
      <c r="P213" s="41">
        <f t="shared" si="93"/>
        <v>0</v>
      </c>
    </row>
    <row r="214" spans="1:16" ht="30" hidden="1" customHeight="1" outlineLevel="1" thickBot="1" x14ac:dyDescent="0.3">
      <c r="A214" s="39" t="str">
        <f t="shared" si="91"/>
        <v/>
      </c>
      <c r="B214" s="39" t="str">
        <f t="shared" si="92"/>
        <v/>
      </c>
      <c r="C214" s="40">
        <f>C10*Tabulação!$H$33</f>
        <v>0</v>
      </c>
      <c r="D214" s="40">
        <f>D10*Tabulação!$H$33</f>
        <v>0</v>
      </c>
      <c r="E214" s="40">
        <f>E10*Tabulação!$H$33</f>
        <v>0</v>
      </c>
      <c r="F214" s="40">
        <f>F10*Tabulação!$H$33</f>
        <v>0</v>
      </c>
      <c r="G214" s="40">
        <f>G10*Tabulação!$H$33</f>
        <v>0</v>
      </c>
      <c r="H214" s="40">
        <f>H10*Tabulação!$H$33</f>
        <v>0</v>
      </c>
      <c r="I214" s="40">
        <f>I10*Tabulação!$H$33</f>
        <v>0</v>
      </c>
      <c r="J214" s="40">
        <f>J10*Tabulação!$H$33</f>
        <v>0</v>
      </c>
      <c r="K214" s="40">
        <f>K10*Tabulação!$H$33</f>
        <v>0</v>
      </c>
      <c r="L214" s="40">
        <f>L10*Tabulação!$H$33</f>
        <v>0</v>
      </c>
      <c r="M214" s="40">
        <f>M10*Tabulação!$H$33</f>
        <v>0</v>
      </c>
      <c r="N214" s="40">
        <f>N10*Tabulação!$H$33</f>
        <v>0</v>
      </c>
      <c r="O214" s="41">
        <f>O10*Tabulação!$H$33</f>
        <v>0</v>
      </c>
      <c r="P214" s="41">
        <f t="shared" si="93"/>
        <v>0</v>
      </c>
    </row>
    <row r="215" spans="1:16" ht="30" hidden="1" customHeight="1" outlineLevel="1" thickBot="1" x14ac:dyDescent="0.3">
      <c r="A215" s="39" t="str">
        <f t="shared" si="91"/>
        <v/>
      </c>
      <c r="B215" s="39" t="str">
        <f t="shared" si="92"/>
        <v/>
      </c>
      <c r="C215" s="40">
        <f>C11*Tabulação!$H$33</f>
        <v>0</v>
      </c>
      <c r="D215" s="40">
        <f>D11*Tabulação!$H$33</f>
        <v>0</v>
      </c>
      <c r="E215" s="40">
        <f>E11*Tabulação!$H$33</f>
        <v>0</v>
      </c>
      <c r="F215" s="40">
        <f>F11*Tabulação!$H$33</f>
        <v>0</v>
      </c>
      <c r="G215" s="40">
        <f>G11*Tabulação!$H$33</f>
        <v>0</v>
      </c>
      <c r="H215" s="40">
        <f>H11*Tabulação!$H$33</f>
        <v>0</v>
      </c>
      <c r="I215" s="40">
        <f>I11*Tabulação!$H$33</f>
        <v>0</v>
      </c>
      <c r="J215" s="40">
        <f>J11*Tabulação!$H$33</f>
        <v>0</v>
      </c>
      <c r="K215" s="40">
        <f>K11*Tabulação!$H$33</f>
        <v>0</v>
      </c>
      <c r="L215" s="40">
        <f>L11*Tabulação!$H$33</f>
        <v>0</v>
      </c>
      <c r="M215" s="40">
        <f>M11*Tabulação!$H$33</f>
        <v>0</v>
      </c>
      <c r="N215" s="40">
        <f>N11*Tabulação!$H$33</f>
        <v>0</v>
      </c>
      <c r="O215" s="41">
        <f>O11*Tabulação!$H$33</f>
        <v>0</v>
      </c>
      <c r="P215" s="41">
        <f t="shared" si="93"/>
        <v>0</v>
      </c>
    </row>
    <row r="216" spans="1:16" ht="30" hidden="1" customHeight="1" outlineLevel="1" thickBot="1" x14ac:dyDescent="0.3">
      <c r="A216" s="39" t="str">
        <f t="shared" si="91"/>
        <v/>
      </c>
      <c r="B216" s="39" t="str">
        <f t="shared" si="92"/>
        <v/>
      </c>
      <c r="C216" s="40">
        <f>C12*Tabulação!$H$33</f>
        <v>0</v>
      </c>
      <c r="D216" s="40">
        <f>D12*Tabulação!$H$33</f>
        <v>0</v>
      </c>
      <c r="E216" s="40">
        <f>E12*Tabulação!$H$33</f>
        <v>0</v>
      </c>
      <c r="F216" s="40">
        <f>F12*Tabulação!$H$33</f>
        <v>0</v>
      </c>
      <c r="G216" s="40">
        <f>G12*Tabulação!$H$33</f>
        <v>0</v>
      </c>
      <c r="H216" s="40">
        <f>H12*Tabulação!$H$33</f>
        <v>0</v>
      </c>
      <c r="I216" s="40">
        <f>I12*Tabulação!$H$33</f>
        <v>0</v>
      </c>
      <c r="J216" s="40">
        <f>J12*Tabulação!$H$33</f>
        <v>0</v>
      </c>
      <c r="K216" s="40">
        <f>K12*Tabulação!$H$33</f>
        <v>0</v>
      </c>
      <c r="L216" s="40">
        <f>L12*Tabulação!$H$33</f>
        <v>0</v>
      </c>
      <c r="M216" s="40">
        <f>M12*Tabulação!$H$33</f>
        <v>0</v>
      </c>
      <c r="N216" s="40">
        <f>N12*Tabulação!$H$33</f>
        <v>0</v>
      </c>
      <c r="O216" s="41">
        <f>O12*Tabulação!$H$33</f>
        <v>0</v>
      </c>
      <c r="P216" s="41">
        <f t="shared" si="93"/>
        <v>0</v>
      </c>
    </row>
    <row r="217" spans="1:16" ht="30" hidden="1" customHeight="1" outlineLevel="1" thickBot="1" x14ac:dyDescent="0.3">
      <c r="A217" s="39" t="str">
        <f t="shared" si="91"/>
        <v/>
      </c>
      <c r="B217" s="39" t="str">
        <f t="shared" si="92"/>
        <v/>
      </c>
      <c r="C217" s="40">
        <f>C13*Tabulação!$H$33</f>
        <v>0</v>
      </c>
      <c r="D217" s="40">
        <f>D13*Tabulação!$H$33</f>
        <v>0</v>
      </c>
      <c r="E217" s="40">
        <f>E13*Tabulação!$H$33</f>
        <v>0</v>
      </c>
      <c r="F217" s="40">
        <f>F13*Tabulação!$H$33</f>
        <v>0</v>
      </c>
      <c r="G217" s="40">
        <f>G13*Tabulação!$H$33</f>
        <v>0</v>
      </c>
      <c r="H217" s="40">
        <f>H13*Tabulação!$H$33</f>
        <v>0</v>
      </c>
      <c r="I217" s="40">
        <f>I13*Tabulação!$H$33</f>
        <v>0</v>
      </c>
      <c r="J217" s="40">
        <f>J13*Tabulação!$H$33</f>
        <v>0</v>
      </c>
      <c r="K217" s="40">
        <f>K13*Tabulação!$H$33</f>
        <v>0</v>
      </c>
      <c r="L217" s="40">
        <f>L13*Tabulação!$H$33</f>
        <v>0</v>
      </c>
      <c r="M217" s="40">
        <f>M13*Tabulação!$H$33</f>
        <v>0</v>
      </c>
      <c r="N217" s="40">
        <f>N13*Tabulação!$H$33</f>
        <v>0</v>
      </c>
      <c r="O217" s="41">
        <f>O13*Tabulação!$H$33</f>
        <v>0</v>
      </c>
      <c r="P217" s="41">
        <f t="shared" si="93"/>
        <v>0</v>
      </c>
    </row>
    <row r="218" spans="1:16" ht="30" hidden="1" customHeight="1" outlineLevel="1" thickBot="1" x14ac:dyDescent="0.3">
      <c r="A218" s="39" t="str">
        <f t="shared" si="91"/>
        <v/>
      </c>
      <c r="B218" s="39" t="str">
        <f t="shared" si="92"/>
        <v/>
      </c>
      <c r="C218" s="40">
        <f>C14*Tabulação!$H$33</f>
        <v>0</v>
      </c>
      <c r="D218" s="40">
        <f>D14*Tabulação!$H$33</f>
        <v>0</v>
      </c>
      <c r="E218" s="40">
        <f>E14*Tabulação!$H$33</f>
        <v>0</v>
      </c>
      <c r="F218" s="40">
        <f>F14*Tabulação!$H$33</f>
        <v>0</v>
      </c>
      <c r="G218" s="40">
        <f>G14*Tabulação!$H$33</f>
        <v>0</v>
      </c>
      <c r="H218" s="40">
        <f>H14*Tabulação!$H$33</f>
        <v>0</v>
      </c>
      <c r="I218" s="40">
        <f>I14*Tabulação!$H$33</f>
        <v>0</v>
      </c>
      <c r="J218" s="40">
        <f>J14*Tabulação!$H$33</f>
        <v>0</v>
      </c>
      <c r="K218" s="40">
        <f>K14*Tabulação!$H$33</f>
        <v>0</v>
      </c>
      <c r="L218" s="40">
        <f>L14*Tabulação!$H$33</f>
        <v>0</v>
      </c>
      <c r="M218" s="40">
        <f>M14*Tabulação!$H$33</f>
        <v>0</v>
      </c>
      <c r="N218" s="40">
        <f>N14*Tabulação!$H$33</f>
        <v>0</v>
      </c>
      <c r="O218" s="41">
        <f>O14*Tabulação!$H$33</f>
        <v>0</v>
      </c>
      <c r="P218" s="41">
        <f t="shared" si="93"/>
        <v>0</v>
      </c>
    </row>
    <row r="219" spans="1:16" ht="30" hidden="1" customHeight="1" outlineLevel="1" thickBot="1" x14ac:dyDescent="0.3">
      <c r="A219" s="39" t="str">
        <f t="shared" si="91"/>
        <v/>
      </c>
      <c r="B219" s="39" t="str">
        <f t="shared" si="92"/>
        <v/>
      </c>
      <c r="C219" s="40">
        <f>C15*Tabulação!$H$33</f>
        <v>0</v>
      </c>
      <c r="D219" s="40">
        <f>D15*Tabulação!$H$33</f>
        <v>0</v>
      </c>
      <c r="E219" s="40">
        <f>E15*Tabulação!$H$33</f>
        <v>0</v>
      </c>
      <c r="F219" s="40">
        <f>F15*Tabulação!$H$33</f>
        <v>0</v>
      </c>
      <c r="G219" s="40">
        <f>G15*Tabulação!$H$33</f>
        <v>0</v>
      </c>
      <c r="H219" s="40">
        <f>H15*Tabulação!$H$33</f>
        <v>0</v>
      </c>
      <c r="I219" s="40">
        <f>I15*Tabulação!$H$33</f>
        <v>0</v>
      </c>
      <c r="J219" s="40">
        <f>J15*Tabulação!$H$33</f>
        <v>0</v>
      </c>
      <c r="K219" s="40">
        <f>K15*Tabulação!$H$33</f>
        <v>0</v>
      </c>
      <c r="L219" s="40">
        <f>L15*Tabulação!$H$33</f>
        <v>0</v>
      </c>
      <c r="M219" s="40">
        <f>M15*Tabulação!$H$33</f>
        <v>0</v>
      </c>
      <c r="N219" s="40">
        <f>N15*Tabulação!$H$33</f>
        <v>0</v>
      </c>
      <c r="O219" s="41">
        <f>O15*Tabulação!$H$33</f>
        <v>0</v>
      </c>
      <c r="P219" s="41">
        <f t="shared" si="93"/>
        <v>0</v>
      </c>
    </row>
    <row r="220" spans="1:16" ht="30" hidden="1" customHeight="1" outlineLevel="1" thickBot="1" x14ac:dyDescent="0.3">
      <c r="A220" s="39" t="str">
        <f t="shared" si="91"/>
        <v/>
      </c>
      <c r="B220" s="39" t="str">
        <f t="shared" si="92"/>
        <v/>
      </c>
      <c r="C220" s="40">
        <f>C16*Tabulação!$H$33</f>
        <v>0</v>
      </c>
      <c r="D220" s="40">
        <f>D16*Tabulação!$H$33</f>
        <v>0</v>
      </c>
      <c r="E220" s="40">
        <f>E16*Tabulação!$H$33</f>
        <v>0</v>
      </c>
      <c r="F220" s="40">
        <f>F16*Tabulação!$H$33</f>
        <v>0</v>
      </c>
      <c r="G220" s="40">
        <f>G16*Tabulação!$H$33</f>
        <v>0</v>
      </c>
      <c r="H220" s="40">
        <f>H16*Tabulação!$H$33</f>
        <v>0</v>
      </c>
      <c r="I220" s="40">
        <f>I16*Tabulação!$H$33</f>
        <v>0</v>
      </c>
      <c r="J220" s="40">
        <f>J16*Tabulação!$H$33</f>
        <v>0</v>
      </c>
      <c r="K220" s="40">
        <f>K16*Tabulação!$H$33</f>
        <v>0</v>
      </c>
      <c r="L220" s="40">
        <f>L16*Tabulação!$H$33</f>
        <v>0</v>
      </c>
      <c r="M220" s="40">
        <f>M16*Tabulação!$H$33</f>
        <v>0</v>
      </c>
      <c r="N220" s="40">
        <f>N16*Tabulação!$H$33</f>
        <v>0</v>
      </c>
      <c r="O220" s="41">
        <f>O16*Tabulação!$H$33</f>
        <v>0</v>
      </c>
      <c r="P220" s="41">
        <f t="shared" si="93"/>
        <v>0</v>
      </c>
    </row>
    <row r="221" spans="1:16" ht="30" hidden="1" customHeight="1" outlineLevel="1" thickBot="1" x14ac:dyDescent="0.3">
      <c r="A221" s="39" t="str">
        <f t="shared" si="91"/>
        <v/>
      </c>
      <c r="B221" s="39" t="str">
        <f t="shared" si="92"/>
        <v/>
      </c>
      <c r="C221" s="40">
        <f>C17*Tabulação!$H$33</f>
        <v>0</v>
      </c>
      <c r="D221" s="40">
        <f>D17*Tabulação!$H$33</f>
        <v>0</v>
      </c>
      <c r="E221" s="40">
        <f>E17*Tabulação!$H$33</f>
        <v>0</v>
      </c>
      <c r="F221" s="40">
        <f>F17*Tabulação!$H$33</f>
        <v>0</v>
      </c>
      <c r="G221" s="40">
        <f>G17*Tabulação!$H$33</f>
        <v>0</v>
      </c>
      <c r="H221" s="40">
        <f>H17*Tabulação!$H$33</f>
        <v>0</v>
      </c>
      <c r="I221" s="40">
        <f>I17*Tabulação!$H$33</f>
        <v>0</v>
      </c>
      <c r="J221" s="40">
        <f>J17*Tabulação!$H$33</f>
        <v>0</v>
      </c>
      <c r="K221" s="40">
        <f>K17*Tabulação!$H$33</f>
        <v>0</v>
      </c>
      <c r="L221" s="40">
        <f>L17*Tabulação!$H$33</f>
        <v>0</v>
      </c>
      <c r="M221" s="40">
        <f>M17*Tabulação!$H$33</f>
        <v>0</v>
      </c>
      <c r="N221" s="40">
        <f>N17*Tabulação!$H$33</f>
        <v>0</v>
      </c>
      <c r="O221" s="41">
        <f>O17*Tabulação!$H$33</f>
        <v>0</v>
      </c>
      <c r="P221" s="41">
        <f t="shared" si="93"/>
        <v>0</v>
      </c>
    </row>
    <row r="222" spans="1:16" ht="30" hidden="1" customHeight="1" outlineLevel="1" thickBot="1" x14ac:dyDescent="0.3">
      <c r="A222" s="39" t="str">
        <f t="shared" si="91"/>
        <v/>
      </c>
      <c r="B222" s="39" t="str">
        <f t="shared" si="92"/>
        <v/>
      </c>
      <c r="C222" s="40">
        <f>C18*Tabulação!$H$33</f>
        <v>0</v>
      </c>
      <c r="D222" s="40">
        <f>D18*Tabulação!$H$33</f>
        <v>0</v>
      </c>
      <c r="E222" s="40">
        <f>E18*Tabulação!$H$33</f>
        <v>0</v>
      </c>
      <c r="F222" s="40">
        <f>F18*Tabulação!$H$33</f>
        <v>0</v>
      </c>
      <c r="G222" s="40">
        <f>G18*Tabulação!$H$33</f>
        <v>0</v>
      </c>
      <c r="H222" s="40">
        <f>H18*Tabulação!$H$33</f>
        <v>0</v>
      </c>
      <c r="I222" s="40">
        <f>I18*Tabulação!$H$33</f>
        <v>0</v>
      </c>
      <c r="J222" s="40">
        <f>J18*Tabulação!$H$33</f>
        <v>0</v>
      </c>
      <c r="K222" s="40">
        <f>K18*Tabulação!$H$33</f>
        <v>0</v>
      </c>
      <c r="L222" s="40">
        <f>L18*Tabulação!$H$33</f>
        <v>0</v>
      </c>
      <c r="M222" s="40">
        <f>M18*Tabulação!$H$33</f>
        <v>0</v>
      </c>
      <c r="N222" s="40">
        <f>N18*Tabulação!$H$33</f>
        <v>0</v>
      </c>
      <c r="O222" s="41">
        <f>O18*Tabulação!$H$33</f>
        <v>0</v>
      </c>
      <c r="P222" s="41">
        <f t="shared" si="93"/>
        <v>0</v>
      </c>
    </row>
    <row r="223" spans="1:16" ht="30" hidden="1" customHeight="1" outlineLevel="1" thickBot="1" x14ac:dyDescent="0.3">
      <c r="A223" s="39" t="str">
        <f t="shared" si="91"/>
        <v/>
      </c>
      <c r="B223" s="39" t="str">
        <f t="shared" si="92"/>
        <v/>
      </c>
      <c r="C223" s="40">
        <f>C19*Tabulação!$H$33</f>
        <v>0</v>
      </c>
      <c r="D223" s="40">
        <f>D19*Tabulação!$H$33</f>
        <v>0</v>
      </c>
      <c r="E223" s="40">
        <f>E19*Tabulação!$H$33</f>
        <v>0</v>
      </c>
      <c r="F223" s="40">
        <f>F19*Tabulação!$H$33</f>
        <v>0</v>
      </c>
      <c r="G223" s="40">
        <f>G19*Tabulação!$H$33</f>
        <v>0</v>
      </c>
      <c r="H223" s="40">
        <f>H19*Tabulação!$H$33</f>
        <v>0</v>
      </c>
      <c r="I223" s="40">
        <f>I19*Tabulação!$H$33</f>
        <v>0</v>
      </c>
      <c r="J223" s="40">
        <f>J19*Tabulação!$H$33</f>
        <v>0</v>
      </c>
      <c r="K223" s="40">
        <f>K19*Tabulação!$H$33</f>
        <v>0</v>
      </c>
      <c r="L223" s="40">
        <f>L19*Tabulação!$H$33</f>
        <v>0</v>
      </c>
      <c r="M223" s="40">
        <f>M19*Tabulação!$H$33</f>
        <v>0</v>
      </c>
      <c r="N223" s="40">
        <f>N19*Tabulação!$H$33</f>
        <v>0</v>
      </c>
      <c r="O223" s="41">
        <f>O19*Tabulação!$H$33</f>
        <v>0</v>
      </c>
      <c r="P223" s="41">
        <f t="shared" si="93"/>
        <v>0</v>
      </c>
    </row>
    <row r="224" spans="1:16" ht="30" hidden="1" customHeight="1" outlineLevel="1" thickBot="1" x14ac:dyDescent="0.3">
      <c r="A224" s="39" t="str">
        <f t="shared" si="91"/>
        <v/>
      </c>
      <c r="B224" s="39" t="str">
        <f t="shared" si="92"/>
        <v/>
      </c>
      <c r="C224" s="40">
        <f>C20*Tabulação!$H$33</f>
        <v>0</v>
      </c>
      <c r="D224" s="40">
        <f>D20*Tabulação!$H$33</f>
        <v>0</v>
      </c>
      <c r="E224" s="40">
        <f>E20*Tabulação!$H$33</f>
        <v>0</v>
      </c>
      <c r="F224" s="40">
        <f>F20*Tabulação!$H$33</f>
        <v>0</v>
      </c>
      <c r="G224" s="40">
        <f>G20*Tabulação!$H$33</f>
        <v>0</v>
      </c>
      <c r="H224" s="40">
        <f>H20*Tabulação!$H$33</f>
        <v>0</v>
      </c>
      <c r="I224" s="40">
        <f>I20*Tabulação!$H$33</f>
        <v>0</v>
      </c>
      <c r="J224" s="40">
        <f>J20*Tabulação!$H$33</f>
        <v>0</v>
      </c>
      <c r="K224" s="40">
        <f>K20*Tabulação!$H$33</f>
        <v>0</v>
      </c>
      <c r="L224" s="40">
        <f>L20*Tabulação!$H$33</f>
        <v>0</v>
      </c>
      <c r="M224" s="40">
        <f>M20*Tabulação!$H$33</f>
        <v>0</v>
      </c>
      <c r="N224" s="40">
        <f>N20*Tabulação!$H$33</f>
        <v>0</v>
      </c>
      <c r="O224" s="41">
        <f>O20*Tabulação!$H$33</f>
        <v>0</v>
      </c>
      <c r="P224" s="41">
        <f t="shared" ref="P224:P240" si="94">SUM(C224:N224)</f>
        <v>0</v>
      </c>
    </row>
    <row r="225" spans="1:16" ht="30" hidden="1" customHeight="1" outlineLevel="1" thickBot="1" x14ac:dyDescent="0.3">
      <c r="A225" s="39" t="str">
        <f t="shared" si="91"/>
        <v/>
      </c>
      <c r="B225" s="39" t="str">
        <f t="shared" si="92"/>
        <v/>
      </c>
      <c r="C225" s="40">
        <f>C21*Tabulação!$H$33</f>
        <v>0</v>
      </c>
      <c r="D225" s="40">
        <f>D21*Tabulação!$H$33</f>
        <v>0</v>
      </c>
      <c r="E225" s="40">
        <f>E21*Tabulação!$H$33</f>
        <v>0</v>
      </c>
      <c r="F225" s="40">
        <f>F21*Tabulação!$H$33</f>
        <v>0</v>
      </c>
      <c r="G225" s="40">
        <f>G21*Tabulação!$H$33</f>
        <v>0</v>
      </c>
      <c r="H225" s="40">
        <f>H21*Tabulação!$H$33</f>
        <v>0</v>
      </c>
      <c r="I225" s="40">
        <f>I21*Tabulação!$H$33</f>
        <v>0</v>
      </c>
      <c r="J225" s="40">
        <f>J21*Tabulação!$H$33</f>
        <v>0</v>
      </c>
      <c r="K225" s="40">
        <f>K21*Tabulação!$H$33</f>
        <v>0</v>
      </c>
      <c r="L225" s="40">
        <f>L21*Tabulação!$H$33</f>
        <v>0</v>
      </c>
      <c r="M225" s="40">
        <f>M21*Tabulação!$H$33</f>
        <v>0</v>
      </c>
      <c r="N225" s="40">
        <f>N21*Tabulação!$H$33</f>
        <v>0</v>
      </c>
      <c r="O225" s="41">
        <f>O21*Tabulação!$H$33</f>
        <v>0</v>
      </c>
      <c r="P225" s="41">
        <f t="shared" si="94"/>
        <v>0</v>
      </c>
    </row>
    <row r="226" spans="1:16" ht="30" hidden="1" customHeight="1" outlineLevel="1" thickBot="1" x14ac:dyDescent="0.3">
      <c r="A226" s="39" t="str">
        <f t="shared" si="91"/>
        <v/>
      </c>
      <c r="B226" s="39" t="str">
        <f t="shared" si="92"/>
        <v/>
      </c>
      <c r="C226" s="40">
        <f>C22*Tabulação!$H$33</f>
        <v>0</v>
      </c>
      <c r="D226" s="40">
        <f>D22*Tabulação!$H$33</f>
        <v>0</v>
      </c>
      <c r="E226" s="40">
        <f>E22*Tabulação!$H$33</f>
        <v>0</v>
      </c>
      <c r="F226" s="40">
        <f>F22*Tabulação!$H$33</f>
        <v>0</v>
      </c>
      <c r="G226" s="40">
        <f>G22*Tabulação!$H$33</f>
        <v>0</v>
      </c>
      <c r="H226" s="40">
        <f>H22*Tabulação!$H$33</f>
        <v>0</v>
      </c>
      <c r="I226" s="40">
        <f>I22*Tabulação!$H$33</f>
        <v>0</v>
      </c>
      <c r="J226" s="40">
        <f>J22*Tabulação!$H$33</f>
        <v>0</v>
      </c>
      <c r="K226" s="40">
        <f>K22*Tabulação!$H$33</f>
        <v>0</v>
      </c>
      <c r="L226" s="40">
        <f>L22*Tabulação!$H$33</f>
        <v>0</v>
      </c>
      <c r="M226" s="40">
        <f>M22*Tabulação!$H$33</f>
        <v>0</v>
      </c>
      <c r="N226" s="40">
        <f>N22*Tabulação!$H$33</f>
        <v>0</v>
      </c>
      <c r="O226" s="41">
        <f>O22*Tabulação!$H$33</f>
        <v>0</v>
      </c>
      <c r="P226" s="41">
        <f t="shared" si="94"/>
        <v>0</v>
      </c>
    </row>
    <row r="227" spans="1:16" ht="30" hidden="1" customHeight="1" outlineLevel="1" thickBot="1" x14ac:dyDescent="0.3">
      <c r="A227" s="39" t="str">
        <f t="shared" si="91"/>
        <v/>
      </c>
      <c r="B227" s="39" t="str">
        <f t="shared" si="92"/>
        <v/>
      </c>
      <c r="C227" s="40">
        <f>C23*Tabulação!$H$33</f>
        <v>0</v>
      </c>
      <c r="D227" s="40">
        <f>D23*Tabulação!$H$33</f>
        <v>0</v>
      </c>
      <c r="E227" s="40">
        <f>E23*Tabulação!$H$33</f>
        <v>0</v>
      </c>
      <c r="F227" s="40">
        <f>F23*Tabulação!$H$33</f>
        <v>0</v>
      </c>
      <c r="G227" s="40">
        <f>G23*Tabulação!$H$33</f>
        <v>0</v>
      </c>
      <c r="H227" s="40">
        <f>H23*Tabulação!$H$33</f>
        <v>0</v>
      </c>
      <c r="I227" s="40">
        <f>I23*Tabulação!$H$33</f>
        <v>0</v>
      </c>
      <c r="J227" s="40">
        <f>J23*Tabulação!$H$33</f>
        <v>0</v>
      </c>
      <c r="K227" s="40">
        <f>K23*Tabulação!$H$33</f>
        <v>0</v>
      </c>
      <c r="L227" s="40">
        <f>L23*Tabulação!$H$33</f>
        <v>0</v>
      </c>
      <c r="M227" s="40">
        <f>M23*Tabulação!$H$33</f>
        <v>0</v>
      </c>
      <c r="N227" s="40">
        <f>N23*Tabulação!$H$33</f>
        <v>0</v>
      </c>
      <c r="O227" s="41">
        <f>O23*Tabulação!$H$33</f>
        <v>0</v>
      </c>
      <c r="P227" s="41">
        <f t="shared" si="94"/>
        <v>0</v>
      </c>
    </row>
    <row r="228" spans="1:16" ht="30" hidden="1" customHeight="1" outlineLevel="1" thickBot="1" x14ac:dyDescent="0.3">
      <c r="A228" s="39" t="str">
        <f t="shared" si="91"/>
        <v/>
      </c>
      <c r="B228" s="39" t="str">
        <f t="shared" si="92"/>
        <v/>
      </c>
      <c r="C228" s="40">
        <f>C24*Tabulação!$H$33</f>
        <v>0</v>
      </c>
      <c r="D228" s="40">
        <f>D24*Tabulação!$H$33</f>
        <v>0</v>
      </c>
      <c r="E228" s="40">
        <f>E24*Tabulação!$H$33</f>
        <v>0</v>
      </c>
      <c r="F228" s="40">
        <f>F24*Tabulação!$H$33</f>
        <v>0</v>
      </c>
      <c r="G228" s="40">
        <f>G24*Tabulação!$H$33</f>
        <v>0</v>
      </c>
      <c r="H228" s="40">
        <f>H24*Tabulação!$H$33</f>
        <v>0</v>
      </c>
      <c r="I228" s="40">
        <f>I24*Tabulação!$H$33</f>
        <v>0</v>
      </c>
      <c r="J228" s="40">
        <f>J24*Tabulação!$H$33</f>
        <v>0</v>
      </c>
      <c r="K228" s="40">
        <f>K24*Tabulação!$H$33</f>
        <v>0</v>
      </c>
      <c r="L228" s="40">
        <f>L24*Tabulação!$H$33</f>
        <v>0</v>
      </c>
      <c r="M228" s="40">
        <f>M24*Tabulação!$H$33</f>
        <v>0</v>
      </c>
      <c r="N228" s="40">
        <f>N24*Tabulação!$H$33</f>
        <v>0</v>
      </c>
      <c r="O228" s="41">
        <f>O24*Tabulação!$H$33</f>
        <v>0</v>
      </c>
      <c r="P228" s="41">
        <f t="shared" si="94"/>
        <v>0</v>
      </c>
    </row>
    <row r="229" spans="1:16" ht="30" hidden="1" customHeight="1" outlineLevel="1" thickBot="1" x14ac:dyDescent="0.3">
      <c r="A229" s="39" t="str">
        <f t="shared" si="91"/>
        <v/>
      </c>
      <c r="B229" s="39" t="str">
        <f t="shared" si="92"/>
        <v/>
      </c>
      <c r="C229" s="40">
        <f>C25*Tabulação!$H$33</f>
        <v>0</v>
      </c>
      <c r="D229" s="40">
        <f>D25*Tabulação!$H$33</f>
        <v>0</v>
      </c>
      <c r="E229" s="40">
        <f>E25*Tabulação!$H$33</f>
        <v>0</v>
      </c>
      <c r="F229" s="40">
        <f>F25*Tabulação!$H$33</f>
        <v>0</v>
      </c>
      <c r="G229" s="40">
        <f>G25*Tabulação!$H$33</f>
        <v>0</v>
      </c>
      <c r="H229" s="40">
        <f>H25*Tabulação!$H$33</f>
        <v>0</v>
      </c>
      <c r="I229" s="40">
        <f>I25*Tabulação!$H$33</f>
        <v>0</v>
      </c>
      <c r="J229" s="40">
        <f>J25*Tabulação!$H$33</f>
        <v>0</v>
      </c>
      <c r="K229" s="40">
        <f>K25*Tabulação!$H$33</f>
        <v>0</v>
      </c>
      <c r="L229" s="40">
        <f>L25*Tabulação!$H$33</f>
        <v>0</v>
      </c>
      <c r="M229" s="40">
        <f>M25*Tabulação!$H$33</f>
        <v>0</v>
      </c>
      <c r="N229" s="40">
        <f>N25*Tabulação!$H$33</f>
        <v>0</v>
      </c>
      <c r="O229" s="41">
        <f>O25*Tabulação!$H$33</f>
        <v>0</v>
      </c>
      <c r="P229" s="41">
        <f t="shared" si="94"/>
        <v>0</v>
      </c>
    </row>
    <row r="230" spans="1:16" ht="30" hidden="1" customHeight="1" outlineLevel="1" thickBot="1" x14ac:dyDescent="0.3">
      <c r="A230" s="39" t="str">
        <f t="shared" si="91"/>
        <v/>
      </c>
      <c r="B230" s="39" t="str">
        <f t="shared" si="92"/>
        <v/>
      </c>
      <c r="C230" s="40">
        <f>C26*Tabulação!$H$33</f>
        <v>0</v>
      </c>
      <c r="D230" s="40">
        <f>D26*Tabulação!$H$33</f>
        <v>0</v>
      </c>
      <c r="E230" s="40">
        <f>E26*Tabulação!$H$33</f>
        <v>0</v>
      </c>
      <c r="F230" s="40">
        <f>F26*Tabulação!$H$33</f>
        <v>0</v>
      </c>
      <c r="G230" s="40">
        <f>G26*Tabulação!$H$33</f>
        <v>0</v>
      </c>
      <c r="H230" s="40">
        <f>H26*Tabulação!$H$33</f>
        <v>0</v>
      </c>
      <c r="I230" s="40">
        <f>I26*Tabulação!$H$33</f>
        <v>0</v>
      </c>
      <c r="J230" s="40">
        <f>J26*Tabulação!$H$33</f>
        <v>0</v>
      </c>
      <c r="K230" s="40">
        <f>K26*Tabulação!$H$33</f>
        <v>0</v>
      </c>
      <c r="L230" s="40">
        <f>L26*Tabulação!$H$33</f>
        <v>0</v>
      </c>
      <c r="M230" s="40">
        <f>M26*Tabulação!$H$33</f>
        <v>0</v>
      </c>
      <c r="N230" s="40">
        <f>N26*Tabulação!$H$33</f>
        <v>0</v>
      </c>
      <c r="O230" s="41">
        <f>O26*Tabulação!$H$33</f>
        <v>0</v>
      </c>
      <c r="P230" s="41">
        <f t="shared" si="94"/>
        <v>0</v>
      </c>
    </row>
    <row r="231" spans="1:16" ht="30" hidden="1" customHeight="1" outlineLevel="1" thickBot="1" x14ac:dyDescent="0.3">
      <c r="A231" s="39" t="str">
        <f t="shared" si="91"/>
        <v/>
      </c>
      <c r="B231" s="39" t="str">
        <f t="shared" si="92"/>
        <v/>
      </c>
      <c r="C231" s="40">
        <f>C27*Tabulação!$H$33</f>
        <v>0</v>
      </c>
      <c r="D231" s="40">
        <f>D27*Tabulação!$H$33</f>
        <v>0</v>
      </c>
      <c r="E231" s="40">
        <f>E27*Tabulação!$H$33</f>
        <v>0</v>
      </c>
      <c r="F231" s="40">
        <f>F27*Tabulação!$H$33</f>
        <v>0</v>
      </c>
      <c r="G231" s="40">
        <f>G27*Tabulação!$H$33</f>
        <v>0</v>
      </c>
      <c r="H231" s="40">
        <f>H27*Tabulação!$H$33</f>
        <v>0</v>
      </c>
      <c r="I231" s="40">
        <f>I27*Tabulação!$H$33</f>
        <v>0</v>
      </c>
      <c r="J231" s="40">
        <f>J27*Tabulação!$H$33</f>
        <v>0</v>
      </c>
      <c r="K231" s="40">
        <f>K27*Tabulação!$H$33</f>
        <v>0</v>
      </c>
      <c r="L231" s="40">
        <f>L27*Tabulação!$H$33</f>
        <v>0</v>
      </c>
      <c r="M231" s="40">
        <f>M27*Tabulação!$H$33</f>
        <v>0</v>
      </c>
      <c r="N231" s="40">
        <f>N27*Tabulação!$H$33</f>
        <v>0</v>
      </c>
      <c r="O231" s="41">
        <f>O27*Tabulação!$H$33</f>
        <v>0</v>
      </c>
      <c r="P231" s="41">
        <f t="shared" si="94"/>
        <v>0</v>
      </c>
    </row>
    <row r="232" spans="1:16" ht="30" hidden="1" customHeight="1" outlineLevel="1" thickBot="1" x14ac:dyDescent="0.3">
      <c r="A232" s="39" t="str">
        <f>IF($A164="","",$A164)</f>
        <v/>
      </c>
      <c r="B232" s="39" t="str">
        <f>IF($B164="","",$B164)</f>
        <v/>
      </c>
      <c r="C232" s="40">
        <f>C28*Tabulação!$H$33</f>
        <v>0</v>
      </c>
      <c r="D232" s="40">
        <f>D28*Tabulação!$H$33</f>
        <v>0</v>
      </c>
      <c r="E232" s="40">
        <f>E28*Tabulação!$H$33</f>
        <v>0</v>
      </c>
      <c r="F232" s="40">
        <f>F28*Tabulação!$H$33</f>
        <v>0</v>
      </c>
      <c r="G232" s="40">
        <f>G28*Tabulação!$H$33</f>
        <v>0</v>
      </c>
      <c r="H232" s="40">
        <f>H28*Tabulação!$H$33</f>
        <v>0</v>
      </c>
      <c r="I232" s="40">
        <f>I28*Tabulação!$H$33</f>
        <v>0</v>
      </c>
      <c r="J232" s="40">
        <f>J28*Tabulação!$H$33</f>
        <v>0</v>
      </c>
      <c r="K232" s="40">
        <f>K28*Tabulação!$H$33</f>
        <v>0</v>
      </c>
      <c r="L232" s="40">
        <f>L28*Tabulação!$H$33</f>
        <v>0</v>
      </c>
      <c r="M232" s="40">
        <f>M28*Tabulação!$H$33</f>
        <v>0</v>
      </c>
      <c r="N232" s="40">
        <f>N28*Tabulação!$H$33</f>
        <v>0</v>
      </c>
      <c r="O232" s="41">
        <f>O28*Tabulação!$H$33</f>
        <v>0</v>
      </c>
      <c r="P232" s="41">
        <f t="shared" si="94"/>
        <v>0</v>
      </c>
    </row>
    <row r="233" spans="1:16" ht="30" hidden="1" customHeight="1" outlineLevel="1" thickBot="1" x14ac:dyDescent="0.3">
      <c r="A233" s="39" t="str">
        <f t="shared" si="91"/>
        <v/>
      </c>
      <c r="B233" s="39" t="str">
        <f t="shared" si="92"/>
        <v/>
      </c>
      <c r="C233" s="40">
        <f>C29*Tabulação!$H$33</f>
        <v>0</v>
      </c>
      <c r="D233" s="40">
        <f>D29*Tabulação!$H$33</f>
        <v>0</v>
      </c>
      <c r="E233" s="40">
        <f>E29*Tabulação!$H$33</f>
        <v>0</v>
      </c>
      <c r="F233" s="40">
        <f>F29*Tabulação!$H$33</f>
        <v>0</v>
      </c>
      <c r="G233" s="40">
        <f>G29*Tabulação!$H$33</f>
        <v>0</v>
      </c>
      <c r="H233" s="40">
        <f>H29*Tabulação!$H$33</f>
        <v>0</v>
      </c>
      <c r="I233" s="40">
        <f>I29*Tabulação!$H$33</f>
        <v>0</v>
      </c>
      <c r="J233" s="40">
        <f>J29*Tabulação!$H$33</f>
        <v>0</v>
      </c>
      <c r="K233" s="40">
        <f>K29*Tabulação!$H$33</f>
        <v>0</v>
      </c>
      <c r="L233" s="40">
        <f>L29*Tabulação!$H$33</f>
        <v>0</v>
      </c>
      <c r="M233" s="40">
        <f>M29*Tabulação!$H$33</f>
        <v>0</v>
      </c>
      <c r="N233" s="40">
        <f>N29*Tabulação!$H$33</f>
        <v>0</v>
      </c>
      <c r="O233" s="41">
        <f>O29*Tabulação!$H$33</f>
        <v>0</v>
      </c>
      <c r="P233" s="41">
        <f t="shared" si="94"/>
        <v>0</v>
      </c>
    </row>
    <row r="234" spans="1:16" ht="30" hidden="1" customHeight="1" outlineLevel="1" thickBot="1" x14ac:dyDescent="0.3">
      <c r="A234" s="39" t="str">
        <f t="shared" si="91"/>
        <v/>
      </c>
      <c r="B234" s="39" t="str">
        <f t="shared" si="92"/>
        <v/>
      </c>
      <c r="C234" s="40">
        <f>C30*Tabulação!$H$33</f>
        <v>0</v>
      </c>
      <c r="D234" s="40">
        <f>D30*Tabulação!$H$33</f>
        <v>0</v>
      </c>
      <c r="E234" s="40">
        <f>E30*Tabulação!$H$33</f>
        <v>0</v>
      </c>
      <c r="F234" s="40">
        <f>F30*Tabulação!$H$33</f>
        <v>0</v>
      </c>
      <c r="G234" s="40">
        <f>G30*Tabulação!$H$33</f>
        <v>0</v>
      </c>
      <c r="H234" s="40">
        <f>H30*Tabulação!$H$33</f>
        <v>0</v>
      </c>
      <c r="I234" s="40">
        <f>I30*Tabulação!$H$33</f>
        <v>0</v>
      </c>
      <c r="J234" s="40">
        <f>J30*Tabulação!$H$33</f>
        <v>0</v>
      </c>
      <c r="K234" s="40">
        <f>K30*Tabulação!$H$33</f>
        <v>0</v>
      </c>
      <c r="L234" s="40">
        <f>L30*Tabulação!$H$33</f>
        <v>0</v>
      </c>
      <c r="M234" s="40">
        <f>M30*Tabulação!$H$33</f>
        <v>0</v>
      </c>
      <c r="N234" s="40">
        <f>N30*Tabulação!$H$33</f>
        <v>0</v>
      </c>
      <c r="O234" s="41">
        <f>O30*Tabulação!$H$33</f>
        <v>0</v>
      </c>
      <c r="P234" s="41">
        <f t="shared" si="94"/>
        <v>0</v>
      </c>
    </row>
    <row r="235" spans="1:16" ht="30" hidden="1" customHeight="1" outlineLevel="1" thickBot="1" x14ac:dyDescent="0.3">
      <c r="A235" s="39" t="str">
        <f t="shared" si="91"/>
        <v/>
      </c>
      <c r="B235" s="39" t="str">
        <f t="shared" si="92"/>
        <v/>
      </c>
      <c r="C235" s="40">
        <f>C31*Tabulação!$H$33</f>
        <v>0</v>
      </c>
      <c r="D235" s="40">
        <f>D31*Tabulação!$H$33</f>
        <v>0</v>
      </c>
      <c r="E235" s="40">
        <f>E31*Tabulação!$H$33</f>
        <v>0</v>
      </c>
      <c r="F235" s="40">
        <f>F31*Tabulação!$H$33</f>
        <v>0</v>
      </c>
      <c r="G235" s="40">
        <f>G31*Tabulação!$H$33</f>
        <v>0</v>
      </c>
      <c r="H235" s="40">
        <f>H31*Tabulação!$H$33</f>
        <v>0</v>
      </c>
      <c r="I235" s="40">
        <f>I31*Tabulação!$H$33</f>
        <v>0</v>
      </c>
      <c r="J235" s="40">
        <f>J31*Tabulação!$H$33</f>
        <v>0</v>
      </c>
      <c r="K235" s="40">
        <f>K31*Tabulação!$H$33</f>
        <v>0</v>
      </c>
      <c r="L235" s="40">
        <f>L31*Tabulação!$H$33</f>
        <v>0</v>
      </c>
      <c r="M235" s="40">
        <f>M31*Tabulação!$H$33</f>
        <v>0</v>
      </c>
      <c r="N235" s="40">
        <f>N31*Tabulação!$H$33</f>
        <v>0</v>
      </c>
      <c r="O235" s="41">
        <f>O31*Tabulação!$H$33</f>
        <v>0</v>
      </c>
      <c r="P235" s="41">
        <f t="shared" si="94"/>
        <v>0</v>
      </c>
    </row>
    <row r="236" spans="1:16" ht="30" hidden="1" customHeight="1" outlineLevel="1" thickBot="1" x14ac:dyDescent="0.3">
      <c r="A236" s="39" t="str">
        <f t="shared" si="91"/>
        <v/>
      </c>
      <c r="B236" s="39" t="str">
        <f t="shared" si="92"/>
        <v/>
      </c>
      <c r="C236" s="40">
        <f>C32*Tabulação!$H$33</f>
        <v>0</v>
      </c>
      <c r="D236" s="40">
        <f>D32*Tabulação!$H$33</f>
        <v>0</v>
      </c>
      <c r="E236" s="40">
        <f>E32*Tabulação!$H$33</f>
        <v>0</v>
      </c>
      <c r="F236" s="40">
        <f>F32*Tabulação!$H$33</f>
        <v>0</v>
      </c>
      <c r="G236" s="40">
        <f>G32*Tabulação!$H$33</f>
        <v>0</v>
      </c>
      <c r="H236" s="40">
        <f>H32*Tabulação!$H$33</f>
        <v>0</v>
      </c>
      <c r="I236" s="40">
        <f>I32*Tabulação!$H$33</f>
        <v>0</v>
      </c>
      <c r="J236" s="40">
        <f>J32*Tabulação!$H$33</f>
        <v>0</v>
      </c>
      <c r="K236" s="40">
        <f>K32*Tabulação!$H$33</f>
        <v>0</v>
      </c>
      <c r="L236" s="40">
        <f>L32*Tabulação!$H$33</f>
        <v>0</v>
      </c>
      <c r="M236" s="40">
        <f>M32*Tabulação!$H$33</f>
        <v>0</v>
      </c>
      <c r="N236" s="40">
        <f>N32*Tabulação!$H$33</f>
        <v>0</v>
      </c>
      <c r="O236" s="41">
        <f>O32*Tabulação!$H$33</f>
        <v>0</v>
      </c>
      <c r="P236" s="41">
        <f t="shared" si="94"/>
        <v>0</v>
      </c>
    </row>
    <row r="237" spans="1:16" ht="30" hidden="1" customHeight="1" outlineLevel="1" thickBot="1" x14ac:dyDescent="0.3">
      <c r="A237" s="39" t="str">
        <f>IF($A169="","",$A169)</f>
        <v/>
      </c>
      <c r="B237" s="39" t="str">
        <f>IF($B169="","",$B169)</f>
        <v/>
      </c>
      <c r="C237" s="40">
        <f>C33*Tabulação!$H$33</f>
        <v>0</v>
      </c>
      <c r="D237" s="40">
        <f>D33*Tabulação!$H$33</f>
        <v>0</v>
      </c>
      <c r="E237" s="40">
        <f>E33*Tabulação!$H$33</f>
        <v>0</v>
      </c>
      <c r="F237" s="40">
        <f>F33*Tabulação!$H$33</f>
        <v>0</v>
      </c>
      <c r="G237" s="40">
        <f>G33*Tabulação!$H$33</f>
        <v>0</v>
      </c>
      <c r="H237" s="40">
        <f>H33*Tabulação!$H$33</f>
        <v>0</v>
      </c>
      <c r="I237" s="40">
        <f>I33*Tabulação!$H$33</f>
        <v>0</v>
      </c>
      <c r="J237" s="40">
        <f>J33*Tabulação!$H$33</f>
        <v>0</v>
      </c>
      <c r="K237" s="40">
        <f>K33*Tabulação!$H$33</f>
        <v>0</v>
      </c>
      <c r="L237" s="40">
        <f>L33*Tabulação!$H$33</f>
        <v>0</v>
      </c>
      <c r="M237" s="40">
        <f>M33*Tabulação!$H$33</f>
        <v>0</v>
      </c>
      <c r="N237" s="40">
        <f>N33*Tabulação!$H$33</f>
        <v>0</v>
      </c>
      <c r="O237" s="41">
        <f>O33*Tabulação!$H$33</f>
        <v>0</v>
      </c>
      <c r="P237" s="41">
        <f t="shared" si="94"/>
        <v>0</v>
      </c>
    </row>
    <row r="238" spans="1:16" ht="30" hidden="1" customHeight="1" outlineLevel="1" thickBot="1" x14ac:dyDescent="0.3">
      <c r="A238" s="39" t="str">
        <f t="shared" si="91"/>
        <v/>
      </c>
      <c r="B238" s="39" t="str">
        <f t="shared" si="92"/>
        <v/>
      </c>
      <c r="C238" s="40">
        <f>C34*Tabulação!$H$33</f>
        <v>0</v>
      </c>
      <c r="D238" s="40">
        <f>D34*Tabulação!$H$33</f>
        <v>0</v>
      </c>
      <c r="E238" s="40">
        <f>E34*Tabulação!$H$33</f>
        <v>0</v>
      </c>
      <c r="F238" s="40">
        <f>F34*Tabulação!$H$33</f>
        <v>0</v>
      </c>
      <c r="G238" s="40">
        <f>G34*Tabulação!$H$33</f>
        <v>0</v>
      </c>
      <c r="H238" s="40">
        <f>H34*Tabulação!$H$33</f>
        <v>0</v>
      </c>
      <c r="I238" s="40">
        <f>I34*Tabulação!$H$33</f>
        <v>0</v>
      </c>
      <c r="J238" s="40">
        <f>J34*Tabulação!$H$33</f>
        <v>0</v>
      </c>
      <c r="K238" s="40">
        <f>K34*Tabulação!$H$33</f>
        <v>0</v>
      </c>
      <c r="L238" s="40">
        <f>L34*Tabulação!$H$33</f>
        <v>0</v>
      </c>
      <c r="M238" s="40">
        <f>M34*Tabulação!$H$33</f>
        <v>0</v>
      </c>
      <c r="N238" s="40">
        <f>N34*Tabulação!$H$33</f>
        <v>0</v>
      </c>
      <c r="O238" s="41">
        <f>O34*Tabulação!$H$33</f>
        <v>0</v>
      </c>
      <c r="P238" s="41">
        <f t="shared" si="94"/>
        <v>0</v>
      </c>
    </row>
    <row r="239" spans="1:16" ht="30" hidden="1" customHeight="1" outlineLevel="1" thickBot="1" x14ac:dyDescent="0.3">
      <c r="A239" s="39" t="str">
        <f>IF($A171="","",$A171)</f>
        <v/>
      </c>
      <c r="B239" s="39" t="str">
        <f>IF($B171="","",$B171)</f>
        <v/>
      </c>
      <c r="C239" s="40">
        <f>C35*Tabulação!$H$33</f>
        <v>0</v>
      </c>
      <c r="D239" s="40">
        <f>D35*Tabulação!$H$33</f>
        <v>0</v>
      </c>
      <c r="E239" s="40">
        <f>E35*Tabulação!$H$33</f>
        <v>0</v>
      </c>
      <c r="F239" s="40">
        <f>F35*Tabulação!$H$33</f>
        <v>0</v>
      </c>
      <c r="G239" s="40">
        <f>G35*Tabulação!$H$33</f>
        <v>0</v>
      </c>
      <c r="H239" s="40">
        <f>H35*Tabulação!$H$33</f>
        <v>0</v>
      </c>
      <c r="I239" s="40">
        <f>I35*Tabulação!$H$33</f>
        <v>0</v>
      </c>
      <c r="J239" s="40">
        <f>J35*Tabulação!$H$33</f>
        <v>0</v>
      </c>
      <c r="K239" s="40">
        <f>K35*Tabulação!$H$33</f>
        <v>0</v>
      </c>
      <c r="L239" s="40">
        <f>L35*Tabulação!$H$33</f>
        <v>0</v>
      </c>
      <c r="M239" s="40">
        <f>M35*Tabulação!$H$33</f>
        <v>0</v>
      </c>
      <c r="N239" s="40">
        <f>N35*Tabulação!$H$33</f>
        <v>0</v>
      </c>
      <c r="O239" s="41">
        <f>O35*Tabulação!$H$33</f>
        <v>0</v>
      </c>
      <c r="P239" s="41">
        <f t="shared" si="94"/>
        <v>0</v>
      </c>
    </row>
    <row r="240" spans="1:16" ht="30" hidden="1" customHeight="1" outlineLevel="1" thickBot="1" x14ac:dyDescent="0.3">
      <c r="A240" s="39" t="str">
        <f>IF($A172="","",$A172)</f>
        <v/>
      </c>
      <c r="B240" s="39" t="str">
        <f>IF($B172="","",$B172)</f>
        <v/>
      </c>
      <c r="C240" s="40">
        <f>C36*Tabulação!$H$33</f>
        <v>0</v>
      </c>
      <c r="D240" s="40">
        <f>D36*Tabulação!$H$33</f>
        <v>0</v>
      </c>
      <c r="E240" s="40">
        <f>E36*Tabulação!$H$33</f>
        <v>0</v>
      </c>
      <c r="F240" s="40">
        <f>F36*Tabulação!$H$33</f>
        <v>0</v>
      </c>
      <c r="G240" s="40">
        <f>G36*Tabulação!$H$33</f>
        <v>0</v>
      </c>
      <c r="H240" s="40">
        <f>H36*Tabulação!$H$33</f>
        <v>0</v>
      </c>
      <c r="I240" s="40">
        <f>I36*Tabulação!$H$33</f>
        <v>0</v>
      </c>
      <c r="J240" s="40">
        <f>J36*Tabulação!$H$33</f>
        <v>0</v>
      </c>
      <c r="K240" s="40">
        <f>K36*Tabulação!$H$33</f>
        <v>0</v>
      </c>
      <c r="L240" s="40">
        <f>L36*Tabulação!$H$33</f>
        <v>0</v>
      </c>
      <c r="M240" s="40">
        <f>M36*Tabulação!$H$33</f>
        <v>0</v>
      </c>
      <c r="N240" s="40">
        <f>N36*Tabulação!$H$33</f>
        <v>0</v>
      </c>
      <c r="O240" s="41">
        <f>O36*Tabulação!$H$33</f>
        <v>0</v>
      </c>
      <c r="P240" s="41">
        <f t="shared" si="94"/>
        <v>0</v>
      </c>
    </row>
    <row r="241" spans="1:16" ht="30" customHeight="1" collapsed="1" thickBot="1" x14ac:dyDescent="0.3">
      <c r="A241" s="61" t="s">
        <v>36</v>
      </c>
      <c r="B241" s="61"/>
      <c r="C241" s="42">
        <f t="shared" ref="C241:P241" si="95">SUM(C210:C240)</f>
        <v>0</v>
      </c>
      <c r="D241" s="42">
        <f t="shared" si="95"/>
        <v>0</v>
      </c>
      <c r="E241" s="42">
        <f t="shared" si="95"/>
        <v>0</v>
      </c>
      <c r="F241" s="42">
        <f t="shared" si="95"/>
        <v>0</v>
      </c>
      <c r="G241" s="42">
        <f t="shared" si="95"/>
        <v>0</v>
      </c>
      <c r="H241" s="42">
        <f t="shared" si="95"/>
        <v>0</v>
      </c>
      <c r="I241" s="42">
        <f t="shared" si="95"/>
        <v>0</v>
      </c>
      <c r="J241" s="42">
        <f t="shared" si="95"/>
        <v>0</v>
      </c>
      <c r="K241" s="42">
        <f t="shared" si="95"/>
        <v>0</v>
      </c>
      <c r="L241" s="42">
        <f t="shared" si="95"/>
        <v>0</v>
      </c>
      <c r="M241" s="42">
        <f t="shared" si="95"/>
        <v>0</v>
      </c>
      <c r="N241" s="42">
        <f t="shared" si="95"/>
        <v>0</v>
      </c>
      <c r="O241" s="42">
        <f t="shared" si="95"/>
        <v>0</v>
      </c>
      <c r="P241" s="42">
        <f t="shared" si="95"/>
        <v>0</v>
      </c>
    </row>
    <row r="242" spans="1:16" ht="30" customHeight="1" thickBot="1" x14ac:dyDescent="0.3"/>
    <row r="243" spans="1:16" ht="30" customHeight="1" thickBot="1" x14ac:dyDescent="0.3">
      <c r="A243" s="60" t="s">
        <v>43</v>
      </c>
      <c r="B243" s="60"/>
      <c r="C243" s="62" t="s">
        <v>43</v>
      </c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</row>
    <row r="244" spans="1:16" ht="30" hidden="1" customHeight="1" outlineLevel="1" thickBot="1" x14ac:dyDescent="0.3">
      <c r="A244" s="39" t="str">
        <f>IF($A176="","",$A176)</f>
        <v/>
      </c>
      <c r="B244" s="39" t="str">
        <f>IF($B176="","",$B176)</f>
        <v/>
      </c>
      <c r="C244" s="40">
        <f>C6*Tabulação!$H$32</f>
        <v>0</v>
      </c>
      <c r="D244" s="40">
        <f>D6*Tabulação!$H$32</f>
        <v>0</v>
      </c>
      <c r="E244" s="40">
        <f>E6*Tabulação!$H$32</f>
        <v>0</v>
      </c>
      <c r="F244" s="40">
        <f>F6*Tabulação!$H$32</f>
        <v>0</v>
      </c>
      <c r="G244" s="40">
        <f>G6*Tabulação!$H$32</f>
        <v>0</v>
      </c>
      <c r="H244" s="40">
        <f>H6*Tabulação!$H$32</f>
        <v>0</v>
      </c>
      <c r="I244" s="40">
        <f>I6*Tabulação!$H$32</f>
        <v>0</v>
      </c>
      <c r="J244" s="40">
        <f>J6*Tabulação!$H$32</f>
        <v>0</v>
      </c>
      <c r="K244" s="40">
        <f>K6*Tabulação!$H$32</f>
        <v>0</v>
      </c>
      <c r="L244" s="40">
        <f>L6*Tabulação!$H$32</f>
        <v>0</v>
      </c>
      <c r="M244" s="40">
        <f>M6*Tabulação!$H$32</f>
        <v>0</v>
      </c>
      <c r="N244" s="40">
        <f>N6*Tabulação!$H$32</f>
        <v>0</v>
      </c>
      <c r="O244" s="41">
        <f>O6*Tabulação!$H$32</f>
        <v>0</v>
      </c>
      <c r="P244" s="41">
        <f>SUM(C244:N244)</f>
        <v>0</v>
      </c>
    </row>
    <row r="245" spans="1:16" ht="30" hidden="1" customHeight="1" outlineLevel="1" thickBot="1" x14ac:dyDescent="0.3">
      <c r="A245" s="39" t="str">
        <f t="shared" ref="A245:A272" si="96">IF($A177="","",$A177)</f>
        <v/>
      </c>
      <c r="B245" s="39" t="str">
        <f t="shared" ref="B245:B272" si="97">IF($B177="","",$B177)</f>
        <v/>
      </c>
      <c r="C245" s="40">
        <f>C7*Tabulação!$H$32</f>
        <v>0</v>
      </c>
      <c r="D245" s="40">
        <f>D7*Tabulação!$H$32</f>
        <v>0</v>
      </c>
      <c r="E245" s="40">
        <f>E7*Tabulação!$H$32</f>
        <v>0</v>
      </c>
      <c r="F245" s="40">
        <f>F7*Tabulação!$H$32</f>
        <v>0</v>
      </c>
      <c r="G245" s="40">
        <f>G7*Tabulação!$H$32</f>
        <v>0</v>
      </c>
      <c r="H245" s="40">
        <f>H7*Tabulação!$H$32</f>
        <v>0</v>
      </c>
      <c r="I245" s="40">
        <f>I7*Tabulação!$H$32</f>
        <v>0</v>
      </c>
      <c r="J245" s="40">
        <f>J7*Tabulação!$H$32</f>
        <v>0</v>
      </c>
      <c r="K245" s="40">
        <f>K7*Tabulação!$H$32</f>
        <v>0</v>
      </c>
      <c r="L245" s="40">
        <f>L7*Tabulação!$H$32</f>
        <v>0</v>
      </c>
      <c r="M245" s="40">
        <f>M7*Tabulação!$H$32</f>
        <v>0</v>
      </c>
      <c r="N245" s="40">
        <f>N7*Tabulação!$H$32</f>
        <v>0</v>
      </c>
      <c r="O245" s="41">
        <f>O7*Tabulação!$H$32</f>
        <v>0</v>
      </c>
      <c r="P245" s="41">
        <f t="shared" ref="P245:P257" si="98">SUM(C245:N245)</f>
        <v>0</v>
      </c>
    </row>
    <row r="246" spans="1:16" ht="30" hidden="1" customHeight="1" outlineLevel="1" thickBot="1" x14ac:dyDescent="0.3">
      <c r="A246" s="39" t="str">
        <f t="shared" si="96"/>
        <v/>
      </c>
      <c r="B246" s="39" t="str">
        <f t="shared" si="97"/>
        <v/>
      </c>
      <c r="C246" s="40">
        <f>C8*Tabulação!$H$32</f>
        <v>0</v>
      </c>
      <c r="D246" s="40">
        <f>D8*Tabulação!$H$32</f>
        <v>0</v>
      </c>
      <c r="E246" s="40">
        <f>E8*Tabulação!$H$32</f>
        <v>0</v>
      </c>
      <c r="F246" s="40">
        <f>F8*Tabulação!$H$32</f>
        <v>0</v>
      </c>
      <c r="G246" s="40">
        <f>G8*Tabulação!$H$32</f>
        <v>0</v>
      </c>
      <c r="H246" s="40">
        <f>H8*Tabulação!$H$32</f>
        <v>0</v>
      </c>
      <c r="I246" s="40">
        <f>I8*Tabulação!$H$32</f>
        <v>0</v>
      </c>
      <c r="J246" s="40">
        <f>J8*Tabulação!$H$32</f>
        <v>0</v>
      </c>
      <c r="K246" s="40">
        <f>K8*Tabulação!$H$32</f>
        <v>0</v>
      </c>
      <c r="L246" s="40">
        <f>L8*Tabulação!$H$32</f>
        <v>0</v>
      </c>
      <c r="M246" s="40">
        <f>M8*Tabulação!$H$32</f>
        <v>0</v>
      </c>
      <c r="N246" s="40">
        <f>N8*Tabulação!$H$32</f>
        <v>0</v>
      </c>
      <c r="O246" s="41">
        <f>O8*Tabulação!$H$32</f>
        <v>0</v>
      </c>
      <c r="P246" s="41">
        <f t="shared" si="98"/>
        <v>0</v>
      </c>
    </row>
    <row r="247" spans="1:16" ht="30" hidden="1" customHeight="1" outlineLevel="1" thickBot="1" x14ac:dyDescent="0.3">
      <c r="A247" s="39" t="str">
        <f t="shared" si="96"/>
        <v/>
      </c>
      <c r="B247" s="39" t="str">
        <f t="shared" si="97"/>
        <v/>
      </c>
      <c r="C247" s="40">
        <f>C9*Tabulação!$H$32</f>
        <v>0</v>
      </c>
      <c r="D247" s="40">
        <f>D9*Tabulação!$H$32</f>
        <v>0</v>
      </c>
      <c r="E247" s="40">
        <f>E9*Tabulação!$H$32</f>
        <v>0</v>
      </c>
      <c r="F247" s="40">
        <f>F9*Tabulação!$H$32</f>
        <v>0</v>
      </c>
      <c r="G247" s="40">
        <f>G9*Tabulação!$H$32</f>
        <v>0</v>
      </c>
      <c r="H247" s="40">
        <f>H9*Tabulação!$H$32</f>
        <v>0</v>
      </c>
      <c r="I247" s="40">
        <f>I9*Tabulação!$H$32</f>
        <v>0</v>
      </c>
      <c r="J247" s="40">
        <f>J9*Tabulação!$H$32</f>
        <v>0</v>
      </c>
      <c r="K247" s="40">
        <f>K9*Tabulação!$H$32</f>
        <v>0</v>
      </c>
      <c r="L247" s="40">
        <f>L9*Tabulação!$H$32</f>
        <v>0</v>
      </c>
      <c r="M247" s="40">
        <f>M9*Tabulação!$H$32</f>
        <v>0</v>
      </c>
      <c r="N247" s="40">
        <f>N9*Tabulação!$H$32</f>
        <v>0</v>
      </c>
      <c r="O247" s="41">
        <f>O9*Tabulação!$H$32</f>
        <v>0</v>
      </c>
      <c r="P247" s="41">
        <f t="shared" si="98"/>
        <v>0</v>
      </c>
    </row>
    <row r="248" spans="1:16" ht="30" hidden="1" customHeight="1" outlineLevel="1" thickBot="1" x14ac:dyDescent="0.3">
      <c r="A248" s="39" t="str">
        <f t="shared" si="96"/>
        <v/>
      </c>
      <c r="B248" s="39" t="str">
        <f t="shared" si="97"/>
        <v/>
      </c>
      <c r="C248" s="40">
        <f>C10*Tabulação!$H$32</f>
        <v>0</v>
      </c>
      <c r="D248" s="40">
        <f>D10*Tabulação!$H$32</f>
        <v>0</v>
      </c>
      <c r="E248" s="40">
        <f>E10*Tabulação!$H$32</f>
        <v>0</v>
      </c>
      <c r="F248" s="40">
        <f>F10*Tabulação!$H$32</f>
        <v>0</v>
      </c>
      <c r="G248" s="40">
        <f>G10*Tabulação!$H$32</f>
        <v>0</v>
      </c>
      <c r="H248" s="40">
        <f>H10*Tabulação!$H$32</f>
        <v>0</v>
      </c>
      <c r="I248" s="40">
        <f>I10*Tabulação!$H$32</f>
        <v>0</v>
      </c>
      <c r="J248" s="40">
        <f>J10*Tabulação!$H$32</f>
        <v>0</v>
      </c>
      <c r="K248" s="40">
        <f>K10*Tabulação!$H$32</f>
        <v>0</v>
      </c>
      <c r="L248" s="40">
        <f>L10*Tabulação!$H$32</f>
        <v>0</v>
      </c>
      <c r="M248" s="40">
        <f>M10*Tabulação!$H$32</f>
        <v>0</v>
      </c>
      <c r="N248" s="40">
        <f>N10*Tabulação!$H$32</f>
        <v>0</v>
      </c>
      <c r="O248" s="41">
        <f>O10*Tabulação!$H$32</f>
        <v>0</v>
      </c>
      <c r="P248" s="41">
        <f t="shared" si="98"/>
        <v>0</v>
      </c>
    </row>
    <row r="249" spans="1:16" ht="30" hidden="1" customHeight="1" outlineLevel="1" thickBot="1" x14ac:dyDescent="0.3">
      <c r="A249" s="39" t="str">
        <f t="shared" si="96"/>
        <v/>
      </c>
      <c r="B249" s="39" t="str">
        <f t="shared" si="97"/>
        <v/>
      </c>
      <c r="C249" s="40">
        <f>C11*Tabulação!$H$32</f>
        <v>0</v>
      </c>
      <c r="D249" s="40">
        <f>D11*Tabulação!$H$32</f>
        <v>0</v>
      </c>
      <c r="E249" s="40">
        <f>E11*Tabulação!$H$32</f>
        <v>0</v>
      </c>
      <c r="F249" s="40">
        <f>F11*Tabulação!$H$32</f>
        <v>0</v>
      </c>
      <c r="G249" s="40">
        <f>G11*Tabulação!$H$32</f>
        <v>0</v>
      </c>
      <c r="H249" s="40">
        <f>H11*Tabulação!$H$32</f>
        <v>0</v>
      </c>
      <c r="I249" s="40">
        <f>I11*Tabulação!$H$32</f>
        <v>0</v>
      </c>
      <c r="J249" s="40">
        <f>J11*Tabulação!$H$32</f>
        <v>0</v>
      </c>
      <c r="K249" s="40">
        <f>K11*Tabulação!$H$32</f>
        <v>0</v>
      </c>
      <c r="L249" s="40">
        <f>L11*Tabulação!$H$32</f>
        <v>0</v>
      </c>
      <c r="M249" s="40">
        <f>M11*Tabulação!$H$32</f>
        <v>0</v>
      </c>
      <c r="N249" s="40">
        <f>N11*Tabulação!$H$32</f>
        <v>0</v>
      </c>
      <c r="O249" s="41">
        <f>O11*Tabulação!$H$32</f>
        <v>0</v>
      </c>
      <c r="P249" s="41">
        <f t="shared" si="98"/>
        <v>0</v>
      </c>
    </row>
    <row r="250" spans="1:16" ht="30" hidden="1" customHeight="1" outlineLevel="1" thickBot="1" x14ac:dyDescent="0.3">
      <c r="A250" s="39" t="str">
        <f t="shared" si="96"/>
        <v/>
      </c>
      <c r="B250" s="39" t="str">
        <f t="shared" si="97"/>
        <v/>
      </c>
      <c r="C250" s="40">
        <f>C12*Tabulação!$H$32</f>
        <v>0</v>
      </c>
      <c r="D250" s="40">
        <f>D12*Tabulação!$H$32</f>
        <v>0</v>
      </c>
      <c r="E250" s="40">
        <f>E12*Tabulação!$H$32</f>
        <v>0</v>
      </c>
      <c r="F250" s="40">
        <f>F12*Tabulação!$H$32</f>
        <v>0</v>
      </c>
      <c r="G250" s="40">
        <f>G12*Tabulação!$H$32</f>
        <v>0</v>
      </c>
      <c r="H250" s="40">
        <f>H12*Tabulação!$H$32</f>
        <v>0</v>
      </c>
      <c r="I250" s="40">
        <f>I12*Tabulação!$H$32</f>
        <v>0</v>
      </c>
      <c r="J250" s="40">
        <f>J12*Tabulação!$H$32</f>
        <v>0</v>
      </c>
      <c r="K250" s="40">
        <f>K12*Tabulação!$H$32</f>
        <v>0</v>
      </c>
      <c r="L250" s="40">
        <f>L12*Tabulação!$H$32</f>
        <v>0</v>
      </c>
      <c r="M250" s="40">
        <f>M12*Tabulação!$H$32</f>
        <v>0</v>
      </c>
      <c r="N250" s="40">
        <f>N12*Tabulação!$H$32</f>
        <v>0</v>
      </c>
      <c r="O250" s="41">
        <f>O12*Tabulação!$H$32</f>
        <v>0</v>
      </c>
      <c r="P250" s="41">
        <f t="shared" si="98"/>
        <v>0</v>
      </c>
    </row>
    <row r="251" spans="1:16" ht="30" hidden="1" customHeight="1" outlineLevel="1" thickBot="1" x14ac:dyDescent="0.3">
      <c r="A251" s="39" t="str">
        <f t="shared" si="96"/>
        <v/>
      </c>
      <c r="B251" s="39" t="str">
        <f t="shared" si="97"/>
        <v/>
      </c>
      <c r="C251" s="40">
        <f>C13*Tabulação!$H$32</f>
        <v>0</v>
      </c>
      <c r="D251" s="40">
        <f>D13*Tabulação!$H$32</f>
        <v>0</v>
      </c>
      <c r="E251" s="40">
        <f>E13*Tabulação!$H$32</f>
        <v>0</v>
      </c>
      <c r="F251" s="40">
        <f>F13*Tabulação!$H$32</f>
        <v>0</v>
      </c>
      <c r="G251" s="40">
        <f>G13*Tabulação!$H$32</f>
        <v>0</v>
      </c>
      <c r="H251" s="40">
        <f>H13*Tabulação!$H$32</f>
        <v>0</v>
      </c>
      <c r="I251" s="40">
        <f>I13*Tabulação!$H$32</f>
        <v>0</v>
      </c>
      <c r="J251" s="40">
        <f>J13*Tabulação!$H$32</f>
        <v>0</v>
      </c>
      <c r="K251" s="40">
        <f>K13*Tabulação!$H$32</f>
        <v>0</v>
      </c>
      <c r="L251" s="40">
        <f>L13*Tabulação!$H$32</f>
        <v>0</v>
      </c>
      <c r="M251" s="40">
        <f>M13*Tabulação!$H$32</f>
        <v>0</v>
      </c>
      <c r="N251" s="40">
        <f>N13*Tabulação!$H$32</f>
        <v>0</v>
      </c>
      <c r="O251" s="41">
        <f>O13*Tabulação!$H$32</f>
        <v>0</v>
      </c>
      <c r="P251" s="41">
        <f t="shared" si="98"/>
        <v>0</v>
      </c>
    </row>
    <row r="252" spans="1:16" ht="30" hidden="1" customHeight="1" outlineLevel="1" thickBot="1" x14ac:dyDescent="0.3">
      <c r="A252" s="39" t="str">
        <f t="shared" si="96"/>
        <v/>
      </c>
      <c r="B252" s="39" t="str">
        <f t="shared" si="97"/>
        <v/>
      </c>
      <c r="C252" s="40">
        <f>C14*Tabulação!$H$32</f>
        <v>0</v>
      </c>
      <c r="D252" s="40">
        <f>D14*Tabulação!$H$32</f>
        <v>0</v>
      </c>
      <c r="E252" s="40">
        <f>E14*Tabulação!$H$32</f>
        <v>0</v>
      </c>
      <c r="F252" s="40">
        <f>F14*Tabulação!$H$32</f>
        <v>0</v>
      </c>
      <c r="G252" s="40">
        <f>G14*Tabulação!$H$32</f>
        <v>0</v>
      </c>
      <c r="H252" s="40">
        <f>H14*Tabulação!$H$32</f>
        <v>0</v>
      </c>
      <c r="I252" s="40">
        <f>I14*Tabulação!$H$32</f>
        <v>0</v>
      </c>
      <c r="J252" s="40">
        <f>J14*Tabulação!$H$32</f>
        <v>0</v>
      </c>
      <c r="K252" s="40">
        <f>K14*Tabulação!$H$32</f>
        <v>0</v>
      </c>
      <c r="L252" s="40">
        <f>L14*Tabulação!$H$32</f>
        <v>0</v>
      </c>
      <c r="M252" s="40">
        <f>M14*Tabulação!$H$32</f>
        <v>0</v>
      </c>
      <c r="N252" s="40">
        <f>N14*Tabulação!$H$32</f>
        <v>0</v>
      </c>
      <c r="O252" s="41">
        <f>O14*Tabulação!$H$32</f>
        <v>0</v>
      </c>
      <c r="P252" s="41">
        <f t="shared" si="98"/>
        <v>0</v>
      </c>
    </row>
    <row r="253" spans="1:16" ht="30" hidden="1" customHeight="1" outlineLevel="1" thickBot="1" x14ac:dyDescent="0.3">
      <c r="A253" s="39" t="str">
        <f t="shared" si="96"/>
        <v/>
      </c>
      <c r="B253" s="39" t="str">
        <f t="shared" si="97"/>
        <v/>
      </c>
      <c r="C253" s="40">
        <f>C15*Tabulação!$H$32</f>
        <v>0</v>
      </c>
      <c r="D253" s="40">
        <f>D15*Tabulação!$H$32</f>
        <v>0</v>
      </c>
      <c r="E253" s="40">
        <f>E15*Tabulação!$H$32</f>
        <v>0</v>
      </c>
      <c r="F253" s="40">
        <f>F15*Tabulação!$H$32</f>
        <v>0</v>
      </c>
      <c r="G253" s="40">
        <f>G15*Tabulação!$H$32</f>
        <v>0</v>
      </c>
      <c r="H253" s="40">
        <f>H15*Tabulação!$H$32</f>
        <v>0</v>
      </c>
      <c r="I253" s="40">
        <f>I15*Tabulação!$H$32</f>
        <v>0</v>
      </c>
      <c r="J253" s="40">
        <f>J15*Tabulação!$H$32</f>
        <v>0</v>
      </c>
      <c r="K253" s="40">
        <f>K15*Tabulação!$H$32</f>
        <v>0</v>
      </c>
      <c r="L253" s="40">
        <f>L15*Tabulação!$H$32</f>
        <v>0</v>
      </c>
      <c r="M253" s="40">
        <f>M15*Tabulação!$H$32</f>
        <v>0</v>
      </c>
      <c r="N253" s="40">
        <f>N15*Tabulação!$H$32</f>
        <v>0</v>
      </c>
      <c r="O253" s="41">
        <f>O15*Tabulação!$H$32</f>
        <v>0</v>
      </c>
      <c r="P253" s="41">
        <f t="shared" si="98"/>
        <v>0</v>
      </c>
    </row>
    <row r="254" spans="1:16" ht="30" hidden="1" customHeight="1" outlineLevel="1" thickBot="1" x14ac:dyDescent="0.3">
      <c r="A254" s="39" t="str">
        <f t="shared" si="96"/>
        <v/>
      </c>
      <c r="B254" s="39" t="str">
        <f t="shared" si="97"/>
        <v/>
      </c>
      <c r="C254" s="40">
        <f>C16*Tabulação!$H$32</f>
        <v>0</v>
      </c>
      <c r="D254" s="40">
        <f>D16*Tabulação!$H$32</f>
        <v>0</v>
      </c>
      <c r="E254" s="40">
        <f>E16*Tabulação!$H$32</f>
        <v>0</v>
      </c>
      <c r="F254" s="40">
        <f>F16*Tabulação!$H$32</f>
        <v>0</v>
      </c>
      <c r="G254" s="40">
        <f>G16*Tabulação!$H$32</f>
        <v>0</v>
      </c>
      <c r="H254" s="40">
        <f>H16*Tabulação!$H$32</f>
        <v>0</v>
      </c>
      <c r="I254" s="40">
        <f>I16*Tabulação!$H$32</f>
        <v>0</v>
      </c>
      <c r="J254" s="40">
        <f>J16*Tabulação!$H$32</f>
        <v>0</v>
      </c>
      <c r="K254" s="40">
        <f>K16*Tabulação!$H$32</f>
        <v>0</v>
      </c>
      <c r="L254" s="40">
        <f>L16*Tabulação!$H$32</f>
        <v>0</v>
      </c>
      <c r="M254" s="40">
        <f>M16*Tabulação!$H$32</f>
        <v>0</v>
      </c>
      <c r="N254" s="40">
        <f>N16*Tabulação!$H$32</f>
        <v>0</v>
      </c>
      <c r="O254" s="41">
        <f>O16*Tabulação!$H$32</f>
        <v>0</v>
      </c>
      <c r="P254" s="41">
        <f t="shared" si="98"/>
        <v>0</v>
      </c>
    </row>
    <row r="255" spans="1:16" ht="30" hidden="1" customHeight="1" outlineLevel="1" thickBot="1" x14ac:dyDescent="0.3">
      <c r="A255" s="39" t="str">
        <f t="shared" si="96"/>
        <v/>
      </c>
      <c r="B255" s="39" t="str">
        <f t="shared" si="97"/>
        <v/>
      </c>
      <c r="C255" s="40">
        <f>C17*Tabulação!$H$32</f>
        <v>0</v>
      </c>
      <c r="D255" s="40">
        <f>D17*Tabulação!$H$32</f>
        <v>0</v>
      </c>
      <c r="E255" s="40">
        <f>E17*Tabulação!$H$32</f>
        <v>0</v>
      </c>
      <c r="F255" s="40">
        <f>F17*Tabulação!$H$32</f>
        <v>0</v>
      </c>
      <c r="G255" s="40">
        <f>G17*Tabulação!$H$32</f>
        <v>0</v>
      </c>
      <c r="H255" s="40">
        <f>H17*Tabulação!$H$32</f>
        <v>0</v>
      </c>
      <c r="I255" s="40">
        <f>I17*Tabulação!$H$32</f>
        <v>0</v>
      </c>
      <c r="J255" s="40">
        <f>J17*Tabulação!$H$32</f>
        <v>0</v>
      </c>
      <c r="K255" s="40">
        <f>K17*Tabulação!$H$32</f>
        <v>0</v>
      </c>
      <c r="L255" s="40">
        <f>L17*Tabulação!$H$32</f>
        <v>0</v>
      </c>
      <c r="M255" s="40">
        <f>M17*Tabulação!$H$32</f>
        <v>0</v>
      </c>
      <c r="N255" s="40">
        <f>N17*Tabulação!$H$32</f>
        <v>0</v>
      </c>
      <c r="O255" s="41">
        <f>O17*Tabulação!$H$32</f>
        <v>0</v>
      </c>
      <c r="P255" s="41">
        <f t="shared" si="98"/>
        <v>0</v>
      </c>
    </row>
    <row r="256" spans="1:16" ht="30" hidden="1" customHeight="1" outlineLevel="1" thickBot="1" x14ac:dyDescent="0.3">
      <c r="A256" s="39" t="str">
        <f t="shared" si="96"/>
        <v/>
      </c>
      <c r="B256" s="39" t="str">
        <f t="shared" si="97"/>
        <v/>
      </c>
      <c r="C256" s="40">
        <f>C18*Tabulação!$H$32</f>
        <v>0</v>
      </c>
      <c r="D256" s="40">
        <f>D18*Tabulação!$H$32</f>
        <v>0</v>
      </c>
      <c r="E256" s="40">
        <f>E18*Tabulação!$H$32</f>
        <v>0</v>
      </c>
      <c r="F256" s="40">
        <f>F18*Tabulação!$H$32</f>
        <v>0</v>
      </c>
      <c r="G256" s="40">
        <f>G18*Tabulação!$H$32</f>
        <v>0</v>
      </c>
      <c r="H256" s="40">
        <f>H18*Tabulação!$H$32</f>
        <v>0</v>
      </c>
      <c r="I256" s="40">
        <f>I18*Tabulação!$H$32</f>
        <v>0</v>
      </c>
      <c r="J256" s="40">
        <f>J18*Tabulação!$H$32</f>
        <v>0</v>
      </c>
      <c r="K256" s="40">
        <f>K18*Tabulação!$H$32</f>
        <v>0</v>
      </c>
      <c r="L256" s="40">
        <f>L18*Tabulação!$H$32</f>
        <v>0</v>
      </c>
      <c r="M256" s="40">
        <f>M18*Tabulação!$H$32</f>
        <v>0</v>
      </c>
      <c r="N256" s="40">
        <f>N18*Tabulação!$H$32</f>
        <v>0</v>
      </c>
      <c r="O256" s="41">
        <f>O18*Tabulação!$H$32</f>
        <v>0</v>
      </c>
      <c r="P256" s="41">
        <f t="shared" si="98"/>
        <v>0</v>
      </c>
    </row>
    <row r="257" spans="1:16" ht="30" hidden="1" customHeight="1" outlineLevel="1" thickBot="1" x14ac:dyDescent="0.3">
      <c r="A257" s="39" t="str">
        <f t="shared" si="96"/>
        <v/>
      </c>
      <c r="B257" s="39" t="str">
        <f t="shared" si="97"/>
        <v/>
      </c>
      <c r="C257" s="40">
        <f>C19*Tabulação!$H$32</f>
        <v>0</v>
      </c>
      <c r="D257" s="40">
        <f>D19*Tabulação!$H$32</f>
        <v>0</v>
      </c>
      <c r="E257" s="40">
        <f>E19*Tabulação!$H$32</f>
        <v>0</v>
      </c>
      <c r="F257" s="40">
        <f>F19*Tabulação!$H$32</f>
        <v>0</v>
      </c>
      <c r="G257" s="40">
        <f>G19*Tabulação!$H$32</f>
        <v>0</v>
      </c>
      <c r="H257" s="40">
        <f>H19*Tabulação!$H$32</f>
        <v>0</v>
      </c>
      <c r="I257" s="40">
        <f>I19*Tabulação!$H$32</f>
        <v>0</v>
      </c>
      <c r="J257" s="40">
        <f>J19*Tabulação!$H$32</f>
        <v>0</v>
      </c>
      <c r="K257" s="40">
        <f>K19*Tabulação!$H$32</f>
        <v>0</v>
      </c>
      <c r="L257" s="40">
        <f>L19*Tabulação!$H$32</f>
        <v>0</v>
      </c>
      <c r="M257" s="40">
        <f>M19*Tabulação!$H$32</f>
        <v>0</v>
      </c>
      <c r="N257" s="40">
        <f>N19*Tabulação!$H$32</f>
        <v>0</v>
      </c>
      <c r="O257" s="41">
        <f>O19*Tabulação!$H$32</f>
        <v>0</v>
      </c>
      <c r="P257" s="41">
        <f t="shared" si="98"/>
        <v>0</v>
      </c>
    </row>
    <row r="258" spans="1:16" ht="30" hidden="1" customHeight="1" outlineLevel="1" thickBot="1" x14ac:dyDescent="0.3">
      <c r="A258" s="39" t="str">
        <f t="shared" si="96"/>
        <v/>
      </c>
      <c r="B258" s="39" t="str">
        <f t="shared" si="97"/>
        <v/>
      </c>
      <c r="C258" s="40">
        <f>C20*Tabulação!$H$32</f>
        <v>0</v>
      </c>
      <c r="D258" s="40">
        <f>D20*Tabulação!$H$32</f>
        <v>0</v>
      </c>
      <c r="E258" s="40">
        <f>E20*Tabulação!$H$32</f>
        <v>0</v>
      </c>
      <c r="F258" s="40">
        <f>F20*Tabulação!$H$32</f>
        <v>0</v>
      </c>
      <c r="G258" s="40">
        <f>G20*Tabulação!$H$32</f>
        <v>0</v>
      </c>
      <c r="H258" s="40">
        <f>H20*Tabulação!$H$32</f>
        <v>0</v>
      </c>
      <c r="I258" s="40">
        <f>I20*Tabulação!$H$32</f>
        <v>0</v>
      </c>
      <c r="J258" s="40">
        <f>J20*Tabulação!$H$32</f>
        <v>0</v>
      </c>
      <c r="K258" s="40">
        <f>K20*Tabulação!$H$32</f>
        <v>0</v>
      </c>
      <c r="L258" s="40">
        <f>L20*Tabulação!$H$32</f>
        <v>0</v>
      </c>
      <c r="M258" s="40">
        <f>M20*Tabulação!$H$32</f>
        <v>0</v>
      </c>
      <c r="N258" s="40">
        <f>N20*Tabulação!$H$32</f>
        <v>0</v>
      </c>
      <c r="O258" s="41">
        <f>O20*Tabulação!$H$32</f>
        <v>0</v>
      </c>
      <c r="P258" s="41">
        <f t="shared" ref="P258:P274" si="99">SUM(C258:N258)</f>
        <v>0</v>
      </c>
    </row>
    <row r="259" spans="1:16" ht="30" hidden="1" customHeight="1" outlineLevel="1" thickBot="1" x14ac:dyDescent="0.3">
      <c r="A259" s="39" t="str">
        <f t="shared" si="96"/>
        <v/>
      </c>
      <c r="B259" s="39" t="str">
        <f t="shared" si="97"/>
        <v/>
      </c>
      <c r="C259" s="40">
        <f>C21*Tabulação!$H$32</f>
        <v>0</v>
      </c>
      <c r="D259" s="40">
        <f>D21*Tabulação!$H$32</f>
        <v>0</v>
      </c>
      <c r="E259" s="40">
        <f>E21*Tabulação!$H$32</f>
        <v>0</v>
      </c>
      <c r="F259" s="40">
        <f>F21*Tabulação!$H$32</f>
        <v>0</v>
      </c>
      <c r="G259" s="40">
        <f>G21*Tabulação!$H$32</f>
        <v>0</v>
      </c>
      <c r="H259" s="40">
        <f>H21*Tabulação!$H$32</f>
        <v>0</v>
      </c>
      <c r="I259" s="40">
        <f>I21*Tabulação!$H$32</f>
        <v>0</v>
      </c>
      <c r="J259" s="40">
        <f>J21*Tabulação!$H$32</f>
        <v>0</v>
      </c>
      <c r="K259" s="40">
        <f>K21*Tabulação!$H$32</f>
        <v>0</v>
      </c>
      <c r="L259" s="40">
        <f>L21*Tabulação!$H$32</f>
        <v>0</v>
      </c>
      <c r="M259" s="40">
        <f>M21*Tabulação!$H$32</f>
        <v>0</v>
      </c>
      <c r="N259" s="40">
        <f>N21*Tabulação!$H$32</f>
        <v>0</v>
      </c>
      <c r="O259" s="41">
        <f>O21*Tabulação!$H$32</f>
        <v>0</v>
      </c>
      <c r="P259" s="41">
        <f t="shared" si="99"/>
        <v>0</v>
      </c>
    </row>
    <row r="260" spans="1:16" ht="30" hidden="1" customHeight="1" outlineLevel="1" thickBot="1" x14ac:dyDescent="0.3">
      <c r="A260" s="39" t="str">
        <f t="shared" si="96"/>
        <v/>
      </c>
      <c r="B260" s="39" t="str">
        <f t="shared" si="97"/>
        <v/>
      </c>
      <c r="C260" s="40">
        <f>C22*Tabulação!$H$32</f>
        <v>0</v>
      </c>
      <c r="D260" s="40">
        <f>D22*Tabulação!$H$32</f>
        <v>0</v>
      </c>
      <c r="E260" s="40">
        <f>E22*Tabulação!$H$32</f>
        <v>0</v>
      </c>
      <c r="F260" s="40">
        <f>F22*Tabulação!$H$32</f>
        <v>0</v>
      </c>
      <c r="G260" s="40">
        <f>G22*Tabulação!$H$32</f>
        <v>0</v>
      </c>
      <c r="H260" s="40">
        <f>H22*Tabulação!$H$32</f>
        <v>0</v>
      </c>
      <c r="I260" s="40">
        <f>I22*Tabulação!$H$32</f>
        <v>0</v>
      </c>
      <c r="J260" s="40">
        <f>J22*Tabulação!$H$32</f>
        <v>0</v>
      </c>
      <c r="K260" s="40">
        <f>K22*Tabulação!$H$32</f>
        <v>0</v>
      </c>
      <c r="L260" s="40">
        <f>L22*Tabulação!$H$32</f>
        <v>0</v>
      </c>
      <c r="M260" s="40">
        <f>M22*Tabulação!$H$32</f>
        <v>0</v>
      </c>
      <c r="N260" s="40">
        <f>N22*Tabulação!$H$32</f>
        <v>0</v>
      </c>
      <c r="O260" s="41">
        <f>O22*Tabulação!$H$32</f>
        <v>0</v>
      </c>
      <c r="P260" s="41">
        <f t="shared" si="99"/>
        <v>0</v>
      </c>
    </row>
    <row r="261" spans="1:16" ht="30" hidden="1" customHeight="1" outlineLevel="1" thickBot="1" x14ac:dyDescent="0.3">
      <c r="A261" s="39" t="str">
        <f t="shared" si="96"/>
        <v/>
      </c>
      <c r="B261" s="39" t="str">
        <f t="shared" si="97"/>
        <v/>
      </c>
      <c r="C261" s="40">
        <f>C23*Tabulação!$H$32</f>
        <v>0</v>
      </c>
      <c r="D261" s="40">
        <f>D23*Tabulação!$H$32</f>
        <v>0</v>
      </c>
      <c r="E261" s="40">
        <f>E23*Tabulação!$H$32</f>
        <v>0</v>
      </c>
      <c r="F261" s="40">
        <f>F23*Tabulação!$H$32</f>
        <v>0</v>
      </c>
      <c r="G261" s="40">
        <f>G23*Tabulação!$H$32</f>
        <v>0</v>
      </c>
      <c r="H261" s="40">
        <f>H23*Tabulação!$H$32</f>
        <v>0</v>
      </c>
      <c r="I261" s="40">
        <f>I23*Tabulação!$H$32</f>
        <v>0</v>
      </c>
      <c r="J261" s="40">
        <f>J23*Tabulação!$H$32</f>
        <v>0</v>
      </c>
      <c r="K261" s="40">
        <f>K23*Tabulação!$H$32</f>
        <v>0</v>
      </c>
      <c r="L261" s="40">
        <f>L23*Tabulação!$H$32</f>
        <v>0</v>
      </c>
      <c r="M261" s="40">
        <f>M23*Tabulação!$H$32</f>
        <v>0</v>
      </c>
      <c r="N261" s="40">
        <f>N23*Tabulação!$H$32</f>
        <v>0</v>
      </c>
      <c r="O261" s="41">
        <f>O23*Tabulação!$H$32</f>
        <v>0</v>
      </c>
      <c r="P261" s="41">
        <f t="shared" si="99"/>
        <v>0</v>
      </c>
    </row>
    <row r="262" spans="1:16" ht="30" hidden="1" customHeight="1" outlineLevel="1" thickBot="1" x14ac:dyDescent="0.3">
      <c r="A262" s="39" t="str">
        <f t="shared" si="96"/>
        <v/>
      </c>
      <c r="B262" s="39" t="str">
        <f t="shared" si="97"/>
        <v/>
      </c>
      <c r="C262" s="40">
        <f>C24*Tabulação!$H$32</f>
        <v>0</v>
      </c>
      <c r="D262" s="40">
        <f>D24*Tabulação!$H$32</f>
        <v>0</v>
      </c>
      <c r="E262" s="40">
        <f>E24*Tabulação!$H$32</f>
        <v>0</v>
      </c>
      <c r="F262" s="40">
        <f>F24*Tabulação!$H$32</f>
        <v>0</v>
      </c>
      <c r="G262" s="40">
        <f>G24*Tabulação!$H$32</f>
        <v>0</v>
      </c>
      <c r="H262" s="40">
        <f>H24*Tabulação!$H$32</f>
        <v>0</v>
      </c>
      <c r="I262" s="40">
        <f>I24*Tabulação!$H$32</f>
        <v>0</v>
      </c>
      <c r="J262" s="40">
        <f>J24*Tabulação!$H$32</f>
        <v>0</v>
      </c>
      <c r="K262" s="40">
        <f>K24*Tabulação!$H$32</f>
        <v>0</v>
      </c>
      <c r="L262" s="40">
        <f>L24*Tabulação!$H$32</f>
        <v>0</v>
      </c>
      <c r="M262" s="40">
        <f>M24*Tabulação!$H$32</f>
        <v>0</v>
      </c>
      <c r="N262" s="40">
        <f>N24*Tabulação!$H$32</f>
        <v>0</v>
      </c>
      <c r="O262" s="41">
        <f>O24*Tabulação!$H$32</f>
        <v>0</v>
      </c>
      <c r="P262" s="41">
        <f t="shared" si="99"/>
        <v>0</v>
      </c>
    </row>
    <row r="263" spans="1:16" ht="30" hidden="1" customHeight="1" outlineLevel="1" thickBot="1" x14ac:dyDescent="0.3">
      <c r="A263" s="39" t="str">
        <f t="shared" si="96"/>
        <v/>
      </c>
      <c r="B263" s="39" t="str">
        <f t="shared" si="97"/>
        <v/>
      </c>
      <c r="C263" s="40">
        <f>C25*Tabulação!$H$32</f>
        <v>0</v>
      </c>
      <c r="D263" s="40">
        <f>D25*Tabulação!$H$32</f>
        <v>0</v>
      </c>
      <c r="E263" s="40">
        <f>E25*Tabulação!$H$32</f>
        <v>0</v>
      </c>
      <c r="F263" s="40">
        <f>F25*Tabulação!$H$32</f>
        <v>0</v>
      </c>
      <c r="G263" s="40">
        <f>G25*Tabulação!$H$32</f>
        <v>0</v>
      </c>
      <c r="H263" s="40">
        <f>H25*Tabulação!$H$32</f>
        <v>0</v>
      </c>
      <c r="I263" s="40">
        <f>I25*Tabulação!$H$32</f>
        <v>0</v>
      </c>
      <c r="J263" s="40">
        <f>J25*Tabulação!$H$32</f>
        <v>0</v>
      </c>
      <c r="K263" s="40">
        <f>K25*Tabulação!$H$32</f>
        <v>0</v>
      </c>
      <c r="L263" s="40">
        <f>L25*Tabulação!$H$32</f>
        <v>0</v>
      </c>
      <c r="M263" s="40">
        <f>M25*Tabulação!$H$32</f>
        <v>0</v>
      </c>
      <c r="N263" s="40">
        <f>N25*Tabulação!$H$32</f>
        <v>0</v>
      </c>
      <c r="O263" s="41">
        <f>O25*Tabulação!$H$32</f>
        <v>0</v>
      </c>
      <c r="P263" s="41">
        <f t="shared" si="99"/>
        <v>0</v>
      </c>
    </row>
    <row r="264" spans="1:16" ht="30" hidden="1" customHeight="1" outlineLevel="1" thickBot="1" x14ac:dyDescent="0.3">
      <c r="A264" s="39" t="str">
        <f t="shared" si="96"/>
        <v/>
      </c>
      <c r="B264" s="39" t="str">
        <f t="shared" si="97"/>
        <v/>
      </c>
      <c r="C264" s="40">
        <f>C26*Tabulação!$H$32</f>
        <v>0</v>
      </c>
      <c r="D264" s="40">
        <f>D26*Tabulação!$H$32</f>
        <v>0</v>
      </c>
      <c r="E264" s="40">
        <f>E26*Tabulação!$H$32</f>
        <v>0</v>
      </c>
      <c r="F264" s="40">
        <f>F26*Tabulação!$H$32</f>
        <v>0</v>
      </c>
      <c r="G264" s="40">
        <f>G26*Tabulação!$H$32</f>
        <v>0</v>
      </c>
      <c r="H264" s="40">
        <f>H26*Tabulação!$H$32</f>
        <v>0</v>
      </c>
      <c r="I264" s="40">
        <f>I26*Tabulação!$H$32</f>
        <v>0</v>
      </c>
      <c r="J264" s="40">
        <f>J26*Tabulação!$H$32</f>
        <v>0</v>
      </c>
      <c r="K264" s="40">
        <f>K26*Tabulação!$H$32</f>
        <v>0</v>
      </c>
      <c r="L264" s="40">
        <f>L26*Tabulação!$H$32</f>
        <v>0</v>
      </c>
      <c r="M264" s="40">
        <f>M26*Tabulação!$H$32</f>
        <v>0</v>
      </c>
      <c r="N264" s="40">
        <f>N26*Tabulação!$H$32</f>
        <v>0</v>
      </c>
      <c r="O264" s="41">
        <f>O26*Tabulação!$H$32</f>
        <v>0</v>
      </c>
      <c r="P264" s="41">
        <f t="shared" si="99"/>
        <v>0</v>
      </c>
    </row>
    <row r="265" spans="1:16" ht="30" hidden="1" customHeight="1" outlineLevel="1" thickBot="1" x14ac:dyDescent="0.3">
      <c r="A265" s="39" t="str">
        <f t="shared" si="96"/>
        <v/>
      </c>
      <c r="B265" s="39" t="str">
        <f t="shared" si="97"/>
        <v/>
      </c>
      <c r="C265" s="40">
        <f>C27*Tabulação!$H$32</f>
        <v>0</v>
      </c>
      <c r="D265" s="40">
        <f>D27*Tabulação!$H$32</f>
        <v>0</v>
      </c>
      <c r="E265" s="40">
        <f>E27*Tabulação!$H$32</f>
        <v>0</v>
      </c>
      <c r="F265" s="40">
        <f>F27*Tabulação!$H$32</f>
        <v>0</v>
      </c>
      <c r="G265" s="40">
        <f>G27*Tabulação!$H$32</f>
        <v>0</v>
      </c>
      <c r="H265" s="40">
        <f>H27*Tabulação!$H$32</f>
        <v>0</v>
      </c>
      <c r="I265" s="40">
        <f>I27*Tabulação!$H$32</f>
        <v>0</v>
      </c>
      <c r="J265" s="40">
        <f>J27*Tabulação!$H$32</f>
        <v>0</v>
      </c>
      <c r="K265" s="40">
        <f>K27*Tabulação!$H$32</f>
        <v>0</v>
      </c>
      <c r="L265" s="40">
        <f>L27*Tabulação!$H$32</f>
        <v>0</v>
      </c>
      <c r="M265" s="40">
        <f>M27*Tabulação!$H$32</f>
        <v>0</v>
      </c>
      <c r="N265" s="40">
        <f>N27*Tabulação!$H$32</f>
        <v>0</v>
      </c>
      <c r="O265" s="41">
        <f>O27*Tabulação!$H$32</f>
        <v>0</v>
      </c>
      <c r="P265" s="41">
        <f t="shared" si="99"/>
        <v>0</v>
      </c>
    </row>
    <row r="266" spans="1:16" ht="30" hidden="1" customHeight="1" outlineLevel="1" thickBot="1" x14ac:dyDescent="0.3">
      <c r="A266" s="39" t="str">
        <f>IF($A198="","",$A198)</f>
        <v/>
      </c>
      <c r="B266" s="39" t="str">
        <f>IF($B198="","",$B198)</f>
        <v/>
      </c>
      <c r="C266" s="40">
        <f>C28*Tabulação!$H$32</f>
        <v>0</v>
      </c>
      <c r="D266" s="40">
        <f>D28*Tabulação!$H$32</f>
        <v>0</v>
      </c>
      <c r="E266" s="40">
        <f>E28*Tabulação!$H$32</f>
        <v>0</v>
      </c>
      <c r="F266" s="40">
        <f>F28*Tabulação!$H$32</f>
        <v>0</v>
      </c>
      <c r="G266" s="40">
        <f>G28*Tabulação!$H$32</f>
        <v>0</v>
      </c>
      <c r="H266" s="40">
        <f>H28*Tabulação!$H$32</f>
        <v>0</v>
      </c>
      <c r="I266" s="40">
        <f>I28*Tabulação!$H$32</f>
        <v>0</v>
      </c>
      <c r="J266" s="40">
        <f>J28*Tabulação!$H$32</f>
        <v>0</v>
      </c>
      <c r="K266" s="40">
        <f>K28*Tabulação!$H$32</f>
        <v>0</v>
      </c>
      <c r="L266" s="40">
        <f>L28*Tabulação!$H$32</f>
        <v>0</v>
      </c>
      <c r="M266" s="40">
        <f>M28*Tabulação!$H$32</f>
        <v>0</v>
      </c>
      <c r="N266" s="40">
        <f>N28*Tabulação!$H$32</f>
        <v>0</v>
      </c>
      <c r="O266" s="41">
        <f>O28*Tabulação!$H$32</f>
        <v>0</v>
      </c>
      <c r="P266" s="41">
        <f t="shared" si="99"/>
        <v>0</v>
      </c>
    </row>
    <row r="267" spans="1:16" ht="30" hidden="1" customHeight="1" outlineLevel="1" thickBot="1" x14ac:dyDescent="0.3">
      <c r="A267" s="39" t="str">
        <f t="shared" si="96"/>
        <v/>
      </c>
      <c r="B267" s="39" t="str">
        <f t="shared" si="97"/>
        <v/>
      </c>
      <c r="C267" s="40">
        <f>C29*Tabulação!$H$32</f>
        <v>0</v>
      </c>
      <c r="D267" s="40">
        <f>D29*Tabulação!$H$32</f>
        <v>0</v>
      </c>
      <c r="E267" s="40">
        <f>E29*Tabulação!$H$32</f>
        <v>0</v>
      </c>
      <c r="F267" s="40">
        <f>F29*Tabulação!$H$32</f>
        <v>0</v>
      </c>
      <c r="G267" s="40">
        <f>G29*Tabulação!$H$32</f>
        <v>0</v>
      </c>
      <c r="H267" s="40">
        <f>H29*Tabulação!$H$32</f>
        <v>0</v>
      </c>
      <c r="I267" s="40">
        <f>I29*Tabulação!$H$32</f>
        <v>0</v>
      </c>
      <c r="J267" s="40">
        <f>J29*Tabulação!$H$32</f>
        <v>0</v>
      </c>
      <c r="K267" s="40">
        <f>K29*Tabulação!$H$32</f>
        <v>0</v>
      </c>
      <c r="L267" s="40">
        <f>L29*Tabulação!$H$32</f>
        <v>0</v>
      </c>
      <c r="M267" s="40">
        <f>M29*Tabulação!$H$32</f>
        <v>0</v>
      </c>
      <c r="N267" s="40">
        <f>N29*Tabulação!$H$32</f>
        <v>0</v>
      </c>
      <c r="O267" s="41">
        <f>O29*Tabulação!$H$32</f>
        <v>0</v>
      </c>
      <c r="P267" s="41">
        <f t="shared" si="99"/>
        <v>0</v>
      </c>
    </row>
    <row r="268" spans="1:16" ht="30" hidden="1" customHeight="1" outlineLevel="1" thickBot="1" x14ac:dyDescent="0.3">
      <c r="A268" s="39" t="str">
        <f t="shared" si="96"/>
        <v/>
      </c>
      <c r="B268" s="39" t="str">
        <f t="shared" si="97"/>
        <v/>
      </c>
      <c r="C268" s="40">
        <f>C30*Tabulação!$H$32</f>
        <v>0</v>
      </c>
      <c r="D268" s="40">
        <f>D30*Tabulação!$H$32</f>
        <v>0</v>
      </c>
      <c r="E268" s="40">
        <f>E30*Tabulação!$H$32</f>
        <v>0</v>
      </c>
      <c r="F268" s="40">
        <f>F30*Tabulação!$H$32</f>
        <v>0</v>
      </c>
      <c r="G268" s="40">
        <f>G30*Tabulação!$H$32</f>
        <v>0</v>
      </c>
      <c r="H268" s="40">
        <f>H30*Tabulação!$H$32</f>
        <v>0</v>
      </c>
      <c r="I268" s="40">
        <f>I30*Tabulação!$H$32</f>
        <v>0</v>
      </c>
      <c r="J268" s="40">
        <f>J30*Tabulação!$H$32</f>
        <v>0</v>
      </c>
      <c r="K268" s="40">
        <f>K30*Tabulação!$H$32</f>
        <v>0</v>
      </c>
      <c r="L268" s="40">
        <f>L30*Tabulação!$H$32</f>
        <v>0</v>
      </c>
      <c r="M268" s="40">
        <f>M30*Tabulação!$H$32</f>
        <v>0</v>
      </c>
      <c r="N268" s="40">
        <f>N30*Tabulação!$H$32</f>
        <v>0</v>
      </c>
      <c r="O268" s="41">
        <f>O30*Tabulação!$H$32</f>
        <v>0</v>
      </c>
      <c r="P268" s="41">
        <f t="shared" si="99"/>
        <v>0</v>
      </c>
    </row>
    <row r="269" spans="1:16" ht="30" hidden="1" customHeight="1" outlineLevel="1" thickBot="1" x14ac:dyDescent="0.3">
      <c r="A269" s="39" t="str">
        <f t="shared" si="96"/>
        <v/>
      </c>
      <c r="B269" s="39" t="str">
        <f t="shared" si="97"/>
        <v/>
      </c>
      <c r="C269" s="40">
        <f>C31*Tabulação!$H$32</f>
        <v>0</v>
      </c>
      <c r="D269" s="40">
        <f>D31*Tabulação!$H$32</f>
        <v>0</v>
      </c>
      <c r="E269" s="40">
        <f>E31*Tabulação!$H$32</f>
        <v>0</v>
      </c>
      <c r="F269" s="40">
        <f>F31*Tabulação!$H$32</f>
        <v>0</v>
      </c>
      <c r="G269" s="40">
        <f>G31*Tabulação!$H$32</f>
        <v>0</v>
      </c>
      <c r="H269" s="40">
        <f>H31*Tabulação!$H$32</f>
        <v>0</v>
      </c>
      <c r="I269" s="40">
        <f>I31*Tabulação!$H$32</f>
        <v>0</v>
      </c>
      <c r="J269" s="40">
        <f>J31*Tabulação!$H$32</f>
        <v>0</v>
      </c>
      <c r="K269" s="40">
        <f>K31*Tabulação!$H$32</f>
        <v>0</v>
      </c>
      <c r="L269" s="40">
        <f>L31*Tabulação!$H$32</f>
        <v>0</v>
      </c>
      <c r="M269" s="40">
        <f>M31*Tabulação!$H$32</f>
        <v>0</v>
      </c>
      <c r="N269" s="40">
        <f>N31*Tabulação!$H$32</f>
        <v>0</v>
      </c>
      <c r="O269" s="41">
        <f>O31*Tabulação!$H$32</f>
        <v>0</v>
      </c>
      <c r="P269" s="41">
        <f t="shared" si="99"/>
        <v>0</v>
      </c>
    </row>
    <row r="270" spans="1:16" ht="30" hidden="1" customHeight="1" outlineLevel="1" thickBot="1" x14ac:dyDescent="0.3">
      <c r="A270" s="39" t="str">
        <f t="shared" si="96"/>
        <v/>
      </c>
      <c r="B270" s="39" t="str">
        <f t="shared" si="97"/>
        <v/>
      </c>
      <c r="C270" s="40">
        <f>C32*Tabulação!$H$32</f>
        <v>0</v>
      </c>
      <c r="D270" s="40">
        <f>D32*Tabulação!$H$32</f>
        <v>0</v>
      </c>
      <c r="E270" s="40">
        <f>E32*Tabulação!$H$32</f>
        <v>0</v>
      </c>
      <c r="F270" s="40">
        <f>F32*Tabulação!$H$32</f>
        <v>0</v>
      </c>
      <c r="G270" s="40">
        <f>G32*Tabulação!$H$32</f>
        <v>0</v>
      </c>
      <c r="H270" s="40">
        <f>H32*Tabulação!$H$32</f>
        <v>0</v>
      </c>
      <c r="I270" s="40">
        <f>I32*Tabulação!$H$32</f>
        <v>0</v>
      </c>
      <c r="J270" s="40">
        <f>J32*Tabulação!$H$32</f>
        <v>0</v>
      </c>
      <c r="K270" s="40">
        <f>K32*Tabulação!$H$32</f>
        <v>0</v>
      </c>
      <c r="L270" s="40">
        <f>L32*Tabulação!$H$32</f>
        <v>0</v>
      </c>
      <c r="M270" s="40">
        <f>M32*Tabulação!$H$32</f>
        <v>0</v>
      </c>
      <c r="N270" s="40">
        <f>N32*Tabulação!$H$32</f>
        <v>0</v>
      </c>
      <c r="O270" s="41">
        <f>O32*Tabulação!$H$32</f>
        <v>0</v>
      </c>
      <c r="P270" s="41">
        <f t="shared" si="99"/>
        <v>0</v>
      </c>
    </row>
    <row r="271" spans="1:16" ht="30" hidden="1" customHeight="1" outlineLevel="1" thickBot="1" x14ac:dyDescent="0.3">
      <c r="A271" s="39" t="str">
        <f>IF($A203="","",$A203)</f>
        <v/>
      </c>
      <c r="B271" s="39" t="str">
        <f>IF($B203="","",$B203)</f>
        <v/>
      </c>
      <c r="C271" s="40">
        <f>C33*Tabulação!$H$32</f>
        <v>0</v>
      </c>
      <c r="D271" s="40">
        <f>D33*Tabulação!$H$32</f>
        <v>0</v>
      </c>
      <c r="E271" s="40">
        <f>E33*Tabulação!$H$32</f>
        <v>0</v>
      </c>
      <c r="F271" s="40">
        <f>F33*Tabulação!$H$32</f>
        <v>0</v>
      </c>
      <c r="G271" s="40">
        <f>G33*Tabulação!$H$32</f>
        <v>0</v>
      </c>
      <c r="H271" s="40">
        <f>H33*Tabulação!$H$32</f>
        <v>0</v>
      </c>
      <c r="I271" s="40">
        <f>I33*Tabulação!$H$32</f>
        <v>0</v>
      </c>
      <c r="J271" s="40">
        <f>J33*Tabulação!$H$32</f>
        <v>0</v>
      </c>
      <c r="K271" s="40">
        <f>K33*Tabulação!$H$32</f>
        <v>0</v>
      </c>
      <c r="L271" s="40">
        <f>L33*Tabulação!$H$32</f>
        <v>0</v>
      </c>
      <c r="M271" s="40">
        <f>M33*Tabulação!$H$32</f>
        <v>0</v>
      </c>
      <c r="N271" s="40">
        <f>N33*Tabulação!$H$32</f>
        <v>0</v>
      </c>
      <c r="O271" s="41">
        <f>O33*Tabulação!$H$32</f>
        <v>0</v>
      </c>
      <c r="P271" s="41">
        <f t="shared" si="99"/>
        <v>0</v>
      </c>
    </row>
    <row r="272" spans="1:16" ht="30" hidden="1" customHeight="1" outlineLevel="1" thickBot="1" x14ac:dyDescent="0.3">
      <c r="A272" s="39" t="str">
        <f t="shared" si="96"/>
        <v/>
      </c>
      <c r="B272" s="39" t="str">
        <f t="shared" si="97"/>
        <v/>
      </c>
      <c r="C272" s="40">
        <f>C34*Tabulação!$H$32</f>
        <v>0</v>
      </c>
      <c r="D272" s="40">
        <f>D34*Tabulação!$H$32</f>
        <v>0</v>
      </c>
      <c r="E272" s="40">
        <f>E34*Tabulação!$H$32</f>
        <v>0</v>
      </c>
      <c r="F272" s="40">
        <f>F34*Tabulação!$H$32</f>
        <v>0</v>
      </c>
      <c r="G272" s="40">
        <f>G34*Tabulação!$H$32</f>
        <v>0</v>
      </c>
      <c r="H272" s="40">
        <f>H34*Tabulação!$H$32</f>
        <v>0</v>
      </c>
      <c r="I272" s="40">
        <f>I34*Tabulação!$H$32</f>
        <v>0</v>
      </c>
      <c r="J272" s="40">
        <f>J34*Tabulação!$H$32</f>
        <v>0</v>
      </c>
      <c r="K272" s="40">
        <f>K34*Tabulação!$H$32</f>
        <v>0</v>
      </c>
      <c r="L272" s="40">
        <f>L34*Tabulação!$H$32</f>
        <v>0</v>
      </c>
      <c r="M272" s="40">
        <f>M34*Tabulação!$H$32</f>
        <v>0</v>
      </c>
      <c r="N272" s="40">
        <f>N34*Tabulação!$H$32</f>
        <v>0</v>
      </c>
      <c r="O272" s="41">
        <f>O34*Tabulação!$H$32</f>
        <v>0</v>
      </c>
      <c r="P272" s="41">
        <f t="shared" si="99"/>
        <v>0</v>
      </c>
    </row>
    <row r="273" spans="1:16" ht="30" hidden="1" customHeight="1" outlineLevel="1" thickBot="1" x14ac:dyDescent="0.3">
      <c r="A273" s="39" t="str">
        <f>IF($A205="","",$A205)</f>
        <v/>
      </c>
      <c r="B273" s="39" t="str">
        <f>IF($B205="","",$B205)</f>
        <v/>
      </c>
      <c r="C273" s="40">
        <f>C35*Tabulação!$H$32</f>
        <v>0</v>
      </c>
      <c r="D273" s="40">
        <f>D35*Tabulação!$H$32</f>
        <v>0</v>
      </c>
      <c r="E273" s="40">
        <f>E35*Tabulação!$H$32</f>
        <v>0</v>
      </c>
      <c r="F273" s="40">
        <f>F35*Tabulação!$H$32</f>
        <v>0</v>
      </c>
      <c r="G273" s="40">
        <f>G35*Tabulação!$H$32</f>
        <v>0</v>
      </c>
      <c r="H273" s="40">
        <f>H35*Tabulação!$H$32</f>
        <v>0</v>
      </c>
      <c r="I273" s="40">
        <f>I35*Tabulação!$H$32</f>
        <v>0</v>
      </c>
      <c r="J273" s="40">
        <f>J35*Tabulação!$H$32</f>
        <v>0</v>
      </c>
      <c r="K273" s="40">
        <f>K35*Tabulação!$H$32</f>
        <v>0</v>
      </c>
      <c r="L273" s="40">
        <f>L35*Tabulação!$H$32</f>
        <v>0</v>
      </c>
      <c r="M273" s="40">
        <f>M35*Tabulação!$H$32</f>
        <v>0</v>
      </c>
      <c r="N273" s="40">
        <f>N35*Tabulação!$H$32</f>
        <v>0</v>
      </c>
      <c r="O273" s="41">
        <f>O35*Tabulação!$H$32</f>
        <v>0</v>
      </c>
      <c r="P273" s="41">
        <f t="shared" si="99"/>
        <v>0</v>
      </c>
    </row>
    <row r="274" spans="1:16" ht="30" hidden="1" customHeight="1" outlineLevel="1" thickBot="1" x14ac:dyDescent="0.3">
      <c r="A274" s="39" t="str">
        <f>IF($A206="","",$A206)</f>
        <v/>
      </c>
      <c r="B274" s="39" t="str">
        <f>IF($B206="","",$B206)</f>
        <v/>
      </c>
      <c r="C274" s="40">
        <f>C36*Tabulação!$H$32</f>
        <v>0</v>
      </c>
      <c r="D274" s="40">
        <f>D36*Tabulação!$H$32</f>
        <v>0</v>
      </c>
      <c r="E274" s="40">
        <f>E36*Tabulação!$H$32</f>
        <v>0</v>
      </c>
      <c r="F274" s="40">
        <f>F36*Tabulação!$H$32</f>
        <v>0</v>
      </c>
      <c r="G274" s="40">
        <f>G36*Tabulação!$H$32</f>
        <v>0</v>
      </c>
      <c r="H274" s="40">
        <f>H36*Tabulação!$H$32</f>
        <v>0</v>
      </c>
      <c r="I274" s="40">
        <f>I36*Tabulação!$H$32</f>
        <v>0</v>
      </c>
      <c r="J274" s="40">
        <f>J36*Tabulação!$H$32</f>
        <v>0</v>
      </c>
      <c r="K274" s="40">
        <f>K36*Tabulação!$H$32</f>
        <v>0</v>
      </c>
      <c r="L274" s="40">
        <f>L36*Tabulação!$H$32</f>
        <v>0</v>
      </c>
      <c r="M274" s="40">
        <f>M36*Tabulação!$H$32</f>
        <v>0</v>
      </c>
      <c r="N274" s="40">
        <f>N36*Tabulação!$H$32</f>
        <v>0</v>
      </c>
      <c r="O274" s="41">
        <f>O36*Tabulação!$H$32</f>
        <v>0</v>
      </c>
      <c r="P274" s="41">
        <f t="shared" si="99"/>
        <v>0</v>
      </c>
    </row>
    <row r="275" spans="1:16" ht="30" customHeight="1" collapsed="1" thickBot="1" x14ac:dyDescent="0.3">
      <c r="A275" s="61" t="s">
        <v>36</v>
      </c>
      <c r="B275" s="61"/>
      <c r="C275" s="42">
        <f t="shared" ref="C275:P275" si="100">SUM(C244:C274)</f>
        <v>0</v>
      </c>
      <c r="D275" s="42">
        <f t="shared" si="100"/>
        <v>0</v>
      </c>
      <c r="E275" s="42">
        <f t="shared" si="100"/>
        <v>0</v>
      </c>
      <c r="F275" s="42">
        <f t="shared" si="100"/>
        <v>0</v>
      </c>
      <c r="G275" s="42">
        <f t="shared" si="100"/>
        <v>0</v>
      </c>
      <c r="H275" s="42">
        <f t="shared" si="100"/>
        <v>0</v>
      </c>
      <c r="I275" s="42">
        <f t="shared" si="100"/>
        <v>0</v>
      </c>
      <c r="J275" s="42">
        <f t="shared" si="100"/>
        <v>0</v>
      </c>
      <c r="K275" s="42">
        <f t="shared" si="100"/>
        <v>0</v>
      </c>
      <c r="L275" s="42">
        <f t="shared" si="100"/>
        <v>0</v>
      </c>
      <c r="M275" s="42">
        <f t="shared" si="100"/>
        <v>0</v>
      </c>
      <c r="N275" s="42">
        <f t="shared" si="100"/>
        <v>0</v>
      </c>
      <c r="O275" s="42">
        <f t="shared" si="100"/>
        <v>0</v>
      </c>
      <c r="P275" s="42">
        <f t="shared" si="100"/>
        <v>0</v>
      </c>
    </row>
    <row r="276" spans="1:16" ht="30" customHeight="1" thickBot="1" x14ac:dyDescent="0.3"/>
    <row r="277" spans="1:16" ht="30" customHeight="1" thickBot="1" x14ac:dyDescent="0.3">
      <c r="A277" s="60" t="s">
        <v>8</v>
      </c>
      <c r="B277" s="60"/>
      <c r="C277" s="62" t="s">
        <v>8</v>
      </c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</row>
    <row r="278" spans="1:16" ht="30" hidden="1" customHeight="1" outlineLevel="1" thickBot="1" x14ac:dyDescent="0.3">
      <c r="A278" s="39" t="str">
        <f>IF($A210="","",$A210)</f>
        <v/>
      </c>
      <c r="B278" s="39" t="str">
        <f>IF($B210="","",$B210)</f>
        <v/>
      </c>
      <c r="C278" s="40">
        <f>IF(C6&lt;=Tabulação!$H$26,C6*Tabulação!$I$26,IF(C6&lt;=Tabulação!$H$27,C6*Tabulação!$I$27,IF(C6&lt;=Tabulação!$H$28,C6*Tabulação!$I$28,Tabulação!$I$29)))</f>
        <v>0</v>
      </c>
      <c r="D278" s="40">
        <f>IF(D6&lt;=Tabulação!$H$26,D6*Tabulação!$I$26,IF(D6&lt;=Tabulação!$H$27,D6*Tabulação!$I$27,IF(D6&lt;=Tabulação!$H$28,D6*Tabulação!$I$28,Tabulação!$I$29)))</f>
        <v>0</v>
      </c>
      <c r="E278" s="40">
        <f>IF(E6&lt;=Tabulação!$H$26,E6*Tabulação!$I$26,IF(E6&lt;=Tabulação!$H$27,E6*Tabulação!$I$27,IF(E6&lt;=Tabulação!$H$28,E6*Tabulação!$I$28,Tabulação!$I$29)))</f>
        <v>0</v>
      </c>
      <c r="F278" s="40">
        <f>IF(F6&lt;=Tabulação!$H$26,F6*Tabulação!$I$26,IF(F6&lt;=Tabulação!$H$27,F6*Tabulação!$I$27,IF(F6&lt;=Tabulação!$H$28,F6*Tabulação!$I$28,Tabulação!$I$29)))</f>
        <v>0</v>
      </c>
      <c r="G278" s="40">
        <f>IF(G6&lt;=Tabulação!$H$26,G6*Tabulação!$I$26,IF(G6&lt;=Tabulação!$H$27,G6*Tabulação!$I$27,IF(G6&lt;=Tabulação!$H$28,G6*Tabulação!$I$28,Tabulação!$I$29)))</f>
        <v>0</v>
      </c>
      <c r="H278" s="40">
        <f>IF(H6&lt;=Tabulação!$H$26,H6*Tabulação!$I$26,IF(H6&lt;=Tabulação!$H$27,H6*Tabulação!$I$27,IF(H6&lt;=Tabulação!$H$28,H6*Tabulação!$I$28,Tabulação!$I$29)))</f>
        <v>0</v>
      </c>
      <c r="I278" s="40">
        <f>IF(I6&lt;=Tabulação!$H$26,I6*Tabulação!$I$26,IF(I6&lt;=Tabulação!$H$27,I6*Tabulação!$I$27,IF(I6&lt;=Tabulação!$H$28,I6*Tabulação!$I$28,Tabulação!$I$29)))</f>
        <v>0</v>
      </c>
      <c r="J278" s="40">
        <f>IF(J6&lt;=Tabulação!$H$26,J6*Tabulação!$I$26,IF(J6&lt;=Tabulação!$H$27,J6*Tabulação!$I$27,IF(J6&lt;=Tabulação!$H$28,J6*Tabulação!$I$28,Tabulação!$I$29)))</f>
        <v>0</v>
      </c>
      <c r="K278" s="40">
        <f>IF(K6&lt;=Tabulação!$H$26,K6*Tabulação!$I$26,IF(K6&lt;=Tabulação!$H$27,K6*Tabulação!$I$27,IF(K6&lt;=Tabulação!$H$28,K6*Tabulação!$I$28,Tabulação!$I$29)))</f>
        <v>0</v>
      </c>
      <c r="L278" s="40">
        <f>IF(L6&lt;=Tabulação!$H$26,L6*Tabulação!$I$26,IF(L6&lt;=Tabulação!$H$27,L6*Tabulação!$I$27,IF(L6&lt;=Tabulação!$H$28,L6*Tabulação!$I$28,Tabulação!$I$29)))</f>
        <v>0</v>
      </c>
      <c r="M278" s="40">
        <f>IF(M6&lt;=Tabulação!$H$26,M6*Tabulação!$I$26,IF(M6&lt;=Tabulação!$H$27,M6*Tabulação!$I$27,IF(M6&lt;=Tabulação!$H$28,M6*Tabulação!$I$28,Tabulação!$I$29)))</f>
        <v>0</v>
      </c>
      <c r="N278" s="40">
        <f>IF(N6&lt;=Tabulação!$H$26,N6*Tabulação!$I$26,IF(N6&lt;=Tabulação!$H$27,N6*Tabulação!$I$27,IF(N6&lt;=Tabulação!$H$28,N6*Tabulação!$I$28,Tabulação!$I$29)))</f>
        <v>0</v>
      </c>
      <c r="O278" s="41">
        <f>IF(O6&lt;=Tabulação!$H$26,O6*Tabulação!$I$26,IF(O6&lt;=Tabulação!$H$27,O6*Tabulação!$I$27,IF(O6&lt;=Tabulação!$H$28,O6*Tabulação!$I$28,Tabulação!$I$29)))</f>
        <v>0</v>
      </c>
      <c r="P278" s="41">
        <f>SUM(C278:N278)</f>
        <v>0</v>
      </c>
    </row>
    <row r="279" spans="1:16" ht="30" hidden="1" customHeight="1" outlineLevel="1" thickBot="1" x14ac:dyDescent="0.3">
      <c r="A279" s="39" t="str">
        <f t="shared" ref="A279:A306" si="101">IF($A211="","",$A211)</f>
        <v/>
      </c>
      <c r="B279" s="39" t="str">
        <f t="shared" ref="B279:B306" si="102">IF($B211="","",$B211)</f>
        <v/>
      </c>
      <c r="C279" s="40">
        <f>IF(C7&lt;=Tabulação!$H$26,C7*Tabulação!$I$26,IF(C7&lt;=Tabulação!$H$27,C7*Tabulação!$I$27,IF(C7&lt;=Tabulação!$H$28,C7*Tabulação!$I$28,Tabulação!$I$29)))</f>
        <v>0</v>
      </c>
      <c r="D279" s="40">
        <f>IF(D7&lt;=Tabulação!$H$26,D7*Tabulação!$I$26,IF(D7&lt;=Tabulação!$H$27,D7*Tabulação!$I$27,IF(D7&lt;=Tabulação!$H$28,D7*Tabulação!$I$28,Tabulação!$I$29)))</f>
        <v>0</v>
      </c>
      <c r="E279" s="40">
        <f>IF(E7&lt;=Tabulação!$H$26,E7*Tabulação!$I$26,IF(E7&lt;=Tabulação!$H$27,E7*Tabulação!$I$27,IF(E7&lt;=Tabulação!$H$28,E7*Tabulação!$I$28,Tabulação!$I$29)))</f>
        <v>0</v>
      </c>
      <c r="F279" s="40">
        <f>IF(F7&lt;=Tabulação!$H$26,F7*Tabulação!$I$26,IF(F7&lt;=Tabulação!$H$27,F7*Tabulação!$I$27,IF(F7&lt;=Tabulação!$H$28,F7*Tabulação!$I$28,Tabulação!$I$29)))</f>
        <v>0</v>
      </c>
      <c r="G279" s="40">
        <f>IF(G7&lt;=Tabulação!$H$26,G7*Tabulação!$I$26,IF(G7&lt;=Tabulação!$H$27,G7*Tabulação!$I$27,IF(G7&lt;=Tabulação!$H$28,G7*Tabulação!$I$28,Tabulação!$I$29)))</f>
        <v>0</v>
      </c>
      <c r="H279" s="40">
        <f>IF(H7&lt;=Tabulação!$H$26,H7*Tabulação!$I$26,IF(H7&lt;=Tabulação!$H$27,H7*Tabulação!$I$27,IF(H7&lt;=Tabulação!$H$28,H7*Tabulação!$I$28,Tabulação!$I$29)))</f>
        <v>0</v>
      </c>
      <c r="I279" s="40">
        <f>IF(I7&lt;=Tabulação!$H$26,I7*Tabulação!$I$26,IF(I7&lt;=Tabulação!$H$27,I7*Tabulação!$I$27,IF(I7&lt;=Tabulação!$H$28,I7*Tabulação!$I$28,Tabulação!$I$29)))</f>
        <v>0</v>
      </c>
      <c r="J279" s="40">
        <f>IF(J7&lt;=Tabulação!$H$26,J7*Tabulação!$I$26,IF(J7&lt;=Tabulação!$H$27,J7*Tabulação!$I$27,IF(J7&lt;=Tabulação!$H$28,J7*Tabulação!$I$28,Tabulação!$I$29)))</f>
        <v>0</v>
      </c>
      <c r="K279" s="40">
        <f>IF(K7&lt;=Tabulação!$H$26,K7*Tabulação!$I$26,IF(K7&lt;=Tabulação!$H$27,K7*Tabulação!$I$27,IF(K7&lt;=Tabulação!$H$28,K7*Tabulação!$I$28,Tabulação!$I$29)))</f>
        <v>0</v>
      </c>
      <c r="L279" s="40">
        <f>IF(L7&lt;=Tabulação!$H$26,L7*Tabulação!$I$26,IF(L7&lt;=Tabulação!$H$27,L7*Tabulação!$I$27,IF(L7&lt;=Tabulação!$H$28,L7*Tabulação!$I$28,Tabulação!$I$29)))</f>
        <v>0</v>
      </c>
      <c r="M279" s="40">
        <f>IF(M7&lt;=Tabulação!$H$26,M7*Tabulação!$I$26,IF(M7&lt;=Tabulação!$H$27,M7*Tabulação!$I$27,IF(M7&lt;=Tabulação!$H$28,M7*Tabulação!$I$28,Tabulação!$I$29)))</f>
        <v>0</v>
      </c>
      <c r="N279" s="40">
        <f>IF(N7&lt;=Tabulação!$H$26,N7*Tabulação!$I$26,IF(N7&lt;=Tabulação!$H$27,N7*Tabulação!$I$27,IF(N7&lt;=Tabulação!$H$28,N7*Tabulação!$I$28,Tabulação!$I$29)))</f>
        <v>0</v>
      </c>
      <c r="O279" s="41">
        <f>IF(O7&lt;=Tabulação!$H$26,O7*Tabulação!$I$26,IF(O7&lt;=Tabulação!$H$27,O7*Tabulação!$I$27,IF(O7&lt;=Tabulação!$H$28,O7*Tabulação!$I$28,Tabulação!$I$29)))</f>
        <v>0</v>
      </c>
      <c r="P279" s="41">
        <f t="shared" ref="P279:P291" si="103">SUM(C279:N279)</f>
        <v>0</v>
      </c>
    </row>
    <row r="280" spans="1:16" ht="30" hidden="1" customHeight="1" outlineLevel="1" thickBot="1" x14ac:dyDescent="0.3">
      <c r="A280" s="39" t="str">
        <f t="shared" si="101"/>
        <v/>
      </c>
      <c r="B280" s="39" t="str">
        <f t="shared" si="102"/>
        <v/>
      </c>
      <c r="C280" s="40">
        <f>IF(C8&lt;=Tabulação!$H$26,C8*Tabulação!$I$26,IF(C8&lt;=Tabulação!$H$27,C8*Tabulação!$I$27,IF(C8&lt;=Tabulação!$H$28,C8*Tabulação!$I$28,Tabulação!$I$29)))</f>
        <v>0</v>
      </c>
      <c r="D280" s="40">
        <f>IF(D8&lt;=Tabulação!$H$26,D8*Tabulação!$I$26,IF(D8&lt;=Tabulação!$H$27,D8*Tabulação!$I$27,IF(D8&lt;=Tabulação!$H$28,D8*Tabulação!$I$28,Tabulação!$I$29)))</f>
        <v>0</v>
      </c>
      <c r="E280" s="40">
        <f>IF(E8&lt;=Tabulação!$H$26,E8*Tabulação!$I$26,IF(E8&lt;=Tabulação!$H$27,E8*Tabulação!$I$27,IF(E8&lt;=Tabulação!$H$28,E8*Tabulação!$I$28,Tabulação!$I$29)))</f>
        <v>0</v>
      </c>
      <c r="F280" s="40">
        <f>IF(F8&lt;=Tabulação!$H$26,F8*Tabulação!$I$26,IF(F8&lt;=Tabulação!$H$27,F8*Tabulação!$I$27,IF(F8&lt;=Tabulação!$H$28,F8*Tabulação!$I$28,Tabulação!$I$29)))</f>
        <v>0</v>
      </c>
      <c r="G280" s="40">
        <f>IF(G8&lt;=Tabulação!$H$26,G8*Tabulação!$I$26,IF(G8&lt;=Tabulação!$H$27,G8*Tabulação!$I$27,IF(G8&lt;=Tabulação!$H$28,G8*Tabulação!$I$28,Tabulação!$I$29)))</f>
        <v>0</v>
      </c>
      <c r="H280" s="40">
        <f>IF(H8&lt;=Tabulação!$H$26,H8*Tabulação!$I$26,IF(H8&lt;=Tabulação!$H$27,H8*Tabulação!$I$27,IF(H8&lt;=Tabulação!$H$28,H8*Tabulação!$I$28,Tabulação!$I$29)))</f>
        <v>0</v>
      </c>
      <c r="I280" s="40">
        <f>IF(I8&lt;=Tabulação!$H$26,I8*Tabulação!$I$26,IF(I8&lt;=Tabulação!$H$27,I8*Tabulação!$I$27,IF(I8&lt;=Tabulação!$H$28,I8*Tabulação!$I$28,Tabulação!$I$29)))</f>
        <v>0</v>
      </c>
      <c r="J280" s="40">
        <f>IF(J8&lt;=Tabulação!$H$26,J8*Tabulação!$I$26,IF(J8&lt;=Tabulação!$H$27,J8*Tabulação!$I$27,IF(J8&lt;=Tabulação!$H$28,J8*Tabulação!$I$28,Tabulação!$I$29)))</f>
        <v>0</v>
      </c>
      <c r="K280" s="40">
        <f>IF(K8&lt;=Tabulação!$H$26,K8*Tabulação!$I$26,IF(K8&lt;=Tabulação!$H$27,K8*Tabulação!$I$27,IF(K8&lt;=Tabulação!$H$28,K8*Tabulação!$I$28,Tabulação!$I$29)))</f>
        <v>0</v>
      </c>
      <c r="L280" s="40">
        <f>IF(L8&lt;=Tabulação!$H$26,L8*Tabulação!$I$26,IF(L8&lt;=Tabulação!$H$27,L8*Tabulação!$I$27,IF(L8&lt;=Tabulação!$H$28,L8*Tabulação!$I$28,Tabulação!$I$29)))</f>
        <v>0</v>
      </c>
      <c r="M280" s="40">
        <f>IF(M8&lt;=Tabulação!$H$26,M8*Tabulação!$I$26,IF(M8&lt;=Tabulação!$H$27,M8*Tabulação!$I$27,IF(M8&lt;=Tabulação!$H$28,M8*Tabulação!$I$28,Tabulação!$I$29)))</f>
        <v>0</v>
      </c>
      <c r="N280" s="40">
        <f>IF(N8&lt;=Tabulação!$H$26,N8*Tabulação!$I$26,IF(N8&lt;=Tabulação!$H$27,N8*Tabulação!$I$27,IF(N8&lt;=Tabulação!$H$28,N8*Tabulação!$I$28,Tabulação!$I$29)))</f>
        <v>0</v>
      </c>
      <c r="O280" s="41">
        <f>IF(O8&lt;=Tabulação!$H$26,O8*Tabulação!$I$26,IF(O8&lt;=Tabulação!$H$27,O8*Tabulação!$I$27,IF(O8&lt;=Tabulação!$H$28,O8*Tabulação!$I$28,Tabulação!$I$29)))</f>
        <v>0</v>
      </c>
      <c r="P280" s="41">
        <f t="shared" si="103"/>
        <v>0</v>
      </c>
    </row>
    <row r="281" spans="1:16" ht="30" hidden="1" customHeight="1" outlineLevel="1" thickBot="1" x14ac:dyDescent="0.3">
      <c r="A281" s="39" t="str">
        <f t="shared" si="101"/>
        <v/>
      </c>
      <c r="B281" s="39" t="str">
        <f t="shared" si="102"/>
        <v/>
      </c>
      <c r="C281" s="40">
        <f>IF(C9&lt;=Tabulação!$H$26,C9*Tabulação!$I$26,IF(C9&lt;=Tabulação!$H$27,C9*Tabulação!$I$27,IF(C9&lt;=Tabulação!$H$28,C9*Tabulação!$I$28,Tabulação!$I$29)))</f>
        <v>0</v>
      </c>
      <c r="D281" s="40">
        <f>IF(D9&lt;=Tabulação!$H$26,D9*Tabulação!$I$26,IF(D9&lt;=Tabulação!$H$27,D9*Tabulação!$I$27,IF(D9&lt;=Tabulação!$H$28,D9*Tabulação!$I$28,Tabulação!$I$29)))</f>
        <v>0</v>
      </c>
      <c r="E281" s="40">
        <f>IF(E9&lt;=Tabulação!$H$26,E9*Tabulação!$I$26,IF(E9&lt;=Tabulação!$H$27,E9*Tabulação!$I$27,IF(E9&lt;=Tabulação!$H$28,E9*Tabulação!$I$28,Tabulação!$I$29)))</f>
        <v>0</v>
      </c>
      <c r="F281" s="40">
        <f>IF(F9&lt;=Tabulação!$H$26,F9*Tabulação!$I$26,IF(F9&lt;=Tabulação!$H$27,F9*Tabulação!$I$27,IF(F9&lt;=Tabulação!$H$28,F9*Tabulação!$I$28,Tabulação!$I$29)))</f>
        <v>0</v>
      </c>
      <c r="G281" s="40">
        <f>IF(G9&lt;=Tabulação!$H$26,G9*Tabulação!$I$26,IF(G9&lt;=Tabulação!$H$27,G9*Tabulação!$I$27,IF(G9&lt;=Tabulação!$H$28,G9*Tabulação!$I$28,Tabulação!$I$29)))</f>
        <v>0</v>
      </c>
      <c r="H281" s="40">
        <f>IF(H9&lt;=Tabulação!$H$26,H9*Tabulação!$I$26,IF(H9&lt;=Tabulação!$H$27,H9*Tabulação!$I$27,IF(H9&lt;=Tabulação!$H$28,H9*Tabulação!$I$28,Tabulação!$I$29)))</f>
        <v>0</v>
      </c>
      <c r="I281" s="40">
        <f>IF(I9&lt;=Tabulação!$H$26,I9*Tabulação!$I$26,IF(I9&lt;=Tabulação!$H$27,I9*Tabulação!$I$27,IF(I9&lt;=Tabulação!$H$28,I9*Tabulação!$I$28,Tabulação!$I$29)))</f>
        <v>0</v>
      </c>
      <c r="J281" s="40">
        <f>IF(J9&lt;=Tabulação!$H$26,J9*Tabulação!$I$26,IF(J9&lt;=Tabulação!$H$27,J9*Tabulação!$I$27,IF(J9&lt;=Tabulação!$H$28,J9*Tabulação!$I$28,Tabulação!$I$29)))</f>
        <v>0</v>
      </c>
      <c r="K281" s="40">
        <f>IF(K9&lt;=Tabulação!$H$26,K9*Tabulação!$I$26,IF(K9&lt;=Tabulação!$H$27,K9*Tabulação!$I$27,IF(K9&lt;=Tabulação!$H$28,K9*Tabulação!$I$28,Tabulação!$I$29)))</f>
        <v>0</v>
      </c>
      <c r="L281" s="40">
        <f>IF(L9&lt;=Tabulação!$H$26,L9*Tabulação!$I$26,IF(L9&lt;=Tabulação!$H$27,L9*Tabulação!$I$27,IF(L9&lt;=Tabulação!$H$28,L9*Tabulação!$I$28,Tabulação!$I$29)))</f>
        <v>0</v>
      </c>
      <c r="M281" s="40">
        <f>IF(M9&lt;=Tabulação!$H$26,M9*Tabulação!$I$26,IF(M9&lt;=Tabulação!$H$27,M9*Tabulação!$I$27,IF(M9&lt;=Tabulação!$H$28,M9*Tabulação!$I$28,Tabulação!$I$29)))</f>
        <v>0</v>
      </c>
      <c r="N281" s="40">
        <f>IF(N9&lt;=Tabulação!$H$26,N9*Tabulação!$I$26,IF(N9&lt;=Tabulação!$H$27,N9*Tabulação!$I$27,IF(N9&lt;=Tabulação!$H$28,N9*Tabulação!$I$28,Tabulação!$I$29)))</f>
        <v>0</v>
      </c>
      <c r="O281" s="41">
        <f>IF(O9&lt;=Tabulação!$H$26,O9*Tabulação!$I$26,IF(O9&lt;=Tabulação!$H$27,O9*Tabulação!$I$27,IF(O9&lt;=Tabulação!$H$28,O9*Tabulação!$I$28,Tabulação!$I$29)))</f>
        <v>0</v>
      </c>
      <c r="P281" s="41">
        <f t="shared" si="103"/>
        <v>0</v>
      </c>
    </row>
    <row r="282" spans="1:16" ht="30" hidden="1" customHeight="1" outlineLevel="1" thickBot="1" x14ac:dyDescent="0.3">
      <c r="A282" s="39" t="str">
        <f t="shared" si="101"/>
        <v/>
      </c>
      <c r="B282" s="39" t="str">
        <f t="shared" si="102"/>
        <v/>
      </c>
      <c r="C282" s="40">
        <f>IF(C10&lt;=Tabulação!$H$26,C10*Tabulação!$I$26,IF(C10&lt;=Tabulação!$H$27,C10*Tabulação!$I$27,IF(C10&lt;=Tabulação!$H$28,C10*Tabulação!$I$28,Tabulação!$I$29)))</f>
        <v>0</v>
      </c>
      <c r="D282" s="40">
        <f>IF(D10&lt;=Tabulação!$H$26,D10*Tabulação!$I$26,IF(D10&lt;=Tabulação!$H$27,D10*Tabulação!$I$27,IF(D10&lt;=Tabulação!$H$28,D10*Tabulação!$I$28,Tabulação!$I$29)))</f>
        <v>0</v>
      </c>
      <c r="E282" s="40">
        <f>IF(E10&lt;=Tabulação!$H$26,E10*Tabulação!$I$26,IF(E10&lt;=Tabulação!$H$27,E10*Tabulação!$I$27,IF(E10&lt;=Tabulação!$H$28,E10*Tabulação!$I$28,Tabulação!$I$29)))</f>
        <v>0</v>
      </c>
      <c r="F282" s="40">
        <f>IF(F10&lt;=Tabulação!$H$26,F10*Tabulação!$I$26,IF(F10&lt;=Tabulação!$H$27,F10*Tabulação!$I$27,IF(F10&lt;=Tabulação!$H$28,F10*Tabulação!$I$28,Tabulação!$I$29)))</f>
        <v>0</v>
      </c>
      <c r="G282" s="40">
        <f>IF(G10&lt;=Tabulação!$H$26,G10*Tabulação!$I$26,IF(G10&lt;=Tabulação!$H$27,G10*Tabulação!$I$27,IF(G10&lt;=Tabulação!$H$28,G10*Tabulação!$I$28,Tabulação!$I$29)))</f>
        <v>0</v>
      </c>
      <c r="H282" s="40">
        <f>IF(H10&lt;=Tabulação!$H$26,H10*Tabulação!$I$26,IF(H10&lt;=Tabulação!$H$27,H10*Tabulação!$I$27,IF(H10&lt;=Tabulação!$H$28,H10*Tabulação!$I$28,Tabulação!$I$29)))</f>
        <v>0</v>
      </c>
      <c r="I282" s="40">
        <f>IF(I10&lt;=Tabulação!$H$26,I10*Tabulação!$I$26,IF(I10&lt;=Tabulação!$H$27,I10*Tabulação!$I$27,IF(I10&lt;=Tabulação!$H$28,I10*Tabulação!$I$28,Tabulação!$I$29)))</f>
        <v>0</v>
      </c>
      <c r="J282" s="40">
        <f>IF(J10&lt;=Tabulação!$H$26,J10*Tabulação!$I$26,IF(J10&lt;=Tabulação!$H$27,J10*Tabulação!$I$27,IF(J10&lt;=Tabulação!$H$28,J10*Tabulação!$I$28,Tabulação!$I$29)))</f>
        <v>0</v>
      </c>
      <c r="K282" s="40">
        <f>IF(K10&lt;=Tabulação!$H$26,K10*Tabulação!$I$26,IF(K10&lt;=Tabulação!$H$27,K10*Tabulação!$I$27,IF(K10&lt;=Tabulação!$H$28,K10*Tabulação!$I$28,Tabulação!$I$29)))</f>
        <v>0</v>
      </c>
      <c r="L282" s="40">
        <f>IF(L10&lt;=Tabulação!$H$26,L10*Tabulação!$I$26,IF(L10&lt;=Tabulação!$H$27,L10*Tabulação!$I$27,IF(L10&lt;=Tabulação!$H$28,L10*Tabulação!$I$28,Tabulação!$I$29)))</f>
        <v>0</v>
      </c>
      <c r="M282" s="40">
        <f>IF(M10&lt;=Tabulação!$H$26,M10*Tabulação!$I$26,IF(M10&lt;=Tabulação!$H$27,M10*Tabulação!$I$27,IF(M10&lt;=Tabulação!$H$28,M10*Tabulação!$I$28,Tabulação!$I$29)))</f>
        <v>0</v>
      </c>
      <c r="N282" s="40">
        <f>IF(N10&lt;=Tabulação!$H$26,N10*Tabulação!$I$26,IF(N10&lt;=Tabulação!$H$27,N10*Tabulação!$I$27,IF(N10&lt;=Tabulação!$H$28,N10*Tabulação!$I$28,Tabulação!$I$29)))</f>
        <v>0</v>
      </c>
      <c r="O282" s="41">
        <f>IF(O10&lt;=Tabulação!$H$26,O10*Tabulação!$I$26,IF(O10&lt;=Tabulação!$H$27,O10*Tabulação!$I$27,IF(O10&lt;=Tabulação!$H$28,O10*Tabulação!$I$28,Tabulação!$I$29)))</f>
        <v>0</v>
      </c>
      <c r="P282" s="41">
        <f t="shared" si="103"/>
        <v>0</v>
      </c>
    </row>
    <row r="283" spans="1:16" ht="30" hidden="1" customHeight="1" outlineLevel="1" thickBot="1" x14ac:dyDescent="0.3">
      <c r="A283" s="39" t="str">
        <f t="shared" si="101"/>
        <v/>
      </c>
      <c r="B283" s="39" t="str">
        <f t="shared" si="102"/>
        <v/>
      </c>
      <c r="C283" s="40">
        <f>IF(C11&lt;=Tabulação!$H$26,C11*Tabulação!$I$26,IF(C11&lt;=Tabulação!$H$27,C11*Tabulação!$I$27,IF(C11&lt;=Tabulação!$H$28,C11*Tabulação!$I$28,Tabulação!$I$29)))</f>
        <v>0</v>
      </c>
      <c r="D283" s="40">
        <f>IF(D11&lt;=Tabulação!$H$26,D11*Tabulação!$I$26,IF(D11&lt;=Tabulação!$H$27,D11*Tabulação!$I$27,IF(D11&lt;=Tabulação!$H$28,D11*Tabulação!$I$28,Tabulação!$I$29)))</f>
        <v>0</v>
      </c>
      <c r="E283" s="40">
        <f>IF(E11&lt;=Tabulação!$H$26,E11*Tabulação!$I$26,IF(E11&lt;=Tabulação!$H$27,E11*Tabulação!$I$27,IF(E11&lt;=Tabulação!$H$28,E11*Tabulação!$I$28,Tabulação!$I$29)))</f>
        <v>0</v>
      </c>
      <c r="F283" s="40">
        <f>IF(F11&lt;=Tabulação!$H$26,F11*Tabulação!$I$26,IF(F11&lt;=Tabulação!$H$27,F11*Tabulação!$I$27,IF(F11&lt;=Tabulação!$H$28,F11*Tabulação!$I$28,Tabulação!$I$29)))</f>
        <v>0</v>
      </c>
      <c r="G283" s="40">
        <f>IF(G11&lt;=Tabulação!$H$26,G11*Tabulação!$I$26,IF(G11&lt;=Tabulação!$H$27,G11*Tabulação!$I$27,IF(G11&lt;=Tabulação!$H$28,G11*Tabulação!$I$28,Tabulação!$I$29)))</f>
        <v>0</v>
      </c>
      <c r="H283" s="40">
        <f>IF(H11&lt;=Tabulação!$H$26,H11*Tabulação!$I$26,IF(H11&lt;=Tabulação!$H$27,H11*Tabulação!$I$27,IF(H11&lt;=Tabulação!$H$28,H11*Tabulação!$I$28,Tabulação!$I$29)))</f>
        <v>0</v>
      </c>
      <c r="I283" s="40">
        <f>IF(I11&lt;=Tabulação!$H$26,I11*Tabulação!$I$26,IF(I11&lt;=Tabulação!$H$27,I11*Tabulação!$I$27,IF(I11&lt;=Tabulação!$H$28,I11*Tabulação!$I$28,Tabulação!$I$29)))</f>
        <v>0</v>
      </c>
      <c r="J283" s="40">
        <f>IF(J11&lt;=Tabulação!$H$26,J11*Tabulação!$I$26,IF(J11&lt;=Tabulação!$H$27,J11*Tabulação!$I$27,IF(J11&lt;=Tabulação!$H$28,J11*Tabulação!$I$28,Tabulação!$I$29)))</f>
        <v>0</v>
      </c>
      <c r="K283" s="40">
        <f>IF(K11&lt;=Tabulação!$H$26,K11*Tabulação!$I$26,IF(K11&lt;=Tabulação!$H$27,K11*Tabulação!$I$27,IF(K11&lt;=Tabulação!$H$28,K11*Tabulação!$I$28,Tabulação!$I$29)))</f>
        <v>0</v>
      </c>
      <c r="L283" s="40">
        <f>IF(L11&lt;=Tabulação!$H$26,L11*Tabulação!$I$26,IF(L11&lt;=Tabulação!$H$27,L11*Tabulação!$I$27,IF(L11&lt;=Tabulação!$H$28,L11*Tabulação!$I$28,Tabulação!$I$29)))</f>
        <v>0</v>
      </c>
      <c r="M283" s="40">
        <f>IF(M11&lt;=Tabulação!$H$26,M11*Tabulação!$I$26,IF(M11&lt;=Tabulação!$H$27,M11*Tabulação!$I$27,IF(M11&lt;=Tabulação!$H$28,M11*Tabulação!$I$28,Tabulação!$I$29)))</f>
        <v>0</v>
      </c>
      <c r="N283" s="40">
        <f>IF(N11&lt;=Tabulação!$H$26,N11*Tabulação!$I$26,IF(N11&lt;=Tabulação!$H$27,N11*Tabulação!$I$27,IF(N11&lt;=Tabulação!$H$28,N11*Tabulação!$I$28,Tabulação!$I$29)))</f>
        <v>0</v>
      </c>
      <c r="O283" s="41">
        <f>IF(O11&lt;=Tabulação!$H$26,O11*Tabulação!$I$26,IF(O11&lt;=Tabulação!$H$27,O11*Tabulação!$I$27,IF(O11&lt;=Tabulação!$H$28,O11*Tabulação!$I$28,Tabulação!$I$29)))</f>
        <v>0</v>
      </c>
      <c r="P283" s="41">
        <f t="shared" si="103"/>
        <v>0</v>
      </c>
    </row>
    <row r="284" spans="1:16" ht="30" hidden="1" customHeight="1" outlineLevel="1" thickBot="1" x14ac:dyDescent="0.3">
      <c r="A284" s="39" t="str">
        <f t="shared" si="101"/>
        <v/>
      </c>
      <c r="B284" s="39" t="str">
        <f t="shared" si="102"/>
        <v/>
      </c>
      <c r="C284" s="40">
        <f>IF(C12&lt;=Tabulação!$H$26,C12*Tabulação!$I$26,IF(C12&lt;=Tabulação!$H$27,C12*Tabulação!$I$27,IF(C12&lt;=Tabulação!$H$28,C12*Tabulação!$I$28,Tabulação!$I$29)))</f>
        <v>0</v>
      </c>
      <c r="D284" s="40">
        <f>IF(D12&lt;=Tabulação!$H$26,D12*Tabulação!$I$26,IF(D12&lt;=Tabulação!$H$27,D12*Tabulação!$I$27,IF(D12&lt;=Tabulação!$H$28,D12*Tabulação!$I$28,Tabulação!$I$29)))</f>
        <v>0</v>
      </c>
      <c r="E284" s="40">
        <f>IF(E12&lt;=Tabulação!$H$26,E12*Tabulação!$I$26,IF(E12&lt;=Tabulação!$H$27,E12*Tabulação!$I$27,IF(E12&lt;=Tabulação!$H$28,E12*Tabulação!$I$28,Tabulação!$I$29)))</f>
        <v>0</v>
      </c>
      <c r="F284" s="40">
        <f>IF(F12&lt;=Tabulação!$H$26,F12*Tabulação!$I$26,IF(F12&lt;=Tabulação!$H$27,F12*Tabulação!$I$27,IF(F12&lt;=Tabulação!$H$28,F12*Tabulação!$I$28,Tabulação!$I$29)))</f>
        <v>0</v>
      </c>
      <c r="G284" s="40">
        <f>IF(G12&lt;=Tabulação!$H$26,G12*Tabulação!$I$26,IF(G12&lt;=Tabulação!$H$27,G12*Tabulação!$I$27,IF(G12&lt;=Tabulação!$H$28,G12*Tabulação!$I$28,Tabulação!$I$29)))</f>
        <v>0</v>
      </c>
      <c r="H284" s="40">
        <f>IF(H12&lt;=Tabulação!$H$26,H12*Tabulação!$I$26,IF(H12&lt;=Tabulação!$H$27,H12*Tabulação!$I$27,IF(H12&lt;=Tabulação!$H$28,H12*Tabulação!$I$28,Tabulação!$I$29)))</f>
        <v>0</v>
      </c>
      <c r="I284" s="40">
        <f>IF(I12&lt;=Tabulação!$H$26,I12*Tabulação!$I$26,IF(I12&lt;=Tabulação!$H$27,I12*Tabulação!$I$27,IF(I12&lt;=Tabulação!$H$28,I12*Tabulação!$I$28,Tabulação!$I$29)))</f>
        <v>0</v>
      </c>
      <c r="J284" s="40">
        <f>IF(J12&lt;=Tabulação!$H$26,J12*Tabulação!$I$26,IF(J12&lt;=Tabulação!$H$27,J12*Tabulação!$I$27,IF(J12&lt;=Tabulação!$H$28,J12*Tabulação!$I$28,Tabulação!$I$29)))</f>
        <v>0</v>
      </c>
      <c r="K284" s="40">
        <f>IF(K12&lt;=Tabulação!$H$26,K12*Tabulação!$I$26,IF(K12&lt;=Tabulação!$H$27,K12*Tabulação!$I$27,IF(K12&lt;=Tabulação!$H$28,K12*Tabulação!$I$28,Tabulação!$I$29)))</f>
        <v>0</v>
      </c>
      <c r="L284" s="40">
        <f>IF(L12&lt;=Tabulação!$H$26,L12*Tabulação!$I$26,IF(L12&lt;=Tabulação!$H$27,L12*Tabulação!$I$27,IF(L12&lt;=Tabulação!$H$28,L12*Tabulação!$I$28,Tabulação!$I$29)))</f>
        <v>0</v>
      </c>
      <c r="M284" s="40">
        <f>IF(M12&lt;=Tabulação!$H$26,M12*Tabulação!$I$26,IF(M12&lt;=Tabulação!$H$27,M12*Tabulação!$I$27,IF(M12&lt;=Tabulação!$H$28,M12*Tabulação!$I$28,Tabulação!$I$29)))</f>
        <v>0</v>
      </c>
      <c r="N284" s="40">
        <f>IF(N12&lt;=Tabulação!$H$26,N12*Tabulação!$I$26,IF(N12&lt;=Tabulação!$H$27,N12*Tabulação!$I$27,IF(N12&lt;=Tabulação!$H$28,N12*Tabulação!$I$28,Tabulação!$I$29)))</f>
        <v>0</v>
      </c>
      <c r="O284" s="41">
        <f>IF(O12&lt;=Tabulação!$H$26,O12*Tabulação!$I$26,IF(O12&lt;=Tabulação!$H$27,O12*Tabulação!$I$27,IF(O12&lt;=Tabulação!$H$28,O12*Tabulação!$I$28,Tabulação!$I$29)))</f>
        <v>0</v>
      </c>
      <c r="P284" s="41">
        <f t="shared" si="103"/>
        <v>0</v>
      </c>
    </row>
    <row r="285" spans="1:16" ht="30" hidden="1" customHeight="1" outlineLevel="1" thickBot="1" x14ac:dyDescent="0.3">
      <c r="A285" s="39" t="str">
        <f t="shared" si="101"/>
        <v/>
      </c>
      <c r="B285" s="39" t="str">
        <f t="shared" si="102"/>
        <v/>
      </c>
      <c r="C285" s="40">
        <f>IF(C13&lt;=Tabulação!$H$26,C13*Tabulação!$I$26,IF(C13&lt;=Tabulação!$H$27,C13*Tabulação!$I$27,IF(C13&lt;=Tabulação!$H$28,C13*Tabulação!$I$28,Tabulação!$I$29)))</f>
        <v>0</v>
      </c>
      <c r="D285" s="40">
        <f>IF(D13&lt;=Tabulação!$H$26,D13*Tabulação!$I$26,IF(D13&lt;=Tabulação!$H$27,D13*Tabulação!$I$27,IF(D13&lt;=Tabulação!$H$28,D13*Tabulação!$I$28,Tabulação!$I$29)))</f>
        <v>0</v>
      </c>
      <c r="E285" s="40">
        <f>IF(E13&lt;=Tabulação!$H$26,E13*Tabulação!$I$26,IF(E13&lt;=Tabulação!$H$27,E13*Tabulação!$I$27,IF(E13&lt;=Tabulação!$H$28,E13*Tabulação!$I$28,Tabulação!$I$29)))</f>
        <v>0</v>
      </c>
      <c r="F285" s="40">
        <f>IF(F13&lt;=Tabulação!$H$26,F13*Tabulação!$I$26,IF(F13&lt;=Tabulação!$H$27,F13*Tabulação!$I$27,IF(F13&lt;=Tabulação!$H$28,F13*Tabulação!$I$28,Tabulação!$I$29)))</f>
        <v>0</v>
      </c>
      <c r="G285" s="40">
        <f>IF(G13&lt;=Tabulação!$H$26,G13*Tabulação!$I$26,IF(G13&lt;=Tabulação!$H$27,G13*Tabulação!$I$27,IF(G13&lt;=Tabulação!$H$28,G13*Tabulação!$I$28,Tabulação!$I$29)))</f>
        <v>0</v>
      </c>
      <c r="H285" s="40">
        <f>IF(H13&lt;=Tabulação!$H$26,H13*Tabulação!$I$26,IF(H13&lt;=Tabulação!$H$27,H13*Tabulação!$I$27,IF(H13&lt;=Tabulação!$H$28,H13*Tabulação!$I$28,Tabulação!$I$29)))</f>
        <v>0</v>
      </c>
      <c r="I285" s="40">
        <f>IF(I13&lt;=Tabulação!$H$26,I13*Tabulação!$I$26,IF(I13&lt;=Tabulação!$H$27,I13*Tabulação!$I$27,IF(I13&lt;=Tabulação!$H$28,I13*Tabulação!$I$28,Tabulação!$I$29)))</f>
        <v>0</v>
      </c>
      <c r="J285" s="40">
        <f>IF(J13&lt;=Tabulação!$H$26,J13*Tabulação!$I$26,IF(J13&lt;=Tabulação!$H$27,J13*Tabulação!$I$27,IF(J13&lt;=Tabulação!$H$28,J13*Tabulação!$I$28,Tabulação!$I$29)))</f>
        <v>0</v>
      </c>
      <c r="K285" s="40">
        <f>IF(K13&lt;=Tabulação!$H$26,K13*Tabulação!$I$26,IF(K13&lt;=Tabulação!$H$27,K13*Tabulação!$I$27,IF(K13&lt;=Tabulação!$H$28,K13*Tabulação!$I$28,Tabulação!$I$29)))</f>
        <v>0</v>
      </c>
      <c r="L285" s="40">
        <f>IF(L13&lt;=Tabulação!$H$26,L13*Tabulação!$I$26,IF(L13&lt;=Tabulação!$H$27,L13*Tabulação!$I$27,IF(L13&lt;=Tabulação!$H$28,L13*Tabulação!$I$28,Tabulação!$I$29)))</f>
        <v>0</v>
      </c>
      <c r="M285" s="40">
        <f>IF(M13&lt;=Tabulação!$H$26,M13*Tabulação!$I$26,IF(M13&lt;=Tabulação!$H$27,M13*Tabulação!$I$27,IF(M13&lt;=Tabulação!$H$28,M13*Tabulação!$I$28,Tabulação!$I$29)))</f>
        <v>0</v>
      </c>
      <c r="N285" s="40">
        <f>IF(N13&lt;=Tabulação!$H$26,N13*Tabulação!$I$26,IF(N13&lt;=Tabulação!$H$27,N13*Tabulação!$I$27,IF(N13&lt;=Tabulação!$H$28,N13*Tabulação!$I$28,Tabulação!$I$29)))</f>
        <v>0</v>
      </c>
      <c r="O285" s="41">
        <f>IF(O13&lt;=Tabulação!$H$26,O13*Tabulação!$I$26,IF(O13&lt;=Tabulação!$H$27,O13*Tabulação!$I$27,IF(O13&lt;=Tabulação!$H$28,O13*Tabulação!$I$28,Tabulação!$I$29)))</f>
        <v>0</v>
      </c>
      <c r="P285" s="41">
        <f t="shared" si="103"/>
        <v>0</v>
      </c>
    </row>
    <row r="286" spans="1:16" ht="30" hidden="1" customHeight="1" outlineLevel="1" thickBot="1" x14ac:dyDescent="0.3">
      <c r="A286" s="39" t="str">
        <f t="shared" si="101"/>
        <v/>
      </c>
      <c r="B286" s="39" t="str">
        <f t="shared" si="102"/>
        <v/>
      </c>
      <c r="C286" s="40">
        <f>IF(C14&lt;=Tabulação!$H$26,C14*Tabulação!$I$26,IF(C14&lt;=Tabulação!$H$27,C14*Tabulação!$I$27,IF(C14&lt;=Tabulação!$H$28,C14*Tabulação!$I$28,Tabulação!$I$29)))</f>
        <v>0</v>
      </c>
      <c r="D286" s="40">
        <f>IF(D14&lt;=Tabulação!$H$26,D14*Tabulação!$I$26,IF(D14&lt;=Tabulação!$H$27,D14*Tabulação!$I$27,IF(D14&lt;=Tabulação!$H$28,D14*Tabulação!$I$28,Tabulação!$I$29)))</f>
        <v>0</v>
      </c>
      <c r="E286" s="40">
        <f>IF(E14&lt;=Tabulação!$H$26,E14*Tabulação!$I$26,IF(E14&lt;=Tabulação!$H$27,E14*Tabulação!$I$27,IF(E14&lt;=Tabulação!$H$28,E14*Tabulação!$I$28,Tabulação!$I$29)))</f>
        <v>0</v>
      </c>
      <c r="F286" s="40">
        <f>IF(F14&lt;=Tabulação!$H$26,F14*Tabulação!$I$26,IF(F14&lt;=Tabulação!$H$27,F14*Tabulação!$I$27,IF(F14&lt;=Tabulação!$H$28,F14*Tabulação!$I$28,Tabulação!$I$29)))</f>
        <v>0</v>
      </c>
      <c r="G286" s="40">
        <f>IF(G14&lt;=Tabulação!$H$26,G14*Tabulação!$I$26,IF(G14&lt;=Tabulação!$H$27,G14*Tabulação!$I$27,IF(G14&lt;=Tabulação!$H$28,G14*Tabulação!$I$28,Tabulação!$I$29)))</f>
        <v>0</v>
      </c>
      <c r="H286" s="40">
        <f>IF(H14&lt;=Tabulação!$H$26,H14*Tabulação!$I$26,IF(H14&lt;=Tabulação!$H$27,H14*Tabulação!$I$27,IF(H14&lt;=Tabulação!$H$28,H14*Tabulação!$I$28,Tabulação!$I$29)))</f>
        <v>0</v>
      </c>
      <c r="I286" s="40">
        <f>IF(I14&lt;=Tabulação!$H$26,I14*Tabulação!$I$26,IF(I14&lt;=Tabulação!$H$27,I14*Tabulação!$I$27,IF(I14&lt;=Tabulação!$H$28,I14*Tabulação!$I$28,Tabulação!$I$29)))</f>
        <v>0</v>
      </c>
      <c r="J286" s="40">
        <f>IF(J14&lt;=Tabulação!$H$26,J14*Tabulação!$I$26,IF(J14&lt;=Tabulação!$H$27,J14*Tabulação!$I$27,IF(J14&lt;=Tabulação!$H$28,J14*Tabulação!$I$28,Tabulação!$I$29)))</f>
        <v>0</v>
      </c>
      <c r="K286" s="40">
        <f>IF(K14&lt;=Tabulação!$H$26,K14*Tabulação!$I$26,IF(K14&lt;=Tabulação!$H$27,K14*Tabulação!$I$27,IF(K14&lt;=Tabulação!$H$28,K14*Tabulação!$I$28,Tabulação!$I$29)))</f>
        <v>0</v>
      </c>
      <c r="L286" s="40">
        <f>IF(L14&lt;=Tabulação!$H$26,L14*Tabulação!$I$26,IF(L14&lt;=Tabulação!$H$27,L14*Tabulação!$I$27,IF(L14&lt;=Tabulação!$H$28,L14*Tabulação!$I$28,Tabulação!$I$29)))</f>
        <v>0</v>
      </c>
      <c r="M286" s="40">
        <f>IF(M14&lt;=Tabulação!$H$26,M14*Tabulação!$I$26,IF(M14&lt;=Tabulação!$H$27,M14*Tabulação!$I$27,IF(M14&lt;=Tabulação!$H$28,M14*Tabulação!$I$28,Tabulação!$I$29)))</f>
        <v>0</v>
      </c>
      <c r="N286" s="40">
        <f>IF(N14&lt;=Tabulação!$H$26,N14*Tabulação!$I$26,IF(N14&lt;=Tabulação!$H$27,N14*Tabulação!$I$27,IF(N14&lt;=Tabulação!$H$28,N14*Tabulação!$I$28,Tabulação!$I$29)))</f>
        <v>0</v>
      </c>
      <c r="O286" s="41">
        <f>IF(O14&lt;=Tabulação!$H$26,O14*Tabulação!$I$26,IF(O14&lt;=Tabulação!$H$27,O14*Tabulação!$I$27,IF(O14&lt;=Tabulação!$H$28,O14*Tabulação!$I$28,Tabulação!$I$29)))</f>
        <v>0</v>
      </c>
      <c r="P286" s="41">
        <f t="shared" si="103"/>
        <v>0</v>
      </c>
    </row>
    <row r="287" spans="1:16" ht="30" hidden="1" customHeight="1" outlineLevel="1" thickBot="1" x14ac:dyDescent="0.3">
      <c r="A287" s="39" t="str">
        <f t="shared" si="101"/>
        <v/>
      </c>
      <c r="B287" s="39" t="str">
        <f t="shared" si="102"/>
        <v/>
      </c>
      <c r="C287" s="40">
        <f>IF(C15&lt;=Tabulação!$H$26,C15*Tabulação!$I$26,IF(C15&lt;=Tabulação!$H$27,C15*Tabulação!$I$27,IF(C15&lt;=Tabulação!$H$28,C15*Tabulação!$I$28,Tabulação!$I$29)))</f>
        <v>0</v>
      </c>
      <c r="D287" s="40">
        <f>IF(D15&lt;=Tabulação!$H$26,D15*Tabulação!$I$26,IF(D15&lt;=Tabulação!$H$27,D15*Tabulação!$I$27,IF(D15&lt;=Tabulação!$H$28,D15*Tabulação!$I$28,Tabulação!$I$29)))</f>
        <v>0</v>
      </c>
      <c r="E287" s="40">
        <f>IF(E15&lt;=Tabulação!$H$26,E15*Tabulação!$I$26,IF(E15&lt;=Tabulação!$H$27,E15*Tabulação!$I$27,IF(E15&lt;=Tabulação!$H$28,E15*Tabulação!$I$28,Tabulação!$I$29)))</f>
        <v>0</v>
      </c>
      <c r="F287" s="40">
        <f>IF(F15&lt;=Tabulação!$H$26,F15*Tabulação!$I$26,IF(F15&lt;=Tabulação!$H$27,F15*Tabulação!$I$27,IF(F15&lt;=Tabulação!$H$28,F15*Tabulação!$I$28,Tabulação!$I$29)))</f>
        <v>0</v>
      </c>
      <c r="G287" s="40">
        <f>IF(G15&lt;=Tabulação!$H$26,G15*Tabulação!$I$26,IF(G15&lt;=Tabulação!$H$27,G15*Tabulação!$I$27,IF(G15&lt;=Tabulação!$H$28,G15*Tabulação!$I$28,Tabulação!$I$29)))</f>
        <v>0</v>
      </c>
      <c r="H287" s="40">
        <f>IF(H15&lt;=Tabulação!$H$26,H15*Tabulação!$I$26,IF(H15&lt;=Tabulação!$H$27,H15*Tabulação!$I$27,IF(H15&lt;=Tabulação!$H$28,H15*Tabulação!$I$28,Tabulação!$I$29)))</f>
        <v>0</v>
      </c>
      <c r="I287" s="40">
        <f>IF(I15&lt;=Tabulação!$H$26,I15*Tabulação!$I$26,IF(I15&lt;=Tabulação!$H$27,I15*Tabulação!$I$27,IF(I15&lt;=Tabulação!$H$28,I15*Tabulação!$I$28,Tabulação!$I$29)))</f>
        <v>0</v>
      </c>
      <c r="J287" s="40">
        <f>IF(J15&lt;=Tabulação!$H$26,J15*Tabulação!$I$26,IF(J15&lt;=Tabulação!$H$27,J15*Tabulação!$I$27,IF(J15&lt;=Tabulação!$H$28,J15*Tabulação!$I$28,Tabulação!$I$29)))</f>
        <v>0</v>
      </c>
      <c r="K287" s="40">
        <f>IF(K15&lt;=Tabulação!$H$26,K15*Tabulação!$I$26,IF(K15&lt;=Tabulação!$H$27,K15*Tabulação!$I$27,IF(K15&lt;=Tabulação!$H$28,K15*Tabulação!$I$28,Tabulação!$I$29)))</f>
        <v>0</v>
      </c>
      <c r="L287" s="40">
        <f>IF(L15&lt;=Tabulação!$H$26,L15*Tabulação!$I$26,IF(L15&lt;=Tabulação!$H$27,L15*Tabulação!$I$27,IF(L15&lt;=Tabulação!$H$28,L15*Tabulação!$I$28,Tabulação!$I$29)))</f>
        <v>0</v>
      </c>
      <c r="M287" s="40">
        <f>IF(M15&lt;=Tabulação!$H$26,M15*Tabulação!$I$26,IF(M15&lt;=Tabulação!$H$27,M15*Tabulação!$I$27,IF(M15&lt;=Tabulação!$H$28,M15*Tabulação!$I$28,Tabulação!$I$29)))</f>
        <v>0</v>
      </c>
      <c r="N287" s="40">
        <f>IF(N15&lt;=Tabulação!$H$26,N15*Tabulação!$I$26,IF(N15&lt;=Tabulação!$H$27,N15*Tabulação!$I$27,IF(N15&lt;=Tabulação!$H$28,N15*Tabulação!$I$28,Tabulação!$I$29)))</f>
        <v>0</v>
      </c>
      <c r="O287" s="41">
        <f>IF(O15&lt;=Tabulação!$H$26,O15*Tabulação!$I$26,IF(O15&lt;=Tabulação!$H$27,O15*Tabulação!$I$27,IF(O15&lt;=Tabulação!$H$28,O15*Tabulação!$I$28,Tabulação!$I$29)))</f>
        <v>0</v>
      </c>
      <c r="P287" s="41">
        <f t="shared" si="103"/>
        <v>0</v>
      </c>
    </row>
    <row r="288" spans="1:16" ht="30" hidden="1" customHeight="1" outlineLevel="1" thickBot="1" x14ac:dyDescent="0.3">
      <c r="A288" s="39" t="str">
        <f t="shared" si="101"/>
        <v/>
      </c>
      <c r="B288" s="39" t="str">
        <f t="shared" si="102"/>
        <v/>
      </c>
      <c r="C288" s="40">
        <f>IF(C16&lt;=Tabulação!$H$26,C16*Tabulação!$I$26,IF(C16&lt;=Tabulação!$H$27,C16*Tabulação!$I$27,IF(C16&lt;=Tabulação!$H$28,C16*Tabulação!$I$28,Tabulação!$I$29)))</f>
        <v>0</v>
      </c>
      <c r="D288" s="40">
        <f>IF(D16&lt;=Tabulação!$H$26,D16*Tabulação!$I$26,IF(D16&lt;=Tabulação!$H$27,D16*Tabulação!$I$27,IF(D16&lt;=Tabulação!$H$28,D16*Tabulação!$I$28,Tabulação!$I$29)))</f>
        <v>0</v>
      </c>
      <c r="E288" s="40">
        <f>IF(E16&lt;=Tabulação!$H$26,E16*Tabulação!$I$26,IF(E16&lt;=Tabulação!$H$27,E16*Tabulação!$I$27,IF(E16&lt;=Tabulação!$H$28,E16*Tabulação!$I$28,Tabulação!$I$29)))</f>
        <v>0</v>
      </c>
      <c r="F288" s="40">
        <f>IF(F16&lt;=Tabulação!$H$26,F16*Tabulação!$I$26,IF(F16&lt;=Tabulação!$H$27,F16*Tabulação!$I$27,IF(F16&lt;=Tabulação!$H$28,F16*Tabulação!$I$28,Tabulação!$I$29)))</f>
        <v>0</v>
      </c>
      <c r="G288" s="40">
        <f>IF(G16&lt;=Tabulação!$H$26,G16*Tabulação!$I$26,IF(G16&lt;=Tabulação!$H$27,G16*Tabulação!$I$27,IF(G16&lt;=Tabulação!$H$28,G16*Tabulação!$I$28,Tabulação!$I$29)))</f>
        <v>0</v>
      </c>
      <c r="H288" s="40">
        <f>IF(H16&lt;=Tabulação!$H$26,H16*Tabulação!$I$26,IF(H16&lt;=Tabulação!$H$27,H16*Tabulação!$I$27,IF(H16&lt;=Tabulação!$H$28,H16*Tabulação!$I$28,Tabulação!$I$29)))</f>
        <v>0</v>
      </c>
      <c r="I288" s="40">
        <f>IF(I16&lt;=Tabulação!$H$26,I16*Tabulação!$I$26,IF(I16&lt;=Tabulação!$H$27,I16*Tabulação!$I$27,IF(I16&lt;=Tabulação!$H$28,I16*Tabulação!$I$28,Tabulação!$I$29)))</f>
        <v>0</v>
      </c>
      <c r="J288" s="40">
        <f>IF(J16&lt;=Tabulação!$H$26,J16*Tabulação!$I$26,IF(J16&lt;=Tabulação!$H$27,J16*Tabulação!$I$27,IF(J16&lt;=Tabulação!$H$28,J16*Tabulação!$I$28,Tabulação!$I$29)))</f>
        <v>0</v>
      </c>
      <c r="K288" s="40">
        <f>IF(K16&lt;=Tabulação!$H$26,K16*Tabulação!$I$26,IF(K16&lt;=Tabulação!$H$27,K16*Tabulação!$I$27,IF(K16&lt;=Tabulação!$H$28,K16*Tabulação!$I$28,Tabulação!$I$29)))</f>
        <v>0</v>
      </c>
      <c r="L288" s="40">
        <f>IF(L16&lt;=Tabulação!$H$26,L16*Tabulação!$I$26,IF(L16&lt;=Tabulação!$H$27,L16*Tabulação!$I$27,IF(L16&lt;=Tabulação!$H$28,L16*Tabulação!$I$28,Tabulação!$I$29)))</f>
        <v>0</v>
      </c>
      <c r="M288" s="40">
        <f>IF(M16&lt;=Tabulação!$H$26,M16*Tabulação!$I$26,IF(M16&lt;=Tabulação!$H$27,M16*Tabulação!$I$27,IF(M16&lt;=Tabulação!$H$28,M16*Tabulação!$I$28,Tabulação!$I$29)))</f>
        <v>0</v>
      </c>
      <c r="N288" s="40">
        <f>IF(N16&lt;=Tabulação!$H$26,N16*Tabulação!$I$26,IF(N16&lt;=Tabulação!$H$27,N16*Tabulação!$I$27,IF(N16&lt;=Tabulação!$H$28,N16*Tabulação!$I$28,Tabulação!$I$29)))</f>
        <v>0</v>
      </c>
      <c r="O288" s="41">
        <f>IF(O16&lt;=Tabulação!$H$26,O16*Tabulação!$I$26,IF(O16&lt;=Tabulação!$H$27,O16*Tabulação!$I$27,IF(O16&lt;=Tabulação!$H$28,O16*Tabulação!$I$28,Tabulação!$I$29)))</f>
        <v>0</v>
      </c>
      <c r="P288" s="41">
        <f t="shared" si="103"/>
        <v>0</v>
      </c>
    </row>
    <row r="289" spans="1:16" ht="30" hidden="1" customHeight="1" outlineLevel="1" thickBot="1" x14ac:dyDescent="0.3">
      <c r="A289" s="39" t="str">
        <f t="shared" si="101"/>
        <v/>
      </c>
      <c r="B289" s="39" t="str">
        <f t="shared" si="102"/>
        <v/>
      </c>
      <c r="C289" s="40">
        <f>IF(C17&lt;=Tabulação!$H$26,C17*Tabulação!$I$26,IF(C17&lt;=Tabulação!$H$27,C17*Tabulação!$I$27,IF(C17&lt;=Tabulação!$H$28,C17*Tabulação!$I$28,Tabulação!$I$29)))</f>
        <v>0</v>
      </c>
      <c r="D289" s="40">
        <f>IF(D17&lt;=Tabulação!$H$26,D17*Tabulação!$I$26,IF(D17&lt;=Tabulação!$H$27,D17*Tabulação!$I$27,IF(D17&lt;=Tabulação!$H$28,D17*Tabulação!$I$28,Tabulação!$I$29)))</f>
        <v>0</v>
      </c>
      <c r="E289" s="40">
        <f>IF(E17&lt;=Tabulação!$H$26,E17*Tabulação!$I$26,IF(E17&lt;=Tabulação!$H$27,E17*Tabulação!$I$27,IF(E17&lt;=Tabulação!$H$28,E17*Tabulação!$I$28,Tabulação!$I$29)))</f>
        <v>0</v>
      </c>
      <c r="F289" s="40">
        <f>IF(F17&lt;=Tabulação!$H$26,F17*Tabulação!$I$26,IF(F17&lt;=Tabulação!$H$27,F17*Tabulação!$I$27,IF(F17&lt;=Tabulação!$H$28,F17*Tabulação!$I$28,Tabulação!$I$29)))</f>
        <v>0</v>
      </c>
      <c r="G289" s="40">
        <f>IF(G17&lt;=Tabulação!$H$26,G17*Tabulação!$I$26,IF(G17&lt;=Tabulação!$H$27,G17*Tabulação!$I$27,IF(G17&lt;=Tabulação!$H$28,G17*Tabulação!$I$28,Tabulação!$I$29)))</f>
        <v>0</v>
      </c>
      <c r="H289" s="40">
        <f>IF(H17&lt;=Tabulação!$H$26,H17*Tabulação!$I$26,IF(H17&lt;=Tabulação!$H$27,H17*Tabulação!$I$27,IF(H17&lt;=Tabulação!$H$28,H17*Tabulação!$I$28,Tabulação!$I$29)))</f>
        <v>0</v>
      </c>
      <c r="I289" s="40">
        <f>IF(I17&lt;=Tabulação!$H$26,I17*Tabulação!$I$26,IF(I17&lt;=Tabulação!$H$27,I17*Tabulação!$I$27,IF(I17&lt;=Tabulação!$H$28,I17*Tabulação!$I$28,Tabulação!$I$29)))</f>
        <v>0</v>
      </c>
      <c r="J289" s="40">
        <f>IF(J17&lt;=Tabulação!$H$26,J17*Tabulação!$I$26,IF(J17&lt;=Tabulação!$H$27,J17*Tabulação!$I$27,IF(J17&lt;=Tabulação!$H$28,J17*Tabulação!$I$28,Tabulação!$I$29)))</f>
        <v>0</v>
      </c>
      <c r="K289" s="40">
        <f>IF(K17&lt;=Tabulação!$H$26,K17*Tabulação!$I$26,IF(K17&lt;=Tabulação!$H$27,K17*Tabulação!$I$27,IF(K17&lt;=Tabulação!$H$28,K17*Tabulação!$I$28,Tabulação!$I$29)))</f>
        <v>0</v>
      </c>
      <c r="L289" s="40">
        <f>IF(L17&lt;=Tabulação!$H$26,L17*Tabulação!$I$26,IF(L17&lt;=Tabulação!$H$27,L17*Tabulação!$I$27,IF(L17&lt;=Tabulação!$H$28,L17*Tabulação!$I$28,Tabulação!$I$29)))</f>
        <v>0</v>
      </c>
      <c r="M289" s="40">
        <f>IF(M17&lt;=Tabulação!$H$26,M17*Tabulação!$I$26,IF(M17&lt;=Tabulação!$H$27,M17*Tabulação!$I$27,IF(M17&lt;=Tabulação!$H$28,M17*Tabulação!$I$28,Tabulação!$I$29)))</f>
        <v>0</v>
      </c>
      <c r="N289" s="40">
        <f>IF(N17&lt;=Tabulação!$H$26,N17*Tabulação!$I$26,IF(N17&lt;=Tabulação!$H$27,N17*Tabulação!$I$27,IF(N17&lt;=Tabulação!$H$28,N17*Tabulação!$I$28,Tabulação!$I$29)))</f>
        <v>0</v>
      </c>
      <c r="O289" s="41">
        <f>IF(O17&lt;=Tabulação!$H$26,O17*Tabulação!$I$26,IF(O17&lt;=Tabulação!$H$27,O17*Tabulação!$I$27,IF(O17&lt;=Tabulação!$H$28,O17*Tabulação!$I$28,Tabulação!$I$29)))</f>
        <v>0</v>
      </c>
      <c r="P289" s="41">
        <f t="shared" si="103"/>
        <v>0</v>
      </c>
    </row>
    <row r="290" spans="1:16" ht="30" hidden="1" customHeight="1" outlineLevel="1" thickBot="1" x14ac:dyDescent="0.3">
      <c r="A290" s="39" t="str">
        <f t="shared" si="101"/>
        <v/>
      </c>
      <c r="B290" s="39" t="str">
        <f t="shared" si="102"/>
        <v/>
      </c>
      <c r="C290" s="40">
        <f>IF(C18&lt;=Tabulação!$H$26,C18*Tabulação!$I$26,IF(C18&lt;=Tabulação!$H$27,C18*Tabulação!$I$27,IF(C18&lt;=Tabulação!$H$28,C18*Tabulação!$I$28,Tabulação!$I$29)))</f>
        <v>0</v>
      </c>
      <c r="D290" s="40">
        <f>IF(D18&lt;=Tabulação!$H$26,D18*Tabulação!$I$26,IF(D18&lt;=Tabulação!$H$27,D18*Tabulação!$I$27,IF(D18&lt;=Tabulação!$H$28,D18*Tabulação!$I$28,Tabulação!$I$29)))</f>
        <v>0</v>
      </c>
      <c r="E290" s="40">
        <f>IF(E18&lt;=Tabulação!$H$26,E18*Tabulação!$I$26,IF(E18&lt;=Tabulação!$H$27,E18*Tabulação!$I$27,IF(E18&lt;=Tabulação!$H$28,E18*Tabulação!$I$28,Tabulação!$I$29)))</f>
        <v>0</v>
      </c>
      <c r="F290" s="40">
        <f>IF(F18&lt;=Tabulação!$H$26,F18*Tabulação!$I$26,IF(F18&lt;=Tabulação!$H$27,F18*Tabulação!$I$27,IF(F18&lt;=Tabulação!$H$28,F18*Tabulação!$I$28,Tabulação!$I$29)))</f>
        <v>0</v>
      </c>
      <c r="G290" s="40">
        <f>IF(G18&lt;=Tabulação!$H$26,G18*Tabulação!$I$26,IF(G18&lt;=Tabulação!$H$27,G18*Tabulação!$I$27,IF(G18&lt;=Tabulação!$H$28,G18*Tabulação!$I$28,Tabulação!$I$29)))</f>
        <v>0</v>
      </c>
      <c r="H290" s="40">
        <f>IF(H18&lt;=Tabulação!$H$26,H18*Tabulação!$I$26,IF(H18&lt;=Tabulação!$H$27,H18*Tabulação!$I$27,IF(H18&lt;=Tabulação!$H$28,H18*Tabulação!$I$28,Tabulação!$I$29)))</f>
        <v>0</v>
      </c>
      <c r="I290" s="40">
        <f>IF(I18&lt;=Tabulação!$H$26,I18*Tabulação!$I$26,IF(I18&lt;=Tabulação!$H$27,I18*Tabulação!$I$27,IF(I18&lt;=Tabulação!$H$28,I18*Tabulação!$I$28,Tabulação!$I$29)))</f>
        <v>0</v>
      </c>
      <c r="J290" s="40">
        <f>IF(J18&lt;=Tabulação!$H$26,J18*Tabulação!$I$26,IF(J18&lt;=Tabulação!$H$27,J18*Tabulação!$I$27,IF(J18&lt;=Tabulação!$H$28,J18*Tabulação!$I$28,Tabulação!$I$29)))</f>
        <v>0</v>
      </c>
      <c r="K290" s="40">
        <f>IF(K18&lt;=Tabulação!$H$26,K18*Tabulação!$I$26,IF(K18&lt;=Tabulação!$H$27,K18*Tabulação!$I$27,IF(K18&lt;=Tabulação!$H$28,K18*Tabulação!$I$28,Tabulação!$I$29)))</f>
        <v>0</v>
      </c>
      <c r="L290" s="40">
        <f>IF(L18&lt;=Tabulação!$H$26,L18*Tabulação!$I$26,IF(L18&lt;=Tabulação!$H$27,L18*Tabulação!$I$27,IF(L18&lt;=Tabulação!$H$28,L18*Tabulação!$I$28,Tabulação!$I$29)))</f>
        <v>0</v>
      </c>
      <c r="M290" s="40">
        <f>IF(M18&lt;=Tabulação!$H$26,M18*Tabulação!$I$26,IF(M18&lt;=Tabulação!$H$27,M18*Tabulação!$I$27,IF(M18&lt;=Tabulação!$H$28,M18*Tabulação!$I$28,Tabulação!$I$29)))</f>
        <v>0</v>
      </c>
      <c r="N290" s="40">
        <f>IF(N18&lt;=Tabulação!$H$26,N18*Tabulação!$I$26,IF(N18&lt;=Tabulação!$H$27,N18*Tabulação!$I$27,IF(N18&lt;=Tabulação!$H$28,N18*Tabulação!$I$28,Tabulação!$I$29)))</f>
        <v>0</v>
      </c>
      <c r="O290" s="41">
        <f>IF(O18&lt;=Tabulação!$H$26,O18*Tabulação!$I$26,IF(O18&lt;=Tabulação!$H$27,O18*Tabulação!$I$27,IF(O18&lt;=Tabulação!$H$28,O18*Tabulação!$I$28,Tabulação!$I$29)))</f>
        <v>0</v>
      </c>
      <c r="P290" s="41">
        <f t="shared" si="103"/>
        <v>0</v>
      </c>
    </row>
    <row r="291" spans="1:16" ht="30" hidden="1" customHeight="1" outlineLevel="1" thickBot="1" x14ac:dyDescent="0.3">
      <c r="A291" s="39" t="str">
        <f t="shared" si="101"/>
        <v/>
      </c>
      <c r="B291" s="39" t="str">
        <f t="shared" si="102"/>
        <v/>
      </c>
      <c r="C291" s="40">
        <f>IF(C19&lt;=Tabulação!$H$26,C19*Tabulação!$I$26,IF(C19&lt;=Tabulação!$H$27,C19*Tabulação!$I$27,IF(C19&lt;=Tabulação!$H$28,C19*Tabulação!$I$28,Tabulação!$I$29)))</f>
        <v>0</v>
      </c>
      <c r="D291" s="40">
        <f>IF(D19&lt;=Tabulação!$H$26,D19*Tabulação!$I$26,IF(D19&lt;=Tabulação!$H$27,D19*Tabulação!$I$27,IF(D19&lt;=Tabulação!$H$28,D19*Tabulação!$I$28,Tabulação!$I$29)))</f>
        <v>0</v>
      </c>
      <c r="E291" s="40">
        <f>IF(E19&lt;=Tabulação!$H$26,E19*Tabulação!$I$26,IF(E19&lt;=Tabulação!$H$27,E19*Tabulação!$I$27,IF(E19&lt;=Tabulação!$H$28,E19*Tabulação!$I$28,Tabulação!$I$29)))</f>
        <v>0</v>
      </c>
      <c r="F291" s="40">
        <f>IF(F19&lt;=Tabulação!$H$26,F19*Tabulação!$I$26,IF(F19&lt;=Tabulação!$H$27,F19*Tabulação!$I$27,IF(F19&lt;=Tabulação!$H$28,F19*Tabulação!$I$28,Tabulação!$I$29)))</f>
        <v>0</v>
      </c>
      <c r="G291" s="40">
        <f>IF(G19&lt;=Tabulação!$H$26,G19*Tabulação!$I$26,IF(G19&lt;=Tabulação!$H$27,G19*Tabulação!$I$27,IF(G19&lt;=Tabulação!$H$28,G19*Tabulação!$I$28,Tabulação!$I$29)))</f>
        <v>0</v>
      </c>
      <c r="H291" s="40">
        <f>IF(H19&lt;=Tabulação!$H$26,H19*Tabulação!$I$26,IF(H19&lt;=Tabulação!$H$27,H19*Tabulação!$I$27,IF(H19&lt;=Tabulação!$H$28,H19*Tabulação!$I$28,Tabulação!$I$29)))</f>
        <v>0</v>
      </c>
      <c r="I291" s="40">
        <f>IF(I19&lt;=Tabulação!$H$26,I19*Tabulação!$I$26,IF(I19&lt;=Tabulação!$H$27,I19*Tabulação!$I$27,IF(I19&lt;=Tabulação!$H$28,I19*Tabulação!$I$28,Tabulação!$I$29)))</f>
        <v>0</v>
      </c>
      <c r="J291" s="40">
        <f>IF(J19&lt;=Tabulação!$H$26,J19*Tabulação!$I$26,IF(J19&lt;=Tabulação!$H$27,J19*Tabulação!$I$27,IF(J19&lt;=Tabulação!$H$28,J19*Tabulação!$I$28,Tabulação!$I$29)))</f>
        <v>0</v>
      </c>
      <c r="K291" s="40">
        <f>IF(K19&lt;=Tabulação!$H$26,K19*Tabulação!$I$26,IF(K19&lt;=Tabulação!$H$27,K19*Tabulação!$I$27,IF(K19&lt;=Tabulação!$H$28,K19*Tabulação!$I$28,Tabulação!$I$29)))</f>
        <v>0</v>
      </c>
      <c r="L291" s="40">
        <f>IF(L19&lt;=Tabulação!$H$26,L19*Tabulação!$I$26,IF(L19&lt;=Tabulação!$H$27,L19*Tabulação!$I$27,IF(L19&lt;=Tabulação!$H$28,L19*Tabulação!$I$28,Tabulação!$I$29)))</f>
        <v>0</v>
      </c>
      <c r="M291" s="40">
        <f>IF(M19&lt;=Tabulação!$H$26,M19*Tabulação!$I$26,IF(M19&lt;=Tabulação!$H$27,M19*Tabulação!$I$27,IF(M19&lt;=Tabulação!$H$28,M19*Tabulação!$I$28,Tabulação!$I$29)))</f>
        <v>0</v>
      </c>
      <c r="N291" s="40">
        <f>IF(N19&lt;=Tabulação!$H$26,N19*Tabulação!$I$26,IF(N19&lt;=Tabulação!$H$27,N19*Tabulação!$I$27,IF(N19&lt;=Tabulação!$H$28,N19*Tabulação!$I$28,Tabulação!$I$29)))</f>
        <v>0</v>
      </c>
      <c r="O291" s="41">
        <f>IF(O19&lt;=Tabulação!$H$26,O19*Tabulação!$I$26,IF(O19&lt;=Tabulação!$H$27,O19*Tabulação!$I$27,IF(O19&lt;=Tabulação!$H$28,O19*Tabulação!$I$28,Tabulação!$I$29)))</f>
        <v>0</v>
      </c>
      <c r="P291" s="41">
        <f t="shared" si="103"/>
        <v>0</v>
      </c>
    </row>
    <row r="292" spans="1:16" ht="30" hidden="1" customHeight="1" outlineLevel="1" thickBot="1" x14ac:dyDescent="0.3">
      <c r="A292" s="39" t="str">
        <f t="shared" si="101"/>
        <v/>
      </c>
      <c r="B292" s="39" t="str">
        <f t="shared" si="102"/>
        <v/>
      </c>
      <c r="C292" s="40">
        <f>IF(C20&lt;=Tabulação!$H$26,C20*Tabulação!$I$26,IF(C20&lt;=Tabulação!$H$27,C20*Tabulação!$I$27,IF(C20&lt;=Tabulação!$H$28,C20*Tabulação!$I$28,Tabulação!$I$29)))</f>
        <v>0</v>
      </c>
      <c r="D292" s="40">
        <f>IF(D20&lt;=Tabulação!$H$26,D20*Tabulação!$I$26,IF(D20&lt;=Tabulação!$H$27,D20*Tabulação!$I$27,IF(D20&lt;=Tabulação!$H$28,D20*Tabulação!$I$28,Tabulação!$I$29)))</f>
        <v>0</v>
      </c>
      <c r="E292" s="40">
        <f>IF(E20&lt;=Tabulação!$H$26,E20*Tabulação!$I$26,IF(E20&lt;=Tabulação!$H$27,E20*Tabulação!$I$27,IF(E20&lt;=Tabulação!$H$28,E20*Tabulação!$I$28,Tabulação!$I$29)))</f>
        <v>0</v>
      </c>
      <c r="F292" s="40">
        <f>IF(F20&lt;=Tabulação!$H$26,F20*Tabulação!$I$26,IF(F20&lt;=Tabulação!$H$27,F20*Tabulação!$I$27,IF(F20&lt;=Tabulação!$H$28,F20*Tabulação!$I$28,Tabulação!$I$29)))</f>
        <v>0</v>
      </c>
      <c r="G292" s="40">
        <f>IF(G20&lt;=Tabulação!$H$26,G20*Tabulação!$I$26,IF(G20&lt;=Tabulação!$H$27,G20*Tabulação!$I$27,IF(G20&lt;=Tabulação!$H$28,G20*Tabulação!$I$28,Tabulação!$I$29)))</f>
        <v>0</v>
      </c>
      <c r="H292" s="40">
        <f>IF(H20&lt;=Tabulação!$H$26,H20*Tabulação!$I$26,IF(H20&lt;=Tabulação!$H$27,H20*Tabulação!$I$27,IF(H20&lt;=Tabulação!$H$28,H20*Tabulação!$I$28,Tabulação!$I$29)))</f>
        <v>0</v>
      </c>
      <c r="I292" s="40">
        <f>IF(I20&lt;=Tabulação!$H$26,I20*Tabulação!$I$26,IF(I20&lt;=Tabulação!$H$27,I20*Tabulação!$I$27,IF(I20&lt;=Tabulação!$H$28,I20*Tabulação!$I$28,Tabulação!$I$29)))</f>
        <v>0</v>
      </c>
      <c r="J292" s="40">
        <f>IF(J20&lt;=Tabulação!$H$26,J20*Tabulação!$I$26,IF(J20&lt;=Tabulação!$H$27,J20*Tabulação!$I$27,IF(J20&lt;=Tabulação!$H$28,J20*Tabulação!$I$28,Tabulação!$I$29)))</f>
        <v>0</v>
      </c>
      <c r="K292" s="40">
        <f>IF(K20&lt;=Tabulação!$H$26,K20*Tabulação!$I$26,IF(K20&lt;=Tabulação!$H$27,K20*Tabulação!$I$27,IF(K20&lt;=Tabulação!$H$28,K20*Tabulação!$I$28,Tabulação!$I$29)))</f>
        <v>0</v>
      </c>
      <c r="L292" s="40">
        <f>IF(L20&lt;=Tabulação!$H$26,L20*Tabulação!$I$26,IF(L20&lt;=Tabulação!$H$27,L20*Tabulação!$I$27,IF(L20&lt;=Tabulação!$H$28,L20*Tabulação!$I$28,Tabulação!$I$29)))</f>
        <v>0</v>
      </c>
      <c r="M292" s="40">
        <f>IF(M20&lt;=Tabulação!$H$26,M20*Tabulação!$I$26,IF(M20&lt;=Tabulação!$H$27,M20*Tabulação!$I$27,IF(M20&lt;=Tabulação!$H$28,M20*Tabulação!$I$28,Tabulação!$I$29)))</f>
        <v>0</v>
      </c>
      <c r="N292" s="40">
        <f>IF(N20&lt;=Tabulação!$H$26,N20*Tabulação!$I$26,IF(N20&lt;=Tabulação!$H$27,N20*Tabulação!$I$27,IF(N20&lt;=Tabulação!$H$28,N20*Tabulação!$I$28,Tabulação!$I$29)))</f>
        <v>0</v>
      </c>
      <c r="O292" s="41">
        <f>IF(O20&lt;=Tabulação!$H$26,O20*Tabulação!$I$26,IF(O20&lt;=Tabulação!$H$27,O20*Tabulação!$I$27,IF(O20&lt;=Tabulação!$H$28,O20*Tabulação!$I$28,Tabulação!$I$29)))</f>
        <v>0</v>
      </c>
      <c r="P292" s="41">
        <f t="shared" ref="P292:P308" si="104">SUM(C292:N292)</f>
        <v>0</v>
      </c>
    </row>
    <row r="293" spans="1:16" ht="30" hidden="1" customHeight="1" outlineLevel="1" thickBot="1" x14ac:dyDescent="0.3">
      <c r="A293" s="39" t="str">
        <f t="shared" si="101"/>
        <v/>
      </c>
      <c r="B293" s="39" t="str">
        <f t="shared" si="102"/>
        <v/>
      </c>
      <c r="C293" s="40">
        <f>IF(C21&lt;=Tabulação!$H$26,C21*Tabulação!$I$26,IF(C21&lt;=Tabulação!$H$27,C21*Tabulação!$I$27,IF(C21&lt;=Tabulação!$H$28,C21*Tabulação!$I$28,Tabulação!$I$29)))</f>
        <v>0</v>
      </c>
      <c r="D293" s="40">
        <f>IF(D21&lt;=Tabulação!$H$26,D21*Tabulação!$I$26,IF(D21&lt;=Tabulação!$H$27,D21*Tabulação!$I$27,IF(D21&lt;=Tabulação!$H$28,D21*Tabulação!$I$28,Tabulação!$I$29)))</f>
        <v>0</v>
      </c>
      <c r="E293" s="40">
        <f>IF(E21&lt;=Tabulação!$H$26,E21*Tabulação!$I$26,IF(E21&lt;=Tabulação!$H$27,E21*Tabulação!$I$27,IF(E21&lt;=Tabulação!$H$28,E21*Tabulação!$I$28,Tabulação!$I$29)))</f>
        <v>0</v>
      </c>
      <c r="F293" s="40">
        <f>IF(F21&lt;=Tabulação!$H$26,F21*Tabulação!$I$26,IF(F21&lt;=Tabulação!$H$27,F21*Tabulação!$I$27,IF(F21&lt;=Tabulação!$H$28,F21*Tabulação!$I$28,Tabulação!$I$29)))</f>
        <v>0</v>
      </c>
      <c r="G293" s="40">
        <f>IF(G21&lt;=Tabulação!$H$26,G21*Tabulação!$I$26,IF(G21&lt;=Tabulação!$H$27,G21*Tabulação!$I$27,IF(G21&lt;=Tabulação!$H$28,G21*Tabulação!$I$28,Tabulação!$I$29)))</f>
        <v>0</v>
      </c>
      <c r="H293" s="40">
        <f>IF(H21&lt;=Tabulação!$H$26,H21*Tabulação!$I$26,IF(H21&lt;=Tabulação!$H$27,H21*Tabulação!$I$27,IF(H21&lt;=Tabulação!$H$28,H21*Tabulação!$I$28,Tabulação!$I$29)))</f>
        <v>0</v>
      </c>
      <c r="I293" s="40">
        <f>IF(I21&lt;=Tabulação!$H$26,I21*Tabulação!$I$26,IF(I21&lt;=Tabulação!$H$27,I21*Tabulação!$I$27,IF(I21&lt;=Tabulação!$H$28,I21*Tabulação!$I$28,Tabulação!$I$29)))</f>
        <v>0</v>
      </c>
      <c r="J293" s="40">
        <f>IF(J21&lt;=Tabulação!$H$26,J21*Tabulação!$I$26,IF(J21&lt;=Tabulação!$H$27,J21*Tabulação!$I$27,IF(J21&lt;=Tabulação!$H$28,J21*Tabulação!$I$28,Tabulação!$I$29)))</f>
        <v>0</v>
      </c>
      <c r="K293" s="40">
        <f>IF(K21&lt;=Tabulação!$H$26,K21*Tabulação!$I$26,IF(K21&lt;=Tabulação!$H$27,K21*Tabulação!$I$27,IF(K21&lt;=Tabulação!$H$28,K21*Tabulação!$I$28,Tabulação!$I$29)))</f>
        <v>0</v>
      </c>
      <c r="L293" s="40">
        <f>IF(L21&lt;=Tabulação!$H$26,L21*Tabulação!$I$26,IF(L21&lt;=Tabulação!$H$27,L21*Tabulação!$I$27,IF(L21&lt;=Tabulação!$H$28,L21*Tabulação!$I$28,Tabulação!$I$29)))</f>
        <v>0</v>
      </c>
      <c r="M293" s="40">
        <f>IF(M21&lt;=Tabulação!$H$26,M21*Tabulação!$I$26,IF(M21&lt;=Tabulação!$H$27,M21*Tabulação!$I$27,IF(M21&lt;=Tabulação!$H$28,M21*Tabulação!$I$28,Tabulação!$I$29)))</f>
        <v>0</v>
      </c>
      <c r="N293" s="40">
        <f>IF(N21&lt;=Tabulação!$H$26,N21*Tabulação!$I$26,IF(N21&lt;=Tabulação!$H$27,N21*Tabulação!$I$27,IF(N21&lt;=Tabulação!$H$28,N21*Tabulação!$I$28,Tabulação!$I$29)))</f>
        <v>0</v>
      </c>
      <c r="O293" s="41">
        <f>IF(O21&lt;=Tabulação!$H$26,O21*Tabulação!$I$26,IF(O21&lt;=Tabulação!$H$27,O21*Tabulação!$I$27,IF(O21&lt;=Tabulação!$H$28,O21*Tabulação!$I$28,Tabulação!$I$29)))</f>
        <v>0</v>
      </c>
      <c r="P293" s="41">
        <f t="shared" si="104"/>
        <v>0</v>
      </c>
    </row>
    <row r="294" spans="1:16" ht="30" hidden="1" customHeight="1" outlineLevel="1" thickBot="1" x14ac:dyDescent="0.3">
      <c r="A294" s="39" t="str">
        <f t="shared" si="101"/>
        <v/>
      </c>
      <c r="B294" s="39" t="str">
        <f t="shared" si="102"/>
        <v/>
      </c>
      <c r="C294" s="40">
        <f>IF(C22&lt;=Tabulação!$H$26,C22*Tabulação!$I$26,IF(C22&lt;=Tabulação!$H$27,C22*Tabulação!$I$27,IF(C22&lt;=Tabulação!$H$28,C22*Tabulação!$I$28,Tabulação!$I$29)))</f>
        <v>0</v>
      </c>
      <c r="D294" s="40">
        <f>IF(D22&lt;=Tabulação!$H$26,D22*Tabulação!$I$26,IF(D22&lt;=Tabulação!$H$27,D22*Tabulação!$I$27,IF(D22&lt;=Tabulação!$H$28,D22*Tabulação!$I$28,Tabulação!$I$29)))</f>
        <v>0</v>
      </c>
      <c r="E294" s="40">
        <f>IF(E22&lt;=Tabulação!$H$26,E22*Tabulação!$I$26,IF(E22&lt;=Tabulação!$H$27,E22*Tabulação!$I$27,IF(E22&lt;=Tabulação!$H$28,E22*Tabulação!$I$28,Tabulação!$I$29)))</f>
        <v>0</v>
      </c>
      <c r="F294" s="40">
        <f>IF(F22&lt;=Tabulação!$H$26,F22*Tabulação!$I$26,IF(F22&lt;=Tabulação!$H$27,F22*Tabulação!$I$27,IF(F22&lt;=Tabulação!$H$28,F22*Tabulação!$I$28,Tabulação!$I$29)))</f>
        <v>0</v>
      </c>
      <c r="G294" s="40">
        <f>IF(G22&lt;=Tabulação!$H$26,G22*Tabulação!$I$26,IF(G22&lt;=Tabulação!$H$27,G22*Tabulação!$I$27,IF(G22&lt;=Tabulação!$H$28,G22*Tabulação!$I$28,Tabulação!$I$29)))</f>
        <v>0</v>
      </c>
      <c r="H294" s="40">
        <f>IF(H22&lt;=Tabulação!$H$26,H22*Tabulação!$I$26,IF(H22&lt;=Tabulação!$H$27,H22*Tabulação!$I$27,IF(H22&lt;=Tabulação!$H$28,H22*Tabulação!$I$28,Tabulação!$I$29)))</f>
        <v>0</v>
      </c>
      <c r="I294" s="40">
        <f>IF(I22&lt;=Tabulação!$H$26,I22*Tabulação!$I$26,IF(I22&lt;=Tabulação!$H$27,I22*Tabulação!$I$27,IF(I22&lt;=Tabulação!$H$28,I22*Tabulação!$I$28,Tabulação!$I$29)))</f>
        <v>0</v>
      </c>
      <c r="J294" s="40">
        <f>IF(J22&lt;=Tabulação!$H$26,J22*Tabulação!$I$26,IF(J22&lt;=Tabulação!$H$27,J22*Tabulação!$I$27,IF(J22&lt;=Tabulação!$H$28,J22*Tabulação!$I$28,Tabulação!$I$29)))</f>
        <v>0</v>
      </c>
      <c r="K294" s="40">
        <f>IF(K22&lt;=Tabulação!$H$26,K22*Tabulação!$I$26,IF(K22&lt;=Tabulação!$H$27,K22*Tabulação!$I$27,IF(K22&lt;=Tabulação!$H$28,K22*Tabulação!$I$28,Tabulação!$I$29)))</f>
        <v>0</v>
      </c>
      <c r="L294" s="40">
        <f>IF(L22&lt;=Tabulação!$H$26,L22*Tabulação!$I$26,IF(L22&lt;=Tabulação!$H$27,L22*Tabulação!$I$27,IF(L22&lt;=Tabulação!$H$28,L22*Tabulação!$I$28,Tabulação!$I$29)))</f>
        <v>0</v>
      </c>
      <c r="M294" s="40">
        <f>IF(M22&lt;=Tabulação!$H$26,M22*Tabulação!$I$26,IF(M22&lt;=Tabulação!$H$27,M22*Tabulação!$I$27,IF(M22&lt;=Tabulação!$H$28,M22*Tabulação!$I$28,Tabulação!$I$29)))</f>
        <v>0</v>
      </c>
      <c r="N294" s="40">
        <f>IF(N22&lt;=Tabulação!$H$26,N22*Tabulação!$I$26,IF(N22&lt;=Tabulação!$H$27,N22*Tabulação!$I$27,IF(N22&lt;=Tabulação!$H$28,N22*Tabulação!$I$28,Tabulação!$I$29)))</f>
        <v>0</v>
      </c>
      <c r="O294" s="41">
        <f>IF(O22&lt;=Tabulação!$H$26,O22*Tabulação!$I$26,IF(O22&lt;=Tabulação!$H$27,O22*Tabulação!$I$27,IF(O22&lt;=Tabulação!$H$28,O22*Tabulação!$I$28,Tabulação!$I$29)))</f>
        <v>0</v>
      </c>
      <c r="P294" s="41">
        <f t="shared" si="104"/>
        <v>0</v>
      </c>
    </row>
    <row r="295" spans="1:16" ht="30" hidden="1" customHeight="1" outlineLevel="1" thickBot="1" x14ac:dyDescent="0.3">
      <c r="A295" s="39" t="str">
        <f t="shared" si="101"/>
        <v/>
      </c>
      <c r="B295" s="39" t="str">
        <f t="shared" si="102"/>
        <v/>
      </c>
      <c r="C295" s="40">
        <f>IF(C23&lt;=Tabulação!$H$26,C23*Tabulação!$I$26,IF(C23&lt;=Tabulação!$H$27,C23*Tabulação!$I$27,IF(C23&lt;=Tabulação!$H$28,C23*Tabulação!$I$28,Tabulação!$I$29)))</f>
        <v>0</v>
      </c>
      <c r="D295" s="40">
        <f>IF(D23&lt;=Tabulação!$H$26,D23*Tabulação!$I$26,IF(D23&lt;=Tabulação!$H$27,D23*Tabulação!$I$27,IF(D23&lt;=Tabulação!$H$28,D23*Tabulação!$I$28,Tabulação!$I$29)))</f>
        <v>0</v>
      </c>
      <c r="E295" s="40">
        <f>IF(E23&lt;=Tabulação!$H$26,E23*Tabulação!$I$26,IF(E23&lt;=Tabulação!$H$27,E23*Tabulação!$I$27,IF(E23&lt;=Tabulação!$H$28,E23*Tabulação!$I$28,Tabulação!$I$29)))</f>
        <v>0</v>
      </c>
      <c r="F295" s="40">
        <f>IF(F23&lt;=Tabulação!$H$26,F23*Tabulação!$I$26,IF(F23&lt;=Tabulação!$H$27,F23*Tabulação!$I$27,IF(F23&lt;=Tabulação!$H$28,F23*Tabulação!$I$28,Tabulação!$I$29)))</f>
        <v>0</v>
      </c>
      <c r="G295" s="40">
        <f>IF(G23&lt;=Tabulação!$H$26,G23*Tabulação!$I$26,IF(G23&lt;=Tabulação!$H$27,G23*Tabulação!$I$27,IF(G23&lt;=Tabulação!$H$28,G23*Tabulação!$I$28,Tabulação!$I$29)))</f>
        <v>0</v>
      </c>
      <c r="H295" s="40">
        <f>IF(H23&lt;=Tabulação!$H$26,H23*Tabulação!$I$26,IF(H23&lt;=Tabulação!$H$27,H23*Tabulação!$I$27,IF(H23&lt;=Tabulação!$H$28,H23*Tabulação!$I$28,Tabulação!$I$29)))</f>
        <v>0</v>
      </c>
      <c r="I295" s="40">
        <f>IF(I23&lt;=Tabulação!$H$26,I23*Tabulação!$I$26,IF(I23&lt;=Tabulação!$H$27,I23*Tabulação!$I$27,IF(I23&lt;=Tabulação!$H$28,I23*Tabulação!$I$28,Tabulação!$I$29)))</f>
        <v>0</v>
      </c>
      <c r="J295" s="40">
        <f>IF(J23&lt;=Tabulação!$H$26,J23*Tabulação!$I$26,IF(J23&lt;=Tabulação!$H$27,J23*Tabulação!$I$27,IF(J23&lt;=Tabulação!$H$28,J23*Tabulação!$I$28,Tabulação!$I$29)))</f>
        <v>0</v>
      </c>
      <c r="K295" s="40">
        <f>IF(K23&lt;=Tabulação!$H$26,K23*Tabulação!$I$26,IF(K23&lt;=Tabulação!$H$27,K23*Tabulação!$I$27,IF(K23&lt;=Tabulação!$H$28,K23*Tabulação!$I$28,Tabulação!$I$29)))</f>
        <v>0</v>
      </c>
      <c r="L295" s="40">
        <f>IF(L23&lt;=Tabulação!$H$26,L23*Tabulação!$I$26,IF(L23&lt;=Tabulação!$H$27,L23*Tabulação!$I$27,IF(L23&lt;=Tabulação!$H$28,L23*Tabulação!$I$28,Tabulação!$I$29)))</f>
        <v>0</v>
      </c>
      <c r="M295" s="40">
        <f>IF(M23&lt;=Tabulação!$H$26,M23*Tabulação!$I$26,IF(M23&lt;=Tabulação!$H$27,M23*Tabulação!$I$27,IF(M23&lt;=Tabulação!$H$28,M23*Tabulação!$I$28,Tabulação!$I$29)))</f>
        <v>0</v>
      </c>
      <c r="N295" s="40">
        <f>IF(N23&lt;=Tabulação!$H$26,N23*Tabulação!$I$26,IF(N23&lt;=Tabulação!$H$27,N23*Tabulação!$I$27,IF(N23&lt;=Tabulação!$H$28,N23*Tabulação!$I$28,Tabulação!$I$29)))</f>
        <v>0</v>
      </c>
      <c r="O295" s="41">
        <f>IF(O23&lt;=Tabulação!$H$26,O23*Tabulação!$I$26,IF(O23&lt;=Tabulação!$H$27,O23*Tabulação!$I$27,IF(O23&lt;=Tabulação!$H$28,O23*Tabulação!$I$28,Tabulação!$I$29)))</f>
        <v>0</v>
      </c>
      <c r="P295" s="41">
        <f t="shared" si="104"/>
        <v>0</v>
      </c>
    </row>
    <row r="296" spans="1:16" ht="30" hidden="1" customHeight="1" outlineLevel="1" thickBot="1" x14ac:dyDescent="0.3">
      <c r="A296" s="39" t="str">
        <f t="shared" si="101"/>
        <v/>
      </c>
      <c r="B296" s="39" t="str">
        <f t="shared" si="102"/>
        <v/>
      </c>
      <c r="C296" s="40">
        <f>IF(C24&lt;=Tabulação!$H$26,C24*Tabulação!$I$26,IF(C24&lt;=Tabulação!$H$27,C24*Tabulação!$I$27,IF(C24&lt;=Tabulação!$H$28,C24*Tabulação!$I$28,Tabulação!$I$29)))</f>
        <v>0</v>
      </c>
      <c r="D296" s="40">
        <f>IF(D24&lt;=Tabulação!$H$26,D24*Tabulação!$I$26,IF(D24&lt;=Tabulação!$H$27,D24*Tabulação!$I$27,IF(D24&lt;=Tabulação!$H$28,D24*Tabulação!$I$28,Tabulação!$I$29)))</f>
        <v>0</v>
      </c>
      <c r="E296" s="40">
        <f>IF(E24&lt;=Tabulação!$H$26,E24*Tabulação!$I$26,IF(E24&lt;=Tabulação!$H$27,E24*Tabulação!$I$27,IF(E24&lt;=Tabulação!$H$28,E24*Tabulação!$I$28,Tabulação!$I$29)))</f>
        <v>0</v>
      </c>
      <c r="F296" s="40">
        <f>IF(F24&lt;=Tabulação!$H$26,F24*Tabulação!$I$26,IF(F24&lt;=Tabulação!$H$27,F24*Tabulação!$I$27,IF(F24&lt;=Tabulação!$H$28,F24*Tabulação!$I$28,Tabulação!$I$29)))</f>
        <v>0</v>
      </c>
      <c r="G296" s="40">
        <f>IF(G24&lt;=Tabulação!$H$26,G24*Tabulação!$I$26,IF(G24&lt;=Tabulação!$H$27,G24*Tabulação!$I$27,IF(G24&lt;=Tabulação!$H$28,G24*Tabulação!$I$28,Tabulação!$I$29)))</f>
        <v>0</v>
      </c>
      <c r="H296" s="40">
        <f>IF(H24&lt;=Tabulação!$H$26,H24*Tabulação!$I$26,IF(H24&lt;=Tabulação!$H$27,H24*Tabulação!$I$27,IF(H24&lt;=Tabulação!$H$28,H24*Tabulação!$I$28,Tabulação!$I$29)))</f>
        <v>0</v>
      </c>
      <c r="I296" s="40">
        <f>IF(I24&lt;=Tabulação!$H$26,I24*Tabulação!$I$26,IF(I24&lt;=Tabulação!$H$27,I24*Tabulação!$I$27,IF(I24&lt;=Tabulação!$H$28,I24*Tabulação!$I$28,Tabulação!$I$29)))</f>
        <v>0</v>
      </c>
      <c r="J296" s="40">
        <f>IF(J24&lt;=Tabulação!$H$26,J24*Tabulação!$I$26,IF(J24&lt;=Tabulação!$H$27,J24*Tabulação!$I$27,IF(J24&lt;=Tabulação!$H$28,J24*Tabulação!$I$28,Tabulação!$I$29)))</f>
        <v>0</v>
      </c>
      <c r="K296" s="40">
        <f>IF(K24&lt;=Tabulação!$H$26,K24*Tabulação!$I$26,IF(K24&lt;=Tabulação!$H$27,K24*Tabulação!$I$27,IF(K24&lt;=Tabulação!$H$28,K24*Tabulação!$I$28,Tabulação!$I$29)))</f>
        <v>0</v>
      </c>
      <c r="L296" s="40">
        <f>IF(L24&lt;=Tabulação!$H$26,L24*Tabulação!$I$26,IF(L24&lt;=Tabulação!$H$27,L24*Tabulação!$I$27,IF(L24&lt;=Tabulação!$H$28,L24*Tabulação!$I$28,Tabulação!$I$29)))</f>
        <v>0</v>
      </c>
      <c r="M296" s="40">
        <f>IF(M24&lt;=Tabulação!$H$26,M24*Tabulação!$I$26,IF(M24&lt;=Tabulação!$H$27,M24*Tabulação!$I$27,IF(M24&lt;=Tabulação!$H$28,M24*Tabulação!$I$28,Tabulação!$I$29)))</f>
        <v>0</v>
      </c>
      <c r="N296" s="40">
        <f>IF(N24&lt;=Tabulação!$H$26,N24*Tabulação!$I$26,IF(N24&lt;=Tabulação!$H$27,N24*Tabulação!$I$27,IF(N24&lt;=Tabulação!$H$28,N24*Tabulação!$I$28,Tabulação!$I$29)))</f>
        <v>0</v>
      </c>
      <c r="O296" s="41">
        <f>IF(O24&lt;=Tabulação!$H$26,O24*Tabulação!$I$26,IF(O24&lt;=Tabulação!$H$27,O24*Tabulação!$I$27,IF(O24&lt;=Tabulação!$H$28,O24*Tabulação!$I$28,Tabulação!$I$29)))</f>
        <v>0</v>
      </c>
      <c r="P296" s="41">
        <f t="shared" si="104"/>
        <v>0</v>
      </c>
    </row>
    <row r="297" spans="1:16" ht="30" hidden="1" customHeight="1" outlineLevel="1" thickBot="1" x14ac:dyDescent="0.3">
      <c r="A297" s="39" t="str">
        <f t="shared" si="101"/>
        <v/>
      </c>
      <c r="B297" s="39" t="str">
        <f t="shared" si="102"/>
        <v/>
      </c>
      <c r="C297" s="40">
        <f>IF(C25&lt;=Tabulação!$H$26,C25*Tabulação!$I$26,IF(C25&lt;=Tabulação!$H$27,C25*Tabulação!$I$27,IF(C25&lt;=Tabulação!$H$28,C25*Tabulação!$I$28,Tabulação!$I$29)))</f>
        <v>0</v>
      </c>
      <c r="D297" s="40">
        <f>IF(D25&lt;=Tabulação!$H$26,D25*Tabulação!$I$26,IF(D25&lt;=Tabulação!$H$27,D25*Tabulação!$I$27,IF(D25&lt;=Tabulação!$H$28,D25*Tabulação!$I$28,Tabulação!$I$29)))</f>
        <v>0</v>
      </c>
      <c r="E297" s="40">
        <f>IF(E25&lt;=Tabulação!$H$26,E25*Tabulação!$I$26,IF(E25&lt;=Tabulação!$H$27,E25*Tabulação!$I$27,IF(E25&lt;=Tabulação!$H$28,E25*Tabulação!$I$28,Tabulação!$I$29)))</f>
        <v>0</v>
      </c>
      <c r="F297" s="40">
        <f>IF(F25&lt;=Tabulação!$H$26,F25*Tabulação!$I$26,IF(F25&lt;=Tabulação!$H$27,F25*Tabulação!$I$27,IF(F25&lt;=Tabulação!$H$28,F25*Tabulação!$I$28,Tabulação!$I$29)))</f>
        <v>0</v>
      </c>
      <c r="G297" s="40">
        <f>IF(G25&lt;=Tabulação!$H$26,G25*Tabulação!$I$26,IF(G25&lt;=Tabulação!$H$27,G25*Tabulação!$I$27,IF(G25&lt;=Tabulação!$H$28,G25*Tabulação!$I$28,Tabulação!$I$29)))</f>
        <v>0</v>
      </c>
      <c r="H297" s="40">
        <f>IF(H25&lt;=Tabulação!$H$26,H25*Tabulação!$I$26,IF(H25&lt;=Tabulação!$H$27,H25*Tabulação!$I$27,IF(H25&lt;=Tabulação!$H$28,H25*Tabulação!$I$28,Tabulação!$I$29)))</f>
        <v>0</v>
      </c>
      <c r="I297" s="40">
        <f>IF(I25&lt;=Tabulação!$H$26,I25*Tabulação!$I$26,IF(I25&lt;=Tabulação!$H$27,I25*Tabulação!$I$27,IF(I25&lt;=Tabulação!$H$28,I25*Tabulação!$I$28,Tabulação!$I$29)))</f>
        <v>0</v>
      </c>
      <c r="J297" s="40">
        <f>IF(J25&lt;=Tabulação!$H$26,J25*Tabulação!$I$26,IF(J25&lt;=Tabulação!$H$27,J25*Tabulação!$I$27,IF(J25&lt;=Tabulação!$H$28,J25*Tabulação!$I$28,Tabulação!$I$29)))</f>
        <v>0</v>
      </c>
      <c r="K297" s="40">
        <f>IF(K25&lt;=Tabulação!$H$26,K25*Tabulação!$I$26,IF(K25&lt;=Tabulação!$H$27,K25*Tabulação!$I$27,IF(K25&lt;=Tabulação!$H$28,K25*Tabulação!$I$28,Tabulação!$I$29)))</f>
        <v>0</v>
      </c>
      <c r="L297" s="40">
        <f>IF(L25&lt;=Tabulação!$H$26,L25*Tabulação!$I$26,IF(L25&lt;=Tabulação!$H$27,L25*Tabulação!$I$27,IF(L25&lt;=Tabulação!$H$28,L25*Tabulação!$I$28,Tabulação!$I$29)))</f>
        <v>0</v>
      </c>
      <c r="M297" s="40">
        <f>IF(M25&lt;=Tabulação!$H$26,M25*Tabulação!$I$26,IF(M25&lt;=Tabulação!$H$27,M25*Tabulação!$I$27,IF(M25&lt;=Tabulação!$H$28,M25*Tabulação!$I$28,Tabulação!$I$29)))</f>
        <v>0</v>
      </c>
      <c r="N297" s="40">
        <f>IF(N25&lt;=Tabulação!$H$26,N25*Tabulação!$I$26,IF(N25&lt;=Tabulação!$H$27,N25*Tabulação!$I$27,IF(N25&lt;=Tabulação!$H$28,N25*Tabulação!$I$28,Tabulação!$I$29)))</f>
        <v>0</v>
      </c>
      <c r="O297" s="41">
        <f>IF(O25&lt;=Tabulação!$H$26,O25*Tabulação!$I$26,IF(O25&lt;=Tabulação!$H$27,O25*Tabulação!$I$27,IF(O25&lt;=Tabulação!$H$28,O25*Tabulação!$I$28,Tabulação!$I$29)))</f>
        <v>0</v>
      </c>
      <c r="P297" s="41">
        <f t="shared" si="104"/>
        <v>0</v>
      </c>
    </row>
    <row r="298" spans="1:16" ht="30" hidden="1" customHeight="1" outlineLevel="1" thickBot="1" x14ac:dyDescent="0.3">
      <c r="A298" s="39" t="str">
        <f t="shared" si="101"/>
        <v/>
      </c>
      <c r="B298" s="39" t="str">
        <f t="shared" si="102"/>
        <v/>
      </c>
      <c r="C298" s="40">
        <f>IF(C26&lt;=Tabulação!$H$26,C26*Tabulação!$I$26,IF(C26&lt;=Tabulação!$H$27,C26*Tabulação!$I$27,IF(C26&lt;=Tabulação!$H$28,C26*Tabulação!$I$28,Tabulação!$I$29)))</f>
        <v>0</v>
      </c>
      <c r="D298" s="40">
        <f>IF(D26&lt;=Tabulação!$H$26,D26*Tabulação!$I$26,IF(D26&lt;=Tabulação!$H$27,D26*Tabulação!$I$27,IF(D26&lt;=Tabulação!$H$28,D26*Tabulação!$I$28,Tabulação!$I$29)))</f>
        <v>0</v>
      </c>
      <c r="E298" s="40">
        <f>IF(E26&lt;=Tabulação!$H$26,E26*Tabulação!$I$26,IF(E26&lt;=Tabulação!$H$27,E26*Tabulação!$I$27,IF(E26&lt;=Tabulação!$H$28,E26*Tabulação!$I$28,Tabulação!$I$29)))</f>
        <v>0</v>
      </c>
      <c r="F298" s="40">
        <f>IF(F26&lt;=Tabulação!$H$26,F26*Tabulação!$I$26,IF(F26&lt;=Tabulação!$H$27,F26*Tabulação!$I$27,IF(F26&lt;=Tabulação!$H$28,F26*Tabulação!$I$28,Tabulação!$I$29)))</f>
        <v>0</v>
      </c>
      <c r="G298" s="40">
        <f>IF(G26&lt;=Tabulação!$H$26,G26*Tabulação!$I$26,IF(G26&lt;=Tabulação!$H$27,G26*Tabulação!$I$27,IF(G26&lt;=Tabulação!$H$28,G26*Tabulação!$I$28,Tabulação!$I$29)))</f>
        <v>0</v>
      </c>
      <c r="H298" s="40">
        <f>IF(H26&lt;=Tabulação!$H$26,H26*Tabulação!$I$26,IF(H26&lt;=Tabulação!$H$27,H26*Tabulação!$I$27,IF(H26&lt;=Tabulação!$H$28,H26*Tabulação!$I$28,Tabulação!$I$29)))</f>
        <v>0</v>
      </c>
      <c r="I298" s="40">
        <f>IF(I26&lt;=Tabulação!$H$26,I26*Tabulação!$I$26,IF(I26&lt;=Tabulação!$H$27,I26*Tabulação!$I$27,IF(I26&lt;=Tabulação!$H$28,I26*Tabulação!$I$28,Tabulação!$I$29)))</f>
        <v>0</v>
      </c>
      <c r="J298" s="40">
        <f>IF(J26&lt;=Tabulação!$H$26,J26*Tabulação!$I$26,IF(J26&lt;=Tabulação!$H$27,J26*Tabulação!$I$27,IF(J26&lt;=Tabulação!$H$28,J26*Tabulação!$I$28,Tabulação!$I$29)))</f>
        <v>0</v>
      </c>
      <c r="K298" s="40">
        <f>IF(K26&lt;=Tabulação!$H$26,K26*Tabulação!$I$26,IF(K26&lt;=Tabulação!$H$27,K26*Tabulação!$I$27,IF(K26&lt;=Tabulação!$H$28,K26*Tabulação!$I$28,Tabulação!$I$29)))</f>
        <v>0</v>
      </c>
      <c r="L298" s="40">
        <f>IF(L26&lt;=Tabulação!$H$26,L26*Tabulação!$I$26,IF(L26&lt;=Tabulação!$H$27,L26*Tabulação!$I$27,IF(L26&lt;=Tabulação!$H$28,L26*Tabulação!$I$28,Tabulação!$I$29)))</f>
        <v>0</v>
      </c>
      <c r="M298" s="40">
        <f>IF(M26&lt;=Tabulação!$H$26,M26*Tabulação!$I$26,IF(M26&lt;=Tabulação!$H$27,M26*Tabulação!$I$27,IF(M26&lt;=Tabulação!$H$28,M26*Tabulação!$I$28,Tabulação!$I$29)))</f>
        <v>0</v>
      </c>
      <c r="N298" s="40">
        <f>IF(N26&lt;=Tabulação!$H$26,N26*Tabulação!$I$26,IF(N26&lt;=Tabulação!$H$27,N26*Tabulação!$I$27,IF(N26&lt;=Tabulação!$H$28,N26*Tabulação!$I$28,Tabulação!$I$29)))</f>
        <v>0</v>
      </c>
      <c r="O298" s="41">
        <f>IF(O26&lt;=Tabulação!$H$26,O26*Tabulação!$I$26,IF(O26&lt;=Tabulação!$H$27,O26*Tabulação!$I$27,IF(O26&lt;=Tabulação!$H$28,O26*Tabulação!$I$28,Tabulação!$I$29)))</f>
        <v>0</v>
      </c>
      <c r="P298" s="41">
        <f t="shared" si="104"/>
        <v>0</v>
      </c>
    </row>
    <row r="299" spans="1:16" ht="30" hidden="1" customHeight="1" outlineLevel="1" thickBot="1" x14ac:dyDescent="0.3">
      <c r="A299" s="39" t="str">
        <f t="shared" si="101"/>
        <v/>
      </c>
      <c r="B299" s="39" t="str">
        <f t="shared" si="102"/>
        <v/>
      </c>
      <c r="C299" s="40">
        <f>IF(C27&lt;=Tabulação!$H$26,C27*Tabulação!$I$26,IF(C27&lt;=Tabulação!$H$27,C27*Tabulação!$I$27,IF(C27&lt;=Tabulação!$H$28,C27*Tabulação!$I$28,Tabulação!$I$29)))</f>
        <v>0</v>
      </c>
      <c r="D299" s="40">
        <f>IF(D27&lt;=Tabulação!$H$26,D27*Tabulação!$I$26,IF(D27&lt;=Tabulação!$H$27,D27*Tabulação!$I$27,IF(D27&lt;=Tabulação!$H$28,D27*Tabulação!$I$28,Tabulação!$I$29)))</f>
        <v>0</v>
      </c>
      <c r="E299" s="40">
        <f>IF(E27&lt;=Tabulação!$H$26,E27*Tabulação!$I$26,IF(E27&lt;=Tabulação!$H$27,E27*Tabulação!$I$27,IF(E27&lt;=Tabulação!$H$28,E27*Tabulação!$I$28,Tabulação!$I$29)))</f>
        <v>0</v>
      </c>
      <c r="F299" s="40">
        <f>IF(F27&lt;=Tabulação!$H$26,F27*Tabulação!$I$26,IF(F27&lt;=Tabulação!$H$27,F27*Tabulação!$I$27,IF(F27&lt;=Tabulação!$H$28,F27*Tabulação!$I$28,Tabulação!$I$29)))</f>
        <v>0</v>
      </c>
      <c r="G299" s="40">
        <f>IF(G27&lt;=Tabulação!$H$26,G27*Tabulação!$I$26,IF(G27&lt;=Tabulação!$H$27,G27*Tabulação!$I$27,IF(G27&lt;=Tabulação!$H$28,G27*Tabulação!$I$28,Tabulação!$I$29)))</f>
        <v>0</v>
      </c>
      <c r="H299" s="40">
        <f>IF(H27&lt;=Tabulação!$H$26,H27*Tabulação!$I$26,IF(H27&lt;=Tabulação!$H$27,H27*Tabulação!$I$27,IF(H27&lt;=Tabulação!$H$28,H27*Tabulação!$I$28,Tabulação!$I$29)))</f>
        <v>0</v>
      </c>
      <c r="I299" s="40">
        <f>IF(I27&lt;=Tabulação!$H$26,I27*Tabulação!$I$26,IF(I27&lt;=Tabulação!$H$27,I27*Tabulação!$I$27,IF(I27&lt;=Tabulação!$H$28,I27*Tabulação!$I$28,Tabulação!$I$29)))</f>
        <v>0</v>
      </c>
      <c r="J299" s="40">
        <f>IF(J27&lt;=Tabulação!$H$26,J27*Tabulação!$I$26,IF(J27&lt;=Tabulação!$H$27,J27*Tabulação!$I$27,IF(J27&lt;=Tabulação!$H$28,J27*Tabulação!$I$28,Tabulação!$I$29)))</f>
        <v>0</v>
      </c>
      <c r="K299" s="40">
        <f>IF(K27&lt;=Tabulação!$H$26,K27*Tabulação!$I$26,IF(K27&lt;=Tabulação!$H$27,K27*Tabulação!$I$27,IF(K27&lt;=Tabulação!$H$28,K27*Tabulação!$I$28,Tabulação!$I$29)))</f>
        <v>0</v>
      </c>
      <c r="L299" s="40">
        <f>IF(L27&lt;=Tabulação!$H$26,L27*Tabulação!$I$26,IF(L27&lt;=Tabulação!$H$27,L27*Tabulação!$I$27,IF(L27&lt;=Tabulação!$H$28,L27*Tabulação!$I$28,Tabulação!$I$29)))</f>
        <v>0</v>
      </c>
      <c r="M299" s="40">
        <f>IF(M27&lt;=Tabulação!$H$26,M27*Tabulação!$I$26,IF(M27&lt;=Tabulação!$H$27,M27*Tabulação!$I$27,IF(M27&lt;=Tabulação!$H$28,M27*Tabulação!$I$28,Tabulação!$I$29)))</f>
        <v>0</v>
      </c>
      <c r="N299" s="40">
        <f>IF(N27&lt;=Tabulação!$H$26,N27*Tabulação!$I$26,IF(N27&lt;=Tabulação!$H$27,N27*Tabulação!$I$27,IF(N27&lt;=Tabulação!$H$28,N27*Tabulação!$I$28,Tabulação!$I$29)))</f>
        <v>0</v>
      </c>
      <c r="O299" s="41">
        <f>IF(O27&lt;=Tabulação!$H$26,O27*Tabulação!$I$26,IF(O27&lt;=Tabulação!$H$27,O27*Tabulação!$I$27,IF(O27&lt;=Tabulação!$H$28,O27*Tabulação!$I$28,Tabulação!$I$29)))</f>
        <v>0</v>
      </c>
      <c r="P299" s="41">
        <f t="shared" si="104"/>
        <v>0</v>
      </c>
    </row>
    <row r="300" spans="1:16" ht="30" hidden="1" customHeight="1" outlineLevel="1" thickBot="1" x14ac:dyDescent="0.3">
      <c r="A300" s="39" t="str">
        <f>IF($A232="","",$A232)</f>
        <v/>
      </c>
      <c r="B300" s="39" t="str">
        <f>IF($B232="","",$B232)</f>
        <v/>
      </c>
      <c r="C300" s="40">
        <f>IF(C28&lt;=Tabulação!$H$26,C28*Tabulação!$I$26,IF(C28&lt;=Tabulação!$H$27,C28*Tabulação!$I$27,IF(C28&lt;=Tabulação!$H$28,C28*Tabulação!$I$28,Tabulação!$I$29)))</f>
        <v>0</v>
      </c>
      <c r="D300" s="40">
        <f>IF(D28&lt;=Tabulação!$H$26,D28*Tabulação!$I$26,IF(D28&lt;=Tabulação!$H$27,D28*Tabulação!$I$27,IF(D28&lt;=Tabulação!$H$28,D28*Tabulação!$I$28,Tabulação!$I$29)))</f>
        <v>0</v>
      </c>
      <c r="E300" s="40">
        <f>IF(E28&lt;=Tabulação!$H$26,E28*Tabulação!$I$26,IF(E28&lt;=Tabulação!$H$27,E28*Tabulação!$I$27,IF(E28&lt;=Tabulação!$H$28,E28*Tabulação!$I$28,Tabulação!$I$29)))</f>
        <v>0</v>
      </c>
      <c r="F300" s="40">
        <f>IF(F28&lt;=Tabulação!$H$26,F28*Tabulação!$I$26,IF(F28&lt;=Tabulação!$H$27,F28*Tabulação!$I$27,IF(F28&lt;=Tabulação!$H$28,F28*Tabulação!$I$28,Tabulação!$I$29)))</f>
        <v>0</v>
      </c>
      <c r="G300" s="40">
        <f>IF(G28&lt;=Tabulação!$H$26,G28*Tabulação!$I$26,IF(G28&lt;=Tabulação!$H$27,G28*Tabulação!$I$27,IF(G28&lt;=Tabulação!$H$28,G28*Tabulação!$I$28,Tabulação!$I$29)))</f>
        <v>0</v>
      </c>
      <c r="H300" s="40">
        <f>IF(H28&lt;=Tabulação!$H$26,H28*Tabulação!$I$26,IF(H28&lt;=Tabulação!$H$27,H28*Tabulação!$I$27,IF(H28&lt;=Tabulação!$H$28,H28*Tabulação!$I$28,Tabulação!$I$29)))</f>
        <v>0</v>
      </c>
      <c r="I300" s="40">
        <f>IF(I28&lt;=Tabulação!$H$26,I28*Tabulação!$I$26,IF(I28&lt;=Tabulação!$H$27,I28*Tabulação!$I$27,IF(I28&lt;=Tabulação!$H$28,I28*Tabulação!$I$28,Tabulação!$I$29)))</f>
        <v>0</v>
      </c>
      <c r="J300" s="40">
        <f>IF(J28&lt;=Tabulação!$H$26,J28*Tabulação!$I$26,IF(J28&lt;=Tabulação!$H$27,J28*Tabulação!$I$27,IF(J28&lt;=Tabulação!$H$28,J28*Tabulação!$I$28,Tabulação!$I$29)))</f>
        <v>0</v>
      </c>
      <c r="K300" s="40">
        <f>IF(K28&lt;=Tabulação!$H$26,K28*Tabulação!$I$26,IF(K28&lt;=Tabulação!$H$27,K28*Tabulação!$I$27,IF(K28&lt;=Tabulação!$H$28,K28*Tabulação!$I$28,Tabulação!$I$29)))</f>
        <v>0</v>
      </c>
      <c r="L300" s="40">
        <f>IF(L28&lt;=Tabulação!$H$26,L28*Tabulação!$I$26,IF(L28&lt;=Tabulação!$H$27,L28*Tabulação!$I$27,IF(L28&lt;=Tabulação!$H$28,L28*Tabulação!$I$28,Tabulação!$I$29)))</f>
        <v>0</v>
      </c>
      <c r="M300" s="40">
        <f>IF(M28&lt;=Tabulação!$H$26,M28*Tabulação!$I$26,IF(M28&lt;=Tabulação!$H$27,M28*Tabulação!$I$27,IF(M28&lt;=Tabulação!$H$28,M28*Tabulação!$I$28,Tabulação!$I$29)))</f>
        <v>0</v>
      </c>
      <c r="N300" s="40">
        <f>IF(N28&lt;=Tabulação!$H$26,N28*Tabulação!$I$26,IF(N28&lt;=Tabulação!$H$27,N28*Tabulação!$I$27,IF(N28&lt;=Tabulação!$H$28,N28*Tabulação!$I$28,Tabulação!$I$29)))</f>
        <v>0</v>
      </c>
      <c r="O300" s="41">
        <f>IF(O28&lt;=Tabulação!$H$26,O28*Tabulação!$I$26,IF(O28&lt;=Tabulação!$H$27,O28*Tabulação!$I$27,IF(O28&lt;=Tabulação!$H$28,O28*Tabulação!$I$28,Tabulação!$I$29)))</f>
        <v>0</v>
      </c>
      <c r="P300" s="41">
        <f t="shared" si="104"/>
        <v>0</v>
      </c>
    </row>
    <row r="301" spans="1:16" ht="30" hidden="1" customHeight="1" outlineLevel="1" thickBot="1" x14ac:dyDescent="0.3">
      <c r="A301" s="39" t="str">
        <f t="shared" si="101"/>
        <v/>
      </c>
      <c r="B301" s="39" t="str">
        <f t="shared" si="102"/>
        <v/>
      </c>
      <c r="C301" s="40">
        <f>IF(C29&lt;=Tabulação!$H$26,C29*Tabulação!$I$26,IF(C29&lt;=Tabulação!$H$27,C29*Tabulação!$I$27,IF(C29&lt;=Tabulação!$H$28,C29*Tabulação!$I$28,Tabulação!$I$29)))</f>
        <v>0</v>
      </c>
      <c r="D301" s="40">
        <f>IF(D29&lt;=Tabulação!$H$26,D29*Tabulação!$I$26,IF(D29&lt;=Tabulação!$H$27,D29*Tabulação!$I$27,IF(D29&lt;=Tabulação!$H$28,D29*Tabulação!$I$28,Tabulação!$I$29)))</f>
        <v>0</v>
      </c>
      <c r="E301" s="40">
        <f>IF(E29&lt;=Tabulação!$H$26,E29*Tabulação!$I$26,IF(E29&lt;=Tabulação!$H$27,E29*Tabulação!$I$27,IF(E29&lt;=Tabulação!$H$28,E29*Tabulação!$I$28,Tabulação!$I$29)))</f>
        <v>0</v>
      </c>
      <c r="F301" s="40">
        <f>IF(F29&lt;=Tabulação!$H$26,F29*Tabulação!$I$26,IF(F29&lt;=Tabulação!$H$27,F29*Tabulação!$I$27,IF(F29&lt;=Tabulação!$H$28,F29*Tabulação!$I$28,Tabulação!$I$29)))</f>
        <v>0</v>
      </c>
      <c r="G301" s="40">
        <f>IF(G29&lt;=Tabulação!$H$26,G29*Tabulação!$I$26,IF(G29&lt;=Tabulação!$H$27,G29*Tabulação!$I$27,IF(G29&lt;=Tabulação!$H$28,G29*Tabulação!$I$28,Tabulação!$I$29)))</f>
        <v>0</v>
      </c>
      <c r="H301" s="40">
        <f>IF(H29&lt;=Tabulação!$H$26,H29*Tabulação!$I$26,IF(H29&lt;=Tabulação!$H$27,H29*Tabulação!$I$27,IF(H29&lt;=Tabulação!$H$28,H29*Tabulação!$I$28,Tabulação!$I$29)))</f>
        <v>0</v>
      </c>
      <c r="I301" s="40">
        <f>IF(I29&lt;=Tabulação!$H$26,I29*Tabulação!$I$26,IF(I29&lt;=Tabulação!$H$27,I29*Tabulação!$I$27,IF(I29&lt;=Tabulação!$H$28,I29*Tabulação!$I$28,Tabulação!$I$29)))</f>
        <v>0</v>
      </c>
      <c r="J301" s="40">
        <f>IF(J29&lt;=Tabulação!$H$26,J29*Tabulação!$I$26,IF(J29&lt;=Tabulação!$H$27,J29*Tabulação!$I$27,IF(J29&lt;=Tabulação!$H$28,J29*Tabulação!$I$28,Tabulação!$I$29)))</f>
        <v>0</v>
      </c>
      <c r="K301" s="40">
        <f>IF(K29&lt;=Tabulação!$H$26,K29*Tabulação!$I$26,IF(K29&lt;=Tabulação!$H$27,K29*Tabulação!$I$27,IF(K29&lt;=Tabulação!$H$28,K29*Tabulação!$I$28,Tabulação!$I$29)))</f>
        <v>0</v>
      </c>
      <c r="L301" s="40">
        <f>IF(L29&lt;=Tabulação!$H$26,L29*Tabulação!$I$26,IF(L29&lt;=Tabulação!$H$27,L29*Tabulação!$I$27,IF(L29&lt;=Tabulação!$H$28,L29*Tabulação!$I$28,Tabulação!$I$29)))</f>
        <v>0</v>
      </c>
      <c r="M301" s="40">
        <f>IF(M29&lt;=Tabulação!$H$26,M29*Tabulação!$I$26,IF(M29&lt;=Tabulação!$H$27,M29*Tabulação!$I$27,IF(M29&lt;=Tabulação!$H$28,M29*Tabulação!$I$28,Tabulação!$I$29)))</f>
        <v>0</v>
      </c>
      <c r="N301" s="40">
        <f>IF(N29&lt;=Tabulação!$H$26,N29*Tabulação!$I$26,IF(N29&lt;=Tabulação!$H$27,N29*Tabulação!$I$27,IF(N29&lt;=Tabulação!$H$28,N29*Tabulação!$I$28,Tabulação!$I$29)))</f>
        <v>0</v>
      </c>
      <c r="O301" s="41">
        <f>IF(O29&lt;=Tabulação!$H$26,O29*Tabulação!$I$26,IF(O29&lt;=Tabulação!$H$27,O29*Tabulação!$I$27,IF(O29&lt;=Tabulação!$H$28,O29*Tabulação!$I$28,Tabulação!$I$29)))</f>
        <v>0</v>
      </c>
      <c r="P301" s="41">
        <f t="shared" si="104"/>
        <v>0</v>
      </c>
    </row>
    <row r="302" spans="1:16" ht="30" hidden="1" customHeight="1" outlineLevel="1" thickBot="1" x14ac:dyDescent="0.3">
      <c r="A302" s="39" t="str">
        <f t="shared" si="101"/>
        <v/>
      </c>
      <c r="B302" s="39" t="str">
        <f t="shared" si="102"/>
        <v/>
      </c>
      <c r="C302" s="40">
        <f>IF(C30&lt;=Tabulação!$H$26,C30*Tabulação!$I$26,IF(C30&lt;=Tabulação!$H$27,C30*Tabulação!$I$27,IF(C30&lt;=Tabulação!$H$28,C30*Tabulação!$I$28,Tabulação!$I$29)))</f>
        <v>0</v>
      </c>
      <c r="D302" s="40">
        <f>IF(D30&lt;=Tabulação!$H$26,D30*Tabulação!$I$26,IF(D30&lt;=Tabulação!$H$27,D30*Tabulação!$I$27,IF(D30&lt;=Tabulação!$H$28,D30*Tabulação!$I$28,Tabulação!$I$29)))</f>
        <v>0</v>
      </c>
      <c r="E302" s="40">
        <f>IF(E30&lt;=Tabulação!$H$26,E30*Tabulação!$I$26,IF(E30&lt;=Tabulação!$H$27,E30*Tabulação!$I$27,IF(E30&lt;=Tabulação!$H$28,E30*Tabulação!$I$28,Tabulação!$I$29)))</f>
        <v>0</v>
      </c>
      <c r="F302" s="40">
        <f>IF(F30&lt;=Tabulação!$H$26,F30*Tabulação!$I$26,IF(F30&lt;=Tabulação!$H$27,F30*Tabulação!$I$27,IF(F30&lt;=Tabulação!$H$28,F30*Tabulação!$I$28,Tabulação!$I$29)))</f>
        <v>0</v>
      </c>
      <c r="G302" s="40">
        <f>IF(G30&lt;=Tabulação!$H$26,G30*Tabulação!$I$26,IF(G30&lt;=Tabulação!$H$27,G30*Tabulação!$I$27,IF(G30&lt;=Tabulação!$H$28,G30*Tabulação!$I$28,Tabulação!$I$29)))</f>
        <v>0</v>
      </c>
      <c r="H302" s="40">
        <f>IF(H30&lt;=Tabulação!$H$26,H30*Tabulação!$I$26,IF(H30&lt;=Tabulação!$H$27,H30*Tabulação!$I$27,IF(H30&lt;=Tabulação!$H$28,H30*Tabulação!$I$28,Tabulação!$I$29)))</f>
        <v>0</v>
      </c>
      <c r="I302" s="40">
        <f>IF(I30&lt;=Tabulação!$H$26,I30*Tabulação!$I$26,IF(I30&lt;=Tabulação!$H$27,I30*Tabulação!$I$27,IF(I30&lt;=Tabulação!$H$28,I30*Tabulação!$I$28,Tabulação!$I$29)))</f>
        <v>0</v>
      </c>
      <c r="J302" s="40">
        <f>IF(J30&lt;=Tabulação!$H$26,J30*Tabulação!$I$26,IF(J30&lt;=Tabulação!$H$27,J30*Tabulação!$I$27,IF(J30&lt;=Tabulação!$H$28,J30*Tabulação!$I$28,Tabulação!$I$29)))</f>
        <v>0</v>
      </c>
      <c r="K302" s="40">
        <f>IF(K30&lt;=Tabulação!$H$26,K30*Tabulação!$I$26,IF(K30&lt;=Tabulação!$H$27,K30*Tabulação!$I$27,IF(K30&lt;=Tabulação!$H$28,K30*Tabulação!$I$28,Tabulação!$I$29)))</f>
        <v>0</v>
      </c>
      <c r="L302" s="40">
        <f>IF(L30&lt;=Tabulação!$H$26,L30*Tabulação!$I$26,IF(L30&lt;=Tabulação!$H$27,L30*Tabulação!$I$27,IF(L30&lt;=Tabulação!$H$28,L30*Tabulação!$I$28,Tabulação!$I$29)))</f>
        <v>0</v>
      </c>
      <c r="M302" s="40">
        <f>IF(M30&lt;=Tabulação!$H$26,M30*Tabulação!$I$26,IF(M30&lt;=Tabulação!$H$27,M30*Tabulação!$I$27,IF(M30&lt;=Tabulação!$H$28,M30*Tabulação!$I$28,Tabulação!$I$29)))</f>
        <v>0</v>
      </c>
      <c r="N302" s="40">
        <f>IF(N30&lt;=Tabulação!$H$26,N30*Tabulação!$I$26,IF(N30&lt;=Tabulação!$H$27,N30*Tabulação!$I$27,IF(N30&lt;=Tabulação!$H$28,N30*Tabulação!$I$28,Tabulação!$I$29)))</f>
        <v>0</v>
      </c>
      <c r="O302" s="41">
        <f>IF(O30&lt;=Tabulação!$H$26,O30*Tabulação!$I$26,IF(O30&lt;=Tabulação!$H$27,O30*Tabulação!$I$27,IF(O30&lt;=Tabulação!$H$28,O30*Tabulação!$I$28,Tabulação!$I$29)))</f>
        <v>0</v>
      </c>
      <c r="P302" s="41">
        <f t="shared" si="104"/>
        <v>0</v>
      </c>
    </row>
    <row r="303" spans="1:16" ht="30" hidden="1" customHeight="1" outlineLevel="1" thickBot="1" x14ac:dyDescent="0.3">
      <c r="A303" s="39" t="str">
        <f t="shared" si="101"/>
        <v/>
      </c>
      <c r="B303" s="39" t="str">
        <f t="shared" si="102"/>
        <v/>
      </c>
      <c r="C303" s="40">
        <f>IF(C31&lt;=Tabulação!$H$26,C31*Tabulação!$I$26,IF(C31&lt;=Tabulação!$H$27,C31*Tabulação!$I$27,IF(C31&lt;=Tabulação!$H$28,C31*Tabulação!$I$28,Tabulação!$I$29)))</f>
        <v>0</v>
      </c>
      <c r="D303" s="40">
        <f>IF(D31&lt;=Tabulação!$H$26,D31*Tabulação!$I$26,IF(D31&lt;=Tabulação!$H$27,D31*Tabulação!$I$27,IF(D31&lt;=Tabulação!$H$28,D31*Tabulação!$I$28,Tabulação!$I$29)))</f>
        <v>0</v>
      </c>
      <c r="E303" s="40">
        <f>IF(E31&lt;=Tabulação!$H$26,E31*Tabulação!$I$26,IF(E31&lt;=Tabulação!$H$27,E31*Tabulação!$I$27,IF(E31&lt;=Tabulação!$H$28,E31*Tabulação!$I$28,Tabulação!$I$29)))</f>
        <v>0</v>
      </c>
      <c r="F303" s="40">
        <f>IF(F31&lt;=Tabulação!$H$26,F31*Tabulação!$I$26,IF(F31&lt;=Tabulação!$H$27,F31*Tabulação!$I$27,IF(F31&lt;=Tabulação!$H$28,F31*Tabulação!$I$28,Tabulação!$I$29)))</f>
        <v>0</v>
      </c>
      <c r="G303" s="40">
        <f>IF(G31&lt;=Tabulação!$H$26,G31*Tabulação!$I$26,IF(G31&lt;=Tabulação!$H$27,G31*Tabulação!$I$27,IF(G31&lt;=Tabulação!$H$28,G31*Tabulação!$I$28,Tabulação!$I$29)))</f>
        <v>0</v>
      </c>
      <c r="H303" s="40">
        <f>IF(H31&lt;=Tabulação!$H$26,H31*Tabulação!$I$26,IF(H31&lt;=Tabulação!$H$27,H31*Tabulação!$I$27,IF(H31&lt;=Tabulação!$H$28,H31*Tabulação!$I$28,Tabulação!$I$29)))</f>
        <v>0</v>
      </c>
      <c r="I303" s="40">
        <f>IF(I31&lt;=Tabulação!$H$26,I31*Tabulação!$I$26,IF(I31&lt;=Tabulação!$H$27,I31*Tabulação!$I$27,IF(I31&lt;=Tabulação!$H$28,I31*Tabulação!$I$28,Tabulação!$I$29)))</f>
        <v>0</v>
      </c>
      <c r="J303" s="40">
        <f>IF(J31&lt;=Tabulação!$H$26,J31*Tabulação!$I$26,IF(J31&lt;=Tabulação!$H$27,J31*Tabulação!$I$27,IF(J31&lt;=Tabulação!$H$28,J31*Tabulação!$I$28,Tabulação!$I$29)))</f>
        <v>0</v>
      </c>
      <c r="K303" s="40">
        <f>IF(K31&lt;=Tabulação!$H$26,K31*Tabulação!$I$26,IF(K31&lt;=Tabulação!$H$27,K31*Tabulação!$I$27,IF(K31&lt;=Tabulação!$H$28,K31*Tabulação!$I$28,Tabulação!$I$29)))</f>
        <v>0</v>
      </c>
      <c r="L303" s="40">
        <f>IF(L31&lt;=Tabulação!$H$26,L31*Tabulação!$I$26,IF(L31&lt;=Tabulação!$H$27,L31*Tabulação!$I$27,IF(L31&lt;=Tabulação!$H$28,L31*Tabulação!$I$28,Tabulação!$I$29)))</f>
        <v>0</v>
      </c>
      <c r="M303" s="40">
        <f>IF(M31&lt;=Tabulação!$H$26,M31*Tabulação!$I$26,IF(M31&lt;=Tabulação!$H$27,M31*Tabulação!$I$27,IF(M31&lt;=Tabulação!$H$28,M31*Tabulação!$I$28,Tabulação!$I$29)))</f>
        <v>0</v>
      </c>
      <c r="N303" s="40">
        <f>IF(N31&lt;=Tabulação!$H$26,N31*Tabulação!$I$26,IF(N31&lt;=Tabulação!$H$27,N31*Tabulação!$I$27,IF(N31&lt;=Tabulação!$H$28,N31*Tabulação!$I$28,Tabulação!$I$29)))</f>
        <v>0</v>
      </c>
      <c r="O303" s="41">
        <f>IF(O31&lt;=Tabulação!$H$26,O31*Tabulação!$I$26,IF(O31&lt;=Tabulação!$H$27,O31*Tabulação!$I$27,IF(O31&lt;=Tabulação!$H$28,O31*Tabulação!$I$28,Tabulação!$I$29)))</f>
        <v>0</v>
      </c>
      <c r="P303" s="41">
        <f t="shared" si="104"/>
        <v>0</v>
      </c>
    </row>
    <row r="304" spans="1:16" ht="30" hidden="1" customHeight="1" outlineLevel="1" thickBot="1" x14ac:dyDescent="0.3">
      <c r="A304" s="39" t="str">
        <f t="shared" si="101"/>
        <v/>
      </c>
      <c r="B304" s="39" t="str">
        <f t="shared" si="102"/>
        <v/>
      </c>
      <c r="C304" s="40">
        <f>IF(C32&lt;=Tabulação!$H$26,C32*Tabulação!$I$26,IF(C32&lt;=Tabulação!$H$27,C32*Tabulação!$I$27,IF(C32&lt;=Tabulação!$H$28,C32*Tabulação!$I$28,Tabulação!$I$29)))</f>
        <v>0</v>
      </c>
      <c r="D304" s="40">
        <f>IF(D32&lt;=Tabulação!$H$26,D32*Tabulação!$I$26,IF(D32&lt;=Tabulação!$H$27,D32*Tabulação!$I$27,IF(D32&lt;=Tabulação!$H$28,D32*Tabulação!$I$28,Tabulação!$I$29)))</f>
        <v>0</v>
      </c>
      <c r="E304" s="40">
        <f>IF(E32&lt;=Tabulação!$H$26,E32*Tabulação!$I$26,IF(E32&lt;=Tabulação!$H$27,E32*Tabulação!$I$27,IF(E32&lt;=Tabulação!$H$28,E32*Tabulação!$I$28,Tabulação!$I$29)))</f>
        <v>0</v>
      </c>
      <c r="F304" s="40">
        <f>IF(F32&lt;=Tabulação!$H$26,F32*Tabulação!$I$26,IF(F32&lt;=Tabulação!$H$27,F32*Tabulação!$I$27,IF(F32&lt;=Tabulação!$H$28,F32*Tabulação!$I$28,Tabulação!$I$29)))</f>
        <v>0</v>
      </c>
      <c r="G304" s="40">
        <f>IF(G32&lt;=Tabulação!$H$26,G32*Tabulação!$I$26,IF(G32&lt;=Tabulação!$H$27,G32*Tabulação!$I$27,IF(G32&lt;=Tabulação!$H$28,G32*Tabulação!$I$28,Tabulação!$I$29)))</f>
        <v>0</v>
      </c>
      <c r="H304" s="40">
        <f>IF(H32&lt;=Tabulação!$H$26,H32*Tabulação!$I$26,IF(H32&lt;=Tabulação!$H$27,H32*Tabulação!$I$27,IF(H32&lt;=Tabulação!$H$28,H32*Tabulação!$I$28,Tabulação!$I$29)))</f>
        <v>0</v>
      </c>
      <c r="I304" s="40">
        <f>IF(I32&lt;=Tabulação!$H$26,I32*Tabulação!$I$26,IF(I32&lt;=Tabulação!$H$27,I32*Tabulação!$I$27,IF(I32&lt;=Tabulação!$H$28,I32*Tabulação!$I$28,Tabulação!$I$29)))</f>
        <v>0</v>
      </c>
      <c r="J304" s="40">
        <f>IF(J32&lt;=Tabulação!$H$26,J32*Tabulação!$I$26,IF(J32&lt;=Tabulação!$H$27,J32*Tabulação!$I$27,IF(J32&lt;=Tabulação!$H$28,J32*Tabulação!$I$28,Tabulação!$I$29)))</f>
        <v>0</v>
      </c>
      <c r="K304" s="40">
        <f>IF(K32&lt;=Tabulação!$H$26,K32*Tabulação!$I$26,IF(K32&lt;=Tabulação!$H$27,K32*Tabulação!$I$27,IF(K32&lt;=Tabulação!$H$28,K32*Tabulação!$I$28,Tabulação!$I$29)))</f>
        <v>0</v>
      </c>
      <c r="L304" s="40">
        <f>IF(L32&lt;=Tabulação!$H$26,L32*Tabulação!$I$26,IF(L32&lt;=Tabulação!$H$27,L32*Tabulação!$I$27,IF(L32&lt;=Tabulação!$H$28,L32*Tabulação!$I$28,Tabulação!$I$29)))</f>
        <v>0</v>
      </c>
      <c r="M304" s="40">
        <f>IF(M32&lt;=Tabulação!$H$26,M32*Tabulação!$I$26,IF(M32&lt;=Tabulação!$H$27,M32*Tabulação!$I$27,IF(M32&lt;=Tabulação!$H$28,M32*Tabulação!$I$28,Tabulação!$I$29)))</f>
        <v>0</v>
      </c>
      <c r="N304" s="40">
        <f>IF(N32&lt;=Tabulação!$H$26,N32*Tabulação!$I$26,IF(N32&lt;=Tabulação!$H$27,N32*Tabulação!$I$27,IF(N32&lt;=Tabulação!$H$28,N32*Tabulação!$I$28,Tabulação!$I$29)))</f>
        <v>0</v>
      </c>
      <c r="O304" s="41">
        <f>IF(O32&lt;=Tabulação!$H$26,O32*Tabulação!$I$26,IF(O32&lt;=Tabulação!$H$27,O32*Tabulação!$I$27,IF(O32&lt;=Tabulação!$H$28,O32*Tabulação!$I$28,Tabulação!$I$29)))</f>
        <v>0</v>
      </c>
      <c r="P304" s="41">
        <f t="shared" si="104"/>
        <v>0</v>
      </c>
    </row>
    <row r="305" spans="1:16" ht="30" hidden="1" customHeight="1" outlineLevel="1" thickBot="1" x14ac:dyDescent="0.3">
      <c r="A305" s="39" t="str">
        <f>IF($A237="","",$A237)</f>
        <v/>
      </c>
      <c r="B305" s="39" t="str">
        <f>IF($B237="","",$B237)</f>
        <v/>
      </c>
      <c r="C305" s="40">
        <f>IF(C33&lt;=Tabulação!$H$26,C33*Tabulação!$I$26,IF(C33&lt;=Tabulação!$H$27,C33*Tabulação!$I$27,IF(C33&lt;=Tabulação!$H$28,C33*Tabulação!$I$28,Tabulação!$I$29)))</f>
        <v>0</v>
      </c>
      <c r="D305" s="40">
        <f>IF(D33&lt;=Tabulação!$H$26,D33*Tabulação!$I$26,IF(D33&lt;=Tabulação!$H$27,D33*Tabulação!$I$27,IF(D33&lt;=Tabulação!$H$28,D33*Tabulação!$I$28,Tabulação!$I$29)))</f>
        <v>0</v>
      </c>
      <c r="E305" s="40">
        <f>IF(E33&lt;=Tabulação!$H$26,E33*Tabulação!$I$26,IF(E33&lt;=Tabulação!$H$27,E33*Tabulação!$I$27,IF(E33&lt;=Tabulação!$H$28,E33*Tabulação!$I$28,Tabulação!$I$29)))</f>
        <v>0</v>
      </c>
      <c r="F305" s="40">
        <f>IF(F33&lt;=Tabulação!$H$26,F33*Tabulação!$I$26,IF(F33&lt;=Tabulação!$H$27,F33*Tabulação!$I$27,IF(F33&lt;=Tabulação!$H$28,F33*Tabulação!$I$28,Tabulação!$I$29)))</f>
        <v>0</v>
      </c>
      <c r="G305" s="40">
        <f>IF(G33&lt;=Tabulação!$H$26,G33*Tabulação!$I$26,IF(G33&lt;=Tabulação!$H$27,G33*Tabulação!$I$27,IF(G33&lt;=Tabulação!$H$28,G33*Tabulação!$I$28,Tabulação!$I$29)))</f>
        <v>0</v>
      </c>
      <c r="H305" s="40">
        <f>IF(H33&lt;=Tabulação!$H$26,H33*Tabulação!$I$26,IF(H33&lt;=Tabulação!$H$27,H33*Tabulação!$I$27,IF(H33&lt;=Tabulação!$H$28,H33*Tabulação!$I$28,Tabulação!$I$29)))</f>
        <v>0</v>
      </c>
      <c r="I305" s="40">
        <f>IF(I33&lt;=Tabulação!$H$26,I33*Tabulação!$I$26,IF(I33&lt;=Tabulação!$H$27,I33*Tabulação!$I$27,IF(I33&lt;=Tabulação!$H$28,I33*Tabulação!$I$28,Tabulação!$I$29)))</f>
        <v>0</v>
      </c>
      <c r="J305" s="40">
        <f>IF(J33&lt;=Tabulação!$H$26,J33*Tabulação!$I$26,IF(J33&lt;=Tabulação!$H$27,J33*Tabulação!$I$27,IF(J33&lt;=Tabulação!$H$28,J33*Tabulação!$I$28,Tabulação!$I$29)))</f>
        <v>0</v>
      </c>
      <c r="K305" s="40">
        <f>IF(K33&lt;=Tabulação!$H$26,K33*Tabulação!$I$26,IF(K33&lt;=Tabulação!$H$27,K33*Tabulação!$I$27,IF(K33&lt;=Tabulação!$H$28,K33*Tabulação!$I$28,Tabulação!$I$29)))</f>
        <v>0</v>
      </c>
      <c r="L305" s="40">
        <f>IF(L33&lt;=Tabulação!$H$26,L33*Tabulação!$I$26,IF(L33&lt;=Tabulação!$H$27,L33*Tabulação!$I$27,IF(L33&lt;=Tabulação!$H$28,L33*Tabulação!$I$28,Tabulação!$I$29)))</f>
        <v>0</v>
      </c>
      <c r="M305" s="40">
        <f>IF(M33&lt;=Tabulação!$H$26,M33*Tabulação!$I$26,IF(M33&lt;=Tabulação!$H$27,M33*Tabulação!$I$27,IF(M33&lt;=Tabulação!$H$28,M33*Tabulação!$I$28,Tabulação!$I$29)))</f>
        <v>0</v>
      </c>
      <c r="N305" s="40">
        <f>IF(N33&lt;=Tabulação!$H$26,N33*Tabulação!$I$26,IF(N33&lt;=Tabulação!$H$27,N33*Tabulação!$I$27,IF(N33&lt;=Tabulação!$H$28,N33*Tabulação!$I$28,Tabulação!$I$29)))</f>
        <v>0</v>
      </c>
      <c r="O305" s="41">
        <f>IF(O33&lt;=Tabulação!$H$26,O33*Tabulação!$I$26,IF(O33&lt;=Tabulação!$H$27,O33*Tabulação!$I$27,IF(O33&lt;=Tabulação!$H$28,O33*Tabulação!$I$28,Tabulação!$I$29)))</f>
        <v>0</v>
      </c>
      <c r="P305" s="41">
        <f t="shared" si="104"/>
        <v>0</v>
      </c>
    </row>
    <row r="306" spans="1:16" ht="30" hidden="1" customHeight="1" outlineLevel="1" thickBot="1" x14ac:dyDescent="0.3">
      <c r="A306" s="39" t="str">
        <f t="shared" si="101"/>
        <v/>
      </c>
      <c r="B306" s="39" t="str">
        <f t="shared" si="102"/>
        <v/>
      </c>
      <c r="C306" s="40">
        <f>IF(C34&lt;=Tabulação!$H$26,C34*Tabulação!$I$26,IF(C34&lt;=Tabulação!$H$27,C34*Tabulação!$I$27,IF(C34&lt;=Tabulação!$H$28,C34*Tabulação!$I$28,Tabulação!$I$29)))</f>
        <v>0</v>
      </c>
      <c r="D306" s="40">
        <f>IF(D34&lt;=Tabulação!$H$26,D34*Tabulação!$I$26,IF(D34&lt;=Tabulação!$H$27,D34*Tabulação!$I$27,IF(D34&lt;=Tabulação!$H$28,D34*Tabulação!$I$28,Tabulação!$I$29)))</f>
        <v>0</v>
      </c>
      <c r="E306" s="40">
        <f>IF(E34&lt;=Tabulação!$H$26,E34*Tabulação!$I$26,IF(E34&lt;=Tabulação!$H$27,E34*Tabulação!$I$27,IF(E34&lt;=Tabulação!$H$28,E34*Tabulação!$I$28,Tabulação!$I$29)))</f>
        <v>0</v>
      </c>
      <c r="F306" s="40">
        <f>IF(F34&lt;=Tabulação!$H$26,F34*Tabulação!$I$26,IF(F34&lt;=Tabulação!$H$27,F34*Tabulação!$I$27,IF(F34&lt;=Tabulação!$H$28,F34*Tabulação!$I$28,Tabulação!$I$29)))</f>
        <v>0</v>
      </c>
      <c r="G306" s="40">
        <f>IF(G34&lt;=Tabulação!$H$26,G34*Tabulação!$I$26,IF(G34&lt;=Tabulação!$H$27,G34*Tabulação!$I$27,IF(G34&lt;=Tabulação!$H$28,G34*Tabulação!$I$28,Tabulação!$I$29)))</f>
        <v>0</v>
      </c>
      <c r="H306" s="40">
        <f>IF(H34&lt;=Tabulação!$H$26,H34*Tabulação!$I$26,IF(H34&lt;=Tabulação!$H$27,H34*Tabulação!$I$27,IF(H34&lt;=Tabulação!$H$28,H34*Tabulação!$I$28,Tabulação!$I$29)))</f>
        <v>0</v>
      </c>
      <c r="I306" s="40">
        <f>IF(I34&lt;=Tabulação!$H$26,I34*Tabulação!$I$26,IF(I34&lt;=Tabulação!$H$27,I34*Tabulação!$I$27,IF(I34&lt;=Tabulação!$H$28,I34*Tabulação!$I$28,Tabulação!$I$29)))</f>
        <v>0</v>
      </c>
      <c r="J306" s="40">
        <f>IF(J34&lt;=Tabulação!$H$26,J34*Tabulação!$I$26,IF(J34&lt;=Tabulação!$H$27,J34*Tabulação!$I$27,IF(J34&lt;=Tabulação!$H$28,J34*Tabulação!$I$28,Tabulação!$I$29)))</f>
        <v>0</v>
      </c>
      <c r="K306" s="40">
        <f>IF(K34&lt;=Tabulação!$H$26,K34*Tabulação!$I$26,IF(K34&lt;=Tabulação!$H$27,K34*Tabulação!$I$27,IF(K34&lt;=Tabulação!$H$28,K34*Tabulação!$I$28,Tabulação!$I$29)))</f>
        <v>0</v>
      </c>
      <c r="L306" s="40">
        <f>IF(L34&lt;=Tabulação!$H$26,L34*Tabulação!$I$26,IF(L34&lt;=Tabulação!$H$27,L34*Tabulação!$I$27,IF(L34&lt;=Tabulação!$H$28,L34*Tabulação!$I$28,Tabulação!$I$29)))</f>
        <v>0</v>
      </c>
      <c r="M306" s="40">
        <f>IF(M34&lt;=Tabulação!$H$26,M34*Tabulação!$I$26,IF(M34&lt;=Tabulação!$H$27,M34*Tabulação!$I$27,IF(M34&lt;=Tabulação!$H$28,M34*Tabulação!$I$28,Tabulação!$I$29)))</f>
        <v>0</v>
      </c>
      <c r="N306" s="40">
        <f>IF(N34&lt;=Tabulação!$H$26,N34*Tabulação!$I$26,IF(N34&lt;=Tabulação!$H$27,N34*Tabulação!$I$27,IF(N34&lt;=Tabulação!$H$28,N34*Tabulação!$I$28,Tabulação!$I$29)))</f>
        <v>0</v>
      </c>
      <c r="O306" s="41">
        <f>IF(O34&lt;=Tabulação!$H$26,O34*Tabulação!$I$26,IF(O34&lt;=Tabulação!$H$27,O34*Tabulação!$I$27,IF(O34&lt;=Tabulação!$H$28,O34*Tabulação!$I$28,Tabulação!$I$29)))</f>
        <v>0</v>
      </c>
      <c r="P306" s="41">
        <f t="shared" si="104"/>
        <v>0</v>
      </c>
    </row>
    <row r="307" spans="1:16" ht="30" hidden="1" customHeight="1" outlineLevel="1" thickBot="1" x14ac:dyDescent="0.3">
      <c r="A307" s="39" t="str">
        <f>IF($A239="","",$A239)</f>
        <v/>
      </c>
      <c r="B307" s="39" t="str">
        <f>IF($B239="","",$B239)</f>
        <v/>
      </c>
      <c r="C307" s="40">
        <f>IF(C35&lt;=Tabulação!$H$26,C35*Tabulação!$I$26,IF(C35&lt;=Tabulação!$H$27,C35*Tabulação!$I$27,IF(C35&lt;=Tabulação!$H$28,C35*Tabulação!$I$28,Tabulação!$I$29)))</f>
        <v>0</v>
      </c>
      <c r="D307" s="40">
        <f>IF(D35&lt;=Tabulação!$H$26,D35*Tabulação!$I$26,IF(D35&lt;=Tabulação!$H$27,D35*Tabulação!$I$27,IF(D35&lt;=Tabulação!$H$28,D35*Tabulação!$I$28,Tabulação!$I$29)))</f>
        <v>0</v>
      </c>
      <c r="E307" s="40">
        <f>IF(E35&lt;=Tabulação!$H$26,E35*Tabulação!$I$26,IF(E35&lt;=Tabulação!$H$27,E35*Tabulação!$I$27,IF(E35&lt;=Tabulação!$H$28,E35*Tabulação!$I$28,Tabulação!$I$29)))</f>
        <v>0</v>
      </c>
      <c r="F307" s="40">
        <f>IF(F35&lt;=Tabulação!$H$26,F35*Tabulação!$I$26,IF(F35&lt;=Tabulação!$H$27,F35*Tabulação!$I$27,IF(F35&lt;=Tabulação!$H$28,F35*Tabulação!$I$28,Tabulação!$I$29)))</f>
        <v>0</v>
      </c>
      <c r="G307" s="40">
        <f>IF(G35&lt;=Tabulação!$H$26,G35*Tabulação!$I$26,IF(G35&lt;=Tabulação!$H$27,G35*Tabulação!$I$27,IF(G35&lt;=Tabulação!$H$28,G35*Tabulação!$I$28,Tabulação!$I$29)))</f>
        <v>0</v>
      </c>
      <c r="H307" s="40">
        <f>IF(H35&lt;=Tabulação!$H$26,H35*Tabulação!$I$26,IF(H35&lt;=Tabulação!$H$27,H35*Tabulação!$I$27,IF(H35&lt;=Tabulação!$H$28,H35*Tabulação!$I$28,Tabulação!$I$29)))</f>
        <v>0</v>
      </c>
      <c r="I307" s="40">
        <f>IF(I35&lt;=Tabulação!$H$26,I35*Tabulação!$I$26,IF(I35&lt;=Tabulação!$H$27,I35*Tabulação!$I$27,IF(I35&lt;=Tabulação!$H$28,I35*Tabulação!$I$28,Tabulação!$I$29)))</f>
        <v>0</v>
      </c>
      <c r="J307" s="40">
        <f>IF(J35&lt;=Tabulação!$H$26,J35*Tabulação!$I$26,IF(J35&lt;=Tabulação!$H$27,J35*Tabulação!$I$27,IF(J35&lt;=Tabulação!$H$28,J35*Tabulação!$I$28,Tabulação!$I$29)))</f>
        <v>0</v>
      </c>
      <c r="K307" s="40">
        <f>IF(K35&lt;=Tabulação!$H$26,K35*Tabulação!$I$26,IF(K35&lt;=Tabulação!$H$27,K35*Tabulação!$I$27,IF(K35&lt;=Tabulação!$H$28,K35*Tabulação!$I$28,Tabulação!$I$29)))</f>
        <v>0</v>
      </c>
      <c r="L307" s="40">
        <f>IF(L35&lt;=Tabulação!$H$26,L35*Tabulação!$I$26,IF(L35&lt;=Tabulação!$H$27,L35*Tabulação!$I$27,IF(L35&lt;=Tabulação!$H$28,L35*Tabulação!$I$28,Tabulação!$I$29)))</f>
        <v>0</v>
      </c>
      <c r="M307" s="40">
        <f>IF(M35&lt;=Tabulação!$H$26,M35*Tabulação!$I$26,IF(M35&lt;=Tabulação!$H$27,M35*Tabulação!$I$27,IF(M35&lt;=Tabulação!$H$28,M35*Tabulação!$I$28,Tabulação!$I$29)))</f>
        <v>0</v>
      </c>
      <c r="N307" s="40">
        <f>IF(N35&lt;=Tabulação!$H$26,N35*Tabulação!$I$26,IF(N35&lt;=Tabulação!$H$27,N35*Tabulação!$I$27,IF(N35&lt;=Tabulação!$H$28,N35*Tabulação!$I$28,Tabulação!$I$29)))</f>
        <v>0</v>
      </c>
      <c r="O307" s="41">
        <f>IF(O35&lt;=Tabulação!$H$26,O35*Tabulação!$I$26,IF(O35&lt;=Tabulação!$H$27,O35*Tabulação!$I$27,IF(O35&lt;=Tabulação!$H$28,O35*Tabulação!$I$28,Tabulação!$I$29)))</f>
        <v>0</v>
      </c>
      <c r="P307" s="41">
        <f t="shared" si="104"/>
        <v>0</v>
      </c>
    </row>
    <row r="308" spans="1:16" ht="30" hidden="1" customHeight="1" outlineLevel="1" thickBot="1" x14ac:dyDescent="0.3">
      <c r="A308" s="39" t="str">
        <f>IF($A240="","",$A240)</f>
        <v/>
      </c>
      <c r="B308" s="39" t="str">
        <f>IF($B240="","",$B240)</f>
        <v/>
      </c>
      <c r="C308" s="40">
        <f>IF(C36&lt;=Tabulação!$H$26,C36*Tabulação!$I$26,IF(C36&lt;=Tabulação!$H$27,C36*Tabulação!$I$27,IF(C36&lt;=Tabulação!$H$28,C36*Tabulação!$I$28,Tabulação!$I$29)))</f>
        <v>0</v>
      </c>
      <c r="D308" s="40">
        <f>IF(D36&lt;=Tabulação!$H$26,D36*Tabulação!$I$26,IF(D36&lt;=Tabulação!$H$27,D36*Tabulação!$I$27,IF(D36&lt;=Tabulação!$H$28,D36*Tabulação!$I$28,Tabulação!$I$29)))</f>
        <v>0</v>
      </c>
      <c r="E308" s="40">
        <f>IF(E36&lt;=Tabulação!$H$26,E36*Tabulação!$I$26,IF(E36&lt;=Tabulação!$H$27,E36*Tabulação!$I$27,IF(E36&lt;=Tabulação!$H$28,E36*Tabulação!$I$28,Tabulação!$I$29)))</f>
        <v>0</v>
      </c>
      <c r="F308" s="40">
        <f>IF(F36&lt;=Tabulação!$H$26,F36*Tabulação!$I$26,IF(F36&lt;=Tabulação!$H$27,F36*Tabulação!$I$27,IF(F36&lt;=Tabulação!$H$28,F36*Tabulação!$I$28,Tabulação!$I$29)))</f>
        <v>0</v>
      </c>
      <c r="G308" s="40">
        <f>IF(G36&lt;=Tabulação!$H$26,G36*Tabulação!$I$26,IF(G36&lt;=Tabulação!$H$27,G36*Tabulação!$I$27,IF(G36&lt;=Tabulação!$H$28,G36*Tabulação!$I$28,Tabulação!$I$29)))</f>
        <v>0</v>
      </c>
      <c r="H308" s="40">
        <f>IF(H36&lt;=Tabulação!$H$26,H36*Tabulação!$I$26,IF(H36&lt;=Tabulação!$H$27,H36*Tabulação!$I$27,IF(H36&lt;=Tabulação!$H$28,H36*Tabulação!$I$28,Tabulação!$I$29)))</f>
        <v>0</v>
      </c>
      <c r="I308" s="40">
        <f>IF(I36&lt;=Tabulação!$H$26,I36*Tabulação!$I$26,IF(I36&lt;=Tabulação!$H$27,I36*Tabulação!$I$27,IF(I36&lt;=Tabulação!$H$28,I36*Tabulação!$I$28,Tabulação!$I$29)))</f>
        <v>0</v>
      </c>
      <c r="J308" s="40">
        <f>IF(J36&lt;=Tabulação!$H$26,J36*Tabulação!$I$26,IF(J36&lt;=Tabulação!$H$27,J36*Tabulação!$I$27,IF(J36&lt;=Tabulação!$H$28,J36*Tabulação!$I$28,Tabulação!$I$29)))</f>
        <v>0</v>
      </c>
      <c r="K308" s="40">
        <f>IF(K36&lt;=Tabulação!$H$26,K36*Tabulação!$I$26,IF(K36&lt;=Tabulação!$H$27,K36*Tabulação!$I$27,IF(K36&lt;=Tabulação!$H$28,K36*Tabulação!$I$28,Tabulação!$I$29)))</f>
        <v>0</v>
      </c>
      <c r="L308" s="40">
        <f>IF(L36&lt;=Tabulação!$H$26,L36*Tabulação!$I$26,IF(L36&lt;=Tabulação!$H$27,L36*Tabulação!$I$27,IF(L36&lt;=Tabulação!$H$28,L36*Tabulação!$I$28,Tabulação!$I$29)))</f>
        <v>0</v>
      </c>
      <c r="M308" s="40">
        <f>IF(M36&lt;=Tabulação!$H$26,M36*Tabulação!$I$26,IF(M36&lt;=Tabulação!$H$27,M36*Tabulação!$I$27,IF(M36&lt;=Tabulação!$H$28,M36*Tabulação!$I$28,Tabulação!$I$29)))</f>
        <v>0</v>
      </c>
      <c r="N308" s="40">
        <f>IF(N36&lt;=Tabulação!$H$26,N36*Tabulação!$I$26,IF(N36&lt;=Tabulação!$H$27,N36*Tabulação!$I$27,IF(N36&lt;=Tabulação!$H$28,N36*Tabulação!$I$28,Tabulação!$I$29)))</f>
        <v>0</v>
      </c>
      <c r="O308" s="41">
        <f>IF(O36&lt;=Tabulação!$H$26,O36*Tabulação!$I$26,IF(O36&lt;=Tabulação!$H$27,O36*Tabulação!$I$27,IF(O36&lt;=Tabulação!$H$28,O36*Tabulação!$I$28,Tabulação!$I$29)))</f>
        <v>0</v>
      </c>
      <c r="P308" s="41">
        <f t="shared" si="104"/>
        <v>0</v>
      </c>
    </row>
    <row r="309" spans="1:16" ht="30" customHeight="1" collapsed="1" thickBot="1" x14ac:dyDescent="0.3">
      <c r="A309" s="61" t="s">
        <v>36</v>
      </c>
      <c r="B309" s="61"/>
      <c r="C309" s="42">
        <f t="shared" ref="C309:P309" si="105">SUM(C278:C308)</f>
        <v>0</v>
      </c>
      <c r="D309" s="42">
        <f t="shared" si="105"/>
        <v>0</v>
      </c>
      <c r="E309" s="42">
        <f t="shared" si="105"/>
        <v>0</v>
      </c>
      <c r="F309" s="42">
        <f t="shared" si="105"/>
        <v>0</v>
      </c>
      <c r="G309" s="42">
        <f t="shared" si="105"/>
        <v>0</v>
      </c>
      <c r="H309" s="42">
        <f t="shared" si="105"/>
        <v>0</v>
      </c>
      <c r="I309" s="42">
        <f t="shared" si="105"/>
        <v>0</v>
      </c>
      <c r="J309" s="42">
        <f t="shared" si="105"/>
        <v>0</v>
      </c>
      <c r="K309" s="42">
        <f t="shared" si="105"/>
        <v>0</v>
      </c>
      <c r="L309" s="42">
        <f t="shared" si="105"/>
        <v>0</v>
      </c>
      <c r="M309" s="42">
        <f t="shared" si="105"/>
        <v>0</v>
      </c>
      <c r="N309" s="42">
        <f t="shared" si="105"/>
        <v>0</v>
      </c>
      <c r="O309" s="42">
        <f t="shared" si="105"/>
        <v>0</v>
      </c>
      <c r="P309" s="42">
        <f t="shared" si="105"/>
        <v>0</v>
      </c>
    </row>
    <row r="310" spans="1:16" ht="30" customHeight="1" thickBot="1" x14ac:dyDescent="0.3"/>
    <row r="311" spans="1:16" ht="30" customHeight="1" thickBot="1" x14ac:dyDescent="0.3">
      <c r="A311" s="60" t="s">
        <v>38</v>
      </c>
      <c r="B311" s="60"/>
      <c r="C311" s="62" t="s">
        <v>38</v>
      </c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</row>
    <row r="312" spans="1:16" ht="30" hidden="1" customHeight="1" outlineLevel="1" thickBot="1" x14ac:dyDescent="0.3">
      <c r="A312" s="39" t="str">
        <f>IF($A244="","",$A244)</f>
        <v/>
      </c>
      <c r="B312" s="39" t="str">
        <f>IF($B244="","",$B244)</f>
        <v/>
      </c>
      <c r="C312" s="40">
        <f>C6*Tabulação!$H$31</f>
        <v>0</v>
      </c>
      <c r="D312" s="40">
        <f>D6*Tabulação!$H$31</f>
        <v>0</v>
      </c>
      <c r="E312" s="40">
        <f>E6*Tabulação!$H$31</f>
        <v>0</v>
      </c>
      <c r="F312" s="40">
        <f>F6*Tabulação!$H$31</f>
        <v>0</v>
      </c>
      <c r="G312" s="40">
        <f>G6*Tabulação!$H$31</f>
        <v>0</v>
      </c>
      <c r="H312" s="40">
        <f>H6*Tabulação!$H$31</f>
        <v>0</v>
      </c>
      <c r="I312" s="40">
        <f>I6*Tabulação!$H$31</f>
        <v>0</v>
      </c>
      <c r="J312" s="40">
        <f>J6*Tabulação!$H$31</f>
        <v>0</v>
      </c>
      <c r="K312" s="40">
        <f>K6*Tabulação!$H$31</f>
        <v>0</v>
      </c>
      <c r="L312" s="40">
        <f>L6*Tabulação!$H$31</f>
        <v>0</v>
      </c>
      <c r="M312" s="40">
        <f>M6*Tabulação!$H$31</f>
        <v>0</v>
      </c>
      <c r="N312" s="40">
        <f>N6*Tabulação!$H$31</f>
        <v>0</v>
      </c>
      <c r="O312" s="41">
        <f>(O6)*Tabulação!$H$31</f>
        <v>0</v>
      </c>
      <c r="P312" s="41">
        <f>SUM(C312:N312)</f>
        <v>0</v>
      </c>
    </row>
    <row r="313" spans="1:16" ht="30" hidden="1" customHeight="1" outlineLevel="1" thickBot="1" x14ac:dyDescent="0.3">
      <c r="A313" s="39" t="str">
        <f t="shared" ref="A313:A340" si="106">IF($A245="","",$A245)</f>
        <v/>
      </c>
      <c r="B313" s="39" t="str">
        <f t="shared" ref="B313:B340" si="107">IF($B245="","",$B245)</f>
        <v/>
      </c>
      <c r="C313" s="40">
        <f>C7*Tabulação!$H$31</f>
        <v>0</v>
      </c>
      <c r="D313" s="40">
        <f>D7*Tabulação!$H$31</f>
        <v>0</v>
      </c>
      <c r="E313" s="40">
        <f>E7*Tabulação!$H$31</f>
        <v>0</v>
      </c>
      <c r="F313" s="40">
        <f>F7*Tabulação!$H$31</f>
        <v>0</v>
      </c>
      <c r="G313" s="40">
        <f>G7*Tabulação!$H$31</f>
        <v>0</v>
      </c>
      <c r="H313" s="40">
        <f>H7*Tabulação!$H$31</f>
        <v>0</v>
      </c>
      <c r="I313" s="40">
        <f>I7*Tabulação!$H$31</f>
        <v>0</v>
      </c>
      <c r="J313" s="40">
        <f>J7*Tabulação!$H$31</f>
        <v>0</v>
      </c>
      <c r="K313" s="40">
        <f>K7*Tabulação!$H$31</f>
        <v>0</v>
      </c>
      <c r="L313" s="40">
        <f>L7*Tabulação!$H$31</f>
        <v>0</v>
      </c>
      <c r="M313" s="40">
        <f>M7*Tabulação!$H$31</f>
        <v>0</v>
      </c>
      <c r="N313" s="40">
        <f>N7*Tabulação!$H$31</f>
        <v>0</v>
      </c>
      <c r="O313" s="41">
        <f>O7*Tabulação!$H$31</f>
        <v>0</v>
      </c>
      <c r="P313" s="41">
        <f t="shared" ref="P313:P325" si="108">SUM(C313:N313)</f>
        <v>0</v>
      </c>
    </row>
    <row r="314" spans="1:16" ht="30" hidden="1" customHeight="1" outlineLevel="1" thickBot="1" x14ac:dyDescent="0.3">
      <c r="A314" s="39" t="str">
        <f t="shared" si="106"/>
        <v/>
      </c>
      <c r="B314" s="39" t="str">
        <f t="shared" si="107"/>
        <v/>
      </c>
      <c r="C314" s="40">
        <f>C8*Tabulação!$H$31</f>
        <v>0</v>
      </c>
      <c r="D314" s="40">
        <f>D8*Tabulação!$H$31</f>
        <v>0</v>
      </c>
      <c r="E314" s="40">
        <f>E8*Tabulação!$H$31</f>
        <v>0</v>
      </c>
      <c r="F314" s="40">
        <f>F8*Tabulação!$H$31</f>
        <v>0</v>
      </c>
      <c r="G314" s="40">
        <f>G8*Tabulação!$H$31</f>
        <v>0</v>
      </c>
      <c r="H314" s="40">
        <f>H8*Tabulação!$H$31</f>
        <v>0</v>
      </c>
      <c r="I314" s="40">
        <f>I8*Tabulação!$H$31</f>
        <v>0</v>
      </c>
      <c r="J314" s="40">
        <f>J8*Tabulação!$H$31</f>
        <v>0</v>
      </c>
      <c r="K314" s="40">
        <f>K8*Tabulação!$H$31</f>
        <v>0</v>
      </c>
      <c r="L314" s="40">
        <f>L8*Tabulação!$H$31</f>
        <v>0</v>
      </c>
      <c r="M314" s="40">
        <f>M8*Tabulação!$H$31</f>
        <v>0</v>
      </c>
      <c r="N314" s="40">
        <f>N8*Tabulação!$H$31</f>
        <v>0</v>
      </c>
      <c r="O314" s="41">
        <f>O8*Tabulação!$H$31</f>
        <v>0</v>
      </c>
      <c r="P314" s="41">
        <f t="shared" si="108"/>
        <v>0</v>
      </c>
    </row>
    <row r="315" spans="1:16" ht="30" hidden="1" customHeight="1" outlineLevel="1" thickBot="1" x14ac:dyDescent="0.3">
      <c r="A315" s="39" t="str">
        <f t="shared" si="106"/>
        <v/>
      </c>
      <c r="B315" s="39" t="str">
        <f t="shared" si="107"/>
        <v/>
      </c>
      <c r="C315" s="40">
        <f>C9*Tabulação!$H$31</f>
        <v>0</v>
      </c>
      <c r="D315" s="40">
        <f>D9*Tabulação!$H$31</f>
        <v>0</v>
      </c>
      <c r="E315" s="40">
        <f>E9*Tabulação!$H$31</f>
        <v>0</v>
      </c>
      <c r="F315" s="40">
        <f>F9*Tabulação!$H$31</f>
        <v>0</v>
      </c>
      <c r="G315" s="40">
        <f>G9*Tabulação!$H$31</f>
        <v>0</v>
      </c>
      <c r="H315" s="40">
        <f>H9*Tabulação!$H$31</f>
        <v>0</v>
      </c>
      <c r="I315" s="40">
        <f>I9*Tabulação!$H$31</f>
        <v>0</v>
      </c>
      <c r="J315" s="40">
        <f>J9*Tabulação!$H$31</f>
        <v>0</v>
      </c>
      <c r="K315" s="40">
        <f>K9*Tabulação!$H$31</f>
        <v>0</v>
      </c>
      <c r="L315" s="40">
        <f>L9*Tabulação!$H$31</f>
        <v>0</v>
      </c>
      <c r="M315" s="40">
        <f>M9*Tabulação!$H$31</f>
        <v>0</v>
      </c>
      <c r="N315" s="40">
        <f>N9*Tabulação!$H$31</f>
        <v>0</v>
      </c>
      <c r="O315" s="41">
        <f>O9*Tabulação!$H$31</f>
        <v>0</v>
      </c>
      <c r="P315" s="41">
        <f t="shared" si="108"/>
        <v>0</v>
      </c>
    </row>
    <row r="316" spans="1:16" ht="30" hidden="1" customHeight="1" outlineLevel="1" thickBot="1" x14ac:dyDescent="0.3">
      <c r="A316" s="39" t="str">
        <f t="shared" si="106"/>
        <v/>
      </c>
      <c r="B316" s="39" t="str">
        <f t="shared" si="107"/>
        <v/>
      </c>
      <c r="C316" s="40">
        <f>C10*Tabulação!$H$31</f>
        <v>0</v>
      </c>
      <c r="D316" s="40">
        <f>D10*Tabulação!$H$31</f>
        <v>0</v>
      </c>
      <c r="E316" s="40">
        <f>E10*Tabulação!$H$31</f>
        <v>0</v>
      </c>
      <c r="F316" s="40">
        <f>F10*Tabulação!$H$31</f>
        <v>0</v>
      </c>
      <c r="G316" s="40">
        <f>G10*Tabulação!$H$31</f>
        <v>0</v>
      </c>
      <c r="H316" s="40">
        <f>H10*Tabulação!$H$31</f>
        <v>0</v>
      </c>
      <c r="I316" s="40">
        <f>I10*Tabulação!$H$31</f>
        <v>0</v>
      </c>
      <c r="J316" s="40">
        <f>J10*Tabulação!$H$31</f>
        <v>0</v>
      </c>
      <c r="K316" s="40">
        <f>K10*Tabulação!$H$31</f>
        <v>0</v>
      </c>
      <c r="L316" s="40">
        <f>L10*Tabulação!$H$31</f>
        <v>0</v>
      </c>
      <c r="M316" s="40">
        <f>M10*Tabulação!$H$31</f>
        <v>0</v>
      </c>
      <c r="N316" s="40">
        <f>N10*Tabulação!$H$31</f>
        <v>0</v>
      </c>
      <c r="O316" s="41">
        <f>O10*Tabulação!$H$31</f>
        <v>0</v>
      </c>
      <c r="P316" s="41">
        <f t="shared" si="108"/>
        <v>0</v>
      </c>
    </row>
    <row r="317" spans="1:16" ht="30" hidden="1" customHeight="1" outlineLevel="1" thickBot="1" x14ac:dyDescent="0.3">
      <c r="A317" s="39" t="str">
        <f t="shared" si="106"/>
        <v/>
      </c>
      <c r="B317" s="39" t="str">
        <f t="shared" si="107"/>
        <v/>
      </c>
      <c r="C317" s="40">
        <f>C11*Tabulação!$H$31</f>
        <v>0</v>
      </c>
      <c r="D317" s="40">
        <f>D11*Tabulação!$H$31</f>
        <v>0</v>
      </c>
      <c r="E317" s="40">
        <f>E11*Tabulação!$H$31</f>
        <v>0</v>
      </c>
      <c r="F317" s="40">
        <f>F11*Tabulação!$H$31</f>
        <v>0</v>
      </c>
      <c r="G317" s="40">
        <f>G11*Tabulação!$H$31</f>
        <v>0</v>
      </c>
      <c r="H317" s="40">
        <f>H11*Tabulação!$H$31</f>
        <v>0</v>
      </c>
      <c r="I317" s="40">
        <f>I11*Tabulação!$H$31</f>
        <v>0</v>
      </c>
      <c r="J317" s="40">
        <f>J11*Tabulação!$H$31</f>
        <v>0</v>
      </c>
      <c r="K317" s="40">
        <f>K11*Tabulação!$H$31</f>
        <v>0</v>
      </c>
      <c r="L317" s="40">
        <f>L11*Tabulação!$H$31</f>
        <v>0</v>
      </c>
      <c r="M317" s="40">
        <f>M11*Tabulação!$H$31</f>
        <v>0</v>
      </c>
      <c r="N317" s="40">
        <f>N11*Tabulação!$H$31</f>
        <v>0</v>
      </c>
      <c r="O317" s="41">
        <f>O11*Tabulação!$H$31</f>
        <v>0</v>
      </c>
      <c r="P317" s="41">
        <f t="shared" si="108"/>
        <v>0</v>
      </c>
    </row>
    <row r="318" spans="1:16" ht="30" hidden="1" customHeight="1" outlineLevel="1" thickBot="1" x14ac:dyDescent="0.3">
      <c r="A318" s="39" t="str">
        <f t="shared" si="106"/>
        <v/>
      </c>
      <c r="B318" s="39" t="str">
        <f t="shared" si="107"/>
        <v/>
      </c>
      <c r="C318" s="40">
        <f>C12*Tabulação!$H$31</f>
        <v>0</v>
      </c>
      <c r="D318" s="40">
        <f>D12*Tabulação!$H$31</f>
        <v>0</v>
      </c>
      <c r="E318" s="40">
        <f>E12*Tabulação!$H$31</f>
        <v>0</v>
      </c>
      <c r="F318" s="40">
        <f>F12*Tabulação!$H$31</f>
        <v>0</v>
      </c>
      <c r="G318" s="40">
        <f>G12*Tabulação!$H$31</f>
        <v>0</v>
      </c>
      <c r="H318" s="40">
        <f>H12*Tabulação!$H$31</f>
        <v>0</v>
      </c>
      <c r="I318" s="40">
        <f>I12*Tabulação!$H$31</f>
        <v>0</v>
      </c>
      <c r="J318" s="40">
        <f>J12*Tabulação!$H$31</f>
        <v>0</v>
      </c>
      <c r="K318" s="40">
        <f>K12*Tabulação!$H$31</f>
        <v>0</v>
      </c>
      <c r="L318" s="40">
        <f>L12*Tabulação!$H$31</f>
        <v>0</v>
      </c>
      <c r="M318" s="40">
        <f>M12*Tabulação!$H$31</f>
        <v>0</v>
      </c>
      <c r="N318" s="40">
        <f>N12*Tabulação!$H$31</f>
        <v>0</v>
      </c>
      <c r="O318" s="41">
        <f>O12*Tabulação!$H$31</f>
        <v>0</v>
      </c>
      <c r="P318" s="41">
        <f t="shared" si="108"/>
        <v>0</v>
      </c>
    </row>
    <row r="319" spans="1:16" ht="30" hidden="1" customHeight="1" outlineLevel="1" thickBot="1" x14ac:dyDescent="0.3">
      <c r="A319" s="39" t="str">
        <f t="shared" si="106"/>
        <v/>
      </c>
      <c r="B319" s="39" t="str">
        <f t="shared" si="107"/>
        <v/>
      </c>
      <c r="C319" s="40">
        <f>C13*Tabulação!$H$31</f>
        <v>0</v>
      </c>
      <c r="D319" s="40">
        <f>D13*Tabulação!$H$31</f>
        <v>0</v>
      </c>
      <c r="E319" s="40">
        <f>E13*Tabulação!$H$31</f>
        <v>0</v>
      </c>
      <c r="F319" s="40">
        <f>F13*Tabulação!$H$31</f>
        <v>0</v>
      </c>
      <c r="G319" s="40">
        <f>G13*Tabulação!$H$31</f>
        <v>0</v>
      </c>
      <c r="H319" s="40">
        <f>H13*Tabulação!$H$31</f>
        <v>0</v>
      </c>
      <c r="I319" s="40">
        <f>I13*Tabulação!$H$31</f>
        <v>0</v>
      </c>
      <c r="J319" s="40">
        <f>J13*Tabulação!$H$31</f>
        <v>0</v>
      </c>
      <c r="K319" s="40">
        <f>K13*Tabulação!$H$31</f>
        <v>0</v>
      </c>
      <c r="L319" s="40">
        <f>L13*Tabulação!$H$31</f>
        <v>0</v>
      </c>
      <c r="M319" s="40">
        <f>M13*Tabulação!$H$31</f>
        <v>0</v>
      </c>
      <c r="N319" s="40">
        <f>N13*Tabulação!$H$31</f>
        <v>0</v>
      </c>
      <c r="O319" s="41">
        <f>O13*Tabulação!$H$31</f>
        <v>0</v>
      </c>
      <c r="P319" s="41">
        <f t="shared" si="108"/>
        <v>0</v>
      </c>
    </row>
    <row r="320" spans="1:16" ht="30" hidden="1" customHeight="1" outlineLevel="1" thickBot="1" x14ac:dyDescent="0.3">
      <c r="A320" s="39" t="str">
        <f t="shared" si="106"/>
        <v/>
      </c>
      <c r="B320" s="39" t="str">
        <f t="shared" si="107"/>
        <v/>
      </c>
      <c r="C320" s="40">
        <f>C14*Tabulação!$H$31</f>
        <v>0</v>
      </c>
      <c r="D320" s="40">
        <f>D14*Tabulação!$H$31</f>
        <v>0</v>
      </c>
      <c r="E320" s="40">
        <f>E14*Tabulação!$H$31</f>
        <v>0</v>
      </c>
      <c r="F320" s="40">
        <f>F14*Tabulação!$H$31</f>
        <v>0</v>
      </c>
      <c r="G320" s="40">
        <f>G14*Tabulação!$H$31</f>
        <v>0</v>
      </c>
      <c r="H320" s="40">
        <f>H14*Tabulação!$H$31</f>
        <v>0</v>
      </c>
      <c r="I320" s="40">
        <f>I14*Tabulação!$H$31</f>
        <v>0</v>
      </c>
      <c r="J320" s="40">
        <f>J14*Tabulação!$H$31</f>
        <v>0</v>
      </c>
      <c r="K320" s="40">
        <f>K14*Tabulação!$H$31</f>
        <v>0</v>
      </c>
      <c r="L320" s="40">
        <f>L14*Tabulação!$H$31</f>
        <v>0</v>
      </c>
      <c r="M320" s="40">
        <f>M14*Tabulação!$H$31</f>
        <v>0</v>
      </c>
      <c r="N320" s="40">
        <f>N14*Tabulação!$H$31</f>
        <v>0</v>
      </c>
      <c r="O320" s="41">
        <f>O14*Tabulação!$H$31</f>
        <v>0</v>
      </c>
      <c r="P320" s="41">
        <f t="shared" si="108"/>
        <v>0</v>
      </c>
    </row>
    <row r="321" spans="1:16" ht="30" hidden="1" customHeight="1" outlineLevel="1" thickBot="1" x14ac:dyDescent="0.3">
      <c r="A321" s="39" t="str">
        <f t="shared" si="106"/>
        <v/>
      </c>
      <c r="B321" s="39" t="str">
        <f t="shared" si="107"/>
        <v/>
      </c>
      <c r="C321" s="40">
        <f>C15*Tabulação!$H$31</f>
        <v>0</v>
      </c>
      <c r="D321" s="40">
        <f>D15*Tabulação!$H$31</f>
        <v>0</v>
      </c>
      <c r="E321" s="40">
        <f>E15*Tabulação!$H$31</f>
        <v>0</v>
      </c>
      <c r="F321" s="40">
        <f>F15*Tabulação!$H$31</f>
        <v>0</v>
      </c>
      <c r="G321" s="40">
        <f>G15*Tabulação!$H$31</f>
        <v>0</v>
      </c>
      <c r="H321" s="40">
        <f>H15*Tabulação!$H$31</f>
        <v>0</v>
      </c>
      <c r="I321" s="40">
        <f>I15*Tabulação!$H$31</f>
        <v>0</v>
      </c>
      <c r="J321" s="40">
        <f>J15*Tabulação!$H$31</f>
        <v>0</v>
      </c>
      <c r="K321" s="40">
        <f>K15*Tabulação!$H$31</f>
        <v>0</v>
      </c>
      <c r="L321" s="40">
        <f>L15*Tabulação!$H$31</f>
        <v>0</v>
      </c>
      <c r="M321" s="40">
        <f>M15*Tabulação!$H$31</f>
        <v>0</v>
      </c>
      <c r="N321" s="40">
        <f>N15*Tabulação!$H$31</f>
        <v>0</v>
      </c>
      <c r="O321" s="41">
        <f>O15*Tabulação!$H$31</f>
        <v>0</v>
      </c>
      <c r="P321" s="41">
        <f t="shared" si="108"/>
        <v>0</v>
      </c>
    </row>
    <row r="322" spans="1:16" ht="30" hidden="1" customHeight="1" outlineLevel="1" thickBot="1" x14ac:dyDescent="0.3">
      <c r="A322" s="39" t="str">
        <f t="shared" si="106"/>
        <v/>
      </c>
      <c r="B322" s="39" t="str">
        <f t="shared" si="107"/>
        <v/>
      </c>
      <c r="C322" s="40">
        <f>C16*Tabulação!$H$31</f>
        <v>0</v>
      </c>
      <c r="D322" s="40">
        <f>D16*Tabulação!$H$31</f>
        <v>0</v>
      </c>
      <c r="E322" s="40">
        <f>E16*Tabulação!$H$31</f>
        <v>0</v>
      </c>
      <c r="F322" s="40">
        <f>F16*Tabulação!$H$31</f>
        <v>0</v>
      </c>
      <c r="G322" s="40">
        <f>G16*Tabulação!$H$31</f>
        <v>0</v>
      </c>
      <c r="H322" s="40">
        <f>H16*Tabulação!$H$31</f>
        <v>0</v>
      </c>
      <c r="I322" s="40">
        <f>I16*Tabulação!$H$31</f>
        <v>0</v>
      </c>
      <c r="J322" s="40">
        <f>J16*Tabulação!$H$31</f>
        <v>0</v>
      </c>
      <c r="K322" s="40">
        <f>K16*Tabulação!$H$31</f>
        <v>0</v>
      </c>
      <c r="L322" s="40">
        <f>L16*Tabulação!$H$31</f>
        <v>0</v>
      </c>
      <c r="M322" s="40">
        <f>M16*Tabulação!$H$31</f>
        <v>0</v>
      </c>
      <c r="N322" s="40">
        <f>N16*Tabulação!$H$31</f>
        <v>0</v>
      </c>
      <c r="O322" s="41">
        <f>O16*Tabulação!$H$31</f>
        <v>0</v>
      </c>
      <c r="P322" s="41">
        <f t="shared" si="108"/>
        <v>0</v>
      </c>
    </row>
    <row r="323" spans="1:16" ht="30" hidden="1" customHeight="1" outlineLevel="1" thickBot="1" x14ac:dyDescent="0.3">
      <c r="A323" s="39" t="str">
        <f t="shared" si="106"/>
        <v/>
      </c>
      <c r="B323" s="39" t="str">
        <f t="shared" si="107"/>
        <v/>
      </c>
      <c r="C323" s="40">
        <f>C17*Tabulação!$H$31</f>
        <v>0</v>
      </c>
      <c r="D323" s="40">
        <f>D17*Tabulação!$H$31</f>
        <v>0</v>
      </c>
      <c r="E323" s="40">
        <f>E17*Tabulação!$H$31</f>
        <v>0</v>
      </c>
      <c r="F323" s="40">
        <f>F17*Tabulação!$H$31</f>
        <v>0</v>
      </c>
      <c r="G323" s="40">
        <f>G17*Tabulação!$H$31</f>
        <v>0</v>
      </c>
      <c r="H323" s="40">
        <f>H17*Tabulação!$H$31</f>
        <v>0</v>
      </c>
      <c r="I323" s="40">
        <f>I17*Tabulação!$H$31</f>
        <v>0</v>
      </c>
      <c r="J323" s="40">
        <f>J17*Tabulação!$H$31</f>
        <v>0</v>
      </c>
      <c r="K323" s="40">
        <f>K17*Tabulação!$H$31</f>
        <v>0</v>
      </c>
      <c r="L323" s="40">
        <f>L17*Tabulação!$H$31</f>
        <v>0</v>
      </c>
      <c r="M323" s="40">
        <f>M17*Tabulação!$H$31</f>
        <v>0</v>
      </c>
      <c r="N323" s="40">
        <f>N17*Tabulação!$H$31</f>
        <v>0</v>
      </c>
      <c r="O323" s="41">
        <f>O17*Tabulação!$H$31</f>
        <v>0</v>
      </c>
      <c r="P323" s="41">
        <f t="shared" si="108"/>
        <v>0</v>
      </c>
    </row>
    <row r="324" spans="1:16" ht="30" hidden="1" customHeight="1" outlineLevel="1" thickBot="1" x14ac:dyDescent="0.3">
      <c r="A324" s="39" t="str">
        <f t="shared" si="106"/>
        <v/>
      </c>
      <c r="B324" s="39" t="str">
        <f t="shared" si="107"/>
        <v/>
      </c>
      <c r="C324" s="40">
        <f>C18*Tabulação!$H$31</f>
        <v>0</v>
      </c>
      <c r="D324" s="40">
        <f>D18*Tabulação!$H$31</f>
        <v>0</v>
      </c>
      <c r="E324" s="40">
        <f>E18*Tabulação!$H$31</f>
        <v>0</v>
      </c>
      <c r="F324" s="40">
        <f>F18*Tabulação!$H$31</f>
        <v>0</v>
      </c>
      <c r="G324" s="40">
        <f>G18*Tabulação!$H$31</f>
        <v>0</v>
      </c>
      <c r="H324" s="40">
        <f>H18*Tabulação!$H$31</f>
        <v>0</v>
      </c>
      <c r="I324" s="40">
        <f>I18*Tabulação!$H$31</f>
        <v>0</v>
      </c>
      <c r="J324" s="40">
        <f>J18*Tabulação!$H$31</f>
        <v>0</v>
      </c>
      <c r="K324" s="40">
        <f>K18*Tabulação!$H$31</f>
        <v>0</v>
      </c>
      <c r="L324" s="40">
        <f>L18*Tabulação!$H$31</f>
        <v>0</v>
      </c>
      <c r="M324" s="40">
        <f>M18*Tabulação!$H$31</f>
        <v>0</v>
      </c>
      <c r="N324" s="40">
        <f>N18*Tabulação!$H$31</f>
        <v>0</v>
      </c>
      <c r="O324" s="41">
        <f>O18*Tabulação!$H$31</f>
        <v>0</v>
      </c>
      <c r="P324" s="41">
        <f t="shared" si="108"/>
        <v>0</v>
      </c>
    </row>
    <row r="325" spans="1:16" ht="30" hidden="1" customHeight="1" outlineLevel="1" thickBot="1" x14ac:dyDescent="0.3">
      <c r="A325" s="39" t="str">
        <f t="shared" si="106"/>
        <v/>
      </c>
      <c r="B325" s="39" t="str">
        <f t="shared" si="107"/>
        <v/>
      </c>
      <c r="C325" s="40">
        <f>C19*Tabulação!$H$31</f>
        <v>0</v>
      </c>
      <c r="D325" s="40">
        <f>D19*Tabulação!$H$31</f>
        <v>0</v>
      </c>
      <c r="E325" s="40">
        <f>E19*Tabulação!$H$31</f>
        <v>0</v>
      </c>
      <c r="F325" s="40">
        <f>F19*Tabulação!$H$31</f>
        <v>0</v>
      </c>
      <c r="G325" s="40">
        <f>G19*Tabulação!$H$31</f>
        <v>0</v>
      </c>
      <c r="H325" s="40">
        <f>H19*Tabulação!$H$31</f>
        <v>0</v>
      </c>
      <c r="I325" s="40">
        <f>I19*Tabulação!$H$31</f>
        <v>0</v>
      </c>
      <c r="J325" s="40">
        <f>J19*Tabulação!$H$31</f>
        <v>0</v>
      </c>
      <c r="K325" s="40">
        <f>K19*Tabulação!$H$31</f>
        <v>0</v>
      </c>
      <c r="L325" s="40">
        <f>L19*Tabulação!$H$31</f>
        <v>0</v>
      </c>
      <c r="M325" s="40">
        <f>M19*Tabulação!$H$31</f>
        <v>0</v>
      </c>
      <c r="N325" s="40">
        <f>N19*Tabulação!$H$31</f>
        <v>0</v>
      </c>
      <c r="O325" s="41">
        <f>O19*Tabulação!$H$31</f>
        <v>0</v>
      </c>
      <c r="P325" s="41">
        <f t="shared" si="108"/>
        <v>0</v>
      </c>
    </row>
    <row r="326" spans="1:16" ht="30" hidden="1" customHeight="1" outlineLevel="1" thickBot="1" x14ac:dyDescent="0.3">
      <c r="A326" s="39" t="str">
        <f t="shared" si="106"/>
        <v/>
      </c>
      <c r="B326" s="39" t="str">
        <f t="shared" si="107"/>
        <v/>
      </c>
      <c r="C326" s="40">
        <f>C20*Tabulação!$H$31</f>
        <v>0</v>
      </c>
      <c r="D326" s="40">
        <f>D20*Tabulação!$H$31</f>
        <v>0</v>
      </c>
      <c r="E326" s="40">
        <f>E20*Tabulação!$H$31</f>
        <v>0</v>
      </c>
      <c r="F326" s="40">
        <f>F20*Tabulação!$H$31</f>
        <v>0</v>
      </c>
      <c r="G326" s="40">
        <f>G20*Tabulação!$H$31</f>
        <v>0</v>
      </c>
      <c r="H326" s="40">
        <f>H20*Tabulação!$H$31</f>
        <v>0</v>
      </c>
      <c r="I326" s="40">
        <f>I20*Tabulação!$H$31</f>
        <v>0</v>
      </c>
      <c r="J326" s="40">
        <f>J20*Tabulação!$H$31</f>
        <v>0</v>
      </c>
      <c r="K326" s="40">
        <f>K20*Tabulação!$H$31</f>
        <v>0</v>
      </c>
      <c r="L326" s="40">
        <f>L20*Tabulação!$H$31</f>
        <v>0</v>
      </c>
      <c r="M326" s="40">
        <f>M20*Tabulação!$H$31</f>
        <v>0</v>
      </c>
      <c r="N326" s="40">
        <f>N20*Tabulação!$H$31</f>
        <v>0</v>
      </c>
      <c r="O326" s="41">
        <f>O20*Tabulação!$H$31</f>
        <v>0</v>
      </c>
      <c r="P326" s="41">
        <f t="shared" ref="P326:P342" si="109">SUM(C326:N326)</f>
        <v>0</v>
      </c>
    </row>
    <row r="327" spans="1:16" ht="30" hidden="1" customHeight="1" outlineLevel="1" thickBot="1" x14ac:dyDescent="0.3">
      <c r="A327" s="39" t="str">
        <f t="shared" si="106"/>
        <v/>
      </c>
      <c r="B327" s="39" t="str">
        <f t="shared" si="107"/>
        <v/>
      </c>
      <c r="C327" s="40">
        <f>C21*Tabulação!$H$31</f>
        <v>0</v>
      </c>
      <c r="D327" s="40">
        <f>D21*Tabulação!$H$31</f>
        <v>0</v>
      </c>
      <c r="E327" s="40">
        <f>E21*Tabulação!$H$31</f>
        <v>0</v>
      </c>
      <c r="F327" s="40">
        <f>F21*Tabulação!$H$31</f>
        <v>0</v>
      </c>
      <c r="G327" s="40">
        <f>G21*Tabulação!$H$31</f>
        <v>0</v>
      </c>
      <c r="H327" s="40">
        <f>H21*Tabulação!$H$31</f>
        <v>0</v>
      </c>
      <c r="I327" s="40">
        <f>I21*Tabulação!$H$31</f>
        <v>0</v>
      </c>
      <c r="J327" s="40">
        <f>J21*Tabulação!$H$31</f>
        <v>0</v>
      </c>
      <c r="K327" s="40">
        <f>K21*Tabulação!$H$31</f>
        <v>0</v>
      </c>
      <c r="L327" s="40">
        <f>L21*Tabulação!$H$31</f>
        <v>0</v>
      </c>
      <c r="M327" s="40">
        <f>M21*Tabulação!$H$31</f>
        <v>0</v>
      </c>
      <c r="N327" s="40">
        <f>N21*Tabulação!$H$31</f>
        <v>0</v>
      </c>
      <c r="O327" s="41">
        <f>O21*Tabulação!$H$31</f>
        <v>0</v>
      </c>
      <c r="P327" s="41">
        <f t="shared" si="109"/>
        <v>0</v>
      </c>
    </row>
    <row r="328" spans="1:16" ht="30" hidden="1" customHeight="1" outlineLevel="1" thickBot="1" x14ac:dyDescent="0.3">
      <c r="A328" s="39" t="str">
        <f t="shared" si="106"/>
        <v/>
      </c>
      <c r="B328" s="39" t="str">
        <f t="shared" si="107"/>
        <v/>
      </c>
      <c r="C328" s="40">
        <f>C22*Tabulação!$H$31</f>
        <v>0</v>
      </c>
      <c r="D328" s="40">
        <f>D22*Tabulação!$H$31</f>
        <v>0</v>
      </c>
      <c r="E328" s="40">
        <f>E22*Tabulação!$H$31</f>
        <v>0</v>
      </c>
      <c r="F328" s="40">
        <f>F22*Tabulação!$H$31</f>
        <v>0</v>
      </c>
      <c r="G328" s="40">
        <f>G22*Tabulação!$H$31</f>
        <v>0</v>
      </c>
      <c r="H328" s="40">
        <f>H22*Tabulação!$H$31</f>
        <v>0</v>
      </c>
      <c r="I328" s="40">
        <f>I22*Tabulação!$H$31</f>
        <v>0</v>
      </c>
      <c r="J328" s="40">
        <f>J22*Tabulação!$H$31</f>
        <v>0</v>
      </c>
      <c r="K328" s="40">
        <f>K22*Tabulação!$H$31</f>
        <v>0</v>
      </c>
      <c r="L328" s="40">
        <f>L22*Tabulação!$H$31</f>
        <v>0</v>
      </c>
      <c r="M328" s="40">
        <f>M22*Tabulação!$H$31</f>
        <v>0</v>
      </c>
      <c r="N328" s="40">
        <f>N22*Tabulação!$H$31</f>
        <v>0</v>
      </c>
      <c r="O328" s="41">
        <f>O22*Tabulação!$H$31</f>
        <v>0</v>
      </c>
      <c r="P328" s="41">
        <f t="shared" si="109"/>
        <v>0</v>
      </c>
    </row>
    <row r="329" spans="1:16" ht="30" hidden="1" customHeight="1" outlineLevel="1" thickBot="1" x14ac:dyDescent="0.3">
      <c r="A329" s="39" t="str">
        <f t="shared" si="106"/>
        <v/>
      </c>
      <c r="B329" s="39" t="str">
        <f t="shared" si="107"/>
        <v/>
      </c>
      <c r="C329" s="40">
        <f>C23*Tabulação!$H$31</f>
        <v>0</v>
      </c>
      <c r="D329" s="40">
        <f>D23*Tabulação!$H$31</f>
        <v>0</v>
      </c>
      <c r="E329" s="40">
        <f>E23*Tabulação!$H$31</f>
        <v>0</v>
      </c>
      <c r="F329" s="40">
        <f>F23*Tabulação!$H$31</f>
        <v>0</v>
      </c>
      <c r="G329" s="40">
        <f>G23*Tabulação!$H$31</f>
        <v>0</v>
      </c>
      <c r="H329" s="40">
        <f>H23*Tabulação!$H$31</f>
        <v>0</v>
      </c>
      <c r="I329" s="40">
        <f>I23*Tabulação!$H$31</f>
        <v>0</v>
      </c>
      <c r="J329" s="40">
        <f>J23*Tabulação!$H$31</f>
        <v>0</v>
      </c>
      <c r="K329" s="40">
        <f>K23*Tabulação!$H$31</f>
        <v>0</v>
      </c>
      <c r="L329" s="40">
        <f>L23*Tabulação!$H$31</f>
        <v>0</v>
      </c>
      <c r="M329" s="40">
        <f>M23*Tabulação!$H$31</f>
        <v>0</v>
      </c>
      <c r="N329" s="40">
        <f>N23*Tabulação!$H$31</f>
        <v>0</v>
      </c>
      <c r="O329" s="41">
        <f>O23*Tabulação!$H$31</f>
        <v>0</v>
      </c>
      <c r="P329" s="41">
        <f t="shared" si="109"/>
        <v>0</v>
      </c>
    </row>
    <row r="330" spans="1:16" ht="30" hidden="1" customHeight="1" outlineLevel="1" thickBot="1" x14ac:dyDescent="0.3">
      <c r="A330" s="39" t="str">
        <f t="shared" si="106"/>
        <v/>
      </c>
      <c r="B330" s="39" t="str">
        <f t="shared" si="107"/>
        <v/>
      </c>
      <c r="C330" s="40">
        <f>C24*Tabulação!$H$31</f>
        <v>0</v>
      </c>
      <c r="D330" s="40">
        <f>D24*Tabulação!$H$31</f>
        <v>0</v>
      </c>
      <c r="E330" s="40">
        <f>E24*Tabulação!$H$31</f>
        <v>0</v>
      </c>
      <c r="F330" s="40">
        <f>F24*Tabulação!$H$31</f>
        <v>0</v>
      </c>
      <c r="G330" s="40">
        <f>G24*Tabulação!$H$31</f>
        <v>0</v>
      </c>
      <c r="H330" s="40">
        <f>H24*Tabulação!$H$31</f>
        <v>0</v>
      </c>
      <c r="I330" s="40">
        <f>I24*Tabulação!$H$31</f>
        <v>0</v>
      </c>
      <c r="J330" s="40">
        <f>J24*Tabulação!$H$31</f>
        <v>0</v>
      </c>
      <c r="K330" s="40">
        <f>K24*Tabulação!$H$31</f>
        <v>0</v>
      </c>
      <c r="L330" s="40">
        <f>L24*Tabulação!$H$31</f>
        <v>0</v>
      </c>
      <c r="M330" s="40">
        <f>M24*Tabulação!$H$31</f>
        <v>0</v>
      </c>
      <c r="N330" s="40">
        <f>N24*Tabulação!$H$31</f>
        <v>0</v>
      </c>
      <c r="O330" s="41">
        <f>O24*Tabulação!$H$31</f>
        <v>0</v>
      </c>
      <c r="P330" s="41">
        <f t="shared" si="109"/>
        <v>0</v>
      </c>
    </row>
    <row r="331" spans="1:16" ht="30" hidden="1" customHeight="1" outlineLevel="1" thickBot="1" x14ac:dyDescent="0.3">
      <c r="A331" s="39" t="str">
        <f t="shared" si="106"/>
        <v/>
      </c>
      <c r="B331" s="39" t="str">
        <f t="shared" si="107"/>
        <v/>
      </c>
      <c r="C331" s="40">
        <f>C25*Tabulação!$H$31</f>
        <v>0</v>
      </c>
      <c r="D331" s="40">
        <f>D25*Tabulação!$H$31</f>
        <v>0</v>
      </c>
      <c r="E331" s="40">
        <f>E25*Tabulação!$H$31</f>
        <v>0</v>
      </c>
      <c r="F331" s="40">
        <f>F25*Tabulação!$H$31</f>
        <v>0</v>
      </c>
      <c r="G331" s="40">
        <f>G25*Tabulação!$H$31</f>
        <v>0</v>
      </c>
      <c r="H331" s="40">
        <f>H25*Tabulação!$H$31</f>
        <v>0</v>
      </c>
      <c r="I331" s="40">
        <f>I25*Tabulação!$H$31</f>
        <v>0</v>
      </c>
      <c r="J331" s="40">
        <f>J25*Tabulação!$H$31</f>
        <v>0</v>
      </c>
      <c r="K331" s="40">
        <f>K25*Tabulação!$H$31</f>
        <v>0</v>
      </c>
      <c r="L331" s="40">
        <f>L25*Tabulação!$H$31</f>
        <v>0</v>
      </c>
      <c r="M331" s="40">
        <f>M25*Tabulação!$H$31</f>
        <v>0</v>
      </c>
      <c r="N331" s="40">
        <f>N25*Tabulação!$H$31</f>
        <v>0</v>
      </c>
      <c r="O331" s="41">
        <f>O25*Tabulação!$H$31</f>
        <v>0</v>
      </c>
      <c r="P331" s="41">
        <f t="shared" si="109"/>
        <v>0</v>
      </c>
    </row>
    <row r="332" spans="1:16" ht="30" hidden="1" customHeight="1" outlineLevel="1" thickBot="1" x14ac:dyDescent="0.3">
      <c r="A332" s="39" t="str">
        <f t="shared" si="106"/>
        <v/>
      </c>
      <c r="B332" s="39" t="str">
        <f t="shared" si="107"/>
        <v/>
      </c>
      <c r="C332" s="40">
        <f>C26*Tabulação!$H$31</f>
        <v>0</v>
      </c>
      <c r="D332" s="40">
        <f>D26*Tabulação!$H$31</f>
        <v>0</v>
      </c>
      <c r="E332" s="40">
        <f>E26*Tabulação!$H$31</f>
        <v>0</v>
      </c>
      <c r="F332" s="40">
        <f>F26*Tabulação!$H$31</f>
        <v>0</v>
      </c>
      <c r="G332" s="40">
        <f>G26*Tabulação!$H$31</f>
        <v>0</v>
      </c>
      <c r="H332" s="40">
        <f>H26*Tabulação!$H$31</f>
        <v>0</v>
      </c>
      <c r="I332" s="40">
        <f>I26*Tabulação!$H$31</f>
        <v>0</v>
      </c>
      <c r="J332" s="40">
        <f>J26*Tabulação!$H$31</f>
        <v>0</v>
      </c>
      <c r="K332" s="40">
        <f>K26*Tabulação!$H$31</f>
        <v>0</v>
      </c>
      <c r="L332" s="40">
        <f>L26*Tabulação!$H$31</f>
        <v>0</v>
      </c>
      <c r="M332" s="40">
        <f>M26*Tabulação!$H$31</f>
        <v>0</v>
      </c>
      <c r="N332" s="40">
        <f>N26*Tabulação!$H$31</f>
        <v>0</v>
      </c>
      <c r="O332" s="41">
        <f>O26*Tabulação!$H$31</f>
        <v>0</v>
      </c>
      <c r="P332" s="41">
        <f t="shared" si="109"/>
        <v>0</v>
      </c>
    </row>
    <row r="333" spans="1:16" ht="30" hidden="1" customHeight="1" outlineLevel="1" thickBot="1" x14ac:dyDescent="0.3">
      <c r="A333" s="39" t="str">
        <f t="shared" si="106"/>
        <v/>
      </c>
      <c r="B333" s="39" t="str">
        <f t="shared" si="107"/>
        <v/>
      </c>
      <c r="C333" s="40">
        <f>C27*Tabulação!$H$31</f>
        <v>0</v>
      </c>
      <c r="D333" s="40">
        <f>D27*Tabulação!$H$31</f>
        <v>0</v>
      </c>
      <c r="E333" s="40">
        <f>E27*Tabulação!$H$31</f>
        <v>0</v>
      </c>
      <c r="F333" s="40">
        <f>F27*Tabulação!$H$31</f>
        <v>0</v>
      </c>
      <c r="G333" s="40">
        <f>G27*Tabulação!$H$31</f>
        <v>0</v>
      </c>
      <c r="H333" s="40">
        <f>H27*Tabulação!$H$31</f>
        <v>0</v>
      </c>
      <c r="I333" s="40">
        <f>I27*Tabulação!$H$31</f>
        <v>0</v>
      </c>
      <c r="J333" s="40">
        <f>J27*Tabulação!$H$31</f>
        <v>0</v>
      </c>
      <c r="K333" s="40">
        <f>K27*Tabulação!$H$31</f>
        <v>0</v>
      </c>
      <c r="L333" s="40">
        <f>L27*Tabulação!$H$31</f>
        <v>0</v>
      </c>
      <c r="M333" s="40">
        <f>M27*Tabulação!$H$31</f>
        <v>0</v>
      </c>
      <c r="N333" s="40">
        <f>N27*Tabulação!$H$31</f>
        <v>0</v>
      </c>
      <c r="O333" s="41">
        <f>O27*Tabulação!$H$31</f>
        <v>0</v>
      </c>
      <c r="P333" s="41">
        <f t="shared" si="109"/>
        <v>0</v>
      </c>
    </row>
    <row r="334" spans="1:16" ht="30" hidden="1" customHeight="1" outlineLevel="1" thickBot="1" x14ac:dyDescent="0.3">
      <c r="A334" s="39" t="str">
        <f>IF($A266="","",$A266)</f>
        <v/>
      </c>
      <c r="B334" s="39" t="str">
        <f>IF($B266="","",$B266)</f>
        <v/>
      </c>
      <c r="C334" s="40">
        <f>C28*Tabulação!$H$31</f>
        <v>0</v>
      </c>
      <c r="D334" s="40">
        <f>D28*Tabulação!$H$31</f>
        <v>0</v>
      </c>
      <c r="E334" s="40">
        <f>E28*Tabulação!$H$31</f>
        <v>0</v>
      </c>
      <c r="F334" s="40">
        <f>F28*Tabulação!$H$31</f>
        <v>0</v>
      </c>
      <c r="G334" s="40">
        <f>G28*Tabulação!$H$31</f>
        <v>0</v>
      </c>
      <c r="H334" s="40">
        <f>H28*Tabulação!$H$31</f>
        <v>0</v>
      </c>
      <c r="I334" s="40">
        <f>I28*Tabulação!$H$31</f>
        <v>0</v>
      </c>
      <c r="J334" s="40">
        <f>J28*Tabulação!$H$31</f>
        <v>0</v>
      </c>
      <c r="K334" s="40">
        <f>K28*Tabulação!$H$31</f>
        <v>0</v>
      </c>
      <c r="L334" s="40">
        <f>L28*Tabulação!$H$31</f>
        <v>0</v>
      </c>
      <c r="M334" s="40">
        <f>M28*Tabulação!$H$31</f>
        <v>0</v>
      </c>
      <c r="N334" s="40">
        <f>N28*Tabulação!$H$31</f>
        <v>0</v>
      </c>
      <c r="O334" s="41">
        <f>O28*Tabulação!$H$31</f>
        <v>0</v>
      </c>
      <c r="P334" s="41">
        <f t="shared" si="109"/>
        <v>0</v>
      </c>
    </row>
    <row r="335" spans="1:16" ht="30" hidden="1" customHeight="1" outlineLevel="1" thickBot="1" x14ac:dyDescent="0.3">
      <c r="A335" s="39" t="str">
        <f t="shared" si="106"/>
        <v/>
      </c>
      <c r="B335" s="39" t="str">
        <f t="shared" si="107"/>
        <v/>
      </c>
      <c r="C335" s="40">
        <f>C29*Tabulação!$H$31</f>
        <v>0</v>
      </c>
      <c r="D335" s="40">
        <f>D29*Tabulação!$H$31</f>
        <v>0</v>
      </c>
      <c r="E335" s="40">
        <f>E29*Tabulação!$H$31</f>
        <v>0</v>
      </c>
      <c r="F335" s="40">
        <f>F29*Tabulação!$H$31</f>
        <v>0</v>
      </c>
      <c r="G335" s="40">
        <f>G29*Tabulação!$H$31</f>
        <v>0</v>
      </c>
      <c r="H335" s="40">
        <f>H29*Tabulação!$H$31</f>
        <v>0</v>
      </c>
      <c r="I335" s="40">
        <f>I29*Tabulação!$H$31</f>
        <v>0</v>
      </c>
      <c r="J335" s="40">
        <f>J29*Tabulação!$H$31</f>
        <v>0</v>
      </c>
      <c r="K335" s="40">
        <f>K29*Tabulação!$H$31</f>
        <v>0</v>
      </c>
      <c r="L335" s="40">
        <f>L29*Tabulação!$H$31</f>
        <v>0</v>
      </c>
      <c r="M335" s="40">
        <f>M29*Tabulação!$H$31</f>
        <v>0</v>
      </c>
      <c r="N335" s="40">
        <f>N29*Tabulação!$H$31</f>
        <v>0</v>
      </c>
      <c r="O335" s="41">
        <f>O29*Tabulação!$H$31</f>
        <v>0</v>
      </c>
      <c r="P335" s="41">
        <f t="shared" si="109"/>
        <v>0</v>
      </c>
    </row>
    <row r="336" spans="1:16" ht="30" hidden="1" customHeight="1" outlineLevel="1" thickBot="1" x14ac:dyDescent="0.3">
      <c r="A336" s="39" t="str">
        <f t="shared" si="106"/>
        <v/>
      </c>
      <c r="B336" s="39" t="str">
        <f t="shared" si="107"/>
        <v/>
      </c>
      <c r="C336" s="40">
        <f>C30*Tabulação!$H$31</f>
        <v>0</v>
      </c>
      <c r="D336" s="40">
        <f>D30*Tabulação!$H$31</f>
        <v>0</v>
      </c>
      <c r="E336" s="40">
        <f>E30*Tabulação!$H$31</f>
        <v>0</v>
      </c>
      <c r="F336" s="40">
        <f>F30*Tabulação!$H$31</f>
        <v>0</v>
      </c>
      <c r="G336" s="40">
        <f>G30*Tabulação!$H$31</f>
        <v>0</v>
      </c>
      <c r="H336" s="40">
        <f>H30*Tabulação!$H$31</f>
        <v>0</v>
      </c>
      <c r="I336" s="40">
        <f>I30*Tabulação!$H$31</f>
        <v>0</v>
      </c>
      <c r="J336" s="40">
        <f>J30*Tabulação!$H$31</f>
        <v>0</v>
      </c>
      <c r="K336" s="40">
        <f>K30*Tabulação!$H$31</f>
        <v>0</v>
      </c>
      <c r="L336" s="40">
        <f>L30*Tabulação!$H$31</f>
        <v>0</v>
      </c>
      <c r="M336" s="40">
        <f>M30*Tabulação!$H$31</f>
        <v>0</v>
      </c>
      <c r="N336" s="40">
        <f>N30*Tabulação!$H$31</f>
        <v>0</v>
      </c>
      <c r="O336" s="41">
        <f>O30*Tabulação!$H$31</f>
        <v>0</v>
      </c>
      <c r="P336" s="41">
        <f t="shared" si="109"/>
        <v>0</v>
      </c>
    </row>
    <row r="337" spans="1:16" ht="30" hidden="1" customHeight="1" outlineLevel="1" thickBot="1" x14ac:dyDescent="0.3">
      <c r="A337" s="39" t="str">
        <f t="shared" si="106"/>
        <v/>
      </c>
      <c r="B337" s="39" t="str">
        <f t="shared" si="107"/>
        <v/>
      </c>
      <c r="C337" s="40">
        <f>C31*Tabulação!$H$31</f>
        <v>0</v>
      </c>
      <c r="D337" s="40">
        <f>D31*Tabulação!$H$31</f>
        <v>0</v>
      </c>
      <c r="E337" s="40">
        <f>E31*Tabulação!$H$31</f>
        <v>0</v>
      </c>
      <c r="F337" s="40">
        <f>F31*Tabulação!$H$31</f>
        <v>0</v>
      </c>
      <c r="G337" s="40">
        <f>G31*Tabulação!$H$31</f>
        <v>0</v>
      </c>
      <c r="H337" s="40">
        <f>H31*Tabulação!$H$31</f>
        <v>0</v>
      </c>
      <c r="I337" s="40">
        <f>I31*Tabulação!$H$31</f>
        <v>0</v>
      </c>
      <c r="J337" s="40">
        <f>J31*Tabulação!$H$31</f>
        <v>0</v>
      </c>
      <c r="K337" s="40">
        <f>K31*Tabulação!$H$31</f>
        <v>0</v>
      </c>
      <c r="L337" s="40">
        <f>L31*Tabulação!$H$31</f>
        <v>0</v>
      </c>
      <c r="M337" s="40">
        <f>M31*Tabulação!$H$31</f>
        <v>0</v>
      </c>
      <c r="N337" s="40">
        <f>N31*Tabulação!$H$31</f>
        <v>0</v>
      </c>
      <c r="O337" s="41">
        <f>O31*Tabulação!$H$31</f>
        <v>0</v>
      </c>
      <c r="P337" s="41">
        <f t="shared" si="109"/>
        <v>0</v>
      </c>
    </row>
    <row r="338" spans="1:16" ht="30" hidden="1" customHeight="1" outlineLevel="1" thickBot="1" x14ac:dyDescent="0.3">
      <c r="A338" s="39" t="str">
        <f t="shared" si="106"/>
        <v/>
      </c>
      <c r="B338" s="39" t="str">
        <f t="shared" si="107"/>
        <v/>
      </c>
      <c r="C338" s="40">
        <f>C32*Tabulação!$H$31</f>
        <v>0</v>
      </c>
      <c r="D338" s="40">
        <f>D32*Tabulação!$H$31</f>
        <v>0</v>
      </c>
      <c r="E338" s="40">
        <f>E32*Tabulação!$H$31</f>
        <v>0</v>
      </c>
      <c r="F338" s="40">
        <f>F32*Tabulação!$H$31</f>
        <v>0</v>
      </c>
      <c r="G338" s="40">
        <f>G32*Tabulação!$H$31</f>
        <v>0</v>
      </c>
      <c r="H338" s="40">
        <f>H32*Tabulação!$H$31</f>
        <v>0</v>
      </c>
      <c r="I338" s="40">
        <f>I32*Tabulação!$H$31</f>
        <v>0</v>
      </c>
      <c r="J338" s="40">
        <f>J32*Tabulação!$H$31</f>
        <v>0</v>
      </c>
      <c r="K338" s="40">
        <f>K32*Tabulação!$H$31</f>
        <v>0</v>
      </c>
      <c r="L338" s="40">
        <f>L32*Tabulação!$H$31</f>
        <v>0</v>
      </c>
      <c r="M338" s="40">
        <f>M32*Tabulação!$H$31</f>
        <v>0</v>
      </c>
      <c r="N338" s="40">
        <f>N32*Tabulação!$H$31</f>
        <v>0</v>
      </c>
      <c r="O338" s="41">
        <f>O32*Tabulação!$H$31</f>
        <v>0</v>
      </c>
      <c r="P338" s="41">
        <f t="shared" si="109"/>
        <v>0</v>
      </c>
    </row>
    <row r="339" spans="1:16" ht="30" hidden="1" customHeight="1" outlineLevel="1" thickBot="1" x14ac:dyDescent="0.3">
      <c r="A339" s="39" t="str">
        <f>IF($A271="","",$A271)</f>
        <v/>
      </c>
      <c r="B339" s="39" t="str">
        <f>IF($B271="","",$B271)</f>
        <v/>
      </c>
      <c r="C339" s="40">
        <f>C33*Tabulação!$H$31</f>
        <v>0</v>
      </c>
      <c r="D339" s="40">
        <f>D33*Tabulação!$H$31</f>
        <v>0</v>
      </c>
      <c r="E339" s="40">
        <f>E33*Tabulação!$H$31</f>
        <v>0</v>
      </c>
      <c r="F339" s="40">
        <f>F33*Tabulação!$H$31</f>
        <v>0</v>
      </c>
      <c r="G339" s="40">
        <f>G33*Tabulação!$H$31</f>
        <v>0</v>
      </c>
      <c r="H339" s="40">
        <f>H33*Tabulação!$H$31</f>
        <v>0</v>
      </c>
      <c r="I339" s="40">
        <f>I33*Tabulação!$H$31</f>
        <v>0</v>
      </c>
      <c r="J339" s="40">
        <f>J33*Tabulação!$H$31</f>
        <v>0</v>
      </c>
      <c r="K339" s="40">
        <f>K33*Tabulação!$H$31</f>
        <v>0</v>
      </c>
      <c r="L339" s="40">
        <f>L33*Tabulação!$H$31</f>
        <v>0</v>
      </c>
      <c r="M339" s="40">
        <f>M33*Tabulação!$H$31</f>
        <v>0</v>
      </c>
      <c r="N339" s="40">
        <f>N33*Tabulação!$H$31</f>
        <v>0</v>
      </c>
      <c r="O339" s="41">
        <f>O33*Tabulação!$H$31</f>
        <v>0</v>
      </c>
      <c r="P339" s="41">
        <f t="shared" si="109"/>
        <v>0</v>
      </c>
    </row>
    <row r="340" spans="1:16" ht="30" hidden="1" customHeight="1" outlineLevel="1" thickBot="1" x14ac:dyDescent="0.3">
      <c r="A340" s="39" t="str">
        <f t="shared" si="106"/>
        <v/>
      </c>
      <c r="B340" s="39" t="str">
        <f t="shared" si="107"/>
        <v/>
      </c>
      <c r="C340" s="40">
        <f>C34*Tabulação!$H$31</f>
        <v>0</v>
      </c>
      <c r="D340" s="40">
        <f>D34*Tabulação!$H$31</f>
        <v>0</v>
      </c>
      <c r="E340" s="40">
        <f>E34*Tabulação!$H$31</f>
        <v>0</v>
      </c>
      <c r="F340" s="40">
        <f>F34*Tabulação!$H$31</f>
        <v>0</v>
      </c>
      <c r="G340" s="40">
        <f>G34*Tabulação!$H$31</f>
        <v>0</v>
      </c>
      <c r="H340" s="40">
        <f>H34*Tabulação!$H$31</f>
        <v>0</v>
      </c>
      <c r="I340" s="40">
        <f>I34*Tabulação!$H$31</f>
        <v>0</v>
      </c>
      <c r="J340" s="40">
        <f>J34*Tabulação!$H$31</f>
        <v>0</v>
      </c>
      <c r="K340" s="40">
        <f>K34*Tabulação!$H$31</f>
        <v>0</v>
      </c>
      <c r="L340" s="40">
        <f>L34*Tabulação!$H$31</f>
        <v>0</v>
      </c>
      <c r="M340" s="40">
        <f>M34*Tabulação!$H$31</f>
        <v>0</v>
      </c>
      <c r="N340" s="40">
        <f>N34*Tabulação!$H$31</f>
        <v>0</v>
      </c>
      <c r="O340" s="41">
        <f>O34*Tabulação!$H$31</f>
        <v>0</v>
      </c>
      <c r="P340" s="41">
        <f t="shared" si="109"/>
        <v>0</v>
      </c>
    </row>
    <row r="341" spans="1:16" ht="30" hidden="1" customHeight="1" outlineLevel="1" thickBot="1" x14ac:dyDescent="0.3">
      <c r="A341" s="39" t="str">
        <f>IF($A273="","",$A273)</f>
        <v/>
      </c>
      <c r="B341" s="39" t="str">
        <f>IF($B273="","",$B273)</f>
        <v/>
      </c>
      <c r="C341" s="40">
        <f>C35*Tabulação!$H$31</f>
        <v>0</v>
      </c>
      <c r="D341" s="40">
        <f>D35*Tabulação!$H$31</f>
        <v>0</v>
      </c>
      <c r="E341" s="40">
        <f>E35*Tabulação!$H$31</f>
        <v>0</v>
      </c>
      <c r="F341" s="40">
        <f>F35*Tabulação!$H$31</f>
        <v>0</v>
      </c>
      <c r="G341" s="40">
        <f>G35*Tabulação!$H$31</f>
        <v>0</v>
      </c>
      <c r="H341" s="40">
        <f>H35*Tabulação!$H$31</f>
        <v>0</v>
      </c>
      <c r="I341" s="40">
        <f>I35*Tabulação!$H$31</f>
        <v>0</v>
      </c>
      <c r="J341" s="40">
        <f>J35*Tabulação!$H$31</f>
        <v>0</v>
      </c>
      <c r="K341" s="40">
        <f>K35*Tabulação!$H$31</f>
        <v>0</v>
      </c>
      <c r="L341" s="40">
        <f>L35*Tabulação!$H$31</f>
        <v>0</v>
      </c>
      <c r="M341" s="40">
        <f>M35*Tabulação!$H$31</f>
        <v>0</v>
      </c>
      <c r="N341" s="40">
        <f>N35*Tabulação!$H$31</f>
        <v>0</v>
      </c>
      <c r="O341" s="41">
        <f>O35*Tabulação!$H$31</f>
        <v>0</v>
      </c>
      <c r="P341" s="41">
        <f t="shared" si="109"/>
        <v>0</v>
      </c>
    </row>
    <row r="342" spans="1:16" ht="30" hidden="1" customHeight="1" outlineLevel="1" thickBot="1" x14ac:dyDescent="0.3">
      <c r="A342" s="39" t="str">
        <f>IF($A274="","",$A274)</f>
        <v/>
      </c>
      <c r="B342" s="39" t="str">
        <f>IF($B274="","",$B274)</f>
        <v/>
      </c>
      <c r="C342" s="40">
        <f>C36*Tabulação!$H$31</f>
        <v>0</v>
      </c>
      <c r="D342" s="40">
        <f>D36*Tabulação!$H$31</f>
        <v>0</v>
      </c>
      <c r="E342" s="40">
        <f>E36*Tabulação!$H$31</f>
        <v>0</v>
      </c>
      <c r="F342" s="40">
        <f>F36*Tabulação!$H$31</f>
        <v>0</v>
      </c>
      <c r="G342" s="40">
        <f>G36*Tabulação!$H$31</f>
        <v>0</v>
      </c>
      <c r="H342" s="40">
        <f>H36*Tabulação!$H$31</f>
        <v>0</v>
      </c>
      <c r="I342" s="40">
        <f>I36*Tabulação!$H$31</f>
        <v>0</v>
      </c>
      <c r="J342" s="40">
        <f>J36*Tabulação!$H$31</f>
        <v>0</v>
      </c>
      <c r="K342" s="40">
        <f>K36*Tabulação!$H$31</f>
        <v>0</v>
      </c>
      <c r="L342" s="40">
        <f>L36*Tabulação!$H$31</f>
        <v>0</v>
      </c>
      <c r="M342" s="40">
        <f>M36*Tabulação!$H$31</f>
        <v>0</v>
      </c>
      <c r="N342" s="40">
        <f>N36*Tabulação!$H$31</f>
        <v>0</v>
      </c>
      <c r="O342" s="41">
        <f>O36*Tabulação!$H$31</f>
        <v>0</v>
      </c>
      <c r="P342" s="41">
        <f t="shared" si="109"/>
        <v>0</v>
      </c>
    </row>
    <row r="343" spans="1:16" ht="30" customHeight="1" collapsed="1" thickBot="1" x14ac:dyDescent="0.3">
      <c r="A343" s="61" t="s">
        <v>36</v>
      </c>
      <c r="B343" s="61"/>
      <c r="C343" s="42">
        <f t="shared" ref="C343:P343" si="110">SUM(C312:C342)</f>
        <v>0</v>
      </c>
      <c r="D343" s="42">
        <f t="shared" si="110"/>
        <v>0</v>
      </c>
      <c r="E343" s="42">
        <f t="shared" si="110"/>
        <v>0</v>
      </c>
      <c r="F343" s="42">
        <f t="shared" si="110"/>
        <v>0</v>
      </c>
      <c r="G343" s="42">
        <f t="shared" si="110"/>
        <v>0</v>
      </c>
      <c r="H343" s="42">
        <f t="shared" si="110"/>
        <v>0</v>
      </c>
      <c r="I343" s="42">
        <f t="shared" si="110"/>
        <v>0</v>
      </c>
      <c r="J343" s="42">
        <f t="shared" si="110"/>
        <v>0</v>
      </c>
      <c r="K343" s="42">
        <f t="shared" si="110"/>
        <v>0</v>
      </c>
      <c r="L343" s="42">
        <f t="shared" si="110"/>
        <v>0</v>
      </c>
      <c r="M343" s="42">
        <f t="shared" si="110"/>
        <v>0</v>
      </c>
      <c r="N343" s="42">
        <f t="shared" si="110"/>
        <v>0</v>
      </c>
      <c r="O343" s="42">
        <f t="shared" si="110"/>
        <v>0</v>
      </c>
      <c r="P343" s="42">
        <f t="shared" si="110"/>
        <v>0</v>
      </c>
    </row>
    <row r="344" spans="1:16" ht="30" customHeight="1" thickBot="1" x14ac:dyDescent="0.3"/>
    <row r="345" spans="1:16" ht="30" customHeight="1" thickBot="1" x14ac:dyDescent="0.3">
      <c r="A345" s="60" t="s">
        <v>45</v>
      </c>
      <c r="B345" s="60"/>
      <c r="C345" s="62" t="s">
        <v>45</v>
      </c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</row>
    <row r="346" spans="1:16" ht="30" hidden="1" customHeight="1" outlineLevel="1" thickBot="1" x14ac:dyDescent="0.3">
      <c r="A346" s="45"/>
      <c r="B346" s="46" t="s">
        <v>44</v>
      </c>
      <c r="C346" s="44">
        <f t="shared" ref="C346:P346" si="111">C173</f>
        <v>0</v>
      </c>
      <c r="D346" s="44">
        <f t="shared" si="111"/>
        <v>0</v>
      </c>
      <c r="E346" s="44">
        <f t="shared" si="111"/>
        <v>0</v>
      </c>
      <c r="F346" s="44">
        <f t="shared" si="111"/>
        <v>0</v>
      </c>
      <c r="G346" s="44">
        <f t="shared" si="111"/>
        <v>0</v>
      </c>
      <c r="H346" s="44">
        <f t="shared" si="111"/>
        <v>0</v>
      </c>
      <c r="I346" s="44">
        <f t="shared" si="111"/>
        <v>0</v>
      </c>
      <c r="J346" s="44">
        <f t="shared" si="111"/>
        <v>0</v>
      </c>
      <c r="K346" s="44">
        <f t="shared" si="111"/>
        <v>0</v>
      </c>
      <c r="L346" s="44">
        <f t="shared" si="111"/>
        <v>0</v>
      </c>
      <c r="M346" s="44">
        <f t="shared" si="111"/>
        <v>0</v>
      </c>
      <c r="N346" s="44">
        <f t="shared" si="111"/>
        <v>0</v>
      </c>
      <c r="O346" s="44">
        <f t="shared" si="111"/>
        <v>0</v>
      </c>
      <c r="P346" s="44">
        <f t="shared" si="111"/>
        <v>0</v>
      </c>
    </row>
    <row r="347" spans="1:16" ht="30" hidden="1" customHeight="1" outlineLevel="1" thickBot="1" x14ac:dyDescent="0.3">
      <c r="A347" s="47"/>
      <c r="B347" s="39" t="s">
        <v>8</v>
      </c>
      <c r="C347" s="44">
        <f t="shared" ref="C347:P347" si="112">C309</f>
        <v>0</v>
      </c>
      <c r="D347" s="44">
        <f t="shared" si="112"/>
        <v>0</v>
      </c>
      <c r="E347" s="44">
        <f t="shared" si="112"/>
        <v>0</v>
      </c>
      <c r="F347" s="44">
        <f t="shared" si="112"/>
        <v>0</v>
      </c>
      <c r="G347" s="44">
        <f t="shared" si="112"/>
        <v>0</v>
      </c>
      <c r="H347" s="44">
        <f t="shared" si="112"/>
        <v>0</v>
      </c>
      <c r="I347" s="44">
        <f t="shared" si="112"/>
        <v>0</v>
      </c>
      <c r="J347" s="44">
        <f t="shared" si="112"/>
        <v>0</v>
      </c>
      <c r="K347" s="44">
        <f t="shared" si="112"/>
        <v>0</v>
      </c>
      <c r="L347" s="44">
        <f t="shared" si="112"/>
        <v>0</v>
      </c>
      <c r="M347" s="44">
        <f t="shared" si="112"/>
        <v>0</v>
      </c>
      <c r="N347" s="44">
        <f t="shared" si="112"/>
        <v>0</v>
      </c>
      <c r="O347" s="44">
        <f t="shared" si="112"/>
        <v>0</v>
      </c>
      <c r="P347" s="44">
        <f t="shared" si="112"/>
        <v>0</v>
      </c>
    </row>
    <row r="348" spans="1:16" ht="30" hidden="1" customHeight="1" outlineLevel="1" thickBot="1" x14ac:dyDescent="0.3">
      <c r="A348" s="47"/>
      <c r="B348" s="39" t="s">
        <v>7</v>
      </c>
      <c r="C348" s="44">
        <f t="shared" ref="C348:P348" si="113">C207</f>
        <v>0</v>
      </c>
      <c r="D348" s="44">
        <f t="shared" si="113"/>
        <v>0</v>
      </c>
      <c r="E348" s="44">
        <f t="shared" si="113"/>
        <v>0</v>
      </c>
      <c r="F348" s="44">
        <f t="shared" si="113"/>
        <v>0</v>
      </c>
      <c r="G348" s="44">
        <f t="shared" si="113"/>
        <v>0</v>
      </c>
      <c r="H348" s="44">
        <f t="shared" si="113"/>
        <v>0</v>
      </c>
      <c r="I348" s="44">
        <f t="shared" si="113"/>
        <v>0</v>
      </c>
      <c r="J348" s="44">
        <f t="shared" si="113"/>
        <v>0</v>
      </c>
      <c r="K348" s="44">
        <f t="shared" si="113"/>
        <v>0</v>
      </c>
      <c r="L348" s="44">
        <f t="shared" si="113"/>
        <v>0</v>
      </c>
      <c r="M348" s="44">
        <f t="shared" si="113"/>
        <v>0</v>
      </c>
      <c r="N348" s="44">
        <f t="shared" si="113"/>
        <v>0</v>
      </c>
      <c r="O348" s="44">
        <f t="shared" si="113"/>
        <v>0</v>
      </c>
      <c r="P348" s="44">
        <f t="shared" si="113"/>
        <v>0</v>
      </c>
    </row>
    <row r="349" spans="1:16" ht="30" hidden="1" customHeight="1" outlineLevel="1" thickBot="1" x14ac:dyDescent="0.3">
      <c r="A349" s="45"/>
      <c r="B349" s="46" t="s">
        <v>37</v>
      </c>
      <c r="C349" s="44">
        <f t="shared" ref="C349:P349" si="114">C139</f>
        <v>0</v>
      </c>
      <c r="D349" s="44">
        <f t="shared" si="114"/>
        <v>0</v>
      </c>
      <c r="E349" s="44">
        <f t="shared" si="114"/>
        <v>0</v>
      </c>
      <c r="F349" s="44">
        <f t="shared" si="114"/>
        <v>0</v>
      </c>
      <c r="G349" s="44">
        <f t="shared" si="114"/>
        <v>0</v>
      </c>
      <c r="H349" s="44">
        <f t="shared" si="114"/>
        <v>0</v>
      </c>
      <c r="I349" s="44">
        <f t="shared" si="114"/>
        <v>0</v>
      </c>
      <c r="J349" s="44">
        <f t="shared" si="114"/>
        <v>0</v>
      </c>
      <c r="K349" s="44">
        <f t="shared" si="114"/>
        <v>0</v>
      </c>
      <c r="L349" s="44">
        <f t="shared" si="114"/>
        <v>0</v>
      </c>
      <c r="M349" s="44">
        <f t="shared" si="114"/>
        <v>0</v>
      </c>
      <c r="N349" s="44">
        <f t="shared" si="114"/>
        <v>0</v>
      </c>
      <c r="O349" s="44">
        <f t="shared" si="114"/>
        <v>0</v>
      </c>
      <c r="P349" s="44">
        <f t="shared" si="114"/>
        <v>0</v>
      </c>
    </row>
    <row r="350" spans="1:16" ht="30" hidden="1" customHeight="1" outlineLevel="1" thickBot="1" x14ac:dyDescent="0.3">
      <c r="A350" s="45"/>
      <c r="B350" s="46" t="s">
        <v>46</v>
      </c>
      <c r="C350" s="44">
        <f t="shared" ref="C350:P350" si="115">C343</f>
        <v>0</v>
      </c>
      <c r="D350" s="44">
        <f t="shared" si="115"/>
        <v>0</v>
      </c>
      <c r="E350" s="44">
        <f t="shared" si="115"/>
        <v>0</v>
      </c>
      <c r="F350" s="44">
        <f t="shared" si="115"/>
        <v>0</v>
      </c>
      <c r="G350" s="44">
        <f t="shared" si="115"/>
        <v>0</v>
      </c>
      <c r="H350" s="44">
        <f t="shared" si="115"/>
        <v>0</v>
      </c>
      <c r="I350" s="44">
        <f t="shared" si="115"/>
        <v>0</v>
      </c>
      <c r="J350" s="44">
        <f t="shared" si="115"/>
        <v>0</v>
      </c>
      <c r="K350" s="44">
        <f t="shared" si="115"/>
        <v>0</v>
      </c>
      <c r="L350" s="44">
        <f t="shared" si="115"/>
        <v>0</v>
      </c>
      <c r="M350" s="44">
        <f t="shared" si="115"/>
        <v>0</v>
      </c>
      <c r="N350" s="44">
        <f t="shared" si="115"/>
        <v>0</v>
      </c>
      <c r="O350" s="44">
        <f t="shared" si="115"/>
        <v>0</v>
      </c>
      <c r="P350" s="44">
        <f t="shared" si="115"/>
        <v>0</v>
      </c>
    </row>
    <row r="351" spans="1:16" ht="30" hidden="1" customHeight="1" outlineLevel="1" thickBot="1" x14ac:dyDescent="0.3">
      <c r="A351" s="47"/>
      <c r="B351" s="39" t="s">
        <v>5</v>
      </c>
      <c r="C351" s="44">
        <f t="shared" ref="C351:P351" si="116">C241</f>
        <v>0</v>
      </c>
      <c r="D351" s="44">
        <f t="shared" si="116"/>
        <v>0</v>
      </c>
      <c r="E351" s="44">
        <f t="shared" si="116"/>
        <v>0</v>
      </c>
      <c r="F351" s="44">
        <f t="shared" si="116"/>
        <v>0</v>
      </c>
      <c r="G351" s="44">
        <f t="shared" si="116"/>
        <v>0</v>
      </c>
      <c r="H351" s="44">
        <f t="shared" si="116"/>
        <v>0</v>
      </c>
      <c r="I351" s="44">
        <f t="shared" si="116"/>
        <v>0</v>
      </c>
      <c r="J351" s="44">
        <f t="shared" si="116"/>
        <v>0</v>
      </c>
      <c r="K351" s="44">
        <f t="shared" si="116"/>
        <v>0</v>
      </c>
      <c r="L351" s="44">
        <f t="shared" si="116"/>
        <v>0</v>
      </c>
      <c r="M351" s="44">
        <f t="shared" si="116"/>
        <v>0</v>
      </c>
      <c r="N351" s="44">
        <f t="shared" si="116"/>
        <v>0</v>
      </c>
      <c r="O351" s="44">
        <f t="shared" si="116"/>
        <v>0</v>
      </c>
      <c r="P351" s="44">
        <f t="shared" si="116"/>
        <v>0</v>
      </c>
    </row>
    <row r="352" spans="1:16" ht="30" hidden="1" customHeight="1" outlineLevel="1" thickBot="1" x14ac:dyDescent="0.3">
      <c r="A352" s="47"/>
      <c r="B352" s="39" t="s">
        <v>4</v>
      </c>
      <c r="C352" s="44">
        <f t="shared" ref="C352:P352" si="117">C275</f>
        <v>0</v>
      </c>
      <c r="D352" s="44">
        <f t="shared" si="117"/>
        <v>0</v>
      </c>
      <c r="E352" s="44">
        <f t="shared" si="117"/>
        <v>0</v>
      </c>
      <c r="F352" s="44">
        <f t="shared" si="117"/>
        <v>0</v>
      </c>
      <c r="G352" s="44">
        <f t="shared" si="117"/>
        <v>0</v>
      </c>
      <c r="H352" s="44">
        <f t="shared" si="117"/>
        <v>0</v>
      </c>
      <c r="I352" s="44">
        <f t="shared" si="117"/>
        <v>0</v>
      </c>
      <c r="J352" s="44">
        <f t="shared" si="117"/>
        <v>0</v>
      </c>
      <c r="K352" s="44">
        <f t="shared" si="117"/>
        <v>0</v>
      </c>
      <c r="L352" s="44">
        <f t="shared" si="117"/>
        <v>0</v>
      </c>
      <c r="M352" s="44">
        <f t="shared" si="117"/>
        <v>0</v>
      </c>
      <c r="N352" s="44">
        <f t="shared" si="117"/>
        <v>0</v>
      </c>
      <c r="O352" s="44">
        <f t="shared" si="117"/>
        <v>0</v>
      </c>
      <c r="P352" s="44">
        <f t="shared" si="117"/>
        <v>0</v>
      </c>
    </row>
    <row r="353" spans="1:16" ht="30" customHeight="1" collapsed="1" thickBot="1" x14ac:dyDescent="0.3">
      <c r="A353" s="61" t="s">
        <v>36</v>
      </c>
      <c r="B353" s="61"/>
      <c r="C353" s="42">
        <f t="shared" ref="C353:P353" si="118">SUM(C346:C352)</f>
        <v>0</v>
      </c>
      <c r="D353" s="42">
        <f t="shared" si="118"/>
        <v>0</v>
      </c>
      <c r="E353" s="42">
        <f t="shared" si="118"/>
        <v>0</v>
      </c>
      <c r="F353" s="42">
        <f t="shared" si="118"/>
        <v>0</v>
      </c>
      <c r="G353" s="42">
        <f t="shared" si="118"/>
        <v>0</v>
      </c>
      <c r="H353" s="42">
        <f t="shared" si="118"/>
        <v>0</v>
      </c>
      <c r="I353" s="42">
        <f t="shared" si="118"/>
        <v>0</v>
      </c>
      <c r="J353" s="42">
        <f t="shared" si="118"/>
        <v>0</v>
      </c>
      <c r="K353" s="42">
        <f t="shared" si="118"/>
        <v>0</v>
      </c>
      <c r="L353" s="42">
        <f t="shared" si="118"/>
        <v>0</v>
      </c>
      <c r="M353" s="42">
        <f t="shared" si="118"/>
        <v>0</v>
      </c>
      <c r="N353" s="42">
        <f t="shared" si="118"/>
        <v>0</v>
      </c>
      <c r="O353" s="42">
        <f t="shared" si="118"/>
        <v>0</v>
      </c>
      <c r="P353" s="42">
        <f t="shared" si="118"/>
        <v>0</v>
      </c>
    </row>
    <row r="363" spans="1:16" ht="30" customHeight="1" x14ac:dyDescent="0.25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</row>
  </sheetData>
  <mergeCells count="34">
    <mergeCell ref="C311:P311"/>
    <mergeCell ref="A39:B39"/>
    <mergeCell ref="C39:P39"/>
    <mergeCell ref="A243:B243"/>
    <mergeCell ref="A277:B277"/>
    <mergeCell ref="A175:B175"/>
    <mergeCell ref="A311:B311"/>
    <mergeCell ref="A173:B173"/>
    <mergeCell ref="C73:P73"/>
    <mergeCell ref="C5:P5"/>
    <mergeCell ref="C107:P107"/>
    <mergeCell ref="C277:P277"/>
    <mergeCell ref="C175:P175"/>
    <mergeCell ref="A241:B241"/>
    <mergeCell ref="A209:B209"/>
    <mergeCell ref="A107:B107"/>
    <mergeCell ref="A5:B5"/>
    <mergeCell ref="A73:B73"/>
    <mergeCell ref="A1:F1"/>
    <mergeCell ref="A345:B345"/>
    <mergeCell ref="A353:B353"/>
    <mergeCell ref="C141:P141"/>
    <mergeCell ref="C345:P345"/>
    <mergeCell ref="A275:B275"/>
    <mergeCell ref="A309:B309"/>
    <mergeCell ref="A343:B343"/>
    <mergeCell ref="A141:B141"/>
    <mergeCell ref="C209:P209"/>
    <mergeCell ref="C243:P243"/>
    <mergeCell ref="A71:B71"/>
    <mergeCell ref="A105:B105"/>
    <mergeCell ref="A37:B37"/>
    <mergeCell ref="A139:B139"/>
    <mergeCell ref="A207:B207"/>
  </mergeCells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0"/>
  <sheetViews>
    <sheetView showGridLines="0" zoomScaleNormal="100" zoomScalePageLayoutView="70" workbookViewId="0">
      <selection sqref="A1:J1"/>
    </sheetView>
  </sheetViews>
  <sheetFormatPr defaultColWidth="11" defaultRowHeight="15.75" x14ac:dyDescent="0.25"/>
  <cols>
    <col min="1" max="1" width="35.75" bestFit="1" customWidth="1"/>
    <col min="2" max="2" width="22.125" bestFit="1" customWidth="1"/>
    <col min="3" max="3" width="13.125" bestFit="1" customWidth="1"/>
    <col min="4" max="5" width="13.5" bestFit="1" customWidth="1"/>
    <col min="6" max="7" width="13.875" bestFit="1" customWidth="1"/>
    <col min="8" max="8" width="13.5" bestFit="1" customWidth="1"/>
  </cols>
  <sheetData>
    <row r="1" spans="1:25" s="53" customFormat="1" ht="36" customHeight="1" x14ac:dyDescent="0.25">
      <c r="A1" s="55" t="s">
        <v>51</v>
      </c>
      <c r="B1" s="56"/>
      <c r="C1" s="56"/>
      <c r="D1" s="56"/>
      <c r="E1" s="56"/>
      <c r="F1" s="56"/>
      <c r="G1" s="56"/>
      <c r="H1" s="56"/>
      <c r="I1" s="56"/>
      <c r="J1" s="56"/>
      <c r="K1" s="54"/>
      <c r="L1" s="54"/>
      <c r="M1" s="54"/>
      <c r="N1" s="54"/>
      <c r="O1" s="54"/>
      <c r="P1" s="54"/>
      <c r="Q1" s="54"/>
      <c r="R1" s="54"/>
      <c r="S1" s="54"/>
      <c r="T1" s="54"/>
      <c r="U1" s="52"/>
      <c r="V1" s="52"/>
      <c r="W1" s="52"/>
      <c r="X1" s="52"/>
      <c r="Y1" s="52"/>
    </row>
    <row r="3" spans="1:25" ht="16.5" thickBot="1" x14ac:dyDescent="0.3"/>
    <row r="4" spans="1:25" ht="21.75" thickBot="1" x14ac:dyDescent="0.4">
      <c r="A4" s="35" t="s">
        <v>47</v>
      </c>
      <c r="B4" s="34" t="s">
        <v>11</v>
      </c>
    </row>
    <row r="8" spans="1:25" x14ac:dyDescent="0.25">
      <c r="C8" s="32"/>
      <c r="D8" s="32" t="str">
        <f>CONCATENATE("Total pago pela empresa no mês de"," ",B4)</f>
        <v>Total pago pela empresa no mês de FEVEREIRO</v>
      </c>
    </row>
    <row r="9" spans="1:25" x14ac:dyDescent="0.25">
      <c r="C9" s="32" t="s">
        <v>44</v>
      </c>
      <c r="D9" s="33">
        <f>VLOOKUP(C9,Pagamentos!$B:$P,HLOOKUP($B$4,Pagamentos!$3:$4,2,0),0)</f>
        <v>0</v>
      </c>
    </row>
    <row r="10" spans="1:25" x14ac:dyDescent="0.25">
      <c r="C10" s="32" t="s">
        <v>8</v>
      </c>
      <c r="D10" s="33">
        <f>VLOOKUP(C10,Pagamentos!$B:$P,HLOOKUP($B$4,Pagamentos!$3:$4,2,0),0)</f>
        <v>0</v>
      </c>
    </row>
    <row r="11" spans="1:25" x14ac:dyDescent="0.25">
      <c r="C11" s="32" t="s">
        <v>7</v>
      </c>
      <c r="D11" s="33">
        <f>VLOOKUP(C11,Pagamentos!$B:$P,HLOOKUP($B$4,Pagamentos!$3:$4,2,0),0)</f>
        <v>0</v>
      </c>
    </row>
    <row r="12" spans="1:25" x14ac:dyDescent="0.25">
      <c r="C12" s="32" t="s">
        <v>37</v>
      </c>
      <c r="D12" s="33">
        <f>VLOOKUP(C12,Pagamentos!$B:$P,HLOOKUP($B$4,Pagamentos!$3:$4,2,0),0)</f>
        <v>0</v>
      </c>
    </row>
    <row r="13" spans="1:25" x14ac:dyDescent="0.25">
      <c r="C13" s="32" t="s">
        <v>46</v>
      </c>
      <c r="D13" s="33">
        <f>VLOOKUP(C13,Pagamentos!$B:$P,HLOOKUP($B$4,Pagamentos!$3:$4,2,0),0)</f>
        <v>0</v>
      </c>
    </row>
    <row r="14" spans="1:25" x14ac:dyDescent="0.25">
      <c r="C14" s="32" t="s">
        <v>5</v>
      </c>
      <c r="D14" s="33">
        <f>VLOOKUP(C14,Pagamentos!$B:$P,HLOOKUP($B$4,Pagamentos!$3:$4,2,0),0)</f>
        <v>0</v>
      </c>
    </row>
    <row r="15" spans="1:25" x14ac:dyDescent="0.25">
      <c r="C15" s="32" t="s">
        <v>4</v>
      </c>
      <c r="D15" s="33">
        <f>VLOOKUP(C15,Pagamentos!$B:$P,HLOOKUP($B$4,Pagamentos!$3:$4,2,0),0)</f>
        <v>0</v>
      </c>
    </row>
    <row r="35" spans="1:3" ht="16.5" thickBot="1" x14ac:dyDescent="0.3"/>
    <row r="36" spans="1:3" ht="21.75" thickBot="1" x14ac:dyDescent="0.4">
      <c r="A36" s="35" t="s">
        <v>47</v>
      </c>
      <c r="B36" s="34" t="s">
        <v>11</v>
      </c>
    </row>
    <row r="38" spans="1:3" x14ac:dyDescent="0.25">
      <c r="C38" t="str">
        <f>CONCATENATE("Participação nos resultados/Adicionais:"," ",B36)</f>
        <v>Participação nos resultados/Adicionais: FEVEREIRO</v>
      </c>
    </row>
    <row r="39" spans="1:3" x14ac:dyDescent="0.25">
      <c r="B39" t="str">
        <f>IF(Tabulação!A20&lt;&gt;"",Tabulação!A20,"")</f>
        <v/>
      </c>
      <c r="C39" s="36" t="str">
        <f>IF(VLOOKUP(B39,Pagamentos!$A$74:$P$104,HLOOKUP($B$36,Pagamentos!$3:$4,2,0)+1,0)&lt;&gt;0,VLOOKUP(B39,Pagamentos!$A$74:$P$104,HLOOKUP($B$36,Pagamentos!$3:$4,2,0)+1,0),"")</f>
        <v/>
      </c>
    </row>
    <row r="40" spans="1:3" x14ac:dyDescent="0.25">
      <c r="B40" t="str">
        <f>IF(Tabulação!A21&lt;&gt;"",Tabulação!A21,"")</f>
        <v/>
      </c>
      <c r="C40" s="36" t="str">
        <f>IF(VLOOKUP(B40,Pagamentos!$A$74:$P$104,HLOOKUP($B$36,Pagamentos!$3:$4,2,0)+1,0)&lt;&gt;0,VLOOKUP(B40,Pagamentos!$A$74:$P$104,HLOOKUP($B$36,Pagamentos!$3:$4,2,0)+1,0),"")</f>
        <v/>
      </c>
    </row>
    <row r="41" spans="1:3" x14ac:dyDescent="0.25">
      <c r="B41" t="str">
        <f>IF(Tabulação!A22&lt;&gt;"",Tabulação!A22,"")</f>
        <v/>
      </c>
      <c r="C41" s="36" t="str">
        <f>IF(VLOOKUP(B41,Pagamentos!$A$74:$P$104,HLOOKUP($B$36,Pagamentos!$3:$4,2,0)+1,0)&lt;&gt;0,VLOOKUP(B41,Pagamentos!$A$74:$P$104,HLOOKUP($B$36,Pagamentos!$3:$4,2,0)+1,0),"")</f>
        <v/>
      </c>
    </row>
    <row r="42" spans="1:3" x14ac:dyDescent="0.25">
      <c r="B42" t="str">
        <f>IF(Tabulação!A23&lt;&gt;"",Tabulação!A23,"")</f>
        <v/>
      </c>
      <c r="C42" s="36" t="str">
        <f>IF(VLOOKUP(B42,Pagamentos!$A$74:$P$104,HLOOKUP($B$36,Pagamentos!$3:$4,2,0)+1,0)&lt;&gt;0,VLOOKUP(B42,Pagamentos!$A$74:$P$104,HLOOKUP($B$36,Pagamentos!$3:$4,2,0)+1,0),"")</f>
        <v/>
      </c>
    </row>
    <row r="43" spans="1:3" x14ac:dyDescent="0.25">
      <c r="B43" t="str">
        <f>IF(Tabulação!A24&lt;&gt;"",Tabulação!A24,"")</f>
        <v/>
      </c>
      <c r="C43" s="36" t="str">
        <f>IF(VLOOKUP(B43,Pagamentos!$A$74:$P$104,HLOOKUP($B$36,Pagamentos!$3:$4,2,0)+1,0)&lt;&gt;0,VLOOKUP(B43,Pagamentos!$A$74:$P$104,HLOOKUP($B$36,Pagamentos!$3:$4,2,0)+1,0),"")</f>
        <v/>
      </c>
    </row>
    <row r="44" spans="1:3" x14ac:dyDescent="0.25">
      <c r="B44" t="str">
        <f>IF(Tabulação!A25&lt;&gt;"",Tabulação!A25,"")</f>
        <v/>
      </c>
      <c r="C44" s="36" t="str">
        <f>IF(VLOOKUP(B44,Pagamentos!$A$74:$P$104,HLOOKUP($B$36,Pagamentos!$3:$4,2,0)+1,0)&lt;&gt;0,VLOOKUP(B44,Pagamentos!$A$74:$P$104,HLOOKUP($B$36,Pagamentos!$3:$4,2,0)+1,0),"")</f>
        <v/>
      </c>
    </row>
    <row r="45" spans="1:3" x14ac:dyDescent="0.25">
      <c r="B45" t="str">
        <f>IF(Tabulação!A26&lt;&gt;"",Tabulação!A26,"")</f>
        <v/>
      </c>
      <c r="C45" s="36" t="str">
        <f>IF(VLOOKUP(B45,Pagamentos!$A$74:$P$104,HLOOKUP($B$36,Pagamentos!$3:$4,2,0)+1,0)&lt;&gt;0,VLOOKUP(B45,Pagamentos!$A$74:$P$104,HLOOKUP($B$36,Pagamentos!$3:$4,2,0)+1,0),"")</f>
        <v/>
      </c>
    </row>
    <row r="46" spans="1:3" x14ac:dyDescent="0.25">
      <c r="B46" t="str">
        <f>IF(Tabulação!A27&lt;&gt;"",Tabulação!A27,"")</f>
        <v/>
      </c>
      <c r="C46" s="36" t="str">
        <f>IF(VLOOKUP(B46,Pagamentos!$A$74:$P$104,HLOOKUP($B$36,Pagamentos!$3:$4,2,0)+1,0)&lt;&gt;0,VLOOKUP(B46,Pagamentos!$A$74:$P$104,HLOOKUP($B$36,Pagamentos!$3:$4,2,0)+1,0),"")</f>
        <v/>
      </c>
    </row>
    <row r="47" spans="1:3" x14ac:dyDescent="0.25">
      <c r="B47" t="str">
        <f>IF(Tabulação!A28&lt;&gt;"",Tabulação!A28,"")</f>
        <v/>
      </c>
      <c r="C47" s="36" t="str">
        <f>IF(VLOOKUP(B47,Pagamentos!$A$74:$P$104,HLOOKUP($B$36,Pagamentos!$3:$4,2,0)+1,0)&lt;&gt;0,VLOOKUP(B47,Pagamentos!$A$74:$P$104,HLOOKUP($B$36,Pagamentos!$3:$4,2,0)+1,0),"")</f>
        <v/>
      </c>
    </row>
    <row r="48" spans="1:3" x14ac:dyDescent="0.25">
      <c r="B48" t="str">
        <f>IF(Tabulação!A29&lt;&gt;"",Tabulação!A29,"")</f>
        <v/>
      </c>
      <c r="C48" s="36" t="str">
        <f>IF(VLOOKUP(B48,Pagamentos!$A$74:$P$104,HLOOKUP($B$36,Pagamentos!$3:$4,2,0)+1,0)&lt;&gt;0,VLOOKUP(B48,Pagamentos!$A$74:$P$104,HLOOKUP($B$36,Pagamentos!$3:$4,2,0)+1,0),"")</f>
        <v/>
      </c>
    </row>
    <row r="49" spans="2:3" x14ac:dyDescent="0.25">
      <c r="B49" t="str">
        <f>IF(Tabulação!A30&lt;&gt;"",Tabulação!A30,"")</f>
        <v/>
      </c>
      <c r="C49" s="36" t="str">
        <f>IF(VLOOKUP(B49,Pagamentos!$A$74:$P$104,HLOOKUP($B$36,Pagamentos!$3:$4,2,0)+1,0)&lt;&gt;0,VLOOKUP(B49,Pagamentos!$A$74:$P$104,HLOOKUP($B$36,Pagamentos!$3:$4,2,0)+1,0),"")</f>
        <v/>
      </c>
    </row>
    <row r="50" spans="2:3" x14ac:dyDescent="0.25">
      <c r="B50" t="str">
        <f>IF(Tabulação!A31&lt;&gt;"",Tabulação!A31,"")</f>
        <v/>
      </c>
      <c r="C50" s="36" t="str">
        <f>IF(VLOOKUP(B50,Pagamentos!$A$74:$P$104,HLOOKUP($B$36,Pagamentos!$3:$4,2,0)+1,0)&lt;&gt;0,VLOOKUP(B50,Pagamentos!$A$74:$P$104,HLOOKUP($B$36,Pagamentos!$3:$4,2,0)+1,0),"")</f>
        <v/>
      </c>
    </row>
    <row r="51" spans="2:3" x14ac:dyDescent="0.25">
      <c r="B51" t="str">
        <f>IF(Tabulação!A32&lt;&gt;"",Tabulação!A32,"")</f>
        <v/>
      </c>
      <c r="C51" s="36" t="str">
        <f>IF(VLOOKUP(B51,Pagamentos!$A$74:$P$104,HLOOKUP($B$36,Pagamentos!$3:$4,2,0)+1,0)&lt;&gt;0,VLOOKUP(B51,Pagamentos!$A$74:$P$104,HLOOKUP($B$36,Pagamentos!$3:$4,2,0)+1,0),"")</f>
        <v/>
      </c>
    </row>
    <row r="52" spans="2:3" x14ac:dyDescent="0.25">
      <c r="B52" t="str">
        <f>IF(Tabulação!A33&lt;&gt;"",Tabulação!A33,"")</f>
        <v/>
      </c>
      <c r="C52" s="36" t="str">
        <f>IF(VLOOKUP(B52,Pagamentos!$A$74:$P$104,HLOOKUP($B$36,Pagamentos!$3:$4,2,0)+1,0)&lt;&gt;0,VLOOKUP(B52,Pagamentos!$A$74:$P$104,HLOOKUP($B$36,Pagamentos!$3:$4,2,0)+1,0),"")</f>
        <v/>
      </c>
    </row>
    <row r="53" spans="2:3" x14ac:dyDescent="0.25">
      <c r="B53" t="str">
        <f>IF(Tabulação!A34&lt;&gt;"",Tabulação!A34,"")</f>
        <v/>
      </c>
      <c r="C53" s="36" t="str">
        <f>IF(VLOOKUP(B53,Pagamentos!$A$74:$P$104,HLOOKUP($B$36,Pagamentos!$3:$4,2,0)+1,0)&lt;&gt;0,VLOOKUP(B53,Pagamentos!$A$74:$P$104,HLOOKUP($B$36,Pagamentos!$3:$4,2,0)+1,0),"")</f>
        <v/>
      </c>
    </row>
    <row r="54" spans="2:3" x14ac:dyDescent="0.25">
      <c r="B54" t="str">
        <f>IF(Tabulação!A35&lt;&gt;"",Tabulação!A35,"")</f>
        <v/>
      </c>
      <c r="C54" s="36" t="str">
        <f>IF(VLOOKUP(B54,Pagamentos!$A$74:$P$104,HLOOKUP($B$36,Pagamentos!$3:$4,2,0)+1,0)&lt;&gt;0,VLOOKUP(B54,Pagamentos!$A$74:$P$104,HLOOKUP($B$36,Pagamentos!$3:$4,2,0)+1,0),"")</f>
        <v/>
      </c>
    </row>
    <row r="55" spans="2:3" x14ac:dyDescent="0.25">
      <c r="B55" t="str">
        <f>IF(Tabulação!A36&lt;&gt;"",Tabulação!A36,"")</f>
        <v/>
      </c>
      <c r="C55" s="36" t="str">
        <f>IF(VLOOKUP(B55,Pagamentos!$A$74:$P$104,HLOOKUP($B$36,Pagamentos!$3:$4,2,0)+1,0)&lt;&gt;0,VLOOKUP(B55,Pagamentos!$A$74:$P$104,HLOOKUP($B$36,Pagamentos!$3:$4,2,0)+1,0),"")</f>
        <v/>
      </c>
    </row>
    <row r="56" spans="2:3" x14ac:dyDescent="0.25">
      <c r="B56" t="str">
        <f>IF(Tabulação!A37&lt;&gt;"",Tabulação!A37,"")</f>
        <v/>
      </c>
      <c r="C56" s="36" t="str">
        <f>IF(VLOOKUP(B56,Pagamentos!$A$74:$P$104,HLOOKUP($B$36,Pagamentos!$3:$4,2,0)+1,0)&lt;&gt;0,VLOOKUP(B56,Pagamentos!$A$74:$P$104,HLOOKUP($B$36,Pagamentos!$3:$4,2,0)+1,0),"")</f>
        <v/>
      </c>
    </row>
    <row r="57" spans="2:3" x14ac:dyDescent="0.25">
      <c r="B57" t="str">
        <f>IF(Tabulação!A38&lt;&gt;"",Tabulação!A38,"")</f>
        <v/>
      </c>
      <c r="C57" s="36" t="str">
        <f>IF(VLOOKUP(B57,Pagamentos!$A$74:$P$104,HLOOKUP($B$36,Pagamentos!$3:$4,2,0)+1,0)&lt;&gt;0,VLOOKUP(B57,Pagamentos!$A$74:$P$104,HLOOKUP($B$36,Pagamentos!$3:$4,2,0)+1,0),"")</f>
        <v/>
      </c>
    </row>
    <row r="58" spans="2:3" x14ac:dyDescent="0.25">
      <c r="B58" t="str">
        <f>IF(Tabulação!A39&lt;&gt;"",Tabulação!A39,"")</f>
        <v/>
      </c>
      <c r="C58" s="36" t="str">
        <f>IF(VLOOKUP(B58,Pagamentos!$A$74:$P$104,HLOOKUP($B$36,Pagamentos!$3:$4,2,0)+1,0)&lt;&gt;0,VLOOKUP(B58,Pagamentos!$A$74:$P$104,HLOOKUP($B$36,Pagamentos!$3:$4,2,0)+1,0),"")</f>
        <v/>
      </c>
    </row>
    <row r="59" spans="2:3" x14ac:dyDescent="0.25">
      <c r="B59" t="str">
        <f>IF(Tabulação!A40&lt;&gt;"",Tabulação!A40,"")</f>
        <v/>
      </c>
      <c r="C59" s="36" t="str">
        <f>IF(VLOOKUP(B59,Pagamentos!$A$74:$P$104,HLOOKUP($B$36,Pagamentos!$3:$4,2,0)+1,0)&lt;&gt;0,VLOOKUP(B59,Pagamentos!$A$74:$P$104,HLOOKUP($B$36,Pagamentos!$3:$4,2,0)+1,0),"")</f>
        <v/>
      </c>
    </row>
    <row r="60" spans="2:3" x14ac:dyDescent="0.25">
      <c r="B60" t="str">
        <f>IF(Tabulação!A41&lt;&gt;"",Tabulação!A41,"")</f>
        <v/>
      </c>
      <c r="C60" s="36" t="str">
        <f>IF(VLOOKUP(B60,Pagamentos!$A$74:$P$104,HLOOKUP($B$36,Pagamentos!$3:$4,2,0)+1,0)&lt;&gt;0,VLOOKUP(B60,Pagamentos!$A$74:$P$104,HLOOKUP($B$36,Pagamentos!$3:$4,2,0)+1,0),"")</f>
        <v/>
      </c>
    </row>
    <row r="61" spans="2:3" x14ac:dyDescent="0.25">
      <c r="B61" t="str">
        <f>IF(Tabulação!A42&lt;&gt;"",Tabulação!A42,"")</f>
        <v/>
      </c>
      <c r="C61" s="36" t="str">
        <f>IF(VLOOKUP(B61,Pagamentos!$A$74:$P$104,HLOOKUP($B$36,Pagamentos!$3:$4,2,0)+1,0)&lt;&gt;0,VLOOKUP(B61,Pagamentos!$A$74:$P$104,HLOOKUP($B$36,Pagamentos!$3:$4,2,0)+1,0),"")</f>
        <v/>
      </c>
    </row>
    <row r="62" spans="2:3" x14ac:dyDescent="0.25">
      <c r="B62" t="str">
        <f>IF(Tabulação!A43&lt;&gt;"",Tabulação!A43,"")</f>
        <v/>
      </c>
      <c r="C62" s="36" t="str">
        <f>IF(VLOOKUP(B62,Pagamentos!$A$74:$P$104,HLOOKUP($B$36,Pagamentos!$3:$4,2,0)+1,0)&lt;&gt;0,VLOOKUP(B62,Pagamentos!$A$74:$P$104,HLOOKUP($B$36,Pagamentos!$3:$4,2,0)+1,0),"")</f>
        <v/>
      </c>
    </row>
    <row r="63" spans="2:3" x14ac:dyDescent="0.25">
      <c r="B63" t="str">
        <f>IF(Tabulação!A44&lt;&gt;"",Tabulação!A44,"")</f>
        <v/>
      </c>
      <c r="C63" s="36" t="str">
        <f>IF(VLOOKUP(B63,Pagamentos!$A$74:$P$104,HLOOKUP($B$36,Pagamentos!$3:$4,2,0)+1,0)&lt;&gt;0,VLOOKUP(B63,Pagamentos!$A$74:$P$104,HLOOKUP($B$36,Pagamentos!$3:$4,2,0)+1,0),"")</f>
        <v/>
      </c>
    </row>
    <row r="64" spans="2:3" x14ac:dyDescent="0.25">
      <c r="B64" t="str">
        <f>IF(Tabulação!A45&lt;&gt;"",Tabulação!A45,"")</f>
        <v/>
      </c>
      <c r="C64" s="36" t="str">
        <f>IF(VLOOKUP(B64,Pagamentos!$A$74:$P$104,HLOOKUP($B$36,Pagamentos!$3:$4,2,0)+1,0)&lt;&gt;0,VLOOKUP(B64,Pagamentos!$A$74:$P$104,HLOOKUP($B$36,Pagamentos!$3:$4,2,0)+1,0),"")</f>
        <v/>
      </c>
    </row>
    <row r="65" spans="2:3" x14ac:dyDescent="0.25">
      <c r="B65" t="str">
        <f>IF(Tabulação!A46&lt;&gt;"",Tabulação!A46,"")</f>
        <v/>
      </c>
      <c r="C65" s="36" t="str">
        <f>IF(VLOOKUP(B65,Pagamentos!$A$74:$P$104,HLOOKUP($B$36,Pagamentos!$3:$4,2,0)+1,0)&lt;&gt;0,VLOOKUP(B65,Pagamentos!$A$74:$P$104,HLOOKUP($B$36,Pagamentos!$3:$4,2,0)+1,0),"")</f>
        <v/>
      </c>
    </row>
    <row r="66" spans="2:3" x14ac:dyDescent="0.25">
      <c r="B66" t="str">
        <f>IF(Tabulação!A47&lt;&gt;"",Tabulação!A47,"")</f>
        <v/>
      </c>
      <c r="C66" s="36" t="str">
        <f>IF(VLOOKUP(B66,Pagamentos!$A$74:$P$104,HLOOKUP($B$36,Pagamentos!$3:$4,2,0)+1,0)&lt;&gt;0,VLOOKUP(B66,Pagamentos!$A$74:$P$104,HLOOKUP($B$36,Pagamentos!$3:$4,2,0)+1,0),"")</f>
        <v/>
      </c>
    </row>
    <row r="67" spans="2:3" x14ac:dyDescent="0.25">
      <c r="B67" t="str">
        <f>IF(Tabulação!A48&lt;&gt;"",Tabulação!A48,"")</f>
        <v/>
      </c>
      <c r="C67" s="36" t="str">
        <f>IF(VLOOKUP(B67,Pagamentos!$A$74:$P$104,HLOOKUP($B$36,Pagamentos!$3:$4,2,0)+1,0)&lt;&gt;0,VLOOKUP(B67,Pagamentos!$A$74:$P$104,HLOOKUP($B$36,Pagamentos!$3:$4,2,0)+1,0),"")</f>
        <v/>
      </c>
    </row>
    <row r="68" spans="2:3" ht="16.5" thickBot="1" x14ac:dyDescent="0.3">
      <c r="B68" s="49" t="str">
        <f>IF(Tabulação!A49&lt;&gt;"",Tabulação!A49,"")</f>
        <v/>
      </c>
      <c r="C68" s="36" t="str">
        <f>IF(VLOOKUP(B68,Pagamentos!$A$74:$P$104,HLOOKUP($B$36,Pagamentos!$3:$4,2,0)+1,0)&lt;&gt;0,VLOOKUP(B68,Pagamentos!$A$74:$P$104,HLOOKUP($B$36,Pagamentos!$3:$4,2,0)+1,0),"")</f>
        <v/>
      </c>
    </row>
    <row r="69" spans="2:3" ht="16.5" thickBot="1" x14ac:dyDescent="0.3">
      <c r="B69" s="50" t="str">
        <f>IF(Tabulação!A50&lt;&gt;"",Tabulação!A50,"")</f>
        <v/>
      </c>
      <c r="C69" s="51" t="str">
        <f>IF(VLOOKUP(B69,Pagamentos!$A$74:$P$104,HLOOKUP($B$36,Pagamentos!$3:$4,2,0)+1,0)&lt;&gt;0,VLOOKUP(B69,Pagamentos!$A$74:$P$104,HLOOKUP($B$36,Pagamentos!$3:$4,2,0)+1,0),"")</f>
        <v/>
      </c>
    </row>
    <row r="70" spans="2:3" ht="16.5" thickBot="1" x14ac:dyDescent="0.3">
      <c r="B70" s="50" t="str">
        <f>IF(Tabulação!A51&lt;&gt;"",Tabulação!A51,"")</f>
        <v/>
      </c>
      <c r="C70" s="51" t="str">
        <f>IF(VLOOKUP(B70,Pagamentos!$A$74:$P$104,HLOOKUP($B$36,Pagamentos!$3:$4,2,0)+1,0)&lt;&gt;0,VLOOKUP(B70,Pagamentos!$A$74:$P$104,HLOOKUP($B$36,Pagamentos!$3:$4,2,0)+1,0),"")</f>
        <v/>
      </c>
    </row>
    <row r="71" spans="2:3" ht="16.5" thickBot="1" x14ac:dyDescent="0.3">
      <c r="B71" s="50" t="str">
        <f>IF(Tabulação!A52&lt;&gt;"",Tabulação!A52,"")</f>
        <v/>
      </c>
      <c r="C71" s="51" t="str">
        <f>IF(VLOOKUP(B71,Pagamentos!$A$74:$P$104,HLOOKUP($B$36,Pagamentos!$3:$4,2,0)+1,0)&lt;&gt;0,VLOOKUP(B71,Pagamentos!$A$74:$P$104,HLOOKUP($B$36,Pagamentos!$3:$4,2,0)+1,0),"")</f>
        <v/>
      </c>
    </row>
    <row r="72" spans="2:3" ht="16.5" thickBot="1" x14ac:dyDescent="0.3">
      <c r="B72" s="50" t="str">
        <f>IF(Tabulação!A53&lt;&gt;"",Tabulação!A53,"")</f>
        <v/>
      </c>
      <c r="C72" s="51" t="str">
        <f>IF(VLOOKUP(B72,Pagamentos!$A$74:$P$104,HLOOKUP($B$36,Pagamentos!$3:$4,2,0)+1,0)&lt;&gt;0,VLOOKUP(B72,Pagamentos!$A$74:$P$104,HLOOKUP($B$36,Pagamentos!$3:$4,2,0)+1,0),"")</f>
        <v/>
      </c>
    </row>
    <row r="73" spans="2:3" ht="16.5" thickBot="1" x14ac:dyDescent="0.3">
      <c r="B73" s="50" t="str">
        <f>IF(Tabulação!A54&lt;&gt;"",Tabulação!A54,"")</f>
        <v/>
      </c>
      <c r="C73" s="51" t="str">
        <f>IF(VLOOKUP(B73,Pagamentos!$A$74:$P$104,HLOOKUP($B$36,Pagamentos!$3:$4,2,0)+1,0)&lt;&gt;0,VLOOKUP(B73,Pagamentos!$A$74:$P$104,HLOOKUP($B$36,Pagamentos!$3:$4,2,0)+1,0),"")</f>
        <v/>
      </c>
    </row>
    <row r="74" spans="2:3" ht="16.5" thickBot="1" x14ac:dyDescent="0.3">
      <c r="B74" s="50" t="str">
        <f>IF(Tabulação!A55&lt;&gt;"",Tabulação!A55,"")</f>
        <v/>
      </c>
      <c r="C74" s="51" t="str">
        <f>IF(VLOOKUP(B74,Pagamentos!$A$74:$P$104,HLOOKUP($B$36,Pagamentos!$3:$4,2,0)+1,0)&lt;&gt;0,VLOOKUP(B74,Pagamentos!$A$74:$P$104,HLOOKUP($B$36,Pagamentos!$3:$4,2,0)+1,0),"")</f>
        <v/>
      </c>
    </row>
    <row r="75" spans="2:3" ht="16.5" thickBot="1" x14ac:dyDescent="0.3">
      <c r="B75" s="50" t="str">
        <f>IF(Tabulação!A56&lt;&gt;"",Tabulação!A56,"")</f>
        <v/>
      </c>
      <c r="C75" s="51" t="str">
        <f>IF(VLOOKUP(B75,Pagamentos!$A$74:$P$104,HLOOKUP($B$36,Pagamentos!$3:$4,2,0)+1,0)&lt;&gt;0,VLOOKUP(B75,Pagamentos!$A$74:$P$104,HLOOKUP($B$36,Pagamentos!$3:$4,2,0)+1,0),"")</f>
        <v/>
      </c>
    </row>
    <row r="76" spans="2:3" ht="16.5" thickBot="1" x14ac:dyDescent="0.3">
      <c r="B76" s="50" t="str">
        <f>IF(Tabulação!A57&lt;&gt;"",Tabulação!A57,"")</f>
        <v/>
      </c>
      <c r="C76" s="51" t="str">
        <f>IF(VLOOKUP(B76,Pagamentos!$A$74:$P$104,HLOOKUP($B$36,Pagamentos!$3:$4,2,0)+1,0)&lt;&gt;0,VLOOKUP(B76,Pagamentos!$A$74:$P$104,HLOOKUP($B$36,Pagamentos!$3:$4,2,0)+1,0),"")</f>
        <v/>
      </c>
    </row>
    <row r="77" spans="2:3" ht="16.5" thickBot="1" x14ac:dyDescent="0.3">
      <c r="B77" s="50" t="str">
        <f>IF(Tabulação!A58&lt;&gt;"",Tabulação!A58,"")</f>
        <v/>
      </c>
      <c r="C77" s="51" t="str">
        <f>IF(VLOOKUP(B77,Pagamentos!$A$74:$P$104,HLOOKUP($B$36,Pagamentos!$3:$4,2,0)+1,0)&lt;&gt;0,VLOOKUP(B77,Pagamentos!$A$74:$P$104,HLOOKUP($B$36,Pagamentos!$3:$4,2,0)+1,0),"")</f>
        <v/>
      </c>
    </row>
    <row r="78" spans="2:3" ht="16.5" thickBot="1" x14ac:dyDescent="0.3">
      <c r="B78" s="50" t="str">
        <f>IF(Tabulação!A59&lt;&gt;"",Tabulação!A59,"")</f>
        <v/>
      </c>
      <c r="C78" s="51" t="str">
        <f>IF(VLOOKUP(B78,Pagamentos!$A$74:$P$104,HLOOKUP($B$36,Pagamentos!$3:$4,2,0)+1,0)&lt;&gt;0,VLOOKUP(B78,Pagamentos!$A$74:$P$104,HLOOKUP($B$36,Pagamentos!$3:$4,2,0)+1,0),"")</f>
        <v/>
      </c>
    </row>
    <row r="79" spans="2:3" ht="16.5" thickBot="1" x14ac:dyDescent="0.3">
      <c r="B79" s="50" t="str">
        <f>IF(Tabulação!A60&lt;&gt;"",Tabulação!A60,"")</f>
        <v/>
      </c>
      <c r="C79" s="51" t="str">
        <f>IF(VLOOKUP(B79,Pagamentos!$A$74:$P$104,HLOOKUP($B$36,Pagamentos!$3:$4,2,0)+1,0)&lt;&gt;0,VLOOKUP(B79,Pagamentos!$A$74:$P$104,HLOOKUP($B$36,Pagamentos!$3:$4,2,0)+1,0),"")</f>
        <v/>
      </c>
    </row>
    <row r="80" spans="2:3" ht="16.5" thickBot="1" x14ac:dyDescent="0.3">
      <c r="B80" s="50" t="str">
        <f>IF(Tabulação!A61&lt;&gt;"",Tabulação!A61,"")</f>
        <v/>
      </c>
      <c r="C80" s="51" t="str">
        <f>IF(VLOOKUP(B80,Pagamentos!$A$74:$P$104,HLOOKUP($B$36,Pagamentos!$3:$4,2,0)+1,0)&lt;&gt;0,VLOOKUP(B80,Pagamentos!$A$74:$P$104,HLOOKUP($B$36,Pagamentos!$3:$4,2,0)+1,0),"")</f>
        <v/>
      </c>
    </row>
  </sheetData>
  <mergeCells count="1">
    <mergeCell ref="A1:J1"/>
  </mergeCells>
  <dataValidations disablePrompts="1" count="1">
    <dataValidation type="list" allowBlank="1" showInputMessage="1" showErrorMessage="1" sqref="B4 B36">
      <formula1>"JANEIRO,FEVEREIRO,MARÇO,ABRIL,MAIO,JUNHO,JULHO,AGOSTO,SETEMBRO,OUTUBRO,NOVEMBRO,DEZEMBRO,TOTAL"</formula1>
    </dataValidation>
  </dataValidations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Início</vt:lpstr>
      <vt:lpstr>Tabulação</vt:lpstr>
      <vt:lpstr>Pagamentos</vt:lpstr>
      <vt:lpstr>Gráficos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Acelere.vc</dc:creator>
  <cp:lastModifiedBy>Pedro</cp:lastModifiedBy>
  <dcterms:created xsi:type="dcterms:W3CDTF">2013-01-23T18:13:50Z</dcterms:created>
  <dcterms:modified xsi:type="dcterms:W3CDTF">2014-05-29T20:16:05Z</dcterms:modified>
</cp:coreProperties>
</file>