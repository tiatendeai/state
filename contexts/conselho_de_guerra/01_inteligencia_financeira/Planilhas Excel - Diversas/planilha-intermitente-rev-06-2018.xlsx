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4370" windowHeight="7215" tabRatio="713"/>
  </bookViews>
  <sheets>
    <sheet name="Banco de Dados" sheetId="1" r:id="rId1"/>
    <sheet name="Tabela de tipos de contratacao" sheetId="5" r:id="rId2"/>
    <sheet name="Holerite" sheetId="4" r:id="rId3"/>
    <sheet name="Sobre o TRABALHO INTERMITENTE" sheetId="7" r:id="rId4"/>
    <sheet name="tabela INSS" sheetId="3" r:id="rId5"/>
    <sheet name="Tabela IRRF" sheetId="2" r:id="rId6"/>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4" i="4" l="1"/>
  <c r="N36" i="1"/>
  <c r="C27" i="4"/>
  <c r="C23" i="4"/>
  <c r="C22" i="4"/>
  <c r="C18" i="4"/>
  <c r="C19" i="4"/>
  <c r="C16" i="4"/>
  <c r="M34" i="1"/>
  <c r="C35" i="4" s="1"/>
  <c r="I27" i="4"/>
  <c r="N24" i="1"/>
  <c r="O34" i="1"/>
  <c r="O33" i="1"/>
  <c r="J35" i="4" l="1"/>
  <c r="H24" i="4"/>
  <c r="H18" i="4"/>
  <c r="H33" i="4"/>
  <c r="H25" i="4" l="1"/>
  <c r="H26" i="4"/>
  <c r="H70" i="4"/>
  <c r="F26" i="1"/>
  <c r="F28" i="1"/>
  <c r="F27" i="1"/>
  <c r="F25" i="1"/>
  <c r="F24" i="1"/>
  <c r="F23" i="1"/>
  <c r="B85" i="4" l="1"/>
  <c r="J34" i="4"/>
  <c r="J81" i="4" s="1"/>
  <c r="C34" i="4"/>
  <c r="C81" i="4" s="1"/>
  <c r="I83" i="4"/>
  <c r="J84" i="4"/>
  <c r="J82" i="4"/>
  <c r="J80" i="4"/>
  <c r="J75" i="4"/>
  <c r="J74" i="4"/>
  <c r="J73" i="4"/>
  <c r="J72" i="4"/>
  <c r="J71" i="4"/>
  <c r="J70" i="4"/>
  <c r="J69" i="4"/>
  <c r="J68" i="4"/>
  <c r="J67" i="4"/>
  <c r="J66" i="4"/>
  <c r="J65" i="4"/>
  <c r="J64" i="4"/>
  <c r="J63" i="4"/>
  <c r="I84" i="4"/>
  <c r="I82" i="4"/>
  <c r="I81" i="4"/>
  <c r="I80" i="4"/>
  <c r="I79" i="4"/>
  <c r="I78" i="4"/>
  <c r="I77" i="4"/>
  <c r="I76" i="4"/>
  <c r="I74" i="4"/>
  <c r="I73" i="4"/>
  <c r="H84" i="4"/>
  <c r="H82" i="4"/>
  <c r="H81" i="4"/>
  <c r="H74" i="4"/>
  <c r="C84" i="4"/>
  <c r="C82" i="4"/>
  <c r="C74" i="4"/>
  <c r="H80" i="4" l="1"/>
  <c r="H27" i="4"/>
  <c r="H73" i="4" s="1"/>
  <c r="H23" i="4"/>
  <c r="H69" i="4" s="1"/>
  <c r="H22" i="4"/>
  <c r="H68" i="4" s="1"/>
  <c r="C80" i="4"/>
  <c r="C33" i="4"/>
  <c r="C79" i="4" s="1"/>
  <c r="C32" i="4"/>
  <c r="C78" i="4" s="1"/>
  <c r="C31" i="4"/>
  <c r="C77" i="4" s="1"/>
  <c r="C30" i="4"/>
  <c r="C76" i="4" s="1"/>
  <c r="C73" i="4"/>
  <c r="C69" i="4"/>
  <c r="C68" i="4"/>
  <c r="C65" i="4"/>
  <c r="C64" i="4"/>
  <c r="B75" i="4"/>
  <c r="B74" i="4"/>
  <c r="B73" i="4"/>
  <c r="B72" i="4"/>
  <c r="B71" i="4"/>
  <c r="B70" i="4"/>
  <c r="I23" i="4" l="1"/>
  <c r="I69" i="4" s="1"/>
  <c r="I22" i="4"/>
  <c r="I68" i="4" s="1"/>
  <c r="N14" i="1"/>
  <c r="H19" i="4" s="1"/>
  <c r="N41" i="1" l="1"/>
  <c r="O13" i="1" s="1"/>
  <c r="I18" i="4" s="1"/>
  <c r="I64" i="4" s="1"/>
  <c r="H64" i="4" s="1"/>
  <c r="N40" i="1"/>
  <c r="O14" i="1" l="1"/>
  <c r="I19" i="4" s="1"/>
  <c r="I65" i="4" s="1"/>
  <c r="H65" i="4" s="1"/>
  <c r="O12" i="1"/>
  <c r="I17" i="4" l="1"/>
  <c r="I63" i="4" s="1"/>
  <c r="C17" i="4"/>
  <c r="C63" i="4" s="1"/>
  <c r="F20" i="1"/>
  <c r="M15" i="1"/>
  <c r="J6" i="4"/>
  <c r="J52" i="4" s="1"/>
  <c r="I11" i="4"/>
  <c r="I57" i="4" s="1"/>
  <c r="C11" i="4"/>
  <c r="C57" i="4" s="1"/>
  <c r="C7" i="4"/>
  <c r="C53" i="4" s="1"/>
  <c r="C6" i="4"/>
  <c r="C52" i="4" s="1"/>
  <c r="C5" i="4"/>
  <c r="C51" i="4" s="1"/>
  <c r="J90" i="4"/>
  <c r="B84" i="4"/>
  <c r="B82" i="4"/>
  <c r="B81" i="4"/>
  <c r="B80" i="4"/>
  <c r="B79" i="4"/>
  <c r="B78" i="4"/>
  <c r="B77" i="4"/>
  <c r="B76" i="4"/>
  <c r="B69" i="4"/>
  <c r="B68" i="4"/>
  <c r="B67" i="4"/>
  <c r="B66" i="4"/>
  <c r="B65" i="4"/>
  <c r="B64" i="4"/>
  <c r="B63" i="4"/>
  <c r="J62" i="4"/>
  <c r="B62" i="4"/>
  <c r="H57" i="4"/>
  <c r="B57" i="4"/>
  <c r="A12" i="2"/>
  <c r="A11" i="2"/>
  <c r="A10" i="2"/>
  <c r="A9" i="2"/>
  <c r="A10" i="3"/>
  <c r="A9" i="3"/>
  <c r="N16" i="1" l="1"/>
  <c r="H21" i="4" s="1"/>
  <c r="H67" i="4" s="1"/>
  <c r="N15" i="1"/>
  <c r="H20" i="4" s="1"/>
  <c r="O11" i="1"/>
  <c r="N12" i="1"/>
  <c r="H17" i="4" s="1"/>
  <c r="H63" i="4" s="1"/>
  <c r="N11" i="1"/>
  <c r="H16" i="4" s="1"/>
  <c r="M11" i="1"/>
  <c r="C62" i="4" s="1"/>
  <c r="I16" i="4" l="1"/>
  <c r="B44" i="4" s="1"/>
  <c r="B90" i="4" s="1"/>
  <c r="O15" i="1"/>
  <c r="H62" i="4"/>
  <c r="C20" i="4" l="1"/>
  <c r="C66" i="4" s="1"/>
  <c r="I20" i="4"/>
  <c r="I66" i="4" s="1"/>
  <c r="H66" i="4" s="1"/>
  <c r="O16" i="1"/>
  <c r="I62" i="4"/>
  <c r="O36" i="1" l="1"/>
  <c r="N29" i="1" s="1"/>
  <c r="C21" i="4"/>
  <c r="C67" i="4" s="1"/>
  <c r="F34" i="1"/>
  <c r="F35" i="1" s="1"/>
  <c r="O24" i="1" s="1"/>
  <c r="C29" i="4" s="1"/>
  <c r="O29" i="1"/>
  <c r="I21" i="4"/>
  <c r="I67" i="4" s="1"/>
  <c r="O22" i="1"/>
  <c r="O20" i="1"/>
  <c r="I26" i="4" l="1"/>
  <c r="I72" i="4" s="1"/>
  <c r="H72" i="4" s="1"/>
  <c r="C26" i="4"/>
  <c r="C72" i="4" s="1"/>
  <c r="I24" i="4"/>
  <c r="C24" i="4"/>
  <c r="C70" i="4" s="1"/>
  <c r="H29" i="4"/>
  <c r="H75" i="4" s="1"/>
  <c r="C75" i="4"/>
  <c r="I29" i="4"/>
  <c r="I75" i="4" s="1"/>
  <c r="N38" i="1"/>
  <c r="J30" i="4"/>
  <c r="O30" i="1"/>
  <c r="N39" i="1"/>
  <c r="O21" i="1"/>
  <c r="D44" i="4"/>
  <c r="D90" i="4" s="1"/>
  <c r="C25" i="4" l="1"/>
  <c r="C71" i="4" s="1"/>
  <c r="I25" i="4"/>
  <c r="I71" i="4" s="1"/>
  <c r="H71" i="4" s="1"/>
  <c r="O27" i="1"/>
  <c r="N37" i="1"/>
  <c r="O37" i="1" s="1"/>
  <c r="N30" i="1" s="1"/>
  <c r="H30" i="4" s="1"/>
  <c r="J31" i="4"/>
  <c r="O31" i="1"/>
  <c r="J32" i="4" s="1"/>
  <c r="O38" i="1"/>
  <c r="N31" i="1" s="1"/>
  <c r="H31" i="4" s="1"/>
  <c r="O39" i="1"/>
  <c r="N32" i="1" s="1"/>
  <c r="H32" i="4" s="1"/>
  <c r="O32" i="1"/>
  <c r="J33" i="4" s="1"/>
  <c r="O35" i="1" l="1"/>
  <c r="J76" i="4"/>
  <c r="J79" i="4"/>
  <c r="J77" i="4"/>
  <c r="I40" i="4"/>
  <c r="I44" i="4"/>
  <c r="I90" i="4" s="1"/>
  <c r="J78" i="4" l="1"/>
  <c r="I86" i="4"/>
  <c r="E90" i="4" l="1"/>
  <c r="G44" i="4"/>
  <c r="G90" i="4" s="1"/>
  <c r="J40" i="4"/>
  <c r="J41" i="4" l="1"/>
  <c r="J87" i="4" s="1"/>
  <c r="J86" i="4"/>
</calcChain>
</file>

<file path=xl/comments1.xml><?xml version="1.0" encoding="utf-8"?>
<comments xmlns="http://schemas.openxmlformats.org/spreadsheetml/2006/main">
  <authors>
    <author>User</author>
    <author>ZéRoberto</author>
  </authors>
  <commentList>
    <comment ref="M7" authorId="0">
      <text>
        <r>
          <rPr>
            <b/>
            <sz val="9"/>
            <color indexed="81"/>
            <rFont val="Segoe UI"/>
            <family val="2"/>
          </rPr>
          <t>User:</t>
        </r>
        <r>
          <rPr>
            <sz val="9"/>
            <color indexed="81"/>
            <rFont val="Segoe UI"/>
            <family val="2"/>
          </rPr>
          <t xml:space="preserve">
ESTA PLANILHA ESTA NA REVISÃO 02 -2017</t>
        </r>
      </text>
    </comment>
    <comment ref="O11" authorId="0">
      <text>
        <r>
          <rPr>
            <b/>
            <sz val="9"/>
            <color indexed="81"/>
            <rFont val="Segoe UI"/>
            <family val="2"/>
          </rPr>
          <t>User:</t>
        </r>
        <r>
          <rPr>
            <sz val="9"/>
            <color indexed="81"/>
            <rFont val="Segoe UI"/>
            <family val="2"/>
          </rPr>
          <t xml:space="preserve">
se ficar valor zero é porque tem dois valores em conflito. 
Ou é dia ou é horas
ou caracteres não autorizado, vá no campo e delete oque estiver lá
</t>
        </r>
      </text>
    </comment>
    <comment ref="O14" authorId="0">
      <text>
        <r>
          <rPr>
            <b/>
            <sz val="9"/>
            <color indexed="81"/>
            <rFont val="Segoe UI"/>
            <family val="2"/>
          </rPr>
          <t xml:space="preserve">Nota Zéh Roberto
comentário 1
</t>
        </r>
        <r>
          <rPr>
            <sz val="9"/>
            <color indexed="81"/>
            <rFont val="Segoe UI"/>
            <family val="2"/>
          </rPr>
          <t xml:space="preserve">verifique se a quantidade de horas noturnas não esta maior que a quantidade de horas trabalhadas
</t>
        </r>
      </text>
    </comment>
    <comment ref="D17" authorId="1">
      <text>
        <r>
          <rPr>
            <b/>
            <sz val="9"/>
            <color indexed="81"/>
            <rFont val="Tahoma"/>
            <family val="2"/>
          </rPr>
          <t xml:space="preserve">Nota  Zéh Roberto:   Atenção
Salario Família só pode ser pago uma vez por mês, de preferencia no ultimo pagamento que acontece no mês
</t>
        </r>
      </text>
    </comment>
    <comment ref="B18"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B19"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A21"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2"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3" authorId="0">
      <text>
        <r>
          <rPr>
            <b/>
            <sz val="9"/>
            <color indexed="81"/>
            <rFont val="Segoe UI"/>
            <family val="2"/>
          </rPr>
          <t xml:space="preserve">DICA DO ZÉH:
</t>
        </r>
        <r>
          <rPr>
            <b/>
            <sz val="10"/>
            <color indexed="81"/>
            <rFont val="Segoe UI"/>
            <family val="2"/>
          </rPr>
          <t>INFORME AQUI OS VALORES TRIBUTÁVEIS A TITULO DE SALARIO  PAGOS AO INTERMITENTE NO MESMO MÊS
REPETINDO, APENAS OS VALORES PAGOS NO MESMO MÊS</t>
        </r>
        <r>
          <rPr>
            <sz val="9"/>
            <color indexed="81"/>
            <rFont val="Segoe UI"/>
            <family val="2"/>
          </rPr>
          <t xml:space="preserve">
</t>
        </r>
      </text>
    </comment>
    <comment ref="A24" authorId="0">
      <text>
        <r>
          <rPr>
            <b/>
            <sz val="10"/>
            <color indexed="81"/>
            <rFont val="Segoe UI"/>
            <family val="2"/>
          </rPr>
          <t xml:space="preserve">DICA DO ZÉH:
INFORME                  INSS sobre salario
descontado ref. ao valor acima informado
</t>
        </r>
      </text>
    </comment>
    <comment ref="A25" authorId="0">
      <text>
        <r>
          <rPr>
            <b/>
            <sz val="9"/>
            <color indexed="81"/>
            <rFont val="Segoe UI"/>
            <family val="2"/>
          </rPr>
          <t xml:space="preserve">DICA DO ZÉH:
</t>
        </r>
        <r>
          <rPr>
            <b/>
            <sz val="10"/>
            <color indexed="81"/>
            <rFont val="Segoe UI"/>
            <family val="2"/>
          </rPr>
          <t xml:space="preserve">DICA DO ZÉH:
INFORME                  INSS 
descontado ref. ao valor acima informado
</t>
        </r>
        <r>
          <rPr>
            <sz val="9"/>
            <color indexed="81"/>
            <rFont val="Segoe UI"/>
            <family val="2"/>
          </rPr>
          <t xml:space="preserve">
</t>
        </r>
      </text>
    </comment>
    <comment ref="M25" authorId="1">
      <text>
        <r>
          <rPr>
            <b/>
            <sz val="9"/>
            <color indexed="81"/>
            <rFont val="Tahoma"/>
            <family val="2"/>
          </rPr>
          <t>ZéRoberto:</t>
        </r>
        <r>
          <rPr>
            <sz val="9"/>
            <color indexed="81"/>
            <rFont val="Tahoma"/>
            <family val="2"/>
          </rPr>
          <t xml:space="preserve">
informe manualmente se tiver algum evento não previsto
</t>
        </r>
      </text>
    </comment>
    <comment ref="A26" authorId="0">
      <text>
        <r>
          <rPr>
            <b/>
            <sz val="9"/>
            <color indexed="81"/>
            <rFont val="Segoe UI"/>
            <family val="2"/>
          </rPr>
          <t xml:space="preserve">DICA DO ZÉH:
INFORME AQUI OS VALORES DE 13 TRIBUTÁVEIS PAGOS AO INTERMITENTE NO MESMO MÊS
REPETINDO, APENAS OS VALORES PAGOS NO MESMO MÊS
</t>
        </r>
      </text>
    </comment>
    <comment ref="A27" authorId="0">
      <text>
        <r>
          <rPr>
            <b/>
            <sz val="9"/>
            <color indexed="81"/>
            <rFont val="Segoe UI"/>
            <family val="2"/>
          </rPr>
          <t>DICA DO ZÉH:
INFORME                  INSS S/ 13 SALARIO
descontado ref. ao valor acima informado</t>
        </r>
        <r>
          <rPr>
            <sz val="9"/>
            <color indexed="81"/>
            <rFont val="Segoe UI"/>
            <family val="2"/>
          </rPr>
          <t xml:space="preserve">
</t>
        </r>
      </text>
    </comment>
    <comment ref="A28" authorId="0">
      <text>
        <r>
          <rPr>
            <b/>
            <sz val="9"/>
            <color indexed="81"/>
            <rFont val="Segoe UI"/>
            <family val="2"/>
          </rPr>
          <t xml:space="preserve">DICA DO ZÉH:
INFORME                  IRRF  S/ 13 SALARIO
descontado ref. ao valor acima informado
</t>
        </r>
      </text>
    </comment>
    <comment ref="M29" authorId="0">
      <text>
        <r>
          <rPr>
            <b/>
            <sz val="9"/>
            <color indexed="81"/>
            <rFont val="Segoe UI"/>
            <family val="2"/>
          </rPr>
          <t>Dica do Zéh
ira deduzir INSS retido em outros pagamentos se informado campo F19</t>
        </r>
      </text>
    </comment>
    <comment ref="C30" authorId="0">
      <text>
        <r>
          <rPr>
            <b/>
            <sz val="9"/>
            <color indexed="81"/>
            <rFont val="Segoe UI"/>
            <family val="2"/>
          </rPr>
          <t>User:</t>
        </r>
        <r>
          <rPr>
            <sz val="9"/>
            <color indexed="81"/>
            <rFont val="Segoe UI"/>
            <family val="2"/>
          </rPr>
          <t xml:space="preserve">
Essa informação será utilizada para calcular o IRRF</t>
        </r>
      </text>
    </comment>
    <comment ref="B31" authorId="0">
      <text>
        <r>
          <rPr>
            <b/>
            <sz val="9"/>
            <color indexed="81"/>
            <rFont val="Segoe UI"/>
            <family val="2"/>
          </rPr>
          <t>Nota Zéh Roberto</t>
        </r>
        <r>
          <rPr>
            <sz val="9"/>
            <color indexed="81"/>
            <rFont val="Segoe UI"/>
            <family val="2"/>
          </rPr>
          <t xml:space="preserve">
o numero de DSR não altera o valor do DSR pois ele é calculado de acordo com o numero de dias ou horas dividido por seis. Informe para que conste no recibo.</t>
        </r>
        <r>
          <rPr>
            <b/>
            <sz val="9"/>
            <color indexed="81"/>
            <rFont val="Segoe UI"/>
            <family val="2"/>
          </rPr>
          <t xml:space="preserve">
Formula simplificada.</t>
        </r>
      </text>
    </comment>
    <comment ref="D31" authorId="1">
      <text>
        <r>
          <rPr>
            <b/>
            <sz val="9"/>
            <color indexed="81"/>
            <rFont val="Tahoma"/>
            <family val="2"/>
          </rPr>
          <t xml:space="preserve">Nota  Zéh Roberto:   Atenção
Salario Família só pode ser pago uma vez por mês, de preferencia no ultimo pagamento que acontece no mês
</t>
        </r>
      </text>
    </comment>
  </commentList>
</comments>
</file>

<file path=xl/comments2.xml><?xml version="1.0" encoding="utf-8"?>
<comments xmlns="http://schemas.openxmlformats.org/spreadsheetml/2006/main">
  <authors>
    <author>Zéh Roberto</author>
  </authors>
  <commentList>
    <comment ref="D5" authorId="0">
      <text>
        <r>
          <rPr>
            <b/>
            <sz val="9"/>
            <color indexed="81"/>
            <rFont val="Tahoma"/>
            <family val="2"/>
          </rPr>
          <t>Zéh Roberto:</t>
        </r>
        <r>
          <rPr>
            <sz val="9"/>
            <color indexed="81"/>
            <rFont val="Tahoma"/>
            <family val="2"/>
          </rPr>
          <t xml:space="preserve">
aniversarioSAM
</t>
        </r>
      </text>
    </comment>
  </commentList>
</comments>
</file>

<file path=xl/comments3.xml><?xml version="1.0" encoding="utf-8"?>
<comments xmlns="http://schemas.openxmlformats.org/spreadsheetml/2006/main">
  <authors>
    <author>Zéh Roberto</author>
  </authors>
  <commentList>
    <comment ref="D3" authorId="0">
      <text>
        <r>
          <rPr>
            <b/>
            <sz val="9"/>
            <color indexed="81"/>
            <rFont val="Tahoma"/>
            <family val="2"/>
          </rPr>
          <t>Zéh Roberto:</t>
        </r>
        <r>
          <rPr>
            <sz val="9"/>
            <color indexed="81"/>
            <rFont val="Tahoma"/>
            <family val="2"/>
          </rPr>
          <t xml:space="preserve">
aniversarioSAM
</t>
        </r>
      </text>
    </comment>
  </commentList>
</comments>
</file>

<file path=xl/sharedStrings.xml><?xml version="1.0" encoding="utf-8"?>
<sst xmlns="http://schemas.openxmlformats.org/spreadsheetml/2006/main" count="272" uniqueCount="213">
  <si>
    <t>valor combinado</t>
  </si>
  <si>
    <t>por hora</t>
  </si>
  <si>
    <t>ou por dia</t>
  </si>
  <si>
    <t>qtdade</t>
  </si>
  <si>
    <t>local insalubre</t>
  </si>
  <si>
    <t>local Periculoso</t>
  </si>
  <si>
    <t>Total a pagar</t>
  </si>
  <si>
    <t>Referencia</t>
  </si>
  <si>
    <t>valor a pagar</t>
  </si>
  <si>
    <t>DSR</t>
  </si>
  <si>
    <t>férias proporcionais</t>
  </si>
  <si>
    <t>1/3 férias proporcionais</t>
  </si>
  <si>
    <t>13º Salario Proporcional</t>
  </si>
  <si>
    <t>1/12</t>
  </si>
  <si>
    <t>1/3</t>
  </si>
  <si>
    <t>total a pagar</t>
  </si>
  <si>
    <t>descontos</t>
  </si>
  <si>
    <t>IRRF</t>
  </si>
  <si>
    <t xml:space="preserve">para pedir a versao atualizada entre em contato com </t>
  </si>
  <si>
    <t xml:space="preserve">tabela ano </t>
  </si>
  <si>
    <t>deduçao por dependente</t>
  </si>
  <si>
    <t>base de Cálculo (R$)</t>
  </si>
  <si>
    <t>Alíquota (%)</t>
  </si>
  <si>
    <t xml:space="preserve">Parcela a Deduzir </t>
  </si>
  <si>
    <t xml:space="preserve">DE </t>
  </si>
  <si>
    <t xml:space="preserve">Até </t>
  </si>
  <si>
    <t>ate infinito</t>
  </si>
  <si>
    <t>Passe o Mouse para ler as instruções</t>
  </si>
  <si>
    <t>SENHA</t>
  </si>
  <si>
    <t>Contribuição (R$)</t>
  </si>
  <si>
    <t xml:space="preserve">Alíquota </t>
  </si>
  <si>
    <t>de</t>
  </si>
  <si>
    <t xml:space="preserve">ate </t>
  </si>
  <si>
    <t>TABELA INSS 2017</t>
  </si>
  <si>
    <t>BASE CALCULO INSS</t>
  </si>
  <si>
    <t>BASE CALCULO IRRF</t>
  </si>
  <si>
    <t>DEPENDENTES</t>
  </si>
  <si>
    <t>Nº de horas/dia</t>
  </si>
  <si>
    <t>Nº de dias</t>
  </si>
  <si>
    <t>%</t>
  </si>
  <si>
    <t>TABELA IRRF DE 04/2015  /  2017</t>
  </si>
  <si>
    <t>DECLARO TER RECEBIDO A IMPORTÂNCIA LÍQUIDA DISCRIMINADA NESTE RECIBO.</t>
  </si>
  <si>
    <t>EMPREGADOR</t>
  </si>
  <si>
    <t>Recibo de Pagamento e Salário</t>
  </si>
  <si>
    <t>Nome</t>
  </si>
  <si>
    <t>Referente ao Mês / Ano</t>
  </si>
  <si>
    <t>ASSINATURA DO FUNCIONÁRIO</t>
  </si>
  <si>
    <t>Endereço</t>
  </si>
  <si>
    <t>CNPJ</t>
  </si>
  <si>
    <t>CÓDIGO</t>
  </si>
  <si>
    <t>NOME DO FUNCIONÁRIO</t>
  </si>
  <si>
    <t>CBO</t>
  </si>
  <si>
    <t>FUNÇÃO</t>
  </si>
  <si>
    <t>Cód.</t>
  </si>
  <si>
    <t>Descrição</t>
  </si>
  <si>
    <t>Referência</t>
  </si>
  <si>
    <t>Proventos</t>
  </si>
  <si>
    <t>Descontos</t>
  </si>
  <si>
    <t>DATA</t>
  </si>
  <si>
    <t>/</t>
  </si>
  <si>
    <t>MENSAGENS</t>
  </si>
  <si>
    <t>Total dos Vencimentos</t>
  </si>
  <si>
    <t>Total dos Descontos</t>
  </si>
  <si>
    <t>Líquido a Receber-&gt;</t>
  </si>
  <si>
    <t>Salário Base</t>
  </si>
  <si>
    <t>Base Cálc. INSS</t>
  </si>
  <si>
    <t>Base Cálc.FGTS</t>
  </si>
  <si>
    <t>FGTS do Mês</t>
  </si>
  <si>
    <t>Base Cálc. IRRF</t>
  </si>
  <si>
    <t>Faixa IRRF</t>
  </si>
  <si>
    <t>1ª VIA - EMPREGADOR</t>
  </si>
  <si>
    <t>2ª VIA - EMPREGADO</t>
  </si>
  <si>
    <t>nome trabalhador</t>
  </si>
  <si>
    <t>nome da empresa</t>
  </si>
  <si>
    <t>CNPJ ou CPF</t>
  </si>
  <si>
    <t>ENDEREÇO</t>
  </si>
  <si>
    <t>mês referencia</t>
  </si>
  <si>
    <t>se houver</t>
  </si>
  <si>
    <t>vr hora dia</t>
  </si>
  <si>
    <t>se combinado por dia</t>
  </si>
  <si>
    <t>liquido</t>
  </si>
  <si>
    <t>adiantamentos</t>
  </si>
  <si>
    <t>zehroberto@doutorcurriculo.com.br</t>
  </si>
  <si>
    <t>qtde Horas</t>
  </si>
  <si>
    <t>Função</t>
  </si>
  <si>
    <t>numero DSR no Período</t>
  </si>
  <si>
    <t>Apuração de Valores</t>
  </si>
  <si>
    <t>outros eventos isentos Impostos</t>
  </si>
  <si>
    <t>ADICIONAL NOTURNO</t>
  </si>
  <si>
    <t>qtde Horas Noturnas</t>
  </si>
  <si>
    <t>qtde minutos Noturnos</t>
  </si>
  <si>
    <t>HE noturna</t>
  </si>
  <si>
    <t>HE diurna</t>
  </si>
  <si>
    <t>HORA EXTRA  diurna</t>
  </si>
  <si>
    <t>HORA EXTRA  Noturna</t>
  </si>
  <si>
    <t>base Hora Extra Noturna</t>
  </si>
  <si>
    <t>base Hora Noturna</t>
  </si>
  <si>
    <t>qtde HE Noturnas</t>
  </si>
  <si>
    <t>quantidade</t>
  </si>
  <si>
    <t>encontando erro ou falhas, por favor, me avise  para que eu possa fazer os ajustes e atualizar a planiha zehroberto@doutorcurriculo.com.br</t>
  </si>
  <si>
    <t>adic. Not sobre qtdade horas</t>
  </si>
  <si>
    <t>http://www.doutorcurriculo.com.br/planilha-calculo-intermitente/</t>
  </si>
  <si>
    <t>para atualizar regularmente essa planilha acesse</t>
  </si>
  <si>
    <t>BASE CALCULO INSS 13° Salário</t>
  </si>
  <si>
    <t>BASE CALCULO IRRF 13º Sal</t>
  </si>
  <si>
    <t>INSS s/ 13º Salário</t>
  </si>
  <si>
    <t>IRRF s/ 13 salário</t>
  </si>
  <si>
    <t>SIM ou NÃO</t>
  </si>
  <si>
    <t>PRIMEIRO</t>
  </si>
  <si>
    <t>SEGUNDO</t>
  </si>
  <si>
    <t>QUARTO</t>
  </si>
  <si>
    <t>total</t>
  </si>
  <si>
    <t>SEPARE SALARIO E 13</t>
  </si>
  <si>
    <t xml:space="preserve">INSS </t>
  </si>
  <si>
    <t>Dica senha  AniverSAM</t>
  </si>
  <si>
    <t>TERCEIRO</t>
  </si>
  <si>
    <t>Tipo de serviço a ser prestado</t>
  </si>
  <si>
    <t xml:space="preserve">Contratação Sugerida </t>
  </si>
  <si>
    <t>Trabalhar todos os dias da semana,</t>
  </si>
  <si>
    <t>PRAZO INDETERMINADO</t>
  </si>
  <si>
    <t>Compensar ou não o sábado</t>
  </si>
  <si>
    <t>Há Subordinação direta</t>
  </si>
  <si>
    <t>DSR – domingo ou qualquer outro dia da semana</t>
  </si>
  <si>
    <t>Com ou sem acordo de compensação de horas</t>
  </si>
  <si>
    <t>Sem previsão de termino do contrato</t>
  </si>
  <si>
    <t>PRAZO DETERMINADO</t>
  </si>
  <si>
    <t xml:space="preserve">*COM TEMPO DEFINIDO PARA TERMINO </t>
  </si>
  <si>
    <t>Trabalhar em casa (home office) sem precisar comparecer na
 empresa com regularidade</t>
  </si>
  <si>
    <t>TELETRABALHO
Por Prazo determinado ou indeterminado</t>
  </si>
  <si>
    <t>Uso de computadores e equipamentos de informática</t>
  </si>
  <si>
    <t>Todos os dias da semana</t>
  </si>
  <si>
    <t>Há Subordinação indireta – Apresentar resultados, 
Relatórios, produção, etc.</t>
  </si>
  <si>
    <t>Com ou sem tempo definido para o término</t>
  </si>
  <si>
    <t>Contrato de Trabalho
INTERMITENTE
Por Prazo determinado ou indeterminado</t>
  </si>
  <si>
    <t>Trabalhar um, dois ou três dias da semana</t>
  </si>
  <si>
    <t>Há subordinação direta ou indireta</t>
  </si>
  <si>
    <t>Precisa ser convocado para ir trabalhar</t>
  </si>
  <si>
    <t>Pode ser convocado ou não</t>
  </si>
  <si>
    <t>Nao pode ter contrato de Experiecia</t>
  </si>
  <si>
    <t>Funcionário Pode ser substituído com 
facilidade se não comparecer</t>
  </si>
  <si>
    <t>Ausência não causará prejuízos consideráveis 
à empresa, mas apenas redistribuição do 
trabalho entre os outros funcionários</t>
  </si>
  <si>
    <t>Contrato por TEMPO PARCIAL
Por Prazo determinado ou indeterminado</t>
  </si>
  <si>
    <t>Não há necessidade de trabalhar o “dia todo”</t>
  </si>
  <si>
    <t>Pode ser ou não em Todos os dias úteis da semana</t>
  </si>
  <si>
    <t>carga maxima de trabalho 25 ou 30 horas</t>
  </si>
  <si>
    <t>Há subordinação direta e a ausência do funcionário não
 se consegue substituir com facilidade ou rapidez</t>
  </si>
  <si>
    <t>TEMPORÁRIO</t>
  </si>
  <si>
    <t>HÁ Necessidade de subordinação</t>
  </si>
  <si>
    <t>Sem previsão de termino do contrato mas para 
suprir necessidades eventuais</t>
  </si>
  <si>
    <t>Sera contratado por empresa terceira, mas ira trabalhar 
em outra empresa subordinado ao líder ou gerente da empresa 
tomadora do servico</t>
  </si>
  <si>
    <t>O trabalho não exige comparecimento na empresa</t>
  </si>
  <si>
    <t>AUTÔNOMO</t>
  </si>
  <si>
    <t>É rápido seu desenvolvimento</t>
  </si>
  <si>
    <t>Se não tiver obrigação de ser inscrito em
órgão de classe, o serviço é artífice, executado
 manualmente mas exige um conhecimento 
prático ou técnico do que será executado
 (pedreiro, pintor, por exemplo)</t>
  </si>
  <si>
    <t>Prefeituras exigem o registro e cobram impostos pelo
exercício da profissão</t>
  </si>
  <si>
    <t>A duração do contrato é por pouco tempo, 
mas se for duradoura sua prorrogação se dará 
apenas em função de burocracias governamentais</t>
  </si>
  <si>
    <t>Não há exclusividade</t>
  </si>
  <si>
    <t>TERCEIRIZADO
na modalidade
Antes da reforma</t>
  </si>
  <si>
    <t>NÃO HÁ subordinação direta a alguem da empresa onde
 trabalhador sera designado para trabalhar</t>
  </si>
  <si>
    <t>Contrato pode ou não ser por prazo determinado, 
mas se por prazo determinado tem que que ter
 data certa para finalizar</t>
  </si>
  <si>
    <t>Gerencia interna não se preocupa em “coordenar” a atividade</t>
  </si>
  <si>
    <t>Serviço não Ligado ao objetivo social da empresa</t>
  </si>
  <si>
    <t>TERCEIRIZADO pós reforma</t>
  </si>
  <si>
    <t>HÁ necessidade de subordinação direta ao gerente ou líder do setor</t>
  </si>
  <si>
    <t>Contrato pode ou não ser por prazo determinado, 
mas se por prazo determinado tem que que ter data certa 
para finalizar</t>
  </si>
  <si>
    <t>Gerência precisa se preocupar e acompanhar as atividades</t>
  </si>
  <si>
    <t>Serviço ligado ao objetivo social da empresa</t>
  </si>
  <si>
    <t>Diretoria optou por contratar por motivos estratégicos</t>
  </si>
  <si>
    <r>
      <rPr>
        <b/>
        <sz val="12"/>
        <color theme="1"/>
        <rFont val="Calibri"/>
        <family val="2"/>
        <scheme val="minor"/>
      </rPr>
      <t>PORQUE CURRÍCULO É MAIS QUE PAPEL  CHEIO DE LETRAS</t>
    </r>
    <r>
      <rPr>
        <sz val="12"/>
        <color theme="1"/>
        <rFont val="Calibri"/>
        <family val="2"/>
        <scheme val="minor"/>
      </rPr>
      <t xml:space="preserve">
ENTENDA.  O currículo precisa convencer o selecionador  em apenas 10 segundos, consegue imaginar a pressão? Temos certeza que você não gostaria de saber que seu Currículo foi ignorado por estar mal elaborado.
A “Reengenharia curricular” é uma técnica de distribuição de informações profissionais que AUMENTA em MUITO as  chances de ser selecionado para uma entrevista de emprego.
PARA ver dicas de curriculo, como se comportarem entrevista ou ainda CONHECER A REENGENHARIA ACESSE
www.doutorcurriculo.com.br </t>
    </r>
  </si>
  <si>
    <t>Elaborado por Jose Roberto de Miranda, advogado, contador e ministrante de cursos e treinamentos na área de ESocial, Reforma Trabalhista, DP/RH, Fiscal e Contabilidade 
CIDADE – Taubaté – contatos jr.miranda@nobresadvogados.com.br, WhatsApp 012 99107 5095</t>
  </si>
  <si>
    <t>Trabalhar todos os dias da semana</t>
  </si>
  <si>
    <t>O trabalho se assemelha ou está próximo do famoso bico.</t>
  </si>
  <si>
    <t>IRA trabalhar com constância sem precisar ser convocado ainda que o serviço seja em três ou quatro dias da semana</t>
  </si>
  <si>
    <t>O contratado tem autonomia e conhecimento para executar a tarefa sem necessitar pedir autorização</t>
  </si>
  <si>
    <t>O contratado pode executar o serviço para  mais empresas</t>
  </si>
  <si>
    <t>O contratado poderá delegar parte do serviço para outras pessoas por sua conta e ordem</t>
  </si>
  <si>
    <t>Tem que fazer parte de algum Órgão de classe  e estar inscrito</t>
  </si>
  <si>
    <r>
      <rPr>
        <b/>
        <sz val="14"/>
        <color rgb="FFFF0000"/>
        <rFont val="Calibri"/>
        <family val="2"/>
        <scheme val="minor"/>
      </rPr>
      <t xml:space="preserve">                                         SOBRE O CONTRATO DE TRABALHO INTERMITENTE</t>
    </r>
    <r>
      <rPr>
        <sz val="11"/>
        <color theme="1"/>
        <rFont val="Calibri"/>
        <family val="2"/>
        <scheme val="minor"/>
      </rPr>
      <t xml:space="preserve">
O contrato de trabalho intermitente estabelece o vínculo empregatício com a principal diferença da ausência de continuidade.
Dessa forma, o empregado somente prestará serviços nas oportunidades em que for solicitado pelo empregador, por determinado número de horas ou de dias.
Não há obrigatoriedade de o trabalhador manter um único contrato deste tipo, podendo firmar o vínculo com diversos empregadores.
Trata-se de uma novidade introduzida pela Reforma Trabalhista, Lei nº 13.467/2017, com vigor a partir de 11 de novembro de 2017.
O trabalho intermitente é previsto pelo artigo 443 e seu parágrafo 3º, assim como pelo artigo 452-A e seus parágrafos, todos da CLT.
Como qualquer contrato de trabalho, o intermitente deve ser formalizado por escrito com a assinatura da carteira de trabalho do empregado, com a especificação do valor da hora trabalhada.
O patrão deverá convocar o empregado por qualquer meio de comunicação eficaz, informando a jornada solicitada, com pelo menos três dias corridos de antecedência. Recebida a convocação, o empregado terá um dia útil para responder se aceita a proposta ou não. Seu silêncio será equivalente à recusa.
Aceita a convocação, a parte que descumprir a oferta pagará multa de metade da remuneração que seria devida.
Ao final de cada período trabalhado o empregado receberá imediatamente a remuneração, as férias proporcionais com acréscimo de um terço, o décimo terceiro salário proporcional, o repouso semanal remunerado e eventuais adicionais legais. Haverá ainda o depósito do FGTS correspondente.     .     </t>
    </r>
  </si>
  <si>
    <r>
      <t xml:space="preserve">Planilha calculo pagamento intermitente </t>
    </r>
    <r>
      <rPr>
        <b/>
        <sz val="18"/>
        <color rgb="FFFF0000"/>
        <rFont val="Calibri"/>
        <family val="2"/>
        <scheme val="minor"/>
      </rPr>
      <t>REVISÃO 06 (2018)</t>
    </r>
  </si>
  <si>
    <t xml:space="preserve">http://www.doutorcurriculo.com.br/services/reengenharia-curricular/  </t>
  </si>
  <si>
    <r>
      <rPr>
        <b/>
        <sz val="12"/>
        <color theme="1"/>
        <rFont val="Calibri"/>
        <family val="2"/>
        <scheme val="minor"/>
      </rPr>
      <t>PORQUE CURRÍCULO É MAIS QUE PAPEL  CHEIO DE LETRAS</t>
    </r>
    <r>
      <rPr>
        <sz val="12"/>
        <color theme="1"/>
        <rFont val="Calibri"/>
        <family val="2"/>
        <scheme val="minor"/>
      </rPr>
      <t xml:space="preserve">
ENTENDA.  O currículo precisa convencer o selecionador  em apenas 10 segundos, consegue imaginar a pressão? Temos certeza que você não gostaria de saber que seu Currículo foi ignorado por estar mal elaborado.
A “Reengenharia curricular” é uma técnica de distribuição de informações profissionais que AUMENTA em MUITO as  chances de ser selecionado para uma entrevista de emprego.
PARA ver dicas de curriculo, como se comportarem entrevista ou ainda CONHECER A REENGENHARIA ACESSE
www.doutorcurriculo.com.br  
PARA conhecer a Reengenharia Curricular acesse   </t>
    </r>
  </si>
  <si>
    <t>não</t>
  </si>
  <si>
    <t xml:space="preserve">salario Familia </t>
  </si>
  <si>
    <t>valor</t>
  </si>
  <si>
    <t>sem teto</t>
  </si>
  <si>
    <t>Acrescentei algumas observações em alguns campos, em função de duvidas que podem surgir, 
Para ler as observações, basta colocar o mouse sobre o campo que a observação ira aparecer.</t>
  </si>
  <si>
    <t>base calculo SF</t>
  </si>
  <si>
    <t>qtdade filhos menores de 14 anos</t>
  </si>
  <si>
    <t>SF já pago nesse mês?</t>
  </si>
  <si>
    <t>VR SF a ser pago</t>
  </si>
  <si>
    <t>DESCONTOS EVENTUAIS</t>
  </si>
  <si>
    <t>Adiantamentos</t>
  </si>
  <si>
    <t>informe manualmente)</t>
  </si>
  <si>
    <t>IRRF desc. Salario no mês</t>
  </si>
  <si>
    <t>13 pagos no mês</t>
  </si>
  <si>
    <t>INSS desc. 13 no mês</t>
  </si>
  <si>
    <t>IRRF desc. 13 no mês</t>
  </si>
  <si>
    <t>Salário Família (leia o comentário)</t>
  </si>
  <si>
    <t>Prejuízos causados (ou outro nome)</t>
  </si>
  <si>
    <t>encontrando erro ou falhas, por favor, me avise  para que eu possa fazer os ajustes e atualizar a planilha zehroberto@doutorcurriculo.com.br</t>
  </si>
  <si>
    <t>Notas  DO ZÉH ROBERTO - DOUTOR CURRÍCULO</t>
  </si>
  <si>
    <t>uma vez que o trabalho intermitente se assemelha ao famoso "bico" ou Free-lancer" esta planilha calcula valores para, no máximo 30 dias. 
Acima desse tempo, entendo como trabalho por tempo parcial, autônomo ou empregado normal.    Desta forma não aconselho o uso desta planilha para períodos superiores a 30 dias</t>
  </si>
  <si>
    <t>PREENCHER APENAS OS CAMPOS LARANJA
PLANILHA ELABORADA POR ZÉH ROBERTO - DOUTOR CURRÍCULO</t>
  </si>
  <si>
    <t>SALARIO FAMÍLIA (leia comentário)</t>
  </si>
  <si>
    <t>premio/ bônus / gratificação</t>
  </si>
  <si>
    <t>outros eventos tributáveis INSS e IRRF</t>
  </si>
  <si>
    <t>PARA APURAÇÃO DO IRRF NO MÊS PELO REGIME CAIXA</t>
  </si>
  <si>
    <t>Salários pagos no mês</t>
  </si>
  <si>
    <t>INSS desc. Salario no mês</t>
  </si>
  <si>
    <t>Salario Família</t>
  </si>
  <si>
    <t>SIM</t>
  </si>
  <si>
    <t>para baixar um modelo de contrato de trabalho intermitente acesse</t>
  </si>
  <si>
    <t xml:space="preserve">http://www.doutorcurriculo.com.br/modelo-de-contrato-intermitente/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</si>
</sst>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R$&quot;\ * #,##0.00_-;\-&quot;R$&quot;\ * #,##0.00_-;_-&quot;R$&quot;\ * &quot;-&quot;??_-;_-@_-"/>
    <numFmt numFmtId="43" formatCode="_-* #,##0.00_-;\-* #,##0.00_-;_-* &quot;-&quot;??_-;_-@_-"/>
    <numFmt numFmtId="164" formatCode="mmmm\-yy"/>
    <numFmt numFmtId="165" formatCode="0.0%"/>
  </numFmts>
  <fonts count="37"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6"/>
      <color theme="1"/>
      <name val="Arial"/>
      <family val="2"/>
    </font>
    <font>
      <b/>
      <sz val="16"/>
      <color theme="1"/>
      <name val="Arial"/>
      <family val="2"/>
    </font>
    <font>
      <b/>
      <sz val="16"/>
      <color theme="0"/>
      <name val="Arial"/>
      <family val="2"/>
    </font>
    <font>
      <u/>
      <sz val="11"/>
      <color rgb="FFFF0000"/>
      <name val="Calibri"/>
      <family val="2"/>
      <scheme val="minor"/>
    </font>
    <font>
      <sz val="11"/>
      <color theme="1"/>
      <name val="Arial"/>
      <family val="2"/>
    </font>
    <font>
      <sz val="20"/>
      <color theme="1"/>
      <name val="Arial"/>
      <family val="2"/>
    </font>
    <font>
      <b/>
      <sz val="20"/>
      <color theme="0"/>
      <name val="Arial"/>
      <family val="2"/>
    </font>
    <font>
      <sz val="20"/>
      <color theme="0"/>
      <name val="Arial"/>
      <family val="2"/>
    </font>
    <font>
      <b/>
      <sz val="9"/>
      <color indexed="81"/>
      <name val="Tahoma"/>
      <family val="2"/>
    </font>
    <font>
      <sz val="9"/>
      <color indexed="81"/>
      <name val="Tahoma"/>
      <family val="2"/>
    </font>
    <font>
      <sz val="10"/>
      <name val="Arial"/>
      <family val="2"/>
    </font>
    <font>
      <b/>
      <sz val="10"/>
      <name val="Arial"/>
      <family val="2"/>
    </font>
    <font>
      <sz val="7"/>
      <name val="Arial"/>
      <family val="2"/>
    </font>
    <font>
      <sz val="6"/>
      <name val="Arial"/>
      <family val="2"/>
    </font>
    <font>
      <b/>
      <sz val="11.5"/>
      <name val="Arial"/>
      <family val="2"/>
    </font>
    <font>
      <sz val="9"/>
      <name val="Arial"/>
      <family val="2"/>
    </font>
    <font>
      <b/>
      <sz val="8"/>
      <name val="Arial"/>
      <family val="2"/>
    </font>
    <font>
      <sz val="8"/>
      <name val="Arial"/>
      <family val="2"/>
    </font>
    <font>
      <sz val="12"/>
      <name val="Arial"/>
      <family val="2"/>
    </font>
    <font>
      <b/>
      <sz val="6"/>
      <name val="Arial"/>
      <family val="2"/>
    </font>
    <font>
      <b/>
      <sz val="9"/>
      <name val="Arial"/>
      <family val="2"/>
    </font>
    <font>
      <sz val="9"/>
      <color indexed="81"/>
      <name val="Segoe UI"/>
      <family val="2"/>
    </font>
    <font>
      <b/>
      <sz val="9"/>
      <color indexed="81"/>
      <name val="Segoe UI"/>
      <family val="2"/>
    </font>
    <font>
      <b/>
      <sz val="18"/>
      <color rgb="FFFF0000"/>
      <name val="Calibri"/>
      <family val="2"/>
      <scheme val="minor"/>
    </font>
    <font>
      <sz val="12"/>
      <color theme="1"/>
      <name val="Calibri"/>
      <family val="2"/>
      <scheme val="minor"/>
    </font>
    <font>
      <b/>
      <sz val="10"/>
      <color indexed="81"/>
      <name val="Segoe UI"/>
      <family val="2"/>
    </font>
    <font>
      <sz val="10"/>
      <color indexed="81"/>
      <name val="Segoe UI"/>
      <family val="2"/>
    </font>
    <font>
      <b/>
      <sz val="12"/>
      <color theme="1"/>
      <name val="Calibri"/>
      <family val="2"/>
      <scheme val="minor"/>
    </font>
    <font>
      <sz val="18"/>
      <color theme="1"/>
      <name val="Calibri"/>
      <family val="2"/>
      <scheme val="minor"/>
    </font>
    <font>
      <b/>
      <sz val="14"/>
      <color rgb="FFFF0000"/>
      <name val="Calibri"/>
      <family val="2"/>
      <scheme val="minor"/>
    </font>
  </fonts>
  <fills count="17">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rgb="FFF7CAAC"/>
        <bgColor indexed="64"/>
      </patternFill>
    </fill>
    <fill>
      <patternFill patternType="solid">
        <fgColor theme="9" tint="0.59999389629810485"/>
        <bgColor indexed="64"/>
      </patternFill>
    </fill>
    <fill>
      <patternFill patternType="solid">
        <fgColor theme="2" tint="-9.9978637043366805E-2"/>
        <bgColor indexed="64"/>
      </patternFill>
    </fill>
  </fills>
  <borders count="5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dott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404">
    <xf numFmtId="0" fontId="0" fillId="0" borderId="0" xfId="0"/>
    <xf numFmtId="0" fontId="11" fillId="7" borderId="12" xfId="0" applyFont="1" applyFill="1" applyBorder="1" applyAlignment="1" applyProtection="1">
      <protection hidden="1"/>
    </xf>
    <xf numFmtId="0" fontId="0" fillId="0" borderId="0" xfId="0" applyProtection="1">
      <protection hidden="1"/>
    </xf>
    <xf numFmtId="0" fontId="0" fillId="0" borderId="10" xfId="0" applyBorder="1" applyProtection="1">
      <protection hidden="1"/>
    </xf>
    <xf numFmtId="0" fontId="0" fillId="0" borderId="4" xfId="0" applyBorder="1" applyProtection="1">
      <protection hidden="1"/>
    </xf>
    <xf numFmtId="44" fontId="0" fillId="0" borderId="0" xfId="0" applyNumberFormat="1" applyProtection="1">
      <protection hidden="1"/>
    </xf>
    <xf numFmtId="0" fontId="0" fillId="8" borderId="13" xfId="0" applyFill="1" applyBorder="1" applyProtection="1">
      <protection hidden="1"/>
    </xf>
    <xf numFmtId="0" fontId="0" fillId="8" borderId="0" xfId="0" applyFill="1" applyBorder="1" applyProtection="1">
      <protection hidden="1"/>
    </xf>
    <xf numFmtId="0" fontId="0" fillId="8" borderId="0" xfId="0" applyFill="1" applyProtection="1">
      <protection hidden="1"/>
    </xf>
    <xf numFmtId="0" fontId="17" fillId="8" borderId="0" xfId="0" applyFont="1" applyFill="1" applyProtection="1">
      <protection hidden="1"/>
    </xf>
    <xf numFmtId="0" fontId="17" fillId="8" borderId="14" xfId="0" applyFont="1" applyFill="1" applyBorder="1" applyProtection="1">
      <protection hidden="1"/>
    </xf>
    <xf numFmtId="0" fontId="17" fillId="8" borderId="15" xfId="0" applyFont="1" applyFill="1" applyBorder="1" applyProtection="1">
      <protection hidden="1"/>
    </xf>
    <xf numFmtId="0" fontId="18" fillId="8" borderId="15" xfId="0" applyFont="1" applyFill="1" applyBorder="1" applyProtection="1">
      <protection hidden="1"/>
    </xf>
    <xf numFmtId="0" fontId="17" fillId="8" borderId="16" xfId="0" applyFont="1" applyFill="1" applyBorder="1" applyProtection="1">
      <protection hidden="1"/>
    </xf>
    <xf numFmtId="0" fontId="20" fillId="8" borderId="17" xfId="0" applyFont="1" applyFill="1" applyBorder="1" applyAlignment="1" applyProtection="1">
      <alignment vertical="top"/>
      <protection hidden="1"/>
    </xf>
    <xf numFmtId="0" fontId="17" fillId="8" borderId="0" xfId="0" applyFont="1" applyFill="1" applyBorder="1" applyProtection="1">
      <protection hidden="1"/>
    </xf>
    <xf numFmtId="0" fontId="6" fillId="8" borderId="0" xfId="4" applyFill="1" applyAlignment="1" applyProtection="1">
      <alignment horizontal="left"/>
      <protection hidden="1"/>
    </xf>
    <xf numFmtId="0" fontId="21" fillId="8" borderId="0" xfId="0" applyFont="1" applyFill="1" applyBorder="1" applyAlignment="1" applyProtection="1">
      <alignment vertical="center"/>
      <protection hidden="1"/>
    </xf>
    <xf numFmtId="0" fontId="17" fillId="8" borderId="18" xfId="0" applyFont="1" applyFill="1" applyBorder="1" applyProtection="1">
      <protection hidden="1"/>
    </xf>
    <xf numFmtId="0" fontId="20" fillId="8" borderId="17" xfId="0" applyFont="1" applyFill="1" applyBorder="1" applyAlignment="1" applyProtection="1">
      <alignment horizontal="right"/>
      <protection hidden="1"/>
    </xf>
    <xf numFmtId="0" fontId="20" fillId="8" borderId="0" xfId="0" applyFont="1" applyFill="1" applyBorder="1" applyAlignment="1" applyProtection="1">
      <alignment horizontal="right"/>
      <protection hidden="1"/>
    </xf>
    <xf numFmtId="0" fontId="20" fillId="8" borderId="18" xfId="0" applyFont="1" applyFill="1" applyBorder="1" applyAlignment="1" applyProtection="1">
      <alignment horizontal="right"/>
      <protection hidden="1"/>
    </xf>
    <xf numFmtId="0" fontId="0" fillId="8" borderId="18" xfId="0" applyFill="1" applyBorder="1" applyProtection="1">
      <protection hidden="1"/>
    </xf>
    <xf numFmtId="0" fontId="0" fillId="8" borderId="19" xfId="0" applyFill="1" applyBorder="1" applyProtection="1">
      <protection hidden="1"/>
    </xf>
    <xf numFmtId="0" fontId="0" fillId="8" borderId="20" xfId="0" applyFill="1" applyBorder="1" applyProtection="1">
      <protection hidden="1"/>
    </xf>
    <xf numFmtId="0" fontId="0" fillId="8" borderId="21" xfId="0" applyFill="1" applyBorder="1" applyProtection="1">
      <protection hidden="1"/>
    </xf>
    <xf numFmtId="0" fontId="20" fillId="8" borderId="14" xfId="0" applyFont="1" applyFill="1" applyBorder="1" applyAlignment="1" applyProtection="1">
      <alignment vertical="center"/>
      <protection hidden="1"/>
    </xf>
    <xf numFmtId="0" fontId="20" fillId="8" borderId="15" xfId="0" applyFont="1" applyFill="1" applyBorder="1" applyAlignment="1" applyProtection="1">
      <alignment vertical="center"/>
      <protection hidden="1"/>
    </xf>
    <xf numFmtId="0" fontId="0" fillId="8" borderId="15" xfId="0" applyFill="1" applyBorder="1" applyAlignment="1" applyProtection="1">
      <alignment vertical="center"/>
      <protection hidden="1"/>
    </xf>
    <xf numFmtId="0" fontId="0" fillId="8" borderId="16" xfId="0" applyFill="1" applyBorder="1" applyProtection="1">
      <protection hidden="1"/>
    </xf>
    <xf numFmtId="0" fontId="22" fillId="8" borderId="0" xfId="0" applyFont="1" applyFill="1" applyAlignment="1" applyProtection="1">
      <alignment vertical="center"/>
      <protection hidden="1"/>
    </xf>
    <xf numFmtId="0" fontId="22" fillId="8" borderId="17" xfId="0" applyNumberFormat="1" applyFont="1" applyFill="1" applyBorder="1" applyAlignment="1" applyProtection="1">
      <alignment horizontal="center"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vertical="center"/>
      <protection hidden="1"/>
    </xf>
    <xf numFmtId="0" fontId="22" fillId="8" borderId="0" xfId="0" applyFont="1" applyFill="1" applyProtection="1">
      <protection hidden="1"/>
    </xf>
    <xf numFmtId="0" fontId="24" fillId="8" borderId="8" xfId="0" applyFont="1" applyFill="1" applyBorder="1" applyAlignment="1" applyProtection="1">
      <alignment horizontal="center"/>
      <protection hidden="1"/>
    </xf>
    <xf numFmtId="0" fontId="22" fillId="8" borderId="18" xfId="0" applyFont="1" applyFill="1" applyBorder="1" applyProtection="1">
      <protection hidden="1"/>
    </xf>
    <xf numFmtId="0" fontId="24" fillId="8" borderId="17" xfId="0" applyFont="1" applyFill="1" applyBorder="1" applyAlignment="1" applyProtection="1">
      <alignment horizontal="center"/>
      <protection hidden="1"/>
    </xf>
    <xf numFmtId="0" fontId="24" fillId="8" borderId="18" xfId="0" applyFont="1" applyFill="1" applyBorder="1" applyAlignment="1" applyProtection="1">
      <alignment horizontal="center"/>
      <protection hidden="1"/>
    </xf>
    <xf numFmtId="0" fontId="24" fillId="8" borderId="9" xfId="0" applyFont="1" applyFill="1" applyBorder="1" applyAlignment="1" applyProtection="1">
      <alignment horizontal="center"/>
      <protection hidden="1"/>
    </xf>
    <xf numFmtId="0" fontId="22" fillId="8" borderId="9" xfId="0" applyFont="1" applyFill="1" applyBorder="1" applyAlignment="1" applyProtection="1">
      <alignment horizontal="right" vertical="center"/>
      <protection hidden="1"/>
    </xf>
    <xf numFmtId="2" fontId="22" fillId="8" borderId="9" xfId="0" applyNumberFormat="1" applyFont="1" applyFill="1" applyBorder="1" applyAlignment="1" applyProtection="1">
      <alignment horizontal="right" vertical="center"/>
      <protection hidden="1"/>
    </xf>
    <xf numFmtId="0" fontId="22" fillId="8" borderId="9" xfId="0" applyFont="1" applyFill="1" applyBorder="1" applyAlignment="1" applyProtection="1">
      <alignment horizontal="right"/>
      <protection hidden="1"/>
    </xf>
    <xf numFmtId="2" fontId="22" fillId="8" borderId="9" xfId="0" applyNumberFormat="1" applyFont="1" applyFill="1" applyBorder="1" applyAlignment="1" applyProtection="1">
      <alignment horizontal="right"/>
      <protection hidden="1"/>
    </xf>
    <xf numFmtId="0" fontId="22" fillId="8" borderId="0" xfId="0" applyFont="1" applyFill="1" applyBorder="1" applyProtection="1">
      <protection hidden="1"/>
    </xf>
    <xf numFmtId="0" fontId="25" fillId="8" borderId="18" xfId="0" applyFont="1" applyFill="1" applyBorder="1" applyAlignment="1" applyProtection="1">
      <alignment textRotation="90"/>
      <protection hidden="1"/>
    </xf>
    <xf numFmtId="0" fontId="20" fillId="8" borderId="0" xfId="0" applyFont="1" applyFill="1" applyProtection="1">
      <protection hidden="1"/>
    </xf>
    <xf numFmtId="0" fontId="20" fillId="8" borderId="18" xfId="0" applyFont="1" applyFill="1" applyBorder="1" applyProtection="1">
      <protection hidden="1"/>
    </xf>
    <xf numFmtId="0" fontId="22" fillId="8" borderId="21" xfId="0" applyFont="1" applyFill="1" applyBorder="1" applyProtection="1">
      <protection hidden="1"/>
    </xf>
    <xf numFmtId="0" fontId="20" fillId="8" borderId="15" xfId="0" applyFont="1" applyFill="1" applyBorder="1" applyAlignment="1" applyProtection="1">
      <alignment horizontal="right"/>
      <protection hidden="1"/>
    </xf>
    <xf numFmtId="0" fontId="20" fillId="8" borderId="16" xfId="0" applyFont="1" applyFill="1" applyBorder="1" applyAlignment="1" applyProtection="1">
      <alignment horizontal="right"/>
      <protection hidden="1"/>
    </xf>
    <xf numFmtId="0" fontId="20" fillId="8" borderId="0" xfId="0" applyFont="1" applyFill="1" applyBorder="1" applyAlignment="1" applyProtection="1">
      <alignment horizontal="left"/>
      <protection hidden="1"/>
    </xf>
    <xf numFmtId="0" fontId="0" fillId="8" borderId="26" xfId="0" applyFill="1" applyBorder="1" applyProtection="1">
      <protection hidden="1"/>
    </xf>
    <xf numFmtId="43" fontId="22" fillId="8" borderId="9" xfId="1" applyFont="1" applyFill="1" applyBorder="1" applyAlignment="1" applyProtection="1">
      <alignment horizontal="right" vertical="center"/>
      <protection hidden="1"/>
    </xf>
    <xf numFmtId="43" fontId="22" fillId="8" borderId="0" xfId="1" applyFont="1" applyFill="1" applyProtection="1">
      <protection hidden="1"/>
    </xf>
    <xf numFmtId="43" fontId="22" fillId="8" borderId="23" xfId="1" applyFont="1" applyFill="1" applyBorder="1" applyAlignment="1" applyProtection="1">
      <alignment horizontal="right" vertical="center"/>
      <protection hidden="1"/>
    </xf>
    <xf numFmtId="43" fontId="22" fillId="8" borderId="23" xfId="1" applyFont="1" applyFill="1" applyBorder="1" applyAlignment="1" applyProtection="1">
      <alignment horizontal="right"/>
      <protection hidden="1"/>
    </xf>
    <xf numFmtId="43" fontId="22" fillId="8" borderId="24" xfId="1" applyFont="1" applyFill="1" applyBorder="1" applyAlignment="1" applyProtection="1">
      <alignment horizontal="right" vertical="center"/>
      <protection hidden="1"/>
    </xf>
    <xf numFmtId="43" fontId="22" fillId="8" borderId="21" xfId="1" applyFont="1" applyFill="1" applyBorder="1" applyProtection="1">
      <protection hidden="1"/>
    </xf>
    <xf numFmtId="0" fontId="5" fillId="0" borderId="0" xfId="0" applyFont="1" applyProtection="1">
      <protection hidden="1"/>
    </xf>
    <xf numFmtId="0" fontId="5" fillId="3" borderId="7"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5" fillId="0" borderId="0" xfId="0" applyFont="1" applyBorder="1" applyProtection="1">
      <protection hidden="1"/>
    </xf>
    <xf numFmtId="0" fontId="5" fillId="3" borderId="8" xfId="0" applyFont="1" applyFill="1" applyBorder="1" applyProtection="1">
      <protection hidden="1"/>
    </xf>
    <xf numFmtId="44" fontId="7" fillId="3" borderId="8" xfId="2" applyFont="1" applyFill="1" applyBorder="1" applyProtection="1">
      <protection hidden="1"/>
    </xf>
    <xf numFmtId="0" fontId="8" fillId="4" borderId="1" xfId="0" applyFont="1" applyFill="1" applyBorder="1" applyAlignment="1" applyProtection="1">
      <alignment horizontal="center" vertical="center" wrapText="1"/>
      <protection hidden="1"/>
    </xf>
    <xf numFmtId="0" fontId="7" fillId="4" borderId="2" xfId="0" applyFont="1" applyFill="1" applyBorder="1" applyProtection="1">
      <protection hidden="1"/>
    </xf>
    <xf numFmtId="0" fontId="8" fillId="4" borderId="2" xfId="0" applyFont="1" applyFill="1" applyBorder="1" applyAlignment="1" applyProtection="1">
      <alignment vertical="center" wrapText="1"/>
      <protection hidden="1"/>
    </xf>
    <xf numFmtId="0" fontId="8" fillId="4" borderId="3" xfId="0" applyFont="1" applyFill="1" applyBorder="1" applyAlignment="1" applyProtection="1">
      <alignment vertical="center" wrapText="1"/>
      <protection hidden="1"/>
    </xf>
    <xf numFmtId="0" fontId="7" fillId="5" borderId="10" xfId="0" applyFont="1" applyFill="1" applyBorder="1" applyAlignment="1" applyProtection="1">
      <alignment horizontal="center"/>
      <protection hidden="1"/>
    </xf>
    <xf numFmtId="0" fontId="7" fillId="5" borderId="8" xfId="0" applyFont="1" applyFill="1" applyBorder="1" applyAlignment="1" applyProtection="1">
      <alignment horizontal="center"/>
      <protection hidden="1"/>
    </xf>
    <xf numFmtId="0" fontId="7" fillId="5" borderId="11" xfId="0" applyFont="1" applyFill="1" applyBorder="1" applyAlignment="1" applyProtection="1">
      <alignment horizontal="center"/>
      <protection hidden="1"/>
    </xf>
    <xf numFmtId="44" fontId="7" fillId="5" borderId="10" xfId="2" applyFont="1" applyFill="1" applyBorder="1" applyProtection="1">
      <protection hidden="1"/>
    </xf>
    <xf numFmtId="44" fontId="9" fillId="5" borderId="8" xfId="2" applyFont="1" applyFill="1" applyBorder="1" applyAlignment="1" applyProtection="1">
      <alignment vertical="center" wrapText="1"/>
      <protection hidden="1"/>
    </xf>
    <xf numFmtId="10" fontId="7" fillId="5" borderId="8" xfId="3" applyNumberFormat="1" applyFont="1" applyFill="1" applyBorder="1" applyAlignment="1" applyProtection="1">
      <alignment vertical="center" wrapText="1"/>
      <protection hidden="1"/>
    </xf>
    <xf numFmtId="0" fontId="7" fillId="5" borderId="11" xfId="0" applyFont="1" applyFill="1" applyBorder="1" applyAlignment="1" applyProtection="1">
      <alignment vertical="center" wrapText="1"/>
      <protection hidden="1"/>
    </xf>
    <xf numFmtId="44" fontId="9" fillId="5" borderId="10" xfId="2" applyFont="1" applyFill="1" applyBorder="1" applyAlignment="1" applyProtection="1">
      <alignment vertical="center" wrapText="1"/>
      <protection hidden="1"/>
    </xf>
    <xf numFmtId="44" fontId="9" fillId="5" borderId="8" xfId="2" applyFont="1" applyFill="1" applyBorder="1" applyProtection="1">
      <protection hidden="1"/>
    </xf>
    <xf numFmtId="44" fontId="9" fillId="5" borderId="11" xfId="2" applyFont="1" applyFill="1" applyBorder="1" applyAlignment="1" applyProtection="1">
      <alignment vertical="center" wrapText="1"/>
      <protection hidden="1"/>
    </xf>
    <xf numFmtId="44" fontId="7" fillId="5" borderId="5" xfId="2" applyFont="1" applyFill="1" applyBorder="1" applyProtection="1">
      <protection hidden="1"/>
    </xf>
    <xf numFmtId="10" fontId="7" fillId="5" borderId="5" xfId="3" applyNumberFormat="1" applyFont="1" applyFill="1" applyBorder="1" applyAlignment="1" applyProtection="1">
      <alignment vertical="center" wrapText="1"/>
      <protection hidden="1"/>
    </xf>
    <xf numFmtId="44" fontId="9" fillId="5" borderId="6" xfId="2" applyFont="1" applyFill="1" applyBorder="1" applyAlignment="1" applyProtection="1">
      <alignment vertical="center" wrapText="1"/>
      <protection hidden="1"/>
    </xf>
    <xf numFmtId="0" fontId="7" fillId="0" borderId="0" xfId="0" applyFont="1" applyProtection="1">
      <protection hidden="1"/>
    </xf>
    <xf numFmtId="0" fontId="11" fillId="0" borderId="0" xfId="0" applyFont="1" applyProtection="1">
      <protection hidden="1"/>
    </xf>
    <xf numFmtId="0" fontId="13" fillId="5" borderId="10" xfId="0" applyFont="1" applyFill="1" applyBorder="1" applyAlignment="1" applyProtection="1">
      <alignment horizontal="center" vertical="center" wrapText="1"/>
      <protection hidden="1"/>
    </xf>
    <xf numFmtId="0" fontId="13" fillId="5" borderId="8" xfId="0" applyFont="1" applyFill="1" applyBorder="1" applyAlignment="1" applyProtection="1">
      <alignment horizontal="center" vertical="center" wrapText="1"/>
      <protection hidden="1"/>
    </xf>
    <xf numFmtId="0" fontId="13" fillId="5" borderId="11" xfId="0" applyFont="1" applyFill="1" applyBorder="1" applyAlignment="1" applyProtection="1">
      <alignment horizontal="center" vertical="center" wrapText="1"/>
      <protection hidden="1"/>
    </xf>
    <xf numFmtId="0" fontId="14" fillId="5" borderId="10" xfId="0" applyFont="1" applyFill="1" applyBorder="1" applyProtection="1">
      <protection hidden="1"/>
    </xf>
    <xf numFmtId="0" fontId="14" fillId="5" borderId="8" xfId="0" applyFont="1" applyFill="1" applyBorder="1" applyProtection="1">
      <protection hidden="1"/>
    </xf>
    <xf numFmtId="0" fontId="14" fillId="5" borderId="11" xfId="0" applyFont="1" applyFill="1" applyBorder="1" applyProtection="1">
      <protection hidden="1"/>
    </xf>
    <xf numFmtId="44" fontId="13" fillId="5" borderId="10" xfId="2" applyFont="1" applyFill="1" applyBorder="1" applyProtection="1">
      <protection hidden="1"/>
    </xf>
    <xf numFmtId="44" fontId="13" fillId="5" borderId="8" xfId="2" applyFont="1" applyFill="1" applyBorder="1" applyAlignment="1" applyProtection="1">
      <alignment vertical="center" wrapText="1"/>
      <protection hidden="1"/>
    </xf>
    <xf numFmtId="9" fontId="14" fillId="5" borderId="11" xfId="0" applyNumberFormat="1" applyFont="1" applyFill="1" applyBorder="1" applyAlignment="1" applyProtection="1">
      <alignment horizontal="center" vertical="center" wrapText="1"/>
      <protection hidden="1"/>
    </xf>
    <xf numFmtId="44" fontId="13" fillId="5" borderId="10" xfId="2" applyFont="1" applyFill="1" applyBorder="1" applyAlignment="1" applyProtection="1">
      <alignment vertical="center" wrapText="1"/>
      <protection hidden="1"/>
    </xf>
    <xf numFmtId="44" fontId="13" fillId="5" borderId="8" xfId="2" applyFont="1" applyFill="1" applyBorder="1" applyProtection="1">
      <protection hidden="1"/>
    </xf>
    <xf numFmtId="44" fontId="13" fillId="5" borderId="5" xfId="2" applyFont="1" applyFill="1" applyBorder="1" applyProtection="1">
      <protection hidden="1"/>
    </xf>
    <xf numFmtId="9" fontId="14" fillId="5" borderId="6" xfId="0" applyNumberFormat="1" applyFont="1" applyFill="1" applyBorder="1" applyAlignment="1" applyProtection="1">
      <alignment horizontal="center" vertical="center" wrapText="1"/>
      <protection hidden="1"/>
    </xf>
    <xf numFmtId="0" fontId="0" fillId="0" borderId="8" xfId="0" applyBorder="1" applyAlignment="1" applyProtection="1">
      <alignment horizontal="center"/>
      <protection hidden="1"/>
    </xf>
    <xf numFmtId="0" fontId="0" fillId="0" borderId="1" xfId="0" applyBorder="1" applyAlignment="1" applyProtection="1">
      <alignment horizontal="center"/>
      <protection hidden="1"/>
    </xf>
    <xf numFmtId="0" fontId="0" fillId="0" borderId="10" xfId="0" applyBorder="1" applyAlignment="1" applyProtection="1">
      <alignment horizontal="center"/>
      <protection hidden="1"/>
    </xf>
    <xf numFmtId="0" fontId="0" fillId="0" borderId="4" xfId="0" applyBorder="1" applyAlignment="1" applyProtection="1">
      <alignment horizontal="center"/>
      <protection hidden="1"/>
    </xf>
    <xf numFmtId="0" fontId="0" fillId="0" borderId="0" xfId="0" applyBorder="1" applyProtection="1">
      <protection hidden="1"/>
    </xf>
    <xf numFmtId="49" fontId="0" fillId="0" borderId="8" xfId="0" applyNumberFormat="1" applyBorder="1" applyAlignment="1" applyProtection="1">
      <alignment horizontal="center"/>
      <protection hidden="1"/>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44" fontId="0" fillId="0" borderId="11" xfId="2" applyFont="1" applyBorder="1" applyProtection="1">
      <protection hidden="1"/>
    </xf>
    <xf numFmtId="44" fontId="0" fillId="0" borderId="11" xfId="2" applyFont="1" applyBorder="1" applyProtection="1">
      <protection locked="0"/>
    </xf>
    <xf numFmtId="0" fontId="0" fillId="0" borderId="41" xfId="0" applyBorder="1" applyProtection="1">
      <protection hidden="1"/>
    </xf>
    <xf numFmtId="0" fontId="0" fillId="9" borderId="3" xfId="0" applyFill="1" applyBorder="1" applyProtection="1">
      <protection locked="0"/>
    </xf>
    <xf numFmtId="0" fontId="0" fillId="9" borderId="6" xfId="0" applyFill="1" applyBorder="1" applyProtection="1">
      <protection locked="0"/>
    </xf>
    <xf numFmtId="0" fontId="0" fillId="9" borderId="10" xfId="0" applyFill="1" applyBorder="1" applyProtection="1">
      <protection locked="0"/>
    </xf>
    <xf numFmtId="44" fontId="0" fillId="9" borderId="11" xfId="2" applyFont="1" applyFill="1" applyBorder="1" applyProtection="1">
      <protection locked="0"/>
    </xf>
    <xf numFmtId="9" fontId="0" fillId="0" borderId="8" xfId="3" applyFont="1" applyBorder="1" applyAlignment="1" applyProtection="1">
      <alignment horizontal="center"/>
      <protection hidden="1"/>
    </xf>
    <xf numFmtId="0" fontId="0" fillId="11" borderId="25" xfId="0" applyFill="1" applyBorder="1" applyAlignment="1" applyProtection="1">
      <alignment horizontal="center"/>
      <protection hidden="1"/>
    </xf>
    <xf numFmtId="44" fontId="0" fillId="11" borderId="43" xfId="2" applyFont="1" applyFill="1" applyBorder="1" applyProtection="1">
      <protection hidden="1"/>
    </xf>
    <xf numFmtId="0" fontId="4" fillId="11" borderId="9" xfId="0" applyFont="1" applyFill="1" applyBorder="1" applyProtection="1">
      <protection hidden="1"/>
    </xf>
    <xf numFmtId="44" fontId="0" fillId="9" borderId="3" xfId="2" applyFont="1" applyFill="1" applyBorder="1" applyProtection="1">
      <protection locked="0"/>
    </xf>
    <xf numFmtId="0" fontId="0" fillId="0" borderId="28" xfId="0" applyBorder="1" applyAlignment="1" applyProtection="1">
      <alignment horizontal="center"/>
      <protection hidden="1"/>
    </xf>
    <xf numFmtId="0" fontId="0" fillId="0" borderId="45" xfId="0" applyBorder="1" applyAlignment="1" applyProtection="1">
      <alignment horizontal="center"/>
      <protection hidden="1"/>
    </xf>
    <xf numFmtId="0" fontId="0" fillId="0" borderId="0" xfId="0" applyBorder="1" applyAlignment="1" applyProtection="1">
      <alignment horizontal="center"/>
      <protection hidden="1"/>
    </xf>
    <xf numFmtId="0" fontId="0" fillId="9" borderId="0" xfId="0" applyFill="1" applyBorder="1" applyProtection="1">
      <protection locked="0"/>
    </xf>
    <xf numFmtId="0" fontId="0" fillId="0" borderId="27" xfId="0" applyBorder="1" applyProtection="1">
      <protection hidden="1"/>
    </xf>
    <xf numFmtId="0" fontId="0" fillId="0" borderId="31" xfId="0" applyBorder="1" applyAlignment="1" applyProtection="1">
      <protection hidden="1"/>
    </xf>
    <xf numFmtId="0" fontId="0" fillId="0" borderId="28" xfId="0" applyBorder="1" applyProtection="1">
      <protection hidden="1"/>
    </xf>
    <xf numFmtId="0" fontId="0" fillId="9" borderId="12" xfId="0" applyFill="1" applyBorder="1" applyProtection="1">
      <protection locked="0"/>
    </xf>
    <xf numFmtId="0" fontId="0" fillId="9" borderId="29" xfId="0" applyFill="1" applyBorder="1" applyProtection="1">
      <protection locked="0"/>
    </xf>
    <xf numFmtId="0" fontId="0" fillId="0" borderId="31" xfId="0" applyBorder="1" applyProtection="1">
      <protection hidden="1"/>
    </xf>
    <xf numFmtId="0" fontId="0" fillId="9" borderId="31" xfId="0" applyFill="1" applyBorder="1" applyProtection="1">
      <protection locked="0"/>
    </xf>
    <xf numFmtId="0" fontId="2" fillId="13" borderId="39" xfId="0" applyFont="1" applyFill="1" applyBorder="1" applyProtection="1">
      <protection hidden="1"/>
    </xf>
    <xf numFmtId="0" fontId="0" fillId="0" borderId="45" xfId="0" applyBorder="1" applyAlignment="1" applyProtection="1">
      <alignment horizontal="left"/>
      <protection hidden="1"/>
    </xf>
    <xf numFmtId="9" fontId="0" fillId="9" borderId="0" xfId="0" applyNumberFormat="1" applyFill="1" applyBorder="1" applyProtection="1">
      <protection locked="0"/>
    </xf>
    <xf numFmtId="0" fontId="0" fillId="0" borderId="12" xfId="0" applyBorder="1" applyProtection="1">
      <protection hidden="1"/>
    </xf>
    <xf numFmtId="0" fontId="5" fillId="0" borderId="28" xfId="0" applyFont="1" applyBorder="1" applyProtection="1">
      <protection hidden="1"/>
    </xf>
    <xf numFmtId="0" fontId="0" fillId="0" borderId="0" xfId="0" applyBorder="1"/>
    <xf numFmtId="0" fontId="0" fillId="0" borderId="30" xfId="0" applyBorder="1" applyProtection="1">
      <protection hidden="1"/>
    </xf>
    <xf numFmtId="0" fontId="5" fillId="0" borderId="29" xfId="0" applyFont="1" applyBorder="1" applyProtection="1">
      <protection hidden="1"/>
    </xf>
    <xf numFmtId="0" fontId="5" fillId="0" borderId="30" xfId="0" applyFont="1" applyBorder="1" applyProtection="1">
      <protection hidden="1"/>
    </xf>
    <xf numFmtId="0" fontId="0" fillId="0" borderId="30" xfId="0" applyBorder="1" applyAlignment="1" applyProtection="1">
      <alignment horizontal="center"/>
      <protection hidden="1"/>
    </xf>
    <xf numFmtId="165" fontId="22" fillId="8" borderId="9" xfId="3" applyNumberFormat="1" applyFont="1" applyFill="1" applyBorder="1" applyAlignment="1" applyProtection="1">
      <alignment horizontal="right"/>
      <protection hidden="1"/>
    </xf>
    <xf numFmtId="9" fontId="0" fillId="9" borderId="3" xfId="3" applyFont="1" applyFill="1" applyBorder="1" applyProtection="1">
      <protection locked="0"/>
    </xf>
    <xf numFmtId="0" fontId="0" fillId="9" borderId="8" xfId="0" applyFill="1" applyBorder="1" applyAlignment="1" applyProtection="1">
      <alignment horizontal="center"/>
      <protection locked="0"/>
    </xf>
    <xf numFmtId="0" fontId="22" fillId="8" borderId="17"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horizontal="left" vertical="center"/>
      <protection hidden="1"/>
    </xf>
    <xf numFmtId="44" fontId="0" fillId="0" borderId="30" xfId="2" applyFont="1" applyBorder="1" applyProtection="1">
      <protection hidden="1"/>
    </xf>
    <xf numFmtId="0" fontId="0" fillId="0" borderId="29" xfId="0" applyBorder="1" applyProtection="1">
      <protection hidden="1"/>
    </xf>
    <xf numFmtId="0" fontId="22" fillId="8" borderId="25" xfId="0" applyFont="1" applyFill="1" applyBorder="1" applyAlignment="1" applyProtection="1">
      <alignment horizontal="right"/>
      <protection hidden="1"/>
    </xf>
    <xf numFmtId="44" fontId="22" fillId="8" borderId="9" xfId="2" applyFont="1" applyFill="1" applyBorder="1" applyAlignment="1" applyProtection="1">
      <alignment horizontal="right" vertical="center"/>
      <protection hidden="1"/>
    </xf>
    <xf numFmtId="44" fontId="22" fillId="8" borderId="9" xfId="2" applyFont="1" applyFill="1" applyBorder="1" applyAlignment="1" applyProtection="1">
      <alignment vertical="center"/>
      <protection hidden="1"/>
    </xf>
    <xf numFmtId="44" fontId="22" fillId="8" borderId="9" xfId="2" applyFont="1" applyFill="1" applyBorder="1" applyProtection="1">
      <protection hidden="1"/>
    </xf>
    <xf numFmtId="44" fontId="22" fillId="8" borderId="25" xfId="2" applyFont="1" applyFill="1" applyBorder="1" applyAlignment="1" applyProtection="1">
      <alignment vertical="center"/>
      <protection hidden="1"/>
    </xf>
    <xf numFmtId="44" fontId="20" fillId="8" borderId="16" xfId="2" applyFont="1" applyFill="1" applyBorder="1" applyAlignment="1" applyProtection="1">
      <alignment horizontal="center"/>
      <protection hidden="1"/>
    </xf>
    <xf numFmtId="44" fontId="20" fillId="8" borderId="25" xfId="2" applyFont="1" applyFill="1" applyBorder="1" applyAlignment="1" applyProtection="1">
      <alignment horizontal="center"/>
      <protection hidden="1"/>
    </xf>
    <xf numFmtId="44" fontId="20" fillId="8" borderId="0" xfId="2" applyFont="1" applyFill="1" applyBorder="1" applyAlignment="1" applyProtection="1">
      <alignment horizontal="right"/>
      <protection hidden="1"/>
    </xf>
    <xf numFmtId="44" fontId="20" fillId="8" borderId="15" xfId="2" applyFont="1" applyFill="1" applyBorder="1" applyAlignment="1" applyProtection="1">
      <alignment horizontal="right"/>
      <protection hidden="1"/>
    </xf>
    <xf numFmtId="44" fontId="20" fillId="8" borderId="16" xfId="2" applyFont="1" applyFill="1" applyBorder="1" applyAlignment="1" applyProtection="1">
      <alignment horizontal="right"/>
      <protection hidden="1"/>
    </xf>
    <xf numFmtId="44" fontId="22" fillId="8" borderId="20" xfId="2" applyFont="1" applyFill="1" applyBorder="1" applyAlignment="1" applyProtection="1">
      <alignment horizontal="right"/>
      <protection hidden="1"/>
    </xf>
    <xf numFmtId="44" fontId="22" fillId="8" borderId="21" xfId="2" applyFont="1" applyFill="1" applyBorder="1" applyAlignment="1" applyProtection="1">
      <alignment horizontal="right"/>
      <protection hidden="1"/>
    </xf>
    <xf numFmtId="0" fontId="22" fillId="8" borderId="25" xfId="0" applyFont="1" applyFill="1" applyBorder="1" applyAlignment="1" applyProtection="1">
      <alignment horizontal="right" vertical="center"/>
      <protection hidden="1"/>
    </xf>
    <xf numFmtId="0" fontId="22" fillId="8" borderId="7" xfId="0" applyFont="1" applyFill="1" applyBorder="1" applyAlignment="1" applyProtection="1">
      <alignment horizontal="right" vertical="center"/>
      <protection hidden="1"/>
    </xf>
    <xf numFmtId="0" fontId="0" fillId="0" borderId="3" xfId="0" applyBorder="1" applyAlignment="1" applyProtection="1">
      <alignment horizontal="center"/>
      <protection hidden="1"/>
    </xf>
    <xf numFmtId="9" fontId="0" fillId="9" borderId="46" xfId="0" applyNumberFormat="1" applyFill="1" applyBorder="1" applyProtection="1">
      <protection locked="0"/>
    </xf>
    <xf numFmtId="0" fontId="0" fillId="0" borderId="29" xfId="0" applyBorder="1" applyAlignment="1" applyProtection="1">
      <protection hidden="1"/>
    </xf>
    <xf numFmtId="0" fontId="0" fillId="9" borderId="11" xfId="0" applyFill="1" applyBorder="1" applyProtection="1">
      <protection locked="0"/>
    </xf>
    <xf numFmtId="0" fontId="0" fillId="0" borderId="42" xfId="0" applyBorder="1" applyProtection="1">
      <protection hidden="1"/>
    </xf>
    <xf numFmtId="44" fontId="0" fillId="9" borderId="43" xfId="2" applyFont="1" applyFill="1" applyBorder="1" applyProtection="1">
      <protection locked="0"/>
    </xf>
    <xf numFmtId="0" fontId="0" fillId="0" borderId="18" xfId="0" applyBorder="1" applyProtection="1">
      <protection hidden="1"/>
    </xf>
    <xf numFmtId="0" fontId="0" fillId="9" borderId="47" xfId="0" applyFill="1" applyBorder="1" applyProtection="1">
      <protection locked="0"/>
    </xf>
    <xf numFmtId="44" fontId="22" fillId="8" borderId="25" xfId="2" applyFont="1" applyFill="1" applyBorder="1" applyAlignment="1" applyProtection="1">
      <alignment horizontal="right" vertical="center"/>
      <protection hidden="1"/>
    </xf>
    <xf numFmtId="9" fontId="22" fillId="8" borderId="9" xfId="3" applyFont="1" applyFill="1" applyBorder="1" applyAlignment="1" applyProtection="1">
      <alignment horizontal="right" vertical="center"/>
      <protection hidden="1"/>
    </xf>
    <xf numFmtId="9" fontId="22" fillId="8" borderId="25" xfId="3" applyFont="1" applyFill="1" applyBorder="1" applyAlignment="1" applyProtection="1">
      <alignment horizontal="right" vertical="center"/>
      <protection hidden="1"/>
    </xf>
    <xf numFmtId="0" fontId="0" fillId="0" borderId="48" xfId="0" applyBorder="1" applyProtection="1">
      <protection hidden="1"/>
    </xf>
    <xf numFmtId="0" fontId="0" fillId="9" borderId="40" xfId="0" applyFill="1" applyBorder="1" applyProtection="1">
      <protection locked="0"/>
    </xf>
    <xf numFmtId="44" fontId="0" fillId="0" borderId="40" xfId="0" applyNumberFormat="1" applyBorder="1" applyProtection="1">
      <protection locked="0"/>
    </xf>
    <xf numFmtId="0" fontId="0" fillId="0" borderId="49" xfId="0" applyBorder="1" applyProtection="1">
      <protection hidden="1"/>
    </xf>
    <xf numFmtId="0" fontId="0" fillId="9" borderId="50" xfId="0" applyFill="1" applyBorder="1" applyProtection="1">
      <protection locked="0"/>
    </xf>
    <xf numFmtId="9" fontId="0" fillId="9" borderId="50" xfId="0" applyNumberFormat="1" applyFill="1" applyBorder="1" applyProtection="1">
      <protection locked="0"/>
    </xf>
    <xf numFmtId="0" fontId="0" fillId="0" borderId="11" xfId="0" applyBorder="1" applyAlignment="1" applyProtection="1">
      <alignment horizontal="center"/>
      <protection hidden="1"/>
    </xf>
    <xf numFmtId="0" fontId="0" fillId="11" borderId="10" xfId="0" applyFill="1" applyBorder="1" applyProtection="1">
      <protection hidden="1"/>
    </xf>
    <xf numFmtId="0" fontId="0" fillId="11" borderId="4" xfId="0" applyFill="1" applyBorder="1" applyProtection="1">
      <protection hidden="1"/>
    </xf>
    <xf numFmtId="0" fontId="0" fillId="11" borderId="1" xfId="0" applyFill="1" applyBorder="1" applyProtection="1">
      <protection hidden="1"/>
    </xf>
    <xf numFmtId="0" fontId="0" fillId="9" borderId="25" xfId="0" applyFill="1" applyBorder="1" applyAlignment="1" applyProtection="1">
      <alignment horizontal="center"/>
      <protection locked="0"/>
    </xf>
    <xf numFmtId="44" fontId="0" fillId="8" borderId="11" xfId="2" applyFont="1" applyFill="1" applyBorder="1" applyProtection="1">
      <protection hidden="1"/>
    </xf>
    <xf numFmtId="44" fontId="0" fillId="8" borderId="6" xfId="2" applyFont="1" applyFill="1" applyBorder="1" applyProtection="1">
      <protection hidden="1"/>
    </xf>
    <xf numFmtId="44" fontId="0" fillId="9" borderId="8" xfId="2" applyFont="1" applyFill="1" applyBorder="1" applyProtection="1">
      <protection locked="0"/>
    </xf>
    <xf numFmtId="44" fontId="0" fillId="9" borderId="5" xfId="2" applyFont="1" applyFill="1" applyBorder="1" applyProtection="1">
      <protection locked="0"/>
    </xf>
    <xf numFmtId="44" fontId="0" fillId="9" borderId="9" xfId="2" applyFont="1" applyFill="1" applyBorder="1" applyProtection="1">
      <protection locked="0"/>
    </xf>
    <xf numFmtId="44" fontId="0" fillId="9" borderId="2" xfId="2" applyFont="1" applyFill="1" applyBorder="1" applyProtection="1">
      <protection locked="0"/>
    </xf>
    <xf numFmtId="44" fontId="4" fillId="11" borderId="47" xfId="0" applyNumberFormat="1" applyFont="1" applyFill="1" applyBorder="1" applyProtection="1">
      <protection hidden="1"/>
    </xf>
    <xf numFmtId="44" fontId="0" fillId="0" borderId="8" xfId="0" applyNumberFormat="1" applyBorder="1" applyProtection="1">
      <protection hidden="1"/>
    </xf>
    <xf numFmtId="44" fontId="0" fillId="0" borderId="8" xfId="2" applyFont="1" applyBorder="1" applyProtection="1">
      <protection hidden="1"/>
    </xf>
    <xf numFmtId="43" fontId="0" fillId="0" borderId="8" xfId="1" applyFont="1" applyBorder="1" applyProtection="1">
      <protection hidden="1"/>
    </xf>
    <xf numFmtId="44" fontId="0" fillId="0" borderId="2" xfId="0" applyNumberFormat="1" applyBorder="1" applyProtection="1">
      <protection hidden="1"/>
    </xf>
    <xf numFmtId="10" fontId="0" fillId="0" borderId="3" xfId="3" applyNumberFormat="1" applyFont="1" applyBorder="1" applyProtection="1">
      <protection hidden="1"/>
    </xf>
    <xf numFmtId="10" fontId="0" fillId="0" borderId="11" xfId="3" applyNumberFormat="1" applyFont="1" applyBorder="1" applyProtection="1">
      <protection hidden="1"/>
    </xf>
    <xf numFmtId="43" fontId="0" fillId="0" borderId="5" xfId="1" applyFont="1" applyBorder="1" applyProtection="1">
      <protection hidden="1"/>
    </xf>
    <xf numFmtId="10" fontId="0" fillId="0" borderId="6" xfId="3" applyNumberFormat="1" applyFont="1" applyBorder="1" applyProtection="1">
      <protection hidden="1"/>
    </xf>
    <xf numFmtId="10" fontId="0" fillId="0" borderId="8" xfId="0" applyNumberFormat="1" applyBorder="1" applyAlignment="1" applyProtection="1">
      <alignment horizontal="center"/>
      <protection hidden="1"/>
    </xf>
    <xf numFmtId="10" fontId="0" fillId="0" borderId="0" xfId="0" applyNumberFormat="1" applyBorder="1" applyAlignment="1" applyProtection="1">
      <alignment horizontal="center"/>
      <protection hidden="1"/>
    </xf>
    <xf numFmtId="44" fontId="22" fillId="8" borderId="16" xfId="2" applyFont="1" applyFill="1" applyBorder="1" applyAlignment="1" applyProtection="1">
      <alignment horizontal="right" vertical="center"/>
      <protection hidden="1"/>
    </xf>
    <xf numFmtId="44" fontId="22" fillId="8" borderId="18" xfId="2" applyFont="1" applyFill="1" applyBorder="1" applyAlignment="1" applyProtection="1">
      <alignment horizontal="right" vertical="center"/>
      <protection hidden="1"/>
    </xf>
    <xf numFmtId="10" fontId="22" fillId="8" borderId="9" xfId="3" applyNumberFormat="1" applyFont="1" applyFill="1" applyBorder="1" applyAlignment="1" applyProtection="1">
      <alignment horizontal="right" vertical="center"/>
      <protection hidden="1"/>
    </xf>
    <xf numFmtId="0" fontId="5" fillId="0" borderId="53" xfId="0" applyFont="1" applyBorder="1" applyAlignment="1" applyProtection="1">
      <alignment horizontal="center" vertical="center" wrapText="1"/>
      <protection hidden="1"/>
    </xf>
    <xf numFmtId="0" fontId="5" fillId="14" borderId="51" xfId="0" applyFont="1" applyFill="1" applyBorder="1" applyAlignment="1" applyProtection="1">
      <alignment horizontal="center" vertical="center" wrapText="1"/>
      <protection hidden="1"/>
    </xf>
    <xf numFmtId="0" fontId="0" fillId="0" borderId="0" xfId="0" applyAlignment="1" applyProtection="1">
      <alignment wrapText="1"/>
      <protection hidden="1"/>
    </xf>
    <xf numFmtId="0" fontId="0" fillId="0" borderId="52" xfId="0" applyBorder="1" applyAlignment="1" applyProtection="1">
      <alignment horizontal="justify" vertical="center"/>
      <protection hidden="1"/>
    </xf>
    <xf numFmtId="0" fontId="0" fillId="0" borderId="46" xfId="0" applyBorder="1" applyAlignment="1" applyProtection="1">
      <alignment horizontal="justify" vertical="center"/>
      <protection hidden="1"/>
    </xf>
    <xf numFmtId="0" fontId="4" fillId="0" borderId="46" xfId="0" applyFont="1" applyBorder="1" applyAlignment="1" applyProtection="1">
      <alignment horizontal="justify" vertical="center"/>
      <protection hidden="1"/>
    </xf>
    <xf numFmtId="0" fontId="0" fillId="0" borderId="52" xfId="0" applyBorder="1" applyAlignment="1" applyProtection="1">
      <alignment horizontal="justify" vertical="center" wrapText="1"/>
      <protection hidden="1"/>
    </xf>
    <xf numFmtId="0" fontId="0" fillId="0" borderId="46" xfId="0" applyBorder="1" applyAlignment="1" applyProtection="1">
      <alignment horizontal="justify" vertical="center" wrapText="1"/>
      <protection hidden="1"/>
    </xf>
    <xf numFmtId="0" fontId="0" fillId="0" borderId="51" xfId="0" applyBorder="1" applyAlignment="1" applyProtection="1">
      <alignment horizontal="justify" vertical="center" wrapText="1"/>
      <protection hidden="1"/>
    </xf>
    <xf numFmtId="0" fontId="0" fillId="0" borderId="0" xfId="0" applyAlignment="1" applyProtection="1">
      <protection hidden="1"/>
    </xf>
    <xf numFmtId="0" fontId="0" fillId="0" borderId="0" xfId="0" applyFont="1" applyAlignment="1" applyProtection="1">
      <alignment horizontal="center" vertical="center" wrapText="1"/>
      <protection hidden="1"/>
    </xf>
    <xf numFmtId="0" fontId="22" fillId="8" borderId="17"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horizontal="left" vertical="center"/>
      <protection hidden="1"/>
    </xf>
    <xf numFmtId="0" fontId="5" fillId="0" borderId="31" xfId="0" applyFont="1" applyBorder="1" applyAlignment="1" applyProtection="1">
      <alignment horizontal="left"/>
      <protection hidden="1"/>
    </xf>
    <xf numFmtId="0" fontId="5" fillId="0" borderId="12" xfId="0" applyFont="1" applyBorder="1" applyAlignment="1" applyProtection="1">
      <alignment horizontal="left"/>
      <protection hidden="1"/>
    </xf>
    <xf numFmtId="0" fontId="5" fillId="0" borderId="32" xfId="0" applyFont="1" applyBorder="1" applyAlignment="1" applyProtection="1">
      <alignment horizontal="left"/>
      <protection hidden="1"/>
    </xf>
    <xf numFmtId="0" fontId="4" fillId="12" borderId="45" xfId="0" applyFont="1" applyFill="1" applyBorder="1" applyAlignment="1" applyProtection="1">
      <alignment horizontal="center" vertical="center" wrapText="1"/>
      <protection hidden="1"/>
    </xf>
    <xf numFmtId="0" fontId="4" fillId="12" borderId="0" xfId="0" applyFont="1" applyFill="1" applyBorder="1" applyAlignment="1" applyProtection="1">
      <alignment horizontal="center" vertical="center" wrapText="1"/>
      <protection hidden="1"/>
    </xf>
    <xf numFmtId="0" fontId="0" fillId="0" borderId="45" xfId="0" applyBorder="1" applyAlignment="1" applyProtection="1">
      <alignment horizontal="center"/>
      <protection hidden="1"/>
    </xf>
    <xf numFmtId="0" fontId="0" fillId="0" borderId="0" xfId="0" applyBorder="1" applyAlignment="1" applyProtection="1">
      <alignment horizontal="center"/>
      <protection hidden="1"/>
    </xf>
    <xf numFmtId="0" fontId="0" fillId="0" borderId="31" xfId="0" applyBorder="1" applyAlignment="1" applyProtection="1">
      <alignment horizontal="center"/>
      <protection hidden="1"/>
    </xf>
    <xf numFmtId="0" fontId="0" fillId="0" borderId="12" xfId="0" applyBorder="1" applyAlignment="1" applyProtection="1">
      <alignment horizontal="center"/>
      <protection hidden="1"/>
    </xf>
    <xf numFmtId="0" fontId="0" fillId="0" borderId="27" xfId="0" applyBorder="1" applyAlignment="1" applyProtection="1">
      <alignment horizontal="center"/>
      <protection hidden="1"/>
    </xf>
    <xf numFmtId="0" fontId="0" fillId="0" borderId="28" xfId="0" applyBorder="1" applyAlignment="1" applyProtection="1">
      <alignment horizontal="center"/>
      <protection hidden="1"/>
    </xf>
    <xf numFmtId="0" fontId="0" fillId="11" borderId="27" xfId="0" applyFill="1" applyBorder="1" applyAlignment="1" applyProtection="1">
      <alignment horizontal="center" vertical="center" wrapText="1"/>
      <protection hidden="1"/>
    </xf>
    <xf numFmtId="0" fontId="0" fillId="11" borderId="28" xfId="0" applyFill="1" applyBorder="1" applyAlignment="1" applyProtection="1">
      <alignment horizontal="center" vertical="center" wrapText="1"/>
      <protection hidden="1"/>
    </xf>
    <xf numFmtId="0" fontId="0" fillId="11" borderId="29" xfId="0" applyFill="1" applyBorder="1" applyAlignment="1" applyProtection="1">
      <alignment horizontal="center" vertical="center" wrapText="1"/>
      <protection hidden="1"/>
    </xf>
    <xf numFmtId="0" fontId="0" fillId="11" borderId="45" xfId="0" applyFill="1" applyBorder="1" applyAlignment="1" applyProtection="1">
      <alignment horizontal="center" vertical="center" wrapText="1"/>
      <protection hidden="1"/>
    </xf>
    <xf numFmtId="0" fontId="0" fillId="11" borderId="0" xfId="0" applyFill="1" applyBorder="1" applyAlignment="1" applyProtection="1">
      <alignment horizontal="center" vertical="center" wrapText="1"/>
      <protection hidden="1"/>
    </xf>
    <xf numFmtId="0" fontId="4" fillId="12" borderId="28" xfId="0" applyFont="1" applyFill="1" applyBorder="1" applyAlignment="1" applyProtection="1">
      <alignment horizontal="center" vertical="center" wrapText="1"/>
      <protection hidden="1"/>
    </xf>
    <xf numFmtId="0" fontId="31" fillId="10" borderId="27" xfId="0" applyFont="1" applyFill="1" applyBorder="1" applyAlignment="1">
      <alignment horizontal="center" vertical="center" wrapText="1"/>
    </xf>
    <xf numFmtId="0" fontId="31" fillId="10" borderId="28" xfId="0" applyFont="1" applyFill="1" applyBorder="1" applyAlignment="1">
      <alignment horizontal="center" vertical="center" wrapText="1"/>
    </xf>
    <xf numFmtId="0" fontId="31" fillId="10" borderId="29" xfId="0" applyFont="1" applyFill="1" applyBorder="1" applyAlignment="1">
      <alignment horizontal="center" vertical="center" wrapText="1"/>
    </xf>
    <xf numFmtId="0" fontId="31" fillId="10" borderId="45" xfId="0" applyFont="1" applyFill="1" applyBorder="1" applyAlignment="1">
      <alignment horizontal="center" vertical="center" wrapText="1"/>
    </xf>
    <xf numFmtId="0" fontId="31" fillId="10" borderId="0" xfId="0" applyFont="1" applyFill="1" applyBorder="1" applyAlignment="1">
      <alignment horizontal="center" vertical="center" wrapText="1"/>
    </xf>
    <xf numFmtId="0" fontId="31" fillId="10" borderId="30" xfId="0" applyFont="1" applyFill="1" applyBorder="1" applyAlignment="1">
      <alignment horizontal="center" vertical="center" wrapText="1"/>
    </xf>
    <xf numFmtId="0" fontId="34" fillId="0" borderId="1" xfId="0" applyFont="1" applyBorder="1" applyAlignment="1" applyProtection="1">
      <alignment horizontal="center"/>
      <protection hidden="1"/>
    </xf>
    <xf numFmtId="0" fontId="34" fillId="0" borderId="2" xfId="0" applyFont="1" applyBorder="1" applyAlignment="1" applyProtection="1">
      <alignment horizontal="center"/>
      <protection hidden="1"/>
    </xf>
    <xf numFmtId="0" fontId="34" fillId="0" borderId="3" xfId="0" applyFont="1" applyBorder="1" applyAlignment="1" applyProtection="1">
      <alignment horizontal="center"/>
      <protection hidden="1"/>
    </xf>
    <xf numFmtId="0" fontId="6" fillId="6" borderId="31" xfId="4" applyFill="1" applyBorder="1" applyAlignment="1" applyProtection="1">
      <alignment horizontal="center"/>
      <protection hidden="1"/>
    </xf>
    <xf numFmtId="0" fontId="6" fillId="6" borderId="12" xfId="4" applyFill="1" applyBorder="1" applyAlignment="1" applyProtection="1">
      <alignment horizontal="center"/>
      <protection hidden="1"/>
    </xf>
    <xf numFmtId="0" fontId="6" fillId="6" borderId="32" xfId="4" applyFill="1" applyBorder="1" applyAlignment="1" applyProtection="1">
      <alignment horizontal="center"/>
      <protection hidden="1"/>
    </xf>
    <xf numFmtId="0" fontId="5" fillId="11" borderId="27" xfId="0" applyFont="1" applyFill="1" applyBorder="1" applyAlignment="1" applyProtection="1">
      <alignment horizontal="center" wrapText="1"/>
      <protection hidden="1"/>
    </xf>
    <xf numFmtId="0" fontId="5" fillId="11" borderId="28" xfId="0" applyFont="1" applyFill="1" applyBorder="1" applyAlignment="1" applyProtection="1">
      <alignment horizontal="center"/>
      <protection hidden="1"/>
    </xf>
    <xf numFmtId="0" fontId="5" fillId="11" borderId="45" xfId="0" applyFont="1" applyFill="1" applyBorder="1" applyAlignment="1" applyProtection="1">
      <alignment horizontal="center"/>
      <protection hidden="1"/>
    </xf>
    <xf numFmtId="0" fontId="5" fillId="11" borderId="0" xfId="0" applyFont="1" applyFill="1" applyBorder="1" applyAlignment="1" applyProtection="1">
      <alignment horizontal="center"/>
      <protection hidden="1"/>
    </xf>
    <xf numFmtId="0" fontId="0" fillId="11" borderId="44" xfId="0" applyFill="1" applyBorder="1" applyAlignment="1" applyProtection="1">
      <alignment horizontal="center"/>
      <protection hidden="1"/>
    </xf>
    <xf numFmtId="0" fontId="0" fillId="11" borderId="24" xfId="0" applyFill="1" applyBorder="1" applyAlignment="1" applyProtection="1">
      <alignment horizontal="center"/>
      <protection hidden="1"/>
    </xf>
    <xf numFmtId="0" fontId="0" fillId="11" borderId="33" xfId="0" applyFill="1" applyBorder="1" applyAlignment="1" applyProtection="1">
      <alignment horizontal="center"/>
      <protection hidden="1"/>
    </xf>
    <xf numFmtId="0" fontId="0" fillId="11" borderId="34" xfId="0" applyFill="1" applyBorder="1" applyAlignment="1" applyProtection="1">
      <alignment horizontal="center"/>
      <protection hidden="1"/>
    </xf>
    <xf numFmtId="0" fontId="0" fillId="11" borderId="35" xfId="0" applyFill="1" applyBorder="1" applyAlignment="1" applyProtection="1">
      <alignment horizontal="center"/>
      <protection hidden="1"/>
    </xf>
    <xf numFmtId="44" fontId="5" fillId="2" borderId="27" xfId="2" applyFont="1" applyFill="1" applyBorder="1" applyAlignment="1" applyProtection="1">
      <alignment horizontal="center"/>
      <protection hidden="1"/>
    </xf>
    <xf numFmtId="44" fontId="5" fillId="2" borderId="28" xfId="2" applyFont="1" applyFill="1" applyBorder="1" applyAlignment="1" applyProtection="1">
      <alignment horizontal="center"/>
      <protection hidden="1"/>
    </xf>
    <xf numFmtId="44" fontId="5" fillId="2" borderId="29" xfId="2" applyFont="1" applyFill="1" applyBorder="1" applyAlignment="1" applyProtection="1">
      <alignment horizontal="center"/>
      <protection hidden="1"/>
    </xf>
    <xf numFmtId="0" fontId="0" fillId="9" borderId="8" xfId="0" applyFill="1" applyBorder="1" applyAlignment="1" applyProtection="1">
      <alignment horizontal="center"/>
      <protection locked="0"/>
    </xf>
    <xf numFmtId="0" fontId="0" fillId="9" borderId="11" xfId="0" applyFill="1" applyBorder="1" applyAlignment="1" applyProtection="1">
      <alignment horizontal="center"/>
      <protection locked="0"/>
    </xf>
    <xf numFmtId="0" fontId="0" fillId="9" borderId="5" xfId="0" applyFill="1" applyBorder="1" applyAlignment="1" applyProtection="1">
      <alignment horizontal="center"/>
      <protection locked="0"/>
    </xf>
    <xf numFmtId="0" fontId="0" fillId="9" borderId="6" xfId="0" applyFill="1" applyBorder="1" applyAlignment="1" applyProtection="1">
      <alignment horizontal="center"/>
      <protection locked="0"/>
    </xf>
    <xf numFmtId="0" fontId="35" fillId="4" borderId="45" xfId="0" applyFont="1" applyFill="1" applyBorder="1" applyAlignment="1" applyProtection="1">
      <alignment horizontal="center"/>
      <protection hidden="1"/>
    </xf>
    <xf numFmtId="0" fontId="35" fillId="4" borderId="0" xfId="0" applyFont="1" applyFill="1" applyBorder="1" applyAlignment="1" applyProtection="1">
      <alignment horizontal="center"/>
      <protection hidden="1"/>
    </xf>
    <xf numFmtId="0" fontId="35" fillId="4" borderId="30" xfId="0" applyFont="1" applyFill="1" applyBorder="1" applyAlignment="1" applyProtection="1">
      <alignment horizontal="center"/>
      <protection hidden="1"/>
    </xf>
    <xf numFmtId="0" fontId="0" fillId="0" borderId="29" xfId="0" applyBorder="1" applyAlignment="1" applyProtection="1">
      <alignment horizontal="center"/>
      <protection hidden="1"/>
    </xf>
    <xf numFmtId="17" fontId="0" fillId="9" borderId="37" xfId="0" applyNumberFormat="1" applyFill="1" applyBorder="1" applyAlignment="1" applyProtection="1">
      <alignment horizontal="center"/>
      <protection locked="0"/>
    </xf>
    <xf numFmtId="17" fontId="0" fillId="9" borderId="38" xfId="0" applyNumberFormat="1" applyFill="1" applyBorder="1" applyAlignment="1" applyProtection="1">
      <alignment horizontal="center"/>
      <protection locked="0"/>
    </xf>
    <xf numFmtId="17" fontId="0" fillId="9" borderId="36" xfId="0" applyNumberFormat="1" applyFill="1" applyBorder="1" applyAlignment="1" applyProtection="1">
      <alignment horizontal="center"/>
      <protection locked="0"/>
    </xf>
    <xf numFmtId="0" fontId="0" fillId="9" borderId="2" xfId="0" applyFill="1" applyBorder="1" applyAlignment="1" applyProtection="1">
      <alignment horizontal="center"/>
      <protection locked="0"/>
    </xf>
    <xf numFmtId="0" fontId="0" fillId="9" borderId="3" xfId="0" applyFill="1" applyBorder="1" applyAlignment="1" applyProtection="1">
      <alignment horizontal="center"/>
      <protection locked="0"/>
    </xf>
    <xf numFmtId="0" fontId="20" fillId="8" borderId="14" xfId="0" applyFont="1" applyFill="1" applyBorder="1" applyAlignment="1" applyProtection="1">
      <alignment horizontal="left" vertical="top"/>
      <protection hidden="1"/>
    </xf>
    <xf numFmtId="0" fontId="20" fillId="8" borderId="15" xfId="0" applyFont="1" applyFill="1" applyBorder="1" applyAlignment="1" applyProtection="1">
      <alignment horizontal="left" vertical="top"/>
      <protection hidden="1"/>
    </xf>
    <xf numFmtId="0" fontId="20" fillId="8" borderId="16" xfId="0" applyFont="1" applyFill="1" applyBorder="1" applyAlignment="1" applyProtection="1">
      <alignment horizontal="left" vertical="top"/>
      <protection hidden="1"/>
    </xf>
    <xf numFmtId="0" fontId="20" fillId="8" borderId="17" xfId="0" applyFont="1" applyFill="1" applyBorder="1" applyAlignment="1" applyProtection="1">
      <alignment horizontal="left" vertical="top"/>
      <protection hidden="1"/>
    </xf>
    <xf numFmtId="0" fontId="20" fillId="8" borderId="0" xfId="0" applyFont="1" applyFill="1" applyBorder="1" applyAlignment="1" applyProtection="1">
      <alignment horizontal="left" vertical="top"/>
      <protection hidden="1"/>
    </xf>
    <xf numFmtId="0" fontId="20" fillId="8" borderId="18" xfId="0" applyFont="1" applyFill="1" applyBorder="1" applyAlignment="1" applyProtection="1">
      <alignment horizontal="left" vertical="top"/>
      <protection hidden="1"/>
    </xf>
    <xf numFmtId="0" fontId="20" fillId="8" borderId="19" xfId="0" applyFont="1" applyFill="1" applyBorder="1" applyAlignment="1" applyProtection="1">
      <alignment horizontal="left" vertical="top"/>
      <protection hidden="1"/>
    </xf>
    <xf numFmtId="0" fontId="20" fillId="8" borderId="20" xfId="0" applyFont="1" applyFill="1" applyBorder="1" applyAlignment="1" applyProtection="1">
      <alignment horizontal="left" vertical="top"/>
      <protection hidden="1"/>
    </xf>
    <xf numFmtId="0" fontId="20" fillId="8" borderId="21" xfId="0" applyFont="1" applyFill="1" applyBorder="1" applyAlignment="1" applyProtection="1">
      <alignment horizontal="left" vertical="top"/>
      <protection hidden="1"/>
    </xf>
    <xf numFmtId="0" fontId="22" fillId="8" borderId="17"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horizontal="left" vertical="center"/>
      <protection hidden="1"/>
    </xf>
    <xf numFmtId="0" fontId="22" fillId="8" borderId="14" xfId="0" applyFont="1" applyFill="1" applyBorder="1" applyAlignment="1" applyProtection="1">
      <alignment horizontal="left" vertical="center"/>
      <protection hidden="1"/>
    </xf>
    <xf numFmtId="0" fontId="22" fillId="8" borderId="15" xfId="0" applyFont="1" applyFill="1" applyBorder="1" applyAlignment="1" applyProtection="1">
      <alignment horizontal="left" vertical="center"/>
      <protection hidden="1"/>
    </xf>
    <xf numFmtId="0" fontId="22" fillId="8" borderId="16" xfId="0" applyFont="1" applyFill="1" applyBorder="1" applyAlignment="1" applyProtection="1">
      <alignment horizontal="left" vertical="center"/>
      <protection hidden="1"/>
    </xf>
    <xf numFmtId="0" fontId="20" fillId="8" borderId="9" xfId="0" applyFont="1" applyFill="1" applyBorder="1" applyAlignment="1" applyProtection="1">
      <alignment horizontal="left" vertical="justify" textRotation="90"/>
      <protection hidden="1"/>
    </xf>
    <xf numFmtId="0" fontId="19" fillId="8" borderId="14" xfId="0" applyFont="1" applyFill="1" applyBorder="1" applyAlignment="1" applyProtection="1">
      <alignment horizontal="left" textRotation="90"/>
      <protection hidden="1"/>
    </xf>
    <xf numFmtId="0" fontId="19" fillId="8" borderId="17" xfId="0" applyFont="1" applyFill="1" applyBorder="1" applyAlignment="1" applyProtection="1">
      <alignment horizontal="left" textRotation="90"/>
      <protection hidden="1"/>
    </xf>
    <xf numFmtId="0" fontId="19" fillId="8" borderId="19" xfId="0" applyFont="1" applyFill="1" applyBorder="1" applyAlignment="1" applyProtection="1">
      <alignment horizontal="left" textRotation="90"/>
      <protection hidden="1"/>
    </xf>
    <xf numFmtId="0" fontId="22" fillId="8" borderId="0" xfId="0" applyFont="1" applyFill="1" applyBorder="1" applyAlignment="1" applyProtection="1">
      <alignment horizontal="left"/>
      <protection hidden="1"/>
    </xf>
    <xf numFmtId="0" fontId="20" fillId="8" borderId="9" xfId="0" applyFont="1" applyFill="1" applyBorder="1" applyAlignment="1" applyProtection="1">
      <alignment horizontal="left" vertical="center" textRotation="90"/>
      <protection hidden="1"/>
    </xf>
    <xf numFmtId="164" fontId="23" fillId="8" borderId="18" xfId="0" applyNumberFormat="1" applyFont="1" applyFill="1" applyBorder="1" applyAlignment="1" applyProtection="1">
      <alignment horizontal="right" vertical="center"/>
      <protection hidden="1"/>
    </xf>
    <xf numFmtId="0" fontId="24" fillId="8" borderId="22" xfId="0" applyFont="1" applyFill="1" applyBorder="1" applyAlignment="1" applyProtection="1">
      <alignment horizontal="center"/>
      <protection hidden="1"/>
    </xf>
    <xf numFmtId="0" fontId="0" fillId="8" borderId="23" xfId="0" applyFill="1" applyBorder="1" applyAlignment="1" applyProtection="1">
      <alignment horizontal="center"/>
      <protection hidden="1"/>
    </xf>
    <xf numFmtId="0" fontId="0" fillId="8" borderId="24" xfId="0" applyFill="1" applyBorder="1" applyAlignment="1" applyProtection="1">
      <alignment horizontal="center"/>
      <protection hidden="1"/>
    </xf>
    <xf numFmtId="0" fontId="24" fillId="8" borderId="17" xfId="0" applyFont="1" applyFill="1" applyBorder="1" applyAlignment="1" applyProtection="1">
      <alignment horizontal="center"/>
      <protection hidden="1"/>
    </xf>
    <xf numFmtId="0" fontId="24" fillId="8" borderId="0" xfId="0" applyFont="1" applyFill="1" applyBorder="1" applyAlignment="1" applyProtection="1">
      <alignment horizontal="center"/>
      <protection hidden="1"/>
    </xf>
    <xf numFmtId="0" fontId="24" fillId="8" borderId="18" xfId="0" applyFont="1" applyFill="1" applyBorder="1" applyAlignment="1" applyProtection="1">
      <alignment horizontal="center"/>
      <protection hidden="1"/>
    </xf>
    <xf numFmtId="44" fontId="26" fillId="8" borderId="16" xfId="2" applyFont="1" applyFill="1" applyBorder="1" applyAlignment="1" applyProtection="1">
      <alignment horizontal="center" vertical="center"/>
      <protection hidden="1"/>
    </xf>
    <xf numFmtId="44" fontId="26" fillId="8" borderId="21" xfId="2" applyFont="1" applyFill="1" applyBorder="1" applyAlignment="1" applyProtection="1">
      <alignment horizontal="center" vertical="center"/>
      <protection hidden="1"/>
    </xf>
    <xf numFmtId="44" fontId="27" fillId="8" borderId="25" xfId="2" applyFont="1" applyFill="1" applyBorder="1" applyAlignment="1" applyProtection="1">
      <alignment horizontal="right" vertical="center"/>
      <protection hidden="1"/>
    </xf>
    <xf numFmtId="44" fontId="27" fillId="8" borderId="7" xfId="2" applyFont="1" applyFill="1" applyBorder="1" applyAlignment="1" applyProtection="1">
      <alignment horizontal="right" vertical="center"/>
      <protection hidden="1"/>
    </xf>
    <xf numFmtId="44" fontId="20" fillId="8" borderId="14" xfId="2" applyFont="1" applyFill="1" applyBorder="1" applyAlignment="1" applyProtection="1">
      <alignment horizontal="right"/>
      <protection hidden="1"/>
    </xf>
    <xf numFmtId="44" fontId="20" fillId="8" borderId="15" xfId="2" applyFont="1" applyFill="1" applyBorder="1" applyAlignment="1" applyProtection="1">
      <alignment horizontal="right"/>
      <protection hidden="1"/>
    </xf>
    <xf numFmtId="44" fontId="22" fillId="8" borderId="19" xfId="2" applyFont="1" applyFill="1" applyBorder="1" applyAlignment="1" applyProtection="1">
      <alignment horizontal="right"/>
      <protection hidden="1"/>
    </xf>
    <xf numFmtId="44" fontId="22" fillId="8" borderId="20" xfId="2" applyFont="1" applyFill="1" applyBorder="1" applyAlignment="1" applyProtection="1">
      <alignment horizontal="right"/>
      <protection hidden="1"/>
    </xf>
    <xf numFmtId="43" fontId="22" fillId="8" borderId="22" xfId="1" applyFont="1" applyFill="1" applyBorder="1" applyAlignment="1" applyProtection="1">
      <alignment horizontal="right"/>
      <protection hidden="1"/>
    </xf>
    <xf numFmtId="43" fontId="22" fillId="8" borderId="23" xfId="1" applyFont="1" applyFill="1" applyBorder="1" applyAlignment="1" applyProtection="1">
      <alignment horizontal="right"/>
      <protection hidden="1"/>
    </xf>
    <xf numFmtId="0" fontId="26" fillId="8" borderId="16" xfId="0" applyFont="1" applyFill="1" applyBorder="1" applyAlignment="1" applyProtection="1">
      <alignment horizontal="center" vertical="center"/>
      <protection hidden="1"/>
    </xf>
    <xf numFmtId="0" fontId="26" fillId="8" borderId="21" xfId="0" applyFont="1" applyFill="1" applyBorder="1" applyAlignment="1" applyProtection="1">
      <alignment horizontal="center" vertical="center"/>
      <protection hidden="1"/>
    </xf>
    <xf numFmtId="4" fontId="27" fillId="8" borderId="25" xfId="0" applyNumberFormat="1" applyFont="1" applyFill="1" applyBorder="1" applyAlignment="1" applyProtection="1">
      <alignment horizontal="right" vertical="center"/>
      <protection hidden="1"/>
    </xf>
    <xf numFmtId="4" fontId="27" fillId="8" borderId="7" xfId="0" applyNumberFormat="1" applyFont="1" applyFill="1" applyBorder="1" applyAlignment="1" applyProtection="1">
      <alignment horizontal="right" vertical="center"/>
      <protection hidden="1"/>
    </xf>
    <xf numFmtId="0" fontId="20" fillId="8" borderId="17" xfId="0" applyFont="1" applyFill="1" applyBorder="1" applyAlignment="1" applyProtection="1">
      <alignment horizontal="right"/>
      <protection hidden="1"/>
    </xf>
    <xf numFmtId="0" fontId="20" fillId="8" borderId="0" xfId="0" applyFont="1" applyFill="1" applyBorder="1" applyAlignment="1" applyProtection="1">
      <alignment horizontal="right"/>
      <protection hidden="1"/>
    </xf>
    <xf numFmtId="0" fontId="24" fillId="8" borderId="14" xfId="0" applyFont="1" applyFill="1" applyBorder="1" applyAlignment="1" applyProtection="1">
      <alignment horizontal="center"/>
      <protection hidden="1"/>
    </xf>
    <xf numFmtId="0" fontId="24" fillId="8" borderId="15" xfId="0" applyFont="1" applyFill="1" applyBorder="1" applyAlignment="1" applyProtection="1">
      <alignment horizontal="center"/>
      <protection hidden="1"/>
    </xf>
    <xf numFmtId="0" fontId="24" fillId="8" borderId="16" xfId="0" applyFont="1" applyFill="1" applyBorder="1" applyAlignment="1" applyProtection="1">
      <alignment horizontal="center"/>
      <protection hidden="1"/>
    </xf>
    <xf numFmtId="0" fontId="22" fillId="8" borderId="19" xfId="0" applyFont="1" applyFill="1" applyBorder="1" applyAlignment="1" applyProtection="1">
      <alignment horizontal="left" vertical="center"/>
      <protection hidden="1"/>
    </xf>
    <xf numFmtId="0" fontId="22" fillId="8" borderId="20" xfId="0" applyFont="1" applyFill="1" applyBorder="1" applyAlignment="1" applyProtection="1">
      <alignment horizontal="left" vertical="center"/>
      <protection hidden="1"/>
    </xf>
    <xf numFmtId="0" fontId="22" fillId="8" borderId="21" xfId="0" applyFont="1" applyFill="1" applyBorder="1" applyAlignment="1" applyProtection="1">
      <alignment horizontal="left" vertical="center"/>
      <protection hidden="1"/>
    </xf>
    <xf numFmtId="0" fontId="0" fillId="0" borderId="0" xfId="0" applyAlignment="1">
      <alignment horizontal="center" wrapText="1"/>
    </xf>
    <xf numFmtId="0" fontId="6" fillId="0" borderId="0" xfId="4" applyAlignment="1">
      <alignment horizontal="center"/>
    </xf>
    <xf numFmtId="0" fontId="0" fillId="15" borderId="0" xfId="0" applyFill="1" applyAlignment="1" applyProtection="1">
      <alignment horizontal="center" vertical="center" wrapText="1"/>
      <protection hidden="1"/>
    </xf>
    <xf numFmtId="0" fontId="5" fillId="14" borderId="51" xfId="0" applyFont="1" applyFill="1" applyBorder="1" applyAlignment="1" applyProtection="1">
      <alignment horizontal="center" vertical="center" wrapText="1"/>
      <protection hidden="1"/>
    </xf>
    <xf numFmtId="0" fontId="5" fillId="14" borderId="52" xfId="0" applyFont="1" applyFill="1" applyBorder="1" applyAlignment="1" applyProtection="1">
      <alignment horizontal="center" vertical="center" wrapText="1"/>
      <protection hidden="1"/>
    </xf>
    <xf numFmtId="0" fontId="5" fillId="14" borderId="46" xfId="0" applyFont="1" applyFill="1" applyBorder="1" applyAlignment="1" applyProtection="1">
      <alignment horizontal="center" vertical="center" wrapText="1"/>
      <protection hidden="1"/>
    </xf>
    <xf numFmtId="0" fontId="31" fillId="10" borderId="27" xfId="0" applyFont="1" applyFill="1" applyBorder="1" applyAlignment="1" applyProtection="1">
      <alignment horizontal="center" vertical="center" wrapText="1"/>
      <protection hidden="1"/>
    </xf>
    <xf numFmtId="0" fontId="31" fillId="10" borderId="28" xfId="0" applyFont="1" applyFill="1" applyBorder="1" applyAlignment="1" applyProtection="1">
      <alignment horizontal="center" vertical="center" wrapText="1"/>
      <protection hidden="1"/>
    </xf>
    <xf numFmtId="0" fontId="31" fillId="10" borderId="29" xfId="0" applyFont="1" applyFill="1" applyBorder="1" applyAlignment="1" applyProtection="1">
      <alignment horizontal="center" vertical="center" wrapText="1"/>
      <protection hidden="1"/>
    </xf>
    <xf numFmtId="0" fontId="31" fillId="10" borderId="45" xfId="0" applyFont="1" applyFill="1" applyBorder="1" applyAlignment="1" applyProtection="1">
      <alignment horizontal="center" vertical="center" wrapText="1"/>
      <protection hidden="1"/>
    </xf>
    <xf numFmtId="0" fontId="31" fillId="10" borderId="0" xfId="0" applyFont="1" applyFill="1" applyBorder="1" applyAlignment="1" applyProtection="1">
      <alignment horizontal="center" vertical="center" wrapText="1"/>
      <protection hidden="1"/>
    </xf>
    <xf numFmtId="0" fontId="31" fillId="10" borderId="30"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protection hidden="1"/>
    </xf>
    <xf numFmtId="0" fontId="5" fillId="2" borderId="2" xfId="0"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6" fillId="6" borderId="0" xfId="4" applyFill="1" applyAlignment="1" applyProtection="1">
      <alignment horizontal="center"/>
      <protection hidden="1"/>
    </xf>
    <xf numFmtId="0" fontId="10" fillId="6" borderId="0" xfId="4" applyFont="1" applyFill="1" applyAlignment="1" applyProtection="1">
      <alignment horizontal="center"/>
      <protection hidden="1"/>
    </xf>
    <xf numFmtId="0" fontId="7" fillId="0" borderId="9" xfId="0" applyFont="1" applyBorder="1" applyAlignment="1" applyProtection="1">
      <alignment horizontal="center"/>
      <protection hidden="1"/>
    </xf>
    <xf numFmtId="0" fontId="3" fillId="6" borderId="0" xfId="0" applyFont="1" applyFill="1" applyAlignment="1" applyProtection="1">
      <alignment horizontal="center"/>
      <protection hidden="1"/>
    </xf>
    <xf numFmtId="0" fontId="12" fillId="5" borderId="1" xfId="0" applyFont="1" applyFill="1" applyBorder="1" applyAlignment="1" applyProtection="1">
      <alignment horizontal="center"/>
      <protection hidden="1"/>
    </xf>
    <xf numFmtId="0" fontId="12" fillId="5" borderId="2" xfId="0" applyFont="1" applyFill="1" applyBorder="1" applyAlignment="1" applyProtection="1">
      <alignment horizontal="center"/>
      <protection hidden="1"/>
    </xf>
    <xf numFmtId="0" fontId="12" fillId="5" borderId="3" xfId="0" applyFont="1" applyFill="1" applyBorder="1" applyAlignment="1" applyProtection="1">
      <alignment horizontal="center"/>
      <protection hidden="1"/>
    </xf>
    <xf numFmtId="0" fontId="0" fillId="3" borderId="28" xfId="0" applyFill="1" applyBorder="1" applyAlignment="1" applyProtection="1">
      <alignment horizontal="center"/>
      <protection hidden="1"/>
    </xf>
    <xf numFmtId="0" fontId="0" fillId="0" borderId="33" xfId="0" applyBorder="1" applyAlignment="1" applyProtection="1">
      <alignment horizontal="center"/>
      <protection hidden="1"/>
    </xf>
    <xf numFmtId="0" fontId="0" fillId="0" borderId="34" xfId="0" applyBorder="1" applyAlignment="1" applyProtection="1">
      <alignment horizontal="center"/>
      <protection hidden="1"/>
    </xf>
    <xf numFmtId="0" fontId="4" fillId="12" borderId="0" xfId="0" applyFont="1" applyFill="1" applyBorder="1" applyAlignment="1" applyProtection="1">
      <alignment vertical="center" wrapText="1"/>
      <protection hidden="1"/>
    </xf>
    <xf numFmtId="0" fontId="0" fillId="11" borderId="45" xfId="0" applyFill="1" applyBorder="1" applyAlignment="1" applyProtection="1">
      <alignment vertical="center" wrapText="1"/>
      <protection hidden="1"/>
    </xf>
    <xf numFmtId="0" fontId="0" fillId="11" borderId="0" xfId="0" applyFill="1" applyBorder="1" applyAlignment="1" applyProtection="1">
      <alignment vertical="center" wrapText="1"/>
      <protection hidden="1"/>
    </xf>
    <xf numFmtId="0" fontId="0" fillId="11" borderId="31" xfId="0" applyFill="1" applyBorder="1" applyAlignment="1" applyProtection="1">
      <alignment vertical="center" wrapText="1"/>
      <protection hidden="1"/>
    </xf>
    <xf numFmtId="0" fontId="0" fillId="11" borderId="12" xfId="0" applyFill="1" applyBorder="1" applyAlignment="1" applyProtection="1">
      <alignment vertical="center" wrapText="1"/>
      <protection hidden="1"/>
    </xf>
    <xf numFmtId="44" fontId="14" fillId="5" borderId="11" xfId="2" applyFont="1" applyFill="1" applyBorder="1" applyAlignment="1" applyProtection="1">
      <alignment horizontal="center" vertical="center" wrapText="1"/>
      <protection hidden="1"/>
    </xf>
    <xf numFmtId="0" fontId="0" fillId="0" borderId="12" xfId="0" applyBorder="1" applyAlignment="1" applyProtection="1">
      <alignment wrapText="1"/>
      <protection hidden="1"/>
    </xf>
    <xf numFmtId="0" fontId="0" fillId="0" borderId="12" xfId="0" applyBorder="1" applyAlignment="1" applyProtection="1">
      <alignment horizontal="center" vertical="center" wrapText="1"/>
      <protection hidden="1"/>
    </xf>
    <xf numFmtId="0" fontId="30" fillId="0" borderId="0" xfId="0" applyFont="1" applyAlignment="1" applyProtection="1">
      <alignment horizontal="center" vertical="center" wrapText="1"/>
      <protection hidden="1"/>
    </xf>
    <xf numFmtId="0" fontId="30" fillId="0" borderId="12" xfId="0" applyFont="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0" borderId="29" xfId="0" applyBorder="1" applyAlignment="1" applyProtection="1">
      <alignment horizontal="center" vertical="center" wrapText="1"/>
      <protection hidden="1"/>
    </xf>
    <xf numFmtId="0" fontId="0" fillId="0" borderId="45" xfId="0" applyBorder="1" applyAlignment="1" applyProtection="1">
      <alignment horizontal="center" vertical="center" wrapText="1"/>
      <protection hidden="1"/>
    </xf>
    <xf numFmtId="0" fontId="0" fillId="0" borderId="0" xfId="0" applyBorder="1" applyAlignment="1" applyProtection="1">
      <alignment horizontal="center" vertical="center" wrapText="1"/>
      <protection hidden="1"/>
    </xf>
    <xf numFmtId="0" fontId="0" fillId="0" borderId="30" xfId="0" applyBorder="1" applyAlignment="1" applyProtection="1">
      <alignment horizontal="center" vertical="center" wrapText="1"/>
      <protection hidden="1"/>
    </xf>
    <xf numFmtId="0" fontId="0" fillId="0" borderId="31" xfId="0" applyBorder="1" applyAlignment="1" applyProtection="1">
      <alignment horizontal="center" vertical="center" wrapText="1"/>
      <protection hidden="1"/>
    </xf>
    <xf numFmtId="0" fontId="0" fillId="0" borderId="32" xfId="0" applyBorder="1" applyAlignment="1" applyProtection="1">
      <alignment horizontal="center" vertical="center" wrapText="1"/>
      <protection hidden="1"/>
    </xf>
    <xf numFmtId="0" fontId="4" fillId="0" borderId="27" xfId="0" applyFont="1" applyBorder="1" applyAlignment="1" applyProtection="1">
      <alignment horizontal="center" vertical="center" wrapText="1"/>
      <protection hidden="1"/>
    </xf>
    <xf numFmtId="0" fontId="0" fillId="3" borderId="45" xfId="0" applyFill="1" applyBorder="1" applyAlignment="1" applyProtection="1">
      <alignment horizontal="right"/>
      <protection hidden="1"/>
    </xf>
    <xf numFmtId="0" fontId="34" fillId="0" borderId="38" xfId="0" applyFont="1" applyBorder="1" applyAlignment="1" applyProtection="1">
      <alignment horizontal="center"/>
      <protection hidden="1"/>
    </xf>
    <xf numFmtId="0" fontId="34" fillId="0" borderId="36" xfId="0" applyFont="1" applyBorder="1" applyAlignment="1" applyProtection="1">
      <alignment horizontal="center"/>
      <protection hidden="1"/>
    </xf>
    <xf numFmtId="0" fontId="0" fillId="0" borderId="45" xfId="0" applyFill="1" applyBorder="1" applyAlignment="1" applyProtection="1">
      <protection hidden="1"/>
    </xf>
    <xf numFmtId="0" fontId="0" fillId="0" borderId="0" xfId="0" applyFill="1" applyBorder="1" applyAlignment="1" applyProtection="1">
      <protection locked="0" hidden="1"/>
    </xf>
    <xf numFmtId="0" fontId="0" fillId="0" borderId="0" xfId="0" applyFill="1" applyProtection="1">
      <protection hidden="1"/>
    </xf>
    <xf numFmtId="0" fontId="0" fillId="11" borderId="8" xfId="0" applyFill="1" applyBorder="1" applyAlignment="1" applyProtection="1">
      <alignment horizontal="center" vertical="center" wrapText="1"/>
      <protection hidden="1"/>
    </xf>
    <xf numFmtId="0" fontId="0" fillId="0" borderId="5" xfId="0" applyFill="1" applyBorder="1" applyAlignment="1" applyProtection="1">
      <alignment horizontal="center"/>
      <protection hidden="1"/>
    </xf>
    <xf numFmtId="44" fontId="0" fillId="0" borderId="6" xfId="0" applyNumberFormat="1" applyFill="1" applyBorder="1" applyProtection="1">
      <protection hidden="1"/>
    </xf>
    <xf numFmtId="0" fontId="0" fillId="0" borderId="24" xfId="0" applyFill="1" applyBorder="1" applyAlignment="1" applyProtection="1">
      <alignment horizontal="center"/>
      <protection hidden="1"/>
    </xf>
    <xf numFmtId="0" fontId="0" fillId="9" borderId="30" xfId="0" applyFill="1" applyBorder="1" applyAlignment="1" applyProtection="1">
      <alignment horizontal="center" vertical="center" wrapText="1"/>
      <protection locked="0" hidden="1"/>
    </xf>
    <xf numFmtId="0" fontId="0" fillId="3" borderId="0" xfId="0" applyFill="1" applyBorder="1" applyAlignment="1" applyProtection="1">
      <alignment horizontal="right"/>
      <protection hidden="1"/>
    </xf>
    <xf numFmtId="0" fontId="0" fillId="9" borderId="30" xfId="0" applyFill="1" applyBorder="1" applyAlignment="1" applyProtection="1">
      <alignment horizontal="center"/>
      <protection locked="0" hidden="1"/>
    </xf>
    <xf numFmtId="44" fontId="0" fillId="0" borderId="30" xfId="0" applyNumberFormat="1" applyFill="1" applyBorder="1" applyAlignment="1" applyProtection="1">
      <alignment vertical="center" wrapText="1"/>
      <protection hidden="1"/>
    </xf>
    <xf numFmtId="0" fontId="0" fillId="11" borderId="10" xfId="0" applyFill="1" applyBorder="1" applyAlignment="1" applyProtection="1">
      <alignment horizontal="center" vertical="center" wrapText="1"/>
      <protection hidden="1"/>
    </xf>
    <xf numFmtId="44" fontId="0" fillId="0" borderId="11" xfId="2" applyFont="1" applyFill="1" applyBorder="1" applyAlignment="1" applyProtection="1">
      <alignment vertical="center" wrapText="1"/>
      <protection locked="0" hidden="1"/>
    </xf>
    <xf numFmtId="44" fontId="0" fillId="0" borderId="6" xfId="2" applyFont="1" applyFill="1" applyBorder="1" applyAlignment="1" applyProtection="1">
      <alignment vertical="center" wrapText="1"/>
      <protection locked="0" hidden="1"/>
    </xf>
    <xf numFmtId="44" fontId="0" fillId="0" borderId="32" xfId="2" applyFont="1" applyFill="1" applyBorder="1" applyAlignment="1" applyProtection="1">
      <alignment vertical="center" wrapText="1"/>
      <protection hidden="1"/>
    </xf>
    <xf numFmtId="0" fontId="0" fillId="11" borderId="4" xfId="0" applyFill="1" applyBorder="1" applyAlignment="1" applyProtection="1">
      <alignment horizontal="center" vertical="center" wrapText="1"/>
      <protection locked="0" hidden="1"/>
    </xf>
    <xf numFmtId="0" fontId="0" fillId="11" borderId="5" xfId="0" applyFill="1" applyBorder="1" applyAlignment="1" applyProtection="1">
      <alignment horizontal="center" vertical="center" wrapText="1"/>
      <protection locked="0" hidden="1"/>
    </xf>
    <xf numFmtId="0" fontId="6" fillId="0" borderId="0" xfId="4" applyFill="1" applyBorder="1" applyAlignment="1">
      <alignment horizontal="center" vertical="center" wrapText="1"/>
    </xf>
    <xf numFmtId="0" fontId="0" fillId="0" borderId="24" xfId="0" applyBorder="1" applyProtection="1">
      <protection hidden="1"/>
    </xf>
    <xf numFmtId="0" fontId="0" fillId="11" borderId="23" xfId="0" applyFill="1" applyBorder="1" applyAlignment="1" applyProtection="1">
      <alignment horizontal="center"/>
      <protection hidden="1"/>
    </xf>
    <xf numFmtId="0" fontId="0" fillId="0" borderId="23" xfId="0" applyFill="1" applyBorder="1" applyAlignment="1" applyProtection="1">
      <alignment horizontal="center"/>
      <protection hidden="1"/>
    </xf>
    <xf numFmtId="0" fontId="0" fillId="9" borderId="24" xfId="0" applyFill="1" applyBorder="1" applyProtection="1">
      <protection locked="0"/>
    </xf>
    <xf numFmtId="0" fontId="0" fillId="9" borderId="16" xfId="0" applyFill="1" applyBorder="1" applyProtection="1">
      <protection locked="0"/>
    </xf>
    <xf numFmtId="0" fontId="4" fillId="11" borderId="16" xfId="0" applyFont="1" applyFill="1" applyBorder="1" applyProtection="1">
      <protection hidden="1"/>
    </xf>
    <xf numFmtId="0" fontId="0" fillId="0" borderId="54" xfId="0" applyFill="1" applyBorder="1" applyProtection="1">
      <protection hidden="1"/>
    </xf>
    <xf numFmtId="0" fontId="4" fillId="11" borderId="18" xfId="0" applyFont="1" applyFill="1" applyBorder="1" applyProtection="1">
      <protection hidden="1"/>
    </xf>
    <xf numFmtId="0" fontId="0" fillId="0" borderId="55" xfId="0" applyBorder="1" applyProtection="1">
      <protection hidden="1"/>
    </xf>
    <xf numFmtId="0" fontId="6" fillId="0" borderId="45" xfId="4" applyFill="1" applyBorder="1" applyAlignment="1">
      <alignment horizontal="center" vertical="center" wrapText="1"/>
    </xf>
    <xf numFmtId="0" fontId="6" fillId="0" borderId="30" xfId="4" applyFill="1" applyBorder="1" applyAlignment="1">
      <alignment horizontal="center" vertical="center" wrapText="1"/>
    </xf>
    <xf numFmtId="0" fontId="6" fillId="0" borderId="31" xfId="4" applyFill="1" applyBorder="1" applyAlignment="1">
      <alignment horizontal="center" vertical="center" wrapText="1"/>
    </xf>
    <xf numFmtId="0" fontId="6" fillId="0" borderId="12" xfId="4" applyFill="1" applyBorder="1" applyAlignment="1">
      <alignment horizontal="center" vertical="center" wrapText="1"/>
    </xf>
    <xf numFmtId="0" fontId="6" fillId="0" borderId="32" xfId="4" applyFill="1" applyBorder="1" applyAlignment="1">
      <alignment horizontal="center" vertical="center" wrapText="1"/>
    </xf>
    <xf numFmtId="9" fontId="0" fillId="0" borderId="49" xfId="3" applyFont="1" applyBorder="1" applyProtection="1">
      <protection hidden="1"/>
    </xf>
    <xf numFmtId="0" fontId="0" fillId="16" borderId="0" xfId="0" applyFill="1" applyAlignment="1">
      <alignment horizontal="center" wrapText="1"/>
    </xf>
    <xf numFmtId="0" fontId="6" fillId="0" borderId="0" xfId="4" applyAlignment="1">
      <alignment horizontal="center" wrapText="1"/>
    </xf>
    <xf numFmtId="0" fontId="0" fillId="11" borderId="0" xfId="0" applyFill="1" applyAlignment="1">
      <alignment horizontal="left" vertical="top" wrapText="1"/>
    </xf>
  </cellXfs>
  <cellStyles count="5">
    <cellStyle name="Hiperlink" xfId="4" builtinId="8"/>
    <cellStyle name="Moeda" xfId="2" builtinId="4"/>
    <cellStyle name="Normal" xfId="0" builtinId="0"/>
    <cellStyle name="Porcentagem" xfId="3" builtinId="5"/>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933450</xdr:colOff>
      <xdr:row>17</xdr:row>
      <xdr:rowOff>57150</xdr:rowOff>
    </xdr:from>
    <xdr:to>
      <xdr:col>0</xdr:col>
      <xdr:colOff>1514475</xdr:colOff>
      <xdr:row>17</xdr:row>
      <xdr:rowOff>180975</xdr:rowOff>
    </xdr:to>
    <xdr:sp macro="" textlink="">
      <xdr:nvSpPr>
        <xdr:cNvPr id="2" name="Seta para a esquerda 1"/>
        <xdr:cNvSpPr/>
      </xdr:nvSpPr>
      <xdr:spPr>
        <a:xfrm>
          <a:off x="933450" y="275272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942975</xdr:colOff>
      <xdr:row>18</xdr:row>
      <xdr:rowOff>28575</xdr:rowOff>
    </xdr:from>
    <xdr:to>
      <xdr:col>0</xdr:col>
      <xdr:colOff>1524000</xdr:colOff>
      <xdr:row>18</xdr:row>
      <xdr:rowOff>152400</xdr:rowOff>
    </xdr:to>
    <xdr:sp macro="" textlink="">
      <xdr:nvSpPr>
        <xdr:cNvPr id="3" name="Seta para a esquerda 2"/>
        <xdr:cNvSpPr/>
      </xdr:nvSpPr>
      <xdr:spPr>
        <a:xfrm>
          <a:off x="942975" y="292417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47624</xdr:colOff>
      <xdr:row>6</xdr:row>
      <xdr:rowOff>11907</xdr:rowOff>
    </xdr:from>
    <xdr:to>
      <xdr:col>12</xdr:col>
      <xdr:colOff>59523</xdr:colOff>
      <xdr:row>19</xdr:row>
      <xdr:rowOff>0</xdr:rowOff>
    </xdr:to>
    <xdr:pic>
      <xdr:nvPicPr>
        <xdr:cNvPr id="5"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7093" y="11907"/>
          <a:ext cx="2976555" cy="2809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7</xdr:col>
      <xdr:colOff>33337</xdr:colOff>
      <xdr:row>14</xdr:row>
      <xdr:rowOff>158487</xdr:rowOff>
    </xdr:to>
    <xdr:pic>
      <xdr:nvPicPr>
        <xdr:cNvPr id="2"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4192" y="201083"/>
          <a:ext cx="3092978" cy="2740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doutorcurriculo.com.br/services/reengenharia-curricular/" TargetMode="External"/><Relationship Id="rId1" Type="http://schemas.openxmlformats.org/officeDocument/2006/relationships/hyperlink" Target="http://www.doutorcurriculo.com.br/planilha-calculo-intermitent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www.doutorcurriculo.com.br/modelo-de-contrato-intermitente/"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zehroberto@doutorcurriculo.com.br"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mailto:zehroberto@doutorcurriculo.com.b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9"/>
  <sheetViews>
    <sheetView tabSelected="1" topLeftCell="C1" zoomScale="80" zoomScaleNormal="80" workbookViewId="0">
      <selection activeCell="B15" sqref="B15:F15"/>
    </sheetView>
  </sheetViews>
  <sheetFormatPr defaultColWidth="0" defaultRowHeight="15" x14ac:dyDescent="0.25"/>
  <cols>
    <col min="1" max="1" width="28" style="2" customWidth="1"/>
    <col min="2" max="2" width="17" style="2" bestFit="1" customWidth="1"/>
    <col min="3" max="3" width="15.140625" style="2" bestFit="1" customWidth="1"/>
    <col min="4" max="4" width="15.28515625" style="2" bestFit="1" customWidth="1"/>
    <col min="5" max="5" width="20.85546875" style="2" bestFit="1" customWidth="1"/>
    <col min="6" max="6" width="16.85546875" style="2" customWidth="1"/>
    <col min="7" max="7" width="3" style="2" hidden="1" customWidth="1"/>
    <col min="8" max="10" width="9.140625" customWidth="1"/>
    <col min="11" max="11" width="9.140625" style="2" customWidth="1"/>
    <col min="12" max="12" width="8" style="2" customWidth="1"/>
    <col min="13" max="13" width="30.7109375" style="2" customWidth="1"/>
    <col min="14" max="14" width="20.28515625" style="2" customWidth="1"/>
    <col min="15" max="15" width="17" style="2" bestFit="1" customWidth="1"/>
    <col min="16" max="20" width="9.140625" style="2" customWidth="1"/>
    <col min="21" max="16384" width="9.140625" style="2" hidden="1"/>
  </cols>
  <sheetData>
    <row r="1" spans="1:20" ht="21" customHeight="1" x14ac:dyDescent="0.25">
      <c r="A1" s="354" t="s">
        <v>200</v>
      </c>
      <c r="B1" s="364" t="s">
        <v>201</v>
      </c>
      <c r="C1" s="357"/>
      <c r="D1" s="357"/>
      <c r="E1" s="358"/>
      <c r="F1" s="356" t="s">
        <v>185</v>
      </c>
      <c r="G1" s="357"/>
      <c r="H1" s="357"/>
      <c r="I1" s="357"/>
      <c r="J1" s="357"/>
      <c r="K1" s="357"/>
      <c r="L1" s="358"/>
      <c r="M1" s="205"/>
      <c r="N1" s="205"/>
      <c r="O1" s="205"/>
    </row>
    <row r="2" spans="1:20" x14ac:dyDescent="0.25">
      <c r="A2" s="354"/>
      <c r="B2" s="359"/>
      <c r="C2" s="360"/>
      <c r="D2" s="360"/>
      <c r="E2" s="361"/>
      <c r="F2" s="359"/>
      <c r="G2" s="360"/>
      <c r="H2" s="360"/>
      <c r="I2" s="360"/>
      <c r="J2" s="360"/>
      <c r="K2" s="360"/>
      <c r="L2" s="361"/>
      <c r="M2" s="205"/>
      <c r="N2" s="205"/>
      <c r="O2" s="205"/>
    </row>
    <row r="3" spans="1:20" x14ac:dyDescent="0.25">
      <c r="A3" s="354"/>
      <c r="B3" s="359"/>
      <c r="C3" s="360"/>
      <c r="D3" s="360"/>
      <c r="E3" s="361"/>
      <c r="F3" s="359"/>
      <c r="G3" s="360"/>
      <c r="H3" s="360"/>
      <c r="I3" s="360"/>
      <c r="J3" s="360"/>
      <c r="K3" s="360"/>
      <c r="L3" s="361"/>
      <c r="M3" s="205"/>
      <c r="N3" s="205"/>
      <c r="O3" s="205"/>
    </row>
    <row r="4" spans="1:20" ht="15" customHeight="1" x14ac:dyDescent="0.25">
      <c r="A4" s="354"/>
      <c r="B4" s="359"/>
      <c r="C4" s="360"/>
      <c r="D4" s="360"/>
      <c r="E4" s="361"/>
      <c r="F4" s="359"/>
      <c r="G4" s="360"/>
      <c r="H4" s="360"/>
      <c r="I4" s="360"/>
      <c r="J4" s="360"/>
      <c r="K4" s="360"/>
      <c r="L4" s="361"/>
      <c r="M4" s="205"/>
      <c r="N4" s="205"/>
      <c r="O4" s="205"/>
    </row>
    <row r="5" spans="1:20" x14ac:dyDescent="0.25">
      <c r="A5" s="354"/>
      <c r="B5" s="359"/>
      <c r="C5" s="360"/>
      <c r="D5" s="360"/>
      <c r="E5" s="361"/>
      <c r="F5" s="359"/>
      <c r="G5" s="360"/>
      <c r="H5" s="360"/>
      <c r="I5" s="360"/>
      <c r="J5" s="360"/>
      <c r="K5" s="360"/>
      <c r="L5" s="361"/>
      <c r="M5" s="205"/>
      <c r="N5" s="205"/>
      <c r="O5" s="205"/>
    </row>
    <row r="6" spans="1:20" ht="15.75" thickBot="1" x14ac:dyDescent="0.3">
      <c r="A6" s="355"/>
      <c r="B6" s="362"/>
      <c r="C6" s="353"/>
      <c r="D6" s="353"/>
      <c r="E6" s="363"/>
      <c r="F6" s="362"/>
      <c r="G6" s="353"/>
      <c r="H6" s="353"/>
      <c r="I6" s="353"/>
      <c r="J6" s="353"/>
      <c r="K6" s="353"/>
      <c r="L6" s="363"/>
      <c r="M6" s="352"/>
      <c r="N6" s="352"/>
      <c r="O6" s="352"/>
    </row>
    <row r="7" spans="1:20" s="59" customFormat="1" ht="21.75" thickBot="1" x14ac:dyDescent="0.4">
      <c r="A7" s="246" t="s">
        <v>202</v>
      </c>
      <c r="B7" s="247"/>
      <c r="C7" s="247"/>
      <c r="D7" s="247"/>
      <c r="E7" s="247"/>
      <c r="F7" s="247"/>
      <c r="G7" s="136"/>
      <c r="H7" s="133"/>
      <c r="I7" s="133"/>
      <c r="J7" s="133"/>
      <c r="K7" s="133"/>
      <c r="L7" s="133"/>
      <c r="M7" s="255" t="s">
        <v>102</v>
      </c>
      <c r="N7" s="256"/>
      <c r="O7" s="257"/>
      <c r="P7" s="217" t="s">
        <v>114</v>
      </c>
      <c r="Q7" s="218"/>
      <c r="R7" s="218"/>
      <c r="S7" s="218"/>
      <c r="T7" s="219"/>
    </row>
    <row r="8" spans="1:20" s="59" customFormat="1" ht="21.75" thickBot="1" x14ac:dyDescent="0.4">
      <c r="A8" s="248"/>
      <c r="B8" s="249"/>
      <c r="C8" s="249"/>
      <c r="D8" s="249"/>
      <c r="E8" s="249"/>
      <c r="F8" s="249"/>
      <c r="G8" s="137"/>
      <c r="H8" s="62"/>
      <c r="I8" s="62"/>
      <c r="J8" s="62"/>
      <c r="K8" s="62"/>
      <c r="L8" s="62"/>
      <c r="M8" s="243" t="s">
        <v>101</v>
      </c>
      <c r="N8" s="244"/>
      <c r="O8" s="245"/>
    </row>
    <row r="9" spans="1:20" ht="24" thickBot="1" x14ac:dyDescent="0.4">
      <c r="A9" s="262" t="s">
        <v>178</v>
      </c>
      <c r="B9" s="263"/>
      <c r="C9" s="263"/>
      <c r="D9" s="263"/>
      <c r="E9" s="263"/>
      <c r="F9" s="263"/>
      <c r="G9" s="264"/>
      <c r="H9" s="134"/>
      <c r="I9" s="134"/>
      <c r="J9" s="134"/>
      <c r="K9" s="101"/>
      <c r="L9" s="101"/>
      <c r="M9" s="252" t="s">
        <v>86</v>
      </c>
      <c r="N9" s="253"/>
      <c r="O9" s="254"/>
    </row>
    <row r="10" spans="1:20" x14ac:dyDescent="0.25">
      <c r="A10" s="98" t="s">
        <v>73</v>
      </c>
      <c r="B10" s="269"/>
      <c r="C10" s="269"/>
      <c r="D10" s="269"/>
      <c r="E10" s="269"/>
      <c r="F10" s="270"/>
      <c r="G10" s="138"/>
      <c r="H10" s="134"/>
      <c r="I10" s="134"/>
      <c r="J10" s="134"/>
      <c r="K10" s="101"/>
      <c r="L10" s="101"/>
      <c r="M10" s="103" t="s">
        <v>6</v>
      </c>
      <c r="N10" s="104" t="s">
        <v>7</v>
      </c>
      <c r="O10" s="105" t="s">
        <v>8</v>
      </c>
    </row>
    <row r="11" spans="1:20" x14ac:dyDescent="0.25">
      <c r="A11" s="99" t="s">
        <v>74</v>
      </c>
      <c r="B11" s="258"/>
      <c r="C11" s="258"/>
      <c r="D11" s="258"/>
      <c r="E11" s="258"/>
      <c r="F11" s="259"/>
      <c r="G11" s="138"/>
      <c r="H11" s="134"/>
      <c r="I11" s="134"/>
      <c r="J11" s="134"/>
      <c r="K11" s="101"/>
      <c r="L11" s="101"/>
      <c r="M11" s="3" t="str">
        <f>IF(AND(B18="",B19=""),"informe valor POR DIA OU HORA",IF(AND(B18&lt;&gt;0,B19&lt;&gt;0),"Apenas um campo pode ter valor",IF(B18="","total a pagar pelos dias","total a pagar pelas horas")))</f>
        <v>total a pagar pelas horas</v>
      </c>
      <c r="N11" s="97">
        <f>IF(AND(B18="",B19=""),0,IF(AND(B18&lt;&gt;0,B19&lt;&gt;0),0,IF(B18="",D20,D18)))</f>
        <v>10</v>
      </c>
      <c r="O11" s="106">
        <f>IF(AND(B18="",B19=""),0,IF(AND(B18&lt;&gt;0,B19&lt;&gt;0),0,IF(B18="",B19*D20,B18*D18)))</f>
        <v>700</v>
      </c>
    </row>
    <row r="12" spans="1:20" ht="15.75" thickBot="1" x14ac:dyDescent="0.3">
      <c r="A12" s="100" t="s">
        <v>75</v>
      </c>
      <c r="B12" s="260"/>
      <c r="C12" s="260"/>
      <c r="D12" s="260"/>
      <c r="E12" s="260"/>
      <c r="F12" s="261"/>
      <c r="G12" s="138"/>
      <c r="H12" s="134"/>
      <c r="I12" s="134"/>
      <c r="J12" s="134"/>
      <c r="K12" s="101"/>
      <c r="L12" s="101"/>
      <c r="M12" s="3" t="s">
        <v>92</v>
      </c>
      <c r="N12" s="97">
        <f>B33</f>
        <v>10</v>
      </c>
      <c r="O12" s="106">
        <f>IF(AND(B18="",B19=""),0,IF(AND(B18&lt;&gt;0,B19&lt;&gt;0),0,IF(B18="",B19/D19*B33*1.5,B18*B33*(1+C33))))</f>
        <v>1050</v>
      </c>
    </row>
    <row r="13" spans="1:20" ht="15.75" thickBot="1" x14ac:dyDescent="0.3">
      <c r="A13" s="119"/>
      <c r="B13" s="120"/>
      <c r="C13" s="120"/>
      <c r="D13" s="120"/>
      <c r="E13" s="120"/>
      <c r="F13" s="120"/>
      <c r="G13" s="138"/>
      <c r="H13" s="134"/>
      <c r="I13" s="134"/>
      <c r="J13" s="134"/>
      <c r="K13" s="101"/>
      <c r="L13" s="101"/>
      <c r="M13" s="3" t="s">
        <v>91</v>
      </c>
      <c r="N13" s="140"/>
      <c r="O13" s="107">
        <f>IF(AND(B18="",B19=""),0,IF(AND(B18&lt;&gt;0,B19&lt;&gt;0),0,IF(B18="",B19/D19*N41*(1+C38)*1.2,B18*N41*(1+C38)*1.2)))</f>
        <v>0</v>
      </c>
    </row>
    <row r="14" spans="1:20" x14ac:dyDescent="0.25">
      <c r="A14" s="98" t="s">
        <v>76</v>
      </c>
      <c r="B14" s="266">
        <v>43101</v>
      </c>
      <c r="C14" s="267"/>
      <c r="D14" s="267"/>
      <c r="E14" s="267"/>
      <c r="F14" s="268"/>
      <c r="G14" s="138"/>
      <c r="H14" s="134"/>
      <c r="I14" s="134"/>
      <c r="J14" s="134"/>
      <c r="K14" s="101"/>
      <c r="L14" s="101"/>
      <c r="M14" s="3" t="s">
        <v>100</v>
      </c>
      <c r="N14" s="97">
        <f>C35</f>
        <v>0</v>
      </c>
      <c r="O14" s="107">
        <f>IF(C35&gt;D18,"vide comentario 1",IF(AND(B18&gt;0,B19&gt;0),"CORRIJA",IF(B18="",F20*N40*0.2,B18*N40*N13+O13*N13)))</f>
        <v>0</v>
      </c>
    </row>
    <row r="15" spans="1:20" x14ac:dyDescent="0.25">
      <c r="A15" s="3" t="s">
        <v>72</v>
      </c>
      <c r="B15" s="258"/>
      <c r="C15" s="258"/>
      <c r="D15" s="258"/>
      <c r="E15" s="258"/>
      <c r="F15" s="259"/>
      <c r="G15" s="135"/>
      <c r="H15" s="134"/>
      <c r="I15" s="134"/>
      <c r="J15" s="134"/>
      <c r="K15" s="101"/>
      <c r="L15" s="101"/>
      <c r="M15" s="3" t="str">
        <f>IF(AND(B29="não",B30="não"),"Adicional Peric ou Insalub",IF(B29="SIM","Adicional Insalubridade",IF(B30="SIM","Adicional Periculosidade",IF(AND(B29="sim",B30="sim"),"escolha adicional","Adicional Peric ou Insalub"))))</f>
        <v>Adicional Insalubridade</v>
      </c>
      <c r="N15" s="113">
        <f>D29</f>
        <v>0</v>
      </c>
      <c r="O15" s="106">
        <f>IF(M15="adicional periculosidade",(O11+O12)*D29,(IF(M15="adicional insalubridade",D29*(O11+O12+O13),0)))</f>
        <v>0</v>
      </c>
    </row>
    <row r="16" spans="1:20" ht="15.75" thickBot="1" x14ac:dyDescent="0.3">
      <c r="A16" s="100" t="s">
        <v>84</v>
      </c>
      <c r="B16" s="260"/>
      <c r="C16" s="260"/>
      <c r="D16" s="260"/>
      <c r="E16" s="260"/>
      <c r="F16" s="261"/>
      <c r="G16" s="135"/>
      <c r="H16" s="134"/>
      <c r="I16" s="134"/>
      <c r="J16" s="134"/>
      <c r="K16" s="101"/>
      <c r="L16" s="101"/>
      <c r="M16" s="3" t="s">
        <v>9</v>
      </c>
      <c r="N16" s="97">
        <f>B31</f>
        <v>0</v>
      </c>
      <c r="O16" s="106">
        <f>(O11+O12+O15+O14+O13)/6</f>
        <v>291.66666666666669</v>
      </c>
    </row>
    <row r="17" spans="1:15" ht="15.75" thickBot="1" x14ac:dyDescent="0.3">
      <c r="A17" s="344" t="s">
        <v>0</v>
      </c>
      <c r="B17" s="345"/>
      <c r="C17" s="345"/>
      <c r="D17" s="343" t="s">
        <v>203</v>
      </c>
      <c r="E17" s="343"/>
      <c r="F17" s="343"/>
      <c r="G17" s="135"/>
      <c r="H17" s="134"/>
      <c r="I17" s="134"/>
      <c r="J17" s="134"/>
      <c r="K17" s="101"/>
      <c r="L17" s="101"/>
      <c r="M17" s="3" t="s">
        <v>204</v>
      </c>
      <c r="N17" s="97"/>
      <c r="O17" s="107"/>
    </row>
    <row r="18" spans="1:15" x14ac:dyDescent="0.25">
      <c r="A18" s="103" t="s">
        <v>1</v>
      </c>
      <c r="B18" s="117">
        <v>70</v>
      </c>
      <c r="C18" s="108" t="s">
        <v>83</v>
      </c>
      <c r="D18" s="109">
        <v>10</v>
      </c>
      <c r="G18" s="135"/>
      <c r="H18" s="134"/>
      <c r="I18" s="134"/>
      <c r="J18" s="134"/>
      <c r="K18" s="101"/>
      <c r="L18" s="101"/>
      <c r="M18" s="250" t="s">
        <v>205</v>
      </c>
      <c r="N18" s="251"/>
      <c r="O18" s="106"/>
    </row>
    <row r="19" spans="1:15" ht="15.75" thickBot="1" x14ac:dyDescent="0.3">
      <c r="A19" s="165" t="s">
        <v>2</v>
      </c>
      <c r="B19" s="166"/>
      <c r="C19" s="167" t="s">
        <v>37</v>
      </c>
      <c r="D19" s="168"/>
      <c r="G19" s="135"/>
      <c r="M19" s="111" t="s">
        <v>192</v>
      </c>
      <c r="N19" s="141"/>
      <c r="O19" s="112"/>
    </row>
    <row r="20" spans="1:15" ht="15.75" customHeight="1" thickBot="1" x14ac:dyDescent="0.3">
      <c r="A20" s="226" t="s">
        <v>79</v>
      </c>
      <c r="B20" s="265"/>
      <c r="C20" s="172" t="s">
        <v>38</v>
      </c>
      <c r="D20" s="173"/>
      <c r="E20" s="172" t="s">
        <v>78</v>
      </c>
      <c r="F20" s="174">
        <f>IF(B19="",0,B19/D19)</f>
        <v>0</v>
      </c>
      <c r="G20" s="101"/>
      <c r="H20" s="234" t="s">
        <v>180</v>
      </c>
      <c r="I20" s="235"/>
      <c r="J20" s="235"/>
      <c r="K20" s="235"/>
      <c r="L20" s="236"/>
      <c r="M20" s="386" t="s">
        <v>10</v>
      </c>
      <c r="N20" s="102" t="s">
        <v>13</v>
      </c>
      <c r="O20" s="106">
        <f>(O11+O12+O15+O16)/12</f>
        <v>170.13888888888889</v>
      </c>
    </row>
    <row r="21" spans="1:15" ht="15.75" x14ac:dyDescent="0.25">
      <c r="A21" s="240" t="s">
        <v>206</v>
      </c>
      <c r="B21" s="241"/>
      <c r="C21" s="241"/>
      <c r="D21" s="241"/>
      <c r="E21" s="241"/>
      <c r="F21" s="242"/>
      <c r="G21" s="101"/>
      <c r="H21" s="237"/>
      <c r="I21" s="238"/>
      <c r="J21" s="238"/>
      <c r="K21" s="238"/>
      <c r="L21" s="239"/>
      <c r="M21" s="386" t="s">
        <v>11</v>
      </c>
      <c r="N21" s="102" t="s">
        <v>14</v>
      </c>
      <c r="O21" s="106">
        <f>O20/3</f>
        <v>56.712962962962962</v>
      </c>
    </row>
    <row r="22" spans="1:15" ht="15" customHeight="1" x14ac:dyDescent="0.25">
      <c r="A22" s="99" t="s">
        <v>112</v>
      </c>
      <c r="B22" s="97" t="s">
        <v>108</v>
      </c>
      <c r="C22" s="97" t="s">
        <v>109</v>
      </c>
      <c r="D22" s="97" t="s">
        <v>115</v>
      </c>
      <c r="E22" s="97" t="s">
        <v>110</v>
      </c>
      <c r="F22" s="178" t="s">
        <v>111</v>
      </c>
      <c r="G22" s="101"/>
      <c r="H22" s="237"/>
      <c r="I22" s="238"/>
      <c r="J22" s="238"/>
      <c r="K22" s="238"/>
      <c r="L22" s="239"/>
      <c r="M22" s="386" t="s">
        <v>12</v>
      </c>
      <c r="N22" s="102" t="s">
        <v>13</v>
      </c>
      <c r="O22" s="106">
        <f>(O11+O12+O15+O16)/12</f>
        <v>170.13888888888889</v>
      </c>
    </row>
    <row r="23" spans="1:15" ht="15" customHeight="1" x14ac:dyDescent="0.25">
      <c r="A23" s="179" t="s">
        <v>207</v>
      </c>
      <c r="B23" s="185"/>
      <c r="C23" s="185"/>
      <c r="D23" s="185"/>
      <c r="E23" s="185"/>
      <c r="F23" s="183">
        <f t="shared" ref="F23:F28" si="0">IF(SUM(B23:E23)=0,0,SUM(B23:E23))</f>
        <v>0</v>
      </c>
      <c r="G23" s="101"/>
      <c r="H23" s="237"/>
      <c r="I23" s="238"/>
      <c r="J23" s="238"/>
      <c r="K23" s="238"/>
      <c r="L23" s="239"/>
      <c r="M23" s="387" t="s">
        <v>87</v>
      </c>
      <c r="N23" s="251"/>
      <c r="O23" s="106"/>
    </row>
    <row r="24" spans="1:15" ht="15.75" customHeight="1" thickBot="1" x14ac:dyDescent="0.3">
      <c r="A24" s="180" t="s">
        <v>208</v>
      </c>
      <c r="B24" s="186"/>
      <c r="C24" s="186"/>
      <c r="D24" s="185"/>
      <c r="E24" s="186"/>
      <c r="F24" s="184">
        <f t="shared" si="0"/>
        <v>0</v>
      </c>
      <c r="G24" s="101"/>
      <c r="H24" s="237"/>
      <c r="I24" s="238"/>
      <c r="J24" s="238"/>
      <c r="K24" s="238"/>
      <c r="L24" s="239"/>
      <c r="M24" s="388" t="s">
        <v>209</v>
      </c>
      <c r="N24" s="374">
        <f>F32</f>
        <v>1</v>
      </c>
      <c r="O24" s="106">
        <f>F35</f>
        <v>0</v>
      </c>
    </row>
    <row r="25" spans="1:15" ht="15.75" customHeight="1" thickBot="1" x14ac:dyDescent="0.3">
      <c r="A25" s="180" t="s">
        <v>193</v>
      </c>
      <c r="B25" s="187"/>
      <c r="C25" s="187"/>
      <c r="D25" s="185"/>
      <c r="E25" s="187"/>
      <c r="F25" s="183">
        <f t="shared" si="0"/>
        <v>0</v>
      </c>
      <c r="G25" s="101"/>
      <c r="H25" s="237"/>
      <c r="I25" s="238"/>
      <c r="J25" s="238"/>
      <c r="K25" s="238"/>
      <c r="L25" s="239"/>
      <c r="M25" s="389"/>
      <c r="N25" s="141"/>
      <c r="O25" s="112">
        <v>250</v>
      </c>
    </row>
    <row r="26" spans="1:15" ht="15.75" customHeight="1" x14ac:dyDescent="0.25">
      <c r="A26" s="181" t="s">
        <v>194</v>
      </c>
      <c r="B26" s="188"/>
      <c r="C26" s="188"/>
      <c r="D26" s="185"/>
      <c r="E26" s="188"/>
      <c r="F26" s="183">
        <f t="shared" si="0"/>
        <v>0</v>
      </c>
      <c r="G26" s="101"/>
      <c r="H26" s="237"/>
      <c r="I26" s="238"/>
      <c r="J26" s="238"/>
      <c r="K26" s="238"/>
      <c r="L26" s="239"/>
      <c r="M26" s="390"/>
      <c r="N26" s="182"/>
      <c r="O26" s="166"/>
    </row>
    <row r="27" spans="1:15" ht="15.75" customHeight="1" thickBot="1" x14ac:dyDescent="0.3">
      <c r="A27" s="180" t="s">
        <v>195</v>
      </c>
      <c r="B27" s="187"/>
      <c r="C27" s="187"/>
      <c r="D27" s="185"/>
      <c r="E27" s="187"/>
      <c r="F27" s="183">
        <f t="shared" si="0"/>
        <v>0</v>
      </c>
      <c r="G27" s="101"/>
      <c r="H27" s="237"/>
      <c r="I27" s="238"/>
      <c r="J27" s="238"/>
      <c r="K27" s="238"/>
      <c r="L27" s="239"/>
      <c r="M27" s="391" t="s">
        <v>15</v>
      </c>
      <c r="N27" s="114"/>
      <c r="O27" s="115">
        <f>SUM(O11:O26)</f>
        <v>2688.6574074074074</v>
      </c>
    </row>
    <row r="28" spans="1:15" ht="15.75" customHeight="1" thickBot="1" x14ac:dyDescent="0.3">
      <c r="A28" s="180" t="s">
        <v>196</v>
      </c>
      <c r="B28" s="186"/>
      <c r="C28" s="186"/>
      <c r="D28" s="185"/>
      <c r="E28" s="186"/>
      <c r="F28" s="183">
        <f t="shared" si="0"/>
        <v>0</v>
      </c>
      <c r="G28" s="101"/>
      <c r="H28" s="237"/>
      <c r="I28" s="238"/>
      <c r="J28" s="238"/>
      <c r="K28" s="238"/>
      <c r="L28" s="239"/>
      <c r="M28" s="366" t="s">
        <v>16</v>
      </c>
      <c r="N28" s="366"/>
      <c r="O28" s="367"/>
    </row>
    <row r="29" spans="1:15" ht="15" customHeight="1" x14ac:dyDescent="0.25">
      <c r="A29" s="175" t="s">
        <v>4</v>
      </c>
      <c r="B29" s="176" t="s">
        <v>210</v>
      </c>
      <c r="C29" s="400">
        <v>0.3</v>
      </c>
      <c r="D29" s="177"/>
      <c r="E29" s="368"/>
      <c r="F29" s="369"/>
      <c r="G29" s="101"/>
      <c r="H29" s="237"/>
      <c r="I29" s="238"/>
      <c r="J29" s="238"/>
      <c r="K29" s="238"/>
      <c r="L29" s="239"/>
      <c r="M29" s="386" t="s">
        <v>113</v>
      </c>
      <c r="N29" s="113">
        <f>O36</f>
        <v>0.09</v>
      </c>
      <c r="O29" s="106">
        <f>ROUND(IF(N36&lt;'tabela INSS'!B8,'tabela INSS'!C8*N36,IF(AND(N36&gt;'tabela INSS'!B8,N36&lt;'tabela INSS'!B9),N36*'tabela INSS'!C9,IF(AND(N36&gt;'tabela INSS'!A10,N36&lt;'tabela INSS'!B10),N36*'tabela INSS'!C10,IF(N36&gt;'tabela INSS'!B10,'tabela INSS'!C10*'tabela INSS'!B10))))-F24,2)</f>
        <v>183.75</v>
      </c>
    </row>
    <row r="30" spans="1:15" ht="15" customHeight="1" thickBot="1" x14ac:dyDescent="0.3">
      <c r="A30" s="4" t="s">
        <v>5</v>
      </c>
      <c r="B30" s="110" t="s">
        <v>107</v>
      </c>
      <c r="C30" s="4" t="s">
        <v>36</v>
      </c>
      <c r="D30" s="110"/>
      <c r="E30" s="370"/>
      <c r="F30" s="370"/>
      <c r="G30" s="101"/>
      <c r="H30" s="237"/>
      <c r="I30" s="238"/>
      <c r="J30" s="238"/>
      <c r="K30" s="238"/>
      <c r="L30" s="239"/>
      <c r="M30" s="386" t="s">
        <v>105</v>
      </c>
      <c r="N30" s="113">
        <f>O37</f>
        <v>0.08</v>
      </c>
      <c r="O30" s="106">
        <f>IF(O22&gt;'tabela INSS'!B10,'tabela INSS'!B10*'tabela INSS'!C10,IF('Banco de Dados'!O22&lt;'tabela INSS'!A9,'Banco de Dados'!O22*'tabela INSS'!C8,IF(AND('Banco de Dados'!O22&gt;'tabela INSS'!B8,'Banco de Dados'!O22&lt;'tabela INSS'!A10),'Banco de Dados'!O22*'tabela INSS'!C9,IF(AND('Banco de Dados'!O22&gt;'tabela INSS'!B9,'Banco de Dados'!O22&lt;'tabela INSS'!B10),'Banco de Dados'!O22*'tabela INSS'!C10,""))))-F27</f>
        <v>13.611111111111111</v>
      </c>
    </row>
    <row r="31" spans="1:15" ht="15.75" customHeight="1" thickBot="1" x14ac:dyDescent="0.3">
      <c r="A31" s="129" t="s">
        <v>85</v>
      </c>
      <c r="B31" s="126">
        <v>0</v>
      </c>
      <c r="C31" s="146"/>
      <c r="D31" s="228" t="s">
        <v>197</v>
      </c>
      <c r="E31" s="229"/>
      <c r="F31" s="230"/>
      <c r="G31" s="101"/>
      <c r="H31" s="237"/>
      <c r="I31" s="238"/>
      <c r="J31" s="238"/>
      <c r="K31" s="238"/>
      <c r="L31" s="239"/>
      <c r="M31" s="386" t="s">
        <v>17</v>
      </c>
      <c r="N31" s="198">
        <f>O38</f>
        <v>0</v>
      </c>
      <c r="O31" s="106">
        <f>ROUND(IF(N38&lt;'Tabela IRRF'!B8,'Tabela IRRF'!C8*N38,IF(AND(N38&gt;'Tabela IRRF'!B8,N38&lt;'Tabela IRRF'!B9),N38*'Tabela IRRF'!C9-'Tabela IRRF'!D9,IF(AND(N38&gt;'Tabela IRRF'!B9,N38&lt;'Tabela IRRF'!B10),N38*'Tabela IRRF'!C10-'Tabela IRRF'!D10,IF(AND(N38&gt;'Tabela IRRF'!B10,N38&lt;'Tabela IRRF'!B11),N38*'Tabela IRRF'!C11-'Tabela IRRF'!D11,IF(N38&gt;'Tabela IRRF'!A12,N38*'Tabela IRRF'!C12-'Tabela IRRF'!D12,"")))))-F25,2)</f>
        <v>0</v>
      </c>
    </row>
    <row r="32" spans="1:15" ht="15" customHeight="1" x14ac:dyDescent="0.25">
      <c r="A32" s="103" t="s">
        <v>93</v>
      </c>
      <c r="B32" s="104" t="s">
        <v>3</v>
      </c>
      <c r="C32" s="161" t="s">
        <v>39</v>
      </c>
      <c r="D32" s="231" t="s">
        <v>187</v>
      </c>
      <c r="E32" s="232"/>
      <c r="F32" s="375">
        <v>1</v>
      </c>
      <c r="G32" s="101"/>
      <c r="H32" s="237"/>
      <c r="I32" s="238"/>
      <c r="J32" s="238"/>
      <c r="K32" s="238"/>
      <c r="L32" s="239"/>
      <c r="M32" s="386" t="s">
        <v>106</v>
      </c>
      <c r="N32" s="199">
        <f>O39</f>
        <v>0</v>
      </c>
      <c r="O32" s="145">
        <f>ROUND(IF(N39&lt;'Tabela IRRF'!B8,'Tabela IRRF'!C8*N39,IF(AND(N39&gt;'Tabela IRRF'!B8,N39&lt;'Tabela IRRF'!B9),N39*'Tabela IRRF'!C9-'Tabela IRRF'!D9,IF(AND(N39&gt;'Tabela IRRF'!B9,N39&lt;'Tabela IRRF'!B10),N39*'Tabela IRRF'!C10-'Tabela IRRF'!D10,IF(AND(N39&gt;'Tabela IRRF'!B10,N39&lt;'Tabela IRRF'!B11),N39*'Tabela IRRF'!C11-'Tabela IRRF'!D11,IF(N39&gt;'Tabela IRRF'!A12,N39*'Tabela IRRF'!C12-'Tabela IRRF'!D12,"")))))-F28,2)</f>
        <v>0</v>
      </c>
    </row>
    <row r="33" spans="1:15" ht="15.75" customHeight="1" thickBot="1" x14ac:dyDescent="0.3">
      <c r="A33" s="127" t="s">
        <v>77</v>
      </c>
      <c r="B33" s="128">
        <v>10</v>
      </c>
      <c r="C33" s="162">
        <v>0.5</v>
      </c>
      <c r="D33" s="365" t="s">
        <v>188</v>
      </c>
      <c r="E33" s="376"/>
      <c r="F33" s="377" t="s">
        <v>181</v>
      </c>
      <c r="G33" s="101"/>
      <c r="H33" s="237"/>
      <c r="I33" s="238"/>
      <c r="J33" s="238"/>
      <c r="K33" s="238"/>
      <c r="L33" s="239"/>
      <c r="M33" s="392" t="s">
        <v>81</v>
      </c>
      <c r="N33" s="372"/>
      <c r="O33" s="373">
        <f>F38</f>
        <v>0</v>
      </c>
    </row>
    <row r="34" spans="1:15" ht="15.75" customHeight="1" thickBot="1" x14ac:dyDescent="0.3">
      <c r="A34" s="226" t="s">
        <v>88</v>
      </c>
      <c r="B34" s="227"/>
      <c r="C34" s="163" t="s">
        <v>98</v>
      </c>
      <c r="D34" s="347"/>
      <c r="E34" s="348" t="s">
        <v>186</v>
      </c>
      <c r="F34" s="378">
        <f>IF(OR(F33="sim",F33=""),0,IF(SUM(B23:E23)+O11+O12+O13+O14+O15+O16+O17&gt;'tabela INSS'!B14,0,SUM(B23:E23)+O11+O12+O13+O14+O15+O16+O17))</f>
        <v>0</v>
      </c>
      <c r="G34" s="101"/>
      <c r="H34" s="237"/>
      <c r="I34" s="238"/>
      <c r="J34" s="238"/>
      <c r="K34" s="238"/>
      <c r="L34" s="239"/>
      <c r="M34" s="370" t="str">
        <f>D39</f>
        <v>Prejuízos causados (ou outro nome)</v>
      </c>
      <c r="N34" s="372"/>
      <c r="O34" s="373">
        <f>F39</f>
        <v>0</v>
      </c>
    </row>
    <row r="35" spans="1:15" ht="15.75" customHeight="1" thickBot="1" x14ac:dyDescent="0.3">
      <c r="A35" s="222" t="s">
        <v>89</v>
      </c>
      <c r="B35" s="223"/>
      <c r="C35" s="164"/>
      <c r="D35" s="349"/>
      <c r="E35" s="350" t="s">
        <v>189</v>
      </c>
      <c r="F35" s="382">
        <f>IF(F34=0,0,IF(F34&lt;'tabela INSS'!B13,'tabela INSS'!C13,IF(OR('Banco de Dados'!F34&gt;'tabela INSS'!B13,'Banco de Dados'!F34&gt;'tabela INSS'!A15),'tabela INSS'!C14,IF('Banco de Dados'!F34&gt;'tabela INSS'!B13,"Acima do teto"))))*F32</f>
        <v>0</v>
      </c>
      <c r="G35" s="101"/>
      <c r="H35" s="237"/>
      <c r="I35" s="238"/>
      <c r="J35" s="238"/>
      <c r="K35" s="238"/>
      <c r="L35" s="239"/>
      <c r="M35" s="393" t="s">
        <v>80</v>
      </c>
      <c r="N35" s="116"/>
      <c r="O35" s="189">
        <f>O27-SUM(O29:O34)</f>
        <v>2491.2962962962961</v>
      </c>
    </row>
    <row r="36" spans="1:15" ht="15.75" customHeight="1" thickBot="1" x14ac:dyDescent="0.3">
      <c r="A36" s="224" t="s">
        <v>90</v>
      </c>
      <c r="B36" s="225"/>
      <c r="C36" s="110">
        <v>0</v>
      </c>
      <c r="G36" s="101"/>
      <c r="H36" s="237"/>
      <c r="I36" s="238"/>
      <c r="J36" s="238"/>
      <c r="K36" s="238"/>
      <c r="L36" s="239"/>
      <c r="M36" s="394" t="s">
        <v>34</v>
      </c>
      <c r="N36" s="193">
        <f>O11+O12+O15+O16+O19+O14+F23</f>
        <v>2041.6666666666667</v>
      </c>
      <c r="O36" s="194">
        <f>IF(N36=0,0,IF(N36&lt;'tabela INSS'!A9,'tabela INSS'!C8,IF(AND(N36&gt;'tabela INSS'!B8,N36&lt;'tabela INSS'!A10),'tabela INSS'!C9,IF(N36&gt;'tabela INSS'!B9,'tabela INSS'!C10))))</f>
        <v>0.09</v>
      </c>
    </row>
    <row r="37" spans="1:15" ht="15.75" customHeight="1" thickBot="1" x14ac:dyDescent="0.3">
      <c r="A37" s="122" t="s">
        <v>94</v>
      </c>
      <c r="B37" s="124" t="s">
        <v>3</v>
      </c>
      <c r="C37" s="118" t="s">
        <v>39</v>
      </c>
      <c r="D37" s="228" t="s">
        <v>190</v>
      </c>
      <c r="E37" s="229"/>
      <c r="F37" s="230"/>
      <c r="G37" s="101"/>
      <c r="H37" s="237"/>
      <c r="I37" s="238"/>
      <c r="J37" s="238"/>
      <c r="K37" s="238"/>
      <c r="L37" s="239"/>
      <c r="M37" s="394" t="s">
        <v>103</v>
      </c>
      <c r="N37" s="191">
        <f>O22+F26-F27-O30</f>
        <v>156.52777777777777</v>
      </c>
      <c r="O37" s="195">
        <f>IF(N37=0,0,IF(N37&lt;'tabela INSS'!A9,'tabela INSS'!C8,IF(AND(N37&gt;'tabela INSS'!B8,N37&lt;'tabela INSS'!A10),'tabela INSS'!C9,IF(N37&gt;'tabela INSS'!B9,'tabela INSS'!C10))))</f>
        <v>0.08</v>
      </c>
    </row>
    <row r="38" spans="1:15" ht="15.75" customHeight="1" thickBot="1" x14ac:dyDescent="0.3">
      <c r="A38" s="130" t="s">
        <v>97</v>
      </c>
      <c r="B38" s="121">
        <v>0</v>
      </c>
      <c r="C38" s="131">
        <v>0.5</v>
      </c>
      <c r="D38" s="379" t="s">
        <v>191</v>
      </c>
      <c r="E38" s="371"/>
      <c r="F38" s="380"/>
      <c r="G38" s="101"/>
      <c r="H38" s="237"/>
      <c r="I38" s="238"/>
      <c r="J38" s="238"/>
      <c r="K38" s="238"/>
      <c r="L38" s="239"/>
      <c r="M38" s="394" t="s">
        <v>35</v>
      </c>
      <c r="N38" s="191">
        <f>(ROUND(O11+O12+O15+O16+O14+O13+O17+O19+F23-O29-F24-('Tabela IRRF'!B4*D30),2))</f>
        <v>1857.92</v>
      </c>
      <c r="O38" s="195">
        <f>IF(N38&lt;'Tabela IRRF'!A9,'Tabela IRRF'!C8,IF(AND(N38&gt;'Tabela IRRF'!B8,N38&lt;'Tabela IRRF'!A10),'Tabela IRRF'!C9,IF(AND(N38&gt;'Tabela IRRF'!B9,N38&lt;'Tabela IRRF'!A11),'Tabela IRRF'!C10,IF(EN38&gt;'Tabela IRRF'!B10&lt;'Tabela IRRF'!A12,'Tabela IRRF'!C11,IF(N38&gt;'Tabela IRRF'!B11,'Tabela IRRF'!C12)))))</f>
        <v>0</v>
      </c>
    </row>
    <row r="39" spans="1:15" ht="15.75" customHeight="1" thickBot="1" x14ac:dyDescent="0.3">
      <c r="A39" s="123" t="s">
        <v>90</v>
      </c>
      <c r="B39" s="125"/>
      <c r="C39" s="132"/>
      <c r="D39" s="383" t="s">
        <v>198</v>
      </c>
      <c r="E39" s="384"/>
      <c r="F39" s="381"/>
      <c r="G39" s="101"/>
      <c r="H39" s="237"/>
      <c r="I39" s="238"/>
      <c r="J39" s="238"/>
      <c r="K39" s="238"/>
      <c r="L39" s="239"/>
      <c r="M39" s="394" t="s">
        <v>104</v>
      </c>
      <c r="N39" s="190">
        <f>O22+F26</f>
        <v>170.13888888888889</v>
      </c>
      <c r="O39" s="195">
        <f>IF(N39&lt;'Tabela IRRF'!A9,'Tabela IRRF'!C8,IF(AND(N39&gt;'Tabela IRRF'!B8,N39&lt;'Tabela IRRF'!A10),'Tabela IRRF'!C9,IF(AND(N39&gt;'Tabela IRRF'!B9,N39&lt;'Tabela IRRF'!A11),'Tabela IRRF'!C10,IF(EN39&gt;'Tabela IRRF'!B10&lt;'Tabela IRRF'!A12,'Tabela IRRF'!C11,IF(N39&gt;'Tabela IRRF'!B11,'Tabela IRRF'!C12)))))</f>
        <v>0</v>
      </c>
    </row>
    <row r="40" spans="1:15" ht="15.75" customHeight="1" thickBot="1" x14ac:dyDescent="0.3">
      <c r="A40" s="233" t="s">
        <v>199</v>
      </c>
      <c r="B40" s="233"/>
      <c r="C40" s="233"/>
      <c r="D40" s="348"/>
      <c r="E40" s="348"/>
      <c r="F40" s="348"/>
      <c r="G40" s="132"/>
      <c r="H40" s="237"/>
      <c r="I40" s="238"/>
      <c r="J40" s="238"/>
      <c r="K40" s="238"/>
      <c r="L40" s="239"/>
      <c r="M40" s="394" t="s">
        <v>96</v>
      </c>
      <c r="N40" s="192">
        <f>(C35*60+C36)/52.5</f>
        <v>0</v>
      </c>
      <c r="O40" s="195"/>
    </row>
    <row r="41" spans="1:15" ht="15" customHeight="1" thickBot="1" x14ac:dyDescent="0.3">
      <c r="A41" s="221"/>
      <c r="B41" s="221"/>
      <c r="C41" s="221"/>
      <c r="D41" s="348"/>
      <c r="E41" s="348"/>
      <c r="F41" s="348"/>
      <c r="H41" s="237"/>
      <c r="I41" s="238"/>
      <c r="J41" s="238"/>
      <c r="K41" s="238"/>
      <c r="L41" s="239"/>
      <c r="M41" s="394" t="s">
        <v>95</v>
      </c>
      <c r="N41" s="196">
        <f>(B38*60+B39)/52.5</f>
        <v>0</v>
      </c>
      <c r="O41" s="197"/>
    </row>
    <row r="42" spans="1:15" ht="15" customHeight="1" x14ac:dyDescent="0.25">
      <c r="A42" s="221"/>
      <c r="B42" s="221"/>
      <c r="C42" s="221"/>
      <c r="D42" s="348"/>
      <c r="E42" s="348"/>
      <c r="F42" s="348"/>
      <c r="H42" s="237"/>
      <c r="I42" s="238"/>
      <c r="J42" s="238"/>
      <c r="K42" s="238"/>
      <c r="L42" s="239"/>
      <c r="M42" s="233" t="s">
        <v>199</v>
      </c>
      <c r="N42" s="233"/>
      <c r="O42" s="233"/>
    </row>
    <row r="43" spans="1:15" ht="15.75" customHeight="1" x14ac:dyDescent="0.25">
      <c r="A43" s="221"/>
      <c r="B43" s="221"/>
      <c r="C43" s="221"/>
      <c r="D43" s="348"/>
      <c r="E43" s="348"/>
      <c r="F43" s="348"/>
      <c r="H43" s="395" t="s">
        <v>179</v>
      </c>
      <c r="I43" s="385"/>
      <c r="J43" s="385"/>
      <c r="K43" s="385"/>
      <c r="L43" s="396"/>
      <c r="M43" s="221"/>
      <c r="N43" s="221"/>
      <c r="O43" s="221"/>
    </row>
    <row r="44" spans="1:15" ht="15" customHeight="1" thickBot="1" x14ac:dyDescent="0.3">
      <c r="A44" s="221"/>
      <c r="B44" s="221"/>
      <c r="C44" s="221"/>
      <c r="D44" s="348"/>
      <c r="E44" s="348"/>
      <c r="F44" s="348"/>
      <c r="H44" s="397"/>
      <c r="I44" s="398"/>
      <c r="J44" s="398"/>
      <c r="K44" s="398"/>
      <c r="L44" s="399"/>
      <c r="M44" s="346"/>
      <c r="N44" s="346"/>
      <c r="O44" s="346"/>
    </row>
    <row r="49" spans="6:6" x14ac:dyDescent="0.25">
      <c r="F49" s="5"/>
    </row>
  </sheetData>
  <sheetProtection password="E429" sheet="1" objects="1" scenarios="1"/>
  <mergeCells count="35">
    <mergeCell ref="M42:O43"/>
    <mergeCell ref="M28:O28"/>
    <mergeCell ref="D37:F37"/>
    <mergeCell ref="D38:E38"/>
    <mergeCell ref="D39:E39"/>
    <mergeCell ref="A40:C44"/>
    <mergeCell ref="H20:L42"/>
    <mergeCell ref="H43:L44"/>
    <mergeCell ref="B1:E6"/>
    <mergeCell ref="A1:A6"/>
    <mergeCell ref="F1:L6"/>
    <mergeCell ref="D31:F31"/>
    <mergeCell ref="D33:E33"/>
    <mergeCell ref="D32:E32"/>
    <mergeCell ref="B16:F16"/>
    <mergeCell ref="A9:G9"/>
    <mergeCell ref="A20:B20"/>
    <mergeCell ref="B14:F14"/>
    <mergeCell ref="B10:F10"/>
    <mergeCell ref="B11:F11"/>
    <mergeCell ref="B12:F12"/>
    <mergeCell ref="D17:F17"/>
    <mergeCell ref="A17:C17"/>
    <mergeCell ref="P7:T7"/>
    <mergeCell ref="A35:B35"/>
    <mergeCell ref="A36:B36"/>
    <mergeCell ref="A34:B34"/>
    <mergeCell ref="A21:F21"/>
    <mergeCell ref="M8:O8"/>
    <mergeCell ref="A7:F8"/>
    <mergeCell ref="M18:N18"/>
    <mergeCell ref="M23:N23"/>
    <mergeCell ref="M9:O9"/>
    <mergeCell ref="M7:O7"/>
    <mergeCell ref="B15:F15"/>
  </mergeCells>
  <dataValidations count="2">
    <dataValidation type="list" allowBlank="1" showInputMessage="1" showErrorMessage="1" sqref="B29:B30">
      <formula1>"SIM ou NÃO,SIM,NÃO"</formula1>
    </dataValidation>
    <dataValidation type="list" allowBlank="1" showInputMessage="1" showErrorMessage="1" sqref="F33">
      <formula1>"sim,não"</formula1>
    </dataValidation>
  </dataValidations>
  <hyperlinks>
    <hyperlink ref="M8" r:id="rId1"/>
    <hyperlink ref="H43" r:id="rId2"/>
  </hyperlinks>
  <pageMargins left="0.511811024" right="0.511811024" top="0.78740157499999996" bottom="0.78740157499999996" header="0.31496062000000002" footer="0.31496062000000002"/>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zoomScale="90" zoomScaleNormal="90" workbookViewId="0">
      <selection activeCell="A49" sqref="A49"/>
    </sheetView>
  </sheetViews>
  <sheetFormatPr defaultRowHeight="15" x14ac:dyDescent="0.25"/>
  <cols>
    <col min="1" max="1" width="62.28515625" style="212" bestFit="1" customWidth="1"/>
    <col min="2" max="2" width="53.28515625" style="213" bestFit="1" customWidth="1"/>
    <col min="3" max="16384" width="9.140625" style="2"/>
  </cols>
  <sheetData>
    <row r="1" spans="1:7" ht="29.25" customHeight="1" thickBot="1" x14ac:dyDescent="0.3">
      <c r="A1" s="323" t="s">
        <v>169</v>
      </c>
      <c r="B1" s="323"/>
      <c r="C1" s="323"/>
      <c r="D1" s="323"/>
      <c r="E1" s="323"/>
      <c r="F1" s="323"/>
      <c r="G1" s="323"/>
    </row>
    <row r="2" spans="1:7" s="205" customFormat="1" ht="21.75" thickBot="1" x14ac:dyDescent="0.3">
      <c r="A2" s="203" t="s">
        <v>116</v>
      </c>
      <c r="B2" s="204" t="s">
        <v>117</v>
      </c>
    </row>
    <row r="3" spans="1:7" x14ac:dyDescent="0.25">
      <c r="A3" s="206" t="s">
        <v>170</v>
      </c>
      <c r="B3" s="324" t="s">
        <v>119</v>
      </c>
    </row>
    <row r="4" spans="1:7" x14ac:dyDescent="0.25">
      <c r="A4" s="206" t="s">
        <v>120</v>
      </c>
      <c r="B4" s="325"/>
    </row>
    <row r="5" spans="1:7" x14ac:dyDescent="0.25">
      <c r="A5" s="206" t="s">
        <v>121</v>
      </c>
      <c r="B5" s="325"/>
    </row>
    <row r="6" spans="1:7" x14ac:dyDescent="0.25">
      <c r="A6" s="206" t="s">
        <v>122</v>
      </c>
      <c r="B6" s="325"/>
    </row>
    <row r="7" spans="1:7" x14ac:dyDescent="0.25">
      <c r="A7" s="206" t="s">
        <v>123</v>
      </c>
      <c r="B7" s="325"/>
    </row>
    <row r="8" spans="1:7" ht="15.75" thickBot="1" x14ac:dyDescent="0.3">
      <c r="A8" s="207" t="s">
        <v>124</v>
      </c>
      <c r="B8" s="326"/>
    </row>
    <row r="9" spans="1:7" x14ac:dyDescent="0.25">
      <c r="A9" s="206" t="s">
        <v>118</v>
      </c>
      <c r="B9" s="324" t="s">
        <v>125</v>
      </c>
    </row>
    <row r="10" spans="1:7" x14ac:dyDescent="0.25">
      <c r="A10" s="206" t="s">
        <v>120</v>
      </c>
      <c r="B10" s="325"/>
    </row>
    <row r="11" spans="1:7" x14ac:dyDescent="0.25">
      <c r="A11" s="206" t="s">
        <v>121</v>
      </c>
      <c r="B11" s="325"/>
    </row>
    <row r="12" spans="1:7" x14ac:dyDescent="0.25">
      <c r="A12" s="206" t="s">
        <v>122</v>
      </c>
      <c r="B12" s="325"/>
    </row>
    <row r="13" spans="1:7" x14ac:dyDescent="0.25">
      <c r="A13" s="206" t="s">
        <v>123</v>
      </c>
      <c r="B13" s="325"/>
    </row>
    <row r="14" spans="1:7" ht="15.75" thickBot="1" x14ac:dyDescent="0.3">
      <c r="A14" s="208" t="s">
        <v>126</v>
      </c>
      <c r="B14" s="326"/>
    </row>
    <row r="15" spans="1:7" x14ac:dyDescent="0.25">
      <c r="A15" s="209" t="s">
        <v>171</v>
      </c>
      <c r="B15" s="324" t="s">
        <v>133</v>
      </c>
      <c r="C15" s="327" t="s">
        <v>168</v>
      </c>
      <c r="D15" s="328"/>
      <c r="E15" s="328"/>
      <c r="F15" s="328"/>
      <c r="G15" s="329"/>
    </row>
    <row r="16" spans="1:7" x14ac:dyDescent="0.25">
      <c r="A16" s="206" t="s">
        <v>134</v>
      </c>
      <c r="B16" s="325"/>
      <c r="C16" s="330"/>
      <c r="D16" s="331"/>
      <c r="E16" s="331"/>
      <c r="F16" s="331"/>
      <c r="G16" s="332"/>
    </row>
    <row r="17" spans="1:7" x14ac:dyDescent="0.25">
      <c r="A17" s="206" t="s">
        <v>135</v>
      </c>
      <c r="B17" s="325"/>
      <c r="C17" s="330"/>
      <c r="D17" s="331"/>
      <c r="E17" s="331"/>
      <c r="F17" s="331"/>
      <c r="G17" s="332"/>
    </row>
    <row r="18" spans="1:7" x14ac:dyDescent="0.25">
      <c r="A18" s="206" t="s">
        <v>136</v>
      </c>
      <c r="B18" s="325"/>
      <c r="C18" s="330"/>
      <c r="D18" s="331"/>
      <c r="E18" s="331"/>
      <c r="F18" s="331"/>
      <c r="G18" s="332"/>
    </row>
    <row r="19" spans="1:7" x14ac:dyDescent="0.25">
      <c r="A19" s="206" t="s">
        <v>137</v>
      </c>
      <c r="B19" s="325"/>
      <c r="C19" s="330"/>
      <c r="D19" s="331"/>
      <c r="E19" s="331"/>
      <c r="F19" s="331"/>
      <c r="G19" s="332"/>
    </row>
    <row r="20" spans="1:7" x14ac:dyDescent="0.25">
      <c r="A20" s="206" t="s">
        <v>138</v>
      </c>
      <c r="B20" s="325"/>
      <c r="C20" s="330"/>
      <c r="D20" s="331"/>
      <c r="E20" s="331"/>
      <c r="F20" s="331"/>
      <c r="G20" s="332"/>
    </row>
    <row r="21" spans="1:7" ht="30" x14ac:dyDescent="0.25">
      <c r="A21" s="209" t="s">
        <v>139</v>
      </c>
      <c r="B21" s="325"/>
      <c r="C21" s="330"/>
      <c r="D21" s="331"/>
      <c r="E21" s="331"/>
      <c r="F21" s="331"/>
      <c r="G21" s="332"/>
    </row>
    <row r="22" spans="1:7" ht="45.75" thickBot="1" x14ac:dyDescent="0.3">
      <c r="A22" s="210" t="s">
        <v>140</v>
      </c>
      <c r="B22" s="326"/>
      <c r="C22" s="330"/>
      <c r="D22" s="331"/>
      <c r="E22" s="331"/>
      <c r="F22" s="331"/>
      <c r="G22" s="332"/>
    </row>
    <row r="23" spans="1:7" ht="30" x14ac:dyDescent="0.25">
      <c r="A23" s="209" t="s">
        <v>127</v>
      </c>
      <c r="B23" s="324" t="s">
        <v>128</v>
      </c>
      <c r="C23" s="330"/>
      <c r="D23" s="331"/>
      <c r="E23" s="331"/>
      <c r="F23" s="331"/>
      <c r="G23" s="332"/>
    </row>
    <row r="24" spans="1:7" x14ac:dyDescent="0.25">
      <c r="A24" s="206" t="s">
        <v>129</v>
      </c>
      <c r="B24" s="325"/>
      <c r="C24" s="330"/>
      <c r="D24" s="331"/>
      <c r="E24" s="331"/>
      <c r="F24" s="331"/>
      <c r="G24" s="332"/>
    </row>
    <row r="25" spans="1:7" x14ac:dyDescent="0.25">
      <c r="A25" s="206" t="s">
        <v>130</v>
      </c>
      <c r="B25" s="325"/>
      <c r="C25" s="330"/>
      <c r="D25" s="331"/>
      <c r="E25" s="331"/>
      <c r="F25" s="331"/>
      <c r="G25" s="332"/>
    </row>
    <row r="26" spans="1:7" ht="30" x14ac:dyDescent="0.25">
      <c r="A26" s="209" t="s">
        <v>131</v>
      </c>
      <c r="B26" s="325"/>
      <c r="C26" s="330"/>
      <c r="D26" s="331"/>
      <c r="E26" s="331"/>
      <c r="F26" s="331"/>
      <c r="G26" s="332"/>
    </row>
    <row r="27" spans="1:7" x14ac:dyDescent="0.25">
      <c r="A27" s="206" t="s">
        <v>120</v>
      </c>
      <c r="B27" s="325"/>
      <c r="C27" s="330"/>
      <c r="D27" s="331"/>
      <c r="E27" s="331"/>
      <c r="F27" s="331"/>
      <c r="G27" s="332"/>
    </row>
    <row r="28" spans="1:7" x14ac:dyDescent="0.25">
      <c r="A28" s="206" t="s">
        <v>122</v>
      </c>
      <c r="B28" s="325"/>
      <c r="C28" s="330"/>
      <c r="D28" s="331"/>
      <c r="E28" s="331"/>
      <c r="F28" s="331"/>
      <c r="G28" s="332"/>
    </row>
    <row r="29" spans="1:7" x14ac:dyDescent="0.25">
      <c r="A29" s="206" t="s">
        <v>123</v>
      </c>
      <c r="B29" s="325"/>
      <c r="C29" s="330"/>
      <c r="D29" s="331"/>
      <c r="E29" s="331"/>
      <c r="F29" s="331"/>
      <c r="G29" s="332"/>
    </row>
    <row r="30" spans="1:7" ht="15.75" thickBot="1" x14ac:dyDescent="0.3">
      <c r="A30" s="207" t="s">
        <v>132</v>
      </c>
      <c r="B30" s="326"/>
      <c r="C30" s="330"/>
      <c r="D30" s="331"/>
      <c r="E30" s="331"/>
      <c r="F30" s="331"/>
      <c r="G30" s="332"/>
    </row>
    <row r="31" spans="1:7" ht="30" x14ac:dyDescent="0.25">
      <c r="A31" s="209" t="s">
        <v>172</v>
      </c>
      <c r="B31" s="324" t="s">
        <v>141</v>
      </c>
      <c r="C31" s="220" t="s">
        <v>99</v>
      </c>
      <c r="D31" s="221"/>
      <c r="E31" s="221"/>
      <c r="F31" s="221"/>
      <c r="G31" s="221"/>
    </row>
    <row r="32" spans="1:7" x14ac:dyDescent="0.25">
      <c r="A32" s="206" t="s">
        <v>142</v>
      </c>
      <c r="B32" s="325"/>
      <c r="C32" s="220"/>
      <c r="D32" s="221"/>
      <c r="E32" s="221"/>
      <c r="F32" s="221"/>
      <c r="G32" s="221"/>
    </row>
    <row r="33" spans="1:7" x14ac:dyDescent="0.25">
      <c r="A33" s="206" t="s">
        <v>143</v>
      </c>
      <c r="B33" s="325"/>
      <c r="C33" s="220"/>
      <c r="D33" s="221"/>
      <c r="E33" s="221"/>
      <c r="F33" s="221"/>
      <c r="G33" s="221"/>
    </row>
    <row r="34" spans="1:7" x14ac:dyDescent="0.25">
      <c r="A34" s="206" t="s">
        <v>144</v>
      </c>
      <c r="B34" s="325"/>
      <c r="C34" s="220"/>
      <c r="D34" s="221"/>
      <c r="E34" s="221"/>
      <c r="F34" s="221"/>
      <c r="G34" s="221"/>
    </row>
    <row r="35" spans="1:7" ht="30.75" thickBot="1" x14ac:dyDescent="0.3">
      <c r="A35" s="210" t="s">
        <v>145</v>
      </c>
      <c r="B35" s="326"/>
    </row>
    <row r="36" spans="1:7" x14ac:dyDescent="0.25">
      <c r="A36" s="206" t="s">
        <v>118</v>
      </c>
      <c r="B36" s="324" t="s">
        <v>146</v>
      </c>
    </row>
    <row r="37" spans="1:7" x14ac:dyDescent="0.25">
      <c r="A37" s="206" t="s">
        <v>120</v>
      </c>
      <c r="B37" s="325"/>
    </row>
    <row r="38" spans="1:7" x14ac:dyDescent="0.25">
      <c r="A38" s="206" t="s">
        <v>122</v>
      </c>
      <c r="B38" s="325"/>
    </row>
    <row r="39" spans="1:7" x14ac:dyDescent="0.25">
      <c r="A39" s="206" t="s">
        <v>123</v>
      </c>
      <c r="B39" s="325"/>
    </row>
    <row r="40" spans="1:7" x14ac:dyDescent="0.25">
      <c r="A40" s="206" t="s">
        <v>147</v>
      </c>
      <c r="B40" s="325"/>
    </row>
    <row r="41" spans="1:7" ht="30" x14ac:dyDescent="0.25">
      <c r="A41" s="209" t="s">
        <v>148</v>
      </c>
      <c r="B41" s="325"/>
    </row>
    <row r="42" spans="1:7" ht="45.75" thickBot="1" x14ac:dyDescent="0.3">
      <c r="A42" s="210" t="s">
        <v>149</v>
      </c>
      <c r="B42" s="326"/>
    </row>
    <row r="43" spans="1:7" x14ac:dyDescent="0.25">
      <c r="A43" s="211" t="s">
        <v>150</v>
      </c>
      <c r="B43" s="324" t="s">
        <v>151</v>
      </c>
    </row>
    <row r="44" spans="1:7" ht="30" x14ac:dyDescent="0.25">
      <c r="A44" s="209" t="s">
        <v>173</v>
      </c>
      <c r="B44" s="325"/>
    </row>
    <row r="45" spans="1:7" x14ac:dyDescent="0.25">
      <c r="A45" s="209" t="s">
        <v>152</v>
      </c>
      <c r="B45" s="325"/>
    </row>
    <row r="46" spans="1:7" x14ac:dyDescent="0.25">
      <c r="A46" s="209" t="s">
        <v>174</v>
      </c>
      <c r="B46" s="325"/>
    </row>
    <row r="47" spans="1:7" ht="30" x14ac:dyDescent="0.25">
      <c r="A47" s="209" t="s">
        <v>175</v>
      </c>
      <c r="B47" s="325"/>
    </row>
    <row r="48" spans="1:7" x14ac:dyDescent="0.25">
      <c r="A48" s="209" t="s">
        <v>176</v>
      </c>
      <c r="B48" s="325"/>
    </row>
    <row r="49" spans="1:2" ht="75" x14ac:dyDescent="0.25">
      <c r="A49" s="209" t="s">
        <v>153</v>
      </c>
      <c r="B49" s="325"/>
    </row>
    <row r="50" spans="1:2" ht="30" x14ac:dyDescent="0.25">
      <c r="A50" s="209" t="s">
        <v>154</v>
      </c>
      <c r="B50" s="325"/>
    </row>
    <row r="51" spans="1:2" ht="45" x14ac:dyDescent="0.25">
      <c r="A51" s="209" t="s">
        <v>155</v>
      </c>
      <c r="B51" s="325"/>
    </row>
    <row r="52" spans="1:2" ht="15.75" thickBot="1" x14ac:dyDescent="0.3">
      <c r="A52" s="210" t="s">
        <v>156</v>
      </c>
      <c r="B52" s="326"/>
    </row>
    <row r="53" spans="1:2" x14ac:dyDescent="0.25">
      <c r="A53" s="209" t="s">
        <v>118</v>
      </c>
      <c r="B53" s="324" t="s">
        <v>157</v>
      </c>
    </row>
    <row r="54" spans="1:2" ht="30" x14ac:dyDescent="0.25">
      <c r="A54" s="209" t="s">
        <v>158</v>
      </c>
      <c r="B54" s="325"/>
    </row>
    <row r="55" spans="1:2" x14ac:dyDescent="0.25">
      <c r="A55" s="209" t="s">
        <v>120</v>
      </c>
      <c r="B55" s="325"/>
    </row>
    <row r="56" spans="1:2" x14ac:dyDescent="0.25">
      <c r="A56" s="209" t="s">
        <v>122</v>
      </c>
      <c r="B56" s="325"/>
    </row>
    <row r="57" spans="1:2" x14ac:dyDescent="0.25">
      <c r="A57" s="209" t="s">
        <v>123</v>
      </c>
      <c r="B57" s="325"/>
    </row>
    <row r="58" spans="1:2" ht="45" x14ac:dyDescent="0.25">
      <c r="A58" s="209" t="s">
        <v>159</v>
      </c>
      <c r="B58" s="325"/>
    </row>
    <row r="59" spans="1:2" x14ac:dyDescent="0.25">
      <c r="A59" s="209" t="s">
        <v>160</v>
      </c>
      <c r="B59" s="325"/>
    </row>
    <row r="60" spans="1:2" ht="15.75" thickBot="1" x14ac:dyDescent="0.3">
      <c r="A60" s="210" t="s">
        <v>161</v>
      </c>
      <c r="B60" s="326"/>
    </row>
    <row r="61" spans="1:2" x14ac:dyDescent="0.25">
      <c r="A61" s="209" t="s">
        <v>118</v>
      </c>
      <c r="B61" s="324" t="s">
        <v>162</v>
      </c>
    </row>
    <row r="62" spans="1:2" x14ac:dyDescent="0.25">
      <c r="A62" s="209" t="s">
        <v>163</v>
      </c>
      <c r="B62" s="325"/>
    </row>
    <row r="63" spans="1:2" x14ac:dyDescent="0.25">
      <c r="A63" s="209" t="s">
        <v>120</v>
      </c>
      <c r="B63" s="325"/>
    </row>
    <row r="64" spans="1:2" x14ac:dyDescent="0.25">
      <c r="A64" s="209" t="s">
        <v>122</v>
      </c>
      <c r="B64" s="325"/>
    </row>
    <row r="65" spans="1:2" x14ac:dyDescent="0.25">
      <c r="A65" s="209" t="s">
        <v>123</v>
      </c>
      <c r="B65" s="325"/>
    </row>
    <row r="66" spans="1:2" ht="45" x14ac:dyDescent="0.25">
      <c r="A66" s="209" t="s">
        <v>164</v>
      </c>
      <c r="B66" s="325"/>
    </row>
    <row r="67" spans="1:2" x14ac:dyDescent="0.25">
      <c r="A67" s="209" t="s">
        <v>165</v>
      </c>
      <c r="B67" s="325"/>
    </row>
    <row r="68" spans="1:2" x14ac:dyDescent="0.25">
      <c r="A68" s="209" t="s">
        <v>166</v>
      </c>
      <c r="B68" s="325"/>
    </row>
    <row r="69" spans="1:2" ht="15.75" thickBot="1" x14ac:dyDescent="0.3">
      <c r="A69" s="210" t="s">
        <v>167</v>
      </c>
      <c r="B69" s="326"/>
    </row>
  </sheetData>
  <mergeCells count="12">
    <mergeCell ref="A1:G1"/>
    <mergeCell ref="B43:B52"/>
    <mergeCell ref="B53:B60"/>
    <mergeCell ref="B61:B69"/>
    <mergeCell ref="C15:G30"/>
    <mergeCell ref="C31:G34"/>
    <mergeCell ref="B3:B8"/>
    <mergeCell ref="B9:B14"/>
    <mergeCell ref="B23:B30"/>
    <mergeCell ref="B15:B22"/>
    <mergeCell ref="B31:B35"/>
    <mergeCell ref="B36:B42"/>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K92"/>
  <sheetViews>
    <sheetView workbookViewId="0">
      <selection activeCell="B39" sqref="B39:H42"/>
    </sheetView>
  </sheetViews>
  <sheetFormatPr defaultColWidth="0" defaultRowHeight="15" zeroHeight="1" x14ac:dyDescent="0.25"/>
  <cols>
    <col min="1" max="1" width="2.85546875" style="8" customWidth="1"/>
    <col min="2" max="2" width="5.7109375" style="8" customWidth="1"/>
    <col min="3" max="3" width="6.140625" style="8" customWidth="1"/>
    <col min="4" max="5" width="12.7109375" style="8" bestFit="1" customWidth="1"/>
    <col min="6" max="6" width="9.140625" style="8" customWidth="1"/>
    <col min="7" max="7" width="12.140625" style="8" customWidth="1"/>
    <col min="8" max="8" width="9" style="8" customWidth="1"/>
    <col min="9" max="9" width="13.5703125" style="8" customWidth="1"/>
    <col min="10" max="10" width="13.140625" style="8" customWidth="1"/>
    <col min="11" max="11" width="1" style="8" customWidth="1"/>
    <col min="12" max="12" width="2.42578125" style="8" customWidth="1"/>
    <col min="13" max="13" width="4.42578125" style="8" customWidth="1"/>
    <col min="14" max="14" width="4.140625" style="8" customWidth="1"/>
    <col min="15" max="219" width="9.140625" style="8" hidden="1"/>
    <col min="220" max="220" width="2.85546875" style="8" hidden="1"/>
    <col min="221" max="221" width="5.7109375" style="8" hidden="1"/>
    <col min="222" max="222" width="5.42578125" style="8" hidden="1"/>
    <col min="223" max="225" width="9.140625" style="8" hidden="1"/>
    <col min="226" max="227" width="9" style="8" hidden="1"/>
    <col min="228" max="228" width="12.85546875" style="8" hidden="1"/>
    <col min="229" max="229" width="13.140625" style="8" hidden="1"/>
    <col min="230" max="230" width="1" style="8" hidden="1"/>
    <col min="231" max="231" width="2.42578125" style="8" hidden="1"/>
    <col min="232" max="232" width="4.42578125" style="8" hidden="1"/>
    <col min="233" max="233" width="4.140625" style="8" hidden="1"/>
    <col min="234" max="475" width="9.140625" style="8" hidden="1"/>
    <col min="476" max="476" width="2.85546875" style="8" hidden="1"/>
    <col min="477" max="477" width="5.7109375" style="8" hidden="1"/>
    <col min="478" max="478" width="5.42578125" style="8" hidden="1"/>
    <col min="479" max="481" width="9.140625" style="8" hidden="1"/>
    <col min="482" max="483" width="9" style="8" hidden="1"/>
    <col min="484" max="484" width="12.85546875" style="8" hidden="1"/>
    <col min="485" max="485" width="13.140625" style="8" hidden="1"/>
    <col min="486" max="486" width="1" style="8" hidden="1"/>
    <col min="487" max="487" width="2.42578125" style="8" hidden="1"/>
    <col min="488" max="488" width="4.42578125" style="8" hidden="1"/>
    <col min="489" max="489" width="4.140625" style="8" hidden="1"/>
    <col min="490" max="731" width="9.140625" style="8" hidden="1"/>
    <col min="732" max="732" width="2.85546875" style="8" hidden="1"/>
    <col min="733" max="733" width="5.7109375" style="8" hidden="1"/>
    <col min="734" max="734" width="5.42578125" style="8" hidden="1"/>
    <col min="735" max="737" width="9.140625" style="8" hidden="1"/>
    <col min="738" max="739" width="9" style="8" hidden="1"/>
    <col min="740" max="740" width="12.85546875" style="8" hidden="1"/>
    <col min="741" max="741" width="13.140625" style="8" hidden="1"/>
    <col min="742" max="742" width="1" style="8" hidden="1"/>
    <col min="743" max="743" width="2.42578125" style="8" hidden="1"/>
    <col min="744" max="744" width="4.42578125" style="8" hidden="1"/>
    <col min="745" max="745" width="4.140625" style="8" hidden="1"/>
    <col min="746" max="987" width="9.140625" style="8" hidden="1"/>
    <col min="988" max="988" width="2.85546875" style="8" hidden="1"/>
    <col min="989" max="989" width="5.7109375" style="8" hidden="1"/>
    <col min="990" max="990" width="5.42578125" style="8" hidden="1"/>
    <col min="991" max="993" width="9.140625" style="8" hidden="1"/>
    <col min="994" max="995" width="9" style="8" hidden="1"/>
    <col min="996" max="996" width="12.85546875" style="8" hidden="1"/>
    <col min="997" max="997" width="13.140625" style="8" hidden="1"/>
    <col min="998" max="998" width="1" style="8" hidden="1"/>
    <col min="999" max="999" width="2.42578125" style="8" hidden="1"/>
    <col min="1000" max="1000" width="4.42578125" style="8" hidden="1"/>
    <col min="1001" max="1001" width="4.140625" style="8" hidden="1"/>
    <col min="1002" max="1243" width="9.140625" style="8" hidden="1"/>
    <col min="1244" max="1244" width="2.85546875" style="8" hidden="1"/>
    <col min="1245" max="1245" width="5.7109375" style="8" hidden="1"/>
    <col min="1246" max="1246" width="5.42578125" style="8" hidden="1"/>
    <col min="1247" max="1249" width="9.140625" style="8" hidden="1"/>
    <col min="1250" max="1251" width="9" style="8" hidden="1"/>
    <col min="1252" max="1252" width="12.85546875" style="8" hidden="1"/>
    <col min="1253" max="1253" width="13.140625" style="8" hidden="1"/>
    <col min="1254" max="1254" width="1" style="8" hidden="1"/>
    <col min="1255" max="1255" width="2.42578125" style="8" hidden="1"/>
    <col min="1256" max="1256" width="4.42578125" style="8" hidden="1"/>
    <col min="1257" max="1257" width="4.140625" style="8" hidden="1"/>
    <col min="1258" max="1499" width="9.140625" style="8" hidden="1"/>
    <col min="1500" max="1500" width="2.85546875" style="8" hidden="1"/>
    <col min="1501" max="1501" width="5.7109375" style="8" hidden="1"/>
    <col min="1502" max="1502" width="5.42578125" style="8" hidden="1"/>
    <col min="1503" max="1505" width="9.140625" style="8" hidden="1"/>
    <col min="1506" max="1507" width="9" style="8" hidden="1"/>
    <col min="1508" max="1508" width="12.85546875" style="8" hidden="1"/>
    <col min="1509" max="1509" width="13.140625" style="8" hidden="1"/>
    <col min="1510" max="1510" width="1" style="8" hidden="1"/>
    <col min="1511" max="1511" width="2.42578125" style="8" hidden="1"/>
    <col min="1512" max="1512" width="4.42578125" style="8" hidden="1"/>
    <col min="1513" max="1513" width="4.140625" style="8" hidden="1"/>
    <col min="1514" max="1755" width="9.140625" style="8" hidden="1"/>
    <col min="1756" max="1756" width="2.85546875" style="8" hidden="1"/>
    <col min="1757" max="1757" width="5.7109375" style="8" hidden="1"/>
    <col min="1758" max="1758" width="5.42578125" style="8" hidden="1"/>
    <col min="1759" max="1761" width="9.140625" style="8" hidden="1"/>
    <col min="1762" max="1763" width="9" style="8" hidden="1"/>
    <col min="1764" max="1764" width="12.85546875" style="8" hidden="1"/>
    <col min="1765" max="1765" width="13.140625" style="8" hidden="1"/>
    <col min="1766" max="1766" width="1" style="8" hidden="1"/>
    <col min="1767" max="1767" width="2.42578125" style="8" hidden="1"/>
    <col min="1768" max="1768" width="4.42578125" style="8" hidden="1"/>
    <col min="1769" max="1769" width="4.140625" style="8" hidden="1"/>
    <col min="1770" max="2011" width="9.140625" style="8" hidden="1"/>
    <col min="2012" max="2012" width="2.85546875" style="8" hidden="1"/>
    <col min="2013" max="2013" width="5.7109375" style="8" hidden="1"/>
    <col min="2014" max="2014" width="5.42578125" style="8" hidden="1"/>
    <col min="2015" max="2017" width="9.140625" style="8" hidden="1"/>
    <col min="2018" max="2019" width="9" style="8" hidden="1"/>
    <col min="2020" max="2020" width="12.85546875" style="8" hidden="1"/>
    <col min="2021" max="2021" width="13.140625" style="8" hidden="1"/>
    <col min="2022" max="2022" width="1" style="8" hidden="1"/>
    <col min="2023" max="2023" width="2.42578125" style="8" hidden="1"/>
    <col min="2024" max="2024" width="4.42578125" style="8" hidden="1"/>
    <col min="2025" max="2025" width="4.140625" style="8" hidden="1"/>
    <col min="2026" max="2267" width="9.140625" style="8" hidden="1"/>
    <col min="2268" max="2268" width="2.85546875" style="8" hidden="1"/>
    <col min="2269" max="2269" width="5.7109375" style="8" hidden="1"/>
    <col min="2270" max="2270" width="5.42578125" style="8" hidden="1"/>
    <col min="2271" max="2273" width="9.140625" style="8" hidden="1"/>
    <col min="2274" max="2275" width="9" style="8" hidden="1"/>
    <col min="2276" max="2276" width="12.85546875" style="8" hidden="1"/>
    <col min="2277" max="2277" width="13.140625" style="8" hidden="1"/>
    <col min="2278" max="2278" width="1" style="8" hidden="1"/>
    <col min="2279" max="2279" width="2.42578125" style="8" hidden="1"/>
    <col min="2280" max="2280" width="4.42578125" style="8" hidden="1"/>
    <col min="2281" max="2281" width="4.140625" style="8" hidden="1"/>
    <col min="2282" max="2523" width="9.140625" style="8" hidden="1"/>
    <col min="2524" max="2524" width="2.85546875" style="8" hidden="1"/>
    <col min="2525" max="2525" width="5.7109375" style="8" hidden="1"/>
    <col min="2526" max="2526" width="5.42578125" style="8" hidden="1"/>
    <col min="2527" max="2529" width="9.140625" style="8" hidden="1"/>
    <col min="2530" max="2531" width="9" style="8" hidden="1"/>
    <col min="2532" max="2532" width="12.85546875" style="8" hidden="1"/>
    <col min="2533" max="2533" width="13.140625" style="8" hidden="1"/>
    <col min="2534" max="2534" width="1" style="8" hidden="1"/>
    <col min="2535" max="2535" width="2.42578125" style="8" hidden="1"/>
    <col min="2536" max="2536" width="4.42578125" style="8" hidden="1"/>
    <col min="2537" max="2537" width="4.140625" style="8" hidden="1"/>
    <col min="2538" max="2779" width="9.140625" style="8" hidden="1"/>
    <col min="2780" max="2780" width="2.85546875" style="8" hidden="1"/>
    <col min="2781" max="2781" width="5.7109375" style="8" hidden="1"/>
    <col min="2782" max="2782" width="5.42578125" style="8" hidden="1"/>
    <col min="2783" max="2785" width="9.140625" style="8" hidden="1"/>
    <col min="2786" max="2787" width="9" style="8" hidden="1"/>
    <col min="2788" max="2788" width="12.85546875" style="8" hidden="1"/>
    <col min="2789" max="2789" width="13.140625" style="8" hidden="1"/>
    <col min="2790" max="2790" width="1" style="8" hidden="1"/>
    <col min="2791" max="2791" width="2.42578125" style="8" hidden="1"/>
    <col min="2792" max="2792" width="4.42578125" style="8" hidden="1"/>
    <col min="2793" max="2793" width="4.140625" style="8" hidden="1"/>
    <col min="2794" max="3035" width="9.140625" style="8" hidden="1"/>
    <col min="3036" max="3036" width="2.85546875" style="8" hidden="1"/>
    <col min="3037" max="3037" width="5.7109375" style="8" hidden="1"/>
    <col min="3038" max="3038" width="5.42578125" style="8" hidden="1"/>
    <col min="3039" max="3041" width="9.140625" style="8" hidden="1"/>
    <col min="3042" max="3043" width="9" style="8" hidden="1"/>
    <col min="3044" max="3044" width="12.85546875" style="8" hidden="1"/>
    <col min="3045" max="3045" width="13.140625" style="8" hidden="1"/>
    <col min="3046" max="3046" width="1" style="8" hidden="1"/>
    <col min="3047" max="3047" width="2.42578125" style="8" hidden="1"/>
    <col min="3048" max="3048" width="4.42578125" style="8" hidden="1"/>
    <col min="3049" max="3049" width="4.140625" style="8" hidden="1"/>
    <col min="3050" max="3291" width="9.140625" style="8" hidden="1"/>
    <col min="3292" max="3292" width="2.85546875" style="8" hidden="1"/>
    <col min="3293" max="3293" width="5.7109375" style="8" hidden="1"/>
    <col min="3294" max="3294" width="5.42578125" style="8" hidden="1"/>
    <col min="3295" max="3297" width="9.140625" style="8" hidden="1"/>
    <col min="3298" max="3299" width="9" style="8" hidden="1"/>
    <col min="3300" max="3300" width="12.85546875" style="8" hidden="1"/>
    <col min="3301" max="3301" width="13.140625" style="8" hidden="1"/>
    <col min="3302" max="3302" width="1" style="8" hidden="1"/>
    <col min="3303" max="3303" width="2.42578125" style="8" hidden="1"/>
    <col min="3304" max="3304" width="4.42578125" style="8" hidden="1"/>
    <col min="3305" max="3305" width="4.140625" style="8" hidden="1"/>
    <col min="3306" max="3547" width="9.140625" style="8" hidden="1"/>
    <col min="3548" max="3548" width="2.85546875" style="8" hidden="1"/>
    <col min="3549" max="3549" width="5.7109375" style="8" hidden="1"/>
    <col min="3550" max="3550" width="5.42578125" style="8" hidden="1"/>
    <col min="3551" max="3553" width="9.140625" style="8" hidden="1"/>
    <col min="3554" max="3555" width="9" style="8" hidden="1"/>
    <col min="3556" max="3556" width="12.85546875" style="8" hidden="1"/>
    <col min="3557" max="3557" width="13.140625" style="8" hidden="1"/>
    <col min="3558" max="3558" width="1" style="8" hidden="1"/>
    <col min="3559" max="3559" width="2.42578125" style="8" hidden="1"/>
    <col min="3560" max="3560" width="4.42578125" style="8" hidden="1"/>
    <col min="3561" max="3561" width="4.140625" style="8" hidden="1"/>
    <col min="3562" max="3803" width="9.140625" style="8" hidden="1"/>
    <col min="3804" max="3804" width="2.85546875" style="8" hidden="1"/>
    <col min="3805" max="3805" width="5.7109375" style="8" hidden="1"/>
    <col min="3806" max="3806" width="5.42578125" style="8" hidden="1"/>
    <col min="3807" max="3809" width="9.140625" style="8" hidden="1"/>
    <col min="3810" max="3811" width="9" style="8" hidden="1"/>
    <col min="3812" max="3812" width="12.85546875" style="8" hidden="1"/>
    <col min="3813" max="3813" width="13.140625" style="8" hidden="1"/>
    <col min="3814" max="3814" width="1" style="8" hidden="1"/>
    <col min="3815" max="3815" width="2.42578125" style="8" hidden="1"/>
    <col min="3816" max="3816" width="4.42578125" style="8" hidden="1"/>
    <col min="3817" max="3817" width="4.140625" style="8" hidden="1"/>
    <col min="3818" max="4059" width="9.140625" style="8" hidden="1"/>
    <col min="4060" max="4060" width="2.85546875" style="8" hidden="1"/>
    <col min="4061" max="4061" width="5.7109375" style="8" hidden="1"/>
    <col min="4062" max="4062" width="5.42578125" style="8" hidden="1"/>
    <col min="4063" max="4065" width="9.140625" style="8" hidden="1"/>
    <col min="4066" max="4067" width="9" style="8" hidden="1"/>
    <col min="4068" max="4068" width="12.85546875" style="8" hidden="1"/>
    <col min="4069" max="4069" width="13.140625" style="8" hidden="1"/>
    <col min="4070" max="4070" width="1" style="8" hidden="1"/>
    <col min="4071" max="4071" width="2.42578125" style="8" hidden="1"/>
    <col min="4072" max="4072" width="4.42578125" style="8" hidden="1"/>
    <col min="4073" max="4073" width="4.140625" style="8" hidden="1"/>
    <col min="4074" max="4315" width="9.140625" style="8" hidden="1"/>
    <col min="4316" max="4316" width="2.85546875" style="8" hidden="1"/>
    <col min="4317" max="4317" width="5.7109375" style="8" hidden="1"/>
    <col min="4318" max="4318" width="5.42578125" style="8" hidden="1"/>
    <col min="4319" max="4321" width="9.140625" style="8" hidden="1"/>
    <col min="4322" max="4323" width="9" style="8" hidden="1"/>
    <col min="4324" max="4324" width="12.85546875" style="8" hidden="1"/>
    <col min="4325" max="4325" width="13.140625" style="8" hidden="1"/>
    <col min="4326" max="4326" width="1" style="8" hidden="1"/>
    <col min="4327" max="4327" width="2.42578125" style="8" hidden="1"/>
    <col min="4328" max="4328" width="4.42578125" style="8" hidden="1"/>
    <col min="4329" max="4329" width="4.140625" style="8" hidden="1"/>
    <col min="4330" max="4571" width="9.140625" style="8" hidden="1"/>
    <col min="4572" max="4572" width="2.85546875" style="8" hidden="1"/>
    <col min="4573" max="4573" width="5.7109375" style="8" hidden="1"/>
    <col min="4574" max="4574" width="5.42578125" style="8" hidden="1"/>
    <col min="4575" max="4577" width="9.140625" style="8" hidden="1"/>
    <col min="4578" max="4579" width="9" style="8" hidden="1"/>
    <col min="4580" max="4580" width="12.85546875" style="8" hidden="1"/>
    <col min="4581" max="4581" width="13.140625" style="8" hidden="1"/>
    <col min="4582" max="4582" width="1" style="8" hidden="1"/>
    <col min="4583" max="4583" width="2.42578125" style="8" hidden="1"/>
    <col min="4584" max="4584" width="4.42578125" style="8" hidden="1"/>
    <col min="4585" max="4585" width="4.140625" style="8" hidden="1"/>
    <col min="4586" max="4827" width="9.140625" style="8" hidden="1"/>
    <col min="4828" max="4828" width="2.85546875" style="8" hidden="1"/>
    <col min="4829" max="4829" width="5.7109375" style="8" hidden="1"/>
    <col min="4830" max="4830" width="5.42578125" style="8" hidden="1"/>
    <col min="4831" max="4833" width="9.140625" style="8" hidden="1"/>
    <col min="4834" max="4835" width="9" style="8" hidden="1"/>
    <col min="4836" max="4836" width="12.85546875" style="8" hidden="1"/>
    <col min="4837" max="4837" width="13.140625" style="8" hidden="1"/>
    <col min="4838" max="4838" width="1" style="8" hidden="1"/>
    <col min="4839" max="4839" width="2.42578125" style="8" hidden="1"/>
    <col min="4840" max="4840" width="4.42578125" style="8" hidden="1"/>
    <col min="4841" max="4841" width="4.140625" style="8" hidden="1"/>
    <col min="4842" max="5083" width="9.140625" style="8" hidden="1"/>
    <col min="5084" max="5084" width="2.85546875" style="8" hidden="1"/>
    <col min="5085" max="5085" width="5.7109375" style="8" hidden="1"/>
    <col min="5086" max="5086" width="5.42578125" style="8" hidden="1"/>
    <col min="5087" max="5089" width="9.140625" style="8" hidden="1"/>
    <col min="5090" max="5091" width="9" style="8" hidden="1"/>
    <col min="5092" max="5092" width="12.85546875" style="8" hidden="1"/>
    <col min="5093" max="5093" width="13.140625" style="8" hidden="1"/>
    <col min="5094" max="5094" width="1" style="8" hidden="1"/>
    <col min="5095" max="5095" width="2.42578125" style="8" hidden="1"/>
    <col min="5096" max="5096" width="4.42578125" style="8" hidden="1"/>
    <col min="5097" max="5097" width="4.140625" style="8" hidden="1"/>
    <col min="5098" max="5339" width="9.140625" style="8" hidden="1"/>
    <col min="5340" max="5340" width="2.85546875" style="8" hidden="1"/>
    <col min="5341" max="5341" width="5.7109375" style="8" hidden="1"/>
    <col min="5342" max="5342" width="5.42578125" style="8" hidden="1"/>
    <col min="5343" max="5345" width="9.140625" style="8" hidden="1"/>
    <col min="5346" max="5347" width="9" style="8" hidden="1"/>
    <col min="5348" max="5348" width="12.85546875" style="8" hidden="1"/>
    <col min="5349" max="5349" width="13.140625" style="8" hidden="1"/>
    <col min="5350" max="5350" width="1" style="8" hidden="1"/>
    <col min="5351" max="5351" width="2.42578125" style="8" hidden="1"/>
    <col min="5352" max="5352" width="4.42578125" style="8" hidden="1"/>
    <col min="5353" max="5353" width="4.140625" style="8" hidden="1"/>
    <col min="5354" max="5595" width="9.140625" style="8" hidden="1"/>
    <col min="5596" max="5596" width="2.85546875" style="8" hidden="1"/>
    <col min="5597" max="5597" width="5.7109375" style="8" hidden="1"/>
    <col min="5598" max="5598" width="5.42578125" style="8" hidden="1"/>
    <col min="5599" max="5601" width="9.140625" style="8" hidden="1"/>
    <col min="5602" max="5603" width="9" style="8" hidden="1"/>
    <col min="5604" max="5604" width="12.85546875" style="8" hidden="1"/>
    <col min="5605" max="5605" width="13.140625" style="8" hidden="1"/>
    <col min="5606" max="5606" width="1" style="8" hidden="1"/>
    <col min="5607" max="5607" width="2.42578125" style="8" hidden="1"/>
    <col min="5608" max="5608" width="4.42578125" style="8" hidden="1"/>
    <col min="5609" max="5609" width="4.140625" style="8" hidden="1"/>
    <col min="5610" max="5851" width="9.140625" style="8" hidden="1"/>
    <col min="5852" max="5852" width="2.85546875" style="8" hidden="1"/>
    <col min="5853" max="5853" width="5.7109375" style="8" hidden="1"/>
    <col min="5854" max="5854" width="5.42578125" style="8" hidden="1"/>
    <col min="5855" max="5857" width="9.140625" style="8" hidden="1"/>
    <col min="5858" max="5859" width="9" style="8" hidden="1"/>
    <col min="5860" max="5860" width="12.85546875" style="8" hidden="1"/>
    <col min="5861" max="5861" width="13.140625" style="8" hidden="1"/>
    <col min="5862" max="5862" width="1" style="8" hidden="1"/>
    <col min="5863" max="5863" width="2.42578125" style="8" hidden="1"/>
    <col min="5864" max="5864" width="4.42578125" style="8" hidden="1"/>
    <col min="5865" max="5865" width="4.140625" style="8" hidden="1"/>
    <col min="5866" max="6107" width="9.140625" style="8" hidden="1"/>
    <col min="6108" max="6108" width="2.85546875" style="8" hidden="1"/>
    <col min="6109" max="6109" width="5.7109375" style="8" hidden="1"/>
    <col min="6110" max="6110" width="5.42578125" style="8" hidden="1"/>
    <col min="6111" max="6113" width="9.140625" style="8" hidden="1"/>
    <col min="6114" max="6115" width="9" style="8" hidden="1"/>
    <col min="6116" max="6116" width="12.85546875" style="8" hidden="1"/>
    <col min="6117" max="6117" width="13.140625" style="8" hidden="1"/>
    <col min="6118" max="6118" width="1" style="8" hidden="1"/>
    <col min="6119" max="6119" width="2.42578125" style="8" hidden="1"/>
    <col min="6120" max="6120" width="4.42578125" style="8" hidden="1"/>
    <col min="6121" max="6121" width="4.140625" style="8" hidden="1"/>
    <col min="6122" max="6363" width="9.140625" style="8" hidden="1"/>
    <col min="6364" max="6364" width="2.85546875" style="8" hidden="1"/>
    <col min="6365" max="6365" width="5.7109375" style="8" hidden="1"/>
    <col min="6366" max="6366" width="5.42578125" style="8" hidden="1"/>
    <col min="6367" max="6369" width="9.140625" style="8" hidden="1"/>
    <col min="6370" max="6371" width="9" style="8" hidden="1"/>
    <col min="6372" max="6372" width="12.85546875" style="8" hidden="1"/>
    <col min="6373" max="6373" width="13.140625" style="8" hidden="1"/>
    <col min="6374" max="6374" width="1" style="8" hidden="1"/>
    <col min="6375" max="6375" width="2.42578125" style="8" hidden="1"/>
    <col min="6376" max="6376" width="4.42578125" style="8" hidden="1"/>
    <col min="6377" max="6377" width="4.140625" style="8" hidden="1"/>
    <col min="6378" max="6619" width="9.140625" style="8" hidden="1"/>
    <col min="6620" max="6620" width="2.85546875" style="8" hidden="1"/>
    <col min="6621" max="6621" width="5.7109375" style="8" hidden="1"/>
    <col min="6622" max="6622" width="5.42578125" style="8" hidden="1"/>
    <col min="6623" max="6625" width="9.140625" style="8" hidden="1"/>
    <col min="6626" max="6627" width="9" style="8" hidden="1"/>
    <col min="6628" max="6628" width="12.85546875" style="8" hidden="1"/>
    <col min="6629" max="6629" width="13.140625" style="8" hidden="1"/>
    <col min="6630" max="6630" width="1" style="8" hidden="1"/>
    <col min="6631" max="6631" width="2.42578125" style="8" hidden="1"/>
    <col min="6632" max="6632" width="4.42578125" style="8" hidden="1"/>
    <col min="6633" max="6633" width="4.140625" style="8" hidden="1"/>
    <col min="6634" max="6875" width="9.140625" style="8" hidden="1"/>
    <col min="6876" max="6876" width="2.85546875" style="8" hidden="1"/>
    <col min="6877" max="6877" width="5.7109375" style="8" hidden="1"/>
    <col min="6878" max="6878" width="5.42578125" style="8" hidden="1"/>
    <col min="6879" max="6881" width="9.140625" style="8" hidden="1"/>
    <col min="6882" max="6883" width="9" style="8" hidden="1"/>
    <col min="6884" max="6884" width="12.85546875" style="8" hidden="1"/>
    <col min="6885" max="6885" width="13.140625" style="8" hidden="1"/>
    <col min="6886" max="6886" width="1" style="8" hidden="1"/>
    <col min="6887" max="6887" width="2.42578125" style="8" hidden="1"/>
    <col min="6888" max="6888" width="4.42578125" style="8" hidden="1"/>
    <col min="6889" max="6889" width="4.140625" style="8" hidden="1"/>
    <col min="6890" max="7131" width="9.140625" style="8" hidden="1"/>
    <col min="7132" max="7132" width="2.85546875" style="8" hidden="1"/>
    <col min="7133" max="7133" width="5.7109375" style="8" hidden="1"/>
    <col min="7134" max="7134" width="5.42578125" style="8" hidden="1"/>
    <col min="7135" max="7137" width="9.140625" style="8" hidden="1"/>
    <col min="7138" max="7139" width="9" style="8" hidden="1"/>
    <col min="7140" max="7140" width="12.85546875" style="8" hidden="1"/>
    <col min="7141" max="7141" width="13.140625" style="8" hidden="1"/>
    <col min="7142" max="7142" width="1" style="8" hidden="1"/>
    <col min="7143" max="7143" width="2.42578125" style="8" hidden="1"/>
    <col min="7144" max="7144" width="4.42578125" style="8" hidden="1"/>
    <col min="7145" max="7145" width="4.140625" style="8" hidden="1"/>
    <col min="7146" max="7387" width="9.140625" style="8" hidden="1"/>
    <col min="7388" max="7388" width="2.85546875" style="8" hidden="1"/>
    <col min="7389" max="7389" width="5.7109375" style="8" hidden="1"/>
    <col min="7390" max="7390" width="5.42578125" style="8" hidden="1"/>
    <col min="7391" max="7393" width="9.140625" style="8" hidden="1"/>
    <col min="7394" max="7395" width="9" style="8" hidden="1"/>
    <col min="7396" max="7396" width="12.85546875" style="8" hidden="1"/>
    <col min="7397" max="7397" width="13.140625" style="8" hidden="1"/>
    <col min="7398" max="7398" width="1" style="8" hidden="1"/>
    <col min="7399" max="7399" width="2.42578125" style="8" hidden="1"/>
    <col min="7400" max="7400" width="4.42578125" style="8" hidden="1"/>
    <col min="7401" max="7401" width="4.140625" style="8" hidden="1"/>
    <col min="7402" max="7643" width="9.140625" style="8" hidden="1"/>
    <col min="7644" max="7644" width="2.85546875" style="8" hidden="1"/>
    <col min="7645" max="7645" width="5.7109375" style="8" hidden="1"/>
    <col min="7646" max="7646" width="5.42578125" style="8" hidden="1"/>
    <col min="7647" max="7649" width="9.140625" style="8" hidden="1"/>
    <col min="7650" max="7651" width="9" style="8" hidden="1"/>
    <col min="7652" max="7652" width="12.85546875" style="8" hidden="1"/>
    <col min="7653" max="7653" width="13.140625" style="8" hidden="1"/>
    <col min="7654" max="7654" width="1" style="8" hidden="1"/>
    <col min="7655" max="7655" width="2.42578125" style="8" hidden="1"/>
    <col min="7656" max="7656" width="4.42578125" style="8" hidden="1"/>
    <col min="7657" max="7657" width="4.140625" style="8" hidden="1"/>
    <col min="7658" max="7899" width="9.140625" style="8" hidden="1"/>
    <col min="7900" max="7900" width="2.85546875" style="8" hidden="1"/>
    <col min="7901" max="7901" width="5.7109375" style="8" hidden="1"/>
    <col min="7902" max="7902" width="5.42578125" style="8" hidden="1"/>
    <col min="7903" max="7905" width="9.140625" style="8" hidden="1"/>
    <col min="7906" max="7907" width="9" style="8" hidden="1"/>
    <col min="7908" max="7908" width="12.85546875" style="8" hidden="1"/>
    <col min="7909" max="7909" width="13.140625" style="8" hidden="1"/>
    <col min="7910" max="7910" width="1" style="8" hidden="1"/>
    <col min="7911" max="7911" width="2.42578125" style="8" hidden="1"/>
    <col min="7912" max="7912" width="4.42578125" style="8" hidden="1"/>
    <col min="7913" max="7913" width="4.140625" style="8" hidden="1"/>
    <col min="7914" max="8155" width="9.140625" style="8" hidden="1"/>
    <col min="8156" max="8156" width="2.85546875" style="8" hidden="1"/>
    <col min="8157" max="8157" width="5.7109375" style="8" hidden="1"/>
    <col min="8158" max="8158" width="5.42578125" style="8" hidden="1"/>
    <col min="8159" max="8161" width="9.140625" style="8" hidden="1"/>
    <col min="8162" max="8163" width="9" style="8" hidden="1"/>
    <col min="8164" max="8164" width="12.85546875" style="8" hidden="1"/>
    <col min="8165" max="8165" width="13.140625" style="8" hidden="1"/>
    <col min="8166" max="8166" width="1" style="8" hidden="1"/>
    <col min="8167" max="8167" width="2.42578125" style="8" hidden="1"/>
    <col min="8168" max="8168" width="4.42578125" style="8" hidden="1"/>
    <col min="8169" max="8169" width="4.140625" style="8" hidden="1"/>
    <col min="8170" max="8411" width="9.140625" style="8" hidden="1"/>
    <col min="8412" max="8412" width="2.85546875" style="8" hidden="1"/>
    <col min="8413" max="8413" width="5.7109375" style="8" hidden="1"/>
    <col min="8414" max="8414" width="5.42578125" style="8" hidden="1"/>
    <col min="8415" max="8417" width="9.140625" style="8" hidden="1"/>
    <col min="8418" max="8419" width="9" style="8" hidden="1"/>
    <col min="8420" max="8420" width="12.85546875" style="8" hidden="1"/>
    <col min="8421" max="8421" width="13.140625" style="8" hidden="1"/>
    <col min="8422" max="8422" width="1" style="8" hidden="1"/>
    <col min="8423" max="8423" width="2.42578125" style="8" hidden="1"/>
    <col min="8424" max="8424" width="4.42578125" style="8" hidden="1"/>
    <col min="8425" max="8425" width="4.140625" style="8" hidden="1"/>
    <col min="8426" max="8667" width="9.140625" style="8" hidden="1"/>
    <col min="8668" max="8668" width="2.85546875" style="8" hidden="1"/>
    <col min="8669" max="8669" width="5.7109375" style="8" hidden="1"/>
    <col min="8670" max="8670" width="5.42578125" style="8" hidden="1"/>
    <col min="8671" max="8673" width="9.140625" style="8" hidden="1"/>
    <col min="8674" max="8675" width="9" style="8" hidden="1"/>
    <col min="8676" max="8676" width="12.85546875" style="8" hidden="1"/>
    <col min="8677" max="8677" width="13.140625" style="8" hidden="1"/>
    <col min="8678" max="8678" width="1" style="8" hidden="1"/>
    <col min="8679" max="8679" width="2.42578125" style="8" hidden="1"/>
    <col min="8680" max="8680" width="4.42578125" style="8" hidden="1"/>
    <col min="8681" max="8681" width="4.140625" style="8" hidden="1"/>
    <col min="8682" max="8923" width="9.140625" style="8" hidden="1"/>
    <col min="8924" max="8924" width="2.85546875" style="8" hidden="1"/>
    <col min="8925" max="8925" width="5.7109375" style="8" hidden="1"/>
    <col min="8926" max="8926" width="5.42578125" style="8" hidden="1"/>
    <col min="8927" max="8929" width="9.140625" style="8" hidden="1"/>
    <col min="8930" max="8931" width="9" style="8" hidden="1"/>
    <col min="8932" max="8932" width="12.85546875" style="8" hidden="1"/>
    <col min="8933" max="8933" width="13.140625" style="8" hidden="1"/>
    <col min="8934" max="8934" width="1" style="8" hidden="1"/>
    <col min="8935" max="8935" width="2.42578125" style="8" hidden="1"/>
    <col min="8936" max="8936" width="4.42578125" style="8" hidden="1"/>
    <col min="8937" max="8937" width="4.140625" style="8" hidden="1"/>
    <col min="8938" max="9179" width="9.140625" style="8" hidden="1"/>
    <col min="9180" max="9180" width="2.85546875" style="8" hidden="1"/>
    <col min="9181" max="9181" width="5.7109375" style="8" hidden="1"/>
    <col min="9182" max="9182" width="5.42578125" style="8" hidden="1"/>
    <col min="9183" max="9185" width="9.140625" style="8" hidden="1"/>
    <col min="9186" max="9187" width="9" style="8" hidden="1"/>
    <col min="9188" max="9188" width="12.85546875" style="8" hidden="1"/>
    <col min="9189" max="9189" width="13.140625" style="8" hidden="1"/>
    <col min="9190" max="9190" width="1" style="8" hidden="1"/>
    <col min="9191" max="9191" width="2.42578125" style="8" hidden="1"/>
    <col min="9192" max="9192" width="4.42578125" style="8" hidden="1"/>
    <col min="9193" max="9193" width="4.140625" style="8" hidden="1"/>
    <col min="9194" max="9435" width="9.140625" style="8" hidden="1"/>
    <col min="9436" max="9436" width="2.85546875" style="8" hidden="1"/>
    <col min="9437" max="9437" width="5.7109375" style="8" hidden="1"/>
    <col min="9438" max="9438" width="5.42578125" style="8" hidden="1"/>
    <col min="9439" max="9441" width="9.140625" style="8" hidden="1"/>
    <col min="9442" max="9443" width="9" style="8" hidden="1"/>
    <col min="9444" max="9444" width="12.85546875" style="8" hidden="1"/>
    <col min="9445" max="9445" width="13.140625" style="8" hidden="1"/>
    <col min="9446" max="9446" width="1" style="8" hidden="1"/>
    <col min="9447" max="9447" width="2.42578125" style="8" hidden="1"/>
    <col min="9448" max="9448" width="4.42578125" style="8" hidden="1"/>
    <col min="9449" max="9449" width="4.140625" style="8" hidden="1"/>
    <col min="9450" max="9691" width="9.140625" style="8" hidden="1"/>
    <col min="9692" max="9692" width="2.85546875" style="8" hidden="1"/>
    <col min="9693" max="9693" width="5.7109375" style="8" hidden="1"/>
    <col min="9694" max="9694" width="5.42578125" style="8" hidden="1"/>
    <col min="9695" max="9697" width="9.140625" style="8" hidden="1"/>
    <col min="9698" max="9699" width="9" style="8" hidden="1"/>
    <col min="9700" max="9700" width="12.85546875" style="8" hidden="1"/>
    <col min="9701" max="9701" width="13.140625" style="8" hidden="1"/>
    <col min="9702" max="9702" width="1" style="8" hidden="1"/>
    <col min="9703" max="9703" width="2.42578125" style="8" hidden="1"/>
    <col min="9704" max="9704" width="4.42578125" style="8" hidden="1"/>
    <col min="9705" max="9705" width="4.140625" style="8" hidden="1"/>
    <col min="9706" max="9947" width="9.140625" style="8" hidden="1"/>
    <col min="9948" max="9948" width="2.85546875" style="8" hidden="1"/>
    <col min="9949" max="9949" width="5.7109375" style="8" hidden="1"/>
    <col min="9950" max="9950" width="5.42578125" style="8" hidden="1"/>
    <col min="9951" max="9953" width="9.140625" style="8" hidden="1"/>
    <col min="9954" max="9955" width="9" style="8" hidden="1"/>
    <col min="9956" max="9956" width="12.85546875" style="8" hidden="1"/>
    <col min="9957" max="9957" width="13.140625" style="8" hidden="1"/>
    <col min="9958" max="9958" width="1" style="8" hidden="1"/>
    <col min="9959" max="9959" width="2.42578125" style="8" hidden="1"/>
    <col min="9960" max="9960" width="4.42578125" style="8" hidden="1"/>
    <col min="9961" max="9961" width="4.140625" style="8" hidden="1"/>
    <col min="9962" max="10203" width="9.140625" style="8" hidden="1"/>
    <col min="10204" max="10204" width="2.85546875" style="8" hidden="1"/>
    <col min="10205" max="10205" width="5.7109375" style="8" hidden="1"/>
    <col min="10206" max="10206" width="5.42578125" style="8" hidden="1"/>
    <col min="10207" max="10209" width="9.140625" style="8" hidden="1"/>
    <col min="10210" max="10211" width="9" style="8" hidden="1"/>
    <col min="10212" max="10212" width="12.85546875" style="8" hidden="1"/>
    <col min="10213" max="10213" width="13.140625" style="8" hidden="1"/>
    <col min="10214" max="10214" width="1" style="8" hidden="1"/>
    <col min="10215" max="10215" width="2.42578125" style="8" hidden="1"/>
    <col min="10216" max="10216" width="4.42578125" style="8" hidden="1"/>
    <col min="10217" max="10217" width="4.140625" style="8" hidden="1"/>
    <col min="10218" max="10459" width="9.140625" style="8" hidden="1"/>
    <col min="10460" max="10460" width="2.85546875" style="8" hidden="1"/>
    <col min="10461" max="10461" width="5.7109375" style="8" hidden="1"/>
    <col min="10462" max="10462" width="5.42578125" style="8" hidden="1"/>
    <col min="10463" max="10465" width="9.140625" style="8" hidden="1"/>
    <col min="10466" max="10467" width="9" style="8" hidden="1"/>
    <col min="10468" max="10468" width="12.85546875" style="8" hidden="1"/>
    <col min="10469" max="10469" width="13.140625" style="8" hidden="1"/>
    <col min="10470" max="10470" width="1" style="8" hidden="1"/>
    <col min="10471" max="10471" width="2.42578125" style="8" hidden="1"/>
    <col min="10472" max="10472" width="4.42578125" style="8" hidden="1"/>
    <col min="10473" max="10473" width="4.140625" style="8" hidden="1"/>
    <col min="10474" max="10715" width="9.140625" style="8" hidden="1"/>
    <col min="10716" max="10716" width="2.85546875" style="8" hidden="1"/>
    <col min="10717" max="10717" width="5.7109375" style="8" hidden="1"/>
    <col min="10718" max="10718" width="5.42578125" style="8" hidden="1"/>
    <col min="10719" max="10721" width="9.140625" style="8" hidden="1"/>
    <col min="10722" max="10723" width="9" style="8" hidden="1"/>
    <col min="10724" max="10724" width="12.85546875" style="8" hidden="1"/>
    <col min="10725" max="10725" width="13.140625" style="8" hidden="1"/>
    <col min="10726" max="10726" width="1" style="8" hidden="1"/>
    <col min="10727" max="10727" width="2.42578125" style="8" hidden="1"/>
    <col min="10728" max="10728" width="4.42578125" style="8" hidden="1"/>
    <col min="10729" max="10729" width="4.140625" style="8" hidden="1"/>
    <col min="10730" max="10971" width="9.140625" style="8" hidden="1"/>
    <col min="10972" max="10972" width="2.85546875" style="8" hidden="1"/>
    <col min="10973" max="10973" width="5.7109375" style="8" hidden="1"/>
    <col min="10974" max="10974" width="5.42578125" style="8" hidden="1"/>
    <col min="10975" max="10977" width="9.140625" style="8" hidden="1"/>
    <col min="10978" max="10979" width="9" style="8" hidden="1"/>
    <col min="10980" max="10980" width="12.85546875" style="8" hidden="1"/>
    <col min="10981" max="10981" width="13.140625" style="8" hidden="1"/>
    <col min="10982" max="10982" width="1" style="8" hidden="1"/>
    <col min="10983" max="10983" width="2.42578125" style="8" hidden="1"/>
    <col min="10984" max="10984" width="4.42578125" style="8" hidden="1"/>
    <col min="10985" max="10985" width="4.140625" style="8" hidden="1"/>
    <col min="10986" max="11227" width="9.140625" style="8" hidden="1"/>
    <col min="11228" max="11228" width="2.85546875" style="8" hidden="1"/>
    <col min="11229" max="11229" width="5.7109375" style="8" hidden="1"/>
    <col min="11230" max="11230" width="5.42578125" style="8" hidden="1"/>
    <col min="11231" max="11233" width="9.140625" style="8" hidden="1"/>
    <col min="11234" max="11235" width="9" style="8" hidden="1"/>
    <col min="11236" max="11236" width="12.85546875" style="8" hidden="1"/>
    <col min="11237" max="11237" width="13.140625" style="8" hidden="1"/>
    <col min="11238" max="11238" width="1" style="8" hidden="1"/>
    <col min="11239" max="11239" width="2.42578125" style="8" hidden="1"/>
    <col min="11240" max="11240" width="4.42578125" style="8" hidden="1"/>
    <col min="11241" max="11241" width="4.140625" style="8" hidden="1"/>
    <col min="11242" max="11483" width="9.140625" style="8" hidden="1"/>
    <col min="11484" max="11484" width="2.85546875" style="8" hidden="1"/>
    <col min="11485" max="11485" width="5.7109375" style="8" hidden="1"/>
    <col min="11486" max="11486" width="5.42578125" style="8" hidden="1"/>
    <col min="11487" max="11489" width="9.140625" style="8" hidden="1"/>
    <col min="11490" max="11491" width="9" style="8" hidden="1"/>
    <col min="11492" max="11492" width="12.85546875" style="8" hidden="1"/>
    <col min="11493" max="11493" width="13.140625" style="8" hidden="1"/>
    <col min="11494" max="11494" width="1" style="8" hidden="1"/>
    <col min="11495" max="11495" width="2.42578125" style="8" hidden="1"/>
    <col min="11496" max="11496" width="4.42578125" style="8" hidden="1"/>
    <col min="11497" max="11497" width="4.140625" style="8" hidden="1"/>
    <col min="11498" max="11739" width="9.140625" style="8" hidden="1"/>
    <col min="11740" max="11740" width="2.85546875" style="8" hidden="1"/>
    <col min="11741" max="11741" width="5.7109375" style="8" hidden="1"/>
    <col min="11742" max="11742" width="5.42578125" style="8" hidden="1"/>
    <col min="11743" max="11745" width="9.140625" style="8" hidden="1"/>
    <col min="11746" max="11747" width="9" style="8" hidden="1"/>
    <col min="11748" max="11748" width="12.85546875" style="8" hidden="1"/>
    <col min="11749" max="11749" width="13.140625" style="8" hidden="1"/>
    <col min="11750" max="11750" width="1" style="8" hidden="1"/>
    <col min="11751" max="11751" width="2.42578125" style="8" hidden="1"/>
    <col min="11752" max="11752" width="4.42578125" style="8" hidden="1"/>
    <col min="11753" max="11753" width="4.140625" style="8" hidden="1"/>
    <col min="11754" max="11995" width="9.140625" style="8" hidden="1"/>
    <col min="11996" max="11996" width="2.85546875" style="8" hidden="1"/>
    <col min="11997" max="11997" width="5.7109375" style="8" hidden="1"/>
    <col min="11998" max="11998" width="5.42578125" style="8" hidden="1"/>
    <col min="11999" max="12001" width="9.140625" style="8" hidden="1"/>
    <col min="12002" max="12003" width="9" style="8" hidden="1"/>
    <col min="12004" max="12004" width="12.85546875" style="8" hidden="1"/>
    <col min="12005" max="12005" width="13.140625" style="8" hidden="1"/>
    <col min="12006" max="12006" width="1" style="8" hidden="1"/>
    <col min="12007" max="12007" width="2.42578125" style="8" hidden="1"/>
    <col min="12008" max="12008" width="4.42578125" style="8" hidden="1"/>
    <col min="12009" max="12009" width="4.140625" style="8" hidden="1"/>
    <col min="12010" max="12251" width="9.140625" style="8" hidden="1"/>
    <col min="12252" max="12252" width="2.85546875" style="8" hidden="1"/>
    <col min="12253" max="12253" width="5.7109375" style="8" hidden="1"/>
    <col min="12254" max="12254" width="5.42578125" style="8" hidden="1"/>
    <col min="12255" max="12257" width="9.140625" style="8" hidden="1"/>
    <col min="12258" max="12259" width="9" style="8" hidden="1"/>
    <col min="12260" max="12260" width="12.85546875" style="8" hidden="1"/>
    <col min="12261" max="12261" width="13.140625" style="8" hidden="1"/>
    <col min="12262" max="12262" width="1" style="8" hidden="1"/>
    <col min="12263" max="12263" width="2.42578125" style="8" hidden="1"/>
    <col min="12264" max="12264" width="4.42578125" style="8" hidden="1"/>
    <col min="12265" max="12265" width="4.140625" style="8" hidden="1"/>
    <col min="12266" max="12507" width="9.140625" style="8" hidden="1"/>
    <col min="12508" max="12508" width="2.85546875" style="8" hidden="1"/>
    <col min="12509" max="12509" width="5.7109375" style="8" hidden="1"/>
    <col min="12510" max="12510" width="5.42578125" style="8" hidden="1"/>
    <col min="12511" max="12513" width="9.140625" style="8" hidden="1"/>
    <col min="12514" max="12515" width="9" style="8" hidden="1"/>
    <col min="12516" max="12516" width="12.85546875" style="8" hidden="1"/>
    <col min="12517" max="12517" width="13.140625" style="8" hidden="1"/>
    <col min="12518" max="12518" width="1" style="8" hidden="1"/>
    <col min="12519" max="12519" width="2.42578125" style="8" hidden="1"/>
    <col min="12520" max="12520" width="4.42578125" style="8" hidden="1"/>
    <col min="12521" max="12521" width="4.140625" style="8" hidden="1"/>
    <col min="12522" max="12763" width="9.140625" style="8" hidden="1"/>
    <col min="12764" max="12764" width="2.85546875" style="8" hidden="1"/>
    <col min="12765" max="12765" width="5.7109375" style="8" hidden="1"/>
    <col min="12766" max="12766" width="5.42578125" style="8" hidden="1"/>
    <col min="12767" max="12769" width="9.140625" style="8" hidden="1"/>
    <col min="12770" max="12771" width="9" style="8" hidden="1"/>
    <col min="12772" max="12772" width="12.85546875" style="8" hidden="1"/>
    <col min="12773" max="12773" width="13.140625" style="8" hidden="1"/>
    <col min="12774" max="12774" width="1" style="8" hidden="1"/>
    <col min="12775" max="12775" width="2.42578125" style="8" hidden="1"/>
    <col min="12776" max="12776" width="4.42578125" style="8" hidden="1"/>
    <col min="12777" max="12777" width="4.140625" style="8" hidden="1"/>
    <col min="12778" max="13019" width="9.140625" style="8" hidden="1"/>
    <col min="13020" max="13020" width="2.85546875" style="8" hidden="1"/>
    <col min="13021" max="13021" width="5.7109375" style="8" hidden="1"/>
    <col min="13022" max="13022" width="5.42578125" style="8" hidden="1"/>
    <col min="13023" max="13025" width="9.140625" style="8" hidden="1"/>
    <col min="13026" max="13027" width="9" style="8" hidden="1"/>
    <col min="13028" max="13028" width="12.85546875" style="8" hidden="1"/>
    <col min="13029" max="13029" width="13.140625" style="8" hidden="1"/>
    <col min="13030" max="13030" width="1" style="8" hidden="1"/>
    <col min="13031" max="13031" width="2.42578125" style="8" hidden="1"/>
    <col min="13032" max="13032" width="4.42578125" style="8" hidden="1"/>
    <col min="13033" max="13033" width="4.140625" style="8" hidden="1"/>
    <col min="13034" max="13275" width="9.140625" style="8" hidden="1"/>
    <col min="13276" max="13276" width="2.85546875" style="8" hidden="1"/>
    <col min="13277" max="13277" width="5.7109375" style="8" hidden="1"/>
    <col min="13278" max="13278" width="5.42578125" style="8" hidden="1"/>
    <col min="13279" max="13281" width="9.140625" style="8" hidden="1"/>
    <col min="13282" max="13283" width="9" style="8" hidden="1"/>
    <col min="13284" max="13284" width="12.85546875" style="8" hidden="1"/>
    <col min="13285" max="13285" width="13.140625" style="8" hidden="1"/>
    <col min="13286" max="13286" width="1" style="8" hidden="1"/>
    <col min="13287" max="13287" width="2.42578125" style="8" hidden="1"/>
    <col min="13288" max="13288" width="4.42578125" style="8" hidden="1"/>
    <col min="13289" max="13289" width="4.140625" style="8" hidden="1"/>
    <col min="13290" max="13531" width="9.140625" style="8" hidden="1"/>
    <col min="13532" max="13532" width="2.85546875" style="8" hidden="1"/>
    <col min="13533" max="13533" width="5.7109375" style="8" hidden="1"/>
    <col min="13534" max="13534" width="5.42578125" style="8" hidden="1"/>
    <col min="13535" max="13537" width="9.140625" style="8" hidden="1"/>
    <col min="13538" max="13539" width="9" style="8" hidden="1"/>
    <col min="13540" max="13540" width="12.85546875" style="8" hidden="1"/>
    <col min="13541" max="13541" width="13.140625" style="8" hidden="1"/>
    <col min="13542" max="13542" width="1" style="8" hidden="1"/>
    <col min="13543" max="13543" width="2.42578125" style="8" hidden="1"/>
    <col min="13544" max="13544" width="4.42578125" style="8" hidden="1"/>
    <col min="13545" max="13545" width="4.140625" style="8" hidden="1"/>
    <col min="13546" max="13787" width="9.140625" style="8" hidden="1"/>
    <col min="13788" max="13788" width="2.85546875" style="8" hidden="1"/>
    <col min="13789" max="13789" width="5.7109375" style="8" hidden="1"/>
    <col min="13790" max="13790" width="5.42578125" style="8" hidden="1"/>
    <col min="13791" max="13793" width="9.140625" style="8" hidden="1"/>
    <col min="13794" max="13795" width="9" style="8" hidden="1"/>
    <col min="13796" max="13796" width="12.85546875" style="8" hidden="1"/>
    <col min="13797" max="13797" width="13.140625" style="8" hidden="1"/>
    <col min="13798" max="13798" width="1" style="8" hidden="1"/>
    <col min="13799" max="13799" width="2.42578125" style="8" hidden="1"/>
    <col min="13800" max="13800" width="4.42578125" style="8" hidden="1"/>
    <col min="13801" max="13801" width="4.140625" style="8" hidden="1"/>
    <col min="13802" max="14043" width="9.140625" style="8" hidden="1"/>
    <col min="14044" max="14044" width="2.85546875" style="8" hidden="1"/>
    <col min="14045" max="14045" width="5.7109375" style="8" hidden="1"/>
    <col min="14046" max="14046" width="5.42578125" style="8" hidden="1"/>
    <col min="14047" max="14049" width="9.140625" style="8" hidden="1"/>
    <col min="14050" max="14051" width="9" style="8" hidden="1"/>
    <col min="14052" max="14052" width="12.85546875" style="8" hidden="1"/>
    <col min="14053" max="14053" width="13.140625" style="8" hidden="1"/>
    <col min="14054" max="14054" width="1" style="8" hidden="1"/>
    <col min="14055" max="14055" width="2.42578125" style="8" hidden="1"/>
    <col min="14056" max="14056" width="4.42578125" style="8" hidden="1"/>
    <col min="14057" max="14057" width="4.140625" style="8" hidden="1"/>
    <col min="14058" max="14299" width="9.140625" style="8" hidden="1"/>
    <col min="14300" max="14300" width="2.85546875" style="8" hidden="1"/>
    <col min="14301" max="14301" width="5.7109375" style="8" hidden="1"/>
    <col min="14302" max="14302" width="5.42578125" style="8" hidden="1"/>
    <col min="14303" max="14305" width="9.140625" style="8" hidden="1"/>
    <col min="14306" max="14307" width="9" style="8" hidden="1"/>
    <col min="14308" max="14308" width="12.85546875" style="8" hidden="1"/>
    <col min="14309" max="14309" width="13.140625" style="8" hidden="1"/>
    <col min="14310" max="14310" width="1" style="8" hidden="1"/>
    <col min="14311" max="14311" width="2.42578125" style="8" hidden="1"/>
    <col min="14312" max="14312" width="4.42578125" style="8" hidden="1"/>
    <col min="14313" max="14313" width="4.140625" style="8" hidden="1"/>
    <col min="14314" max="14555" width="9.140625" style="8" hidden="1"/>
    <col min="14556" max="14556" width="2.85546875" style="8" hidden="1"/>
    <col min="14557" max="14557" width="5.7109375" style="8" hidden="1"/>
    <col min="14558" max="14558" width="5.42578125" style="8" hidden="1"/>
    <col min="14559" max="14561" width="9.140625" style="8" hidden="1"/>
    <col min="14562" max="14563" width="9" style="8" hidden="1"/>
    <col min="14564" max="14564" width="12.85546875" style="8" hidden="1"/>
    <col min="14565" max="14565" width="13.140625" style="8" hidden="1"/>
    <col min="14566" max="14566" width="1" style="8" hidden="1"/>
    <col min="14567" max="14567" width="2.42578125" style="8" hidden="1"/>
    <col min="14568" max="14568" width="4.42578125" style="8" hidden="1"/>
    <col min="14569" max="14569" width="4.140625" style="8" hidden="1"/>
    <col min="14570" max="14811" width="9.140625" style="8" hidden="1"/>
    <col min="14812" max="14812" width="2.85546875" style="8" hidden="1"/>
    <col min="14813" max="14813" width="5.7109375" style="8" hidden="1"/>
    <col min="14814" max="14814" width="5.42578125" style="8" hidden="1"/>
    <col min="14815" max="14817" width="9.140625" style="8" hidden="1"/>
    <col min="14818" max="14819" width="9" style="8" hidden="1"/>
    <col min="14820" max="14820" width="12.85546875" style="8" hidden="1"/>
    <col min="14821" max="14821" width="13.140625" style="8" hidden="1"/>
    <col min="14822" max="14822" width="1" style="8" hidden="1"/>
    <col min="14823" max="14823" width="2.42578125" style="8" hidden="1"/>
    <col min="14824" max="14824" width="4.42578125" style="8" hidden="1"/>
    <col min="14825" max="14825" width="4.140625" style="8" hidden="1"/>
    <col min="14826" max="15067" width="9.140625" style="8" hidden="1"/>
    <col min="15068" max="15068" width="2.85546875" style="8" hidden="1"/>
    <col min="15069" max="15069" width="5.7109375" style="8" hidden="1"/>
    <col min="15070" max="15070" width="5.42578125" style="8" hidden="1"/>
    <col min="15071" max="15073" width="9.140625" style="8" hidden="1"/>
    <col min="15074" max="15075" width="9" style="8" hidden="1"/>
    <col min="15076" max="15076" width="12.85546875" style="8" hidden="1"/>
    <col min="15077" max="15077" width="13.140625" style="8" hidden="1"/>
    <col min="15078" max="15078" width="1" style="8" hidden="1"/>
    <col min="15079" max="15079" width="2.42578125" style="8" hidden="1"/>
    <col min="15080" max="15080" width="4.42578125" style="8" hidden="1"/>
    <col min="15081" max="15081" width="4.140625" style="8" hidden="1"/>
    <col min="15082" max="15323" width="9.140625" style="8" hidden="1"/>
    <col min="15324" max="15324" width="2.85546875" style="8" hidden="1"/>
    <col min="15325" max="15325" width="5.7109375" style="8" hidden="1"/>
    <col min="15326" max="15326" width="5.42578125" style="8" hidden="1"/>
    <col min="15327" max="15329" width="9.140625" style="8" hidden="1"/>
    <col min="15330" max="15331" width="9" style="8" hidden="1"/>
    <col min="15332" max="15332" width="12.85546875" style="8" hidden="1"/>
    <col min="15333" max="15333" width="13.140625" style="8" hidden="1"/>
    <col min="15334" max="15334" width="1" style="8" hidden="1"/>
    <col min="15335" max="15335" width="2.42578125" style="8" hidden="1"/>
    <col min="15336" max="15336" width="4.42578125" style="8" hidden="1"/>
    <col min="15337" max="15337" width="4.140625" style="8" hidden="1"/>
    <col min="15338" max="15579" width="9.140625" style="8" hidden="1"/>
    <col min="15580" max="15580" width="2.85546875" style="8" hidden="1"/>
    <col min="15581" max="15581" width="5.7109375" style="8" hidden="1"/>
    <col min="15582" max="15582" width="5.42578125" style="8" hidden="1"/>
    <col min="15583" max="15585" width="9.140625" style="8" hidden="1"/>
    <col min="15586" max="15587" width="9" style="8" hidden="1"/>
    <col min="15588" max="15588" width="12.85546875" style="8" hidden="1"/>
    <col min="15589" max="15589" width="13.140625" style="8" hidden="1"/>
    <col min="15590" max="15590" width="1" style="8" hidden="1"/>
    <col min="15591" max="15591" width="2.42578125" style="8" hidden="1"/>
    <col min="15592" max="15592" width="4.42578125" style="8" hidden="1"/>
    <col min="15593" max="15593" width="4.140625" style="8" hidden="1"/>
    <col min="15594" max="15835" width="9.140625" style="8" hidden="1"/>
    <col min="15836" max="15836" width="2.85546875" style="8" hidden="1"/>
    <col min="15837" max="15837" width="5.7109375" style="8" hidden="1"/>
    <col min="15838" max="15838" width="5.42578125" style="8" hidden="1"/>
    <col min="15839" max="15841" width="9.140625" style="8" hidden="1"/>
    <col min="15842" max="15843" width="9" style="8" hidden="1"/>
    <col min="15844" max="15844" width="12.85546875" style="8" hidden="1"/>
    <col min="15845" max="15845" width="13.140625" style="8" hidden="1"/>
    <col min="15846" max="15846" width="1" style="8" hidden="1"/>
    <col min="15847" max="15847" width="2.42578125" style="8" hidden="1"/>
    <col min="15848" max="15848" width="4.42578125" style="8" hidden="1"/>
    <col min="15849" max="15849" width="4.140625" style="8" hidden="1"/>
    <col min="15850" max="16091" width="9.140625" style="8" hidden="1"/>
    <col min="16092" max="16092" width="2.85546875" style="8" hidden="1"/>
    <col min="16093" max="16093" width="5.7109375" style="8" hidden="1"/>
    <col min="16094" max="16094" width="5.42578125" style="8" hidden="1"/>
    <col min="16095" max="16097" width="9.140625" style="8" hidden="1"/>
    <col min="16098" max="16099" width="9" style="8" hidden="1"/>
    <col min="16100" max="16100" width="12.85546875" style="8" hidden="1"/>
    <col min="16101" max="16101" width="13.140625" style="8" hidden="1"/>
    <col min="16102" max="16102" width="1" style="8" hidden="1"/>
    <col min="16103" max="16103" width="2.42578125" style="8" hidden="1"/>
    <col min="16104" max="16104" width="4.42578125" style="8" hidden="1"/>
    <col min="16105" max="16105" width="4.140625" style="8" hidden="1"/>
    <col min="16106" max="16384" width="9.140625" style="8" hidden="1"/>
  </cols>
  <sheetData>
    <row r="1" spans="1:14" x14ac:dyDescent="0.25">
      <c r="A1" s="6"/>
      <c r="B1" s="7"/>
      <c r="C1" s="7"/>
      <c r="D1" s="7"/>
      <c r="E1" s="7"/>
      <c r="F1" s="7"/>
      <c r="G1" s="7"/>
      <c r="H1" s="7"/>
      <c r="I1" s="7"/>
      <c r="J1" s="7"/>
      <c r="K1" s="7"/>
      <c r="L1" s="6"/>
      <c r="M1" s="7"/>
      <c r="N1" s="7"/>
    </row>
    <row r="2" spans="1:14" x14ac:dyDescent="0.25"/>
    <row r="3" spans="1:14" s="9" customFormat="1" ht="3.95" customHeight="1" x14ac:dyDescent="0.2">
      <c r="B3" s="10"/>
      <c r="C3" s="11"/>
      <c r="D3" s="11"/>
      <c r="E3" s="11"/>
      <c r="F3" s="11"/>
      <c r="G3" s="12"/>
      <c r="H3" s="11"/>
      <c r="I3" s="11"/>
      <c r="J3" s="13"/>
      <c r="L3" s="287" t="s">
        <v>41</v>
      </c>
      <c r="M3" s="11"/>
      <c r="N3" s="13"/>
    </row>
    <row r="4" spans="1:14" s="9" customFormat="1" ht="12.95" customHeight="1" x14ac:dyDescent="0.25">
      <c r="B4" s="14" t="s">
        <v>42</v>
      </c>
      <c r="C4" s="15"/>
      <c r="D4" s="16"/>
      <c r="E4" s="15"/>
      <c r="F4" s="15"/>
      <c r="G4" s="17"/>
      <c r="H4" s="17" t="s">
        <v>43</v>
      </c>
      <c r="I4" s="15"/>
      <c r="J4" s="18"/>
      <c r="L4" s="288"/>
      <c r="M4" s="15"/>
      <c r="N4" s="18"/>
    </row>
    <row r="5" spans="1:14" ht="11.1" customHeight="1" x14ac:dyDescent="0.25">
      <c r="B5" s="19" t="s">
        <v>44</v>
      </c>
      <c r="C5" s="290">
        <f>'Banco de Dados'!B10</f>
        <v>0</v>
      </c>
      <c r="D5" s="290"/>
      <c r="E5" s="290"/>
      <c r="F5" s="290"/>
      <c r="G5" s="290"/>
      <c r="H5" s="290"/>
      <c r="I5" s="20"/>
      <c r="J5" s="21" t="s">
        <v>45</v>
      </c>
      <c r="L5" s="288"/>
      <c r="M5" s="22"/>
      <c r="N5" s="291" t="s">
        <v>46</v>
      </c>
    </row>
    <row r="6" spans="1:14" ht="11.1" customHeight="1" x14ac:dyDescent="0.25">
      <c r="B6" s="19" t="s">
        <v>47</v>
      </c>
      <c r="C6" s="290">
        <f>'Banco de Dados'!B12</f>
        <v>0</v>
      </c>
      <c r="D6" s="290"/>
      <c r="E6" s="290"/>
      <c r="F6" s="290"/>
      <c r="G6" s="290"/>
      <c r="H6" s="290"/>
      <c r="I6" s="7"/>
      <c r="J6" s="292">
        <f>'Banco de Dados'!B14</f>
        <v>43101</v>
      </c>
      <c r="L6" s="288"/>
      <c r="M6" s="22"/>
      <c r="N6" s="291"/>
    </row>
    <row r="7" spans="1:14" ht="11.1" customHeight="1" x14ac:dyDescent="0.25">
      <c r="B7" s="19" t="s">
        <v>48</v>
      </c>
      <c r="C7" s="290">
        <f>'Banco de Dados'!B11</f>
        <v>0</v>
      </c>
      <c r="D7" s="290"/>
      <c r="E7" s="290"/>
      <c r="F7" s="290"/>
      <c r="G7" s="290"/>
      <c r="H7" s="290"/>
      <c r="I7" s="7"/>
      <c r="J7" s="292"/>
      <c r="L7" s="288"/>
      <c r="M7" s="22"/>
      <c r="N7" s="291"/>
    </row>
    <row r="8" spans="1:14" ht="3.95" customHeight="1" x14ac:dyDescent="0.25">
      <c r="B8" s="23"/>
      <c r="C8" s="24"/>
      <c r="D8" s="24"/>
      <c r="E8" s="24"/>
      <c r="F8" s="24"/>
      <c r="G8" s="24"/>
      <c r="H8" s="24"/>
      <c r="I8" s="24"/>
      <c r="J8" s="25"/>
      <c r="L8" s="288"/>
      <c r="M8" s="22"/>
      <c r="N8" s="291"/>
    </row>
    <row r="9" spans="1:14" ht="6" customHeight="1" x14ac:dyDescent="0.25">
      <c r="L9" s="288"/>
      <c r="M9" s="22"/>
      <c r="N9" s="291"/>
    </row>
    <row r="10" spans="1:14" ht="8.1" customHeight="1" x14ac:dyDescent="0.25">
      <c r="B10" s="26" t="s">
        <v>49</v>
      </c>
      <c r="C10" s="27" t="s">
        <v>50</v>
      </c>
      <c r="D10" s="28"/>
      <c r="E10" s="28"/>
      <c r="F10" s="28"/>
      <c r="G10" s="28"/>
      <c r="H10" s="27" t="s">
        <v>51</v>
      </c>
      <c r="I10" s="27" t="s">
        <v>52</v>
      </c>
      <c r="J10" s="29"/>
      <c r="L10" s="288"/>
      <c r="M10" s="22"/>
      <c r="N10" s="291"/>
    </row>
    <row r="11" spans="1:14" s="30" customFormat="1" ht="11.1" customHeight="1" x14ac:dyDescent="0.25">
      <c r="B11" s="31"/>
      <c r="C11" s="281">
        <f>'Banco de Dados'!B15</f>
        <v>0</v>
      </c>
      <c r="D11" s="281"/>
      <c r="E11" s="281"/>
      <c r="F11" s="281"/>
      <c r="G11" s="281"/>
      <c r="H11" s="32"/>
      <c r="I11" s="281">
        <f>'Banco de Dados'!B16</f>
        <v>0</v>
      </c>
      <c r="J11" s="282"/>
      <c r="L11" s="288"/>
      <c r="M11" s="33"/>
      <c r="N11" s="291"/>
    </row>
    <row r="12" spans="1:14" ht="6" customHeight="1" x14ac:dyDescent="0.25">
      <c r="B12" s="23"/>
      <c r="C12" s="24"/>
      <c r="D12" s="24"/>
      <c r="E12" s="24"/>
      <c r="F12" s="24"/>
      <c r="G12" s="24"/>
      <c r="H12" s="24"/>
      <c r="I12" s="24"/>
      <c r="J12" s="25"/>
      <c r="L12" s="288"/>
      <c r="M12" s="22"/>
      <c r="N12" s="291"/>
    </row>
    <row r="13" spans="1:14" ht="6" customHeight="1" x14ac:dyDescent="0.25">
      <c r="L13" s="288"/>
      <c r="M13" s="22"/>
      <c r="N13" s="291"/>
    </row>
    <row r="14" spans="1:14" s="34" customFormat="1" ht="12" customHeight="1" x14ac:dyDescent="0.25">
      <c r="B14" s="35" t="s">
        <v>53</v>
      </c>
      <c r="C14" s="293" t="s">
        <v>54</v>
      </c>
      <c r="D14" s="294"/>
      <c r="E14" s="294"/>
      <c r="F14" s="294"/>
      <c r="G14" s="295"/>
      <c r="H14" s="35" t="s">
        <v>55</v>
      </c>
      <c r="I14" s="35" t="s">
        <v>56</v>
      </c>
      <c r="J14" s="35" t="s">
        <v>57</v>
      </c>
      <c r="L14" s="288"/>
      <c r="M14" s="36"/>
      <c r="N14" s="291"/>
    </row>
    <row r="15" spans="1:14" s="34" customFormat="1" ht="3" customHeight="1" x14ac:dyDescent="0.2">
      <c r="B15" s="37"/>
      <c r="C15" s="296"/>
      <c r="D15" s="297"/>
      <c r="E15" s="297"/>
      <c r="F15" s="297"/>
      <c r="G15" s="298"/>
      <c r="H15" s="38"/>
      <c r="I15" s="39"/>
      <c r="J15" s="39"/>
      <c r="L15" s="288"/>
      <c r="M15" s="36"/>
      <c r="N15" s="291"/>
    </row>
    <row r="16" spans="1:14" s="34" customFormat="1" ht="11.1" customHeight="1" x14ac:dyDescent="0.2">
      <c r="B16" s="40"/>
      <c r="C16" s="280" t="str">
        <f>IF(OR('Banco de Dados'!O11="",'Banco de Dados'!O11=0),"",'Banco de Dados'!M11)</f>
        <v>total a pagar pelas horas</v>
      </c>
      <c r="D16" s="281"/>
      <c r="E16" s="281"/>
      <c r="F16" s="281"/>
      <c r="G16" s="282"/>
      <c r="H16" s="41">
        <f>IF('Banco de Dados'!N11=0,"",'Banco de Dados'!N11)</f>
        <v>10</v>
      </c>
      <c r="I16" s="148">
        <f>IF('Banco de Dados'!O11=0,"",'Banco de Dados'!O11)</f>
        <v>700</v>
      </c>
      <c r="J16" s="149"/>
      <c r="L16" s="288"/>
      <c r="M16" s="36"/>
      <c r="N16" s="291"/>
    </row>
    <row r="17" spans="2:14" s="34" customFormat="1" ht="11.1" customHeight="1" x14ac:dyDescent="0.2">
      <c r="B17" s="40"/>
      <c r="C17" s="280" t="str">
        <f>IF(OR('Banco de Dados'!O12="",'Banco de Dados'!O12=0),"",'Banco de Dados'!M12)</f>
        <v>HE diurna</v>
      </c>
      <c r="D17" s="281"/>
      <c r="E17" s="281"/>
      <c r="F17" s="281"/>
      <c r="G17" s="282"/>
      <c r="H17" s="41">
        <f>IF('Banco de Dados'!N12=0,"",'Banco de Dados'!N12)</f>
        <v>10</v>
      </c>
      <c r="I17" s="148">
        <f>IF('Banco de Dados'!O12=0,"",'Banco de Dados'!O12)</f>
        <v>1050</v>
      </c>
      <c r="J17" s="149"/>
      <c r="L17" s="288"/>
      <c r="M17" s="36"/>
      <c r="N17" s="291"/>
    </row>
    <row r="18" spans="2:14" s="34" customFormat="1" ht="11.1" customHeight="1" x14ac:dyDescent="0.2">
      <c r="B18" s="40"/>
      <c r="C18" s="280" t="str">
        <f>IF(OR('Banco de Dados'!O13="",'Banco de Dados'!O13=0),"",'Banco de Dados'!M13)</f>
        <v/>
      </c>
      <c r="D18" s="281"/>
      <c r="E18" s="281"/>
      <c r="F18" s="281"/>
      <c r="G18" s="282"/>
      <c r="H18" s="202" t="str">
        <f>IF(OR('Banco de Dados'!N13=0,'Banco de Dados'!N13=""),"",'Banco de Dados'!N13)</f>
        <v/>
      </c>
      <c r="I18" s="148" t="str">
        <f>IF('Banco de Dados'!O13=0,"",'Banco de Dados'!O13)</f>
        <v/>
      </c>
      <c r="J18" s="149"/>
      <c r="L18" s="288"/>
      <c r="M18" s="36"/>
      <c r="N18" s="291"/>
    </row>
    <row r="19" spans="2:14" s="34" customFormat="1" ht="11.1" customHeight="1" x14ac:dyDescent="0.2">
      <c r="B19" s="40"/>
      <c r="C19" s="280" t="str">
        <f>IF(OR('Banco de Dados'!O14="",'Banco de Dados'!O14=0),"",'Banco de Dados'!M14)</f>
        <v/>
      </c>
      <c r="D19" s="281"/>
      <c r="E19" s="281"/>
      <c r="F19" s="281"/>
      <c r="G19" s="282"/>
      <c r="H19" s="41" t="str">
        <f>IF('Banco de Dados'!N14=0,"",'Banco de Dados'!N14)</f>
        <v/>
      </c>
      <c r="I19" s="148" t="str">
        <f>IF('Banco de Dados'!O14=0,"",'Banco de Dados'!O14)</f>
        <v/>
      </c>
      <c r="J19" s="149"/>
      <c r="L19" s="288"/>
      <c r="M19" s="36"/>
      <c r="N19" s="291"/>
    </row>
    <row r="20" spans="2:14" s="34" customFormat="1" ht="11.1" customHeight="1" x14ac:dyDescent="0.2">
      <c r="B20" s="40"/>
      <c r="C20" s="280" t="str">
        <f>IF(OR('Banco de Dados'!O15="",'Banco de Dados'!O15=0),"",'Banco de Dados'!M15)</f>
        <v/>
      </c>
      <c r="D20" s="281"/>
      <c r="E20" s="281"/>
      <c r="F20" s="281"/>
      <c r="G20" s="282"/>
      <c r="H20" s="202" t="str">
        <f>IF('Banco de Dados'!N15=0,"",'Banco de Dados'!N15)</f>
        <v/>
      </c>
      <c r="I20" s="148" t="str">
        <f>IF('Banco de Dados'!O15=0,"",'Banco de Dados'!O15)</f>
        <v/>
      </c>
      <c r="J20" s="149"/>
      <c r="L20" s="288"/>
      <c r="M20" s="36"/>
      <c r="N20" s="291"/>
    </row>
    <row r="21" spans="2:14" s="34" customFormat="1" ht="11.1" customHeight="1" x14ac:dyDescent="0.2">
      <c r="B21" s="40"/>
      <c r="C21" s="280" t="str">
        <f>IF(OR('Banco de Dados'!O16="",'Banco de Dados'!O16=0),"",'Banco de Dados'!M16)</f>
        <v>DSR</v>
      </c>
      <c r="D21" s="281"/>
      <c r="E21" s="281"/>
      <c r="F21" s="281"/>
      <c r="G21" s="282"/>
      <c r="H21" s="41" t="str">
        <f>IF('Banco de Dados'!N16=0,"",'Banco de Dados'!N16)</f>
        <v/>
      </c>
      <c r="I21" s="148">
        <f>IF('Banco de Dados'!O16=0,"",'Banco de Dados'!O16)</f>
        <v>291.66666666666669</v>
      </c>
      <c r="J21" s="149"/>
      <c r="L21" s="288"/>
      <c r="M21" s="36"/>
      <c r="N21" s="291"/>
    </row>
    <row r="22" spans="2:14" s="34" customFormat="1" ht="11.1" customHeight="1" x14ac:dyDescent="0.2">
      <c r="B22" s="40"/>
      <c r="C22" s="280" t="str">
        <f>IF(OR('Banco de Dados'!O17="",'Banco de Dados'!O17=0),"",'Banco de Dados'!M17)</f>
        <v/>
      </c>
      <c r="D22" s="281"/>
      <c r="E22" s="281"/>
      <c r="F22" s="281"/>
      <c r="G22" s="282"/>
      <c r="H22" s="41" t="str">
        <f>IF('Banco de Dados'!N17=0,"",'Banco de Dados'!N17)</f>
        <v/>
      </c>
      <c r="I22" s="149" t="str">
        <f>IF('Banco de Dados'!O17="","",'Banco de Dados'!O17)</f>
        <v/>
      </c>
      <c r="J22" s="149"/>
      <c r="L22" s="288"/>
      <c r="M22" s="36"/>
      <c r="N22" s="291"/>
    </row>
    <row r="23" spans="2:14" s="34" customFormat="1" ht="11.1" customHeight="1" x14ac:dyDescent="0.2">
      <c r="B23" s="40"/>
      <c r="C23" s="214" t="str">
        <f>IF(OR('Banco de Dados'!O19="",'Banco de Dados'!O19=0),"",'Banco de Dados'!M19)</f>
        <v/>
      </c>
      <c r="D23" s="215"/>
      <c r="E23" s="215"/>
      <c r="F23" s="215"/>
      <c r="G23" s="216"/>
      <c r="H23" s="41" t="str">
        <f>IF('Banco de Dados'!N18=0,"",'Banco de Dados'!N18)</f>
        <v/>
      </c>
      <c r="I23" s="149" t="str">
        <f>IF('Banco de Dados'!O19="","",'Banco de Dados'!O19)</f>
        <v/>
      </c>
      <c r="J23" s="149"/>
      <c r="L23" s="288"/>
      <c r="M23" s="36"/>
      <c r="N23" s="291"/>
    </row>
    <row r="24" spans="2:14" s="34" customFormat="1" ht="11.1" customHeight="1" x14ac:dyDescent="0.2">
      <c r="B24" s="40"/>
      <c r="C24" s="214" t="str">
        <f>IF(OR('Banco de Dados'!O20="",'Banco de Dados'!O20=0),"",'Banco de Dados'!M20)</f>
        <v>férias proporcionais</v>
      </c>
      <c r="D24" s="215"/>
      <c r="E24" s="215"/>
      <c r="F24" s="215"/>
      <c r="G24" s="216"/>
      <c r="H24" s="41" t="str">
        <f>IF(OR('Banco de Dados'!N20=0,'Banco de Dados'!N20=""),"",'Banco de Dados'!N20)</f>
        <v>1/12</v>
      </c>
      <c r="I24" s="149">
        <f>IF(OR('Banco de Dados'!O20="",'Banco de Dados'!O20=0),"",'Banco de Dados'!O20)</f>
        <v>170.13888888888889</v>
      </c>
      <c r="J24" s="149"/>
      <c r="L24" s="288"/>
      <c r="M24" s="36"/>
      <c r="N24" s="291"/>
    </row>
    <row r="25" spans="2:14" s="34" customFormat="1" ht="11.1" customHeight="1" x14ac:dyDescent="0.2">
      <c r="B25" s="40"/>
      <c r="C25" s="214" t="str">
        <f>IF(OR('Banco de Dados'!O21="",'Banco de Dados'!O21=0),"",'Banco de Dados'!M21)</f>
        <v>1/3 férias proporcionais</v>
      </c>
      <c r="D25" s="215"/>
      <c r="E25" s="215"/>
      <c r="F25" s="215"/>
      <c r="G25" s="216"/>
      <c r="H25" s="41" t="str">
        <f>IF('Banco de Dados'!N21=0,"",'Banco de Dados'!N21)</f>
        <v>1/3</v>
      </c>
      <c r="I25" s="149">
        <f>IF(OR('Banco de Dados'!O21="",'Banco de Dados'!O21=0),"",'Banco de Dados'!O21)</f>
        <v>56.712962962962962</v>
      </c>
      <c r="J25" s="149"/>
      <c r="L25" s="288"/>
      <c r="M25" s="36"/>
      <c r="N25" s="291"/>
    </row>
    <row r="26" spans="2:14" s="34" customFormat="1" ht="11.1" customHeight="1" x14ac:dyDescent="0.2">
      <c r="B26" s="40"/>
      <c r="C26" s="280" t="str">
        <f>IF(OR('Banco de Dados'!O22="",'Banco de Dados'!O22=0),"",'Banco de Dados'!M22)</f>
        <v>13º Salario Proporcional</v>
      </c>
      <c r="D26" s="281"/>
      <c r="E26" s="281"/>
      <c r="F26" s="281"/>
      <c r="G26" s="282"/>
      <c r="H26" s="41" t="str">
        <f>IF('Banco de Dados'!N22=0,"",'Banco de Dados'!N22)</f>
        <v>1/12</v>
      </c>
      <c r="I26" s="149">
        <f>IF(OR('Banco de Dados'!O22="",'Banco de Dados'!O22=0),"",'Banco de Dados'!O22)</f>
        <v>170.13888888888889</v>
      </c>
      <c r="J26" s="149"/>
      <c r="L26" s="288"/>
      <c r="M26" s="36"/>
      <c r="N26" s="291"/>
    </row>
    <row r="27" spans="2:14" s="34" customFormat="1" ht="11.1" customHeight="1" x14ac:dyDescent="0.2">
      <c r="B27" s="40"/>
      <c r="C27" s="280">
        <f>IF(OR('Banco de Dados'!O25="",'Banco de Dados'!O25=0),"",'Banco de Dados'!M25)</f>
        <v>0</v>
      </c>
      <c r="D27" s="281"/>
      <c r="E27" s="281"/>
      <c r="F27" s="281"/>
      <c r="G27" s="282"/>
      <c r="H27" s="41" t="str">
        <f>IF('Banco de Dados'!N25=0,"",'Banco de Dados'!N25)</f>
        <v/>
      </c>
      <c r="I27" s="149">
        <f>IF(OR('Banco de Dados'!O25="",'Banco de Dados'!O25=0),"",'Banco de Dados'!O25)</f>
        <v>250</v>
      </c>
      <c r="J27" s="149"/>
      <c r="L27" s="288"/>
      <c r="M27" s="36"/>
      <c r="N27" s="291"/>
    </row>
    <row r="28" spans="2:14" s="34" customFormat="1" ht="11.1" customHeight="1" x14ac:dyDescent="0.2">
      <c r="B28" s="40"/>
      <c r="C28" s="280"/>
      <c r="D28" s="281"/>
      <c r="E28" s="281"/>
      <c r="F28" s="281"/>
      <c r="G28" s="282"/>
      <c r="H28" s="41"/>
      <c r="I28" s="149"/>
      <c r="J28" s="149"/>
      <c r="L28" s="288"/>
      <c r="M28" s="36"/>
      <c r="N28" s="291"/>
    </row>
    <row r="29" spans="2:14" s="34" customFormat="1" ht="11.1" customHeight="1" x14ac:dyDescent="0.2">
      <c r="B29" s="42"/>
      <c r="C29" s="280" t="str">
        <f>IF(OR('Banco de Dados'!O24="",'Banco de Dados'!O24=0),"",'Banco de Dados'!M24)</f>
        <v/>
      </c>
      <c r="D29" s="281"/>
      <c r="E29" s="281"/>
      <c r="F29" s="281"/>
      <c r="G29" s="282"/>
      <c r="H29" s="41" t="str">
        <f>IF(C29="","",'Banco de Dados'!F32)</f>
        <v/>
      </c>
      <c r="I29" s="149">
        <f>'Banco de Dados'!F35</f>
        <v>0</v>
      </c>
      <c r="J29" s="150"/>
      <c r="L29" s="288"/>
      <c r="M29" s="36"/>
      <c r="N29" s="291"/>
    </row>
    <row r="30" spans="2:14" s="34" customFormat="1" ht="11.1" customHeight="1" x14ac:dyDescent="0.2">
      <c r="B30" s="147"/>
      <c r="C30" s="283" t="str">
        <f>'Banco de Dados'!M29</f>
        <v xml:space="preserve">INSS </v>
      </c>
      <c r="D30" s="284"/>
      <c r="E30" s="284"/>
      <c r="F30" s="284"/>
      <c r="G30" s="285"/>
      <c r="H30" s="171">
        <f>IF('Banco de Dados'!N30=0,"",'Banco de Dados'!N30)</f>
        <v>0.08</v>
      </c>
      <c r="I30" s="151"/>
      <c r="J30" s="151">
        <f>IF(OR('Banco de Dados'!O29="",'Banco de Dados'!O29=0),"",'Banco de Dados'!O29)</f>
        <v>183.75</v>
      </c>
      <c r="L30" s="288"/>
      <c r="M30" s="44"/>
      <c r="N30" s="36"/>
    </row>
    <row r="31" spans="2:14" s="34" customFormat="1" ht="11.1" customHeight="1" x14ac:dyDescent="0.2">
      <c r="B31" s="42"/>
      <c r="C31" s="280" t="str">
        <f>'Banco de Dados'!M30</f>
        <v>INSS s/ 13º Salário</v>
      </c>
      <c r="D31" s="281"/>
      <c r="E31" s="281"/>
      <c r="F31" s="281"/>
      <c r="G31" s="282"/>
      <c r="H31" s="170" t="str">
        <f>IF('Banco de Dados'!N31=0,"",'Banco de Dados'!N31)</f>
        <v/>
      </c>
      <c r="I31" s="149"/>
      <c r="J31" s="149">
        <f>IF(OR(,'Banco de Dados'!O30=0),"",'Banco de Dados'!O30)</f>
        <v>13.611111111111111</v>
      </c>
      <c r="L31" s="288"/>
      <c r="M31" s="36"/>
      <c r="N31" s="36"/>
    </row>
    <row r="32" spans="2:14" s="34" customFormat="1" ht="11.1" customHeight="1" x14ac:dyDescent="0.2">
      <c r="B32" s="42"/>
      <c r="C32" s="280" t="str">
        <f>'Banco de Dados'!M31</f>
        <v>IRRF</v>
      </c>
      <c r="D32" s="281"/>
      <c r="E32" s="281"/>
      <c r="F32" s="281"/>
      <c r="G32" s="282"/>
      <c r="H32" s="170" t="str">
        <f>IF('Banco de Dados'!N32=0,"",'Banco de Dados'!N32)</f>
        <v/>
      </c>
      <c r="I32" s="150"/>
      <c r="J32" s="149" t="str">
        <f>IF(OR('Banco de Dados'!O31="",'Banco de Dados'!O31=0),"",'Banco de Dados'!O31)</f>
        <v/>
      </c>
      <c r="L32" s="288"/>
      <c r="M32" s="36"/>
      <c r="N32" s="36"/>
    </row>
    <row r="33" spans="1:14" s="34" customFormat="1" ht="11.1" customHeight="1" x14ac:dyDescent="0.2">
      <c r="B33" s="42"/>
      <c r="C33" s="280" t="str">
        <f>'Banco de Dados'!M32</f>
        <v>IRRF s/ 13 salário</v>
      </c>
      <c r="D33" s="281"/>
      <c r="E33" s="281"/>
      <c r="F33" s="281"/>
      <c r="G33" s="282"/>
      <c r="H33" s="170" t="str">
        <f>IF('Banco de Dados'!N33=0,"",'Banco de Dados'!N33)</f>
        <v/>
      </c>
      <c r="I33" s="150"/>
      <c r="J33" s="149" t="str">
        <f>IF(OR('Banco de Dados'!O32="",'Banco de Dados'!O32=0),"",'Banco de Dados'!O32)</f>
        <v/>
      </c>
      <c r="L33" s="288"/>
      <c r="M33" s="36"/>
      <c r="N33" s="36"/>
    </row>
    <row r="34" spans="1:14" s="34" customFormat="1" ht="11.1" customHeight="1" x14ac:dyDescent="0.2">
      <c r="B34" s="42"/>
      <c r="C34" s="280" t="str">
        <f>'Banco de Dados'!M33</f>
        <v>adiantamentos</v>
      </c>
      <c r="D34" s="281"/>
      <c r="E34" s="281"/>
      <c r="F34" s="281"/>
      <c r="G34" s="282"/>
      <c r="H34" s="41"/>
      <c r="I34" s="150"/>
      <c r="J34" s="149">
        <f>IF('Banco de Dados'!O33="","",'Banco de Dados'!O33)</f>
        <v>0</v>
      </c>
      <c r="L34" s="288"/>
      <c r="M34" s="36"/>
      <c r="N34" s="36"/>
    </row>
    <row r="35" spans="1:14" s="34" customFormat="1" ht="11.1" customHeight="1" x14ac:dyDescent="0.2">
      <c r="B35" s="42"/>
      <c r="C35" s="280" t="str">
        <f>'Banco de Dados'!M34</f>
        <v>Prejuízos causados (ou outro nome)</v>
      </c>
      <c r="D35" s="281"/>
      <c r="E35" s="281"/>
      <c r="F35" s="281"/>
      <c r="G35" s="282"/>
      <c r="H35" s="139"/>
      <c r="I35" s="150"/>
      <c r="J35" s="149">
        <f>IF('Banco de Dados'!O34="","",'Banco de Dados'!O34)</f>
        <v>0</v>
      </c>
      <c r="L35" s="288"/>
      <c r="M35" s="36"/>
      <c r="N35" s="36"/>
    </row>
    <row r="36" spans="1:14" s="34" customFormat="1" ht="11.1" customHeight="1" x14ac:dyDescent="0.2">
      <c r="B36" s="42"/>
      <c r="H36" s="139"/>
      <c r="I36" s="150"/>
      <c r="J36" s="149"/>
      <c r="L36" s="288"/>
      <c r="M36" s="45"/>
      <c r="N36" s="36"/>
    </row>
    <row r="37" spans="1:14" s="34" customFormat="1" ht="11.1" customHeight="1" x14ac:dyDescent="0.2">
      <c r="B37" s="42"/>
      <c r="H37" s="43"/>
      <c r="I37" s="150"/>
      <c r="L37" s="288"/>
      <c r="M37" s="36"/>
      <c r="N37" s="286" t="s">
        <v>58</v>
      </c>
    </row>
    <row r="38" spans="1:14" s="34" customFormat="1" ht="11.1" customHeight="1" x14ac:dyDescent="0.2">
      <c r="B38" s="42"/>
      <c r="H38" s="43"/>
      <c r="I38" s="150"/>
      <c r="L38" s="288"/>
      <c r="M38" s="45" t="s">
        <v>59</v>
      </c>
      <c r="N38" s="286"/>
    </row>
    <row r="39" spans="1:14" s="46" customFormat="1" ht="8.1" customHeight="1" x14ac:dyDescent="0.15">
      <c r="B39" s="271" t="s">
        <v>60</v>
      </c>
      <c r="C39" s="272"/>
      <c r="D39" s="272"/>
      <c r="E39" s="272"/>
      <c r="F39" s="272"/>
      <c r="G39" s="272"/>
      <c r="H39" s="273"/>
      <c r="I39" s="152" t="s">
        <v>61</v>
      </c>
      <c r="J39" s="153" t="s">
        <v>62</v>
      </c>
      <c r="L39" s="288"/>
      <c r="M39" s="47"/>
      <c r="N39" s="286"/>
    </row>
    <row r="40" spans="1:14" s="34" customFormat="1" ht="11.1" customHeight="1" x14ac:dyDescent="0.2">
      <c r="B40" s="274"/>
      <c r="C40" s="275"/>
      <c r="D40" s="275"/>
      <c r="E40" s="275"/>
      <c r="F40" s="275"/>
      <c r="G40" s="275"/>
      <c r="H40" s="276"/>
      <c r="I40" s="150">
        <f>SUM(I16:I38)</f>
        <v>2688.6574074074074</v>
      </c>
      <c r="J40" s="150">
        <f>SUM(J16:J36)</f>
        <v>197.36111111111111</v>
      </c>
      <c r="L40" s="288"/>
      <c r="M40" s="45"/>
      <c r="N40" s="36"/>
    </row>
    <row r="41" spans="1:14" s="46" customFormat="1" ht="11.1" customHeight="1" x14ac:dyDescent="0.15">
      <c r="B41" s="274"/>
      <c r="C41" s="275"/>
      <c r="D41" s="275"/>
      <c r="E41" s="275"/>
      <c r="F41" s="275"/>
      <c r="G41" s="275"/>
      <c r="H41" s="276"/>
      <c r="I41" s="299" t="s">
        <v>63</v>
      </c>
      <c r="J41" s="301">
        <f>I40-J40</f>
        <v>2491.2962962962961</v>
      </c>
      <c r="L41" s="288"/>
      <c r="M41" s="45" t="s">
        <v>59</v>
      </c>
      <c r="N41" s="47"/>
    </row>
    <row r="42" spans="1:14" s="34" customFormat="1" ht="6" customHeight="1" x14ac:dyDescent="0.2">
      <c r="B42" s="277"/>
      <c r="C42" s="278"/>
      <c r="D42" s="278"/>
      <c r="E42" s="278"/>
      <c r="F42" s="278"/>
      <c r="G42" s="278"/>
      <c r="H42" s="279"/>
      <c r="I42" s="300"/>
      <c r="J42" s="302"/>
      <c r="L42" s="288"/>
      <c r="M42" s="36"/>
      <c r="N42" s="36"/>
    </row>
    <row r="43" spans="1:14" s="46" customFormat="1" ht="8.1" customHeight="1" x14ac:dyDescent="0.15">
      <c r="B43" s="303" t="s">
        <v>64</v>
      </c>
      <c r="C43" s="304"/>
      <c r="D43" s="154" t="s">
        <v>65</v>
      </c>
      <c r="E43" s="154" t="s">
        <v>66</v>
      </c>
      <c r="F43" s="154"/>
      <c r="G43" s="154" t="s">
        <v>67</v>
      </c>
      <c r="H43" s="154"/>
      <c r="I43" s="155" t="s">
        <v>68</v>
      </c>
      <c r="J43" s="156" t="s">
        <v>69</v>
      </c>
      <c r="L43" s="288"/>
      <c r="M43" s="47"/>
      <c r="N43" s="47"/>
    </row>
    <row r="44" spans="1:14" s="34" customFormat="1" ht="11.1" customHeight="1" x14ac:dyDescent="0.2">
      <c r="B44" s="305">
        <f>I16</f>
        <v>700</v>
      </c>
      <c r="C44" s="306"/>
      <c r="D44" s="157">
        <f>'Banco de Dados'!N36</f>
        <v>2041.6666666666667</v>
      </c>
      <c r="E44" s="157">
        <f>D44</f>
        <v>2041.6666666666667</v>
      </c>
      <c r="F44" s="157"/>
      <c r="G44" s="157">
        <f>ROUND(E44*0.08,2)</f>
        <v>163.33000000000001</v>
      </c>
      <c r="H44" s="157"/>
      <c r="I44" s="157">
        <f>'Banco de Dados'!N38</f>
        <v>1857.92</v>
      </c>
      <c r="J44" s="158">
        <v>0</v>
      </c>
      <c r="L44" s="289"/>
      <c r="M44" s="48"/>
      <c r="N44" s="48"/>
    </row>
    <row r="45" spans="1:14" ht="9.9499999999999993" customHeight="1" x14ac:dyDescent="0.25">
      <c r="B45" s="51" t="s">
        <v>70</v>
      </c>
    </row>
    <row r="46" spans="1:14" x14ac:dyDescent="0.25">
      <c r="A46" s="52"/>
      <c r="B46" s="7"/>
      <c r="C46" s="7"/>
      <c r="D46" s="7"/>
      <c r="E46" s="7"/>
      <c r="F46" s="7"/>
      <c r="G46" s="7"/>
      <c r="H46" s="7"/>
      <c r="I46" s="7"/>
      <c r="J46" s="7"/>
      <c r="K46" s="7"/>
      <c r="L46" s="52"/>
      <c r="M46" s="7"/>
      <c r="N46" s="7"/>
    </row>
    <row r="47" spans="1:14" x14ac:dyDescent="0.25">
      <c r="A47" s="7"/>
      <c r="B47" s="7"/>
      <c r="C47" s="7"/>
      <c r="D47" s="7"/>
      <c r="E47" s="7"/>
      <c r="F47" s="7"/>
      <c r="G47" s="7"/>
      <c r="H47" s="7"/>
      <c r="I47" s="7"/>
      <c r="J47" s="7"/>
      <c r="K47" s="7"/>
      <c r="L47" s="7"/>
      <c r="M47" s="7"/>
      <c r="N47" s="7"/>
    </row>
    <row r="48" spans="1:14" x14ac:dyDescent="0.25"/>
    <row r="49" spans="2:14" s="9" customFormat="1" ht="3.95" customHeight="1" x14ac:dyDescent="0.2">
      <c r="B49" s="10"/>
      <c r="C49" s="11"/>
      <c r="D49" s="11"/>
      <c r="E49" s="11"/>
      <c r="F49" s="11"/>
      <c r="G49" s="12"/>
      <c r="H49" s="11"/>
      <c r="I49" s="11"/>
      <c r="J49" s="13"/>
      <c r="L49" s="287" t="s">
        <v>41</v>
      </c>
      <c r="M49" s="11"/>
      <c r="N49" s="13"/>
    </row>
    <row r="50" spans="2:14" s="9" customFormat="1" ht="12.95" customHeight="1" x14ac:dyDescent="0.2">
      <c r="B50" s="14" t="s">
        <v>42</v>
      </c>
      <c r="C50" s="15"/>
      <c r="D50" s="15"/>
      <c r="E50" s="15"/>
      <c r="F50" s="15"/>
      <c r="G50" s="17"/>
      <c r="H50" s="17" t="s">
        <v>43</v>
      </c>
      <c r="I50" s="15"/>
      <c r="J50" s="18"/>
      <c r="L50" s="288"/>
      <c r="M50" s="15"/>
      <c r="N50" s="18"/>
    </row>
    <row r="51" spans="2:14" ht="11.1" customHeight="1" x14ac:dyDescent="0.25">
      <c r="B51" s="19" t="s">
        <v>44</v>
      </c>
      <c r="C51" s="290">
        <f>C5</f>
        <v>0</v>
      </c>
      <c r="D51" s="290"/>
      <c r="E51" s="290"/>
      <c r="F51" s="290"/>
      <c r="G51" s="290"/>
      <c r="H51" s="290"/>
      <c r="I51" s="20"/>
      <c r="J51" s="21" t="s">
        <v>45</v>
      </c>
      <c r="L51" s="288"/>
      <c r="M51" s="22"/>
      <c r="N51" s="291" t="s">
        <v>46</v>
      </c>
    </row>
    <row r="52" spans="2:14" ht="11.1" customHeight="1" x14ac:dyDescent="0.25">
      <c r="B52" s="19" t="s">
        <v>47</v>
      </c>
      <c r="C52" s="290">
        <f>C6</f>
        <v>0</v>
      </c>
      <c r="D52" s="290"/>
      <c r="E52" s="290"/>
      <c r="F52" s="290"/>
      <c r="G52" s="290"/>
      <c r="H52" s="290"/>
      <c r="I52" s="7"/>
      <c r="J52" s="292">
        <f>J6</f>
        <v>43101</v>
      </c>
      <c r="L52" s="288"/>
      <c r="M52" s="22"/>
      <c r="N52" s="291"/>
    </row>
    <row r="53" spans="2:14" ht="11.1" customHeight="1" x14ac:dyDescent="0.25">
      <c r="B53" s="19" t="s">
        <v>48</v>
      </c>
      <c r="C53" s="290">
        <f>C7</f>
        <v>0</v>
      </c>
      <c r="D53" s="290"/>
      <c r="E53" s="290"/>
      <c r="F53" s="290"/>
      <c r="G53" s="290"/>
      <c r="H53" s="290"/>
      <c r="I53" s="7"/>
      <c r="J53" s="292"/>
      <c r="L53" s="288"/>
      <c r="M53" s="22"/>
      <c r="N53" s="291"/>
    </row>
    <row r="54" spans="2:14" ht="3.95" customHeight="1" x14ac:dyDescent="0.25">
      <c r="B54" s="23"/>
      <c r="C54" s="24"/>
      <c r="D54" s="24"/>
      <c r="E54" s="24"/>
      <c r="F54" s="24"/>
      <c r="G54" s="24"/>
      <c r="H54" s="24"/>
      <c r="I54" s="24"/>
      <c r="J54" s="25"/>
      <c r="L54" s="288"/>
      <c r="M54" s="22"/>
      <c r="N54" s="291"/>
    </row>
    <row r="55" spans="2:14" ht="6" customHeight="1" x14ac:dyDescent="0.25">
      <c r="L55" s="288"/>
      <c r="M55" s="22"/>
      <c r="N55" s="291"/>
    </row>
    <row r="56" spans="2:14" ht="8.1" customHeight="1" x14ac:dyDescent="0.25">
      <c r="B56" s="26" t="s">
        <v>49</v>
      </c>
      <c r="C56" s="27" t="s">
        <v>50</v>
      </c>
      <c r="D56" s="28"/>
      <c r="E56" s="28"/>
      <c r="F56" s="28"/>
      <c r="G56" s="28"/>
      <c r="H56" s="27" t="s">
        <v>51</v>
      </c>
      <c r="I56" s="27" t="s">
        <v>52</v>
      </c>
      <c r="J56" s="29"/>
      <c r="L56" s="288"/>
      <c r="M56" s="22"/>
      <c r="N56" s="291"/>
    </row>
    <row r="57" spans="2:14" s="30" customFormat="1" ht="11.1" customHeight="1" x14ac:dyDescent="0.25">
      <c r="B57" s="31">
        <f>B11</f>
        <v>0</v>
      </c>
      <c r="C57" s="281">
        <f>C11</f>
        <v>0</v>
      </c>
      <c r="D57" s="281"/>
      <c r="E57" s="281"/>
      <c r="F57" s="281"/>
      <c r="G57" s="281"/>
      <c r="H57" s="32">
        <f>H11</f>
        <v>0</v>
      </c>
      <c r="I57" s="281">
        <f>I11</f>
        <v>0</v>
      </c>
      <c r="J57" s="282"/>
      <c r="L57" s="288"/>
      <c r="M57" s="33"/>
      <c r="N57" s="291"/>
    </row>
    <row r="58" spans="2:14" ht="6" customHeight="1" x14ac:dyDescent="0.25">
      <c r="B58" s="23"/>
      <c r="C58" s="24"/>
      <c r="D58" s="24"/>
      <c r="E58" s="24"/>
      <c r="F58" s="24"/>
      <c r="G58" s="24"/>
      <c r="H58" s="24"/>
      <c r="I58" s="24"/>
      <c r="J58" s="25"/>
      <c r="L58" s="288"/>
      <c r="M58" s="22"/>
      <c r="N58" s="291"/>
    </row>
    <row r="59" spans="2:14" ht="6" customHeight="1" x14ac:dyDescent="0.25">
      <c r="L59" s="288"/>
      <c r="M59" s="22"/>
      <c r="N59" s="291"/>
    </row>
    <row r="60" spans="2:14" s="34" customFormat="1" ht="12" customHeight="1" x14ac:dyDescent="0.25">
      <c r="B60" s="35" t="s">
        <v>53</v>
      </c>
      <c r="C60" s="293" t="s">
        <v>54</v>
      </c>
      <c r="D60" s="294"/>
      <c r="E60" s="294"/>
      <c r="F60" s="294"/>
      <c r="G60" s="295"/>
      <c r="H60" s="35" t="s">
        <v>55</v>
      </c>
      <c r="I60" s="35" t="s">
        <v>56</v>
      </c>
      <c r="J60" s="35" t="s">
        <v>57</v>
      </c>
      <c r="L60" s="288"/>
      <c r="M60" s="36"/>
      <c r="N60" s="291"/>
    </row>
    <row r="61" spans="2:14" s="34" customFormat="1" ht="3" customHeight="1" x14ac:dyDescent="0.2">
      <c r="B61" s="37"/>
      <c r="C61" s="315"/>
      <c r="D61" s="316"/>
      <c r="E61" s="316"/>
      <c r="F61" s="316"/>
      <c r="G61" s="317"/>
      <c r="H61" s="38"/>
      <c r="I61" s="39"/>
      <c r="J61" s="39"/>
      <c r="L61" s="288"/>
      <c r="M61" s="36"/>
      <c r="N61" s="291"/>
    </row>
    <row r="62" spans="2:14" s="34" customFormat="1" ht="11.1" customHeight="1" x14ac:dyDescent="0.2">
      <c r="B62" s="40" t="str">
        <f t="shared" ref="B62:C82" si="0">IF(B16="","",B16)</f>
        <v/>
      </c>
      <c r="C62" s="280" t="str">
        <f t="shared" si="0"/>
        <v>total a pagar pelas horas</v>
      </c>
      <c r="D62" s="281"/>
      <c r="E62" s="281"/>
      <c r="F62" s="281"/>
      <c r="G62" s="282"/>
      <c r="H62" s="53">
        <f t="shared" ref="H62:J62" si="1">IF(H16="","",H16)</f>
        <v>10</v>
      </c>
      <c r="I62" s="148">
        <f t="shared" si="1"/>
        <v>700</v>
      </c>
      <c r="J62" s="148" t="str">
        <f t="shared" si="1"/>
        <v/>
      </c>
      <c r="L62" s="288"/>
      <c r="M62" s="36"/>
      <c r="N62" s="291"/>
    </row>
    <row r="63" spans="2:14" s="34" customFormat="1" ht="11.1" customHeight="1" x14ac:dyDescent="0.2">
      <c r="B63" s="40" t="str">
        <f t="shared" si="0"/>
        <v/>
      </c>
      <c r="C63" s="280" t="str">
        <f t="shared" si="0"/>
        <v>HE diurna</v>
      </c>
      <c r="D63" s="281"/>
      <c r="E63" s="281"/>
      <c r="F63" s="281"/>
      <c r="G63" s="282"/>
      <c r="H63" s="53">
        <f t="shared" ref="H63:J63" si="2">IF(H17="","",H17)</f>
        <v>10</v>
      </c>
      <c r="I63" s="148">
        <f t="shared" si="2"/>
        <v>1050</v>
      </c>
      <c r="J63" s="148" t="str">
        <f t="shared" si="2"/>
        <v/>
      </c>
      <c r="L63" s="288"/>
      <c r="M63" s="36"/>
      <c r="N63" s="291"/>
    </row>
    <row r="64" spans="2:14" s="34" customFormat="1" ht="11.1" customHeight="1" x14ac:dyDescent="0.2">
      <c r="B64" s="40" t="str">
        <f t="shared" si="0"/>
        <v/>
      </c>
      <c r="C64" s="280" t="str">
        <f t="shared" si="0"/>
        <v/>
      </c>
      <c r="D64" s="281"/>
      <c r="E64" s="281"/>
      <c r="F64" s="281"/>
      <c r="G64" s="282"/>
      <c r="H64" s="170" t="str">
        <f>IF(I64="","",IF(H18="","",H18))</f>
        <v/>
      </c>
      <c r="I64" s="148" t="str">
        <f t="shared" ref="I64:J64" si="3">IF(I18="","",I18)</f>
        <v/>
      </c>
      <c r="J64" s="148" t="str">
        <f t="shared" si="3"/>
        <v/>
      </c>
      <c r="L64" s="288"/>
      <c r="M64" s="36"/>
      <c r="N64" s="291"/>
    </row>
    <row r="65" spans="2:14" s="34" customFormat="1" ht="11.1" customHeight="1" x14ac:dyDescent="0.2">
      <c r="B65" s="40" t="str">
        <f t="shared" si="0"/>
        <v/>
      </c>
      <c r="C65" s="280" t="str">
        <f t="shared" si="0"/>
        <v/>
      </c>
      <c r="D65" s="281"/>
      <c r="E65" s="281"/>
      <c r="F65" s="281"/>
      <c r="G65" s="282"/>
      <c r="H65" s="53" t="str">
        <f>IF(I65="","",IF(H19="","",H19))</f>
        <v/>
      </c>
      <c r="I65" s="148" t="str">
        <f t="shared" ref="I65:J65" si="4">IF(I19="","",I19)</f>
        <v/>
      </c>
      <c r="J65" s="148" t="str">
        <f t="shared" si="4"/>
        <v/>
      </c>
      <c r="L65" s="288"/>
      <c r="M65" s="36"/>
      <c r="N65" s="291"/>
    </row>
    <row r="66" spans="2:14" s="34" customFormat="1" ht="11.1" customHeight="1" x14ac:dyDescent="0.2">
      <c r="B66" s="40" t="str">
        <f t="shared" si="0"/>
        <v/>
      </c>
      <c r="C66" s="280" t="str">
        <f t="shared" si="0"/>
        <v/>
      </c>
      <c r="D66" s="281"/>
      <c r="E66" s="281"/>
      <c r="F66" s="281"/>
      <c r="G66" s="282"/>
      <c r="H66" s="170" t="str">
        <f>IF(I66="","",IF(H20="","",H20))</f>
        <v/>
      </c>
      <c r="I66" s="148" t="str">
        <f t="shared" ref="I66:J66" si="5">IF(I20="","",I20)</f>
        <v/>
      </c>
      <c r="J66" s="148" t="str">
        <f t="shared" si="5"/>
        <v/>
      </c>
      <c r="L66" s="288"/>
      <c r="M66" s="36"/>
      <c r="N66" s="291"/>
    </row>
    <row r="67" spans="2:14" s="34" customFormat="1" ht="11.1" customHeight="1" x14ac:dyDescent="0.2">
      <c r="B67" s="40" t="str">
        <f t="shared" si="0"/>
        <v/>
      </c>
      <c r="C67" s="280" t="str">
        <f t="shared" si="0"/>
        <v>DSR</v>
      </c>
      <c r="D67" s="281"/>
      <c r="E67" s="281"/>
      <c r="F67" s="281"/>
      <c r="G67" s="282"/>
      <c r="H67" s="53" t="str">
        <f t="shared" ref="H67:J67" si="6">IF(H21="","",H21)</f>
        <v/>
      </c>
      <c r="I67" s="148">
        <f t="shared" si="6"/>
        <v>291.66666666666669</v>
      </c>
      <c r="J67" s="148" t="str">
        <f t="shared" si="6"/>
        <v/>
      </c>
      <c r="L67" s="288"/>
      <c r="M67" s="36"/>
      <c r="N67" s="291"/>
    </row>
    <row r="68" spans="2:14" s="34" customFormat="1" ht="11.1" customHeight="1" x14ac:dyDescent="0.2">
      <c r="B68" s="40" t="str">
        <f t="shared" si="0"/>
        <v/>
      </c>
      <c r="C68" s="280" t="str">
        <f t="shared" si="0"/>
        <v/>
      </c>
      <c r="D68" s="281"/>
      <c r="E68" s="281"/>
      <c r="F68" s="281"/>
      <c r="G68" s="282"/>
      <c r="H68" s="53" t="str">
        <f t="shared" ref="H68:J68" si="7">IF(H22="","",H22)</f>
        <v/>
      </c>
      <c r="I68" s="148" t="str">
        <f t="shared" si="7"/>
        <v/>
      </c>
      <c r="J68" s="148" t="str">
        <f t="shared" si="7"/>
        <v/>
      </c>
      <c r="L68" s="288"/>
      <c r="M68" s="36"/>
      <c r="N68" s="291"/>
    </row>
    <row r="69" spans="2:14" s="34" customFormat="1" ht="11.1" customHeight="1" x14ac:dyDescent="0.2">
      <c r="B69" s="40" t="str">
        <f t="shared" si="0"/>
        <v/>
      </c>
      <c r="C69" s="280" t="str">
        <f t="shared" si="0"/>
        <v/>
      </c>
      <c r="D69" s="281"/>
      <c r="E69" s="281"/>
      <c r="F69" s="281"/>
      <c r="G69" s="282"/>
      <c r="H69" s="53" t="str">
        <f t="shared" ref="H69:J69" si="8">IF(H23="","",H23)</f>
        <v/>
      </c>
      <c r="I69" s="148" t="str">
        <f t="shared" si="8"/>
        <v/>
      </c>
      <c r="J69" s="148" t="str">
        <f t="shared" si="8"/>
        <v/>
      </c>
      <c r="L69" s="288"/>
      <c r="M69" s="36"/>
      <c r="N69" s="291"/>
    </row>
    <row r="70" spans="2:14" s="34" customFormat="1" ht="11.1" customHeight="1" x14ac:dyDescent="0.2">
      <c r="B70" s="40" t="str">
        <f t="shared" ref="B70" si="9">IF(B18="","",B18)</f>
        <v/>
      </c>
      <c r="C70" s="280" t="str">
        <f t="shared" si="0"/>
        <v>férias proporcionais</v>
      </c>
      <c r="D70" s="281"/>
      <c r="E70" s="281"/>
      <c r="F70" s="281"/>
      <c r="G70" s="282"/>
      <c r="H70" s="53" t="str">
        <f>IF(I70="","",IF(H24="","",H24))</f>
        <v/>
      </c>
      <c r="I70" s="148"/>
      <c r="J70" s="148" t="str">
        <f t="shared" ref="J70" si="10">IF(J24="","",J24)</f>
        <v/>
      </c>
      <c r="L70" s="288"/>
      <c r="M70" s="36"/>
      <c r="N70" s="291"/>
    </row>
    <row r="71" spans="2:14" s="34" customFormat="1" ht="11.1" customHeight="1" x14ac:dyDescent="0.2">
      <c r="B71" s="40" t="str">
        <f t="shared" ref="B71" si="11">IF(B19="","",B19)</f>
        <v/>
      </c>
      <c r="C71" s="280" t="str">
        <f t="shared" si="0"/>
        <v>1/3 férias proporcionais</v>
      </c>
      <c r="D71" s="281"/>
      <c r="E71" s="281"/>
      <c r="F71" s="281"/>
      <c r="G71" s="282"/>
      <c r="H71" s="53" t="str">
        <f>IF(I71="","",IF(H25="","",H25))</f>
        <v>1/3</v>
      </c>
      <c r="I71" s="148">
        <f t="shared" ref="I71:J71" si="12">IF(I25="","",I25)</f>
        <v>56.712962962962962</v>
      </c>
      <c r="J71" s="148" t="str">
        <f t="shared" si="12"/>
        <v/>
      </c>
      <c r="L71" s="288"/>
      <c r="M71" s="36"/>
      <c r="N71" s="291"/>
    </row>
    <row r="72" spans="2:14" s="34" customFormat="1" ht="11.1" customHeight="1" x14ac:dyDescent="0.2">
      <c r="B72" s="40" t="str">
        <f t="shared" ref="B72" si="13">IF(B20="","",B20)</f>
        <v/>
      </c>
      <c r="C72" s="280" t="str">
        <f t="shared" si="0"/>
        <v>13º Salario Proporcional</v>
      </c>
      <c r="D72" s="281"/>
      <c r="E72" s="281"/>
      <c r="F72" s="281"/>
      <c r="G72" s="282"/>
      <c r="H72" s="53" t="str">
        <f>IF(I72="","",IF(H26="","",H26))</f>
        <v>1/12</v>
      </c>
      <c r="I72" s="148">
        <f t="shared" ref="I72:J72" si="14">IF(I26="","",I26)</f>
        <v>170.13888888888889</v>
      </c>
      <c r="J72" s="148" t="str">
        <f t="shared" si="14"/>
        <v/>
      </c>
      <c r="L72" s="288"/>
      <c r="M72" s="36"/>
      <c r="N72" s="291"/>
    </row>
    <row r="73" spans="2:14" s="34" customFormat="1" ht="11.1" customHeight="1" x14ac:dyDescent="0.2">
      <c r="B73" s="40" t="str">
        <f t="shared" ref="B73" si="15">IF(B21="","",B21)</f>
        <v/>
      </c>
      <c r="C73" s="280">
        <f t="shared" si="0"/>
        <v>0</v>
      </c>
      <c r="D73" s="281"/>
      <c r="E73" s="281"/>
      <c r="F73" s="281"/>
      <c r="G73" s="282"/>
      <c r="H73" s="53" t="str">
        <f t="shared" ref="H73:J73" si="16">IF(H27="","",H27)</f>
        <v/>
      </c>
      <c r="I73" s="148">
        <f t="shared" si="16"/>
        <v>250</v>
      </c>
      <c r="J73" s="148" t="str">
        <f t="shared" si="16"/>
        <v/>
      </c>
      <c r="L73" s="288"/>
      <c r="M73" s="36"/>
      <c r="N73" s="291"/>
    </row>
    <row r="74" spans="2:14" s="34" customFormat="1" ht="11.1" customHeight="1" x14ac:dyDescent="0.2">
      <c r="B74" s="40" t="str">
        <f t="shared" ref="B74" si="17">IF(B22="","",B22)</f>
        <v/>
      </c>
      <c r="C74" s="280" t="str">
        <f t="shared" si="0"/>
        <v/>
      </c>
      <c r="D74" s="281"/>
      <c r="E74" s="281"/>
      <c r="F74" s="281"/>
      <c r="G74" s="282"/>
      <c r="H74" s="53" t="str">
        <f t="shared" ref="H74:J74" si="18">IF(H28="","",H28)</f>
        <v/>
      </c>
      <c r="I74" s="148" t="str">
        <f t="shared" si="18"/>
        <v/>
      </c>
      <c r="J74" s="148" t="str">
        <f t="shared" si="18"/>
        <v/>
      </c>
      <c r="L74" s="288"/>
      <c r="M74" s="36"/>
      <c r="N74" s="291"/>
    </row>
    <row r="75" spans="2:14" s="34" customFormat="1" ht="11.1" customHeight="1" x14ac:dyDescent="0.2">
      <c r="B75" s="40" t="str">
        <f t="shared" ref="B75" si="19">IF(B23="","",B23)</f>
        <v/>
      </c>
      <c r="C75" s="280" t="str">
        <f t="shared" si="0"/>
        <v/>
      </c>
      <c r="D75" s="281"/>
      <c r="E75" s="281"/>
      <c r="F75" s="281"/>
      <c r="G75" s="282"/>
      <c r="H75" s="53" t="str">
        <f t="shared" ref="H75:J75" si="20">IF(H29="","",H29)</f>
        <v/>
      </c>
      <c r="I75" s="148">
        <f t="shared" si="20"/>
        <v>0</v>
      </c>
      <c r="J75" s="148" t="str">
        <f t="shared" si="20"/>
        <v/>
      </c>
      <c r="L75" s="288"/>
      <c r="M75" s="36"/>
      <c r="N75" s="291"/>
    </row>
    <row r="76" spans="2:14" s="34" customFormat="1" ht="11.1" customHeight="1" x14ac:dyDescent="0.2">
      <c r="B76" s="159" t="str">
        <f>IF(B24="","",B24)</f>
        <v/>
      </c>
      <c r="C76" s="283" t="str">
        <f t="shared" si="0"/>
        <v xml:space="preserve">INSS </v>
      </c>
      <c r="D76" s="284"/>
      <c r="E76" s="284"/>
      <c r="F76" s="284"/>
      <c r="G76" s="284"/>
      <c r="I76" s="200" t="str">
        <f t="shared" ref="I76" si="21">IF(I30="","",I30)</f>
        <v/>
      </c>
      <c r="J76" s="169">
        <f>IF(J30="","",J30)</f>
        <v>183.75</v>
      </c>
      <c r="L76" s="288"/>
      <c r="M76" s="36"/>
      <c r="N76" s="291"/>
    </row>
    <row r="77" spans="2:14" s="34" customFormat="1" ht="11.1" customHeight="1" x14ac:dyDescent="0.2">
      <c r="B77" s="40" t="str">
        <f>IF(B29="","",B29)</f>
        <v/>
      </c>
      <c r="C77" s="280" t="str">
        <f t="shared" si="0"/>
        <v>INSS s/ 13º Salário</v>
      </c>
      <c r="D77" s="281"/>
      <c r="E77" s="281"/>
      <c r="F77" s="281"/>
      <c r="G77" s="281"/>
      <c r="I77" s="201" t="str">
        <f t="shared" ref="I77:J77" si="22">IF(I31="","",I31)</f>
        <v/>
      </c>
      <c r="J77" s="148">
        <f t="shared" si="22"/>
        <v>13.611111111111111</v>
      </c>
      <c r="L77" s="288"/>
      <c r="M77" s="36"/>
      <c r="N77" s="291"/>
    </row>
    <row r="78" spans="2:14" s="34" customFormat="1" ht="11.1" customHeight="1" x14ac:dyDescent="0.2">
      <c r="B78" s="40" t="str">
        <f>IF(B30="","",B30)</f>
        <v/>
      </c>
      <c r="C78" s="280" t="str">
        <f t="shared" si="0"/>
        <v>IRRF</v>
      </c>
      <c r="D78" s="281"/>
      <c r="E78" s="281"/>
      <c r="F78" s="281"/>
      <c r="G78" s="281"/>
      <c r="I78" s="201" t="str">
        <f t="shared" ref="I78:J78" si="23">IF(I32="","",I32)</f>
        <v/>
      </c>
      <c r="J78" s="148" t="str">
        <f t="shared" si="23"/>
        <v/>
      </c>
      <c r="L78" s="288"/>
      <c r="M78" s="44"/>
      <c r="N78" s="36"/>
    </row>
    <row r="79" spans="2:14" s="34" customFormat="1" ht="11.1" customHeight="1" x14ac:dyDescent="0.2">
      <c r="B79" s="40" t="str">
        <f>IF(B31="","",B31)</f>
        <v/>
      </c>
      <c r="C79" s="280" t="str">
        <f t="shared" si="0"/>
        <v>IRRF s/ 13 salário</v>
      </c>
      <c r="D79" s="281"/>
      <c r="E79" s="281"/>
      <c r="F79" s="281"/>
      <c r="G79" s="281"/>
      <c r="I79" s="201" t="str">
        <f t="shared" ref="I79:J79" si="24">IF(I33="","",I33)</f>
        <v/>
      </c>
      <c r="J79" s="148" t="str">
        <f t="shared" si="24"/>
        <v/>
      </c>
      <c r="L79" s="288"/>
      <c r="M79" s="36"/>
      <c r="N79" s="36"/>
    </row>
    <row r="80" spans="2:14" s="34" customFormat="1" ht="11.1" customHeight="1" x14ac:dyDescent="0.2">
      <c r="B80" s="40" t="str">
        <f>IF(B32="","",B32)</f>
        <v/>
      </c>
      <c r="C80" s="280" t="e">
        <f>IF(#REF!="","",#REF!)</f>
        <v>#REF!</v>
      </c>
      <c r="D80" s="281"/>
      <c r="E80" s="281"/>
      <c r="F80" s="281"/>
      <c r="G80" s="282"/>
      <c r="H80" s="53" t="str">
        <f t="shared" ref="H80:J80" si="25">IF(H34="","",H34)</f>
        <v/>
      </c>
      <c r="I80" s="148" t="str">
        <f t="shared" si="25"/>
        <v/>
      </c>
      <c r="J80" s="148" t="e">
        <f>IF(#REF!="","",#REF!)</f>
        <v>#REF!</v>
      </c>
      <c r="L80" s="288"/>
      <c r="M80" s="36"/>
      <c r="N80" s="36"/>
    </row>
    <row r="81" spans="1:14" s="34" customFormat="1" ht="11.1" customHeight="1" x14ac:dyDescent="0.2">
      <c r="B81" s="40" t="str">
        <f t="shared" ref="B81:B82" si="26">IF(B36="","",B36)</f>
        <v/>
      </c>
      <c r="C81" s="280" t="str">
        <f>IF(C34="","",C34)</f>
        <v>adiantamentos</v>
      </c>
      <c r="D81" s="281"/>
      <c r="E81" s="281"/>
      <c r="F81" s="281"/>
      <c r="G81" s="282"/>
      <c r="H81" s="53" t="str">
        <f t="shared" ref="H81:J81" si="27">IF(H35="","",H35)</f>
        <v/>
      </c>
      <c r="I81" s="148" t="str">
        <f t="shared" si="27"/>
        <v/>
      </c>
      <c r="J81" s="148">
        <f>IF(J34="","",J34)</f>
        <v>0</v>
      </c>
      <c r="L81" s="288"/>
      <c r="M81" s="45"/>
      <c r="N81" s="36"/>
    </row>
    <row r="82" spans="1:14" s="34" customFormat="1" ht="11.1" customHeight="1" x14ac:dyDescent="0.2">
      <c r="B82" s="40" t="str">
        <f t="shared" si="26"/>
        <v/>
      </c>
      <c r="C82" s="280" t="str">
        <f>IF(C35="","",C35)</f>
        <v>Prejuízos causados (ou outro nome)</v>
      </c>
      <c r="D82" s="281"/>
      <c r="E82" s="281"/>
      <c r="F82" s="281"/>
      <c r="G82" s="282"/>
      <c r="H82" s="53" t="str">
        <f t="shared" ref="H82:J83" si="28">IF(H36="","",H36)</f>
        <v/>
      </c>
      <c r="I82" s="148" t="str">
        <f t="shared" si="28"/>
        <v/>
      </c>
      <c r="J82" s="148">
        <f>IF(J35="","",J35)</f>
        <v>0</v>
      </c>
      <c r="L82" s="288"/>
      <c r="M82" s="36"/>
      <c r="N82" s="286" t="s">
        <v>58</v>
      </c>
    </row>
    <row r="83" spans="1:14" s="34" customFormat="1" ht="11.1" customHeight="1" x14ac:dyDescent="0.2">
      <c r="B83" s="40"/>
      <c r="C83" s="142"/>
      <c r="D83" s="143"/>
      <c r="E83" s="143"/>
      <c r="F83" s="143"/>
      <c r="G83" s="144"/>
      <c r="H83" s="53"/>
      <c r="I83" s="148" t="str">
        <f t="shared" si="28"/>
        <v/>
      </c>
      <c r="J83" s="148"/>
      <c r="L83" s="288"/>
      <c r="M83" s="36"/>
      <c r="N83" s="286"/>
    </row>
    <row r="84" spans="1:14" s="34" customFormat="1" ht="11.1" customHeight="1" x14ac:dyDescent="0.2">
      <c r="B84" s="160" t="str">
        <f>IF(B38="","",B38)</f>
        <v/>
      </c>
      <c r="C84" s="318" t="e">
        <f>IF(#REF!="","",#REF!)</f>
        <v>#REF!</v>
      </c>
      <c r="D84" s="319"/>
      <c r="E84" s="319"/>
      <c r="F84" s="319"/>
      <c r="G84" s="320"/>
      <c r="H84" s="53" t="str">
        <f>IF(H37="","",H37)</f>
        <v/>
      </c>
      <c r="I84" s="148" t="str">
        <f>IF(I37="","",I37)</f>
        <v/>
      </c>
      <c r="J84" s="148" t="e">
        <f>IF(#REF!="","",#REF!)</f>
        <v>#REF!</v>
      </c>
      <c r="L84" s="288"/>
      <c r="M84" s="45" t="s">
        <v>59</v>
      </c>
      <c r="N84" s="286"/>
    </row>
    <row r="85" spans="1:14" s="46" customFormat="1" ht="8.1" customHeight="1" x14ac:dyDescent="0.15">
      <c r="B85" s="271" t="str">
        <f>B39</f>
        <v>MENSAGENS</v>
      </c>
      <c r="C85" s="272"/>
      <c r="D85" s="272"/>
      <c r="E85" s="272"/>
      <c r="F85" s="272"/>
      <c r="G85" s="272"/>
      <c r="H85" s="273"/>
      <c r="I85" s="152" t="s">
        <v>61</v>
      </c>
      <c r="J85" s="153" t="s">
        <v>62</v>
      </c>
      <c r="L85" s="288"/>
      <c r="M85" s="47"/>
      <c r="N85" s="286"/>
    </row>
    <row r="86" spans="1:14" s="34" customFormat="1" ht="11.1" customHeight="1" x14ac:dyDescent="0.2">
      <c r="B86" s="274"/>
      <c r="C86" s="275"/>
      <c r="D86" s="275"/>
      <c r="E86" s="275"/>
      <c r="F86" s="275"/>
      <c r="G86" s="275"/>
      <c r="H86" s="276"/>
      <c r="I86" s="148">
        <f t="shared" ref="I86" si="29">IF(I40="","",I40)</f>
        <v>2688.6574074074074</v>
      </c>
      <c r="J86" s="148">
        <f>IF(J40="","",J40)</f>
        <v>197.36111111111111</v>
      </c>
      <c r="L86" s="288"/>
      <c r="M86" s="45"/>
      <c r="N86" s="36"/>
    </row>
    <row r="87" spans="1:14" s="46" customFormat="1" ht="11.1" customHeight="1" x14ac:dyDescent="0.15">
      <c r="B87" s="274"/>
      <c r="C87" s="275"/>
      <c r="D87" s="275"/>
      <c r="E87" s="275"/>
      <c r="F87" s="275"/>
      <c r="G87" s="275"/>
      <c r="H87" s="276"/>
      <c r="I87" s="309" t="s">
        <v>63</v>
      </c>
      <c r="J87" s="311">
        <f>IF(J41="","",J41)</f>
        <v>2491.2962962962961</v>
      </c>
      <c r="L87" s="288"/>
      <c r="M87" s="45" t="s">
        <v>59</v>
      </c>
      <c r="N87" s="47"/>
    </row>
    <row r="88" spans="1:14" s="34" customFormat="1" ht="6" customHeight="1" x14ac:dyDescent="0.2">
      <c r="B88" s="277"/>
      <c r="C88" s="278"/>
      <c r="D88" s="278"/>
      <c r="E88" s="278"/>
      <c r="F88" s="278"/>
      <c r="G88" s="278"/>
      <c r="H88" s="279"/>
      <c r="I88" s="310"/>
      <c r="J88" s="312"/>
      <c r="L88" s="288"/>
      <c r="M88" s="36"/>
      <c r="N88" s="36"/>
    </row>
    <row r="89" spans="1:14" s="46" customFormat="1" ht="8.1" customHeight="1" x14ac:dyDescent="0.15">
      <c r="B89" s="313" t="s">
        <v>64</v>
      </c>
      <c r="C89" s="314"/>
      <c r="D89" s="20" t="s">
        <v>65</v>
      </c>
      <c r="E89" s="20" t="s">
        <v>66</v>
      </c>
      <c r="F89" s="20"/>
      <c r="G89" s="20" t="s">
        <v>67</v>
      </c>
      <c r="H89" s="20"/>
      <c r="I89" s="49" t="s">
        <v>68</v>
      </c>
      <c r="J89" s="50" t="s">
        <v>69</v>
      </c>
      <c r="L89" s="288"/>
      <c r="M89" s="47"/>
      <c r="N89" s="47"/>
    </row>
    <row r="90" spans="1:14" s="54" customFormat="1" ht="11.1" customHeight="1" x14ac:dyDescent="0.2">
      <c r="B90" s="307">
        <f>IF(B44="","",B44)</f>
        <v>700</v>
      </c>
      <c r="C90" s="308"/>
      <c r="D90" s="55">
        <f>IF(D44="","",D44)</f>
        <v>2041.6666666666667</v>
      </c>
      <c r="E90" s="55">
        <f>IF(E44="","",E44)</f>
        <v>2041.6666666666667</v>
      </c>
      <c r="F90" s="56"/>
      <c r="G90" s="55">
        <f>IF(G44="","",G44)</f>
        <v>163.33000000000001</v>
      </c>
      <c r="H90" s="56"/>
      <c r="I90" s="55">
        <f>IF(I44="","",I44)</f>
        <v>1857.92</v>
      </c>
      <c r="J90" s="57">
        <f>IF(J44="","",J44)</f>
        <v>0</v>
      </c>
      <c r="L90" s="289"/>
      <c r="M90" s="58"/>
      <c r="N90" s="58"/>
    </row>
    <row r="91" spans="1:14" ht="9.9499999999999993" customHeight="1" x14ac:dyDescent="0.25">
      <c r="B91" s="51" t="s">
        <v>71</v>
      </c>
    </row>
    <row r="92" spans="1:14" x14ac:dyDescent="0.25">
      <c r="A92" s="52"/>
      <c r="B92" s="7"/>
      <c r="C92" s="7"/>
      <c r="D92" s="7"/>
      <c r="E92" s="7"/>
      <c r="F92" s="7"/>
      <c r="G92" s="7"/>
      <c r="H92" s="7"/>
      <c r="I92" s="7"/>
      <c r="J92" s="7"/>
      <c r="K92" s="7"/>
      <c r="L92" s="52"/>
      <c r="M92" s="7"/>
      <c r="N92" s="7"/>
    </row>
  </sheetData>
  <sheetProtection password="E429" sheet="1" objects="1" scenarios="1"/>
  <mergeCells count="71">
    <mergeCell ref="C81:G81"/>
    <mergeCell ref="C82:G82"/>
    <mergeCell ref="C71:G71"/>
    <mergeCell ref="C72:G72"/>
    <mergeCell ref="C73:G73"/>
    <mergeCell ref="C74:G74"/>
    <mergeCell ref="B39:H42"/>
    <mergeCell ref="N82:N85"/>
    <mergeCell ref="C67:G67"/>
    <mergeCell ref="C68:G68"/>
    <mergeCell ref="C69:G69"/>
    <mergeCell ref="C76:G76"/>
    <mergeCell ref="N51:N77"/>
    <mergeCell ref="C52:H52"/>
    <mergeCell ref="J52:J53"/>
    <mergeCell ref="C53:H53"/>
    <mergeCell ref="C57:G57"/>
    <mergeCell ref="I57:J57"/>
    <mergeCell ref="C60:G60"/>
    <mergeCell ref="C61:G61"/>
    <mergeCell ref="C62:G62"/>
    <mergeCell ref="C63:G63"/>
    <mergeCell ref="C84:G84"/>
    <mergeCell ref="J41:J42"/>
    <mergeCell ref="B43:C43"/>
    <mergeCell ref="B44:C44"/>
    <mergeCell ref="L49:L90"/>
    <mergeCell ref="C51:H51"/>
    <mergeCell ref="C64:G64"/>
    <mergeCell ref="C65:G65"/>
    <mergeCell ref="C66:G66"/>
    <mergeCell ref="B90:C90"/>
    <mergeCell ref="I87:I88"/>
    <mergeCell ref="J87:J88"/>
    <mergeCell ref="B89:C89"/>
    <mergeCell ref="C70:G70"/>
    <mergeCell ref="C75:G75"/>
    <mergeCell ref="C77:G77"/>
    <mergeCell ref="C78:G78"/>
    <mergeCell ref="N37:N39"/>
    <mergeCell ref="C34:G34"/>
    <mergeCell ref="C32:G32"/>
    <mergeCell ref="C33:G33"/>
    <mergeCell ref="L3:L44"/>
    <mergeCell ref="C5:H5"/>
    <mergeCell ref="N5:N29"/>
    <mergeCell ref="C6:H6"/>
    <mergeCell ref="J6:J7"/>
    <mergeCell ref="C7:H7"/>
    <mergeCell ref="C11:G11"/>
    <mergeCell ref="I11:J11"/>
    <mergeCell ref="C14:G14"/>
    <mergeCell ref="C15:G15"/>
    <mergeCell ref="C16:G16"/>
    <mergeCell ref="I41:I42"/>
    <mergeCell ref="C17:G17"/>
    <mergeCell ref="C18:G18"/>
    <mergeCell ref="C19:G19"/>
    <mergeCell ref="C20:G20"/>
    <mergeCell ref="C21:G21"/>
    <mergeCell ref="B85:H88"/>
    <mergeCell ref="C31:G31"/>
    <mergeCell ref="C22:G22"/>
    <mergeCell ref="C29:G29"/>
    <mergeCell ref="C30:G30"/>
    <mergeCell ref="C26:G26"/>
    <mergeCell ref="C27:G27"/>
    <mergeCell ref="C28:G28"/>
    <mergeCell ref="C79:G79"/>
    <mergeCell ref="C80:G80"/>
    <mergeCell ref="C35:G35"/>
  </mergeCells>
  <pageMargins left="0.51181102362204722" right="0.51181102362204722" top="0.39370078740157483" bottom="0.39370078740157483" header="0.31496062992125984" footer="0.31496062992125984"/>
  <pageSetup paperSize="9" scale="8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selection sqref="A1:L32"/>
    </sheetView>
  </sheetViews>
  <sheetFormatPr defaultRowHeight="15" x14ac:dyDescent="0.25"/>
  <cols>
    <col min="15" max="15" width="11.85546875" customWidth="1"/>
  </cols>
  <sheetData>
    <row r="1" spans="1:15" ht="15" customHeight="1" x14ac:dyDescent="0.25">
      <c r="A1" s="403" t="s">
        <v>177</v>
      </c>
      <c r="B1" s="403"/>
      <c r="C1" s="403"/>
      <c r="D1" s="403"/>
      <c r="E1" s="403"/>
      <c r="F1" s="403"/>
      <c r="G1" s="403"/>
      <c r="H1" s="403"/>
      <c r="I1" s="403"/>
      <c r="J1" s="403"/>
      <c r="K1" s="403"/>
      <c r="L1" s="403"/>
      <c r="M1" s="401" t="s">
        <v>211</v>
      </c>
      <c r="N1" s="401"/>
      <c r="O1" s="401"/>
    </row>
    <row r="2" spans="1:15" x14ac:dyDescent="0.25">
      <c r="A2" s="403"/>
      <c r="B2" s="403"/>
      <c r="C2" s="403"/>
      <c r="D2" s="403"/>
      <c r="E2" s="403"/>
      <c r="F2" s="403"/>
      <c r="G2" s="403"/>
      <c r="H2" s="403"/>
      <c r="I2" s="403"/>
      <c r="J2" s="403"/>
      <c r="K2" s="403"/>
      <c r="L2" s="403"/>
      <c r="M2" s="401"/>
      <c r="N2" s="401"/>
      <c r="O2" s="401"/>
    </row>
    <row r="3" spans="1:15" x14ac:dyDescent="0.25">
      <c r="A3" s="403"/>
      <c r="B3" s="403"/>
      <c r="C3" s="403"/>
      <c r="D3" s="403"/>
      <c r="E3" s="403"/>
      <c r="F3" s="403"/>
      <c r="G3" s="403"/>
      <c r="H3" s="403"/>
      <c r="I3" s="403"/>
      <c r="J3" s="403"/>
      <c r="K3" s="403"/>
      <c r="L3" s="403"/>
      <c r="M3" s="401"/>
      <c r="N3" s="401"/>
      <c r="O3" s="401"/>
    </row>
    <row r="4" spans="1:15" x14ac:dyDescent="0.25">
      <c r="A4" s="403"/>
      <c r="B4" s="403"/>
      <c r="C4" s="403"/>
      <c r="D4" s="403"/>
      <c r="E4" s="403"/>
      <c r="F4" s="403"/>
      <c r="G4" s="403"/>
      <c r="H4" s="403"/>
      <c r="I4" s="403"/>
      <c r="J4" s="403"/>
      <c r="K4" s="403"/>
      <c r="L4" s="403"/>
      <c r="M4" s="401"/>
      <c r="N4" s="401"/>
      <c r="O4" s="401"/>
    </row>
    <row r="5" spans="1:15" x14ac:dyDescent="0.25">
      <c r="A5" s="403"/>
      <c r="B5" s="403"/>
      <c r="C5" s="403"/>
      <c r="D5" s="403"/>
      <c r="E5" s="403"/>
      <c r="F5" s="403"/>
      <c r="G5" s="403"/>
      <c r="H5" s="403"/>
      <c r="I5" s="403"/>
      <c r="J5" s="403"/>
      <c r="K5" s="403"/>
      <c r="L5" s="403"/>
      <c r="M5" s="401"/>
      <c r="N5" s="401"/>
      <c r="O5" s="401"/>
    </row>
    <row r="6" spans="1:15" x14ac:dyDescent="0.25">
      <c r="A6" s="403"/>
      <c r="B6" s="403"/>
      <c r="C6" s="403"/>
      <c r="D6" s="403"/>
      <c r="E6" s="403"/>
      <c r="F6" s="403"/>
      <c r="G6" s="403"/>
      <c r="H6" s="403"/>
      <c r="I6" s="403"/>
      <c r="J6" s="403"/>
      <c r="K6" s="403"/>
      <c r="L6" s="403"/>
      <c r="M6" s="322"/>
      <c r="N6" s="322"/>
      <c r="O6" s="322"/>
    </row>
    <row r="7" spans="1:15" x14ac:dyDescent="0.25">
      <c r="A7" s="403"/>
      <c r="B7" s="403"/>
      <c r="C7" s="403"/>
      <c r="D7" s="403"/>
      <c r="E7" s="403"/>
      <c r="F7" s="403"/>
      <c r="G7" s="403"/>
      <c r="H7" s="403"/>
      <c r="I7" s="403"/>
      <c r="J7" s="403"/>
      <c r="K7" s="403"/>
      <c r="L7" s="403"/>
      <c r="M7" s="402" t="s">
        <v>212</v>
      </c>
      <c r="N7" s="321"/>
      <c r="O7" s="321"/>
    </row>
    <row r="8" spans="1:15" x14ac:dyDescent="0.25">
      <c r="A8" s="403"/>
      <c r="B8" s="403"/>
      <c r="C8" s="403"/>
      <c r="D8" s="403"/>
      <c r="E8" s="403"/>
      <c r="F8" s="403"/>
      <c r="G8" s="403"/>
      <c r="H8" s="403"/>
      <c r="I8" s="403"/>
      <c r="J8" s="403"/>
      <c r="K8" s="403"/>
      <c r="L8" s="403"/>
      <c r="M8" s="321"/>
      <c r="N8" s="321"/>
      <c r="O8" s="321"/>
    </row>
    <row r="9" spans="1:15" x14ac:dyDescent="0.25">
      <c r="A9" s="403"/>
      <c r="B9" s="403"/>
      <c r="C9" s="403"/>
      <c r="D9" s="403"/>
      <c r="E9" s="403"/>
      <c r="F9" s="403"/>
      <c r="G9" s="403"/>
      <c r="H9" s="403"/>
      <c r="I9" s="403"/>
      <c r="J9" s="403"/>
      <c r="K9" s="403"/>
      <c r="L9" s="403"/>
      <c r="M9" s="321"/>
      <c r="N9" s="321"/>
      <c r="O9" s="321"/>
    </row>
    <row r="10" spans="1:15" x14ac:dyDescent="0.25">
      <c r="A10" s="403"/>
      <c r="B10" s="403"/>
      <c r="C10" s="403"/>
      <c r="D10" s="403"/>
      <c r="E10" s="403"/>
      <c r="F10" s="403"/>
      <c r="G10" s="403"/>
      <c r="H10" s="403"/>
      <c r="I10" s="403"/>
      <c r="J10" s="403"/>
      <c r="K10" s="403"/>
      <c r="L10" s="403"/>
      <c r="M10" s="321"/>
      <c r="N10" s="321"/>
      <c r="O10" s="321"/>
    </row>
    <row r="11" spans="1:15" x14ac:dyDescent="0.25">
      <c r="A11" s="403"/>
      <c r="B11" s="403"/>
      <c r="C11" s="403"/>
      <c r="D11" s="403"/>
      <c r="E11" s="403"/>
      <c r="F11" s="403"/>
      <c r="G11" s="403"/>
      <c r="H11" s="403"/>
      <c r="I11" s="403"/>
      <c r="J11" s="403"/>
      <c r="K11" s="403"/>
      <c r="L11" s="403"/>
    </row>
    <row r="12" spans="1:15" x14ac:dyDescent="0.25">
      <c r="A12" s="403"/>
      <c r="B12" s="403"/>
      <c r="C12" s="403"/>
      <c r="D12" s="403"/>
      <c r="E12" s="403"/>
      <c r="F12" s="403"/>
      <c r="G12" s="403"/>
      <c r="H12" s="403"/>
      <c r="I12" s="403"/>
      <c r="J12" s="403"/>
      <c r="K12" s="403"/>
      <c r="L12" s="403"/>
    </row>
    <row r="13" spans="1:15" x14ac:dyDescent="0.25">
      <c r="A13" s="403"/>
      <c r="B13" s="403"/>
      <c r="C13" s="403"/>
      <c r="D13" s="403"/>
      <c r="E13" s="403"/>
      <c r="F13" s="403"/>
      <c r="G13" s="403"/>
      <c r="H13" s="403"/>
      <c r="I13" s="403"/>
      <c r="J13" s="403"/>
      <c r="K13" s="403"/>
      <c r="L13" s="403"/>
    </row>
    <row r="14" spans="1:15" x14ac:dyDescent="0.25">
      <c r="A14" s="403"/>
      <c r="B14" s="403"/>
      <c r="C14" s="403"/>
      <c r="D14" s="403"/>
      <c r="E14" s="403"/>
      <c r="F14" s="403"/>
      <c r="G14" s="403"/>
      <c r="H14" s="403"/>
      <c r="I14" s="403"/>
      <c r="J14" s="403"/>
      <c r="K14" s="403"/>
      <c r="L14" s="403"/>
    </row>
    <row r="15" spans="1:15" x14ac:dyDescent="0.25">
      <c r="A15" s="403"/>
      <c r="B15" s="403"/>
      <c r="C15" s="403"/>
      <c r="D15" s="403"/>
      <c r="E15" s="403"/>
      <c r="F15" s="403"/>
      <c r="G15" s="403"/>
      <c r="H15" s="403"/>
      <c r="I15" s="403"/>
      <c r="J15" s="403"/>
      <c r="K15" s="403"/>
      <c r="L15" s="403"/>
    </row>
    <row r="16" spans="1:15" x14ac:dyDescent="0.25">
      <c r="A16" s="403"/>
      <c r="B16" s="403"/>
      <c r="C16" s="403"/>
      <c r="D16" s="403"/>
      <c r="E16" s="403"/>
      <c r="F16" s="403"/>
      <c r="G16" s="403"/>
      <c r="H16" s="403"/>
      <c r="I16" s="403"/>
      <c r="J16" s="403"/>
      <c r="K16" s="403"/>
      <c r="L16" s="403"/>
    </row>
    <row r="17" spans="1:12" x14ac:dyDescent="0.25">
      <c r="A17" s="403"/>
      <c r="B17" s="403"/>
      <c r="C17" s="403"/>
      <c r="D17" s="403"/>
      <c r="E17" s="403"/>
      <c r="F17" s="403"/>
      <c r="G17" s="403"/>
      <c r="H17" s="403"/>
      <c r="I17" s="403"/>
      <c r="J17" s="403"/>
      <c r="K17" s="403"/>
      <c r="L17" s="403"/>
    </row>
    <row r="18" spans="1:12" x14ac:dyDescent="0.25">
      <c r="A18" s="403"/>
      <c r="B18" s="403"/>
      <c r="C18" s="403"/>
      <c r="D18" s="403"/>
      <c r="E18" s="403"/>
      <c r="F18" s="403"/>
      <c r="G18" s="403"/>
      <c r="H18" s="403"/>
      <c r="I18" s="403"/>
      <c r="J18" s="403"/>
      <c r="K18" s="403"/>
      <c r="L18" s="403"/>
    </row>
    <row r="19" spans="1:12" x14ac:dyDescent="0.25">
      <c r="A19" s="403"/>
      <c r="B19" s="403"/>
      <c r="C19" s="403"/>
      <c r="D19" s="403"/>
      <c r="E19" s="403"/>
      <c r="F19" s="403"/>
      <c r="G19" s="403"/>
      <c r="H19" s="403"/>
      <c r="I19" s="403"/>
      <c r="J19" s="403"/>
      <c r="K19" s="403"/>
      <c r="L19" s="403"/>
    </row>
    <row r="20" spans="1:12" x14ac:dyDescent="0.25">
      <c r="A20" s="403"/>
      <c r="B20" s="403"/>
      <c r="C20" s="403"/>
      <c r="D20" s="403"/>
      <c r="E20" s="403"/>
      <c r="F20" s="403"/>
      <c r="G20" s="403"/>
      <c r="H20" s="403"/>
      <c r="I20" s="403"/>
      <c r="J20" s="403"/>
      <c r="K20" s="403"/>
      <c r="L20" s="403"/>
    </row>
    <row r="21" spans="1:12" x14ac:dyDescent="0.25">
      <c r="A21" s="403"/>
      <c r="B21" s="403"/>
      <c r="C21" s="403"/>
      <c r="D21" s="403"/>
      <c r="E21" s="403"/>
      <c r="F21" s="403"/>
      <c r="G21" s="403"/>
      <c r="H21" s="403"/>
      <c r="I21" s="403"/>
      <c r="J21" s="403"/>
      <c r="K21" s="403"/>
      <c r="L21" s="403"/>
    </row>
    <row r="22" spans="1:12" x14ac:dyDescent="0.25">
      <c r="A22" s="403"/>
      <c r="B22" s="403"/>
      <c r="C22" s="403"/>
      <c r="D22" s="403"/>
      <c r="E22" s="403"/>
      <c r="F22" s="403"/>
      <c r="G22" s="403"/>
      <c r="H22" s="403"/>
      <c r="I22" s="403"/>
      <c r="J22" s="403"/>
      <c r="K22" s="403"/>
      <c r="L22" s="403"/>
    </row>
    <row r="23" spans="1:12" x14ac:dyDescent="0.25">
      <c r="A23" s="403"/>
      <c r="B23" s="403"/>
      <c r="C23" s="403"/>
      <c r="D23" s="403"/>
      <c r="E23" s="403"/>
      <c r="F23" s="403"/>
      <c r="G23" s="403"/>
      <c r="H23" s="403"/>
      <c r="I23" s="403"/>
      <c r="J23" s="403"/>
      <c r="K23" s="403"/>
      <c r="L23" s="403"/>
    </row>
    <row r="24" spans="1:12" x14ac:dyDescent="0.25">
      <c r="A24" s="403"/>
      <c r="B24" s="403"/>
      <c r="C24" s="403"/>
      <c r="D24" s="403"/>
      <c r="E24" s="403"/>
      <c r="F24" s="403"/>
      <c r="G24" s="403"/>
      <c r="H24" s="403"/>
      <c r="I24" s="403"/>
      <c r="J24" s="403"/>
      <c r="K24" s="403"/>
      <c r="L24" s="403"/>
    </row>
    <row r="25" spans="1:12" x14ac:dyDescent="0.25">
      <c r="A25" s="403"/>
      <c r="B25" s="403"/>
      <c r="C25" s="403"/>
      <c r="D25" s="403"/>
      <c r="E25" s="403"/>
      <c r="F25" s="403"/>
      <c r="G25" s="403"/>
      <c r="H25" s="403"/>
      <c r="I25" s="403"/>
      <c r="J25" s="403"/>
      <c r="K25" s="403"/>
      <c r="L25" s="403"/>
    </row>
    <row r="26" spans="1:12" x14ac:dyDescent="0.25">
      <c r="A26" s="403"/>
      <c r="B26" s="403"/>
      <c r="C26" s="403"/>
      <c r="D26" s="403"/>
      <c r="E26" s="403"/>
      <c r="F26" s="403"/>
      <c r="G26" s="403"/>
      <c r="H26" s="403"/>
      <c r="I26" s="403"/>
      <c r="J26" s="403"/>
      <c r="K26" s="403"/>
      <c r="L26" s="403"/>
    </row>
    <row r="27" spans="1:12" x14ac:dyDescent="0.25">
      <c r="A27" s="403"/>
      <c r="B27" s="403"/>
      <c r="C27" s="403"/>
      <c r="D27" s="403"/>
      <c r="E27" s="403"/>
      <c r="F27" s="403"/>
      <c r="G27" s="403"/>
      <c r="H27" s="403"/>
      <c r="I27" s="403"/>
      <c r="J27" s="403"/>
      <c r="K27" s="403"/>
      <c r="L27" s="403"/>
    </row>
    <row r="28" spans="1:12" x14ac:dyDescent="0.25">
      <c r="A28" s="403"/>
      <c r="B28" s="403"/>
      <c r="C28" s="403"/>
      <c r="D28" s="403"/>
      <c r="E28" s="403"/>
      <c r="F28" s="403"/>
      <c r="G28" s="403"/>
      <c r="H28" s="403"/>
      <c r="I28" s="403"/>
      <c r="J28" s="403"/>
      <c r="K28" s="403"/>
      <c r="L28" s="403"/>
    </row>
    <row r="29" spans="1:12" x14ac:dyDescent="0.25">
      <c r="A29" s="403"/>
      <c r="B29" s="403"/>
      <c r="C29" s="403"/>
      <c r="D29" s="403"/>
      <c r="E29" s="403"/>
      <c r="F29" s="403"/>
      <c r="G29" s="403"/>
      <c r="H29" s="403"/>
      <c r="I29" s="403"/>
      <c r="J29" s="403"/>
      <c r="K29" s="403"/>
      <c r="L29" s="403"/>
    </row>
    <row r="30" spans="1:12" x14ac:dyDescent="0.25">
      <c r="A30" s="403"/>
      <c r="B30" s="403"/>
      <c r="C30" s="403"/>
      <c r="D30" s="403"/>
      <c r="E30" s="403"/>
      <c r="F30" s="403"/>
      <c r="G30" s="403"/>
      <c r="H30" s="403"/>
      <c r="I30" s="403"/>
      <c r="J30" s="403"/>
      <c r="K30" s="403"/>
      <c r="L30" s="403"/>
    </row>
    <row r="31" spans="1:12" x14ac:dyDescent="0.25">
      <c r="A31" s="403"/>
      <c r="B31" s="403"/>
      <c r="C31" s="403"/>
      <c r="D31" s="403"/>
      <c r="E31" s="403"/>
      <c r="F31" s="403"/>
      <c r="G31" s="403"/>
      <c r="H31" s="403"/>
      <c r="I31" s="403"/>
      <c r="J31" s="403"/>
      <c r="K31" s="403"/>
      <c r="L31" s="403"/>
    </row>
    <row r="32" spans="1:12" x14ac:dyDescent="0.25">
      <c r="A32" s="403"/>
      <c r="B32" s="403"/>
      <c r="C32" s="403"/>
      <c r="D32" s="403"/>
      <c r="E32" s="403"/>
      <c r="F32" s="403"/>
      <c r="G32" s="403"/>
      <c r="H32" s="403"/>
      <c r="I32" s="403"/>
      <c r="J32" s="403"/>
      <c r="K32" s="403"/>
      <c r="L32" s="403"/>
    </row>
  </sheetData>
  <mergeCells count="4">
    <mergeCell ref="A1:L32"/>
    <mergeCell ref="M1:O5"/>
    <mergeCell ref="M6:O6"/>
    <mergeCell ref="M7:O10"/>
  </mergeCells>
  <hyperlinks>
    <hyperlink ref="M7" r:id="rId1"/>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5"/>
  <sheetViews>
    <sheetView workbookViewId="0">
      <selection activeCell="A23" sqref="A23"/>
    </sheetView>
  </sheetViews>
  <sheetFormatPr defaultRowHeight="15" x14ac:dyDescent="0.25"/>
  <cols>
    <col min="1" max="1" width="27.85546875" style="2" bestFit="1" customWidth="1"/>
    <col min="2" max="2" width="25.85546875" style="2" bestFit="1" customWidth="1"/>
    <col min="3" max="3" width="25.28515625" style="2" customWidth="1"/>
    <col min="4" max="4" width="13.5703125" style="2" bestFit="1" customWidth="1"/>
    <col min="5" max="5" width="13.85546875" style="2" bestFit="1" customWidth="1"/>
    <col min="6" max="16384" width="9.140625" style="2"/>
  </cols>
  <sheetData>
    <row r="1" spans="1:4" x14ac:dyDescent="0.25">
      <c r="A1" s="339" t="s">
        <v>18</v>
      </c>
      <c r="B1" s="339"/>
      <c r="C1" s="339"/>
      <c r="D1" s="339"/>
    </row>
    <row r="2" spans="1:4" x14ac:dyDescent="0.25">
      <c r="A2" s="336" t="s">
        <v>82</v>
      </c>
      <c r="B2" s="337"/>
      <c r="C2" s="337"/>
      <c r="D2" s="337"/>
    </row>
    <row r="3" spans="1:4" ht="15.75" thickBot="1" x14ac:dyDescent="0.3">
      <c r="B3" s="1" t="s">
        <v>27</v>
      </c>
    </row>
    <row r="4" spans="1:4" ht="15.75" thickBot="1" x14ac:dyDescent="0.3"/>
    <row r="5" spans="1:4" ht="25.5" x14ac:dyDescent="0.35">
      <c r="A5" s="340" t="s">
        <v>33</v>
      </c>
      <c r="B5" s="341"/>
      <c r="C5" s="342"/>
      <c r="D5" s="83" t="s">
        <v>28</v>
      </c>
    </row>
    <row r="6" spans="1:4" ht="52.5" x14ac:dyDescent="0.25">
      <c r="A6" s="84" t="s">
        <v>29</v>
      </c>
      <c r="B6" s="85"/>
      <c r="C6" s="86" t="s">
        <v>30</v>
      </c>
    </row>
    <row r="7" spans="1:4" ht="25.5" x14ac:dyDescent="0.35">
      <c r="A7" s="87" t="s">
        <v>31</v>
      </c>
      <c r="B7" s="88" t="s">
        <v>32</v>
      </c>
      <c r="C7" s="89"/>
    </row>
    <row r="8" spans="1:4" ht="26.25" x14ac:dyDescent="0.4">
      <c r="A8" s="90"/>
      <c r="B8" s="91">
        <v>1693.72</v>
      </c>
      <c r="C8" s="92">
        <v>0.08</v>
      </c>
    </row>
    <row r="9" spans="1:4" ht="26.25" x14ac:dyDescent="0.4">
      <c r="A9" s="93">
        <f>B8+0.01</f>
        <v>1693.73</v>
      </c>
      <c r="B9" s="94">
        <v>2822.9</v>
      </c>
      <c r="C9" s="92">
        <v>0.09</v>
      </c>
    </row>
    <row r="10" spans="1:4" ht="27" thickBot="1" x14ac:dyDescent="0.45">
      <c r="A10" s="93">
        <f>B9+0.01</f>
        <v>2822.9100000000003</v>
      </c>
      <c r="B10" s="95">
        <v>5645.8</v>
      </c>
      <c r="C10" s="96">
        <v>0.11</v>
      </c>
    </row>
    <row r="11" spans="1:4" ht="25.5" x14ac:dyDescent="0.35">
      <c r="A11" s="340" t="s">
        <v>182</v>
      </c>
      <c r="B11" s="341"/>
      <c r="C11" s="342"/>
    </row>
    <row r="12" spans="1:4" ht="25.5" x14ac:dyDescent="0.35">
      <c r="A12" s="87" t="s">
        <v>31</v>
      </c>
      <c r="B12" s="88" t="s">
        <v>32</v>
      </c>
      <c r="C12" s="89" t="s">
        <v>183</v>
      </c>
    </row>
    <row r="13" spans="1:4" ht="26.25" x14ac:dyDescent="0.4">
      <c r="A13" s="90">
        <v>0</v>
      </c>
      <c r="B13" s="91">
        <v>877.67</v>
      </c>
      <c r="C13" s="351">
        <v>45</v>
      </c>
    </row>
    <row r="14" spans="1:4" ht="26.25" x14ac:dyDescent="0.4">
      <c r="A14" s="90">
        <v>877.68</v>
      </c>
      <c r="B14" s="91">
        <v>1319.18</v>
      </c>
      <c r="C14" s="351">
        <v>31.71</v>
      </c>
    </row>
    <row r="15" spans="1:4" ht="26.25" x14ac:dyDescent="0.4">
      <c r="A15" s="90">
        <v>1319.19</v>
      </c>
      <c r="B15" s="91" t="s">
        <v>184</v>
      </c>
      <c r="C15" s="351">
        <v>0</v>
      </c>
    </row>
  </sheetData>
  <sheetProtection password="E429" sheet="1" objects="1" scenarios="1"/>
  <mergeCells count="4">
    <mergeCell ref="A1:D1"/>
    <mergeCell ref="A2:D2"/>
    <mergeCell ref="A5:C5"/>
    <mergeCell ref="A11:C11"/>
  </mergeCells>
  <hyperlinks>
    <hyperlink ref="A2" r:id="rId1"/>
  </hyperlinks>
  <pageMargins left="0.511811024" right="0.511811024" top="0.78740157499999996" bottom="0.78740157499999996" header="0.31496062000000002" footer="0.31496062000000002"/>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4"/>
  <sheetViews>
    <sheetView workbookViewId="0">
      <selection activeCell="C17" sqref="C17"/>
    </sheetView>
  </sheetViews>
  <sheetFormatPr defaultRowHeight="21" x14ac:dyDescent="0.35"/>
  <cols>
    <col min="1" max="1" width="36.28515625" style="59" customWidth="1"/>
    <col min="2" max="2" width="20.28515625" style="59" bestFit="1" customWidth="1"/>
    <col min="3" max="3" width="21.7109375" style="59" bestFit="1" customWidth="1"/>
    <col min="4" max="4" width="17.28515625" style="59" bestFit="1" customWidth="1"/>
    <col min="5" max="16384" width="9.140625" style="59"/>
  </cols>
  <sheetData>
    <row r="1" spans="1:4" x14ac:dyDescent="0.35">
      <c r="A1" s="333" t="s">
        <v>18</v>
      </c>
      <c r="B1" s="334"/>
      <c r="C1" s="334"/>
      <c r="D1" s="335"/>
    </row>
    <row r="2" spans="1:4" x14ac:dyDescent="0.35">
      <c r="A2" s="336" t="s">
        <v>82</v>
      </c>
      <c r="B2" s="337"/>
      <c r="C2" s="337"/>
      <c r="D2" s="337"/>
    </row>
    <row r="3" spans="1:4" x14ac:dyDescent="0.35">
      <c r="A3" s="60" t="s">
        <v>19</v>
      </c>
      <c r="B3" s="61">
        <v>2017</v>
      </c>
      <c r="C3" s="62"/>
      <c r="D3" s="83" t="s">
        <v>28</v>
      </c>
    </row>
    <row r="4" spans="1:4" x14ac:dyDescent="0.35">
      <c r="A4" s="63" t="s">
        <v>20</v>
      </c>
      <c r="B4" s="64">
        <v>189.59</v>
      </c>
      <c r="C4" s="62"/>
      <c r="D4" s="62"/>
    </row>
    <row r="5" spans="1:4" ht="21.75" thickBot="1" x14ac:dyDescent="0.4">
      <c r="A5" s="338" t="s">
        <v>40</v>
      </c>
      <c r="B5" s="338"/>
      <c r="C5" s="338"/>
      <c r="D5" s="338"/>
    </row>
    <row r="6" spans="1:4" ht="40.5" x14ac:dyDescent="0.35">
      <c r="A6" s="65" t="s">
        <v>21</v>
      </c>
      <c r="B6" s="66"/>
      <c r="C6" s="67" t="s">
        <v>22</v>
      </c>
      <c r="D6" s="68" t="s">
        <v>23</v>
      </c>
    </row>
    <row r="7" spans="1:4" x14ac:dyDescent="0.35">
      <c r="A7" s="69" t="s">
        <v>24</v>
      </c>
      <c r="B7" s="70" t="s">
        <v>25</v>
      </c>
      <c r="C7" s="70"/>
      <c r="D7" s="71"/>
    </row>
    <row r="8" spans="1:4" x14ac:dyDescent="0.35">
      <c r="A8" s="72"/>
      <c r="B8" s="73">
        <v>1903.98</v>
      </c>
      <c r="C8" s="74">
        <v>0</v>
      </c>
      <c r="D8" s="75"/>
    </row>
    <row r="9" spans="1:4" x14ac:dyDescent="0.35">
      <c r="A9" s="76">
        <f>B8+0.01</f>
        <v>1903.99</v>
      </c>
      <c r="B9" s="77">
        <v>2826.65</v>
      </c>
      <c r="C9" s="74">
        <v>7.4999999999999997E-2</v>
      </c>
      <c r="D9" s="78">
        <v>142.80000000000001</v>
      </c>
    </row>
    <row r="10" spans="1:4" x14ac:dyDescent="0.35">
      <c r="A10" s="76">
        <f>B9+0.01</f>
        <v>2826.6600000000003</v>
      </c>
      <c r="B10" s="77">
        <v>3751.05</v>
      </c>
      <c r="C10" s="74">
        <v>0.15</v>
      </c>
      <c r="D10" s="78">
        <v>354.8</v>
      </c>
    </row>
    <row r="11" spans="1:4" x14ac:dyDescent="0.35">
      <c r="A11" s="76">
        <f>B10+0.01</f>
        <v>3751.0600000000004</v>
      </c>
      <c r="B11" s="77">
        <v>4664.68</v>
      </c>
      <c r="C11" s="74">
        <v>0.22500000000000001</v>
      </c>
      <c r="D11" s="78">
        <v>636.13</v>
      </c>
    </row>
    <row r="12" spans="1:4" ht="21.75" thickBot="1" x14ac:dyDescent="0.4">
      <c r="A12" s="76">
        <f>B11+0.01</f>
        <v>4664.6900000000005</v>
      </c>
      <c r="B12" s="79" t="s">
        <v>26</v>
      </c>
      <c r="C12" s="80">
        <v>0.27500000000000002</v>
      </c>
      <c r="D12" s="81">
        <v>869.36</v>
      </c>
    </row>
    <row r="14" spans="1:4" x14ac:dyDescent="0.35">
      <c r="A14" s="82"/>
      <c r="B14" s="82"/>
      <c r="C14" s="82"/>
      <c r="D14" s="82"/>
    </row>
  </sheetData>
  <sheetProtection algorithmName="SHA-512" hashValue="MCv8UJ8tyolovAVYI3HFy/XjvFIdhf/XzoISh0LW0jlq4c8rvsDMjBe4vlq3gAK2nio7QuIgKedF8iOyV0LHeA==" saltValue="cZ/6n1oBdLN7Y+y0nzNJGg==" spinCount="100000" sheet="1" objects="1" scenarios="1"/>
  <mergeCells count="3">
    <mergeCell ref="A1:D1"/>
    <mergeCell ref="A2:D2"/>
    <mergeCell ref="A5:D5"/>
  </mergeCells>
  <hyperlinks>
    <hyperlink ref="A2" r:id="rId1"/>
  </hyperlinks>
  <pageMargins left="0.511811024" right="0.511811024" top="0.78740157499999996" bottom="0.78740157499999996" header="0.31496062000000002" footer="0.31496062000000002"/>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Banco de Dados</vt:lpstr>
      <vt:lpstr>Tabela de tipos de contratacao</vt:lpstr>
      <vt:lpstr>Holerite</vt:lpstr>
      <vt:lpstr>Sobre o TRABALHO INTERMITENTE</vt:lpstr>
      <vt:lpstr>tabela INSS</vt:lpstr>
      <vt:lpstr>Tabela IRRF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ZéRoberto</cp:lastModifiedBy>
  <cp:lastPrinted>2017-12-15T16:48:37Z</cp:lastPrinted>
  <dcterms:created xsi:type="dcterms:W3CDTF">2017-12-13T23:20:32Z</dcterms:created>
  <dcterms:modified xsi:type="dcterms:W3CDTF">2018-01-11T17:51:40Z</dcterms:modified>
</cp:coreProperties>
</file>