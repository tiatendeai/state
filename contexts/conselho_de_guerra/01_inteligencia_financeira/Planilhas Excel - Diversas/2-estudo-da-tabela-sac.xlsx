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c_Infor_Adm\Desktop\Particular\F\2016\2º Semestre\Ciências Contábeis\Estudos Específicos\2_Tabela SAC\"/>
    </mc:Choice>
  </mc:AlternateContent>
  <bookViews>
    <workbookView xWindow="0" yWindow="0" windowWidth="24000" windowHeight="9135"/>
  </bookViews>
  <sheets>
    <sheet name="SEM CARÊNCIA" sheetId="1" r:id="rId1"/>
    <sheet name="COM CARÊNCIA-1" sheetId="2" r:id="rId2"/>
    <sheet name="COM CARÊNCIA-2" sheetId="3" r:id="rId3"/>
    <sheet name="COM CARÊNCIA-3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  <c r="G6" i="1"/>
  <c r="E14" i="4"/>
  <c r="E15" i="4" s="1"/>
  <c r="E16" i="4" s="1"/>
  <c r="E17" i="4" s="1"/>
  <c r="E18" i="4" s="1"/>
  <c r="E19" i="4" s="1"/>
  <c r="E20" i="4" s="1"/>
  <c r="E21" i="4" s="1"/>
  <c r="E22" i="4" s="1"/>
  <c r="E13" i="4"/>
  <c r="E4" i="4"/>
  <c r="C20" i="4" s="1"/>
  <c r="B14" i="4"/>
  <c r="B13" i="4"/>
  <c r="C16" i="4"/>
  <c r="A11" i="4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E9" i="4"/>
  <c r="E8" i="4"/>
  <c r="B9" i="4" s="1"/>
  <c r="F6" i="4"/>
  <c r="H9" i="3"/>
  <c r="E10" i="3"/>
  <c r="E9" i="3"/>
  <c r="C21" i="3"/>
  <c r="C19" i="3"/>
  <c r="C17" i="3"/>
  <c r="C15" i="3"/>
  <c r="C13" i="3"/>
  <c r="A13" i="3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11" i="3"/>
  <c r="A12" i="3" s="1"/>
  <c r="B10" i="3"/>
  <c r="B9" i="3"/>
  <c r="E8" i="3"/>
  <c r="F6" i="3"/>
  <c r="E4" i="3"/>
  <c r="C22" i="3" s="1"/>
  <c r="H12" i="2"/>
  <c r="H9" i="2"/>
  <c r="B14" i="2"/>
  <c r="D14" i="2" s="1"/>
  <c r="B15" i="2"/>
  <c r="B16" i="2"/>
  <c r="D16" i="2" s="1"/>
  <c r="B17" i="2"/>
  <c r="B18" i="2"/>
  <c r="D18" i="2" s="1"/>
  <c r="B19" i="2"/>
  <c r="B20" i="2"/>
  <c r="D20" i="2" s="1"/>
  <c r="B21" i="2"/>
  <c r="B22" i="2"/>
  <c r="D22" i="2" s="1"/>
  <c r="B13" i="2"/>
  <c r="D12" i="2"/>
  <c r="D15" i="2"/>
  <c r="D17" i="2"/>
  <c r="D19" i="2"/>
  <c r="D21" i="2"/>
  <c r="C14" i="2"/>
  <c r="C15" i="2"/>
  <c r="C16" i="2"/>
  <c r="C17" i="2"/>
  <c r="C18" i="2"/>
  <c r="C19" i="2"/>
  <c r="C20" i="2"/>
  <c r="C21" i="2"/>
  <c r="C22" i="2"/>
  <c r="C13" i="2"/>
  <c r="B12" i="2"/>
  <c r="D11" i="2"/>
  <c r="B11" i="2"/>
  <c r="D9" i="2"/>
  <c r="B9" i="2"/>
  <c r="C13" i="4" l="1"/>
  <c r="D13" i="4" s="1"/>
  <c r="C21" i="4"/>
  <c r="C19" i="4"/>
  <c r="C17" i="4"/>
  <c r="C15" i="4"/>
  <c r="B10" i="4"/>
  <c r="E10" i="4" s="1"/>
  <c r="C14" i="4"/>
  <c r="B15" i="4" s="1"/>
  <c r="C18" i="4"/>
  <c r="C22" i="4"/>
  <c r="C14" i="3"/>
  <c r="C16" i="3"/>
  <c r="C18" i="3"/>
  <c r="C20" i="3"/>
  <c r="E9" i="2"/>
  <c r="B11" i="4" l="1"/>
  <c r="E11" i="4" s="1"/>
  <c r="B16" i="4"/>
  <c r="D14" i="4"/>
  <c r="B11" i="3"/>
  <c r="E11" i="3" s="1"/>
  <c r="E10" i="2"/>
  <c r="E11" i="2" s="1"/>
  <c r="E12" i="2" s="1"/>
  <c r="D13" i="2" s="1"/>
  <c r="B10" i="2"/>
  <c r="D10" i="2" s="1"/>
  <c r="E13" i="2"/>
  <c r="A14" i="2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12" i="2"/>
  <c r="A13" i="2" s="1"/>
  <c r="A11" i="2"/>
  <c r="E8" i="2"/>
  <c r="F6" i="2"/>
  <c r="E4" i="2"/>
  <c r="B12" i="4" l="1"/>
  <c r="E12" i="4" s="1"/>
  <c r="D15" i="4"/>
  <c r="D16" i="4"/>
  <c r="B17" i="4"/>
  <c r="E12" i="3"/>
  <c r="B12" i="3"/>
  <c r="E14" i="2"/>
  <c r="C3" i="1"/>
  <c r="B18" i="4" l="1"/>
  <c r="D17" i="4"/>
  <c r="E15" i="2"/>
  <c r="F3" i="1"/>
  <c r="B19" i="4" l="1"/>
  <c r="E14" i="3"/>
  <c r="B14" i="3"/>
  <c r="D14" i="3" s="1"/>
  <c r="D13" i="3"/>
  <c r="E16" i="2"/>
  <c r="E1" i="1"/>
  <c r="E5" i="1"/>
  <c r="B6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B20" i="4" l="1"/>
  <c r="D19" i="4"/>
  <c r="D18" i="4"/>
  <c r="B15" i="3"/>
  <c r="E15" i="3"/>
  <c r="E17" i="2"/>
  <c r="C20" i="1"/>
  <c r="C21" i="1"/>
  <c r="C24" i="1"/>
  <c r="C25" i="1"/>
  <c r="C28" i="1"/>
  <c r="C29" i="1"/>
  <c r="C32" i="1"/>
  <c r="C33" i="1"/>
  <c r="C36" i="1"/>
  <c r="C37" i="1"/>
  <c r="C40" i="1"/>
  <c r="C41" i="1"/>
  <c r="C44" i="1"/>
  <c r="C45" i="1"/>
  <c r="C47" i="1"/>
  <c r="C49" i="1"/>
  <c r="C51" i="1"/>
  <c r="C53" i="1"/>
  <c r="C55" i="1"/>
  <c r="C57" i="1"/>
  <c r="C59" i="1"/>
  <c r="C61" i="1"/>
  <c r="C63" i="1"/>
  <c r="C65" i="1"/>
  <c r="C17" i="1"/>
  <c r="C18" i="1"/>
  <c r="C19" i="1"/>
  <c r="C22" i="1"/>
  <c r="C23" i="1"/>
  <c r="C26" i="1"/>
  <c r="C27" i="1"/>
  <c r="C30" i="1"/>
  <c r="C31" i="1"/>
  <c r="C38" i="1"/>
  <c r="C39" i="1"/>
  <c r="C46" i="1"/>
  <c r="C50" i="1"/>
  <c r="C54" i="1"/>
  <c r="C58" i="1"/>
  <c r="C62" i="1"/>
  <c r="C34" i="1"/>
  <c r="C35" i="1"/>
  <c r="C42" i="1"/>
  <c r="C43" i="1"/>
  <c r="C48" i="1"/>
  <c r="C52" i="1"/>
  <c r="C56" i="1"/>
  <c r="C60" i="1"/>
  <c r="C64" i="1"/>
  <c r="C16" i="1"/>
  <c r="C10" i="1"/>
  <c r="C11" i="1"/>
  <c r="C13" i="1"/>
  <c r="C15" i="1"/>
  <c r="C9" i="1"/>
  <c r="C12" i="1"/>
  <c r="C14" i="1"/>
  <c r="C8" i="1"/>
  <c r="C7" i="1"/>
  <c r="C6" i="1"/>
  <c r="B21" i="4" l="1"/>
  <c r="E16" i="3"/>
  <c r="B16" i="3"/>
  <c r="D16" i="3" s="1"/>
  <c r="D15" i="3"/>
  <c r="E18" i="2"/>
  <c r="E6" i="1"/>
  <c r="D6" i="1"/>
  <c r="B22" i="4" l="1"/>
  <c r="D21" i="4"/>
  <c r="D20" i="4"/>
  <c r="B17" i="3"/>
  <c r="E17" i="3"/>
  <c r="B7" i="1"/>
  <c r="E7" i="1"/>
  <c r="E23" i="4" l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18" i="3"/>
  <c r="B18" i="3"/>
  <c r="D18" i="3" s="1"/>
  <c r="D17" i="3"/>
  <c r="D7" i="1"/>
  <c r="E8" i="1"/>
  <c r="B8" i="1"/>
  <c r="D8" i="1" s="1"/>
  <c r="D22" i="4" l="1"/>
  <c r="H12" i="4" s="1"/>
  <c r="H9" i="4"/>
  <c r="B19" i="3"/>
  <c r="D19" i="3" s="1"/>
  <c r="E19" i="3"/>
  <c r="B9" i="1"/>
  <c r="D9" i="1" s="1"/>
  <c r="E9" i="1"/>
  <c r="E20" i="3" l="1"/>
  <c r="B20" i="3"/>
  <c r="D20" i="3" s="1"/>
  <c r="E10" i="1"/>
  <c r="B10" i="1"/>
  <c r="D10" i="1" s="1"/>
  <c r="B21" i="3" l="1"/>
  <c r="D21" i="3" s="1"/>
  <c r="E21" i="3"/>
  <c r="E11" i="1"/>
  <c r="B11" i="1"/>
  <c r="D11" i="1" s="1"/>
  <c r="E22" i="3" l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B22" i="3"/>
  <c r="E19" i="2"/>
  <c r="B12" i="1"/>
  <c r="D12" i="1" s="1"/>
  <c r="E12" i="1"/>
  <c r="D22" i="3" l="1"/>
  <c r="H12" i="3" s="1"/>
  <c r="E20" i="2"/>
  <c r="E13" i="1"/>
  <c r="B13" i="1"/>
  <c r="D13" i="1" s="1"/>
  <c r="E21" i="2" l="1"/>
  <c r="B14" i="1"/>
  <c r="D14" i="1" s="1"/>
  <c r="E14" i="1"/>
  <c r="E22" i="2" l="1"/>
  <c r="E15" i="1"/>
  <c r="B15" i="1"/>
  <c r="D15" i="1" s="1"/>
  <c r="E23" i="2" l="1"/>
  <c r="E16" i="1"/>
  <c r="B16" i="1"/>
  <c r="D16" i="1" s="1"/>
  <c r="E24" i="2" l="1"/>
  <c r="B17" i="1"/>
  <c r="D17" i="1" s="1"/>
  <c r="E17" i="1"/>
  <c r="E25" i="2" l="1"/>
  <c r="B18" i="1"/>
  <c r="D18" i="1" s="1"/>
  <c r="E18" i="1"/>
  <c r="E26" i="2" l="1"/>
  <c r="B19" i="1"/>
  <c r="D19" i="1" s="1"/>
  <c r="E19" i="1"/>
  <c r="E27" i="2" l="1"/>
  <c r="B20" i="1"/>
  <c r="D20" i="1" s="1"/>
  <c r="E20" i="1"/>
  <c r="E28" i="2" l="1"/>
  <c r="E21" i="1"/>
  <c r="B21" i="1"/>
  <c r="D21" i="1" s="1"/>
  <c r="E29" i="2" l="1"/>
  <c r="B22" i="1"/>
  <c r="D22" i="1" s="1"/>
  <c r="E22" i="1"/>
  <c r="E30" i="2" l="1"/>
  <c r="B23" i="1"/>
  <c r="D23" i="1" s="1"/>
  <c r="E23" i="1"/>
  <c r="E31" i="2" l="1"/>
  <c r="B24" i="1"/>
  <c r="D24" i="1" s="1"/>
  <c r="E24" i="1"/>
  <c r="E32" i="2" l="1"/>
  <c r="E25" i="1"/>
  <c r="B25" i="1"/>
  <c r="E33" i="2" l="1"/>
  <c r="B26" i="1"/>
  <c r="D26" i="1" s="1"/>
  <c r="E26" i="1"/>
  <c r="D25" i="1"/>
  <c r="E34" i="2" l="1"/>
  <c r="B27" i="1"/>
  <c r="D27" i="1" s="1"/>
  <c r="E27" i="1"/>
  <c r="E35" i="2" l="1"/>
  <c r="B28" i="1"/>
  <c r="E28" i="1"/>
  <c r="E36" i="2" l="1"/>
  <c r="D28" i="1"/>
  <c r="E29" i="1"/>
  <c r="B29" i="1"/>
  <c r="D29" i="1" s="1"/>
  <c r="E37" i="2" l="1"/>
  <c r="B30" i="1"/>
  <c r="D30" i="1" s="1"/>
  <c r="E30" i="1"/>
  <c r="E38" i="2" l="1"/>
  <c r="B31" i="1"/>
  <c r="E31" i="1"/>
  <c r="E39" i="2" l="1"/>
  <c r="D31" i="1"/>
  <c r="E32" i="1"/>
  <c r="B32" i="1"/>
  <c r="D32" i="1" s="1"/>
  <c r="E40" i="2" l="1"/>
  <c r="E33" i="1"/>
  <c r="B33" i="1"/>
  <c r="D33" i="1" s="1"/>
  <c r="E41" i="2" l="1"/>
  <c r="B34" i="1"/>
  <c r="D34" i="1" s="1"/>
  <c r="E34" i="1"/>
  <c r="E42" i="2" l="1"/>
  <c r="B35" i="1"/>
  <c r="D35" i="1" s="1"/>
  <c r="E35" i="1"/>
  <c r="E43" i="2" l="1"/>
  <c r="B36" i="1"/>
  <c r="D36" i="1" s="1"/>
  <c r="E36" i="1"/>
  <c r="E44" i="2" l="1"/>
  <c r="E37" i="1"/>
  <c r="B37" i="1"/>
  <c r="D37" i="1" s="1"/>
  <c r="E45" i="2" l="1"/>
  <c r="B38" i="1"/>
  <c r="D38" i="1" s="1"/>
  <c r="E38" i="1"/>
  <c r="E46" i="2" l="1"/>
  <c r="B39" i="1"/>
  <c r="D39" i="1" s="1"/>
  <c r="E39" i="1"/>
  <c r="E47" i="2" l="1"/>
  <c r="E40" i="1"/>
  <c r="B40" i="1"/>
  <c r="D40" i="1" s="1"/>
  <c r="E48" i="2" l="1"/>
  <c r="E41" i="1"/>
  <c r="B41" i="1"/>
  <c r="D41" i="1" s="1"/>
  <c r="E49" i="2" l="1"/>
  <c r="B42" i="1"/>
  <c r="D42" i="1" s="1"/>
  <c r="E42" i="1"/>
  <c r="E50" i="2" l="1"/>
  <c r="B43" i="1"/>
  <c r="D43" i="1" s="1"/>
  <c r="E43" i="1"/>
  <c r="E51" i="2" l="1"/>
  <c r="B44" i="1"/>
  <c r="D44" i="1" s="1"/>
  <c r="E44" i="1"/>
  <c r="E52" i="2" l="1"/>
  <c r="E45" i="1"/>
  <c r="B45" i="1"/>
  <c r="D45" i="1" s="1"/>
  <c r="E53" i="2" l="1"/>
  <c r="B46" i="1"/>
  <c r="D46" i="1" s="1"/>
  <c r="E46" i="1"/>
  <c r="E54" i="2" l="1"/>
  <c r="B47" i="1"/>
  <c r="D47" i="1" s="1"/>
  <c r="E47" i="1"/>
  <c r="E55" i="2" l="1"/>
  <c r="B48" i="1"/>
  <c r="D48" i="1" s="1"/>
  <c r="E48" i="1"/>
  <c r="E56" i="2" l="1"/>
  <c r="B49" i="1"/>
  <c r="D49" i="1" s="1"/>
  <c r="E49" i="1"/>
  <c r="E57" i="2" l="1"/>
  <c r="E50" i="1"/>
  <c r="B50" i="1"/>
  <c r="D50" i="1" s="1"/>
  <c r="E58" i="2" l="1"/>
  <c r="B51" i="1"/>
  <c r="D51" i="1" s="1"/>
  <c r="E51" i="1"/>
  <c r="E59" i="2" l="1"/>
  <c r="E52" i="1"/>
  <c r="B52" i="1"/>
  <c r="D52" i="1" s="1"/>
  <c r="E60" i="2" l="1"/>
  <c r="B53" i="1"/>
  <c r="D53" i="1" s="1"/>
  <c r="E53" i="1"/>
  <c r="E61" i="2" l="1"/>
  <c r="E54" i="1"/>
  <c r="B54" i="1"/>
  <c r="D54" i="1" s="1"/>
  <c r="E62" i="2" l="1"/>
  <c r="B55" i="1"/>
  <c r="D55" i="1" s="1"/>
  <c r="E55" i="1"/>
  <c r="E63" i="2" l="1"/>
  <c r="E56" i="1"/>
  <c r="B56" i="1"/>
  <c r="D56" i="1" s="1"/>
  <c r="E64" i="2" l="1"/>
  <c r="B57" i="1"/>
  <c r="D57" i="1" s="1"/>
  <c r="E57" i="1"/>
  <c r="E65" i="2" l="1"/>
  <c r="E58" i="1"/>
  <c r="B58" i="1"/>
  <c r="D58" i="1" s="1"/>
  <c r="E66" i="2" l="1"/>
  <c r="B59" i="1"/>
  <c r="D59" i="1" s="1"/>
  <c r="E59" i="1"/>
  <c r="E67" i="2" l="1"/>
  <c r="E60" i="1"/>
  <c r="B60" i="1"/>
  <c r="D60" i="1" s="1"/>
  <c r="E68" i="2" l="1"/>
  <c r="B61" i="1"/>
  <c r="D61" i="1" s="1"/>
  <c r="E61" i="1"/>
  <c r="E62" i="1" l="1"/>
  <c r="B62" i="1"/>
  <c r="D62" i="1" s="1"/>
  <c r="B63" i="1" l="1"/>
  <c r="D63" i="1" s="1"/>
  <c r="E63" i="1"/>
  <c r="E64" i="1" l="1"/>
  <c r="B64" i="1"/>
  <c r="D64" i="1" s="1"/>
  <c r="B65" i="1" l="1"/>
  <c r="E65" i="1"/>
  <c r="D65" i="1" l="1"/>
</calcChain>
</file>

<file path=xl/sharedStrings.xml><?xml version="1.0" encoding="utf-8"?>
<sst xmlns="http://schemas.openxmlformats.org/spreadsheetml/2006/main" count="54" uniqueCount="16">
  <si>
    <t>PERÍODO</t>
  </si>
  <si>
    <t>JURO</t>
  </si>
  <si>
    <t>AMORTIZAÇÃO</t>
  </si>
  <si>
    <t>PARCELA</t>
  </si>
  <si>
    <t>VALOR FINANCIADO</t>
  </si>
  <si>
    <t>NÚMERO PARCELAS</t>
  </si>
  <si>
    <t>TAXA DE JUROS (MENSAL)</t>
  </si>
  <si>
    <t>VALOR ATUALIZADO</t>
  </si>
  <si>
    <t>VALOR AMORTIZAÇÃO</t>
  </si>
  <si>
    <t>SE TAXA DE JUROS FOR EFETIVA (a.a), LANÇAR NA CÉLULA LARANJA AO LADO ESSA TAXA, SENDO QUE A TAXA MENSAL EFETIVA SAIRÁ AUTOMATICAMENTE NA CÉLULA ROXA</t>
  </si>
  <si>
    <t>JUROS PAGOS EM CADA PERÍODO DA CARÊNCIA</t>
  </si>
  <si>
    <t>EXEMPLO COM CARÊNCIA DE 4 MESES.</t>
  </si>
  <si>
    <t>SOMA TOTAL DOS JUROS</t>
  </si>
  <si>
    <t>SOMA TOTAL DAS PARCELAS</t>
  </si>
  <si>
    <t>JUROS CAPITALIZADOS E PAGOS NA 1ª PARCELA</t>
  </si>
  <si>
    <t>JUROS CAPITALIZADOS E DILUÍDOS NA AMORTIZAÇÃO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</si>
</sst>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164" formatCode="0.0000%"/>
    <numFmt numFmtId="165" formatCode="0.00000%"/>
    <numFmt numFmtId="166" formatCode="0.00000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22"/>
      <color theme="0"/>
      <name val="Times New Roman"/>
      <family val="1"/>
    </font>
    <font>
      <b/>
      <sz val="12"/>
      <color theme="0"/>
      <name val="Times New Roman"/>
      <family val="1"/>
    </font>
    <font>
      <sz val="12"/>
      <color rgb="FFFFFF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44" fontId="3" fillId="3" borderId="1" xfId="1" applyFont="1" applyFill="1" applyBorder="1" applyAlignment="1">
      <alignment horizontal="center" vertical="center"/>
    </xf>
    <xf numFmtId="0" fontId="3" fillId="3" borderId="1" xfId="1" applyNumberFormat="1" applyFont="1" applyFill="1" applyBorder="1" applyAlignment="1">
      <alignment horizontal="center" vertical="center"/>
    </xf>
    <xf numFmtId="164" fontId="3" fillId="3" borderId="2" xfId="2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4" fontId="2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6" fontId="4" fillId="6" borderId="1" xfId="2" applyNumberFormat="1" applyFont="1" applyFill="1" applyBorder="1" applyAlignment="1">
      <alignment horizontal="center" vertical="center"/>
    </xf>
    <xf numFmtId="165" fontId="2" fillId="4" borderId="1" xfId="2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44" fontId="7" fillId="9" borderId="1" xfId="0" applyNumberFormat="1" applyFont="1" applyFill="1" applyBorder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5"/>
  <sheetViews>
    <sheetView tabSelected="1" zoomScaleNormal="100" workbookViewId="0">
      <selection activeCell="G18" sqref="G18"/>
    </sheetView>
  </sheetViews>
  <sheetFormatPr defaultRowHeight="15.75" x14ac:dyDescent="0.25"/>
  <cols>
    <col min="1" max="1" width="11.42578125" style="1" bestFit="1" customWidth="1"/>
    <col min="2" max="5" width="27.85546875" style="1" customWidth="1"/>
    <col min="6" max="6" width="23.5703125" style="1" customWidth="1"/>
    <col min="7" max="7" width="35.7109375" style="1" bestFit="1" customWidth="1"/>
    <col min="8" max="8" width="3.28515625" style="1" customWidth="1"/>
    <col min="9" max="16384" width="9.140625" style="1"/>
  </cols>
  <sheetData>
    <row r="1" spans="1:7" ht="30" customHeight="1" x14ac:dyDescent="0.25">
      <c r="A1" s="13" t="s">
        <v>4</v>
      </c>
      <c r="B1" s="13"/>
      <c r="C1" s="5">
        <v>100000</v>
      </c>
      <c r="D1" s="10" t="s">
        <v>8</v>
      </c>
      <c r="E1" s="9">
        <f>C1/C2</f>
        <v>10000</v>
      </c>
    </row>
    <row r="2" spans="1:7" ht="39.75" customHeight="1" x14ac:dyDescent="0.25">
      <c r="A2" s="13" t="s">
        <v>5</v>
      </c>
      <c r="B2" s="13"/>
      <c r="C2" s="6">
        <v>10</v>
      </c>
      <c r="D2" s="15" t="s">
        <v>9</v>
      </c>
      <c r="E2" s="15"/>
      <c r="F2" s="12">
        <v>0.15</v>
      </c>
    </row>
    <row r="3" spans="1:7" ht="30" customHeight="1" x14ac:dyDescent="0.25">
      <c r="A3" s="14" t="s">
        <v>6</v>
      </c>
      <c r="B3" s="14"/>
      <c r="C3" s="7">
        <f>F3</f>
        <v>1.171491691985338E-2</v>
      </c>
      <c r="D3" s="15"/>
      <c r="E3" s="15"/>
      <c r="F3" s="11">
        <f>(1+F2)^(1/12) -1</f>
        <v>1.171491691985338E-2</v>
      </c>
    </row>
    <row r="4" spans="1:7" x14ac:dyDescent="0.25">
      <c r="A4" s="8" t="s">
        <v>0</v>
      </c>
      <c r="B4" s="8" t="s">
        <v>1</v>
      </c>
      <c r="C4" s="8" t="s">
        <v>2</v>
      </c>
      <c r="D4" s="8" t="s">
        <v>3</v>
      </c>
      <c r="E4" s="8" t="s">
        <v>7</v>
      </c>
    </row>
    <row r="5" spans="1:7" x14ac:dyDescent="0.25">
      <c r="A5" s="2">
        <v>0</v>
      </c>
      <c r="B5" s="3">
        <v>0</v>
      </c>
      <c r="C5" s="3">
        <v>0</v>
      </c>
      <c r="D5" s="3">
        <v>0</v>
      </c>
      <c r="E5" s="4">
        <f>C1</f>
        <v>100000</v>
      </c>
      <c r="G5" s="19" t="s">
        <v>12</v>
      </c>
    </row>
    <row r="6" spans="1:7" x14ac:dyDescent="0.25">
      <c r="A6" s="2">
        <v>1</v>
      </c>
      <c r="B6" s="3">
        <f>E5*$C$3</f>
        <v>1171.4916919853381</v>
      </c>
      <c r="C6" s="3">
        <f>$E$1</f>
        <v>10000</v>
      </c>
      <c r="D6" s="3">
        <f>C6+B6</f>
        <v>11171.491691985339</v>
      </c>
      <c r="E6" s="3">
        <f>E5-C6</f>
        <v>90000</v>
      </c>
      <c r="G6" s="20">
        <f>SUM(B6:B15)</f>
        <v>6443.2043059193602</v>
      </c>
    </row>
    <row r="7" spans="1:7" x14ac:dyDescent="0.25">
      <c r="A7" s="2">
        <v>2</v>
      </c>
      <c r="B7" s="3">
        <f t="shared" ref="B7:B8" si="0">E6*$C$3</f>
        <v>1054.3425227868042</v>
      </c>
      <c r="C7" s="3">
        <f t="shared" ref="C7:C65" si="1">$E$1</f>
        <v>10000</v>
      </c>
      <c r="D7" s="3">
        <f t="shared" ref="D7:D8" si="2">C7+B7</f>
        <v>11054.342522786805</v>
      </c>
      <c r="E7" s="3">
        <f t="shared" ref="E7:E8" si="3">E6-C7</f>
        <v>80000</v>
      </c>
    </row>
    <row r="8" spans="1:7" x14ac:dyDescent="0.25">
      <c r="A8" s="2">
        <f>A7+1</f>
        <v>3</v>
      </c>
      <c r="B8" s="3">
        <f t="shared" si="0"/>
        <v>937.19335358827038</v>
      </c>
      <c r="C8" s="3">
        <f t="shared" si="1"/>
        <v>10000</v>
      </c>
      <c r="D8" s="3">
        <f t="shared" si="2"/>
        <v>10937.193353588271</v>
      </c>
      <c r="E8" s="3">
        <f t="shared" si="3"/>
        <v>70000</v>
      </c>
      <c r="G8" s="19" t="s">
        <v>13</v>
      </c>
    </row>
    <row r="9" spans="1:7" x14ac:dyDescent="0.25">
      <c r="A9" s="2">
        <f t="shared" ref="A9:A65" si="4">A8+1</f>
        <v>4</v>
      </c>
      <c r="B9" s="3">
        <f t="shared" ref="B9:B16" si="5">E8*$C$3</f>
        <v>820.04418438973653</v>
      </c>
      <c r="C9" s="3">
        <f t="shared" si="1"/>
        <v>10000</v>
      </c>
      <c r="D9" s="3">
        <f t="shared" ref="D9:D16" si="6">C9+B9</f>
        <v>10820.044184389737</v>
      </c>
      <c r="E9" s="3">
        <f t="shared" ref="E9:E16" si="7">E8-C9</f>
        <v>60000</v>
      </c>
      <c r="G9" s="20">
        <f>SUM(D6:D15)</f>
        <v>106443.20430591935</v>
      </c>
    </row>
    <row r="10" spans="1:7" x14ac:dyDescent="0.25">
      <c r="A10" s="2">
        <f t="shared" si="4"/>
        <v>5</v>
      </c>
      <c r="B10" s="3">
        <f t="shared" si="5"/>
        <v>702.89501519120279</v>
      </c>
      <c r="C10" s="3">
        <f t="shared" si="1"/>
        <v>10000</v>
      </c>
      <c r="D10" s="3">
        <f t="shared" si="6"/>
        <v>10702.895015191203</v>
      </c>
      <c r="E10" s="3">
        <f t="shared" si="7"/>
        <v>50000</v>
      </c>
    </row>
    <row r="11" spans="1:7" x14ac:dyDescent="0.25">
      <c r="A11" s="2">
        <f t="shared" si="4"/>
        <v>6</v>
      </c>
      <c r="B11" s="3">
        <f t="shared" si="5"/>
        <v>585.74584599266905</v>
      </c>
      <c r="C11" s="3">
        <f t="shared" si="1"/>
        <v>10000</v>
      </c>
      <c r="D11" s="3">
        <f t="shared" si="6"/>
        <v>10585.745845992669</v>
      </c>
      <c r="E11" s="3">
        <f t="shared" si="7"/>
        <v>40000</v>
      </c>
    </row>
    <row r="12" spans="1:7" x14ac:dyDescent="0.25">
      <c r="A12" s="2">
        <f t="shared" si="4"/>
        <v>7</v>
      </c>
      <c r="B12" s="3">
        <f t="shared" si="5"/>
        <v>468.59667679413519</v>
      </c>
      <c r="C12" s="3">
        <f t="shared" si="1"/>
        <v>10000</v>
      </c>
      <c r="D12" s="3">
        <f t="shared" si="6"/>
        <v>10468.596676794135</v>
      </c>
      <c r="E12" s="3">
        <f t="shared" si="7"/>
        <v>30000</v>
      </c>
    </row>
    <row r="13" spans="1:7" x14ac:dyDescent="0.25">
      <c r="A13" s="2">
        <f t="shared" si="4"/>
        <v>8</v>
      </c>
      <c r="B13" s="3">
        <f t="shared" si="5"/>
        <v>351.44750759560139</v>
      </c>
      <c r="C13" s="3">
        <f t="shared" si="1"/>
        <v>10000</v>
      </c>
      <c r="D13" s="3">
        <f t="shared" si="6"/>
        <v>10351.447507595602</v>
      </c>
      <c r="E13" s="3">
        <f t="shared" si="7"/>
        <v>20000</v>
      </c>
    </row>
    <row r="14" spans="1:7" x14ac:dyDescent="0.25">
      <c r="A14" s="2">
        <f t="shared" si="4"/>
        <v>9</v>
      </c>
      <c r="B14" s="3">
        <f t="shared" si="5"/>
        <v>234.2983383970676</v>
      </c>
      <c r="C14" s="3">
        <f t="shared" si="1"/>
        <v>10000</v>
      </c>
      <c r="D14" s="3">
        <f t="shared" si="6"/>
        <v>10234.298338397068</v>
      </c>
      <c r="E14" s="3">
        <f t="shared" si="7"/>
        <v>10000</v>
      </c>
    </row>
    <row r="15" spans="1:7" x14ac:dyDescent="0.25">
      <c r="A15" s="2">
        <f t="shared" si="4"/>
        <v>10</v>
      </c>
      <c r="B15" s="3">
        <f t="shared" si="5"/>
        <v>117.1491691985338</v>
      </c>
      <c r="C15" s="3">
        <f t="shared" si="1"/>
        <v>10000</v>
      </c>
      <c r="D15" s="3">
        <f t="shared" si="6"/>
        <v>10117.149169198534</v>
      </c>
      <c r="E15" s="3">
        <f t="shared" si="7"/>
        <v>0</v>
      </c>
    </row>
    <row r="16" spans="1:7" x14ac:dyDescent="0.25">
      <c r="A16" s="2">
        <f t="shared" si="4"/>
        <v>11</v>
      </c>
      <c r="B16" s="3">
        <f t="shared" si="5"/>
        <v>0</v>
      </c>
      <c r="C16" s="3">
        <f t="shared" si="1"/>
        <v>10000</v>
      </c>
      <c r="D16" s="3">
        <f t="shared" si="6"/>
        <v>10000</v>
      </c>
      <c r="E16" s="3">
        <f t="shared" si="7"/>
        <v>-10000</v>
      </c>
    </row>
    <row r="17" spans="1:5" x14ac:dyDescent="0.25">
      <c r="A17" s="2">
        <f t="shared" si="4"/>
        <v>12</v>
      </c>
      <c r="B17" s="3">
        <f t="shared" ref="B17:B65" si="8">E16*$C$3</f>
        <v>-117.1491691985338</v>
      </c>
      <c r="C17" s="3">
        <f t="shared" si="1"/>
        <v>10000</v>
      </c>
      <c r="D17" s="3">
        <f t="shared" ref="D17:D65" si="9">C17+B17</f>
        <v>9882.8508308014661</v>
      </c>
      <c r="E17" s="3">
        <f t="shared" ref="E17:E65" si="10">E16-C17</f>
        <v>-20000</v>
      </c>
    </row>
    <row r="18" spans="1:5" x14ac:dyDescent="0.25">
      <c r="A18" s="2">
        <f t="shared" si="4"/>
        <v>13</v>
      </c>
      <c r="B18" s="3">
        <f t="shared" si="8"/>
        <v>-234.2983383970676</v>
      </c>
      <c r="C18" s="3">
        <f t="shared" si="1"/>
        <v>10000</v>
      </c>
      <c r="D18" s="3">
        <f t="shared" si="9"/>
        <v>9765.7016616029323</v>
      </c>
      <c r="E18" s="3">
        <f t="shared" si="10"/>
        <v>-30000</v>
      </c>
    </row>
    <row r="19" spans="1:5" x14ac:dyDescent="0.25">
      <c r="A19" s="2">
        <f t="shared" si="4"/>
        <v>14</v>
      </c>
      <c r="B19" s="3">
        <f t="shared" si="8"/>
        <v>-351.44750759560139</v>
      </c>
      <c r="C19" s="3">
        <f t="shared" si="1"/>
        <v>10000</v>
      </c>
      <c r="D19" s="3">
        <f t="shared" si="9"/>
        <v>9648.5524924043984</v>
      </c>
      <c r="E19" s="3">
        <f t="shared" si="10"/>
        <v>-40000</v>
      </c>
    </row>
    <row r="20" spans="1:5" x14ac:dyDescent="0.25">
      <c r="A20" s="2">
        <f t="shared" si="4"/>
        <v>15</v>
      </c>
      <c r="B20" s="3">
        <f t="shared" si="8"/>
        <v>-468.59667679413519</v>
      </c>
      <c r="C20" s="3">
        <f t="shared" si="1"/>
        <v>10000</v>
      </c>
      <c r="D20" s="3">
        <f t="shared" si="9"/>
        <v>9531.4033232058646</v>
      </c>
      <c r="E20" s="3">
        <f t="shared" si="10"/>
        <v>-50000</v>
      </c>
    </row>
    <row r="21" spans="1:5" x14ac:dyDescent="0.25">
      <c r="A21" s="2">
        <f t="shared" si="4"/>
        <v>16</v>
      </c>
      <c r="B21" s="3">
        <f t="shared" si="8"/>
        <v>-585.74584599266905</v>
      </c>
      <c r="C21" s="3">
        <f t="shared" si="1"/>
        <v>10000</v>
      </c>
      <c r="D21" s="3">
        <f t="shared" si="9"/>
        <v>9414.2541540073307</v>
      </c>
      <c r="E21" s="3">
        <f t="shared" si="10"/>
        <v>-60000</v>
      </c>
    </row>
    <row r="22" spans="1:5" x14ac:dyDescent="0.25">
      <c r="A22" s="2">
        <f t="shared" si="4"/>
        <v>17</v>
      </c>
      <c r="B22" s="3">
        <f t="shared" si="8"/>
        <v>-702.89501519120279</v>
      </c>
      <c r="C22" s="3">
        <f t="shared" si="1"/>
        <v>10000</v>
      </c>
      <c r="D22" s="3">
        <f t="shared" si="9"/>
        <v>9297.1049848087969</v>
      </c>
      <c r="E22" s="3">
        <f t="shared" si="10"/>
        <v>-70000</v>
      </c>
    </row>
    <row r="23" spans="1:5" x14ac:dyDescent="0.25">
      <c r="A23" s="2">
        <f t="shared" si="4"/>
        <v>18</v>
      </c>
      <c r="B23" s="3">
        <f t="shared" si="8"/>
        <v>-820.04418438973653</v>
      </c>
      <c r="C23" s="3">
        <f t="shared" si="1"/>
        <v>10000</v>
      </c>
      <c r="D23" s="3">
        <f t="shared" si="9"/>
        <v>9179.955815610263</v>
      </c>
      <c r="E23" s="3">
        <f t="shared" si="10"/>
        <v>-80000</v>
      </c>
    </row>
    <row r="24" spans="1:5" x14ac:dyDescent="0.25">
      <c r="A24" s="2">
        <f t="shared" si="4"/>
        <v>19</v>
      </c>
      <c r="B24" s="3">
        <f t="shared" si="8"/>
        <v>-937.19335358827038</v>
      </c>
      <c r="C24" s="3">
        <f t="shared" si="1"/>
        <v>10000</v>
      </c>
      <c r="D24" s="3">
        <f t="shared" si="9"/>
        <v>9062.8066464117292</v>
      </c>
      <c r="E24" s="3">
        <f t="shared" si="10"/>
        <v>-90000</v>
      </c>
    </row>
    <row r="25" spans="1:5" x14ac:dyDescent="0.25">
      <c r="A25" s="2">
        <f t="shared" si="4"/>
        <v>20</v>
      </c>
      <c r="B25" s="3">
        <f t="shared" si="8"/>
        <v>-1054.3425227868042</v>
      </c>
      <c r="C25" s="3">
        <f t="shared" si="1"/>
        <v>10000</v>
      </c>
      <c r="D25" s="3">
        <f t="shared" si="9"/>
        <v>8945.6574772131953</v>
      </c>
      <c r="E25" s="3">
        <f t="shared" si="10"/>
        <v>-100000</v>
      </c>
    </row>
    <row r="26" spans="1:5" x14ac:dyDescent="0.25">
      <c r="A26" s="2">
        <f t="shared" si="4"/>
        <v>21</v>
      </c>
      <c r="B26" s="3">
        <f t="shared" si="8"/>
        <v>-1171.4916919853381</v>
      </c>
      <c r="C26" s="3">
        <f t="shared" si="1"/>
        <v>10000</v>
      </c>
      <c r="D26" s="3">
        <f t="shared" si="9"/>
        <v>8828.5083080146615</v>
      </c>
      <c r="E26" s="3">
        <f t="shared" si="10"/>
        <v>-110000</v>
      </c>
    </row>
    <row r="27" spans="1:5" x14ac:dyDescent="0.25">
      <c r="A27" s="2">
        <f t="shared" si="4"/>
        <v>22</v>
      </c>
      <c r="B27" s="3">
        <f t="shared" si="8"/>
        <v>-1288.6408611838717</v>
      </c>
      <c r="C27" s="3">
        <f t="shared" si="1"/>
        <v>10000</v>
      </c>
      <c r="D27" s="3">
        <f t="shared" si="9"/>
        <v>8711.3591388161276</v>
      </c>
      <c r="E27" s="3">
        <f t="shared" si="10"/>
        <v>-120000</v>
      </c>
    </row>
    <row r="28" spans="1:5" x14ac:dyDescent="0.25">
      <c r="A28" s="2">
        <f t="shared" si="4"/>
        <v>23</v>
      </c>
      <c r="B28" s="3">
        <f t="shared" si="8"/>
        <v>-1405.7900303824056</v>
      </c>
      <c r="C28" s="3">
        <f t="shared" si="1"/>
        <v>10000</v>
      </c>
      <c r="D28" s="3">
        <f t="shared" si="9"/>
        <v>8594.2099696175937</v>
      </c>
      <c r="E28" s="3">
        <f t="shared" si="10"/>
        <v>-130000</v>
      </c>
    </row>
    <row r="29" spans="1:5" x14ac:dyDescent="0.25">
      <c r="A29" s="2">
        <f t="shared" si="4"/>
        <v>24</v>
      </c>
      <c r="B29" s="3">
        <f t="shared" si="8"/>
        <v>-1522.9391995809394</v>
      </c>
      <c r="C29" s="3">
        <f t="shared" si="1"/>
        <v>10000</v>
      </c>
      <c r="D29" s="3">
        <f t="shared" si="9"/>
        <v>8477.0608004190599</v>
      </c>
      <c r="E29" s="3">
        <f t="shared" si="10"/>
        <v>-140000</v>
      </c>
    </row>
    <row r="30" spans="1:5" x14ac:dyDescent="0.25">
      <c r="A30" s="2">
        <f t="shared" si="4"/>
        <v>25</v>
      </c>
      <c r="B30" s="3">
        <f t="shared" si="8"/>
        <v>-1640.0883687794731</v>
      </c>
      <c r="C30" s="3">
        <f t="shared" si="1"/>
        <v>10000</v>
      </c>
      <c r="D30" s="3">
        <f t="shared" si="9"/>
        <v>8359.911631220526</v>
      </c>
      <c r="E30" s="3">
        <f t="shared" si="10"/>
        <v>-150000</v>
      </c>
    </row>
    <row r="31" spans="1:5" x14ac:dyDescent="0.25">
      <c r="A31" s="2">
        <f t="shared" si="4"/>
        <v>26</v>
      </c>
      <c r="B31" s="3">
        <f t="shared" si="8"/>
        <v>-1757.2375379780069</v>
      </c>
      <c r="C31" s="3">
        <f t="shared" si="1"/>
        <v>10000</v>
      </c>
      <c r="D31" s="3">
        <f t="shared" si="9"/>
        <v>8242.762462021994</v>
      </c>
      <c r="E31" s="3">
        <f t="shared" si="10"/>
        <v>-160000</v>
      </c>
    </row>
    <row r="32" spans="1:5" x14ac:dyDescent="0.25">
      <c r="A32" s="2">
        <f t="shared" si="4"/>
        <v>27</v>
      </c>
      <c r="B32" s="3">
        <f t="shared" si="8"/>
        <v>-1874.3867071765408</v>
      </c>
      <c r="C32" s="3">
        <f t="shared" si="1"/>
        <v>10000</v>
      </c>
      <c r="D32" s="3">
        <f t="shared" si="9"/>
        <v>8125.6132928234592</v>
      </c>
      <c r="E32" s="3">
        <f t="shared" si="10"/>
        <v>-170000</v>
      </c>
    </row>
    <row r="33" spans="1:5" x14ac:dyDescent="0.25">
      <c r="A33" s="2">
        <f t="shared" si="4"/>
        <v>28</v>
      </c>
      <c r="B33" s="3">
        <f t="shared" si="8"/>
        <v>-1991.5358763750746</v>
      </c>
      <c r="C33" s="3">
        <f t="shared" si="1"/>
        <v>10000</v>
      </c>
      <c r="D33" s="3">
        <f t="shared" si="9"/>
        <v>8008.4641236249254</v>
      </c>
      <c r="E33" s="3">
        <f t="shared" si="10"/>
        <v>-180000</v>
      </c>
    </row>
    <row r="34" spans="1:5" x14ac:dyDescent="0.25">
      <c r="A34" s="2">
        <f t="shared" si="4"/>
        <v>29</v>
      </c>
      <c r="B34" s="3">
        <f t="shared" si="8"/>
        <v>-2108.6850455736085</v>
      </c>
      <c r="C34" s="3">
        <f t="shared" si="1"/>
        <v>10000</v>
      </c>
      <c r="D34" s="3">
        <f t="shared" si="9"/>
        <v>7891.3149544263915</v>
      </c>
      <c r="E34" s="3">
        <f t="shared" si="10"/>
        <v>-190000</v>
      </c>
    </row>
    <row r="35" spans="1:5" x14ac:dyDescent="0.25">
      <c r="A35" s="2">
        <f t="shared" si="4"/>
        <v>30</v>
      </c>
      <c r="B35" s="3">
        <f t="shared" si="8"/>
        <v>-2225.8342147721423</v>
      </c>
      <c r="C35" s="3">
        <f t="shared" si="1"/>
        <v>10000</v>
      </c>
      <c r="D35" s="3">
        <f t="shared" si="9"/>
        <v>7774.1657852278577</v>
      </c>
      <c r="E35" s="3">
        <f t="shared" si="10"/>
        <v>-200000</v>
      </c>
    </row>
    <row r="36" spans="1:5" x14ac:dyDescent="0.25">
      <c r="A36" s="2">
        <f t="shared" si="4"/>
        <v>31</v>
      </c>
      <c r="B36" s="3">
        <f t="shared" si="8"/>
        <v>-2342.9833839706762</v>
      </c>
      <c r="C36" s="3">
        <f t="shared" si="1"/>
        <v>10000</v>
      </c>
      <c r="D36" s="3">
        <f t="shared" si="9"/>
        <v>7657.0166160293238</v>
      </c>
      <c r="E36" s="3">
        <f t="shared" si="10"/>
        <v>-210000</v>
      </c>
    </row>
    <row r="37" spans="1:5" x14ac:dyDescent="0.25">
      <c r="A37" s="2">
        <f t="shared" si="4"/>
        <v>32</v>
      </c>
      <c r="B37" s="3">
        <f t="shared" si="8"/>
        <v>-2460.1325531692096</v>
      </c>
      <c r="C37" s="3">
        <f t="shared" si="1"/>
        <v>10000</v>
      </c>
      <c r="D37" s="3">
        <f t="shared" si="9"/>
        <v>7539.8674468307909</v>
      </c>
      <c r="E37" s="3">
        <f t="shared" si="10"/>
        <v>-220000</v>
      </c>
    </row>
    <row r="38" spans="1:5" x14ac:dyDescent="0.25">
      <c r="A38" s="2">
        <f t="shared" si="4"/>
        <v>33</v>
      </c>
      <c r="B38" s="3">
        <f t="shared" si="8"/>
        <v>-2577.2817223677434</v>
      </c>
      <c r="C38" s="3">
        <f t="shared" si="1"/>
        <v>10000</v>
      </c>
      <c r="D38" s="3">
        <f t="shared" si="9"/>
        <v>7422.718277632257</v>
      </c>
      <c r="E38" s="3">
        <f t="shared" si="10"/>
        <v>-230000</v>
      </c>
    </row>
    <row r="39" spans="1:5" x14ac:dyDescent="0.25">
      <c r="A39" s="2">
        <f t="shared" si="4"/>
        <v>34</v>
      </c>
      <c r="B39" s="3">
        <f t="shared" si="8"/>
        <v>-2694.4308915662773</v>
      </c>
      <c r="C39" s="3">
        <f t="shared" si="1"/>
        <v>10000</v>
      </c>
      <c r="D39" s="3">
        <f t="shared" si="9"/>
        <v>7305.5691084337232</v>
      </c>
      <c r="E39" s="3">
        <f t="shared" si="10"/>
        <v>-240000</v>
      </c>
    </row>
    <row r="40" spans="1:5" x14ac:dyDescent="0.25">
      <c r="A40" s="2">
        <f t="shared" si="4"/>
        <v>35</v>
      </c>
      <c r="B40" s="3">
        <f t="shared" si="8"/>
        <v>-2811.5800607648112</v>
      </c>
      <c r="C40" s="3">
        <f t="shared" si="1"/>
        <v>10000</v>
      </c>
      <c r="D40" s="3">
        <f t="shared" si="9"/>
        <v>7188.4199392351893</v>
      </c>
      <c r="E40" s="3">
        <f t="shared" si="10"/>
        <v>-250000</v>
      </c>
    </row>
    <row r="41" spans="1:5" x14ac:dyDescent="0.25">
      <c r="A41" s="2">
        <f t="shared" si="4"/>
        <v>36</v>
      </c>
      <c r="B41" s="3">
        <f t="shared" si="8"/>
        <v>-2928.729229963345</v>
      </c>
      <c r="C41" s="3">
        <f t="shared" si="1"/>
        <v>10000</v>
      </c>
      <c r="D41" s="3">
        <f t="shared" si="9"/>
        <v>7071.2707700366554</v>
      </c>
      <c r="E41" s="3">
        <f t="shared" si="10"/>
        <v>-260000</v>
      </c>
    </row>
    <row r="42" spans="1:5" x14ac:dyDescent="0.25">
      <c r="A42" s="2">
        <f t="shared" si="4"/>
        <v>37</v>
      </c>
      <c r="B42" s="3">
        <f t="shared" si="8"/>
        <v>-3045.8783991618789</v>
      </c>
      <c r="C42" s="3">
        <f t="shared" si="1"/>
        <v>10000</v>
      </c>
      <c r="D42" s="3">
        <f t="shared" si="9"/>
        <v>6954.1216008381216</v>
      </c>
      <c r="E42" s="3">
        <f t="shared" si="10"/>
        <v>-270000</v>
      </c>
    </row>
    <row r="43" spans="1:5" x14ac:dyDescent="0.25">
      <c r="A43" s="2">
        <f t="shared" si="4"/>
        <v>38</v>
      </c>
      <c r="B43" s="3">
        <f t="shared" si="8"/>
        <v>-3163.0275683604127</v>
      </c>
      <c r="C43" s="3">
        <f t="shared" si="1"/>
        <v>10000</v>
      </c>
      <c r="D43" s="3">
        <f t="shared" si="9"/>
        <v>6836.9724316395877</v>
      </c>
      <c r="E43" s="3">
        <f t="shared" si="10"/>
        <v>-280000</v>
      </c>
    </row>
    <row r="44" spans="1:5" x14ac:dyDescent="0.25">
      <c r="A44" s="2">
        <f t="shared" si="4"/>
        <v>39</v>
      </c>
      <c r="B44" s="3">
        <f t="shared" si="8"/>
        <v>-3280.1767375589461</v>
      </c>
      <c r="C44" s="3">
        <f t="shared" si="1"/>
        <v>10000</v>
      </c>
      <c r="D44" s="3">
        <f t="shared" si="9"/>
        <v>6719.8232624410539</v>
      </c>
      <c r="E44" s="3">
        <f t="shared" si="10"/>
        <v>-290000</v>
      </c>
    </row>
    <row r="45" spans="1:5" x14ac:dyDescent="0.25">
      <c r="A45" s="2">
        <f t="shared" si="4"/>
        <v>40</v>
      </c>
      <c r="B45" s="3">
        <f t="shared" si="8"/>
        <v>-3397.32590675748</v>
      </c>
      <c r="C45" s="3">
        <f t="shared" si="1"/>
        <v>10000</v>
      </c>
      <c r="D45" s="3">
        <f t="shared" si="9"/>
        <v>6602.67409324252</v>
      </c>
      <c r="E45" s="3">
        <f t="shared" si="10"/>
        <v>-300000</v>
      </c>
    </row>
    <row r="46" spans="1:5" x14ac:dyDescent="0.25">
      <c r="A46" s="2">
        <f t="shared" si="4"/>
        <v>41</v>
      </c>
      <c r="B46" s="3">
        <f t="shared" si="8"/>
        <v>-3514.4750759560138</v>
      </c>
      <c r="C46" s="3">
        <f t="shared" si="1"/>
        <v>10000</v>
      </c>
      <c r="D46" s="3">
        <f t="shared" si="9"/>
        <v>6485.5249240439862</v>
      </c>
      <c r="E46" s="3">
        <f t="shared" si="10"/>
        <v>-310000</v>
      </c>
    </row>
    <row r="47" spans="1:5" x14ac:dyDescent="0.25">
      <c r="A47" s="2">
        <f t="shared" si="4"/>
        <v>42</v>
      </c>
      <c r="B47" s="3">
        <f t="shared" si="8"/>
        <v>-3631.6242451545477</v>
      </c>
      <c r="C47" s="3">
        <f t="shared" si="1"/>
        <v>10000</v>
      </c>
      <c r="D47" s="3">
        <f t="shared" si="9"/>
        <v>6368.3757548454523</v>
      </c>
      <c r="E47" s="3">
        <f t="shared" si="10"/>
        <v>-320000</v>
      </c>
    </row>
    <row r="48" spans="1:5" x14ac:dyDescent="0.25">
      <c r="A48" s="2">
        <f t="shared" si="4"/>
        <v>43</v>
      </c>
      <c r="B48" s="3">
        <f t="shared" si="8"/>
        <v>-3748.7734143530815</v>
      </c>
      <c r="C48" s="3">
        <f t="shared" si="1"/>
        <v>10000</v>
      </c>
      <c r="D48" s="3">
        <f t="shared" si="9"/>
        <v>6251.2265856469185</v>
      </c>
      <c r="E48" s="3">
        <f t="shared" si="10"/>
        <v>-330000</v>
      </c>
    </row>
    <row r="49" spans="1:5" x14ac:dyDescent="0.25">
      <c r="A49" s="2">
        <f t="shared" si="4"/>
        <v>44</v>
      </c>
      <c r="B49" s="3">
        <f t="shared" si="8"/>
        <v>-3865.9225835516154</v>
      </c>
      <c r="C49" s="3">
        <f t="shared" si="1"/>
        <v>10000</v>
      </c>
      <c r="D49" s="3">
        <f t="shared" si="9"/>
        <v>6134.0774164483846</v>
      </c>
      <c r="E49" s="3">
        <f t="shared" si="10"/>
        <v>-340000</v>
      </c>
    </row>
    <row r="50" spans="1:5" x14ac:dyDescent="0.25">
      <c r="A50" s="2">
        <f t="shared" si="4"/>
        <v>45</v>
      </c>
      <c r="B50" s="3">
        <f t="shared" si="8"/>
        <v>-3983.0717527501492</v>
      </c>
      <c r="C50" s="3">
        <f t="shared" si="1"/>
        <v>10000</v>
      </c>
      <c r="D50" s="3">
        <f t="shared" si="9"/>
        <v>6016.9282472498508</v>
      </c>
      <c r="E50" s="3">
        <f t="shared" si="10"/>
        <v>-350000</v>
      </c>
    </row>
    <row r="51" spans="1:5" x14ac:dyDescent="0.25">
      <c r="A51" s="2">
        <f t="shared" si="4"/>
        <v>46</v>
      </c>
      <c r="B51" s="3">
        <f t="shared" si="8"/>
        <v>-4100.2209219486831</v>
      </c>
      <c r="C51" s="3">
        <f t="shared" si="1"/>
        <v>10000</v>
      </c>
      <c r="D51" s="3">
        <f t="shared" si="9"/>
        <v>5899.7790780513169</v>
      </c>
      <c r="E51" s="3">
        <f t="shared" si="10"/>
        <v>-360000</v>
      </c>
    </row>
    <row r="52" spans="1:5" x14ac:dyDescent="0.25">
      <c r="A52" s="2">
        <f t="shared" si="4"/>
        <v>47</v>
      </c>
      <c r="B52" s="3">
        <f t="shared" si="8"/>
        <v>-4217.370091147217</v>
      </c>
      <c r="C52" s="3">
        <f t="shared" si="1"/>
        <v>10000</v>
      </c>
      <c r="D52" s="3">
        <f t="shared" si="9"/>
        <v>5782.629908852783</v>
      </c>
      <c r="E52" s="3">
        <f t="shared" si="10"/>
        <v>-370000</v>
      </c>
    </row>
    <row r="53" spans="1:5" x14ac:dyDescent="0.25">
      <c r="A53" s="2">
        <f t="shared" si="4"/>
        <v>48</v>
      </c>
      <c r="B53" s="3">
        <f t="shared" si="8"/>
        <v>-4334.5192603457508</v>
      </c>
      <c r="C53" s="3">
        <f t="shared" si="1"/>
        <v>10000</v>
      </c>
      <c r="D53" s="3">
        <f t="shared" si="9"/>
        <v>5665.4807396542492</v>
      </c>
      <c r="E53" s="3">
        <f t="shared" si="10"/>
        <v>-380000</v>
      </c>
    </row>
    <row r="54" spans="1:5" x14ac:dyDescent="0.25">
      <c r="A54" s="2">
        <f t="shared" si="4"/>
        <v>49</v>
      </c>
      <c r="B54" s="3">
        <f t="shared" si="8"/>
        <v>-4451.6684295442847</v>
      </c>
      <c r="C54" s="3">
        <f t="shared" si="1"/>
        <v>10000</v>
      </c>
      <c r="D54" s="3">
        <f t="shared" si="9"/>
        <v>5548.3315704557153</v>
      </c>
      <c r="E54" s="3">
        <f t="shared" si="10"/>
        <v>-390000</v>
      </c>
    </row>
    <row r="55" spans="1:5" x14ac:dyDescent="0.25">
      <c r="A55" s="2">
        <f t="shared" si="4"/>
        <v>50</v>
      </c>
      <c r="B55" s="3">
        <f t="shared" si="8"/>
        <v>-4568.8175987428185</v>
      </c>
      <c r="C55" s="3">
        <f t="shared" si="1"/>
        <v>10000</v>
      </c>
      <c r="D55" s="3">
        <f t="shared" si="9"/>
        <v>5431.1824012571815</v>
      </c>
      <c r="E55" s="3">
        <f t="shared" si="10"/>
        <v>-400000</v>
      </c>
    </row>
    <row r="56" spans="1:5" x14ac:dyDescent="0.25">
      <c r="A56" s="2">
        <f t="shared" si="4"/>
        <v>51</v>
      </c>
      <c r="B56" s="3">
        <f t="shared" si="8"/>
        <v>-4685.9667679413524</v>
      </c>
      <c r="C56" s="3">
        <f t="shared" si="1"/>
        <v>10000</v>
      </c>
      <c r="D56" s="3">
        <f t="shared" si="9"/>
        <v>5314.0332320586476</v>
      </c>
      <c r="E56" s="3">
        <f t="shared" si="10"/>
        <v>-410000</v>
      </c>
    </row>
    <row r="57" spans="1:5" x14ac:dyDescent="0.25">
      <c r="A57" s="2">
        <f t="shared" si="4"/>
        <v>52</v>
      </c>
      <c r="B57" s="3">
        <f t="shared" si="8"/>
        <v>-4803.1159371398853</v>
      </c>
      <c r="C57" s="3">
        <f t="shared" si="1"/>
        <v>10000</v>
      </c>
      <c r="D57" s="3">
        <f t="shared" si="9"/>
        <v>5196.8840628601147</v>
      </c>
      <c r="E57" s="3">
        <f t="shared" si="10"/>
        <v>-420000</v>
      </c>
    </row>
    <row r="58" spans="1:5" x14ac:dyDescent="0.25">
      <c r="A58" s="2">
        <f t="shared" si="4"/>
        <v>53</v>
      </c>
      <c r="B58" s="3">
        <f t="shared" si="8"/>
        <v>-4920.2651063384192</v>
      </c>
      <c r="C58" s="3">
        <f t="shared" si="1"/>
        <v>10000</v>
      </c>
      <c r="D58" s="3">
        <f t="shared" si="9"/>
        <v>5079.7348936615808</v>
      </c>
      <c r="E58" s="3">
        <f t="shared" si="10"/>
        <v>-430000</v>
      </c>
    </row>
    <row r="59" spans="1:5" x14ac:dyDescent="0.25">
      <c r="A59" s="2">
        <f t="shared" si="4"/>
        <v>54</v>
      </c>
      <c r="B59" s="3">
        <f t="shared" si="8"/>
        <v>-5037.414275536953</v>
      </c>
      <c r="C59" s="3">
        <f t="shared" si="1"/>
        <v>10000</v>
      </c>
      <c r="D59" s="3">
        <f t="shared" si="9"/>
        <v>4962.585724463047</v>
      </c>
      <c r="E59" s="3">
        <f t="shared" si="10"/>
        <v>-440000</v>
      </c>
    </row>
    <row r="60" spans="1:5" x14ac:dyDescent="0.25">
      <c r="A60" s="2">
        <f t="shared" si="4"/>
        <v>55</v>
      </c>
      <c r="B60" s="3">
        <f t="shared" si="8"/>
        <v>-5154.5634447354869</v>
      </c>
      <c r="C60" s="3">
        <f t="shared" si="1"/>
        <v>10000</v>
      </c>
      <c r="D60" s="3">
        <f t="shared" si="9"/>
        <v>4845.4365552645131</v>
      </c>
      <c r="E60" s="3">
        <f t="shared" si="10"/>
        <v>-450000</v>
      </c>
    </row>
    <row r="61" spans="1:5" x14ac:dyDescent="0.25">
      <c r="A61" s="2">
        <f t="shared" si="4"/>
        <v>56</v>
      </c>
      <c r="B61" s="3">
        <f t="shared" si="8"/>
        <v>-5271.7126139340207</v>
      </c>
      <c r="C61" s="3">
        <f t="shared" si="1"/>
        <v>10000</v>
      </c>
      <c r="D61" s="3">
        <f t="shared" si="9"/>
        <v>4728.2873860659793</v>
      </c>
      <c r="E61" s="3">
        <f t="shared" si="10"/>
        <v>-460000</v>
      </c>
    </row>
    <row r="62" spans="1:5" x14ac:dyDescent="0.25">
      <c r="A62" s="2">
        <f t="shared" si="4"/>
        <v>57</v>
      </c>
      <c r="B62" s="3">
        <f t="shared" si="8"/>
        <v>-5388.8617831325546</v>
      </c>
      <c r="C62" s="3">
        <f t="shared" si="1"/>
        <v>10000</v>
      </c>
      <c r="D62" s="3">
        <f t="shared" si="9"/>
        <v>4611.1382168674454</v>
      </c>
      <c r="E62" s="3">
        <f t="shared" si="10"/>
        <v>-470000</v>
      </c>
    </row>
    <row r="63" spans="1:5" x14ac:dyDescent="0.25">
      <c r="A63" s="2">
        <f t="shared" si="4"/>
        <v>58</v>
      </c>
      <c r="B63" s="3">
        <f t="shared" si="8"/>
        <v>-5506.0109523310884</v>
      </c>
      <c r="C63" s="3">
        <f t="shared" si="1"/>
        <v>10000</v>
      </c>
      <c r="D63" s="3">
        <f t="shared" si="9"/>
        <v>4493.9890476689116</v>
      </c>
      <c r="E63" s="3">
        <f t="shared" si="10"/>
        <v>-480000</v>
      </c>
    </row>
    <row r="64" spans="1:5" x14ac:dyDescent="0.25">
      <c r="A64" s="2">
        <f t="shared" si="4"/>
        <v>59</v>
      </c>
      <c r="B64" s="3">
        <f t="shared" si="8"/>
        <v>-5623.1601215296223</v>
      </c>
      <c r="C64" s="3">
        <f t="shared" si="1"/>
        <v>10000</v>
      </c>
      <c r="D64" s="3">
        <f t="shared" si="9"/>
        <v>4376.8398784703777</v>
      </c>
      <c r="E64" s="3">
        <f t="shared" si="10"/>
        <v>-490000</v>
      </c>
    </row>
    <row r="65" spans="1:5" x14ac:dyDescent="0.25">
      <c r="A65" s="2">
        <f t="shared" si="4"/>
        <v>60</v>
      </c>
      <c r="B65" s="3">
        <f t="shared" si="8"/>
        <v>-5740.3092907281562</v>
      </c>
      <c r="C65" s="3">
        <f t="shared" si="1"/>
        <v>10000</v>
      </c>
      <c r="D65" s="3">
        <f t="shared" si="9"/>
        <v>4259.6907092718438</v>
      </c>
      <c r="E65" s="3">
        <f t="shared" si="10"/>
        <v>-500000</v>
      </c>
    </row>
  </sheetData>
  <mergeCells count="4">
    <mergeCell ref="A1:B1"/>
    <mergeCell ref="A2:B2"/>
    <mergeCell ref="A3:B3"/>
    <mergeCell ref="D2:E3"/>
  </mergeCells>
  <pageMargins left="0.511811024" right="0.511811024" top="0.78740157499999996" bottom="0.78740157499999996" header="0.31496062000000002" footer="0.31496062000000002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workbookViewId="0">
      <selection activeCell="H8" sqref="H8:H12"/>
    </sheetView>
  </sheetViews>
  <sheetFormatPr defaultRowHeight="15.75" x14ac:dyDescent="0.25"/>
  <cols>
    <col min="1" max="1" width="11.42578125" style="1" bestFit="1" customWidth="1"/>
    <col min="2" max="5" width="27.85546875" style="1" customWidth="1"/>
    <col min="6" max="6" width="23.5703125" style="1" customWidth="1"/>
    <col min="7" max="7" width="9.140625" style="1"/>
    <col min="8" max="8" width="34.42578125" style="1" bestFit="1" customWidth="1"/>
    <col min="9" max="16384" width="9.140625" style="1"/>
  </cols>
  <sheetData>
    <row r="1" spans="1:8" x14ac:dyDescent="0.25">
      <c r="A1" s="16" t="s">
        <v>10</v>
      </c>
      <c r="B1" s="16"/>
      <c r="C1" s="16"/>
      <c r="D1" s="16"/>
      <c r="E1" s="16"/>
      <c r="F1" s="18" t="s">
        <v>11</v>
      </c>
    </row>
    <row r="2" spans="1:8" x14ac:dyDescent="0.25">
      <c r="A2" s="16"/>
      <c r="B2" s="16"/>
      <c r="C2" s="16"/>
      <c r="D2" s="16"/>
      <c r="E2" s="16"/>
      <c r="F2" s="18"/>
    </row>
    <row r="3" spans="1:8" x14ac:dyDescent="0.25">
      <c r="A3" s="17"/>
      <c r="B3" s="17"/>
      <c r="C3" s="17"/>
      <c r="D3" s="17"/>
      <c r="E3" s="17"/>
      <c r="F3" s="18"/>
    </row>
    <row r="4" spans="1:8" x14ac:dyDescent="0.25">
      <c r="A4" s="13" t="s">
        <v>4</v>
      </c>
      <c r="B4" s="13"/>
      <c r="C4" s="5">
        <v>100000</v>
      </c>
      <c r="D4" s="10" t="s">
        <v>8</v>
      </c>
      <c r="E4" s="9">
        <f>C4/C5</f>
        <v>10000</v>
      </c>
    </row>
    <row r="5" spans="1:8" x14ac:dyDescent="0.25">
      <c r="A5" s="13" t="s">
        <v>5</v>
      </c>
      <c r="B5" s="13"/>
      <c r="C5" s="6">
        <v>10</v>
      </c>
      <c r="D5" s="15" t="s">
        <v>9</v>
      </c>
      <c r="E5" s="15"/>
      <c r="F5" s="12">
        <v>0.15</v>
      </c>
    </row>
    <row r="6" spans="1:8" ht="58.5" customHeight="1" x14ac:dyDescent="0.25">
      <c r="A6" s="14" t="s">
        <v>6</v>
      </c>
      <c r="B6" s="14"/>
      <c r="C6" s="7">
        <v>1.17149169E-2</v>
      </c>
      <c r="D6" s="15"/>
      <c r="E6" s="15"/>
      <c r="F6" s="11">
        <f>(1+F5)^(1/12) -1</f>
        <v>1.171491691985338E-2</v>
      </c>
    </row>
    <row r="7" spans="1:8" x14ac:dyDescent="0.25">
      <c r="A7" s="8" t="s">
        <v>0</v>
      </c>
      <c r="B7" s="8" t="s">
        <v>1</v>
      </c>
      <c r="C7" s="8" t="s">
        <v>2</v>
      </c>
      <c r="D7" s="8" t="s">
        <v>3</v>
      </c>
      <c r="E7" s="8" t="s">
        <v>7</v>
      </c>
    </row>
    <row r="8" spans="1:8" x14ac:dyDescent="0.25">
      <c r="A8" s="2">
        <v>0</v>
      </c>
      <c r="B8" s="3">
        <v>0</v>
      </c>
      <c r="C8" s="3">
        <v>0</v>
      </c>
      <c r="D8" s="3">
        <v>0</v>
      </c>
      <c r="E8" s="4">
        <f>C4</f>
        <v>100000</v>
      </c>
      <c r="H8" s="19" t="s">
        <v>12</v>
      </c>
    </row>
    <row r="9" spans="1:8" x14ac:dyDescent="0.25">
      <c r="A9" s="2">
        <v>1</v>
      </c>
      <c r="B9" s="3">
        <f>E8*C6</f>
        <v>1171.4916900000001</v>
      </c>
      <c r="C9" s="3">
        <v>0</v>
      </c>
      <c r="D9" s="3">
        <f>B9</f>
        <v>1171.4916900000001</v>
      </c>
      <c r="E9" s="3">
        <f>E8-C9</f>
        <v>100000</v>
      </c>
      <c r="H9" s="20">
        <f>SUM(B8:B68)</f>
        <v>11129.171055000001</v>
      </c>
    </row>
    <row r="10" spans="1:8" x14ac:dyDescent="0.25">
      <c r="A10" s="2">
        <v>2</v>
      </c>
      <c r="B10" s="3">
        <f>E9*C6</f>
        <v>1171.4916900000001</v>
      </c>
      <c r="C10" s="3">
        <v>0</v>
      </c>
      <c r="D10" s="3">
        <f>B10</f>
        <v>1171.4916900000001</v>
      </c>
      <c r="E10" s="3">
        <f t="shared" ref="E10:E18" si="0">E9-C10</f>
        <v>100000</v>
      </c>
    </row>
    <row r="11" spans="1:8" x14ac:dyDescent="0.25">
      <c r="A11" s="2">
        <f>A10+1</f>
        <v>3</v>
      </c>
      <c r="B11" s="3">
        <f>E10*C6</f>
        <v>1171.4916900000001</v>
      </c>
      <c r="C11" s="3">
        <v>0</v>
      </c>
      <c r="D11" s="3">
        <f>B11</f>
        <v>1171.4916900000001</v>
      </c>
      <c r="E11" s="3">
        <f t="shared" si="0"/>
        <v>100000</v>
      </c>
      <c r="H11" s="19" t="s">
        <v>13</v>
      </c>
    </row>
    <row r="12" spans="1:8" x14ac:dyDescent="0.25">
      <c r="A12" s="2">
        <f t="shared" ref="A12:A68" si="1">A11+1</f>
        <v>4</v>
      </c>
      <c r="B12" s="3">
        <f>E11*C6</f>
        <v>1171.4916900000001</v>
      </c>
      <c r="C12" s="3">
        <v>0</v>
      </c>
      <c r="D12" s="3">
        <f>B12</f>
        <v>1171.4916900000001</v>
      </c>
      <c r="E12" s="3">
        <f t="shared" si="0"/>
        <v>100000</v>
      </c>
      <c r="H12" s="20">
        <f>SUM(D8:D68)</f>
        <v>111129.171055</v>
      </c>
    </row>
    <row r="13" spans="1:8" x14ac:dyDescent="0.25">
      <c r="A13" s="2">
        <f t="shared" si="1"/>
        <v>5</v>
      </c>
      <c r="B13" s="3">
        <f>E12*$C$6</f>
        <v>1171.4916900000001</v>
      </c>
      <c r="C13" s="3">
        <f t="shared" ref="C13:C22" si="2">$E$4</f>
        <v>10000</v>
      </c>
      <c r="D13" s="3">
        <f>SUM(B13:C13)</f>
        <v>11171.491690000001</v>
      </c>
      <c r="E13" s="3">
        <f t="shared" si="0"/>
        <v>90000</v>
      </c>
    </row>
    <row r="14" spans="1:8" x14ac:dyDescent="0.25">
      <c r="A14" s="2">
        <f t="shared" si="1"/>
        <v>6</v>
      </c>
      <c r="B14" s="3">
        <f t="shared" ref="B14:B22" si="3">E13*$C$6</f>
        <v>1054.342521</v>
      </c>
      <c r="C14" s="3">
        <f t="shared" si="2"/>
        <v>10000</v>
      </c>
      <c r="D14" s="3">
        <f t="shared" ref="D14:D22" si="4">SUM(B14:C14)</f>
        <v>11054.342521</v>
      </c>
      <c r="E14" s="3">
        <f t="shared" si="0"/>
        <v>80000</v>
      </c>
    </row>
    <row r="15" spans="1:8" x14ac:dyDescent="0.25">
      <c r="A15" s="2">
        <f t="shared" si="1"/>
        <v>7</v>
      </c>
      <c r="B15" s="3">
        <f t="shared" si="3"/>
        <v>937.193352</v>
      </c>
      <c r="C15" s="3">
        <f t="shared" si="2"/>
        <v>10000</v>
      </c>
      <c r="D15" s="3">
        <f t="shared" si="4"/>
        <v>10937.193352</v>
      </c>
      <c r="E15" s="3">
        <f t="shared" si="0"/>
        <v>70000</v>
      </c>
    </row>
    <row r="16" spans="1:8" x14ac:dyDescent="0.25">
      <c r="A16" s="2">
        <f t="shared" si="1"/>
        <v>8</v>
      </c>
      <c r="B16" s="3">
        <f t="shared" si="3"/>
        <v>820.04418299999998</v>
      </c>
      <c r="C16" s="3">
        <f t="shared" si="2"/>
        <v>10000</v>
      </c>
      <c r="D16" s="3">
        <f t="shared" si="4"/>
        <v>10820.044183</v>
      </c>
      <c r="E16" s="3">
        <f t="shared" si="0"/>
        <v>60000</v>
      </c>
    </row>
    <row r="17" spans="1:5" x14ac:dyDescent="0.25">
      <c r="A17" s="2">
        <f t="shared" si="1"/>
        <v>9</v>
      </c>
      <c r="B17" s="3">
        <f t="shared" si="3"/>
        <v>702.89501400000006</v>
      </c>
      <c r="C17" s="3">
        <f t="shared" si="2"/>
        <v>10000</v>
      </c>
      <c r="D17" s="3">
        <f t="shared" si="4"/>
        <v>10702.895014</v>
      </c>
      <c r="E17" s="3">
        <f t="shared" si="0"/>
        <v>50000</v>
      </c>
    </row>
    <row r="18" spans="1:5" x14ac:dyDescent="0.25">
      <c r="A18" s="2">
        <f t="shared" si="1"/>
        <v>10</v>
      </c>
      <c r="B18" s="3">
        <f t="shared" si="3"/>
        <v>585.74584500000003</v>
      </c>
      <c r="C18" s="3">
        <f t="shared" si="2"/>
        <v>10000</v>
      </c>
      <c r="D18" s="3">
        <f t="shared" si="4"/>
        <v>10585.745844999999</v>
      </c>
      <c r="E18" s="3">
        <f t="shared" si="0"/>
        <v>40000</v>
      </c>
    </row>
    <row r="19" spans="1:5" x14ac:dyDescent="0.25">
      <c r="A19" s="2">
        <f t="shared" si="1"/>
        <v>11</v>
      </c>
      <c r="B19" s="3">
        <f t="shared" si="3"/>
        <v>468.596676</v>
      </c>
      <c r="C19" s="3">
        <f t="shared" si="2"/>
        <v>10000</v>
      </c>
      <c r="D19" s="3">
        <f t="shared" si="4"/>
        <v>10468.596675999999</v>
      </c>
      <c r="E19" s="3">
        <f t="shared" ref="E19:E68" si="5">E18-C19</f>
        <v>30000</v>
      </c>
    </row>
    <row r="20" spans="1:5" x14ac:dyDescent="0.25">
      <c r="A20" s="2">
        <f t="shared" si="1"/>
        <v>12</v>
      </c>
      <c r="B20" s="3">
        <f t="shared" si="3"/>
        <v>351.44750700000003</v>
      </c>
      <c r="C20" s="3">
        <f t="shared" si="2"/>
        <v>10000</v>
      </c>
      <c r="D20" s="3">
        <f t="shared" si="4"/>
        <v>10351.447507000001</v>
      </c>
      <c r="E20" s="3">
        <f t="shared" si="5"/>
        <v>20000</v>
      </c>
    </row>
    <row r="21" spans="1:5" x14ac:dyDescent="0.25">
      <c r="A21" s="2">
        <f t="shared" si="1"/>
        <v>13</v>
      </c>
      <c r="B21" s="3">
        <f t="shared" si="3"/>
        <v>234.298338</v>
      </c>
      <c r="C21" s="3">
        <f t="shared" si="2"/>
        <v>10000</v>
      </c>
      <c r="D21" s="3">
        <f t="shared" si="4"/>
        <v>10234.298338000001</v>
      </c>
      <c r="E21" s="3">
        <f t="shared" si="5"/>
        <v>10000</v>
      </c>
    </row>
    <row r="22" spans="1:5" x14ac:dyDescent="0.25">
      <c r="A22" s="2">
        <f t="shared" si="1"/>
        <v>14</v>
      </c>
      <c r="B22" s="3">
        <f t="shared" si="3"/>
        <v>117.149169</v>
      </c>
      <c r="C22" s="3">
        <f t="shared" si="2"/>
        <v>10000</v>
      </c>
      <c r="D22" s="3">
        <f t="shared" si="4"/>
        <v>10117.149169</v>
      </c>
      <c r="E22" s="3">
        <f t="shared" si="5"/>
        <v>0</v>
      </c>
    </row>
    <row r="23" spans="1:5" x14ac:dyDescent="0.25">
      <c r="A23" s="2">
        <f t="shared" si="1"/>
        <v>15</v>
      </c>
      <c r="B23" s="3"/>
      <c r="C23" s="3"/>
      <c r="D23" s="3"/>
      <c r="E23" s="3">
        <f t="shared" si="5"/>
        <v>0</v>
      </c>
    </row>
    <row r="24" spans="1:5" x14ac:dyDescent="0.25">
      <c r="A24" s="2">
        <f t="shared" si="1"/>
        <v>16</v>
      </c>
      <c r="B24" s="3"/>
      <c r="C24" s="3"/>
      <c r="D24" s="3"/>
      <c r="E24" s="3">
        <f t="shared" si="5"/>
        <v>0</v>
      </c>
    </row>
    <row r="25" spans="1:5" x14ac:dyDescent="0.25">
      <c r="A25" s="2">
        <f t="shared" si="1"/>
        <v>17</v>
      </c>
      <c r="B25" s="3"/>
      <c r="C25" s="3"/>
      <c r="D25" s="3"/>
      <c r="E25" s="3">
        <f t="shared" si="5"/>
        <v>0</v>
      </c>
    </row>
    <row r="26" spans="1:5" x14ac:dyDescent="0.25">
      <c r="A26" s="2">
        <f t="shared" si="1"/>
        <v>18</v>
      </c>
      <c r="B26" s="3"/>
      <c r="C26" s="3"/>
      <c r="D26" s="3"/>
      <c r="E26" s="3">
        <f t="shared" si="5"/>
        <v>0</v>
      </c>
    </row>
    <row r="27" spans="1:5" x14ac:dyDescent="0.25">
      <c r="A27" s="2">
        <f t="shared" si="1"/>
        <v>19</v>
      </c>
      <c r="B27" s="3"/>
      <c r="C27" s="3"/>
      <c r="D27" s="3"/>
      <c r="E27" s="3">
        <f t="shared" si="5"/>
        <v>0</v>
      </c>
    </row>
    <row r="28" spans="1:5" x14ac:dyDescent="0.25">
      <c r="A28" s="2">
        <f t="shared" si="1"/>
        <v>20</v>
      </c>
      <c r="B28" s="3"/>
      <c r="C28" s="3"/>
      <c r="D28" s="3"/>
      <c r="E28" s="3">
        <f t="shared" si="5"/>
        <v>0</v>
      </c>
    </row>
    <row r="29" spans="1:5" x14ac:dyDescent="0.25">
      <c r="A29" s="2">
        <f t="shared" si="1"/>
        <v>21</v>
      </c>
      <c r="B29" s="3"/>
      <c r="C29" s="3"/>
      <c r="D29" s="3"/>
      <c r="E29" s="3">
        <f t="shared" si="5"/>
        <v>0</v>
      </c>
    </row>
    <row r="30" spans="1:5" x14ac:dyDescent="0.25">
      <c r="A30" s="2">
        <f t="shared" si="1"/>
        <v>22</v>
      </c>
      <c r="B30" s="3"/>
      <c r="C30" s="3"/>
      <c r="D30" s="3"/>
      <c r="E30" s="3">
        <f t="shared" si="5"/>
        <v>0</v>
      </c>
    </row>
    <row r="31" spans="1:5" x14ac:dyDescent="0.25">
      <c r="A31" s="2">
        <f t="shared" si="1"/>
        <v>23</v>
      </c>
      <c r="B31" s="3"/>
      <c r="C31" s="3"/>
      <c r="D31" s="3"/>
      <c r="E31" s="3">
        <f t="shared" si="5"/>
        <v>0</v>
      </c>
    </row>
    <row r="32" spans="1:5" x14ac:dyDescent="0.25">
      <c r="A32" s="2">
        <f t="shared" si="1"/>
        <v>24</v>
      </c>
      <c r="B32" s="3"/>
      <c r="C32" s="3"/>
      <c r="D32" s="3"/>
      <c r="E32" s="3">
        <f t="shared" si="5"/>
        <v>0</v>
      </c>
    </row>
    <row r="33" spans="1:5" x14ac:dyDescent="0.25">
      <c r="A33" s="2">
        <f t="shared" si="1"/>
        <v>25</v>
      </c>
      <c r="B33" s="3"/>
      <c r="C33" s="3"/>
      <c r="D33" s="3"/>
      <c r="E33" s="3">
        <f t="shared" si="5"/>
        <v>0</v>
      </c>
    </row>
    <row r="34" spans="1:5" x14ac:dyDescent="0.25">
      <c r="A34" s="2">
        <f t="shared" si="1"/>
        <v>26</v>
      </c>
      <c r="B34" s="3"/>
      <c r="C34" s="3"/>
      <c r="D34" s="3"/>
      <c r="E34" s="3">
        <f t="shared" si="5"/>
        <v>0</v>
      </c>
    </row>
    <row r="35" spans="1:5" x14ac:dyDescent="0.25">
      <c r="A35" s="2">
        <f t="shared" si="1"/>
        <v>27</v>
      </c>
      <c r="B35" s="3"/>
      <c r="C35" s="3"/>
      <c r="D35" s="3"/>
      <c r="E35" s="3">
        <f t="shared" si="5"/>
        <v>0</v>
      </c>
    </row>
    <row r="36" spans="1:5" x14ac:dyDescent="0.25">
      <c r="A36" s="2">
        <f t="shared" si="1"/>
        <v>28</v>
      </c>
      <c r="B36" s="3"/>
      <c r="C36" s="3"/>
      <c r="D36" s="3"/>
      <c r="E36" s="3">
        <f t="shared" si="5"/>
        <v>0</v>
      </c>
    </row>
    <row r="37" spans="1:5" x14ac:dyDescent="0.25">
      <c r="A37" s="2">
        <f t="shared" si="1"/>
        <v>29</v>
      </c>
      <c r="B37" s="3"/>
      <c r="C37" s="3"/>
      <c r="D37" s="3"/>
      <c r="E37" s="3">
        <f t="shared" si="5"/>
        <v>0</v>
      </c>
    </row>
    <row r="38" spans="1:5" x14ac:dyDescent="0.25">
      <c r="A38" s="2">
        <f t="shared" si="1"/>
        <v>30</v>
      </c>
      <c r="B38" s="3"/>
      <c r="C38" s="3"/>
      <c r="D38" s="3"/>
      <c r="E38" s="3">
        <f t="shared" si="5"/>
        <v>0</v>
      </c>
    </row>
    <row r="39" spans="1:5" x14ac:dyDescent="0.25">
      <c r="A39" s="2">
        <f t="shared" si="1"/>
        <v>31</v>
      </c>
      <c r="B39" s="3"/>
      <c r="C39" s="3"/>
      <c r="D39" s="3"/>
      <c r="E39" s="3">
        <f t="shared" si="5"/>
        <v>0</v>
      </c>
    </row>
    <row r="40" spans="1:5" x14ac:dyDescent="0.25">
      <c r="A40" s="2">
        <f t="shared" si="1"/>
        <v>32</v>
      </c>
      <c r="B40" s="3"/>
      <c r="C40" s="3"/>
      <c r="D40" s="3"/>
      <c r="E40" s="3">
        <f t="shared" si="5"/>
        <v>0</v>
      </c>
    </row>
    <row r="41" spans="1:5" x14ac:dyDescent="0.25">
      <c r="A41" s="2">
        <f t="shared" si="1"/>
        <v>33</v>
      </c>
      <c r="B41" s="3"/>
      <c r="C41" s="3"/>
      <c r="D41" s="3"/>
      <c r="E41" s="3">
        <f t="shared" si="5"/>
        <v>0</v>
      </c>
    </row>
    <row r="42" spans="1:5" x14ac:dyDescent="0.25">
      <c r="A42" s="2">
        <f t="shared" si="1"/>
        <v>34</v>
      </c>
      <c r="B42" s="3"/>
      <c r="C42" s="3"/>
      <c r="D42" s="3"/>
      <c r="E42" s="3">
        <f t="shared" si="5"/>
        <v>0</v>
      </c>
    </row>
    <row r="43" spans="1:5" x14ac:dyDescent="0.25">
      <c r="A43" s="2">
        <f t="shared" si="1"/>
        <v>35</v>
      </c>
      <c r="B43" s="3"/>
      <c r="C43" s="3"/>
      <c r="D43" s="3"/>
      <c r="E43" s="3">
        <f t="shared" si="5"/>
        <v>0</v>
      </c>
    </row>
    <row r="44" spans="1:5" x14ac:dyDescent="0.25">
      <c r="A44" s="2">
        <f t="shared" si="1"/>
        <v>36</v>
      </c>
      <c r="B44" s="3"/>
      <c r="C44" s="3"/>
      <c r="D44" s="3"/>
      <c r="E44" s="3">
        <f t="shared" si="5"/>
        <v>0</v>
      </c>
    </row>
    <row r="45" spans="1:5" x14ac:dyDescent="0.25">
      <c r="A45" s="2">
        <f t="shared" si="1"/>
        <v>37</v>
      </c>
      <c r="B45" s="3"/>
      <c r="C45" s="3"/>
      <c r="D45" s="3"/>
      <c r="E45" s="3">
        <f t="shared" si="5"/>
        <v>0</v>
      </c>
    </row>
    <row r="46" spans="1:5" x14ac:dyDescent="0.25">
      <c r="A46" s="2">
        <f t="shared" si="1"/>
        <v>38</v>
      </c>
      <c r="B46" s="3"/>
      <c r="C46" s="3"/>
      <c r="D46" s="3"/>
      <c r="E46" s="3">
        <f t="shared" si="5"/>
        <v>0</v>
      </c>
    </row>
    <row r="47" spans="1:5" x14ac:dyDescent="0.25">
      <c r="A47" s="2">
        <f t="shared" si="1"/>
        <v>39</v>
      </c>
      <c r="B47" s="3"/>
      <c r="C47" s="3"/>
      <c r="D47" s="3"/>
      <c r="E47" s="3">
        <f t="shared" si="5"/>
        <v>0</v>
      </c>
    </row>
    <row r="48" spans="1:5" x14ac:dyDescent="0.25">
      <c r="A48" s="2">
        <f t="shared" si="1"/>
        <v>40</v>
      </c>
      <c r="B48" s="3"/>
      <c r="C48" s="3"/>
      <c r="D48" s="3"/>
      <c r="E48" s="3">
        <f t="shared" si="5"/>
        <v>0</v>
      </c>
    </row>
    <row r="49" spans="1:5" x14ac:dyDescent="0.25">
      <c r="A49" s="2">
        <f t="shared" si="1"/>
        <v>41</v>
      </c>
      <c r="B49" s="3"/>
      <c r="C49" s="3"/>
      <c r="D49" s="3"/>
      <c r="E49" s="3">
        <f t="shared" si="5"/>
        <v>0</v>
      </c>
    </row>
    <row r="50" spans="1:5" x14ac:dyDescent="0.25">
      <c r="A50" s="2">
        <f t="shared" si="1"/>
        <v>42</v>
      </c>
      <c r="B50" s="3"/>
      <c r="C50" s="3"/>
      <c r="D50" s="3"/>
      <c r="E50" s="3">
        <f t="shared" si="5"/>
        <v>0</v>
      </c>
    </row>
    <row r="51" spans="1:5" x14ac:dyDescent="0.25">
      <c r="A51" s="2">
        <f t="shared" si="1"/>
        <v>43</v>
      </c>
      <c r="B51" s="3"/>
      <c r="C51" s="3"/>
      <c r="D51" s="3"/>
      <c r="E51" s="3">
        <f t="shared" si="5"/>
        <v>0</v>
      </c>
    </row>
    <row r="52" spans="1:5" x14ac:dyDescent="0.25">
      <c r="A52" s="2">
        <f t="shared" si="1"/>
        <v>44</v>
      </c>
      <c r="B52" s="3"/>
      <c r="C52" s="3"/>
      <c r="D52" s="3"/>
      <c r="E52" s="3">
        <f t="shared" si="5"/>
        <v>0</v>
      </c>
    </row>
    <row r="53" spans="1:5" x14ac:dyDescent="0.25">
      <c r="A53" s="2">
        <f t="shared" si="1"/>
        <v>45</v>
      </c>
      <c r="B53" s="3"/>
      <c r="C53" s="3"/>
      <c r="D53" s="3"/>
      <c r="E53" s="3">
        <f t="shared" si="5"/>
        <v>0</v>
      </c>
    </row>
    <row r="54" spans="1:5" x14ac:dyDescent="0.25">
      <c r="A54" s="2">
        <f t="shared" si="1"/>
        <v>46</v>
      </c>
      <c r="B54" s="3"/>
      <c r="C54" s="3"/>
      <c r="D54" s="3"/>
      <c r="E54" s="3">
        <f t="shared" si="5"/>
        <v>0</v>
      </c>
    </row>
    <row r="55" spans="1:5" x14ac:dyDescent="0.25">
      <c r="A55" s="2">
        <f t="shared" si="1"/>
        <v>47</v>
      </c>
      <c r="B55" s="3"/>
      <c r="C55" s="3"/>
      <c r="D55" s="3"/>
      <c r="E55" s="3">
        <f t="shared" si="5"/>
        <v>0</v>
      </c>
    </row>
    <row r="56" spans="1:5" x14ac:dyDescent="0.25">
      <c r="A56" s="2">
        <f t="shared" si="1"/>
        <v>48</v>
      </c>
      <c r="B56" s="3"/>
      <c r="C56" s="3"/>
      <c r="D56" s="3"/>
      <c r="E56" s="3">
        <f t="shared" si="5"/>
        <v>0</v>
      </c>
    </row>
    <row r="57" spans="1:5" x14ac:dyDescent="0.25">
      <c r="A57" s="2">
        <f t="shared" si="1"/>
        <v>49</v>
      </c>
      <c r="B57" s="3"/>
      <c r="C57" s="3"/>
      <c r="D57" s="3"/>
      <c r="E57" s="3">
        <f t="shared" si="5"/>
        <v>0</v>
      </c>
    </row>
    <row r="58" spans="1:5" x14ac:dyDescent="0.25">
      <c r="A58" s="2">
        <f t="shared" si="1"/>
        <v>50</v>
      </c>
      <c r="B58" s="3"/>
      <c r="C58" s="3"/>
      <c r="D58" s="3"/>
      <c r="E58" s="3">
        <f t="shared" si="5"/>
        <v>0</v>
      </c>
    </row>
    <row r="59" spans="1:5" x14ac:dyDescent="0.25">
      <c r="A59" s="2">
        <f t="shared" si="1"/>
        <v>51</v>
      </c>
      <c r="B59" s="3"/>
      <c r="C59" s="3"/>
      <c r="D59" s="3"/>
      <c r="E59" s="3">
        <f t="shared" si="5"/>
        <v>0</v>
      </c>
    </row>
    <row r="60" spans="1:5" x14ac:dyDescent="0.25">
      <c r="A60" s="2">
        <f t="shared" si="1"/>
        <v>52</v>
      </c>
      <c r="B60" s="3"/>
      <c r="C60" s="3"/>
      <c r="D60" s="3"/>
      <c r="E60" s="3">
        <f t="shared" si="5"/>
        <v>0</v>
      </c>
    </row>
    <row r="61" spans="1:5" x14ac:dyDescent="0.25">
      <c r="A61" s="2">
        <f t="shared" si="1"/>
        <v>53</v>
      </c>
      <c r="B61" s="3"/>
      <c r="C61" s="3"/>
      <c r="D61" s="3"/>
      <c r="E61" s="3">
        <f t="shared" si="5"/>
        <v>0</v>
      </c>
    </row>
    <row r="62" spans="1:5" x14ac:dyDescent="0.25">
      <c r="A62" s="2">
        <f t="shared" si="1"/>
        <v>54</v>
      </c>
      <c r="B62" s="3"/>
      <c r="C62" s="3"/>
      <c r="D62" s="3"/>
      <c r="E62" s="3">
        <f t="shared" si="5"/>
        <v>0</v>
      </c>
    </row>
    <row r="63" spans="1:5" x14ac:dyDescent="0.25">
      <c r="A63" s="2">
        <f t="shared" si="1"/>
        <v>55</v>
      </c>
      <c r="B63" s="3"/>
      <c r="C63" s="3"/>
      <c r="D63" s="3"/>
      <c r="E63" s="3">
        <f t="shared" si="5"/>
        <v>0</v>
      </c>
    </row>
    <row r="64" spans="1:5" x14ac:dyDescent="0.25">
      <c r="A64" s="2">
        <f t="shared" si="1"/>
        <v>56</v>
      </c>
      <c r="B64" s="3"/>
      <c r="C64" s="3"/>
      <c r="D64" s="3"/>
      <c r="E64" s="3">
        <f t="shared" si="5"/>
        <v>0</v>
      </c>
    </row>
    <row r="65" spans="1:5" x14ac:dyDescent="0.25">
      <c r="A65" s="2">
        <f t="shared" si="1"/>
        <v>57</v>
      </c>
      <c r="B65" s="3"/>
      <c r="C65" s="3"/>
      <c r="D65" s="3"/>
      <c r="E65" s="3">
        <f t="shared" si="5"/>
        <v>0</v>
      </c>
    </row>
    <row r="66" spans="1:5" x14ac:dyDescent="0.25">
      <c r="A66" s="2">
        <f t="shared" si="1"/>
        <v>58</v>
      </c>
      <c r="B66" s="3"/>
      <c r="C66" s="3"/>
      <c r="D66" s="3"/>
      <c r="E66" s="3">
        <f t="shared" si="5"/>
        <v>0</v>
      </c>
    </row>
    <row r="67" spans="1:5" x14ac:dyDescent="0.25">
      <c r="A67" s="2">
        <f t="shared" si="1"/>
        <v>59</v>
      </c>
      <c r="B67" s="3"/>
      <c r="C67" s="3"/>
      <c r="D67" s="3"/>
      <c r="E67" s="3">
        <f t="shared" si="5"/>
        <v>0</v>
      </c>
    </row>
    <row r="68" spans="1:5" x14ac:dyDescent="0.25">
      <c r="A68" s="2">
        <f t="shared" si="1"/>
        <v>60</v>
      </c>
      <c r="B68" s="3"/>
      <c r="C68" s="3"/>
      <c r="D68" s="3"/>
      <c r="E68" s="3">
        <f t="shared" si="5"/>
        <v>0</v>
      </c>
    </row>
  </sheetData>
  <mergeCells count="6">
    <mergeCell ref="F1:F3"/>
    <mergeCell ref="A4:B4"/>
    <mergeCell ref="A5:B5"/>
    <mergeCell ref="D5:E6"/>
    <mergeCell ref="A6:B6"/>
    <mergeCell ref="A1:E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workbookViewId="0">
      <selection sqref="A1:XFD1048576"/>
    </sheetView>
  </sheetViews>
  <sheetFormatPr defaultRowHeight="15" x14ac:dyDescent="0.25"/>
  <cols>
    <col min="1" max="1" width="11.42578125" style="1" bestFit="1" customWidth="1"/>
    <col min="2" max="5" width="27.85546875" style="1" customWidth="1"/>
    <col min="6" max="6" width="23.5703125" style="1" customWidth="1"/>
    <col min="7" max="7" width="9.140625" style="1"/>
    <col min="8" max="8" width="34.42578125" style="1" bestFit="1" customWidth="1"/>
    <col min="9" max="16384" width="9.140625" style="1"/>
  </cols>
  <sheetData>
    <row r="1" spans="1:8" ht="15.75" x14ac:dyDescent="0.25">
      <c r="A1" s="16" t="s">
        <v>14</v>
      </c>
      <c r="B1" s="16"/>
      <c r="C1" s="16"/>
      <c r="D1" s="16"/>
      <c r="E1" s="16"/>
      <c r="F1" s="18" t="s">
        <v>11</v>
      </c>
    </row>
    <row r="2" spans="1:8" ht="15.75" x14ac:dyDescent="0.25">
      <c r="A2" s="16"/>
      <c r="B2" s="16"/>
      <c r="C2" s="16"/>
      <c r="D2" s="16"/>
      <c r="E2" s="16"/>
      <c r="F2" s="18"/>
    </row>
    <row r="3" spans="1:8" ht="15.75" x14ac:dyDescent="0.25">
      <c r="A3" s="17"/>
      <c r="B3" s="17"/>
      <c r="C3" s="17"/>
      <c r="D3" s="17"/>
      <c r="E3" s="17"/>
      <c r="F3" s="18"/>
    </row>
    <row r="4" spans="1:8" ht="15.75" x14ac:dyDescent="0.25">
      <c r="A4" s="13" t="s">
        <v>4</v>
      </c>
      <c r="B4" s="13"/>
      <c r="C4" s="5">
        <v>100000</v>
      </c>
      <c r="D4" s="10" t="s">
        <v>8</v>
      </c>
      <c r="E4" s="9">
        <f>C4/C5</f>
        <v>10000</v>
      </c>
    </row>
    <row r="5" spans="1:8" ht="15.75" x14ac:dyDescent="0.25">
      <c r="A5" s="13" t="s">
        <v>5</v>
      </c>
      <c r="B5" s="13"/>
      <c r="C5" s="6">
        <v>10</v>
      </c>
      <c r="D5" s="15" t="s">
        <v>9</v>
      </c>
      <c r="E5" s="15"/>
      <c r="F5" s="12">
        <v>0.15</v>
      </c>
    </row>
    <row r="6" spans="1:8" ht="58.5" customHeight="1" x14ac:dyDescent="0.25">
      <c r="A6" s="14" t="s">
        <v>6</v>
      </c>
      <c r="B6" s="14"/>
      <c r="C6" s="7">
        <v>1.17149169E-2</v>
      </c>
      <c r="D6" s="15"/>
      <c r="E6" s="15"/>
      <c r="F6" s="11">
        <f>(1+F5)^(1/12) -1</f>
        <v>1.171491691985338E-2</v>
      </c>
    </row>
    <row r="7" spans="1:8" ht="15.75" x14ac:dyDescent="0.25">
      <c r="A7" s="8" t="s">
        <v>0</v>
      </c>
      <c r="B7" s="8" t="s">
        <v>1</v>
      </c>
      <c r="C7" s="8" t="s">
        <v>2</v>
      </c>
      <c r="D7" s="8" t="s">
        <v>3</v>
      </c>
      <c r="E7" s="8" t="s">
        <v>7</v>
      </c>
    </row>
    <row r="8" spans="1:8" ht="15.75" x14ac:dyDescent="0.25">
      <c r="A8" s="2">
        <v>0</v>
      </c>
      <c r="B8" s="3">
        <v>0</v>
      </c>
      <c r="C8" s="3">
        <v>0</v>
      </c>
      <c r="D8" s="3">
        <v>0</v>
      </c>
      <c r="E8" s="4">
        <f>C4</f>
        <v>100000</v>
      </c>
      <c r="H8" s="19" t="s">
        <v>12</v>
      </c>
    </row>
    <row r="9" spans="1:8" ht="15.75" x14ac:dyDescent="0.25">
      <c r="A9" s="2">
        <v>1</v>
      </c>
      <c r="B9" s="3">
        <f>E8*C6</f>
        <v>1171.4916900000001</v>
      </c>
      <c r="C9" s="3">
        <v>0</v>
      </c>
      <c r="D9" s="3">
        <v>0</v>
      </c>
      <c r="E9" s="3">
        <f>E8+B9</f>
        <v>101171.49169</v>
      </c>
      <c r="H9" s="20">
        <f>SUM(B13:B22)</f>
        <v>11268.022605</v>
      </c>
    </row>
    <row r="10" spans="1:8" ht="15.75" x14ac:dyDescent="0.25">
      <c r="A10" s="2">
        <v>2</v>
      </c>
      <c r="B10" s="3">
        <f>E9*C6</f>
        <v>1185.2156177973905</v>
      </c>
      <c r="C10" s="3">
        <v>0</v>
      </c>
      <c r="D10" s="3">
        <v>0</v>
      </c>
      <c r="E10" s="3">
        <f t="shared" ref="E10:E12" si="0">E9+B10</f>
        <v>102356.70730779739</v>
      </c>
    </row>
    <row r="11" spans="1:8" ht="15.75" x14ac:dyDescent="0.25">
      <c r="A11" s="2">
        <f>A10+1</f>
        <v>3</v>
      </c>
      <c r="B11" s="3">
        <f>E10*C6</f>
        <v>1199.1003202684692</v>
      </c>
      <c r="C11" s="3">
        <v>0</v>
      </c>
      <c r="D11" s="3">
        <v>0</v>
      </c>
      <c r="E11" s="3">
        <f t="shared" si="0"/>
        <v>103555.80762806586</v>
      </c>
      <c r="H11" s="19" t="s">
        <v>13</v>
      </c>
    </row>
    <row r="12" spans="1:8" ht="15.75" x14ac:dyDescent="0.25">
      <c r="A12" s="2">
        <f t="shared" ref="A12:A68" si="1">A11+1</f>
        <v>4</v>
      </c>
      <c r="B12" s="3">
        <f>E11*C6</f>
        <v>1213.1476808751777</v>
      </c>
      <c r="C12" s="3">
        <v>0</v>
      </c>
      <c r="D12" s="3">
        <v>0</v>
      </c>
      <c r="E12" s="3">
        <f t="shared" si="0"/>
        <v>104768.95530894103</v>
      </c>
      <c r="H12" s="20">
        <f>SUM(D8:D68)</f>
        <v>111268.02260500002</v>
      </c>
    </row>
    <row r="13" spans="1:8" ht="15.75" x14ac:dyDescent="0.25">
      <c r="A13" s="2">
        <f t="shared" si="1"/>
        <v>5</v>
      </c>
      <c r="B13" s="3">
        <v>5996.31</v>
      </c>
      <c r="C13" s="3">
        <f t="shared" ref="C13:C22" si="2">$E$4</f>
        <v>10000</v>
      </c>
      <c r="D13" s="3">
        <f>SUM(B13:C13)</f>
        <v>15996.310000000001</v>
      </c>
      <c r="E13" s="3">
        <v>90000</v>
      </c>
    </row>
    <row r="14" spans="1:8" ht="15.75" x14ac:dyDescent="0.25">
      <c r="A14" s="2">
        <f t="shared" si="1"/>
        <v>6</v>
      </c>
      <c r="B14" s="3">
        <f t="shared" ref="B14:B22" si="3">E13*$C$6</f>
        <v>1054.342521</v>
      </c>
      <c r="C14" s="3">
        <f t="shared" si="2"/>
        <v>10000</v>
      </c>
      <c r="D14" s="3">
        <f t="shared" ref="D14:D22" si="4">SUM(B14:C14)</f>
        <v>11054.342521</v>
      </c>
      <c r="E14" s="3">
        <f t="shared" ref="E10:E68" si="5">E13-C14</f>
        <v>80000</v>
      </c>
    </row>
    <row r="15" spans="1:8" ht="15.75" x14ac:dyDescent="0.25">
      <c r="A15" s="2">
        <f t="shared" si="1"/>
        <v>7</v>
      </c>
      <c r="B15" s="3">
        <f t="shared" si="3"/>
        <v>937.193352</v>
      </c>
      <c r="C15" s="3">
        <f t="shared" si="2"/>
        <v>10000</v>
      </c>
      <c r="D15" s="3">
        <f t="shared" si="4"/>
        <v>10937.193352</v>
      </c>
      <c r="E15" s="3">
        <f t="shared" si="5"/>
        <v>70000</v>
      </c>
      <c r="F15" s="21"/>
    </row>
    <row r="16" spans="1:8" ht="15.75" x14ac:dyDescent="0.25">
      <c r="A16" s="2">
        <f t="shared" si="1"/>
        <v>8</v>
      </c>
      <c r="B16" s="3">
        <f t="shared" si="3"/>
        <v>820.04418299999998</v>
      </c>
      <c r="C16" s="3">
        <f t="shared" si="2"/>
        <v>10000</v>
      </c>
      <c r="D16" s="3">
        <f t="shared" si="4"/>
        <v>10820.044183</v>
      </c>
      <c r="E16" s="3">
        <f t="shared" si="5"/>
        <v>60000</v>
      </c>
    </row>
    <row r="17" spans="1:5" ht="15.75" x14ac:dyDescent="0.25">
      <c r="A17" s="2">
        <f t="shared" si="1"/>
        <v>9</v>
      </c>
      <c r="B17" s="3">
        <f t="shared" si="3"/>
        <v>702.89501400000006</v>
      </c>
      <c r="C17" s="3">
        <f t="shared" si="2"/>
        <v>10000</v>
      </c>
      <c r="D17" s="3">
        <f t="shared" si="4"/>
        <v>10702.895014</v>
      </c>
      <c r="E17" s="3">
        <f t="shared" si="5"/>
        <v>50000</v>
      </c>
    </row>
    <row r="18" spans="1:5" ht="15.75" x14ac:dyDescent="0.25">
      <c r="A18" s="2">
        <f t="shared" si="1"/>
        <v>10</v>
      </c>
      <c r="B18" s="3">
        <f t="shared" si="3"/>
        <v>585.74584500000003</v>
      </c>
      <c r="C18" s="3">
        <f t="shared" si="2"/>
        <v>10000</v>
      </c>
      <c r="D18" s="3">
        <f t="shared" si="4"/>
        <v>10585.745844999999</v>
      </c>
      <c r="E18" s="3">
        <f t="shared" si="5"/>
        <v>40000</v>
      </c>
    </row>
    <row r="19" spans="1:5" ht="15.75" x14ac:dyDescent="0.25">
      <c r="A19" s="2">
        <f t="shared" si="1"/>
        <v>11</v>
      </c>
      <c r="B19" s="3">
        <f t="shared" si="3"/>
        <v>468.596676</v>
      </c>
      <c r="C19" s="3">
        <f t="shared" si="2"/>
        <v>10000</v>
      </c>
      <c r="D19" s="3">
        <f t="shared" si="4"/>
        <v>10468.596675999999</v>
      </c>
      <c r="E19" s="3">
        <f t="shared" si="5"/>
        <v>30000</v>
      </c>
    </row>
    <row r="20" spans="1:5" ht="15.75" x14ac:dyDescent="0.25">
      <c r="A20" s="2">
        <f t="shared" si="1"/>
        <v>12</v>
      </c>
      <c r="B20" s="3">
        <f t="shared" si="3"/>
        <v>351.44750700000003</v>
      </c>
      <c r="C20" s="3">
        <f t="shared" si="2"/>
        <v>10000</v>
      </c>
      <c r="D20" s="3">
        <f t="shared" si="4"/>
        <v>10351.447507000001</v>
      </c>
      <c r="E20" s="3">
        <f t="shared" si="5"/>
        <v>20000</v>
      </c>
    </row>
    <row r="21" spans="1:5" ht="15.75" x14ac:dyDescent="0.25">
      <c r="A21" s="2">
        <f t="shared" si="1"/>
        <v>13</v>
      </c>
      <c r="B21" s="3">
        <f t="shared" si="3"/>
        <v>234.298338</v>
      </c>
      <c r="C21" s="3">
        <f t="shared" si="2"/>
        <v>10000</v>
      </c>
      <c r="D21" s="3">
        <f t="shared" si="4"/>
        <v>10234.298338000001</v>
      </c>
      <c r="E21" s="3">
        <f t="shared" si="5"/>
        <v>10000</v>
      </c>
    </row>
    <row r="22" spans="1:5" ht="15.75" x14ac:dyDescent="0.25">
      <c r="A22" s="2">
        <f t="shared" si="1"/>
        <v>14</v>
      </c>
      <c r="B22" s="3">
        <f t="shared" si="3"/>
        <v>117.149169</v>
      </c>
      <c r="C22" s="3">
        <f t="shared" si="2"/>
        <v>10000</v>
      </c>
      <c r="D22" s="3">
        <f t="shared" si="4"/>
        <v>10117.149169</v>
      </c>
      <c r="E22" s="3">
        <f t="shared" si="5"/>
        <v>0</v>
      </c>
    </row>
    <row r="23" spans="1:5" ht="15.75" x14ac:dyDescent="0.25">
      <c r="A23" s="2">
        <f t="shared" si="1"/>
        <v>15</v>
      </c>
      <c r="B23" s="3"/>
      <c r="C23" s="3"/>
      <c r="D23" s="3"/>
      <c r="E23" s="3">
        <f t="shared" si="5"/>
        <v>0</v>
      </c>
    </row>
    <row r="24" spans="1:5" ht="15.75" x14ac:dyDescent="0.25">
      <c r="A24" s="2">
        <f t="shared" si="1"/>
        <v>16</v>
      </c>
      <c r="B24" s="3"/>
      <c r="C24" s="3"/>
      <c r="D24" s="3"/>
      <c r="E24" s="3">
        <f t="shared" si="5"/>
        <v>0</v>
      </c>
    </row>
    <row r="25" spans="1:5" ht="15.75" x14ac:dyDescent="0.25">
      <c r="A25" s="2">
        <f t="shared" si="1"/>
        <v>17</v>
      </c>
      <c r="B25" s="3"/>
      <c r="C25" s="3"/>
      <c r="D25" s="3"/>
      <c r="E25" s="3">
        <f t="shared" si="5"/>
        <v>0</v>
      </c>
    </row>
    <row r="26" spans="1:5" ht="15.75" x14ac:dyDescent="0.25">
      <c r="A26" s="2">
        <f t="shared" si="1"/>
        <v>18</v>
      </c>
      <c r="B26" s="3"/>
      <c r="C26" s="3"/>
      <c r="D26" s="3"/>
      <c r="E26" s="3">
        <f t="shared" si="5"/>
        <v>0</v>
      </c>
    </row>
    <row r="27" spans="1:5" ht="15.75" x14ac:dyDescent="0.25">
      <c r="A27" s="2">
        <f t="shared" si="1"/>
        <v>19</v>
      </c>
      <c r="B27" s="3"/>
      <c r="C27" s="3"/>
      <c r="D27" s="3"/>
      <c r="E27" s="3">
        <f t="shared" si="5"/>
        <v>0</v>
      </c>
    </row>
    <row r="28" spans="1:5" ht="15.75" x14ac:dyDescent="0.25">
      <c r="A28" s="2">
        <f t="shared" si="1"/>
        <v>20</v>
      </c>
      <c r="B28" s="3"/>
      <c r="C28" s="3"/>
      <c r="D28" s="3"/>
      <c r="E28" s="3">
        <f t="shared" si="5"/>
        <v>0</v>
      </c>
    </row>
    <row r="29" spans="1:5" ht="15.75" x14ac:dyDescent="0.25">
      <c r="A29" s="2">
        <f t="shared" si="1"/>
        <v>21</v>
      </c>
      <c r="B29" s="3"/>
      <c r="C29" s="3"/>
      <c r="D29" s="3"/>
      <c r="E29" s="3">
        <f t="shared" si="5"/>
        <v>0</v>
      </c>
    </row>
    <row r="30" spans="1:5" ht="15.75" x14ac:dyDescent="0.25">
      <c r="A30" s="2">
        <f t="shared" si="1"/>
        <v>22</v>
      </c>
      <c r="B30" s="3"/>
      <c r="C30" s="3"/>
      <c r="D30" s="3"/>
      <c r="E30" s="3">
        <f t="shared" si="5"/>
        <v>0</v>
      </c>
    </row>
    <row r="31" spans="1:5" ht="15.75" x14ac:dyDescent="0.25">
      <c r="A31" s="2">
        <f t="shared" si="1"/>
        <v>23</v>
      </c>
      <c r="B31" s="3"/>
      <c r="C31" s="3"/>
      <c r="D31" s="3"/>
      <c r="E31" s="3">
        <f t="shared" si="5"/>
        <v>0</v>
      </c>
    </row>
    <row r="32" spans="1:5" ht="15.75" x14ac:dyDescent="0.25">
      <c r="A32" s="2">
        <f t="shared" si="1"/>
        <v>24</v>
      </c>
      <c r="B32" s="3"/>
      <c r="C32" s="3"/>
      <c r="D32" s="3"/>
      <c r="E32" s="3">
        <f t="shared" si="5"/>
        <v>0</v>
      </c>
    </row>
    <row r="33" spans="1:5" ht="15.75" x14ac:dyDescent="0.25">
      <c r="A33" s="2">
        <f t="shared" si="1"/>
        <v>25</v>
      </c>
      <c r="B33" s="3"/>
      <c r="C33" s="3"/>
      <c r="D33" s="3"/>
      <c r="E33" s="3">
        <f t="shared" si="5"/>
        <v>0</v>
      </c>
    </row>
    <row r="34" spans="1:5" ht="15.75" x14ac:dyDescent="0.25">
      <c r="A34" s="2">
        <f t="shared" si="1"/>
        <v>26</v>
      </c>
      <c r="B34" s="3"/>
      <c r="C34" s="3"/>
      <c r="D34" s="3"/>
      <c r="E34" s="3">
        <f t="shared" si="5"/>
        <v>0</v>
      </c>
    </row>
    <row r="35" spans="1:5" ht="15.75" x14ac:dyDescent="0.25">
      <c r="A35" s="2">
        <f t="shared" si="1"/>
        <v>27</v>
      </c>
      <c r="B35" s="3"/>
      <c r="C35" s="3"/>
      <c r="D35" s="3"/>
      <c r="E35" s="3">
        <f t="shared" si="5"/>
        <v>0</v>
      </c>
    </row>
    <row r="36" spans="1:5" ht="15.75" x14ac:dyDescent="0.25">
      <c r="A36" s="2">
        <f t="shared" si="1"/>
        <v>28</v>
      </c>
      <c r="B36" s="3"/>
      <c r="C36" s="3"/>
      <c r="D36" s="3"/>
      <c r="E36" s="3">
        <f t="shared" si="5"/>
        <v>0</v>
      </c>
    </row>
    <row r="37" spans="1:5" ht="15.75" x14ac:dyDescent="0.25">
      <c r="A37" s="2">
        <f t="shared" si="1"/>
        <v>29</v>
      </c>
      <c r="B37" s="3"/>
      <c r="C37" s="3"/>
      <c r="D37" s="3"/>
      <c r="E37" s="3">
        <f t="shared" si="5"/>
        <v>0</v>
      </c>
    </row>
    <row r="38" spans="1:5" ht="15.75" x14ac:dyDescent="0.25">
      <c r="A38" s="2">
        <f t="shared" si="1"/>
        <v>30</v>
      </c>
      <c r="B38" s="3"/>
      <c r="C38" s="3"/>
      <c r="D38" s="3"/>
      <c r="E38" s="3">
        <f t="shared" si="5"/>
        <v>0</v>
      </c>
    </row>
    <row r="39" spans="1:5" ht="15.75" x14ac:dyDescent="0.25">
      <c r="A39" s="2">
        <f t="shared" si="1"/>
        <v>31</v>
      </c>
      <c r="B39" s="3"/>
      <c r="C39" s="3"/>
      <c r="D39" s="3"/>
      <c r="E39" s="3">
        <f t="shared" si="5"/>
        <v>0</v>
      </c>
    </row>
    <row r="40" spans="1:5" ht="15.75" x14ac:dyDescent="0.25">
      <c r="A40" s="2">
        <f t="shared" si="1"/>
        <v>32</v>
      </c>
      <c r="B40" s="3"/>
      <c r="C40" s="3"/>
      <c r="D40" s="3"/>
      <c r="E40" s="3">
        <f t="shared" si="5"/>
        <v>0</v>
      </c>
    </row>
    <row r="41" spans="1:5" ht="15.75" x14ac:dyDescent="0.25">
      <c r="A41" s="2">
        <f t="shared" si="1"/>
        <v>33</v>
      </c>
      <c r="B41" s="3"/>
      <c r="C41" s="3"/>
      <c r="D41" s="3"/>
      <c r="E41" s="3">
        <f t="shared" si="5"/>
        <v>0</v>
      </c>
    </row>
    <row r="42" spans="1:5" ht="15.75" x14ac:dyDescent="0.25">
      <c r="A42" s="2">
        <f t="shared" si="1"/>
        <v>34</v>
      </c>
      <c r="B42" s="3"/>
      <c r="C42" s="3"/>
      <c r="D42" s="3"/>
      <c r="E42" s="3">
        <f t="shared" si="5"/>
        <v>0</v>
      </c>
    </row>
    <row r="43" spans="1:5" ht="15.75" x14ac:dyDescent="0.25">
      <c r="A43" s="2">
        <f t="shared" si="1"/>
        <v>35</v>
      </c>
      <c r="B43" s="3"/>
      <c r="C43" s="3"/>
      <c r="D43" s="3"/>
      <c r="E43" s="3">
        <f t="shared" si="5"/>
        <v>0</v>
      </c>
    </row>
    <row r="44" spans="1:5" ht="15.75" x14ac:dyDescent="0.25">
      <c r="A44" s="2">
        <f t="shared" si="1"/>
        <v>36</v>
      </c>
      <c r="B44" s="3"/>
      <c r="C44" s="3"/>
      <c r="D44" s="3"/>
      <c r="E44" s="3">
        <f t="shared" si="5"/>
        <v>0</v>
      </c>
    </row>
    <row r="45" spans="1:5" ht="15.75" x14ac:dyDescent="0.25">
      <c r="A45" s="2">
        <f t="shared" si="1"/>
        <v>37</v>
      </c>
      <c r="B45" s="3"/>
      <c r="C45" s="3"/>
      <c r="D45" s="3"/>
      <c r="E45" s="3">
        <f t="shared" si="5"/>
        <v>0</v>
      </c>
    </row>
    <row r="46" spans="1:5" ht="15.75" x14ac:dyDescent="0.25">
      <c r="A46" s="2">
        <f t="shared" si="1"/>
        <v>38</v>
      </c>
      <c r="B46" s="3"/>
      <c r="C46" s="3"/>
      <c r="D46" s="3"/>
      <c r="E46" s="3">
        <f t="shared" si="5"/>
        <v>0</v>
      </c>
    </row>
    <row r="47" spans="1:5" ht="15.75" x14ac:dyDescent="0.25">
      <c r="A47" s="2">
        <f t="shared" si="1"/>
        <v>39</v>
      </c>
      <c r="B47" s="3"/>
      <c r="C47" s="3"/>
      <c r="D47" s="3"/>
      <c r="E47" s="3">
        <f t="shared" si="5"/>
        <v>0</v>
      </c>
    </row>
    <row r="48" spans="1:5" ht="15.75" x14ac:dyDescent="0.25">
      <c r="A48" s="2">
        <f t="shared" si="1"/>
        <v>40</v>
      </c>
      <c r="B48" s="3"/>
      <c r="C48" s="3"/>
      <c r="D48" s="3"/>
      <c r="E48" s="3">
        <f t="shared" si="5"/>
        <v>0</v>
      </c>
    </row>
    <row r="49" spans="1:5" ht="15.75" x14ac:dyDescent="0.25">
      <c r="A49" s="2">
        <f t="shared" si="1"/>
        <v>41</v>
      </c>
      <c r="B49" s="3"/>
      <c r="C49" s="3"/>
      <c r="D49" s="3"/>
      <c r="E49" s="3">
        <f t="shared" si="5"/>
        <v>0</v>
      </c>
    </row>
    <row r="50" spans="1:5" ht="15.75" x14ac:dyDescent="0.25">
      <c r="A50" s="2">
        <f t="shared" si="1"/>
        <v>42</v>
      </c>
      <c r="B50" s="3"/>
      <c r="C50" s="3"/>
      <c r="D50" s="3"/>
      <c r="E50" s="3">
        <f t="shared" si="5"/>
        <v>0</v>
      </c>
    </row>
    <row r="51" spans="1:5" ht="15.75" x14ac:dyDescent="0.25">
      <c r="A51" s="2">
        <f t="shared" si="1"/>
        <v>43</v>
      </c>
      <c r="B51" s="3"/>
      <c r="C51" s="3"/>
      <c r="D51" s="3"/>
      <c r="E51" s="3">
        <f t="shared" si="5"/>
        <v>0</v>
      </c>
    </row>
    <row r="52" spans="1:5" ht="15.75" x14ac:dyDescent="0.25">
      <c r="A52" s="2">
        <f t="shared" si="1"/>
        <v>44</v>
      </c>
      <c r="B52" s="3"/>
      <c r="C52" s="3"/>
      <c r="D52" s="3"/>
      <c r="E52" s="3">
        <f t="shared" si="5"/>
        <v>0</v>
      </c>
    </row>
    <row r="53" spans="1:5" ht="15.75" x14ac:dyDescent="0.25">
      <c r="A53" s="2">
        <f t="shared" si="1"/>
        <v>45</v>
      </c>
      <c r="B53" s="3"/>
      <c r="C53" s="3"/>
      <c r="D53" s="3"/>
      <c r="E53" s="3">
        <f t="shared" si="5"/>
        <v>0</v>
      </c>
    </row>
    <row r="54" spans="1:5" ht="15.75" x14ac:dyDescent="0.25">
      <c r="A54" s="2">
        <f t="shared" si="1"/>
        <v>46</v>
      </c>
      <c r="B54" s="3"/>
      <c r="C54" s="3"/>
      <c r="D54" s="3"/>
      <c r="E54" s="3">
        <f t="shared" si="5"/>
        <v>0</v>
      </c>
    </row>
    <row r="55" spans="1:5" ht="15.75" x14ac:dyDescent="0.25">
      <c r="A55" s="2">
        <f t="shared" si="1"/>
        <v>47</v>
      </c>
      <c r="B55" s="3"/>
      <c r="C55" s="3"/>
      <c r="D55" s="3"/>
      <c r="E55" s="3">
        <f t="shared" si="5"/>
        <v>0</v>
      </c>
    </row>
    <row r="56" spans="1:5" ht="15.75" x14ac:dyDescent="0.25">
      <c r="A56" s="2">
        <f t="shared" si="1"/>
        <v>48</v>
      </c>
      <c r="B56" s="3"/>
      <c r="C56" s="3"/>
      <c r="D56" s="3"/>
      <c r="E56" s="3">
        <f t="shared" si="5"/>
        <v>0</v>
      </c>
    </row>
    <row r="57" spans="1:5" ht="15.75" x14ac:dyDescent="0.25">
      <c r="A57" s="2">
        <f t="shared" si="1"/>
        <v>49</v>
      </c>
      <c r="B57" s="3"/>
      <c r="C57" s="3"/>
      <c r="D57" s="3"/>
      <c r="E57" s="3">
        <f t="shared" si="5"/>
        <v>0</v>
      </c>
    </row>
    <row r="58" spans="1:5" ht="15.75" x14ac:dyDescent="0.25">
      <c r="A58" s="2">
        <f t="shared" si="1"/>
        <v>50</v>
      </c>
      <c r="B58" s="3"/>
      <c r="C58" s="3"/>
      <c r="D58" s="3"/>
      <c r="E58" s="3">
        <f t="shared" si="5"/>
        <v>0</v>
      </c>
    </row>
    <row r="59" spans="1:5" ht="15.75" x14ac:dyDescent="0.25">
      <c r="A59" s="2">
        <f t="shared" si="1"/>
        <v>51</v>
      </c>
      <c r="B59" s="3"/>
      <c r="C59" s="3"/>
      <c r="D59" s="3"/>
      <c r="E59" s="3">
        <f t="shared" si="5"/>
        <v>0</v>
      </c>
    </row>
    <row r="60" spans="1:5" ht="15.75" x14ac:dyDescent="0.25">
      <c r="A60" s="2">
        <f t="shared" si="1"/>
        <v>52</v>
      </c>
      <c r="B60" s="3"/>
      <c r="C60" s="3"/>
      <c r="D60" s="3"/>
      <c r="E60" s="3">
        <f t="shared" si="5"/>
        <v>0</v>
      </c>
    </row>
    <row r="61" spans="1:5" ht="15.75" x14ac:dyDescent="0.25">
      <c r="A61" s="2">
        <f t="shared" si="1"/>
        <v>53</v>
      </c>
      <c r="B61" s="3"/>
      <c r="C61" s="3"/>
      <c r="D61" s="3"/>
      <c r="E61" s="3">
        <f t="shared" si="5"/>
        <v>0</v>
      </c>
    </row>
    <row r="62" spans="1:5" ht="15.75" x14ac:dyDescent="0.25">
      <c r="A62" s="2">
        <f t="shared" si="1"/>
        <v>54</v>
      </c>
      <c r="B62" s="3"/>
      <c r="C62" s="3"/>
      <c r="D62" s="3"/>
      <c r="E62" s="3">
        <f t="shared" si="5"/>
        <v>0</v>
      </c>
    </row>
    <row r="63" spans="1:5" ht="15.75" x14ac:dyDescent="0.25">
      <c r="A63" s="2">
        <f t="shared" si="1"/>
        <v>55</v>
      </c>
      <c r="B63" s="3"/>
      <c r="C63" s="3"/>
      <c r="D63" s="3"/>
      <c r="E63" s="3">
        <f t="shared" si="5"/>
        <v>0</v>
      </c>
    </row>
    <row r="64" spans="1:5" ht="15.75" x14ac:dyDescent="0.25">
      <c r="A64" s="2">
        <f t="shared" si="1"/>
        <v>56</v>
      </c>
      <c r="B64" s="3"/>
      <c r="C64" s="3"/>
      <c r="D64" s="3"/>
      <c r="E64" s="3">
        <f t="shared" si="5"/>
        <v>0</v>
      </c>
    </row>
    <row r="65" spans="1:5" ht="15.75" x14ac:dyDescent="0.25">
      <c r="A65" s="2">
        <f t="shared" si="1"/>
        <v>57</v>
      </c>
      <c r="B65" s="3"/>
      <c r="C65" s="3"/>
      <c r="D65" s="3"/>
      <c r="E65" s="3">
        <f t="shared" si="5"/>
        <v>0</v>
      </c>
    </row>
    <row r="66" spans="1:5" ht="15.75" x14ac:dyDescent="0.25">
      <c r="A66" s="2">
        <f t="shared" si="1"/>
        <v>58</v>
      </c>
      <c r="B66" s="3"/>
      <c r="C66" s="3"/>
      <c r="D66" s="3"/>
      <c r="E66" s="3">
        <f t="shared" si="5"/>
        <v>0</v>
      </c>
    </row>
    <row r="67" spans="1:5" ht="15.75" x14ac:dyDescent="0.25">
      <c r="A67" s="2">
        <f t="shared" si="1"/>
        <v>59</v>
      </c>
      <c r="B67" s="3"/>
      <c r="C67" s="3"/>
      <c r="D67" s="3"/>
      <c r="E67" s="3">
        <f t="shared" si="5"/>
        <v>0</v>
      </c>
    </row>
    <row r="68" spans="1:5" ht="15.75" x14ac:dyDescent="0.25">
      <c r="A68" s="2">
        <f t="shared" si="1"/>
        <v>60</v>
      </c>
      <c r="B68" s="3"/>
      <c r="C68" s="3"/>
      <c r="D68" s="3"/>
      <c r="E68" s="3">
        <f t="shared" si="5"/>
        <v>0</v>
      </c>
    </row>
  </sheetData>
  <mergeCells count="6">
    <mergeCell ref="A1:E3"/>
    <mergeCell ref="F1:F3"/>
    <mergeCell ref="A4:B4"/>
    <mergeCell ref="A5:B5"/>
    <mergeCell ref="D5:E6"/>
    <mergeCell ref="A6:B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workbookViewId="0">
      <selection activeCell="F18" sqref="F18"/>
    </sheetView>
  </sheetViews>
  <sheetFormatPr defaultRowHeight="15" x14ac:dyDescent="0.25"/>
  <cols>
    <col min="1" max="1" width="11.42578125" style="1" bestFit="1" customWidth="1"/>
    <col min="2" max="5" width="27.85546875" style="1" customWidth="1"/>
    <col min="6" max="6" width="23.5703125" style="1" customWidth="1"/>
    <col min="7" max="7" width="9.140625" style="1"/>
    <col min="8" max="8" width="34.42578125" style="1" bestFit="1" customWidth="1"/>
    <col min="9" max="16384" width="9.140625" style="1"/>
  </cols>
  <sheetData>
    <row r="1" spans="1:8" ht="15.75" x14ac:dyDescent="0.25">
      <c r="A1" s="16" t="s">
        <v>15</v>
      </c>
      <c r="B1" s="16"/>
      <c r="C1" s="16"/>
      <c r="D1" s="16"/>
      <c r="E1" s="16"/>
      <c r="F1" s="18" t="s">
        <v>11</v>
      </c>
    </row>
    <row r="2" spans="1:8" ht="15.75" x14ac:dyDescent="0.25">
      <c r="A2" s="16"/>
      <c r="B2" s="16"/>
      <c r="C2" s="16"/>
      <c r="D2" s="16"/>
      <c r="E2" s="16"/>
      <c r="F2" s="18"/>
    </row>
    <row r="3" spans="1:8" ht="15.75" x14ac:dyDescent="0.25">
      <c r="A3" s="17"/>
      <c r="B3" s="17"/>
      <c r="C3" s="17"/>
      <c r="D3" s="17"/>
      <c r="E3" s="17"/>
      <c r="F3" s="18"/>
    </row>
    <row r="4" spans="1:8" ht="15.75" x14ac:dyDescent="0.25">
      <c r="A4" s="13" t="s">
        <v>4</v>
      </c>
      <c r="B4" s="13"/>
      <c r="C4" s="5">
        <v>100000</v>
      </c>
      <c r="D4" s="10" t="s">
        <v>8</v>
      </c>
      <c r="E4" s="9">
        <f>E12/C5</f>
        <v>10476.895530894104</v>
      </c>
    </row>
    <row r="5" spans="1:8" ht="15.75" x14ac:dyDescent="0.25">
      <c r="A5" s="13" t="s">
        <v>5</v>
      </c>
      <c r="B5" s="13"/>
      <c r="C5" s="6">
        <v>10</v>
      </c>
      <c r="D5" s="15" t="s">
        <v>9</v>
      </c>
      <c r="E5" s="15"/>
      <c r="F5" s="12">
        <v>0.15</v>
      </c>
    </row>
    <row r="6" spans="1:8" ht="58.5" customHeight="1" x14ac:dyDescent="0.25">
      <c r="A6" s="14" t="s">
        <v>6</v>
      </c>
      <c r="B6" s="14"/>
      <c r="C6" s="7">
        <v>1.17149169E-2</v>
      </c>
      <c r="D6" s="15"/>
      <c r="E6" s="15"/>
      <c r="F6" s="11">
        <f>(1+F5)^(1/12) -1</f>
        <v>1.171491691985338E-2</v>
      </c>
    </row>
    <row r="7" spans="1:8" ht="15.75" x14ac:dyDescent="0.25">
      <c r="A7" s="8" t="s">
        <v>0</v>
      </c>
      <c r="B7" s="8" t="s">
        <v>1</v>
      </c>
      <c r="C7" s="8" t="s">
        <v>2</v>
      </c>
      <c r="D7" s="8" t="s">
        <v>3</v>
      </c>
      <c r="E7" s="8" t="s">
        <v>7</v>
      </c>
    </row>
    <row r="8" spans="1:8" ht="15.75" x14ac:dyDescent="0.25">
      <c r="A8" s="2">
        <v>0</v>
      </c>
      <c r="B8" s="3">
        <v>0</v>
      </c>
      <c r="C8" s="3">
        <v>0</v>
      </c>
      <c r="D8" s="3">
        <v>0</v>
      </c>
      <c r="E8" s="4">
        <f>C4</f>
        <v>100000</v>
      </c>
      <c r="H8" s="19" t="s">
        <v>12</v>
      </c>
    </row>
    <row r="9" spans="1:8" ht="15.75" x14ac:dyDescent="0.25">
      <c r="A9" s="2">
        <v>1</v>
      </c>
      <c r="B9" s="3">
        <f>E8*C6</f>
        <v>1171.4916900000001</v>
      </c>
      <c r="C9" s="3">
        <v>0</v>
      </c>
      <c r="D9" s="3">
        <v>0</v>
      </c>
      <c r="E9" s="3">
        <f>E8+B9</f>
        <v>101171.49169</v>
      </c>
      <c r="H9" s="20">
        <f>SUM(B13:B22)</f>
        <v>6750.477828292318</v>
      </c>
    </row>
    <row r="10" spans="1:8" ht="15.75" x14ac:dyDescent="0.25">
      <c r="A10" s="2">
        <v>2</v>
      </c>
      <c r="B10" s="3">
        <f>E9*C6</f>
        <v>1185.2156177973905</v>
      </c>
      <c r="C10" s="3">
        <v>0</v>
      </c>
      <c r="D10" s="3">
        <v>0</v>
      </c>
      <c r="E10" s="3">
        <f t="shared" ref="E10:E12" si="0">E9+B10</f>
        <v>102356.70730779739</v>
      </c>
    </row>
    <row r="11" spans="1:8" ht="15.75" x14ac:dyDescent="0.25">
      <c r="A11" s="2">
        <f>A10+1</f>
        <v>3</v>
      </c>
      <c r="B11" s="3">
        <f>E10*C6</f>
        <v>1199.1003202684692</v>
      </c>
      <c r="C11" s="3">
        <v>0</v>
      </c>
      <c r="D11" s="3">
        <v>0</v>
      </c>
      <c r="E11" s="3">
        <f t="shared" si="0"/>
        <v>103555.80762806586</v>
      </c>
      <c r="H11" s="19" t="s">
        <v>13</v>
      </c>
    </row>
    <row r="12" spans="1:8" ht="15.75" x14ac:dyDescent="0.25">
      <c r="A12" s="2">
        <f t="shared" ref="A12:A68" si="1">A11+1</f>
        <v>4</v>
      </c>
      <c r="B12" s="3">
        <f>E11*C6</f>
        <v>1213.1476808751777</v>
      </c>
      <c r="C12" s="3">
        <v>0</v>
      </c>
      <c r="D12" s="3">
        <v>0</v>
      </c>
      <c r="E12" s="3">
        <f t="shared" si="0"/>
        <v>104768.95530894103</v>
      </c>
      <c r="H12" s="20">
        <f>SUM(D8:D68)</f>
        <v>111519.43313723335</v>
      </c>
    </row>
    <row r="13" spans="1:8" ht="15.75" x14ac:dyDescent="0.25">
      <c r="A13" s="2">
        <f t="shared" si="1"/>
        <v>5</v>
      </c>
      <c r="B13" s="3">
        <f>E12*$C$6</f>
        <v>1227.3596051440582</v>
      </c>
      <c r="C13" s="3">
        <f t="shared" ref="C13:C22" si="2">$E$4</f>
        <v>10476.895530894104</v>
      </c>
      <c r="D13" s="3">
        <f>SUM(B13:C13)</f>
        <v>11704.255136038162</v>
      </c>
      <c r="E13" s="3">
        <f>E12-C13</f>
        <v>94292.059778046925</v>
      </c>
    </row>
    <row r="14" spans="1:8" ht="15.75" x14ac:dyDescent="0.25">
      <c r="A14" s="2">
        <f t="shared" si="1"/>
        <v>6</v>
      </c>
      <c r="B14" s="3">
        <f t="shared" ref="B14:B22" si="3">E13*$C$6</f>
        <v>1104.6236446296523</v>
      </c>
      <c r="C14" s="3">
        <f t="shared" si="2"/>
        <v>10476.895530894104</v>
      </c>
      <c r="D14" s="3">
        <f t="shared" ref="D14:D22" si="4">SUM(B14:C14)</f>
        <v>11581.519175523756</v>
      </c>
      <c r="E14" s="3">
        <f t="shared" ref="E14:E22" si="5">E13-C14</f>
        <v>83815.164247152818</v>
      </c>
    </row>
    <row r="15" spans="1:8" ht="15.75" x14ac:dyDescent="0.25">
      <c r="A15" s="2">
        <f t="shared" si="1"/>
        <v>7</v>
      </c>
      <c r="B15" s="3">
        <f t="shared" si="3"/>
        <v>981.88768411524632</v>
      </c>
      <c r="C15" s="3">
        <f t="shared" si="2"/>
        <v>10476.895530894104</v>
      </c>
      <c r="D15" s="3">
        <f t="shared" si="4"/>
        <v>11458.783215009351</v>
      </c>
      <c r="E15" s="3">
        <f t="shared" si="5"/>
        <v>73338.26871625871</v>
      </c>
      <c r="F15" s="21"/>
    </row>
    <row r="16" spans="1:8" ht="15.75" x14ac:dyDescent="0.25">
      <c r="A16" s="2">
        <f t="shared" si="1"/>
        <v>8</v>
      </c>
      <c r="B16" s="3">
        <f t="shared" si="3"/>
        <v>859.15172360084046</v>
      </c>
      <c r="C16" s="3">
        <f t="shared" si="2"/>
        <v>10476.895530894104</v>
      </c>
      <c r="D16" s="3">
        <f t="shared" si="4"/>
        <v>11336.047254494944</v>
      </c>
      <c r="E16" s="3">
        <f t="shared" si="5"/>
        <v>62861.373185364602</v>
      </c>
    </row>
    <row r="17" spans="1:5" ht="15.75" x14ac:dyDescent="0.25">
      <c r="A17" s="2">
        <f t="shared" si="1"/>
        <v>9</v>
      </c>
      <c r="B17" s="3">
        <f t="shared" si="3"/>
        <v>736.41576308643459</v>
      </c>
      <c r="C17" s="3">
        <f t="shared" si="2"/>
        <v>10476.895530894104</v>
      </c>
      <c r="D17" s="3">
        <f t="shared" si="4"/>
        <v>11213.311293980538</v>
      </c>
      <c r="E17" s="3">
        <f t="shared" si="5"/>
        <v>52384.477654470495</v>
      </c>
    </row>
    <row r="18" spans="1:5" ht="15.75" x14ac:dyDescent="0.25">
      <c r="A18" s="2">
        <f t="shared" si="1"/>
        <v>10</v>
      </c>
      <c r="B18" s="3">
        <f t="shared" si="3"/>
        <v>613.67980257202873</v>
      </c>
      <c r="C18" s="3">
        <f t="shared" si="2"/>
        <v>10476.895530894104</v>
      </c>
      <c r="D18" s="3">
        <f t="shared" si="4"/>
        <v>11090.575333466133</v>
      </c>
      <c r="E18" s="3">
        <f t="shared" si="5"/>
        <v>41907.582123576387</v>
      </c>
    </row>
    <row r="19" spans="1:5" ht="15.75" x14ac:dyDescent="0.25">
      <c r="A19" s="2">
        <f t="shared" si="1"/>
        <v>11</v>
      </c>
      <c r="B19" s="3">
        <f t="shared" si="3"/>
        <v>490.94384205762293</v>
      </c>
      <c r="C19" s="3">
        <f t="shared" si="2"/>
        <v>10476.895530894104</v>
      </c>
      <c r="D19" s="3">
        <f t="shared" si="4"/>
        <v>10967.839372951727</v>
      </c>
      <c r="E19" s="3">
        <f t="shared" si="5"/>
        <v>31430.686592682283</v>
      </c>
    </row>
    <row r="20" spans="1:5" ht="15.75" x14ac:dyDescent="0.25">
      <c r="A20" s="2">
        <f t="shared" si="1"/>
        <v>12</v>
      </c>
      <c r="B20" s="3">
        <f t="shared" si="3"/>
        <v>368.20788154321713</v>
      </c>
      <c r="C20" s="3">
        <f t="shared" si="2"/>
        <v>10476.895530894104</v>
      </c>
      <c r="D20" s="3">
        <f t="shared" si="4"/>
        <v>10845.103412437322</v>
      </c>
      <c r="E20" s="3">
        <f t="shared" si="5"/>
        <v>20953.791061788179</v>
      </c>
    </row>
    <row r="21" spans="1:5" ht="15.75" x14ac:dyDescent="0.25">
      <c r="A21" s="2">
        <f t="shared" si="1"/>
        <v>13</v>
      </c>
      <c r="B21" s="3">
        <f t="shared" si="3"/>
        <v>245.47192102881129</v>
      </c>
      <c r="C21" s="3">
        <f t="shared" si="2"/>
        <v>10476.895530894104</v>
      </c>
      <c r="D21" s="3">
        <f t="shared" si="4"/>
        <v>10722.367451922915</v>
      </c>
      <c r="E21" s="3">
        <f t="shared" si="5"/>
        <v>10476.895530894075</v>
      </c>
    </row>
    <row r="22" spans="1:5" ht="15.75" x14ac:dyDescent="0.25">
      <c r="A22" s="2">
        <f t="shared" si="1"/>
        <v>14</v>
      </c>
      <c r="B22" s="3">
        <f t="shared" si="3"/>
        <v>122.73596051440548</v>
      </c>
      <c r="C22" s="3">
        <f t="shared" si="2"/>
        <v>10476.895530894104</v>
      </c>
      <c r="D22" s="3">
        <f t="shared" si="4"/>
        <v>10599.631491408509</v>
      </c>
      <c r="E22" s="3">
        <f t="shared" si="5"/>
        <v>-2.9103830456733704E-11</v>
      </c>
    </row>
    <row r="23" spans="1:5" ht="15.75" x14ac:dyDescent="0.25">
      <c r="A23" s="2">
        <f t="shared" si="1"/>
        <v>15</v>
      </c>
      <c r="B23" s="3"/>
      <c r="C23" s="3"/>
      <c r="D23" s="3"/>
      <c r="E23" s="3">
        <f t="shared" ref="E14:E68" si="6">E22-C23</f>
        <v>-2.9103830456733704E-11</v>
      </c>
    </row>
    <row r="24" spans="1:5" ht="15.75" x14ac:dyDescent="0.25">
      <c r="A24" s="2">
        <f t="shared" si="1"/>
        <v>16</v>
      </c>
      <c r="B24" s="3"/>
      <c r="C24" s="3"/>
      <c r="D24" s="3"/>
      <c r="E24" s="3">
        <f t="shared" si="6"/>
        <v>-2.9103830456733704E-11</v>
      </c>
    </row>
    <row r="25" spans="1:5" ht="15.75" x14ac:dyDescent="0.25">
      <c r="A25" s="2">
        <f t="shared" si="1"/>
        <v>17</v>
      </c>
      <c r="B25" s="3"/>
      <c r="C25" s="3"/>
      <c r="D25" s="3"/>
      <c r="E25" s="3">
        <f t="shared" si="6"/>
        <v>-2.9103830456733704E-11</v>
      </c>
    </row>
    <row r="26" spans="1:5" ht="15.75" x14ac:dyDescent="0.25">
      <c r="A26" s="2">
        <f t="shared" si="1"/>
        <v>18</v>
      </c>
      <c r="B26" s="3"/>
      <c r="C26" s="3"/>
      <c r="D26" s="3"/>
      <c r="E26" s="3">
        <f t="shared" si="6"/>
        <v>-2.9103830456733704E-11</v>
      </c>
    </row>
    <row r="27" spans="1:5" ht="15.75" x14ac:dyDescent="0.25">
      <c r="A27" s="2">
        <f t="shared" si="1"/>
        <v>19</v>
      </c>
      <c r="B27" s="3"/>
      <c r="C27" s="3"/>
      <c r="D27" s="3"/>
      <c r="E27" s="3">
        <f t="shared" si="6"/>
        <v>-2.9103830456733704E-11</v>
      </c>
    </row>
    <row r="28" spans="1:5" ht="15.75" x14ac:dyDescent="0.25">
      <c r="A28" s="2">
        <f t="shared" si="1"/>
        <v>20</v>
      </c>
      <c r="B28" s="3"/>
      <c r="C28" s="3"/>
      <c r="D28" s="3"/>
      <c r="E28" s="3">
        <f t="shared" si="6"/>
        <v>-2.9103830456733704E-11</v>
      </c>
    </row>
    <row r="29" spans="1:5" ht="15.75" x14ac:dyDescent="0.25">
      <c r="A29" s="2">
        <f t="shared" si="1"/>
        <v>21</v>
      </c>
      <c r="B29" s="3"/>
      <c r="C29" s="3"/>
      <c r="D29" s="3"/>
      <c r="E29" s="3">
        <f t="shared" si="6"/>
        <v>-2.9103830456733704E-11</v>
      </c>
    </row>
    <row r="30" spans="1:5" ht="15.75" x14ac:dyDescent="0.25">
      <c r="A30" s="2">
        <f t="shared" si="1"/>
        <v>22</v>
      </c>
      <c r="B30" s="3"/>
      <c r="C30" s="3"/>
      <c r="D30" s="3"/>
      <c r="E30" s="3">
        <f t="shared" si="6"/>
        <v>-2.9103830456733704E-11</v>
      </c>
    </row>
    <row r="31" spans="1:5" ht="15.75" x14ac:dyDescent="0.25">
      <c r="A31" s="2">
        <f t="shared" si="1"/>
        <v>23</v>
      </c>
      <c r="B31" s="3"/>
      <c r="C31" s="3"/>
      <c r="D31" s="3"/>
      <c r="E31" s="3">
        <f t="shared" si="6"/>
        <v>-2.9103830456733704E-11</v>
      </c>
    </row>
    <row r="32" spans="1:5" ht="15.75" x14ac:dyDescent="0.25">
      <c r="A32" s="2">
        <f t="shared" si="1"/>
        <v>24</v>
      </c>
      <c r="B32" s="3"/>
      <c r="C32" s="3"/>
      <c r="D32" s="3"/>
      <c r="E32" s="3">
        <f t="shared" si="6"/>
        <v>-2.9103830456733704E-11</v>
      </c>
    </row>
    <row r="33" spans="1:5" ht="15.75" x14ac:dyDescent="0.25">
      <c r="A33" s="2">
        <f t="shared" si="1"/>
        <v>25</v>
      </c>
      <c r="B33" s="3"/>
      <c r="C33" s="3"/>
      <c r="D33" s="3"/>
      <c r="E33" s="3">
        <f t="shared" si="6"/>
        <v>-2.9103830456733704E-11</v>
      </c>
    </row>
    <row r="34" spans="1:5" ht="15.75" x14ac:dyDescent="0.25">
      <c r="A34" s="2">
        <f t="shared" si="1"/>
        <v>26</v>
      </c>
      <c r="B34" s="3"/>
      <c r="C34" s="3"/>
      <c r="D34" s="3"/>
      <c r="E34" s="3">
        <f t="shared" si="6"/>
        <v>-2.9103830456733704E-11</v>
      </c>
    </row>
    <row r="35" spans="1:5" ht="15.75" x14ac:dyDescent="0.25">
      <c r="A35" s="2">
        <f t="shared" si="1"/>
        <v>27</v>
      </c>
      <c r="B35" s="3"/>
      <c r="C35" s="3"/>
      <c r="D35" s="3"/>
      <c r="E35" s="3">
        <f t="shared" si="6"/>
        <v>-2.9103830456733704E-11</v>
      </c>
    </row>
    <row r="36" spans="1:5" ht="15.75" x14ac:dyDescent="0.25">
      <c r="A36" s="2">
        <f t="shared" si="1"/>
        <v>28</v>
      </c>
      <c r="B36" s="3"/>
      <c r="C36" s="3"/>
      <c r="D36" s="3"/>
      <c r="E36" s="3">
        <f t="shared" si="6"/>
        <v>-2.9103830456733704E-11</v>
      </c>
    </row>
    <row r="37" spans="1:5" ht="15.75" x14ac:dyDescent="0.25">
      <c r="A37" s="2">
        <f t="shared" si="1"/>
        <v>29</v>
      </c>
      <c r="B37" s="3"/>
      <c r="C37" s="3"/>
      <c r="D37" s="3"/>
      <c r="E37" s="3">
        <f t="shared" si="6"/>
        <v>-2.9103830456733704E-11</v>
      </c>
    </row>
    <row r="38" spans="1:5" ht="15.75" x14ac:dyDescent="0.25">
      <c r="A38" s="2">
        <f t="shared" si="1"/>
        <v>30</v>
      </c>
      <c r="B38" s="3"/>
      <c r="C38" s="3"/>
      <c r="D38" s="3"/>
      <c r="E38" s="3">
        <f t="shared" si="6"/>
        <v>-2.9103830456733704E-11</v>
      </c>
    </row>
    <row r="39" spans="1:5" ht="15.75" x14ac:dyDescent="0.25">
      <c r="A39" s="2">
        <f t="shared" si="1"/>
        <v>31</v>
      </c>
      <c r="B39" s="3"/>
      <c r="C39" s="3"/>
      <c r="D39" s="3"/>
      <c r="E39" s="3">
        <f t="shared" si="6"/>
        <v>-2.9103830456733704E-11</v>
      </c>
    </row>
    <row r="40" spans="1:5" ht="15.75" x14ac:dyDescent="0.25">
      <c r="A40" s="2">
        <f t="shared" si="1"/>
        <v>32</v>
      </c>
      <c r="B40" s="3"/>
      <c r="C40" s="3"/>
      <c r="D40" s="3"/>
      <c r="E40" s="3">
        <f t="shared" si="6"/>
        <v>-2.9103830456733704E-11</v>
      </c>
    </row>
    <row r="41" spans="1:5" ht="15.75" x14ac:dyDescent="0.25">
      <c r="A41" s="2">
        <f t="shared" si="1"/>
        <v>33</v>
      </c>
      <c r="B41" s="3"/>
      <c r="C41" s="3"/>
      <c r="D41" s="3"/>
      <c r="E41" s="3">
        <f t="shared" si="6"/>
        <v>-2.9103830456733704E-11</v>
      </c>
    </row>
    <row r="42" spans="1:5" ht="15.75" x14ac:dyDescent="0.25">
      <c r="A42" s="2">
        <f t="shared" si="1"/>
        <v>34</v>
      </c>
      <c r="B42" s="3"/>
      <c r="C42" s="3"/>
      <c r="D42" s="3"/>
      <c r="E42" s="3">
        <f t="shared" si="6"/>
        <v>-2.9103830456733704E-11</v>
      </c>
    </row>
    <row r="43" spans="1:5" ht="15.75" x14ac:dyDescent="0.25">
      <c r="A43" s="2">
        <f t="shared" si="1"/>
        <v>35</v>
      </c>
      <c r="B43" s="3"/>
      <c r="C43" s="3"/>
      <c r="D43" s="3"/>
      <c r="E43" s="3">
        <f t="shared" si="6"/>
        <v>-2.9103830456733704E-11</v>
      </c>
    </row>
    <row r="44" spans="1:5" ht="15.75" x14ac:dyDescent="0.25">
      <c r="A44" s="2">
        <f t="shared" si="1"/>
        <v>36</v>
      </c>
      <c r="B44" s="3"/>
      <c r="C44" s="3"/>
      <c r="D44" s="3"/>
      <c r="E44" s="3">
        <f t="shared" si="6"/>
        <v>-2.9103830456733704E-11</v>
      </c>
    </row>
    <row r="45" spans="1:5" ht="15.75" x14ac:dyDescent="0.25">
      <c r="A45" s="2">
        <f t="shared" si="1"/>
        <v>37</v>
      </c>
      <c r="B45" s="3"/>
      <c r="C45" s="3"/>
      <c r="D45" s="3"/>
      <c r="E45" s="3">
        <f t="shared" si="6"/>
        <v>-2.9103830456733704E-11</v>
      </c>
    </row>
    <row r="46" spans="1:5" ht="15.75" x14ac:dyDescent="0.25">
      <c r="A46" s="2">
        <f t="shared" si="1"/>
        <v>38</v>
      </c>
      <c r="B46" s="3"/>
      <c r="C46" s="3"/>
      <c r="D46" s="3"/>
      <c r="E46" s="3">
        <f t="shared" si="6"/>
        <v>-2.9103830456733704E-11</v>
      </c>
    </row>
    <row r="47" spans="1:5" ht="15.75" x14ac:dyDescent="0.25">
      <c r="A47" s="2">
        <f t="shared" si="1"/>
        <v>39</v>
      </c>
      <c r="B47" s="3"/>
      <c r="C47" s="3"/>
      <c r="D47" s="3"/>
      <c r="E47" s="3">
        <f t="shared" si="6"/>
        <v>-2.9103830456733704E-11</v>
      </c>
    </row>
    <row r="48" spans="1:5" ht="15.75" x14ac:dyDescent="0.25">
      <c r="A48" s="2">
        <f t="shared" si="1"/>
        <v>40</v>
      </c>
      <c r="B48" s="3"/>
      <c r="C48" s="3"/>
      <c r="D48" s="3"/>
      <c r="E48" s="3">
        <f t="shared" si="6"/>
        <v>-2.9103830456733704E-11</v>
      </c>
    </row>
    <row r="49" spans="1:5" ht="15.75" x14ac:dyDescent="0.25">
      <c r="A49" s="2">
        <f t="shared" si="1"/>
        <v>41</v>
      </c>
      <c r="B49" s="3"/>
      <c r="C49" s="3"/>
      <c r="D49" s="3"/>
      <c r="E49" s="3">
        <f t="shared" si="6"/>
        <v>-2.9103830456733704E-11</v>
      </c>
    </row>
    <row r="50" spans="1:5" ht="15.75" x14ac:dyDescent="0.25">
      <c r="A50" s="2">
        <f t="shared" si="1"/>
        <v>42</v>
      </c>
      <c r="B50" s="3"/>
      <c r="C50" s="3"/>
      <c r="D50" s="3"/>
      <c r="E50" s="3">
        <f t="shared" si="6"/>
        <v>-2.9103830456733704E-11</v>
      </c>
    </row>
    <row r="51" spans="1:5" ht="15.75" x14ac:dyDescent="0.25">
      <c r="A51" s="2">
        <f t="shared" si="1"/>
        <v>43</v>
      </c>
      <c r="B51" s="3"/>
      <c r="C51" s="3"/>
      <c r="D51" s="3"/>
      <c r="E51" s="3">
        <f t="shared" si="6"/>
        <v>-2.9103830456733704E-11</v>
      </c>
    </row>
    <row r="52" spans="1:5" ht="15.75" x14ac:dyDescent="0.25">
      <c r="A52" s="2">
        <f t="shared" si="1"/>
        <v>44</v>
      </c>
      <c r="B52" s="3"/>
      <c r="C52" s="3"/>
      <c r="D52" s="3"/>
      <c r="E52" s="3">
        <f t="shared" si="6"/>
        <v>-2.9103830456733704E-11</v>
      </c>
    </row>
    <row r="53" spans="1:5" ht="15.75" x14ac:dyDescent="0.25">
      <c r="A53" s="2">
        <f t="shared" si="1"/>
        <v>45</v>
      </c>
      <c r="B53" s="3"/>
      <c r="C53" s="3"/>
      <c r="D53" s="3"/>
      <c r="E53" s="3">
        <f t="shared" si="6"/>
        <v>-2.9103830456733704E-11</v>
      </c>
    </row>
    <row r="54" spans="1:5" ht="15.75" x14ac:dyDescent="0.25">
      <c r="A54" s="2">
        <f t="shared" si="1"/>
        <v>46</v>
      </c>
      <c r="B54" s="3"/>
      <c r="C54" s="3"/>
      <c r="D54" s="3"/>
      <c r="E54" s="3">
        <f t="shared" si="6"/>
        <v>-2.9103830456733704E-11</v>
      </c>
    </row>
    <row r="55" spans="1:5" ht="15.75" x14ac:dyDescent="0.25">
      <c r="A55" s="2">
        <f t="shared" si="1"/>
        <v>47</v>
      </c>
      <c r="B55" s="3"/>
      <c r="C55" s="3"/>
      <c r="D55" s="3"/>
      <c r="E55" s="3">
        <f t="shared" si="6"/>
        <v>-2.9103830456733704E-11</v>
      </c>
    </row>
    <row r="56" spans="1:5" ht="15.75" x14ac:dyDescent="0.25">
      <c r="A56" s="2">
        <f t="shared" si="1"/>
        <v>48</v>
      </c>
      <c r="B56" s="3"/>
      <c r="C56" s="3"/>
      <c r="D56" s="3"/>
      <c r="E56" s="3">
        <f t="shared" si="6"/>
        <v>-2.9103830456733704E-11</v>
      </c>
    </row>
    <row r="57" spans="1:5" ht="15.75" x14ac:dyDescent="0.25">
      <c r="A57" s="2">
        <f t="shared" si="1"/>
        <v>49</v>
      </c>
      <c r="B57" s="3"/>
      <c r="C57" s="3"/>
      <c r="D57" s="3"/>
      <c r="E57" s="3">
        <f t="shared" si="6"/>
        <v>-2.9103830456733704E-11</v>
      </c>
    </row>
    <row r="58" spans="1:5" ht="15.75" x14ac:dyDescent="0.25">
      <c r="A58" s="2">
        <f t="shared" si="1"/>
        <v>50</v>
      </c>
      <c r="B58" s="3"/>
      <c r="C58" s="3"/>
      <c r="D58" s="3"/>
      <c r="E58" s="3">
        <f t="shared" si="6"/>
        <v>-2.9103830456733704E-11</v>
      </c>
    </row>
    <row r="59" spans="1:5" ht="15.75" x14ac:dyDescent="0.25">
      <c r="A59" s="2">
        <f t="shared" si="1"/>
        <v>51</v>
      </c>
      <c r="B59" s="3"/>
      <c r="C59" s="3"/>
      <c r="D59" s="3"/>
      <c r="E59" s="3">
        <f t="shared" si="6"/>
        <v>-2.9103830456733704E-11</v>
      </c>
    </row>
    <row r="60" spans="1:5" ht="15.75" x14ac:dyDescent="0.25">
      <c r="A60" s="2">
        <f t="shared" si="1"/>
        <v>52</v>
      </c>
      <c r="B60" s="3"/>
      <c r="C60" s="3"/>
      <c r="D60" s="3"/>
      <c r="E60" s="3">
        <f t="shared" si="6"/>
        <v>-2.9103830456733704E-11</v>
      </c>
    </row>
    <row r="61" spans="1:5" ht="15.75" x14ac:dyDescent="0.25">
      <c r="A61" s="2">
        <f t="shared" si="1"/>
        <v>53</v>
      </c>
      <c r="B61" s="3"/>
      <c r="C61" s="3"/>
      <c r="D61" s="3"/>
      <c r="E61" s="3">
        <f t="shared" si="6"/>
        <v>-2.9103830456733704E-11</v>
      </c>
    </row>
    <row r="62" spans="1:5" ht="15.75" x14ac:dyDescent="0.25">
      <c r="A62" s="2">
        <f t="shared" si="1"/>
        <v>54</v>
      </c>
      <c r="B62" s="3"/>
      <c r="C62" s="3"/>
      <c r="D62" s="3"/>
      <c r="E62" s="3">
        <f t="shared" si="6"/>
        <v>-2.9103830456733704E-11</v>
      </c>
    </row>
    <row r="63" spans="1:5" ht="15.75" x14ac:dyDescent="0.25">
      <c r="A63" s="2">
        <f t="shared" si="1"/>
        <v>55</v>
      </c>
      <c r="B63" s="3"/>
      <c r="C63" s="3"/>
      <c r="D63" s="3"/>
      <c r="E63" s="3">
        <f t="shared" si="6"/>
        <v>-2.9103830456733704E-11</v>
      </c>
    </row>
    <row r="64" spans="1:5" ht="15.75" x14ac:dyDescent="0.25">
      <c r="A64" s="2">
        <f t="shared" si="1"/>
        <v>56</v>
      </c>
      <c r="B64" s="3"/>
      <c r="C64" s="3"/>
      <c r="D64" s="3"/>
      <c r="E64" s="3">
        <f t="shared" si="6"/>
        <v>-2.9103830456733704E-11</v>
      </c>
    </row>
    <row r="65" spans="1:5" ht="15.75" x14ac:dyDescent="0.25">
      <c r="A65" s="2">
        <f t="shared" si="1"/>
        <v>57</v>
      </c>
      <c r="B65" s="3"/>
      <c r="C65" s="3"/>
      <c r="D65" s="3"/>
      <c r="E65" s="3">
        <f t="shared" si="6"/>
        <v>-2.9103830456733704E-11</v>
      </c>
    </row>
    <row r="66" spans="1:5" ht="15.75" x14ac:dyDescent="0.25">
      <c r="A66" s="2">
        <f t="shared" si="1"/>
        <v>58</v>
      </c>
      <c r="B66" s="3"/>
      <c r="C66" s="3"/>
      <c r="D66" s="3"/>
      <c r="E66" s="3">
        <f t="shared" si="6"/>
        <v>-2.9103830456733704E-11</v>
      </c>
    </row>
    <row r="67" spans="1:5" ht="15.75" x14ac:dyDescent="0.25">
      <c r="A67" s="2">
        <f t="shared" si="1"/>
        <v>59</v>
      </c>
      <c r="B67" s="3"/>
      <c r="C67" s="3"/>
      <c r="D67" s="3"/>
      <c r="E67" s="3">
        <f t="shared" si="6"/>
        <v>-2.9103830456733704E-11</v>
      </c>
    </row>
    <row r="68" spans="1:5" ht="15.75" x14ac:dyDescent="0.25">
      <c r="A68" s="2">
        <f t="shared" si="1"/>
        <v>60</v>
      </c>
      <c r="B68" s="3"/>
      <c r="C68" s="3"/>
      <c r="D68" s="3"/>
      <c r="E68" s="3">
        <f t="shared" si="6"/>
        <v>-2.9103830456733704E-11</v>
      </c>
    </row>
  </sheetData>
  <mergeCells count="6">
    <mergeCell ref="A1:E3"/>
    <mergeCell ref="F1:F3"/>
    <mergeCell ref="A4:B4"/>
    <mergeCell ref="A5:B5"/>
    <mergeCell ref="D5:E6"/>
    <mergeCell ref="A6:B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SEM CARÊNCIA</vt:lpstr>
      <vt:lpstr>COM CARÊNCIA-1</vt:lpstr>
      <vt:lpstr>COM CARÊNCIA-2</vt:lpstr>
      <vt:lpstr>COM CARÊNCIA-3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Sec_Infor_Adm</dc:creator>
  <cp:lastModifiedBy>Sec_Infor_Adm</cp:lastModifiedBy>
  <cp:lastPrinted>2016-03-23T19:18:58Z</cp:lastPrinted>
  <dcterms:created xsi:type="dcterms:W3CDTF">2016-03-18T10:57:34Z</dcterms:created>
  <dcterms:modified xsi:type="dcterms:W3CDTF">2016-08-24T14:13:42Z</dcterms:modified>
</cp:coreProperties>
</file>