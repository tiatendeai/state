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user\Desktop\PAU BRASIL\018-EDICLEIDE\EDNA\Nova pasta\"/>
    </mc:Choice>
  </mc:AlternateContent>
  <bookViews>
    <workbookView xWindow="0" yWindow="0" windowWidth="20490" windowHeight="7455"/>
  </bookViews>
  <sheets>
    <sheet name="Cálculo IRPF MEI - SESCON 2019" sheetId="3" r:id="rId1"/>
  </sheets>
  <definedNames>
    <definedName name="_xlnm._FilterDatabase" localSheetId="0" hidden="1">'Cálculo IRPF MEI - SESCON 2019'!$J$5:$O$6</definedName>
    <definedName name="Comércio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0" i="3" l="1"/>
  <c r="O6" i="3" l="1"/>
  <c r="G14" i="3"/>
  <c r="G17" i="3" l="1"/>
  <c r="J20" i="3" s="1"/>
  <c r="G23" i="3" l="1"/>
  <c r="J23" i="3" s="1"/>
  <c r="J17" i="3" l="1"/>
</calcChain>
</file>

<file path=xl/sharedStrings.xml><?xml version="1.0" encoding="utf-8"?>
<sst xmlns="http://schemas.openxmlformats.org/spreadsheetml/2006/main" count="34" uniqueCount="33">
  <si>
    <t>(Receita Bruta - Despesas)</t>
  </si>
  <si>
    <t>(% da atividade sobre a Receita Bruta)</t>
  </si>
  <si>
    <t>(Lucro Evidenciado - Parcela Isenta)</t>
  </si>
  <si>
    <t>Ficha de Rendimento Tributável recebido de Pessoa Jurídica</t>
  </si>
  <si>
    <t>Lucro Evidenciado:</t>
  </si>
  <si>
    <t>Receita Bruta MEI</t>
  </si>
  <si>
    <t>Despesas MEI</t>
  </si>
  <si>
    <t>Atividade realizada pelo MEI</t>
  </si>
  <si>
    <t>RESULTADO</t>
  </si>
  <si>
    <t>Outras Fontes de Renda</t>
  </si>
  <si>
    <t>PREENCHA OS CAMPOS EM BRANCO</t>
  </si>
  <si>
    <t>Preencha com rendimentos que você tenha fora da atividade de MEI</t>
  </si>
  <si>
    <t>Parcela Isenta:</t>
  </si>
  <si>
    <t>Parcela Tributábel:</t>
  </si>
  <si>
    <t>TOTAL REDIMENTOS:</t>
  </si>
  <si>
    <t>A parcela da receita bruta que pode ser considera como lucro líquido, de acordo com art. 14 da LC 123/2006 fica limitada aos percentuais previstos para o lucro presumido:</t>
  </si>
  <si>
    <t>Comércio, Indútria ou transportes de carga</t>
  </si>
  <si>
    <t>Transporte de passageiros</t>
  </si>
  <si>
    <t>Prestação de Serviços em geral</t>
  </si>
  <si>
    <t>Rendimentos acima:</t>
  </si>
  <si>
    <t xml:space="preserve">Como declarar na sua DIRPF </t>
  </si>
  <si>
    <t>Ficha de Rendimento Isentos - (Lucros e Divendos recebidos pelo Titular)</t>
  </si>
  <si>
    <t>(Parte correspondente ao MEI)</t>
  </si>
  <si>
    <t>APOIO:</t>
  </si>
  <si>
    <t>Curso Assessoria Para MEI's &gt;&gt;&gt;</t>
  </si>
  <si>
    <t>Curso IRPF na Prática 2019 &gt;&gt;&gt;</t>
  </si>
  <si>
    <t>Curso Formação em SPED &gt;&gt;&gt;</t>
  </si>
  <si>
    <t>http://bit.ly/cursoimpostoderenda2019</t>
  </si>
  <si>
    <t>Curso de Negociação e Precificação de Honorários &gt;&gt;&gt;</t>
  </si>
  <si>
    <t>http://bit.ly/negociandocomcliente</t>
  </si>
  <si>
    <t>http://bit.ly/contabilidadeMEI</t>
  </si>
  <si>
    <t xml:space="preserve">Confira os Nossos Cursos Online 2019 - Parceiros SESCON e CRCDF </t>
  </si>
  <si>
    <t>http://bit.ly/formacaoemSPED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</si>
</sst>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R$-416]\ * #,##0.00_-;\-[$R$-416]\ * #,##0.00_-;_-[$R$-416]\ * &quot;-&quot;??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2692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0"/>
      </right>
      <top style="thin">
        <color theme="1"/>
      </top>
      <bottom/>
      <diagonal/>
    </border>
    <border>
      <left/>
      <right style="medium">
        <color theme="0"/>
      </right>
      <top style="thin">
        <color theme="1"/>
      </top>
      <bottom style="thin">
        <color theme="1"/>
      </bottom>
      <diagonal/>
    </border>
    <border>
      <left style="medium">
        <color theme="0"/>
      </left>
      <right style="thin">
        <color theme="1"/>
      </right>
      <top style="thin">
        <color theme="1"/>
      </top>
      <bottom style="medium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0"/>
      </bottom>
      <diagonal/>
    </border>
    <border>
      <left style="thin">
        <color theme="1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90">
    <xf numFmtId="0" fontId="0" fillId="0" borderId="0" xfId="0"/>
    <xf numFmtId="0" fontId="0" fillId="3" borderId="0" xfId="0" applyFill="1"/>
    <xf numFmtId="9" fontId="0" fillId="0" borderId="0" xfId="0" applyNumberFormat="1"/>
    <xf numFmtId="0" fontId="0" fillId="8" borderId="10" xfId="0" applyFill="1" applyBorder="1"/>
    <xf numFmtId="0" fontId="0" fillId="8" borderId="11" xfId="0" applyFill="1" applyBorder="1"/>
    <xf numFmtId="0" fontId="0" fillId="6" borderId="1" xfId="0" applyFill="1" applyBorder="1" applyAlignment="1">
      <alignment horizontal="center"/>
    </xf>
    <xf numFmtId="0" fontId="3" fillId="15" borderId="2" xfId="0" applyFont="1" applyFill="1" applyBorder="1"/>
    <xf numFmtId="0" fontId="3" fillId="15" borderId="3" xfId="0" applyFont="1" applyFill="1" applyBorder="1"/>
    <xf numFmtId="0" fontId="3" fillId="15" borderId="4" xfId="0" applyFont="1" applyFill="1" applyBorder="1"/>
    <xf numFmtId="0" fontId="8" fillId="15" borderId="7" xfId="0" applyFont="1" applyFill="1" applyBorder="1"/>
    <xf numFmtId="0" fontId="8" fillId="15" borderId="8" xfId="0" applyFont="1" applyFill="1" applyBorder="1"/>
    <xf numFmtId="0" fontId="8" fillId="15" borderId="9" xfId="0" applyFont="1" applyFill="1" applyBorder="1"/>
    <xf numFmtId="0" fontId="0" fillId="12" borderId="0" xfId="0" applyFill="1"/>
    <xf numFmtId="0" fontId="9" fillId="5" borderId="5" xfId="0" applyFont="1" applyFill="1" applyBorder="1"/>
    <xf numFmtId="0" fontId="9" fillId="5" borderId="0" xfId="0" applyFont="1" applyFill="1"/>
    <xf numFmtId="0" fontId="0" fillId="5" borderId="6" xfId="0" applyFill="1" applyBorder="1"/>
    <xf numFmtId="0" fontId="4" fillId="5" borderId="0" xfId="0" applyFont="1" applyFill="1"/>
    <xf numFmtId="0" fontId="0" fillId="5" borderId="5" xfId="0" applyFill="1" applyBorder="1"/>
    <xf numFmtId="0" fontId="0" fillId="5" borderId="0" xfId="0" applyFill="1"/>
    <xf numFmtId="0" fontId="9" fillId="5" borderId="6" xfId="0" applyFont="1" applyFill="1" applyBorder="1"/>
    <xf numFmtId="0" fontId="0" fillId="5" borderId="8" xfId="0" applyFill="1" applyBorder="1"/>
    <xf numFmtId="0" fontId="0" fillId="5" borderId="9" xfId="0" applyFill="1" applyBorder="1"/>
    <xf numFmtId="0" fontId="0" fillId="11" borderId="0" xfId="0" applyFill="1"/>
    <xf numFmtId="0" fontId="11" fillId="10" borderId="19" xfId="0" applyFont="1" applyFill="1" applyBorder="1"/>
    <xf numFmtId="0" fontId="11" fillId="10" borderId="17" xfId="0" applyFont="1" applyFill="1" applyBorder="1"/>
    <xf numFmtId="0" fontId="11" fillId="10" borderId="18" xfId="0" applyFont="1" applyFill="1" applyBorder="1"/>
    <xf numFmtId="0" fontId="11" fillId="10" borderId="20" xfId="0" applyFont="1" applyFill="1" applyBorder="1"/>
    <xf numFmtId="0" fontId="0" fillId="0" borderId="21" xfId="0" applyBorder="1"/>
    <xf numFmtId="0" fontId="0" fillId="11" borderId="24" xfId="0" applyFill="1" applyBorder="1"/>
    <xf numFmtId="0" fontId="0" fillId="11" borderId="25" xfId="0" applyFill="1" applyBorder="1"/>
    <xf numFmtId="9" fontId="11" fillId="10" borderId="26" xfId="0" applyNumberFormat="1" applyFont="1" applyFill="1" applyBorder="1" applyAlignment="1">
      <alignment horizontal="center"/>
    </xf>
    <xf numFmtId="0" fontId="11" fillId="10" borderId="27" xfId="0" applyFont="1" applyFill="1" applyBorder="1"/>
    <xf numFmtId="0" fontId="11" fillId="10" borderId="28" xfId="0" applyFont="1" applyFill="1" applyBorder="1"/>
    <xf numFmtId="9" fontId="11" fillId="10" borderId="29" xfId="0" applyNumberFormat="1" applyFont="1" applyFill="1" applyBorder="1" applyAlignment="1">
      <alignment horizontal="center"/>
    </xf>
    <xf numFmtId="0" fontId="11" fillId="10" borderId="30" xfId="0" applyFont="1" applyFill="1" applyBorder="1"/>
    <xf numFmtId="0" fontId="11" fillId="10" borderId="31" xfId="0" applyFont="1" applyFill="1" applyBorder="1"/>
    <xf numFmtId="0" fontId="11" fillId="10" borderId="32" xfId="0" applyFont="1" applyFill="1" applyBorder="1"/>
    <xf numFmtId="0" fontId="11" fillId="10" borderId="33" xfId="0" applyFont="1" applyFill="1" applyBorder="1"/>
    <xf numFmtId="9" fontId="0" fillId="9" borderId="0" xfId="1" applyFont="1" applyFill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left"/>
    </xf>
    <xf numFmtId="0" fontId="14" fillId="0" borderId="0" xfId="2"/>
    <xf numFmtId="0" fontId="15" fillId="0" borderId="0" xfId="0" applyFont="1"/>
    <xf numFmtId="0" fontId="5" fillId="11" borderId="22" xfId="0" applyFont="1" applyFill="1" applyBorder="1" applyAlignment="1">
      <alignment horizontal="center" vertical="distributed"/>
    </xf>
    <xf numFmtId="0" fontId="5" fillId="11" borderId="21" xfId="0" applyFont="1" applyFill="1" applyBorder="1" applyAlignment="1">
      <alignment horizontal="center" vertical="distributed"/>
    </xf>
    <xf numFmtId="0" fontId="5" fillId="11" borderId="23" xfId="0" applyFont="1" applyFill="1" applyBorder="1" applyAlignment="1">
      <alignment horizontal="center" vertical="distributed"/>
    </xf>
    <xf numFmtId="0" fontId="5" fillId="11" borderId="24" xfId="0" applyFont="1" applyFill="1" applyBorder="1" applyAlignment="1">
      <alignment horizontal="center" vertical="distributed"/>
    </xf>
    <xf numFmtId="0" fontId="5" fillId="11" borderId="0" xfId="0" applyFont="1" applyFill="1" applyAlignment="1">
      <alignment horizontal="center" vertical="distributed"/>
    </xf>
    <xf numFmtId="0" fontId="5" fillId="11" borderId="25" xfId="0" applyFont="1" applyFill="1" applyBorder="1" applyAlignment="1">
      <alignment horizontal="center" vertical="distributed"/>
    </xf>
    <xf numFmtId="164" fontId="1" fillId="2" borderId="13" xfId="0" applyNumberFormat="1" applyFont="1" applyFill="1" applyBorder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/>
    </xf>
    <xf numFmtId="164" fontId="1" fillId="2" borderId="15" xfId="0" applyNumberFormat="1" applyFont="1" applyFill="1" applyBorder="1" applyAlignment="1">
      <alignment horizontal="center" vertical="center"/>
    </xf>
    <xf numFmtId="164" fontId="1" fillId="2" borderId="16" xfId="0" applyNumberFormat="1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164" fontId="1" fillId="9" borderId="10" xfId="0" applyNumberFormat="1" applyFont="1" applyFill="1" applyBorder="1" applyAlignment="1">
      <alignment horizontal="center"/>
    </xf>
    <xf numFmtId="164" fontId="1" fillId="9" borderId="12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8" fillId="15" borderId="7" xfId="0" applyFont="1" applyFill="1" applyBorder="1" applyAlignment="1">
      <alignment horizontal="left"/>
    </xf>
    <xf numFmtId="0" fontId="8" fillId="15" borderId="8" xfId="0" applyFont="1" applyFill="1" applyBorder="1" applyAlignment="1">
      <alignment horizontal="left"/>
    </xf>
    <xf numFmtId="0" fontId="8" fillId="15" borderId="9" xfId="0" applyFont="1" applyFill="1" applyBorder="1" applyAlignment="1">
      <alignment horizontal="left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5" fillId="13" borderId="0" xfId="0" applyFont="1" applyFill="1" applyAlignment="1">
      <alignment horizontal="center" vertical="distributed"/>
    </xf>
    <xf numFmtId="0" fontId="10" fillId="4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164" fontId="4" fillId="5" borderId="5" xfId="0" applyNumberFormat="1" applyFont="1" applyFill="1" applyBorder="1" applyAlignment="1">
      <alignment horizontal="center"/>
    </xf>
    <xf numFmtId="164" fontId="4" fillId="5" borderId="0" xfId="0" applyNumberFormat="1" applyFont="1" applyFill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7" fillId="7" borderId="0" xfId="0" applyFont="1" applyFill="1" applyAlignment="1">
      <alignment horizontal="center"/>
    </xf>
    <xf numFmtId="164" fontId="0" fillId="8" borderId="12" xfId="0" applyNumberForma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/>
    </xf>
    <xf numFmtId="164" fontId="0" fillId="5" borderId="8" xfId="0" applyNumberFormat="1" applyFill="1" applyBorder="1" applyAlignment="1">
      <alignment horizontal="center"/>
    </xf>
    <xf numFmtId="164" fontId="0" fillId="5" borderId="5" xfId="0" applyNumberFormat="1" applyFill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0" fontId="10" fillId="14" borderId="0" xfId="0" applyFont="1" applyFill="1" applyAlignment="1">
      <alignment horizontal="center"/>
    </xf>
  </cellXfs>
  <cellStyles count="3">
    <cellStyle name="Hiperlink" xfId="2" builtinId="8"/>
    <cellStyle name="Normal" xfId="0" builtinId="0"/>
    <cellStyle name="Porcentagem" xfId="1" builtinId="5"/>
  </cellStyles>
  <dxfs count="2"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1781BD"/>
      <color rgb="FFE26925"/>
      <color rgb="FFC59EE2"/>
      <color rgb="FFEB8A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8</xdr:row>
      <xdr:rowOff>85725</xdr:rowOff>
    </xdr:from>
    <xdr:to>
      <xdr:col>5</xdr:col>
      <xdr:colOff>371475</xdr:colOff>
      <xdr:row>8</xdr:row>
      <xdr:rowOff>85725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 flipH="1">
          <a:off x="2543175" y="1743075"/>
          <a:ext cx="333375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152400</xdr:colOff>
      <xdr:row>4</xdr:row>
      <xdr:rowOff>57150</xdr:rowOff>
    </xdr:from>
    <xdr:to>
      <xdr:col>15</xdr:col>
      <xdr:colOff>533400</xdr:colOff>
      <xdr:row>4</xdr:row>
      <xdr:rowOff>57150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9201150" y="990600"/>
          <a:ext cx="3810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144781</xdr:colOff>
      <xdr:row>10</xdr:row>
      <xdr:rowOff>122771</xdr:rowOff>
    </xdr:from>
    <xdr:to>
      <xdr:col>18</xdr:col>
      <xdr:colOff>373381</xdr:colOff>
      <xdr:row>12</xdr:row>
      <xdr:rowOff>150495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xmlns="" id="{A5308122-CD8A-4BE2-A839-4BE82E29A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6481" y="2233511"/>
          <a:ext cx="1463040" cy="469684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</xdr:colOff>
      <xdr:row>10</xdr:row>
      <xdr:rowOff>168237</xdr:rowOff>
    </xdr:from>
    <xdr:to>
      <xdr:col>21</xdr:col>
      <xdr:colOff>38100</xdr:colOff>
      <xdr:row>13</xdr:row>
      <xdr:rowOff>15240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xmlns="" id="{5B533DF9-E76D-4F19-98C2-32B0F6F6B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6220" y="2278977"/>
          <a:ext cx="1455420" cy="471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bit.ly/contabilidadeMEI" TargetMode="External"/><Relationship Id="rId2" Type="http://schemas.openxmlformats.org/officeDocument/2006/relationships/hyperlink" Target="http://bit.ly/negociandocomcliente" TargetMode="External"/><Relationship Id="rId1" Type="http://schemas.openxmlformats.org/officeDocument/2006/relationships/hyperlink" Target="http://bit.ly/cursoimpostoderenda2019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bit.ly/formacaoemSP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24"/>
  <sheetViews>
    <sheetView showGridLines="0" tabSelected="1" zoomScaleNormal="100" workbookViewId="0">
      <selection activeCell="N26" sqref="N26"/>
    </sheetView>
  </sheetViews>
  <sheetFormatPr defaultRowHeight="15" x14ac:dyDescent="0.25"/>
  <cols>
    <col min="1" max="1" width="6.42578125" customWidth="1"/>
    <col min="2" max="2" width="3.7109375" customWidth="1"/>
    <col min="5" max="5" width="9.140625" customWidth="1"/>
    <col min="6" max="6" width="6.140625" customWidth="1"/>
    <col min="8" max="8" width="11.42578125" customWidth="1"/>
    <col min="12" max="12" width="10.140625" customWidth="1"/>
    <col min="13" max="13" width="14.85546875" customWidth="1"/>
    <col min="14" max="14" width="9.85546875" customWidth="1"/>
    <col min="18" max="18" width="9.140625" customWidth="1"/>
    <col min="20" max="20" width="9.7109375" customWidth="1"/>
    <col min="21" max="21" width="11.28515625" customWidth="1"/>
  </cols>
  <sheetData>
    <row r="2" spans="2:21" ht="15.75" thickBot="1" x14ac:dyDescent="0.3"/>
    <row r="3" spans="2:21" ht="19.5" x14ac:dyDescent="0.3">
      <c r="B3" s="69" t="s">
        <v>10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43" t="s">
        <v>15</v>
      </c>
      <c r="R3" s="44"/>
      <c r="S3" s="44"/>
      <c r="T3" s="44"/>
      <c r="U3" s="45"/>
    </row>
    <row r="4" spans="2:21" ht="23.25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46"/>
      <c r="R4" s="47"/>
      <c r="S4" s="47"/>
      <c r="T4" s="47"/>
      <c r="U4" s="48"/>
    </row>
    <row r="5" spans="2:21" x14ac:dyDescent="0.25">
      <c r="B5" s="1"/>
      <c r="C5" s="65" t="s">
        <v>5</v>
      </c>
      <c r="D5" s="66"/>
      <c r="E5" s="67"/>
      <c r="F5" s="1"/>
      <c r="G5" s="65" t="s">
        <v>6</v>
      </c>
      <c r="H5" s="67"/>
      <c r="I5" s="1"/>
      <c r="J5" s="76" t="s">
        <v>7</v>
      </c>
      <c r="K5" s="76"/>
      <c r="L5" s="76"/>
      <c r="M5" s="76"/>
      <c r="N5" s="76"/>
      <c r="O5" s="76"/>
      <c r="P5" s="1"/>
      <c r="Q5" s="28"/>
      <c r="R5" s="22"/>
      <c r="S5" s="22"/>
      <c r="T5" s="22"/>
      <c r="U5" s="29"/>
    </row>
    <row r="6" spans="2:21" ht="17.25" customHeight="1" x14ac:dyDescent="0.25">
      <c r="B6" s="1"/>
      <c r="C6" s="62">
        <v>47500</v>
      </c>
      <c r="D6" s="63"/>
      <c r="E6" s="64"/>
      <c r="F6" s="1"/>
      <c r="G6" s="62">
        <v>9150</v>
      </c>
      <c r="H6" s="64"/>
      <c r="I6" s="1"/>
      <c r="J6" s="70" t="s">
        <v>18</v>
      </c>
      <c r="K6" s="70"/>
      <c r="L6" s="70"/>
      <c r="M6" s="70"/>
      <c r="N6" s="70"/>
      <c r="O6" s="38">
        <f>IF(J6="Comércio, Indútria ou transportes de carga","8%",IF(J6="Transporte de passageiros",16%,IF(J6="Prestação de Serviços em geral",32%,"")))</f>
        <v>0.32</v>
      </c>
      <c r="P6" s="1"/>
      <c r="Q6" s="30">
        <v>0.08</v>
      </c>
      <c r="R6" s="23" t="s">
        <v>16</v>
      </c>
      <c r="S6" s="23"/>
      <c r="T6" s="23"/>
      <c r="U6" s="31"/>
    </row>
    <row r="7" spans="2:21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30">
        <v>0.16</v>
      </c>
      <c r="R7" s="24" t="s">
        <v>17</v>
      </c>
      <c r="S7" s="25"/>
      <c r="T7" s="26"/>
      <c r="U7" s="32"/>
    </row>
    <row r="8" spans="2:21" ht="15" customHeight="1" thickBot="1" x14ac:dyDescent="0.3">
      <c r="B8" s="1"/>
      <c r="C8" s="65" t="s">
        <v>9</v>
      </c>
      <c r="D8" s="66"/>
      <c r="E8" s="67"/>
      <c r="F8" s="1"/>
      <c r="G8" s="68" t="s">
        <v>11</v>
      </c>
      <c r="H8" s="68"/>
      <c r="I8" s="1"/>
      <c r="J8" s="5">
        <v>2018</v>
      </c>
      <c r="K8" s="3" t="s">
        <v>19</v>
      </c>
      <c r="L8" s="4"/>
      <c r="M8" s="77">
        <v>28559.7</v>
      </c>
      <c r="N8" s="78"/>
      <c r="O8" s="1"/>
      <c r="P8" s="1"/>
      <c r="Q8" s="33">
        <v>0.32</v>
      </c>
      <c r="R8" s="34" t="s">
        <v>18</v>
      </c>
      <c r="S8" s="35"/>
      <c r="T8" s="36"/>
      <c r="U8" s="37"/>
    </row>
    <row r="9" spans="2:21" ht="19.5" customHeight="1" x14ac:dyDescent="0.25">
      <c r="B9" s="1"/>
      <c r="C9" s="62"/>
      <c r="D9" s="63"/>
      <c r="E9" s="64"/>
      <c r="F9" s="1"/>
      <c r="G9" s="68"/>
      <c r="H9" s="68"/>
      <c r="I9" s="1"/>
      <c r="J9" s="1"/>
      <c r="K9" s="1"/>
      <c r="L9" s="1"/>
      <c r="M9" s="1"/>
      <c r="N9" s="1"/>
      <c r="O9" s="1"/>
      <c r="P9" s="1"/>
      <c r="Q9" s="2"/>
      <c r="R9" s="58"/>
      <c r="S9" s="58"/>
      <c r="T9" s="58"/>
      <c r="U9" s="58"/>
    </row>
    <row r="10" spans="2:21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S10" s="39" t="s">
        <v>23</v>
      </c>
    </row>
    <row r="11" spans="2:21" ht="15.75" thickBot="1" x14ac:dyDescent="0.3"/>
    <row r="12" spans="2:21" ht="19.5" x14ac:dyDescent="0.3">
      <c r="B12" s="89" t="s">
        <v>8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R12" s="27"/>
    </row>
    <row r="13" spans="2:21" x14ac:dyDescent="0.2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2:21" x14ac:dyDescent="0.25">
      <c r="B14" s="12"/>
      <c r="C14" s="6" t="s">
        <v>4</v>
      </c>
      <c r="D14" s="7"/>
      <c r="E14" s="8"/>
      <c r="F14" s="12"/>
      <c r="G14" s="49">
        <f>C6-G6</f>
        <v>38350</v>
      </c>
      <c r="H14" s="50"/>
      <c r="I14" s="12"/>
      <c r="J14" s="79" t="s">
        <v>20</v>
      </c>
      <c r="K14" s="80"/>
      <c r="L14" s="80"/>
      <c r="M14" s="80"/>
      <c r="N14" s="80"/>
      <c r="O14" s="81"/>
      <c r="P14" s="12"/>
    </row>
    <row r="15" spans="2:21" ht="15.75" x14ac:dyDescent="0.25">
      <c r="B15" s="12"/>
      <c r="C15" s="9" t="s">
        <v>0</v>
      </c>
      <c r="D15" s="10"/>
      <c r="E15" s="11"/>
      <c r="F15" s="12"/>
      <c r="G15" s="51"/>
      <c r="H15" s="52"/>
      <c r="I15" s="12"/>
      <c r="J15" s="82"/>
      <c r="K15" s="83"/>
      <c r="L15" s="83"/>
      <c r="M15" s="83"/>
      <c r="N15" s="83"/>
      <c r="O15" s="84"/>
      <c r="P15" s="12"/>
      <c r="R15" s="40" t="s">
        <v>31</v>
      </c>
    </row>
    <row r="16" spans="2:21" x14ac:dyDescent="0.25">
      <c r="B16" s="12"/>
      <c r="C16" s="12"/>
      <c r="D16" s="12"/>
      <c r="E16" s="12"/>
      <c r="F16" s="12"/>
      <c r="G16" s="12"/>
      <c r="H16" s="12"/>
      <c r="I16" s="12"/>
      <c r="J16" s="13" t="s">
        <v>3</v>
      </c>
      <c r="K16" s="14"/>
      <c r="L16" s="14"/>
      <c r="M16" s="14"/>
      <c r="N16" s="14"/>
      <c r="O16" s="15"/>
      <c r="P16" s="12"/>
    </row>
    <row r="17" spans="2:23" x14ac:dyDescent="0.25">
      <c r="B17" s="12"/>
      <c r="C17" s="6" t="s">
        <v>12</v>
      </c>
      <c r="D17" s="7"/>
      <c r="E17" s="8"/>
      <c r="F17" s="12"/>
      <c r="G17" s="49">
        <f>C6*O6</f>
        <v>15200</v>
      </c>
      <c r="H17" s="50"/>
      <c r="I17" s="12"/>
      <c r="J17" s="71">
        <f>G20</f>
        <v>23150</v>
      </c>
      <c r="K17" s="72"/>
      <c r="L17" s="16" t="s">
        <v>22</v>
      </c>
      <c r="M17" s="16"/>
      <c r="N17" s="16"/>
      <c r="O17" s="15"/>
      <c r="P17" s="12"/>
      <c r="R17" s="42" t="s">
        <v>24</v>
      </c>
      <c r="U17" s="41" t="s">
        <v>30</v>
      </c>
    </row>
    <row r="18" spans="2:23" x14ac:dyDescent="0.25">
      <c r="B18" s="12"/>
      <c r="C18" s="59" t="s">
        <v>1</v>
      </c>
      <c r="D18" s="60"/>
      <c r="E18" s="61"/>
      <c r="F18" s="12"/>
      <c r="G18" s="51"/>
      <c r="H18" s="52"/>
      <c r="I18" s="12"/>
      <c r="J18" s="17"/>
      <c r="K18" s="18"/>
      <c r="L18" s="18"/>
      <c r="M18" s="18"/>
      <c r="N18" s="18"/>
      <c r="O18" s="15"/>
      <c r="P18" s="12"/>
    </row>
    <row r="19" spans="2:23" x14ac:dyDescent="0.25">
      <c r="B19" s="12"/>
      <c r="C19" s="12"/>
      <c r="D19" s="12"/>
      <c r="E19" s="12"/>
      <c r="F19" s="12"/>
      <c r="G19" s="12"/>
      <c r="H19" s="12"/>
      <c r="I19" s="12"/>
      <c r="J19" s="13" t="s">
        <v>21</v>
      </c>
      <c r="K19" s="14"/>
      <c r="L19" s="14"/>
      <c r="M19" s="14"/>
      <c r="N19" s="14"/>
      <c r="O19" s="19"/>
      <c r="P19" s="12"/>
      <c r="R19" s="42" t="s">
        <v>28</v>
      </c>
      <c r="W19" s="41" t="s">
        <v>29</v>
      </c>
    </row>
    <row r="20" spans="2:23" x14ac:dyDescent="0.25">
      <c r="B20" s="12"/>
      <c r="C20" s="6" t="s">
        <v>13</v>
      </c>
      <c r="D20" s="7"/>
      <c r="E20" s="8"/>
      <c r="F20" s="12"/>
      <c r="G20" s="49">
        <f>G14-G17</f>
        <v>23150</v>
      </c>
      <c r="H20" s="50"/>
      <c r="I20" s="12"/>
      <c r="J20" s="87">
        <f>G17</f>
        <v>15200</v>
      </c>
      <c r="K20" s="88"/>
      <c r="L20" s="18"/>
      <c r="M20" s="18"/>
      <c r="N20" s="18"/>
      <c r="O20" s="15"/>
      <c r="P20" s="12"/>
    </row>
    <row r="21" spans="2:23" x14ac:dyDescent="0.25">
      <c r="B21" s="12"/>
      <c r="C21" s="9" t="s">
        <v>2</v>
      </c>
      <c r="D21" s="10"/>
      <c r="E21" s="11"/>
      <c r="F21" s="12"/>
      <c r="G21" s="51"/>
      <c r="H21" s="52"/>
      <c r="I21" s="12"/>
      <c r="J21" s="85"/>
      <c r="K21" s="86"/>
      <c r="L21" s="20"/>
      <c r="M21" s="20"/>
      <c r="N21" s="20"/>
      <c r="O21" s="21"/>
      <c r="P21" s="12"/>
      <c r="R21" s="42" t="s">
        <v>25</v>
      </c>
      <c r="U21" s="41" t="s">
        <v>27</v>
      </c>
    </row>
    <row r="22" spans="2:23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2:23" ht="15.75" x14ac:dyDescent="0.25">
      <c r="B23" s="12"/>
      <c r="C23" s="53" t="s">
        <v>14</v>
      </c>
      <c r="D23" s="54"/>
      <c r="E23" s="54"/>
      <c r="F23" s="55"/>
      <c r="G23" s="56">
        <f>G20+C9</f>
        <v>23150</v>
      </c>
      <c r="H23" s="57"/>
      <c r="I23" s="12"/>
      <c r="J23" s="73" t="str">
        <f>IF(G23&gt;M8,"ESTÁ OBRIGADO A DECLARAR O IMPOSTOS DE RENDA!","NÃO ESTÁ OBRIGADO A DECLARAR O IMPOSTO DE RENDA!")</f>
        <v>NÃO ESTÁ OBRIGADO A DECLARAR O IMPOSTO DE RENDA!</v>
      </c>
      <c r="K23" s="74"/>
      <c r="L23" s="74"/>
      <c r="M23" s="74"/>
      <c r="N23" s="75"/>
      <c r="O23" s="12"/>
      <c r="P23" s="12"/>
      <c r="R23" s="42" t="s">
        <v>26</v>
      </c>
      <c r="U23" s="41" t="s">
        <v>32</v>
      </c>
    </row>
    <row r="24" spans="2:23" x14ac:dyDescent="0.2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</sheetData>
  <mergeCells count="25">
    <mergeCell ref="J6:N6"/>
    <mergeCell ref="J17:K17"/>
    <mergeCell ref="J23:N23"/>
    <mergeCell ref="J5:O5"/>
    <mergeCell ref="M8:N8"/>
    <mergeCell ref="J14:O15"/>
    <mergeCell ref="J21:K21"/>
    <mergeCell ref="J20:K20"/>
    <mergeCell ref="B12:P12"/>
    <mergeCell ref="Q3:U4"/>
    <mergeCell ref="G20:H21"/>
    <mergeCell ref="C23:F23"/>
    <mergeCell ref="G23:H23"/>
    <mergeCell ref="R9:U9"/>
    <mergeCell ref="C18:E18"/>
    <mergeCell ref="G14:H15"/>
    <mergeCell ref="G17:H18"/>
    <mergeCell ref="C6:E6"/>
    <mergeCell ref="C5:E5"/>
    <mergeCell ref="G5:H5"/>
    <mergeCell ref="G6:H6"/>
    <mergeCell ref="C8:E8"/>
    <mergeCell ref="C9:E9"/>
    <mergeCell ref="G8:H9"/>
    <mergeCell ref="B3:P3"/>
  </mergeCells>
  <conditionalFormatting sqref="J23:N23">
    <cfRule type="beginsWith" dxfId="1" priority="1" operator="beginsWith" text="ESTÁ">
      <formula>LEFT(J23,LEN("ESTÁ"))="ESTÁ"</formula>
    </cfRule>
    <cfRule type="containsText" dxfId="0" priority="2" operator="containsText" text="NÃO ESTÁ OBRIGADO A DECLARAR O IMPOSTO DE RENDA!">
      <formula>NOT(ISERROR(SEARCH("NÃO ESTÁ OBRIGADO A DECLARAR O IMPOSTO DE RENDA!",J23)))</formula>
    </cfRule>
  </conditionalFormatting>
  <dataValidations count="1">
    <dataValidation type="list" allowBlank="1" showInputMessage="1" showErrorMessage="1" sqref="J6">
      <formula1>$R$6:$R$8</formula1>
    </dataValidation>
  </dataValidations>
  <hyperlinks>
    <hyperlink ref="U21" r:id="rId1"/>
    <hyperlink ref="W19" r:id="rId2"/>
    <hyperlink ref="U17" r:id="rId3"/>
    <hyperlink ref="U23" r:id="rId4"/>
  </hyperlinks>
  <pageMargins left="0.511811024" right="0.511811024" top="0.78740157499999996" bottom="0.78740157499999996" header="0.31496062000000002" footer="0.31496062000000002"/>
  <pageSetup paperSize="9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Cálculo IRPF MEI - SESCON 2019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user</cp:lastModifiedBy>
  <cp:lastPrinted>2016-01-28T13:57:45Z</cp:lastPrinted>
  <dcterms:created xsi:type="dcterms:W3CDTF">2016-01-28T11:43:53Z</dcterms:created>
  <dcterms:modified xsi:type="dcterms:W3CDTF">2019-04-24T14:33:14Z</dcterms:modified>
</cp:coreProperties>
</file>