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Delmiro\Documentos\Planilhas\"/>
    </mc:Choice>
  </mc:AlternateContent>
  <bookViews>
    <workbookView xWindow="0" yWindow="0" windowWidth="19200" windowHeight="7440" activeTab="1" xr2:uid="{AF0E3A00-B34F-4118-B605-FD9440A4F352}"/>
  </bookViews>
  <sheets>
    <sheet name="Empregados" sheetId="1" r:id="rId1"/>
    <sheet name="Patronal" sheetId="2" r:id="rId2"/>
    <sheet name="Aliquotas RAT" sheetId="3" r:id="rId3"/>
    <sheet name="Terceiros" sheetId="4" r:id="rId4"/>
  </sheet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E27" i="2" l="1"/>
  <c r="B1123" i="3" l="1"/>
  <c r="B1124" i="3" s="1"/>
  <c r="B1134" i="3"/>
  <c r="B1153" i="3"/>
  <c r="B1154" i="3" s="1"/>
  <c r="B1155" i="3" s="1"/>
  <c r="B1156" i="3" s="1"/>
  <c r="B1157" i="3" s="1"/>
  <c r="B1158" i="3" s="1"/>
  <c r="B1187" i="3"/>
  <c r="B1188" i="3" s="1"/>
  <c r="B1189" i="3" s="1"/>
  <c r="B1190" i="3" s="1"/>
  <c r="B1182" i="3"/>
  <c r="B1183" i="3" s="1"/>
  <c r="B1198" i="3"/>
  <c r="B1199" i="3" s="1"/>
  <c r="B1200" i="3" s="1"/>
  <c r="B1201" i="3" s="1"/>
  <c r="B1202" i="3" s="1"/>
  <c r="B1206" i="3"/>
  <c r="B1207" i="3" s="1"/>
  <c r="B1208" i="3" s="1"/>
  <c r="B1209" i="3" s="1"/>
  <c r="B1210" i="3" s="1"/>
  <c r="B1211" i="3" s="1"/>
  <c r="B1212" i="3" s="1"/>
  <c r="B1213" i="3" s="1"/>
  <c r="B1214" i="3" s="1"/>
  <c r="B1215" i="3" s="1"/>
  <c r="B1216" i="3" s="1"/>
  <c r="B1217" i="3" s="1"/>
  <c r="B1218" i="3" s="1"/>
  <c r="B1230" i="3"/>
  <c r="B1233" i="3"/>
  <c r="B1234" i="3" s="1"/>
  <c r="B1235" i="3" s="1"/>
  <c r="B1236" i="3" s="1"/>
  <c r="B1241" i="3"/>
  <c r="B1245" i="3"/>
  <c r="B1246" i="3" s="1"/>
  <c r="B1247" i="3" s="1"/>
  <c r="B1248" i="3" s="1"/>
  <c r="B1249" i="3" s="1"/>
  <c r="B1268" i="3"/>
  <c r="B1269" i="3" s="1"/>
  <c r="B1270" i="3" s="1"/>
  <c r="B1284" i="3"/>
  <c r="B1285" i="3" s="1"/>
  <c r="B1286" i="3" s="1"/>
  <c r="B1287" i="3" s="1"/>
  <c r="B1288" i="3" s="1"/>
  <c r="B1296" i="3"/>
  <c r="B1297" i="3" s="1"/>
  <c r="B1298" i="3" s="1"/>
  <c r="B1299" i="3" s="1"/>
  <c r="B1294" i="3"/>
  <c r="B1291" i="3"/>
  <c r="B1292" i="3" s="1"/>
  <c r="G13" i="2"/>
  <c r="G15" i="2" s="1"/>
  <c r="E20" i="2" s="1"/>
  <c r="G10" i="2"/>
  <c r="G9" i="2"/>
  <c r="G8" i="2"/>
  <c r="G7" i="2"/>
  <c r="M11" i="2"/>
  <c r="J10" i="2"/>
  <c r="J9" i="2"/>
  <c r="E24" i="2"/>
  <c r="D15" i="2"/>
  <c r="E22" i="2" s="1"/>
  <c r="D11" i="2"/>
  <c r="E21" i="2" s="1"/>
  <c r="D23" i="2" l="1"/>
  <c r="G11" i="2"/>
  <c r="E19" i="2" s="1"/>
  <c r="D20" i="2"/>
  <c r="D19" i="2"/>
  <c r="E31" i="1"/>
  <c r="E29" i="1"/>
  <c r="E26" i="1"/>
  <c r="E25" i="1"/>
  <c r="D19" i="1"/>
  <c r="E18" i="1"/>
  <c r="E17" i="1"/>
  <c r="E6" i="1"/>
  <c r="B5" i="1"/>
  <c r="B4" i="1"/>
  <c r="E23" i="2" l="1"/>
  <c r="E25" i="2" s="1"/>
  <c r="E19" i="1"/>
  <c r="E21" i="1" s="1"/>
  <c r="E27" i="1"/>
  <c r="E2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Delmiro Martins</author>
  </authors>
  <commentList>
    <comment ref="G3" authorId="0" shapeId="0" xr:uid="{33B2C2C0-0086-475A-8A66-8C1EB9661769}">
      <text>
        <r>
          <rPr>
            <b/>
            <sz val="9"/>
            <color indexed="81"/>
            <rFont val="Segoe UI"/>
            <family val="2"/>
          </rPr>
          <t>Delmiro Martins:</t>
        </r>
        <r>
          <rPr>
            <sz val="9"/>
            <color indexed="81"/>
            <rFont val="Segoe UI"/>
            <family val="2"/>
          </rPr>
          <t xml:space="preserve">
digitar somente números
</t>
        </r>
      </text>
    </comment>
    <comment ref="F4" authorId="0" shapeId="0" xr:uid="{5BD5B0BC-6F81-422A-BC91-45DC837354D6}">
      <text>
        <r>
          <rPr>
            <b/>
            <sz val="9"/>
            <color indexed="81"/>
            <rFont val="Segoe UI"/>
            <charset val="1"/>
          </rPr>
          <t>Delmiro Martins:</t>
        </r>
        <r>
          <rPr>
            <sz val="9"/>
            <color indexed="81"/>
            <rFont val="Segoe UI"/>
            <charset val="1"/>
          </rPr>
          <t xml:space="preserve">
Para saber o FAP da empresa, tem que acessar o site: https://www2.dataprev.gov.br/FapWeb/faces/pages/principal.xhtml
</t>
        </r>
      </text>
    </comment>
  </commentList>
</comments>
</file>

<file path=xl/sharedStrings.xml><?xml version="1.0" encoding="utf-8"?>
<sst xmlns="http://schemas.openxmlformats.org/spreadsheetml/2006/main" count="2133" uniqueCount="2105">
  <si>
    <t>TETO</t>
  </si>
  <si>
    <t>Como calcular passo a passo:</t>
  </si>
  <si>
    <r>
      <rPr>
        <b/>
        <sz val="10"/>
        <color theme="1"/>
        <rFont val="Times New Roman"/>
        <family val="1"/>
      </rPr>
      <t xml:space="preserve">Passo 2 -  </t>
    </r>
    <r>
      <rPr>
        <sz val="10"/>
        <color theme="1"/>
        <rFont val="Times New Roman"/>
        <family val="2"/>
      </rPr>
      <t>Somar descontos (Faltas e atrasos)</t>
    </r>
  </si>
  <si>
    <r>
      <rPr>
        <b/>
        <sz val="10"/>
        <color theme="1"/>
        <rFont val="Times New Roman"/>
        <family val="1"/>
      </rPr>
      <t xml:space="preserve">Passo 1 - </t>
    </r>
    <r>
      <rPr>
        <sz val="10"/>
        <color theme="1"/>
        <rFont val="Times New Roman"/>
        <family val="2"/>
      </rPr>
      <t>Somar proventos (salário, horas extras, dsr, comissões, gratificações, adicional noturno, periculosidade, insalubridade, etc)</t>
    </r>
  </si>
  <si>
    <r>
      <rPr>
        <b/>
        <sz val="10"/>
        <color theme="1"/>
        <rFont val="Times New Roman"/>
        <family val="1"/>
      </rPr>
      <t>Passo 3 -</t>
    </r>
    <r>
      <rPr>
        <sz val="10"/>
        <color theme="1"/>
        <rFont val="Times New Roman"/>
        <family val="2"/>
      </rPr>
      <t xml:space="preserve"> Achar a base de cálculo (Proventos - Descontos)</t>
    </r>
  </si>
  <si>
    <t>a</t>
  </si>
  <si>
    <r>
      <rPr>
        <b/>
        <sz val="10"/>
        <color theme="1"/>
        <rFont val="Times New Roman"/>
        <family val="1"/>
      </rPr>
      <t>Passo 4</t>
    </r>
    <r>
      <rPr>
        <sz val="10"/>
        <color theme="1"/>
        <rFont val="Times New Roman"/>
        <family val="2"/>
      </rPr>
      <t xml:space="preserve"> - Calcular o INSS sobre a Base de Cálculo, levando em conta o percentual da faixa salarial devida (8, 9 ou 11%), conforme tabela acima.</t>
    </r>
  </si>
  <si>
    <t>Exemplo:</t>
  </si>
  <si>
    <t>Descrição</t>
  </si>
  <si>
    <t>Valor</t>
  </si>
  <si>
    <t>Salario Base</t>
  </si>
  <si>
    <t>Horas Extras 50%</t>
  </si>
  <si>
    <t>Quant.</t>
  </si>
  <si>
    <t>Feriado 100%</t>
  </si>
  <si>
    <t>Total de Proventos</t>
  </si>
  <si>
    <t>DSR Out.(Dom e Feriados / Dias uteis)</t>
  </si>
  <si>
    <t>Proventos (Passo 1)</t>
  </si>
  <si>
    <t>Descontos (Passo 2)</t>
  </si>
  <si>
    <t>Faltas</t>
  </si>
  <si>
    <t>Atrasos</t>
  </si>
  <si>
    <t>Total de Descontos</t>
  </si>
  <si>
    <t>Base de Cálculo do INSS (Passo 3)</t>
  </si>
  <si>
    <t>Alíquota do INSS conforme tabela acima</t>
  </si>
  <si>
    <t>Valor do INSS</t>
  </si>
  <si>
    <t xml:space="preserve"> TABELA DO INSS</t>
  </si>
  <si>
    <t>Competência:</t>
  </si>
  <si>
    <t>Mat.</t>
  </si>
  <si>
    <t>Nome do Funcionário</t>
  </si>
  <si>
    <t>Admissão</t>
  </si>
  <si>
    <t>Cargo</t>
  </si>
  <si>
    <t>Base INSS</t>
  </si>
  <si>
    <t>Descontado</t>
  </si>
  <si>
    <t>BASE DE CALCULO FUNCIONÁRIOS</t>
  </si>
  <si>
    <t>DESCONTADO FUNCIONÁRIOS</t>
  </si>
  <si>
    <t>EDEM</t>
  </si>
  <si>
    <t>BASE DE CALCULO SÓCIOS</t>
  </si>
  <si>
    <t>DESCONTADO SÓCIOS</t>
  </si>
  <si>
    <t>GPS</t>
  </si>
  <si>
    <t>Discriminação</t>
  </si>
  <si>
    <t>Ref.</t>
  </si>
  <si>
    <t>Valores</t>
  </si>
  <si>
    <t>Patronal Funcionários</t>
  </si>
  <si>
    <t>Sub-Total (Campo 06)</t>
  </si>
  <si>
    <t>Total da GPS (Campo 11)</t>
  </si>
  <si>
    <t>PRO LABORE</t>
  </si>
  <si>
    <t>André Silva</t>
  </si>
  <si>
    <t>Carlos Alberto</t>
  </si>
  <si>
    <t>Paulo Cesar</t>
  </si>
  <si>
    <t>Hamilton Lima</t>
  </si>
  <si>
    <t>Desconto Empregados</t>
  </si>
  <si>
    <t>Desconto Sócios</t>
  </si>
  <si>
    <t>Patronal Sócios / Autonômos</t>
  </si>
  <si>
    <t>CNAE 2.0</t>
  </si>
  <si>
    <t>Alíquota</t>
  </si>
  <si>
    <t>0111-3/01</t>
  </si>
  <si>
    <t>Cultivo de arroz</t>
  </si>
  <si>
    <t>0111-3/02</t>
  </si>
  <si>
    <t>Cultivo de milho</t>
  </si>
  <si>
    <t>0111-3/03</t>
  </si>
  <si>
    <t>Cultivo de trigo</t>
  </si>
  <si>
    <t>0111-3/99</t>
  </si>
  <si>
    <t>Cultivo de outros cereais não especificados anteriormente</t>
  </si>
  <si>
    <t>0112-1/01</t>
  </si>
  <si>
    <t>Cultivo de algodão herbáceo</t>
  </si>
  <si>
    <t>0112-1/02</t>
  </si>
  <si>
    <t>Cultivo de juta</t>
  </si>
  <si>
    <t>0112-1/99</t>
  </si>
  <si>
    <t>Cultivo de outras fibras de lavoura temporária não especificadas anteriormente</t>
  </si>
  <si>
    <t>0113-0/00</t>
  </si>
  <si>
    <t>Cultivo de cana-de-açúcar</t>
  </si>
  <si>
    <t>0114-8/00</t>
  </si>
  <si>
    <t>Cultivo de fumo</t>
  </si>
  <si>
    <t>0115-6/00</t>
  </si>
  <si>
    <t>Cultivo de soja</t>
  </si>
  <si>
    <t>0116-4/01</t>
  </si>
  <si>
    <t>Cultivo de amendoim</t>
  </si>
  <si>
    <t>0116-4/02</t>
  </si>
  <si>
    <t>Cultivo de girassol</t>
  </si>
  <si>
    <t>0116-4/03</t>
  </si>
  <si>
    <t>Cultivo de mamona</t>
  </si>
  <si>
    <t>0116-4/99</t>
  </si>
  <si>
    <t>Cultivo de outras oleaginosas de lavoura temporária não especificadas anteriormente</t>
  </si>
  <si>
    <t>0119-9/01</t>
  </si>
  <si>
    <t>Cultivo de abacaxi</t>
  </si>
  <si>
    <t>0119-9/02</t>
  </si>
  <si>
    <t>Cultivo de alho</t>
  </si>
  <si>
    <t>0119-9/03</t>
  </si>
  <si>
    <t>Cultivo de batata-inglesa</t>
  </si>
  <si>
    <t>0119-9/04</t>
  </si>
  <si>
    <t>Cultivo de cebola</t>
  </si>
  <si>
    <t>0119-9/05</t>
  </si>
  <si>
    <t>Cultivo de feijão</t>
  </si>
  <si>
    <t>0119-9/06</t>
  </si>
  <si>
    <t>Cultivo de mandioca</t>
  </si>
  <si>
    <t>0119-9/07</t>
  </si>
  <si>
    <t>Cultivo de melão</t>
  </si>
  <si>
    <t>0119-9/08</t>
  </si>
  <si>
    <t>Cultivo de melancia</t>
  </si>
  <si>
    <t>0119-9/09</t>
  </si>
  <si>
    <t>Cultivo de tomate rasteiro</t>
  </si>
  <si>
    <t>0119-9/99</t>
  </si>
  <si>
    <t>Cultivo de outras plantas de lavoura temporária não especificadas anteriormente</t>
  </si>
  <si>
    <t>0121-1/01</t>
  </si>
  <si>
    <t>Horticultura, exceto morango</t>
  </si>
  <si>
    <t>0121-1/02</t>
  </si>
  <si>
    <t>Cultivo de morango</t>
  </si>
  <si>
    <t>0122-9/00</t>
  </si>
  <si>
    <t>Cultivo  de flores e plantas ornamentais</t>
  </si>
  <si>
    <t>0131-8/00</t>
  </si>
  <si>
    <t>Cultivo de laranja</t>
  </si>
  <si>
    <t>0132-6/00</t>
  </si>
  <si>
    <t>Cultivo de uva</t>
  </si>
  <si>
    <t>0133-4/01</t>
  </si>
  <si>
    <t>Cultivo de açaí</t>
  </si>
  <si>
    <t>0133-4/02</t>
  </si>
  <si>
    <t>Cultivo de banana</t>
  </si>
  <si>
    <t>0133-4/03</t>
  </si>
  <si>
    <t>Cultivo de caju</t>
  </si>
  <si>
    <t>0133-4/04</t>
  </si>
  <si>
    <t>Cultivo de cítricos, exceto laranja</t>
  </si>
  <si>
    <t>0133-4/05</t>
  </si>
  <si>
    <t>Cultivo de coco-da-baía</t>
  </si>
  <si>
    <t>0133-4/06</t>
  </si>
  <si>
    <t>Cultivo de guaraná</t>
  </si>
  <si>
    <t>0133-4/07</t>
  </si>
  <si>
    <t>Cultivo de maçã</t>
  </si>
  <si>
    <t>0133-4/08</t>
  </si>
  <si>
    <t>Cultivo de mamão</t>
  </si>
  <si>
    <t>0133-4/09</t>
  </si>
  <si>
    <t>Cultivo de maracujá</t>
  </si>
  <si>
    <t>0133-4/10</t>
  </si>
  <si>
    <t>Cultivo de manga</t>
  </si>
  <si>
    <t>0133-4/11</t>
  </si>
  <si>
    <t>Cultivo de pêssego</t>
  </si>
  <si>
    <t>0133-4/99</t>
  </si>
  <si>
    <t>Cultivo de frutas de lavoura permanente não especificadas anteriormente</t>
  </si>
  <si>
    <t>0134-2/00</t>
  </si>
  <si>
    <t>Cultivo de café</t>
  </si>
  <si>
    <t>0135-1/00</t>
  </si>
  <si>
    <t>Cultivo de cacau</t>
  </si>
  <si>
    <t>0139-3/01</t>
  </si>
  <si>
    <t>Cultivo de chá-da-índia</t>
  </si>
  <si>
    <t>0139-3/02</t>
  </si>
  <si>
    <t>Cultivo de erva-mate</t>
  </si>
  <si>
    <t>0139-3/03</t>
  </si>
  <si>
    <t>Cultivo de pimenta-do-reino</t>
  </si>
  <si>
    <t>0139-3/04</t>
  </si>
  <si>
    <t>Cultivo de plantas para condimento, exceto pimenta-do-reino</t>
  </si>
  <si>
    <t>0139-3/05</t>
  </si>
  <si>
    <t>Cultivo de dendê</t>
  </si>
  <si>
    <t>0139-3/06</t>
  </si>
  <si>
    <t>Cultivo de seringueira</t>
  </si>
  <si>
    <t>0139-3/99</t>
  </si>
  <si>
    <t>Cultivo de outras plantas de lavoura permanente não especificadas anteriormente</t>
  </si>
  <si>
    <t>0141-5/01</t>
  </si>
  <si>
    <t>Produção de sementes certificadas, exceto de forrageiras para pasto</t>
  </si>
  <si>
    <t>0141-5/02</t>
  </si>
  <si>
    <t>Produção de sementes certificadas de forrageiras para formação de pasto</t>
  </si>
  <si>
    <t>0142-3/00</t>
  </si>
  <si>
    <t>Produção de mudas e outras formas de propagação vegetal, certificadas</t>
  </si>
  <si>
    <t>0151-2/01</t>
  </si>
  <si>
    <t>Criação de bovinos para corte</t>
  </si>
  <si>
    <t>0151-2/02</t>
  </si>
  <si>
    <t>Criação de bovinos para leite</t>
  </si>
  <si>
    <t>0151-2/03</t>
  </si>
  <si>
    <t>Criação de bovinos, exceto para corte e leite</t>
  </si>
  <si>
    <t>0152-1/01</t>
  </si>
  <si>
    <t>Criação de bufalinos</t>
  </si>
  <si>
    <t>0152-1/02</t>
  </si>
  <si>
    <t>Criação de eqüinos</t>
  </si>
  <si>
    <t>0152-1/03</t>
  </si>
  <si>
    <t>Criação de asininos e muares</t>
  </si>
  <si>
    <t>0153-9/01</t>
  </si>
  <si>
    <t>Criação de caprinos</t>
  </si>
  <si>
    <t>0153-9/02</t>
  </si>
  <si>
    <t>Criação de ovinos, inclusive para produção de lã</t>
  </si>
  <si>
    <t>0154-7/00</t>
  </si>
  <si>
    <t>Criação de suínos</t>
  </si>
  <si>
    <t>0155-5/01</t>
  </si>
  <si>
    <t>Criação de frangos para corte</t>
  </si>
  <si>
    <t>0155-5/02</t>
  </si>
  <si>
    <t>Produção de pintos de um dia</t>
  </si>
  <si>
    <t>0155-5/03</t>
  </si>
  <si>
    <t>Criação de outros galináceos, exceto para corte</t>
  </si>
  <si>
    <t>0155-5/04</t>
  </si>
  <si>
    <t>Criação de aves, exceto galináceos</t>
  </si>
  <si>
    <t>0155-5/05</t>
  </si>
  <si>
    <t>Produção de ovos</t>
  </si>
  <si>
    <t>0159-8/01</t>
  </si>
  <si>
    <t>Apicultura</t>
  </si>
  <si>
    <t>0159-8/02</t>
  </si>
  <si>
    <t>Criação de animais de estimação</t>
  </si>
  <si>
    <t>0159-8/03</t>
  </si>
  <si>
    <t>Criação de escargô</t>
  </si>
  <si>
    <t>0159-8/04</t>
  </si>
  <si>
    <t>Criação de bicho-da-seda</t>
  </si>
  <si>
    <t>0159-8/99</t>
  </si>
  <si>
    <t>Criação de outros animais não especificados anteriormente</t>
  </si>
  <si>
    <t>0161-0/01</t>
  </si>
  <si>
    <t>Serviço de pulverização e controle de pragas agrícolas</t>
  </si>
  <si>
    <t>0161-0/02</t>
  </si>
  <si>
    <t>Serviço de poda de árvores para lavouras</t>
  </si>
  <si>
    <t>0161-0/03</t>
  </si>
  <si>
    <t>Serviço de preparação de terreno, cultivo e colheita</t>
  </si>
  <si>
    <t>0161-0/99</t>
  </si>
  <si>
    <t>Atividades de apoio à agricultura não especificadas anteriormente</t>
  </si>
  <si>
    <t>0162-8/01</t>
  </si>
  <si>
    <t>Serviço  de inseminação artificial em animais</t>
  </si>
  <si>
    <t>0162-8/02</t>
  </si>
  <si>
    <t>Serviço de tosquiamento de ovinos</t>
  </si>
  <si>
    <t>0162-8/03</t>
  </si>
  <si>
    <t>Serviço de manejo de animais</t>
  </si>
  <si>
    <t>0162-8/99</t>
  </si>
  <si>
    <t>Atividades de apoio à pecuária não especificadas anteriormente</t>
  </si>
  <si>
    <t>0163-6/00</t>
  </si>
  <si>
    <t>Atividades de pós-colheita</t>
  </si>
  <si>
    <t>0170-9/00</t>
  </si>
  <si>
    <t>Caça e serviços relacionados</t>
  </si>
  <si>
    <t>0210-1/01</t>
  </si>
  <si>
    <t>Cultivo de eucalipto</t>
  </si>
  <si>
    <t>0210-1/02</t>
  </si>
  <si>
    <t>Cultivo de acácia-negra</t>
  </si>
  <si>
    <t>0210-1/03</t>
  </si>
  <si>
    <t>Cultivo de pinus</t>
  </si>
  <si>
    <t>0210-1/04</t>
  </si>
  <si>
    <t>Cultivo de teca</t>
  </si>
  <si>
    <t>0210-1/05</t>
  </si>
  <si>
    <t>Cultivo de espécies madeireiras, exceto eucalipto, acácia-negra, pinus e teca</t>
  </si>
  <si>
    <t>0210-1/06</t>
  </si>
  <si>
    <t>Cultivo de mudas em viveiros florestais</t>
  </si>
  <si>
    <t>0210-1/07</t>
  </si>
  <si>
    <t>Extração de madeira em florestas plantadas</t>
  </si>
  <si>
    <t>0210-1/08</t>
  </si>
  <si>
    <t>Produção de carvão vegetal - florestas plantadas</t>
  </si>
  <si>
    <t>0210-1/09</t>
  </si>
  <si>
    <t>Produção de casca de acácia-negra - florestas plantadas</t>
  </si>
  <si>
    <t>0210-1/99</t>
  </si>
  <si>
    <t>Produção de produtos não-madeireiros não especificados anteriormente em florestas plantadas</t>
  </si>
  <si>
    <t>0220-9/01</t>
  </si>
  <si>
    <t>Extração de madeira em florestas nativas</t>
  </si>
  <si>
    <t>0220-9/02</t>
  </si>
  <si>
    <t>Produção de carvão vegetal - florestas nativas</t>
  </si>
  <si>
    <t>0220-9/03</t>
  </si>
  <si>
    <t>Coleta de castanha-do-pará em florestas nativas</t>
  </si>
  <si>
    <t>0220-9/04</t>
  </si>
  <si>
    <t>Coleta de látex em florestas nativas</t>
  </si>
  <si>
    <t>0220-9/05</t>
  </si>
  <si>
    <t>Coleta de palmito em florestas nativas</t>
  </si>
  <si>
    <t>0220-9/06</t>
  </si>
  <si>
    <t>Conservação de florestas nativas</t>
  </si>
  <si>
    <t>0220-9/99</t>
  </si>
  <si>
    <t>Coleta de produtos não-madeireiros não especificados anteriormente em florestas nativas</t>
  </si>
  <si>
    <t>0230-6/00</t>
  </si>
  <si>
    <t>Atividades de apoio à produção florestal</t>
  </si>
  <si>
    <t>0311-6/01</t>
  </si>
  <si>
    <t>Pesca de peixes em água salgada</t>
  </si>
  <si>
    <t>0311-6/02</t>
  </si>
  <si>
    <t>Pesca de crustáceos e moluscos em água salgada</t>
  </si>
  <si>
    <t>0311-6/03</t>
  </si>
  <si>
    <t>Coleta de outros produtos marinhos</t>
  </si>
  <si>
    <t>0311-6/04</t>
  </si>
  <si>
    <t>Atividades de apoio à pesca em água salgada</t>
  </si>
  <si>
    <t>0312-4/01</t>
  </si>
  <si>
    <t>Pesca de peixes em água doce</t>
  </si>
  <si>
    <t>0312-4/02</t>
  </si>
  <si>
    <t>Pesca de crustáceos e moluscos em água doce</t>
  </si>
  <si>
    <t>0312-4/03</t>
  </si>
  <si>
    <t>Coleta de outros produtos aquáticos de água doce</t>
  </si>
  <si>
    <t>0312-4/04</t>
  </si>
  <si>
    <t>Atividades de apoio à pesca em água doce</t>
  </si>
  <si>
    <t>0321-3/01</t>
  </si>
  <si>
    <t>Criação de peixes em água salgada e salobra</t>
  </si>
  <si>
    <t>0321-3/02</t>
  </si>
  <si>
    <t>Criação de camarões em água salgada e salobra</t>
  </si>
  <si>
    <t>0321-3/03</t>
  </si>
  <si>
    <t>Criação de ostras e mexilhões em água salgada e salobra</t>
  </si>
  <si>
    <t>0321-3/04</t>
  </si>
  <si>
    <t>Criação de peixes ornamentais em água salgada e salobra</t>
  </si>
  <si>
    <t>0321-3/05</t>
  </si>
  <si>
    <t>Atividades de apoio à aqüicultura em água salgada e salobra</t>
  </si>
  <si>
    <t>0321-3/99</t>
  </si>
  <si>
    <t>Cultivos e semicultivos da aqüicultura em água salgada e salobra não especificados anteriormente</t>
  </si>
  <si>
    <t>0322-1/01</t>
  </si>
  <si>
    <t>Criação de peixes em água doce</t>
  </si>
  <si>
    <t>0322-1/02</t>
  </si>
  <si>
    <t>Criação de camarões em água doce</t>
  </si>
  <si>
    <t>0322-1/03</t>
  </si>
  <si>
    <t>Criação de ostras e mexilhões em água doce</t>
  </si>
  <si>
    <t>0322-1/04</t>
  </si>
  <si>
    <t>Criação de peixes ornamentais em água doce</t>
  </si>
  <si>
    <t>0322-1/05</t>
  </si>
  <si>
    <t>Ranicultura</t>
  </si>
  <si>
    <t>0322-1/06</t>
  </si>
  <si>
    <t>Criação de jacaré</t>
  </si>
  <si>
    <t>0322-1/07</t>
  </si>
  <si>
    <t>Atividades de apoio à aqüicultura em água doce</t>
  </si>
  <si>
    <t>0322-1/99</t>
  </si>
  <si>
    <t>Cultivos e semicultivos da aqüicultura em água doce não especificados anteriormente</t>
  </si>
  <si>
    <t>0500-3/01</t>
  </si>
  <si>
    <t>Extração de carvão mineral</t>
  </si>
  <si>
    <t>0500-3/02</t>
  </si>
  <si>
    <t>Beneficiamento de carvão mineral</t>
  </si>
  <si>
    <t>0600-0/01</t>
  </si>
  <si>
    <t>Extração de petróleo e gás natural</t>
  </si>
  <si>
    <t>0600-0/02</t>
  </si>
  <si>
    <t>Extração e beneficiamento de xisto</t>
  </si>
  <si>
    <t>0600-0/03</t>
  </si>
  <si>
    <t>Extração e beneficiamento de areias betuminosas</t>
  </si>
  <si>
    <t>0710-3/01</t>
  </si>
  <si>
    <t>Extração de minério de ferro</t>
  </si>
  <si>
    <t>0710-3/02</t>
  </si>
  <si>
    <t>Pelotização, sinterização e outros beneficiamentos de minério de ferro</t>
  </si>
  <si>
    <t>0721-9/01</t>
  </si>
  <si>
    <t>Extração de minério de alumínio</t>
  </si>
  <si>
    <t>0721-9/02</t>
  </si>
  <si>
    <t>Beneficiamento de minério de alumínio</t>
  </si>
  <si>
    <t>0722-7/01</t>
  </si>
  <si>
    <t>Extração de minério de estanho</t>
  </si>
  <si>
    <t>0722-7/02</t>
  </si>
  <si>
    <t>Beneficiamento de minério de estanho</t>
  </si>
  <si>
    <t>0723-5/01</t>
  </si>
  <si>
    <t>Extração de minério de manganês</t>
  </si>
  <si>
    <t>0723-5/02</t>
  </si>
  <si>
    <t>Beneficiamento de minério de manganês</t>
  </si>
  <si>
    <t>0724-3/01</t>
  </si>
  <si>
    <t>Extração de minério de metais preciosos</t>
  </si>
  <si>
    <t>0724-3/02</t>
  </si>
  <si>
    <t>Beneficiamento de minério de metais preciosos</t>
  </si>
  <si>
    <t>0725-1/00</t>
  </si>
  <si>
    <t>Extração de minerais radioativos</t>
  </si>
  <si>
    <t>0729-4/01</t>
  </si>
  <si>
    <t>Extração de minérios de nióbio e titânio</t>
  </si>
  <si>
    <t>0729-4/02</t>
  </si>
  <si>
    <t>Extração de minério de tungstênio</t>
  </si>
  <si>
    <t>0729-4/03</t>
  </si>
  <si>
    <t>Extração de minério de níquel</t>
  </si>
  <si>
    <t>0729-4/04</t>
  </si>
  <si>
    <t>Extração de minérios de cobre, chumbo, zinco e outros minerais metálicos não-ferrosos não especificados anteriormente</t>
  </si>
  <si>
    <t>0729-4/05</t>
  </si>
  <si>
    <t>Beneficiamento de minérios de cobre, chumbo, zinco e outros minerais metálicos não-ferrosos não especificados anteriormente</t>
  </si>
  <si>
    <t>0810-0/01</t>
  </si>
  <si>
    <t>Extração de ardósia e beneficiamento associado</t>
  </si>
  <si>
    <t>0810-0/02</t>
  </si>
  <si>
    <t>Extração de granito e beneficiamento associado</t>
  </si>
  <si>
    <t>0810-0/03</t>
  </si>
  <si>
    <t>Extração de mármore e beneficiamento associado</t>
  </si>
  <si>
    <t>0810-0/04</t>
  </si>
  <si>
    <t>Extração de calcário e dolomita e beneficiamento associado</t>
  </si>
  <si>
    <t>0810-0/05</t>
  </si>
  <si>
    <t>Extração de gesso e caulim</t>
  </si>
  <si>
    <t>0810-0/06</t>
  </si>
  <si>
    <t>Extração de areia, cascalho ou pedregulho e beneficiamento associado</t>
  </si>
  <si>
    <t>0810-0/07</t>
  </si>
  <si>
    <t>Extração de argila e beneficiamento associado</t>
  </si>
  <si>
    <t>0810-0/08</t>
  </si>
  <si>
    <t>Extração de saibro e beneficiamento associado</t>
  </si>
  <si>
    <t>0810-0/09</t>
  </si>
  <si>
    <t>Extração de basalto e beneficiamento associado</t>
  </si>
  <si>
    <t>0810-0/10</t>
  </si>
  <si>
    <t>Beneficiamento de gesso e caulim associado à extração</t>
  </si>
  <si>
    <t>0810-0/99</t>
  </si>
  <si>
    <t>Extração e britamento de pedras e outros materiais para construção e beneficiamento associado</t>
  </si>
  <si>
    <t>0891-6/00</t>
  </si>
  <si>
    <t>Extração de minerais para fabricação de adubos, fertilizantes e outros produtos químicos</t>
  </si>
  <si>
    <t>0892-4/01</t>
  </si>
  <si>
    <t>Extração de sal marinho</t>
  </si>
  <si>
    <t>0892-4/02</t>
  </si>
  <si>
    <t>Extração de sal-gema</t>
  </si>
  <si>
    <t>0892-4/03</t>
  </si>
  <si>
    <t>Refino e outros tratamentos do sal</t>
  </si>
  <si>
    <t>0893-2/00</t>
  </si>
  <si>
    <t>Extração de gemas (pedras preciosas e semipreciosas)</t>
  </si>
  <si>
    <t>0899-1/01</t>
  </si>
  <si>
    <t>Extração de grafita</t>
  </si>
  <si>
    <t>0899-1/02</t>
  </si>
  <si>
    <t>Extração de quartzo</t>
  </si>
  <si>
    <t>0899-1/03</t>
  </si>
  <si>
    <t>Extração de amianto</t>
  </si>
  <si>
    <t>0899-1/99</t>
  </si>
  <si>
    <t>Extração de outros minerais não-metálicos não especificados anteriormente</t>
  </si>
  <si>
    <t>0910-6/00</t>
  </si>
  <si>
    <t>Atividades de apoio à extração de petróleo e gás natural</t>
  </si>
  <si>
    <t>0990-4/01</t>
  </si>
  <si>
    <t>Atividades de apoio à extração de minério de ferro</t>
  </si>
  <si>
    <t>0990-4/02</t>
  </si>
  <si>
    <t>Atividades de apoio à extração de minerais metálicos não-ferrosos</t>
  </si>
  <si>
    <t>0990-4/03</t>
  </si>
  <si>
    <t>Atividades de apoio à extração de minerais não-metálicos</t>
  </si>
  <si>
    <t>1011-2/01</t>
  </si>
  <si>
    <t>Frigorífico - abate de bovinos</t>
  </si>
  <si>
    <t>1011-2/02</t>
  </si>
  <si>
    <t>Frigorífico - abate de eqüinos</t>
  </si>
  <si>
    <t>1011-2/03</t>
  </si>
  <si>
    <t>Frigorífico - abate de ovinos e caprinos</t>
  </si>
  <si>
    <t>1011-2/04</t>
  </si>
  <si>
    <t>Frigorífico - abate de bufalinos</t>
  </si>
  <si>
    <t>1011-2/05</t>
  </si>
  <si>
    <t>Matadouro - abate de reses sob contrato - exceto abate de suínos</t>
  </si>
  <si>
    <t>1012-1/01</t>
  </si>
  <si>
    <t>Abate de aves</t>
  </si>
  <si>
    <t>1012-1/02</t>
  </si>
  <si>
    <t>Abate de pequenos animais</t>
  </si>
  <si>
    <t>1012-1/03</t>
  </si>
  <si>
    <t>Frigorífico - abate de suínos</t>
  </si>
  <si>
    <t>1012-1/04</t>
  </si>
  <si>
    <t>Matadouro - abate de suínos sob contrato</t>
  </si>
  <si>
    <t>1013-9/01</t>
  </si>
  <si>
    <t>Fabricação de produtos de carne</t>
  </si>
  <si>
    <t>1013-9/02</t>
  </si>
  <si>
    <t>Preparação de subprodutos do abate</t>
  </si>
  <si>
    <t>1020-1/01</t>
  </si>
  <si>
    <t>Preservação de peixes, crustáceos e moluscos</t>
  </si>
  <si>
    <t>1020-1/02</t>
  </si>
  <si>
    <t>Fabricação de conservas de peixes, crustáceos e moluscos</t>
  </si>
  <si>
    <t>1031-7/00</t>
  </si>
  <si>
    <t>Fabricação de conservas de frutas</t>
  </si>
  <si>
    <t>1032-5/01</t>
  </si>
  <si>
    <t>Fabricação de conservas de palmito</t>
  </si>
  <si>
    <t>1032-5/99</t>
  </si>
  <si>
    <t>Fabricação de conservas de legumes e outros vegetais, exceto palmito</t>
  </si>
  <si>
    <t>1033-3/01</t>
  </si>
  <si>
    <t>Fabricação de sucos concentrados de frutas, hortaliças e legumes</t>
  </si>
  <si>
    <t>1033-3/02</t>
  </si>
  <si>
    <t>Fabricação de sucos de frutas, hortaliças e legumes, exceto concentrados</t>
  </si>
  <si>
    <t>1041-4/00</t>
  </si>
  <si>
    <t>Fabricação de óleos vegetais em bruto, exceto óleo de milho</t>
  </si>
  <si>
    <t>1042-2/00</t>
  </si>
  <si>
    <t>Fabricação de óleos vegetais refinados, exceto óleo de milho</t>
  </si>
  <si>
    <t>1043-1/00</t>
  </si>
  <si>
    <t>Fabricação de margarina e outras gorduras vegetais e de óleos não-comestíveis de animais</t>
  </si>
  <si>
    <t>1051-1/00</t>
  </si>
  <si>
    <t>Preparação do leite</t>
  </si>
  <si>
    <t>1052-0/00</t>
  </si>
  <si>
    <t>Fabricação de laticínios</t>
  </si>
  <si>
    <t>1053-8/00</t>
  </si>
  <si>
    <t>Fabricação de sorvetes e outros gelados comestíveis</t>
  </si>
  <si>
    <t>1061-9/01</t>
  </si>
  <si>
    <t>Beneficiamento de arroz</t>
  </si>
  <si>
    <t>1061-9/02</t>
  </si>
  <si>
    <t>Fabricação de produtos do arroz</t>
  </si>
  <si>
    <t>1062-7/00</t>
  </si>
  <si>
    <t>Moagem de trigo e fabricação de derivados</t>
  </si>
  <si>
    <t>1063-5/00</t>
  </si>
  <si>
    <t>Fabricação de farinha de mandioca e derivados</t>
  </si>
  <si>
    <t>1064-3/00</t>
  </si>
  <si>
    <t>Fabricação de farinha de milho e derivados, exceto óleos de milho</t>
  </si>
  <si>
    <t>1065-1/01</t>
  </si>
  <si>
    <t>Fabricação de amidos e féculas de vegetais</t>
  </si>
  <si>
    <t>1065-1/02</t>
  </si>
  <si>
    <t>Fabricação de óleo de milho em bruto</t>
  </si>
  <si>
    <t>1065-1/03</t>
  </si>
  <si>
    <t>Fabricação de óleo de milho refinado</t>
  </si>
  <si>
    <t>1066-0/00</t>
  </si>
  <si>
    <t>Fabricação de alimentos para animais</t>
  </si>
  <si>
    <t>1069-4/00</t>
  </si>
  <si>
    <t>Moagem e fabricação de produtos de origem vegetal não especificados anteriormente</t>
  </si>
  <si>
    <t>1071-6/00</t>
  </si>
  <si>
    <t>Fabricação de açúcar em bruto</t>
  </si>
  <si>
    <t>1072-4/01</t>
  </si>
  <si>
    <t>Fabricação de açúcar de cana refinado</t>
  </si>
  <si>
    <t>1072-4/02</t>
  </si>
  <si>
    <t>Fabricação de açúcar de cereais (dextrose) e de beterraba</t>
  </si>
  <si>
    <t>1081-3/01</t>
  </si>
  <si>
    <t>Beneficiamento de café</t>
  </si>
  <si>
    <t>1081-3/02</t>
  </si>
  <si>
    <t>Torrefação e moagem de café</t>
  </si>
  <si>
    <t>1082-1/00</t>
  </si>
  <si>
    <t>Fabricação de produtos à base de café</t>
  </si>
  <si>
    <t>1091-1/00</t>
  </si>
  <si>
    <t>Fabricação de produtos de panificação</t>
  </si>
  <si>
    <t>1092-9/00</t>
  </si>
  <si>
    <t>Fabricação de biscoitos e bolachas</t>
  </si>
  <si>
    <t>1093-7/01</t>
  </si>
  <si>
    <t>Fabricação de produtos derivados do cacau e de chocolates</t>
  </si>
  <si>
    <t>1093-7/02</t>
  </si>
  <si>
    <t>Fabricação de frutas cristalizadas, balas e semelhantes</t>
  </si>
  <si>
    <t>1094-5/00</t>
  </si>
  <si>
    <t>Fabricação de massas alimentícias</t>
  </si>
  <si>
    <t>1095-3/00</t>
  </si>
  <si>
    <t>Fabricação de especiarias, molhos, temperos e condimentos</t>
  </si>
  <si>
    <t>1096-1/00</t>
  </si>
  <si>
    <t>Fabricação de alimentos e pratos prontos</t>
  </si>
  <si>
    <t>1099-6/01</t>
  </si>
  <si>
    <t>Fabricação de vinagres</t>
  </si>
  <si>
    <t>1099-6/02</t>
  </si>
  <si>
    <t>Fabricação de pós alimentícios</t>
  </si>
  <si>
    <t>1099-6/03</t>
  </si>
  <si>
    <t>Fabricação de fermentos e leveduras</t>
  </si>
  <si>
    <t>1099-6/04</t>
  </si>
  <si>
    <t>Fabricação de gelo comum</t>
  </si>
  <si>
    <t>1099-6/05</t>
  </si>
  <si>
    <t>Fabricação de produtos para infusão (chá, mate, etc.)</t>
  </si>
  <si>
    <t>1099-6/06</t>
  </si>
  <si>
    <t>Fabricação de adoçantes naturais e artificiais</t>
  </si>
  <si>
    <t>1099-6/99</t>
  </si>
  <si>
    <t>Fabricação de outros produtos alimentícios não especificados anteriormente</t>
  </si>
  <si>
    <t>1111-9/01</t>
  </si>
  <si>
    <t>Fabricação de aguardente de cana-de-açúcar</t>
  </si>
  <si>
    <t>1111-9/02</t>
  </si>
  <si>
    <t>Fabricação de outras aguardentes e bebidas destiladas</t>
  </si>
  <si>
    <t>1112-7/00</t>
  </si>
  <si>
    <t>Fabricação de vinho</t>
  </si>
  <si>
    <t>1113-5/01</t>
  </si>
  <si>
    <t>Fabricação de malte, inclusive malte uísque</t>
  </si>
  <si>
    <t>1113-5/02</t>
  </si>
  <si>
    <t>Fabricação de cervejas e chopes</t>
  </si>
  <si>
    <t>1121-6/00</t>
  </si>
  <si>
    <t>Fabricação de águas envasadas</t>
  </si>
  <si>
    <t>1122-4/01</t>
  </si>
  <si>
    <t>Fabricação de refrigerantes</t>
  </si>
  <si>
    <t>1122-4/02</t>
  </si>
  <si>
    <t>Fabricação de chá mate e outros chás prontos para consumo</t>
  </si>
  <si>
    <t>1122-4/03</t>
  </si>
  <si>
    <t>Fabricação de refrescos, xaropes e pós para refrescos, exceto refrescos de frutas</t>
  </si>
  <si>
    <t>1122-4/99</t>
  </si>
  <si>
    <t>Fabricação de outras bebidas não-alcoólicas não especificadas anteriormente</t>
  </si>
  <si>
    <t>1210-7/00</t>
  </si>
  <si>
    <t>Processamento industrial do fumo</t>
  </si>
  <si>
    <t>1220-4/01</t>
  </si>
  <si>
    <t>Fabricação de cigarros</t>
  </si>
  <si>
    <t>1220-4/02</t>
  </si>
  <si>
    <t>Fabricação de cigarrilhas e charutos</t>
  </si>
  <si>
    <t>1220-4/03</t>
  </si>
  <si>
    <t>Fabricação de filtros para cigarros</t>
  </si>
  <si>
    <t>1220-4/99</t>
  </si>
  <si>
    <t>Fabricação de outros produtos do fumo, exceto cigarros, cigarrilhas e charutos</t>
  </si>
  <si>
    <t>1311-1/00</t>
  </si>
  <si>
    <t>Preparação e fiação de fibras de algodão</t>
  </si>
  <si>
    <t>1312-0/00</t>
  </si>
  <si>
    <t>Preparação e fiação de fibras têxteis naturais, exceto algodão</t>
  </si>
  <si>
    <t>1313-8/00</t>
  </si>
  <si>
    <t>Fiação de fibras artificiais e sintéticas</t>
  </si>
  <si>
    <t>1314-6/00</t>
  </si>
  <si>
    <t>Fabricação de linhas para costurar e bordar</t>
  </si>
  <si>
    <t>1321-9/00</t>
  </si>
  <si>
    <t>Tecelagem de fios de algodão</t>
  </si>
  <si>
    <t>1322-7/00</t>
  </si>
  <si>
    <t>Tecelagem de fios de fibras têxteis naturais, exceto algodão</t>
  </si>
  <si>
    <t>1323-5/00</t>
  </si>
  <si>
    <t>Tecelagem de fios de fibras artificiais e sintéticas</t>
  </si>
  <si>
    <t>1330-8/00</t>
  </si>
  <si>
    <t>Fabricação de tecidos de malha</t>
  </si>
  <si>
    <t>1340-5/01</t>
  </si>
  <si>
    <t>Estamparia e texturização em fios, tecidos, artefatos têxteis e peças do vestuário</t>
  </si>
  <si>
    <t>1340-5/02</t>
  </si>
  <si>
    <t>Alvejamento, tingimento e torção em fios, tecidos, artefatos têxteis e peças do vestuário</t>
  </si>
  <si>
    <t>1340-5/99</t>
  </si>
  <si>
    <t>Outros serviços de acabamento em fios, tecidos, artefatos têxteis e peças do vestuário</t>
  </si>
  <si>
    <t>1351-1/00</t>
  </si>
  <si>
    <t>Fabricação de artefatos têxteis para uso doméstico</t>
  </si>
  <si>
    <t>1352-9/00</t>
  </si>
  <si>
    <t>Fabricação de artefatos de tapeçaria</t>
  </si>
  <si>
    <t>1353-7/00</t>
  </si>
  <si>
    <t>Fabricação de artefatos de cordoaria</t>
  </si>
  <si>
    <t>1354-5/00</t>
  </si>
  <si>
    <t>Fabricação de tecidos especiais, inclusive artefatos</t>
  </si>
  <si>
    <t>1359-6/00</t>
  </si>
  <si>
    <t>Fabricação de outros produtos têxteis não especificados anteriormente</t>
  </si>
  <si>
    <t>1411-8/01</t>
  </si>
  <si>
    <t>Confecção de roupas íntimas</t>
  </si>
  <si>
    <t>1411-8/02</t>
  </si>
  <si>
    <t>Facção de roupas íntimas</t>
  </si>
  <si>
    <t>1412-6/01</t>
  </si>
  <si>
    <t>Confecção de peças de vestuário, exceto roupas íntimas e as confeccionadas sob medida</t>
  </si>
  <si>
    <t>1412-6/02</t>
  </si>
  <si>
    <t>Confecção, sob medida, de peças do vestuário, exceto roupas íntimas</t>
  </si>
  <si>
    <t>1412-6/03</t>
  </si>
  <si>
    <t>Facção de peças do vestuário, exceto roupas íntimas</t>
  </si>
  <si>
    <t>1413-4/01</t>
  </si>
  <si>
    <t>Confecção de roupas profissionais, exceto sob medida</t>
  </si>
  <si>
    <t>1413-4/02</t>
  </si>
  <si>
    <t>Confecção, sob medida, de roupas profissionais</t>
  </si>
  <si>
    <t>1413-4/03</t>
  </si>
  <si>
    <t>Facção de roupas profissionais</t>
  </si>
  <si>
    <t>1414-2/00</t>
  </si>
  <si>
    <t>Fabricação de acessórios do vestuário, exceto para segurança e proteção</t>
  </si>
  <si>
    <t>1421-5/00</t>
  </si>
  <si>
    <t>Fabricação de meias</t>
  </si>
  <si>
    <t>1422-3/00</t>
  </si>
  <si>
    <t>Fabricação de artigos do vestuário, produzidos em malharias e tricotagens, exceto meias</t>
  </si>
  <si>
    <t>1510-6/00</t>
  </si>
  <si>
    <t>Curtimento e outras preparações de couro</t>
  </si>
  <si>
    <t>1521-1/00</t>
  </si>
  <si>
    <t>Fabricação de artigos para viagem, bolsas e semelhantes de qualquer material</t>
  </si>
  <si>
    <t>1529-7/00</t>
  </si>
  <si>
    <t>Fabricação de artefatos de couro não especificados anteriormente</t>
  </si>
  <si>
    <t>1531-9/01</t>
  </si>
  <si>
    <t>Fabricação de calçados de couro</t>
  </si>
  <si>
    <t>1531-9/02</t>
  </si>
  <si>
    <t>Acabamento de calçados de couro sob contrato</t>
  </si>
  <si>
    <t>1532-7/00</t>
  </si>
  <si>
    <t>Fabricação de tênis de qualquer material</t>
  </si>
  <si>
    <t>1533-5/00</t>
  </si>
  <si>
    <t>Fabricação de calçados de material sintético</t>
  </si>
  <si>
    <t>1539-4/00</t>
  </si>
  <si>
    <t>Fabricação de calçados de materiais não especificados anteriormente</t>
  </si>
  <si>
    <t>1540-8/00</t>
  </si>
  <si>
    <t>Fabricação de partes para calçados, de qualquer material</t>
  </si>
  <si>
    <t>1610-2/01</t>
  </si>
  <si>
    <t>Serrarias com desdobramento de madeira</t>
  </si>
  <si>
    <t>1610-2/02</t>
  </si>
  <si>
    <t>Serrarias sem desdobramento de madeira</t>
  </si>
  <si>
    <t>1621-8/00</t>
  </si>
  <si>
    <t>Fabricação de madeira laminada e de chapas de madeira compensada, prensada e aglomerada</t>
  </si>
  <si>
    <t>1622-6/01</t>
  </si>
  <si>
    <t>Fabricação de casas de madeira pré-fabricadas</t>
  </si>
  <si>
    <t>1622-6/02</t>
  </si>
  <si>
    <t>Fabricação de esquadrias de madeira e de peças de madeira para instalações industriais e comerciais</t>
  </si>
  <si>
    <t>1622-6/99</t>
  </si>
  <si>
    <t>Fabricação de outros artigos de carpintaria para construção</t>
  </si>
  <si>
    <t>1623-4/00</t>
  </si>
  <si>
    <t>Fabricação de artefatos de tanoaria e de embalagens de madeira</t>
  </si>
  <si>
    <t>1629-3/01</t>
  </si>
  <si>
    <t>Fabricação de artefatos diversos de madeira, exceto móveis</t>
  </si>
  <si>
    <t>1629-3/02</t>
  </si>
  <si>
    <t>Fabricação de artefatos diversos de cortiça, bambu, palha, vime e outros materiais trançados, exceto móveis</t>
  </si>
  <si>
    <t>1710-9/00</t>
  </si>
  <si>
    <t>Fabricação de celulose e outras pastas para a fabricação de papel</t>
  </si>
  <si>
    <t>1721-4/00</t>
  </si>
  <si>
    <t>Fabricação de papel</t>
  </si>
  <si>
    <t>1722-2/00</t>
  </si>
  <si>
    <t>Fabricação de cartolina e papel-cartão</t>
  </si>
  <si>
    <t>1731-1/00</t>
  </si>
  <si>
    <t>Fabricação de embalagens de papel</t>
  </si>
  <si>
    <t>1732-0/00</t>
  </si>
  <si>
    <t>Fabricação de embalagens de cartolina e papel-cartão</t>
  </si>
  <si>
    <t>1733-8/00</t>
  </si>
  <si>
    <t>Fabricação de chapas e de embalagens de papelão ondulado</t>
  </si>
  <si>
    <t>1741-9/01</t>
  </si>
  <si>
    <t>Fabricação de formulários contínuos</t>
  </si>
  <si>
    <t>1741-9/02</t>
  </si>
  <si>
    <t>Fabricação de produtos de papel, cartolina, papel cartão e papelão ondulado para uso comercial e de escritório</t>
  </si>
  <si>
    <t>1742-7/01</t>
  </si>
  <si>
    <t>Fabricação de fraldas descartáveis</t>
  </si>
  <si>
    <t>1742-7/02</t>
  </si>
  <si>
    <t>Fabricação de absorventes higiênicos</t>
  </si>
  <si>
    <t>1742-7/99</t>
  </si>
  <si>
    <t>Fabricação de produtos de papel para uso doméstico e higiênico-sanitário não especificados anteriormente</t>
  </si>
  <si>
    <t>1749-4/00</t>
  </si>
  <si>
    <t>Fabricação de produtos de pastas celulósicas, papel, cartolina, papel-cartão e papelão ondulado não especificados anteriormente</t>
  </si>
  <si>
    <t>1811-3/01</t>
  </si>
  <si>
    <t>Impressão de jornais</t>
  </si>
  <si>
    <t>1811-3/02</t>
  </si>
  <si>
    <t>Impressão de livros, revistas e outras publicações periódicas</t>
  </si>
  <si>
    <t>1812-1/00</t>
  </si>
  <si>
    <t>Impressão de material de segurança</t>
  </si>
  <si>
    <t>1813-0/01</t>
  </si>
  <si>
    <t>Impressão de material para uso publicitário</t>
  </si>
  <si>
    <t>1813-0/99</t>
  </si>
  <si>
    <t>Impressão de material para outros usos</t>
  </si>
  <si>
    <t>1821-1/00</t>
  </si>
  <si>
    <t>Serviços de pré-impressão</t>
  </si>
  <si>
    <t>1822-9/00</t>
  </si>
  <si>
    <t>Serviços de acabamentos gráficos</t>
  </si>
  <si>
    <t>1830-0/01</t>
  </si>
  <si>
    <t>Reprodução de som em qualquer suporte</t>
  </si>
  <si>
    <t>1830-0/02</t>
  </si>
  <si>
    <t>Reprodução de vídeo em qualquer suporte</t>
  </si>
  <si>
    <t>1830-0/03</t>
  </si>
  <si>
    <t>Reprodução de software em qualquer suporte</t>
  </si>
  <si>
    <t>1910-1/00</t>
  </si>
  <si>
    <t>Coquerias</t>
  </si>
  <si>
    <t>1921-7/00</t>
  </si>
  <si>
    <t>Fabricação de produtos do refino de petróleo</t>
  </si>
  <si>
    <t>Formulação de combustíveis</t>
  </si>
  <si>
    <t>Rerrefino de óleos lubrificantes</t>
  </si>
  <si>
    <t>1922-5/99</t>
  </si>
  <si>
    <t>Fabricação de outros produtos derivados do petróleo, exceto produtos do refino</t>
  </si>
  <si>
    <t>1931-4/00</t>
  </si>
  <si>
    <t>Fabricação de álcool</t>
  </si>
  <si>
    <t>1932-2/00</t>
  </si>
  <si>
    <t>Fabricação de biocombustíveis, exceto álcool</t>
  </si>
  <si>
    <t>2011-8/00</t>
  </si>
  <si>
    <t>Fabricação de cloro e álcalis</t>
  </si>
  <si>
    <t>2012-6/00</t>
  </si>
  <si>
    <t>Fabricação de intermediários para fertilizantes</t>
  </si>
  <si>
    <t>2013-4/00</t>
  </si>
  <si>
    <t>Fabricação de adubos e fertilizantes</t>
  </si>
  <si>
    <t>2014-2/00</t>
  </si>
  <si>
    <t>Fabricação de gases industriais</t>
  </si>
  <si>
    <t>Elaboração de combustíveis nucleares</t>
  </si>
  <si>
    <t>2019-3/99</t>
  </si>
  <si>
    <t>Fabricação de outros produtos químicos inorgânicos não especificados anteriormente</t>
  </si>
  <si>
    <t>2021-5/00</t>
  </si>
  <si>
    <t>Fabricação de produtos petroquímicos básicos</t>
  </si>
  <si>
    <t>2022-3/00</t>
  </si>
  <si>
    <t>Fabricação de intermediários para plastificantes, resinas e fibras</t>
  </si>
  <si>
    <t>2029-1/00</t>
  </si>
  <si>
    <t>Fabricação de produtos químicos orgânicos não especificados anteriormente</t>
  </si>
  <si>
    <t>2031-2/00</t>
  </si>
  <si>
    <t>Fabricação de resinas termoplásticas</t>
  </si>
  <si>
    <t>2032-1/00</t>
  </si>
  <si>
    <t>Fabricação de resinas termofixas</t>
  </si>
  <si>
    <t>2033-9/00</t>
  </si>
  <si>
    <t>Fabricação de elastômeros</t>
  </si>
  <si>
    <t>2040-1/00</t>
  </si>
  <si>
    <t>Fabricação de fibras artificiais e sintéticas</t>
  </si>
  <si>
    <t>2051-7/00</t>
  </si>
  <si>
    <t>Fabricação de defensivos agrícolas</t>
  </si>
  <si>
    <t>2052-5/00</t>
  </si>
  <si>
    <t>Fabricação de desinfestantes domissanitários</t>
  </si>
  <si>
    <t>2061-4/00</t>
  </si>
  <si>
    <t>Fabricação de sabões e detergentes sintéticos</t>
  </si>
  <si>
    <t>2062-2/00</t>
  </si>
  <si>
    <t>Fabricação de produtos de limpeza e polimento</t>
  </si>
  <si>
    <t>2063-1/00</t>
  </si>
  <si>
    <t>Fabricação de cosméticos, produtos de perfumaria e de higiene pessoal</t>
  </si>
  <si>
    <t>2071-1/00</t>
  </si>
  <si>
    <t>Fabricação de tintas, vernizes, esmaltes e lacas</t>
  </si>
  <si>
    <t>2072-0/00</t>
  </si>
  <si>
    <t>Fabricação de tintas de impressão</t>
  </si>
  <si>
    <t>2073-8/00</t>
  </si>
  <si>
    <t>Fabricação de impermeabilizantes, solventes e produtos afins</t>
  </si>
  <si>
    <t>2091-6/00</t>
  </si>
  <si>
    <t>Fabricação de adesivos e selantes</t>
  </si>
  <si>
    <t>Fabricação de pólvoras, explosivos e detonantes</t>
  </si>
  <si>
    <t>Fabricação de artigos pirotécnicos</t>
  </si>
  <si>
    <t>Fabricação de fósforos de segurança</t>
  </si>
  <si>
    <t>2093-2/00</t>
  </si>
  <si>
    <t>Fabricação de aditivos de uso industrial</t>
  </si>
  <si>
    <t>2094-1/00</t>
  </si>
  <si>
    <t>Fabricação de catalisadores</t>
  </si>
  <si>
    <t>Fabricação de chapas, filmes, papéis e outros materiais e produtos químicos para fotografia</t>
  </si>
  <si>
    <t>2099-1/99</t>
  </si>
  <si>
    <t>Fabricação de outros produtos químicos não especificados anteriormente</t>
  </si>
  <si>
    <t>2110-6/00</t>
  </si>
  <si>
    <t>Fabricação de produtos farmoquímicos</t>
  </si>
  <si>
    <t>Fabricação de medicamentos alopáticos para uso humano</t>
  </si>
  <si>
    <t>Fabricação de medicamentos homeopáticos para uso humano</t>
  </si>
  <si>
    <t>Fabricação de medicamentos fitoterápicos para uso humano</t>
  </si>
  <si>
    <t>2122-0/00</t>
  </si>
  <si>
    <t>Fabricação de medicamentos para uso veterinário</t>
  </si>
  <si>
    <t>2123-8/00</t>
  </si>
  <si>
    <t>Fabricação de preparações farmacêuticas</t>
  </si>
  <si>
    <t>2211-1/00</t>
  </si>
  <si>
    <t>Fabricação de pneumáticos e de câmaras-de-ar</t>
  </si>
  <si>
    <t>2212-9/00</t>
  </si>
  <si>
    <t>Reforma de pneumáticos usados</t>
  </si>
  <si>
    <t>2219-6/00</t>
  </si>
  <si>
    <t>Fabricação de artefatos de borracha não especificados anteriormente</t>
  </si>
  <si>
    <t>2221-8/00</t>
  </si>
  <si>
    <t>Fabricação de laminados planos e tubulares de material plástico</t>
  </si>
  <si>
    <t>2222-6/00</t>
  </si>
  <si>
    <t>Fabricação de embalagens de material plástico</t>
  </si>
  <si>
    <t>2223-4/00</t>
  </si>
  <si>
    <t>Fabricação de tubos e acessórios de material plástico para uso na construção</t>
  </si>
  <si>
    <t>Fabricação de artefatos de material plástico para uso pessoal e doméstico</t>
  </si>
  <si>
    <t>Fabricação de artefatos de material plástico para usos industriais</t>
  </si>
  <si>
    <t>Fabricação de artefatos de material plástico para uso na construção, exceto tubos e acessórios</t>
  </si>
  <si>
    <t>2229-3/99</t>
  </si>
  <si>
    <t>Fabricação de artefatos de material plástico para outros usos não especificados anteriormente</t>
  </si>
  <si>
    <t>2311-7/00</t>
  </si>
  <si>
    <t>Fabricação de vidro plano e de segurança</t>
  </si>
  <si>
    <t>2312-5/00</t>
  </si>
  <si>
    <t>Fabricação de embalagens de vidro</t>
  </si>
  <si>
    <t>2319-2/00</t>
  </si>
  <si>
    <t>Fabricação de artigos de vidro</t>
  </si>
  <si>
    <t>2320-6/00</t>
  </si>
  <si>
    <t>Fabricação de cimento</t>
  </si>
  <si>
    <t>Fabricação de estruturas pré-moldadas de concreto armado, em série e sob encomenda</t>
  </si>
  <si>
    <t>Fabricação de artefatos de cimento para uso na construção</t>
  </si>
  <si>
    <t>Fabricação de artefatos de fibrocimento para uso na construção</t>
  </si>
  <si>
    <t>Fabricação de casas pré-moldadas de concreto</t>
  </si>
  <si>
    <t>Preparação de massa de concreto e argamassa para construção</t>
  </si>
  <si>
    <t>2330-3/99</t>
  </si>
  <si>
    <t>Fabricação de outros artefatos e produtos de concreto, cimento, fibrocimento, gesso e materiais semelhantes</t>
  </si>
  <si>
    <t>2341-9/00</t>
  </si>
  <si>
    <t>Fabricação de produtos cerâmicos refratários</t>
  </si>
  <si>
    <t>Fabricação de azulejos e pisos</t>
  </si>
  <si>
    <t>Fabricação de artefatos de cerâmica e barro cozido para uso na construção, exceto azulejos e pisos</t>
  </si>
  <si>
    <t>Fabricação de material sanitário de cerâmica</t>
  </si>
  <si>
    <t>2349-4/99</t>
  </si>
  <si>
    <t>Fabricação de produtos cerâmicos não-refratários não especificados anteriormente</t>
  </si>
  <si>
    <t>Britamento de pedras, exceto associado à extração</t>
  </si>
  <si>
    <t>Aparelhamento de pedras para construção, exceto associado à extração</t>
  </si>
  <si>
    <t>Aparelhamento de placas e execução de trabalhos em mármore, granito, ardósia e outras pedras</t>
  </si>
  <si>
    <t>2392-3/00</t>
  </si>
  <si>
    <t>Fabricação de cal e gesso</t>
  </si>
  <si>
    <t>Decoração, lapidação, gravação, vitrificação e outros trabalhos em cerâmica, louça, vidro e cristal</t>
  </si>
  <si>
    <t>2399-1/99</t>
  </si>
  <si>
    <t>Fabricação de outros produtos de minerais não-metálicos não especificados anteriormente</t>
  </si>
  <si>
    <t>2411-3/00</t>
  </si>
  <si>
    <t>Produção de ferro-gusa</t>
  </si>
  <si>
    <t>2412-1/00</t>
  </si>
  <si>
    <t>Produção de ferroligas</t>
  </si>
  <si>
    <t>2421-1/00</t>
  </si>
  <si>
    <t>Produção de semi-acabados de aço</t>
  </si>
  <si>
    <t>Produção de laminados planos de aço ao carbono, revestidos ou não</t>
  </si>
  <si>
    <t>Produção de laminados planos de aços especiais</t>
  </si>
  <si>
    <t>Produção de tubos de aço sem costura</t>
  </si>
  <si>
    <t>Produção de laminados longos de aço, exceto tubos</t>
  </si>
  <si>
    <t>Produção de arames de aço</t>
  </si>
  <si>
    <t>Produção de relaminados, trefilados e perfilados de aço, exceto arames</t>
  </si>
  <si>
    <t>2431-8/00</t>
  </si>
  <si>
    <t>Produção de tubos de aço com costura</t>
  </si>
  <si>
    <t>2439-3/00</t>
  </si>
  <si>
    <t>Produção de outros tubos de ferro e aço</t>
  </si>
  <si>
    <t>Produção de alumínio e suas ligas em formas primárias</t>
  </si>
  <si>
    <t>Produção de laminados de alumínio</t>
  </si>
  <si>
    <t>2442-3/00</t>
  </si>
  <si>
    <t>Metalurgia dos metais preciosos</t>
  </si>
  <si>
    <t>2443-1/00</t>
  </si>
  <si>
    <t>Metalurgia do cobre</t>
  </si>
  <si>
    <t>Produção de zinco em formas primárias</t>
  </si>
  <si>
    <t>Produção de laminados de zinco</t>
  </si>
  <si>
    <t>Produção de soldas e ânodos para galvanoplastia</t>
  </si>
  <si>
    <t>2449-1/99</t>
  </si>
  <si>
    <t>Metalurgia de outros metais não-ferrosos e suas ligas não especificados anteriormente</t>
  </si>
  <si>
    <t>2451-2/00</t>
  </si>
  <si>
    <t>Fundição de ferro e aço</t>
  </si>
  <si>
    <t>2452-1/00</t>
  </si>
  <si>
    <t>Fundição de metais não-ferrosos e suas ligas</t>
  </si>
  <si>
    <t>2511-0/00</t>
  </si>
  <si>
    <t>Fabricação de estruturas metálicas</t>
  </si>
  <si>
    <t>2512-8/00</t>
  </si>
  <si>
    <t>Fabricação de esquadrias de metal</t>
  </si>
  <si>
    <t>2513-6/00</t>
  </si>
  <si>
    <t>Fabricação de obras de caldeiraria pesada</t>
  </si>
  <si>
    <t>2521-7/00</t>
  </si>
  <si>
    <t>Fabricação de tanques, reservatórios metálicos e caldeiras para aquecimento central</t>
  </si>
  <si>
    <t>2522-5/00</t>
  </si>
  <si>
    <t>Fabricação de caldeiras geradoras de vapor, exceto para aquecimento central e para veículos</t>
  </si>
  <si>
    <t>Produção de forjados de aço</t>
  </si>
  <si>
    <t>Produção de forjados de metais não-ferrosos e suas ligas</t>
  </si>
  <si>
    <t>Produção de artefatos estampados de metal</t>
  </si>
  <si>
    <t>Metalurgia do pó</t>
  </si>
  <si>
    <t>2539-0/00</t>
  </si>
  <si>
    <t>Serviços de usinagem, solda, tratamento e revestimento em metais</t>
  </si>
  <si>
    <t>2541-1/00</t>
  </si>
  <si>
    <t>Fabricação de artigos de cutelaria</t>
  </si>
  <si>
    <t>2542-0/00</t>
  </si>
  <si>
    <t>Fabricação de artigos de serralheria, exceto esquadrias</t>
  </si>
  <si>
    <t>2543-8/00</t>
  </si>
  <si>
    <t>Fabricação de ferramentas</t>
  </si>
  <si>
    <t>Fabricação de equipamento bélico pesado, exceto veículos militares de combate</t>
  </si>
  <si>
    <t>Fabricação de armas de fogo e munições</t>
  </si>
  <si>
    <t>2591-8/00</t>
  </si>
  <si>
    <t>Fabricação de embalagens metálicas</t>
  </si>
  <si>
    <t>Fabricação de produtos de trefilados de metal padronizados</t>
  </si>
  <si>
    <t>Fabricação de produtos de trefilados de metal, exceto padronizados</t>
  </si>
  <si>
    <t>2593-4/00</t>
  </si>
  <si>
    <t>Fabricação de artigos de metal para uso doméstico e pessoal</t>
  </si>
  <si>
    <t>Serviços de confecção de armações metálicas para a construção</t>
  </si>
  <si>
    <t>2599-3/99</t>
  </si>
  <si>
    <t>Fabricação de outros produtos de metal não especificados anteriormente</t>
  </si>
  <si>
    <t>2610-8/00</t>
  </si>
  <si>
    <t>Fabricação de componentes eletrônicos</t>
  </si>
  <si>
    <t>2621-3/00</t>
  </si>
  <si>
    <t>Fabricação de equipamentos de informática</t>
  </si>
  <si>
    <t>2622-1/00</t>
  </si>
  <si>
    <t>Fabricação de periféricos para equipamentos de informática</t>
  </si>
  <si>
    <t>2631-1/00</t>
  </si>
  <si>
    <t>Fabricação de equipamentos transmissores de comunicação, peças e acessórios</t>
  </si>
  <si>
    <t>2632-9/00</t>
  </si>
  <si>
    <t>Fabricação de aparelhos telefônicos e de outros equipamentos de comunicação, peças e acessórios</t>
  </si>
  <si>
    <t>2640-0/00</t>
  </si>
  <si>
    <t>Fabricação de aparelhos de recepção, reprodução, gravação e amplificação de áudio e vídeo</t>
  </si>
  <si>
    <t>2651-5/00</t>
  </si>
  <si>
    <t>Fabricação de aparelhos e equipamentos de medida, teste e controle</t>
  </si>
  <si>
    <t>2652-3/00</t>
  </si>
  <si>
    <t>Fabricação de cronômetros e relógios</t>
  </si>
  <si>
    <t>2660-4/00</t>
  </si>
  <si>
    <t>Fabricação de aparelhos eletromédicos e eletroterapêuticos e equipamentos de irradiação</t>
  </si>
  <si>
    <t>Fabricação de equipamentos e instrumentos ópticos, peças e acessórios</t>
  </si>
  <si>
    <t>Fabricação de aparelhos fotográficos e cinematográficos, peças e acessórios</t>
  </si>
  <si>
    <t>2680-9/00</t>
  </si>
  <si>
    <t>Fabricação de mídias virgens, magnéticas e ópticas</t>
  </si>
  <si>
    <t>Fabricação de geradores de corrente contínua e alternada, peças e acessórios</t>
  </si>
  <si>
    <t>Fabricação de transformadores, indutores, conversores, sincronizadores e semelhantes, peças e acessórios</t>
  </si>
  <si>
    <t>Fabricação de motores elétricos, peças e acessórios</t>
  </si>
  <si>
    <t>2721-0/00</t>
  </si>
  <si>
    <t>Fabricação de pilhas, baterias e acumuladores elétricos, exceto para veículos automotores</t>
  </si>
  <si>
    <t>Fabricação de baterias e acumuladores para veículos automotores</t>
  </si>
  <si>
    <t>Recondicionamento de baterias e acumuladores para veículos automotores</t>
  </si>
  <si>
    <t>2731-7/00</t>
  </si>
  <si>
    <t>Fabricação de aparelhos e equipamentos para distribuição e controle de energia elétrica</t>
  </si>
  <si>
    <t>2732-5/00</t>
  </si>
  <si>
    <t>Fabricação de material elétrico para instalações em circuito de consumo</t>
  </si>
  <si>
    <t>2733-3/00</t>
  </si>
  <si>
    <t>Fabricação de fios, cabos e condutores elétricos isolados</t>
  </si>
  <si>
    <t>Fabricação de lâmpadas</t>
  </si>
  <si>
    <t>Fabricação de luminárias e outros equipamentos de iluminação</t>
  </si>
  <si>
    <t>2751-1/00</t>
  </si>
  <si>
    <t>Fabricação de fogões, refrigeradores e máquinas de lavar e secar para uso doméstico, peças e acessórios</t>
  </si>
  <si>
    <t>Fabricação de aparelhos elétricos de uso pessoal, peças e acessórios</t>
  </si>
  <si>
    <t>2759-7/99</t>
  </si>
  <si>
    <t>Fabricação de outros aparelhos eletrodomésticos não especificados anteriormente, peças e acessórios</t>
  </si>
  <si>
    <t>Fabricação de eletrodos, contatos e outros artigos de carvão e grafita para uso elétrico, eletroímãs e isoladores</t>
  </si>
  <si>
    <t>Fabricação de equipamentos para sinalização e alarme</t>
  </si>
  <si>
    <t>2790-2/99</t>
  </si>
  <si>
    <t>Fabricação de outros equipamentos e aparelhos elétricos não especificados anteriormente</t>
  </si>
  <si>
    <t>2811-9/00</t>
  </si>
  <si>
    <t>Fabricação de motores e turbinas, peças e acessórios, exceto para aviões e veículos rodoviários</t>
  </si>
  <si>
    <t>2812-7/00</t>
  </si>
  <si>
    <t>Fabricação de equipamentos hidráulicos e pneumáticos, peças e acessórios, exceto válvulas</t>
  </si>
  <si>
    <t>2813-5/00</t>
  </si>
  <si>
    <t>Fabricação de válvulas, registros e dispositivos semelhantes, peças e acessórios</t>
  </si>
  <si>
    <t>Fabricação de compressores para uso industrial, peças e acessórios</t>
  </si>
  <si>
    <t>Fabricação de compressores para uso não-industrial, peças e acessórios</t>
  </si>
  <si>
    <t>Fabricação de rolamentos para fins industriais</t>
  </si>
  <si>
    <t>Fabricação de equipamentos de transmissão para fins industriais, exceto rolamentos</t>
  </si>
  <si>
    <t>Fabricação de fornos industriais, aparelhos e equipamentos não-elétricos para instalações térmicas, peças e acessórios</t>
  </si>
  <si>
    <t>Fabricação de estufas e fornos elétricos para fins industriais, peças e acessórios</t>
  </si>
  <si>
    <t>Fabricação de máquinas, equipamentos e aparelhos para transporte e elevação de pessoas, peças e acessórios</t>
  </si>
  <si>
    <t>Fabricação de máquinas, equipamentos e aparelhos para transporte e elevação de cargas, peças e acessórios</t>
  </si>
  <si>
    <t>2823-2/00</t>
  </si>
  <si>
    <t>Fabricação de máquinas e aparelhos de refrigeração e ventilação para uso industrial e comercial, peças e acessórios</t>
  </si>
  <si>
    <t>Fabricação de aparelhos e equipamentos de ar condicionado para uso industrial</t>
  </si>
  <si>
    <t>Fabricação de aparelhos e equipamentos de ar condicionado para uso não-industrial</t>
  </si>
  <si>
    <t>2825-9/00</t>
  </si>
  <si>
    <t>Fabricação de máquinas e equipamentos para saneamento básico e ambiental, peças e acessórios</t>
  </si>
  <si>
    <t>Fabricação de máquinas de escrever, calcular e outros equipamentos não-eletrônicos para escritório, peças e acessórios</t>
  </si>
  <si>
    <t>2829-1/99</t>
  </si>
  <si>
    <t>Fabricação de outras máquinas e equipamentos de uso geral não especificados anteriormente, peças e acessórios</t>
  </si>
  <si>
    <t>2831-3/00</t>
  </si>
  <si>
    <t>Fabricação de tratores agrícolas, peças e acessórios</t>
  </si>
  <si>
    <t>2832-1/00</t>
  </si>
  <si>
    <t>Fabricação de equipamentos para irrigação agrícola, peças e acessórios</t>
  </si>
  <si>
    <t>2833-0/00</t>
  </si>
  <si>
    <t>Fabricação de máquinas e equipamentos para a agricultura e pecuária, peças e acessórios, exceto para irrigação</t>
  </si>
  <si>
    <t>2840-2/00</t>
  </si>
  <si>
    <t>Fabricação de máquinas-ferramenta, peças e acessórios</t>
  </si>
  <si>
    <t>2851-8/00</t>
  </si>
  <si>
    <t>Fabricação de máquinas e equipamentos para a prospecção e extração de petróleo, peças e acessórios</t>
  </si>
  <si>
    <t>2852-6/00</t>
  </si>
  <si>
    <t>Fabricação de outras máquinas e equipamentos para uso na extração mineral, peças e acessórios, exceto na extração de petróleo</t>
  </si>
  <si>
    <t>2853-4/00</t>
  </si>
  <si>
    <t>Fabricação de tratores, peças e acessórios, exceto agrícolas</t>
  </si>
  <si>
    <t>2854-2/00</t>
  </si>
  <si>
    <t>Fabricação de máquinas e equipamentos para terraplenagem, pavimentação e construção, peças e acessórios, exceto tratores</t>
  </si>
  <si>
    <t>2861-5/00</t>
  </si>
  <si>
    <t>Fabricação de máquinas para a indústria metalúrgica, peças e acessórios, exceto máquinas-ferramenta</t>
  </si>
  <si>
    <t>2862-3/00</t>
  </si>
  <si>
    <t>Fabricação de máquinas e equipamentos para as indústrias de alimentos, bebidas e fumo, peças e acessórios</t>
  </si>
  <si>
    <t>2863-1/00</t>
  </si>
  <si>
    <t>Fabricação de máquinas e equipamentos para a indústria têxtil, peças e acessórios</t>
  </si>
  <si>
    <t>2864-0/00</t>
  </si>
  <si>
    <t>Fabricação de máquinas e equipamentos para as indústrias do vestuário, do couro e de calçados, peças e acessórios</t>
  </si>
  <si>
    <t>2865-8/00</t>
  </si>
  <si>
    <t>Fabricação de máquinas e equipamentos para as indústrias de celulose, papel e papelão e artefatos, peças e acessórios</t>
  </si>
  <si>
    <t>2866-6/00</t>
  </si>
  <si>
    <t>Fabricação de máquinas e equipamentos para a indústria do plástico, peças e acessórios</t>
  </si>
  <si>
    <t>2869-1/00</t>
  </si>
  <si>
    <t>Fabricação de máquinas e equipamentos para uso industrial específico não especificados anteriormente, peças e acessórios</t>
  </si>
  <si>
    <t>Fabricação de automóveis, camionetas e utilitários</t>
  </si>
  <si>
    <t>Fabricação de chassis com motor para automóveis, camionetas e utilitários</t>
  </si>
  <si>
    <t>Fabricação de motores para automóveis, camionetas e utilitários</t>
  </si>
  <si>
    <t>Fabricação de caminhões e ônibus</t>
  </si>
  <si>
    <t>Fabricação de motores para caminhões e ônibus</t>
  </si>
  <si>
    <t>Fabricação de cabines, carrocerias e reboques para caminhões</t>
  </si>
  <si>
    <t>Fabricação de carrocerias para ônibus</t>
  </si>
  <si>
    <t>Fabricação de cabines, carrocerias e reboques para outros veículos automotores, exceto caminhões e ônibus</t>
  </si>
  <si>
    <t>2941-7/00</t>
  </si>
  <si>
    <t>Fabricação de peças e acessórios para o sistema motor de veículos automotores</t>
  </si>
  <si>
    <t>2942-5/00</t>
  </si>
  <si>
    <t>Fabricação de peças e acessórios para os sistemas de marcha e transmissão de veículos automotores</t>
  </si>
  <si>
    <t>2943-3/00</t>
  </si>
  <si>
    <t>Fabricação de peças e acessórios para o sistema de freios de veículos automotores</t>
  </si>
  <si>
    <t>2944-1/00</t>
  </si>
  <si>
    <t>Fabricação de peças e acessórios para o sistema de direção e suspensão de veículos automotores</t>
  </si>
  <si>
    <t>2945-0/00</t>
  </si>
  <si>
    <t>Fabricação de material elétrico e eletrônico para veículos automotores, exceto baterias</t>
  </si>
  <si>
    <t>Fabricação de bancos e estofados para veículos automotores</t>
  </si>
  <si>
    <t>2949-2/99</t>
  </si>
  <si>
    <t>Fabricação de outras peças e acessórios para veículos automotores não especificadas anteriormente</t>
  </si>
  <si>
    <t>2950-6/00</t>
  </si>
  <si>
    <t>Recondicionamento e recuperação de motores para veículos automotores</t>
  </si>
  <si>
    <t>Construção de embarcações de grande porte</t>
  </si>
  <si>
    <t>Construção de embarcações para uso comercial e para usos especiais, exceto de grande porte</t>
  </si>
  <si>
    <t>3012-1/00</t>
  </si>
  <si>
    <t>Construção de embarcações para esporte e lazer</t>
  </si>
  <si>
    <t>3031-8/00</t>
  </si>
  <si>
    <t>Fabricação de locomotivas, vagões e outros materiais rodantes</t>
  </si>
  <si>
    <t>3032-6/00</t>
  </si>
  <si>
    <t>Fabricação de peças e acessórios para veículos ferroviários</t>
  </si>
  <si>
    <t>3041-5/00</t>
  </si>
  <si>
    <t>Fabricação de aeronaves</t>
  </si>
  <si>
    <t>3042-3/00</t>
  </si>
  <si>
    <t>Fabricação de turbinas, motores e outros componentes e peças para aeronaves</t>
  </si>
  <si>
    <t>3050-4/00</t>
  </si>
  <si>
    <t>Fabricação de veículos militares de combate</t>
  </si>
  <si>
    <t>3091-1/00</t>
  </si>
  <si>
    <t>Fabricação de motocicletas, peças e acessórios</t>
  </si>
  <si>
    <t>3092-0/00</t>
  </si>
  <si>
    <t>Fabricação de bicicletas e triciclos não-motorizados, peças e acessórios</t>
  </si>
  <si>
    <t>3099-7/00</t>
  </si>
  <si>
    <t>Fabricação de equipamentos de transporte não especificados anteriormente</t>
  </si>
  <si>
    <t>3101-2/00</t>
  </si>
  <si>
    <t>Fabricação de móveis com predominância de madeira</t>
  </si>
  <si>
    <t>3102-1/00</t>
  </si>
  <si>
    <t>Fabricação de móveis com predominância de metal</t>
  </si>
  <si>
    <t>3103-9/00</t>
  </si>
  <si>
    <t>Fabricação de móveis de outros materiais, exceto madeira e metal</t>
  </si>
  <si>
    <t>3104-7/00</t>
  </si>
  <si>
    <t>Fabricação de colchões</t>
  </si>
  <si>
    <t>Lapidação de gemas</t>
  </si>
  <si>
    <t>Fabricação de artefatos de joalheria e ourivesaria</t>
  </si>
  <si>
    <t>Cunhagem de moedas e medalhas</t>
  </si>
  <si>
    <t>3212-4/00</t>
  </si>
  <si>
    <t>Fabricação de bijuterias e artefatos semelhantes</t>
  </si>
  <si>
    <t>3220-5/00</t>
  </si>
  <si>
    <t>Fabricação de instrumentos musicais, peças e acessórios</t>
  </si>
  <si>
    <t>3230-2/00</t>
  </si>
  <si>
    <t>Fabricação de artefatos para pesca e esporte</t>
  </si>
  <si>
    <t>3240-0/01</t>
  </si>
  <si>
    <t>Fabricação de jogos eletrônicos</t>
  </si>
  <si>
    <t>3240-0/02</t>
  </si>
  <si>
    <t>Fabricação de mesas de bilhar, de sinuca e acessórios não associada à locação</t>
  </si>
  <si>
    <t>3240-0/03</t>
  </si>
  <si>
    <t>Fabricação de mesas de bilhar, de sinuca e acessórios associada à locação</t>
  </si>
  <si>
    <t>3240-0/99</t>
  </si>
  <si>
    <t>Fabricação de outros brinquedos e jogos recreativos não especificados anteriormente</t>
  </si>
  <si>
    <t>Fabricação de instrumentos não-eletrônicos e utensílios para uso médico, cirúrgico, odontológico e de laboratório</t>
  </si>
  <si>
    <t>Fabricação de mobiliário para uso médico, cirúrgico, odontológico e de laboratório</t>
  </si>
  <si>
    <t>Fabricação de aparelhos e utensílios para correção de defeitos físicos e aparelhos ortopédicos em geral sob encomenda</t>
  </si>
  <si>
    <t>Fabricação de aparelhos e utensílios para correção de defeitos físicos e aparelhos ortopédicos em geral, exceto sob encomenda</t>
  </si>
  <si>
    <t>Fabricação de materiais para medicina e odontologia</t>
  </si>
  <si>
    <t>Serviços de prótese dentária</t>
  </si>
  <si>
    <t>Fabricação de artigos ópticos</t>
  </si>
  <si>
    <t>Fabricação de artefatos de tecido não tecido para uso odonto-médico-hospitalar</t>
  </si>
  <si>
    <t>3291-4/00</t>
  </si>
  <si>
    <t>Fabricação de escovas, pincéis e vassouras</t>
  </si>
  <si>
    <t>Fabricação de roupas de proteção e segurança e resistentes a fogo</t>
  </si>
  <si>
    <t>Fabricação de equipamentos e acessórios para segurança pessoal e profissional</t>
  </si>
  <si>
    <t>3299-0/01</t>
  </si>
  <si>
    <t>Fabricação de guarda-chuvas e similares</t>
  </si>
  <si>
    <t>3299-0/02</t>
  </si>
  <si>
    <t>Fabricação de canetas, lápis e outros artigos para escritório</t>
  </si>
  <si>
    <t>3299-0/03</t>
  </si>
  <si>
    <t>Fabricação de letras, letreiros e placas de qualquer material, exceto luminosos</t>
  </si>
  <si>
    <t>3299-0/04</t>
  </si>
  <si>
    <t>Fabricação de painéis e letreiros luminosos</t>
  </si>
  <si>
    <t>3299-0/05</t>
  </si>
  <si>
    <t>Fabricação de aviamentos para costura</t>
  </si>
  <si>
    <t>3299-0/99</t>
  </si>
  <si>
    <t>Fabricação de produtos diversos não especificados anteriormente</t>
  </si>
  <si>
    <t>3311-2/00</t>
  </si>
  <si>
    <t>Manutenção e reparação de tanques, reservatórios metálicos e caldeiras, exceto para veículos</t>
  </si>
  <si>
    <t>Manutenção e reparação de equipamentos transmissores de comunicação</t>
  </si>
  <si>
    <t>Manutenção e reparação de aparelhos e instrumentos de medida, teste e controle</t>
  </si>
  <si>
    <t>Manutenção e reparação de aparelhos eletromédicos e eletroterapêuticos e equipamentos de irradiação</t>
  </si>
  <si>
    <t>Manutenção e reparação de equipamentos e instrumentos ópticos</t>
  </si>
  <si>
    <t>Manutenção e reparação de geradores, transformadores e motores elétricos</t>
  </si>
  <si>
    <t>Manutenção e reparação de baterias e acumuladores elétricos, exceto para veículos</t>
  </si>
  <si>
    <t>3313-9/99</t>
  </si>
  <si>
    <t>Manutenção e reparação de máquinas, aparelhos e materiais elétricos não especificados anteriormente</t>
  </si>
  <si>
    <t>Manutenção e reparação de máquinas motrizes não-elétricas</t>
  </si>
  <si>
    <t>Manutenção e reparação de equipamentos hidráulicos e pneumáticos, exceto válvulas</t>
  </si>
  <si>
    <t>Manutenção e reparação de válvulas industriais</t>
  </si>
  <si>
    <t>Manutenção e reparação de compressores</t>
  </si>
  <si>
    <t>Manutenção e reparação de equipamentos de transmissão para fins industriais</t>
  </si>
  <si>
    <t>Manutenção e reparação de máquinas, aparelhos e equipamentos para instalações térmicas</t>
  </si>
  <si>
    <t>Manutenção e reparação de máquinas e aparelhos de refrigeração e ventilação para uso industrial e comercial</t>
  </si>
  <si>
    <t>Manutenção e reparação de máquinas, equipamentos e aparelhos para transporte e elevação de cargas</t>
  </si>
  <si>
    <t>Manutenção e reparação de máquinas de escrever, calcular e de outros equipamentos não-eletrônicos para escritório</t>
  </si>
  <si>
    <t>Manutenção e reparação de máquinas e equipamentos para uso geral não especificados anteriormente</t>
  </si>
  <si>
    <t>Manutenção e reparação de máquinas e equipamentos para agricultura e pecuária</t>
  </si>
  <si>
    <t>Manutenção e reparação de tratores agrícolas</t>
  </si>
  <si>
    <t>Manutenção e reparação de máquinas-ferramenta</t>
  </si>
  <si>
    <t>Manutenção e reparação de máquinas e equipamentos para a prospecção e extração de petróleo</t>
  </si>
  <si>
    <t>Manutenção e reparação de máquinas e equipamentos para uso na extração mineral, exceto na extração de petróleo</t>
  </si>
  <si>
    <t>Manutenção e reparação de tratores, exceto agrícolas</t>
  </si>
  <si>
    <t>Manutenção e reparação de máquinas e equipamentos de terraplenagem, pavimentação e construção, exceto tratores</t>
  </si>
  <si>
    <t>Manutenção e reparação de máquinas para a indústria metalúrgica, exceto máquinas-ferramenta</t>
  </si>
  <si>
    <t>Manutenção e reparação de máquinas e equipamentos para as indústrias de alimentos, bebidas e fumo</t>
  </si>
  <si>
    <t>Manutenção e reparação de máquinas e equipamentos para a indústria têxtil, do vestuário, do couro e calçados</t>
  </si>
  <si>
    <t>Manutenção e reparação de máquinas e aparelhos para a indústria de celulose, papel e papelão e artefatos</t>
  </si>
  <si>
    <t>Manutenção e reparação de máquinas e aparelhos para a indústria do plástico</t>
  </si>
  <si>
    <t>3314-7/99</t>
  </si>
  <si>
    <t>Manutenção e reparação de outras máquinas e equipamentos para usos industriais não especificados anteriormente</t>
  </si>
  <si>
    <t>3315-5/00</t>
  </si>
  <si>
    <t>Manutenção e reparação de veículos ferroviários</t>
  </si>
  <si>
    <t>Manutenção e reparação de aeronaves, exceto a manutenção na pista</t>
  </si>
  <si>
    <t>Manutenção de aeronaves na pista</t>
  </si>
  <si>
    <t>Manutenção e reparação de embarcações e estruturas flutuantes</t>
  </si>
  <si>
    <t>Manutenção e reparação de embarcações para esporte e lazer</t>
  </si>
  <si>
    <t>3319-8/00</t>
  </si>
  <si>
    <t>Manutenção e reparação de equipamentos e produtos não especificados anteriormente</t>
  </si>
  <si>
    <t>3321-0/00</t>
  </si>
  <si>
    <t>Instalação de máquinas e equipamentos industriais</t>
  </si>
  <si>
    <t>Serviços de montagem de móveis de qualquer material</t>
  </si>
  <si>
    <t>3329-5/99</t>
  </si>
  <si>
    <t>Instalação de outros equipamentos não especificados anteriormente</t>
  </si>
  <si>
    <t>3511-5/00</t>
  </si>
  <si>
    <t>Geração de energia elétrica</t>
  </si>
  <si>
    <t>3512-3/00</t>
  </si>
  <si>
    <t>Transmissão de energia elétrica</t>
  </si>
  <si>
    <t>3513-1/00</t>
  </si>
  <si>
    <t>Comércio atacadista de energia elétrica</t>
  </si>
  <si>
    <t>3514-0/00</t>
  </si>
  <si>
    <t>Distribuição de energia elétrica</t>
  </si>
  <si>
    <t>Produção de gás; processamento de gás natural</t>
  </si>
  <si>
    <t>Distribuição de combustíveis gasosos por redes urbanas</t>
  </si>
  <si>
    <t>3530-1/00</t>
  </si>
  <si>
    <t>Produção e distribuição de vapor, água quente e ar condicionado</t>
  </si>
  <si>
    <t>Captação, tratamento e distribuição de água</t>
  </si>
  <si>
    <t>Distribuição de água por caminhões</t>
  </si>
  <si>
    <t>3701-1/00</t>
  </si>
  <si>
    <t>Gestão de redes de esgoto</t>
  </si>
  <si>
    <t>3702-9/00</t>
  </si>
  <si>
    <t>Atividades relacionadas a esgoto, exceto a gestão de redes</t>
  </si>
  <si>
    <t>3811-4/00</t>
  </si>
  <si>
    <t>Coleta de resíduos não-perigosos</t>
  </si>
  <si>
    <t>3812-2/00</t>
  </si>
  <si>
    <t>Coleta de resíduos perigosos</t>
  </si>
  <si>
    <t>3821-1/00</t>
  </si>
  <si>
    <t>Tratamento e disposição de resíduos não-perigosos</t>
  </si>
  <si>
    <t>3822-0/00</t>
  </si>
  <si>
    <t>Tratamento e disposição de resíduos perigosos</t>
  </si>
  <si>
    <t>Recuperação de sucatas de alumínio</t>
  </si>
  <si>
    <t>3831-9/99</t>
  </si>
  <si>
    <t>Recuperação de materiais metálicos, exceto alumínio</t>
  </si>
  <si>
    <t>3832-7/00</t>
  </si>
  <si>
    <t>Recuperação de materiais plásticos</t>
  </si>
  <si>
    <t>Usinas de compostagem</t>
  </si>
  <si>
    <t>3839-4/99</t>
  </si>
  <si>
    <t>Recuperação de materiais não especificados anteriormente</t>
  </si>
  <si>
    <t>3900-5/00</t>
  </si>
  <si>
    <t>Descontaminação e outros serviços de gestão de resíduos</t>
  </si>
  <si>
    <t>4110-7/00</t>
  </si>
  <si>
    <t>Incorporação de empreendimentos imobiliários</t>
  </si>
  <si>
    <t>4120-4/00</t>
  </si>
  <si>
    <t>Construção de edifícios</t>
  </si>
  <si>
    <t>Construção de rodovias e ferrovias</t>
  </si>
  <si>
    <t>Pintura para sinalização em pistas rodoviárias e aeroportos</t>
  </si>
  <si>
    <t>4212-0/00</t>
  </si>
  <si>
    <t>Construção de obras de arte especiais</t>
  </si>
  <si>
    <t>4213-8/00</t>
  </si>
  <si>
    <t>Obras de urbanização - ruas, praças e calçadas</t>
  </si>
  <si>
    <t>Construção de barragens e represas para geração de energia elétrica</t>
  </si>
  <si>
    <t>Construção de estações e redes de distribuição de energia elétrica</t>
  </si>
  <si>
    <t>Manutenção de redes de distribuição de energia elétrica</t>
  </si>
  <si>
    <t>Construção de estações e redes de telecomunicações</t>
  </si>
  <si>
    <t>Manutenção de estações e redes de telecomunicações</t>
  </si>
  <si>
    <t>Construção de redes de abastecimento de água, coleta de esgoto e construções correlatas, exceto obras de irrigação</t>
  </si>
  <si>
    <t>Obras de irrigação</t>
  </si>
  <si>
    <t>4223-5/00</t>
  </si>
  <si>
    <t>Construção de redes de transportes por dutos, exceto para água e esgoto</t>
  </si>
  <si>
    <t>4291-0/00</t>
  </si>
  <si>
    <t>Obras portuárias, marítimas e fluviais</t>
  </si>
  <si>
    <t>Montagem de estruturas metálicas</t>
  </si>
  <si>
    <t>Obras de montagem industrial</t>
  </si>
  <si>
    <t>Construção de instalações esportivas e recreativas</t>
  </si>
  <si>
    <t>4299-5/99</t>
  </si>
  <si>
    <t>Outras obras de engenharia civil não especificadas anteriormente</t>
  </si>
  <si>
    <t>Demolição de edifícios e outras estruturas</t>
  </si>
  <si>
    <t>Preparação de canteiro e limpeza de terreno</t>
  </si>
  <si>
    <t>4312-6/00</t>
  </si>
  <si>
    <t>Perfurações e sondagens</t>
  </si>
  <si>
    <t>4313-4/00</t>
  </si>
  <si>
    <t>Obras de terraplenagem</t>
  </si>
  <si>
    <t>4319-3/00</t>
  </si>
  <si>
    <t>Serviços de preparação do terreno não especificados anteriormente</t>
  </si>
  <si>
    <t>4321-5/00</t>
  </si>
  <si>
    <t>Instalação e manutenção elétrica</t>
  </si>
  <si>
    <t>Instalações hidráulicas, sanitárias e de gás</t>
  </si>
  <si>
    <t>Instalação e manutenção de sistemas centrais de ar condicionado, de ventilação e refrigeração</t>
  </si>
  <si>
    <t>Instalações de sistema de prevenção contra incêndio</t>
  </si>
  <si>
    <t>Instalação de painéis publicitários</t>
  </si>
  <si>
    <t>Instalação de equipamentos para orientação à navegação marítima fluvial e lacustre</t>
  </si>
  <si>
    <t>Instalação, manutenção e reparação de elevadores, escadas e esteiras rolantes, exceto de fabricação própria</t>
  </si>
  <si>
    <t>Montagem e instalação de sistemas e equipamentos de iluminação e sinalização em vias públicas, portos e aeroportos</t>
  </si>
  <si>
    <t>Tratamentos térmicos, acústicos ou de vibração</t>
  </si>
  <si>
    <t>4329-1/99</t>
  </si>
  <si>
    <t>Outras obras de instalações em construções não especificadas anteriormente</t>
  </si>
  <si>
    <t>Impermeabilização em obras de engenharia civil</t>
  </si>
  <si>
    <t>Instalação de portas, janelas, tetos, divisórias e armários embutidos de qualquer material</t>
  </si>
  <si>
    <t>Obras de acabamento em gesso e estuque</t>
  </si>
  <si>
    <t>Serviços de pintura de edifícios em geral</t>
  </si>
  <si>
    <t>Aplicação de revestimentos e de resinas em interiores e exteriores</t>
  </si>
  <si>
    <t>4330-4/99</t>
  </si>
  <si>
    <t>Outras obras de acabamento da construção</t>
  </si>
  <si>
    <t>4391-6/00</t>
  </si>
  <si>
    <t>Obras de fundações</t>
  </si>
  <si>
    <t>Administração de obras</t>
  </si>
  <si>
    <t>Montagem e desmontagem de andaimes e outras estruturas temporárias</t>
  </si>
  <si>
    <t>Obras de alvenaria</t>
  </si>
  <si>
    <t>Serviços de operação e fornecimento de equipamentos para transporte e elevação de cargas e pessoas para uso em obras</t>
  </si>
  <si>
    <t>Perfuração e construção de poços de água</t>
  </si>
  <si>
    <t>4399-1/99</t>
  </si>
  <si>
    <t>Serviços especializados para construção não especificados anteriormente</t>
  </si>
  <si>
    <t>Comércio a varejo de automóveis, camionetas e utilitários novos</t>
  </si>
  <si>
    <t>Comércio a varejo de automóveis, camionetas e utilitários usados</t>
  </si>
  <si>
    <t>Comércio por atacado de automóveis, camionetas e utilitários novos e usados</t>
  </si>
  <si>
    <t>Comércio por atacado de caminhões novos e usados</t>
  </si>
  <si>
    <t>Comércio por atacado de reboques e semi-reboques novos e usados</t>
  </si>
  <si>
    <t>Comércio por atacado de ônibus e microônibus novos e usados</t>
  </si>
  <si>
    <t>Representantes comerciais e agentes do comércio de veículos automotores</t>
  </si>
  <si>
    <t>Comércio sob consignação de veículos automotores</t>
  </si>
  <si>
    <t>4520-0/01</t>
  </si>
  <si>
    <t>Serviços de manutenção e reparação mecânica de veículos automotores</t>
  </si>
  <si>
    <t>4520-0/02</t>
  </si>
  <si>
    <t>Serviços de lanternagem ou funilaria e pintura de veículos automotores</t>
  </si>
  <si>
    <t>4520-0/03</t>
  </si>
  <si>
    <t>Serviços de manutenção e reparação elétrica de veículos automotores</t>
  </si>
  <si>
    <t>4520-0/04</t>
  </si>
  <si>
    <t>Serviços de alinhamento e balanceamento de veículos automotores</t>
  </si>
  <si>
    <t>4520-0/05</t>
  </si>
  <si>
    <t>Serviços de lavagem, lubrificação e polimento de veículos automotores</t>
  </si>
  <si>
    <t>4520-0/06</t>
  </si>
  <si>
    <t>Serviços de borracharia para veículos automotores</t>
  </si>
  <si>
    <t>4520-0/07</t>
  </si>
  <si>
    <t>Serviços de instalação, manutenção e reparação de acessórios para veículos automotores</t>
  </si>
  <si>
    <t>Comércio por atacado de peças e acessórios novos para veículos automotores</t>
  </si>
  <si>
    <t>Comércio por atacado de pneumáticos e câmaras-de-ar</t>
  </si>
  <si>
    <t>Comércio a varejo de peças e acessórios novos para veículos automotores</t>
  </si>
  <si>
    <t>Comércio a varejo de peças e acessórios usados para veículos automotores</t>
  </si>
  <si>
    <t>Comércio a varejo de pneumáticos e câmaras-de-ar</t>
  </si>
  <si>
    <t>Representantes comerciais e agentes do comércio de peças e acessórios novos e usados para veículos automotores</t>
  </si>
  <si>
    <t>Comércio por atacado de motocicletas e motonetas</t>
  </si>
  <si>
    <t>Comércio por atacado de peças e acessórios para motocicletas e motonetas</t>
  </si>
  <si>
    <t>Comércio a varejo de motocicletas e motonetas novas</t>
  </si>
  <si>
    <t>Comércio a varejo de motocicletas e motonetas usadas</t>
  </si>
  <si>
    <t>Comércio a varejo de peças e acessórios para motocicletas e motonetas</t>
  </si>
  <si>
    <t>Representantes comerciais e agentes do comércio de motocicletas e motonetas, peças e acessórios</t>
  </si>
  <si>
    <t>Comércio sob consignação de motocicletas e motonetas</t>
  </si>
  <si>
    <t>4543-9/00</t>
  </si>
  <si>
    <t>Manutenção e reparação de motocicletas e motonetas</t>
  </si>
  <si>
    <t>4611-7/00</t>
  </si>
  <si>
    <t>Representantes comerciais e agentes do comércio de matérias-primas agrícolas e animais vivos</t>
  </si>
  <si>
    <t>4612-5/00</t>
  </si>
  <si>
    <t>Representantes comerciais e agentes do comércio de combustíveis, minerais, produtos siderúrgicos e químicos</t>
  </si>
  <si>
    <t>4613-3/00</t>
  </si>
  <si>
    <t>Representantes comerciais e agentes do comércio de madeira, material de construção e ferragens</t>
  </si>
  <si>
    <t>4614-1/00</t>
  </si>
  <si>
    <t>Representantes comerciais e agentes do comércio de máquinas, equipamentos, embarcações e aeronaves</t>
  </si>
  <si>
    <t>4615-0/00</t>
  </si>
  <si>
    <t>Representantes comerciais e agentes do comércio de eletrodomésticos, móveis e artigos de uso doméstico</t>
  </si>
  <si>
    <t>4616-8/00</t>
  </si>
  <si>
    <t>Representantes comerciais e agentes do comércio de têxteis, vestuário, calçados e artigos de viagem</t>
  </si>
  <si>
    <t>4617-6/00</t>
  </si>
  <si>
    <t>Representantes comerciais e agentes do comércio de produtos alimentícios, bebidas e fumo</t>
  </si>
  <si>
    <t>Representantes comerciais e agentes do comércio de medicamentos, cosméticos e produtos de perfumaria</t>
  </si>
  <si>
    <t>Representantes comerciais e agentes do comércio de instrumentos e materiais odonto-médico-hospitalares</t>
  </si>
  <si>
    <t>Representantes comerciais e agentes do comércio de jornais, revistas e outras publicações</t>
  </si>
  <si>
    <t>4618-4/99</t>
  </si>
  <si>
    <t>Outros representantes comerciais e agentes do comércio especializado em produtos não especificados anteriormente</t>
  </si>
  <si>
    <t>4619-2/00</t>
  </si>
  <si>
    <t>Representantes comerciais e agentes do comércio de mercadorias em geral não especializado</t>
  </si>
  <si>
    <t>4621-4/00</t>
  </si>
  <si>
    <t>Comércio atacadista de café em grão</t>
  </si>
  <si>
    <t>4622-2/00</t>
  </si>
  <si>
    <t>Comércio atacadista de soja</t>
  </si>
  <si>
    <t>Comércio atacadista de animais vivos</t>
  </si>
  <si>
    <t>Comércio atacadista de couros, lãs, peles e outros subprodutos não-comestíveis de origem animal</t>
  </si>
  <si>
    <t>Comércio atacadista de algodão</t>
  </si>
  <si>
    <t>Comércio atacadista de fumo em folha não beneficiado</t>
  </si>
  <si>
    <t>Comércio  atacadista de cacau</t>
  </si>
  <si>
    <t>Comércio atacadista de sementes, flores, plantas e gramas</t>
  </si>
  <si>
    <t>Comércio atacadista de sisal</t>
  </si>
  <si>
    <t>Comércio atacadista de matérias-primas agrícolas com atividade de fracionamento e acondicionamento associada</t>
  </si>
  <si>
    <t>Comércio atacadista de alimentos para animais</t>
  </si>
  <si>
    <t>4623-1/99</t>
  </si>
  <si>
    <t>Comércio atacadista de matérias-primas agrícolas não especificadas anteriormente</t>
  </si>
  <si>
    <t>4631-1/00</t>
  </si>
  <si>
    <t>Comércio atacadista de leite e laticínios</t>
  </si>
  <si>
    <t>4632-0/01</t>
  </si>
  <si>
    <t>Comércio atacadista de cereais e leguminosas beneficiados</t>
  </si>
  <si>
    <t>4632-0/02</t>
  </si>
  <si>
    <t>Comércio atacadista de farinhas, amidos e féculas</t>
  </si>
  <si>
    <t>4632-0/03</t>
  </si>
  <si>
    <t>Comércio atacadista de cereais e leguminosas beneficiados, farinhas, amidos e féculas, com atividade de fracionamento e acondicionamento associada</t>
  </si>
  <si>
    <t>Comércio atacadista de frutas, verduras, raízes, tubérculos, hortaliças e legumes frescos</t>
  </si>
  <si>
    <t>Comércio atacadista de aves vivas e ovos</t>
  </si>
  <si>
    <t>Comércio atacadista de coelhos e outros pequenos animais vivos para alimentação</t>
  </si>
  <si>
    <t>Comércio atacadista de carnes bovinas e suínas e derivados</t>
  </si>
  <si>
    <t>Comércio atacadista de aves abatidas e derivados</t>
  </si>
  <si>
    <t>Comércio atacadista de pescados e frutos do mar</t>
  </si>
  <si>
    <t>4634-6/99</t>
  </si>
  <si>
    <t>Comércio atacadista de carnes e derivados de outros animais</t>
  </si>
  <si>
    <t>Comércio atacadista de água mineral</t>
  </si>
  <si>
    <t>Comércio atacadista de cerveja, chope e refrigerante</t>
  </si>
  <si>
    <t>Comércio atacadista de bebidas com atividade de fracionamento e acondicionamento associada</t>
  </si>
  <si>
    <t>4635-4/99</t>
  </si>
  <si>
    <t>Comércio atacadista de bebidas não especificadas anteriormente</t>
  </si>
  <si>
    <t>Comércio atacadista de fumo beneficiado</t>
  </si>
  <si>
    <t>Comércio atacadista de cigarros, cigarrilhas e charutos</t>
  </si>
  <si>
    <t>Comércio atacadista de café torrado, moído e solúvel</t>
  </si>
  <si>
    <t>Comércio atacadista de açúcar</t>
  </si>
  <si>
    <t>Comércio atacadista de óleos e gorduras</t>
  </si>
  <si>
    <t>Comércio atacadista de pães, bolos, biscoitos e similares</t>
  </si>
  <si>
    <t>Comércio atacadista de massas alimentícias</t>
  </si>
  <si>
    <t>Comércio atacadista de sorvetes</t>
  </si>
  <si>
    <t>Comércio atacadista de chocolates, confeitos, balas, bombons e semelhantes</t>
  </si>
  <si>
    <t>4637-1/99</t>
  </si>
  <si>
    <t>Comércio atacadista especializado em outros produtos alimentícios não especificados anteriormente</t>
  </si>
  <si>
    <t>Comércio atacadista de produtos alimentícios em geral</t>
  </si>
  <si>
    <t>Comércio atacadista de produtos alimentícios em geral, com atividade de fracionamento e acondicionamento associada</t>
  </si>
  <si>
    <t>Comércio atacadista de tecidos</t>
  </si>
  <si>
    <t>Comércio atacadista de artigos de cama, mesa e banho</t>
  </si>
  <si>
    <t>Comércio atacadista de artigos de armarinho</t>
  </si>
  <si>
    <t>Comércio atacadista de artigos do vestuário e acessórios, exceto profissionais e de segurança</t>
  </si>
  <si>
    <t>Comércio atacadista de roupas e acessórios para uso profissional e de segurança do trabalho</t>
  </si>
  <si>
    <t>Comércio atacadista de calçados</t>
  </si>
  <si>
    <t>Comércio atacadista de bolsas, malas e artigos de viagem</t>
  </si>
  <si>
    <t>Comércio atacadista de medicamentos e drogas de uso humano</t>
  </si>
  <si>
    <t>Comércio atacadista de medicamentos e drogas de uso veterinário</t>
  </si>
  <si>
    <t>Comércio atacadista de instrumentos e materiais para uso médico, cirúrgico, hospitalar e de laboratórios</t>
  </si>
  <si>
    <t>Comércio atacadista de próteses e artigos de ortopedia</t>
  </si>
  <si>
    <t>Comércio atacadista de produtos odontológicos</t>
  </si>
  <si>
    <t>4646-0/01</t>
  </si>
  <si>
    <t>Comércio atacadista de cosméticos e produtos de perfumaria</t>
  </si>
  <si>
    <t>4646-0/02</t>
  </si>
  <si>
    <t>Comércio atacadista de produtos de higiene pessoal</t>
  </si>
  <si>
    <t>Comércio atacadista de artigos de escritório e de papelaria</t>
  </si>
  <si>
    <t>Comércio atacadista de livros, jornais e outras publicações</t>
  </si>
  <si>
    <t>Comércio atacadista de equipamentos elétricos de uso pessoal e doméstico</t>
  </si>
  <si>
    <t>Comércio atacadista de aparelhos eletrônicos de uso pessoal e doméstico</t>
  </si>
  <si>
    <t>Comércio atacadista de bicicletas, triciclos e outros veículos recreativos</t>
  </si>
  <si>
    <t>Comércio atacadista de móveis e artigos de colchoaria</t>
  </si>
  <si>
    <t>Comércio atacadista de artigos de tapeçaria; persianas e cortinas</t>
  </si>
  <si>
    <t>Comércio atacadista de lustres, luminárias e abajures</t>
  </si>
  <si>
    <t>Comércio atacadista de filmes, CDs, DVDs, fitas e discos</t>
  </si>
  <si>
    <t>Comércio atacadista de produtos de higiene, limpeza e conservação domiciliar</t>
  </si>
  <si>
    <t>Comércio atacadista de produtos de higiene, limpeza e conservação domiciliar, com atividade de fracionamento e acondicionamento associada</t>
  </si>
  <si>
    <t>Comércio atacadista de jóias, relógios e bijuterias, inclusive pedras preciosas e semipreciosas lapidadas</t>
  </si>
  <si>
    <t>4649-4/99</t>
  </si>
  <si>
    <t>Comércio atacadista de outros equipamentos e artigos de uso pessoal e doméstico não especificados anteriormente</t>
  </si>
  <si>
    <t>Comércio atacadista de equipamentos de informática</t>
  </si>
  <si>
    <t>Comércio atacadista de suprimentos para informática</t>
  </si>
  <si>
    <t>4652-4/00</t>
  </si>
  <si>
    <t>Comércio atacadista de componentes eletrônicos e equipamentos de telefonia e comunicação</t>
  </si>
  <si>
    <t>4661-3/00</t>
  </si>
  <si>
    <t>Comércio atacadista de máquinas, aparelhos e equipamentos para uso agropecuário; partes e peças</t>
  </si>
  <si>
    <t>4662-1/00</t>
  </si>
  <si>
    <t>Comércio atacadista de máquinas, equipamentos para terraplenagem, mineração e construção; partes e peças</t>
  </si>
  <si>
    <t>4663-0/00</t>
  </si>
  <si>
    <t>Comércio atacadista de máquinas e equipamentos para uso industrial; partes e peças</t>
  </si>
  <si>
    <t>4664-8/00</t>
  </si>
  <si>
    <t>Comércio atacadista de máquinas, aparelhos e equipamentos para uso odonto-médico-hospitalar; partes e peças</t>
  </si>
  <si>
    <t>4665-6/00</t>
  </si>
  <si>
    <t>Comércio atacadista de máquinas e equipamentos para uso comercial; partes e peças</t>
  </si>
  <si>
    <t>Comércio atacadista de bombas e compressores; partes e peças</t>
  </si>
  <si>
    <t>4669-9/99</t>
  </si>
  <si>
    <t>Comércio atacadista de outras máquinas e equipamentos não especificados anteriormente; partes e peças</t>
  </si>
  <si>
    <t>4671-1/00</t>
  </si>
  <si>
    <t>Comércio atacadista de madeira e produtos derivados</t>
  </si>
  <si>
    <t>4672-9/00</t>
  </si>
  <si>
    <t>Comércio atacadista de ferragens e ferramentas</t>
  </si>
  <si>
    <t>4673-7/00</t>
  </si>
  <si>
    <t>Comércio atacadista de material elétrico</t>
  </si>
  <si>
    <t>4674-5/00</t>
  </si>
  <si>
    <t>Comércio atacadista de cimento</t>
  </si>
  <si>
    <t>Comércio atacadista de tintas, vernizes e similares</t>
  </si>
  <si>
    <t>Comércio atacadista de mármores e granitos</t>
  </si>
  <si>
    <t>Comércio atacadista de vidros, espelhos e vitrais</t>
  </si>
  <si>
    <t>Comércio atacadista especializado de materiais de construção não especificados anteriormente</t>
  </si>
  <si>
    <t>4679-6/99</t>
  </si>
  <si>
    <t>Comércio atacadista de materiais de construção em geral</t>
  </si>
  <si>
    <t>Comércio atacadista de álcool carburante, biodiesel, gasolina e demais derivados de petróleo, exceto lubrificantes, não realizado por transportador retalhista (T.R.R.)</t>
  </si>
  <si>
    <t>Comércio atacadista de combustíveis realizado por transportador retalhista (T.R.R.)</t>
  </si>
  <si>
    <t>Comércio atacadista de combustíveis de origem vegetal, exceto álcool carburante</t>
  </si>
  <si>
    <t>Comércio atacadista de combustíveis de origem mineral em bruto</t>
  </si>
  <si>
    <t>Comércio atacadista de lubrificantes</t>
  </si>
  <si>
    <t>4682-6/00</t>
  </si>
  <si>
    <t>Comércio atacadista de gás liqüefeito de petróleo (GLP)</t>
  </si>
  <si>
    <t>4683-4/00</t>
  </si>
  <si>
    <t>Comércio atacadista de defensivos agrícolas, adubos, fertilizantes e corretivos do solo</t>
  </si>
  <si>
    <t>Comércio atacadista de resinas e elastômeros</t>
  </si>
  <si>
    <t>Comércio atacadista de solventes</t>
  </si>
  <si>
    <t>4684-2/99</t>
  </si>
  <si>
    <t>Comércio atacadista de outros produtos químicos e petroquímicos não especificados anteriormente</t>
  </si>
  <si>
    <t>4685-1/00</t>
  </si>
  <si>
    <t>Comércio atacadista de produtos siderúrgicos e metalúrgicos, exceto para construção</t>
  </si>
  <si>
    <t>Comércio atacadista de papel e papelão em bruto</t>
  </si>
  <si>
    <t>Comércio atacadista de embalagens</t>
  </si>
  <si>
    <t>Comércio atacadista de resíduos de papel e papelão</t>
  </si>
  <si>
    <t>Comércio atacadista de resíduos e sucatas não-metálicos, exceto de papel e papelão</t>
  </si>
  <si>
    <t>Comércio atacadista de resíduos e sucatas metálicos</t>
  </si>
  <si>
    <t>Comércio atacadista de produtos da extração mineral, exceto combustíveis</t>
  </si>
  <si>
    <t>Comércio  atacadista de fios e fibras beneficiados</t>
  </si>
  <si>
    <t>4689-3/99</t>
  </si>
  <si>
    <t>Comércio atacadista especializado em outros produtos intermediários não especificados anteriormente</t>
  </si>
  <si>
    <t>4691-5/00</t>
  </si>
  <si>
    <t>Comércio atacadista de mercadorias em geral, com predominância de produtos alimentícios</t>
  </si>
  <si>
    <t>4692-3/00</t>
  </si>
  <si>
    <t>Comércio atacadista de mercadorias em geral, com predominância de insumos agropecuários</t>
  </si>
  <si>
    <t>4693-1/00</t>
  </si>
  <si>
    <t>Comércio atacadista de mercadorias em geral, sem predominância de alimentos ou de insumos agropecuários</t>
  </si>
  <si>
    <t>Comércio varejista de mercadorias em geral, com predominância de produtos alimentícios - hipermercados</t>
  </si>
  <si>
    <t>Comércio varejista de mercadorias em geral, com predominância de produtos alimentícios - supermercados</t>
  </si>
  <si>
    <t>4712-1/00</t>
  </si>
  <si>
    <t>Comércio varejista de mercadorias em geral, com predominância de produtos alimentícios - minimercados, mercearias e armazéns</t>
  </si>
  <si>
    <t>4713-0/01</t>
  </si>
  <si>
    <t>Lojas de departamentos ou magazines</t>
  </si>
  <si>
    <t>4713-0/02</t>
  </si>
  <si>
    <t>Lojas de variedades, exceto lojas de departamentos ou magazines</t>
  </si>
  <si>
    <t>4713-0/03</t>
  </si>
  <si>
    <t>Lojas duty free de aeroportos internacionais</t>
  </si>
  <si>
    <t>Padaria e confeitaria com predominância de produção própria</t>
  </si>
  <si>
    <t>Padaria e confeitaria com predominância de revenda</t>
  </si>
  <si>
    <t>Comércio varejista de laticínios e frios</t>
  </si>
  <si>
    <t>Comércio varejista de doces, balas, bombons e semelhantes</t>
  </si>
  <si>
    <t>Comércio varejista de carnes - açougues</t>
  </si>
  <si>
    <t>Peixaria</t>
  </si>
  <si>
    <t>4723-7/00</t>
  </si>
  <si>
    <t>Comércio varejista de bebidas</t>
  </si>
  <si>
    <t>4724-5/00</t>
  </si>
  <si>
    <t>Comércio varejista de hortifrutigranjeiros</t>
  </si>
  <si>
    <t>Tabacaria</t>
  </si>
  <si>
    <t>4729-6/99</t>
  </si>
  <si>
    <t>Comércio varejista de produtos alimentícios em geral ou especializado em produtos alimentícios não especificados anteriormente</t>
  </si>
  <si>
    <t>4731-8/00</t>
  </si>
  <si>
    <t>Comércio varejista de combustíveis para veículos automotores</t>
  </si>
  <si>
    <t>4732-6/00</t>
  </si>
  <si>
    <t>Comércio varejista de lubrificantes</t>
  </si>
  <si>
    <t>4741-5/00</t>
  </si>
  <si>
    <t>Comércio varejista de tintas e materiais para pintura</t>
  </si>
  <si>
    <t>4742-3/00</t>
  </si>
  <si>
    <t>Comércio varejista de material elétrico</t>
  </si>
  <si>
    <t>4743-1/00</t>
  </si>
  <si>
    <t>Comércio varejista de vidros</t>
  </si>
  <si>
    <t>4744-0/01</t>
  </si>
  <si>
    <t>Comércio varejista de ferragens e ferramentas</t>
  </si>
  <si>
    <t>4744-0/02</t>
  </si>
  <si>
    <t>Comércio varejista de madeira e artefatos</t>
  </si>
  <si>
    <t>4744-0/03</t>
  </si>
  <si>
    <t>Comércio varejista de materiais hidráulicos</t>
  </si>
  <si>
    <t>4744-0/04</t>
  </si>
  <si>
    <t>Comércio varejista de cal, areia, pedra britada, tijolos e telhas</t>
  </si>
  <si>
    <t>4744-0/05</t>
  </si>
  <si>
    <t>Comércio varejista de materiais de construção não especificados anteriormente</t>
  </si>
  <si>
    <t>4744-0/99</t>
  </si>
  <si>
    <t>Comércio varejista de materiais de construção em geral</t>
  </si>
  <si>
    <t>4751-2/00</t>
  </si>
  <si>
    <t>Comércio varejista especializado de equipamentos e suprimentos de informática</t>
  </si>
  <si>
    <t>4752-1/00</t>
  </si>
  <si>
    <t>Comércio varejista especializado de equipamentos de telefonia e comunicação</t>
  </si>
  <si>
    <t>4753-9/00</t>
  </si>
  <si>
    <t>Comércio varejista especializado de eletrodomésticos e equipamentos de áudio e vídeo</t>
  </si>
  <si>
    <t>Comércio varejista de móveis</t>
  </si>
  <si>
    <t>Comércio varejista de artigos de colchoaria</t>
  </si>
  <si>
    <t>Comércio varejista de artigos de iluminação</t>
  </si>
  <si>
    <t>Comércio varejista de tecidos</t>
  </si>
  <si>
    <t>Comercio varejista de artigos de armarinho</t>
  </si>
  <si>
    <t>Comercio varejista de artigos de cama, mesa e banho</t>
  </si>
  <si>
    <t>4756-3/00</t>
  </si>
  <si>
    <t>Comércio varejista especializado de instrumentos musicais e acessórios</t>
  </si>
  <si>
    <t>4757-1/00</t>
  </si>
  <si>
    <t>Comércio varejista especializado de peças e acessórios para aparelhos eletroeletrônicos para uso doméstico, exceto informática e comunicação</t>
  </si>
  <si>
    <t>Comércio varejista de artigos de tapeçaria, cortinas e persianas</t>
  </si>
  <si>
    <t>4759-8/99</t>
  </si>
  <si>
    <t>Comércio varejista de outros artigos de uso pessoal e doméstico não especificados anteriormente</t>
  </si>
  <si>
    <t>4761-0/01</t>
  </si>
  <si>
    <t>Comércio varejista de livros</t>
  </si>
  <si>
    <t>4761-0/02</t>
  </si>
  <si>
    <t>Comércio varejista de jornais e revistas</t>
  </si>
  <si>
    <t>4761-0/03</t>
  </si>
  <si>
    <t>Comércio varejista de artigos de papelaria</t>
  </si>
  <si>
    <t>4762-8/00</t>
  </si>
  <si>
    <t>Comércio varejista de discos, CDs, DVDs e fitas</t>
  </si>
  <si>
    <t>Comércio varejista de brinquedos e artigos recreativos</t>
  </si>
  <si>
    <t>Comércio varejista de artigos esportivos</t>
  </si>
  <si>
    <t>Comércio varejista de bicicletas e triciclos; peças e acessórios</t>
  </si>
  <si>
    <t>Comércio varejista de artigos de caça, pesca e camping</t>
  </si>
  <si>
    <t>Comércio varejista de embarcações e outros veículos recreativos; peças e acessórios</t>
  </si>
  <si>
    <t>Comércio varejista de produtos farmacêuticos, sem manipulação de fórmulas</t>
  </si>
  <si>
    <t>Comércio varejista de produtos farmacêuticos, com manipulação de fórmulas</t>
  </si>
  <si>
    <t>Comércio varejista de produtos farmacêuticos homeopáticos</t>
  </si>
  <si>
    <t>Comércio varejista de medicamentos veterinários</t>
  </si>
  <si>
    <t>4772-5/00</t>
  </si>
  <si>
    <t>Comércio varejista de cosméticos, produtos de perfumaria e de higiene pessoal</t>
  </si>
  <si>
    <t>4773-3/00</t>
  </si>
  <si>
    <t>Comércio varejista de artigos médicos e ortopédicos</t>
  </si>
  <si>
    <t>4774-1/00</t>
  </si>
  <si>
    <t>Comércio varejista de artigos de óptica</t>
  </si>
  <si>
    <t>4781-4/00</t>
  </si>
  <si>
    <t>Comércio varejista de artigos do vestuário e acessórios</t>
  </si>
  <si>
    <t>Comércio varejista de calçados</t>
  </si>
  <si>
    <t>Comércio varejista de artigos de viagem</t>
  </si>
  <si>
    <t>Comércio varejista de artigos de joalheria</t>
  </si>
  <si>
    <t>Comércio varejista de artigos de relojoaria</t>
  </si>
  <si>
    <t>4784-9/00</t>
  </si>
  <si>
    <t>Comércio varejista de gás liqüefeito de petróleo (GLP)</t>
  </si>
  <si>
    <t>Comércio varejista de antigüidades</t>
  </si>
  <si>
    <t>4785-7/99</t>
  </si>
  <si>
    <t>Comércio varejista de outros artigos usados</t>
  </si>
  <si>
    <t>4789-0/01</t>
  </si>
  <si>
    <t>Comércio varejista de suvenires, bijuterias e artesanatos</t>
  </si>
  <si>
    <t>4789-0/02</t>
  </si>
  <si>
    <t>Comércio varejista de plantas e flores naturais</t>
  </si>
  <si>
    <t>4789-0/03</t>
  </si>
  <si>
    <t>Comércio varejista de objetos de arte</t>
  </si>
  <si>
    <t>4789-0/04</t>
  </si>
  <si>
    <t>Comércio varejista de animais vivos e de artigos e alimentos para animais de estimação</t>
  </si>
  <si>
    <t>4789-0/05</t>
  </si>
  <si>
    <t>Comércio varejista de produtos saneantes domissanitários</t>
  </si>
  <si>
    <t>4789-0/06</t>
  </si>
  <si>
    <t>Comércio varejista de fogos de artifício e artigos pirotécnicos</t>
  </si>
  <si>
    <t>4789-0/07</t>
  </si>
  <si>
    <t>Comércio varejista de equipamentos para escritório</t>
  </si>
  <si>
    <t>4789-0/08</t>
  </si>
  <si>
    <t>Comércio varejista de artigos fotográficos e para filmagem</t>
  </si>
  <si>
    <t>4789-0/09</t>
  </si>
  <si>
    <t>Comércio varejista de armas e munições</t>
  </si>
  <si>
    <t>4789-0/99</t>
  </si>
  <si>
    <t>Comércio varejista de outros produtos não especificados anteriormente</t>
  </si>
  <si>
    <t>4911-6/00</t>
  </si>
  <si>
    <t>Transporte ferroviário de carga</t>
  </si>
  <si>
    <t>Transporte ferroviário de passageiros intermunicipal e interestadual</t>
  </si>
  <si>
    <t>Transporte ferroviário de passageiros municipal e em região metropolitana</t>
  </si>
  <si>
    <t>Transporte metroviário</t>
  </si>
  <si>
    <t>Transporte rodoviário coletivo de passageiros, com itinerário fixo, municipal</t>
  </si>
  <si>
    <t>Transporte rodoviário coletivo de passageiros, com itinerário fixo, intermunicipal em região metropolitana</t>
  </si>
  <si>
    <t>Transporte rodoviário coletivo de passageiros, com itinerário fixo, intermunicipal, exceto em região metropolitana</t>
  </si>
  <si>
    <t>Transporte rodoviário coletivo de passageiros, com itinerário fixo, interestadual</t>
  </si>
  <si>
    <t>Transporte rodoviário coletivo de passageiros, com itinerário fixo, internacional</t>
  </si>
  <si>
    <t>4923-0/01</t>
  </si>
  <si>
    <t>Serviço de táxi</t>
  </si>
  <si>
    <t>4923-0/02</t>
  </si>
  <si>
    <t>Serviço de transporte de passageiros - locação de automóveis com motorista</t>
  </si>
  <si>
    <t>4924-8/00</t>
  </si>
  <si>
    <t>Transporte escolar</t>
  </si>
  <si>
    <t>Transporte rodoviário coletivo de passageiros, sob regime de fretamento, municipal</t>
  </si>
  <si>
    <t>Transporte rodoviário coletivo de passageiros, sob regime de fretamento, intermunicipal, interestadual e internacional</t>
  </si>
  <si>
    <t>Organização de excursões em veículos rodoviários próprios, municipal</t>
  </si>
  <si>
    <t>Organização de excursões em veículos rodoviários próprios, intermunicipal, interestadual e internacional</t>
  </si>
  <si>
    <t>4929-9/99</t>
  </si>
  <si>
    <t>Outros transportes rodoviários de passageiros não especificados anteriormente</t>
  </si>
  <si>
    <t>Transporte rodoviário de carga, exceto produtos perigosos e mudanças, municipal</t>
  </si>
  <si>
    <t>Transporte rodoviário de carga, exceto produtos perigosos e mudanças, intermunicipal, interestadual e internacional</t>
  </si>
  <si>
    <t>Transporte rodoviário de produtos perigosos</t>
  </si>
  <si>
    <t>Transporte rodoviário de mudanças</t>
  </si>
  <si>
    <t>4940-0/00</t>
  </si>
  <si>
    <t>Transporte dutoviário</t>
  </si>
  <si>
    <t>4950-7/00</t>
  </si>
  <si>
    <t>Trens turísticos, teleféricos e similares</t>
  </si>
  <si>
    <t>Transporte marítimo de cabotagem - Carga</t>
  </si>
  <si>
    <t>Transporte marítimo de cabotagem - passageiros</t>
  </si>
  <si>
    <t>Transporte marítimo de longo curso - Carga</t>
  </si>
  <si>
    <t>Transporte marítimo de longo curso - Passageiros</t>
  </si>
  <si>
    <t>Transporte por navegação interior de carga, municipal, exceto travessia</t>
  </si>
  <si>
    <t>Transporte por navegação interior de carga, intermunicipal, interestadual e internacional, exceto travessia</t>
  </si>
  <si>
    <t>5022-0/01</t>
  </si>
  <si>
    <t>Transporte por navegação interior de passageiros em linhas regulares, municipal, exceto travessia</t>
  </si>
  <si>
    <t>5022-0/02</t>
  </si>
  <si>
    <t>Transporte por navegação interior de passageiros em linhas regulares, intermunicipal, interestadual e internacional, exceto travessia</t>
  </si>
  <si>
    <t>Navegação de apoio marítimo</t>
  </si>
  <si>
    <t>Navegação de apoio portuário</t>
  </si>
  <si>
    <t>Transporte por navegação de travessia, municipal</t>
  </si>
  <si>
    <t>Transporte por navegação de travessia, intermunicipal</t>
  </si>
  <si>
    <t>Transporte aquaviário para passeios turísticos</t>
  </si>
  <si>
    <t>5099-8/99</t>
  </si>
  <si>
    <t>Outros transportes aquaviários não especificados anteriormente</t>
  </si>
  <si>
    <t>5111-1/00</t>
  </si>
  <si>
    <t>Transporte aéreo de passageiros regular</t>
  </si>
  <si>
    <t>Serviço de táxi aéreo e locação de aeronaves com tripulação</t>
  </si>
  <si>
    <t>5112-9/99</t>
  </si>
  <si>
    <t>Outros serviços de transporte aéreo de passageiros não-regular</t>
  </si>
  <si>
    <t>5120-0/00</t>
  </si>
  <si>
    <t>Transporte aéreo de carga</t>
  </si>
  <si>
    <t>5130-7/00</t>
  </si>
  <si>
    <t>Transporte espacial</t>
  </si>
  <si>
    <t>Armazéns gerais - emissão de warrant</t>
  </si>
  <si>
    <t>Guarda-móveis</t>
  </si>
  <si>
    <t>5211-7/99</t>
  </si>
  <si>
    <t>Depósitos de mercadorias para terceiros, exceto armazéns gerais e guarda-móveis</t>
  </si>
  <si>
    <t>5212-5/00</t>
  </si>
  <si>
    <t>Carga e descarga</t>
  </si>
  <si>
    <t>5221-4/00</t>
  </si>
  <si>
    <t>Concessionárias de rodovias, pontes, túneis e serviços relacionados</t>
  </si>
  <si>
    <t>5222-2/00</t>
  </si>
  <si>
    <t>Terminais rodoviários e ferroviários</t>
  </si>
  <si>
    <t>5223-1/00</t>
  </si>
  <si>
    <t>Estacionamento de veículos</t>
  </si>
  <si>
    <t>5229-0/01</t>
  </si>
  <si>
    <t>Serviços de apoio ao transporte por táxi, inclusive centrais de chamada</t>
  </si>
  <si>
    <t>5229-0/02</t>
  </si>
  <si>
    <t>Serviços de reboque de veículos</t>
  </si>
  <si>
    <t>5229-0/99</t>
  </si>
  <si>
    <t>Outras atividades auxiliares dos transportes terrestres não especificadas anteriormente</t>
  </si>
  <si>
    <t>Administração da infra-estrutura portuária</t>
  </si>
  <si>
    <t>Operações de terminais</t>
  </si>
  <si>
    <t>5232-0/00</t>
  </si>
  <si>
    <t>Atividades de agenciamento marítimo</t>
  </si>
  <si>
    <t>5239-7/00</t>
  </si>
  <si>
    <t>Atividades auxiliares dos transportes aquaviários não especificadas anteriormente</t>
  </si>
  <si>
    <t>Operação dos aeroportos e campos de aterrissagem</t>
  </si>
  <si>
    <t>5240-1/99</t>
  </si>
  <si>
    <t>Atividades auxiliares dos transportes aéreos, exceto operação dos aeroportos e campos de aterrissagem</t>
  </si>
  <si>
    <t>Comissaria de despachos</t>
  </si>
  <si>
    <t>Atividades de despachantes aduaneiros</t>
  </si>
  <si>
    <t>Agenciamento de cargas, exceto para o transporte marítimo</t>
  </si>
  <si>
    <t>Organização logística do transporte de carga</t>
  </si>
  <si>
    <t>Operador de transporte multimodal - OTM</t>
  </si>
  <si>
    <t>Atividades do Correio Nacional</t>
  </si>
  <si>
    <t>Atividades de franqueadas e permissionárias do Correio Nacional</t>
  </si>
  <si>
    <t>Serviços de malote não realizados pelo Correio Nacional</t>
  </si>
  <si>
    <t>Serviços de entrega rápida</t>
  </si>
  <si>
    <t>Hotéis</t>
  </si>
  <si>
    <t>Apart-hotéis</t>
  </si>
  <si>
    <t>Motéis</t>
  </si>
  <si>
    <t>Albergues, exceto assistenciais</t>
  </si>
  <si>
    <t>Campings</t>
  </si>
  <si>
    <t>Pensões (alojamento)</t>
  </si>
  <si>
    <t>5590-6/99</t>
  </si>
  <si>
    <t>Outros alojamentos não especificados anteriormente</t>
  </si>
  <si>
    <t>Restaurantes e similares</t>
  </si>
  <si>
    <t>Bares e outros estabelecimentos especializados em servir bebidas</t>
  </si>
  <si>
    <t>Lanchonetes, casas de chá, de sucos e similares</t>
  </si>
  <si>
    <t>5612-1/00</t>
  </si>
  <si>
    <t>Serviços ambulantes de alimentação</t>
  </si>
  <si>
    <t>Fornecimento de alimentos preparados preponderantemente para empresas</t>
  </si>
  <si>
    <t>Serviços de alimentação para eventos e recepções - bufê</t>
  </si>
  <si>
    <t>Cantinas - serviços de alimentação privativos</t>
  </si>
  <si>
    <t>Fornecimento de alimentos preparados preponderantemente para consumo domiciliar</t>
  </si>
  <si>
    <t>5811-5/00</t>
  </si>
  <si>
    <t>Edição de livros</t>
  </si>
  <si>
    <t>5812-3/00</t>
  </si>
  <si>
    <t>Edição de jornais</t>
  </si>
  <si>
    <t>5813-1/00</t>
  </si>
  <si>
    <t>Edição de revistas</t>
  </si>
  <si>
    <t>5819-1/00</t>
  </si>
  <si>
    <t>Edição de cadastros, listas e de outros produtos gráficos</t>
  </si>
  <si>
    <t>5821-2/00</t>
  </si>
  <si>
    <t>Edição integrada à impressão de livros</t>
  </si>
  <si>
    <t>5822-1/00</t>
  </si>
  <si>
    <t>Edição integrada à impressão de jornais</t>
  </si>
  <si>
    <t>5823-9/00</t>
  </si>
  <si>
    <t>Edição integrada à impressão de revistas</t>
  </si>
  <si>
    <t>5829-8/00</t>
  </si>
  <si>
    <t>Edição integrada à impressão de cadastros, listas e de outros produtos gráficos</t>
  </si>
  <si>
    <t>Estúdios cinematográficos</t>
  </si>
  <si>
    <t>Produção de filmes para publicidade</t>
  </si>
  <si>
    <t>5911-1/99</t>
  </si>
  <si>
    <t>Atividades de produção cinematográfica, de vídeos e de programas de televisão não especificadas anteriormente</t>
  </si>
  <si>
    <t>5912-0/01</t>
  </si>
  <si>
    <t>Serviços de dublagem</t>
  </si>
  <si>
    <t>5912-0/02</t>
  </si>
  <si>
    <t>Serviços de mixagem sonora em produção audiovisual</t>
  </si>
  <si>
    <t>5912-0/99</t>
  </si>
  <si>
    <t>Atividades de pós-produção cinematográfica, de vídeos e de programas de televisão não especificadas anteriormente</t>
  </si>
  <si>
    <t>5913-8/00</t>
  </si>
  <si>
    <t>Distribuição cinematográfica, de vídeo e de programas de televisão</t>
  </si>
  <si>
    <t>5914-6/00</t>
  </si>
  <si>
    <t>Atividades de exibição cinematográfica</t>
  </si>
  <si>
    <t>5920-1/00</t>
  </si>
  <si>
    <t>Atividades de gravação de som e de edição de música</t>
  </si>
  <si>
    <t>6010-1/00</t>
  </si>
  <si>
    <t>Atividades de rádio</t>
  </si>
  <si>
    <t>6021-7/00</t>
  </si>
  <si>
    <t>Atividades de televisão aberta</t>
  </si>
  <si>
    <t>Programadoras</t>
  </si>
  <si>
    <t>Atividades relacionadas à televisão por assinatura, exceto programadoras</t>
  </si>
  <si>
    <t>Serviços de telefonia fixa comutada - STFC</t>
  </si>
  <si>
    <t>Serviços de redes de transportes de telecomunicações - SRTT</t>
  </si>
  <si>
    <t>Serviços de comunicação multimídia - SCM</t>
  </si>
  <si>
    <t>6110-8/99</t>
  </si>
  <si>
    <t>Serviços de telecomunicações por fio não especificados anteriormente</t>
  </si>
  <si>
    <t>Telefonia móvel celular</t>
  </si>
  <si>
    <t>Serviço móvel especializado - SME</t>
  </si>
  <si>
    <t>6120-5/99</t>
  </si>
  <si>
    <t>Serviços de telecomunicações sem fio não especificados anteriormente</t>
  </si>
  <si>
    <t>6130-2/00</t>
  </si>
  <si>
    <t>Telecomunicações por satélite</t>
  </si>
  <si>
    <t>6141-8/00</t>
  </si>
  <si>
    <t>Operadoras de televisão por assinatura por cabo</t>
  </si>
  <si>
    <t>6142-6/00</t>
  </si>
  <si>
    <t>Operadoras de televisão por assinatura por microondas</t>
  </si>
  <si>
    <t>6143-4/00</t>
  </si>
  <si>
    <t>Operadoras de televisão por assinatura por satélite</t>
  </si>
  <si>
    <t>Provedores de acesso às redes de comunicações</t>
  </si>
  <si>
    <t>Provedores de voz sobre protocolo internet - VOIP</t>
  </si>
  <si>
    <t>6190-6/99</t>
  </si>
  <si>
    <t>Outras atividades de telecomunicações não especificadas anteriormente</t>
  </si>
  <si>
    <t>6201-5/00</t>
  </si>
  <si>
    <t>Desenvolvimento de programas de computador sob encomenda</t>
  </si>
  <si>
    <t>6202-3/00</t>
  </si>
  <si>
    <t>Desenvolvimento e licenciamento de programas de computador customizáveis</t>
  </si>
  <si>
    <t>6203-1/00</t>
  </si>
  <si>
    <t>Desenvolvimento e licenciamento de programas de computador não-customizáveis</t>
  </si>
  <si>
    <t>6204-0/00</t>
  </si>
  <si>
    <t>Consultoria em tecnologia da informação</t>
  </si>
  <si>
    <t>6209-1/00</t>
  </si>
  <si>
    <t>Suporte técnico, manutenção e outros serviços em tecnologia da informação</t>
  </si>
  <si>
    <t>6311-9/00</t>
  </si>
  <si>
    <t>Tratamento de dados, provedores de serviços de aplicação e serviços de hospedagem na internet</t>
  </si>
  <si>
    <t>6319-4/00</t>
  </si>
  <si>
    <t>Portais, provedores de conteúdo e outros serviços de informação na internet</t>
  </si>
  <si>
    <t>6391-7/00</t>
  </si>
  <si>
    <t>Agências de notícias</t>
  </si>
  <si>
    <t>6399-2/00</t>
  </si>
  <si>
    <t>Outras atividades de prestação de serviços de informação não especificadas anteriormente</t>
  </si>
  <si>
    <t>6410-7/00</t>
  </si>
  <si>
    <t>Banco Central</t>
  </si>
  <si>
    <t>6421-2/00</t>
  </si>
  <si>
    <t>Bancos comerciais</t>
  </si>
  <si>
    <t>6422-1/00</t>
  </si>
  <si>
    <t>Bancos múltiplos, com carteira comercial</t>
  </si>
  <si>
    <t>6423-9/00</t>
  </si>
  <si>
    <t>Caixas econômicas</t>
  </si>
  <si>
    <t>Bancos cooperativos</t>
  </si>
  <si>
    <t>Cooperativas centrais de crédito</t>
  </si>
  <si>
    <t>Cooperativas de crédito mútuo</t>
  </si>
  <si>
    <t>Cooperativas de crédito rural</t>
  </si>
  <si>
    <t>6431-0/00</t>
  </si>
  <si>
    <t>Bancos múltiplos, sem carteira comercial</t>
  </si>
  <si>
    <t>6432-8/00</t>
  </si>
  <si>
    <t>Bancos de investimento</t>
  </si>
  <si>
    <t>6433-6/00</t>
  </si>
  <si>
    <t>Bancos de desenvolvimento</t>
  </si>
  <si>
    <t>6434-4/00</t>
  </si>
  <si>
    <t>Agências de fomento</t>
  </si>
  <si>
    <t>Sociedades de crédito imobiliário</t>
  </si>
  <si>
    <t>Associações de poupança e empréstimo</t>
  </si>
  <si>
    <t>Companhias hipotecárias</t>
  </si>
  <si>
    <t>6436-1/00</t>
  </si>
  <si>
    <t>Sociedades de crédito, financiamento e investimento - financeiras</t>
  </si>
  <si>
    <t>6437-9/00</t>
  </si>
  <si>
    <t>Sociedades de crédito ao microempreendedor</t>
  </si>
  <si>
    <t>6440-9/00</t>
  </si>
  <si>
    <t>Arrendamento mercantil</t>
  </si>
  <si>
    <t>6450-6/00</t>
  </si>
  <si>
    <t>Sociedades de capitalização</t>
  </si>
  <si>
    <t>6461-1/00</t>
  </si>
  <si>
    <t>Holdings de instituições financeiras</t>
  </si>
  <si>
    <t>6462-0/00</t>
  </si>
  <si>
    <t>Holdings de instituições não-financeiras</t>
  </si>
  <si>
    <t>6463-8/00</t>
  </si>
  <si>
    <t>Outras sociedades de participação, exceto holdings</t>
  </si>
  <si>
    <t>Fundos de investimento, exceto previdenciários e imobiliários</t>
  </si>
  <si>
    <t>Fundos de investimento previdenciários</t>
  </si>
  <si>
    <t>Fundos de investimento imobiliários</t>
  </si>
  <si>
    <t>6491-3/00</t>
  </si>
  <si>
    <t>Sociedades de fomento mercantil - factoring</t>
  </si>
  <si>
    <t>6492-1/00</t>
  </si>
  <si>
    <t>Securitização de créditos</t>
  </si>
  <si>
    <t>6493-0/00</t>
  </si>
  <si>
    <t>Administração de consórcios para aquisição de bens e direitos</t>
  </si>
  <si>
    <t>Clubes de investimento</t>
  </si>
  <si>
    <t>Sociedades de investimento</t>
  </si>
  <si>
    <t>Fundo garantidor de crédito</t>
  </si>
  <si>
    <t>Caixas de financiamento de corporações</t>
  </si>
  <si>
    <t>Concessão de crédito pelas OSCIP</t>
  </si>
  <si>
    <t>6499-9/99</t>
  </si>
  <si>
    <t>Outras atividades de serviços financeiros não especificadas anteriormente</t>
  </si>
  <si>
    <t>Seguros de vida</t>
  </si>
  <si>
    <t>Planos de auxílio-funeral</t>
  </si>
  <si>
    <t>6512-0/00</t>
  </si>
  <si>
    <t>Seguros não-vida</t>
  </si>
  <si>
    <t>6520-1/00</t>
  </si>
  <si>
    <t>Seguros-saúde</t>
  </si>
  <si>
    <t>6530-8/00</t>
  </si>
  <si>
    <t>Resseguros</t>
  </si>
  <si>
    <t>6541-3/00</t>
  </si>
  <si>
    <t>Previdência complementar fechada</t>
  </si>
  <si>
    <t>6542-1/00</t>
  </si>
  <si>
    <t>Previdência complementar aberta</t>
  </si>
  <si>
    <t>6550-2/00</t>
  </si>
  <si>
    <t>Planos de saúde</t>
  </si>
  <si>
    <t>Bolsa de valores</t>
  </si>
  <si>
    <t>Bolsa de mercadorias</t>
  </si>
  <si>
    <t>Bolsa de mercadorias e futuros</t>
  </si>
  <si>
    <t>Administração de mercados de balcão organizados</t>
  </si>
  <si>
    <t>Corretoras de títulos e valores mobiliários</t>
  </si>
  <si>
    <t>Distribuidoras de títulos e valores mobiliários</t>
  </si>
  <si>
    <t>Corretoras de câmbio</t>
  </si>
  <si>
    <t>Corretoras de contratos de mercadorias</t>
  </si>
  <si>
    <t>Agentes de investimentos em aplicações financeiras</t>
  </si>
  <si>
    <t>6613-4/00</t>
  </si>
  <si>
    <t>Administração de cartões de crédito</t>
  </si>
  <si>
    <t>Serviços de liquidação e custódia</t>
  </si>
  <si>
    <t>Correspondentes de instituições financeiras</t>
  </si>
  <si>
    <t>Representações de bancos estrangeiros</t>
  </si>
  <si>
    <t>Caixas eletrônicos</t>
  </si>
  <si>
    <t>Operadoras de cartões de débito</t>
  </si>
  <si>
    <t>6619-3/99</t>
  </si>
  <si>
    <t>Outras atividades auxiliares dos serviços financeiros não especificadas anteriormente</t>
  </si>
  <si>
    <t>Peritos e avaliadores de seguros</t>
  </si>
  <si>
    <t>Auditoria e consultoria atuarial</t>
  </si>
  <si>
    <t>6622-3/00</t>
  </si>
  <si>
    <t>Corretores e agentes de seguros, de planos de previdência complementar e de saúde</t>
  </si>
  <si>
    <t>6629-1/00</t>
  </si>
  <si>
    <t>Atividades auxiliares dos seguros, da previdência complementar e dos planos de saúde não especificadas anteriormente</t>
  </si>
  <si>
    <t>6630-4/00</t>
  </si>
  <si>
    <t>Atividades de administração de fundos por contrato ou comissão</t>
  </si>
  <si>
    <t>Compra e venda de imóveis próprios</t>
  </si>
  <si>
    <t>Aluguel de imóveis próprios</t>
  </si>
  <si>
    <t>Corretagem na compra e venda e avaliação de imóveis</t>
  </si>
  <si>
    <t>Corretagem no aluguel de imóveis</t>
  </si>
  <si>
    <t>6822-6/00</t>
  </si>
  <si>
    <t>Gestão e administração da propriedade imobiliária</t>
  </si>
  <si>
    <t>Serviços advocatícios</t>
  </si>
  <si>
    <t>Atividades auxiliares da justiça</t>
  </si>
  <si>
    <t>Agente de propriedade industrial</t>
  </si>
  <si>
    <t>6912-5/00</t>
  </si>
  <si>
    <t>Cartórios</t>
  </si>
  <si>
    <t>Atividades de contabilidade</t>
  </si>
  <si>
    <t>Atividades de consultoria e auditoria contábil e tributária</t>
  </si>
  <si>
    <t>7020-4/00</t>
  </si>
  <si>
    <t>Atividades de consultoria em gestão empresarial, exceto consultoria técnica específica</t>
  </si>
  <si>
    <t>7111-1/00</t>
  </si>
  <si>
    <t>Serviços de arquitetura</t>
  </si>
  <si>
    <t>7112-0/00</t>
  </si>
  <si>
    <t>Serviços de engenharia</t>
  </si>
  <si>
    <t>Serviços de cartografia, topografia e geodésia</t>
  </si>
  <si>
    <t>Atividades de estudos geológicos</t>
  </si>
  <si>
    <t>Serviços de desenho técnico relacionados à arquitetura e engenharia</t>
  </si>
  <si>
    <t>Serviços de perícia técnica relacionados à segurança do trabalho</t>
  </si>
  <si>
    <t>7119-7/99</t>
  </si>
  <si>
    <t>Atividades técnicas relacionadas à engenharia e arquitetura não especificadas anteriormente</t>
  </si>
  <si>
    <t>7120-1/00</t>
  </si>
  <si>
    <t>Testes e análises técnicas</t>
  </si>
  <si>
    <t>7210-0/00</t>
  </si>
  <si>
    <t>Pesquisa e desenvolvimento experimental em ciências físicas e naturais</t>
  </si>
  <si>
    <t>7220-7/00</t>
  </si>
  <si>
    <t>Pesquisa e desenvolvimento experimental em ciências sociais e humanas</t>
  </si>
  <si>
    <t>7311-4/00</t>
  </si>
  <si>
    <t>Agências de publicidade</t>
  </si>
  <si>
    <t>7312-2/00</t>
  </si>
  <si>
    <t>Agenciamento de espaços para publicidade, exceto em veículos de comunicação</t>
  </si>
  <si>
    <t>7319-0/01</t>
  </si>
  <si>
    <t>Criação de estandes para feiras e exposições</t>
  </si>
  <si>
    <t>7319-0/02</t>
  </si>
  <si>
    <t>Promoção de vendas</t>
  </si>
  <si>
    <t>7319-0/03</t>
  </si>
  <si>
    <t>Marketing direto</t>
  </si>
  <si>
    <t>7319-0/04</t>
  </si>
  <si>
    <t>Consultoria em publicidade</t>
  </si>
  <si>
    <t>7319-0/99</t>
  </si>
  <si>
    <t>Outras atividades de publicidade não especificadas anteriormente</t>
  </si>
  <si>
    <t>7320-3/00</t>
  </si>
  <si>
    <t>Pesquisas de mercado e de opinião pública</t>
  </si>
  <si>
    <t>Design</t>
  </si>
  <si>
    <t>Decoração de interiores</t>
  </si>
  <si>
    <t>7420-0/01</t>
  </si>
  <si>
    <t>Atividades de produção de fotografias, exceto aérea e submarina</t>
  </si>
  <si>
    <t>7420-0/02</t>
  </si>
  <si>
    <t>Atividades de produção de fotografias aéreas e submarinas</t>
  </si>
  <si>
    <t>7420-0/03</t>
  </si>
  <si>
    <t>Laboratórios fotográficos</t>
  </si>
  <si>
    <t>7420-0/04</t>
  </si>
  <si>
    <t>Filmagem de festas e eventos</t>
  </si>
  <si>
    <t>Serviços de microfilmagem</t>
  </si>
  <si>
    <t>Serviços de tradução, interpretação e similares</t>
  </si>
  <si>
    <t>Escafandria e mergulho</t>
  </si>
  <si>
    <t>Serviços de agronomia e de consultoria às atividades agrícolas e pecuárias</t>
  </si>
  <si>
    <t>Atividades de intermediação e agenciamento de serviços e negócios em geral, exceto imobiliários</t>
  </si>
  <si>
    <t>Agenciamento de profissionais para atividades esportivas, culturais e artísticas</t>
  </si>
  <si>
    <t>Outras atividades profissionais, científicas e técnicas não especificadas anteriormente</t>
  </si>
  <si>
    <t>Atividades veterinárias</t>
  </si>
  <si>
    <t>Locação de automóveis sem condutor</t>
  </si>
  <si>
    <t>Locação de embarcações sem tripulação, exceto para fins recreativos</t>
  </si>
  <si>
    <t>Locação de aeronaves sem tripulação</t>
  </si>
  <si>
    <t>Locação de outros meios de transporte não especificados anteriormente, sem condutor</t>
  </si>
  <si>
    <t>Aluguel de equipamentos recreativos e esportivos</t>
  </si>
  <si>
    <t>Aluguel de fitas de vídeo, DVDs e similares</t>
  </si>
  <si>
    <t>Aluguel de objetos do vestuário, jóias e acessórios</t>
  </si>
  <si>
    <t>Aluguel de aparelhos de jogos eletrônicos</t>
  </si>
  <si>
    <t>Aluguel de móveis, utensílios e aparelhos de uso doméstico e pessoal; instrumentos musicais</t>
  </si>
  <si>
    <t>Aluguel de material médico</t>
  </si>
  <si>
    <t>Aluguel de outros objetos pessoais e domésticos não especificados anteriormente</t>
  </si>
  <si>
    <t>Aluguel de máquinas e equipamentos agrícolas sem operador</t>
  </si>
  <si>
    <t>Aluguel de máquinas e equipamentos para construção sem operador, exceto andaimes</t>
  </si>
  <si>
    <t>Aluguel de andaimes</t>
  </si>
  <si>
    <t>Aluguel de máquinas e equipamentos para escritórios</t>
  </si>
  <si>
    <t>Aluguel de máquinas e equipamentos para extração de minérios e petróleo, sem operador</t>
  </si>
  <si>
    <t>Aluguel de equipamentos científicos, médicos e hospitalares, sem operador</t>
  </si>
  <si>
    <t>Aluguel de palcos, coberturas e outras estruturas de uso temporário, exceto andaimes</t>
  </si>
  <si>
    <t>Aluguel de outras máquinas e equipamentos comerciais e industriais não especificados anteriormente, sem operador</t>
  </si>
  <si>
    <t>Gestão de ativos intangíveis não-financeiros</t>
  </si>
  <si>
    <t>Seleção e agenciamento de mão-de-obra</t>
  </si>
  <si>
    <t>Locação de mão-de-obra temporária</t>
  </si>
  <si>
    <t>Fornecimento e gestão de recursos humanos para terceiros</t>
  </si>
  <si>
    <t>Agências de viagens</t>
  </si>
  <si>
    <t>Operadores turísticos</t>
  </si>
  <si>
    <t>Serviços de reservas e outros serviços de turismo não especificados anteriormente</t>
  </si>
  <si>
    <t>Atividades de vigilância e segurança privada</t>
  </si>
  <si>
    <t>Serviços de adestramento de cães de guarda</t>
  </si>
  <si>
    <t>Atividades de transporte de valores</t>
  </si>
  <si>
    <t>Atividades de monitoramento de sistemas de segurança</t>
  </si>
  <si>
    <t>Atividades de investigação particular</t>
  </si>
  <si>
    <t>Serviços combinados para apoio a edifícios, exceto condomínios prediais</t>
  </si>
  <si>
    <t>Condomínios prediais</t>
  </si>
  <si>
    <t>Limpeza em prédios e em domicílios</t>
  </si>
  <si>
    <t>Imunização e controle de pragas urbanas</t>
  </si>
  <si>
    <t>Atividades de limpeza não especificadas anteriormente</t>
  </si>
  <si>
    <t>Atividades paisagísticas</t>
  </si>
  <si>
    <t>Serviços combinados de escritório e apoio administrativo</t>
  </si>
  <si>
    <t>Fotocópias</t>
  </si>
  <si>
    <t>Preparação de documentos e serviços especializados de apoio administrativo não especificados anteriormente</t>
  </si>
  <si>
    <t>Atividades de teleatendimento</t>
  </si>
  <si>
    <t>Serviços de organização de feiras, congressos, exposições e festas</t>
  </si>
  <si>
    <t>Casas de festas e eventos</t>
  </si>
  <si>
    <t>Atividades de cobranças e informações cadastrais</t>
  </si>
  <si>
    <t>Envasamento e empacotamento sob contrato</t>
  </si>
  <si>
    <t>Medição de consumo de energia elétrica, gás e água</t>
  </si>
  <si>
    <t>Emissão de vales-alimentação, vales-transporte e similares</t>
  </si>
  <si>
    <t>Serviços de gravação de carimbos, exceto confecção</t>
  </si>
  <si>
    <t>Leiloeiros independentes</t>
  </si>
  <si>
    <t>Serviços de levantamento de fundos sob contrato</t>
  </si>
  <si>
    <t>Casas lotéricas</t>
  </si>
  <si>
    <t>Salas de acesso à internet</t>
  </si>
  <si>
    <t>Outras atividades de serviços prestados principalmente às empresas não especificadas anteriormente</t>
  </si>
  <si>
    <t>Administração pública em geral</t>
  </si>
  <si>
    <t>Regulação das atividades de saúde, educação, serviços culturais e outros serviços sociais</t>
  </si>
  <si>
    <t>Regulação das atividades econômicas</t>
  </si>
  <si>
    <t>Relações exteriores</t>
  </si>
  <si>
    <t>Defesa</t>
  </si>
  <si>
    <t>Justiça</t>
  </si>
  <si>
    <t>Segurança e ordem pública</t>
  </si>
  <si>
    <t>Defesa Civil</t>
  </si>
  <si>
    <t>Seguridade social obrigatória</t>
  </si>
  <si>
    <t>Educação infantil - creche</t>
  </si>
  <si>
    <t>Educação infantil - pré-escola</t>
  </si>
  <si>
    <t>Ensino fundamental</t>
  </si>
  <si>
    <t>Ensino médio</t>
  </si>
  <si>
    <t>Educação superior - graduação</t>
  </si>
  <si>
    <t>Educação superior - graduação e pós-graduação</t>
  </si>
  <si>
    <t>Educação superior - pós-graduação e extensão</t>
  </si>
  <si>
    <t>Educação profissional de nível técnico</t>
  </si>
  <si>
    <t>Educação profissional de nível tecnológico</t>
  </si>
  <si>
    <t>Administração de caixas escolares</t>
  </si>
  <si>
    <t>Atividades de apoio à educação, exceto caixas escolares</t>
  </si>
  <si>
    <t>Ensino de esportes</t>
  </si>
  <si>
    <t>Ensino de dança</t>
  </si>
  <si>
    <t>Ensino de artes cênicas, exceto dança</t>
  </si>
  <si>
    <t>Ensino de música</t>
  </si>
  <si>
    <t>Ensino de arte e cultura não especificado anteriormente</t>
  </si>
  <si>
    <t>Ensino de idiomas</t>
  </si>
  <si>
    <t>Formação de condutores</t>
  </si>
  <si>
    <t>Cursos de pilotagem</t>
  </si>
  <si>
    <t>Treinamento em informática</t>
  </si>
  <si>
    <t>Treinamento em desenvolvimento profissional e gerencial</t>
  </si>
  <si>
    <t>Cursos preparatórios para concursos</t>
  </si>
  <si>
    <t>Outras atividades de ensino não especificadas anteriormente</t>
  </si>
  <si>
    <t>Atividades de atendimento hospitalar, exceto pronto-socorro e unidades para atendimento a urgências</t>
  </si>
  <si>
    <t>Atividades de atendimento em pronto-socorro e unidades hospitalares para atendimento a urgências</t>
  </si>
  <si>
    <t>UTI móvel</t>
  </si>
  <si>
    <t>Serviços móveis de atendimento a urgências, exceto por UTI móvel</t>
  </si>
  <si>
    <t>Serviços de remoção de pacientes, exceto os serviços móveis de atendimento a urgências</t>
  </si>
  <si>
    <t>Atividade médica ambulatorial com recursos para realização de procedimentos cirúrgicos</t>
  </si>
  <si>
    <t>Atividade médica ambulatorial com recursos para realização de exames complementares</t>
  </si>
  <si>
    <t>Atividade médica ambulatorial restrita a consultas</t>
  </si>
  <si>
    <t>Atividade odontológica com recursos para realização de procedimentos cirúrgicos</t>
  </si>
  <si>
    <t>Atividade odontológica sem recursos para realização de procedimentos cirúrgicos</t>
  </si>
  <si>
    <t>Serviços de vacinação e imunização humana</t>
  </si>
  <si>
    <t>Atividades de reprodução humana assistida</t>
  </si>
  <si>
    <t>Atividades de atenção ambulatorial não especificadas anteriormente</t>
  </si>
  <si>
    <t>Laboratórios de anatomia patológica e citológica</t>
  </si>
  <si>
    <t>Laboratórios clínicos</t>
  </si>
  <si>
    <t>Serviços de diálise e nefrologia</t>
  </si>
  <si>
    <t>Serviços de tomografia</t>
  </si>
  <si>
    <t>Serviços de diagnóstico por imagem com uso de radiação ionizante, exceto tomografia</t>
  </si>
  <si>
    <t>Serviços de ressonância magnética</t>
  </si>
  <si>
    <t>Serviços de diagnóstico por imagem sem uso de radiação ionizante, exceto ressonância magnética</t>
  </si>
  <si>
    <t>Serviços de diagnóstico por registro gráfico - ECG, EEG e outros exames análogos</t>
  </si>
  <si>
    <t>Serviços de diagnóstico por métodos ópticos - endoscopia e outros exames análogos</t>
  </si>
  <si>
    <t>Serviços de quimioterapia</t>
  </si>
  <si>
    <t>Serviços de radioterapia</t>
  </si>
  <si>
    <t>Serviços de hemoterapia</t>
  </si>
  <si>
    <t>Serviços de litotripsia</t>
  </si>
  <si>
    <t>Serviços de bancos de células e tecidos humanos</t>
  </si>
  <si>
    <t>Atividades de serviços de complementação diagnóstica e terapêutica não especificadas anteriormente</t>
  </si>
  <si>
    <t>Atividades de enfermagem</t>
  </si>
  <si>
    <t>Atividades de profissionais da nutrição</t>
  </si>
  <si>
    <t>Atividades de psicologia e psicanálise</t>
  </si>
  <si>
    <t>Atividades de fisioterapia</t>
  </si>
  <si>
    <t>Atividades de terapia ocupacional</t>
  </si>
  <si>
    <t>Atividades de fonoaudiologia</t>
  </si>
  <si>
    <t>Atividades de terapia de nutrição enteral e parenteral</t>
  </si>
  <si>
    <t>Atividades de profissionais da área de saúde não especificadas anteriormente</t>
  </si>
  <si>
    <t>Atividades de apoio à gestão de saúde</t>
  </si>
  <si>
    <t>Atividades de práticas integrativas e complementares em saúde humana</t>
  </si>
  <si>
    <t>Atividades de banco de leite humano</t>
  </si>
  <si>
    <t>Outras atividades de atenção à saúde humana não especificadas anteriormente</t>
  </si>
  <si>
    <t>Clínicas e residências geriátricas</t>
  </si>
  <si>
    <t>Instituições de longa permanência para idosos</t>
  </si>
  <si>
    <t>Atividades de assistência a deficientes físicos, imunodeprimidos e convalescentes</t>
  </si>
  <si>
    <t>Centros de apoio a pacientes com câncer e com AIDS</t>
  </si>
  <si>
    <t>Condomínios residenciais para idosos e deficientes físicos</t>
  </si>
  <si>
    <t>Atividades de fornecimento de infra-estrutura de apoio e assistência a paciente no domicílio</t>
  </si>
  <si>
    <t>Atividades de centros de assistência psicossocial</t>
  </si>
  <si>
    <t>Atividades de assistência psicossocial e à saúde a portadores de distúrbios psíquicos, deficiência mental e dependência química não especificadas anteriormente</t>
  </si>
  <si>
    <t>Orfanatos</t>
  </si>
  <si>
    <t>Albergues assistenciais</t>
  </si>
  <si>
    <t>Atividades de assistência social prestadas em residências coletivas e particulares não especificadas anteriormente</t>
  </si>
  <si>
    <t>Serviços de assistência social sem alojamento</t>
  </si>
  <si>
    <t>Produção teatral</t>
  </si>
  <si>
    <t>Produção musical</t>
  </si>
  <si>
    <t>Produção de espetáculos de dança</t>
  </si>
  <si>
    <t>Produção de espetáculos circenses, de marionetes e similares</t>
  </si>
  <si>
    <t>Produção de espetáculos de rodeios, vaquejadas e similares</t>
  </si>
  <si>
    <t>Atividades de sonorização e de iluminação</t>
  </si>
  <si>
    <t>Artes cênicas, espetáculos e atividades complementares não especificadas anteriormente</t>
  </si>
  <si>
    <t>Atividades de artistas plásticos, jornalistas independentes e escritores</t>
  </si>
  <si>
    <t>Restauração de obras-de-arte</t>
  </si>
  <si>
    <t>Gestão de espaços para artes cênicas, espetáculos e outras atividades artísticas</t>
  </si>
  <si>
    <t>Atividades de bibliotecas e arquivos</t>
  </si>
  <si>
    <t>Atividades de museus e de exploração de lugares e prédios históricos e atrações similares</t>
  </si>
  <si>
    <t>Restauração e conservação de lugares e prédios históricos</t>
  </si>
  <si>
    <t>Atividades de jardins botânicos, zoológicos, parques nacionais, reservas ecológicas e áreas de proteção ambiental</t>
  </si>
  <si>
    <t>Casas de bingo</t>
  </si>
  <si>
    <t>Exploração de apostas em corridas de cavalos</t>
  </si>
  <si>
    <t>Exploração de jogos de azar e apostas não especificados anteriormente</t>
  </si>
  <si>
    <t>Gestão de instalações de esportes</t>
  </si>
  <si>
    <t>Clubes sociais, esportivos e similares</t>
  </si>
  <si>
    <t>Atividades de condicionamento físico</t>
  </si>
  <si>
    <t>Produção e promoção de eventos esportivos</t>
  </si>
  <si>
    <t>Outras atividades esportivas não especificadas anteriormente</t>
  </si>
  <si>
    <t>Parques de diversão e parques temáticos</t>
  </si>
  <si>
    <t>Discotecas, danceterias, salões de dança e similares</t>
  </si>
  <si>
    <t>Exploração de boliches</t>
  </si>
  <si>
    <t>Exploração de jogos de sinuca, bilhar e similares</t>
  </si>
  <si>
    <t>Exploração de jogos eletrônicos recreativos</t>
  </si>
  <si>
    <t>Outras atividades de recreação e lazer não especificadas anteriormente</t>
  </si>
  <si>
    <t>Atividades de organizações associativas patronais e empresariais</t>
  </si>
  <si>
    <t>Atividades de organizações associativas profissionais</t>
  </si>
  <si>
    <t>Atividades de organizações sindicais</t>
  </si>
  <si>
    <t>Atividades de associações de defesa de direitos sociais</t>
  </si>
  <si>
    <t>Atividades de organizações religiosas</t>
  </si>
  <si>
    <t>Atividades de organizações políticas</t>
  </si>
  <si>
    <t>Atividades de organizações associativas ligadas à cultura e à arte</t>
  </si>
  <si>
    <t>Atividades associativas não especificadas anteriormente</t>
  </si>
  <si>
    <t>Reparação e manutenção de computadores e de equipamentos periféricos</t>
  </si>
  <si>
    <t>Reparação e manutenção de equipamentos de comunicação</t>
  </si>
  <si>
    <t>Reparação e manutenção de equipamentos eletroeletrônicos de uso pessoal e doméstico</t>
  </si>
  <si>
    <t>Reparação de calçados, bolsas e artigos de viagem</t>
  </si>
  <si>
    <t>Chaveiros</t>
  </si>
  <si>
    <t>Reparação de relógios</t>
  </si>
  <si>
    <t>Reparação de bicicletas, triciclos e outros veículos não-motorizados</t>
  </si>
  <si>
    <t>Reparação de artigos do mobiliário</t>
  </si>
  <si>
    <t>Reparação de jóias</t>
  </si>
  <si>
    <t>Reparação e manutenção de outros objetos e equipamentos pessoais e domésticos não especificados anteriormente</t>
  </si>
  <si>
    <t>Lavanderias</t>
  </si>
  <si>
    <t>Tinturarias</t>
  </si>
  <si>
    <t>Toalheiros</t>
  </si>
  <si>
    <t>Cabeleireiros</t>
  </si>
  <si>
    <t>Outras atividades de tratamento de beleza</t>
  </si>
  <si>
    <t>Gestão e manutenção de cemitérios</t>
  </si>
  <si>
    <t>Serviços de cremação</t>
  </si>
  <si>
    <t>Serviços de sepultamento</t>
  </si>
  <si>
    <t>Serviços de funerárias</t>
  </si>
  <si>
    <t>Serviços de somatoconservação</t>
  </si>
  <si>
    <t>Atividades funerárias e serviços relacionados não especificados anteriormente</t>
  </si>
  <si>
    <t>Clínicas de estética e similares</t>
  </si>
  <si>
    <t>Agências matrimoniais</t>
  </si>
  <si>
    <t>Alojamento, higiene e embelezamento de animais</t>
  </si>
  <si>
    <t>Exploração de máquinas de serviços pessoais acionadas por moeda</t>
  </si>
  <si>
    <t>Outras atividades de serviços pessoais não especificadas anteriormente</t>
  </si>
  <si>
    <t>Serviços domésticos</t>
  </si>
  <si>
    <t>Organismos internacionais e outras instituições extraterritoriais</t>
  </si>
  <si>
    <t>Atividade Econômica:</t>
  </si>
  <si>
    <t>CNAE:</t>
  </si>
  <si>
    <t>FAP 2017:</t>
  </si>
  <si>
    <t>ANEXO V</t>
  </si>
  <si>
    <t>(Redação dada pelo Decreto nº 6.957, de 2009)</t>
  </si>
  <si>
    <t>RELAÇÃO DE ATIVIDADES PREPONDERANTES E CORRESPONDENTES GRAUS DE RISCO (CONFORME A CLASSIFICAÇÃO NACIONAL DE ATIVIDADES ECONÔMICAS)</t>
  </si>
  <si>
    <t>Tabela para Empregado, Empregado Doméstico e Trabalhador Avulso</t>
  </si>
  <si>
    <t>Deduções de FPAS (Informar total de Salário Família, Maternidade)</t>
  </si>
  <si>
    <r>
      <t>19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Metalúrgicas, mecânicas, materiais elétricos.</t>
    </r>
  </si>
  <si>
    <r>
      <t>18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Artesanatos (pessoa jurídica);</t>
    </r>
  </si>
  <si>
    <r>
      <t>17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Beneficiamentos;</t>
    </r>
  </si>
  <si>
    <r>
      <t>16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Cinematográficas;</t>
    </r>
  </si>
  <si>
    <r>
      <t>15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Instrumentos musicais, brinquedos;</t>
    </r>
  </si>
  <si>
    <r>
      <t>13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Vidros, cristais, espelhos, cerâmicas, louças, porcelanas;</t>
    </r>
  </si>
  <si>
    <r>
      <t>12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Gráficas;</t>
    </r>
  </si>
  <si>
    <r>
      <t>11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Papel, papelão, cortiça;</t>
    </r>
  </si>
  <si>
    <r>
      <t>10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Químicas e farmacêuticas;</t>
    </r>
  </si>
  <si>
    <r>
      <t>9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Joalheiras, lapidação de pedras preciosas;</t>
    </r>
  </si>
  <si>
    <r>
      <t>8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Artefatos de borracha;</t>
    </r>
  </si>
  <si>
    <r>
      <t>7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Artefatos de couro;</t>
    </r>
  </si>
  <si>
    <r>
      <t>6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Fiação e tecelagem;</t>
    </r>
  </si>
  <si>
    <r>
      <t>5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Extrativas;</t>
    </r>
  </si>
  <si>
    <r>
      <t>4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Urbanas (saneamento, coleta e tratamento de resíduos, energia, gás, água e esgoto);</t>
    </r>
  </si>
  <si>
    <r>
      <t>3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Construção e mobiliário;</t>
    </r>
  </si>
  <si>
    <r>
      <t>2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Vestuário;</t>
    </r>
  </si>
  <si>
    <r>
      <t>1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Alimentação;</t>
    </r>
  </si>
  <si>
    <t>Alíquota total - terceiros</t>
  </si>
  <si>
    <t>Código FPAS</t>
  </si>
  <si>
    <t>Grupo de atividade</t>
  </si>
  <si>
    <t>Quadro 1: Confederação Nacional da Indústria</t>
  </si>
  <si>
    <t>Quadro 2: Confederação Nacional do Comércio</t>
  </si>
  <si>
    <r>
      <t>1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Comércio atacadista;</t>
    </r>
  </si>
  <si>
    <r>
      <t>2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Comércio varejista;</t>
    </r>
  </si>
  <si>
    <r>
      <t>3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Agentes autônomos do comércio;</t>
    </r>
  </si>
  <si>
    <r>
      <t>4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Comércio armazenador;</t>
    </r>
  </si>
  <si>
    <r>
      <t>5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Turismo e hospitalidade;</t>
    </r>
  </si>
  <si>
    <r>
      <t>6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Serviços de saúde</t>
    </r>
  </si>
  <si>
    <t>Quadro 3: Confederação Nacional dos Transportes Marítimos, Fluviais e Aéreos</t>
  </si>
  <si>
    <r>
      <t>1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Empresas de navegação marítima e fluvial;</t>
    </r>
  </si>
  <si>
    <r>
      <t>2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Empresas aeroviárias;</t>
    </r>
  </si>
  <si>
    <r>
      <t>3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Empresários e administradores de portos;</t>
    </r>
  </si>
  <si>
    <r>
      <t>4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Empresas prestadoras de serviços portuários;</t>
    </r>
  </si>
  <si>
    <r>
      <t>5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Empresas de pesca.</t>
    </r>
  </si>
  <si>
    <t>Quadro 4: Confederação Nacional dos Transportes Terrestres</t>
  </si>
  <si>
    <r>
      <t>1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Empresas ferroviárias;</t>
    </r>
  </si>
  <si>
    <r>
      <t>2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Empresas de transportes rodoviários;</t>
    </r>
  </si>
  <si>
    <r>
      <t>3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Empresas de carris urbanos (inclusive cabos aéreos);</t>
    </r>
  </si>
  <si>
    <r>
      <t>4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Empresas metroviárias.</t>
    </r>
  </si>
  <si>
    <t>Quadro 5: Confederação Nacional de Comunicações e Publicidades</t>
  </si>
  <si>
    <r>
      <t>1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Empresas de comunicações (telegráficas, empresa de correios, inclusive franqueadas e telefônicas);</t>
    </r>
  </si>
  <si>
    <r>
      <t>2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Empresas de publicidade;</t>
    </r>
  </si>
  <si>
    <r>
      <t>3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Empresas jornalísticas.</t>
    </r>
  </si>
  <si>
    <t>Quadro 6: Confederação Nacional de Educação e Cultura</t>
  </si>
  <si>
    <r>
      <t>1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Estabelecimentos de ensino;</t>
    </r>
  </si>
  <si>
    <r>
      <t>2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Empresas de difusão cultural e artística;</t>
    </r>
  </si>
  <si>
    <r>
      <t>3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Estabelecimentos de cultura física</t>
    </r>
  </si>
  <si>
    <r>
      <t>4</t>
    </r>
    <r>
      <rPr>
        <strike/>
        <sz val="10"/>
        <color theme="1"/>
        <rFont val="Arial"/>
        <family val="2"/>
      </rPr>
      <t>º</t>
    </r>
    <r>
      <rPr>
        <sz val="10"/>
        <color theme="1"/>
        <rFont val="Arial"/>
        <family val="2"/>
      </rPr>
      <t> - Estabelecimentos hípicos.</t>
    </r>
  </si>
  <si>
    <t>Terceiros (Campo 09) - Consultar planilha de terceiros</t>
  </si>
  <si>
    <r>
      <t>RAT</t>
    </r>
    <r>
      <rPr>
        <b/>
        <sz val="8"/>
        <color theme="1"/>
        <rFont val="Times New Roman"/>
        <family val="1"/>
      </rPr>
      <t xml:space="preserve"> </t>
    </r>
    <r>
      <rPr>
        <b/>
        <sz val="7"/>
        <color theme="1"/>
        <rFont val="Times New Roman"/>
        <family val="1"/>
      </rPr>
      <t>(Grau de Risco conforme Planilha de Aliquotas - busca automática)</t>
    </r>
    <r>
      <rPr>
        <sz val="10"/>
        <color theme="1"/>
        <rFont val="Times New Roman"/>
        <family val="1"/>
      </rPr>
      <t xml:space="preserve"> X FAP </t>
    </r>
    <r>
      <rPr>
        <b/>
        <sz val="7"/>
        <color theme="1"/>
        <rFont val="Times New Roman"/>
        <family val="1"/>
      </rPr>
      <t>(Conforme percentual informado na célula G4 )</t>
    </r>
  </si>
  <si>
    <t xml:space="preserve">Instrução Normativa RFB nº 1.071, de 15 de setembro de 2010, publicada no DOU de 16.9.2010 (Caso atividade não esteja nos quadros abaixo, consultar a lei)
</t>
  </si>
  <si>
    <t>Empresa: MAJU Comércio</t>
  </si>
  <si>
    <t>Vendedor</t>
  </si>
  <si>
    <t>Gerente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</si>
</sst>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\-??_-;_-@_-"/>
    <numFmt numFmtId="165" formatCode="mmmm/yyyy"/>
    <numFmt numFmtId="166" formatCode="000"/>
    <numFmt numFmtId="167" formatCode="0000&quot;-&quot;0&quot;/&quot;00"/>
  </numFmts>
  <fonts count="29" x14ac:knownFonts="1">
    <font>
      <sz val="10"/>
      <color theme="1"/>
      <name val="Times New Roman"/>
      <family val="2"/>
    </font>
    <font>
      <sz val="10"/>
      <color theme="1"/>
      <name val="Times New Roman"/>
      <family val="2"/>
    </font>
    <font>
      <b/>
      <sz val="11"/>
      <color indexed="63"/>
      <name val="Calibri"/>
      <family val="2"/>
      <charset val="1"/>
    </font>
    <font>
      <sz val="10"/>
      <name val="Arial"/>
      <family val="2"/>
      <charset val="1"/>
    </font>
    <font>
      <sz val="11"/>
      <color indexed="63"/>
      <name val="Calibri"/>
      <family val="2"/>
      <charset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indexed="63"/>
      <name val="Calibri"/>
      <family val="2"/>
    </font>
    <font>
      <b/>
      <sz val="10"/>
      <name val="Times New Roman"/>
      <family val="1"/>
    </font>
    <font>
      <b/>
      <sz val="12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0"/>
      <color theme="0"/>
      <name val="Times New Roman"/>
      <family val="1"/>
    </font>
    <font>
      <sz val="10"/>
      <color indexed="8"/>
      <name val="Arial"/>
      <family val="2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Arial"/>
      <family val="2"/>
    </font>
    <font>
      <u/>
      <sz val="10"/>
      <color theme="10"/>
      <name val="Times New Roman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0"/>
      <color theme="1"/>
      <name val="Arial"/>
      <family val="2"/>
    </font>
    <font>
      <strike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444444"/>
      <name val="Arial"/>
      <family val="2"/>
    </font>
    <font>
      <b/>
      <sz val="8"/>
      <color theme="1"/>
      <name val="Times New Roman"/>
      <family val="1"/>
    </font>
    <font>
      <b/>
      <sz val="7"/>
      <color theme="1"/>
      <name val="Times New Roman"/>
      <family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9"/>
        <bgColor indexed="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8"/>
      </left>
      <right style="medium">
        <color theme="0" tint="-0.499984740745262"/>
      </right>
      <top style="medium">
        <color theme="0" tint="-0.499984740745262"/>
      </top>
      <bottom style="thin">
        <color indexed="8"/>
      </bottom>
      <diagonal/>
    </border>
    <border>
      <left style="medium">
        <color theme="0" tint="-0.499984740745262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0" tint="-0.499984740745262"/>
      </right>
      <top style="thin">
        <color indexed="8"/>
      </top>
      <bottom style="thin">
        <color indexed="8"/>
      </bottom>
      <diagonal/>
    </border>
    <border>
      <left style="medium">
        <color theme="0" tint="-0.499984740745262"/>
      </left>
      <right/>
      <top style="thin">
        <color indexed="8"/>
      </top>
      <bottom style="medium">
        <color theme="0" tint="-0.499984740745262"/>
      </bottom>
      <diagonal/>
    </border>
    <border>
      <left/>
      <right style="thin">
        <color indexed="8"/>
      </right>
      <top style="thin">
        <color indexed="8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indexed="8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indexed="8"/>
      </bottom>
      <diagonal/>
    </border>
    <border>
      <left/>
      <right style="thin">
        <color indexed="8"/>
      </right>
      <top style="medium">
        <color theme="0" tint="-0.499984740745262"/>
      </top>
      <bottom style="thin">
        <color indexed="8"/>
      </bottom>
      <diagonal/>
    </border>
    <border>
      <left/>
      <right/>
      <top style="medium">
        <color theme="0" tint="-0.499984740745262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thin">
        <color indexed="8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indexed="8"/>
      </bottom>
      <diagonal/>
    </border>
    <border>
      <left/>
      <right style="medium">
        <color theme="0" tint="-0.499984740745262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3" fillId="0" borderId="0" applyBorder="0" applyProtection="0"/>
    <xf numFmtId="43" fontId="1" fillId="0" borderId="0" applyFont="0" applyFill="0" applyBorder="0" applyAlignment="0" applyProtection="0"/>
    <xf numFmtId="0" fontId="12" fillId="0" borderId="0"/>
    <xf numFmtId="0" fontId="18" fillId="0" borderId="0" applyNumberFormat="0" applyFill="0" applyBorder="0" applyAlignment="0" applyProtection="0"/>
  </cellStyleXfs>
  <cellXfs count="127">
    <xf numFmtId="0" fontId="0" fillId="0" borderId="0" xfId="0"/>
    <xf numFmtId="0" fontId="5" fillId="0" borderId="13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164" fontId="4" fillId="3" borderId="2" xfId="2" applyNumberFormat="1" applyFont="1" applyFill="1" applyBorder="1" applyAlignment="1" applyProtection="1">
      <alignment vertical="center" wrapText="1"/>
      <protection locked="0" hidden="1"/>
    </xf>
    <xf numFmtId="164" fontId="4" fillId="3" borderId="11" xfId="2" applyNumberFormat="1" applyFont="1" applyFill="1" applyBorder="1" applyAlignment="1" applyProtection="1">
      <alignment horizontal="center" vertical="center" wrapText="1"/>
      <protection locked="0" hidden="1"/>
    </xf>
    <xf numFmtId="164" fontId="4" fillId="3" borderId="3" xfId="2" applyNumberFormat="1" applyFont="1" applyFill="1" applyBorder="1" applyAlignment="1" applyProtection="1">
      <alignment vertical="center" wrapText="1"/>
      <protection locked="0" hidden="1"/>
    </xf>
    <xf numFmtId="9" fontId="4" fillId="3" borderId="4" xfId="2" applyFont="1" applyFill="1" applyBorder="1" applyAlignment="1" applyProtection="1">
      <alignment horizontal="center" vertical="center" wrapText="1"/>
      <protection locked="0" hidden="1"/>
    </xf>
    <xf numFmtId="164" fontId="7" fillId="2" borderId="5" xfId="2" applyNumberFormat="1" applyFont="1" applyFill="1" applyBorder="1" applyAlignment="1" applyProtection="1">
      <alignment horizontal="center" vertical="center" wrapText="1"/>
      <protection hidden="1"/>
    </xf>
    <xf numFmtId="164" fontId="7" fillId="2" borderId="12" xfId="2" applyNumberFormat="1" applyFont="1" applyFill="1" applyBorder="1" applyAlignment="1" applyProtection="1">
      <alignment horizontal="center" vertical="center" wrapText="1"/>
      <protection hidden="1"/>
    </xf>
    <xf numFmtId="164" fontId="7" fillId="2" borderId="6" xfId="2" applyNumberFormat="1" applyFont="1" applyFill="1" applyBorder="1" applyAlignment="1" applyProtection="1">
      <alignment horizontal="center" vertical="center" wrapText="1"/>
      <protection hidden="1"/>
    </xf>
    <xf numFmtId="164" fontId="7" fillId="2" borderId="7" xfId="2" applyNumberFormat="1" applyFont="1" applyFill="1" applyBorder="1" applyAlignment="1" applyProtection="1">
      <alignment vertical="center" wrapText="1"/>
      <protection locked="0" hidden="1"/>
    </xf>
    <xf numFmtId="0" fontId="0" fillId="0" borderId="13" xfId="0" applyBorder="1" applyAlignment="1">
      <alignment horizontal="center" vertical="center" wrapText="1"/>
    </xf>
    <xf numFmtId="44" fontId="0" fillId="0" borderId="13" xfId="1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44" fontId="8" fillId="4" borderId="13" xfId="0" applyNumberFormat="1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44" fontId="0" fillId="0" borderId="0" xfId="1" applyFont="1" applyAlignment="1">
      <alignment vertical="center" wrapText="1"/>
    </xf>
    <xf numFmtId="46" fontId="0" fillId="0" borderId="13" xfId="0" applyNumberFormat="1" applyBorder="1" applyAlignment="1">
      <alignment horizontal="center" vertical="center" wrapText="1"/>
    </xf>
    <xf numFmtId="44" fontId="10" fillId="4" borderId="13" xfId="0" applyNumberFormat="1" applyFont="1" applyFill="1" applyBorder="1" applyAlignment="1">
      <alignment vertical="center" wrapText="1"/>
    </xf>
    <xf numFmtId="44" fontId="8" fillId="5" borderId="13" xfId="0" applyNumberFormat="1" applyFont="1" applyFill="1" applyBorder="1" applyAlignment="1">
      <alignment vertical="center" wrapText="1"/>
    </xf>
    <xf numFmtId="9" fontId="0" fillId="0" borderId="13" xfId="0" applyNumberFormat="1" applyBorder="1" applyAlignment="1">
      <alignment horizontal="center" vertical="center" wrapText="1"/>
    </xf>
    <xf numFmtId="44" fontId="11" fillId="6" borderId="13" xfId="0" applyNumberFormat="1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166" fontId="13" fillId="0" borderId="13" xfId="4" applyNumberFormat="1" applyFont="1" applyFill="1" applyBorder="1" applyAlignment="1" applyProtection="1">
      <alignment horizontal="center" vertical="center" wrapText="1"/>
      <protection locked="0"/>
    </xf>
    <xf numFmtId="0" fontId="13" fillId="0" borderId="13" xfId="4" applyFont="1" applyFill="1" applyBorder="1" applyAlignment="1" applyProtection="1">
      <alignment horizontal="left" vertical="center" wrapText="1" indent="1"/>
      <protection locked="0"/>
    </xf>
    <xf numFmtId="0" fontId="13" fillId="0" borderId="13" xfId="4" applyFont="1" applyFill="1" applyBorder="1" applyAlignment="1" applyProtection="1">
      <alignment horizontal="center" vertical="center" wrapText="1"/>
      <protection locked="0"/>
    </xf>
    <xf numFmtId="0" fontId="13" fillId="0" borderId="13" xfId="4" applyFont="1" applyFill="1" applyBorder="1" applyAlignment="1" applyProtection="1">
      <alignment horizontal="left" vertical="center" wrapText="1"/>
      <protection locked="0"/>
    </xf>
    <xf numFmtId="43" fontId="13" fillId="0" borderId="13" xfId="3" applyFont="1" applyFill="1" applyBorder="1" applyAlignment="1" applyProtection="1">
      <alignment horizontal="left" vertical="center" wrapText="1"/>
      <protection locked="0"/>
    </xf>
    <xf numFmtId="43" fontId="14" fillId="0" borderId="13" xfId="4" applyNumberFormat="1" applyFont="1" applyFill="1" applyBorder="1" applyAlignment="1" applyProtection="1">
      <alignment horizontal="center" vertical="center" wrapText="1"/>
      <protection locked="0"/>
    </xf>
    <xf numFmtId="43" fontId="14" fillId="0" borderId="13" xfId="3" applyFont="1" applyFill="1" applyBorder="1" applyAlignment="1" applyProtection="1">
      <alignment horizontal="left" vertical="center" wrapText="1"/>
      <protection locked="0"/>
    </xf>
    <xf numFmtId="0" fontId="5" fillId="7" borderId="13" xfId="0" applyFont="1" applyFill="1" applyBorder="1" applyAlignment="1">
      <alignment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vertical="center" wrapText="1"/>
    </xf>
    <xf numFmtId="43" fontId="6" fillId="0" borderId="13" xfId="0" applyNumberFormat="1" applyFont="1" applyBorder="1" applyAlignment="1">
      <alignment horizontal="center" vertical="center" wrapText="1"/>
    </xf>
    <xf numFmtId="43" fontId="6" fillId="0" borderId="13" xfId="0" applyNumberFormat="1" applyFont="1" applyBorder="1" applyAlignment="1">
      <alignment vertical="center" wrapText="1"/>
    </xf>
    <xf numFmtId="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3" fontId="6" fillId="0" borderId="0" xfId="0" applyNumberFormat="1" applyFont="1" applyAlignment="1">
      <alignment vertical="center" wrapText="1"/>
    </xf>
    <xf numFmtId="10" fontId="6" fillId="0" borderId="13" xfId="0" applyNumberFormat="1" applyFont="1" applyBorder="1" applyAlignment="1">
      <alignment horizontal="center" vertical="center" wrapText="1"/>
    </xf>
    <xf numFmtId="10" fontId="6" fillId="0" borderId="0" xfId="0" applyNumberFormat="1" applyFont="1" applyAlignment="1">
      <alignment horizontal="center" vertical="center" wrapText="1"/>
    </xf>
    <xf numFmtId="43" fontId="10" fillId="7" borderId="13" xfId="0" applyNumberFormat="1" applyFont="1" applyFill="1" applyBorder="1" applyAlignment="1">
      <alignment vertical="center" wrapText="1"/>
    </xf>
    <xf numFmtId="14" fontId="13" fillId="0" borderId="13" xfId="4" applyNumberFormat="1" applyFont="1" applyFill="1" applyBorder="1" applyAlignment="1" applyProtection="1">
      <alignment horizontal="center" vertical="center" wrapText="1"/>
      <protection locked="0"/>
    </xf>
    <xf numFmtId="165" fontId="5" fillId="0" borderId="16" xfId="0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 indent="1"/>
    </xf>
    <xf numFmtId="0" fontId="5" fillId="0" borderId="14" xfId="0" applyFont="1" applyBorder="1" applyAlignment="1">
      <alignment vertical="center" wrapText="1"/>
    </xf>
    <xf numFmtId="0" fontId="6" fillId="0" borderId="13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5" fillId="0" borderId="16" xfId="0" applyNumberFormat="1" applyFont="1" applyBorder="1" applyAlignment="1">
      <alignment horizontal="center" vertical="center" wrapText="1"/>
    </xf>
    <xf numFmtId="167" fontId="15" fillId="0" borderId="17" xfId="0" applyNumberFormat="1" applyFont="1" applyBorder="1" applyAlignment="1">
      <alignment horizontal="center" vertical="center"/>
    </xf>
    <xf numFmtId="167" fontId="16" fillId="0" borderId="17" xfId="0" applyNumberFormat="1" applyFont="1" applyBorder="1" applyAlignment="1">
      <alignment horizontal="center" vertical="center" wrapText="1"/>
    </xf>
    <xf numFmtId="0" fontId="16" fillId="0" borderId="18" xfId="0" applyFont="1" applyBorder="1" applyAlignment="1">
      <alignment vertical="center" wrapText="1"/>
    </xf>
    <xf numFmtId="0" fontId="16" fillId="0" borderId="18" xfId="0" applyFont="1" applyBorder="1" applyAlignment="1">
      <alignment horizontal="center" vertical="center" wrapText="1"/>
    </xf>
    <xf numFmtId="167" fontId="16" fillId="4" borderId="17" xfId="0" applyNumberFormat="1" applyFont="1" applyFill="1" applyBorder="1" applyAlignment="1">
      <alignment horizontal="center" vertical="center" wrapText="1"/>
    </xf>
    <xf numFmtId="0" fontId="16" fillId="4" borderId="18" xfId="0" applyFont="1" applyFill="1" applyBorder="1" applyAlignment="1">
      <alignment vertical="center" wrapText="1"/>
    </xf>
    <xf numFmtId="0" fontId="16" fillId="4" borderId="18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10" fontId="21" fillId="8" borderId="25" xfId="0" applyNumberFormat="1" applyFont="1" applyFill="1" applyBorder="1" applyAlignment="1">
      <alignment horizontal="center" vertical="center" wrapText="1"/>
    </xf>
    <xf numFmtId="0" fontId="21" fillId="8" borderId="25" xfId="0" applyFont="1" applyFill="1" applyBorder="1" applyAlignment="1">
      <alignment horizontal="center" vertical="center" wrapText="1"/>
    </xf>
    <xf numFmtId="10" fontId="21" fillId="8" borderId="26" xfId="0" applyNumberFormat="1" applyFont="1" applyFill="1" applyBorder="1" applyAlignment="1">
      <alignment horizontal="center" vertical="center" wrapText="1"/>
    </xf>
    <xf numFmtId="0" fontId="21" fillId="8" borderId="26" xfId="0" applyFont="1" applyFill="1" applyBorder="1" applyAlignment="1">
      <alignment horizontal="center" vertical="center" wrapText="1"/>
    </xf>
    <xf numFmtId="0" fontId="21" fillId="8" borderId="26" xfId="0" applyFont="1" applyFill="1" applyBorder="1" applyAlignment="1">
      <alignment vertical="center" wrapText="1"/>
    </xf>
    <xf numFmtId="10" fontId="21" fillId="8" borderId="27" xfId="0" applyNumberFormat="1" applyFont="1" applyFill="1" applyBorder="1" applyAlignment="1">
      <alignment horizontal="center" vertical="center" wrapText="1"/>
    </xf>
    <xf numFmtId="0" fontId="21" fillId="8" borderId="27" xfId="0" applyFont="1" applyFill="1" applyBorder="1" applyAlignment="1">
      <alignment horizontal="center" vertical="center" wrapText="1"/>
    </xf>
    <xf numFmtId="0" fontId="21" fillId="8" borderId="27" xfId="0" applyFont="1" applyFill="1" applyBorder="1" applyAlignment="1">
      <alignment vertical="center" wrapText="1"/>
    </xf>
    <xf numFmtId="0" fontId="21" fillId="8" borderId="28" xfId="0" applyFont="1" applyFill="1" applyBorder="1" applyAlignment="1">
      <alignment vertical="center" wrapText="1"/>
    </xf>
    <xf numFmtId="0" fontId="21" fillId="8" borderId="28" xfId="0" applyFont="1" applyFill="1" applyBorder="1" applyAlignment="1">
      <alignment horizontal="center" vertical="center" wrapText="1"/>
    </xf>
    <xf numFmtId="10" fontId="21" fillId="8" borderId="28" xfId="0" applyNumberFormat="1" applyFont="1" applyFill="1" applyBorder="1" applyAlignment="1">
      <alignment horizontal="center" vertical="center" wrapText="1"/>
    </xf>
    <xf numFmtId="0" fontId="21" fillId="8" borderId="25" xfId="0" applyFont="1" applyFill="1" applyBorder="1" applyAlignment="1">
      <alignment vertical="center" wrapText="1"/>
    </xf>
    <xf numFmtId="0" fontId="23" fillId="8" borderId="25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7" fillId="2" borderId="5" xfId="2" applyNumberFormat="1" applyFont="1" applyFill="1" applyBorder="1" applyAlignment="1" applyProtection="1">
      <alignment horizontal="center" vertical="center" wrapText="1"/>
      <protection hidden="1"/>
    </xf>
    <xf numFmtId="164" fontId="7" fillId="2" borderId="12" xfId="2" applyNumberFormat="1" applyFont="1" applyFill="1" applyBorder="1" applyAlignment="1" applyProtection="1">
      <alignment horizontal="center" vertical="center" wrapText="1"/>
      <protection hidden="1"/>
    </xf>
    <xf numFmtId="164" fontId="7" fillId="2" borderId="6" xfId="2" applyNumberFormat="1" applyFont="1" applyFill="1" applyBorder="1" applyAlignment="1" applyProtection="1">
      <alignment horizontal="center" vertical="center" wrapText="1"/>
      <protection hidden="1"/>
    </xf>
    <xf numFmtId="0" fontId="9" fillId="0" borderId="13" xfId="0" applyFont="1" applyBorder="1" applyAlignment="1">
      <alignment horizontal="center" vertical="center" wrapText="1"/>
    </xf>
    <xf numFmtId="0" fontId="2" fillId="2" borderId="8" xfId="0" applyFont="1" applyFill="1" applyBorder="1" applyAlignment="1" applyProtection="1">
      <alignment horizontal="center" vertical="center" wrapText="1"/>
      <protection hidden="1"/>
    </xf>
    <xf numFmtId="0" fontId="2" fillId="2" borderId="10" xfId="0" applyFont="1" applyFill="1" applyBorder="1" applyAlignment="1" applyProtection="1">
      <alignment horizontal="center" vertical="center" wrapText="1"/>
      <protection hidden="1"/>
    </xf>
    <xf numFmtId="0" fontId="2" fillId="2" borderId="9" xfId="0" applyFont="1" applyFill="1" applyBorder="1" applyAlignment="1" applyProtection="1">
      <alignment horizontal="center" vertical="center" wrapText="1"/>
      <protection hidden="1"/>
    </xf>
    <xf numFmtId="0" fontId="5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 applyProtection="1">
      <alignment horizontal="center" vertical="center" wrapText="1"/>
      <protection hidden="1"/>
    </xf>
    <xf numFmtId="0" fontId="2" fillId="2" borderId="24" xfId="0" applyFont="1" applyFill="1" applyBorder="1" applyAlignment="1" applyProtection="1">
      <alignment horizontal="center" vertical="center" wrapText="1"/>
      <protection hidden="1"/>
    </xf>
    <xf numFmtId="0" fontId="6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166" fontId="14" fillId="0" borderId="14" xfId="4" applyNumberFormat="1" applyFont="1" applyFill="1" applyBorder="1" applyAlignment="1" applyProtection="1">
      <alignment horizontal="center" vertical="center" wrapText="1"/>
      <protection locked="0"/>
    </xf>
    <xf numFmtId="166" fontId="14" fillId="0" borderId="16" xfId="4" applyNumberFormat="1" applyFont="1" applyFill="1" applyBorder="1" applyAlignment="1" applyProtection="1">
      <alignment horizontal="center" vertical="center" wrapText="1"/>
      <protection locked="0"/>
    </xf>
    <xf numFmtId="0" fontId="14" fillId="0" borderId="14" xfId="4" applyFont="1" applyFill="1" applyBorder="1" applyAlignment="1" applyProtection="1">
      <alignment horizontal="center" vertical="center" wrapText="1"/>
      <protection locked="0"/>
    </xf>
    <xf numFmtId="0" fontId="14" fillId="0" borderId="16" xfId="4" applyFont="1" applyFill="1" applyBorder="1" applyAlignment="1" applyProtection="1">
      <alignment horizontal="center" vertical="center" wrapText="1"/>
      <protection locked="0"/>
    </xf>
    <xf numFmtId="0" fontId="5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16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 applyProtection="1">
      <alignment horizontal="center" vertical="center" wrapText="1"/>
      <protection hidden="1"/>
    </xf>
    <xf numFmtId="0" fontId="2" fillId="2" borderId="19" xfId="0" applyFont="1" applyFill="1" applyBorder="1" applyAlignment="1" applyProtection="1">
      <alignment horizontal="center" vertical="center" wrapText="1"/>
      <protection hidden="1"/>
    </xf>
    <xf numFmtId="0" fontId="2" fillId="2" borderId="23" xfId="0" applyFont="1" applyFill="1" applyBorder="1" applyAlignment="1" applyProtection="1">
      <alignment horizontal="center" vertical="center" wrapText="1"/>
      <protection hidden="1"/>
    </xf>
    <xf numFmtId="0" fontId="2" fillId="2" borderId="20" xfId="0" applyFont="1" applyFill="1" applyBorder="1" applyAlignment="1" applyProtection="1">
      <alignment horizontal="center" vertical="center" wrapText="1"/>
      <protection hidden="1"/>
    </xf>
    <xf numFmtId="0" fontId="5" fillId="0" borderId="14" xfId="0" applyFont="1" applyBorder="1" applyAlignment="1">
      <alignment horizontal="left" vertical="center" wrapText="1" indent="1"/>
    </xf>
    <xf numFmtId="0" fontId="5" fillId="0" borderId="15" xfId="0" applyFont="1" applyBorder="1" applyAlignment="1">
      <alignment horizontal="left" vertical="center" wrapText="1" indent="1"/>
    </xf>
    <xf numFmtId="0" fontId="5" fillId="0" borderId="16" xfId="0" applyFont="1" applyBorder="1" applyAlignment="1">
      <alignment horizontal="left" vertical="center" wrapText="1" indent="1"/>
    </xf>
    <xf numFmtId="0" fontId="13" fillId="0" borderId="14" xfId="4" applyFont="1" applyFill="1" applyBorder="1" applyAlignment="1" applyProtection="1">
      <alignment horizontal="center" vertical="center" wrapText="1"/>
      <protection locked="0"/>
    </xf>
    <xf numFmtId="0" fontId="13" fillId="0" borderId="16" xfId="4" applyFont="1" applyFill="1" applyBorder="1" applyAlignment="1" applyProtection="1">
      <alignment horizontal="center" vertical="center" wrapText="1"/>
      <protection locked="0"/>
    </xf>
    <xf numFmtId="0" fontId="17" fillId="0" borderId="13" xfId="0" applyFont="1" applyBorder="1" applyAlignment="1">
      <alignment horizontal="center" vertical="center" wrapText="1"/>
    </xf>
    <xf numFmtId="0" fontId="18" fillId="0" borderId="13" xfId="5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1" fillId="8" borderId="27" xfId="0" applyFont="1" applyFill="1" applyBorder="1" applyAlignment="1">
      <alignment horizontal="left" vertical="center" wrapText="1"/>
    </xf>
    <xf numFmtId="0" fontId="21" fillId="8" borderId="26" xfId="0" applyFont="1" applyFill="1" applyBorder="1" applyAlignment="1">
      <alignment horizontal="left" vertical="center" wrapText="1"/>
    </xf>
    <xf numFmtId="0" fontId="21" fillId="8" borderId="27" xfId="0" applyFont="1" applyFill="1" applyBorder="1" applyAlignment="1">
      <alignment horizontal="center" vertical="center" wrapText="1"/>
    </xf>
    <xf numFmtId="0" fontId="21" fillId="8" borderId="26" xfId="0" applyFont="1" applyFill="1" applyBorder="1" applyAlignment="1">
      <alignment horizontal="center" vertical="center" wrapText="1"/>
    </xf>
    <xf numFmtId="10" fontId="21" fillId="8" borderId="27" xfId="0" applyNumberFormat="1" applyFont="1" applyFill="1" applyBorder="1" applyAlignment="1">
      <alignment horizontal="center" vertical="center" wrapText="1"/>
    </xf>
    <xf numFmtId="10" fontId="21" fillId="8" borderId="26" xfId="0" applyNumberFormat="1" applyFont="1" applyFill="1" applyBorder="1" applyAlignment="1">
      <alignment horizontal="center" vertical="center" wrapText="1"/>
    </xf>
  </cellXfs>
  <cellStyles count="6">
    <cellStyle name="Hiperlink" xfId="5" builtinId="8"/>
    <cellStyle name="Moeda" xfId="1" builtinId="4"/>
    <cellStyle name="Normal" xfId="0" builtinId="0"/>
    <cellStyle name="Normal 2" xfId="4" xr:uid="{F1DE8AE1-9D0E-4BDA-90C7-53939DFB0E0A}"/>
    <cellStyle name="TableStyleLight1" xfId="2" xr:uid="{22A3F1A5-8431-453C-91B9-81EDB2E46126}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planalto.gov.br/ccivil_03/_Ato2007-2010/2009/Decreto/D6957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101C8-387B-4416-8D6B-DCA226CA23A5}">
  <dimension ref="B1:E38"/>
  <sheetViews>
    <sheetView showGridLines="0" workbookViewId="0">
      <selection activeCell="E2" sqref="B2:E6"/>
    </sheetView>
  </sheetViews>
  <sheetFormatPr defaultRowHeight="12.75" x14ac:dyDescent="0.2"/>
  <cols>
    <col min="1" max="1" width="9.33203125" style="2"/>
    <col min="2" max="2" width="21.83203125" style="2" customWidth="1"/>
    <col min="3" max="3" width="15" style="2" customWidth="1"/>
    <col min="4" max="5" width="18.83203125" style="2" customWidth="1"/>
    <col min="6" max="16384" width="9.33203125" style="2"/>
  </cols>
  <sheetData>
    <row r="1" spans="2:5" ht="6" customHeight="1" thickBot="1" x14ac:dyDescent="0.25"/>
    <row r="2" spans="2:5" ht="15" x14ac:dyDescent="0.2">
      <c r="B2" s="83" t="s">
        <v>24</v>
      </c>
      <c r="C2" s="84"/>
      <c r="D2" s="85"/>
      <c r="E2" s="3">
        <v>2017</v>
      </c>
    </row>
    <row r="3" spans="2:5" ht="15" x14ac:dyDescent="0.2">
      <c r="B3" s="4">
        <v>0.01</v>
      </c>
      <c r="C3" s="5" t="s">
        <v>5</v>
      </c>
      <c r="D3" s="6">
        <v>1659.38</v>
      </c>
      <c r="E3" s="7">
        <v>0.08</v>
      </c>
    </row>
    <row r="4" spans="2:5" ht="15" x14ac:dyDescent="0.2">
      <c r="B4" s="4">
        <f>D3+0.01</f>
        <v>1659.39</v>
      </c>
      <c r="C4" s="5" t="s">
        <v>5</v>
      </c>
      <c r="D4" s="6">
        <v>2765.66</v>
      </c>
      <c r="E4" s="7">
        <v>0.09</v>
      </c>
    </row>
    <row r="5" spans="2:5" ht="15" x14ac:dyDescent="0.2">
      <c r="B5" s="4">
        <f>D4+0.01</f>
        <v>2765.67</v>
      </c>
      <c r="C5" s="5" t="s">
        <v>5</v>
      </c>
      <c r="D5" s="6">
        <v>5531.31</v>
      </c>
      <c r="E5" s="7">
        <v>0.11</v>
      </c>
    </row>
    <row r="6" spans="2:5" ht="15.75" thickBot="1" x14ac:dyDescent="0.25">
      <c r="B6" s="79" t="s">
        <v>0</v>
      </c>
      <c r="C6" s="80"/>
      <c r="D6" s="81"/>
      <c r="E6" s="11">
        <f>D5*E5</f>
        <v>608.44410000000005</v>
      </c>
    </row>
    <row r="8" spans="2:5" ht="24" customHeight="1" x14ac:dyDescent="0.2">
      <c r="B8" s="86" t="s">
        <v>1</v>
      </c>
      <c r="C8" s="86"/>
      <c r="D8" s="86"/>
      <c r="E8" s="86"/>
    </row>
    <row r="9" spans="2:5" ht="58.5" customHeight="1" x14ac:dyDescent="0.2">
      <c r="B9" s="76" t="s">
        <v>3</v>
      </c>
      <c r="C9" s="76"/>
      <c r="D9" s="77"/>
      <c r="E9" s="77"/>
    </row>
    <row r="10" spans="2:5" ht="33" customHeight="1" x14ac:dyDescent="0.2">
      <c r="B10" s="76" t="s">
        <v>2</v>
      </c>
      <c r="C10" s="76"/>
      <c r="D10" s="77"/>
      <c r="E10" s="77"/>
    </row>
    <row r="11" spans="2:5" ht="33" customHeight="1" x14ac:dyDescent="0.2">
      <c r="B11" s="76" t="s">
        <v>4</v>
      </c>
      <c r="C11" s="76"/>
      <c r="D11" s="77"/>
      <c r="E11" s="77"/>
    </row>
    <row r="12" spans="2:5" ht="42" customHeight="1" x14ac:dyDescent="0.2">
      <c r="B12" s="76" t="s">
        <v>6</v>
      </c>
      <c r="C12" s="77"/>
      <c r="D12" s="77"/>
      <c r="E12" s="77"/>
    </row>
    <row r="13" spans="2:5" ht="42" customHeight="1" x14ac:dyDescent="0.2">
      <c r="B13" s="78" t="s">
        <v>7</v>
      </c>
      <c r="C13" s="78"/>
      <c r="D13" s="78"/>
      <c r="E13" s="78"/>
    </row>
    <row r="14" spans="2:5" ht="15.75" x14ac:dyDescent="0.2">
      <c r="B14" s="82" t="s">
        <v>16</v>
      </c>
      <c r="C14" s="82"/>
      <c r="D14" s="82"/>
      <c r="E14" s="82"/>
    </row>
    <row r="15" spans="2:5" x14ac:dyDescent="0.2">
      <c r="B15" s="87" t="s">
        <v>8</v>
      </c>
      <c r="C15" s="87"/>
      <c r="D15" s="12" t="s">
        <v>12</v>
      </c>
      <c r="E15" s="12" t="s">
        <v>9</v>
      </c>
    </row>
    <row r="16" spans="2:5" x14ac:dyDescent="0.2">
      <c r="B16" s="77" t="s">
        <v>10</v>
      </c>
      <c r="C16" s="77"/>
      <c r="D16" s="12">
        <v>30</v>
      </c>
      <c r="E16" s="13">
        <v>1000</v>
      </c>
    </row>
    <row r="17" spans="2:5" x14ac:dyDescent="0.2">
      <c r="B17" s="77" t="s">
        <v>11</v>
      </c>
      <c r="C17" s="77"/>
      <c r="D17" s="12">
        <v>10</v>
      </c>
      <c r="E17" s="13">
        <f>(E$16/220)*1.5*D17</f>
        <v>68.181818181818187</v>
      </c>
    </row>
    <row r="18" spans="2:5" x14ac:dyDescent="0.2">
      <c r="B18" s="77" t="s">
        <v>13</v>
      </c>
      <c r="C18" s="77"/>
      <c r="D18" s="12">
        <v>7.5</v>
      </c>
      <c r="E18" s="13">
        <f>(E$16/220)*2*D18</f>
        <v>68.181818181818187</v>
      </c>
    </row>
    <row r="19" spans="2:5" x14ac:dyDescent="0.2">
      <c r="B19" s="77" t="s">
        <v>15</v>
      </c>
      <c r="C19" s="77"/>
      <c r="D19" s="12">
        <f>6/25</f>
        <v>0.24</v>
      </c>
      <c r="E19" s="13">
        <f>(E17+E18)*D19</f>
        <v>32.727272727272727</v>
      </c>
    </row>
    <row r="20" spans="2:5" x14ac:dyDescent="0.2">
      <c r="B20" s="77"/>
      <c r="C20" s="77"/>
      <c r="D20" s="13"/>
      <c r="E20" s="14"/>
    </row>
    <row r="21" spans="2:5" x14ac:dyDescent="0.2">
      <c r="B21" s="88" t="s">
        <v>14</v>
      </c>
      <c r="C21" s="88"/>
      <c r="D21" s="88"/>
      <c r="E21" s="15">
        <f>SUM(E16:E20)</f>
        <v>1169.0909090909092</v>
      </c>
    </row>
    <row r="22" spans="2:5" x14ac:dyDescent="0.2">
      <c r="C22" s="16"/>
      <c r="D22" s="17"/>
    </row>
    <row r="23" spans="2:5" ht="15.75" x14ac:dyDescent="0.2">
      <c r="B23" s="82" t="s">
        <v>17</v>
      </c>
      <c r="C23" s="82"/>
      <c r="D23" s="82"/>
      <c r="E23" s="82"/>
    </row>
    <row r="24" spans="2:5" x14ac:dyDescent="0.2">
      <c r="B24" s="87" t="s">
        <v>8</v>
      </c>
      <c r="C24" s="87"/>
      <c r="D24" s="12" t="s">
        <v>12</v>
      </c>
      <c r="E24" s="12" t="s">
        <v>9</v>
      </c>
    </row>
    <row r="25" spans="2:5" x14ac:dyDescent="0.2">
      <c r="B25" s="77" t="s">
        <v>18</v>
      </c>
      <c r="C25" s="77"/>
      <c r="D25" s="18">
        <v>0.61111111111111105</v>
      </c>
      <c r="E25" s="13">
        <f>(E$16/220)*D25*24</f>
        <v>66.666666666666657</v>
      </c>
    </row>
    <row r="26" spans="2:5" x14ac:dyDescent="0.2">
      <c r="B26" s="77" t="s">
        <v>19</v>
      </c>
      <c r="C26" s="77"/>
      <c r="D26" s="18">
        <v>8.3333333333333329E-2</v>
      </c>
      <c r="E26" s="13">
        <f>(E$16/220)*D26*24</f>
        <v>9.0909090909090899</v>
      </c>
    </row>
    <row r="27" spans="2:5" x14ac:dyDescent="0.2">
      <c r="B27" s="90" t="s">
        <v>20</v>
      </c>
      <c r="C27" s="90"/>
      <c r="D27" s="90"/>
      <c r="E27" s="19">
        <f>SUM(E25:E26)</f>
        <v>75.757575757575751</v>
      </c>
    </row>
    <row r="28" spans="2:5" x14ac:dyDescent="0.2">
      <c r="C28" s="16"/>
      <c r="D28" s="17"/>
    </row>
    <row r="29" spans="2:5" ht="21" customHeight="1" x14ac:dyDescent="0.2">
      <c r="B29" s="91" t="s">
        <v>21</v>
      </c>
      <c r="C29" s="91"/>
      <c r="D29" s="91"/>
      <c r="E29" s="20">
        <f>E21-E27</f>
        <v>1093.3333333333335</v>
      </c>
    </row>
    <row r="30" spans="2:5" ht="21" customHeight="1" x14ac:dyDescent="0.2">
      <c r="B30" s="87" t="s">
        <v>22</v>
      </c>
      <c r="C30" s="87"/>
      <c r="D30" s="87"/>
      <c r="E30" s="21">
        <v>0.08</v>
      </c>
    </row>
    <row r="31" spans="2:5" ht="21" customHeight="1" x14ac:dyDescent="0.2">
      <c r="B31" s="89" t="s">
        <v>23</v>
      </c>
      <c r="C31" s="89"/>
      <c r="D31" s="89"/>
      <c r="E31" s="22">
        <f>E29*E30</f>
        <v>87.466666666666683</v>
      </c>
    </row>
    <row r="32" spans="2:5" x14ac:dyDescent="0.2">
      <c r="C32" s="16"/>
      <c r="D32" s="17"/>
    </row>
    <row r="33" spans="3:4" x14ac:dyDescent="0.2">
      <c r="C33" s="16"/>
      <c r="D33" s="17"/>
    </row>
    <row r="34" spans="3:4" x14ac:dyDescent="0.2">
      <c r="C34" s="16"/>
      <c r="D34" s="17"/>
    </row>
    <row r="35" spans="3:4" x14ac:dyDescent="0.2">
      <c r="C35" s="16"/>
      <c r="D35" s="17"/>
    </row>
    <row r="36" spans="3:4" x14ac:dyDescent="0.2">
      <c r="C36" s="16"/>
      <c r="D36" s="17"/>
    </row>
    <row r="37" spans="3:4" x14ac:dyDescent="0.2">
      <c r="C37" s="16"/>
    </row>
    <row r="38" spans="3:4" x14ac:dyDescent="0.2">
      <c r="C38" s="16"/>
    </row>
  </sheetData>
  <mergeCells count="24">
    <mergeCell ref="B31:D31"/>
    <mergeCell ref="B26:C26"/>
    <mergeCell ref="B27:D27"/>
    <mergeCell ref="B29:D29"/>
    <mergeCell ref="B30:D30"/>
    <mergeCell ref="B21:D21"/>
    <mergeCell ref="B23:E23"/>
    <mergeCell ref="B24:C24"/>
    <mergeCell ref="B25:C25"/>
    <mergeCell ref="B19:C19"/>
    <mergeCell ref="B15:C15"/>
    <mergeCell ref="B16:C16"/>
    <mergeCell ref="B17:C17"/>
    <mergeCell ref="B18:C18"/>
    <mergeCell ref="B20:C20"/>
    <mergeCell ref="B12:E12"/>
    <mergeCell ref="B13:E13"/>
    <mergeCell ref="B6:D6"/>
    <mergeCell ref="B14:E14"/>
    <mergeCell ref="B2:D2"/>
    <mergeCell ref="B8:E8"/>
    <mergeCell ref="B9:E9"/>
    <mergeCell ref="B10:E10"/>
    <mergeCell ref="B11:E11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73EE1-3B99-493B-8437-C843334B6317}">
  <dimension ref="B1:M30"/>
  <sheetViews>
    <sheetView showGridLines="0" tabSelected="1" workbookViewId="0">
      <selection activeCell="G4" sqref="G4"/>
    </sheetView>
  </sheetViews>
  <sheetFormatPr defaultRowHeight="12.75" x14ac:dyDescent="0.2"/>
  <cols>
    <col min="1" max="1" width="1.83203125" style="23" customWidth="1"/>
    <col min="2" max="2" width="12.83203125" style="23" customWidth="1"/>
    <col min="3" max="3" width="35.83203125" style="23" customWidth="1"/>
    <col min="4" max="4" width="12.83203125" style="24" customWidth="1"/>
    <col min="5" max="5" width="18.83203125" style="23" customWidth="1"/>
    <col min="6" max="7" width="15" style="23" customWidth="1"/>
    <col min="8" max="8" width="1.83203125" style="23" customWidth="1"/>
    <col min="9" max="9" width="9.33203125" style="23"/>
    <col min="10" max="10" width="17.6640625" style="23" customWidth="1"/>
    <col min="11" max="11" width="9.33203125" style="23"/>
    <col min="12" max="12" width="14.83203125" style="23" customWidth="1"/>
    <col min="13" max="16384" width="9.33203125" style="23"/>
  </cols>
  <sheetData>
    <row r="1" spans="2:13" ht="6" customHeight="1" x14ac:dyDescent="0.2"/>
    <row r="2" spans="2:13" ht="27" customHeight="1" x14ac:dyDescent="0.2">
      <c r="B2" s="107" t="s">
        <v>2102</v>
      </c>
      <c r="C2" s="108"/>
      <c r="D2" s="108"/>
      <c r="E2" s="109"/>
      <c r="F2" s="25" t="s">
        <v>25</v>
      </c>
      <c r="G2" s="47">
        <v>42826</v>
      </c>
    </row>
    <row r="3" spans="2:13" ht="27" customHeight="1" x14ac:dyDescent="0.2">
      <c r="B3" s="50" t="s">
        <v>2042</v>
      </c>
      <c r="C3" s="108" t="s">
        <v>63</v>
      </c>
      <c r="D3" s="108"/>
      <c r="E3" s="109"/>
      <c r="F3" s="25" t="s">
        <v>2043</v>
      </c>
      <c r="G3" s="54" t="e">
        <f>VLOOKUP(C3,'Aliquotas RAT'!B6:D1307,1,FALSE)</f>
        <v>#N/A</v>
      </c>
    </row>
    <row r="4" spans="2:13" ht="27" customHeight="1" x14ac:dyDescent="0.2">
      <c r="B4" s="52"/>
      <c r="C4" s="49"/>
      <c r="D4" s="49"/>
      <c r="E4" s="49"/>
      <c r="F4" s="61" t="s">
        <v>2044</v>
      </c>
      <c r="G4" s="53">
        <v>0.5</v>
      </c>
    </row>
    <row r="5" spans="2:13" ht="6" customHeight="1" thickBot="1" x14ac:dyDescent="0.25">
      <c r="B5" s="26"/>
      <c r="C5" s="26"/>
      <c r="D5" s="27"/>
      <c r="E5" s="26"/>
      <c r="F5" s="26"/>
      <c r="G5" s="26"/>
    </row>
    <row r="6" spans="2:13" s="24" customFormat="1" ht="21" customHeight="1" x14ac:dyDescent="0.2"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31</v>
      </c>
      <c r="J6" s="103" t="s">
        <v>2048</v>
      </c>
      <c r="K6" s="104"/>
      <c r="L6" s="104"/>
      <c r="M6" s="92">
        <v>2017</v>
      </c>
    </row>
    <row r="7" spans="2:13" ht="18" customHeight="1" x14ac:dyDescent="0.2">
      <c r="B7" s="28">
        <v>2</v>
      </c>
      <c r="C7" s="29" t="s">
        <v>45</v>
      </c>
      <c r="D7" s="46">
        <v>36251</v>
      </c>
      <c r="E7" s="30" t="s">
        <v>2104</v>
      </c>
      <c r="F7" s="32">
        <v>2853.3</v>
      </c>
      <c r="G7" s="32">
        <f>IF(F7&gt;=L$10,M$11,IF(F7&gt;L$9,F7*M$10,IF(F7&gt;L$8,F7*M$9,F7*M$8)))</f>
        <v>313.863</v>
      </c>
      <c r="J7" s="105"/>
      <c r="K7" s="106"/>
      <c r="L7" s="106"/>
      <c r="M7" s="93"/>
    </row>
    <row r="8" spans="2:13" ht="18" customHeight="1" x14ac:dyDescent="0.2">
      <c r="B8" s="28">
        <v>7</v>
      </c>
      <c r="C8" s="29" t="s">
        <v>46</v>
      </c>
      <c r="D8" s="46">
        <v>41459</v>
      </c>
      <c r="E8" s="30" t="s">
        <v>2103</v>
      </c>
      <c r="F8" s="32">
        <v>1707.16</v>
      </c>
      <c r="G8" s="32">
        <f>IF(F8&gt;=L$10,M$11,IF(F8&gt;L$9,F8*M$10,IF(F8&gt;L$8,F8*M$9,F8*M$8)))</f>
        <v>153.64439999999999</v>
      </c>
      <c r="J8" s="4">
        <v>0.01</v>
      </c>
      <c r="K8" s="5" t="s">
        <v>5</v>
      </c>
      <c r="L8" s="6">
        <v>1659.38</v>
      </c>
      <c r="M8" s="7">
        <v>0.08</v>
      </c>
    </row>
    <row r="9" spans="2:13" ht="18" customHeight="1" x14ac:dyDescent="0.2">
      <c r="B9" s="28">
        <v>3</v>
      </c>
      <c r="C9" s="29" t="s">
        <v>47</v>
      </c>
      <c r="D9" s="46">
        <v>39912</v>
      </c>
      <c r="E9" s="30" t="s">
        <v>2103</v>
      </c>
      <c r="F9" s="32">
        <v>2141.5500000000002</v>
      </c>
      <c r="G9" s="32">
        <f>IF(F9&gt;=L$10,M$11,IF(F9&gt;L$9,F9*M$10,IF(F9&gt;L$8,F9*M$9,F9*M$8)))</f>
        <v>192.73950000000002</v>
      </c>
      <c r="J9" s="4">
        <f>L8+0.01</f>
        <v>1659.39</v>
      </c>
      <c r="K9" s="5" t="s">
        <v>5</v>
      </c>
      <c r="L9" s="6">
        <v>2765.66</v>
      </c>
      <c r="M9" s="7">
        <v>0.09</v>
      </c>
    </row>
    <row r="10" spans="2:13" ht="18" customHeight="1" x14ac:dyDescent="0.2">
      <c r="B10" s="28">
        <v>4</v>
      </c>
      <c r="C10" s="29" t="s">
        <v>48</v>
      </c>
      <c r="D10" s="46">
        <v>40665</v>
      </c>
      <c r="E10" s="30" t="s">
        <v>2103</v>
      </c>
      <c r="F10" s="32">
        <v>2348.9</v>
      </c>
      <c r="G10" s="32">
        <f>IF(F10&gt;=L$10,M$11,IF(F10&gt;L$9,F10*M$10,IF(F10&gt;L$8,F10*M$9,F10*M$8)))</f>
        <v>211.40100000000001</v>
      </c>
      <c r="J10" s="4">
        <f>L9+0.01</f>
        <v>2765.67</v>
      </c>
      <c r="K10" s="5" t="s">
        <v>5</v>
      </c>
      <c r="L10" s="6">
        <v>5531.31</v>
      </c>
      <c r="M10" s="7">
        <v>0.11</v>
      </c>
    </row>
    <row r="11" spans="2:13" ht="18" customHeight="1" thickBot="1" x14ac:dyDescent="0.25">
      <c r="B11" s="96" t="s">
        <v>32</v>
      </c>
      <c r="C11" s="97"/>
      <c r="D11" s="33">
        <f>SUM(F7:F10)</f>
        <v>9050.91</v>
      </c>
      <c r="E11" s="98" t="s">
        <v>33</v>
      </c>
      <c r="F11" s="99"/>
      <c r="G11" s="34">
        <f>SUM(G7:G10)</f>
        <v>871.64789999999994</v>
      </c>
      <c r="J11" s="8" t="s">
        <v>0</v>
      </c>
      <c r="K11" s="9"/>
      <c r="L11" s="10"/>
      <c r="M11" s="11">
        <f>L10*M10</f>
        <v>608.44410000000005</v>
      </c>
    </row>
    <row r="12" spans="2:13" ht="8.25" customHeight="1" x14ac:dyDescent="0.2"/>
    <row r="13" spans="2:13" ht="18" customHeight="1" x14ac:dyDescent="0.2">
      <c r="B13" s="28">
        <v>0</v>
      </c>
      <c r="C13" s="110" t="s">
        <v>34</v>
      </c>
      <c r="D13" s="111"/>
      <c r="E13" s="30" t="s">
        <v>44</v>
      </c>
      <c r="F13" s="32">
        <v>937</v>
      </c>
      <c r="G13" s="32">
        <f>F13*0.11</f>
        <v>103.07000000000001</v>
      </c>
    </row>
    <row r="14" spans="2:13" ht="18" customHeight="1" x14ac:dyDescent="0.2">
      <c r="B14" s="28">
        <v>0</v>
      </c>
      <c r="C14" s="110"/>
      <c r="D14" s="111"/>
      <c r="E14" s="31"/>
      <c r="F14" s="32"/>
      <c r="G14" s="32"/>
    </row>
    <row r="15" spans="2:13" ht="18" customHeight="1" x14ac:dyDescent="0.2">
      <c r="B15" s="96" t="s">
        <v>35</v>
      </c>
      <c r="C15" s="97"/>
      <c r="D15" s="33">
        <f>SUM(F13:F14)</f>
        <v>937</v>
      </c>
      <c r="E15" s="98" t="s">
        <v>36</v>
      </c>
      <c r="F15" s="99"/>
      <c r="G15" s="34">
        <f>SUM(G13:G14)</f>
        <v>103.07000000000001</v>
      </c>
    </row>
    <row r="16" spans="2:13" ht="8.25" customHeight="1" x14ac:dyDescent="0.2"/>
    <row r="17" spans="3:5" ht="21" customHeight="1" x14ac:dyDescent="0.2">
      <c r="C17" s="100" t="s">
        <v>37</v>
      </c>
      <c r="D17" s="100"/>
      <c r="E17" s="100"/>
    </row>
    <row r="18" spans="3:5" ht="21" customHeight="1" x14ac:dyDescent="0.2">
      <c r="C18" s="35" t="s">
        <v>38</v>
      </c>
      <c r="D18" s="36" t="s">
        <v>39</v>
      </c>
      <c r="E18" s="36" t="s">
        <v>40</v>
      </c>
    </row>
    <row r="19" spans="3:5" ht="21" customHeight="1" x14ac:dyDescent="0.2">
      <c r="C19" s="37" t="s">
        <v>49</v>
      </c>
      <c r="D19" s="38">
        <f>D11</f>
        <v>9050.91</v>
      </c>
      <c r="E19" s="39">
        <f>G11</f>
        <v>871.64789999999994</v>
      </c>
    </row>
    <row r="20" spans="3:5" ht="21" customHeight="1" x14ac:dyDescent="0.2">
      <c r="C20" s="37" t="s">
        <v>50</v>
      </c>
      <c r="D20" s="38">
        <f>D15</f>
        <v>937</v>
      </c>
      <c r="E20" s="38">
        <f>G15</f>
        <v>103.07000000000001</v>
      </c>
    </row>
    <row r="21" spans="3:5" ht="21" customHeight="1" x14ac:dyDescent="0.2">
      <c r="C21" s="37" t="s">
        <v>41</v>
      </c>
      <c r="D21" s="40">
        <v>0.2</v>
      </c>
      <c r="E21" s="39">
        <f>D11*D21</f>
        <v>1810.182</v>
      </c>
    </row>
    <row r="22" spans="3:5" ht="21" customHeight="1" x14ac:dyDescent="0.2">
      <c r="C22" s="37" t="s">
        <v>51</v>
      </c>
      <c r="D22" s="40">
        <v>0.2</v>
      </c>
      <c r="E22" s="39">
        <f>D15*D22</f>
        <v>187.4</v>
      </c>
    </row>
    <row r="23" spans="3:5" ht="47.25" x14ac:dyDescent="0.2">
      <c r="C23" s="37" t="s">
        <v>2100</v>
      </c>
      <c r="D23" s="51" t="e">
        <f>(VLOOKUP(G3,'Aliquotas RAT'!B6:D1307,3,0))*G4</f>
        <v>#N/A</v>
      </c>
      <c r="E23" s="39" t="e">
        <f>D$19*D23%</f>
        <v>#N/A</v>
      </c>
    </row>
    <row r="24" spans="3:5" ht="27" customHeight="1" x14ac:dyDescent="0.2">
      <c r="C24" s="37" t="s">
        <v>2049</v>
      </c>
      <c r="D24" s="41">
        <v>0</v>
      </c>
      <c r="E24" s="39">
        <f>-D24</f>
        <v>0</v>
      </c>
    </row>
    <row r="25" spans="3:5" ht="21" customHeight="1" x14ac:dyDescent="0.2">
      <c r="C25" s="94" t="s">
        <v>42</v>
      </c>
      <c r="D25" s="95"/>
      <c r="E25" s="39" t="e">
        <f>SUM(E19:E24)</f>
        <v>#N/A</v>
      </c>
    </row>
    <row r="26" spans="3:5" ht="6" customHeight="1" x14ac:dyDescent="0.2">
      <c r="E26" s="42"/>
    </row>
    <row r="27" spans="3:5" ht="27" customHeight="1" x14ac:dyDescent="0.2">
      <c r="C27" s="37" t="s">
        <v>2099</v>
      </c>
      <c r="D27" s="43">
        <v>5.8000000000000003E-2</v>
      </c>
      <c r="E27" s="39">
        <f>D$19*D27</f>
        <v>524.95277999999996</v>
      </c>
    </row>
    <row r="28" spans="3:5" ht="6" customHeight="1" x14ac:dyDescent="0.2">
      <c r="D28" s="44"/>
      <c r="E28" s="42"/>
    </row>
    <row r="29" spans="3:5" ht="21" customHeight="1" x14ac:dyDescent="0.2">
      <c r="C29" s="101" t="s">
        <v>43</v>
      </c>
      <c r="D29" s="102"/>
      <c r="E29" s="45" t="e">
        <f>E25+E27</f>
        <v>#N/A</v>
      </c>
    </row>
    <row r="30" spans="3:5" ht="6" customHeight="1" x14ac:dyDescent="0.2"/>
  </sheetData>
  <mergeCells count="13">
    <mergeCell ref="C29:D29"/>
    <mergeCell ref="J6:L7"/>
    <mergeCell ref="B2:E2"/>
    <mergeCell ref="B11:C11"/>
    <mergeCell ref="E11:F11"/>
    <mergeCell ref="C13:D13"/>
    <mergeCell ref="C14:D14"/>
    <mergeCell ref="C3:E3"/>
    <mergeCell ref="M6:M7"/>
    <mergeCell ref="C25:D25"/>
    <mergeCell ref="B15:C15"/>
    <mergeCell ref="E15:F15"/>
    <mergeCell ref="C17:E17"/>
  </mergeCells>
  <pageMargins left="0.19685039370078741" right="0.19685039370078741" top="0.39370078740157483" bottom="0.39370078740157483" header="0.31496062992125984" footer="0.31496062992125984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8429A9-F55D-4C41-9097-951B3E88E880}">
          <x14:formula1>
            <xm:f>'Aliquotas RAT'!$C$7:$C$1307</xm:f>
          </x14:formula1>
          <xm:sqref>C3:E3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F270-FFC0-4693-B607-43F28CDF0738}">
  <dimension ref="B2:D1307"/>
  <sheetViews>
    <sheetView showGridLines="0" workbookViewId="0">
      <selection activeCell="G123" sqref="G123"/>
    </sheetView>
  </sheetViews>
  <sheetFormatPr defaultRowHeight="12.75" x14ac:dyDescent="0.2"/>
  <cols>
    <col min="1" max="1" width="1.83203125" style="23" customWidth="1"/>
    <col min="2" max="2" width="13.83203125" style="23" customWidth="1"/>
    <col min="3" max="3" width="78.6640625" style="23" customWidth="1"/>
    <col min="4" max="4" width="10.33203125" style="23" customWidth="1"/>
    <col min="5" max="5" width="1.83203125" style="23" customWidth="1"/>
    <col min="6" max="16384" width="9.33203125" style="23"/>
  </cols>
  <sheetData>
    <row r="2" spans="2:4" ht="24" customHeight="1" x14ac:dyDescent="0.2">
      <c r="B2" s="112" t="s">
        <v>2045</v>
      </c>
      <c r="C2" s="112"/>
      <c r="D2" s="112"/>
    </row>
    <row r="3" spans="2:4" ht="24" customHeight="1" x14ac:dyDescent="0.2">
      <c r="B3" s="113" t="s">
        <v>2046</v>
      </c>
      <c r="C3" s="113"/>
      <c r="D3" s="113"/>
    </row>
    <row r="4" spans="2:4" ht="36" customHeight="1" x14ac:dyDescent="0.2">
      <c r="B4" s="112" t="s">
        <v>2047</v>
      </c>
      <c r="C4" s="112"/>
      <c r="D4" s="112"/>
    </row>
    <row r="6" spans="2:4" ht="18" customHeight="1" x14ac:dyDescent="0.2">
      <c r="B6" s="48" t="s">
        <v>52</v>
      </c>
      <c r="C6" s="62" t="s">
        <v>8</v>
      </c>
      <c r="D6" s="62" t="s">
        <v>53</v>
      </c>
    </row>
    <row r="7" spans="2:4" x14ac:dyDescent="0.2">
      <c r="B7" s="55" t="s">
        <v>54</v>
      </c>
      <c r="C7" s="56" t="s">
        <v>55</v>
      </c>
      <c r="D7" s="57">
        <v>3</v>
      </c>
    </row>
    <row r="8" spans="2:4" x14ac:dyDescent="0.2">
      <c r="B8" s="55" t="s">
        <v>56</v>
      </c>
      <c r="C8" s="56" t="s">
        <v>57</v>
      </c>
      <c r="D8" s="57">
        <v>3</v>
      </c>
    </row>
    <row r="9" spans="2:4" x14ac:dyDescent="0.2">
      <c r="B9" s="55" t="s">
        <v>58</v>
      </c>
      <c r="C9" s="56" t="s">
        <v>59</v>
      </c>
      <c r="D9" s="57">
        <v>2</v>
      </c>
    </row>
    <row r="10" spans="2:4" x14ac:dyDescent="0.2">
      <c r="B10" s="55" t="s">
        <v>60</v>
      </c>
      <c r="C10" s="56" t="s">
        <v>61</v>
      </c>
      <c r="D10" s="57">
        <v>3</v>
      </c>
    </row>
    <row r="11" spans="2:4" x14ac:dyDescent="0.2">
      <c r="B11" s="55" t="s">
        <v>62</v>
      </c>
      <c r="C11" s="56" t="s">
        <v>63</v>
      </c>
      <c r="D11" s="57">
        <v>3</v>
      </c>
    </row>
    <row r="12" spans="2:4" x14ac:dyDescent="0.2">
      <c r="B12" s="55" t="s">
        <v>64</v>
      </c>
      <c r="C12" s="56" t="s">
        <v>65</v>
      </c>
      <c r="D12" s="57">
        <v>3</v>
      </c>
    </row>
    <row r="13" spans="2:4" x14ac:dyDescent="0.2">
      <c r="B13" s="55" t="s">
        <v>66</v>
      </c>
      <c r="C13" s="56" t="s">
        <v>67</v>
      </c>
      <c r="D13" s="57">
        <v>3</v>
      </c>
    </row>
    <row r="14" spans="2:4" x14ac:dyDescent="0.2">
      <c r="B14" s="55" t="s">
        <v>68</v>
      </c>
      <c r="C14" s="56" t="s">
        <v>69</v>
      </c>
      <c r="D14" s="57">
        <v>3</v>
      </c>
    </row>
    <row r="15" spans="2:4" x14ac:dyDescent="0.2">
      <c r="B15" s="55" t="s">
        <v>70</v>
      </c>
      <c r="C15" s="56" t="s">
        <v>71</v>
      </c>
      <c r="D15" s="57">
        <v>3</v>
      </c>
    </row>
    <row r="16" spans="2:4" x14ac:dyDescent="0.2">
      <c r="B16" s="55" t="s">
        <v>72</v>
      </c>
      <c r="C16" s="56" t="s">
        <v>73</v>
      </c>
      <c r="D16" s="57">
        <v>3</v>
      </c>
    </row>
    <row r="17" spans="2:4" x14ac:dyDescent="0.2">
      <c r="B17" s="55" t="s">
        <v>74</v>
      </c>
      <c r="C17" s="56" t="s">
        <v>75</v>
      </c>
      <c r="D17" s="57">
        <v>2</v>
      </c>
    </row>
    <row r="18" spans="2:4" x14ac:dyDescent="0.2">
      <c r="B18" s="55" t="s">
        <v>76</v>
      </c>
      <c r="C18" s="56" t="s">
        <v>77</v>
      </c>
      <c r="D18" s="57">
        <v>2</v>
      </c>
    </row>
    <row r="19" spans="2:4" x14ac:dyDescent="0.2">
      <c r="B19" s="55" t="s">
        <v>78</v>
      </c>
      <c r="C19" s="56" t="s">
        <v>79</v>
      </c>
      <c r="D19" s="57">
        <v>3</v>
      </c>
    </row>
    <row r="20" spans="2:4" ht="25.5" x14ac:dyDescent="0.2">
      <c r="B20" s="55" t="s">
        <v>80</v>
      </c>
      <c r="C20" s="56" t="s">
        <v>81</v>
      </c>
      <c r="D20" s="57">
        <v>3</v>
      </c>
    </row>
    <row r="21" spans="2:4" x14ac:dyDescent="0.2">
      <c r="B21" s="55" t="s">
        <v>82</v>
      </c>
      <c r="C21" s="56" t="s">
        <v>83</v>
      </c>
      <c r="D21" s="57">
        <v>2</v>
      </c>
    </row>
    <row r="22" spans="2:4" x14ac:dyDescent="0.2">
      <c r="B22" s="55" t="s">
        <v>84</v>
      </c>
      <c r="C22" s="56" t="s">
        <v>85</v>
      </c>
      <c r="D22" s="57">
        <v>2</v>
      </c>
    </row>
    <row r="23" spans="2:4" x14ac:dyDescent="0.2">
      <c r="B23" s="55" t="s">
        <v>86</v>
      </c>
      <c r="C23" s="56" t="s">
        <v>87</v>
      </c>
      <c r="D23" s="57">
        <v>3</v>
      </c>
    </row>
    <row r="24" spans="2:4" x14ac:dyDescent="0.2">
      <c r="B24" s="55" t="s">
        <v>88</v>
      </c>
      <c r="C24" s="56" t="s">
        <v>89</v>
      </c>
      <c r="D24" s="57">
        <v>2</v>
      </c>
    </row>
    <row r="25" spans="2:4" x14ac:dyDescent="0.2">
      <c r="B25" s="55" t="s">
        <v>90</v>
      </c>
      <c r="C25" s="56" t="s">
        <v>91</v>
      </c>
      <c r="D25" s="57">
        <v>3</v>
      </c>
    </row>
    <row r="26" spans="2:4" x14ac:dyDescent="0.2">
      <c r="B26" s="55" t="s">
        <v>92</v>
      </c>
      <c r="C26" s="56" t="s">
        <v>93</v>
      </c>
      <c r="D26" s="57">
        <v>3</v>
      </c>
    </row>
    <row r="27" spans="2:4" x14ac:dyDescent="0.2">
      <c r="B27" s="55" t="s">
        <v>94</v>
      </c>
      <c r="C27" s="56" t="s">
        <v>95</v>
      </c>
      <c r="D27" s="57">
        <v>3</v>
      </c>
    </row>
    <row r="28" spans="2:4" x14ac:dyDescent="0.2">
      <c r="B28" s="55" t="s">
        <v>96</v>
      </c>
      <c r="C28" s="56" t="s">
        <v>97</v>
      </c>
      <c r="D28" s="57">
        <v>2</v>
      </c>
    </row>
    <row r="29" spans="2:4" x14ac:dyDescent="0.2">
      <c r="B29" s="55" t="s">
        <v>98</v>
      </c>
      <c r="C29" s="56" t="s">
        <v>99</v>
      </c>
      <c r="D29" s="57">
        <v>2</v>
      </c>
    </row>
    <row r="30" spans="2:4" x14ac:dyDescent="0.2">
      <c r="B30" s="55" t="s">
        <v>100</v>
      </c>
      <c r="C30" s="56" t="s">
        <v>101</v>
      </c>
      <c r="D30" s="57">
        <v>2</v>
      </c>
    </row>
    <row r="31" spans="2:4" x14ac:dyDescent="0.2">
      <c r="B31" s="55" t="s">
        <v>102</v>
      </c>
      <c r="C31" s="56" t="s">
        <v>103</v>
      </c>
      <c r="D31" s="57">
        <v>3</v>
      </c>
    </row>
    <row r="32" spans="2:4" x14ac:dyDescent="0.2">
      <c r="B32" s="55" t="s">
        <v>104</v>
      </c>
      <c r="C32" s="56" t="s">
        <v>105</v>
      </c>
      <c r="D32" s="57">
        <v>3</v>
      </c>
    </row>
    <row r="33" spans="2:4" x14ac:dyDescent="0.2">
      <c r="B33" s="55" t="s">
        <v>106</v>
      </c>
      <c r="C33" s="56" t="s">
        <v>107</v>
      </c>
      <c r="D33" s="57">
        <v>3</v>
      </c>
    </row>
    <row r="34" spans="2:4" x14ac:dyDescent="0.2">
      <c r="B34" s="55" t="s">
        <v>108</v>
      </c>
      <c r="C34" s="56" t="s">
        <v>109</v>
      </c>
      <c r="D34" s="57">
        <v>3</v>
      </c>
    </row>
    <row r="35" spans="2:4" x14ac:dyDescent="0.2">
      <c r="B35" s="55" t="s">
        <v>110</v>
      </c>
      <c r="C35" s="56" t="s">
        <v>111</v>
      </c>
      <c r="D35" s="57">
        <v>3</v>
      </c>
    </row>
    <row r="36" spans="2:4" x14ac:dyDescent="0.2">
      <c r="B36" s="55" t="s">
        <v>112</v>
      </c>
      <c r="C36" s="56" t="s">
        <v>113</v>
      </c>
      <c r="D36" s="57">
        <v>1</v>
      </c>
    </row>
    <row r="37" spans="2:4" x14ac:dyDescent="0.2">
      <c r="B37" s="55" t="s">
        <v>114</v>
      </c>
      <c r="C37" s="56" t="s">
        <v>115</v>
      </c>
      <c r="D37" s="57">
        <v>3</v>
      </c>
    </row>
    <row r="38" spans="2:4" x14ac:dyDescent="0.2">
      <c r="B38" s="55" t="s">
        <v>116</v>
      </c>
      <c r="C38" s="56" t="s">
        <v>117</v>
      </c>
      <c r="D38" s="57">
        <v>2</v>
      </c>
    </row>
    <row r="39" spans="2:4" x14ac:dyDescent="0.2">
      <c r="B39" s="55" t="s">
        <v>118</v>
      </c>
      <c r="C39" s="56" t="s">
        <v>119</v>
      </c>
      <c r="D39" s="57">
        <v>3</v>
      </c>
    </row>
    <row r="40" spans="2:4" x14ac:dyDescent="0.2">
      <c r="B40" s="55" t="s">
        <v>120</v>
      </c>
      <c r="C40" s="56" t="s">
        <v>121</v>
      </c>
      <c r="D40" s="57">
        <v>3</v>
      </c>
    </row>
    <row r="41" spans="2:4" x14ac:dyDescent="0.2">
      <c r="B41" s="55" t="s">
        <v>122</v>
      </c>
      <c r="C41" s="56" t="s">
        <v>123</v>
      </c>
      <c r="D41" s="57">
        <v>3</v>
      </c>
    </row>
    <row r="42" spans="2:4" x14ac:dyDescent="0.2">
      <c r="B42" s="55" t="s">
        <v>124</v>
      </c>
      <c r="C42" s="56" t="s">
        <v>125</v>
      </c>
      <c r="D42" s="57">
        <v>3</v>
      </c>
    </row>
    <row r="43" spans="2:4" x14ac:dyDescent="0.2">
      <c r="B43" s="55" t="s">
        <v>126</v>
      </c>
      <c r="C43" s="56" t="s">
        <v>127</v>
      </c>
      <c r="D43" s="57">
        <v>2</v>
      </c>
    </row>
    <row r="44" spans="2:4" x14ac:dyDescent="0.2">
      <c r="B44" s="55" t="s">
        <v>128</v>
      </c>
      <c r="C44" s="56" t="s">
        <v>129</v>
      </c>
      <c r="D44" s="57">
        <v>3</v>
      </c>
    </row>
    <row r="45" spans="2:4" x14ac:dyDescent="0.2">
      <c r="B45" s="55" t="s">
        <v>130</v>
      </c>
      <c r="C45" s="56" t="s">
        <v>131</v>
      </c>
      <c r="D45" s="57">
        <v>3</v>
      </c>
    </row>
    <row r="46" spans="2:4" x14ac:dyDescent="0.2">
      <c r="B46" s="55" t="s">
        <v>132</v>
      </c>
      <c r="C46" s="56" t="s">
        <v>133</v>
      </c>
      <c r="D46" s="57">
        <v>3</v>
      </c>
    </row>
    <row r="47" spans="2:4" x14ac:dyDescent="0.2">
      <c r="B47" s="55" t="s">
        <v>134</v>
      </c>
      <c r="C47" s="56" t="s">
        <v>135</v>
      </c>
      <c r="D47" s="57">
        <v>3</v>
      </c>
    </row>
    <row r="48" spans="2:4" x14ac:dyDescent="0.2">
      <c r="B48" s="55" t="s">
        <v>136</v>
      </c>
      <c r="C48" s="56" t="s">
        <v>137</v>
      </c>
      <c r="D48" s="57">
        <v>3</v>
      </c>
    </row>
    <row r="49" spans="2:4" x14ac:dyDescent="0.2">
      <c r="B49" s="55" t="s">
        <v>138</v>
      </c>
      <c r="C49" s="56" t="s">
        <v>139</v>
      </c>
      <c r="D49" s="57">
        <v>3</v>
      </c>
    </row>
    <row r="50" spans="2:4" x14ac:dyDescent="0.2">
      <c r="B50" s="55" t="s">
        <v>140</v>
      </c>
      <c r="C50" s="56" t="s">
        <v>141</v>
      </c>
      <c r="D50" s="57">
        <v>3</v>
      </c>
    </row>
    <row r="51" spans="2:4" x14ac:dyDescent="0.2">
      <c r="B51" s="55" t="s">
        <v>142</v>
      </c>
      <c r="C51" s="56" t="s">
        <v>143</v>
      </c>
      <c r="D51" s="57">
        <v>3</v>
      </c>
    </row>
    <row r="52" spans="2:4" x14ac:dyDescent="0.2">
      <c r="B52" s="55" t="s">
        <v>144</v>
      </c>
      <c r="C52" s="56" t="s">
        <v>145</v>
      </c>
      <c r="D52" s="57">
        <v>3</v>
      </c>
    </row>
    <row r="53" spans="2:4" x14ac:dyDescent="0.2">
      <c r="B53" s="55" t="s">
        <v>146</v>
      </c>
      <c r="C53" s="56" t="s">
        <v>147</v>
      </c>
      <c r="D53" s="57">
        <v>3</v>
      </c>
    </row>
    <row r="54" spans="2:4" x14ac:dyDescent="0.2">
      <c r="B54" s="55" t="s">
        <v>148</v>
      </c>
      <c r="C54" s="56" t="s">
        <v>149</v>
      </c>
      <c r="D54" s="57">
        <v>3</v>
      </c>
    </row>
    <row r="55" spans="2:4" x14ac:dyDescent="0.2">
      <c r="B55" s="55" t="s">
        <v>150</v>
      </c>
      <c r="C55" s="56" t="s">
        <v>151</v>
      </c>
      <c r="D55" s="57">
        <v>3</v>
      </c>
    </row>
    <row r="56" spans="2:4" x14ac:dyDescent="0.2">
      <c r="B56" s="55" t="s">
        <v>152</v>
      </c>
      <c r="C56" s="56" t="s">
        <v>153</v>
      </c>
      <c r="D56" s="57">
        <v>3</v>
      </c>
    </row>
    <row r="57" spans="2:4" x14ac:dyDescent="0.2">
      <c r="B57" s="55" t="s">
        <v>154</v>
      </c>
      <c r="C57" s="56" t="s">
        <v>155</v>
      </c>
      <c r="D57" s="57">
        <v>3</v>
      </c>
    </row>
    <row r="58" spans="2:4" x14ac:dyDescent="0.2">
      <c r="B58" s="55" t="s">
        <v>156</v>
      </c>
      <c r="C58" s="56" t="s">
        <v>157</v>
      </c>
      <c r="D58" s="57">
        <v>3</v>
      </c>
    </row>
    <row r="59" spans="2:4" x14ac:dyDescent="0.2">
      <c r="B59" s="55" t="s">
        <v>158</v>
      </c>
      <c r="C59" s="56" t="s">
        <v>159</v>
      </c>
      <c r="D59" s="57">
        <v>2</v>
      </c>
    </row>
    <row r="60" spans="2:4" x14ac:dyDescent="0.2">
      <c r="B60" s="55" t="s">
        <v>160</v>
      </c>
      <c r="C60" s="56" t="s">
        <v>161</v>
      </c>
      <c r="D60" s="57">
        <v>3</v>
      </c>
    </row>
    <row r="61" spans="2:4" x14ac:dyDescent="0.2">
      <c r="B61" s="55" t="s">
        <v>162</v>
      </c>
      <c r="C61" s="56" t="s">
        <v>163</v>
      </c>
      <c r="D61" s="57">
        <v>3</v>
      </c>
    </row>
    <row r="62" spans="2:4" x14ac:dyDescent="0.2">
      <c r="B62" s="55" t="s">
        <v>164</v>
      </c>
      <c r="C62" s="56" t="s">
        <v>165</v>
      </c>
      <c r="D62" s="57">
        <v>3</v>
      </c>
    </row>
    <row r="63" spans="2:4" x14ac:dyDescent="0.2">
      <c r="B63" s="55" t="s">
        <v>166</v>
      </c>
      <c r="C63" s="56" t="s">
        <v>167</v>
      </c>
      <c r="D63" s="57">
        <v>3</v>
      </c>
    </row>
    <row r="64" spans="2:4" x14ac:dyDescent="0.2">
      <c r="B64" s="55" t="s">
        <v>168</v>
      </c>
      <c r="C64" s="56" t="s">
        <v>169</v>
      </c>
      <c r="D64" s="57">
        <v>2</v>
      </c>
    </row>
    <row r="65" spans="2:4" x14ac:dyDescent="0.2">
      <c r="B65" s="55" t="s">
        <v>170</v>
      </c>
      <c r="C65" s="56" t="s">
        <v>171</v>
      </c>
      <c r="D65" s="57">
        <v>3</v>
      </c>
    </row>
    <row r="66" spans="2:4" x14ac:dyDescent="0.2">
      <c r="B66" s="55" t="s">
        <v>172</v>
      </c>
      <c r="C66" s="56" t="s">
        <v>173</v>
      </c>
      <c r="D66" s="57">
        <v>3</v>
      </c>
    </row>
    <row r="67" spans="2:4" x14ac:dyDescent="0.2">
      <c r="B67" s="55" t="s">
        <v>174</v>
      </c>
      <c r="C67" s="56" t="s">
        <v>175</v>
      </c>
      <c r="D67" s="57">
        <v>3</v>
      </c>
    </row>
    <row r="68" spans="2:4" x14ac:dyDescent="0.2">
      <c r="B68" s="55" t="s">
        <v>176</v>
      </c>
      <c r="C68" s="56" t="s">
        <v>177</v>
      </c>
      <c r="D68" s="57">
        <v>3</v>
      </c>
    </row>
    <row r="69" spans="2:4" x14ac:dyDescent="0.2">
      <c r="B69" s="55" t="s">
        <v>178</v>
      </c>
      <c r="C69" s="56" t="s">
        <v>179</v>
      </c>
      <c r="D69" s="57">
        <v>3</v>
      </c>
    </row>
    <row r="70" spans="2:4" x14ac:dyDescent="0.2">
      <c r="B70" s="55" t="s">
        <v>180</v>
      </c>
      <c r="C70" s="56" t="s">
        <v>181</v>
      </c>
      <c r="D70" s="57">
        <v>3</v>
      </c>
    </row>
    <row r="71" spans="2:4" x14ac:dyDescent="0.2">
      <c r="B71" s="55" t="s">
        <v>182</v>
      </c>
      <c r="C71" s="56" t="s">
        <v>183</v>
      </c>
      <c r="D71" s="57">
        <v>2</v>
      </c>
    </row>
    <row r="72" spans="2:4" x14ac:dyDescent="0.2">
      <c r="B72" s="55" t="s">
        <v>184</v>
      </c>
      <c r="C72" s="56" t="s">
        <v>185</v>
      </c>
      <c r="D72" s="57">
        <v>2</v>
      </c>
    </row>
    <row r="73" spans="2:4" x14ac:dyDescent="0.2">
      <c r="B73" s="55" t="s">
        <v>186</v>
      </c>
      <c r="C73" s="56" t="s">
        <v>187</v>
      </c>
      <c r="D73" s="57">
        <v>3</v>
      </c>
    </row>
    <row r="74" spans="2:4" x14ac:dyDescent="0.2">
      <c r="B74" s="55" t="s">
        <v>188</v>
      </c>
      <c r="C74" s="56" t="s">
        <v>189</v>
      </c>
      <c r="D74" s="57">
        <v>2</v>
      </c>
    </row>
    <row r="75" spans="2:4" x14ac:dyDescent="0.2">
      <c r="B75" s="55" t="s">
        <v>190</v>
      </c>
      <c r="C75" s="56" t="s">
        <v>191</v>
      </c>
      <c r="D75" s="57">
        <v>3</v>
      </c>
    </row>
    <row r="76" spans="2:4" x14ac:dyDescent="0.2">
      <c r="B76" s="55" t="s">
        <v>192</v>
      </c>
      <c r="C76" s="56" t="s">
        <v>193</v>
      </c>
      <c r="D76" s="57">
        <v>1</v>
      </c>
    </row>
    <row r="77" spans="2:4" x14ac:dyDescent="0.2">
      <c r="B77" s="55" t="s">
        <v>194</v>
      </c>
      <c r="C77" s="56" t="s">
        <v>195</v>
      </c>
      <c r="D77" s="57">
        <v>1</v>
      </c>
    </row>
    <row r="78" spans="2:4" x14ac:dyDescent="0.2">
      <c r="B78" s="55" t="s">
        <v>196</v>
      </c>
      <c r="C78" s="56" t="s">
        <v>197</v>
      </c>
      <c r="D78" s="57">
        <v>2</v>
      </c>
    </row>
    <row r="79" spans="2:4" x14ac:dyDescent="0.2">
      <c r="B79" s="55" t="s">
        <v>198</v>
      </c>
      <c r="C79" s="56" t="s">
        <v>199</v>
      </c>
      <c r="D79" s="57">
        <v>3</v>
      </c>
    </row>
    <row r="80" spans="2:4" x14ac:dyDescent="0.2">
      <c r="B80" s="55" t="s">
        <v>200</v>
      </c>
      <c r="C80" s="56" t="s">
        <v>201</v>
      </c>
      <c r="D80" s="57">
        <v>3</v>
      </c>
    </row>
    <row r="81" spans="2:4" x14ac:dyDescent="0.2">
      <c r="B81" s="55" t="s">
        <v>202</v>
      </c>
      <c r="C81" s="56" t="s">
        <v>203</v>
      </c>
      <c r="D81" s="57">
        <v>3</v>
      </c>
    </row>
    <row r="82" spans="2:4" x14ac:dyDescent="0.2">
      <c r="B82" s="55" t="s">
        <v>204</v>
      </c>
      <c r="C82" s="56" t="s">
        <v>205</v>
      </c>
      <c r="D82" s="57">
        <v>3</v>
      </c>
    </row>
    <row r="83" spans="2:4" x14ac:dyDescent="0.2">
      <c r="B83" s="55" t="s">
        <v>206</v>
      </c>
      <c r="C83" s="56" t="s">
        <v>207</v>
      </c>
      <c r="D83" s="57">
        <v>2</v>
      </c>
    </row>
    <row r="84" spans="2:4" x14ac:dyDescent="0.2">
      <c r="B84" s="55" t="s">
        <v>208</v>
      </c>
      <c r="C84" s="56" t="s">
        <v>209</v>
      </c>
      <c r="D84" s="57">
        <v>3</v>
      </c>
    </row>
    <row r="85" spans="2:4" x14ac:dyDescent="0.2">
      <c r="B85" s="55" t="s">
        <v>210</v>
      </c>
      <c r="C85" s="56" t="s">
        <v>211</v>
      </c>
      <c r="D85" s="57">
        <v>3</v>
      </c>
    </row>
    <row r="86" spans="2:4" x14ac:dyDescent="0.2">
      <c r="B86" s="55" t="s">
        <v>212</v>
      </c>
      <c r="C86" s="56" t="s">
        <v>213</v>
      </c>
      <c r="D86" s="57">
        <v>3</v>
      </c>
    </row>
    <row r="87" spans="2:4" x14ac:dyDescent="0.2">
      <c r="B87" s="55" t="s">
        <v>214</v>
      </c>
      <c r="C87" s="56" t="s">
        <v>215</v>
      </c>
      <c r="D87" s="57">
        <v>3</v>
      </c>
    </row>
    <row r="88" spans="2:4" x14ac:dyDescent="0.2">
      <c r="B88" s="55" t="s">
        <v>216</v>
      </c>
      <c r="C88" s="56" t="s">
        <v>217</v>
      </c>
      <c r="D88" s="57">
        <v>1</v>
      </c>
    </row>
    <row r="89" spans="2:4" x14ac:dyDescent="0.2">
      <c r="B89" s="55" t="s">
        <v>218</v>
      </c>
      <c r="C89" s="56" t="s">
        <v>219</v>
      </c>
      <c r="D89" s="57">
        <v>3</v>
      </c>
    </row>
    <row r="90" spans="2:4" x14ac:dyDescent="0.2">
      <c r="B90" s="55" t="s">
        <v>220</v>
      </c>
      <c r="C90" s="56" t="s">
        <v>221</v>
      </c>
      <c r="D90" s="57">
        <v>3</v>
      </c>
    </row>
    <row r="91" spans="2:4" x14ac:dyDescent="0.2">
      <c r="B91" s="55" t="s">
        <v>222</v>
      </c>
      <c r="C91" s="56" t="s">
        <v>223</v>
      </c>
      <c r="D91" s="57">
        <v>3</v>
      </c>
    </row>
    <row r="92" spans="2:4" x14ac:dyDescent="0.2">
      <c r="B92" s="55" t="s">
        <v>224</v>
      </c>
      <c r="C92" s="56" t="s">
        <v>225</v>
      </c>
      <c r="D92" s="57">
        <v>3</v>
      </c>
    </row>
    <row r="93" spans="2:4" x14ac:dyDescent="0.2">
      <c r="B93" s="55" t="s">
        <v>226</v>
      </c>
      <c r="C93" s="56" t="s">
        <v>227</v>
      </c>
      <c r="D93" s="57">
        <v>2</v>
      </c>
    </row>
    <row r="94" spans="2:4" x14ac:dyDescent="0.2">
      <c r="B94" s="55" t="s">
        <v>228</v>
      </c>
      <c r="C94" s="56" t="s">
        <v>229</v>
      </c>
      <c r="D94" s="57">
        <v>3</v>
      </c>
    </row>
    <row r="95" spans="2:4" x14ac:dyDescent="0.2">
      <c r="B95" s="55" t="s">
        <v>230</v>
      </c>
      <c r="C95" s="56" t="s">
        <v>231</v>
      </c>
      <c r="D95" s="57">
        <v>3</v>
      </c>
    </row>
    <row r="96" spans="2:4" x14ac:dyDescent="0.2">
      <c r="B96" s="55" t="s">
        <v>232</v>
      </c>
      <c r="C96" s="56" t="s">
        <v>233</v>
      </c>
      <c r="D96" s="57">
        <v>3</v>
      </c>
    </row>
    <row r="97" spans="2:4" x14ac:dyDescent="0.2">
      <c r="B97" s="55" t="s">
        <v>234</v>
      </c>
      <c r="C97" s="56" t="s">
        <v>235</v>
      </c>
      <c r="D97" s="57">
        <v>2</v>
      </c>
    </row>
    <row r="98" spans="2:4" ht="25.5" x14ac:dyDescent="0.2">
      <c r="B98" s="55" t="s">
        <v>236</v>
      </c>
      <c r="C98" s="56" t="s">
        <v>237</v>
      </c>
      <c r="D98" s="57">
        <v>3</v>
      </c>
    </row>
    <row r="99" spans="2:4" x14ac:dyDescent="0.2">
      <c r="B99" s="55" t="s">
        <v>238</v>
      </c>
      <c r="C99" s="56" t="s">
        <v>239</v>
      </c>
      <c r="D99" s="57">
        <v>3</v>
      </c>
    </row>
    <row r="100" spans="2:4" x14ac:dyDescent="0.2">
      <c r="B100" s="55" t="s">
        <v>240</v>
      </c>
      <c r="C100" s="56" t="s">
        <v>241</v>
      </c>
      <c r="D100" s="57">
        <v>2</v>
      </c>
    </row>
    <row r="101" spans="2:4" x14ac:dyDescent="0.2">
      <c r="B101" s="55" t="s">
        <v>242</v>
      </c>
      <c r="C101" s="56" t="s">
        <v>243</v>
      </c>
      <c r="D101" s="57">
        <v>3</v>
      </c>
    </row>
    <row r="102" spans="2:4" x14ac:dyDescent="0.2">
      <c r="B102" s="55" t="s">
        <v>244</v>
      </c>
      <c r="C102" s="56" t="s">
        <v>245</v>
      </c>
      <c r="D102" s="57">
        <v>1</v>
      </c>
    </row>
    <row r="103" spans="2:4" x14ac:dyDescent="0.2">
      <c r="B103" s="55" t="s">
        <v>246</v>
      </c>
      <c r="C103" s="56" t="s">
        <v>247</v>
      </c>
      <c r="D103" s="57">
        <v>3</v>
      </c>
    </row>
    <row r="104" spans="2:4" x14ac:dyDescent="0.2">
      <c r="B104" s="55" t="s">
        <v>248</v>
      </c>
      <c r="C104" s="56" t="s">
        <v>249</v>
      </c>
      <c r="D104" s="57">
        <v>3</v>
      </c>
    </row>
    <row r="105" spans="2:4" ht="25.5" x14ac:dyDescent="0.2">
      <c r="B105" s="55" t="s">
        <v>250</v>
      </c>
      <c r="C105" s="56" t="s">
        <v>251</v>
      </c>
      <c r="D105" s="57">
        <v>3</v>
      </c>
    </row>
    <row r="106" spans="2:4" x14ac:dyDescent="0.2">
      <c r="B106" s="55" t="s">
        <v>252</v>
      </c>
      <c r="C106" s="56" t="s">
        <v>253</v>
      </c>
      <c r="D106" s="57">
        <v>3</v>
      </c>
    </row>
    <row r="107" spans="2:4" x14ac:dyDescent="0.2">
      <c r="B107" s="55" t="s">
        <v>254</v>
      </c>
      <c r="C107" s="56" t="s">
        <v>255</v>
      </c>
      <c r="D107" s="57">
        <v>3</v>
      </c>
    </row>
    <row r="108" spans="2:4" x14ac:dyDescent="0.2">
      <c r="B108" s="55" t="s">
        <v>256</v>
      </c>
      <c r="C108" s="56" t="s">
        <v>257</v>
      </c>
      <c r="D108" s="57">
        <v>3</v>
      </c>
    </row>
    <row r="109" spans="2:4" x14ac:dyDescent="0.2">
      <c r="B109" s="55" t="s">
        <v>258</v>
      </c>
      <c r="C109" s="56" t="s">
        <v>259</v>
      </c>
      <c r="D109" s="57">
        <v>3</v>
      </c>
    </row>
    <row r="110" spans="2:4" x14ac:dyDescent="0.2">
      <c r="B110" s="55" t="s">
        <v>260</v>
      </c>
      <c r="C110" s="56" t="s">
        <v>261</v>
      </c>
      <c r="D110" s="57">
        <v>2</v>
      </c>
    </row>
    <row r="111" spans="2:4" x14ac:dyDescent="0.2">
      <c r="B111" s="55" t="s">
        <v>262</v>
      </c>
      <c r="C111" s="56" t="s">
        <v>263</v>
      </c>
      <c r="D111" s="57">
        <v>2</v>
      </c>
    </row>
    <row r="112" spans="2:4" x14ac:dyDescent="0.2">
      <c r="B112" s="55" t="s">
        <v>264</v>
      </c>
      <c r="C112" s="56" t="s">
        <v>265</v>
      </c>
      <c r="D112" s="57">
        <v>1</v>
      </c>
    </row>
    <row r="113" spans="2:4" x14ac:dyDescent="0.2">
      <c r="B113" s="55" t="s">
        <v>266</v>
      </c>
      <c r="C113" s="56" t="s">
        <v>267</v>
      </c>
      <c r="D113" s="57">
        <v>1</v>
      </c>
    </row>
    <row r="114" spans="2:4" x14ac:dyDescent="0.2">
      <c r="B114" s="55" t="s">
        <v>268</v>
      </c>
      <c r="C114" s="56" t="s">
        <v>269</v>
      </c>
      <c r="D114" s="57">
        <v>2</v>
      </c>
    </row>
    <row r="115" spans="2:4" x14ac:dyDescent="0.2">
      <c r="B115" s="55" t="s">
        <v>270</v>
      </c>
      <c r="C115" s="56" t="s">
        <v>271</v>
      </c>
      <c r="D115" s="57">
        <v>2</v>
      </c>
    </row>
    <row r="116" spans="2:4" x14ac:dyDescent="0.2">
      <c r="B116" s="55" t="s">
        <v>272</v>
      </c>
      <c r="C116" s="56" t="s">
        <v>273</v>
      </c>
      <c r="D116" s="57">
        <v>2</v>
      </c>
    </row>
    <row r="117" spans="2:4" x14ac:dyDescent="0.2">
      <c r="B117" s="55" t="s">
        <v>274</v>
      </c>
      <c r="C117" s="56" t="s">
        <v>275</v>
      </c>
      <c r="D117" s="57">
        <v>3</v>
      </c>
    </row>
    <row r="118" spans="2:4" x14ac:dyDescent="0.2">
      <c r="B118" s="55" t="s">
        <v>276</v>
      </c>
      <c r="C118" s="56" t="s">
        <v>277</v>
      </c>
      <c r="D118" s="57">
        <v>2</v>
      </c>
    </row>
    <row r="119" spans="2:4" x14ac:dyDescent="0.2">
      <c r="B119" s="55" t="s">
        <v>278</v>
      </c>
      <c r="C119" s="56" t="s">
        <v>279</v>
      </c>
      <c r="D119" s="57">
        <v>2</v>
      </c>
    </row>
    <row r="120" spans="2:4" ht="25.5" x14ac:dyDescent="0.2">
      <c r="B120" s="55" t="s">
        <v>280</v>
      </c>
      <c r="C120" s="56" t="s">
        <v>281</v>
      </c>
      <c r="D120" s="57">
        <v>2</v>
      </c>
    </row>
    <row r="121" spans="2:4" x14ac:dyDescent="0.2">
      <c r="B121" s="55" t="s">
        <v>282</v>
      </c>
      <c r="C121" s="56" t="s">
        <v>283</v>
      </c>
      <c r="D121" s="57">
        <v>3</v>
      </c>
    </row>
    <row r="122" spans="2:4" x14ac:dyDescent="0.2">
      <c r="B122" s="55" t="s">
        <v>284</v>
      </c>
      <c r="C122" s="56" t="s">
        <v>285</v>
      </c>
      <c r="D122" s="57">
        <v>2</v>
      </c>
    </row>
    <row r="123" spans="2:4" x14ac:dyDescent="0.2">
      <c r="B123" s="55" t="s">
        <v>286</v>
      </c>
      <c r="C123" s="56" t="s">
        <v>287</v>
      </c>
      <c r="D123" s="57">
        <v>2</v>
      </c>
    </row>
    <row r="124" spans="2:4" x14ac:dyDescent="0.2">
      <c r="B124" s="55" t="s">
        <v>288</v>
      </c>
      <c r="C124" s="56" t="s">
        <v>289</v>
      </c>
      <c r="D124" s="57">
        <v>2</v>
      </c>
    </row>
    <row r="125" spans="2:4" x14ac:dyDescent="0.2">
      <c r="B125" s="55" t="s">
        <v>290</v>
      </c>
      <c r="C125" s="56" t="s">
        <v>291</v>
      </c>
      <c r="D125" s="57">
        <v>3</v>
      </c>
    </row>
    <row r="126" spans="2:4" x14ac:dyDescent="0.2">
      <c r="B126" s="55" t="s">
        <v>292</v>
      </c>
      <c r="C126" s="56" t="s">
        <v>293</v>
      </c>
      <c r="D126" s="57">
        <v>3</v>
      </c>
    </row>
    <row r="127" spans="2:4" x14ac:dyDescent="0.2">
      <c r="B127" s="55" t="s">
        <v>294</v>
      </c>
      <c r="C127" s="56" t="s">
        <v>295</v>
      </c>
      <c r="D127" s="57">
        <v>2</v>
      </c>
    </row>
    <row r="128" spans="2:4" ht="25.5" x14ac:dyDescent="0.2">
      <c r="B128" s="55" t="s">
        <v>296</v>
      </c>
      <c r="C128" s="56" t="s">
        <v>297</v>
      </c>
      <c r="D128" s="57">
        <v>3</v>
      </c>
    </row>
    <row r="129" spans="2:4" x14ac:dyDescent="0.2">
      <c r="B129" s="55" t="s">
        <v>298</v>
      </c>
      <c r="C129" s="56" t="s">
        <v>299</v>
      </c>
      <c r="D129" s="57">
        <v>3</v>
      </c>
    </row>
    <row r="130" spans="2:4" x14ac:dyDescent="0.2">
      <c r="B130" s="55" t="s">
        <v>300</v>
      </c>
      <c r="C130" s="56" t="s">
        <v>301</v>
      </c>
      <c r="D130" s="57">
        <v>3</v>
      </c>
    </row>
    <row r="131" spans="2:4" x14ac:dyDescent="0.2">
      <c r="B131" s="55" t="s">
        <v>302</v>
      </c>
      <c r="C131" s="56" t="s">
        <v>303</v>
      </c>
      <c r="D131" s="57">
        <v>3</v>
      </c>
    </row>
    <row r="132" spans="2:4" x14ac:dyDescent="0.2">
      <c r="B132" s="55" t="s">
        <v>304</v>
      </c>
      <c r="C132" s="56" t="s">
        <v>305</v>
      </c>
      <c r="D132" s="57">
        <v>3</v>
      </c>
    </row>
    <row r="133" spans="2:4" x14ac:dyDescent="0.2">
      <c r="B133" s="55" t="s">
        <v>306</v>
      </c>
      <c r="C133" s="56" t="s">
        <v>307</v>
      </c>
      <c r="D133" s="57">
        <v>3</v>
      </c>
    </row>
    <row r="134" spans="2:4" x14ac:dyDescent="0.2">
      <c r="B134" s="55" t="s">
        <v>308</v>
      </c>
      <c r="C134" s="56" t="s">
        <v>309</v>
      </c>
      <c r="D134" s="57">
        <v>3</v>
      </c>
    </row>
    <row r="135" spans="2:4" x14ac:dyDescent="0.2">
      <c r="B135" s="55" t="s">
        <v>310</v>
      </c>
      <c r="C135" s="56" t="s">
        <v>311</v>
      </c>
      <c r="D135" s="57">
        <v>3</v>
      </c>
    </row>
    <row r="136" spans="2:4" x14ac:dyDescent="0.2">
      <c r="B136" s="55" t="s">
        <v>312</v>
      </c>
      <c r="C136" s="56" t="s">
        <v>313</v>
      </c>
      <c r="D136" s="57">
        <v>3</v>
      </c>
    </row>
    <row r="137" spans="2:4" x14ac:dyDescent="0.2">
      <c r="B137" s="55" t="s">
        <v>314</v>
      </c>
      <c r="C137" s="56" t="s">
        <v>315</v>
      </c>
      <c r="D137" s="57">
        <v>3</v>
      </c>
    </row>
    <row r="138" spans="2:4" x14ac:dyDescent="0.2">
      <c r="B138" s="55" t="s">
        <v>316</v>
      </c>
      <c r="C138" s="56" t="s">
        <v>317</v>
      </c>
      <c r="D138" s="57">
        <v>3</v>
      </c>
    </row>
    <row r="139" spans="2:4" x14ac:dyDescent="0.2">
      <c r="B139" s="55" t="s">
        <v>318</v>
      </c>
      <c r="C139" s="56" t="s">
        <v>319</v>
      </c>
      <c r="D139" s="57">
        <v>3</v>
      </c>
    </row>
    <row r="140" spans="2:4" x14ac:dyDescent="0.2">
      <c r="B140" s="55" t="s">
        <v>320</v>
      </c>
      <c r="C140" s="56" t="s">
        <v>321</v>
      </c>
      <c r="D140" s="57">
        <v>3</v>
      </c>
    </row>
    <row r="141" spans="2:4" x14ac:dyDescent="0.2">
      <c r="B141" s="55" t="s">
        <v>322</v>
      </c>
      <c r="C141" s="56" t="s">
        <v>323</v>
      </c>
      <c r="D141" s="57">
        <v>3</v>
      </c>
    </row>
    <row r="142" spans="2:4" x14ac:dyDescent="0.2">
      <c r="B142" s="55" t="s">
        <v>324</v>
      </c>
      <c r="C142" s="56" t="s">
        <v>325</v>
      </c>
      <c r="D142" s="57">
        <v>3</v>
      </c>
    </row>
    <row r="143" spans="2:4" x14ac:dyDescent="0.2">
      <c r="B143" s="55" t="s">
        <v>326</v>
      </c>
      <c r="C143" s="56" t="s">
        <v>327</v>
      </c>
      <c r="D143" s="57">
        <v>3</v>
      </c>
    </row>
    <row r="144" spans="2:4" x14ac:dyDescent="0.2">
      <c r="B144" s="55" t="s">
        <v>328</v>
      </c>
      <c r="C144" s="56" t="s">
        <v>329</v>
      </c>
      <c r="D144" s="57">
        <v>3</v>
      </c>
    </row>
    <row r="145" spans="2:4" x14ac:dyDescent="0.2">
      <c r="B145" s="55" t="s">
        <v>330</v>
      </c>
      <c r="C145" s="56" t="s">
        <v>331</v>
      </c>
      <c r="D145" s="57">
        <v>3</v>
      </c>
    </row>
    <row r="146" spans="2:4" x14ac:dyDescent="0.2">
      <c r="B146" s="55" t="s">
        <v>332</v>
      </c>
      <c r="C146" s="56" t="s">
        <v>333</v>
      </c>
      <c r="D146" s="57">
        <v>3</v>
      </c>
    </row>
    <row r="147" spans="2:4" x14ac:dyDescent="0.2">
      <c r="B147" s="55" t="s">
        <v>334</v>
      </c>
      <c r="C147" s="56" t="s">
        <v>335</v>
      </c>
      <c r="D147" s="57">
        <v>3</v>
      </c>
    </row>
    <row r="148" spans="2:4" ht="25.5" x14ac:dyDescent="0.2">
      <c r="B148" s="55" t="s">
        <v>336</v>
      </c>
      <c r="C148" s="56" t="s">
        <v>337</v>
      </c>
      <c r="D148" s="57">
        <v>3</v>
      </c>
    </row>
    <row r="149" spans="2:4" ht="25.5" x14ac:dyDescent="0.2">
      <c r="B149" s="55" t="s">
        <v>338</v>
      </c>
      <c r="C149" s="56" t="s">
        <v>339</v>
      </c>
      <c r="D149" s="57">
        <v>2</v>
      </c>
    </row>
    <row r="150" spans="2:4" x14ac:dyDescent="0.2">
      <c r="B150" s="55" t="s">
        <v>340</v>
      </c>
      <c r="C150" s="56" t="s">
        <v>341</v>
      </c>
      <c r="D150" s="57">
        <v>3</v>
      </c>
    </row>
    <row r="151" spans="2:4" x14ac:dyDescent="0.2">
      <c r="B151" s="55" t="s">
        <v>342</v>
      </c>
      <c r="C151" s="56" t="s">
        <v>343</v>
      </c>
      <c r="D151" s="57">
        <v>3</v>
      </c>
    </row>
    <row r="152" spans="2:4" x14ac:dyDescent="0.2">
      <c r="B152" s="55" t="s">
        <v>344</v>
      </c>
      <c r="C152" s="56" t="s">
        <v>345</v>
      </c>
      <c r="D152" s="57">
        <v>2</v>
      </c>
    </row>
    <row r="153" spans="2:4" x14ac:dyDescent="0.2">
      <c r="B153" s="55" t="s">
        <v>346</v>
      </c>
      <c r="C153" s="56" t="s">
        <v>347</v>
      </c>
      <c r="D153" s="57">
        <v>3</v>
      </c>
    </row>
    <row r="154" spans="2:4" x14ac:dyDescent="0.2">
      <c r="B154" s="55" t="s">
        <v>348</v>
      </c>
      <c r="C154" s="56" t="s">
        <v>349</v>
      </c>
      <c r="D154" s="57">
        <v>2</v>
      </c>
    </row>
    <row r="155" spans="2:4" x14ac:dyDescent="0.2">
      <c r="B155" s="55" t="s">
        <v>350</v>
      </c>
      <c r="C155" s="56" t="s">
        <v>351</v>
      </c>
      <c r="D155" s="57">
        <v>3</v>
      </c>
    </row>
    <row r="156" spans="2:4" x14ac:dyDescent="0.2">
      <c r="B156" s="55" t="s">
        <v>352</v>
      </c>
      <c r="C156" s="56" t="s">
        <v>353</v>
      </c>
      <c r="D156" s="57">
        <v>3</v>
      </c>
    </row>
    <row r="157" spans="2:4" x14ac:dyDescent="0.2">
      <c r="B157" s="55" t="s">
        <v>354</v>
      </c>
      <c r="C157" s="56" t="s">
        <v>355</v>
      </c>
      <c r="D157" s="57">
        <v>3</v>
      </c>
    </row>
    <row r="158" spans="2:4" x14ac:dyDescent="0.2">
      <c r="B158" s="55" t="s">
        <v>356</v>
      </c>
      <c r="C158" s="56" t="s">
        <v>357</v>
      </c>
      <c r="D158" s="57">
        <v>3</v>
      </c>
    </row>
    <row r="159" spans="2:4" x14ac:dyDescent="0.2">
      <c r="B159" s="55" t="s">
        <v>358</v>
      </c>
      <c r="C159" s="56" t="s">
        <v>359</v>
      </c>
      <c r="D159" s="57">
        <v>1</v>
      </c>
    </row>
    <row r="160" spans="2:4" ht="25.5" x14ac:dyDescent="0.2">
      <c r="B160" s="55" t="s">
        <v>360</v>
      </c>
      <c r="C160" s="56" t="s">
        <v>361</v>
      </c>
      <c r="D160" s="57">
        <v>3</v>
      </c>
    </row>
    <row r="161" spans="2:4" ht="25.5" x14ac:dyDescent="0.2">
      <c r="B161" s="55" t="s">
        <v>362</v>
      </c>
      <c r="C161" s="56" t="s">
        <v>363</v>
      </c>
      <c r="D161" s="57">
        <v>3</v>
      </c>
    </row>
    <row r="162" spans="2:4" x14ac:dyDescent="0.2">
      <c r="B162" s="55" t="s">
        <v>364</v>
      </c>
      <c r="C162" s="56" t="s">
        <v>365</v>
      </c>
      <c r="D162" s="57">
        <v>3</v>
      </c>
    </row>
    <row r="163" spans="2:4" x14ac:dyDescent="0.2">
      <c r="B163" s="55" t="s">
        <v>366</v>
      </c>
      <c r="C163" s="56" t="s">
        <v>367</v>
      </c>
      <c r="D163" s="57">
        <v>3</v>
      </c>
    </row>
    <row r="164" spans="2:4" x14ac:dyDescent="0.2">
      <c r="B164" s="55" t="s">
        <v>368</v>
      </c>
      <c r="C164" s="56" t="s">
        <v>369</v>
      </c>
      <c r="D164" s="57">
        <v>3</v>
      </c>
    </row>
    <row r="165" spans="2:4" x14ac:dyDescent="0.2">
      <c r="B165" s="55" t="s">
        <v>370</v>
      </c>
      <c r="C165" s="56" t="s">
        <v>371</v>
      </c>
      <c r="D165" s="57">
        <v>3</v>
      </c>
    </row>
    <row r="166" spans="2:4" x14ac:dyDescent="0.2">
      <c r="B166" s="55" t="s">
        <v>372</v>
      </c>
      <c r="C166" s="56" t="s">
        <v>373</v>
      </c>
      <c r="D166" s="57">
        <v>3</v>
      </c>
    </row>
    <row r="167" spans="2:4" x14ac:dyDescent="0.2">
      <c r="B167" s="55" t="s">
        <v>374</v>
      </c>
      <c r="C167" s="56" t="s">
        <v>375</v>
      </c>
      <c r="D167" s="57">
        <v>3</v>
      </c>
    </row>
    <row r="168" spans="2:4" x14ac:dyDescent="0.2">
      <c r="B168" s="55" t="s">
        <v>376</v>
      </c>
      <c r="C168" s="56" t="s">
        <v>377</v>
      </c>
      <c r="D168" s="57">
        <v>3</v>
      </c>
    </row>
    <row r="169" spans="2:4" x14ac:dyDescent="0.2">
      <c r="B169" s="55" t="s">
        <v>378</v>
      </c>
      <c r="C169" s="56" t="s">
        <v>379</v>
      </c>
      <c r="D169" s="57">
        <v>3</v>
      </c>
    </row>
    <row r="170" spans="2:4" x14ac:dyDescent="0.2">
      <c r="B170" s="55" t="s">
        <v>380</v>
      </c>
      <c r="C170" s="56" t="s">
        <v>381</v>
      </c>
      <c r="D170" s="57">
        <v>3</v>
      </c>
    </row>
    <row r="171" spans="2:4" x14ac:dyDescent="0.2">
      <c r="B171" s="55" t="s">
        <v>382</v>
      </c>
      <c r="C171" s="56" t="s">
        <v>383</v>
      </c>
      <c r="D171" s="57">
        <v>3</v>
      </c>
    </row>
    <row r="172" spans="2:4" x14ac:dyDescent="0.2">
      <c r="B172" s="55" t="s">
        <v>384</v>
      </c>
      <c r="C172" s="56" t="s">
        <v>385</v>
      </c>
      <c r="D172" s="57">
        <v>3</v>
      </c>
    </row>
    <row r="173" spans="2:4" x14ac:dyDescent="0.2">
      <c r="B173" s="55" t="s">
        <v>386</v>
      </c>
      <c r="C173" s="56" t="s">
        <v>387</v>
      </c>
      <c r="D173" s="57">
        <v>3</v>
      </c>
    </row>
    <row r="174" spans="2:4" x14ac:dyDescent="0.2">
      <c r="B174" s="55" t="s">
        <v>388</v>
      </c>
      <c r="C174" s="56" t="s">
        <v>389</v>
      </c>
      <c r="D174" s="57">
        <v>3</v>
      </c>
    </row>
    <row r="175" spans="2:4" x14ac:dyDescent="0.2">
      <c r="B175" s="55" t="s">
        <v>390</v>
      </c>
      <c r="C175" s="56" t="s">
        <v>391</v>
      </c>
      <c r="D175" s="57">
        <v>3</v>
      </c>
    </row>
    <row r="176" spans="2:4" x14ac:dyDescent="0.2">
      <c r="B176" s="55" t="s">
        <v>392</v>
      </c>
      <c r="C176" s="56" t="s">
        <v>393</v>
      </c>
      <c r="D176" s="57">
        <v>3</v>
      </c>
    </row>
    <row r="177" spans="2:4" x14ac:dyDescent="0.2">
      <c r="B177" s="55" t="s">
        <v>394</v>
      </c>
      <c r="C177" s="56" t="s">
        <v>395</v>
      </c>
      <c r="D177" s="57">
        <v>3</v>
      </c>
    </row>
    <row r="178" spans="2:4" x14ac:dyDescent="0.2">
      <c r="B178" s="55" t="s">
        <v>396</v>
      </c>
      <c r="C178" s="56" t="s">
        <v>397</v>
      </c>
      <c r="D178" s="57">
        <v>3</v>
      </c>
    </row>
    <row r="179" spans="2:4" x14ac:dyDescent="0.2">
      <c r="B179" s="55" t="s">
        <v>398</v>
      </c>
      <c r="C179" s="56" t="s">
        <v>399</v>
      </c>
      <c r="D179" s="57">
        <v>3</v>
      </c>
    </row>
    <row r="180" spans="2:4" x14ac:dyDescent="0.2">
      <c r="B180" s="55" t="s">
        <v>400</v>
      </c>
      <c r="C180" s="56" t="s">
        <v>401</v>
      </c>
      <c r="D180" s="57">
        <v>3</v>
      </c>
    </row>
    <row r="181" spans="2:4" x14ac:dyDescent="0.2">
      <c r="B181" s="55" t="s">
        <v>402</v>
      </c>
      <c r="C181" s="56" t="s">
        <v>403</v>
      </c>
      <c r="D181" s="57">
        <v>3</v>
      </c>
    </row>
    <row r="182" spans="2:4" x14ac:dyDescent="0.2">
      <c r="B182" s="55" t="s">
        <v>404</v>
      </c>
      <c r="C182" s="56" t="s">
        <v>405</v>
      </c>
      <c r="D182" s="57">
        <v>3</v>
      </c>
    </row>
    <row r="183" spans="2:4" x14ac:dyDescent="0.2">
      <c r="B183" s="55" t="s">
        <v>406</v>
      </c>
      <c r="C183" s="56" t="s">
        <v>407</v>
      </c>
      <c r="D183" s="57">
        <v>3</v>
      </c>
    </row>
    <row r="184" spans="2:4" x14ac:dyDescent="0.2">
      <c r="B184" s="55" t="s">
        <v>408</v>
      </c>
      <c r="C184" s="56" t="s">
        <v>409</v>
      </c>
      <c r="D184" s="57">
        <v>3</v>
      </c>
    </row>
    <row r="185" spans="2:4" x14ac:dyDescent="0.2">
      <c r="B185" s="55" t="s">
        <v>410</v>
      </c>
      <c r="C185" s="56" t="s">
        <v>411</v>
      </c>
      <c r="D185" s="57">
        <v>3</v>
      </c>
    </row>
    <row r="186" spans="2:4" x14ac:dyDescent="0.2">
      <c r="B186" s="55" t="s">
        <v>412</v>
      </c>
      <c r="C186" s="56" t="s">
        <v>413</v>
      </c>
      <c r="D186" s="57">
        <v>3</v>
      </c>
    </row>
    <row r="187" spans="2:4" x14ac:dyDescent="0.2">
      <c r="B187" s="55" t="s">
        <v>414</v>
      </c>
      <c r="C187" s="56" t="s">
        <v>415</v>
      </c>
      <c r="D187" s="57">
        <v>3</v>
      </c>
    </row>
    <row r="188" spans="2:4" x14ac:dyDescent="0.2">
      <c r="B188" s="55" t="s">
        <v>416</v>
      </c>
      <c r="C188" s="56" t="s">
        <v>417</v>
      </c>
      <c r="D188" s="57">
        <v>2</v>
      </c>
    </row>
    <row r="189" spans="2:4" x14ac:dyDescent="0.2">
      <c r="B189" s="55" t="s">
        <v>418</v>
      </c>
      <c r="C189" s="56" t="s">
        <v>419</v>
      </c>
      <c r="D189" s="57">
        <v>3</v>
      </c>
    </row>
    <row r="190" spans="2:4" x14ac:dyDescent="0.2">
      <c r="B190" s="55" t="s">
        <v>420</v>
      </c>
      <c r="C190" s="56" t="s">
        <v>421</v>
      </c>
      <c r="D190" s="57">
        <v>3</v>
      </c>
    </row>
    <row r="191" spans="2:4" x14ac:dyDescent="0.2">
      <c r="B191" s="55" t="s">
        <v>422</v>
      </c>
      <c r="C191" s="56" t="s">
        <v>423</v>
      </c>
      <c r="D191" s="57">
        <v>3</v>
      </c>
    </row>
    <row r="192" spans="2:4" x14ac:dyDescent="0.2">
      <c r="B192" s="55" t="s">
        <v>424</v>
      </c>
      <c r="C192" s="56" t="s">
        <v>425</v>
      </c>
      <c r="D192" s="57">
        <v>3</v>
      </c>
    </row>
    <row r="193" spans="2:4" x14ac:dyDescent="0.2">
      <c r="B193" s="55" t="s">
        <v>426</v>
      </c>
      <c r="C193" s="56" t="s">
        <v>427</v>
      </c>
      <c r="D193" s="57">
        <v>3</v>
      </c>
    </row>
    <row r="194" spans="2:4" ht="25.5" x14ac:dyDescent="0.2">
      <c r="B194" s="55" t="s">
        <v>428</v>
      </c>
      <c r="C194" s="56" t="s">
        <v>429</v>
      </c>
      <c r="D194" s="57">
        <v>2</v>
      </c>
    </row>
    <row r="195" spans="2:4" x14ac:dyDescent="0.2">
      <c r="B195" s="55" t="s">
        <v>430</v>
      </c>
      <c r="C195" s="56" t="s">
        <v>431</v>
      </c>
      <c r="D195" s="57">
        <v>3</v>
      </c>
    </row>
    <row r="196" spans="2:4" x14ac:dyDescent="0.2">
      <c r="B196" s="55" t="s">
        <v>432</v>
      </c>
      <c r="C196" s="56" t="s">
        <v>433</v>
      </c>
      <c r="D196" s="57">
        <v>3</v>
      </c>
    </row>
    <row r="197" spans="2:4" x14ac:dyDescent="0.2">
      <c r="B197" s="55" t="s">
        <v>434</v>
      </c>
      <c r="C197" s="56" t="s">
        <v>435</v>
      </c>
      <c r="D197" s="57">
        <v>2</v>
      </c>
    </row>
    <row r="198" spans="2:4" x14ac:dyDescent="0.2">
      <c r="B198" s="55" t="s">
        <v>436</v>
      </c>
      <c r="C198" s="56" t="s">
        <v>437</v>
      </c>
      <c r="D198" s="57">
        <v>3</v>
      </c>
    </row>
    <row r="199" spans="2:4" x14ac:dyDescent="0.2">
      <c r="B199" s="55" t="s">
        <v>438</v>
      </c>
      <c r="C199" s="56" t="s">
        <v>439</v>
      </c>
      <c r="D199" s="57">
        <v>3</v>
      </c>
    </row>
    <row r="200" spans="2:4" x14ac:dyDescent="0.2">
      <c r="B200" s="55" t="s">
        <v>440</v>
      </c>
      <c r="C200" s="56" t="s">
        <v>441</v>
      </c>
      <c r="D200" s="57">
        <v>3</v>
      </c>
    </row>
    <row r="201" spans="2:4" x14ac:dyDescent="0.2">
      <c r="B201" s="55" t="s">
        <v>442</v>
      </c>
      <c r="C201" s="56" t="s">
        <v>443</v>
      </c>
      <c r="D201" s="57">
        <v>3</v>
      </c>
    </row>
    <row r="202" spans="2:4" x14ac:dyDescent="0.2">
      <c r="B202" s="55" t="s">
        <v>444</v>
      </c>
      <c r="C202" s="56" t="s">
        <v>445</v>
      </c>
      <c r="D202" s="57">
        <v>3</v>
      </c>
    </row>
    <row r="203" spans="2:4" x14ac:dyDescent="0.2">
      <c r="B203" s="55" t="s">
        <v>446</v>
      </c>
      <c r="C203" s="56" t="s">
        <v>447</v>
      </c>
      <c r="D203" s="57">
        <v>3</v>
      </c>
    </row>
    <row r="204" spans="2:4" x14ac:dyDescent="0.2">
      <c r="B204" s="55" t="s">
        <v>448</v>
      </c>
      <c r="C204" s="56" t="s">
        <v>449</v>
      </c>
      <c r="D204" s="57">
        <v>3</v>
      </c>
    </row>
    <row r="205" spans="2:4" x14ac:dyDescent="0.2">
      <c r="B205" s="55" t="s">
        <v>450</v>
      </c>
      <c r="C205" s="56" t="s">
        <v>451</v>
      </c>
      <c r="D205" s="57">
        <v>3</v>
      </c>
    </row>
    <row r="206" spans="2:4" x14ac:dyDescent="0.2">
      <c r="B206" s="55" t="s">
        <v>452</v>
      </c>
      <c r="C206" s="56" t="s">
        <v>453</v>
      </c>
      <c r="D206" s="57">
        <v>3</v>
      </c>
    </row>
    <row r="207" spans="2:4" ht="25.5" x14ac:dyDescent="0.2">
      <c r="B207" s="55" t="s">
        <v>454</v>
      </c>
      <c r="C207" s="56" t="s">
        <v>455</v>
      </c>
      <c r="D207" s="57">
        <v>3</v>
      </c>
    </row>
    <row r="208" spans="2:4" x14ac:dyDescent="0.2">
      <c r="B208" s="55" t="s">
        <v>456</v>
      </c>
      <c r="C208" s="56" t="s">
        <v>457</v>
      </c>
      <c r="D208" s="57">
        <v>3</v>
      </c>
    </row>
    <row r="209" spans="2:4" x14ac:dyDescent="0.2">
      <c r="B209" s="55" t="s">
        <v>458</v>
      </c>
      <c r="C209" s="56" t="s">
        <v>459</v>
      </c>
      <c r="D209" s="57">
        <v>3</v>
      </c>
    </row>
    <row r="210" spans="2:4" x14ac:dyDescent="0.2">
      <c r="B210" s="55" t="s">
        <v>460</v>
      </c>
      <c r="C210" s="56" t="s">
        <v>461</v>
      </c>
      <c r="D210" s="57">
        <v>3</v>
      </c>
    </row>
    <row r="211" spans="2:4" x14ac:dyDescent="0.2">
      <c r="B211" s="55" t="s">
        <v>462</v>
      </c>
      <c r="C211" s="56" t="s">
        <v>463</v>
      </c>
      <c r="D211" s="57">
        <v>3</v>
      </c>
    </row>
    <row r="212" spans="2:4" x14ac:dyDescent="0.2">
      <c r="B212" s="55" t="s">
        <v>464</v>
      </c>
      <c r="C212" s="56" t="s">
        <v>465</v>
      </c>
      <c r="D212" s="57">
        <v>3</v>
      </c>
    </row>
    <row r="213" spans="2:4" x14ac:dyDescent="0.2">
      <c r="B213" s="55" t="s">
        <v>466</v>
      </c>
      <c r="C213" s="56" t="s">
        <v>467</v>
      </c>
      <c r="D213" s="57">
        <v>2</v>
      </c>
    </row>
    <row r="214" spans="2:4" x14ac:dyDescent="0.2">
      <c r="B214" s="55" t="s">
        <v>468</v>
      </c>
      <c r="C214" s="56" t="s">
        <v>469</v>
      </c>
      <c r="D214" s="57">
        <v>3</v>
      </c>
    </row>
    <row r="215" spans="2:4" x14ac:dyDescent="0.2">
      <c r="B215" s="55" t="s">
        <v>470</v>
      </c>
      <c r="C215" s="56" t="s">
        <v>471</v>
      </c>
      <c r="D215" s="57">
        <v>3</v>
      </c>
    </row>
    <row r="216" spans="2:4" x14ac:dyDescent="0.2">
      <c r="B216" s="55" t="s">
        <v>472</v>
      </c>
      <c r="C216" s="56" t="s">
        <v>473</v>
      </c>
      <c r="D216" s="57">
        <v>3</v>
      </c>
    </row>
    <row r="217" spans="2:4" x14ac:dyDescent="0.2">
      <c r="B217" s="55" t="s">
        <v>474</v>
      </c>
      <c r="C217" s="56" t="s">
        <v>475</v>
      </c>
      <c r="D217" s="57">
        <v>3</v>
      </c>
    </row>
    <row r="218" spans="2:4" x14ac:dyDescent="0.2">
      <c r="B218" s="55" t="s">
        <v>476</v>
      </c>
      <c r="C218" s="56" t="s">
        <v>477</v>
      </c>
      <c r="D218" s="57">
        <v>3</v>
      </c>
    </row>
    <row r="219" spans="2:4" x14ac:dyDescent="0.2">
      <c r="B219" s="55" t="s">
        <v>478</v>
      </c>
      <c r="C219" s="56" t="s">
        <v>479</v>
      </c>
      <c r="D219" s="57">
        <v>3</v>
      </c>
    </row>
    <row r="220" spans="2:4" x14ac:dyDescent="0.2">
      <c r="B220" s="55" t="s">
        <v>480</v>
      </c>
      <c r="C220" s="56" t="s">
        <v>481</v>
      </c>
      <c r="D220" s="57">
        <v>3</v>
      </c>
    </row>
    <row r="221" spans="2:4" x14ac:dyDescent="0.2">
      <c r="B221" s="55" t="s">
        <v>482</v>
      </c>
      <c r="C221" s="56" t="s">
        <v>483</v>
      </c>
      <c r="D221" s="57">
        <v>3</v>
      </c>
    </row>
    <row r="222" spans="2:4" x14ac:dyDescent="0.2">
      <c r="B222" s="55" t="s">
        <v>484</v>
      </c>
      <c r="C222" s="56" t="s">
        <v>485</v>
      </c>
      <c r="D222" s="57">
        <v>2</v>
      </c>
    </row>
    <row r="223" spans="2:4" x14ac:dyDescent="0.2">
      <c r="B223" s="55" t="s">
        <v>486</v>
      </c>
      <c r="C223" s="56" t="s">
        <v>487</v>
      </c>
      <c r="D223" s="57">
        <v>1</v>
      </c>
    </row>
    <row r="224" spans="2:4" x14ac:dyDescent="0.2">
      <c r="B224" s="55" t="s">
        <v>488</v>
      </c>
      <c r="C224" s="56" t="s">
        <v>489</v>
      </c>
      <c r="D224" s="57">
        <v>3</v>
      </c>
    </row>
    <row r="225" spans="2:4" x14ac:dyDescent="0.2">
      <c r="B225" s="55" t="s">
        <v>490</v>
      </c>
      <c r="C225" s="56" t="s">
        <v>491</v>
      </c>
      <c r="D225" s="57">
        <v>3</v>
      </c>
    </row>
    <row r="226" spans="2:4" x14ac:dyDescent="0.2">
      <c r="B226" s="55" t="s">
        <v>492</v>
      </c>
      <c r="C226" s="56" t="s">
        <v>493</v>
      </c>
      <c r="D226" s="57">
        <v>3</v>
      </c>
    </row>
    <row r="227" spans="2:4" x14ac:dyDescent="0.2">
      <c r="B227" s="55" t="s">
        <v>494</v>
      </c>
      <c r="C227" s="56" t="s">
        <v>495</v>
      </c>
      <c r="D227" s="57">
        <v>3</v>
      </c>
    </row>
    <row r="228" spans="2:4" x14ac:dyDescent="0.2">
      <c r="B228" s="55" t="s">
        <v>496</v>
      </c>
      <c r="C228" s="56" t="s">
        <v>497</v>
      </c>
      <c r="D228" s="57">
        <v>3</v>
      </c>
    </row>
    <row r="229" spans="2:4" x14ac:dyDescent="0.2">
      <c r="B229" s="55" t="s">
        <v>498</v>
      </c>
      <c r="C229" s="56" t="s">
        <v>499</v>
      </c>
      <c r="D229" s="57">
        <v>3</v>
      </c>
    </row>
    <row r="230" spans="2:4" x14ac:dyDescent="0.2">
      <c r="B230" s="55" t="s">
        <v>500</v>
      </c>
      <c r="C230" s="56" t="s">
        <v>501</v>
      </c>
      <c r="D230" s="57">
        <v>3</v>
      </c>
    </row>
    <row r="231" spans="2:4" x14ac:dyDescent="0.2">
      <c r="B231" s="55" t="s">
        <v>502</v>
      </c>
      <c r="C231" s="56" t="s">
        <v>503</v>
      </c>
      <c r="D231" s="57">
        <v>3</v>
      </c>
    </row>
    <row r="232" spans="2:4" x14ac:dyDescent="0.2">
      <c r="B232" s="55" t="s">
        <v>504</v>
      </c>
      <c r="C232" s="56" t="s">
        <v>505</v>
      </c>
      <c r="D232" s="57">
        <v>3</v>
      </c>
    </row>
    <row r="233" spans="2:4" x14ac:dyDescent="0.2">
      <c r="B233" s="55" t="s">
        <v>506</v>
      </c>
      <c r="C233" s="56" t="s">
        <v>507</v>
      </c>
      <c r="D233" s="57">
        <v>3</v>
      </c>
    </row>
    <row r="234" spans="2:4" x14ac:dyDescent="0.2">
      <c r="B234" s="55" t="s">
        <v>508</v>
      </c>
      <c r="C234" s="56" t="s">
        <v>509</v>
      </c>
      <c r="D234" s="57">
        <v>3</v>
      </c>
    </row>
    <row r="235" spans="2:4" x14ac:dyDescent="0.2">
      <c r="B235" s="55" t="s">
        <v>510</v>
      </c>
      <c r="C235" s="56" t="s">
        <v>511</v>
      </c>
      <c r="D235" s="57">
        <v>3</v>
      </c>
    </row>
    <row r="236" spans="2:4" x14ac:dyDescent="0.2">
      <c r="B236" s="55" t="s">
        <v>512</v>
      </c>
      <c r="C236" s="56" t="s">
        <v>513</v>
      </c>
      <c r="D236" s="57">
        <v>3</v>
      </c>
    </row>
    <row r="237" spans="2:4" x14ac:dyDescent="0.2">
      <c r="B237" s="55" t="s">
        <v>514</v>
      </c>
      <c r="C237" s="56" t="s">
        <v>515</v>
      </c>
      <c r="D237" s="57">
        <v>3</v>
      </c>
    </row>
    <row r="238" spans="2:4" x14ac:dyDescent="0.2">
      <c r="B238" s="55" t="s">
        <v>516</v>
      </c>
      <c r="C238" s="56" t="s">
        <v>517</v>
      </c>
      <c r="D238" s="57">
        <v>3</v>
      </c>
    </row>
    <row r="239" spans="2:4" x14ac:dyDescent="0.2">
      <c r="B239" s="55" t="s">
        <v>518</v>
      </c>
      <c r="C239" s="56" t="s">
        <v>519</v>
      </c>
      <c r="D239" s="57">
        <v>2</v>
      </c>
    </row>
    <row r="240" spans="2:4" x14ac:dyDescent="0.2">
      <c r="B240" s="55" t="s">
        <v>520</v>
      </c>
      <c r="C240" s="56" t="s">
        <v>521</v>
      </c>
      <c r="D240" s="57">
        <v>3</v>
      </c>
    </row>
    <row r="241" spans="2:4" x14ac:dyDescent="0.2">
      <c r="B241" s="55" t="s">
        <v>522</v>
      </c>
      <c r="C241" s="56" t="s">
        <v>523</v>
      </c>
      <c r="D241" s="57">
        <v>3</v>
      </c>
    </row>
    <row r="242" spans="2:4" x14ac:dyDescent="0.2">
      <c r="B242" s="55" t="s">
        <v>524</v>
      </c>
      <c r="C242" s="56" t="s">
        <v>525</v>
      </c>
      <c r="D242" s="57">
        <v>3</v>
      </c>
    </row>
    <row r="243" spans="2:4" x14ac:dyDescent="0.2">
      <c r="B243" s="55" t="s">
        <v>526</v>
      </c>
      <c r="C243" s="56" t="s">
        <v>527</v>
      </c>
      <c r="D243" s="57">
        <v>3</v>
      </c>
    </row>
    <row r="244" spans="2:4" x14ac:dyDescent="0.2">
      <c r="B244" s="55" t="s">
        <v>528</v>
      </c>
      <c r="C244" s="56" t="s">
        <v>529</v>
      </c>
      <c r="D244" s="57">
        <v>3</v>
      </c>
    </row>
    <row r="245" spans="2:4" x14ac:dyDescent="0.2">
      <c r="B245" s="55" t="s">
        <v>530</v>
      </c>
      <c r="C245" s="56" t="s">
        <v>531</v>
      </c>
      <c r="D245" s="57">
        <v>3</v>
      </c>
    </row>
    <row r="246" spans="2:4" x14ac:dyDescent="0.2">
      <c r="B246" s="55" t="s">
        <v>532</v>
      </c>
      <c r="C246" s="56" t="s">
        <v>533</v>
      </c>
      <c r="D246" s="57">
        <v>3</v>
      </c>
    </row>
    <row r="247" spans="2:4" x14ac:dyDescent="0.2">
      <c r="B247" s="55" t="s">
        <v>534</v>
      </c>
      <c r="C247" s="56" t="s">
        <v>535</v>
      </c>
      <c r="D247" s="57">
        <v>3</v>
      </c>
    </row>
    <row r="248" spans="2:4" x14ac:dyDescent="0.2">
      <c r="B248" s="55" t="s">
        <v>536</v>
      </c>
      <c r="C248" s="56" t="s">
        <v>537</v>
      </c>
      <c r="D248" s="57">
        <v>3</v>
      </c>
    </row>
    <row r="249" spans="2:4" x14ac:dyDescent="0.2">
      <c r="B249" s="55" t="s">
        <v>538</v>
      </c>
      <c r="C249" s="56" t="s">
        <v>539</v>
      </c>
      <c r="D249" s="57">
        <v>3</v>
      </c>
    </row>
    <row r="250" spans="2:4" x14ac:dyDescent="0.2">
      <c r="B250" s="55" t="s">
        <v>540</v>
      </c>
      <c r="C250" s="56" t="s">
        <v>541</v>
      </c>
      <c r="D250" s="57">
        <v>3</v>
      </c>
    </row>
    <row r="251" spans="2:4" x14ac:dyDescent="0.2">
      <c r="B251" s="55" t="s">
        <v>542</v>
      </c>
      <c r="C251" s="56" t="s">
        <v>543</v>
      </c>
      <c r="D251" s="57">
        <v>3</v>
      </c>
    </row>
    <row r="252" spans="2:4" ht="25.5" x14ac:dyDescent="0.2">
      <c r="B252" s="55" t="s">
        <v>544</v>
      </c>
      <c r="C252" s="56" t="s">
        <v>545</v>
      </c>
      <c r="D252" s="57">
        <v>3</v>
      </c>
    </row>
    <row r="253" spans="2:4" ht="25.5" x14ac:dyDescent="0.2">
      <c r="B253" s="55" t="s">
        <v>546</v>
      </c>
      <c r="C253" s="56" t="s">
        <v>547</v>
      </c>
      <c r="D253" s="57">
        <v>3</v>
      </c>
    </row>
    <row r="254" spans="2:4" x14ac:dyDescent="0.2">
      <c r="B254" s="55" t="s">
        <v>548</v>
      </c>
      <c r="C254" s="56" t="s">
        <v>549</v>
      </c>
      <c r="D254" s="57">
        <v>3</v>
      </c>
    </row>
    <row r="255" spans="2:4" x14ac:dyDescent="0.2">
      <c r="B255" s="55" t="s">
        <v>550</v>
      </c>
      <c r="C255" s="56" t="s">
        <v>551</v>
      </c>
      <c r="D255" s="57">
        <v>3</v>
      </c>
    </row>
    <row r="256" spans="2:4" x14ac:dyDescent="0.2">
      <c r="B256" s="55" t="s">
        <v>552</v>
      </c>
      <c r="C256" s="56" t="s">
        <v>553</v>
      </c>
      <c r="D256" s="57">
        <v>3</v>
      </c>
    </row>
    <row r="257" spans="2:4" x14ac:dyDescent="0.2">
      <c r="B257" s="55" t="s">
        <v>554</v>
      </c>
      <c r="C257" s="56" t="s">
        <v>555</v>
      </c>
      <c r="D257" s="57">
        <v>3</v>
      </c>
    </row>
    <row r="258" spans="2:4" x14ac:dyDescent="0.2">
      <c r="B258" s="55" t="s">
        <v>556</v>
      </c>
      <c r="C258" s="56" t="s">
        <v>557</v>
      </c>
      <c r="D258" s="57">
        <v>3</v>
      </c>
    </row>
    <row r="259" spans="2:4" x14ac:dyDescent="0.2">
      <c r="B259" s="55" t="s">
        <v>558</v>
      </c>
      <c r="C259" s="56" t="s">
        <v>559</v>
      </c>
      <c r="D259" s="57">
        <v>3</v>
      </c>
    </row>
    <row r="260" spans="2:4" x14ac:dyDescent="0.2">
      <c r="B260" s="55" t="s">
        <v>560</v>
      </c>
      <c r="C260" s="56" t="s">
        <v>561</v>
      </c>
      <c r="D260" s="57">
        <v>1</v>
      </c>
    </row>
    <row r="261" spans="2:4" ht="25.5" x14ac:dyDescent="0.2">
      <c r="B261" s="55" t="s">
        <v>562</v>
      </c>
      <c r="C261" s="56" t="s">
        <v>563</v>
      </c>
      <c r="D261" s="57">
        <v>3</v>
      </c>
    </row>
    <row r="262" spans="2:4" x14ac:dyDescent="0.2">
      <c r="B262" s="55" t="s">
        <v>564</v>
      </c>
      <c r="C262" s="56" t="s">
        <v>565</v>
      </c>
      <c r="D262" s="57">
        <v>2</v>
      </c>
    </row>
    <row r="263" spans="2:4" x14ac:dyDescent="0.2">
      <c r="B263" s="55" t="s">
        <v>566</v>
      </c>
      <c r="C263" s="56" t="s">
        <v>567</v>
      </c>
      <c r="D263" s="57">
        <v>3</v>
      </c>
    </row>
    <row r="264" spans="2:4" x14ac:dyDescent="0.2">
      <c r="B264" s="55" t="s">
        <v>568</v>
      </c>
      <c r="C264" s="56" t="s">
        <v>569</v>
      </c>
      <c r="D264" s="57">
        <v>2</v>
      </c>
    </row>
    <row r="265" spans="2:4" x14ac:dyDescent="0.2">
      <c r="B265" s="55" t="s">
        <v>570</v>
      </c>
      <c r="C265" s="56" t="s">
        <v>571</v>
      </c>
      <c r="D265" s="57">
        <v>2</v>
      </c>
    </row>
    <row r="266" spans="2:4" x14ac:dyDescent="0.2">
      <c r="B266" s="55" t="s">
        <v>572</v>
      </c>
      <c r="C266" s="56" t="s">
        <v>573</v>
      </c>
      <c r="D266" s="57">
        <v>2</v>
      </c>
    </row>
    <row r="267" spans="2:4" x14ac:dyDescent="0.2">
      <c r="B267" s="55" t="s">
        <v>574</v>
      </c>
      <c r="C267" s="56" t="s">
        <v>575</v>
      </c>
      <c r="D267" s="57">
        <v>3</v>
      </c>
    </row>
    <row r="268" spans="2:4" x14ac:dyDescent="0.2">
      <c r="B268" s="55" t="s">
        <v>576</v>
      </c>
      <c r="C268" s="56" t="s">
        <v>577</v>
      </c>
      <c r="D268" s="57">
        <v>3</v>
      </c>
    </row>
    <row r="269" spans="2:4" ht="25.5" x14ac:dyDescent="0.2">
      <c r="B269" s="55" t="s">
        <v>578</v>
      </c>
      <c r="C269" s="56" t="s">
        <v>579</v>
      </c>
      <c r="D269" s="57">
        <v>3</v>
      </c>
    </row>
    <row r="270" spans="2:4" x14ac:dyDescent="0.2">
      <c r="B270" s="55" t="s">
        <v>580</v>
      </c>
      <c r="C270" s="56" t="s">
        <v>581</v>
      </c>
      <c r="D270" s="57">
        <v>3</v>
      </c>
    </row>
    <row r="271" spans="2:4" x14ac:dyDescent="0.2">
      <c r="B271" s="55" t="s">
        <v>582</v>
      </c>
      <c r="C271" s="56" t="s">
        <v>583</v>
      </c>
      <c r="D271" s="57">
        <v>2</v>
      </c>
    </row>
    <row r="272" spans="2:4" x14ac:dyDescent="0.2">
      <c r="B272" s="55" t="s">
        <v>584</v>
      </c>
      <c r="C272" s="56" t="s">
        <v>585</v>
      </c>
      <c r="D272" s="57">
        <v>3</v>
      </c>
    </row>
    <row r="273" spans="2:4" x14ac:dyDescent="0.2">
      <c r="B273" s="55" t="s">
        <v>586</v>
      </c>
      <c r="C273" s="56" t="s">
        <v>587</v>
      </c>
      <c r="D273" s="57">
        <v>2</v>
      </c>
    </row>
    <row r="274" spans="2:4" x14ac:dyDescent="0.2">
      <c r="B274" s="55" t="s">
        <v>588</v>
      </c>
      <c r="C274" s="56" t="s">
        <v>589</v>
      </c>
      <c r="D274" s="57">
        <v>3</v>
      </c>
    </row>
    <row r="275" spans="2:4" x14ac:dyDescent="0.2">
      <c r="B275" s="55" t="s">
        <v>590</v>
      </c>
      <c r="C275" s="56" t="s">
        <v>591</v>
      </c>
      <c r="D275" s="57">
        <v>2</v>
      </c>
    </row>
    <row r="276" spans="2:4" x14ac:dyDescent="0.2">
      <c r="B276" s="55" t="s">
        <v>592</v>
      </c>
      <c r="C276" s="56" t="s">
        <v>593</v>
      </c>
      <c r="D276" s="57">
        <v>2</v>
      </c>
    </row>
    <row r="277" spans="2:4" x14ac:dyDescent="0.2">
      <c r="B277" s="55" t="s">
        <v>594</v>
      </c>
      <c r="C277" s="56" t="s">
        <v>595</v>
      </c>
      <c r="D277" s="57">
        <v>3</v>
      </c>
    </row>
    <row r="278" spans="2:4" x14ac:dyDescent="0.2">
      <c r="B278" s="55" t="s">
        <v>596</v>
      </c>
      <c r="C278" s="56" t="s">
        <v>597</v>
      </c>
      <c r="D278" s="57">
        <v>3</v>
      </c>
    </row>
    <row r="279" spans="2:4" x14ac:dyDescent="0.2">
      <c r="B279" s="55" t="s">
        <v>598</v>
      </c>
      <c r="C279" s="56" t="s">
        <v>599</v>
      </c>
      <c r="D279" s="57">
        <v>3</v>
      </c>
    </row>
    <row r="280" spans="2:4" x14ac:dyDescent="0.2">
      <c r="B280" s="55" t="s">
        <v>600</v>
      </c>
      <c r="C280" s="56" t="s">
        <v>601</v>
      </c>
      <c r="D280" s="57">
        <v>3</v>
      </c>
    </row>
    <row r="281" spans="2:4" ht="25.5" x14ac:dyDescent="0.2">
      <c r="B281" s="55" t="s">
        <v>602</v>
      </c>
      <c r="C281" s="56" t="s">
        <v>603</v>
      </c>
      <c r="D281" s="57">
        <v>3</v>
      </c>
    </row>
    <row r="282" spans="2:4" x14ac:dyDescent="0.2">
      <c r="B282" s="55" t="s">
        <v>604</v>
      </c>
      <c r="C282" s="56" t="s">
        <v>605</v>
      </c>
      <c r="D282" s="57">
        <v>3</v>
      </c>
    </row>
    <row r="283" spans="2:4" ht="25.5" x14ac:dyDescent="0.2">
      <c r="B283" s="55" t="s">
        <v>606</v>
      </c>
      <c r="C283" s="56" t="s">
        <v>607</v>
      </c>
      <c r="D283" s="57">
        <v>3</v>
      </c>
    </row>
    <row r="284" spans="2:4" x14ac:dyDescent="0.2">
      <c r="B284" s="55" t="s">
        <v>608</v>
      </c>
      <c r="C284" s="56" t="s">
        <v>609</v>
      </c>
      <c r="D284" s="57">
        <v>3</v>
      </c>
    </row>
    <row r="285" spans="2:4" x14ac:dyDescent="0.2">
      <c r="B285" s="55" t="s">
        <v>610</v>
      </c>
      <c r="C285" s="56" t="s">
        <v>611</v>
      </c>
      <c r="D285" s="57">
        <v>3</v>
      </c>
    </row>
    <row r="286" spans="2:4" x14ac:dyDescent="0.2">
      <c r="B286" s="55" t="s">
        <v>612</v>
      </c>
      <c r="C286" s="56" t="s">
        <v>613</v>
      </c>
      <c r="D286" s="57">
        <v>3</v>
      </c>
    </row>
    <row r="287" spans="2:4" ht="25.5" x14ac:dyDescent="0.2">
      <c r="B287" s="55" t="s">
        <v>614</v>
      </c>
      <c r="C287" s="56" t="s">
        <v>615</v>
      </c>
      <c r="D287" s="57">
        <v>1</v>
      </c>
    </row>
    <row r="288" spans="2:4" x14ac:dyDescent="0.2">
      <c r="B288" s="55" t="s">
        <v>616</v>
      </c>
      <c r="C288" s="56" t="s">
        <v>617</v>
      </c>
      <c r="D288" s="57">
        <v>3</v>
      </c>
    </row>
    <row r="289" spans="2:4" x14ac:dyDescent="0.2">
      <c r="B289" s="55" t="s">
        <v>618</v>
      </c>
      <c r="C289" s="56" t="s">
        <v>619</v>
      </c>
      <c r="D289" s="57">
        <v>3</v>
      </c>
    </row>
    <row r="290" spans="2:4" x14ac:dyDescent="0.2">
      <c r="B290" s="55" t="s">
        <v>620</v>
      </c>
      <c r="C290" s="56" t="s">
        <v>621</v>
      </c>
      <c r="D290" s="57">
        <v>3</v>
      </c>
    </row>
    <row r="291" spans="2:4" x14ac:dyDescent="0.2">
      <c r="B291" s="55" t="s">
        <v>622</v>
      </c>
      <c r="C291" s="56" t="s">
        <v>623</v>
      </c>
      <c r="D291" s="57">
        <v>3</v>
      </c>
    </row>
    <row r="292" spans="2:4" x14ac:dyDescent="0.2">
      <c r="B292" s="55" t="s">
        <v>624</v>
      </c>
      <c r="C292" s="56" t="s">
        <v>625</v>
      </c>
      <c r="D292" s="57">
        <v>3</v>
      </c>
    </row>
    <row r="293" spans="2:4" x14ac:dyDescent="0.2">
      <c r="B293" s="55" t="s">
        <v>626</v>
      </c>
      <c r="C293" s="56" t="s">
        <v>627</v>
      </c>
      <c r="D293" s="57">
        <v>3</v>
      </c>
    </row>
    <row r="294" spans="2:4" x14ac:dyDescent="0.2">
      <c r="B294" s="55" t="s">
        <v>628</v>
      </c>
      <c r="C294" s="56" t="s">
        <v>629</v>
      </c>
      <c r="D294" s="57">
        <v>2</v>
      </c>
    </row>
    <row r="295" spans="2:4" ht="25.5" x14ac:dyDescent="0.2">
      <c r="B295" s="55" t="s">
        <v>630</v>
      </c>
      <c r="C295" s="56" t="s">
        <v>631</v>
      </c>
      <c r="D295" s="57">
        <v>3</v>
      </c>
    </row>
    <row r="296" spans="2:4" x14ac:dyDescent="0.2">
      <c r="B296" s="55" t="s">
        <v>632</v>
      </c>
      <c r="C296" s="56" t="s">
        <v>633</v>
      </c>
      <c r="D296" s="57">
        <v>3</v>
      </c>
    </row>
    <row r="297" spans="2:4" x14ac:dyDescent="0.2">
      <c r="B297" s="55" t="s">
        <v>634</v>
      </c>
      <c r="C297" s="56" t="s">
        <v>635</v>
      </c>
      <c r="D297" s="57">
        <v>3</v>
      </c>
    </row>
    <row r="298" spans="2:4" ht="25.5" x14ac:dyDescent="0.2">
      <c r="B298" s="55" t="s">
        <v>636</v>
      </c>
      <c r="C298" s="56" t="s">
        <v>637</v>
      </c>
      <c r="D298" s="57">
        <v>3</v>
      </c>
    </row>
    <row r="299" spans="2:4" ht="25.5" x14ac:dyDescent="0.2">
      <c r="B299" s="55" t="s">
        <v>638</v>
      </c>
      <c r="C299" s="56" t="s">
        <v>639</v>
      </c>
      <c r="D299" s="57">
        <v>3</v>
      </c>
    </row>
    <row r="300" spans="2:4" x14ac:dyDescent="0.2">
      <c r="B300" s="55" t="s">
        <v>640</v>
      </c>
      <c r="C300" s="56" t="s">
        <v>641</v>
      </c>
      <c r="D300" s="57">
        <v>3</v>
      </c>
    </row>
    <row r="301" spans="2:4" x14ac:dyDescent="0.2">
      <c r="B301" s="55" t="s">
        <v>642</v>
      </c>
      <c r="C301" s="56" t="s">
        <v>643</v>
      </c>
      <c r="D301" s="57">
        <v>3</v>
      </c>
    </row>
    <row r="302" spans="2:4" x14ac:dyDescent="0.2">
      <c r="B302" s="55" t="s">
        <v>644</v>
      </c>
      <c r="C302" s="56" t="s">
        <v>645</v>
      </c>
      <c r="D302" s="57">
        <v>2</v>
      </c>
    </row>
    <row r="303" spans="2:4" x14ac:dyDescent="0.2">
      <c r="B303" s="55" t="s">
        <v>646</v>
      </c>
      <c r="C303" s="56" t="s">
        <v>647</v>
      </c>
      <c r="D303" s="57">
        <v>3</v>
      </c>
    </row>
    <row r="304" spans="2:4" x14ac:dyDescent="0.2">
      <c r="B304" s="55" t="s">
        <v>648</v>
      </c>
      <c r="C304" s="56" t="s">
        <v>649</v>
      </c>
      <c r="D304" s="57">
        <v>2</v>
      </c>
    </row>
    <row r="305" spans="2:4" x14ac:dyDescent="0.2">
      <c r="B305" s="55" t="s">
        <v>650</v>
      </c>
      <c r="C305" s="56" t="s">
        <v>651</v>
      </c>
      <c r="D305" s="57">
        <v>3</v>
      </c>
    </row>
    <row r="306" spans="2:4" x14ac:dyDescent="0.2">
      <c r="B306" s="55" t="s">
        <v>652</v>
      </c>
      <c r="C306" s="56" t="s">
        <v>653</v>
      </c>
      <c r="D306" s="57">
        <v>2</v>
      </c>
    </row>
    <row r="307" spans="2:4" x14ac:dyDescent="0.2">
      <c r="B307" s="55" t="s">
        <v>654</v>
      </c>
      <c r="C307" s="56" t="s">
        <v>655</v>
      </c>
      <c r="D307" s="57">
        <v>2</v>
      </c>
    </row>
    <row r="308" spans="2:4" x14ac:dyDescent="0.2">
      <c r="B308" s="55" t="s">
        <v>656</v>
      </c>
      <c r="C308" s="56" t="s">
        <v>657</v>
      </c>
      <c r="D308" s="57">
        <v>2</v>
      </c>
    </row>
    <row r="309" spans="2:4" x14ac:dyDescent="0.2">
      <c r="B309" s="55" t="s">
        <v>658</v>
      </c>
      <c r="C309" s="56" t="s">
        <v>659</v>
      </c>
      <c r="D309" s="57">
        <v>1</v>
      </c>
    </row>
    <row r="310" spans="2:4" x14ac:dyDescent="0.2">
      <c r="B310" s="55" t="s">
        <v>660</v>
      </c>
      <c r="C310" s="56" t="s">
        <v>661</v>
      </c>
      <c r="D310" s="57">
        <v>3</v>
      </c>
    </row>
    <row r="311" spans="2:4" x14ac:dyDescent="0.2">
      <c r="B311" s="55" t="s">
        <v>662</v>
      </c>
      <c r="C311" s="56" t="s">
        <v>663</v>
      </c>
      <c r="D311" s="57">
        <v>3</v>
      </c>
    </row>
    <row r="312" spans="2:4" x14ac:dyDescent="0.2">
      <c r="B312" s="55">
        <v>8157</v>
      </c>
      <c r="C312" s="56" t="s">
        <v>664</v>
      </c>
      <c r="D312" s="57">
        <v>3</v>
      </c>
    </row>
    <row r="313" spans="2:4" x14ac:dyDescent="0.2">
      <c r="B313" s="55">
        <v>8158</v>
      </c>
      <c r="C313" s="56" t="s">
        <v>665</v>
      </c>
      <c r="D313" s="57">
        <v>3</v>
      </c>
    </row>
    <row r="314" spans="2:4" x14ac:dyDescent="0.2">
      <c r="B314" s="55" t="s">
        <v>666</v>
      </c>
      <c r="C314" s="56" t="s">
        <v>667</v>
      </c>
      <c r="D314" s="57">
        <v>3</v>
      </c>
    </row>
    <row r="315" spans="2:4" x14ac:dyDescent="0.2">
      <c r="B315" s="55" t="s">
        <v>668</v>
      </c>
      <c r="C315" s="56" t="s">
        <v>669</v>
      </c>
      <c r="D315" s="57">
        <v>3</v>
      </c>
    </row>
    <row r="316" spans="2:4" x14ac:dyDescent="0.2">
      <c r="B316" s="55" t="s">
        <v>670</v>
      </c>
      <c r="C316" s="56" t="s">
        <v>671</v>
      </c>
      <c r="D316" s="57">
        <v>3</v>
      </c>
    </row>
    <row r="317" spans="2:4" x14ac:dyDescent="0.2">
      <c r="B317" s="55" t="s">
        <v>672</v>
      </c>
      <c r="C317" s="56" t="s">
        <v>673</v>
      </c>
      <c r="D317" s="57">
        <v>2</v>
      </c>
    </row>
    <row r="318" spans="2:4" x14ac:dyDescent="0.2">
      <c r="B318" s="55" t="s">
        <v>674</v>
      </c>
      <c r="C318" s="56" t="s">
        <v>675</v>
      </c>
      <c r="D318" s="57">
        <v>3</v>
      </c>
    </row>
    <row r="319" spans="2:4" x14ac:dyDescent="0.2">
      <c r="B319" s="55" t="s">
        <v>676</v>
      </c>
      <c r="C319" s="56" t="s">
        <v>677</v>
      </c>
      <c r="D319" s="57">
        <v>2</v>
      </c>
    </row>
    <row r="320" spans="2:4" x14ac:dyDescent="0.2">
      <c r="B320" s="55" t="s">
        <v>678</v>
      </c>
      <c r="C320" s="56" t="s">
        <v>679</v>
      </c>
      <c r="D320" s="57">
        <v>2</v>
      </c>
    </row>
    <row r="321" spans="2:4" x14ac:dyDescent="0.2">
      <c r="B321" s="55">
        <v>43525</v>
      </c>
      <c r="C321" s="56" t="s">
        <v>680</v>
      </c>
      <c r="D321" s="57">
        <v>3</v>
      </c>
    </row>
    <row r="322" spans="2:4" ht="25.5" x14ac:dyDescent="0.2">
      <c r="B322" s="55" t="s">
        <v>681</v>
      </c>
      <c r="C322" s="56" t="s">
        <v>682</v>
      </c>
      <c r="D322" s="57">
        <v>2</v>
      </c>
    </row>
    <row r="323" spans="2:4" x14ac:dyDescent="0.2">
      <c r="B323" s="55" t="s">
        <v>683</v>
      </c>
      <c r="C323" s="56" t="s">
        <v>684</v>
      </c>
      <c r="D323" s="57">
        <v>3</v>
      </c>
    </row>
    <row r="324" spans="2:4" x14ac:dyDescent="0.2">
      <c r="B324" s="55" t="s">
        <v>685</v>
      </c>
      <c r="C324" s="56" t="s">
        <v>686</v>
      </c>
      <c r="D324" s="57">
        <v>3</v>
      </c>
    </row>
    <row r="325" spans="2:4" x14ac:dyDescent="0.2">
      <c r="B325" s="55" t="s">
        <v>687</v>
      </c>
      <c r="C325" s="56" t="s">
        <v>688</v>
      </c>
      <c r="D325" s="57">
        <v>2</v>
      </c>
    </row>
    <row r="326" spans="2:4" x14ac:dyDescent="0.2">
      <c r="B326" s="55" t="s">
        <v>689</v>
      </c>
      <c r="C326" s="56" t="s">
        <v>690</v>
      </c>
      <c r="D326" s="57">
        <v>3</v>
      </c>
    </row>
    <row r="327" spans="2:4" x14ac:dyDescent="0.2">
      <c r="B327" s="55" t="s">
        <v>691</v>
      </c>
      <c r="C327" s="56" t="s">
        <v>692</v>
      </c>
      <c r="D327" s="57">
        <v>2</v>
      </c>
    </row>
    <row r="328" spans="2:4" x14ac:dyDescent="0.2">
      <c r="B328" s="55" t="s">
        <v>693</v>
      </c>
      <c r="C328" s="56" t="s">
        <v>694</v>
      </c>
      <c r="D328" s="57">
        <v>3</v>
      </c>
    </row>
    <row r="329" spans="2:4" x14ac:dyDescent="0.2">
      <c r="B329" s="55" t="s">
        <v>695</v>
      </c>
      <c r="C329" s="56" t="s">
        <v>696</v>
      </c>
      <c r="D329" s="57">
        <v>3</v>
      </c>
    </row>
    <row r="330" spans="2:4" x14ac:dyDescent="0.2">
      <c r="B330" s="55" t="s">
        <v>697</v>
      </c>
      <c r="C330" s="56" t="s">
        <v>698</v>
      </c>
      <c r="D330" s="57">
        <v>3</v>
      </c>
    </row>
    <row r="331" spans="2:4" x14ac:dyDescent="0.2">
      <c r="B331" s="55" t="s">
        <v>699</v>
      </c>
      <c r="C331" s="56" t="s">
        <v>700</v>
      </c>
      <c r="D331" s="57">
        <v>2</v>
      </c>
    </row>
    <row r="332" spans="2:4" x14ac:dyDescent="0.2">
      <c r="B332" s="55" t="s">
        <v>701</v>
      </c>
      <c r="C332" s="56" t="s">
        <v>702</v>
      </c>
      <c r="D332" s="57">
        <v>3</v>
      </c>
    </row>
    <row r="333" spans="2:4" x14ac:dyDescent="0.2">
      <c r="B333" s="55" t="s">
        <v>703</v>
      </c>
      <c r="C333" s="56" t="s">
        <v>704</v>
      </c>
      <c r="D333" s="57">
        <v>3</v>
      </c>
    </row>
    <row r="334" spans="2:4" x14ac:dyDescent="0.2">
      <c r="B334" s="55" t="s">
        <v>705</v>
      </c>
      <c r="C334" s="56" t="s">
        <v>706</v>
      </c>
      <c r="D334" s="57">
        <v>3</v>
      </c>
    </row>
    <row r="335" spans="2:4" x14ac:dyDescent="0.2">
      <c r="B335" s="55" t="s">
        <v>707</v>
      </c>
      <c r="C335" s="56" t="s">
        <v>708</v>
      </c>
      <c r="D335" s="57">
        <v>3</v>
      </c>
    </row>
    <row r="336" spans="2:4" x14ac:dyDescent="0.2">
      <c r="B336" s="55" t="s">
        <v>709</v>
      </c>
      <c r="C336" s="56" t="s">
        <v>710</v>
      </c>
      <c r="D336" s="57">
        <v>3</v>
      </c>
    </row>
    <row r="337" spans="2:4" x14ac:dyDescent="0.2">
      <c r="B337" s="55" t="s">
        <v>711</v>
      </c>
      <c r="C337" s="56" t="s">
        <v>712</v>
      </c>
      <c r="D337" s="57">
        <v>3</v>
      </c>
    </row>
    <row r="338" spans="2:4" x14ac:dyDescent="0.2">
      <c r="B338" s="55" t="s">
        <v>713</v>
      </c>
      <c r="C338" s="56" t="s">
        <v>714</v>
      </c>
      <c r="D338" s="57">
        <v>3</v>
      </c>
    </row>
    <row r="339" spans="2:4" x14ac:dyDescent="0.2">
      <c r="B339" s="55">
        <v>70220</v>
      </c>
      <c r="C339" s="56" t="s">
        <v>715</v>
      </c>
      <c r="D339" s="57">
        <v>3</v>
      </c>
    </row>
    <row r="340" spans="2:4" x14ac:dyDescent="0.2">
      <c r="B340" s="55">
        <v>70221</v>
      </c>
      <c r="C340" s="56" t="s">
        <v>716</v>
      </c>
      <c r="D340" s="57">
        <v>2</v>
      </c>
    </row>
    <row r="341" spans="2:4" x14ac:dyDescent="0.2">
      <c r="B341" s="55">
        <v>70222</v>
      </c>
      <c r="C341" s="56" t="s">
        <v>717</v>
      </c>
      <c r="D341" s="57">
        <v>3</v>
      </c>
    </row>
    <row r="342" spans="2:4" x14ac:dyDescent="0.2">
      <c r="B342" s="55" t="s">
        <v>718</v>
      </c>
      <c r="C342" s="56" t="s">
        <v>719</v>
      </c>
      <c r="D342" s="57">
        <v>3</v>
      </c>
    </row>
    <row r="343" spans="2:4" x14ac:dyDescent="0.2">
      <c r="B343" s="55" t="s">
        <v>720</v>
      </c>
      <c r="C343" s="56" t="s">
        <v>721</v>
      </c>
      <c r="D343" s="57">
        <v>1</v>
      </c>
    </row>
    <row r="344" spans="2:4" ht="25.5" x14ac:dyDescent="0.2">
      <c r="B344" s="55">
        <v>72686</v>
      </c>
      <c r="C344" s="56" t="s">
        <v>722</v>
      </c>
      <c r="D344" s="57">
        <v>2</v>
      </c>
    </row>
    <row r="345" spans="2:4" x14ac:dyDescent="0.2">
      <c r="B345" s="55" t="s">
        <v>723</v>
      </c>
      <c r="C345" s="56" t="s">
        <v>724</v>
      </c>
      <c r="D345" s="57">
        <v>3</v>
      </c>
    </row>
    <row r="346" spans="2:4" x14ac:dyDescent="0.2">
      <c r="B346" s="55" t="s">
        <v>725</v>
      </c>
      <c r="C346" s="56" t="s">
        <v>726</v>
      </c>
      <c r="D346" s="57">
        <v>3</v>
      </c>
    </row>
    <row r="347" spans="2:4" x14ac:dyDescent="0.2">
      <c r="B347" s="55">
        <v>80721</v>
      </c>
      <c r="C347" s="56" t="s">
        <v>727</v>
      </c>
      <c r="D347" s="57">
        <v>3</v>
      </c>
    </row>
    <row r="348" spans="2:4" x14ac:dyDescent="0.2">
      <c r="B348" s="55">
        <v>80722</v>
      </c>
      <c r="C348" s="56" t="s">
        <v>728</v>
      </c>
      <c r="D348" s="57">
        <v>2</v>
      </c>
    </row>
    <row r="349" spans="2:4" x14ac:dyDescent="0.2">
      <c r="B349" s="55">
        <v>80723</v>
      </c>
      <c r="C349" s="56" t="s">
        <v>729</v>
      </c>
      <c r="D349" s="57">
        <v>2</v>
      </c>
    </row>
    <row r="350" spans="2:4" x14ac:dyDescent="0.2">
      <c r="B350" s="55" t="s">
        <v>730</v>
      </c>
      <c r="C350" s="56" t="s">
        <v>731</v>
      </c>
      <c r="D350" s="57">
        <v>3</v>
      </c>
    </row>
    <row r="351" spans="2:4" x14ac:dyDescent="0.2">
      <c r="B351" s="55" t="s">
        <v>732</v>
      </c>
      <c r="C351" s="56" t="s">
        <v>733</v>
      </c>
      <c r="D351" s="57">
        <v>1</v>
      </c>
    </row>
    <row r="352" spans="2:4" x14ac:dyDescent="0.2">
      <c r="B352" s="55" t="s">
        <v>734</v>
      </c>
      <c r="C352" s="56" t="s">
        <v>735</v>
      </c>
      <c r="D352" s="57">
        <v>3</v>
      </c>
    </row>
    <row r="353" spans="2:4" x14ac:dyDescent="0.2">
      <c r="B353" s="55" t="s">
        <v>736</v>
      </c>
      <c r="C353" s="56" t="s">
        <v>737</v>
      </c>
      <c r="D353" s="57">
        <v>3</v>
      </c>
    </row>
    <row r="354" spans="2:4" x14ac:dyDescent="0.2">
      <c r="B354" s="55" t="s">
        <v>738</v>
      </c>
      <c r="C354" s="56" t="s">
        <v>739</v>
      </c>
      <c r="D354" s="57">
        <v>3</v>
      </c>
    </row>
    <row r="355" spans="2:4" x14ac:dyDescent="0.2">
      <c r="B355" s="55" t="s">
        <v>740</v>
      </c>
      <c r="C355" s="56" t="s">
        <v>741</v>
      </c>
      <c r="D355" s="57">
        <v>3</v>
      </c>
    </row>
    <row r="356" spans="2:4" x14ac:dyDescent="0.2">
      <c r="B356" s="55" t="s">
        <v>742</v>
      </c>
      <c r="C356" s="56" t="s">
        <v>743</v>
      </c>
      <c r="D356" s="57">
        <v>3</v>
      </c>
    </row>
    <row r="357" spans="2:4" x14ac:dyDescent="0.2">
      <c r="B357" s="55" t="s">
        <v>744</v>
      </c>
      <c r="C357" s="56" t="s">
        <v>745</v>
      </c>
      <c r="D357" s="57">
        <v>3</v>
      </c>
    </row>
    <row r="358" spans="2:4" x14ac:dyDescent="0.2">
      <c r="B358" s="55">
        <v>120226</v>
      </c>
      <c r="C358" s="56" t="s">
        <v>746</v>
      </c>
      <c r="D358" s="57">
        <v>3</v>
      </c>
    </row>
    <row r="359" spans="2:4" x14ac:dyDescent="0.2">
      <c r="B359" s="55">
        <v>120227</v>
      </c>
      <c r="C359" s="56" t="s">
        <v>747</v>
      </c>
      <c r="D359" s="57">
        <v>3</v>
      </c>
    </row>
    <row r="360" spans="2:4" ht="25.5" x14ac:dyDescent="0.2">
      <c r="B360" s="55">
        <v>120228</v>
      </c>
      <c r="C360" s="56" t="s">
        <v>748</v>
      </c>
      <c r="D360" s="57">
        <v>3</v>
      </c>
    </row>
    <row r="361" spans="2:4" ht="25.5" x14ac:dyDescent="0.2">
      <c r="B361" s="55" t="s">
        <v>749</v>
      </c>
      <c r="C361" s="56" t="s">
        <v>750</v>
      </c>
      <c r="D361" s="57">
        <v>3</v>
      </c>
    </row>
    <row r="362" spans="2:4" x14ac:dyDescent="0.2">
      <c r="B362" s="55" t="s">
        <v>751</v>
      </c>
      <c r="C362" s="56" t="s">
        <v>752</v>
      </c>
      <c r="D362" s="57">
        <v>3</v>
      </c>
    </row>
    <row r="363" spans="2:4" x14ac:dyDescent="0.2">
      <c r="B363" s="55" t="s">
        <v>753</v>
      </c>
      <c r="C363" s="56" t="s">
        <v>754</v>
      </c>
      <c r="D363" s="57">
        <v>3</v>
      </c>
    </row>
    <row r="364" spans="2:4" x14ac:dyDescent="0.2">
      <c r="B364" s="55" t="s">
        <v>755</v>
      </c>
      <c r="C364" s="56" t="s">
        <v>756</v>
      </c>
      <c r="D364" s="57">
        <v>3</v>
      </c>
    </row>
    <row r="365" spans="2:4" x14ac:dyDescent="0.2">
      <c r="B365" s="55" t="s">
        <v>757</v>
      </c>
      <c r="C365" s="56" t="s">
        <v>758</v>
      </c>
      <c r="D365" s="57">
        <v>3</v>
      </c>
    </row>
    <row r="366" spans="2:4" ht="25.5" x14ac:dyDescent="0.2">
      <c r="B366" s="55">
        <v>157115</v>
      </c>
      <c r="C366" s="56" t="s">
        <v>759</v>
      </c>
      <c r="D366" s="57">
        <v>3</v>
      </c>
    </row>
    <row r="367" spans="2:4" x14ac:dyDescent="0.2">
      <c r="B367" s="55">
        <v>157116</v>
      </c>
      <c r="C367" s="56" t="s">
        <v>760</v>
      </c>
      <c r="D367" s="57">
        <v>3</v>
      </c>
    </row>
    <row r="368" spans="2:4" x14ac:dyDescent="0.2">
      <c r="B368" s="55">
        <v>157117</v>
      </c>
      <c r="C368" s="56" t="s">
        <v>761</v>
      </c>
      <c r="D368" s="57">
        <v>2</v>
      </c>
    </row>
    <row r="369" spans="2:4" x14ac:dyDescent="0.2">
      <c r="B369" s="55">
        <v>157118</v>
      </c>
      <c r="C369" s="56" t="s">
        <v>762</v>
      </c>
      <c r="D369" s="57">
        <v>3</v>
      </c>
    </row>
    <row r="370" spans="2:4" x14ac:dyDescent="0.2">
      <c r="B370" s="55">
        <v>157119</v>
      </c>
      <c r="C370" s="56" t="s">
        <v>763</v>
      </c>
      <c r="D370" s="57">
        <v>3</v>
      </c>
    </row>
    <row r="371" spans="2:4" ht="25.5" x14ac:dyDescent="0.2">
      <c r="B371" s="55" t="s">
        <v>764</v>
      </c>
      <c r="C371" s="56" t="s">
        <v>765</v>
      </c>
      <c r="D371" s="57">
        <v>3</v>
      </c>
    </row>
    <row r="372" spans="2:4" x14ac:dyDescent="0.2">
      <c r="B372" s="55" t="s">
        <v>766</v>
      </c>
      <c r="C372" s="56" t="s">
        <v>767</v>
      </c>
      <c r="D372" s="57">
        <v>3</v>
      </c>
    </row>
    <row r="373" spans="2:4" x14ac:dyDescent="0.2">
      <c r="B373" s="55">
        <v>161620</v>
      </c>
      <c r="C373" s="56" t="s">
        <v>768</v>
      </c>
      <c r="D373" s="57">
        <v>3</v>
      </c>
    </row>
    <row r="374" spans="2:4" ht="25.5" x14ac:dyDescent="0.2">
      <c r="B374" s="55">
        <v>161621</v>
      </c>
      <c r="C374" s="56" t="s">
        <v>769</v>
      </c>
      <c r="D374" s="57">
        <v>3</v>
      </c>
    </row>
    <row r="375" spans="2:4" x14ac:dyDescent="0.2">
      <c r="B375" s="55">
        <v>164086</v>
      </c>
      <c r="C375" s="56" t="s">
        <v>770</v>
      </c>
      <c r="D375" s="57">
        <v>3</v>
      </c>
    </row>
    <row r="376" spans="2:4" x14ac:dyDescent="0.2">
      <c r="B376" s="55" t="s">
        <v>771</v>
      </c>
      <c r="C376" s="56" t="s">
        <v>772</v>
      </c>
      <c r="D376" s="57">
        <v>3</v>
      </c>
    </row>
    <row r="377" spans="2:4" x14ac:dyDescent="0.2">
      <c r="B377" s="55">
        <v>179456</v>
      </c>
      <c r="C377" s="56" t="s">
        <v>773</v>
      </c>
      <c r="D377" s="57">
        <v>3</v>
      </c>
    </row>
    <row r="378" spans="2:4" x14ac:dyDescent="0.2">
      <c r="B378" s="55">
        <v>179457</v>
      </c>
      <c r="C378" s="56" t="s">
        <v>774</v>
      </c>
      <c r="D378" s="57">
        <v>3</v>
      </c>
    </row>
    <row r="379" spans="2:4" ht="25.5" x14ac:dyDescent="0.2">
      <c r="B379" s="55">
        <v>179458</v>
      </c>
      <c r="C379" s="56" t="s">
        <v>775</v>
      </c>
      <c r="D379" s="57">
        <v>3</v>
      </c>
    </row>
    <row r="380" spans="2:4" x14ac:dyDescent="0.2">
      <c r="B380" s="55" t="s">
        <v>776</v>
      </c>
      <c r="C380" s="56" t="s">
        <v>777</v>
      </c>
      <c r="D380" s="57">
        <v>3</v>
      </c>
    </row>
    <row r="381" spans="2:4" ht="25.5" x14ac:dyDescent="0.2">
      <c r="B381" s="55">
        <v>182258</v>
      </c>
      <c r="C381" s="56" t="s">
        <v>778</v>
      </c>
      <c r="D381" s="57">
        <v>3</v>
      </c>
    </row>
    <row r="382" spans="2:4" ht="25.5" x14ac:dyDescent="0.2">
      <c r="B382" s="55" t="s">
        <v>779</v>
      </c>
      <c r="C382" s="56" t="s">
        <v>780</v>
      </c>
      <c r="D382" s="57">
        <v>3</v>
      </c>
    </row>
    <row r="383" spans="2:4" x14ac:dyDescent="0.2">
      <c r="B383" s="55" t="s">
        <v>781</v>
      </c>
      <c r="C383" s="56" t="s">
        <v>782</v>
      </c>
      <c r="D383" s="57">
        <v>3</v>
      </c>
    </row>
    <row r="384" spans="2:4" x14ac:dyDescent="0.2">
      <c r="B384" s="55" t="s">
        <v>783</v>
      </c>
      <c r="C384" s="56" t="s">
        <v>784</v>
      </c>
      <c r="D384" s="57">
        <v>3</v>
      </c>
    </row>
    <row r="385" spans="2:4" x14ac:dyDescent="0.2">
      <c r="B385" s="55" t="s">
        <v>785</v>
      </c>
      <c r="C385" s="56" t="s">
        <v>786</v>
      </c>
      <c r="D385" s="57">
        <v>1</v>
      </c>
    </row>
    <row r="386" spans="2:4" x14ac:dyDescent="0.2">
      <c r="B386" s="55">
        <v>190902</v>
      </c>
      <c r="C386" s="56" t="s">
        <v>787</v>
      </c>
      <c r="D386" s="57">
        <v>3</v>
      </c>
    </row>
    <row r="387" spans="2:4" x14ac:dyDescent="0.2">
      <c r="B387" s="55">
        <v>190903</v>
      </c>
      <c r="C387" s="56" t="s">
        <v>788</v>
      </c>
      <c r="D387" s="57">
        <v>2</v>
      </c>
    </row>
    <row r="388" spans="2:4" x14ac:dyDescent="0.2">
      <c r="B388" s="55">
        <v>191205</v>
      </c>
      <c r="C388" s="56" t="s">
        <v>789</v>
      </c>
      <c r="D388" s="57">
        <v>3</v>
      </c>
    </row>
    <row r="389" spans="2:4" x14ac:dyDescent="0.2">
      <c r="B389" s="55">
        <v>191206</v>
      </c>
      <c r="C389" s="56" t="s">
        <v>790</v>
      </c>
      <c r="D389" s="57">
        <v>2</v>
      </c>
    </row>
    <row r="390" spans="2:4" x14ac:dyDescent="0.2">
      <c r="B390" s="55">
        <v>191510</v>
      </c>
      <c r="C390" s="56" t="s">
        <v>791</v>
      </c>
      <c r="D390" s="57">
        <v>2</v>
      </c>
    </row>
    <row r="391" spans="2:4" x14ac:dyDescent="0.2">
      <c r="B391" s="55">
        <v>191511</v>
      </c>
      <c r="C391" s="56" t="s">
        <v>792</v>
      </c>
      <c r="D391" s="57">
        <v>3</v>
      </c>
    </row>
    <row r="392" spans="2:4" x14ac:dyDescent="0.2">
      <c r="B392" s="55" t="s">
        <v>793</v>
      </c>
      <c r="C392" s="56" t="s">
        <v>794</v>
      </c>
      <c r="D392" s="57">
        <v>3</v>
      </c>
    </row>
    <row r="393" spans="2:4" x14ac:dyDescent="0.2">
      <c r="B393" s="55" t="s">
        <v>795</v>
      </c>
      <c r="C393" s="56" t="s">
        <v>796</v>
      </c>
      <c r="D393" s="57">
        <v>3</v>
      </c>
    </row>
    <row r="394" spans="2:4" x14ac:dyDescent="0.2">
      <c r="B394" s="55">
        <v>197719</v>
      </c>
      <c r="C394" s="56" t="s">
        <v>797</v>
      </c>
      <c r="D394" s="57">
        <v>2</v>
      </c>
    </row>
    <row r="395" spans="2:4" x14ac:dyDescent="0.2">
      <c r="B395" s="55">
        <v>197720</v>
      </c>
      <c r="C395" s="56" t="s">
        <v>798</v>
      </c>
      <c r="D395" s="57">
        <v>3</v>
      </c>
    </row>
    <row r="396" spans="2:4" x14ac:dyDescent="0.2">
      <c r="B396" s="55" t="s">
        <v>799</v>
      </c>
      <c r="C396" s="56" t="s">
        <v>800</v>
      </c>
      <c r="D396" s="57">
        <v>2</v>
      </c>
    </row>
    <row r="397" spans="2:4" x14ac:dyDescent="0.2">
      <c r="B397" s="55" t="s">
        <v>801</v>
      </c>
      <c r="C397" s="56" t="s">
        <v>802</v>
      </c>
      <c r="D397" s="57">
        <v>2</v>
      </c>
    </row>
    <row r="398" spans="2:4" x14ac:dyDescent="0.2">
      <c r="B398" s="55">
        <v>200521</v>
      </c>
      <c r="C398" s="56" t="s">
        <v>803</v>
      </c>
      <c r="D398" s="57">
        <v>3</v>
      </c>
    </row>
    <row r="399" spans="2:4" x14ac:dyDescent="0.2">
      <c r="B399" s="55">
        <v>200522</v>
      </c>
      <c r="C399" s="56" t="s">
        <v>804</v>
      </c>
      <c r="D399" s="57">
        <v>3</v>
      </c>
    </row>
    <row r="400" spans="2:4" x14ac:dyDescent="0.2">
      <c r="B400" s="55">
        <v>200523</v>
      </c>
      <c r="C400" s="56" t="s">
        <v>805</v>
      </c>
      <c r="D400" s="57">
        <v>3</v>
      </c>
    </row>
    <row r="401" spans="2:4" ht="25.5" x14ac:dyDescent="0.2">
      <c r="B401" s="55" t="s">
        <v>806</v>
      </c>
      <c r="C401" s="56" t="s">
        <v>807</v>
      </c>
      <c r="D401" s="57">
        <v>3</v>
      </c>
    </row>
    <row r="402" spans="2:4" x14ac:dyDescent="0.2">
      <c r="B402" s="55" t="s">
        <v>808</v>
      </c>
      <c r="C402" s="56" t="s">
        <v>809</v>
      </c>
      <c r="D402" s="57">
        <v>3</v>
      </c>
    </row>
    <row r="403" spans="2:4" x14ac:dyDescent="0.2">
      <c r="B403" s="55" t="s">
        <v>810</v>
      </c>
      <c r="C403" s="56" t="s">
        <v>811</v>
      </c>
      <c r="D403" s="57">
        <v>3</v>
      </c>
    </row>
    <row r="404" spans="2:4" x14ac:dyDescent="0.2">
      <c r="B404" s="55" t="s">
        <v>812</v>
      </c>
      <c r="C404" s="56" t="s">
        <v>813</v>
      </c>
      <c r="D404" s="57">
        <v>3</v>
      </c>
    </row>
    <row r="405" spans="2:4" x14ac:dyDescent="0.2">
      <c r="B405" s="55" t="s">
        <v>814</v>
      </c>
      <c r="C405" s="56" t="s">
        <v>815</v>
      </c>
      <c r="D405" s="57">
        <v>3</v>
      </c>
    </row>
    <row r="406" spans="2:4" x14ac:dyDescent="0.2">
      <c r="B406" s="55" t="s">
        <v>816</v>
      </c>
      <c r="C406" s="56" t="s">
        <v>817</v>
      </c>
      <c r="D406" s="57">
        <v>3</v>
      </c>
    </row>
    <row r="407" spans="2:4" x14ac:dyDescent="0.2">
      <c r="B407" s="55" t="s">
        <v>818</v>
      </c>
      <c r="C407" s="56" t="s">
        <v>819</v>
      </c>
      <c r="D407" s="57">
        <v>3</v>
      </c>
    </row>
    <row r="408" spans="2:4" ht="25.5" x14ac:dyDescent="0.2">
      <c r="B408" s="55" t="s">
        <v>820</v>
      </c>
      <c r="C408" s="56" t="s">
        <v>821</v>
      </c>
      <c r="D408" s="57">
        <v>3</v>
      </c>
    </row>
    <row r="409" spans="2:4" x14ac:dyDescent="0.2">
      <c r="B409" s="55">
        <v>230560</v>
      </c>
      <c r="C409" s="56" t="s">
        <v>822</v>
      </c>
      <c r="D409" s="57">
        <v>3</v>
      </c>
    </row>
    <row r="410" spans="2:4" x14ac:dyDescent="0.2">
      <c r="B410" s="55">
        <v>230561</v>
      </c>
      <c r="C410" s="56" t="s">
        <v>823</v>
      </c>
      <c r="D410" s="57">
        <v>3</v>
      </c>
    </row>
    <row r="411" spans="2:4" x14ac:dyDescent="0.2">
      <c r="B411" s="55">
        <v>230866</v>
      </c>
      <c r="C411" s="56" t="s">
        <v>824</v>
      </c>
      <c r="D411" s="57">
        <v>3</v>
      </c>
    </row>
    <row r="412" spans="2:4" x14ac:dyDescent="0.2">
      <c r="B412" s="55">
        <v>230867</v>
      </c>
      <c r="C412" s="56" t="s">
        <v>825</v>
      </c>
      <c r="D412" s="57">
        <v>3</v>
      </c>
    </row>
    <row r="413" spans="2:4" x14ac:dyDescent="0.2">
      <c r="B413" s="55" t="s">
        <v>826</v>
      </c>
      <c r="C413" s="56" t="s">
        <v>827</v>
      </c>
      <c r="D413" s="57">
        <v>3</v>
      </c>
    </row>
    <row r="414" spans="2:4" x14ac:dyDescent="0.2">
      <c r="B414" s="55" t="s">
        <v>828</v>
      </c>
      <c r="C414" s="56" t="s">
        <v>829</v>
      </c>
      <c r="D414" s="57">
        <v>3</v>
      </c>
    </row>
    <row r="415" spans="2:4" x14ac:dyDescent="0.2">
      <c r="B415" s="55" t="s">
        <v>830</v>
      </c>
      <c r="C415" s="56" t="s">
        <v>831</v>
      </c>
      <c r="D415" s="57">
        <v>3</v>
      </c>
    </row>
    <row r="416" spans="2:4" x14ac:dyDescent="0.2">
      <c r="B416" s="55" t="s">
        <v>832</v>
      </c>
      <c r="C416" s="56" t="s">
        <v>833</v>
      </c>
      <c r="D416" s="57">
        <v>3</v>
      </c>
    </row>
    <row r="417" spans="2:4" x14ac:dyDescent="0.2">
      <c r="B417" s="55">
        <v>237410</v>
      </c>
      <c r="C417" s="56" t="s">
        <v>834</v>
      </c>
      <c r="D417" s="57">
        <v>3</v>
      </c>
    </row>
    <row r="418" spans="2:4" x14ac:dyDescent="0.2">
      <c r="B418" s="55">
        <v>237411</v>
      </c>
      <c r="C418" s="56" t="s">
        <v>835</v>
      </c>
      <c r="D418" s="57">
        <v>3</v>
      </c>
    </row>
    <row r="419" spans="2:4" x14ac:dyDescent="0.2">
      <c r="B419" s="55" t="s">
        <v>836</v>
      </c>
      <c r="C419" s="56" t="s">
        <v>837</v>
      </c>
      <c r="D419" s="57">
        <v>3</v>
      </c>
    </row>
    <row r="420" spans="2:4" x14ac:dyDescent="0.2">
      <c r="B420" s="55">
        <v>252902</v>
      </c>
      <c r="C420" s="56" t="s">
        <v>838</v>
      </c>
      <c r="D420" s="57">
        <v>3</v>
      </c>
    </row>
    <row r="421" spans="2:4" x14ac:dyDescent="0.2">
      <c r="B421" s="55">
        <v>252903</v>
      </c>
      <c r="C421" s="56" t="s">
        <v>839</v>
      </c>
      <c r="D421" s="57">
        <v>3</v>
      </c>
    </row>
    <row r="422" spans="2:4" x14ac:dyDescent="0.2">
      <c r="B422" s="55" t="s">
        <v>840</v>
      </c>
      <c r="C422" s="56" t="s">
        <v>841</v>
      </c>
      <c r="D422" s="57">
        <v>3</v>
      </c>
    </row>
    <row r="423" spans="2:4" x14ac:dyDescent="0.2">
      <c r="B423" s="55">
        <v>255366</v>
      </c>
      <c r="C423" s="56" t="s">
        <v>842</v>
      </c>
      <c r="D423" s="57">
        <v>2</v>
      </c>
    </row>
    <row r="424" spans="2:4" x14ac:dyDescent="0.2">
      <c r="B424" s="55" t="s">
        <v>843</v>
      </c>
      <c r="C424" s="56" t="s">
        <v>844</v>
      </c>
      <c r="D424" s="57">
        <v>3</v>
      </c>
    </row>
    <row r="425" spans="2:4" x14ac:dyDescent="0.2">
      <c r="B425" s="55" t="s">
        <v>845</v>
      </c>
      <c r="C425" s="56" t="s">
        <v>846</v>
      </c>
      <c r="D425" s="57">
        <v>3</v>
      </c>
    </row>
    <row r="426" spans="2:4" x14ac:dyDescent="0.2">
      <c r="B426" s="55" t="s">
        <v>847</v>
      </c>
      <c r="C426" s="56" t="s">
        <v>848</v>
      </c>
      <c r="D426" s="57">
        <v>2</v>
      </c>
    </row>
    <row r="427" spans="2:4" x14ac:dyDescent="0.2">
      <c r="B427" s="55" t="s">
        <v>849</v>
      </c>
      <c r="C427" s="56" t="s">
        <v>850</v>
      </c>
      <c r="D427" s="57">
        <v>2</v>
      </c>
    </row>
    <row r="428" spans="2:4" x14ac:dyDescent="0.2">
      <c r="B428" s="55" t="s">
        <v>851</v>
      </c>
      <c r="C428" s="56" t="s">
        <v>852</v>
      </c>
      <c r="D428" s="57">
        <v>3</v>
      </c>
    </row>
    <row r="429" spans="2:4" ht="25.5" x14ac:dyDescent="0.2">
      <c r="B429" s="55" t="s">
        <v>853</v>
      </c>
      <c r="C429" s="56" t="s">
        <v>854</v>
      </c>
      <c r="D429" s="57">
        <v>3</v>
      </c>
    </row>
    <row r="430" spans="2:4" ht="25.5" x14ac:dyDescent="0.2">
      <c r="B430" s="55" t="s">
        <v>855</v>
      </c>
      <c r="C430" s="56" t="s">
        <v>856</v>
      </c>
      <c r="D430" s="57">
        <v>3</v>
      </c>
    </row>
    <row r="431" spans="2:4" x14ac:dyDescent="0.2">
      <c r="B431" s="55" t="s">
        <v>857</v>
      </c>
      <c r="C431" s="56" t="s">
        <v>858</v>
      </c>
      <c r="D431" s="57">
        <v>2</v>
      </c>
    </row>
    <row r="432" spans="2:4" x14ac:dyDescent="0.2">
      <c r="B432" s="55" t="s">
        <v>859</v>
      </c>
      <c r="C432" s="56" t="s">
        <v>860</v>
      </c>
      <c r="D432" s="57">
        <v>2</v>
      </c>
    </row>
    <row r="433" spans="2:4" ht="25.5" x14ac:dyDescent="0.2">
      <c r="B433" s="55" t="s">
        <v>861</v>
      </c>
      <c r="C433" s="56" t="s">
        <v>862</v>
      </c>
      <c r="D433" s="57">
        <v>2</v>
      </c>
    </row>
    <row r="434" spans="2:4" x14ac:dyDescent="0.2">
      <c r="B434" s="55">
        <v>281239</v>
      </c>
      <c r="C434" s="56" t="s">
        <v>863</v>
      </c>
      <c r="D434" s="57">
        <v>2</v>
      </c>
    </row>
    <row r="435" spans="2:4" x14ac:dyDescent="0.2">
      <c r="B435" s="55">
        <v>281240</v>
      </c>
      <c r="C435" s="56" t="s">
        <v>864</v>
      </c>
      <c r="D435" s="57">
        <v>3</v>
      </c>
    </row>
    <row r="436" spans="2:4" x14ac:dyDescent="0.2">
      <c r="B436" s="55" t="s">
        <v>865</v>
      </c>
      <c r="C436" s="56" t="s">
        <v>866</v>
      </c>
      <c r="D436" s="57">
        <v>3</v>
      </c>
    </row>
    <row r="437" spans="2:4" x14ac:dyDescent="0.2">
      <c r="B437" s="55">
        <v>295938</v>
      </c>
      <c r="C437" s="56" t="s">
        <v>867</v>
      </c>
      <c r="D437" s="57">
        <v>3</v>
      </c>
    </row>
    <row r="438" spans="2:4" ht="25.5" x14ac:dyDescent="0.2">
      <c r="B438" s="55">
        <v>295939</v>
      </c>
      <c r="C438" s="56" t="s">
        <v>868</v>
      </c>
      <c r="D438" s="57">
        <v>3</v>
      </c>
    </row>
    <row r="439" spans="2:4" x14ac:dyDescent="0.2">
      <c r="B439" s="55">
        <v>295940</v>
      </c>
      <c r="C439" s="56" t="s">
        <v>869</v>
      </c>
      <c r="D439" s="57">
        <v>3</v>
      </c>
    </row>
    <row r="440" spans="2:4" ht="25.5" x14ac:dyDescent="0.2">
      <c r="B440" s="55" t="s">
        <v>870</v>
      </c>
      <c r="C440" s="56" t="s">
        <v>871</v>
      </c>
      <c r="D440" s="57">
        <v>3</v>
      </c>
    </row>
    <row r="441" spans="2:4" x14ac:dyDescent="0.2">
      <c r="B441" s="55">
        <v>300443</v>
      </c>
      <c r="C441" s="56" t="s">
        <v>872</v>
      </c>
      <c r="D441" s="57">
        <v>3</v>
      </c>
    </row>
    <row r="442" spans="2:4" x14ac:dyDescent="0.2">
      <c r="B442" s="55">
        <v>300444</v>
      </c>
      <c r="C442" s="56" t="s">
        <v>873</v>
      </c>
      <c r="D442" s="57">
        <v>3</v>
      </c>
    </row>
    <row r="443" spans="2:4" ht="25.5" x14ac:dyDescent="0.2">
      <c r="B443" s="55" t="s">
        <v>874</v>
      </c>
      <c r="C443" s="56" t="s">
        <v>875</v>
      </c>
      <c r="D443" s="57">
        <v>3</v>
      </c>
    </row>
    <row r="444" spans="2:4" x14ac:dyDescent="0.2">
      <c r="B444" s="55" t="s">
        <v>876</v>
      </c>
      <c r="C444" s="56" t="s">
        <v>877</v>
      </c>
      <c r="D444" s="57">
        <v>3</v>
      </c>
    </row>
    <row r="445" spans="2:4" x14ac:dyDescent="0.2">
      <c r="B445" s="55" t="s">
        <v>878</v>
      </c>
      <c r="C445" s="56" t="s">
        <v>879</v>
      </c>
      <c r="D445" s="57">
        <v>3</v>
      </c>
    </row>
    <row r="446" spans="2:4" x14ac:dyDescent="0.2">
      <c r="B446" s="55">
        <v>306957</v>
      </c>
      <c r="C446" s="56" t="s">
        <v>880</v>
      </c>
      <c r="D446" s="57">
        <v>3</v>
      </c>
    </row>
    <row r="447" spans="2:4" x14ac:dyDescent="0.2">
      <c r="B447" s="55">
        <v>306958</v>
      </c>
      <c r="C447" s="56" t="s">
        <v>881</v>
      </c>
      <c r="D447" s="57">
        <v>3</v>
      </c>
    </row>
    <row r="448" spans="2:4" ht="25.5" x14ac:dyDescent="0.2">
      <c r="B448" s="55" t="s">
        <v>882</v>
      </c>
      <c r="C448" s="56" t="s">
        <v>883</v>
      </c>
      <c r="D448" s="57">
        <v>3</v>
      </c>
    </row>
    <row r="449" spans="2:4" x14ac:dyDescent="0.2">
      <c r="B449" s="55">
        <v>313926</v>
      </c>
      <c r="C449" s="56" t="s">
        <v>884</v>
      </c>
      <c r="D449" s="57">
        <v>3</v>
      </c>
    </row>
    <row r="450" spans="2:4" ht="25.5" x14ac:dyDescent="0.2">
      <c r="B450" s="55" t="s">
        <v>885</v>
      </c>
      <c r="C450" s="56" t="s">
        <v>886</v>
      </c>
      <c r="D450" s="57">
        <v>3</v>
      </c>
    </row>
    <row r="451" spans="2:4" ht="25.5" x14ac:dyDescent="0.2">
      <c r="B451" s="55">
        <v>325099</v>
      </c>
      <c r="C451" s="56" t="s">
        <v>887</v>
      </c>
      <c r="D451" s="57">
        <v>3</v>
      </c>
    </row>
    <row r="452" spans="2:4" x14ac:dyDescent="0.2">
      <c r="B452" s="55">
        <v>325100</v>
      </c>
      <c r="C452" s="56" t="s">
        <v>888</v>
      </c>
      <c r="D452" s="57">
        <v>3</v>
      </c>
    </row>
    <row r="453" spans="2:4" ht="25.5" x14ac:dyDescent="0.2">
      <c r="B453" s="55" t="s">
        <v>889</v>
      </c>
      <c r="C453" s="56" t="s">
        <v>890</v>
      </c>
      <c r="D453" s="57">
        <v>2</v>
      </c>
    </row>
    <row r="454" spans="2:4" ht="25.5" x14ac:dyDescent="0.2">
      <c r="B454" s="55" t="s">
        <v>891</v>
      </c>
      <c r="C454" s="56" t="s">
        <v>892</v>
      </c>
      <c r="D454" s="57">
        <v>2</v>
      </c>
    </row>
    <row r="455" spans="2:4" ht="25.5" x14ac:dyDescent="0.2">
      <c r="B455" s="55" t="s">
        <v>893</v>
      </c>
      <c r="C455" s="56" t="s">
        <v>894</v>
      </c>
      <c r="D455" s="57">
        <v>3</v>
      </c>
    </row>
    <row r="456" spans="2:4" x14ac:dyDescent="0.2">
      <c r="B456" s="55" t="s">
        <v>895</v>
      </c>
      <c r="C456" s="56" t="s">
        <v>896</v>
      </c>
      <c r="D456" s="57">
        <v>3</v>
      </c>
    </row>
    <row r="457" spans="2:4" x14ac:dyDescent="0.2">
      <c r="B457" s="55">
        <v>333893</v>
      </c>
      <c r="C457" s="56" t="s">
        <v>897</v>
      </c>
      <c r="D457" s="57">
        <v>3</v>
      </c>
    </row>
    <row r="458" spans="2:4" x14ac:dyDescent="0.2">
      <c r="B458" s="55">
        <v>333894</v>
      </c>
      <c r="C458" s="56" t="s">
        <v>898</v>
      </c>
      <c r="D458" s="57">
        <v>3</v>
      </c>
    </row>
    <row r="459" spans="2:4" x14ac:dyDescent="0.2">
      <c r="B459" s="55">
        <v>334199</v>
      </c>
      <c r="C459" s="56" t="s">
        <v>899</v>
      </c>
      <c r="D459" s="57">
        <v>2</v>
      </c>
    </row>
    <row r="460" spans="2:4" x14ac:dyDescent="0.2">
      <c r="B460" s="55">
        <v>334200</v>
      </c>
      <c r="C460" s="56" t="s">
        <v>900</v>
      </c>
      <c r="D460" s="57">
        <v>3</v>
      </c>
    </row>
    <row r="461" spans="2:4" ht="25.5" x14ac:dyDescent="0.2">
      <c r="B461" s="55">
        <v>336542</v>
      </c>
      <c r="C461" s="56" t="s">
        <v>901</v>
      </c>
      <c r="D461" s="57">
        <v>3</v>
      </c>
    </row>
    <row r="462" spans="2:4" x14ac:dyDescent="0.2">
      <c r="B462" s="55">
        <v>336543</v>
      </c>
      <c r="C462" s="56" t="s">
        <v>902</v>
      </c>
      <c r="D462" s="57">
        <v>3</v>
      </c>
    </row>
    <row r="463" spans="2:4" ht="25.5" x14ac:dyDescent="0.2">
      <c r="B463" s="55">
        <v>336846</v>
      </c>
      <c r="C463" s="56" t="s">
        <v>903</v>
      </c>
      <c r="D463" s="57">
        <v>3</v>
      </c>
    </row>
    <row r="464" spans="2:4" ht="25.5" x14ac:dyDescent="0.2">
      <c r="B464" s="55">
        <v>336847</v>
      </c>
      <c r="C464" s="56" t="s">
        <v>904</v>
      </c>
      <c r="D464" s="57">
        <v>3</v>
      </c>
    </row>
    <row r="465" spans="2:4" ht="25.5" x14ac:dyDescent="0.2">
      <c r="B465" s="55" t="s">
        <v>905</v>
      </c>
      <c r="C465" s="56" t="s">
        <v>906</v>
      </c>
      <c r="D465" s="57">
        <v>3</v>
      </c>
    </row>
    <row r="466" spans="2:4" x14ac:dyDescent="0.2">
      <c r="B466" s="55">
        <v>337486</v>
      </c>
      <c r="C466" s="56" t="s">
        <v>907</v>
      </c>
      <c r="D466" s="57">
        <v>2</v>
      </c>
    </row>
    <row r="467" spans="2:4" x14ac:dyDescent="0.2">
      <c r="B467" s="55">
        <v>337487</v>
      </c>
      <c r="C467" s="56" t="s">
        <v>908</v>
      </c>
      <c r="D467" s="57">
        <v>2</v>
      </c>
    </row>
    <row r="468" spans="2:4" ht="25.5" x14ac:dyDescent="0.2">
      <c r="B468" s="55" t="s">
        <v>909</v>
      </c>
      <c r="C468" s="56" t="s">
        <v>910</v>
      </c>
      <c r="D468" s="57">
        <v>2</v>
      </c>
    </row>
    <row r="469" spans="2:4" ht="25.5" x14ac:dyDescent="0.2">
      <c r="B469" s="55">
        <v>339313</v>
      </c>
      <c r="C469" s="56" t="s">
        <v>911</v>
      </c>
      <c r="D469" s="57">
        <v>2</v>
      </c>
    </row>
    <row r="470" spans="2:4" ht="25.5" x14ac:dyDescent="0.2">
      <c r="B470" s="55" t="s">
        <v>912</v>
      </c>
      <c r="C470" s="56" t="s">
        <v>913</v>
      </c>
      <c r="D470" s="57">
        <v>3</v>
      </c>
    </row>
    <row r="471" spans="2:4" x14ac:dyDescent="0.2">
      <c r="B471" s="55" t="s">
        <v>914</v>
      </c>
      <c r="C471" s="56" t="s">
        <v>915</v>
      </c>
      <c r="D471" s="57">
        <v>3</v>
      </c>
    </row>
    <row r="472" spans="2:4" x14ac:dyDescent="0.2">
      <c r="B472" s="55" t="s">
        <v>916</v>
      </c>
      <c r="C472" s="56" t="s">
        <v>917</v>
      </c>
      <c r="D472" s="57">
        <v>3</v>
      </c>
    </row>
    <row r="473" spans="2:4" ht="25.5" x14ac:dyDescent="0.2">
      <c r="B473" s="55" t="s">
        <v>918</v>
      </c>
      <c r="C473" s="56" t="s">
        <v>919</v>
      </c>
      <c r="D473" s="57">
        <v>3</v>
      </c>
    </row>
    <row r="474" spans="2:4" x14ac:dyDescent="0.2">
      <c r="B474" s="55" t="s">
        <v>920</v>
      </c>
      <c r="C474" s="56" t="s">
        <v>921</v>
      </c>
      <c r="D474" s="57">
        <v>3</v>
      </c>
    </row>
    <row r="475" spans="2:4" ht="25.5" x14ac:dyDescent="0.2">
      <c r="B475" s="55" t="s">
        <v>922</v>
      </c>
      <c r="C475" s="56" t="s">
        <v>923</v>
      </c>
      <c r="D475" s="57">
        <v>3</v>
      </c>
    </row>
    <row r="476" spans="2:4" ht="25.5" x14ac:dyDescent="0.2">
      <c r="B476" s="55" t="s">
        <v>924</v>
      </c>
      <c r="C476" s="56" t="s">
        <v>925</v>
      </c>
      <c r="D476" s="57">
        <v>3</v>
      </c>
    </row>
    <row r="477" spans="2:4" x14ac:dyDescent="0.2">
      <c r="B477" s="55" t="s">
        <v>926</v>
      </c>
      <c r="C477" s="56" t="s">
        <v>927</v>
      </c>
      <c r="D477" s="57">
        <v>3</v>
      </c>
    </row>
    <row r="478" spans="2:4" ht="25.5" x14ac:dyDescent="0.2">
      <c r="B478" s="55" t="s">
        <v>928</v>
      </c>
      <c r="C478" s="56" t="s">
        <v>929</v>
      </c>
      <c r="D478" s="57">
        <v>3</v>
      </c>
    </row>
    <row r="479" spans="2:4" ht="25.5" x14ac:dyDescent="0.2">
      <c r="B479" s="55" t="s">
        <v>930</v>
      </c>
      <c r="C479" s="56" t="s">
        <v>931</v>
      </c>
      <c r="D479" s="57">
        <v>3</v>
      </c>
    </row>
    <row r="480" spans="2:4" ht="25.5" x14ac:dyDescent="0.2">
      <c r="B480" s="55" t="s">
        <v>932</v>
      </c>
      <c r="C480" s="56" t="s">
        <v>933</v>
      </c>
      <c r="D480" s="57">
        <v>3</v>
      </c>
    </row>
    <row r="481" spans="2:4" x14ac:dyDescent="0.2">
      <c r="B481" s="55" t="s">
        <v>934</v>
      </c>
      <c r="C481" s="56" t="s">
        <v>935</v>
      </c>
      <c r="D481" s="57">
        <v>3</v>
      </c>
    </row>
    <row r="482" spans="2:4" ht="25.5" x14ac:dyDescent="0.2">
      <c r="B482" s="55" t="s">
        <v>936</v>
      </c>
      <c r="C482" s="56" t="s">
        <v>937</v>
      </c>
      <c r="D482" s="57">
        <v>3</v>
      </c>
    </row>
    <row r="483" spans="2:4" ht="25.5" x14ac:dyDescent="0.2">
      <c r="B483" s="55" t="s">
        <v>938</v>
      </c>
      <c r="C483" s="56" t="s">
        <v>939</v>
      </c>
      <c r="D483" s="57">
        <v>3</v>
      </c>
    </row>
    <row r="484" spans="2:4" ht="25.5" x14ac:dyDescent="0.2">
      <c r="B484" s="55" t="s">
        <v>940</v>
      </c>
      <c r="C484" s="56" t="s">
        <v>941</v>
      </c>
      <c r="D484" s="57">
        <v>3</v>
      </c>
    </row>
    <row r="485" spans="2:4" ht="25.5" x14ac:dyDescent="0.2">
      <c r="B485" s="55" t="s">
        <v>942</v>
      </c>
      <c r="C485" s="56" t="s">
        <v>943</v>
      </c>
      <c r="D485" s="57">
        <v>3</v>
      </c>
    </row>
    <row r="486" spans="2:4" x14ac:dyDescent="0.2">
      <c r="B486" s="55">
        <v>369078</v>
      </c>
      <c r="C486" s="56" t="s">
        <v>944</v>
      </c>
      <c r="D486" s="57">
        <v>3</v>
      </c>
    </row>
    <row r="487" spans="2:4" x14ac:dyDescent="0.2">
      <c r="B487" s="55">
        <v>369079</v>
      </c>
      <c r="C487" s="56" t="s">
        <v>945</v>
      </c>
      <c r="D487" s="57">
        <v>3</v>
      </c>
    </row>
    <row r="488" spans="2:4" x14ac:dyDescent="0.2">
      <c r="B488" s="55">
        <v>369080</v>
      </c>
      <c r="C488" s="56" t="s">
        <v>946</v>
      </c>
      <c r="D488" s="57">
        <v>3</v>
      </c>
    </row>
    <row r="489" spans="2:4" x14ac:dyDescent="0.2">
      <c r="B489" s="55">
        <v>372640</v>
      </c>
      <c r="C489" s="56" t="s">
        <v>947</v>
      </c>
      <c r="D489" s="57">
        <v>3</v>
      </c>
    </row>
    <row r="490" spans="2:4" x14ac:dyDescent="0.2">
      <c r="B490" s="55">
        <v>372641</v>
      </c>
      <c r="C490" s="56" t="s">
        <v>948</v>
      </c>
      <c r="D490" s="57">
        <v>2</v>
      </c>
    </row>
    <row r="491" spans="2:4" x14ac:dyDescent="0.2">
      <c r="B491" s="55">
        <v>376202</v>
      </c>
      <c r="C491" s="56" t="s">
        <v>949</v>
      </c>
      <c r="D491" s="57">
        <v>3</v>
      </c>
    </row>
    <row r="492" spans="2:4" x14ac:dyDescent="0.2">
      <c r="B492" s="55">
        <v>376203</v>
      </c>
      <c r="C492" s="56" t="s">
        <v>950</v>
      </c>
      <c r="D492" s="57">
        <v>3</v>
      </c>
    </row>
    <row r="493" spans="2:4" ht="25.5" x14ac:dyDescent="0.2">
      <c r="B493" s="55">
        <v>376204</v>
      </c>
      <c r="C493" s="56" t="s">
        <v>951</v>
      </c>
      <c r="D493" s="57">
        <v>3</v>
      </c>
    </row>
    <row r="494" spans="2:4" x14ac:dyDescent="0.2">
      <c r="B494" s="55" t="s">
        <v>952</v>
      </c>
      <c r="C494" s="56" t="s">
        <v>953</v>
      </c>
      <c r="D494" s="57">
        <v>3</v>
      </c>
    </row>
    <row r="495" spans="2:4" ht="25.5" x14ac:dyDescent="0.2">
      <c r="B495" s="55" t="s">
        <v>954</v>
      </c>
      <c r="C495" s="56" t="s">
        <v>955</v>
      </c>
      <c r="D495" s="57">
        <v>3</v>
      </c>
    </row>
    <row r="496" spans="2:4" x14ac:dyDescent="0.2">
      <c r="B496" s="55" t="s">
        <v>956</v>
      </c>
      <c r="C496" s="56" t="s">
        <v>957</v>
      </c>
      <c r="D496" s="57">
        <v>3</v>
      </c>
    </row>
    <row r="497" spans="2:4" ht="25.5" x14ac:dyDescent="0.2">
      <c r="B497" s="55" t="s">
        <v>958</v>
      </c>
      <c r="C497" s="56" t="s">
        <v>959</v>
      </c>
      <c r="D497" s="57">
        <v>3</v>
      </c>
    </row>
    <row r="498" spans="2:4" ht="25.5" x14ac:dyDescent="0.2">
      <c r="B498" s="55" t="s">
        <v>960</v>
      </c>
      <c r="C498" s="56" t="s">
        <v>961</v>
      </c>
      <c r="D498" s="57">
        <v>3</v>
      </c>
    </row>
    <row r="499" spans="2:4" x14ac:dyDescent="0.2">
      <c r="B499" s="55">
        <v>383173</v>
      </c>
      <c r="C499" s="56" t="s">
        <v>962</v>
      </c>
      <c r="D499" s="57">
        <v>3</v>
      </c>
    </row>
    <row r="500" spans="2:4" ht="25.5" x14ac:dyDescent="0.2">
      <c r="B500" s="55" t="s">
        <v>963</v>
      </c>
      <c r="C500" s="56" t="s">
        <v>964</v>
      </c>
      <c r="D500" s="57">
        <v>3</v>
      </c>
    </row>
    <row r="501" spans="2:4" x14ac:dyDescent="0.2">
      <c r="B501" s="55" t="s">
        <v>965</v>
      </c>
      <c r="C501" s="56" t="s">
        <v>966</v>
      </c>
      <c r="D501" s="57">
        <v>3</v>
      </c>
    </row>
    <row r="502" spans="2:4" x14ac:dyDescent="0.2">
      <c r="B502" s="55">
        <v>405845</v>
      </c>
      <c r="C502" s="56" t="s">
        <v>967</v>
      </c>
      <c r="D502" s="57">
        <v>3</v>
      </c>
    </row>
    <row r="503" spans="2:4" ht="25.5" x14ac:dyDescent="0.2">
      <c r="B503" s="55">
        <v>405846</v>
      </c>
      <c r="C503" s="56" t="s">
        <v>968</v>
      </c>
      <c r="D503" s="57">
        <v>3</v>
      </c>
    </row>
    <row r="504" spans="2:4" x14ac:dyDescent="0.2">
      <c r="B504" s="55" t="s">
        <v>969</v>
      </c>
      <c r="C504" s="56" t="s">
        <v>970</v>
      </c>
      <c r="D504" s="57">
        <v>3</v>
      </c>
    </row>
    <row r="505" spans="2:4" x14ac:dyDescent="0.2">
      <c r="B505" s="55" t="s">
        <v>971</v>
      </c>
      <c r="C505" s="56" t="s">
        <v>972</v>
      </c>
      <c r="D505" s="57">
        <v>3</v>
      </c>
    </row>
    <row r="506" spans="2:4" x14ac:dyDescent="0.2">
      <c r="B506" s="55" t="s">
        <v>973</v>
      </c>
      <c r="C506" s="56" t="s">
        <v>974</v>
      </c>
      <c r="D506" s="57">
        <v>3</v>
      </c>
    </row>
    <row r="507" spans="2:4" x14ac:dyDescent="0.2">
      <c r="B507" s="55" t="s">
        <v>975</v>
      </c>
      <c r="C507" s="56" t="s">
        <v>976</v>
      </c>
      <c r="D507" s="57">
        <v>2</v>
      </c>
    </row>
    <row r="508" spans="2:4" x14ac:dyDescent="0.2">
      <c r="B508" s="55" t="s">
        <v>977</v>
      </c>
      <c r="C508" s="56" t="s">
        <v>978</v>
      </c>
      <c r="D508" s="57">
        <v>2</v>
      </c>
    </row>
    <row r="509" spans="2:4" x14ac:dyDescent="0.2">
      <c r="B509" s="55" t="s">
        <v>979</v>
      </c>
      <c r="C509" s="56" t="s">
        <v>980</v>
      </c>
      <c r="D509" s="57">
        <v>2</v>
      </c>
    </row>
    <row r="510" spans="2:4" x14ac:dyDescent="0.2">
      <c r="B510" s="55" t="s">
        <v>981</v>
      </c>
      <c r="C510" s="56" t="s">
        <v>982</v>
      </c>
      <c r="D510" s="57">
        <v>3</v>
      </c>
    </row>
    <row r="511" spans="2:4" x14ac:dyDescent="0.2">
      <c r="B511" s="55" t="s">
        <v>983</v>
      </c>
      <c r="C511" s="56" t="s">
        <v>984</v>
      </c>
      <c r="D511" s="57">
        <v>3</v>
      </c>
    </row>
    <row r="512" spans="2:4" x14ac:dyDescent="0.2">
      <c r="B512" s="55" t="s">
        <v>985</v>
      </c>
      <c r="C512" s="56" t="s">
        <v>986</v>
      </c>
      <c r="D512" s="57">
        <v>3</v>
      </c>
    </row>
    <row r="513" spans="2:4" x14ac:dyDescent="0.2">
      <c r="B513" s="55" t="s">
        <v>987</v>
      </c>
      <c r="C513" s="56" t="s">
        <v>988</v>
      </c>
      <c r="D513" s="57">
        <v>3</v>
      </c>
    </row>
    <row r="514" spans="2:4" x14ac:dyDescent="0.2">
      <c r="B514" s="55" t="s">
        <v>989</v>
      </c>
      <c r="C514" s="56" t="s">
        <v>990</v>
      </c>
      <c r="D514" s="57">
        <v>3</v>
      </c>
    </row>
    <row r="515" spans="2:4" x14ac:dyDescent="0.2">
      <c r="B515" s="55" t="s">
        <v>991</v>
      </c>
      <c r="C515" s="56" t="s">
        <v>992</v>
      </c>
      <c r="D515" s="57">
        <v>3</v>
      </c>
    </row>
    <row r="516" spans="2:4" x14ac:dyDescent="0.2">
      <c r="B516" s="55" t="s">
        <v>993</v>
      </c>
      <c r="C516" s="56" t="s">
        <v>994</v>
      </c>
      <c r="D516" s="57">
        <v>3</v>
      </c>
    </row>
    <row r="517" spans="2:4" x14ac:dyDescent="0.2">
      <c r="B517" s="55">
        <v>478986</v>
      </c>
      <c r="C517" s="56" t="s">
        <v>995</v>
      </c>
      <c r="D517" s="57">
        <v>2</v>
      </c>
    </row>
    <row r="518" spans="2:4" x14ac:dyDescent="0.2">
      <c r="B518" s="55">
        <v>478987</v>
      </c>
      <c r="C518" s="56" t="s">
        <v>996</v>
      </c>
      <c r="D518" s="57">
        <v>2</v>
      </c>
    </row>
    <row r="519" spans="2:4" x14ac:dyDescent="0.2">
      <c r="B519" s="55">
        <v>478988</v>
      </c>
      <c r="C519" s="56" t="s">
        <v>997</v>
      </c>
      <c r="D519" s="57">
        <v>2</v>
      </c>
    </row>
    <row r="520" spans="2:4" x14ac:dyDescent="0.2">
      <c r="B520" s="55" t="s">
        <v>998</v>
      </c>
      <c r="C520" s="56" t="s">
        <v>999</v>
      </c>
      <c r="D520" s="57">
        <v>3</v>
      </c>
    </row>
    <row r="521" spans="2:4" x14ac:dyDescent="0.2">
      <c r="B521" s="55" t="s">
        <v>1000</v>
      </c>
      <c r="C521" s="56" t="s">
        <v>1001</v>
      </c>
      <c r="D521" s="57">
        <v>3</v>
      </c>
    </row>
    <row r="522" spans="2:4" x14ac:dyDescent="0.2">
      <c r="B522" s="55" t="s">
        <v>1002</v>
      </c>
      <c r="C522" s="56" t="s">
        <v>1003</v>
      </c>
      <c r="D522" s="57">
        <v>3</v>
      </c>
    </row>
    <row r="523" spans="2:4" x14ac:dyDescent="0.2">
      <c r="B523" s="55" t="s">
        <v>1004</v>
      </c>
      <c r="C523" s="56" t="s">
        <v>1005</v>
      </c>
      <c r="D523" s="57">
        <v>2</v>
      </c>
    </row>
    <row r="524" spans="2:4" x14ac:dyDescent="0.2">
      <c r="B524" s="55" t="s">
        <v>1006</v>
      </c>
      <c r="C524" s="56" t="s">
        <v>1007</v>
      </c>
      <c r="D524" s="57">
        <v>2</v>
      </c>
    </row>
    <row r="525" spans="2:4" x14ac:dyDescent="0.2">
      <c r="B525" s="55" t="s">
        <v>1008</v>
      </c>
      <c r="C525" s="56" t="s">
        <v>1009</v>
      </c>
      <c r="D525" s="57">
        <v>2</v>
      </c>
    </row>
    <row r="526" spans="2:4" ht="25.5" x14ac:dyDescent="0.2">
      <c r="B526" s="55" t="s">
        <v>1010</v>
      </c>
      <c r="C526" s="56" t="s">
        <v>1011</v>
      </c>
      <c r="D526" s="57">
        <v>3</v>
      </c>
    </row>
    <row r="527" spans="2:4" ht="25.5" x14ac:dyDescent="0.2">
      <c r="B527" s="55">
        <v>493261</v>
      </c>
      <c r="C527" s="56" t="s">
        <v>1012</v>
      </c>
      <c r="D527" s="57">
        <v>2</v>
      </c>
    </row>
    <row r="528" spans="2:4" x14ac:dyDescent="0.2">
      <c r="B528" s="55">
        <v>493262</v>
      </c>
      <c r="C528" s="56" t="s">
        <v>1013</v>
      </c>
      <c r="D528" s="57">
        <v>3</v>
      </c>
    </row>
    <row r="529" spans="2:4" ht="25.5" x14ac:dyDescent="0.2">
      <c r="B529" s="55">
        <v>493263</v>
      </c>
      <c r="C529" s="56" t="s">
        <v>1014</v>
      </c>
      <c r="D529" s="57">
        <v>2</v>
      </c>
    </row>
    <row r="530" spans="2:4" ht="25.5" x14ac:dyDescent="0.2">
      <c r="B530" s="55">
        <v>493264</v>
      </c>
      <c r="C530" s="56" t="s">
        <v>1015</v>
      </c>
      <c r="D530" s="57">
        <v>2</v>
      </c>
    </row>
    <row r="531" spans="2:4" x14ac:dyDescent="0.2">
      <c r="B531" s="55">
        <v>493265</v>
      </c>
      <c r="C531" s="56" t="s">
        <v>1016</v>
      </c>
      <c r="D531" s="57">
        <v>3</v>
      </c>
    </row>
    <row r="532" spans="2:4" x14ac:dyDescent="0.2">
      <c r="B532" s="55">
        <v>493266</v>
      </c>
      <c r="C532" s="56" t="s">
        <v>1017</v>
      </c>
      <c r="D532" s="57">
        <v>2</v>
      </c>
    </row>
    <row r="533" spans="2:4" x14ac:dyDescent="0.2">
      <c r="B533" s="55">
        <v>493267</v>
      </c>
      <c r="C533" s="56" t="s">
        <v>1018</v>
      </c>
      <c r="D533" s="57">
        <v>3</v>
      </c>
    </row>
    <row r="534" spans="2:4" x14ac:dyDescent="0.2">
      <c r="B534" s="55">
        <v>493268</v>
      </c>
      <c r="C534" s="56" t="s">
        <v>1019</v>
      </c>
      <c r="D534" s="57">
        <v>2</v>
      </c>
    </row>
    <row r="535" spans="2:4" x14ac:dyDescent="0.2">
      <c r="B535" s="55" t="s">
        <v>1020</v>
      </c>
      <c r="C535" s="56" t="s">
        <v>1021</v>
      </c>
      <c r="D535" s="57">
        <v>3</v>
      </c>
    </row>
    <row r="536" spans="2:4" x14ac:dyDescent="0.2">
      <c r="B536" s="55">
        <v>508451</v>
      </c>
      <c r="C536" s="56" t="s">
        <v>1022</v>
      </c>
      <c r="D536" s="57">
        <v>3</v>
      </c>
    </row>
    <row r="537" spans="2:4" x14ac:dyDescent="0.2">
      <c r="B537" s="55">
        <v>508452</v>
      </c>
      <c r="C537" s="56" t="s">
        <v>1023</v>
      </c>
      <c r="D537" s="57">
        <v>3</v>
      </c>
    </row>
    <row r="538" spans="2:4" x14ac:dyDescent="0.2">
      <c r="B538" s="55" t="s">
        <v>1024</v>
      </c>
      <c r="C538" s="56" t="s">
        <v>1025</v>
      </c>
      <c r="D538" s="57">
        <v>2</v>
      </c>
    </row>
    <row r="539" spans="2:4" x14ac:dyDescent="0.2">
      <c r="B539" s="55" t="s">
        <v>1026</v>
      </c>
      <c r="C539" s="56" t="s">
        <v>1027</v>
      </c>
      <c r="D539" s="57">
        <v>2</v>
      </c>
    </row>
    <row r="540" spans="2:4" x14ac:dyDescent="0.2">
      <c r="B540" s="55" t="s">
        <v>1028</v>
      </c>
      <c r="C540" s="56" t="s">
        <v>1029</v>
      </c>
      <c r="D540" s="57">
        <v>2</v>
      </c>
    </row>
    <row r="541" spans="2:4" x14ac:dyDescent="0.2">
      <c r="B541" s="55" t="s">
        <v>1030</v>
      </c>
      <c r="C541" s="56" t="s">
        <v>1031</v>
      </c>
      <c r="D541" s="57">
        <v>3</v>
      </c>
    </row>
    <row r="542" spans="2:4" x14ac:dyDescent="0.2">
      <c r="B542" s="55" t="s">
        <v>1032</v>
      </c>
      <c r="C542" s="56" t="s">
        <v>1033</v>
      </c>
      <c r="D542" s="57">
        <v>3</v>
      </c>
    </row>
    <row r="543" spans="2:4" x14ac:dyDescent="0.2">
      <c r="B543" s="55" t="s">
        <v>1034</v>
      </c>
      <c r="C543" s="56" t="s">
        <v>1035</v>
      </c>
      <c r="D543" s="57">
        <v>3</v>
      </c>
    </row>
    <row r="544" spans="2:4" ht="25.5" x14ac:dyDescent="0.2">
      <c r="B544" s="55" t="s">
        <v>1036</v>
      </c>
      <c r="C544" s="56" t="s">
        <v>1037</v>
      </c>
      <c r="D544" s="57">
        <v>3</v>
      </c>
    </row>
    <row r="545" spans="2:4" x14ac:dyDescent="0.2">
      <c r="B545" s="55">
        <v>515724</v>
      </c>
      <c r="C545" s="56" t="s">
        <v>1038</v>
      </c>
      <c r="D545" s="57">
        <v>2</v>
      </c>
    </row>
    <row r="546" spans="2:4" x14ac:dyDescent="0.2">
      <c r="B546" s="55">
        <v>515725</v>
      </c>
      <c r="C546" s="56" t="s">
        <v>1039</v>
      </c>
      <c r="D546" s="57">
        <v>2</v>
      </c>
    </row>
    <row r="547" spans="2:4" ht="25.5" x14ac:dyDescent="0.2">
      <c r="B547" s="55">
        <v>515726</v>
      </c>
      <c r="C547" s="56" t="s">
        <v>1040</v>
      </c>
      <c r="D547" s="57">
        <v>1</v>
      </c>
    </row>
    <row r="548" spans="2:4" x14ac:dyDescent="0.2">
      <c r="B548" s="55">
        <v>515727</v>
      </c>
      <c r="C548" s="56" t="s">
        <v>1041</v>
      </c>
      <c r="D548" s="57">
        <v>3</v>
      </c>
    </row>
    <row r="549" spans="2:4" x14ac:dyDescent="0.2">
      <c r="B549" s="55">
        <v>516333</v>
      </c>
      <c r="C549" s="56" t="s">
        <v>1042</v>
      </c>
      <c r="D549" s="57">
        <v>3</v>
      </c>
    </row>
    <row r="550" spans="2:4" x14ac:dyDescent="0.2">
      <c r="B550" s="55">
        <v>516334</v>
      </c>
      <c r="C550" s="56" t="s">
        <v>1043</v>
      </c>
      <c r="D550" s="57">
        <v>2</v>
      </c>
    </row>
    <row r="551" spans="2:4" ht="25.5" x14ac:dyDescent="0.2">
      <c r="B551" s="55" t="s">
        <v>1044</v>
      </c>
      <c r="C551" s="56" t="s">
        <v>1045</v>
      </c>
      <c r="D551" s="57">
        <v>3</v>
      </c>
    </row>
    <row r="552" spans="2:4" x14ac:dyDescent="0.2">
      <c r="B552" s="55">
        <v>516636</v>
      </c>
      <c r="C552" s="56" t="s">
        <v>1046</v>
      </c>
      <c r="D552" s="57">
        <v>1</v>
      </c>
    </row>
    <row r="553" spans="2:4" ht="25.5" x14ac:dyDescent="0.2">
      <c r="B553" s="55">
        <v>516637</v>
      </c>
      <c r="C553" s="56" t="s">
        <v>1047</v>
      </c>
      <c r="D553" s="57">
        <v>3</v>
      </c>
    </row>
    <row r="554" spans="2:4" x14ac:dyDescent="0.2">
      <c r="B554" s="55">
        <v>516638</v>
      </c>
      <c r="C554" s="56" t="s">
        <v>1048</v>
      </c>
      <c r="D554" s="57">
        <v>2</v>
      </c>
    </row>
    <row r="555" spans="2:4" x14ac:dyDescent="0.2">
      <c r="B555" s="55">
        <v>516639</v>
      </c>
      <c r="C555" s="56" t="s">
        <v>1049</v>
      </c>
      <c r="D555" s="57">
        <v>3</v>
      </c>
    </row>
    <row r="556" spans="2:4" x14ac:dyDescent="0.2">
      <c r="B556" s="55">
        <v>516640</v>
      </c>
      <c r="C556" s="56" t="s">
        <v>1050</v>
      </c>
      <c r="D556" s="57">
        <v>2</v>
      </c>
    </row>
    <row r="557" spans="2:4" ht="25.5" x14ac:dyDescent="0.2">
      <c r="B557" s="55">
        <v>516641</v>
      </c>
      <c r="C557" s="56" t="s">
        <v>1051</v>
      </c>
      <c r="D557" s="57">
        <v>3</v>
      </c>
    </row>
    <row r="558" spans="2:4" ht="25.5" x14ac:dyDescent="0.2">
      <c r="B558" s="55">
        <v>516642</v>
      </c>
      <c r="C558" s="56" t="s">
        <v>1052</v>
      </c>
      <c r="D558" s="57">
        <v>3</v>
      </c>
    </row>
    <row r="559" spans="2:4" ht="25.5" x14ac:dyDescent="0.2">
      <c r="B559" s="55">
        <v>516643</v>
      </c>
      <c r="C559" s="56" t="s">
        <v>1053</v>
      </c>
      <c r="D559" s="57">
        <v>3</v>
      </c>
    </row>
    <row r="560" spans="2:4" ht="25.5" x14ac:dyDescent="0.2">
      <c r="B560" s="55">
        <v>516644</v>
      </c>
      <c r="C560" s="56" t="s">
        <v>1054</v>
      </c>
      <c r="D560" s="57">
        <v>3</v>
      </c>
    </row>
    <row r="561" spans="2:4" ht="25.5" x14ac:dyDescent="0.2">
      <c r="B561" s="55">
        <v>516645</v>
      </c>
      <c r="C561" s="56" t="s">
        <v>1055</v>
      </c>
      <c r="D561" s="57">
        <v>3</v>
      </c>
    </row>
    <row r="562" spans="2:4" x14ac:dyDescent="0.2">
      <c r="B562" s="55">
        <v>516646</v>
      </c>
      <c r="C562" s="56" t="s">
        <v>1056</v>
      </c>
      <c r="D562" s="57">
        <v>3</v>
      </c>
    </row>
    <row r="563" spans="2:4" x14ac:dyDescent="0.2">
      <c r="B563" s="55">
        <v>516647</v>
      </c>
      <c r="C563" s="56" t="s">
        <v>1057</v>
      </c>
      <c r="D563" s="57">
        <v>3</v>
      </c>
    </row>
    <row r="564" spans="2:4" x14ac:dyDescent="0.2">
      <c r="B564" s="55">
        <v>516648</v>
      </c>
      <c r="C564" s="56" t="s">
        <v>1058</v>
      </c>
      <c r="D564" s="57">
        <v>3</v>
      </c>
    </row>
    <row r="565" spans="2:4" ht="25.5" x14ac:dyDescent="0.2">
      <c r="B565" s="55">
        <v>516649</v>
      </c>
      <c r="C565" s="56" t="s">
        <v>1059</v>
      </c>
      <c r="D565" s="57">
        <v>3</v>
      </c>
    </row>
    <row r="566" spans="2:4" ht="25.5" x14ac:dyDescent="0.2">
      <c r="B566" s="55">
        <v>516650</v>
      </c>
      <c r="C566" s="56" t="s">
        <v>1060</v>
      </c>
      <c r="D566" s="57">
        <v>2</v>
      </c>
    </row>
    <row r="567" spans="2:4" x14ac:dyDescent="0.2">
      <c r="B567" s="55">
        <v>516651</v>
      </c>
      <c r="C567" s="56" t="s">
        <v>1061</v>
      </c>
      <c r="D567" s="57">
        <v>3</v>
      </c>
    </row>
    <row r="568" spans="2:4" ht="25.5" x14ac:dyDescent="0.2">
      <c r="B568" s="55">
        <v>516652</v>
      </c>
      <c r="C568" s="56" t="s">
        <v>1062</v>
      </c>
      <c r="D568" s="57">
        <v>3</v>
      </c>
    </row>
    <row r="569" spans="2:4" ht="25.5" x14ac:dyDescent="0.2">
      <c r="B569" s="55">
        <v>516653</v>
      </c>
      <c r="C569" s="56" t="s">
        <v>1063</v>
      </c>
      <c r="D569" s="57">
        <v>3</v>
      </c>
    </row>
    <row r="570" spans="2:4" ht="25.5" x14ac:dyDescent="0.2">
      <c r="B570" s="55">
        <v>516654</v>
      </c>
      <c r="C570" s="56" t="s">
        <v>1064</v>
      </c>
      <c r="D570" s="57">
        <v>3</v>
      </c>
    </row>
    <row r="571" spans="2:4" ht="25.5" x14ac:dyDescent="0.2">
      <c r="B571" s="55">
        <v>516655</v>
      </c>
      <c r="C571" s="56" t="s">
        <v>1065</v>
      </c>
      <c r="D571" s="57">
        <v>2</v>
      </c>
    </row>
    <row r="572" spans="2:4" ht="25.5" x14ac:dyDescent="0.2">
      <c r="B572" s="55">
        <v>516656</v>
      </c>
      <c r="C572" s="56" t="s">
        <v>1066</v>
      </c>
      <c r="D572" s="57">
        <v>3</v>
      </c>
    </row>
    <row r="573" spans="2:4" x14ac:dyDescent="0.2">
      <c r="B573" s="55">
        <v>516657</v>
      </c>
      <c r="C573" s="56" t="s">
        <v>1067</v>
      </c>
      <c r="D573" s="57">
        <v>3</v>
      </c>
    </row>
    <row r="574" spans="2:4" ht="25.5" x14ac:dyDescent="0.2">
      <c r="B574" s="55" t="s">
        <v>1068</v>
      </c>
      <c r="C574" s="56" t="s">
        <v>1069</v>
      </c>
      <c r="D574" s="57">
        <v>3</v>
      </c>
    </row>
    <row r="575" spans="2:4" x14ac:dyDescent="0.2">
      <c r="B575" s="55" t="s">
        <v>1070</v>
      </c>
      <c r="C575" s="56" t="s">
        <v>1071</v>
      </c>
      <c r="D575" s="57">
        <v>3</v>
      </c>
    </row>
    <row r="576" spans="2:4" x14ac:dyDescent="0.2">
      <c r="B576" s="55">
        <v>517245</v>
      </c>
      <c r="C576" s="56" t="s">
        <v>1072</v>
      </c>
      <c r="D576" s="57">
        <v>2</v>
      </c>
    </row>
    <row r="577" spans="2:4" x14ac:dyDescent="0.2">
      <c r="B577" s="55">
        <v>517246</v>
      </c>
      <c r="C577" s="56" t="s">
        <v>1073</v>
      </c>
      <c r="D577" s="57">
        <v>1</v>
      </c>
    </row>
    <row r="578" spans="2:4" x14ac:dyDescent="0.2">
      <c r="B578" s="55">
        <v>517551</v>
      </c>
      <c r="C578" s="56" t="s">
        <v>1074</v>
      </c>
      <c r="D578" s="57">
        <v>3</v>
      </c>
    </row>
    <row r="579" spans="2:4" x14ac:dyDescent="0.2">
      <c r="B579" s="55">
        <v>517552</v>
      </c>
      <c r="C579" s="56" t="s">
        <v>1075</v>
      </c>
      <c r="D579" s="57">
        <v>2</v>
      </c>
    </row>
    <row r="580" spans="2:4" ht="25.5" x14ac:dyDescent="0.2">
      <c r="B580" s="55" t="s">
        <v>1076</v>
      </c>
      <c r="C580" s="56" t="s">
        <v>1077</v>
      </c>
      <c r="D580" s="57">
        <v>3</v>
      </c>
    </row>
    <row r="581" spans="2:4" x14ac:dyDescent="0.2">
      <c r="B581" s="55" t="s">
        <v>1078</v>
      </c>
      <c r="C581" s="56" t="s">
        <v>1079</v>
      </c>
      <c r="D581" s="57">
        <v>3</v>
      </c>
    </row>
    <row r="582" spans="2:4" x14ac:dyDescent="0.2">
      <c r="B582" s="55">
        <v>522054</v>
      </c>
      <c r="C582" s="56" t="s">
        <v>1080</v>
      </c>
      <c r="D582" s="57">
        <v>3</v>
      </c>
    </row>
    <row r="583" spans="2:4" x14ac:dyDescent="0.2">
      <c r="B583" s="55" t="s">
        <v>1081</v>
      </c>
      <c r="C583" s="56" t="s">
        <v>1082</v>
      </c>
      <c r="D583" s="57">
        <v>3</v>
      </c>
    </row>
    <row r="584" spans="2:4" x14ac:dyDescent="0.2">
      <c r="B584" s="55" t="s">
        <v>1083</v>
      </c>
      <c r="C584" s="56" t="s">
        <v>1084</v>
      </c>
      <c r="D584" s="57">
        <v>3</v>
      </c>
    </row>
    <row r="585" spans="2:4" x14ac:dyDescent="0.2">
      <c r="B585" s="55" t="s">
        <v>1085</v>
      </c>
      <c r="C585" s="56" t="s">
        <v>1086</v>
      </c>
      <c r="D585" s="57">
        <v>3</v>
      </c>
    </row>
    <row r="586" spans="2:4" x14ac:dyDescent="0.2">
      <c r="B586" s="55" t="s">
        <v>1087</v>
      </c>
      <c r="C586" s="56" t="s">
        <v>1088</v>
      </c>
      <c r="D586" s="57">
        <v>1</v>
      </c>
    </row>
    <row r="587" spans="2:4" x14ac:dyDescent="0.2">
      <c r="B587" s="55" t="s">
        <v>1089</v>
      </c>
      <c r="C587" s="56" t="s">
        <v>1090</v>
      </c>
      <c r="D587" s="57">
        <v>3</v>
      </c>
    </row>
    <row r="588" spans="2:4" x14ac:dyDescent="0.2">
      <c r="B588" s="55">
        <v>591785</v>
      </c>
      <c r="C588" s="56" t="s">
        <v>1091</v>
      </c>
      <c r="D588" s="57">
        <v>2</v>
      </c>
    </row>
    <row r="589" spans="2:4" x14ac:dyDescent="0.2">
      <c r="B589" s="55">
        <v>591786</v>
      </c>
      <c r="C589" s="56" t="s">
        <v>1092</v>
      </c>
      <c r="D589" s="57">
        <v>2</v>
      </c>
    </row>
    <row r="590" spans="2:4" x14ac:dyDescent="0.2">
      <c r="B590" s="55" t="s">
        <v>1093</v>
      </c>
      <c r="C590" s="56" t="s">
        <v>1094</v>
      </c>
      <c r="D590" s="57">
        <v>2</v>
      </c>
    </row>
    <row r="591" spans="2:4" x14ac:dyDescent="0.2">
      <c r="B591" s="55">
        <v>621066</v>
      </c>
      <c r="C591" s="56" t="s">
        <v>1095</v>
      </c>
      <c r="D591" s="57">
        <v>3</v>
      </c>
    </row>
    <row r="592" spans="2:4" x14ac:dyDescent="0.2">
      <c r="B592" s="55">
        <v>621067</v>
      </c>
      <c r="C592" s="56" t="s">
        <v>1096</v>
      </c>
      <c r="D592" s="57">
        <v>2</v>
      </c>
    </row>
    <row r="593" spans="2:4" x14ac:dyDescent="0.2">
      <c r="B593" s="55" t="s">
        <v>1097</v>
      </c>
      <c r="C593" s="56" t="s">
        <v>1098</v>
      </c>
      <c r="D593" s="57">
        <v>3</v>
      </c>
    </row>
    <row r="594" spans="2:4" x14ac:dyDescent="0.2">
      <c r="B594" s="55" t="s">
        <v>1099</v>
      </c>
      <c r="C594" s="56" t="s">
        <v>1100</v>
      </c>
      <c r="D594" s="57">
        <v>3</v>
      </c>
    </row>
    <row r="595" spans="2:4" x14ac:dyDescent="0.2">
      <c r="B595" s="55" t="s">
        <v>1101</v>
      </c>
      <c r="C595" s="56" t="s">
        <v>1102</v>
      </c>
      <c r="D595" s="57">
        <v>3</v>
      </c>
    </row>
    <row r="596" spans="2:4" x14ac:dyDescent="0.2">
      <c r="B596" s="55" t="s">
        <v>1103</v>
      </c>
      <c r="C596" s="56" t="s">
        <v>1104</v>
      </c>
      <c r="D596" s="57">
        <v>2</v>
      </c>
    </row>
    <row r="597" spans="2:4" x14ac:dyDescent="0.2">
      <c r="B597" s="55" t="s">
        <v>1105</v>
      </c>
      <c r="C597" s="56" t="s">
        <v>1106</v>
      </c>
      <c r="D597" s="57">
        <v>3</v>
      </c>
    </row>
    <row r="598" spans="2:4" x14ac:dyDescent="0.2">
      <c r="B598" s="55" t="s">
        <v>1107</v>
      </c>
      <c r="C598" s="56" t="s">
        <v>1108</v>
      </c>
      <c r="D598" s="57">
        <v>3</v>
      </c>
    </row>
    <row r="599" spans="2:4" x14ac:dyDescent="0.2">
      <c r="B599" s="55">
        <v>705528</v>
      </c>
      <c r="C599" s="56" t="s">
        <v>1109</v>
      </c>
      <c r="D599" s="57">
        <v>3</v>
      </c>
    </row>
    <row r="600" spans="2:4" x14ac:dyDescent="0.2">
      <c r="B600" s="55" t="s">
        <v>1110</v>
      </c>
      <c r="C600" s="56" t="s">
        <v>1111</v>
      </c>
      <c r="D600" s="57">
        <v>3</v>
      </c>
    </row>
    <row r="601" spans="2:4" x14ac:dyDescent="0.2">
      <c r="B601" s="55" t="s">
        <v>1112</v>
      </c>
      <c r="C601" s="56" t="s">
        <v>1113</v>
      </c>
      <c r="D601" s="57">
        <v>3</v>
      </c>
    </row>
    <row r="602" spans="2:4" x14ac:dyDescent="0.2">
      <c r="B602" s="55">
        <v>708297</v>
      </c>
      <c r="C602" s="56" t="s">
        <v>1114</v>
      </c>
      <c r="D602" s="57">
        <v>3</v>
      </c>
    </row>
    <row r="603" spans="2:4" x14ac:dyDescent="0.2">
      <c r="B603" s="55" t="s">
        <v>1115</v>
      </c>
      <c r="C603" s="56" t="s">
        <v>1116</v>
      </c>
      <c r="D603" s="57">
        <v>3</v>
      </c>
    </row>
    <row r="604" spans="2:4" x14ac:dyDescent="0.2">
      <c r="B604" s="55" t="s">
        <v>1117</v>
      </c>
      <c r="C604" s="56" t="s">
        <v>1118</v>
      </c>
      <c r="D604" s="57">
        <v>2</v>
      </c>
    </row>
    <row r="605" spans="2:4" x14ac:dyDescent="0.2">
      <c r="B605" s="55" t="s">
        <v>1119</v>
      </c>
      <c r="C605" s="56" t="s">
        <v>1120</v>
      </c>
      <c r="D605" s="57">
        <v>3</v>
      </c>
    </row>
    <row r="606" spans="2:4" x14ac:dyDescent="0.2">
      <c r="B606" s="55" t="s">
        <v>1121</v>
      </c>
      <c r="C606" s="56" t="s">
        <v>1122</v>
      </c>
      <c r="D606" s="57">
        <v>3</v>
      </c>
    </row>
    <row r="607" spans="2:4" x14ac:dyDescent="0.2">
      <c r="B607" s="55">
        <v>844077</v>
      </c>
      <c r="C607" s="56" t="s">
        <v>1123</v>
      </c>
      <c r="D607" s="57">
        <v>3</v>
      </c>
    </row>
    <row r="608" spans="2:4" x14ac:dyDescent="0.2">
      <c r="B608" s="55">
        <v>844078</v>
      </c>
      <c r="C608" s="56" t="s">
        <v>1124</v>
      </c>
      <c r="D608" s="57">
        <v>3</v>
      </c>
    </row>
    <row r="609" spans="2:4" x14ac:dyDescent="0.2">
      <c r="B609" s="55" t="s">
        <v>1125</v>
      </c>
      <c r="C609" s="56" t="s">
        <v>1126</v>
      </c>
      <c r="D609" s="57">
        <v>3</v>
      </c>
    </row>
    <row r="610" spans="2:4" x14ac:dyDescent="0.2">
      <c r="B610" s="55" t="s">
        <v>1127</v>
      </c>
      <c r="C610" s="56" t="s">
        <v>1128</v>
      </c>
      <c r="D610" s="57">
        <v>3</v>
      </c>
    </row>
    <row r="611" spans="2:4" x14ac:dyDescent="0.2">
      <c r="B611" s="55">
        <v>847973</v>
      </c>
      <c r="C611" s="56" t="s">
        <v>1129</v>
      </c>
      <c r="D611" s="57">
        <v>3</v>
      </c>
    </row>
    <row r="612" spans="2:4" x14ac:dyDescent="0.2">
      <c r="B612" s="55">
        <v>847974</v>
      </c>
      <c r="C612" s="56" t="s">
        <v>1130</v>
      </c>
      <c r="D612" s="57">
        <v>3</v>
      </c>
    </row>
    <row r="613" spans="2:4" x14ac:dyDescent="0.2">
      <c r="B613" s="55">
        <v>847975</v>
      </c>
      <c r="C613" s="56" t="s">
        <v>1131</v>
      </c>
      <c r="D613" s="57">
        <v>3</v>
      </c>
    </row>
    <row r="614" spans="2:4" x14ac:dyDescent="0.2">
      <c r="B614" s="55">
        <v>847976</v>
      </c>
      <c r="C614" s="56" t="s">
        <v>1132</v>
      </c>
      <c r="D614" s="57">
        <v>3</v>
      </c>
    </row>
    <row r="615" spans="2:4" x14ac:dyDescent="0.2">
      <c r="B615" s="55">
        <v>847977</v>
      </c>
      <c r="C615" s="56" t="s">
        <v>1133</v>
      </c>
      <c r="D615" s="57">
        <v>3</v>
      </c>
    </row>
    <row r="616" spans="2:4" ht="25.5" x14ac:dyDescent="0.2">
      <c r="B616" s="55">
        <v>848276</v>
      </c>
      <c r="C616" s="56" t="s">
        <v>1134</v>
      </c>
      <c r="D616" s="57">
        <v>3</v>
      </c>
    </row>
    <row r="617" spans="2:4" x14ac:dyDescent="0.2">
      <c r="B617" s="55">
        <v>848277</v>
      </c>
      <c r="C617" s="56" t="s">
        <v>1135</v>
      </c>
      <c r="D617" s="57">
        <v>3</v>
      </c>
    </row>
    <row r="618" spans="2:4" x14ac:dyDescent="0.2">
      <c r="B618" s="55" t="s">
        <v>1136</v>
      </c>
      <c r="C618" s="56" t="s">
        <v>1137</v>
      </c>
      <c r="D618" s="57">
        <v>3</v>
      </c>
    </row>
    <row r="619" spans="2:4" x14ac:dyDescent="0.2">
      <c r="B619" s="55" t="s">
        <v>1138</v>
      </c>
      <c r="C619" s="56" t="s">
        <v>1139</v>
      </c>
      <c r="D619" s="57">
        <v>3</v>
      </c>
    </row>
    <row r="620" spans="2:4" x14ac:dyDescent="0.2">
      <c r="B620" s="55">
        <v>873875</v>
      </c>
      <c r="C620" s="56" t="s">
        <v>1140</v>
      </c>
      <c r="D620" s="57">
        <v>3</v>
      </c>
    </row>
    <row r="621" spans="2:4" x14ac:dyDescent="0.2">
      <c r="B621" s="55">
        <v>873876</v>
      </c>
      <c r="C621" s="56" t="s">
        <v>1141</v>
      </c>
      <c r="D621" s="57">
        <v>3</v>
      </c>
    </row>
    <row r="622" spans="2:4" x14ac:dyDescent="0.2">
      <c r="B622" s="55">
        <v>876339</v>
      </c>
      <c r="C622" s="56" t="s">
        <v>1142</v>
      </c>
      <c r="D622" s="57">
        <v>3</v>
      </c>
    </row>
    <row r="623" spans="2:4" x14ac:dyDescent="0.2">
      <c r="B623" s="55" t="s">
        <v>1143</v>
      </c>
      <c r="C623" s="56" t="s">
        <v>1144</v>
      </c>
      <c r="D623" s="57">
        <v>3</v>
      </c>
    </row>
    <row r="624" spans="2:4" x14ac:dyDescent="0.2">
      <c r="B624" s="55">
        <v>880813</v>
      </c>
      <c r="C624" s="56" t="s">
        <v>1145</v>
      </c>
      <c r="D624" s="57">
        <v>3</v>
      </c>
    </row>
    <row r="625" spans="2:4" x14ac:dyDescent="0.2">
      <c r="B625" s="55">
        <v>880814</v>
      </c>
      <c r="C625" s="56" t="s">
        <v>1146</v>
      </c>
      <c r="D625" s="57">
        <v>3</v>
      </c>
    </row>
    <row r="626" spans="2:4" x14ac:dyDescent="0.2">
      <c r="B626" s="55" t="s">
        <v>1147</v>
      </c>
      <c r="C626" s="56" t="s">
        <v>1148</v>
      </c>
      <c r="D626" s="57">
        <v>3</v>
      </c>
    </row>
    <row r="627" spans="2:4" x14ac:dyDescent="0.2">
      <c r="B627" s="55" t="s">
        <v>1149</v>
      </c>
      <c r="C627" s="56" t="s">
        <v>1150</v>
      </c>
      <c r="D627" s="57">
        <v>3</v>
      </c>
    </row>
    <row r="628" spans="2:4" x14ac:dyDescent="0.2">
      <c r="B628" s="55" t="s">
        <v>1151</v>
      </c>
      <c r="C628" s="56" t="s">
        <v>1152</v>
      </c>
      <c r="D628" s="57">
        <v>2</v>
      </c>
    </row>
    <row r="629" spans="2:4" x14ac:dyDescent="0.2">
      <c r="B629" s="55" t="s">
        <v>1153</v>
      </c>
      <c r="C629" s="56" t="s">
        <v>1154</v>
      </c>
      <c r="D629" s="57">
        <v>3</v>
      </c>
    </row>
    <row r="630" spans="2:4" x14ac:dyDescent="0.2">
      <c r="B630" s="55">
        <v>884678</v>
      </c>
      <c r="C630" s="56" t="s">
        <v>1155</v>
      </c>
      <c r="D630" s="57">
        <v>3</v>
      </c>
    </row>
    <row r="631" spans="2:4" ht="25.5" x14ac:dyDescent="0.2">
      <c r="B631" s="55">
        <v>884679</v>
      </c>
      <c r="C631" s="56" t="s">
        <v>1156</v>
      </c>
      <c r="D631" s="57">
        <v>3</v>
      </c>
    </row>
    <row r="632" spans="2:4" x14ac:dyDescent="0.2">
      <c r="B632" s="55">
        <v>884680</v>
      </c>
      <c r="C632" s="56" t="s">
        <v>1157</v>
      </c>
      <c r="D632" s="57">
        <v>3</v>
      </c>
    </row>
    <row r="633" spans="2:4" x14ac:dyDescent="0.2">
      <c r="B633" s="55">
        <v>887176</v>
      </c>
      <c r="C633" s="56" t="s">
        <v>1158</v>
      </c>
      <c r="D633" s="57">
        <v>2</v>
      </c>
    </row>
    <row r="634" spans="2:4" x14ac:dyDescent="0.2">
      <c r="B634" s="55">
        <v>887177</v>
      </c>
      <c r="C634" s="56" t="s">
        <v>1159</v>
      </c>
      <c r="D634" s="57">
        <v>2</v>
      </c>
    </row>
    <row r="635" spans="2:4" ht="25.5" x14ac:dyDescent="0.2">
      <c r="B635" s="55">
        <v>887178</v>
      </c>
      <c r="C635" s="56" t="s">
        <v>1160</v>
      </c>
      <c r="D635" s="57">
        <v>2</v>
      </c>
    </row>
    <row r="636" spans="2:4" ht="25.5" x14ac:dyDescent="0.2">
      <c r="B636" s="55">
        <v>887179</v>
      </c>
      <c r="C636" s="56" t="s">
        <v>1161</v>
      </c>
      <c r="D636" s="57">
        <v>3</v>
      </c>
    </row>
    <row r="637" spans="2:4" x14ac:dyDescent="0.2">
      <c r="B637" s="55">
        <v>887180</v>
      </c>
      <c r="C637" s="56" t="s">
        <v>1162</v>
      </c>
      <c r="D637" s="57">
        <v>3</v>
      </c>
    </row>
    <row r="638" spans="2:4" x14ac:dyDescent="0.2">
      <c r="B638" s="55" t="s">
        <v>1163</v>
      </c>
      <c r="C638" s="56" t="s">
        <v>1164</v>
      </c>
      <c r="D638" s="57">
        <v>3</v>
      </c>
    </row>
    <row r="639" spans="2:4" x14ac:dyDescent="0.2">
      <c r="B639" s="55">
        <v>887631</v>
      </c>
      <c r="C639" s="56" t="s">
        <v>1165</v>
      </c>
      <c r="D639" s="57">
        <v>3</v>
      </c>
    </row>
    <row r="640" spans="2:4" ht="25.5" x14ac:dyDescent="0.2">
      <c r="B640" s="55">
        <v>887632</v>
      </c>
      <c r="C640" s="56" t="s">
        <v>1166</v>
      </c>
      <c r="D640" s="57">
        <v>3</v>
      </c>
    </row>
    <row r="641" spans="2:4" x14ac:dyDescent="0.2">
      <c r="B641" s="55">
        <v>887633</v>
      </c>
      <c r="C641" s="56" t="s">
        <v>1167</v>
      </c>
      <c r="D641" s="57">
        <v>3</v>
      </c>
    </row>
    <row r="642" spans="2:4" x14ac:dyDescent="0.2">
      <c r="B642" s="55">
        <v>887634</v>
      </c>
      <c r="C642" s="56" t="s">
        <v>1168</v>
      </c>
      <c r="D642" s="57">
        <v>3</v>
      </c>
    </row>
    <row r="643" spans="2:4" x14ac:dyDescent="0.2">
      <c r="B643" s="55">
        <v>887635</v>
      </c>
      <c r="C643" s="56" t="s">
        <v>1169</v>
      </c>
      <c r="D643" s="57">
        <v>3</v>
      </c>
    </row>
    <row r="644" spans="2:4" x14ac:dyDescent="0.2">
      <c r="B644" s="55" t="s">
        <v>1170</v>
      </c>
      <c r="C644" s="56" t="s">
        <v>1171</v>
      </c>
      <c r="D644" s="57">
        <v>3</v>
      </c>
    </row>
    <row r="645" spans="2:4" x14ac:dyDescent="0.2">
      <c r="B645" s="55" t="s">
        <v>1172</v>
      </c>
      <c r="C645" s="56" t="s">
        <v>1173</v>
      </c>
      <c r="D645" s="57">
        <v>3</v>
      </c>
    </row>
    <row r="646" spans="2:4" x14ac:dyDescent="0.2">
      <c r="B646" s="55">
        <v>912743</v>
      </c>
      <c r="C646" s="56" t="s">
        <v>1174</v>
      </c>
      <c r="D646" s="57">
        <v>3</v>
      </c>
    </row>
    <row r="647" spans="2:4" x14ac:dyDescent="0.2">
      <c r="B647" s="55">
        <v>912744</v>
      </c>
      <c r="C647" s="56" t="s">
        <v>1175</v>
      </c>
      <c r="D647" s="57">
        <v>3</v>
      </c>
    </row>
    <row r="648" spans="2:4" x14ac:dyDescent="0.2">
      <c r="B648" s="55">
        <v>912745</v>
      </c>
      <c r="C648" s="56" t="s">
        <v>1176</v>
      </c>
      <c r="D648" s="57">
        <v>3</v>
      </c>
    </row>
    <row r="649" spans="2:4" ht="25.5" x14ac:dyDescent="0.2">
      <c r="B649" s="55">
        <v>912746</v>
      </c>
      <c r="C649" s="56" t="s">
        <v>1177</v>
      </c>
      <c r="D649" s="57">
        <v>3</v>
      </c>
    </row>
    <row r="650" spans="2:4" x14ac:dyDescent="0.2">
      <c r="B650" s="55">
        <v>912747</v>
      </c>
      <c r="C650" s="56" t="s">
        <v>1178</v>
      </c>
      <c r="D650" s="57">
        <v>3</v>
      </c>
    </row>
    <row r="651" spans="2:4" x14ac:dyDescent="0.2">
      <c r="B651" s="55" t="s">
        <v>1179</v>
      </c>
      <c r="C651" s="56" t="s">
        <v>1180</v>
      </c>
      <c r="D651" s="57">
        <v>3</v>
      </c>
    </row>
    <row r="652" spans="2:4" x14ac:dyDescent="0.2">
      <c r="B652" s="55">
        <v>953650</v>
      </c>
      <c r="C652" s="56" t="s">
        <v>1181</v>
      </c>
      <c r="D652" s="57">
        <v>2</v>
      </c>
    </row>
    <row r="653" spans="2:4" x14ac:dyDescent="0.2">
      <c r="B653" s="55">
        <v>953651</v>
      </c>
      <c r="C653" s="56" t="s">
        <v>1182</v>
      </c>
      <c r="D653" s="57">
        <v>3</v>
      </c>
    </row>
    <row r="654" spans="2:4" x14ac:dyDescent="0.2">
      <c r="B654" s="55">
        <v>953652</v>
      </c>
      <c r="C654" s="56" t="s">
        <v>1183</v>
      </c>
      <c r="D654" s="57">
        <v>2</v>
      </c>
    </row>
    <row r="655" spans="2:4" x14ac:dyDescent="0.2">
      <c r="B655" s="55">
        <v>953653</v>
      </c>
      <c r="C655" s="56" t="s">
        <v>1184</v>
      </c>
      <c r="D655" s="57">
        <v>2</v>
      </c>
    </row>
    <row r="656" spans="2:4" x14ac:dyDescent="0.2">
      <c r="B656" s="55">
        <v>953654</v>
      </c>
      <c r="C656" s="56" t="s">
        <v>1185</v>
      </c>
      <c r="D656" s="57">
        <v>3</v>
      </c>
    </row>
    <row r="657" spans="2:4" x14ac:dyDescent="0.2">
      <c r="B657" s="55">
        <v>953655</v>
      </c>
      <c r="C657" s="56" t="s">
        <v>1186</v>
      </c>
      <c r="D657" s="57">
        <v>1</v>
      </c>
    </row>
    <row r="658" spans="2:4" x14ac:dyDescent="0.2">
      <c r="B658" s="55">
        <v>954259</v>
      </c>
      <c r="C658" s="56" t="s">
        <v>1187</v>
      </c>
      <c r="D658" s="57">
        <v>2</v>
      </c>
    </row>
    <row r="659" spans="2:4" x14ac:dyDescent="0.2">
      <c r="B659" s="55">
        <v>954260</v>
      </c>
      <c r="C659" s="56" t="s">
        <v>1188</v>
      </c>
      <c r="D659" s="57">
        <v>3</v>
      </c>
    </row>
    <row r="660" spans="2:4" x14ac:dyDescent="0.2">
      <c r="B660" s="55" t="s">
        <v>1189</v>
      </c>
      <c r="C660" s="56" t="s">
        <v>1190</v>
      </c>
      <c r="D660" s="57">
        <v>3</v>
      </c>
    </row>
    <row r="661" spans="2:4" x14ac:dyDescent="0.2">
      <c r="B661" s="55" t="s">
        <v>1191</v>
      </c>
      <c r="C661" s="56" t="s">
        <v>1192</v>
      </c>
      <c r="D661" s="57">
        <v>3</v>
      </c>
    </row>
    <row r="662" spans="2:4" x14ac:dyDescent="0.2">
      <c r="B662" s="55" t="s">
        <v>1193</v>
      </c>
      <c r="C662" s="56" t="s">
        <v>1194</v>
      </c>
      <c r="D662" s="57">
        <v>3</v>
      </c>
    </row>
    <row r="663" spans="2:4" x14ac:dyDescent="0.2">
      <c r="B663" s="55" t="s">
        <v>1195</v>
      </c>
      <c r="C663" s="56" t="s">
        <v>1196</v>
      </c>
      <c r="D663" s="57">
        <v>2</v>
      </c>
    </row>
    <row r="664" spans="2:4" x14ac:dyDescent="0.2">
      <c r="B664" s="55" t="s">
        <v>1197</v>
      </c>
      <c r="C664" s="56" t="s">
        <v>1198</v>
      </c>
      <c r="D664" s="57">
        <v>3</v>
      </c>
    </row>
    <row r="665" spans="2:4" x14ac:dyDescent="0.2">
      <c r="B665" s="55" t="s">
        <v>1199</v>
      </c>
      <c r="C665" s="56" t="s">
        <v>1200</v>
      </c>
      <c r="D665" s="57">
        <v>3</v>
      </c>
    </row>
    <row r="666" spans="2:4" ht="25.5" x14ac:dyDescent="0.2">
      <c r="B666" s="55" t="s">
        <v>1201</v>
      </c>
      <c r="C666" s="56" t="s">
        <v>1202</v>
      </c>
      <c r="D666" s="57">
        <v>3</v>
      </c>
    </row>
    <row r="667" spans="2:4" x14ac:dyDescent="0.2">
      <c r="B667" s="55">
        <v>960771</v>
      </c>
      <c r="C667" s="56" t="s">
        <v>1203</v>
      </c>
      <c r="D667" s="57">
        <v>2</v>
      </c>
    </row>
    <row r="668" spans="2:4" x14ac:dyDescent="0.2">
      <c r="B668" s="55">
        <v>960772</v>
      </c>
      <c r="C668" s="56" t="s">
        <v>1204</v>
      </c>
      <c r="D668" s="57">
        <v>2</v>
      </c>
    </row>
    <row r="669" spans="2:4" x14ac:dyDescent="0.2">
      <c r="B669" s="55">
        <v>960773</v>
      </c>
      <c r="C669" s="56" t="s">
        <v>1205</v>
      </c>
      <c r="D669" s="57">
        <v>2</v>
      </c>
    </row>
    <row r="670" spans="2:4" x14ac:dyDescent="0.2">
      <c r="B670" s="55">
        <v>960774</v>
      </c>
      <c r="C670" s="56" t="s">
        <v>1206</v>
      </c>
      <c r="D670" s="57">
        <v>2</v>
      </c>
    </row>
    <row r="671" spans="2:4" x14ac:dyDescent="0.2">
      <c r="B671" s="55">
        <v>960775</v>
      </c>
      <c r="C671" s="56" t="s">
        <v>1207</v>
      </c>
      <c r="D671" s="57">
        <v>2</v>
      </c>
    </row>
    <row r="672" spans="2:4" ht="25.5" x14ac:dyDescent="0.2">
      <c r="B672" s="55">
        <v>960776</v>
      </c>
      <c r="C672" s="56" t="s">
        <v>1208</v>
      </c>
      <c r="D672" s="57">
        <v>2</v>
      </c>
    </row>
    <row r="673" spans="2:4" x14ac:dyDescent="0.2">
      <c r="B673" s="55">
        <v>964639</v>
      </c>
      <c r="C673" s="56" t="s">
        <v>1209</v>
      </c>
      <c r="D673" s="57">
        <v>2</v>
      </c>
    </row>
    <row r="674" spans="2:4" x14ac:dyDescent="0.2">
      <c r="B674" s="55">
        <v>964640</v>
      </c>
      <c r="C674" s="56" t="s">
        <v>1210</v>
      </c>
      <c r="D674" s="57">
        <v>3</v>
      </c>
    </row>
    <row r="675" spans="2:4" x14ac:dyDescent="0.2">
      <c r="B675" s="55">
        <v>964641</v>
      </c>
      <c r="C675" s="56" t="s">
        <v>1211</v>
      </c>
      <c r="D675" s="57">
        <v>3</v>
      </c>
    </row>
    <row r="676" spans="2:4" x14ac:dyDescent="0.2">
      <c r="B676" s="55">
        <v>964642</v>
      </c>
      <c r="C676" s="56" t="s">
        <v>1212</v>
      </c>
      <c r="D676" s="57">
        <v>3</v>
      </c>
    </row>
    <row r="677" spans="2:4" x14ac:dyDescent="0.2">
      <c r="B677" s="55">
        <v>964643</v>
      </c>
      <c r="C677" s="56" t="s">
        <v>1213</v>
      </c>
      <c r="D677" s="57">
        <v>3</v>
      </c>
    </row>
    <row r="678" spans="2:4" ht="25.5" x14ac:dyDescent="0.2">
      <c r="B678" s="55">
        <v>964973</v>
      </c>
      <c r="C678" s="56" t="s">
        <v>1214</v>
      </c>
      <c r="D678" s="57">
        <v>1</v>
      </c>
    </row>
    <row r="679" spans="2:4" x14ac:dyDescent="0.2">
      <c r="B679" s="55">
        <v>964974</v>
      </c>
      <c r="C679" s="56" t="s">
        <v>1215</v>
      </c>
      <c r="D679" s="57">
        <v>2</v>
      </c>
    </row>
    <row r="680" spans="2:4" x14ac:dyDescent="0.2">
      <c r="B680" s="55" t="s">
        <v>1216</v>
      </c>
      <c r="C680" s="56" t="s">
        <v>1217</v>
      </c>
      <c r="D680" s="57">
        <v>2</v>
      </c>
    </row>
    <row r="681" spans="2:4" ht="25.5" x14ac:dyDescent="0.2">
      <c r="B681" s="55" t="s">
        <v>1218</v>
      </c>
      <c r="C681" s="56" t="s">
        <v>1219</v>
      </c>
      <c r="D681" s="57">
        <v>3</v>
      </c>
    </row>
    <row r="682" spans="2:4" ht="25.5" x14ac:dyDescent="0.2">
      <c r="B682" s="55" t="s">
        <v>1220</v>
      </c>
      <c r="C682" s="56" t="s">
        <v>1221</v>
      </c>
      <c r="D682" s="57">
        <v>2</v>
      </c>
    </row>
    <row r="683" spans="2:4" ht="25.5" x14ac:dyDescent="0.2">
      <c r="B683" s="55" t="s">
        <v>1222</v>
      </c>
      <c r="C683" s="56" t="s">
        <v>1223</v>
      </c>
      <c r="D683" s="57">
        <v>3</v>
      </c>
    </row>
    <row r="684" spans="2:4" ht="25.5" x14ac:dyDescent="0.2">
      <c r="B684" s="55" t="s">
        <v>1224</v>
      </c>
      <c r="C684" s="56" t="s">
        <v>1225</v>
      </c>
      <c r="D684" s="57">
        <v>2</v>
      </c>
    </row>
    <row r="685" spans="2:4" ht="25.5" x14ac:dyDescent="0.2">
      <c r="B685" s="55" t="s">
        <v>1226</v>
      </c>
      <c r="C685" s="56" t="s">
        <v>1227</v>
      </c>
      <c r="D685" s="57">
        <v>2</v>
      </c>
    </row>
    <row r="686" spans="2:4" ht="25.5" x14ac:dyDescent="0.2">
      <c r="B686" s="55" t="s">
        <v>1228</v>
      </c>
      <c r="C686" s="56" t="s">
        <v>1229</v>
      </c>
      <c r="D686" s="57">
        <v>1</v>
      </c>
    </row>
    <row r="687" spans="2:4" ht="25.5" x14ac:dyDescent="0.2">
      <c r="B687" s="55" t="s">
        <v>1230</v>
      </c>
      <c r="C687" s="56" t="s">
        <v>1231</v>
      </c>
      <c r="D687" s="57">
        <v>3</v>
      </c>
    </row>
    <row r="688" spans="2:4" ht="25.5" x14ac:dyDescent="0.2">
      <c r="B688" s="55">
        <v>992821</v>
      </c>
      <c r="C688" s="56" t="s">
        <v>1232</v>
      </c>
      <c r="D688" s="57">
        <v>2</v>
      </c>
    </row>
    <row r="689" spans="2:4" ht="25.5" x14ac:dyDescent="0.2">
      <c r="B689" s="55">
        <v>992822</v>
      </c>
      <c r="C689" s="56" t="s">
        <v>1233</v>
      </c>
      <c r="D689" s="57">
        <v>2</v>
      </c>
    </row>
    <row r="690" spans="2:4" ht="25.5" x14ac:dyDescent="0.2">
      <c r="B690" s="55">
        <v>992823</v>
      </c>
      <c r="C690" s="56" t="s">
        <v>1234</v>
      </c>
      <c r="D690" s="57">
        <v>3</v>
      </c>
    </row>
    <row r="691" spans="2:4" ht="25.5" x14ac:dyDescent="0.2">
      <c r="B691" s="55" t="s">
        <v>1235</v>
      </c>
      <c r="C691" s="56" t="s">
        <v>1236</v>
      </c>
      <c r="D691" s="57">
        <v>2</v>
      </c>
    </row>
    <row r="692" spans="2:4" ht="25.5" x14ac:dyDescent="0.2">
      <c r="B692" s="55" t="s">
        <v>1237</v>
      </c>
      <c r="C692" s="56" t="s">
        <v>1238</v>
      </c>
      <c r="D692" s="57">
        <v>2</v>
      </c>
    </row>
    <row r="693" spans="2:4" x14ac:dyDescent="0.2">
      <c r="B693" s="55" t="s">
        <v>1239</v>
      </c>
      <c r="C693" s="56" t="s">
        <v>1240</v>
      </c>
      <c r="D693" s="57">
        <v>3</v>
      </c>
    </row>
    <row r="694" spans="2:4" x14ac:dyDescent="0.2">
      <c r="B694" s="55" t="s">
        <v>1241</v>
      </c>
      <c r="C694" s="56" t="s">
        <v>1242</v>
      </c>
      <c r="D694" s="57">
        <v>3</v>
      </c>
    </row>
    <row r="695" spans="2:4" x14ac:dyDescent="0.2">
      <c r="B695" s="55">
        <v>994557</v>
      </c>
      <c r="C695" s="56" t="s">
        <v>1243</v>
      </c>
      <c r="D695" s="57">
        <v>3</v>
      </c>
    </row>
    <row r="696" spans="2:4" ht="25.5" x14ac:dyDescent="0.2">
      <c r="B696" s="55">
        <v>994558</v>
      </c>
      <c r="C696" s="56" t="s">
        <v>1244</v>
      </c>
      <c r="D696" s="57">
        <v>3</v>
      </c>
    </row>
    <row r="697" spans="2:4" x14ac:dyDescent="0.2">
      <c r="B697" s="55">
        <v>994559</v>
      </c>
      <c r="C697" s="56" t="s">
        <v>1245</v>
      </c>
      <c r="D697" s="57">
        <v>2</v>
      </c>
    </row>
    <row r="698" spans="2:4" x14ac:dyDescent="0.2">
      <c r="B698" s="55">
        <v>994560</v>
      </c>
      <c r="C698" s="56" t="s">
        <v>1246</v>
      </c>
      <c r="D698" s="57">
        <v>3</v>
      </c>
    </row>
    <row r="699" spans="2:4" x14ac:dyDescent="0.2">
      <c r="B699" s="55">
        <v>994561</v>
      </c>
      <c r="C699" s="56" t="s">
        <v>1247</v>
      </c>
      <c r="D699" s="57">
        <v>2</v>
      </c>
    </row>
    <row r="700" spans="2:4" x14ac:dyDescent="0.2">
      <c r="B700" s="55">
        <v>994562</v>
      </c>
      <c r="C700" s="56" t="s">
        <v>1248</v>
      </c>
      <c r="D700" s="57">
        <v>3</v>
      </c>
    </row>
    <row r="701" spans="2:4" x14ac:dyDescent="0.2">
      <c r="B701" s="55">
        <v>994563</v>
      </c>
      <c r="C701" s="56" t="s">
        <v>1249</v>
      </c>
      <c r="D701" s="57">
        <v>2</v>
      </c>
    </row>
    <row r="702" spans="2:4" ht="25.5" x14ac:dyDescent="0.2">
      <c r="B702" s="55">
        <v>994564</v>
      </c>
      <c r="C702" s="56" t="s">
        <v>1250</v>
      </c>
      <c r="D702" s="57">
        <v>3</v>
      </c>
    </row>
    <row r="703" spans="2:4" x14ac:dyDescent="0.2">
      <c r="B703" s="55">
        <v>994565</v>
      </c>
      <c r="C703" s="56" t="s">
        <v>1251</v>
      </c>
      <c r="D703" s="57">
        <v>3</v>
      </c>
    </row>
    <row r="704" spans="2:4" x14ac:dyDescent="0.2">
      <c r="B704" s="55" t="s">
        <v>1252</v>
      </c>
      <c r="C704" s="56" t="s">
        <v>1253</v>
      </c>
      <c r="D704" s="57">
        <v>3</v>
      </c>
    </row>
    <row r="705" spans="2:4" x14ac:dyDescent="0.2">
      <c r="B705" s="55" t="s">
        <v>1254</v>
      </c>
      <c r="C705" s="56" t="s">
        <v>1255</v>
      </c>
      <c r="D705" s="57">
        <v>3</v>
      </c>
    </row>
    <row r="706" spans="2:4" x14ac:dyDescent="0.2">
      <c r="B706" s="55" t="s">
        <v>1256</v>
      </c>
      <c r="C706" s="56" t="s">
        <v>1257</v>
      </c>
      <c r="D706" s="57">
        <v>3</v>
      </c>
    </row>
    <row r="707" spans="2:4" x14ac:dyDescent="0.2">
      <c r="B707" s="55" t="s">
        <v>1258</v>
      </c>
      <c r="C707" s="56" t="s">
        <v>1259</v>
      </c>
      <c r="D707" s="57">
        <v>3</v>
      </c>
    </row>
    <row r="708" spans="2:4" ht="25.5" x14ac:dyDescent="0.2">
      <c r="B708" s="55" t="s">
        <v>1260</v>
      </c>
      <c r="C708" s="56" t="s">
        <v>1261</v>
      </c>
      <c r="D708" s="57">
        <v>3</v>
      </c>
    </row>
    <row r="709" spans="2:4" ht="25.5" x14ac:dyDescent="0.2">
      <c r="B709" s="55">
        <v>998422</v>
      </c>
      <c r="C709" s="56" t="s">
        <v>1262</v>
      </c>
      <c r="D709" s="57">
        <v>3</v>
      </c>
    </row>
    <row r="710" spans="2:4" x14ac:dyDescent="0.2">
      <c r="B710" s="55">
        <v>998423</v>
      </c>
      <c r="C710" s="56" t="s">
        <v>1263</v>
      </c>
      <c r="D710" s="57">
        <v>2</v>
      </c>
    </row>
    <row r="711" spans="2:4" x14ac:dyDescent="0.2">
      <c r="B711" s="55">
        <v>998424</v>
      </c>
      <c r="C711" s="56" t="s">
        <v>1264</v>
      </c>
      <c r="D711" s="57">
        <v>2</v>
      </c>
    </row>
    <row r="712" spans="2:4" x14ac:dyDescent="0.2">
      <c r="B712" s="55">
        <v>998726</v>
      </c>
      <c r="C712" s="56" t="s">
        <v>1265</v>
      </c>
      <c r="D712" s="57">
        <v>3</v>
      </c>
    </row>
    <row r="713" spans="2:4" x14ac:dyDescent="0.2">
      <c r="B713" s="55">
        <v>998727</v>
      </c>
      <c r="C713" s="56" t="s">
        <v>1266</v>
      </c>
      <c r="D713" s="57">
        <v>3</v>
      </c>
    </row>
    <row r="714" spans="2:4" x14ac:dyDescent="0.2">
      <c r="B714" s="55">
        <v>998728</v>
      </c>
      <c r="C714" s="56" t="s">
        <v>1267</v>
      </c>
      <c r="D714" s="57">
        <v>3</v>
      </c>
    </row>
    <row r="715" spans="2:4" x14ac:dyDescent="0.2">
      <c r="B715" s="55" t="s">
        <v>1268</v>
      </c>
      <c r="C715" s="56" t="s">
        <v>1269</v>
      </c>
      <c r="D715" s="57">
        <v>2</v>
      </c>
    </row>
    <row r="716" spans="2:4" x14ac:dyDescent="0.2">
      <c r="B716" s="55">
        <v>999030</v>
      </c>
      <c r="C716" s="56" t="s">
        <v>1270</v>
      </c>
      <c r="D716" s="57">
        <v>3</v>
      </c>
    </row>
    <row r="717" spans="2:4" x14ac:dyDescent="0.2">
      <c r="B717" s="55">
        <v>999031</v>
      </c>
      <c r="C717" s="56" t="s">
        <v>1271</v>
      </c>
      <c r="D717" s="57">
        <v>3</v>
      </c>
    </row>
    <row r="718" spans="2:4" ht="25.5" x14ac:dyDescent="0.2">
      <c r="B718" s="55">
        <v>999032</v>
      </c>
      <c r="C718" s="56" t="s">
        <v>1272</v>
      </c>
      <c r="D718" s="57">
        <v>3</v>
      </c>
    </row>
    <row r="719" spans="2:4" x14ac:dyDescent="0.2">
      <c r="B719" s="55" t="s">
        <v>1273</v>
      </c>
      <c r="C719" s="56" t="s">
        <v>1274</v>
      </c>
      <c r="D719" s="57">
        <v>3</v>
      </c>
    </row>
    <row r="720" spans="2:4" x14ac:dyDescent="0.2">
      <c r="B720" s="55">
        <v>999336</v>
      </c>
      <c r="C720" s="56" t="s">
        <v>1275</v>
      </c>
      <c r="D720" s="57">
        <v>3</v>
      </c>
    </row>
    <row r="721" spans="2:4" x14ac:dyDescent="0.2">
      <c r="B721" s="55">
        <v>999337</v>
      </c>
      <c r="C721" s="56" t="s">
        <v>1276</v>
      </c>
      <c r="D721" s="57">
        <v>2</v>
      </c>
    </row>
    <row r="722" spans="2:4" x14ac:dyDescent="0.2">
      <c r="B722" s="55">
        <v>999671</v>
      </c>
      <c r="C722" s="56" t="s">
        <v>1277</v>
      </c>
      <c r="D722" s="57">
        <v>3</v>
      </c>
    </row>
    <row r="723" spans="2:4" x14ac:dyDescent="0.2">
      <c r="B723" s="55">
        <v>999672</v>
      </c>
      <c r="C723" s="56" t="s">
        <v>1278</v>
      </c>
      <c r="D723" s="57">
        <v>2</v>
      </c>
    </row>
    <row r="724" spans="2:4" x14ac:dyDescent="0.2">
      <c r="B724" s="55">
        <v>999673</v>
      </c>
      <c r="C724" s="56" t="s">
        <v>1279</v>
      </c>
      <c r="D724" s="57">
        <v>2</v>
      </c>
    </row>
    <row r="725" spans="2:4" x14ac:dyDescent="0.2">
      <c r="B725" s="55">
        <v>999674</v>
      </c>
      <c r="C725" s="56" t="s">
        <v>1280</v>
      </c>
      <c r="D725" s="57">
        <v>2</v>
      </c>
    </row>
    <row r="726" spans="2:4" x14ac:dyDescent="0.2">
      <c r="B726" s="55">
        <v>999675</v>
      </c>
      <c r="C726" s="56" t="s">
        <v>1281</v>
      </c>
      <c r="D726" s="57">
        <v>3</v>
      </c>
    </row>
    <row r="727" spans="2:4" x14ac:dyDescent="0.2">
      <c r="B727" s="55">
        <v>999676</v>
      </c>
      <c r="C727" s="56" t="s">
        <v>1282</v>
      </c>
      <c r="D727" s="57">
        <v>2</v>
      </c>
    </row>
    <row r="728" spans="2:4" x14ac:dyDescent="0.2">
      <c r="B728" s="55">
        <v>999677</v>
      </c>
      <c r="C728" s="56" t="s">
        <v>1283</v>
      </c>
      <c r="D728" s="57">
        <v>3</v>
      </c>
    </row>
    <row r="729" spans="2:4" ht="25.5" x14ac:dyDescent="0.2">
      <c r="B729" s="55" t="s">
        <v>1284</v>
      </c>
      <c r="C729" s="56" t="s">
        <v>1285</v>
      </c>
      <c r="D729" s="57">
        <v>3</v>
      </c>
    </row>
    <row r="730" spans="2:4" x14ac:dyDescent="0.2">
      <c r="B730" s="55">
        <v>1000582</v>
      </c>
      <c r="C730" s="56" t="s">
        <v>1286</v>
      </c>
      <c r="D730" s="57">
        <v>3</v>
      </c>
    </row>
    <row r="731" spans="2:4" ht="25.5" x14ac:dyDescent="0.2">
      <c r="B731" s="55">
        <v>1000583</v>
      </c>
      <c r="C731" s="56" t="s">
        <v>1287</v>
      </c>
      <c r="D731" s="57">
        <v>3</v>
      </c>
    </row>
    <row r="732" spans="2:4" x14ac:dyDescent="0.2">
      <c r="B732" s="55">
        <v>1001375</v>
      </c>
      <c r="C732" s="56" t="s">
        <v>1288</v>
      </c>
      <c r="D732" s="57">
        <v>2</v>
      </c>
    </row>
    <row r="733" spans="2:4" x14ac:dyDescent="0.2">
      <c r="B733" s="55">
        <v>1001376</v>
      </c>
      <c r="C733" s="56" t="s">
        <v>1289</v>
      </c>
      <c r="D733" s="57">
        <v>3</v>
      </c>
    </row>
    <row r="734" spans="2:4" x14ac:dyDescent="0.2">
      <c r="B734" s="55">
        <v>1001377</v>
      </c>
      <c r="C734" s="56" t="s">
        <v>1290</v>
      </c>
      <c r="D734" s="57">
        <v>3</v>
      </c>
    </row>
    <row r="735" spans="2:4" ht="25.5" x14ac:dyDescent="0.2">
      <c r="B735" s="55">
        <v>1001678</v>
      </c>
      <c r="C735" s="56" t="s">
        <v>1291</v>
      </c>
      <c r="D735" s="57">
        <v>1</v>
      </c>
    </row>
    <row r="736" spans="2:4" ht="25.5" x14ac:dyDescent="0.2">
      <c r="B736" s="55">
        <v>1001679</v>
      </c>
      <c r="C736" s="56" t="s">
        <v>1292</v>
      </c>
      <c r="D736" s="57">
        <v>2</v>
      </c>
    </row>
    <row r="737" spans="2:4" x14ac:dyDescent="0.2">
      <c r="B737" s="55">
        <v>1001982</v>
      </c>
      <c r="C737" s="56" t="s">
        <v>1293</v>
      </c>
      <c r="D737" s="57">
        <v>2</v>
      </c>
    </row>
    <row r="738" spans="2:4" x14ac:dyDescent="0.2">
      <c r="B738" s="55">
        <v>1001983</v>
      </c>
      <c r="C738" s="56" t="s">
        <v>1294</v>
      </c>
      <c r="D738" s="57">
        <v>1</v>
      </c>
    </row>
    <row r="739" spans="2:4" x14ac:dyDescent="0.2">
      <c r="B739" s="55">
        <v>1002287</v>
      </c>
      <c r="C739" s="56" t="s">
        <v>1295</v>
      </c>
      <c r="D739" s="57">
        <v>2</v>
      </c>
    </row>
    <row r="740" spans="2:4" x14ac:dyDescent="0.2">
      <c r="B740" s="55">
        <v>1002288</v>
      </c>
      <c r="C740" s="56" t="s">
        <v>1296</v>
      </c>
      <c r="D740" s="57">
        <v>2</v>
      </c>
    </row>
    <row r="741" spans="2:4" ht="25.5" x14ac:dyDescent="0.2">
      <c r="B741" s="55">
        <v>1002593</v>
      </c>
      <c r="C741" s="56" t="s">
        <v>1297</v>
      </c>
      <c r="D741" s="57">
        <v>1</v>
      </c>
    </row>
    <row r="742" spans="2:4" x14ac:dyDescent="0.2">
      <c r="B742" s="55">
        <v>1002594</v>
      </c>
      <c r="C742" s="56" t="s">
        <v>1298</v>
      </c>
      <c r="D742" s="57">
        <v>2</v>
      </c>
    </row>
    <row r="743" spans="2:4" x14ac:dyDescent="0.2">
      <c r="B743" s="55">
        <v>1002595</v>
      </c>
      <c r="C743" s="56" t="s">
        <v>1299</v>
      </c>
      <c r="D743" s="57">
        <v>2</v>
      </c>
    </row>
    <row r="744" spans="2:4" x14ac:dyDescent="0.2">
      <c r="B744" s="55" t="s">
        <v>1300</v>
      </c>
      <c r="C744" s="56" t="s">
        <v>1301</v>
      </c>
      <c r="D744" s="57">
        <v>2</v>
      </c>
    </row>
    <row r="745" spans="2:4" x14ac:dyDescent="0.2">
      <c r="B745" s="55" t="s">
        <v>1302</v>
      </c>
      <c r="C745" s="56" t="s">
        <v>1303</v>
      </c>
      <c r="D745" s="57">
        <v>2</v>
      </c>
    </row>
    <row r="746" spans="2:4" x14ac:dyDescent="0.2">
      <c r="B746" s="55">
        <v>1003535</v>
      </c>
      <c r="C746" s="56" t="s">
        <v>1304</v>
      </c>
      <c r="D746" s="57">
        <v>2</v>
      </c>
    </row>
    <row r="747" spans="2:4" x14ac:dyDescent="0.2">
      <c r="B747" s="55">
        <v>1003536</v>
      </c>
      <c r="C747" s="56" t="s">
        <v>1305</v>
      </c>
      <c r="D747" s="57">
        <v>3</v>
      </c>
    </row>
    <row r="748" spans="2:4" x14ac:dyDescent="0.2">
      <c r="B748" s="55">
        <v>1004144</v>
      </c>
      <c r="C748" s="56" t="s">
        <v>1306</v>
      </c>
      <c r="D748" s="57">
        <v>2</v>
      </c>
    </row>
    <row r="749" spans="2:4" x14ac:dyDescent="0.2">
      <c r="B749" s="55">
        <v>1004145</v>
      </c>
      <c r="C749" s="56" t="s">
        <v>1307</v>
      </c>
      <c r="D749" s="57">
        <v>3</v>
      </c>
    </row>
    <row r="750" spans="2:4" x14ac:dyDescent="0.2">
      <c r="B750" s="55">
        <v>1004146</v>
      </c>
      <c r="C750" s="56" t="s">
        <v>1308</v>
      </c>
      <c r="D750" s="57">
        <v>3</v>
      </c>
    </row>
    <row r="751" spans="2:4" x14ac:dyDescent="0.2">
      <c r="B751" s="55">
        <v>1004147</v>
      </c>
      <c r="C751" s="56" t="s">
        <v>1309</v>
      </c>
      <c r="D751" s="57">
        <v>3</v>
      </c>
    </row>
    <row r="752" spans="2:4" x14ac:dyDescent="0.2">
      <c r="B752" s="55">
        <v>1004148</v>
      </c>
      <c r="C752" s="56" t="s">
        <v>1310</v>
      </c>
      <c r="D752" s="57">
        <v>2</v>
      </c>
    </row>
    <row r="753" spans="2:4" x14ac:dyDescent="0.2">
      <c r="B753" s="55">
        <v>1004149</v>
      </c>
      <c r="C753" s="56" t="s">
        <v>1311</v>
      </c>
      <c r="D753" s="57">
        <v>2</v>
      </c>
    </row>
    <row r="754" spans="2:4" x14ac:dyDescent="0.2">
      <c r="B754" s="55">
        <v>1004150</v>
      </c>
      <c r="C754" s="56" t="s">
        <v>1312</v>
      </c>
      <c r="D754" s="57">
        <v>1</v>
      </c>
    </row>
    <row r="755" spans="2:4" x14ac:dyDescent="0.2">
      <c r="B755" s="55">
        <v>1004151</v>
      </c>
      <c r="C755" s="56" t="s">
        <v>1313</v>
      </c>
      <c r="D755" s="57">
        <v>3</v>
      </c>
    </row>
    <row r="756" spans="2:4" ht="25.5" x14ac:dyDescent="0.2">
      <c r="B756" s="55">
        <v>1004152</v>
      </c>
      <c r="C756" s="56" t="s">
        <v>1314</v>
      </c>
      <c r="D756" s="57">
        <v>2</v>
      </c>
    </row>
    <row r="757" spans="2:4" ht="25.5" x14ac:dyDescent="0.2">
      <c r="B757" s="55">
        <v>1004153</v>
      </c>
      <c r="C757" s="56" t="s">
        <v>1315</v>
      </c>
      <c r="D757" s="57">
        <v>1</v>
      </c>
    </row>
    <row r="758" spans="2:4" ht="25.5" x14ac:dyDescent="0.2">
      <c r="B758" s="55" t="s">
        <v>1316</v>
      </c>
      <c r="C758" s="56" t="s">
        <v>1317</v>
      </c>
      <c r="D758" s="57">
        <v>2</v>
      </c>
    </row>
    <row r="759" spans="2:4" x14ac:dyDescent="0.2">
      <c r="B759" s="55">
        <v>1004935</v>
      </c>
      <c r="C759" s="56" t="s">
        <v>1318</v>
      </c>
      <c r="D759" s="57">
        <v>1</v>
      </c>
    </row>
    <row r="760" spans="2:4" x14ac:dyDescent="0.2">
      <c r="B760" s="55">
        <v>1004936</v>
      </c>
      <c r="C760" s="56" t="s">
        <v>1319</v>
      </c>
      <c r="D760" s="57">
        <v>1</v>
      </c>
    </row>
    <row r="761" spans="2:4" ht="25.5" x14ac:dyDescent="0.2">
      <c r="B761" s="55" t="s">
        <v>1320</v>
      </c>
      <c r="C761" s="56" t="s">
        <v>1321</v>
      </c>
      <c r="D761" s="57">
        <v>1</v>
      </c>
    </row>
    <row r="762" spans="2:4" ht="25.5" x14ac:dyDescent="0.2">
      <c r="B762" s="55" t="s">
        <v>1322</v>
      </c>
      <c r="C762" s="56" t="s">
        <v>1323</v>
      </c>
      <c r="D762" s="57">
        <v>2</v>
      </c>
    </row>
    <row r="763" spans="2:4" ht="25.5" x14ac:dyDescent="0.2">
      <c r="B763" s="55" t="s">
        <v>1324</v>
      </c>
      <c r="C763" s="56" t="s">
        <v>1325</v>
      </c>
      <c r="D763" s="57">
        <v>3</v>
      </c>
    </row>
    <row r="764" spans="2:4" x14ac:dyDescent="0.2">
      <c r="B764" s="55" t="s">
        <v>1326</v>
      </c>
      <c r="C764" s="56" t="s">
        <v>1327</v>
      </c>
      <c r="D764" s="57">
        <v>2</v>
      </c>
    </row>
    <row r="765" spans="2:4" ht="25.5" x14ac:dyDescent="0.2">
      <c r="B765" s="55" t="s">
        <v>1328</v>
      </c>
      <c r="C765" s="56" t="s">
        <v>1329</v>
      </c>
      <c r="D765" s="57">
        <v>2</v>
      </c>
    </row>
    <row r="766" spans="2:4" x14ac:dyDescent="0.2">
      <c r="B766" s="55" t="s">
        <v>1330</v>
      </c>
      <c r="C766" s="56" t="s">
        <v>1331</v>
      </c>
      <c r="D766" s="57">
        <v>2</v>
      </c>
    </row>
    <row r="767" spans="2:4" x14ac:dyDescent="0.2">
      <c r="B767" s="55">
        <v>1011602</v>
      </c>
      <c r="C767" s="56" t="s">
        <v>1332</v>
      </c>
      <c r="D767" s="57">
        <v>2</v>
      </c>
    </row>
    <row r="768" spans="2:4" ht="25.5" x14ac:dyDescent="0.2">
      <c r="B768" s="55" t="s">
        <v>1333</v>
      </c>
      <c r="C768" s="56" t="s">
        <v>1334</v>
      </c>
      <c r="D768" s="57">
        <v>2</v>
      </c>
    </row>
    <row r="769" spans="2:4" x14ac:dyDescent="0.2">
      <c r="B769" s="55" t="s">
        <v>1335</v>
      </c>
      <c r="C769" s="56" t="s">
        <v>1336</v>
      </c>
      <c r="D769" s="57">
        <v>3</v>
      </c>
    </row>
    <row r="770" spans="2:4" x14ac:dyDescent="0.2">
      <c r="B770" s="55" t="s">
        <v>1337</v>
      </c>
      <c r="C770" s="56" t="s">
        <v>1338</v>
      </c>
      <c r="D770" s="57">
        <v>3</v>
      </c>
    </row>
    <row r="771" spans="2:4" x14ac:dyDescent="0.2">
      <c r="B771" s="55" t="s">
        <v>1339</v>
      </c>
      <c r="C771" s="56" t="s">
        <v>1340</v>
      </c>
      <c r="D771" s="57">
        <v>2</v>
      </c>
    </row>
    <row r="772" spans="2:4" x14ac:dyDescent="0.2">
      <c r="B772" s="55" t="s">
        <v>1341</v>
      </c>
      <c r="C772" s="56" t="s">
        <v>1342</v>
      </c>
      <c r="D772" s="57">
        <v>2</v>
      </c>
    </row>
    <row r="773" spans="2:4" x14ac:dyDescent="0.2">
      <c r="B773" s="55">
        <v>1015162</v>
      </c>
      <c r="C773" s="56" t="s">
        <v>1343</v>
      </c>
      <c r="D773" s="57">
        <v>2</v>
      </c>
    </row>
    <row r="774" spans="2:4" x14ac:dyDescent="0.2">
      <c r="B774" s="55">
        <v>1015163</v>
      </c>
      <c r="C774" s="56" t="s">
        <v>1344</v>
      </c>
      <c r="D774" s="57">
        <v>3</v>
      </c>
    </row>
    <row r="775" spans="2:4" x14ac:dyDescent="0.2">
      <c r="B775" s="55">
        <v>1015164</v>
      </c>
      <c r="C775" s="56" t="s">
        <v>1345</v>
      </c>
      <c r="D775" s="57">
        <v>3</v>
      </c>
    </row>
    <row r="776" spans="2:4" ht="25.5" x14ac:dyDescent="0.2">
      <c r="B776" s="55">
        <v>1015165</v>
      </c>
      <c r="C776" s="56" t="s">
        <v>1346</v>
      </c>
      <c r="D776" s="57">
        <v>2</v>
      </c>
    </row>
    <row r="777" spans="2:4" x14ac:dyDescent="0.2">
      <c r="B777" s="55" t="s">
        <v>1347</v>
      </c>
      <c r="C777" s="56" t="s">
        <v>1348</v>
      </c>
      <c r="D777" s="57">
        <v>3</v>
      </c>
    </row>
    <row r="778" spans="2:4" ht="25.5" x14ac:dyDescent="0.2">
      <c r="B778" s="55">
        <v>1015954</v>
      </c>
      <c r="C778" s="56" t="s">
        <v>1349</v>
      </c>
      <c r="D778" s="57">
        <v>3</v>
      </c>
    </row>
    <row r="779" spans="2:4" x14ac:dyDescent="0.2">
      <c r="B779" s="55">
        <v>1015955</v>
      </c>
      <c r="C779" s="56" t="s">
        <v>1350</v>
      </c>
      <c r="D779" s="57">
        <v>3</v>
      </c>
    </row>
    <row r="780" spans="2:4" x14ac:dyDescent="0.2">
      <c r="B780" s="55">
        <v>1015956</v>
      </c>
      <c r="C780" s="56" t="s">
        <v>1351</v>
      </c>
      <c r="D780" s="57">
        <v>3</v>
      </c>
    </row>
    <row r="781" spans="2:4" x14ac:dyDescent="0.2">
      <c r="B781" s="55">
        <v>1015957</v>
      </c>
      <c r="C781" s="56" t="s">
        <v>1352</v>
      </c>
      <c r="D781" s="57">
        <v>2</v>
      </c>
    </row>
    <row r="782" spans="2:4" x14ac:dyDescent="0.2">
      <c r="B782" s="55">
        <v>1015958</v>
      </c>
      <c r="C782" s="56" t="s">
        <v>1353</v>
      </c>
      <c r="D782" s="57">
        <v>2</v>
      </c>
    </row>
    <row r="783" spans="2:4" x14ac:dyDescent="0.2">
      <c r="B783" s="55" t="s">
        <v>1354</v>
      </c>
      <c r="C783" s="56" t="s">
        <v>1355</v>
      </c>
      <c r="D783" s="57">
        <v>3</v>
      </c>
    </row>
    <row r="784" spans="2:4" ht="25.5" x14ac:dyDescent="0.2">
      <c r="B784" s="55" t="s">
        <v>1356</v>
      </c>
      <c r="C784" s="56" t="s">
        <v>1357</v>
      </c>
      <c r="D784" s="57">
        <v>2</v>
      </c>
    </row>
    <row r="785" spans="2:4" x14ac:dyDescent="0.2">
      <c r="B785" s="55">
        <v>1016868</v>
      </c>
      <c r="C785" s="56" t="s">
        <v>1358</v>
      </c>
      <c r="D785" s="57">
        <v>2</v>
      </c>
    </row>
    <row r="786" spans="2:4" x14ac:dyDescent="0.2">
      <c r="B786" s="55">
        <v>1016869</v>
      </c>
      <c r="C786" s="56" t="s">
        <v>1359</v>
      </c>
      <c r="D786" s="57">
        <v>3</v>
      </c>
    </row>
    <row r="787" spans="2:4" ht="25.5" x14ac:dyDescent="0.2">
      <c r="B787" s="55" t="s">
        <v>1360</v>
      </c>
      <c r="C787" s="56" t="s">
        <v>1361</v>
      </c>
      <c r="D787" s="57">
        <v>3</v>
      </c>
    </row>
    <row r="788" spans="2:4" ht="25.5" x14ac:dyDescent="0.2">
      <c r="B788" s="55" t="s">
        <v>1362</v>
      </c>
      <c r="C788" s="56" t="s">
        <v>1363</v>
      </c>
      <c r="D788" s="57">
        <v>3</v>
      </c>
    </row>
    <row r="789" spans="2:4" x14ac:dyDescent="0.2">
      <c r="B789" s="55">
        <v>1017811</v>
      </c>
      <c r="C789" s="56" t="s">
        <v>1364</v>
      </c>
      <c r="D789" s="57">
        <v>2</v>
      </c>
    </row>
    <row r="790" spans="2:4" x14ac:dyDescent="0.2">
      <c r="B790" s="55">
        <v>1017812</v>
      </c>
      <c r="C790" s="56" t="s">
        <v>1365</v>
      </c>
      <c r="D790" s="57">
        <v>3</v>
      </c>
    </row>
    <row r="791" spans="2:4" x14ac:dyDescent="0.2">
      <c r="B791" s="55">
        <v>1018114</v>
      </c>
      <c r="C791" s="56" t="s">
        <v>1366</v>
      </c>
      <c r="D791" s="57">
        <v>3</v>
      </c>
    </row>
    <row r="792" spans="2:4" x14ac:dyDescent="0.2">
      <c r="B792" s="55">
        <v>1018115</v>
      </c>
      <c r="C792" s="56" t="s">
        <v>1367</v>
      </c>
      <c r="D792" s="57">
        <v>3</v>
      </c>
    </row>
    <row r="793" spans="2:4" x14ac:dyDescent="0.2">
      <c r="B793" s="55">
        <v>1018116</v>
      </c>
      <c r="C793" s="56" t="s">
        <v>1368</v>
      </c>
      <c r="D793" s="57">
        <v>3</v>
      </c>
    </row>
    <row r="794" spans="2:4" x14ac:dyDescent="0.2">
      <c r="B794" s="55">
        <v>1018723</v>
      </c>
      <c r="C794" s="56" t="s">
        <v>1369</v>
      </c>
      <c r="D794" s="57">
        <v>2</v>
      </c>
    </row>
    <row r="795" spans="2:4" x14ac:dyDescent="0.2">
      <c r="B795" s="55">
        <v>1018724</v>
      </c>
      <c r="C795" s="56" t="s">
        <v>1370</v>
      </c>
      <c r="D795" s="57">
        <v>2</v>
      </c>
    </row>
    <row r="796" spans="2:4" ht="25.5" x14ac:dyDescent="0.2">
      <c r="B796" s="55" t="s">
        <v>1371</v>
      </c>
      <c r="C796" s="56" t="s">
        <v>1372</v>
      </c>
      <c r="D796" s="57">
        <v>2</v>
      </c>
    </row>
    <row r="797" spans="2:4" ht="25.5" x14ac:dyDescent="0.2">
      <c r="B797" s="55" t="s">
        <v>1373</v>
      </c>
      <c r="C797" s="56" t="s">
        <v>1374</v>
      </c>
      <c r="D797" s="57">
        <v>2</v>
      </c>
    </row>
    <row r="798" spans="2:4" ht="25.5" x14ac:dyDescent="0.2">
      <c r="B798" s="55" t="s">
        <v>1375</v>
      </c>
      <c r="C798" s="56" t="s">
        <v>1376</v>
      </c>
      <c r="D798" s="57">
        <v>2</v>
      </c>
    </row>
    <row r="799" spans="2:4" ht="25.5" x14ac:dyDescent="0.2">
      <c r="B799" s="55" t="s">
        <v>1377</v>
      </c>
      <c r="C799" s="56" t="s">
        <v>1378</v>
      </c>
      <c r="D799" s="57">
        <v>2</v>
      </c>
    </row>
    <row r="800" spans="2:4" ht="25.5" x14ac:dyDescent="0.2">
      <c r="B800" s="55">
        <v>1026757</v>
      </c>
      <c r="C800" s="56" t="s">
        <v>1379</v>
      </c>
      <c r="D800" s="57">
        <v>3</v>
      </c>
    </row>
    <row r="801" spans="2:4" ht="25.5" x14ac:dyDescent="0.2">
      <c r="B801" s="55">
        <v>1026758</v>
      </c>
      <c r="C801" s="56" t="s">
        <v>1380</v>
      </c>
      <c r="D801" s="57">
        <v>3</v>
      </c>
    </row>
    <row r="802" spans="2:4" ht="25.5" x14ac:dyDescent="0.2">
      <c r="B802" s="55" t="s">
        <v>1381</v>
      </c>
      <c r="C802" s="56" t="s">
        <v>1382</v>
      </c>
      <c r="D802" s="57">
        <v>2</v>
      </c>
    </row>
    <row r="803" spans="2:4" x14ac:dyDescent="0.2">
      <c r="B803" s="55" t="s">
        <v>1383</v>
      </c>
      <c r="C803" s="56" t="s">
        <v>1384</v>
      </c>
      <c r="D803" s="57">
        <v>3</v>
      </c>
    </row>
    <row r="804" spans="2:4" x14ac:dyDescent="0.2">
      <c r="B804" s="55" t="s">
        <v>1385</v>
      </c>
      <c r="C804" s="56" t="s">
        <v>1386</v>
      </c>
      <c r="D804" s="57">
        <v>2</v>
      </c>
    </row>
    <row r="805" spans="2:4" x14ac:dyDescent="0.2">
      <c r="B805" s="55" t="s">
        <v>1387</v>
      </c>
      <c r="C805" s="56" t="s">
        <v>1388</v>
      </c>
      <c r="D805" s="57">
        <v>2</v>
      </c>
    </row>
    <row r="806" spans="2:4" x14ac:dyDescent="0.2">
      <c r="B806" s="55">
        <v>1030351</v>
      </c>
      <c r="C806" s="56" t="s">
        <v>1389</v>
      </c>
      <c r="D806" s="57">
        <v>3</v>
      </c>
    </row>
    <row r="807" spans="2:4" x14ac:dyDescent="0.2">
      <c r="B807" s="55">
        <v>1030352</v>
      </c>
      <c r="C807" s="56" t="s">
        <v>1390</v>
      </c>
      <c r="D807" s="57">
        <v>2</v>
      </c>
    </row>
    <row r="808" spans="2:4" x14ac:dyDescent="0.2">
      <c r="B808" s="55">
        <v>1030353</v>
      </c>
      <c r="C808" s="56" t="s">
        <v>1391</v>
      </c>
      <c r="D808" s="57">
        <v>2</v>
      </c>
    </row>
    <row r="809" spans="2:4" x14ac:dyDescent="0.2">
      <c r="B809" s="55">
        <v>1030354</v>
      </c>
      <c r="C809" s="56" t="s">
        <v>1392</v>
      </c>
      <c r="D809" s="57">
        <v>3</v>
      </c>
    </row>
    <row r="810" spans="2:4" x14ac:dyDescent="0.2">
      <c r="B810" s="55">
        <v>1030959</v>
      </c>
      <c r="C810" s="56" t="s">
        <v>1393</v>
      </c>
      <c r="D810" s="57">
        <v>3</v>
      </c>
    </row>
    <row r="811" spans="2:4" x14ac:dyDescent="0.2">
      <c r="B811" s="55">
        <v>1030960</v>
      </c>
      <c r="C811" s="56" t="s">
        <v>1394</v>
      </c>
      <c r="D811" s="57">
        <v>2</v>
      </c>
    </row>
    <row r="812" spans="2:4" x14ac:dyDescent="0.2">
      <c r="B812" s="55" t="s">
        <v>1395</v>
      </c>
      <c r="C812" s="56" t="s">
        <v>1396</v>
      </c>
      <c r="D812" s="57">
        <v>3</v>
      </c>
    </row>
    <row r="813" spans="2:4" x14ac:dyDescent="0.2">
      <c r="B813" s="55" t="s">
        <v>1397</v>
      </c>
      <c r="C813" s="56" t="s">
        <v>1398</v>
      </c>
      <c r="D813" s="57">
        <v>3</v>
      </c>
    </row>
    <row r="814" spans="2:4" x14ac:dyDescent="0.2">
      <c r="B814" s="55">
        <v>1033424</v>
      </c>
      <c r="C814" s="56" t="s">
        <v>1399</v>
      </c>
      <c r="D814" s="57">
        <v>1</v>
      </c>
    </row>
    <row r="815" spans="2:4" ht="25.5" x14ac:dyDescent="0.2">
      <c r="B815" s="55" t="s">
        <v>1400</v>
      </c>
      <c r="C815" s="56" t="s">
        <v>1401</v>
      </c>
      <c r="D815" s="57">
        <v>2</v>
      </c>
    </row>
    <row r="816" spans="2:4" x14ac:dyDescent="0.2">
      <c r="B816" s="55" t="s">
        <v>1402</v>
      </c>
      <c r="C816" s="56" t="s">
        <v>1403</v>
      </c>
      <c r="D816" s="57">
        <v>3</v>
      </c>
    </row>
    <row r="817" spans="2:4" x14ac:dyDescent="0.2">
      <c r="B817" s="55" t="s">
        <v>1404</v>
      </c>
      <c r="C817" s="56" t="s">
        <v>1405</v>
      </c>
      <c r="D817" s="57">
        <v>2</v>
      </c>
    </row>
    <row r="818" spans="2:4" x14ac:dyDescent="0.2">
      <c r="B818" s="55" t="s">
        <v>1406</v>
      </c>
      <c r="C818" s="56" t="s">
        <v>1407</v>
      </c>
      <c r="D818" s="57">
        <v>2</v>
      </c>
    </row>
    <row r="819" spans="2:4" x14ac:dyDescent="0.2">
      <c r="B819" s="55" t="s">
        <v>1408</v>
      </c>
      <c r="C819" s="56" t="s">
        <v>1409</v>
      </c>
      <c r="D819" s="57">
        <v>3</v>
      </c>
    </row>
    <row r="820" spans="2:4" x14ac:dyDescent="0.2">
      <c r="B820" s="55" t="s">
        <v>1410</v>
      </c>
      <c r="C820" s="56" t="s">
        <v>1411</v>
      </c>
      <c r="D820" s="57">
        <v>3</v>
      </c>
    </row>
    <row r="821" spans="2:4" x14ac:dyDescent="0.2">
      <c r="B821" s="55" t="s">
        <v>1412</v>
      </c>
      <c r="C821" s="56" t="s">
        <v>1413</v>
      </c>
      <c r="D821" s="57">
        <v>3</v>
      </c>
    </row>
    <row r="822" spans="2:4" x14ac:dyDescent="0.2">
      <c r="B822" s="55" t="s">
        <v>1414</v>
      </c>
      <c r="C822" s="56" t="s">
        <v>1415</v>
      </c>
      <c r="D822" s="57">
        <v>3</v>
      </c>
    </row>
    <row r="823" spans="2:4" x14ac:dyDescent="0.2">
      <c r="B823" s="55" t="s">
        <v>1416</v>
      </c>
      <c r="C823" s="56" t="s">
        <v>1417</v>
      </c>
      <c r="D823" s="57">
        <v>2</v>
      </c>
    </row>
    <row r="824" spans="2:4" x14ac:dyDescent="0.2">
      <c r="B824" s="55" t="s">
        <v>1418</v>
      </c>
      <c r="C824" s="56" t="s">
        <v>1419</v>
      </c>
      <c r="D824" s="57">
        <v>3</v>
      </c>
    </row>
    <row r="825" spans="2:4" x14ac:dyDescent="0.2">
      <c r="B825" s="55" t="s">
        <v>1420</v>
      </c>
      <c r="C825" s="56" t="s">
        <v>1421</v>
      </c>
      <c r="D825" s="57">
        <v>3</v>
      </c>
    </row>
    <row r="826" spans="2:4" x14ac:dyDescent="0.2">
      <c r="B826" s="55" t="s">
        <v>1422</v>
      </c>
      <c r="C826" s="56" t="s">
        <v>1423</v>
      </c>
      <c r="D826" s="57">
        <v>3</v>
      </c>
    </row>
    <row r="827" spans="2:4" x14ac:dyDescent="0.2">
      <c r="B827" s="55" t="s">
        <v>1424</v>
      </c>
      <c r="C827" s="56" t="s">
        <v>1425</v>
      </c>
      <c r="D827" s="57">
        <v>2</v>
      </c>
    </row>
    <row r="828" spans="2:4" x14ac:dyDescent="0.2">
      <c r="B828" s="55" t="s">
        <v>1426</v>
      </c>
      <c r="C828" s="56" t="s">
        <v>1427</v>
      </c>
      <c r="D828" s="57">
        <v>2</v>
      </c>
    </row>
    <row r="829" spans="2:4" ht="25.5" x14ac:dyDescent="0.2">
      <c r="B829" s="55" t="s">
        <v>1428</v>
      </c>
      <c r="C829" s="56" t="s">
        <v>1429</v>
      </c>
      <c r="D829" s="57">
        <v>2</v>
      </c>
    </row>
    <row r="830" spans="2:4" x14ac:dyDescent="0.2">
      <c r="B830" s="55">
        <v>1042585</v>
      </c>
      <c r="C830" s="56" t="s">
        <v>1430</v>
      </c>
      <c r="D830" s="57">
        <v>2</v>
      </c>
    </row>
    <row r="831" spans="2:4" x14ac:dyDescent="0.2">
      <c r="B831" s="55">
        <v>1042586</v>
      </c>
      <c r="C831" s="56" t="s">
        <v>1431</v>
      </c>
      <c r="D831" s="57">
        <v>2</v>
      </c>
    </row>
    <row r="832" spans="2:4" x14ac:dyDescent="0.2">
      <c r="B832" s="55">
        <v>1042587</v>
      </c>
      <c r="C832" s="56" t="s">
        <v>1432</v>
      </c>
      <c r="D832" s="57">
        <v>2</v>
      </c>
    </row>
    <row r="833" spans="2:4" x14ac:dyDescent="0.2">
      <c r="B833" s="55">
        <v>1042889</v>
      </c>
      <c r="C833" s="56" t="s">
        <v>1433</v>
      </c>
      <c r="D833" s="57">
        <v>2</v>
      </c>
    </row>
    <row r="834" spans="2:4" x14ac:dyDescent="0.2">
      <c r="B834" s="55">
        <v>1042890</v>
      </c>
      <c r="C834" s="56" t="s">
        <v>1434</v>
      </c>
      <c r="D834" s="57">
        <v>2</v>
      </c>
    </row>
    <row r="835" spans="2:4" x14ac:dyDescent="0.2">
      <c r="B835" s="55">
        <v>1042891</v>
      </c>
      <c r="C835" s="56" t="s">
        <v>1435</v>
      </c>
      <c r="D835" s="57">
        <v>3</v>
      </c>
    </row>
    <row r="836" spans="2:4" x14ac:dyDescent="0.2">
      <c r="B836" s="55" t="s">
        <v>1436</v>
      </c>
      <c r="C836" s="56" t="s">
        <v>1437</v>
      </c>
      <c r="D836" s="57">
        <v>2</v>
      </c>
    </row>
    <row r="837" spans="2:4" ht="25.5" x14ac:dyDescent="0.2">
      <c r="B837" s="55" t="s">
        <v>1438</v>
      </c>
      <c r="C837" s="56" t="s">
        <v>1439</v>
      </c>
      <c r="D837" s="57">
        <v>2</v>
      </c>
    </row>
    <row r="838" spans="2:4" x14ac:dyDescent="0.2">
      <c r="B838" s="55">
        <v>1044442</v>
      </c>
      <c r="C838" s="56" t="s">
        <v>1440</v>
      </c>
      <c r="D838" s="57">
        <v>2</v>
      </c>
    </row>
    <row r="839" spans="2:4" ht="25.5" x14ac:dyDescent="0.2">
      <c r="B839" s="55" t="s">
        <v>1441</v>
      </c>
      <c r="C839" s="56" t="s">
        <v>1442</v>
      </c>
      <c r="D839" s="57">
        <v>2</v>
      </c>
    </row>
    <row r="840" spans="2:4" x14ac:dyDescent="0.2">
      <c r="B840" s="55" t="s">
        <v>1443</v>
      </c>
      <c r="C840" s="56" t="s">
        <v>1444</v>
      </c>
      <c r="D840" s="57">
        <v>1</v>
      </c>
    </row>
    <row r="841" spans="2:4" x14ac:dyDescent="0.2">
      <c r="B841" s="55" t="s">
        <v>1445</v>
      </c>
      <c r="C841" s="56" t="s">
        <v>1446</v>
      </c>
      <c r="D841" s="57">
        <v>1</v>
      </c>
    </row>
    <row r="842" spans="2:4" x14ac:dyDescent="0.2">
      <c r="B842" s="55" t="s">
        <v>1447</v>
      </c>
      <c r="C842" s="56" t="s">
        <v>1448</v>
      </c>
      <c r="D842" s="57">
        <v>2</v>
      </c>
    </row>
    <row r="843" spans="2:4" x14ac:dyDescent="0.2">
      <c r="B843" s="55" t="s">
        <v>1449</v>
      </c>
      <c r="C843" s="56" t="s">
        <v>1450</v>
      </c>
      <c r="D843" s="57">
        <v>1</v>
      </c>
    </row>
    <row r="844" spans="2:4" x14ac:dyDescent="0.2">
      <c r="B844" s="55">
        <v>1045842</v>
      </c>
      <c r="C844" s="56" t="s">
        <v>1451</v>
      </c>
      <c r="D844" s="57">
        <v>2</v>
      </c>
    </row>
    <row r="845" spans="2:4" x14ac:dyDescent="0.2">
      <c r="B845" s="55">
        <v>1045843</v>
      </c>
      <c r="C845" s="56" t="s">
        <v>1452</v>
      </c>
      <c r="D845" s="57">
        <v>1</v>
      </c>
    </row>
    <row r="846" spans="2:4" x14ac:dyDescent="0.2">
      <c r="B846" s="55">
        <v>1045844</v>
      </c>
      <c r="C846" s="56" t="s">
        <v>1453</v>
      </c>
      <c r="D846" s="57">
        <v>1</v>
      </c>
    </row>
    <row r="847" spans="2:4" x14ac:dyDescent="0.2">
      <c r="B847" s="55">
        <v>1045845</v>
      </c>
      <c r="C847" s="56" t="s">
        <v>1454</v>
      </c>
      <c r="D847" s="57">
        <v>1</v>
      </c>
    </row>
    <row r="848" spans="2:4" ht="25.5" x14ac:dyDescent="0.2">
      <c r="B848" s="55">
        <v>1045846</v>
      </c>
      <c r="C848" s="56" t="s">
        <v>1455</v>
      </c>
      <c r="D848" s="57">
        <v>2</v>
      </c>
    </row>
    <row r="849" spans="2:4" x14ac:dyDescent="0.2">
      <c r="B849" s="55">
        <v>1048794</v>
      </c>
      <c r="C849" s="56" t="s">
        <v>1456</v>
      </c>
      <c r="D849" s="57">
        <v>2</v>
      </c>
    </row>
    <row r="850" spans="2:4" x14ac:dyDescent="0.2">
      <c r="B850" s="55">
        <v>1048795</v>
      </c>
      <c r="C850" s="56" t="s">
        <v>1457</v>
      </c>
      <c r="D850" s="57">
        <v>2</v>
      </c>
    </row>
    <row r="851" spans="2:4" x14ac:dyDescent="0.2">
      <c r="B851" s="55">
        <v>1048796</v>
      </c>
      <c r="C851" s="56" t="s">
        <v>1458</v>
      </c>
      <c r="D851" s="57">
        <v>1</v>
      </c>
    </row>
    <row r="852" spans="2:4" x14ac:dyDescent="0.2">
      <c r="B852" s="55">
        <v>1048797</v>
      </c>
      <c r="C852" s="56" t="s">
        <v>1459</v>
      </c>
      <c r="D852" s="57">
        <v>3</v>
      </c>
    </row>
    <row r="853" spans="2:4" x14ac:dyDescent="0.2">
      <c r="B853" s="55" t="s">
        <v>1460</v>
      </c>
      <c r="C853" s="56" t="s">
        <v>1461</v>
      </c>
      <c r="D853" s="57">
        <v>2</v>
      </c>
    </row>
    <row r="854" spans="2:4" x14ac:dyDescent="0.2">
      <c r="B854" s="55" t="s">
        <v>1462</v>
      </c>
      <c r="C854" s="56" t="s">
        <v>1463</v>
      </c>
      <c r="D854" s="57">
        <v>1</v>
      </c>
    </row>
    <row r="855" spans="2:4" x14ac:dyDescent="0.2">
      <c r="B855" s="55" t="s">
        <v>1464</v>
      </c>
      <c r="C855" s="56" t="s">
        <v>1465</v>
      </c>
      <c r="D855" s="57">
        <v>2</v>
      </c>
    </row>
    <row r="856" spans="2:4" x14ac:dyDescent="0.2">
      <c r="B856" s="55" t="s">
        <v>1466</v>
      </c>
      <c r="C856" s="56" t="s">
        <v>1467</v>
      </c>
      <c r="D856" s="57">
        <v>2</v>
      </c>
    </row>
    <row r="857" spans="2:4" x14ac:dyDescent="0.2">
      <c r="B857" s="55">
        <v>1052662</v>
      </c>
      <c r="C857" s="56" t="s">
        <v>1468</v>
      </c>
      <c r="D857" s="57">
        <v>2</v>
      </c>
    </row>
    <row r="858" spans="2:4" x14ac:dyDescent="0.2">
      <c r="B858" s="55">
        <v>1052663</v>
      </c>
      <c r="C858" s="56" t="s">
        <v>1469</v>
      </c>
      <c r="D858" s="57">
        <v>1</v>
      </c>
    </row>
    <row r="859" spans="2:4" x14ac:dyDescent="0.2">
      <c r="B859" s="55">
        <v>1052996</v>
      </c>
      <c r="C859" s="56" t="s">
        <v>1470</v>
      </c>
      <c r="D859" s="57">
        <v>1</v>
      </c>
    </row>
    <row r="860" spans="2:4" x14ac:dyDescent="0.2">
      <c r="B860" s="55">
        <v>1052997</v>
      </c>
      <c r="C860" s="56" t="s">
        <v>1471</v>
      </c>
      <c r="D860" s="57">
        <v>2</v>
      </c>
    </row>
    <row r="861" spans="2:4" x14ac:dyDescent="0.2">
      <c r="B861" s="55" t="s">
        <v>1472</v>
      </c>
      <c r="C861" s="56" t="s">
        <v>1473</v>
      </c>
      <c r="D861" s="57">
        <v>3</v>
      </c>
    </row>
    <row r="862" spans="2:4" x14ac:dyDescent="0.2">
      <c r="B862" s="55">
        <v>1053908</v>
      </c>
      <c r="C862" s="56" t="s">
        <v>1474</v>
      </c>
      <c r="D862" s="57">
        <v>2</v>
      </c>
    </row>
    <row r="863" spans="2:4" x14ac:dyDescent="0.2">
      <c r="B863" s="55" t="s">
        <v>1475</v>
      </c>
      <c r="C863" s="56" t="s">
        <v>1476</v>
      </c>
      <c r="D863" s="57">
        <v>3</v>
      </c>
    </row>
    <row r="864" spans="2:4" x14ac:dyDescent="0.2">
      <c r="B864" s="55" t="s">
        <v>1477</v>
      </c>
      <c r="C864" s="56" t="s">
        <v>1478</v>
      </c>
      <c r="D864" s="57">
        <v>2</v>
      </c>
    </row>
    <row r="865" spans="2:4" x14ac:dyDescent="0.2">
      <c r="B865" s="55" t="s">
        <v>1479</v>
      </c>
      <c r="C865" s="56" t="s">
        <v>1480</v>
      </c>
      <c r="D865" s="57">
        <v>3</v>
      </c>
    </row>
    <row r="866" spans="2:4" x14ac:dyDescent="0.2">
      <c r="B866" s="55" t="s">
        <v>1481</v>
      </c>
      <c r="C866" s="56" t="s">
        <v>1482</v>
      </c>
      <c r="D866" s="57">
        <v>1</v>
      </c>
    </row>
    <row r="867" spans="2:4" ht="25.5" x14ac:dyDescent="0.2">
      <c r="B867" s="55" t="s">
        <v>1483</v>
      </c>
      <c r="C867" s="56" t="s">
        <v>1484</v>
      </c>
      <c r="D867" s="57">
        <v>3</v>
      </c>
    </row>
    <row r="868" spans="2:4" x14ac:dyDescent="0.2">
      <c r="B868" s="55" t="s">
        <v>1485</v>
      </c>
      <c r="C868" s="56" t="s">
        <v>1486</v>
      </c>
      <c r="D868" s="57">
        <v>3</v>
      </c>
    </row>
    <row r="869" spans="2:4" x14ac:dyDescent="0.2">
      <c r="B869" s="55" t="s">
        <v>1487</v>
      </c>
      <c r="C869" s="56" t="s">
        <v>1488</v>
      </c>
      <c r="D869" s="57">
        <v>2</v>
      </c>
    </row>
    <row r="870" spans="2:4" x14ac:dyDescent="0.2">
      <c r="B870" s="55" t="s">
        <v>1489</v>
      </c>
      <c r="C870" s="56" t="s">
        <v>1490</v>
      </c>
      <c r="D870" s="57">
        <v>2</v>
      </c>
    </row>
    <row r="871" spans="2:4" x14ac:dyDescent="0.2">
      <c r="B871" s="55" t="s">
        <v>1491</v>
      </c>
      <c r="C871" s="56" t="s">
        <v>1492</v>
      </c>
      <c r="D871" s="57">
        <v>1</v>
      </c>
    </row>
    <row r="872" spans="2:4" x14ac:dyDescent="0.2">
      <c r="B872" s="55" t="s">
        <v>1493</v>
      </c>
      <c r="C872" s="56" t="s">
        <v>1494</v>
      </c>
      <c r="D872" s="57">
        <v>2</v>
      </c>
    </row>
    <row r="873" spans="2:4" x14ac:dyDescent="0.2">
      <c r="B873" s="55" t="s">
        <v>1495</v>
      </c>
      <c r="C873" s="56" t="s">
        <v>1496</v>
      </c>
      <c r="D873" s="57">
        <v>2</v>
      </c>
    </row>
    <row r="874" spans="2:4" x14ac:dyDescent="0.2">
      <c r="B874" s="55" t="s">
        <v>1497</v>
      </c>
      <c r="C874" s="56" t="s">
        <v>1498</v>
      </c>
      <c r="D874" s="57">
        <v>3</v>
      </c>
    </row>
    <row r="875" spans="2:4" x14ac:dyDescent="0.2">
      <c r="B875" s="55">
        <v>1100203</v>
      </c>
      <c r="C875" s="56" t="s">
        <v>1499</v>
      </c>
      <c r="D875" s="57">
        <v>3</v>
      </c>
    </row>
    <row r="876" spans="2:4" x14ac:dyDescent="0.2">
      <c r="B876" s="55">
        <v>1100204</v>
      </c>
      <c r="C876" s="56" t="s">
        <v>1500</v>
      </c>
      <c r="D876" s="57">
        <v>3</v>
      </c>
    </row>
    <row r="877" spans="2:4" x14ac:dyDescent="0.2">
      <c r="B877" s="55">
        <v>1100205</v>
      </c>
      <c r="C877" s="56" t="s">
        <v>1501</v>
      </c>
      <c r="D877" s="57">
        <v>3</v>
      </c>
    </row>
    <row r="878" spans="2:4" x14ac:dyDescent="0.2">
      <c r="B878" s="55">
        <v>1103459</v>
      </c>
      <c r="C878" s="56" t="s">
        <v>1502</v>
      </c>
      <c r="D878" s="57">
        <v>3</v>
      </c>
    </row>
    <row r="879" spans="2:4" ht="25.5" x14ac:dyDescent="0.2">
      <c r="B879" s="55">
        <v>1103460</v>
      </c>
      <c r="C879" s="56" t="s">
        <v>1503</v>
      </c>
      <c r="D879" s="57">
        <v>3</v>
      </c>
    </row>
    <row r="880" spans="2:4" ht="25.5" x14ac:dyDescent="0.2">
      <c r="B880" s="55">
        <v>1103765</v>
      </c>
      <c r="C880" s="56" t="s">
        <v>1504</v>
      </c>
      <c r="D880" s="57">
        <v>3</v>
      </c>
    </row>
    <row r="881" spans="2:4" x14ac:dyDescent="0.2">
      <c r="B881" s="55">
        <v>1103766</v>
      </c>
      <c r="C881" s="56" t="s">
        <v>1505</v>
      </c>
      <c r="D881" s="57">
        <v>3</v>
      </c>
    </row>
    <row r="882" spans="2:4" x14ac:dyDescent="0.2">
      <c r="B882" s="55">
        <v>1103767</v>
      </c>
      <c r="C882" s="56" t="s">
        <v>1506</v>
      </c>
      <c r="D882" s="57">
        <v>3</v>
      </c>
    </row>
    <row r="883" spans="2:4" x14ac:dyDescent="0.2">
      <c r="B883" s="55" t="s">
        <v>1507</v>
      </c>
      <c r="C883" s="56" t="s">
        <v>1508</v>
      </c>
      <c r="D883" s="57">
        <v>3</v>
      </c>
    </row>
    <row r="884" spans="2:4" x14ac:dyDescent="0.2">
      <c r="B884" s="55" t="s">
        <v>1509</v>
      </c>
      <c r="C884" s="56" t="s">
        <v>1510</v>
      </c>
      <c r="D884" s="57">
        <v>3</v>
      </c>
    </row>
    <row r="885" spans="2:4" x14ac:dyDescent="0.2">
      <c r="B885" s="55" t="s">
        <v>1511</v>
      </c>
      <c r="C885" s="56" t="s">
        <v>1512</v>
      </c>
      <c r="D885" s="57">
        <v>3</v>
      </c>
    </row>
    <row r="886" spans="2:4" x14ac:dyDescent="0.2">
      <c r="B886" s="55">
        <v>1106565</v>
      </c>
      <c r="C886" s="56" t="s">
        <v>1513</v>
      </c>
      <c r="D886" s="57">
        <v>3</v>
      </c>
    </row>
    <row r="887" spans="2:4" ht="25.5" x14ac:dyDescent="0.2">
      <c r="B887" s="55">
        <v>1106566</v>
      </c>
      <c r="C887" s="56" t="s">
        <v>1514</v>
      </c>
      <c r="D887" s="57">
        <v>3</v>
      </c>
    </row>
    <row r="888" spans="2:4" x14ac:dyDescent="0.2">
      <c r="B888" s="55">
        <v>1106567</v>
      </c>
      <c r="C888" s="56" t="s">
        <v>1515</v>
      </c>
      <c r="D888" s="57">
        <v>3</v>
      </c>
    </row>
    <row r="889" spans="2:4" ht="25.5" x14ac:dyDescent="0.2">
      <c r="B889" s="55">
        <v>1106568</v>
      </c>
      <c r="C889" s="56" t="s">
        <v>1516</v>
      </c>
      <c r="D889" s="57">
        <v>3</v>
      </c>
    </row>
    <row r="890" spans="2:4" x14ac:dyDescent="0.2">
      <c r="B890" s="55" t="s">
        <v>1517</v>
      </c>
      <c r="C890" s="56" t="s">
        <v>1518</v>
      </c>
      <c r="D890" s="57">
        <v>2</v>
      </c>
    </row>
    <row r="891" spans="2:4" x14ac:dyDescent="0.2">
      <c r="B891" s="55">
        <v>1106718</v>
      </c>
      <c r="C891" s="56" t="s">
        <v>1519</v>
      </c>
      <c r="D891" s="57">
        <v>3</v>
      </c>
    </row>
    <row r="892" spans="2:4" ht="25.5" x14ac:dyDescent="0.2">
      <c r="B892" s="55">
        <v>1106719</v>
      </c>
      <c r="C892" s="56" t="s">
        <v>1520</v>
      </c>
      <c r="D892" s="57">
        <v>3</v>
      </c>
    </row>
    <row r="893" spans="2:4" x14ac:dyDescent="0.2">
      <c r="B893" s="55">
        <v>1106720</v>
      </c>
      <c r="C893" s="56" t="s">
        <v>1521</v>
      </c>
      <c r="D893" s="57">
        <v>3</v>
      </c>
    </row>
    <row r="894" spans="2:4" x14ac:dyDescent="0.2">
      <c r="B894" s="55">
        <v>1106721</v>
      </c>
      <c r="C894" s="56" t="s">
        <v>1522</v>
      </c>
      <c r="D894" s="57">
        <v>3</v>
      </c>
    </row>
    <row r="895" spans="2:4" x14ac:dyDescent="0.2">
      <c r="B895" s="55" t="s">
        <v>1523</v>
      </c>
      <c r="C895" s="56" t="s">
        <v>1524</v>
      </c>
      <c r="D895" s="57">
        <v>1</v>
      </c>
    </row>
    <row r="896" spans="2:4" x14ac:dyDescent="0.2">
      <c r="B896" s="55" t="s">
        <v>1525</v>
      </c>
      <c r="C896" s="56" t="s">
        <v>1526</v>
      </c>
      <c r="D896" s="57">
        <v>3</v>
      </c>
    </row>
    <row r="897" spans="2:4" x14ac:dyDescent="0.2">
      <c r="B897" s="55">
        <v>1136361</v>
      </c>
      <c r="C897" s="56" t="s">
        <v>1527</v>
      </c>
      <c r="D897" s="57">
        <v>3</v>
      </c>
    </row>
    <row r="898" spans="2:4" x14ac:dyDescent="0.2">
      <c r="B898" s="55">
        <v>1136362</v>
      </c>
      <c r="C898" s="56" t="s">
        <v>1528</v>
      </c>
      <c r="D898" s="57">
        <v>2</v>
      </c>
    </row>
    <row r="899" spans="2:4" x14ac:dyDescent="0.2">
      <c r="B899" s="55">
        <v>1136667</v>
      </c>
      <c r="C899" s="56" t="s">
        <v>1529</v>
      </c>
      <c r="D899" s="57">
        <v>3</v>
      </c>
    </row>
    <row r="900" spans="2:4" x14ac:dyDescent="0.2">
      <c r="B900" s="55">
        <v>1136668</v>
      </c>
      <c r="C900" s="56" t="s">
        <v>1530</v>
      </c>
      <c r="D900" s="57">
        <v>2</v>
      </c>
    </row>
    <row r="901" spans="2:4" x14ac:dyDescent="0.2">
      <c r="B901" s="55">
        <v>1139924</v>
      </c>
      <c r="C901" s="56" t="s">
        <v>1531</v>
      </c>
      <c r="D901" s="57">
        <v>3</v>
      </c>
    </row>
    <row r="902" spans="2:4" ht="25.5" x14ac:dyDescent="0.2">
      <c r="B902" s="55">
        <v>1139925</v>
      </c>
      <c r="C902" s="56" t="s">
        <v>1532</v>
      </c>
      <c r="D902" s="57">
        <v>3</v>
      </c>
    </row>
    <row r="903" spans="2:4" ht="25.5" x14ac:dyDescent="0.2">
      <c r="B903" s="55" t="s">
        <v>1533</v>
      </c>
      <c r="C903" s="56" t="s">
        <v>1534</v>
      </c>
      <c r="D903" s="57">
        <v>2</v>
      </c>
    </row>
    <row r="904" spans="2:4" ht="25.5" x14ac:dyDescent="0.2">
      <c r="B904" s="55" t="s">
        <v>1535</v>
      </c>
      <c r="C904" s="56" t="s">
        <v>1536</v>
      </c>
      <c r="D904" s="57">
        <v>2</v>
      </c>
    </row>
    <row r="905" spans="2:4" x14ac:dyDescent="0.2">
      <c r="B905" s="55">
        <v>1143211</v>
      </c>
      <c r="C905" s="56" t="s">
        <v>1537</v>
      </c>
      <c r="D905" s="57">
        <v>3</v>
      </c>
    </row>
    <row r="906" spans="2:4" x14ac:dyDescent="0.2">
      <c r="B906" s="55">
        <v>1143212</v>
      </c>
      <c r="C906" s="56" t="s">
        <v>1538</v>
      </c>
      <c r="D906" s="57">
        <v>1</v>
      </c>
    </row>
    <row r="907" spans="2:4" x14ac:dyDescent="0.2">
      <c r="B907" s="55">
        <v>1165522</v>
      </c>
      <c r="C907" s="56" t="s">
        <v>1539</v>
      </c>
      <c r="D907" s="57">
        <v>3</v>
      </c>
    </row>
    <row r="908" spans="2:4" x14ac:dyDescent="0.2">
      <c r="B908" s="55">
        <v>1165523</v>
      </c>
      <c r="C908" s="56" t="s">
        <v>1540</v>
      </c>
      <c r="D908" s="57">
        <v>3</v>
      </c>
    </row>
    <row r="909" spans="2:4" x14ac:dyDescent="0.2">
      <c r="B909" s="55">
        <v>1168625</v>
      </c>
      <c r="C909" s="56" t="s">
        <v>1541</v>
      </c>
      <c r="D909" s="57">
        <v>1</v>
      </c>
    </row>
    <row r="910" spans="2:4" x14ac:dyDescent="0.2">
      <c r="B910" s="55" t="s">
        <v>1542</v>
      </c>
      <c r="C910" s="56" t="s">
        <v>1543</v>
      </c>
      <c r="D910" s="57">
        <v>1</v>
      </c>
    </row>
    <row r="911" spans="2:4" x14ac:dyDescent="0.2">
      <c r="B911" s="55" t="s">
        <v>1544</v>
      </c>
      <c r="C911" s="56" t="s">
        <v>1545</v>
      </c>
      <c r="D911" s="57">
        <v>3</v>
      </c>
    </row>
    <row r="912" spans="2:4" x14ac:dyDescent="0.2">
      <c r="B912" s="55">
        <v>1173404</v>
      </c>
      <c r="C912" s="56" t="s">
        <v>1546</v>
      </c>
      <c r="D912" s="57">
        <v>3</v>
      </c>
    </row>
    <row r="913" spans="2:4" x14ac:dyDescent="0.2">
      <c r="B913" s="55" t="s">
        <v>1547</v>
      </c>
      <c r="C913" s="56" t="s">
        <v>1548</v>
      </c>
      <c r="D913" s="57">
        <v>3</v>
      </c>
    </row>
    <row r="914" spans="2:4" x14ac:dyDescent="0.2">
      <c r="B914" s="55" t="s">
        <v>1549</v>
      </c>
      <c r="C914" s="56" t="s">
        <v>1550</v>
      </c>
      <c r="D914" s="57">
        <v>2</v>
      </c>
    </row>
    <row r="915" spans="2:4" x14ac:dyDescent="0.2">
      <c r="B915" s="55" t="s">
        <v>1551</v>
      </c>
      <c r="C915" s="56" t="s">
        <v>1552</v>
      </c>
      <c r="D915" s="57">
        <v>1</v>
      </c>
    </row>
    <row r="916" spans="2:4" x14ac:dyDescent="0.2">
      <c r="B916" s="55">
        <v>1209501</v>
      </c>
      <c r="C916" s="56" t="s">
        <v>1553</v>
      </c>
      <c r="D916" s="57">
        <v>3</v>
      </c>
    </row>
    <row r="917" spans="2:4" x14ac:dyDescent="0.2">
      <c r="B917" s="55">
        <v>1209502</v>
      </c>
      <c r="C917" s="56" t="s">
        <v>1554</v>
      </c>
      <c r="D917" s="57">
        <v>2</v>
      </c>
    </row>
    <row r="918" spans="2:4" x14ac:dyDescent="0.2">
      <c r="B918" s="55" t="s">
        <v>1555</v>
      </c>
      <c r="C918" s="56" t="s">
        <v>1556</v>
      </c>
      <c r="D918" s="57">
        <v>3</v>
      </c>
    </row>
    <row r="919" spans="2:4" x14ac:dyDescent="0.2">
      <c r="B919" s="55" t="s">
        <v>1557</v>
      </c>
      <c r="C919" s="56" t="s">
        <v>1558</v>
      </c>
      <c r="D919" s="57">
        <v>3</v>
      </c>
    </row>
    <row r="920" spans="2:4" x14ac:dyDescent="0.2">
      <c r="B920" s="55" t="s">
        <v>1559</v>
      </c>
      <c r="C920" s="56" t="s">
        <v>1560</v>
      </c>
      <c r="D920" s="57">
        <v>3</v>
      </c>
    </row>
    <row r="921" spans="2:4" x14ac:dyDescent="0.2">
      <c r="B921" s="55" t="s">
        <v>1561</v>
      </c>
      <c r="C921" s="56" t="s">
        <v>1562</v>
      </c>
      <c r="D921" s="57">
        <v>3</v>
      </c>
    </row>
    <row r="922" spans="2:4" x14ac:dyDescent="0.2">
      <c r="B922" s="55" t="s">
        <v>1563</v>
      </c>
      <c r="C922" s="56" t="s">
        <v>1564</v>
      </c>
      <c r="D922" s="57">
        <v>3</v>
      </c>
    </row>
    <row r="923" spans="2:4" x14ac:dyDescent="0.2">
      <c r="B923" s="55" t="s">
        <v>1565</v>
      </c>
      <c r="C923" s="56" t="s">
        <v>1566</v>
      </c>
      <c r="D923" s="57">
        <v>1</v>
      </c>
    </row>
    <row r="924" spans="2:4" x14ac:dyDescent="0.2">
      <c r="B924" s="55" t="s">
        <v>1567</v>
      </c>
      <c r="C924" s="56" t="s">
        <v>1568</v>
      </c>
      <c r="D924" s="57">
        <v>3</v>
      </c>
    </row>
    <row r="925" spans="2:4" ht="25.5" x14ac:dyDescent="0.2">
      <c r="B925" s="55" t="s">
        <v>1569</v>
      </c>
      <c r="C925" s="56" t="s">
        <v>1570</v>
      </c>
      <c r="D925" s="57">
        <v>3</v>
      </c>
    </row>
    <row r="926" spans="2:4" x14ac:dyDescent="0.2">
      <c r="B926" s="55">
        <v>1216625</v>
      </c>
      <c r="C926" s="56" t="s">
        <v>1571</v>
      </c>
      <c r="D926" s="57">
        <v>2</v>
      </c>
    </row>
    <row r="927" spans="2:4" x14ac:dyDescent="0.2">
      <c r="B927" s="55">
        <v>1216626</v>
      </c>
      <c r="C927" s="56" t="s">
        <v>1572</v>
      </c>
      <c r="D927" s="57">
        <v>3</v>
      </c>
    </row>
    <row r="928" spans="2:4" x14ac:dyDescent="0.2">
      <c r="B928" s="55" t="s">
        <v>1573</v>
      </c>
      <c r="C928" s="56" t="s">
        <v>1574</v>
      </c>
      <c r="D928" s="57">
        <v>2</v>
      </c>
    </row>
    <row r="929" spans="2:4" x14ac:dyDescent="0.2">
      <c r="B929" s="55" t="s">
        <v>1575</v>
      </c>
      <c r="C929" s="56" t="s">
        <v>1576</v>
      </c>
      <c r="D929" s="57">
        <v>3</v>
      </c>
    </row>
    <row r="930" spans="2:4" x14ac:dyDescent="0.2">
      <c r="B930" s="55">
        <v>1219912</v>
      </c>
      <c r="C930" s="56" t="s">
        <v>1577</v>
      </c>
      <c r="D930" s="57">
        <v>2</v>
      </c>
    </row>
    <row r="931" spans="2:4" ht="25.5" x14ac:dyDescent="0.2">
      <c r="B931" s="55" t="s">
        <v>1578</v>
      </c>
      <c r="C931" s="56" t="s">
        <v>1579</v>
      </c>
      <c r="D931" s="57">
        <v>3</v>
      </c>
    </row>
    <row r="932" spans="2:4" x14ac:dyDescent="0.2">
      <c r="B932" s="55">
        <v>1223777</v>
      </c>
      <c r="C932" s="56" t="s">
        <v>1580</v>
      </c>
      <c r="D932" s="57">
        <v>1</v>
      </c>
    </row>
    <row r="933" spans="2:4" x14ac:dyDescent="0.2">
      <c r="B933" s="55">
        <v>1223778</v>
      </c>
      <c r="C933" s="56" t="s">
        <v>1581</v>
      </c>
      <c r="D933" s="57">
        <v>3</v>
      </c>
    </row>
    <row r="934" spans="2:4" x14ac:dyDescent="0.2">
      <c r="B934" s="55">
        <v>1223779</v>
      </c>
      <c r="C934" s="56" t="s">
        <v>1582</v>
      </c>
      <c r="D934" s="57">
        <v>3</v>
      </c>
    </row>
    <row r="935" spans="2:4" x14ac:dyDescent="0.2">
      <c r="B935" s="55">
        <v>1223780</v>
      </c>
      <c r="C935" s="56" t="s">
        <v>1583</v>
      </c>
      <c r="D935" s="57">
        <v>3</v>
      </c>
    </row>
    <row r="936" spans="2:4" x14ac:dyDescent="0.2">
      <c r="B936" s="55">
        <v>1223781</v>
      </c>
      <c r="C936" s="56" t="s">
        <v>1584</v>
      </c>
      <c r="D936" s="57">
        <v>3</v>
      </c>
    </row>
    <row r="937" spans="2:4" x14ac:dyDescent="0.2">
      <c r="B937" s="55">
        <v>1245599</v>
      </c>
      <c r="C937" s="56" t="s">
        <v>1585</v>
      </c>
      <c r="D937" s="57">
        <v>3</v>
      </c>
    </row>
    <row r="938" spans="2:4" x14ac:dyDescent="0.2">
      <c r="B938" s="55">
        <v>1245600</v>
      </c>
      <c r="C938" s="56" t="s">
        <v>1586</v>
      </c>
      <c r="D938" s="57">
        <v>2</v>
      </c>
    </row>
    <row r="939" spans="2:4" x14ac:dyDescent="0.2">
      <c r="B939" s="55">
        <v>1249162</v>
      </c>
      <c r="C939" s="56" t="s">
        <v>1587</v>
      </c>
      <c r="D939" s="57">
        <v>3</v>
      </c>
    </row>
    <row r="940" spans="2:4" x14ac:dyDescent="0.2">
      <c r="B940" s="55">
        <v>1249163</v>
      </c>
      <c r="C940" s="56" t="s">
        <v>1588</v>
      </c>
      <c r="D940" s="57">
        <v>3</v>
      </c>
    </row>
    <row r="941" spans="2:4" x14ac:dyDescent="0.2">
      <c r="B941" s="55">
        <v>1318739</v>
      </c>
      <c r="C941" s="56" t="s">
        <v>1589</v>
      </c>
      <c r="D941" s="57">
        <v>2</v>
      </c>
    </row>
    <row r="942" spans="2:4" x14ac:dyDescent="0.2">
      <c r="B942" s="55">
        <v>1318740</v>
      </c>
      <c r="C942" s="56" t="s">
        <v>1590</v>
      </c>
      <c r="D942" s="57">
        <v>2</v>
      </c>
    </row>
    <row r="943" spans="2:4" x14ac:dyDescent="0.2">
      <c r="B943" s="55">
        <v>1318741</v>
      </c>
      <c r="C943" s="56" t="s">
        <v>1591</v>
      </c>
      <c r="D943" s="57">
        <v>2</v>
      </c>
    </row>
    <row r="944" spans="2:4" x14ac:dyDescent="0.2">
      <c r="B944" s="55">
        <v>1347898</v>
      </c>
      <c r="C944" s="56" t="s">
        <v>1592</v>
      </c>
      <c r="D944" s="57">
        <v>3</v>
      </c>
    </row>
    <row r="945" spans="2:4" x14ac:dyDescent="0.2">
      <c r="B945" s="55">
        <v>1347899</v>
      </c>
      <c r="C945" s="56" t="s">
        <v>1593</v>
      </c>
      <c r="D945" s="57">
        <v>1</v>
      </c>
    </row>
    <row r="946" spans="2:4" x14ac:dyDescent="0.2">
      <c r="B946" s="55">
        <v>1347900</v>
      </c>
      <c r="C946" s="56" t="s">
        <v>1594</v>
      </c>
      <c r="D946" s="57">
        <v>2</v>
      </c>
    </row>
    <row r="947" spans="2:4" x14ac:dyDescent="0.2">
      <c r="B947" s="55" t="s">
        <v>1595</v>
      </c>
      <c r="C947" s="56" t="s">
        <v>1596</v>
      </c>
      <c r="D947" s="57">
        <v>2</v>
      </c>
    </row>
    <row r="948" spans="2:4" x14ac:dyDescent="0.2">
      <c r="B948" s="55">
        <v>1355448</v>
      </c>
      <c r="C948" s="56" t="s">
        <v>1597</v>
      </c>
      <c r="D948" s="57">
        <v>2</v>
      </c>
    </row>
    <row r="949" spans="2:4" x14ac:dyDescent="0.2">
      <c r="B949" s="55">
        <v>1355449</v>
      </c>
      <c r="C949" s="56" t="s">
        <v>1598</v>
      </c>
      <c r="D949" s="57">
        <v>3</v>
      </c>
    </row>
    <row r="950" spans="2:4" x14ac:dyDescent="0.2">
      <c r="B950" s="55">
        <v>1355450</v>
      </c>
      <c r="C950" s="56" t="s">
        <v>1599</v>
      </c>
      <c r="D950" s="57">
        <v>3</v>
      </c>
    </row>
    <row r="951" spans="2:4" x14ac:dyDescent="0.2">
      <c r="B951" s="55" t="s">
        <v>1600</v>
      </c>
      <c r="C951" s="56" t="s">
        <v>1601</v>
      </c>
      <c r="D951" s="57">
        <v>3</v>
      </c>
    </row>
    <row r="952" spans="2:4" x14ac:dyDescent="0.2">
      <c r="B952" s="55">
        <v>1358704</v>
      </c>
      <c r="C952" s="56" t="s">
        <v>1602</v>
      </c>
      <c r="D952" s="57">
        <v>3</v>
      </c>
    </row>
    <row r="953" spans="2:4" x14ac:dyDescent="0.2">
      <c r="B953" s="55">
        <v>1358705</v>
      </c>
      <c r="C953" s="56" t="s">
        <v>1603</v>
      </c>
      <c r="D953" s="57">
        <v>2</v>
      </c>
    </row>
    <row r="954" spans="2:4" x14ac:dyDescent="0.2">
      <c r="B954" s="55">
        <v>1358706</v>
      </c>
      <c r="C954" s="56" t="s">
        <v>1604</v>
      </c>
      <c r="D954" s="57">
        <v>3</v>
      </c>
    </row>
    <row r="955" spans="2:4" ht="25.5" x14ac:dyDescent="0.2">
      <c r="B955" s="55">
        <v>1358707</v>
      </c>
      <c r="C955" s="56" t="s">
        <v>1605</v>
      </c>
      <c r="D955" s="57">
        <v>3</v>
      </c>
    </row>
    <row r="956" spans="2:4" x14ac:dyDescent="0.2">
      <c r="B956" s="55" t="s">
        <v>1606</v>
      </c>
      <c r="C956" s="56" t="s">
        <v>1607</v>
      </c>
      <c r="D956" s="57">
        <v>2</v>
      </c>
    </row>
    <row r="957" spans="2:4" x14ac:dyDescent="0.2">
      <c r="B957" s="55" t="s">
        <v>1608</v>
      </c>
      <c r="C957" s="56" t="s">
        <v>1609</v>
      </c>
      <c r="D957" s="57">
        <v>2</v>
      </c>
    </row>
    <row r="958" spans="2:4" x14ac:dyDescent="0.2">
      <c r="B958" s="55" t="s">
        <v>1610</v>
      </c>
      <c r="C958" s="56" t="s">
        <v>1611</v>
      </c>
      <c r="D958" s="57">
        <v>3</v>
      </c>
    </row>
    <row r="959" spans="2:4" x14ac:dyDescent="0.2">
      <c r="B959" s="55" t="s">
        <v>1612</v>
      </c>
      <c r="C959" s="56" t="s">
        <v>1613</v>
      </c>
      <c r="D959" s="57">
        <v>2</v>
      </c>
    </row>
    <row r="960" spans="2:4" x14ac:dyDescent="0.2">
      <c r="B960" s="55" t="s">
        <v>1614</v>
      </c>
      <c r="C960" s="56" t="s">
        <v>1615</v>
      </c>
      <c r="D960" s="57">
        <v>2</v>
      </c>
    </row>
    <row r="961" spans="2:4" x14ac:dyDescent="0.2">
      <c r="B961" s="55" t="s">
        <v>1616</v>
      </c>
      <c r="C961" s="56" t="s">
        <v>1617</v>
      </c>
      <c r="D961" s="57">
        <v>2</v>
      </c>
    </row>
    <row r="962" spans="2:4" x14ac:dyDescent="0.2">
      <c r="B962" s="55" t="s">
        <v>1618</v>
      </c>
      <c r="C962" s="56" t="s">
        <v>1619</v>
      </c>
      <c r="D962" s="57">
        <v>2</v>
      </c>
    </row>
    <row r="963" spans="2:4" x14ac:dyDescent="0.2">
      <c r="B963" s="55" t="s">
        <v>1620</v>
      </c>
      <c r="C963" s="56" t="s">
        <v>1621</v>
      </c>
      <c r="D963" s="57">
        <v>2</v>
      </c>
    </row>
    <row r="964" spans="2:4" x14ac:dyDescent="0.2">
      <c r="B964" s="55">
        <v>1464989</v>
      </c>
      <c r="C964" s="56" t="s">
        <v>1622</v>
      </c>
      <c r="D964" s="57">
        <v>1</v>
      </c>
    </row>
    <row r="965" spans="2:4" x14ac:dyDescent="0.2">
      <c r="B965" s="55">
        <v>1464990</v>
      </c>
      <c r="C965" s="56" t="s">
        <v>1623</v>
      </c>
      <c r="D965" s="57">
        <v>3</v>
      </c>
    </row>
    <row r="966" spans="2:4" ht="25.5" x14ac:dyDescent="0.2">
      <c r="B966" s="55" t="s">
        <v>1624</v>
      </c>
      <c r="C966" s="56" t="s">
        <v>1625</v>
      </c>
      <c r="D966" s="57">
        <v>1</v>
      </c>
    </row>
    <row r="967" spans="2:4" x14ac:dyDescent="0.2">
      <c r="B967" s="55" t="s">
        <v>1626</v>
      </c>
      <c r="C967" s="56" t="s">
        <v>1627</v>
      </c>
      <c r="D967" s="57">
        <v>2</v>
      </c>
    </row>
    <row r="968" spans="2:4" x14ac:dyDescent="0.2">
      <c r="B968" s="55" t="s">
        <v>1628</v>
      </c>
      <c r="C968" s="56" t="s">
        <v>1629</v>
      </c>
      <c r="D968" s="57">
        <v>2</v>
      </c>
    </row>
    <row r="969" spans="2:4" ht="25.5" x14ac:dyDescent="0.2">
      <c r="B969" s="55" t="s">
        <v>1630</v>
      </c>
      <c r="C969" s="56" t="s">
        <v>1631</v>
      </c>
      <c r="D969" s="57">
        <v>1</v>
      </c>
    </row>
    <row r="970" spans="2:4" x14ac:dyDescent="0.2">
      <c r="B970" s="55" t="s">
        <v>1632</v>
      </c>
      <c r="C970" s="56" t="s">
        <v>1633</v>
      </c>
      <c r="D970" s="57">
        <v>1</v>
      </c>
    </row>
    <row r="971" spans="2:4" x14ac:dyDescent="0.2">
      <c r="B971" s="55" t="s">
        <v>1634</v>
      </c>
      <c r="C971" s="56" t="s">
        <v>1635</v>
      </c>
      <c r="D971" s="57">
        <v>3</v>
      </c>
    </row>
    <row r="972" spans="2:4" x14ac:dyDescent="0.2">
      <c r="B972" s="55" t="s">
        <v>1636</v>
      </c>
      <c r="C972" s="56" t="s">
        <v>1637</v>
      </c>
      <c r="D972" s="57">
        <v>2</v>
      </c>
    </row>
    <row r="973" spans="2:4" x14ac:dyDescent="0.2">
      <c r="B973" s="55" t="s">
        <v>1638</v>
      </c>
      <c r="C973" s="56" t="s">
        <v>1639</v>
      </c>
      <c r="D973" s="57">
        <v>1</v>
      </c>
    </row>
    <row r="974" spans="2:4" x14ac:dyDescent="0.2">
      <c r="B974" s="55" t="s">
        <v>1640</v>
      </c>
      <c r="C974" s="56" t="s">
        <v>1641</v>
      </c>
      <c r="D974" s="57">
        <v>3</v>
      </c>
    </row>
    <row r="975" spans="2:4" x14ac:dyDescent="0.2">
      <c r="B975" s="55">
        <v>1505652</v>
      </c>
      <c r="C975" s="56" t="s">
        <v>1642</v>
      </c>
      <c r="D975" s="57">
        <v>3</v>
      </c>
    </row>
    <row r="976" spans="2:4" x14ac:dyDescent="0.2">
      <c r="B976" s="55">
        <v>1505653</v>
      </c>
      <c r="C976" s="56" t="s">
        <v>1643</v>
      </c>
      <c r="D976" s="57">
        <v>3</v>
      </c>
    </row>
    <row r="977" spans="2:4" x14ac:dyDescent="0.2">
      <c r="B977" s="55">
        <v>1537885</v>
      </c>
      <c r="C977" s="56" t="s">
        <v>1644</v>
      </c>
      <c r="D977" s="57">
        <v>2</v>
      </c>
    </row>
    <row r="978" spans="2:4" x14ac:dyDescent="0.2">
      <c r="B978" s="55">
        <v>1537886</v>
      </c>
      <c r="C978" s="56" t="s">
        <v>1645</v>
      </c>
      <c r="D978" s="57">
        <v>2</v>
      </c>
    </row>
    <row r="979" spans="2:4" x14ac:dyDescent="0.2">
      <c r="B979" s="55">
        <v>1537887</v>
      </c>
      <c r="C979" s="56" t="s">
        <v>1646</v>
      </c>
      <c r="D979" s="57">
        <v>2</v>
      </c>
    </row>
    <row r="980" spans="2:4" x14ac:dyDescent="0.2">
      <c r="B980" s="55" t="s">
        <v>1647</v>
      </c>
      <c r="C980" s="56" t="s">
        <v>1648</v>
      </c>
      <c r="D980" s="57">
        <v>3</v>
      </c>
    </row>
    <row r="981" spans="2:4" x14ac:dyDescent="0.2">
      <c r="B981" s="55">
        <v>1541446</v>
      </c>
      <c r="C981" s="56" t="s">
        <v>1649</v>
      </c>
      <c r="D981" s="57">
        <v>2</v>
      </c>
    </row>
    <row r="982" spans="2:4" x14ac:dyDescent="0.2">
      <c r="B982" s="55">
        <v>1541447</v>
      </c>
      <c r="C982" s="56" t="s">
        <v>1650</v>
      </c>
      <c r="D982" s="57">
        <v>3</v>
      </c>
    </row>
    <row r="983" spans="2:4" x14ac:dyDescent="0.2">
      <c r="B983" s="55" t="s">
        <v>1651</v>
      </c>
      <c r="C983" s="56" t="s">
        <v>1652</v>
      </c>
      <c r="D983" s="57">
        <v>1</v>
      </c>
    </row>
    <row r="984" spans="2:4" x14ac:dyDescent="0.2">
      <c r="B984" s="55" t="s">
        <v>1653</v>
      </c>
      <c r="C984" s="56" t="s">
        <v>1654</v>
      </c>
      <c r="D984" s="57">
        <v>1</v>
      </c>
    </row>
    <row r="985" spans="2:4" x14ac:dyDescent="0.2">
      <c r="B985" s="55" t="s">
        <v>1655</v>
      </c>
      <c r="C985" s="56" t="s">
        <v>1656</v>
      </c>
      <c r="D985" s="57">
        <v>3</v>
      </c>
    </row>
    <row r="986" spans="2:4" x14ac:dyDescent="0.2">
      <c r="B986" s="55" t="s">
        <v>1657</v>
      </c>
      <c r="C986" s="56" t="s">
        <v>1658</v>
      </c>
      <c r="D986" s="57">
        <v>2</v>
      </c>
    </row>
    <row r="987" spans="2:4" x14ac:dyDescent="0.2">
      <c r="B987" s="55" t="s">
        <v>1659</v>
      </c>
      <c r="C987" s="56" t="s">
        <v>1660</v>
      </c>
      <c r="D987" s="57">
        <v>3</v>
      </c>
    </row>
    <row r="988" spans="2:4" x14ac:dyDescent="0.2">
      <c r="B988" s="55">
        <v>1567044</v>
      </c>
      <c r="C988" s="56" t="s">
        <v>1661</v>
      </c>
      <c r="D988" s="57">
        <v>3</v>
      </c>
    </row>
    <row r="989" spans="2:4" x14ac:dyDescent="0.2">
      <c r="B989" s="55">
        <v>1567045</v>
      </c>
      <c r="C989" s="56" t="s">
        <v>1662</v>
      </c>
      <c r="D989" s="57">
        <v>2</v>
      </c>
    </row>
    <row r="990" spans="2:4" x14ac:dyDescent="0.2">
      <c r="B990" s="55" t="s">
        <v>1663</v>
      </c>
      <c r="C990" s="56" t="s">
        <v>1664</v>
      </c>
      <c r="D990" s="57">
        <v>2</v>
      </c>
    </row>
    <row r="991" spans="2:4" x14ac:dyDescent="0.2">
      <c r="B991" s="55" t="s">
        <v>1665</v>
      </c>
      <c r="C991" s="56" t="s">
        <v>1666</v>
      </c>
      <c r="D991" s="57">
        <v>1</v>
      </c>
    </row>
    <row r="992" spans="2:4" x14ac:dyDescent="0.2">
      <c r="B992" s="55" t="s">
        <v>1667</v>
      </c>
      <c r="C992" s="56" t="s">
        <v>1668</v>
      </c>
      <c r="D992" s="57">
        <v>2</v>
      </c>
    </row>
    <row r="993" spans="2:4" x14ac:dyDescent="0.2">
      <c r="B993" s="55" t="s">
        <v>1669</v>
      </c>
      <c r="C993" s="56" t="s">
        <v>1670</v>
      </c>
      <c r="D993" s="57">
        <v>1</v>
      </c>
    </row>
    <row r="994" spans="2:4" x14ac:dyDescent="0.2">
      <c r="B994" s="55" t="s">
        <v>1671</v>
      </c>
      <c r="C994" s="56" t="s">
        <v>1672</v>
      </c>
      <c r="D994" s="57">
        <v>2</v>
      </c>
    </row>
    <row r="995" spans="2:4" x14ac:dyDescent="0.2">
      <c r="B995" s="55" t="s">
        <v>1673</v>
      </c>
      <c r="C995" s="56" t="s">
        <v>1674</v>
      </c>
      <c r="D995" s="57">
        <v>2</v>
      </c>
    </row>
    <row r="996" spans="2:4" ht="25.5" x14ac:dyDescent="0.2">
      <c r="B996" s="55" t="s">
        <v>1675</v>
      </c>
      <c r="C996" s="56" t="s">
        <v>1676</v>
      </c>
      <c r="D996" s="57">
        <v>2</v>
      </c>
    </row>
    <row r="997" spans="2:4" x14ac:dyDescent="0.2">
      <c r="B997" s="55" t="s">
        <v>1677</v>
      </c>
      <c r="C997" s="56" t="s">
        <v>1678</v>
      </c>
      <c r="D997" s="57">
        <v>1</v>
      </c>
    </row>
    <row r="998" spans="2:4" x14ac:dyDescent="0.2">
      <c r="B998" s="55" t="s">
        <v>1679</v>
      </c>
      <c r="C998" s="56" t="s">
        <v>1680</v>
      </c>
      <c r="D998" s="57">
        <v>2</v>
      </c>
    </row>
    <row r="999" spans="2:4" ht="25.5" x14ac:dyDescent="0.2">
      <c r="B999" s="55" t="s">
        <v>1681</v>
      </c>
      <c r="C999" s="56" t="s">
        <v>1682</v>
      </c>
      <c r="D999" s="57">
        <v>3</v>
      </c>
    </row>
    <row r="1000" spans="2:4" x14ac:dyDescent="0.2">
      <c r="B1000" s="55" t="s">
        <v>1683</v>
      </c>
      <c r="C1000" s="56" t="s">
        <v>1684</v>
      </c>
      <c r="D1000" s="57">
        <v>1</v>
      </c>
    </row>
    <row r="1001" spans="2:4" x14ac:dyDescent="0.2">
      <c r="B1001" s="55" t="s">
        <v>1685</v>
      </c>
      <c r="C1001" s="56" t="s">
        <v>1686</v>
      </c>
      <c r="D1001" s="57">
        <v>2</v>
      </c>
    </row>
    <row r="1002" spans="2:4" x14ac:dyDescent="0.2">
      <c r="B1002" s="55" t="s">
        <v>1687</v>
      </c>
      <c r="C1002" s="56" t="s">
        <v>1688</v>
      </c>
      <c r="D1002" s="57">
        <v>3</v>
      </c>
    </row>
    <row r="1003" spans="2:4" x14ac:dyDescent="0.2">
      <c r="B1003" s="55" t="s">
        <v>1689</v>
      </c>
      <c r="C1003" s="56" t="s">
        <v>1690</v>
      </c>
      <c r="D1003" s="57">
        <v>2</v>
      </c>
    </row>
    <row r="1004" spans="2:4" x14ac:dyDescent="0.2">
      <c r="B1004" s="55">
        <v>1652541</v>
      </c>
      <c r="C1004" s="56" t="s">
        <v>1691</v>
      </c>
      <c r="D1004" s="57">
        <v>1</v>
      </c>
    </row>
    <row r="1005" spans="2:4" x14ac:dyDescent="0.2">
      <c r="B1005" s="55">
        <v>1652542</v>
      </c>
      <c r="C1005" s="56" t="s">
        <v>1692</v>
      </c>
      <c r="D1005" s="57">
        <v>1</v>
      </c>
    </row>
    <row r="1006" spans="2:4" x14ac:dyDescent="0.2">
      <c r="B1006" s="55">
        <v>1652543</v>
      </c>
      <c r="C1006" s="56" t="s">
        <v>1693</v>
      </c>
      <c r="D1006" s="57">
        <v>2</v>
      </c>
    </row>
    <row r="1007" spans="2:4" x14ac:dyDescent="0.2">
      <c r="B1007" s="55">
        <v>1652544</v>
      </c>
      <c r="C1007" s="56" t="s">
        <v>1694</v>
      </c>
      <c r="D1007" s="57">
        <v>1</v>
      </c>
    </row>
    <row r="1008" spans="2:4" x14ac:dyDescent="0.2">
      <c r="B1008" s="55" t="s">
        <v>1695</v>
      </c>
      <c r="C1008" s="56" t="s">
        <v>1696</v>
      </c>
      <c r="D1008" s="57">
        <v>1</v>
      </c>
    </row>
    <row r="1009" spans="2:4" x14ac:dyDescent="0.2">
      <c r="B1009" s="55" t="s">
        <v>1697</v>
      </c>
      <c r="C1009" s="56" t="s">
        <v>1698</v>
      </c>
      <c r="D1009" s="57">
        <v>1</v>
      </c>
    </row>
    <row r="1010" spans="2:4" x14ac:dyDescent="0.2">
      <c r="B1010" s="55" t="s">
        <v>1699</v>
      </c>
      <c r="C1010" s="56" t="s">
        <v>1700</v>
      </c>
      <c r="D1010" s="57">
        <v>2</v>
      </c>
    </row>
    <row r="1011" spans="2:4" x14ac:dyDescent="0.2">
      <c r="B1011" s="55" t="s">
        <v>1701</v>
      </c>
      <c r="C1011" s="56" t="s">
        <v>1702</v>
      </c>
      <c r="D1011" s="57">
        <v>1</v>
      </c>
    </row>
    <row r="1012" spans="2:4" x14ac:dyDescent="0.2">
      <c r="B1012" s="55">
        <v>1656408</v>
      </c>
      <c r="C1012" s="56" t="s">
        <v>1703</v>
      </c>
      <c r="D1012" s="57">
        <v>1</v>
      </c>
    </row>
    <row r="1013" spans="2:4" x14ac:dyDescent="0.2">
      <c r="B1013" s="55">
        <v>1656409</v>
      </c>
      <c r="C1013" s="56" t="s">
        <v>1704</v>
      </c>
      <c r="D1013" s="57">
        <v>1</v>
      </c>
    </row>
    <row r="1014" spans="2:4" x14ac:dyDescent="0.2">
      <c r="B1014" s="55">
        <v>1656410</v>
      </c>
      <c r="C1014" s="56" t="s">
        <v>1705</v>
      </c>
      <c r="D1014" s="57">
        <v>1</v>
      </c>
    </row>
    <row r="1015" spans="2:4" x14ac:dyDescent="0.2">
      <c r="B1015" s="55" t="s">
        <v>1706</v>
      </c>
      <c r="C1015" s="56" t="s">
        <v>1707</v>
      </c>
      <c r="D1015" s="57">
        <v>1</v>
      </c>
    </row>
    <row r="1016" spans="2:4" x14ac:dyDescent="0.2">
      <c r="B1016" s="55" t="s">
        <v>1708</v>
      </c>
      <c r="C1016" s="56" t="s">
        <v>1709</v>
      </c>
      <c r="D1016" s="57">
        <v>1</v>
      </c>
    </row>
    <row r="1017" spans="2:4" x14ac:dyDescent="0.2">
      <c r="B1017" s="55" t="s">
        <v>1710</v>
      </c>
      <c r="C1017" s="56" t="s">
        <v>1711</v>
      </c>
      <c r="D1017" s="57">
        <v>1</v>
      </c>
    </row>
    <row r="1018" spans="2:4" x14ac:dyDescent="0.2">
      <c r="B1018" s="55" t="s">
        <v>1712</v>
      </c>
      <c r="C1018" s="56" t="s">
        <v>1713</v>
      </c>
      <c r="D1018" s="57">
        <v>3</v>
      </c>
    </row>
    <row r="1019" spans="2:4" x14ac:dyDescent="0.2">
      <c r="B1019" s="55" t="s">
        <v>1714</v>
      </c>
      <c r="C1019" s="56" t="s">
        <v>1715</v>
      </c>
      <c r="D1019" s="57">
        <v>2</v>
      </c>
    </row>
    <row r="1020" spans="2:4" x14ac:dyDescent="0.2">
      <c r="B1020" s="55" t="s">
        <v>1716</v>
      </c>
      <c r="C1020" s="56" t="s">
        <v>1717</v>
      </c>
      <c r="D1020" s="57">
        <v>3</v>
      </c>
    </row>
    <row r="1021" spans="2:4" x14ac:dyDescent="0.2">
      <c r="B1021" s="55" t="s">
        <v>1718</v>
      </c>
      <c r="C1021" s="56" t="s">
        <v>1719</v>
      </c>
      <c r="D1021" s="57">
        <v>2</v>
      </c>
    </row>
    <row r="1022" spans="2:4" x14ac:dyDescent="0.2">
      <c r="B1022" s="55">
        <v>1669161</v>
      </c>
      <c r="C1022" s="56" t="s">
        <v>1720</v>
      </c>
      <c r="D1022" s="57">
        <v>1</v>
      </c>
    </row>
    <row r="1023" spans="2:4" x14ac:dyDescent="0.2">
      <c r="B1023" s="55">
        <v>1669162</v>
      </c>
      <c r="C1023" s="56" t="s">
        <v>1721</v>
      </c>
      <c r="D1023" s="57">
        <v>1</v>
      </c>
    </row>
    <row r="1024" spans="2:4" x14ac:dyDescent="0.2">
      <c r="B1024" s="55">
        <v>1669163</v>
      </c>
      <c r="C1024" s="56" t="s">
        <v>1722</v>
      </c>
      <c r="D1024" s="57">
        <v>1</v>
      </c>
    </row>
    <row r="1025" spans="2:4" x14ac:dyDescent="0.2">
      <c r="B1025" s="55" t="s">
        <v>1723</v>
      </c>
      <c r="C1025" s="56" t="s">
        <v>1724</v>
      </c>
      <c r="D1025" s="57">
        <v>1</v>
      </c>
    </row>
    <row r="1026" spans="2:4" x14ac:dyDescent="0.2">
      <c r="B1026" s="55" t="s">
        <v>1725</v>
      </c>
      <c r="C1026" s="56" t="s">
        <v>1726</v>
      </c>
      <c r="D1026" s="57">
        <v>3</v>
      </c>
    </row>
    <row r="1027" spans="2:4" x14ac:dyDescent="0.2">
      <c r="B1027" s="55" t="s">
        <v>1727</v>
      </c>
      <c r="C1027" s="56" t="s">
        <v>1728</v>
      </c>
      <c r="D1027" s="57">
        <v>2</v>
      </c>
    </row>
    <row r="1028" spans="2:4" x14ac:dyDescent="0.2">
      <c r="B1028" s="55">
        <v>1679996</v>
      </c>
      <c r="C1028" s="56" t="s">
        <v>1729</v>
      </c>
      <c r="D1028" s="57">
        <v>1</v>
      </c>
    </row>
    <row r="1029" spans="2:4" x14ac:dyDescent="0.2">
      <c r="B1029" s="55">
        <v>1679997</v>
      </c>
      <c r="C1029" s="56" t="s">
        <v>1730</v>
      </c>
      <c r="D1029" s="57">
        <v>1</v>
      </c>
    </row>
    <row r="1030" spans="2:4" x14ac:dyDescent="0.2">
      <c r="B1030" s="55">
        <v>1679998</v>
      </c>
      <c r="C1030" s="56" t="s">
        <v>1731</v>
      </c>
      <c r="D1030" s="57">
        <v>1</v>
      </c>
    </row>
    <row r="1031" spans="2:4" x14ac:dyDescent="0.2">
      <c r="B1031" s="55">
        <v>1679999</v>
      </c>
      <c r="C1031" s="56" t="s">
        <v>1732</v>
      </c>
      <c r="D1031" s="57">
        <v>1</v>
      </c>
    </row>
    <row r="1032" spans="2:4" x14ac:dyDescent="0.2">
      <c r="B1032" s="55">
        <v>1680000</v>
      </c>
      <c r="C1032" s="56" t="s">
        <v>1733</v>
      </c>
      <c r="D1032" s="57">
        <v>1</v>
      </c>
    </row>
    <row r="1033" spans="2:4" x14ac:dyDescent="0.2">
      <c r="B1033" s="55" t="s">
        <v>1734</v>
      </c>
      <c r="C1033" s="56" t="s">
        <v>1735</v>
      </c>
      <c r="D1033" s="57">
        <v>1</v>
      </c>
    </row>
    <row r="1034" spans="2:4" x14ac:dyDescent="0.2">
      <c r="B1034" s="55">
        <v>1684135</v>
      </c>
      <c r="C1034" s="56" t="s">
        <v>1736</v>
      </c>
      <c r="D1034" s="57">
        <v>1</v>
      </c>
    </row>
    <row r="1035" spans="2:4" x14ac:dyDescent="0.2">
      <c r="B1035" s="55">
        <v>1684136</v>
      </c>
      <c r="C1035" s="56" t="s">
        <v>1737</v>
      </c>
      <c r="D1035" s="57">
        <v>2</v>
      </c>
    </row>
    <row r="1036" spans="2:4" x14ac:dyDescent="0.2">
      <c r="B1036" s="55" t="s">
        <v>1738</v>
      </c>
      <c r="C1036" s="56" t="s">
        <v>1739</v>
      </c>
      <c r="D1036" s="57">
        <v>2</v>
      </c>
    </row>
    <row r="1037" spans="2:4" x14ac:dyDescent="0.2">
      <c r="B1037" s="55" t="s">
        <v>1740</v>
      </c>
      <c r="C1037" s="56" t="s">
        <v>1741</v>
      </c>
      <c r="D1037" s="57">
        <v>1</v>
      </c>
    </row>
    <row r="1038" spans="2:4" x14ac:dyDescent="0.2">
      <c r="B1038" s="55" t="s">
        <v>1742</v>
      </c>
      <c r="C1038" s="56" t="s">
        <v>1743</v>
      </c>
      <c r="D1038" s="57">
        <v>2</v>
      </c>
    </row>
    <row r="1039" spans="2:4" x14ac:dyDescent="0.2">
      <c r="B1039" s="55" t="s">
        <v>1744</v>
      </c>
      <c r="C1039" s="56" t="s">
        <v>1745</v>
      </c>
      <c r="D1039" s="57">
        <v>1</v>
      </c>
    </row>
    <row r="1040" spans="2:4" x14ac:dyDescent="0.2">
      <c r="B1040" s="55" t="s">
        <v>1746</v>
      </c>
      <c r="C1040" s="56" t="s">
        <v>1747</v>
      </c>
      <c r="D1040" s="57">
        <v>1</v>
      </c>
    </row>
    <row r="1041" spans="2:4" x14ac:dyDescent="0.2">
      <c r="B1041" s="55" t="s">
        <v>1748</v>
      </c>
      <c r="C1041" s="56" t="s">
        <v>1749</v>
      </c>
      <c r="D1041" s="57">
        <v>2</v>
      </c>
    </row>
    <row r="1042" spans="2:4" x14ac:dyDescent="0.2">
      <c r="B1042" s="55">
        <v>1720871</v>
      </c>
      <c r="C1042" s="56" t="s">
        <v>1750</v>
      </c>
      <c r="D1042" s="57">
        <v>1</v>
      </c>
    </row>
    <row r="1043" spans="2:4" x14ac:dyDescent="0.2">
      <c r="B1043" s="55">
        <v>1720872</v>
      </c>
      <c r="C1043" s="56" t="s">
        <v>1751</v>
      </c>
      <c r="D1043" s="57">
        <v>1</v>
      </c>
    </row>
    <row r="1044" spans="2:4" x14ac:dyDescent="0.2">
      <c r="B1044" s="55">
        <v>1720873</v>
      </c>
      <c r="C1044" s="56" t="s">
        <v>1752</v>
      </c>
      <c r="D1044" s="57">
        <v>1</v>
      </c>
    </row>
    <row r="1045" spans="2:4" x14ac:dyDescent="0.2">
      <c r="B1045" s="55">
        <v>1720874</v>
      </c>
      <c r="C1045" s="56" t="s">
        <v>1753</v>
      </c>
      <c r="D1045" s="57">
        <v>2</v>
      </c>
    </row>
    <row r="1046" spans="2:4" x14ac:dyDescent="0.2">
      <c r="B1046" s="55">
        <v>1721176</v>
      </c>
      <c r="C1046" s="56" t="s">
        <v>1754</v>
      </c>
      <c r="D1046" s="57">
        <v>1</v>
      </c>
    </row>
    <row r="1047" spans="2:4" x14ac:dyDescent="0.2">
      <c r="B1047" s="55">
        <v>1721177</v>
      </c>
      <c r="C1047" s="56" t="s">
        <v>1755</v>
      </c>
      <c r="D1047" s="57">
        <v>1</v>
      </c>
    </row>
    <row r="1048" spans="2:4" x14ac:dyDescent="0.2">
      <c r="B1048" s="55">
        <v>1721178</v>
      </c>
      <c r="C1048" s="56" t="s">
        <v>1756</v>
      </c>
      <c r="D1048" s="57">
        <v>1</v>
      </c>
    </row>
    <row r="1049" spans="2:4" x14ac:dyDescent="0.2">
      <c r="B1049" s="55">
        <v>1721179</v>
      </c>
      <c r="C1049" s="56" t="s">
        <v>1757</v>
      </c>
      <c r="D1049" s="57">
        <v>1</v>
      </c>
    </row>
    <row r="1050" spans="2:4" x14ac:dyDescent="0.2">
      <c r="B1050" s="55">
        <v>1721180</v>
      </c>
      <c r="C1050" s="56" t="s">
        <v>1758</v>
      </c>
      <c r="D1050" s="57">
        <v>2</v>
      </c>
    </row>
    <row r="1051" spans="2:4" x14ac:dyDescent="0.2">
      <c r="B1051" s="55" t="s">
        <v>1759</v>
      </c>
      <c r="C1051" s="56" t="s">
        <v>1760</v>
      </c>
      <c r="D1051" s="57">
        <v>2</v>
      </c>
    </row>
    <row r="1052" spans="2:4" x14ac:dyDescent="0.2">
      <c r="B1052" s="55">
        <v>1723640</v>
      </c>
      <c r="C1052" s="56" t="s">
        <v>1761</v>
      </c>
      <c r="D1052" s="57">
        <v>1</v>
      </c>
    </row>
    <row r="1053" spans="2:4" x14ac:dyDescent="0.2">
      <c r="B1053" s="55">
        <v>1723641</v>
      </c>
      <c r="C1053" s="56" t="s">
        <v>1762</v>
      </c>
      <c r="D1053" s="57">
        <v>2</v>
      </c>
    </row>
    <row r="1054" spans="2:4" x14ac:dyDescent="0.2">
      <c r="B1054" s="55">
        <v>1723642</v>
      </c>
      <c r="C1054" s="56" t="s">
        <v>1763</v>
      </c>
      <c r="D1054" s="57">
        <v>1</v>
      </c>
    </row>
    <row r="1055" spans="2:4" x14ac:dyDescent="0.2">
      <c r="B1055" s="55">
        <v>1723643</v>
      </c>
      <c r="C1055" s="56" t="s">
        <v>1764</v>
      </c>
      <c r="D1055" s="57">
        <v>1</v>
      </c>
    </row>
    <row r="1056" spans="2:4" x14ac:dyDescent="0.2">
      <c r="B1056" s="55">
        <v>1723644</v>
      </c>
      <c r="C1056" s="56" t="s">
        <v>1765</v>
      </c>
      <c r="D1056" s="57">
        <v>1</v>
      </c>
    </row>
    <row r="1057" spans="2:4" ht="25.5" x14ac:dyDescent="0.2">
      <c r="B1057" s="55" t="s">
        <v>1766</v>
      </c>
      <c r="C1057" s="56" t="s">
        <v>1767</v>
      </c>
      <c r="D1057" s="57">
        <v>2</v>
      </c>
    </row>
    <row r="1058" spans="2:4" x14ac:dyDescent="0.2">
      <c r="B1058" s="55">
        <v>1724432</v>
      </c>
      <c r="C1058" s="56" t="s">
        <v>1768</v>
      </c>
      <c r="D1058" s="57">
        <v>1</v>
      </c>
    </row>
    <row r="1059" spans="2:4" x14ac:dyDescent="0.2">
      <c r="B1059" s="55">
        <v>1724433</v>
      </c>
      <c r="C1059" s="56" t="s">
        <v>1769</v>
      </c>
      <c r="D1059" s="57">
        <v>1</v>
      </c>
    </row>
    <row r="1060" spans="2:4" x14ac:dyDescent="0.2">
      <c r="B1060" s="55" t="s">
        <v>1770</v>
      </c>
      <c r="C1060" s="56" t="s">
        <v>1771</v>
      </c>
      <c r="D1060" s="57">
        <v>1</v>
      </c>
    </row>
    <row r="1061" spans="2:4" ht="25.5" x14ac:dyDescent="0.2">
      <c r="B1061" s="55" t="s">
        <v>1772</v>
      </c>
      <c r="C1061" s="56" t="s">
        <v>1773</v>
      </c>
      <c r="D1061" s="57">
        <v>2</v>
      </c>
    </row>
    <row r="1062" spans="2:4" x14ac:dyDescent="0.2">
      <c r="B1062" s="55" t="s">
        <v>1774</v>
      </c>
      <c r="C1062" s="56" t="s">
        <v>1775</v>
      </c>
      <c r="D1062" s="57">
        <v>2</v>
      </c>
    </row>
    <row r="1063" spans="2:4" x14ac:dyDescent="0.2">
      <c r="B1063" s="55">
        <v>1793374</v>
      </c>
      <c r="C1063" s="56" t="s">
        <v>1776</v>
      </c>
      <c r="D1063" s="57">
        <v>3</v>
      </c>
    </row>
    <row r="1064" spans="2:4" x14ac:dyDescent="0.2">
      <c r="B1064" s="55">
        <v>1793375</v>
      </c>
      <c r="C1064" s="56" t="s">
        <v>1777</v>
      </c>
      <c r="D1064" s="57">
        <v>2</v>
      </c>
    </row>
    <row r="1065" spans="2:4" x14ac:dyDescent="0.2">
      <c r="B1065" s="55">
        <v>1797573</v>
      </c>
      <c r="C1065" s="56" t="s">
        <v>1778</v>
      </c>
      <c r="D1065" s="57">
        <v>2</v>
      </c>
    </row>
    <row r="1066" spans="2:4" x14ac:dyDescent="0.2">
      <c r="B1066" s="55">
        <v>1797574</v>
      </c>
      <c r="C1066" s="56" t="s">
        <v>1779</v>
      </c>
      <c r="D1066" s="57">
        <v>2</v>
      </c>
    </row>
    <row r="1067" spans="2:4" x14ac:dyDescent="0.2">
      <c r="B1067" s="55" t="s">
        <v>1780</v>
      </c>
      <c r="C1067" s="56" t="s">
        <v>1781</v>
      </c>
      <c r="D1067" s="57">
        <v>2</v>
      </c>
    </row>
    <row r="1068" spans="2:4" x14ac:dyDescent="0.2">
      <c r="B1068" s="55">
        <v>1830413</v>
      </c>
      <c r="C1068" s="56" t="s">
        <v>1782</v>
      </c>
      <c r="D1068" s="57">
        <v>1</v>
      </c>
    </row>
    <row r="1069" spans="2:4" x14ac:dyDescent="0.2">
      <c r="B1069" s="55">
        <v>1830414</v>
      </c>
      <c r="C1069" s="56" t="s">
        <v>1783</v>
      </c>
      <c r="D1069" s="57">
        <v>1</v>
      </c>
    </row>
    <row r="1070" spans="2:4" x14ac:dyDescent="0.2">
      <c r="B1070" s="55">
        <v>1830415</v>
      </c>
      <c r="C1070" s="56" t="s">
        <v>1784</v>
      </c>
      <c r="D1070" s="57">
        <v>1</v>
      </c>
    </row>
    <row r="1071" spans="2:4" x14ac:dyDescent="0.2">
      <c r="B1071" s="55" t="s">
        <v>1785</v>
      </c>
      <c r="C1071" s="56" t="s">
        <v>1786</v>
      </c>
      <c r="D1071" s="57">
        <v>1</v>
      </c>
    </row>
    <row r="1072" spans="2:4" x14ac:dyDescent="0.2">
      <c r="B1072" s="55">
        <v>1833671</v>
      </c>
      <c r="C1072" s="56" t="s">
        <v>1787</v>
      </c>
      <c r="D1072" s="57">
        <v>1</v>
      </c>
    </row>
    <row r="1073" spans="2:4" x14ac:dyDescent="0.2">
      <c r="B1073" s="55">
        <v>1833672</v>
      </c>
      <c r="C1073" s="56" t="s">
        <v>1788</v>
      </c>
      <c r="D1073" s="57">
        <v>2</v>
      </c>
    </row>
    <row r="1074" spans="2:4" ht="25.5" x14ac:dyDescent="0.2">
      <c r="B1074" s="55" t="s">
        <v>1789</v>
      </c>
      <c r="C1074" s="56" t="s">
        <v>1790</v>
      </c>
      <c r="D1074" s="57">
        <v>2</v>
      </c>
    </row>
    <row r="1075" spans="2:4" x14ac:dyDescent="0.2">
      <c r="B1075" s="55" t="s">
        <v>1791</v>
      </c>
      <c r="C1075" s="56" t="s">
        <v>1792</v>
      </c>
      <c r="D1075" s="57">
        <v>3</v>
      </c>
    </row>
    <row r="1076" spans="2:4" x14ac:dyDescent="0.2">
      <c r="B1076" s="55" t="s">
        <v>1793</v>
      </c>
      <c r="C1076" s="56" t="s">
        <v>1794</v>
      </c>
      <c r="D1076" s="57">
        <v>3</v>
      </c>
    </row>
    <row r="1077" spans="2:4" x14ac:dyDescent="0.2">
      <c r="B1077" s="55">
        <v>1906383</v>
      </c>
      <c r="C1077" s="56" t="s">
        <v>1795</v>
      </c>
      <c r="D1077" s="57">
        <v>2</v>
      </c>
    </row>
    <row r="1078" spans="2:4" x14ac:dyDescent="0.2">
      <c r="B1078" s="55">
        <v>1906384</v>
      </c>
      <c r="C1078" s="56" t="s">
        <v>1796</v>
      </c>
      <c r="D1078" s="57">
        <v>3</v>
      </c>
    </row>
    <row r="1079" spans="2:4" x14ac:dyDescent="0.2">
      <c r="B1079" s="55">
        <v>1906385</v>
      </c>
      <c r="C1079" s="56" t="s">
        <v>1797</v>
      </c>
      <c r="D1079" s="57">
        <v>2</v>
      </c>
    </row>
    <row r="1080" spans="2:4" x14ac:dyDescent="0.2">
      <c r="B1080" s="55">
        <v>1906386</v>
      </c>
      <c r="C1080" s="56" t="s">
        <v>1798</v>
      </c>
      <c r="D1080" s="57">
        <v>1</v>
      </c>
    </row>
    <row r="1081" spans="2:4" ht="25.5" x14ac:dyDescent="0.2">
      <c r="B1081" s="55" t="s">
        <v>1799</v>
      </c>
      <c r="C1081" s="56" t="s">
        <v>1800</v>
      </c>
      <c r="D1081" s="57">
        <v>2</v>
      </c>
    </row>
    <row r="1082" spans="2:4" x14ac:dyDescent="0.2">
      <c r="B1082" s="55" t="s">
        <v>1801</v>
      </c>
      <c r="C1082" s="56" t="s">
        <v>1802</v>
      </c>
      <c r="D1082" s="57">
        <v>1</v>
      </c>
    </row>
    <row r="1083" spans="2:4" x14ac:dyDescent="0.2">
      <c r="B1083" s="55" t="s">
        <v>1803</v>
      </c>
      <c r="C1083" s="56" t="s">
        <v>1804</v>
      </c>
      <c r="D1083" s="57">
        <v>2</v>
      </c>
    </row>
    <row r="1084" spans="2:4" x14ac:dyDescent="0.2">
      <c r="B1084" s="55" t="s">
        <v>1805</v>
      </c>
      <c r="C1084" s="56" t="s">
        <v>1806</v>
      </c>
      <c r="D1084" s="57">
        <v>1</v>
      </c>
    </row>
    <row r="1085" spans="2:4" x14ac:dyDescent="0.2">
      <c r="B1085" s="55" t="s">
        <v>1807</v>
      </c>
      <c r="C1085" s="56" t="s">
        <v>1808</v>
      </c>
      <c r="D1085" s="57">
        <v>1</v>
      </c>
    </row>
    <row r="1086" spans="2:4" x14ac:dyDescent="0.2">
      <c r="B1086" s="55" t="s">
        <v>1809</v>
      </c>
      <c r="C1086" s="56" t="s">
        <v>1810</v>
      </c>
      <c r="D1086" s="57">
        <v>3</v>
      </c>
    </row>
    <row r="1087" spans="2:4" x14ac:dyDescent="0.2">
      <c r="B1087" s="55" t="s">
        <v>1811</v>
      </c>
      <c r="C1087" s="56" t="s">
        <v>1812</v>
      </c>
      <c r="D1087" s="57">
        <v>2</v>
      </c>
    </row>
    <row r="1088" spans="2:4" x14ac:dyDescent="0.2">
      <c r="B1088" s="55" t="s">
        <v>1813</v>
      </c>
      <c r="C1088" s="56" t="s">
        <v>1814</v>
      </c>
      <c r="D1088" s="57">
        <v>3</v>
      </c>
    </row>
    <row r="1089" spans="2:4" x14ac:dyDescent="0.2">
      <c r="B1089" s="55" t="s">
        <v>1815</v>
      </c>
      <c r="C1089" s="56" t="s">
        <v>1816</v>
      </c>
      <c r="D1089" s="57">
        <v>3</v>
      </c>
    </row>
    <row r="1090" spans="2:4" x14ac:dyDescent="0.2">
      <c r="B1090" s="55" t="s">
        <v>1817</v>
      </c>
      <c r="C1090" s="56" t="s">
        <v>1818</v>
      </c>
      <c r="D1090" s="57">
        <v>2</v>
      </c>
    </row>
    <row r="1091" spans="2:4" x14ac:dyDescent="0.2">
      <c r="B1091" s="55" t="s">
        <v>1819</v>
      </c>
      <c r="C1091" s="56" t="s">
        <v>1820</v>
      </c>
      <c r="D1091" s="57">
        <v>2</v>
      </c>
    </row>
    <row r="1092" spans="2:4" x14ac:dyDescent="0.2">
      <c r="B1092" s="55" t="s">
        <v>1821</v>
      </c>
      <c r="C1092" s="56" t="s">
        <v>1822</v>
      </c>
      <c r="D1092" s="57">
        <v>3</v>
      </c>
    </row>
    <row r="1093" spans="2:4" x14ac:dyDescent="0.2">
      <c r="B1093" s="55">
        <v>2012519</v>
      </c>
      <c r="C1093" s="56" t="s">
        <v>1823</v>
      </c>
      <c r="D1093" s="57">
        <v>3</v>
      </c>
    </row>
    <row r="1094" spans="2:4" x14ac:dyDescent="0.2">
      <c r="B1094" s="55">
        <v>2012520</v>
      </c>
      <c r="C1094" s="56" t="s">
        <v>1824</v>
      </c>
      <c r="D1094" s="57">
        <v>3</v>
      </c>
    </row>
    <row r="1095" spans="2:4" x14ac:dyDescent="0.2">
      <c r="B1095" s="55" t="s">
        <v>1825</v>
      </c>
      <c r="C1095" s="56" t="s">
        <v>1826</v>
      </c>
      <c r="D1095" s="57">
        <v>2</v>
      </c>
    </row>
    <row r="1096" spans="2:4" x14ac:dyDescent="0.2">
      <c r="B1096" s="55" t="s">
        <v>1827</v>
      </c>
      <c r="C1096" s="56" t="s">
        <v>1828</v>
      </c>
      <c r="D1096" s="57">
        <v>2</v>
      </c>
    </row>
    <row r="1097" spans="2:4" x14ac:dyDescent="0.2">
      <c r="B1097" s="55" t="s">
        <v>1829</v>
      </c>
      <c r="C1097" s="56" t="s">
        <v>1830</v>
      </c>
      <c r="D1097" s="57">
        <v>2</v>
      </c>
    </row>
    <row r="1098" spans="2:4" x14ac:dyDescent="0.2">
      <c r="B1098" s="55" t="s">
        <v>1831</v>
      </c>
      <c r="C1098" s="56" t="s">
        <v>1832</v>
      </c>
      <c r="D1098" s="57">
        <v>2</v>
      </c>
    </row>
    <row r="1099" spans="2:4" x14ac:dyDescent="0.2">
      <c r="B1099" s="58">
        <v>7420005</v>
      </c>
      <c r="C1099" s="59" t="s">
        <v>1833</v>
      </c>
      <c r="D1099" s="60">
        <v>3</v>
      </c>
    </row>
    <row r="1100" spans="2:4" x14ac:dyDescent="0.2">
      <c r="B1100" s="58">
        <v>2041708</v>
      </c>
      <c r="C1100" s="59" t="s">
        <v>1834</v>
      </c>
      <c r="D1100" s="60">
        <v>3</v>
      </c>
    </row>
    <row r="1101" spans="2:4" x14ac:dyDescent="0.2">
      <c r="B1101" s="58">
        <v>2041709</v>
      </c>
      <c r="C1101" s="59" t="s">
        <v>1835</v>
      </c>
      <c r="D1101" s="60">
        <v>3</v>
      </c>
    </row>
    <row r="1102" spans="2:4" x14ac:dyDescent="0.2">
      <c r="B1102" s="58">
        <v>2041710</v>
      </c>
      <c r="C1102" s="59" t="s">
        <v>1836</v>
      </c>
      <c r="D1102" s="60">
        <v>3</v>
      </c>
    </row>
    <row r="1103" spans="2:4" ht="25.5" x14ac:dyDescent="0.2">
      <c r="B1103" s="58">
        <v>2041711</v>
      </c>
      <c r="C1103" s="59" t="s">
        <v>1837</v>
      </c>
      <c r="D1103" s="60">
        <v>2</v>
      </c>
    </row>
    <row r="1104" spans="2:4" x14ac:dyDescent="0.2">
      <c r="B1104" s="58">
        <v>2041712</v>
      </c>
      <c r="C1104" s="59" t="s">
        <v>1838</v>
      </c>
      <c r="D1104" s="60">
        <v>3</v>
      </c>
    </row>
    <row r="1105" spans="2:4" ht="25.5" x14ac:dyDescent="0.2">
      <c r="B1105" s="55">
        <v>7490199</v>
      </c>
      <c r="C1105" s="56" t="s">
        <v>1839</v>
      </c>
      <c r="D1105" s="57">
        <v>2</v>
      </c>
    </row>
    <row r="1106" spans="2:4" x14ac:dyDescent="0.2">
      <c r="B1106" s="55">
        <v>7500100</v>
      </c>
      <c r="C1106" s="56" t="s">
        <v>1840</v>
      </c>
      <c r="D1106" s="57">
        <v>2</v>
      </c>
    </row>
    <row r="1107" spans="2:4" x14ac:dyDescent="0.2">
      <c r="B1107" s="55">
        <v>7711000</v>
      </c>
      <c r="C1107" s="56" t="s">
        <v>1841</v>
      </c>
      <c r="D1107" s="57">
        <v>2</v>
      </c>
    </row>
    <row r="1108" spans="2:4" x14ac:dyDescent="0.2">
      <c r="B1108" s="55">
        <v>7719501</v>
      </c>
      <c r="C1108" s="56" t="s">
        <v>1842</v>
      </c>
      <c r="D1108" s="57">
        <v>2</v>
      </c>
    </row>
    <row r="1109" spans="2:4" x14ac:dyDescent="0.2">
      <c r="B1109" s="55">
        <v>7719502</v>
      </c>
      <c r="C1109" s="56" t="s">
        <v>1843</v>
      </c>
      <c r="D1109" s="57">
        <v>3</v>
      </c>
    </row>
    <row r="1110" spans="2:4" ht="25.5" x14ac:dyDescent="0.2">
      <c r="B1110" s="55">
        <v>7719599</v>
      </c>
      <c r="C1110" s="56" t="s">
        <v>1844</v>
      </c>
      <c r="D1110" s="57">
        <v>3</v>
      </c>
    </row>
    <row r="1111" spans="2:4" x14ac:dyDescent="0.2">
      <c r="B1111" s="55">
        <v>7721700</v>
      </c>
      <c r="C1111" s="56" t="s">
        <v>1845</v>
      </c>
      <c r="D1111" s="57">
        <v>2</v>
      </c>
    </row>
    <row r="1112" spans="2:4" x14ac:dyDescent="0.2">
      <c r="B1112" s="55">
        <v>7722500</v>
      </c>
      <c r="C1112" s="56" t="s">
        <v>1846</v>
      </c>
      <c r="D1112" s="57">
        <v>3</v>
      </c>
    </row>
    <row r="1113" spans="2:4" x14ac:dyDescent="0.2">
      <c r="B1113" s="55">
        <v>7723300</v>
      </c>
      <c r="C1113" s="56" t="s">
        <v>1847</v>
      </c>
      <c r="D1113" s="57">
        <v>2</v>
      </c>
    </row>
    <row r="1114" spans="2:4" x14ac:dyDescent="0.2">
      <c r="B1114" s="55">
        <v>7729201</v>
      </c>
      <c r="C1114" s="56" t="s">
        <v>1848</v>
      </c>
      <c r="D1114" s="57">
        <v>3</v>
      </c>
    </row>
    <row r="1115" spans="2:4" ht="25.5" x14ac:dyDescent="0.2">
      <c r="B1115" s="55">
        <v>7729202</v>
      </c>
      <c r="C1115" s="56" t="s">
        <v>1849</v>
      </c>
      <c r="D1115" s="57">
        <v>3</v>
      </c>
    </row>
    <row r="1116" spans="2:4" x14ac:dyDescent="0.2">
      <c r="B1116" s="55">
        <v>7729203</v>
      </c>
      <c r="C1116" s="56" t="s">
        <v>1850</v>
      </c>
      <c r="D1116" s="57">
        <v>1</v>
      </c>
    </row>
    <row r="1117" spans="2:4" x14ac:dyDescent="0.2">
      <c r="B1117" s="55">
        <v>7729299</v>
      </c>
      <c r="C1117" s="56" t="s">
        <v>1851</v>
      </c>
      <c r="D1117" s="57">
        <v>3</v>
      </c>
    </row>
    <row r="1118" spans="2:4" x14ac:dyDescent="0.2">
      <c r="B1118" s="55">
        <v>7731400</v>
      </c>
      <c r="C1118" s="56" t="s">
        <v>1852</v>
      </c>
      <c r="D1118" s="57">
        <v>3</v>
      </c>
    </row>
    <row r="1119" spans="2:4" ht="25.5" x14ac:dyDescent="0.2">
      <c r="B1119" s="55">
        <v>7732201</v>
      </c>
      <c r="C1119" s="56" t="s">
        <v>1853</v>
      </c>
      <c r="D1119" s="57">
        <v>3</v>
      </c>
    </row>
    <row r="1120" spans="2:4" x14ac:dyDescent="0.2">
      <c r="B1120" s="55">
        <v>7732202</v>
      </c>
      <c r="C1120" s="56" t="s">
        <v>1854</v>
      </c>
      <c r="D1120" s="57">
        <v>3</v>
      </c>
    </row>
    <row r="1121" spans="2:4" x14ac:dyDescent="0.2">
      <c r="B1121" s="55">
        <v>7733100</v>
      </c>
      <c r="C1121" s="56" t="s">
        <v>1855</v>
      </c>
      <c r="D1121" s="57">
        <v>1</v>
      </c>
    </row>
    <row r="1122" spans="2:4" ht="25.5" x14ac:dyDescent="0.2">
      <c r="B1122" s="55">
        <v>7739001</v>
      </c>
      <c r="C1122" s="56" t="s">
        <v>1856</v>
      </c>
      <c r="D1122" s="57">
        <v>1</v>
      </c>
    </row>
    <row r="1123" spans="2:4" x14ac:dyDescent="0.2">
      <c r="B1123" s="55">
        <f>B1122+1</f>
        <v>7739002</v>
      </c>
      <c r="C1123" s="56" t="s">
        <v>1857</v>
      </c>
      <c r="D1123" s="57">
        <v>3</v>
      </c>
    </row>
    <row r="1124" spans="2:4" ht="25.5" x14ac:dyDescent="0.2">
      <c r="B1124" s="55">
        <f>B1123+1</f>
        <v>7739003</v>
      </c>
      <c r="C1124" s="56" t="s">
        <v>1858</v>
      </c>
      <c r="D1124" s="57">
        <v>3</v>
      </c>
    </row>
    <row r="1125" spans="2:4" ht="25.5" x14ac:dyDescent="0.2">
      <c r="B1125" s="55">
        <v>7739099</v>
      </c>
      <c r="C1125" s="56" t="s">
        <v>1859</v>
      </c>
      <c r="D1125" s="57">
        <v>3</v>
      </c>
    </row>
    <row r="1126" spans="2:4" x14ac:dyDescent="0.2">
      <c r="B1126" s="55">
        <v>7740300</v>
      </c>
      <c r="C1126" s="56" t="s">
        <v>1860</v>
      </c>
      <c r="D1126" s="57">
        <v>1</v>
      </c>
    </row>
    <row r="1127" spans="2:4" x14ac:dyDescent="0.2">
      <c r="B1127" s="55">
        <v>7810800</v>
      </c>
      <c r="C1127" s="56" t="s">
        <v>1861</v>
      </c>
      <c r="D1127" s="57">
        <v>3</v>
      </c>
    </row>
    <row r="1128" spans="2:4" x14ac:dyDescent="0.2">
      <c r="B1128" s="55">
        <v>7820500</v>
      </c>
      <c r="C1128" s="56" t="s">
        <v>1862</v>
      </c>
      <c r="D1128" s="57">
        <v>3</v>
      </c>
    </row>
    <row r="1129" spans="2:4" x14ac:dyDescent="0.2">
      <c r="B1129" s="55">
        <v>7830200</v>
      </c>
      <c r="C1129" s="56" t="s">
        <v>1863</v>
      </c>
      <c r="D1129" s="57">
        <v>2</v>
      </c>
    </row>
    <row r="1130" spans="2:4" x14ac:dyDescent="0.2">
      <c r="B1130" s="55">
        <v>7911200</v>
      </c>
      <c r="C1130" s="56" t="s">
        <v>1864</v>
      </c>
      <c r="D1130" s="57">
        <v>1</v>
      </c>
    </row>
    <row r="1131" spans="2:4" x14ac:dyDescent="0.2">
      <c r="B1131" s="55">
        <v>7912100</v>
      </c>
      <c r="C1131" s="56" t="s">
        <v>1865</v>
      </c>
      <c r="D1131" s="57">
        <v>1</v>
      </c>
    </row>
    <row r="1132" spans="2:4" x14ac:dyDescent="0.2">
      <c r="B1132" s="55">
        <v>7990200</v>
      </c>
      <c r="C1132" s="56" t="s">
        <v>1866</v>
      </c>
      <c r="D1132" s="57">
        <v>1</v>
      </c>
    </row>
    <row r="1133" spans="2:4" x14ac:dyDescent="0.2">
      <c r="B1133" s="55">
        <v>8011101</v>
      </c>
      <c r="C1133" s="56" t="s">
        <v>1867</v>
      </c>
      <c r="D1133" s="57">
        <v>3</v>
      </c>
    </row>
    <row r="1134" spans="2:4" x14ac:dyDescent="0.2">
      <c r="B1134" s="55">
        <f>B1133+1</f>
        <v>8011102</v>
      </c>
      <c r="C1134" s="56" t="s">
        <v>1868</v>
      </c>
      <c r="D1134" s="57">
        <v>2</v>
      </c>
    </row>
    <row r="1135" spans="2:4" x14ac:dyDescent="0.2">
      <c r="B1135" s="55">
        <v>8012900</v>
      </c>
      <c r="C1135" s="56" t="s">
        <v>1869</v>
      </c>
      <c r="D1135" s="57">
        <v>3</v>
      </c>
    </row>
    <row r="1136" spans="2:4" x14ac:dyDescent="0.2">
      <c r="B1136" s="55">
        <v>8020000</v>
      </c>
      <c r="C1136" s="56" t="s">
        <v>1870</v>
      </c>
      <c r="D1136" s="57">
        <v>3</v>
      </c>
    </row>
    <row r="1137" spans="2:4" x14ac:dyDescent="0.2">
      <c r="B1137" s="55">
        <v>8030700</v>
      </c>
      <c r="C1137" s="56" t="s">
        <v>1871</v>
      </c>
      <c r="D1137" s="57">
        <v>2</v>
      </c>
    </row>
    <row r="1138" spans="2:4" x14ac:dyDescent="0.2">
      <c r="B1138" s="55">
        <v>8111700</v>
      </c>
      <c r="C1138" s="56" t="s">
        <v>1872</v>
      </c>
      <c r="D1138" s="57">
        <v>3</v>
      </c>
    </row>
    <row r="1139" spans="2:4" x14ac:dyDescent="0.2">
      <c r="B1139" s="55">
        <v>8112500</v>
      </c>
      <c r="C1139" s="56" t="s">
        <v>1873</v>
      </c>
      <c r="D1139" s="57">
        <v>2</v>
      </c>
    </row>
    <row r="1140" spans="2:4" x14ac:dyDescent="0.2">
      <c r="B1140" s="55">
        <v>8121400</v>
      </c>
      <c r="C1140" s="56" t="s">
        <v>1874</v>
      </c>
      <c r="D1140" s="57">
        <v>3</v>
      </c>
    </row>
    <row r="1141" spans="2:4" x14ac:dyDescent="0.2">
      <c r="B1141" s="55">
        <v>8122200</v>
      </c>
      <c r="C1141" s="56" t="s">
        <v>1875</v>
      </c>
      <c r="D1141" s="57">
        <v>3</v>
      </c>
    </row>
    <row r="1142" spans="2:4" x14ac:dyDescent="0.2">
      <c r="B1142" s="55">
        <v>8129000</v>
      </c>
      <c r="C1142" s="56" t="s">
        <v>1876</v>
      </c>
      <c r="D1142" s="57">
        <v>3</v>
      </c>
    </row>
    <row r="1143" spans="2:4" x14ac:dyDescent="0.2">
      <c r="B1143" s="55">
        <v>8130300</v>
      </c>
      <c r="C1143" s="56" t="s">
        <v>1877</v>
      </c>
      <c r="D1143" s="57">
        <v>3</v>
      </c>
    </row>
    <row r="1144" spans="2:4" x14ac:dyDescent="0.2">
      <c r="B1144" s="55">
        <v>8211300</v>
      </c>
      <c r="C1144" s="56" t="s">
        <v>1878</v>
      </c>
      <c r="D1144" s="57">
        <v>2</v>
      </c>
    </row>
    <row r="1145" spans="2:4" x14ac:dyDescent="0.2">
      <c r="B1145" s="55">
        <v>8219901</v>
      </c>
      <c r="C1145" s="56" t="s">
        <v>1879</v>
      </c>
      <c r="D1145" s="57">
        <v>1</v>
      </c>
    </row>
    <row r="1146" spans="2:4" ht="25.5" x14ac:dyDescent="0.2">
      <c r="B1146" s="55">
        <v>8219999</v>
      </c>
      <c r="C1146" s="56" t="s">
        <v>1880</v>
      </c>
      <c r="D1146" s="57">
        <v>3</v>
      </c>
    </row>
    <row r="1147" spans="2:4" x14ac:dyDescent="0.2">
      <c r="B1147" s="55">
        <v>8220200</v>
      </c>
      <c r="C1147" s="56" t="s">
        <v>1881</v>
      </c>
      <c r="D1147" s="57">
        <v>3</v>
      </c>
    </row>
    <row r="1148" spans="2:4" x14ac:dyDescent="0.2">
      <c r="B1148" s="55">
        <v>8230001</v>
      </c>
      <c r="C1148" s="56" t="s">
        <v>1882</v>
      </c>
      <c r="D1148" s="57">
        <v>3</v>
      </c>
    </row>
    <row r="1149" spans="2:4" x14ac:dyDescent="0.2">
      <c r="B1149" s="55">
        <v>8230002</v>
      </c>
      <c r="C1149" s="56" t="s">
        <v>1883</v>
      </c>
      <c r="D1149" s="57">
        <v>1</v>
      </c>
    </row>
    <row r="1150" spans="2:4" x14ac:dyDescent="0.2">
      <c r="B1150" s="55">
        <v>8291100</v>
      </c>
      <c r="C1150" s="56" t="s">
        <v>1884</v>
      </c>
      <c r="D1150" s="57">
        <v>2</v>
      </c>
    </row>
    <row r="1151" spans="2:4" x14ac:dyDescent="0.2">
      <c r="B1151" s="55">
        <v>8292000</v>
      </c>
      <c r="C1151" s="56" t="s">
        <v>1885</v>
      </c>
      <c r="D1151" s="57">
        <v>3</v>
      </c>
    </row>
    <row r="1152" spans="2:4" x14ac:dyDescent="0.2">
      <c r="B1152" s="55">
        <v>8299701</v>
      </c>
      <c r="C1152" s="56" t="s">
        <v>1886</v>
      </c>
      <c r="D1152" s="57">
        <v>3</v>
      </c>
    </row>
    <row r="1153" spans="2:4" x14ac:dyDescent="0.2">
      <c r="B1153" s="55">
        <f>B1152+1</f>
        <v>8299702</v>
      </c>
      <c r="C1153" s="56" t="s">
        <v>1887</v>
      </c>
      <c r="D1153" s="57">
        <v>1</v>
      </c>
    </row>
    <row r="1154" spans="2:4" x14ac:dyDescent="0.2">
      <c r="B1154" s="55">
        <f t="shared" ref="B1154:B1158" si="0">B1153+1</f>
        <v>8299703</v>
      </c>
      <c r="C1154" s="56" t="s">
        <v>1888</v>
      </c>
      <c r="D1154" s="57">
        <v>2</v>
      </c>
    </row>
    <row r="1155" spans="2:4" x14ac:dyDescent="0.2">
      <c r="B1155" s="55">
        <f t="shared" si="0"/>
        <v>8299704</v>
      </c>
      <c r="C1155" s="56" t="s">
        <v>1889</v>
      </c>
      <c r="D1155" s="57">
        <v>2</v>
      </c>
    </row>
    <row r="1156" spans="2:4" x14ac:dyDescent="0.2">
      <c r="B1156" s="55">
        <f t="shared" si="0"/>
        <v>8299705</v>
      </c>
      <c r="C1156" s="56" t="s">
        <v>1890</v>
      </c>
      <c r="D1156" s="57">
        <v>2</v>
      </c>
    </row>
    <row r="1157" spans="2:4" x14ac:dyDescent="0.2">
      <c r="B1157" s="55">
        <f t="shared" si="0"/>
        <v>8299706</v>
      </c>
      <c r="C1157" s="56" t="s">
        <v>1891</v>
      </c>
      <c r="D1157" s="57">
        <v>2</v>
      </c>
    </row>
    <row r="1158" spans="2:4" x14ac:dyDescent="0.2">
      <c r="B1158" s="55">
        <f t="shared" si="0"/>
        <v>8299707</v>
      </c>
      <c r="C1158" s="56" t="s">
        <v>1892</v>
      </c>
      <c r="D1158" s="57">
        <v>2</v>
      </c>
    </row>
    <row r="1159" spans="2:4" ht="25.5" x14ac:dyDescent="0.2">
      <c r="B1159" s="55">
        <v>8299799</v>
      </c>
      <c r="C1159" s="56" t="s">
        <v>1893</v>
      </c>
      <c r="D1159" s="57">
        <v>2</v>
      </c>
    </row>
    <row r="1160" spans="2:4" x14ac:dyDescent="0.2">
      <c r="B1160" s="55">
        <v>8411600</v>
      </c>
      <c r="C1160" s="56" t="s">
        <v>1894</v>
      </c>
      <c r="D1160" s="57">
        <v>2</v>
      </c>
    </row>
    <row r="1161" spans="2:4" ht="25.5" x14ac:dyDescent="0.2">
      <c r="B1161" s="55">
        <v>8412400</v>
      </c>
      <c r="C1161" s="56" t="s">
        <v>1895</v>
      </c>
      <c r="D1161" s="57">
        <v>1</v>
      </c>
    </row>
    <row r="1162" spans="2:4" x14ac:dyDescent="0.2">
      <c r="B1162" s="55">
        <v>8413200</v>
      </c>
      <c r="C1162" s="56" t="s">
        <v>1896</v>
      </c>
      <c r="D1162" s="57">
        <v>2</v>
      </c>
    </row>
    <row r="1163" spans="2:4" x14ac:dyDescent="0.2">
      <c r="B1163" s="55">
        <v>8421300</v>
      </c>
      <c r="C1163" s="56" t="s">
        <v>1897</v>
      </c>
      <c r="D1163" s="57">
        <v>1</v>
      </c>
    </row>
    <row r="1164" spans="2:4" x14ac:dyDescent="0.2">
      <c r="B1164" s="55">
        <v>8422100</v>
      </c>
      <c r="C1164" s="56" t="s">
        <v>1898</v>
      </c>
      <c r="D1164" s="57">
        <v>1</v>
      </c>
    </row>
    <row r="1165" spans="2:4" x14ac:dyDescent="0.2">
      <c r="B1165" s="55">
        <v>8423000</v>
      </c>
      <c r="C1165" s="56" t="s">
        <v>1899</v>
      </c>
      <c r="D1165" s="57">
        <v>1</v>
      </c>
    </row>
    <row r="1166" spans="2:4" x14ac:dyDescent="0.2">
      <c r="B1166" s="55">
        <v>8424800</v>
      </c>
      <c r="C1166" s="56" t="s">
        <v>1900</v>
      </c>
      <c r="D1166" s="57">
        <v>2</v>
      </c>
    </row>
    <row r="1167" spans="2:4" x14ac:dyDescent="0.2">
      <c r="B1167" s="55">
        <v>8425600</v>
      </c>
      <c r="C1167" s="56" t="s">
        <v>1901</v>
      </c>
      <c r="D1167" s="57">
        <v>1</v>
      </c>
    </row>
    <row r="1168" spans="2:4" x14ac:dyDescent="0.2">
      <c r="B1168" s="55">
        <v>8430200</v>
      </c>
      <c r="C1168" s="56" t="s">
        <v>1902</v>
      </c>
      <c r="D1168" s="57">
        <v>1</v>
      </c>
    </row>
    <row r="1169" spans="2:4" x14ac:dyDescent="0.2">
      <c r="B1169" s="55">
        <v>8511200</v>
      </c>
      <c r="C1169" s="56" t="s">
        <v>1903</v>
      </c>
      <c r="D1169" s="57">
        <v>2</v>
      </c>
    </row>
    <row r="1170" spans="2:4" x14ac:dyDescent="0.2">
      <c r="B1170" s="55">
        <v>8512100</v>
      </c>
      <c r="C1170" s="56" t="s">
        <v>1904</v>
      </c>
      <c r="D1170" s="57">
        <v>1</v>
      </c>
    </row>
    <row r="1171" spans="2:4" x14ac:dyDescent="0.2">
      <c r="B1171" s="55">
        <v>8513900</v>
      </c>
      <c r="C1171" s="56" t="s">
        <v>1905</v>
      </c>
      <c r="D1171" s="57">
        <v>1</v>
      </c>
    </row>
    <row r="1172" spans="2:4" x14ac:dyDescent="0.2">
      <c r="B1172" s="55">
        <v>8520100</v>
      </c>
      <c r="C1172" s="56" t="s">
        <v>1906</v>
      </c>
      <c r="D1172" s="57">
        <v>1</v>
      </c>
    </row>
    <row r="1173" spans="2:4" x14ac:dyDescent="0.2">
      <c r="B1173" s="55">
        <v>8531700</v>
      </c>
      <c r="C1173" s="56" t="s">
        <v>1907</v>
      </c>
      <c r="D1173" s="57">
        <v>1</v>
      </c>
    </row>
    <row r="1174" spans="2:4" x14ac:dyDescent="0.2">
      <c r="B1174" s="55">
        <v>8532500</v>
      </c>
      <c r="C1174" s="56" t="s">
        <v>1908</v>
      </c>
      <c r="D1174" s="57">
        <v>1</v>
      </c>
    </row>
    <row r="1175" spans="2:4" x14ac:dyDescent="0.2">
      <c r="B1175" s="55">
        <v>8533300</v>
      </c>
      <c r="C1175" s="56" t="s">
        <v>1909</v>
      </c>
      <c r="D1175" s="57">
        <v>1</v>
      </c>
    </row>
    <row r="1176" spans="2:4" x14ac:dyDescent="0.2">
      <c r="B1176" s="55">
        <v>8541400</v>
      </c>
      <c r="C1176" s="56" t="s">
        <v>1910</v>
      </c>
      <c r="D1176" s="57">
        <v>1</v>
      </c>
    </row>
    <row r="1177" spans="2:4" x14ac:dyDescent="0.2">
      <c r="B1177" s="55">
        <v>8542200</v>
      </c>
      <c r="C1177" s="56" t="s">
        <v>1911</v>
      </c>
      <c r="D1177" s="57">
        <v>2</v>
      </c>
    </row>
    <row r="1178" spans="2:4" x14ac:dyDescent="0.2">
      <c r="B1178" s="55">
        <v>8550301</v>
      </c>
      <c r="C1178" s="56" t="s">
        <v>1912</v>
      </c>
      <c r="D1178" s="57">
        <v>1</v>
      </c>
    </row>
    <row r="1179" spans="2:4" x14ac:dyDescent="0.2">
      <c r="B1179" s="55">
        <v>8550302</v>
      </c>
      <c r="C1179" s="56" t="s">
        <v>1913</v>
      </c>
      <c r="D1179" s="57">
        <v>2</v>
      </c>
    </row>
    <row r="1180" spans="2:4" x14ac:dyDescent="0.2">
      <c r="B1180" s="55">
        <v>8591100</v>
      </c>
      <c r="C1180" s="56" t="s">
        <v>1914</v>
      </c>
      <c r="D1180" s="57">
        <v>2</v>
      </c>
    </row>
    <row r="1181" spans="2:4" x14ac:dyDescent="0.2">
      <c r="B1181" s="55">
        <v>8592901</v>
      </c>
      <c r="C1181" s="56" t="s">
        <v>1915</v>
      </c>
      <c r="D1181" s="57">
        <v>1</v>
      </c>
    </row>
    <row r="1182" spans="2:4" x14ac:dyDescent="0.2">
      <c r="B1182" s="55">
        <f>B1181+1</f>
        <v>8592902</v>
      </c>
      <c r="C1182" s="56" t="s">
        <v>1916</v>
      </c>
      <c r="D1182" s="57">
        <v>1</v>
      </c>
    </row>
    <row r="1183" spans="2:4" x14ac:dyDescent="0.2">
      <c r="B1183" s="55">
        <f>B1182+1</f>
        <v>8592903</v>
      </c>
      <c r="C1183" s="56" t="s">
        <v>1917</v>
      </c>
      <c r="D1183" s="57">
        <v>1</v>
      </c>
    </row>
    <row r="1184" spans="2:4" x14ac:dyDescent="0.2">
      <c r="B1184" s="55">
        <v>8592999</v>
      </c>
      <c r="C1184" s="56" t="s">
        <v>1918</v>
      </c>
      <c r="D1184" s="57">
        <v>1</v>
      </c>
    </row>
    <row r="1185" spans="2:4" x14ac:dyDescent="0.2">
      <c r="B1185" s="55">
        <v>8593700</v>
      </c>
      <c r="C1185" s="56" t="s">
        <v>1919</v>
      </c>
      <c r="D1185" s="57">
        <v>1</v>
      </c>
    </row>
    <row r="1186" spans="2:4" x14ac:dyDescent="0.2">
      <c r="B1186" s="55">
        <v>8599601</v>
      </c>
      <c r="C1186" s="56" t="s">
        <v>1920</v>
      </c>
      <c r="D1186" s="57">
        <v>1</v>
      </c>
    </row>
    <row r="1187" spans="2:4" x14ac:dyDescent="0.2">
      <c r="B1187" s="55">
        <f>B1186+1</f>
        <v>8599602</v>
      </c>
      <c r="C1187" s="56" t="s">
        <v>1921</v>
      </c>
      <c r="D1187" s="57">
        <v>3</v>
      </c>
    </row>
    <row r="1188" spans="2:4" x14ac:dyDescent="0.2">
      <c r="B1188" s="55">
        <f t="shared" ref="B1188:B1190" si="1">B1187+1</f>
        <v>8599603</v>
      </c>
      <c r="C1188" s="56" t="s">
        <v>1922</v>
      </c>
      <c r="D1188" s="57">
        <v>1</v>
      </c>
    </row>
    <row r="1189" spans="2:4" x14ac:dyDescent="0.2">
      <c r="B1189" s="55">
        <f t="shared" si="1"/>
        <v>8599604</v>
      </c>
      <c r="C1189" s="56" t="s">
        <v>1923</v>
      </c>
      <c r="D1189" s="57">
        <v>1</v>
      </c>
    </row>
    <row r="1190" spans="2:4" x14ac:dyDescent="0.2">
      <c r="B1190" s="55">
        <f t="shared" si="1"/>
        <v>8599605</v>
      </c>
      <c r="C1190" s="56" t="s">
        <v>1924</v>
      </c>
      <c r="D1190" s="57">
        <v>1</v>
      </c>
    </row>
    <row r="1191" spans="2:4" x14ac:dyDescent="0.2">
      <c r="B1191" s="55">
        <v>8599699</v>
      </c>
      <c r="C1191" s="56" t="s">
        <v>1925</v>
      </c>
      <c r="D1191" s="57">
        <v>2</v>
      </c>
    </row>
    <row r="1192" spans="2:4" ht="25.5" x14ac:dyDescent="0.2">
      <c r="B1192" s="55">
        <v>8610101</v>
      </c>
      <c r="C1192" s="56" t="s">
        <v>1926</v>
      </c>
      <c r="D1192" s="57">
        <v>2</v>
      </c>
    </row>
    <row r="1193" spans="2:4" ht="25.5" x14ac:dyDescent="0.2">
      <c r="B1193" s="55">
        <v>8610102</v>
      </c>
      <c r="C1193" s="56" t="s">
        <v>1927</v>
      </c>
      <c r="D1193" s="57">
        <v>2</v>
      </c>
    </row>
    <row r="1194" spans="2:4" x14ac:dyDescent="0.2">
      <c r="B1194" s="55">
        <v>8621601</v>
      </c>
      <c r="C1194" s="56" t="s">
        <v>1928</v>
      </c>
      <c r="D1194" s="57">
        <v>2</v>
      </c>
    </row>
    <row r="1195" spans="2:4" x14ac:dyDescent="0.2">
      <c r="B1195" s="55">
        <v>8621602</v>
      </c>
      <c r="C1195" s="56" t="s">
        <v>1929</v>
      </c>
      <c r="D1195" s="57">
        <v>2</v>
      </c>
    </row>
    <row r="1196" spans="2:4" ht="25.5" x14ac:dyDescent="0.2">
      <c r="B1196" s="55">
        <v>8622400</v>
      </c>
      <c r="C1196" s="56" t="s">
        <v>1930</v>
      </c>
      <c r="D1196" s="57">
        <v>2</v>
      </c>
    </row>
    <row r="1197" spans="2:4" ht="25.5" x14ac:dyDescent="0.2">
      <c r="B1197" s="55">
        <v>8630501</v>
      </c>
      <c r="C1197" s="56" t="s">
        <v>1931</v>
      </c>
      <c r="D1197" s="57">
        <v>1</v>
      </c>
    </row>
    <row r="1198" spans="2:4" ht="25.5" x14ac:dyDescent="0.2">
      <c r="B1198" s="55">
        <f>B1197+1</f>
        <v>8630502</v>
      </c>
      <c r="C1198" s="56" t="s">
        <v>1932</v>
      </c>
      <c r="D1198" s="57">
        <v>2</v>
      </c>
    </row>
    <row r="1199" spans="2:4" x14ac:dyDescent="0.2">
      <c r="B1199" s="55">
        <f t="shared" ref="B1199:B1202" si="2">B1198+1</f>
        <v>8630503</v>
      </c>
      <c r="C1199" s="56" t="s">
        <v>1933</v>
      </c>
      <c r="D1199" s="57">
        <v>1</v>
      </c>
    </row>
    <row r="1200" spans="2:4" x14ac:dyDescent="0.2">
      <c r="B1200" s="55">
        <f t="shared" si="2"/>
        <v>8630504</v>
      </c>
      <c r="C1200" s="56" t="s">
        <v>1934</v>
      </c>
      <c r="D1200" s="57">
        <v>1</v>
      </c>
    </row>
    <row r="1201" spans="2:4" x14ac:dyDescent="0.2">
      <c r="B1201" s="55">
        <f t="shared" si="2"/>
        <v>8630505</v>
      </c>
      <c r="C1201" s="56" t="s">
        <v>1935</v>
      </c>
      <c r="D1201" s="57">
        <v>1</v>
      </c>
    </row>
    <row r="1202" spans="2:4" x14ac:dyDescent="0.2">
      <c r="B1202" s="55">
        <f t="shared" si="2"/>
        <v>8630506</v>
      </c>
      <c r="C1202" s="56" t="s">
        <v>1936</v>
      </c>
      <c r="D1202" s="57">
        <v>1</v>
      </c>
    </row>
    <row r="1203" spans="2:4" x14ac:dyDescent="0.2">
      <c r="B1203" s="55">
        <v>8630507</v>
      </c>
      <c r="C1203" s="56" t="s">
        <v>1937</v>
      </c>
      <c r="D1203" s="57">
        <v>2</v>
      </c>
    </row>
    <row r="1204" spans="2:4" x14ac:dyDescent="0.2">
      <c r="B1204" s="55">
        <v>8630599</v>
      </c>
      <c r="C1204" s="56" t="s">
        <v>1938</v>
      </c>
      <c r="D1204" s="57">
        <v>2</v>
      </c>
    </row>
    <row r="1205" spans="2:4" x14ac:dyDescent="0.2">
      <c r="B1205" s="55">
        <v>8640201</v>
      </c>
      <c r="C1205" s="56" t="s">
        <v>1939</v>
      </c>
      <c r="D1205" s="57">
        <v>2</v>
      </c>
    </row>
    <row r="1206" spans="2:4" x14ac:dyDescent="0.2">
      <c r="B1206" s="55">
        <f>B1205+1</f>
        <v>8640202</v>
      </c>
      <c r="C1206" s="56" t="s">
        <v>1940</v>
      </c>
      <c r="D1206" s="57">
        <v>2</v>
      </c>
    </row>
    <row r="1207" spans="2:4" x14ac:dyDescent="0.2">
      <c r="B1207" s="55">
        <f t="shared" ref="B1207:B1218" si="3">B1206+1</f>
        <v>8640203</v>
      </c>
      <c r="C1207" s="56" t="s">
        <v>1941</v>
      </c>
      <c r="D1207" s="57">
        <v>2</v>
      </c>
    </row>
    <row r="1208" spans="2:4" x14ac:dyDescent="0.2">
      <c r="B1208" s="55">
        <f t="shared" si="3"/>
        <v>8640204</v>
      </c>
      <c r="C1208" s="56" t="s">
        <v>1942</v>
      </c>
      <c r="D1208" s="57">
        <v>1</v>
      </c>
    </row>
    <row r="1209" spans="2:4" ht="25.5" x14ac:dyDescent="0.2">
      <c r="B1209" s="55">
        <f t="shared" si="3"/>
        <v>8640205</v>
      </c>
      <c r="C1209" s="56" t="s">
        <v>1943</v>
      </c>
      <c r="D1209" s="57">
        <v>2</v>
      </c>
    </row>
    <row r="1210" spans="2:4" x14ac:dyDescent="0.2">
      <c r="B1210" s="55">
        <f t="shared" si="3"/>
        <v>8640206</v>
      </c>
      <c r="C1210" s="56" t="s">
        <v>1944</v>
      </c>
      <c r="D1210" s="57">
        <v>2</v>
      </c>
    </row>
    <row r="1211" spans="2:4" ht="25.5" x14ac:dyDescent="0.2">
      <c r="B1211" s="55">
        <f t="shared" si="3"/>
        <v>8640207</v>
      </c>
      <c r="C1211" s="56" t="s">
        <v>1945</v>
      </c>
      <c r="D1211" s="57">
        <v>1</v>
      </c>
    </row>
    <row r="1212" spans="2:4" x14ac:dyDescent="0.2">
      <c r="B1212" s="55">
        <f t="shared" si="3"/>
        <v>8640208</v>
      </c>
      <c r="C1212" s="56" t="s">
        <v>1946</v>
      </c>
      <c r="D1212" s="57">
        <v>3</v>
      </c>
    </row>
    <row r="1213" spans="2:4" ht="25.5" x14ac:dyDescent="0.2">
      <c r="B1213" s="55">
        <f t="shared" si="3"/>
        <v>8640209</v>
      </c>
      <c r="C1213" s="56" t="s">
        <v>1947</v>
      </c>
      <c r="D1213" s="57">
        <v>2</v>
      </c>
    </row>
    <row r="1214" spans="2:4" x14ac:dyDescent="0.2">
      <c r="B1214" s="55">
        <f t="shared" si="3"/>
        <v>8640210</v>
      </c>
      <c r="C1214" s="56" t="s">
        <v>1948</v>
      </c>
      <c r="D1214" s="57">
        <v>2</v>
      </c>
    </row>
    <row r="1215" spans="2:4" x14ac:dyDescent="0.2">
      <c r="B1215" s="55">
        <f t="shared" si="3"/>
        <v>8640211</v>
      </c>
      <c r="C1215" s="56" t="s">
        <v>1949</v>
      </c>
      <c r="D1215" s="57">
        <v>2</v>
      </c>
    </row>
    <row r="1216" spans="2:4" x14ac:dyDescent="0.2">
      <c r="B1216" s="55">
        <f t="shared" si="3"/>
        <v>8640212</v>
      </c>
      <c r="C1216" s="56" t="s">
        <v>1950</v>
      </c>
      <c r="D1216" s="57">
        <v>1</v>
      </c>
    </row>
    <row r="1217" spans="2:4" x14ac:dyDescent="0.2">
      <c r="B1217" s="55">
        <f t="shared" si="3"/>
        <v>8640213</v>
      </c>
      <c r="C1217" s="56" t="s">
        <v>1951</v>
      </c>
      <c r="D1217" s="57">
        <v>1</v>
      </c>
    </row>
    <row r="1218" spans="2:4" x14ac:dyDescent="0.2">
      <c r="B1218" s="55">
        <f t="shared" si="3"/>
        <v>8640214</v>
      </c>
      <c r="C1218" s="56" t="s">
        <v>1952</v>
      </c>
      <c r="D1218" s="57">
        <v>1</v>
      </c>
    </row>
    <row r="1219" spans="2:4" ht="25.5" x14ac:dyDescent="0.2">
      <c r="B1219" s="55">
        <v>8640299</v>
      </c>
      <c r="C1219" s="56" t="s">
        <v>1953</v>
      </c>
      <c r="D1219" s="57">
        <v>2</v>
      </c>
    </row>
    <row r="1220" spans="2:4" x14ac:dyDescent="0.2">
      <c r="B1220" s="55">
        <v>8650001</v>
      </c>
      <c r="C1220" s="56" t="s">
        <v>1954</v>
      </c>
      <c r="D1220" s="57">
        <v>1</v>
      </c>
    </row>
    <row r="1221" spans="2:4" x14ac:dyDescent="0.2">
      <c r="B1221" s="55">
        <v>8650002</v>
      </c>
      <c r="C1221" s="56" t="s">
        <v>1955</v>
      </c>
      <c r="D1221" s="57">
        <v>3</v>
      </c>
    </row>
    <row r="1222" spans="2:4" x14ac:dyDescent="0.2">
      <c r="B1222" s="55">
        <v>8650003</v>
      </c>
      <c r="C1222" s="56" t="s">
        <v>1956</v>
      </c>
      <c r="D1222" s="57">
        <v>1</v>
      </c>
    </row>
    <row r="1223" spans="2:4" x14ac:dyDescent="0.2">
      <c r="B1223" s="55">
        <v>8650004</v>
      </c>
      <c r="C1223" s="56" t="s">
        <v>1957</v>
      </c>
      <c r="D1223" s="57">
        <v>1</v>
      </c>
    </row>
    <row r="1224" spans="2:4" x14ac:dyDescent="0.2">
      <c r="B1224" s="55">
        <v>8650005</v>
      </c>
      <c r="C1224" s="56" t="s">
        <v>1958</v>
      </c>
      <c r="D1224" s="57">
        <v>2</v>
      </c>
    </row>
    <row r="1225" spans="2:4" x14ac:dyDescent="0.2">
      <c r="B1225" s="55">
        <v>8650006</v>
      </c>
      <c r="C1225" s="56" t="s">
        <v>1959</v>
      </c>
      <c r="D1225" s="57">
        <v>1</v>
      </c>
    </row>
    <row r="1226" spans="2:4" x14ac:dyDescent="0.2">
      <c r="B1226" s="55">
        <v>8650007</v>
      </c>
      <c r="C1226" s="56" t="s">
        <v>1960</v>
      </c>
      <c r="D1226" s="57">
        <v>1</v>
      </c>
    </row>
    <row r="1227" spans="2:4" x14ac:dyDescent="0.2">
      <c r="B1227" s="55">
        <v>8650099</v>
      </c>
      <c r="C1227" s="56" t="s">
        <v>1961</v>
      </c>
      <c r="D1227" s="57">
        <v>2</v>
      </c>
    </row>
    <row r="1228" spans="2:4" x14ac:dyDescent="0.2">
      <c r="B1228" s="55">
        <v>8660700</v>
      </c>
      <c r="C1228" s="56" t="s">
        <v>1962</v>
      </c>
      <c r="D1228" s="57">
        <v>2</v>
      </c>
    </row>
    <row r="1229" spans="2:4" x14ac:dyDescent="0.2">
      <c r="B1229" s="55">
        <v>8690901</v>
      </c>
      <c r="C1229" s="56" t="s">
        <v>1963</v>
      </c>
      <c r="D1229" s="57">
        <v>2</v>
      </c>
    </row>
    <row r="1230" spans="2:4" x14ac:dyDescent="0.2">
      <c r="B1230" s="55">
        <f>B1229+1</f>
        <v>8690902</v>
      </c>
      <c r="C1230" s="56" t="s">
        <v>1964</v>
      </c>
      <c r="D1230" s="57">
        <v>1</v>
      </c>
    </row>
    <row r="1231" spans="2:4" x14ac:dyDescent="0.2">
      <c r="B1231" s="55">
        <v>8690999</v>
      </c>
      <c r="C1231" s="56" t="s">
        <v>1965</v>
      </c>
      <c r="D1231" s="57">
        <v>2</v>
      </c>
    </row>
    <row r="1232" spans="2:4" x14ac:dyDescent="0.2">
      <c r="B1232" s="55">
        <v>8711501</v>
      </c>
      <c r="C1232" s="56" t="s">
        <v>1966</v>
      </c>
      <c r="D1232" s="57">
        <v>2</v>
      </c>
    </row>
    <row r="1233" spans="2:4" x14ac:dyDescent="0.2">
      <c r="B1233" s="55">
        <f>B1232+1</f>
        <v>8711502</v>
      </c>
      <c r="C1233" s="56" t="s">
        <v>1967</v>
      </c>
      <c r="D1233" s="57">
        <v>2</v>
      </c>
    </row>
    <row r="1234" spans="2:4" x14ac:dyDescent="0.2">
      <c r="B1234" s="55">
        <f t="shared" ref="B1234:B1236" si="4">B1233+1</f>
        <v>8711503</v>
      </c>
      <c r="C1234" s="56" t="s">
        <v>1968</v>
      </c>
      <c r="D1234" s="57">
        <v>1</v>
      </c>
    </row>
    <row r="1235" spans="2:4" x14ac:dyDescent="0.2">
      <c r="B1235" s="55">
        <f t="shared" si="4"/>
        <v>8711504</v>
      </c>
      <c r="C1235" s="56" t="s">
        <v>1969</v>
      </c>
      <c r="D1235" s="57">
        <v>3</v>
      </c>
    </row>
    <row r="1236" spans="2:4" x14ac:dyDescent="0.2">
      <c r="B1236" s="55">
        <f t="shared" si="4"/>
        <v>8711505</v>
      </c>
      <c r="C1236" s="56" t="s">
        <v>1970</v>
      </c>
      <c r="D1236" s="57">
        <v>2</v>
      </c>
    </row>
    <row r="1237" spans="2:4" ht="25.5" x14ac:dyDescent="0.2">
      <c r="B1237" s="55">
        <v>8712300</v>
      </c>
      <c r="C1237" s="56" t="s">
        <v>1971</v>
      </c>
      <c r="D1237" s="57">
        <v>2</v>
      </c>
    </row>
    <row r="1238" spans="2:4" x14ac:dyDescent="0.2">
      <c r="B1238" s="55">
        <v>8720401</v>
      </c>
      <c r="C1238" s="56" t="s">
        <v>1972</v>
      </c>
      <c r="D1238" s="57">
        <v>1</v>
      </c>
    </row>
    <row r="1239" spans="2:4" ht="38.25" x14ac:dyDescent="0.2">
      <c r="B1239" s="55">
        <v>8720499</v>
      </c>
      <c r="C1239" s="56" t="s">
        <v>1973</v>
      </c>
      <c r="D1239" s="57">
        <v>2</v>
      </c>
    </row>
    <row r="1240" spans="2:4" x14ac:dyDescent="0.2">
      <c r="B1240" s="55">
        <v>8730101</v>
      </c>
      <c r="C1240" s="56" t="s">
        <v>1974</v>
      </c>
      <c r="D1240" s="57">
        <v>2</v>
      </c>
    </row>
    <row r="1241" spans="2:4" x14ac:dyDescent="0.2">
      <c r="B1241" s="55">
        <f>B1240+1</f>
        <v>8730102</v>
      </c>
      <c r="C1241" s="56" t="s">
        <v>1975</v>
      </c>
      <c r="D1241" s="57">
        <v>2</v>
      </c>
    </row>
    <row r="1242" spans="2:4" ht="25.5" x14ac:dyDescent="0.2">
      <c r="B1242" s="55">
        <v>8730199</v>
      </c>
      <c r="C1242" s="56" t="s">
        <v>1976</v>
      </c>
      <c r="D1242" s="57">
        <v>2</v>
      </c>
    </row>
    <row r="1243" spans="2:4" x14ac:dyDescent="0.2">
      <c r="B1243" s="55">
        <v>8800600</v>
      </c>
      <c r="C1243" s="56" t="s">
        <v>1977</v>
      </c>
      <c r="D1243" s="57">
        <v>2</v>
      </c>
    </row>
    <row r="1244" spans="2:4" x14ac:dyDescent="0.2">
      <c r="B1244" s="55">
        <v>9001901</v>
      </c>
      <c r="C1244" s="56" t="s">
        <v>1978</v>
      </c>
      <c r="D1244" s="57">
        <v>1</v>
      </c>
    </row>
    <row r="1245" spans="2:4" x14ac:dyDescent="0.2">
      <c r="B1245" s="55">
        <f>B1244+1</f>
        <v>9001902</v>
      </c>
      <c r="C1245" s="56" t="s">
        <v>1979</v>
      </c>
      <c r="D1245" s="57">
        <v>2</v>
      </c>
    </row>
    <row r="1246" spans="2:4" x14ac:dyDescent="0.2">
      <c r="B1246" s="55">
        <f t="shared" ref="B1246:B1249" si="5">B1245+1</f>
        <v>9001903</v>
      </c>
      <c r="C1246" s="56" t="s">
        <v>1980</v>
      </c>
      <c r="D1246" s="57">
        <v>2</v>
      </c>
    </row>
    <row r="1247" spans="2:4" x14ac:dyDescent="0.2">
      <c r="B1247" s="55">
        <f t="shared" si="5"/>
        <v>9001904</v>
      </c>
      <c r="C1247" s="56" t="s">
        <v>1981</v>
      </c>
      <c r="D1247" s="57">
        <v>1</v>
      </c>
    </row>
    <row r="1248" spans="2:4" x14ac:dyDescent="0.2">
      <c r="B1248" s="55">
        <f t="shared" si="5"/>
        <v>9001905</v>
      </c>
      <c r="C1248" s="56" t="s">
        <v>1982</v>
      </c>
      <c r="D1248" s="57">
        <v>3</v>
      </c>
    </row>
    <row r="1249" spans="2:4" x14ac:dyDescent="0.2">
      <c r="B1249" s="55">
        <f t="shared" si="5"/>
        <v>9001906</v>
      </c>
      <c r="C1249" s="56" t="s">
        <v>1983</v>
      </c>
      <c r="D1249" s="57">
        <v>1</v>
      </c>
    </row>
    <row r="1250" spans="2:4" ht="25.5" x14ac:dyDescent="0.2">
      <c r="B1250" s="55">
        <v>9001999</v>
      </c>
      <c r="C1250" s="56" t="s">
        <v>1984</v>
      </c>
      <c r="D1250" s="57">
        <v>3</v>
      </c>
    </row>
    <row r="1251" spans="2:4" x14ac:dyDescent="0.2">
      <c r="B1251" s="55">
        <v>9002701</v>
      </c>
      <c r="C1251" s="56" t="s">
        <v>1985</v>
      </c>
      <c r="D1251" s="57">
        <v>1</v>
      </c>
    </row>
    <row r="1252" spans="2:4" x14ac:dyDescent="0.2">
      <c r="B1252" s="55">
        <v>9002702</v>
      </c>
      <c r="C1252" s="56" t="s">
        <v>1986</v>
      </c>
      <c r="D1252" s="57">
        <v>1</v>
      </c>
    </row>
    <row r="1253" spans="2:4" x14ac:dyDescent="0.2">
      <c r="B1253" s="55">
        <v>9003500</v>
      </c>
      <c r="C1253" s="56" t="s">
        <v>1987</v>
      </c>
      <c r="D1253" s="57">
        <v>3</v>
      </c>
    </row>
    <row r="1254" spans="2:4" x14ac:dyDescent="0.2">
      <c r="B1254" s="55">
        <v>9101500</v>
      </c>
      <c r="C1254" s="56" t="s">
        <v>1988</v>
      </c>
      <c r="D1254" s="57">
        <v>2</v>
      </c>
    </row>
    <row r="1255" spans="2:4" ht="25.5" x14ac:dyDescent="0.2">
      <c r="B1255" s="55">
        <v>9102301</v>
      </c>
      <c r="C1255" s="56" t="s">
        <v>1989</v>
      </c>
      <c r="D1255" s="57">
        <v>1</v>
      </c>
    </row>
    <row r="1256" spans="2:4" x14ac:dyDescent="0.2">
      <c r="B1256" s="55">
        <v>9102302</v>
      </c>
      <c r="C1256" s="56" t="s">
        <v>1990</v>
      </c>
      <c r="D1256" s="57">
        <v>1</v>
      </c>
    </row>
    <row r="1257" spans="2:4" ht="25.5" x14ac:dyDescent="0.2">
      <c r="B1257" s="55">
        <v>9103100</v>
      </c>
      <c r="C1257" s="56" t="s">
        <v>1991</v>
      </c>
      <c r="D1257" s="57">
        <v>2</v>
      </c>
    </row>
    <row r="1258" spans="2:4" x14ac:dyDescent="0.2">
      <c r="B1258" s="55">
        <v>9200301</v>
      </c>
      <c r="C1258" s="56" t="s">
        <v>1992</v>
      </c>
      <c r="D1258" s="57">
        <v>1</v>
      </c>
    </row>
    <row r="1259" spans="2:4" x14ac:dyDescent="0.2">
      <c r="B1259" s="55">
        <v>9200302</v>
      </c>
      <c r="C1259" s="56" t="s">
        <v>1993</v>
      </c>
      <c r="D1259" s="57">
        <v>2</v>
      </c>
    </row>
    <row r="1260" spans="2:4" x14ac:dyDescent="0.2">
      <c r="B1260" s="55">
        <v>9200399</v>
      </c>
      <c r="C1260" s="56" t="s">
        <v>1994</v>
      </c>
      <c r="D1260" s="57">
        <v>1</v>
      </c>
    </row>
    <row r="1261" spans="2:4" x14ac:dyDescent="0.2">
      <c r="B1261" s="55">
        <v>9311500</v>
      </c>
      <c r="C1261" s="56" t="s">
        <v>1995</v>
      </c>
      <c r="D1261" s="57">
        <v>2</v>
      </c>
    </row>
    <row r="1262" spans="2:4" x14ac:dyDescent="0.2">
      <c r="B1262" s="55">
        <v>9312300</v>
      </c>
      <c r="C1262" s="56" t="s">
        <v>1996</v>
      </c>
      <c r="D1262" s="57">
        <v>2</v>
      </c>
    </row>
    <row r="1263" spans="2:4" x14ac:dyDescent="0.2">
      <c r="B1263" s="55">
        <v>9313100</v>
      </c>
      <c r="C1263" s="56" t="s">
        <v>1997</v>
      </c>
      <c r="D1263" s="57">
        <v>1</v>
      </c>
    </row>
    <row r="1264" spans="2:4" x14ac:dyDescent="0.2">
      <c r="B1264" s="55">
        <v>9319101</v>
      </c>
      <c r="C1264" s="56" t="s">
        <v>1998</v>
      </c>
      <c r="D1264" s="57">
        <v>2</v>
      </c>
    </row>
    <row r="1265" spans="2:4" x14ac:dyDescent="0.2">
      <c r="B1265" s="55">
        <v>9319199</v>
      </c>
      <c r="C1265" s="56" t="s">
        <v>1999</v>
      </c>
      <c r="D1265" s="57">
        <v>2</v>
      </c>
    </row>
    <row r="1266" spans="2:4" x14ac:dyDescent="0.2">
      <c r="B1266" s="55">
        <v>9321200</v>
      </c>
      <c r="C1266" s="56" t="s">
        <v>2000</v>
      </c>
      <c r="D1266" s="57">
        <v>2</v>
      </c>
    </row>
    <row r="1267" spans="2:4" x14ac:dyDescent="0.2">
      <c r="B1267" s="55">
        <v>9329801</v>
      </c>
      <c r="C1267" s="56" t="s">
        <v>2001</v>
      </c>
      <c r="D1267" s="57">
        <v>1</v>
      </c>
    </row>
    <row r="1268" spans="2:4" x14ac:dyDescent="0.2">
      <c r="B1268" s="55">
        <f>B1267+1</f>
        <v>9329802</v>
      </c>
      <c r="C1268" s="56" t="s">
        <v>2002</v>
      </c>
      <c r="D1268" s="57">
        <v>3</v>
      </c>
    </row>
    <row r="1269" spans="2:4" x14ac:dyDescent="0.2">
      <c r="B1269" s="55">
        <f t="shared" ref="B1269:B1270" si="6">B1268+1</f>
        <v>9329803</v>
      </c>
      <c r="C1269" s="56" t="s">
        <v>2003</v>
      </c>
      <c r="D1269" s="57">
        <v>1</v>
      </c>
    </row>
    <row r="1270" spans="2:4" x14ac:dyDescent="0.2">
      <c r="B1270" s="55">
        <f t="shared" si="6"/>
        <v>9329804</v>
      </c>
      <c r="C1270" s="56" t="s">
        <v>2004</v>
      </c>
      <c r="D1270" s="57">
        <v>3</v>
      </c>
    </row>
    <row r="1271" spans="2:4" x14ac:dyDescent="0.2">
      <c r="B1271" s="55">
        <v>9329899</v>
      </c>
      <c r="C1271" s="56" t="s">
        <v>2005</v>
      </c>
      <c r="D1271" s="57">
        <v>2</v>
      </c>
    </row>
    <row r="1272" spans="2:4" x14ac:dyDescent="0.2">
      <c r="B1272" s="55">
        <v>9411100</v>
      </c>
      <c r="C1272" s="56" t="s">
        <v>2006</v>
      </c>
      <c r="D1272" s="57">
        <v>3</v>
      </c>
    </row>
    <row r="1273" spans="2:4" x14ac:dyDescent="0.2">
      <c r="B1273" s="55">
        <v>9412000</v>
      </c>
      <c r="C1273" s="56" t="s">
        <v>2007</v>
      </c>
      <c r="D1273" s="57">
        <v>3</v>
      </c>
    </row>
    <row r="1274" spans="2:4" x14ac:dyDescent="0.2">
      <c r="B1274" s="55">
        <v>9420100</v>
      </c>
      <c r="C1274" s="56" t="s">
        <v>2008</v>
      </c>
      <c r="D1274" s="57">
        <v>2</v>
      </c>
    </row>
    <row r="1275" spans="2:4" x14ac:dyDescent="0.2">
      <c r="B1275" s="55">
        <v>9430800</v>
      </c>
      <c r="C1275" s="56" t="s">
        <v>2009</v>
      </c>
      <c r="D1275" s="57">
        <v>2</v>
      </c>
    </row>
    <row r="1276" spans="2:4" x14ac:dyDescent="0.2">
      <c r="B1276" s="55">
        <v>9491000</v>
      </c>
      <c r="C1276" s="56" t="s">
        <v>2010</v>
      </c>
      <c r="D1276" s="57">
        <v>2</v>
      </c>
    </row>
    <row r="1277" spans="2:4" x14ac:dyDescent="0.2">
      <c r="B1277" s="55">
        <v>9492800</v>
      </c>
      <c r="C1277" s="56" t="s">
        <v>2011</v>
      </c>
      <c r="D1277" s="57">
        <v>1</v>
      </c>
    </row>
    <row r="1278" spans="2:4" x14ac:dyDescent="0.2">
      <c r="B1278" s="55">
        <v>9493600</v>
      </c>
      <c r="C1278" s="56" t="s">
        <v>2012</v>
      </c>
      <c r="D1278" s="57">
        <v>2</v>
      </c>
    </row>
    <row r="1279" spans="2:4" x14ac:dyDescent="0.2">
      <c r="B1279" s="55">
        <v>9499500</v>
      </c>
      <c r="C1279" s="56" t="s">
        <v>2013</v>
      </c>
      <c r="D1279" s="57">
        <v>2</v>
      </c>
    </row>
    <row r="1280" spans="2:4" x14ac:dyDescent="0.2">
      <c r="B1280" s="55">
        <v>9511800</v>
      </c>
      <c r="C1280" s="56" t="s">
        <v>2014</v>
      </c>
      <c r="D1280" s="57">
        <v>3</v>
      </c>
    </row>
    <row r="1281" spans="2:4" x14ac:dyDescent="0.2">
      <c r="B1281" s="55">
        <v>9512600</v>
      </c>
      <c r="C1281" s="56" t="s">
        <v>2015</v>
      </c>
      <c r="D1281" s="57">
        <v>2</v>
      </c>
    </row>
    <row r="1282" spans="2:4" ht="25.5" x14ac:dyDescent="0.2">
      <c r="B1282" s="55">
        <v>9521500</v>
      </c>
      <c r="C1282" s="56" t="s">
        <v>2016</v>
      </c>
      <c r="D1282" s="57">
        <v>3</v>
      </c>
    </row>
    <row r="1283" spans="2:4" x14ac:dyDescent="0.2">
      <c r="B1283" s="55">
        <v>9529101</v>
      </c>
      <c r="C1283" s="56" t="s">
        <v>2017</v>
      </c>
      <c r="D1283" s="57">
        <v>1</v>
      </c>
    </row>
    <row r="1284" spans="2:4" x14ac:dyDescent="0.2">
      <c r="B1284" s="55">
        <f>B1283+1</f>
        <v>9529102</v>
      </c>
      <c r="C1284" s="56" t="s">
        <v>2018</v>
      </c>
      <c r="D1284" s="57">
        <v>3</v>
      </c>
    </row>
    <row r="1285" spans="2:4" x14ac:dyDescent="0.2">
      <c r="B1285" s="55">
        <f t="shared" ref="B1285:B1288" si="7">B1284+1</f>
        <v>9529103</v>
      </c>
      <c r="C1285" s="56" t="s">
        <v>2019</v>
      </c>
      <c r="D1285" s="57">
        <v>1</v>
      </c>
    </row>
    <row r="1286" spans="2:4" x14ac:dyDescent="0.2">
      <c r="B1286" s="55">
        <f t="shared" si="7"/>
        <v>9529104</v>
      </c>
      <c r="C1286" s="56" t="s">
        <v>2020</v>
      </c>
      <c r="D1286" s="57">
        <v>3</v>
      </c>
    </row>
    <row r="1287" spans="2:4" x14ac:dyDescent="0.2">
      <c r="B1287" s="55">
        <f t="shared" si="7"/>
        <v>9529105</v>
      </c>
      <c r="C1287" s="56" t="s">
        <v>2021</v>
      </c>
      <c r="D1287" s="57">
        <v>2</v>
      </c>
    </row>
    <row r="1288" spans="2:4" x14ac:dyDescent="0.2">
      <c r="B1288" s="55">
        <f t="shared" si="7"/>
        <v>9529106</v>
      </c>
      <c r="C1288" s="56" t="s">
        <v>2022</v>
      </c>
      <c r="D1288" s="57">
        <v>2</v>
      </c>
    </row>
    <row r="1289" spans="2:4" ht="25.5" x14ac:dyDescent="0.2">
      <c r="B1289" s="55">
        <v>9529199</v>
      </c>
      <c r="C1289" s="56" t="s">
        <v>2023</v>
      </c>
      <c r="D1289" s="57">
        <v>3</v>
      </c>
    </row>
    <row r="1290" spans="2:4" x14ac:dyDescent="0.2">
      <c r="B1290" s="55">
        <v>9601701</v>
      </c>
      <c r="C1290" s="56" t="s">
        <v>2024</v>
      </c>
      <c r="D1290" s="57">
        <v>3</v>
      </c>
    </row>
    <row r="1291" spans="2:4" x14ac:dyDescent="0.2">
      <c r="B1291" s="55">
        <f>B1290+1</f>
        <v>9601702</v>
      </c>
      <c r="C1291" s="56" t="s">
        <v>2025</v>
      </c>
      <c r="D1291" s="57">
        <v>3</v>
      </c>
    </row>
    <row r="1292" spans="2:4" x14ac:dyDescent="0.2">
      <c r="B1292" s="55">
        <f>B1291+1</f>
        <v>9601703</v>
      </c>
      <c r="C1292" s="56" t="s">
        <v>2026</v>
      </c>
      <c r="D1292" s="57">
        <v>3</v>
      </c>
    </row>
    <row r="1293" spans="2:4" x14ac:dyDescent="0.2">
      <c r="B1293" s="55">
        <v>9202501</v>
      </c>
      <c r="C1293" s="56" t="s">
        <v>2027</v>
      </c>
      <c r="D1293" s="57">
        <v>2</v>
      </c>
    </row>
    <row r="1294" spans="2:4" x14ac:dyDescent="0.2">
      <c r="B1294" s="55">
        <f>B1293+1</f>
        <v>9202502</v>
      </c>
      <c r="C1294" s="56" t="s">
        <v>2028</v>
      </c>
      <c r="D1294" s="57">
        <v>2</v>
      </c>
    </row>
    <row r="1295" spans="2:4" x14ac:dyDescent="0.2">
      <c r="B1295" s="55">
        <v>9603301</v>
      </c>
      <c r="C1295" s="56" t="s">
        <v>2029</v>
      </c>
      <c r="D1295" s="57">
        <v>3</v>
      </c>
    </row>
    <row r="1296" spans="2:4" x14ac:dyDescent="0.2">
      <c r="B1296" s="55">
        <f t="shared" ref="B1296:B1299" si="8">B1295+1</f>
        <v>9603302</v>
      </c>
      <c r="C1296" s="56" t="s">
        <v>2030</v>
      </c>
      <c r="D1296" s="57">
        <v>2</v>
      </c>
    </row>
    <row r="1297" spans="2:4" x14ac:dyDescent="0.2">
      <c r="B1297" s="55">
        <f t="shared" si="8"/>
        <v>9603303</v>
      </c>
      <c r="C1297" s="56" t="s">
        <v>2031</v>
      </c>
      <c r="D1297" s="57">
        <v>2</v>
      </c>
    </row>
    <row r="1298" spans="2:4" x14ac:dyDescent="0.2">
      <c r="B1298" s="55">
        <f t="shared" si="8"/>
        <v>9603304</v>
      </c>
      <c r="C1298" s="56" t="s">
        <v>2032</v>
      </c>
      <c r="D1298" s="57">
        <v>2</v>
      </c>
    </row>
    <row r="1299" spans="2:4" x14ac:dyDescent="0.2">
      <c r="B1299" s="55">
        <f t="shared" si="8"/>
        <v>9603305</v>
      </c>
      <c r="C1299" s="56" t="s">
        <v>2033</v>
      </c>
      <c r="D1299" s="57">
        <v>3</v>
      </c>
    </row>
    <row r="1300" spans="2:4" x14ac:dyDescent="0.2">
      <c r="B1300" s="55">
        <v>9603399</v>
      </c>
      <c r="C1300" s="56" t="s">
        <v>2034</v>
      </c>
      <c r="D1300" s="57">
        <v>3</v>
      </c>
    </row>
    <row r="1301" spans="2:4" x14ac:dyDescent="0.2">
      <c r="B1301" s="55">
        <v>9609201</v>
      </c>
      <c r="C1301" s="56" t="s">
        <v>2035</v>
      </c>
      <c r="D1301" s="57">
        <v>1</v>
      </c>
    </row>
    <row r="1302" spans="2:4" x14ac:dyDescent="0.2">
      <c r="B1302" s="55">
        <v>9609202</v>
      </c>
      <c r="C1302" s="56" t="s">
        <v>2036</v>
      </c>
      <c r="D1302" s="57">
        <v>3</v>
      </c>
    </row>
    <row r="1303" spans="2:4" x14ac:dyDescent="0.2">
      <c r="B1303" s="55">
        <v>9609203</v>
      </c>
      <c r="C1303" s="56" t="s">
        <v>2037</v>
      </c>
      <c r="D1303" s="57">
        <v>2</v>
      </c>
    </row>
    <row r="1304" spans="2:4" x14ac:dyDescent="0.2">
      <c r="B1304" s="55">
        <v>9609204</v>
      </c>
      <c r="C1304" s="56" t="s">
        <v>2038</v>
      </c>
      <c r="D1304" s="57">
        <v>1</v>
      </c>
    </row>
    <row r="1305" spans="2:4" x14ac:dyDescent="0.2">
      <c r="B1305" s="55">
        <v>9609299</v>
      </c>
      <c r="C1305" s="56" t="s">
        <v>2039</v>
      </c>
      <c r="D1305" s="57">
        <v>2</v>
      </c>
    </row>
    <row r="1306" spans="2:4" x14ac:dyDescent="0.2">
      <c r="B1306" s="55">
        <v>9700500</v>
      </c>
      <c r="C1306" s="56" t="s">
        <v>2040</v>
      </c>
      <c r="D1306" s="57">
        <v>2</v>
      </c>
    </row>
    <row r="1307" spans="2:4" x14ac:dyDescent="0.2">
      <c r="B1307" s="55">
        <v>9900800</v>
      </c>
      <c r="C1307" s="56" t="s">
        <v>2041</v>
      </c>
      <c r="D1307" s="57">
        <v>1</v>
      </c>
    </row>
  </sheetData>
  <mergeCells count="3">
    <mergeCell ref="B4:D4"/>
    <mergeCell ref="B3:D3"/>
    <mergeCell ref="B2:D2"/>
  </mergeCells>
  <hyperlinks>
    <hyperlink ref="B3" r:id="rId1" location="art2" display="art2" xr:uid="{6D50E8E8-292F-43E6-B733-4F2039C0D664}"/>
  </hyperlinks>
  <printOptions horizontalCentered="1"/>
  <pageMargins left="0.39370078740157483" right="0.39370078740157483" top="0.39370078740157483" bottom="0.39370078740157483" header="0.31496062992125984" footer="0.31496062992125984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13273-7470-4903-98FD-F24734CB98ED}">
  <dimension ref="B1:H33"/>
  <sheetViews>
    <sheetView showGridLines="0" workbookViewId="0">
      <selection activeCell="B2" sqref="B2:H2"/>
    </sheetView>
  </sheetViews>
  <sheetFormatPr defaultRowHeight="12.75" x14ac:dyDescent="0.2"/>
  <cols>
    <col min="1" max="1" width="1.83203125" style="2" customWidth="1"/>
    <col min="2" max="2" width="51.6640625" style="2" customWidth="1"/>
    <col min="3" max="3" width="13.83203125" style="2" customWidth="1"/>
    <col min="4" max="4" width="19.83203125" style="2" customWidth="1"/>
    <col min="5" max="5" width="9.33203125" style="2"/>
    <col min="6" max="6" width="51.6640625" style="2" customWidth="1"/>
    <col min="7" max="7" width="13.83203125" style="2" customWidth="1"/>
    <col min="8" max="8" width="19.83203125" style="2" customWidth="1"/>
    <col min="9" max="16384" width="9.33203125" style="2"/>
  </cols>
  <sheetData>
    <row r="1" spans="2:8" ht="6" customHeight="1" x14ac:dyDescent="0.2">
      <c r="B1" s="16"/>
      <c r="C1" s="16"/>
      <c r="D1" s="16"/>
      <c r="F1" s="16"/>
      <c r="G1" s="16"/>
      <c r="H1" s="16"/>
    </row>
    <row r="2" spans="2:8" ht="44.25" customHeight="1" x14ac:dyDescent="0.2">
      <c r="B2" s="114" t="s">
        <v>2101</v>
      </c>
      <c r="C2" s="114"/>
      <c r="D2" s="114"/>
      <c r="E2" s="114"/>
      <c r="F2" s="114"/>
      <c r="G2" s="114"/>
      <c r="H2" s="114"/>
    </row>
    <row r="3" spans="2:8" ht="14.25" customHeight="1" x14ac:dyDescent="0.2">
      <c r="B3" s="16"/>
      <c r="C3" s="16"/>
      <c r="D3" s="16"/>
      <c r="F3" s="16"/>
      <c r="G3" s="16"/>
      <c r="H3" s="16"/>
    </row>
    <row r="4" spans="2:8" ht="21" customHeight="1" x14ac:dyDescent="0.2">
      <c r="B4" s="115" t="s">
        <v>2071</v>
      </c>
      <c r="C4" s="116"/>
      <c r="D4" s="117"/>
      <c r="F4" s="115" t="s">
        <v>2072</v>
      </c>
      <c r="G4" s="116"/>
      <c r="H4" s="117"/>
    </row>
    <row r="5" spans="2:8" ht="31.5" x14ac:dyDescent="0.2">
      <c r="B5" s="75" t="s">
        <v>2070</v>
      </c>
      <c r="C5" s="75" t="s">
        <v>2069</v>
      </c>
      <c r="D5" s="75" t="s">
        <v>2068</v>
      </c>
      <c r="F5" s="75" t="s">
        <v>2070</v>
      </c>
      <c r="G5" s="75" t="s">
        <v>2069</v>
      </c>
      <c r="H5" s="75" t="s">
        <v>2068</v>
      </c>
    </row>
    <row r="6" spans="2:8" ht="31.5" customHeight="1" x14ac:dyDescent="0.2">
      <c r="B6" s="70" t="s">
        <v>2067</v>
      </c>
      <c r="C6" s="69">
        <v>507</v>
      </c>
      <c r="D6" s="68">
        <v>5.8000000000000003E-2</v>
      </c>
      <c r="F6" s="70" t="s">
        <v>2073</v>
      </c>
      <c r="G6" s="69">
        <v>515</v>
      </c>
      <c r="H6" s="68">
        <v>5.8000000000000003E-2</v>
      </c>
    </row>
    <row r="7" spans="2:8" ht="31.5" customHeight="1" x14ac:dyDescent="0.2">
      <c r="B7" s="67" t="s">
        <v>2066</v>
      </c>
      <c r="C7" s="66">
        <v>507</v>
      </c>
      <c r="D7" s="65">
        <v>5.8000000000000003E-2</v>
      </c>
      <c r="F7" s="67" t="s">
        <v>2074</v>
      </c>
      <c r="G7" s="66">
        <v>515</v>
      </c>
      <c r="H7" s="65">
        <v>5.8000000000000003E-2</v>
      </c>
    </row>
    <row r="8" spans="2:8" ht="31.5" customHeight="1" x14ac:dyDescent="0.2">
      <c r="B8" s="67" t="s">
        <v>2065</v>
      </c>
      <c r="C8" s="66">
        <v>507</v>
      </c>
      <c r="D8" s="65">
        <v>5.8000000000000003E-2</v>
      </c>
      <c r="F8" s="67" t="s">
        <v>2075</v>
      </c>
      <c r="G8" s="66">
        <v>515</v>
      </c>
      <c r="H8" s="65">
        <v>5.8000000000000003E-2</v>
      </c>
    </row>
    <row r="9" spans="2:8" ht="31.5" customHeight="1" x14ac:dyDescent="0.2">
      <c r="B9" s="67" t="s">
        <v>2064</v>
      </c>
      <c r="C9" s="66">
        <v>507</v>
      </c>
      <c r="D9" s="65">
        <v>5.8000000000000003E-2</v>
      </c>
      <c r="F9" s="67" t="s">
        <v>2076</v>
      </c>
      <c r="G9" s="66">
        <v>515</v>
      </c>
      <c r="H9" s="65">
        <v>5.8000000000000003E-2</v>
      </c>
    </row>
    <row r="10" spans="2:8" ht="31.5" customHeight="1" x14ac:dyDescent="0.2">
      <c r="B10" s="67" t="s">
        <v>2063</v>
      </c>
      <c r="C10" s="66">
        <v>507</v>
      </c>
      <c r="D10" s="65">
        <v>5.8000000000000003E-2</v>
      </c>
      <c r="F10" s="67" t="s">
        <v>2077</v>
      </c>
      <c r="G10" s="66">
        <v>515</v>
      </c>
      <c r="H10" s="65">
        <v>5.8000000000000003E-2</v>
      </c>
    </row>
    <row r="11" spans="2:8" ht="31.5" customHeight="1" x14ac:dyDescent="0.2">
      <c r="B11" s="67" t="s">
        <v>2062</v>
      </c>
      <c r="C11" s="66">
        <v>507</v>
      </c>
      <c r="D11" s="65">
        <v>5.8000000000000003E-2</v>
      </c>
      <c r="F11" s="71" t="s">
        <v>2078</v>
      </c>
      <c r="G11" s="72">
        <v>515</v>
      </c>
      <c r="H11" s="73">
        <v>5.8000000000000003E-2</v>
      </c>
    </row>
    <row r="12" spans="2:8" ht="31.5" customHeight="1" x14ac:dyDescent="0.2">
      <c r="B12" s="67" t="s">
        <v>2061</v>
      </c>
      <c r="C12" s="66">
        <v>507</v>
      </c>
      <c r="D12" s="65">
        <v>5.8000000000000003E-2</v>
      </c>
    </row>
    <row r="13" spans="2:8" ht="31.5" customHeight="1" x14ac:dyDescent="0.2">
      <c r="B13" s="67" t="s">
        <v>2060</v>
      </c>
      <c r="C13" s="66">
        <v>507</v>
      </c>
      <c r="D13" s="65">
        <v>5.8000000000000003E-2</v>
      </c>
      <c r="F13" s="118" t="s">
        <v>2079</v>
      </c>
      <c r="G13" s="119"/>
      <c r="H13" s="120"/>
    </row>
    <row r="14" spans="2:8" ht="31.5" customHeight="1" x14ac:dyDescent="0.2">
      <c r="B14" s="67" t="s">
        <v>2059</v>
      </c>
      <c r="C14" s="66">
        <v>507</v>
      </c>
      <c r="D14" s="65">
        <v>5.8000000000000003E-2</v>
      </c>
      <c r="F14" s="75" t="s">
        <v>2070</v>
      </c>
      <c r="G14" s="75" t="s">
        <v>2069</v>
      </c>
      <c r="H14" s="75" t="s">
        <v>2068</v>
      </c>
    </row>
    <row r="15" spans="2:8" ht="31.5" customHeight="1" x14ac:dyDescent="0.2">
      <c r="B15" s="67" t="s">
        <v>2058</v>
      </c>
      <c r="C15" s="66">
        <v>507</v>
      </c>
      <c r="D15" s="65">
        <v>5.8000000000000003E-2</v>
      </c>
      <c r="F15" s="70" t="s">
        <v>2080</v>
      </c>
      <c r="G15" s="69">
        <v>540</v>
      </c>
      <c r="H15" s="68">
        <v>5.1999999999999998E-2</v>
      </c>
    </row>
    <row r="16" spans="2:8" ht="31.5" customHeight="1" x14ac:dyDescent="0.2">
      <c r="B16" s="67" t="s">
        <v>2057</v>
      </c>
      <c r="C16" s="66">
        <v>507</v>
      </c>
      <c r="D16" s="65">
        <v>5.8000000000000003E-2</v>
      </c>
      <c r="F16" s="67" t="s">
        <v>2081</v>
      </c>
      <c r="G16" s="66">
        <v>558</v>
      </c>
      <c r="H16" s="65">
        <v>5.1999999999999998E-2</v>
      </c>
    </row>
    <row r="17" spans="2:8" ht="31.5" customHeight="1" x14ac:dyDescent="0.2">
      <c r="B17" s="67" t="s">
        <v>2056</v>
      </c>
      <c r="C17" s="66">
        <v>507</v>
      </c>
      <c r="D17" s="65">
        <v>5.8000000000000003E-2</v>
      </c>
      <c r="F17" s="67" t="s">
        <v>2082</v>
      </c>
      <c r="G17" s="66">
        <v>540</v>
      </c>
      <c r="H17" s="65">
        <v>5.1999999999999998E-2</v>
      </c>
    </row>
    <row r="18" spans="2:8" ht="31.5" customHeight="1" x14ac:dyDescent="0.2">
      <c r="B18" s="67" t="s">
        <v>2055</v>
      </c>
      <c r="C18" s="66">
        <v>507</v>
      </c>
      <c r="D18" s="65">
        <v>5.8000000000000003E-2</v>
      </c>
      <c r="F18" s="67" t="s">
        <v>2083</v>
      </c>
      <c r="G18" s="66">
        <v>540</v>
      </c>
      <c r="H18" s="65">
        <v>5.1999999999999998E-2</v>
      </c>
    </row>
    <row r="19" spans="2:8" ht="31.5" customHeight="1" x14ac:dyDescent="0.2">
      <c r="B19" s="67" t="s">
        <v>2054</v>
      </c>
      <c r="C19" s="66">
        <v>507</v>
      </c>
      <c r="D19" s="65">
        <v>5.8000000000000003E-2</v>
      </c>
      <c r="F19" s="74" t="s">
        <v>2084</v>
      </c>
      <c r="G19" s="64">
        <v>540</v>
      </c>
      <c r="H19" s="63">
        <v>5.1999999999999998E-2</v>
      </c>
    </row>
    <row r="20" spans="2:8" ht="31.5" customHeight="1" x14ac:dyDescent="0.2">
      <c r="B20" s="67" t="s">
        <v>2053</v>
      </c>
      <c r="C20" s="66">
        <v>507</v>
      </c>
      <c r="D20" s="65">
        <v>5.8000000000000003E-2</v>
      </c>
    </row>
    <row r="21" spans="2:8" ht="31.5" customHeight="1" x14ac:dyDescent="0.2">
      <c r="B21" s="67" t="s">
        <v>2052</v>
      </c>
      <c r="C21" s="66">
        <v>507</v>
      </c>
      <c r="D21" s="65">
        <v>5.8000000000000003E-2</v>
      </c>
      <c r="F21" s="118" t="s">
        <v>2090</v>
      </c>
      <c r="G21" s="119"/>
      <c r="H21" s="120"/>
    </row>
    <row r="22" spans="2:8" ht="31.5" customHeight="1" x14ac:dyDescent="0.2">
      <c r="B22" s="67" t="s">
        <v>2051</v>
      </c>
      <c r="C22" s="66">
        <v>507</v>
      </c>
      <c r="D22" s="65">
        <v>5.8000000000000003E-2</v>
      </c>
      <c r="F22" s="75" t="s">
        <v>2070</v>
      </c>
      <c r="G22" s="75" t="s">
        <v>2069</v>
      </c>
      <c r="H22" s="75" t="s">
        <v>2068</v>
      </c>
    </row>
    <row r="23" spans="2:8" ht="31.5" customHeight="1" x14ac:dyDescent="0.2">
      <c r="B23" s="71" t="s">
        <v>2050</v>
      </c>
      <c r="C23" s="72">
        <v>507</v>
      </c>
      <c r="D23" s="73">
        <v>5.8000000000000003E-2</v>
      </c>
      <c r="F23" s="121" t="s">
        <v>2091</v>
      </c>
      <c r="G23" s="123">
        <v>507</v>
      </c>
      <c r="H23" s="125">
        <v>5.8000000000000003E-2</v>
      </c>
    </row>
    <row r="24" spans="2:8" ht="24" customHeight="1" x14ac:dyDescent="0.2">
      <c r="F24" s="122"/>
      <c r="G24" s="124"/>
      <c r="H24" s="126"/>
    </row>
    <row r="25" spans="2:8" ht="21" customHeight="1" x14ac:dyDescent="0.2">
      <c r="B25" s="118" t="s">
        <v>2085</v>
      </c>
      <c r="C25" s="119"/>
      <c r="D25" s="120"/>
      <c r="F25" s="67" t="s">
        <v>2092</v>
      </c>
      <c r="G25" s="66">
        <v>566</v>
      </c>
      <c r="H25" s="65">
        <v>4.4999999999999998E-2</v>
      </c>
    </row>
    <row r="26" spans="2:8" ht="31.5" x14ac:dyDescent="0.2">
      <c r="B26" s="75" t="s">
        <v>2070</v>
      </c>
      <c r="C26" s="75" t="s">
        <v>2069</v>
      </c>
      <c r="D26" s="75" t="s">
        <v>2068</v>
      </c>
      <c r="F26" s="71" t="s">
        <v>2093</v>
      </c>
      <c r="G26" s="64">
        <v>566</v>
      </c>
      <c r="H26" s="63">
        <v>4.4999999999999998E-2</v>
      </c>
    </row>
    <row r="27" spans="2:8" ht="31.5" customHeight="1" x14ac:dyDescent="0.2">
      <c r="B27" s="67" t="s">
        <v>2086</v>
      </c>
      <c r="C27" s="66">
        <v>507</v>
      </c>
      <c r="D27" s="65">
        <v>5.8000000000000003E-2</v>
      </c>
    </row>
    <row r="28" spans="2:8" ht="31.5" customHeight="1" x14ac:dyDescent="0.2">
      <c r="B28" s="67" t="s">
        <v>2087</v>
      </c>
      <c r="C28" s="66">
        <v>612</v>
      </c>
      <c r="D28" s="65">
        <v>5.8000000000000003E-2</v>
      </c>
      <c r="F28" s="118" t="s">
        <v>2094</v>
      </c>
      <c r="G28" s="119"/>
      <c r="H28" s="120"/>
    </row>
    <row r="29" spans="2:8" ht="31.5" customHeight="1" x14ac:dyDescent="0.2">
      <c r="B29" s="67" t="s">
        <v>2088</v>
      </c>
      <c r="C29" s="66">
        <v>507</v>
      </c>
      <c r="D29" s="65">
        <v>5.8000000000000003E-2</v>
      </c>
      <c r="F29" s="75" t="s">
        <v>2070</v>
      </c>
      <c r="G29" s="75" t="s">
        <v>2069</v>
      </c>
      <c r="H29" s="75" t="s">
        <v>2068</v>
      </c>
    </row>
    <row r="30" spans="2:8" ht="31.5" customHeight="1" x14ac:dyDescent="0.2">
      <c r="B30" s="71" t="s">
        <v>2089</v>
      </c>
      <c r="C30" s="72">
        <v>507</v>
      </c>
      <c r="D30" s="73">
        <v>5.8000000000000003E-2</v>
      </c>
      <c r="F30" s="67" t="s">
        <v>2095</v>
      </c>
      <c r="G30" s="66">
        <v>574</v>
      </c>
      <c r="H30" s="65">
        <v>4.4999999999999998E-2</v>
      </c>
    </row>
    <row r="31" spans="2:8" ht="31.5" customHeight="1" x14ac:dyDescent="0.2">
      <c r="F31" s="67" t="s">
        <v>2096</v>
      </c>
      <c r="G31" s="66">
        <v>566</v>
      </c>
      <c r="H31" s="65">
        <v>4.4999999999999998E-2</v>
      </c>
    </row>
    <row r="32" spans="2:8" ht="31.5" customHeight="1" x14ac:dyDescent="0.2">
      <c r="F32" s="67" t="s">
        <v>2097</v>
      </c>
      <c r="G32" s="66">
        <v>566</v>
      </c>
      <c r="H32" s="65">
        <v>4.4999999999999998E-2</v>
      </c>
    </row>
    <row r="33" spans="6:8" ht="31.5" customHeight="1" x14ac:dyDescent="0.2">
      <c r="F33" s="71" t="s">
        <v>2098</v>
      </c>
      <c r="G33" s="72">
        <v>566</v>
      </c>
      <c r="H33" s="73">
        <v>4.4999999999999998E-2</v>
      </c>
    </row>
  </sheetData>
  <mergeCells count="10">
    <mergeCell ref="F28:H28"/>
    <mergeCell ref="F23:F24"/>
    <mergeCell ref="G23:G24"/>
    <mergeCell ref="H23:H24"/>
    <mergeCell ref="F21:H21"/>
    <mergeCell ref="B2:H2"/>
    <mergeCell ref="B4:D4"/>
    <mergeCell ref="F4:H4"/>
    <mergeCell ref="F13:H13"/>
    <mergeCell ref="B25:D2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Empregados</vt:lpstr>
      <vt:lpstr>Patronal</vt:lpstr>
      <vt:lpstr>Aliquotas RAT</vt:lpstr>
      <vt:lpstr>Terceiros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Delmiro Martins</dc:creator>
  <cp:lastModifiedBy>Delmiro Martins</cp:lastModifiedBy>
  <cp:lastPrinted>2017-10-31T12:50:13Z</cp:lastPrinted>
  <dcterms:created xsi:type="dcterms:W3CDTF">2017-10-27T14:34:19Z</dcterms:created>
  <dcterms:modified xsi:type="dcterms:W3CDTF">2017-11-14T11:58:53Z</dcterms:modified>
</cp:coreProperties>
</file>