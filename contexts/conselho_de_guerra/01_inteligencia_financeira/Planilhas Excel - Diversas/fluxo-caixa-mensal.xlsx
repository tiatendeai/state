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TABELA!$B$1:$O$33</definedName>
    <definedName name="_xlnm.Print_Titles" localSheetId="0">TABELA!$B:$B,TABELA!$3:$10</definedName>
  </definedNames>
  <calcPr calcId="145621"/>
  <pivotCaches>
    <pivotCache cacheId="10" r:id="rId3"/>
  </pivotCaches>
</workbook>
</file>

<file path=xl/calcChain.xml><?xml version="1.0" encoding="utf-8"?>
<calcChain xmlns="http://schemas.openxmlformats.org/spreadsheetml/2006/main">
  <c r="E2" i="2" l="1"/>
  <c r="B2" i="3" s="1"/>
  <c r="E1" i="2"/>
</calcChain>
</file>

<file path=xl/sharedStrings.xml><?xml version="1.0" encoding="utf-8"?>
<sst xmlns="http://schemas.openxmlformats.org/spreadsheetml/2006/main" count="36" uniqueCount="30">
  <si>
    <t>SAÍDAS</t>
  </si>
  <si>
    <t>ENTRADAS</t>
  </si>
  <si>
    <t>Rótulos de Linha</t>
  </si>
  <si>
    <t>SALDO MENSAL</t>
  </si>
  <si>
    <t>ANO</t>
  </si>
  <si>
    <t>(Tudo)</t>
  </si>
  <si>
    <t>SEMESTRE</t>
  </si>
  <si>
    <t>TRIMESTRE</t>
  </si>
  <si>
    <t>FILTROS</t>
  </si>
  <si>
    <t>01 (JAN)</t>
  </si>
  <si>
    <t>Rótulos de Coluna</t>
  </si>
  <si>
    <t>02 (FEV)</t>
  </si>
  <si>
    <t>03 (MAR)</t>
  </si>
  <si>
    <t>04 (ABR)</t>
  </si>
  <si>
    <t>05 (MAI)</t>
  </si>
  <si>
    <t>06 (JUN)</t>
  </si>
  <si>
    <t>07 (JUL)</t>
  </si>
  <si>
    <t>08 (AGO)</t>
  </si>
  <si>
    <t>09 (SET)</t>
  </si>
  <si>
    <t>10 (OUT)</t>
  </si>
  <si>
    <t>11 (NOV)</t>
  </si>
  <si>
    <t>12 (DEZ)</t>
  </si>
  <si>
    <t>PREVISTO</t>
  </si>
  <si>
    <t>REALIZADO</t>
  </si>
  <si>
    <t>CONTA</t>
  </si>
  <si>
    <t>VER GRÁFICO</t>
  </si>
  <si>
    <t>VER TABELA</t>
  </si>
  <si>
    <t>GRUPO</t>
  </si>
  <si>
    <t>Total Geral</t>
  </si>
  <si>
    <t>FLUXO DE CAIXA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</si>
</sst>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wrapText="1"/>
    </xf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11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[reidasplanilhas-R001-Fluxo-Caixa-Mensal.xlsx]TABELA!Tabela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8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665442782513259"/>
          <c:y val="4.2770053371581372E-2"/>
          <c:w val="0.86683938235368874"/>
          <c:h val="0.8506941510359994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TABELA!$C$9:$C$10</c:f>
              <c:strCache>
                <c:ptCount val="1"/>
                <c:pt idx="0">
                  <c:v>01 (JAN)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TABELA!$C$11:$C$19</c:f>
              <c:numCache>
                <c:formatCode>_(* #,##0.00_);_(* \(#,##0.00\);_(* "-"??_);_(@_)</c:formatCode>
                <c:ptCount val="4"/>
                <c:pt idx="0">
                  <c:v>24554.3</c:v>
                </c:pt>
                <c:pt idx="1">
                  <c:v>160568.26999999999</c:v>
                </c:pt>
                <c:pt idx="2">
                  <c:v>15716.249999999998</c:v>
                </c:pt>
                <c:pt idx="3">
                  <c:v>88640.09000000004</c:v>
                </c:pt>
              </c:numCache>
            </c:numRef>
          </c:val>
        </c:ser>
        <c:ser>
          <c:idx val="1"/>
          <c:order val="1"/>
          <c:tx>
            <c:strRef>
              <c:f>TABELA!$D$9:$D$10</c:f>
              <c:strCache>
                <c:ptCount val="1"/>
                <c:pt idx="0">
                  <c:v>02 (FEV)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TABELA!$D$11:$D$19</c:f>
              <c:numCache>
                <c:formatCode>_(* #,##0.00_);_(* \(#,##0.00\);_(* "-"??_);_(@_)</c:formatCode>
                <c:ptCount val="4"/>
                <c:pt idx="0">
                  <c:v>34858.839999999997</c:v>
                </c:pt>
                <c:pt idx="1">
                  <c:v>277358.60000000009</c:v>
                </c:pt>
                <c:pt idx="2">
                  <c:v>20045.8</c:v>
                </c:pt>
                <c:pt idx="3">
                  <c:v>125630.06000000003</c:v>
                </c:pt>
              </c:numCache>
            </c:numRef>
          </c:val>
        </c:ser>
        <c:ser>
          <c:idx val="2"/>
          <c:order val="2"/>
          <c:tx>
            <c:strRef>
              <c:f>TABELA!$E$9:$E$10</c:f>
              <c:strCache>
                <c:ptCount val="1"/>
                <c:pt idx="0">
                  <c:v>03 (MAR)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TABELA!$E$11:$E$19</c:f>
              <c:numCache>
                <c:formatCode>_(* #,##0.00_);_(* \(#,##0.00\);_(* "-"??_);_(@_)</c:formatCode>
                <c:ptCount val="4"/>
                <c:pt idx="0">
                  <c:v>74116.47</c:v>
                </c:pt>
                <c:pt idx="1">
                  <c:v>420734.88</c:v>
                </c:pt>
                <c:pt idx="2">
                  <c:v>40688.129999999997</c:v>
                </c:pt>
                <c:pt idx="3">
                  <c:v>218303.40000000002</c:v>
                </c:pt>
              </c:numCache>
            </c:numRef>
          </c:val>
        </c:ser>
        <c:ser>
          <c:idx val="3"/>
          <c:order val="3"/>
          <c:tx>
            <c:strRef>
              <c:f>TABELA!$F$9:$F$10</c:f>
              <c:strCache>
                <c:ptCount val="1"/>
                <c:pt idx="0">
                  <c:v>04 (ABR)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TABELA!$F$11:$F$19</c:f>
              <c:numCache>
                <c:formatCode>_(* #,##0.00_);_(* \(#,##0.00\);_(* "-"??_);_(@_)</c:formatCode>
                <c:ptCount val="4"/>
                <c:pt idx="0">
                  <c:v>99675.920000000013</c:v>
                </c:pt>
                <c:pt idx="1">
                  <c:v>508824.28000000014</c:v>
                </c:pt>
                <c:pt idx="2">
                  <c:v>68470</c:v>
                </c:pt>
                <c:pt idx="3">
                  <c:v>258086.16000000006</c:v>
                </c:pt>
              </c:numCache>
            </c:numRef>
          </c:val>
        </c:ser>
        <c:ser>
          <c:idx val="4"/>
          <c:order val="4"/>
          <c:tx>
            <c:strRef>
              <c:f>TABELA!$G$9:$G$10</c:f>
              <c:strCache>
                <c:ptCount val="1"/>
                <c:pt idx="0">
                  <c:v>05 (MAI)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TABELA!$G$11:$G$19</c:f>
              <c:numCache>
                <c:formatCode>_(* #,##0.00_);_(* \(#,##0.00\);_(* "-"??_);_(@_)</c:formatCode>
                <c:ptCount val="4"/>
                <c:pt idx="0">
                  <c:v>81115.45</c:v>
                </c:pt>
                <c:pt idx="1">
                  <c:v>668913.00000000012</c:v>
                </c:pt>
                <c:pt idx="2">
                  <c:v>76626.299999999988</c:v>
                </c:pt>
                <c:pt idx="3">
                  <c:v>353918.55000000005</c:v>
                </c:pt>
              </c:numCache>
            </c:numRef>
          </c:val>
        </c:ser>
        <c:ser>
          <c:idx val="5"/>
          <c:order val="5"/>
          <c:tx>
            <c:strRef>
              <c:f>TABELA!$H$9:$H$10</c:f>
              <c:strCache>
                <c:ptCount val="1"/>
                <c:pt idx="0">
                  <c:v>06 (JUN)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TABELA!$H$11:$H$19</c:f>
              <c:numCache>
                <c:formatCode>_(* #,##0.00_);_(* \(#,##0.00\);_(* "-"??_);_(@_)</c:formatCode>
                <c:ptCount val="4"/>
                <c:pt idx="0">
                  <c:v>119942.52</c:v>
                </c:pt>
                <c:pt idx="1">
                  <c:v>783255.29999999946</c:v>
                </c:pt>
                <c:pt idx="2">
                  <c:v>73562.760000000009</c:v>
                </c:pt>
                <c:pt idx="3">
                  <c:v>351739.74000000017</c:v>
                </c:pt>
              </c:numCache>
            </c:numRef>
          </c:val>
        </c:ser>
        <c:ser>
          <c:idx val="6"/>
          <c:order val="6"/>
          <c:tx>
            <c:strRef>
              <c:f>TABELA!$I$9:$I$10</c:f>
              <c:strCache>
                <c:ptCount val="1"/>
                <c:pt idx="0">
                  <c:v>07 (JUL)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TABELA!$I$11:$I$19</c:f>
              <c:numCache>
                <c:formatCode>_(* #,##0.00_);_(* \(#,##0.00\);_(* "-"??_);_(@_)</c:formatCode>
                <c:ptCount val="4"/>
                <c:pt idx="0">
                  <c:v>133565.95000000001</c:v>
                </c:pt>
                <c:pt idx="1">
                  <c:v>836420.55</c:v>
                </c:pt>
                <c:pt idx="2">
                  <c:v>78952.3</c:v>
                </c:pt>
                <c:pt idx="3">
                  <c:v>448233.93999999994</c:v>
                </c:pt>
              </c:numCache>
            </c:numRef>
          </c:val>
        </c:ser>
        <c:ser>
          <c:idx val="7"/>
          <c:order val="7"/>
          <c:tx>
            <c:strRef>
              <c:f>TABELA!$J$9:$J$10</c:f>
              <c:strCache>
                <c:ptCount val="1"/>
                <c:pt idx="0">
                  <c:v>08 (AGO)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TABELA!$J$11:$J$19</c:f>
              <c:numCache>
                <c:formatCode>_(* #,##0.00_);_(* \(#,##0.00\);_(* "-"??_);_(@_)</c:formatCode>
                <c:ptCount val="4"/>
                <c:pt idx="0">
                  <c:v>146418.31999999998</c:v>
                </c:pt>
                <c:pt idx="1">
                  <c:v>963940.32</c:v>
                </c:pt>
                <c:pt idx="2">
                  <c:v>107457.92000000001</c:v>
                </c:pt>
                <c:pt idx="3">
                  <c:v>529640.6399999999</c:v>
                </c:pt>
              </c:numCache>
            </c:numRef>
          </c:val>
        </c:ser>
        <c:ser>
          <c:idx val="8"/>
          <c:order val="8"/>
          <c:tx>
            <c:strRef>
              <c:f>TABELA!$K$9:$K$10</c:f>
              <c:strCache>
                <c:ptCount val="1"/>
                <c:pt idx="0">
                  <c:v>09 (SET)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TABELA!$K$11:$K$19</c:f>
              <c:numCache>
                <c:formatCode>_(* #,##0.00_);_(* \(#,##0.00\);_(* "-"??_);_(@_)</c:formatCode>
                <c:ptCount val="4"/>
                <c:pt idx="0">
                  <c:v>145023.84</c:v>
                </c:pt>
                <c:pt idx="1">
                  <c:v>1074697.1100000001</c:v>
                </c:pt>
                <c:pt idx="2">
                  <c:v>90726.3</c:v>
                </c:pt>
                <c:pt idx="3">
                  <c:v>468107.81999999995</c:v>
                </c:pt>
              </c:numCache>
            </c:numRef>
          </c:val>
        </c:ser>
        <c:ser>
          <c:idx val="9"/>
          <c:order val="9"/>
          <c:tx>
            <c:strRef>
              <c:f>TABELA!$L$9:$L$10</c:f>
              <c:strCache>
                <c:ptCount val="1"/>
                <c:pt idx="0">
                  <c:v>10 (OUT)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TABELA!$L$11:$L$19</c:f>
              <c:numCache>
                <c:formatCode>_(* #,##0.00_);_(* \(#,##0.00\);_(* "-"??_);_(@_)</c:formatCode>
                <c:ptCount val="4"/>
                <c:pt idx="0">
                  <c:v>167629</c:v>
                </c:pt>
                <c:pt idx="1">
                  <c:v>1249876.3</c:v>
                </c:pt>
                <c:pt idx="2">
                  <c:v>80202</c:v>
                </c:pt>
                <c:pt idx="3">
                  <c:v>681926.9</c:v>
                </c:pt>
              </c:numCache>
            </c:numRef>
          </c:val>
        </c:ser>
        <c:ser>
          <c:idx val="10"/>
          <c:order val="10"/>
          <c:tx>
            <c:strRef>
              <c:f>TABELA!$M$9:$M$10</c:f>
              <c:strCache>
                <c:ptCount val="1"/>
                <c:pt idx="0">
                  <c:v>11 (NOV)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TABELA!$M$11:$M$19</c:f>
              <c:numCache>
                <c:formatCode>_(* #,##0.00_);_(* \(#,##0.00\);_(* "-"??_);_(@_)</c:formatCode>
                <c:ptCount val="4"/>
                <c:pt idx="0">
                  <c:v>145337.5</c:v>
                </c:pt>
                <c:pt idx="1">
                  <c:v>1219156.8399999999</c:v>
                </c:pt>
                <c:pt idx="2">
                  <c:v>114991.14000000001</c:v>
                </c:pt>
                <c:pt idx="3">
                  <c:v>598985.52999999991</c:v>
                </c:pt>
              </c:numCache>
            </c:numRef>
          </c:val>
        </c:ser>
        <c:ser>
          <c:idx val="11"/>
          <c:order val="11"/>
          <c:tx>
            <c:strRef>
              <c:f>TABELA!$N$9:$N$10</c:f>
              <c:strCache>
                <c:ptCount val="1"/>
                <c:pt idx="0">
                  <c:v>12 (DEZ)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TABELA!$B$11:$B$19</c:f>
              <c:multiLvlStrCache>
                <c:ptCount val="4"/>
                <c:lvl>
                  <c:pt idx="0">
                    <c:v>PREVISTO</c:v>
                  </c:pt>
                  <c:pt idx="1">
                    <c:v>REALIZADO</c:v>
                  </c:pt>
                  <c:pt idx="2">
                    <c:v>PREVISTO</c:v>
                  </c:pt>
                  <c:pt idx="3">
                    <c:v>REALIZADO</c:v>
                  </c:pt>
                </c:lvl>
                <c:lvl>
                  <c:pt idx="0">
                    <c:v>ENTRADAS</c:v>
                  </c:pt>
                  <c:pt idx="2">
                    <c:v>SAÍDAS</c:v>
                  </c:pt>
                </c:lvl>
              </c:multiLvlStrCache>
            </c:multiLvlStrRef>
          </c:cat>
          <c:val>
            <c:numRef>
              <c:f>TABELA!$N$11:$N$19</c:f>
              <c:numCache>
                <c:formatCode>_(* #,##0.00_);_(* \(#,##0.00\);_(* "-"??_);_(@_)</c:formatCode>
                <c:ptCount val="4"/>
                <c:pt idx="0">
                  <c:v>216764.16</c:v>
                </c:pt>
                <c:pt idx="1">
                  <c:v>1384527.9600000002</c:v>
                </c:pt>
                <c:pt idx="2">
                  <c:v>113879.28</c:v>
                </c:pt>
                <c:pt idx="3">
                  <c:v>677040.36000000034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75"/>
        <c:axId val="97055488"/>
        <c:axId val="97057024"/>
      </c:barChart>
      <c:catAx>
        <c:axId val="97055488"/>
        <c:scaling>
          <c:orientation val="minMax"/>
        </c:scaling>
        <c:delete val="0"/>
        <c:axPos val="b"/>
        <c:majorTickMark val="out"/>
        <c:minorTickMark val="none"/>
        <c:tickLblPos val="low"/>
        <c:crossAx val="97057024"/>
        <c:crosses val="autoZero"/>
        <c:auto val="1"/>
        <c:lblAlgn val="ctr"/>
        <c:lblOffset val="100"/>
        <c:noMultiLvlLbl val="0"/>
      </c:catAx>
      <c:valAx>
        <c:axId val="9705702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97055488"/>
        <c:crosses val="autoZero"/>
        <c:crossBetween val="between"/>
      </c:valAx>
      <c:dTable>
        <c:showHorzBorder val="1"/>
        <c:showVertBorder val="1"/>
        <c:showOutline val="0"/>
        <c:showKeys val="1"/>
        <c:spPr>
          <a:noFill/>
        </c:spPr>
      </c:dTable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141" footer="0.3149606200000014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08.382572453702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/>
    </cacheField>
    <cacheField name="DIASEMANA" numFmtId="0">
      <sharedItems containsBlank="1"/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 count="3">
        <s v="REALIZADO"/>
        <s v="PREVISTO"/>
        <m/>
      </sharedItems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0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O19" firstHeaderRow="1" firstDataRow="2" firstDataCol="1" rowPageCount="5" colPageCount="1"/>
  <pivotFields count="14">
    <pivotField showAll="0" insertBlankRow="1"/>
    <pivotField showAll="0" insertBlankRow="1"/>
    <pivotField showAll="0" insertBlankRow="1"/>
    <pivotField axis="axisCol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Row" showAll="0" insertBlankRow="1" sortType="ascending">
      <items count="4">
        <item x="0"/>
        <item x="1"/>
        <item x="2"/>
        <item t="default"/>
      </items>
    </pivotField>
    <pivotField axis="axisPage" showAll="0" insertBlankRow="1">
      <items count="5">
        <item x="1"/>
        <item x="0"/>
        <item m="1" x="3"/>
        <item x="2"/>
        <item t="default"/>
      </items>
    </pivotField>
    <pivotField axis="axisPage"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showAll="0" insertBlankRow="1"/>
    <pivotField axis="axisRow" showAll="0" defaultSubtotal="0">
      <items count="3">
        <item x="1"/>
        <item x="0"/>
        <item x="2"/>
      </items>
    </pivotField>
    <pivotField dataField="1" dragToRow="0" dragToCol="0" dragToPage="0" showAll="0" defaultSubtotal="0"/>
  </pivotFields>
  <rowFields count="2">
    <field x="7"/>
    <field x="12"/>
  </rowFields>
  <rowItems count="9">
    <i>
      <x/>
    </i>
    <i r="1">
      <x/>
    </i>
    <i r="1">
      <x v="1"/>
    </i>
    <i t="blank">
      <x/>
    </i>
    <i>
      <x v="1"/>
    </i>
    <i r="1">
      <x/>
    </i>
    <i r="1">
      <x v="1"/>
    </i>
    <i t="blank">
      <x v="1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5">
    <pageField fld="6" item="1" hier="-1"/>
    <pageField fld="5" hier="-1"/>
    <pageField fld="4" hier="-1"/>
    <pageField fld="8" hier="-1"/>
    <pageField fld="9" hier="-1"/>
  </pageFields>
  <dataFields count="1">
    <dataField name="SALDO MENSAL" fld="13" baseField="0" baseItem="0" numFmtId="43"/>
  </dataFields>
  <formats count="11">
    <format dxfId="10">
      <pivotArea field="7" dataOnly="0" labelOnly="1" grandCol="1" outline="0" axis="axisRow" fieldPosition="0">
        <references count="1">
          <reference field="4294967294" count="1" selected="0">
            <x v="0"/>
          </reference>
        </references>
      </pivotArea>
    </format>
    <format dxfId="9">
      <pivotArea field="6" type="button" dataOnly="0" labelOnly="1" outline="0" axis="axisPage" fieldPosition="0"/>
    </format>
    <format dxfId="8">
      <pivotArea dataOnly="0" labelOnly="1" outline="0" fieldPosition="0">
        <references count="1">
          <reference field="6" count="1">
            <x v="1"/>
          </reference>
        </references>
      </pivotArea>
    </format>
    <format dxfId="7">
      <pivotArea field="5" type="button" dataOnly="0" labelOnly="1" outline="0" axis="axisPage" fieldPosition="1"/>
    </format>
    <format dxfId="6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5">
      <pivotArea field="4" type="button" dataOnly="0" labelOnly="1" outline="0" axis="axisPage" fieldPosition="2"/>
    </format>
    <format dxfId="4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3">
      <pivotArea field="8" type="button" dataOnly="0" labelOnly="1" outline="0" axis="axisPage" fieldPosition="3"/>
    </format>
    <format dxfId="2">
      <pivotArea dataOnly="0" labelOnly="1" outline="0" fieldPosition="0">
        <references count="2">
          <reference field="6" count="1" selected="0">
            <x v="1"/>
          </reference>
          <reference field="8" count="0"/>
        </references>
      </pivotArea>
    </format>
    <format dxfId="1">
      <pivotArea field="9" type="button" dataOnly="0" labelOnly="1" outline="0" axis="axisPage" fieldPosition="4"/>
    </format>
    <format dxfId="0">
      <pivotArea dataOnly="0" labelOnly="1" outline="0" fieldPosition="0">
        <references count="2">
          <reference field="6" count="1" selected="0">
            <x v="1"/>
          </reference>
          <reference field="9" count="0"/>
        </references>
      </pivotArea>
    </format>
  </formats>
  <chartFormats count="41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3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19"/>
  <sheetViews>
    <sheetView showGridLines="0" zoomScale="75" zoomScaleNormal="75" zoomScaleSheetLayoutView="80" workbookViewId="0">
      <selection activeCell="E3" sqref="E3:N3"/>
    </sheetView>
  </sheetViews>
  <sheetFormatPr defaultColWidth="0" defaultRowHeight="15" x14ac:dyDescent="0.25"/>
  <cols>
    <col min="1" max="1" width="2.7109375" customWidth="1"/>
    <col min="2" max="15" width="16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5" s="8" customFormat="1" ht="48" customHeight="1" x14ac:dyDescent="0.4">
      <c r="B1" s="16" t="s">
        <v>8</v>
      </c>
      <c r="C1" s="16"/>
      <c r="E1" s="17" t="str">
        <f>GRAFICO!B1</f>
        <v>FLUXO DE CAIXA MENSAL</v>
      </c>
      <c r="F1" s="17"/>
      <c r="G1" s="17"/>
      <c r="H1" s="17"/>
      <c r="I1" s="17"/>
      <c r="J1" s="17"/>
      <c r="K1" s="17"/>
      <c r="L1" s="17"/>
      <c r="M1" s="17"/>
      <c r="N1" s="17"/>
    </row>
    <row r="2" spans="2:15" s="9" customFormat="1" ht="20.100000000000001" customHeight="1" x14ac:dyDescent="0.25">
      <c r="B2" s="7"/>
      <c r="C2" s="7"/>
      <c r="E2" s="18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ANO=2011, SEMESTRE=(Tudo), TRIMESTRE=(Tudo), CONTA=(Tudo), GRUPO=(Tudo)</v>
      </c>
      <c r="F2" s="18"/>
      <c r="G2" s="18"/>
      <c r="H2" s="18"/>
      <c r="I2" s="18"/>
      <c r="J2" s="18"/>
      <c r="K2" s="18"/>
      <c r="L2" s="18"/>
      <c r="M2" s="18"/>
      <c r="N2" s="18"/>
    </row>
    <row r="3" spans="2:15" s="9" customFormat="1" ht="15" customHeight="1" x14ac:dyDescent="0.25">
      <c r="B3" s="14" t="s">
        <v>4</v>
      </c>
      <c r="C3" s="15">
        <v>2011</v>
      </c>
      <c r="E3" s="19" t="s">
        <v>25</v>
      </c>
      <c r="F3" s="19"/>
      <c r="G3" s="19"/>
      <c r="H3" s="19"/>
      <c r="I3" s="19"/>
      <c r="J3" s="19"/>
      <c r="K3" s="19"/>
      <c r="L3" s="19"/>
      <c r="M3" s="19"/>
      <c r="N3" s="19"/>
    </row>
    <row r="4" spans="2:15" s="11" customFormat="1" ht="15" customHeight="1" x14ac:dyDescent="0.25">
      <c r="B4" s="14" t="s">
        <v>6</v>
      </c>
      <c r="C4" s="11" t="s">
        <v>5</v>
      </c>
    </row>
    <row r="5" spans="2:15" s="11" customFormat="1" ht="15" customHeight="1" x14ac:dyDescent="0.25">
      <c r="B5" s="14" t="s">
        <v>7</v>
      </c>
      <c r="C5" s="11" t="s">
        <v>5</v>
      </c>
    </row>
    <row r="6" spans="2:15" s="11" customFormat="1" ht="15" customHeight="1" x14ac:dyDescent="0.25">
      <c r="B6" s="14" t="s">
        <v>24</v>
      </c>
      <c r="C6" s="11" t="s">
        <v>5</v>
      </c>
    </row>
    <row r="7" spans="2:15" s="11" customFormat="1" ht="15" customHeight="1" x14ac:dyDescent="0.25">
      <c r="B7" s="14" t="s">
        <v>27</v>
      </c>
      <c r="C7" s="11" t="s">
        <v>5</v>
      </c>
    </row>
    <row r="8" spans="2:15" s="11" customFormat="1" x14ac:dyDescent="0.25"/>
    <row r="9" spans="2:15" x14ac:dyDescent="0.25">
      <c r="B9" s="4" t="s">
        <v>3</v>
      </c>
      <c r="C9" s="4" t="s">
        <v>10</v>
      </c>
    </row>
    <row r="10" spans="2:15" x14ac:dyDescent="0.25">
      <c r="B10" s="4" t="s">
        <v>2</v>
      </c>
      <c r="C10" t="s">
        <v>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s="5" t="s">
        <v>28</v>
      </c>
    </row>
    <row r="11" spans="2:15" x14ac:dyDescent="0.25">
      <c r="B11" s="2" t="s">
        <v>1</v>
      </c>
      <c r="C11" s="1">
        <v>185122.56999999998</v>
      </c>
      <c r="D11" s="1">
        <v>312217.44000000012</v>
      </c>
      <c r="E11" s="1">
        <v>494851.34999999992</v>
      </c>
      <c r="F11" s="1">
        <v>608500.19999999995</v>
      </c>
      <c r="G11" s="1">
        <v>750028.45000000007</v>
      </c>
      <c r="H11" s="1">
        <v>903197.8199999996</v>
      </c>
      <c r="I11" s="1">
        <v>969986.5</v>
      </c>
      <c r="J11" s="1">
        <v>1110358.6400000004</v>
      </c>
      <c r="K11" s="1">
        <v>1219720.9499999997</v>
      </c>
      <c r="L11" s="1">
        <v>1417505.3</v>
      </c>
      <c r="M11" s="1">
        <v>1364494.3400000005</v>
      </c>
      <c r="N11" s="1">
        <v>1601292.1200000006</v>
      </c>
      <c r="O11" s="1">
        <v>10937275.680000002</v>
      </c>
    </row>
    <row r="12" spans="2:15" x14ac:dyDescent="0.25">
      <c r="B12" s="3" t="s">
        <v>22</v>
      </c>
      <c r="C12" s="1">
        <v>24554.3</v>
      </c>
      <c r="D12" s="1">
        <v>34858.839999999997</v>
      </c>
      <c r="E12" s="1">
        <v>74116.47</v>
      </c>
      <c r="F12" s="1">
        <v>99675.920000000013</v>
      </c>
      <c r="G12" s="1">
        <v>81115.45</v>
      </c>
      <c r="H12" s="1">
        <v>119942.52</v>
      </c>
      <c r="I12" s="1">
        <v>133565.95000000001</v>
      </c>
      <c r="J12" s="1">
        <v>146418.31999999998</v>
      </c>
      <c r="K12" s="1">
        <v>145023.84</v>
      </c>
      <c r="L12" s="1">
        <v>167629</v>
      </c>
      <c r="M12" s="1">
        <v>145337.5</v>
      </c>
      <c r="N12" s="1">
        <v>216764.16</v>
      </c>
      <c r="O12" s="1">
        <v>1389002.2699999996</v>
      </c>
    </row>
    <row r="13" spans="2:15" x14ac:dyDescent="0.25">
      <c r="B13" s="3" t="s">
        <v>23</v>
      </c>
      <c r="C13" s="1">
        <v>160568.26999999999</v>
      </c>
      <c r="D13" s="1">
        <v>277358.60000000009</v>
      </c>
      <c r="E13" s="1">
        <v>420734.88</v>
      </c>
      <c r="F13" s="1">
        <v>508824.28000000014</v>
      </c>
      <c r="G13" s="1">
        <v>668913.00000000012</v>
      </c>
      <c r="H13" s="1">
        <v>783255.29999999946</v>
      </c>
      <c r="I13" s="1">
        <v>836420.55</v>
      </c>
      <c r="J13" s="1">
        <v>963940.32</v>
      </c>
      <c r="K13" s="1">
        <v>1074697.1100000001</v>
      </c>
      <c r="L13" s="1">
        <v>1249876.3</v>
      </c>
      <c r="M13" s="1">
        <v>1219156.8399999999</v>
      </c>
      <c r="N13" s="1">
        <v>1384527.9600000002</v>
      </c>
      <c r="O13" s="1">
        <v>9548273.410000002</v>
      </c>
    </row>
    <row r="14" spans="2:15" x14ac:dyDescent="0.25"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x14ac:dyDescent="0.25">
      <c r="B15" s="2" t="s">
        <v>0</v>
      </c>
      <c r="C15" s="1">
        <v>104356.34000000004</v>
      </c>
      <c r="D15" s="1">
        <v>145675.86000000007</v>
      </c>
      <c r="E15" s="1">
        <v>258991.53</v>
      </c>
      <c r="F15" s="1">
        <v>326556.16000000003</v>
      </c>
      <c r="G15" s="1">
        <v>430544.85</v>
      </c>
      <c r="H15" s="1">
        <v>425302.49999999988</v>
      </c>
      <c r="I15" s="1">
        <v>527186.24</v>
      </c>
      <c r="J15" s="1">
        <v>637098.56000000006</v>
      </c>
      <c r="K15" s="1">
        <v>558834.11999999988</v>
      </c>
      <c r="L15" s="1">
        <v>762128.89999999991</v>
      </c>
      <c r="M15" s="1">
        <v>713976.67</v>
      </c>
      <c r="N15" s="1">
        <v>790919.64000000013</v>
      </c>
      <c r="O15" s="1">
        <v>5681571.3700000001</v>
      </c>
    </row>
    <row r="16" spans="2:15" x14ac:dyDescent="0.25">
      <c r="B16" s="3" t="s">
        <v>22</v>
      </c>
      <c r="C16" s="1">
        <v>15716.249999999998</v>
      </c>
      <c r="D16" s="1">
        <v>20045.8</v>
      </c>
      <c r="E16" s="1">
        <v>40688.129999999997</v>
      </c>
      <c r="F16" s="1">
        <v>68470</v>
      </c>
      <c r="G16" s="1">
        <v>76626.299999999988</v>
      </c>
      <c r="H16" s="1">
        <v>73562.760000000009</v>
      </c>
      <c r="I16" s="1">
        <v>78952.3</v>
      </c>
      <c r="J16" s="1">
        <v>107457.92000000001</v>
      </c>
      <c r="K16" s="1">
        <v>90726.3</v>
      </c>
      <c r="L16" s="1">
        <v>80202</v>
      </c>
      <c r="M16" s="1">
        <v>114991.14000000001</v>
      </c>
      <c r="N16" s="1">
        <v>113879.28</v>
      </c>
      <c r="O16" s="1">
        <v>881318.18</v>
      </c>
    </row>
    <row r="17" spans="2:15" x14ac:dyDescent="0.25">
      <c r="B17" s="3" t="s">
        <v>23</v>
      </c>
      <c r="C17" s="1">
        <v>88640.09000000004</v>
      </c>
      <c r="D17" s="1">
        <v>125630.06000000003</v>
      </c>
      <c r="E17" s="1">
        <v>218303.40000000002</v>
      </c>
      <c r="F17" s="1">
        <v>258086.16000000006</v>
      </c>
      <c r="G17" s="1">
        <v>353918.55000000005</v>
      </c>
      <c r="H17" s="1">
        <v>351739.74000000017</v>
      </c>
      <c r="I17" s="1">
        <v>448233.93999999994</v>
      </c>
      <c r="J17" s="1">
        <v>529640.6399999999</v>
      </c>
      <c r="K17" s="1">
        <v>468107.81999999995</v>
      </c>
      <c r="L17" s="1">
        <v>681926.9</v>
      </c>
      <c r="M17" s="1">
        <v>598985.52999999991</v>
      </c>
      <c r="N17" s="1">
        <v>677040.36000000034</v>
      </c>
      <c r="O17" s="1">
        <v>4800253.1900000004</v>
      </c>
    </row>
    <row r="18" spans="2:15" x14ac:dyDescent="0.25"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25">
      <c r="B19" s="2" t="s">
        <v>28</v>
      </c>
      <c r="C19" s="1">
        <v>80766.23000000001</v>
      </c>
      <c r="D19" s="1">
        <v>166541.58000000019</v>
      </c>
      <c r="E19" s="1">
        <v>235859.82000000004</v>
      </c>
      <c r="F19" s="1">
        <v>281944.0399999998</v>
      </c>
      <c r="G19" s="1">
        <v>319483.60000000044</v>
      </c>
      <c r="H19" s="1">
        <v>477895.31999999925</v>
      </c>
      <c r="I19" s="1">
        <v>442800.25999999966</v>
      </c>
      <c r="J19" s="1">
        <v>473260.0800000006</v>
      </c>
      <c r="K19" s="1">
        <v>660886.82999999984</v>
      </c>
      <c r="L19" s="1">
        <v>655376.40000000049</v>
      </c>
      <c r="M19" s="1">
        <v>650517.67000000062</v>
      </c>
      <c r="N19" s="1">
        <v>810372.48000000103</v>
      </c>
      <c r="O19" s="1">
        <v>5255704.3100000015</v>
      </c>
    </row>
  </sheetData>
  <mergeCells count="4">
    <mergeCell ref="B1:C1"/>
    <mergeCell ref="E1:N1"/>
    <mergeCell ref="E2:N2"/>
    <mergeCell ref="E3:N3"/>
  </mergeCells>
  <hyperlinks>
    <hyperlink ref="E3:N3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tabSelected="1" zoomScale="80" zoomScaleNormal="80" workbookViewId="0">
      <selection activeCell="B1" sqref="B1"/>
    </sheetView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6"/>
      <c r="B1" s="12" t="s">
        <v>29</v>
      </c>
      <c r="C1" s="8"/>
    </row>
    <row r="2" spans="1:3" s="11" customFormat="1" ht="20.100000000000001" customHeight="1" x14ac:dyDescent="0.25">
      <c r="A2" s="9"/>
      <c r="B2" s="10" t="str">
        <f>TRIM(TABELA!E2)</f>
        <v>PARÂMETROS DE CONSULTA: ANO=2011, SEMESTRE=(Tudo), TRIMESTRE=(Tudo), CONTA=(Tudo), GRUPO=(Tudo)</v>
      </c>
      <c r="C2" s="9"/>
    </row>
    <row r="3" spans="1:3" x14ac:dyDescent="0.25">
      <c r="B3" s="13" t="s">
        <v>26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2011-12-31T12:10:05Z</dcterms:created>
  <dcterms:modified xsi:type="dcterms:W3CDTF">2011-12-31T12:13:43Z</dcterms:modified>
</cp:coreProperties>
</file>