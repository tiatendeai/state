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EstaPasta_de_trabalho" defaultThemeVersion="124226"/>
  <bookViews>
    <workbookView xWindow="120" yWindow="120" windowWidth="19035" windowHeight="8445"/>
  </bookViews>
  <sheets>
    <sheet name="Converter_taxa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E13" i="1" l="1"/>
  <c r="E12" i="1"/>
  <c r="E9" i="1"/>
  <c r="E6" i="1"/>
  <c r="E7" i="1"/>
  <c r="C13" i="1" l="1"/>
  <c r="C12" i="1"/>
  <c r="C10" i="1"/>
  <c r="C9" i="1"/>
  <c r="C7" i="1"/>
  <c r="C6" i="1"/>
  <c r="E10" i="1"/>
</calcChain>
</file>

<file path=xl/sharedStrings.xml><?xml version="1.0" encoding="utf-8"?>
<sst xmlns="http://schemas.openxmlformats.org/spreadsheetml/2006/main" count="3" uniqueCount="3">
  <si>
    <t>Digite o valor do juros   ==&gt;</t>
  </si>
  <si>
    <t>Fórmula</t>
  </si>
  <si>
    <t>Função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</si>
</sst>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%"/>
  </numFmts>
  <fonts count="7" x14ac:knownFonts="1">
    <font>
      <sz val="10"/>
      <name val="Arial"/>
    </font>
    <font>
      <sz val="8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0" fontId="0" fillId="2" borderId="0" xfId="0" applyFill="1" applyAlignment="1">
      <alignment vertical="center"/>
    </xf>
    <xf numFmtId="0" fontId="4" fillId="2" borderId="0" xfId="0" applyFont="1" applyFill="1" applyBorder="1" applyAlignment="1">
      <alignment horizontal="center" vertical="center"/>
    </xf>
    <xf numFmtId="0" fontId="0" fillId="5" borderId="3" xfId="0" applyFill="1" applyBorder="1" applyAlignment="1">
      <alignment vertical="center"/>
    </xf>
    <xf numFmtId="164" fontId="3" fillId="6" borderId="4" xfId="1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vertical="center"/>
    </xf>
    <xf numFmtId="164" fontId="3" fillId="6" borderId="6" xfId="1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164" fontId="0" fillId="2" borderId="0" xfId="0" applyNumberFormat="1" applyFill="1" applyAlignment="1">
      <alignment vertical="center"/>
    </xf>
    <xf numFmtId="0" fontId="3" fillId="3" borderId="1" xfId="0" applyFont="1" applyFill="1" applyBorder="1" applyAlignment="1">
      <alignment horizontal="center" vertical="center" wrapText="1"/>
    </xf>
    <xf numFmtId="164" fontId="3" fillId="6" borderId="8" xfId="1" applyNumberFormat="1" applyFont="1" applyFill="1" applyBorder="1" applyAlignment="1">
      <alignment horizontal="center" vertical="center"/>
    </xf>
    <xf numFmtId="164" fontId="3" fillId="6" borderId="9" xfId="1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vertical="center"/>
    </xf>
    <xf numFmtId="0" fontId="5" fillId="8" borderId="0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6" fillId="7" borderId="7" xfId="0" applyFont="1" applyFill="1" applyBorder="1" applyAlignment="1">
      <alignment horizontal="center" vertical="center"/>
    </xf>
    <xf numFmtId="10" fontId="3" fillId="4" borderId="2" xfId="1" applyNumberFormat="1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checked="Checked" firstButton="1" fmlaLink="$B$5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5</xdr:row>
          <xdr:rowOff>47625</xdr:rowOff>
        </xdr:from>
        <xdr:to>
          <xdr:col>1</xdr:col>
          <xdr:colOff>952500</xdr:colOff>
          <xdr:row>5</xdr:row>
          <xdr:rowOff>266700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Dia para mês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6</xdr:row>
          <xdr:rowOff>38100</xdr:rowOff>
        </xdr:from>
        <xdr:to>
          <xdr:col>1</xdr:col>
          <xdr:colOff>952500</xdr:colOff>
          <xdr:row>6</xdr:row>
          <xdr:rowOff>257175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Dia para ano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8</xdr:row>
          <xdr:rowOff>47625</xdr:rowOff>
        </xdr:from>
        <xdr:to>
          <xdr:col>1</xdr:col>
          <xdr:colOff>952500</xdr:colOff>
          <xdr:row>8</xdr:row>
          <xdr:rowOff>266700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Mês para 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9</xdr:row>
          <xdr:rowOff>38100</xdr:rowOff>
        </xdr:from>
        <xdr:to>
          <xdr:col>1</xdr:col>
          <xdr:colOff>952500</xdr:colOff>
          <xdr:row>9</xdr:row>
          <xdr:rowOff>257175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Mês para ano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11</xdr:row>
          <xdr:rowOff>66675</xdr:rowOff>
        </xdr:from>
        <xdr:to>
          <xdr:col>1</xdr:col>
          <xdr:colOff>952500</xdr:colOff>
          <xdr:row>11</xdr:row>
          <xdr:rowOff>285750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Ano para 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12</xdr:row>
          <xdr:rowOff>57150</xdr:rowOff>
        </xdr:from>
        <xdr:to>
          <xdr:col>1</xdr:col>
          <xdr:colOff>952500</xdr:colOff>
          <xdr:row>12</xdr:row>
          <xdr:rowOff>276225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Ano para mês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B1:F17"/>
  <sheetViews>
    <sheetView tabSelected="1" zoomScaleNormal="100" workbookViewId="0">
      <selection activeCell="E13" sqref="E13"/>
    </sheetView>
  </sheetViews>
  <sheetFormatPr defaultRowHeight="12.75" x14ac:dyDescent="0.2"/>
  <cols>
    <col min="1" max="1" width="3.5703125" style="1" customWidth="1"/>
    <col min="2" max="2" width="14.85546875" style="1" customWidth="1"/>
    <col min="3" max="3" width="26.42578125" style="1" customWidth="1"/>
    <col min="4" max="4" width="5.140625" style="1" customWidth="1"/>
    <col min="5" max="5" width="26.42578125" style="1" customWidth="1"/>
    <col min="6" max="16384" width="9.140625" style="1"/>
  </cols>
  <sheetData>
    <row r="1" spans="2:6" ht="17.25" customHeight="1" thickBot="1" x14ac:dyDescent="0.25"/>
    <row r="2" spans="2:6" ht="39" customHeight="1" thickBot="1" x14ac:dyDescent="0.25">
      <c r="B2" s="9" t="s">
        <v>0</v>
      </c>
      <c r="C2" s="17">
        <v>0.08</v>
      </c>
    </row>
    <row r="3" spans="2:6" ht="39" customHeight="1" thickBot="1" x14ac:dyDescent="0.25">
      <c r="C3" s="2"/>
    </row>
    <row r="4" spans="2:6" ht="39" customHeight="1" thickBot="1" x14ac:dyDescent="0.25">
      <c r="B4" s="15"/>
      <c r="C4" s="12" t="s">
        <v>1</v>
      </c>
      <c r="E4" s="16" t="s">
        <v>2</v>
      </c>
    </row>
    <row r="5" spans="2:6" ht="26.25" hidden="1" customHeight="1" thickBot="1" x14ac:dyDescent="0.25">
      <c r="B5" s="18">
        <v>1</v>
      </c>
      <c r="C5" s="18"/>
      <c r="D5" s="13"/>
      <c r="E5" s="14"/>
    </row>
    <row r="6" spans="2:6" ht="24" customHeight="1" x14ac:dyDescent="0.2">
      <c r="B6" s="3"/>
      <c r="C6" s="4">
        <f>IF($B$5=1,(1+$C$2)^30-1,"")</f>
        <v>9.0626568890734447</v>
      </c>
      <c r="E6" s="10">
        <f ca="1">IF($B$5=1,gfConverterTaxa($C$2,"dm"),"")</f>
        <v>9.06265688907345</v>
      </c>
    </row>
    <row r="7" spans="2:6" ht="24" customHeight="1" thickBot="1" x14ac:dyDescent="0.25">
      <c r="B7" s="5"/>
      <c r="C7" s="6" t="str">
        <f>IF($B$5=2,(1+$C$2)^360-1,"")</f>
        <v/>
      </c>
      <c r="E7" s="11" t="str">
        <f>IF($B$5=2,gfConverterTaxa($C$2,"da"),"")</f>
        <v/>
      </c>
    </row>
    <row r="8" spans="2:6" ht="13.5" thickBot="1" x14ac:dyDescent="0.25">
      <c r="B8" s="7"/>
      <c r="C8" s="7"/>
      <c r="E8" s="7"/>
    </row>
    <row r="9" spans="2:6" ht="24" customHeight="1" x14ac:dyDescent="0.2">
      <c r="B9" s="3"/>
      <c r="C9" s="4" t="str">
        <f>IF($B$5=3,(1+$C$2)^(1/30)-1,"")</f>
        <v/>
      </c>
      <c r="E9" s="10" t="str">
        <f>IF($B$5=3,gfConverterTaxa($C$2,"md"),"")</f>
        <v/>
      </c>
    </row>
    <row r="10" spans="2:6" ht="24" customHeight="1" thickBot="1" x14ac:dyDescent="0.25">
      <c r="B10" s="5"/>
      <c r="C10" s="6" t="str">
        <f>IF($B$5=4,(1+$C$2)^12-1,"")</f>
        <v/>
      </c>
      <c r="E10" s="11" t="str">
        <f>IF($B$5=4,gfConverterTaxa($C$2,"ma"),"")</f>
        <v/>
      </c>
    </row>
    <row r="11" spans="2:6" ht="13.5" thickBot="1" x14ac:dyDescent="0.25">
      <c r="B11" s="7"/>
      <c r="C11" s="7"/>
      <c r="E11" s="7"/>
    </row>
    <row r="12" spans="2:6" ht="24" customHeight="1" x14ac:dyDescent="0.2">
      <c r="B12" s="3"/>
      <c r="C12" s="4" t="str">
        <f>IF($B$5=5,(1+$C$2)^(1/360)-1,"")</f>
        <v/>
      </c>
      <c r="E12" s="10" t="str">
        <f>IF($B$5=5,gfConverterTaxa($C$2,"ad"),"")</f>
        <v/>
      </c>
    </row>
    <row r="13" spans="2:6" ht="24" customHeight="1" thickBot="1" x14ac:dyDescent="0.25">
      <c r="B13" s="5"/>
      <c r="C13" s="6" t="str">
        <f>IF($B$5=6,(1+$C$2)^(1/12)-1,"")</f>
        <v/>
      </c>
      <c r="E13" s="11" t="str">
        <f>IF($B$5=6,gfConverterTaxa($C$2,"am"),"")</f>
        <v/>
      </c>
      <c r="F13" s="8"/>
    </row>
    <row r="14" spans="2:6" ht="24" customHeight="1" x14ac:dyDescent="0.2">
      <c r="F14" s="8"/>
    </row>
    <row r="15" spans="2:6" ht="24" customHeight="1" x14ac:dyDescent="0.2"/>
    <row r="16" spans="2:6" ht="24" customHeight="1" x14ac:dyDescent="0.2"/>
    <row r="17" ht="24" customHeight="1" x14ac:dyDescent="0.2"/>
  </sheetData>
  <mergeCells count="1">
    <mergeCell ref="B5:C5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</xdr:col>
                    <xdr:colOff>66675</xdr:colOff>
                    <xdr:row>5</xdr:row>
                    <xdr:rowOff>47625</xdr:rowOff>
                  </from>
                  <to>
                    <xdr:col>1</xdr:col>
                    <xdr:colOff>952500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</xdr:col>
                    <xdr:colOff>66675</xdr:colOff>
                    <xdr:row>6</xdr:row>
                    <xdr:rowOff>38100</xdr:rowOff>
                  </from>
                  <to>
                    <xdr:col>1</xdr:col>
                    <xdr:colOff>952500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1</xdr:col>
                    <xdr:colOff>66675</xdr:colOff>
                    <xdr:row>8</xdr:row>
                    <xdr:rowOff>47625</xdr:rowOff>
                  </from>
                  <to>
                    <xdr:col>1</xdr:col>
                    <xdr:colOff>952500</xdr:colOff>
                    <xdr:row>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>
                <anchor moveWithCells="1">
                  <from>
                    <xdr:col>1</xdr:col>
                    <xdr:colOff>66675</xdr:colOff>
                    <xdr:row>9</xdr:row>
                    <xdr:rowOff>38100</xdr:rowOff>
                  </from>
                  <to>
                    <xdr:col>1</xdr:col>
                    <xdr:colOff>952500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 Button 5">
              <controlPr defaultSize="0" autoFill="0" autoLine="0" autoPict="0">
                <anchor moveWithCells="1">
                  <from>
                    <xdr:col>1</xdr:col>
                    <xdr:colOff>66675</xdr:colOff>
                    <xdr:row>11</xdr:row>
                    <xdr:rowOff>66675</xdr:rowOff>
                  </from>
                  <to>
                    <xdr:col>1</xdr:col>
                    <xdr:colOff>952500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Option Button 6">
              <controlPr defaultSize="0" autoFill="0" autoLine="0" autoPict="0">
                <anchor moveWithCells="1">
                  <from>
                    <xdr:col>1</xdr:col>
                    <xdr:colOff>66675</xdr:colOff>
                    <xdr:row>12</xdr:row>
                    <xdr:rowOff>57150</xdr:rowOff>
                  </from>
                  <to>
                    <xdr:col>1</xdr:col>
                    <xdr:colOff>952500</xdr:colOff>
                    <xdr:row>12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Converter_taxa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Edney Nascimento</dc:creator>
  <cp:lastModifiedBy>Lojas Salfer S.A.</cp:lastModifiedBy>
  <dcterms:created xsi:type="dcterms:W3CDTF">2011-09-16T12:47:24Z</dcterms:created>
  <dcterms:modified xsi:type="dcterms:W3CDTF">2011-09-16T18:39:19Z</dcterms:modified>
</cp:coreProperties>
</file>