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9fe\AC\Temp\"/>
    </mc:Choice>
  </mc:AlternateContent>
  <xr:revisionPtr revIDLastSave="0" documentId="8_{71DF458A-FA91-C242-8B85-125B5111C46E}" xr6:coauthVersionLast="20" xr6:coauthVersionMax="20" xr10:uidLastSave="{00000000-0000-0000-0000-000000000000}"/>
  <bookViews>
    <workbookView xWindow="480" yWindow="120" windowWidth="11355" windowHeight="8700" xr2:uid="{00000000-000D-0000-FFFF-FFFF00000000}"/>
  </bookViews>
  <sheets>
    <sheet name="Plan1" sheetId="1" r:id="rId1"/>
  </sheets>
  <calcPr calcId="171026"/>
</workbook>
</file>

<file path=xl/calcChain.xml><?xml version="1.0" encoding="utf-8"?>
<calcChain xmlns="http://schemas.openxmlformats.org/spreadsheetml/2006/main">
  <c r="G6" i="1" l="1"/>
  <c r="H6" i="1"/>
  <c r="J6" i="1"/>
  <c r="K6" i="1"/>
  <c r="G7" i="1"/>
  <c r="H7" i="1"/>
  <c r="J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H8" i="1"/>
  <c r="J8" i="1"/>
  <c r="K8" i="1"/>
  <c r="H36" i="1"/>
  <c r="J36" i="1"/>
  <c r="L8" i="1"/>
  <c r="M8" i="1"/>
  <c r="L6" i="1"/>
  <c r="M6" i="1"/>
  <c r="Q6" i="1"/>
  <c r="H15" i="1"/>
  <c r="H9" i="1"/>
  <c r="H10" i="1"/>
  <c r="H11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7" i="1"/>
  <c r="J15" i="1"/>
  <c r="K15" i="1"/>
  <c r="J9" i="1"/>
  <c r="K9" i="1"/>
  <c r="J10" i="1"/>
  <c r="K10" i="1"/>
  <c r="J11" i="1"/>
  <c r="K11" i="1"/>
  <c r="J12" i="1"/>
  <c r="K12" i="1"/>
  <c r="J13" i="1"/>
  <c r="K13" i="1"/>
  <c r="J14" i="1"/>
  <c r="K14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7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P25" i="1"/>
  <c r="P26" i="1"/>
  <c r="P27" i="1"/>
  <c r="P28" i="1"/>
  <c r="P29" i="1"/>
  <c r="P30" i="1"/>
  <c r="P31" i="1"/>
  <c r="P32" i="1"/>
  <c r="P33" i="1"/>
  <c r="P34" i="1"/>
  <c r="P35" i="1"/>
  <c r="P13" i="1"/>
  <c r="P14" i="1"/>
  <c r="P15" i="1"/>
  <c r="P16" i="1"/>
  <c r="P17" i="1"/>
  <c r="P18" i="1"/>
  <c r="P19" i="1"/>
  <c r="P20" i="1"/>
  <c r="P21" i="1"/>
  <c r="P22" i="1"/>
  <c r="P23" i="1"/>
  <c r="P8" i="1"/>
  <c r="P9" i="1"/>
  <c r="P10" i="1"/>
  <c r="P11" i="1"/>
  <c r="P12" i="1"/>
  <c r="P24" i="1"/>
  <c r="P6" i="1"/>
  <c r="N6" i="1"/>
  <c r="L9" i="1"/>
  <c r="M9" i="1"/>
  <c r="Q9" i="1"/>
  <c r="L10" i="1"/>
  <c r="M10" i="1"/>
  <c r="L11" i="1"/>
  <c r="M11" i="1"/>
  <c r="Q11" i="1"/>
  <c r="L12" i="1"/>
  <c r="M12" i="1"/>
  <c r="L24" i="1"/>
  <c r="M24" i="1"/>
  <c r="N24" i="1"/>
  <c r="O9" i="1"/>
  <c r="O11" i="1"/>
  <c r="O24" i="1"/>
  <c r="O6" i="1"/>
  <c r="I8" i="1"/>
  <c r="I9" i="1"/>
  <c r="I10" i="1"/>
  <c r="I36" i="1"/>
  <c r="I6" i="1"/>
  <c r="O10" i="1"/>
  <c r="Q10" i="1"/>
  <c r="N10" i="1"/>
  <c r="O12" i="1"/>
  <c r="Q12" i="1"/>
  <c r="N12" i="1"/>
  <c r="Q23" i="1"/>
  <c r="O23" i="1"/>
  <c r="N23" i="1"/>
  <c r="Q21" i="1"/>
  <c r="O21" i="1"/>
  <c r="N21" i="1"/>
  <c r="Q19" i="1"/>
  <c r="O19" i="1"/>
  <c r="N19" i="1"/>
  <c r="Q17" i="1"/>
  <c r="O17" i="1"/>
  <c r="N17" i="1"/>
  <c r="Q15" i="1"/>
  <c r="O15" i="1"/>
  <c r="N15" i="1"/>
  <c r="Q13" i="1"/>
  <c r="O13" i="1"/>
  <c r="N13" i="1"/>
  <c r="Q34" i="1"/>
  <c r="O34" i="1"/>
  <c r="N34" i="1"/>
  <c r="Q32" i="1"/>
  <c r="O32" i="1"/>
  <c r="N32" i="1"/>
  <c r="Q30" i="1"/>
  <c r="O30" i="1"/>
  <c r="N30" i="1"/>
  <c r="Q28" i="1"/>
  <c r="O28" i="1"/>
  <c r="N28" i="1"/>
  <c r="Q26" i="1"/>
  <c r="O26" i="1"/>
  <c r="N26" i="1"/>
  <c r="O8" i="1"/>
  <c r="Q8" i="1"/>
  <c r="N8" i="1"/>
  <c r="K36" i="1"/>
  <c r="L36" i="1"/>
  <c r="M36" i="1"/>
  <c r="P36" i="1"/>
  <c r="K7" i="1"/>
  <c r="L7" i="1"/>
  <c r="P7" i="1"/>
  <c r="J37" i="1"/>
  <c r="B44" i="1"/>
  <c r="B43" i="1"/>
  <c r="O22" i="1"/>
  <c r="N22" i="1"/>
  <c r="Q22" i="1"/>
  <c r="O20" i="1"/>
  <c r="N20" i="1"/>
  <c r="Q20" i="1"/>
  <c r="O18" i="1"/>
  <c r="N18" i="1"/>
  <c r="Q18" i="1"/>
  <c r="O16" i="1"/>
  <c r="N16" i="1"/>
  <c r="Q16" i="1"/>
  <c r="O14" i="1"/>
  <c r="N14" i="1"/>
  <c r="Q14" i="1"/>
  <c r="Q35" i="1"/>
  <c r="O35" i="1"/>
  <c r="N35" i="1"/>
  <c r="Q33" i="1"/>
  <c r="O33" i="1"/>
  <c r="N33" i="1"/>
  <c r="Q31" i="1"/>
  <c r="O31" i="1"/>
  <c r="N31" i="1"/>
  <c r="Q29" i="1"/>
  <c r="O29" i="1"/>
  <c r="N29" i="1"/>
  <c r="Q27" i="1"/>
  <c r="O27" i="1"/>
  <c r="N27" i="1"/>
  <c r="Q25" i="1"/>
  <c r="O25" i="1"/>
  <c r="N25" i="1"/>
  <c r="H43" i="1"/>
  <c r="H46" i="1"/>
  <c r="M43" i="1"/>
  <c r="Q24" i="1"/>
  <c r="N11" i="1"/>
  <c r="N9" i="1"/>
  <c r="M46" i="1"/>
  <c r="M44" i="1"/>
  <c r="L37" i="1"/>
  <c r="M37" i="1"/>
  <c r="K37" i="1"/>
  <c r="P37" i="1"/>
  <c r="M7" i="1"/>
  <c r="B45" i="1"/>
  <c r="O36" i="1"/>
  <c r="Q36" i="1"/>
  <c r="N36" i="1"/>
  <c r="Q37" i="1"/>
  <c r="O37" i="1"/>
  <c r="N37" i="1"/>
  <c r="Q7" i="1"/>
  <c r="B46" i="1"/>
  <c r="N7" i="1"/>
  <c r="O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C39" authorId="0" shapeId="0" xr:uid="{00000000-0006-0000-0000-000001000000}">
      <text>
        <r>
          <rPr>
            <sz val="8"/>
            <color indexed="81"/>
            <rFont val="Tahoma"/>
          </rPr>
          <t xml:space="preserve">Insira aqui o Valor da Hora do Empregado
</t>
        </r>
      </text>
    </comment>
  </commentList>
</comments>
</file>

<file path=xl/sharedStrings.xml><?xml version="1.0" encoding="utf-8"?>
<sst xmlns="http://schemas.openxmlformats.org/spreadsheetml/2006/main" count="45" uniqueCount="39">
  <si>
    <t>Hora
de Entrada</t>
  </si>
  <si>
    <t>Hora
de Saída</t>
  </si>
  <si>
    <t>Manhã</t>
  </si>
  <si>
    <t>Tarde</t>
  </si>
  <si>
    <t>Jornada
de Trabalho</t>
  </si>
  <si>
    <t>Cumpriu
Jornada?</t>
  </si>
  <si>
    <t>Data</t>
  </si>
  <si>
    <t>Hora
Extra</t>
  </si>
  <si>
    <t>Horas Trabalhadas</t>
  </si>
  <si>
    <t>Hora
Jornada</t>
  </si>
  <si>
    <t>Total Geral</t>
  </si>
  <si>
    <t>Horas 
Trabalhadas</t>
  </si>
  <si>
    <t>Minutos
Trabalhados</t>
  </si>
  <si>
    <t>Segundos
Trabalhados</t>
  </si>
  <si>
    <t>Prova
Real - Minutos</t>
  </si>
  <si>
    <t>Prova
Real - Horas</t>
  </si>
  <si>
    <t>Prova
Real - Segundos</t>
  </si>
  <si>
    <t>Prova Real</t>
  </si>
  <si>
    <t>Total a 
Receber</t>
  </si>
  <si>
    <t>Salário</t>
  </si>
  <si>
    <t>Horas</t>
  </si>
  <si>
    <t>Minutos</t>
  </si>
  <si>
    <t>Segundos</t>
  </si>
  <si>
    <t>Dados Gerais</t>
  </si>
  <si>
    <t>Convertendo
Hora para Decimal</t>
  </si>
  <si>
    <t>Resultado</t>
  </si>
  <si>
    <t>BANCO DE HORAS</t>
  </si>
  <si>
    <t>EMPREGADO:</t>
  </si>
  <si>
    <t>MÊS</t>
  </si>
  <si>
    <t>JANEIRO/2008</t>
  </si>
  <si>
    <t>TOTAIS</t>
  </si>
  <si>
    <t>Total Geral c/BD</t>
  </si>
  <si>
    <t>Lenine Machado</t>
  </si>
  <si>
    <t>Horas Normais s/BD</t>
  </si>
  <si>
    <t>Horas Extras s/BD</t>
  </si>
  <si>
    <t>Valor hora:</t>
  </si>
  <si>
    <t>cursos@edfonte.com.br</t>
  </si>
  <si>
    <t>Se tiver alguma sugestão para melhorar essa planilia, envie para o e-mail: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</si>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</sst>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&quot;R$ &quot;#,##0.00_);[Red]\(&quot;R$ &quot;#,##0.00\)"/>
    <numFmt numFmtId="166" formatCode="_(&quot;R$ &quot;* #,##0.00_);_(&quot;R$ &quot;* \(#,##0.00\);_(&quot;R$ &quot;* &quot;-&quot;??_);_(@_)"/>
    <numFmt numFmtId="167" formatCode="h:mm;@"/>
    <numFmt numFmtId="168" formatCode="_(* #,##0_);_(* \(#,##0\);_(* &quot;-&quot;??_);_(@_)"/>
    <numFmt numFmtId="169" formatCode="&quot;R$ &quot;#,##0.00"/>
    <numFmt numFmtId="170" formatCode="&quot;R$ &quot;#,##0.00;[Red]&quot;R$ &quot;#,##0.00"/>
  </numFmts>
  <fonts count="21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color indexed="9"/>
      <name val="Arial"/>
    </font>
    <font>
      <b/>
      <sz val="8"/>
      <color indexed="9"/>
      <name val="Arial"/>
      <family val="2"/>
    </font>
    <font>
      <b/>
      <sz val="9"/>
      <name val="Arial"/>
      <family val="2"/>
    </font>
    <font>
      <strike/>
      <sz val="10"/>
      <name val="Arial"/>
    </font>
    <font>
      <sz val="10"/>
      <color indexed="8"/>
      <name val="Arial"/>
    </font>
    <font>
      <sz val="10"/>
      <color indexed="10"/>
      <name val="Arial"/>
    </font>
    <font>
      <b/>
      <sz val="8"/>
      <color indexed="8"/>
      <name val="Arial"/>
      <family val="2"/>
    </font>
    <font>
      <sz val="8"/>
      <color indexed="81"/>
      <name val="Tahoma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9"/>
      <name val="Arial"/>
      <family val="2"/>
    </font>
    <font>
      <sz val="8"/>
      <color indexed="9"/>
      <name val="Arial"/>
    </font>
    <font>
      <u/>
      <sz val="10"/>
      <color indexed="12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0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6">
    <xf numFmtId="0" fontId="0" fillId="0" borderId="0" xfId="0"/>
    <xf numFmtId="167" fontId="0" fillId="2" borderId="1" xfId="0" applyNumberFormat="1" applyFill="1" applyBorder="1" applyProtection="1"/>
    <xf numFmtId="20" fontId="0" fillId="3" borderId="0" xfId="0" applyNumberFormat="1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0" fillId="3" borderId="0" xfId="0" applyNumberFormat="1" applyFill="1" applyBorder="1" applyProtection="1">
      <protection locked="0"/>
    </xf>
    <xf numFmtId="2" fontId="0" fillId="3" borderId="0" xfId="0" applyNumberFormat="1" applyFill="1" applyBorder="1" applyProtection="1">
      <protection locked="0"/>
    </xf>
    <xf numFmtId="0" fontId="3" fillId="3" borderId="0" xfId="0" applyFont="1" applyFill="1" applyBorder="1" applyProtection="1">
      <protection locked="0"/>
    </xf>
    <xf numFmtId="167" fontId="0" fillId="3" borderId="0" xfId="0" applyNumberFormat="1" applyFill="1" applyBorder="1" applyProtection="1">
      <protection locked="0"/>
    </xf>
    <xf numFmtId="0" fontId="0" fillId="0" borderId="0" xfId="0" applyProtection="1">
      <protection locked="0"/>
    </xf>
    <xf numFmtId="0" fontId="7" fillId="4" borderId="2" xfId="0" applyFont="1" applyFill="1" applyBorder="1" applyAlignment="1" applyProtection="1">
      <protection locked="0"/>
    </xf>
    <xf numFmtId="0" fontId="3" fillId="5" borderId="3" xfId="0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0" fontId="5" fillId="6" borderId="4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2" borderId="4" xfId="0" applyFill="1" applyBorder="1" applyAlignment="1" applyProtection="1">
      <alignment horizontal="center" vertical="center" wrapText="1"/>
      <protection locked="0"/>
    </xf>
    <xf numFmtId="0" fontId="0" fillId="7" borderId="1" xfId="0" applyFill="1" applyBorder="1" applyAlignment="1" applyProtection="1">
      <alignment horizontal="center" vertical="center" wrapText="1"/>
      <protection locked="0"/>
    </xf>
    <xf numFmtId="0" fontId="0" fillId="7" borderId="5" xfId="0" applyFill="1" applyBorder="1" applyAlignment="1" applyProtection="1">
      <alignment horizontal="center" vertical="center" wrapText="1"/>
      <protection locked="0"/>
    </xf>
    <xf numFmtId="0" fontId="0" fillId="7" borderId="4" xfId="0" applyFill="1" applyBorder="1" applyAlignment="1" applyProtection="1">
      <alignment horizontal="center" vertical="center" wrapText="1"/>
      <protection locked="0"/>
    </xf>
    <xf numFmtId="0" fontId="0" fillId="8" borderId="1" xfId="0" applyFill="1" applyBorder="1" applyAlignment="1" applyProtection="1">
      <alignment horizontal="center" vertical="center" wrapText="1"/>
      <protection locked="0"/>
    </xf>
    <xf numFmtId="0" fontId="0" fillId="8" borderId="5" xfId="0" applyFill="1" applyBorder="1" applyAlignment="1" applyProtection="1">
      <alignment horizontal="center" vertical="center" wrapText="1"/>
      <protection locked="0"/>
    </xf>
    <xf numFmtId="0" fontId="0" fillId="8" borderId="4" xfId="0" applyFill="1" applyBorder="1" applyAlignment="1" applyProtection="1">
      <alignment horizontal="center" vertical="center" wrapText="1"/>
      <protection locked="0"/>
    </xf>
    <xf numFmtId="0" fontId="0" fillId="8" borderId="6" xfId="0" applyFill="1" applyBorder="1" applyAlignment="1" applyProtection="1">
      <alignment horizontal="center" vertical="center" wrapText="1"/>
      <protection locked="0"/>
    </xf>
    <xf numFmtId="165" fontId="0" fillId="5" borderId="6" xfId="0" applyNumberFormat="1" applyFill="1" applyBorder="1" applyAlignment="1" applyProtection="1">
      <alignment horizontal="center" vertical="center" wrapText="1"/>
      <protection locked="0"/>
    </xf>
    <xf numFmtId="14" fontId="5" fillId="6" borderId="1" xfId="0" applyNumberFormat="1" applyFont="1" applyFill="1" applyBorder="1" applyProtection="1">
      <protection locked="0"/>
    </xf>
    <xf numFmtId="167" fontId="5" fillId="6" borderId="4" xfId="0" applyNumberFormat="1" applyFont="1" applyFill="1" applyBorder="1" applyProtection="1">
      <protection locked="0"/>
    </xf>
    <xf numFmtId="167" fontId="5" fillId="6" borderId="1" xfId="0" applyNumberFormat="1" applyFont="1" applyFill="1" applyBorder="1" applyProtection="1">
      <protection locked="0"/>
    </xf>
    <xf numFmtId="167" fontId="5" fillId="6" borderId="7" xfId="0" applyNumberFormat="1" applyFont="1" applyFill="1" applyBorder="1" applyProtection="1">
      <protection locked="0"/>
    </xf>
    <xf numFmtId="167" fontId="5" fillId="6" borderId="8" xfId="0" applyNumberFormat="1" applyFont="1" applyFill="1" applyBorder="1" applyProtection="1">
      <protection locked="0"/>
    </xf>
    <xf numFmtId="167" fontId="5" fillId="6" borderId="9" xfId="0" applyNumberFormat="1" applyFont="1" applyFill="1" applyBorder="1" applyProtection="1">
      <protection locked="0"/>
    </xf>
    <xf numFmtId="167" fontId="5" fillId="6" borderId="10" xfId="0" applyNumberFormat="1" applyFont="1" applyFill="1" applyBorder="1" applyProtection="1">
      <protection locked="0"/>
    </xf>
    <xf numFmtId="14" fontId="9" fillId="9" borderId="0" xfId="0" applyNumberFormat="1" applyFont="1" applyFill="1" applyBorder="1" applyAlignment="1" applyProtection="1">
      <protection locked="0"/>
    </xf>
    <xf numFmtId="165" fontId="0" fillId="3" borderId="0" xfId="0" applyNumberForma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168" fontId="0" fillId="6" borderId="4" xfId="3" applyNumberFormat="1" applyFont="1" applyFill="1" applyBorder="1" applyProtection="1">
      <protection locked="0"/>
    </xf>
    <xf numFmtId="164" fontId="0" fillId="3" borderId="0" xfId="0" applyNumberFormat="1" applyFill="1" applyBorder="1" applyProtection="1">
      <protection locked="0"/>
    </xf>
    <xf numFmtId="0" fontId="3" fillId="6" borderId="9" xfId="0" applyFont="1" applyFill="1" applyBorder="1" applyProtection="1">
      <protection locked="0"/>
    </xf>
    <xf numFmtId="165" fontId="4" fillId="2" borderId="10" xfId="0" applyNumberFormat="1" applyFont="1" applyFill="1" applyBorder="1" applyProtection="1">
      <protection locked="0"/>
    </xf>
    <xf numFmtId="0" fontId="0" fillId="10" borderId="0" xfId="0" applyFill="1" applyBorder="1" applyProtection="1">
      <protection locked="0"/>
    </xf>
    <xf numFmtId="20" fontId="0" fillId="10" borderId="0" xfId="0" applyNumberFormat="1" applyFill="1" applyBorder="1" applyProtection="1">
      <protection locked="0"/>
    </xf>
    <xf numFmtId="0" fontId="0" fillId="10" borderId="0" xfId="0" applyNumberFormat="1" applyFill="1" applyBorder="1" applyProtection="1">
      <protection locked="0"/>
    </xf>
    <xf numFmtId="2" fontId="0" fillId="10" borderId="0" xfId="0" applyNumberFormat="1" applyFill="1" applyBorder="1" applyProtection="1">
      <protection locked="0"/>
    </xf>
    <xf numFmtId="0" fontId="13" fillId="10" borderId="0" xfId="0" applyFont="1" applyFill="1" applyBorder="1" applyProtection="1">
      <protection locked="0"/>
    </xf>
    <xf numFmtId="0" fontId="12" fillId="3" borderId="0" xfId="0" applyNumberFormat="1" applyFont="1" applyFill="1" applyBorder="1" applyProtection="1">
      <protection locked="0"/>
    </xf>
    <xf numFmtId="0" fontId="0" fillId="3" borderId="0" xfId="0" applyFill="1" applyBorder="1" applyAlignment="1" applyProtection="1">
      <alignment horizontal="left"/>
      <protection locked="0"/>
    </xf>
    <xf numFmtId="167" fontId="0" fillId="2" borderId="4" xfId="0" applyNumberFormat="1" applyFill="1" applyBorder="1" applyProtection="1"/>
    <xf numFmtId="167" fontId="0" fillId="2" borderId="9" xfId="0" applyNumberFormat="1" applyFill="1" applyBorder="1" applyProtection="1"/>
    <xf numFmtId="167" fontId="0" fillId="2" borderId="10" xfId="0" applyNumberFormat="1" applyFill="1" applyBorder="1" applyProtection="1"/>
    <xf numFmtId="20" fontId="0" fillId="3" borderId="0" xfId="0" applyNumberFormat="1" applyFill="1" applyBorder="1" applyProtection="1">
      <protection hidden="1"/>
    </xf>
    <xf numFmtId="167" fontId="0" fillId="7" borderId="1" xfId="0" applyNumberFormat="1" applyFill="1" applyBorder="1" applyProtection="1"/>
    <xf numFmtId="167" fontId="0" fillId="7" borderId="5" xfId="0" applyNumberFormat="1" applyFill="1" applyBorder="1" applyProtection="1"/>
    <xf numFmtId="0" fontId="0" fillId="7" borderId="5" xfId="0" applyNumberFormat="1" applyFill="1" applyBorder="1" applyProtection="1"/>
    <xf numFmtId="0" fontId="0" fillId="7" borderId="4" xfId="0" applyNumberFormat="1" applyFill="1" applyBorder="1" applyProtection="1"/>
    <xf numFmtId="0" fontId="0" fillId="8" borderId="1" xfId="0" applyFill="1" applyBorder="1" applyProtection="1"/>
    <xf numFmtId="167" fontId="0" fillId="8" borderId="5" xfId="0" applyNumberFormat="1" applyFill="1" applyBorder="1" applyProtection="1"/>
    <xf numFmtId="0" fontId="0" fillId="8" borderId="4" xfId="0" applyNumberFormat="1" applyFill="1" applyBorder="1" applyProtection="1"/>
    <xf numFmtId="2" fontId="0" fillId="8" borderId="6" xfId="0" applyNumberFormat="1" applyFill="1" applyBorder="1" applyProtection="1"/>
    <xf numFmtId="165" fontId="0" fillId="5" borderId="6" xfId="0" applyNumberFormat="1" applyFill="1" applyBorder="1" applyAlignment="1" applyProtection="1">
      <alignment horizontal="left"/>
    </xf>
    <xf numFmtId="167" fontId="0" fillId="7" borderId="9" xfId="0" applyNumberFormat="1" applyFill="1" applyBorder="1" applyProtection="1"/>
    <xf numFmtId="167" fontId="0" fillId="7" borderId="11" xfId="0" applyNumberFormat="1" applyFill="1" applyBorder="1" applyProtection="1"/>
    <xf numFmtId="0" fontId="0" fillId="7" borderId="11" xfId="0" applyNumberFormat="1" applyFill="1" applyBorder="1" applyProtection="1"/>
    <xf numFmtId="0" fontId="0" fillId="7" borderId="10" xfId="0" applyNumberFormat="1" applyFill="1" applyBorder="1" applyProtection="1"/>
    <xf numFmtId="0" fontId="0" fillId="8" borderId="9" xfId="0" applyFill="1" applyBorder="1" applyProtection="1"/>
    <xf numFmtId="167" fontId="0" fillId="8" borderId="11" xfId="0" applyNumberFormat="1" applyFill="1" applyBorder="1" applyProtection="1"/>
    <xf numFmtId="0" fontId="0" fillId="8" borderId="10" xfId="0" applyNumberFormat="1" applyFill="1" applyBorder="1" applyProtection="1"/>
    <xf numFmtId="2" fontId="0" fillId="8" borderId="12" xfId="0" applyNumberFormat="1" applyFill="1" applyBorder="1" applyProtection="1"/>
    <xf numFmtId="167" fontId="0" fillId="9" borderId="0" xfId="0" applyNumberFormat="1" applyFill="1" applyBorder="1" applyProtection="1"/>
    <xf numFmtId="0" fontId="7" fillId="4" borderId="2" xfId="0" applyFont="1" applyFill="1" applyBorder="1" applyAlignment="1" applyProtection="1">
      <alignment horizontal="left"/>
      <protection locked="0"/>
    </xf>
    <xf numFmtId="0" fontId="11" fillId="3" borderId="0" xfId="0" applyFont="1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protection locked="0"/>
    </xf>
    <xf numFmtId="0" fontId="10" fillId="3" borderId="0" xfId="0" applyFont="1" applyFill="1" applyBorder="1" applyAlignment="1" applyProtection="1">
      <protection locked="0"/>
    </xf>
    <xf numFmtId="0" fontId="0" fillId="3" borderId="0" xfId="0" applyNumberFormat="1" applyFill="1" applyBorder="1" applyAlignment="1" applyProtection="1">
      <alignment horizontal="center"/>
      <protection locked="0"/>
    </xf>
    <xf numFmtId="0" fontId="3" fillId="3" borderId="0" xfId="0" applyFont="1" applyFill="1" applyBorder="1" applyAlignment="1" applyProtection="1">
      <alignment horizontal="center"/>
      <protection locked="0"/>
    </xf>
    <xf numFmtId="165" fontId="0" fillId="3" borderId="0" xfId="0" applyNumberFormat="1" applyFill="1" applyBorder="1" applyAlignment="1" applyProtection="1">
      <alignment horizontal="center"/>
      <protection locked="0"/>
    </xf>
    <xf numFmtId="164" fontId="0" fillId="3" borderId="0" xfId="0" applyNumberFormat="1" applyFill="1" applyBorder="1" applyAlignment="1" applyProtection="1">
      <protection locked="0"/>
    </xf>
    <xf numFmtId="168" fontId="0" fillId="3" borderId="0" xfId="3" applyNumberFormat="1" applyFont="1" applyFill="1" applyBorder="1" applyAlignment="1" applyProtection="1">
      <protection locked="0"/>
    </xf>
    <xf numFmtId="165" fontId="4" fillId="3" borderId="0" xfId="0" applyNumberFormat="1" applyFont="1" applyFill="1" applyBorder="1" applyAlignment="1" applyProtection="1">
      <protection locked="0"/>
    </xf>
    <xf numFmtId="0" fontId="10" fillId="4" borderId="2" xfId="0" applyFont="1" applyFill="1" applyBorder="1" applyAlignment="1" applyProtection="1">
      <alignment horizontal="left"/>
      <protection locked="0"/>
    </xf>
    <xf numFmtId="0" fontId="3" fillId="6" borderId="13" xfId="0" applyFont="1" applyFill="1" applyBorder="1" applyProtection="1">
      <protection locked="0"/>
    </xf>
    <xf numFmtId="2" fontId="0" fillId="6" borderId="14" xfId="0" applyNumberFormat="1" applyFill="1" applyBorder="1" applyProtection="1">
      <protection locked="0"/>
    </xf>
    <xf numFmtId="14" fontId="9" fillId="3" borderId="0" xfId="0" applyNumberFormat="1" applyFont="1" applyFill="1" applyBorder="1" applyAlignment="1" applyProtection="1">
      <alignment horizontal="center"/>
      <protection locked="0"/>
    </xf>
    <xf numFmtId="14" fontId="9" fillId="3" borderId="0" xfId="0" applyNumberFormat="1" applyFont="1" applyFill="1" applyBorder="1" applyAlignment="1" applyProtection="1">
      <protection locked="0"/>
    </xf>
    <xf numFmtId="0" fontId="9" fillId="3" borderId="0" xfId="3" applyNumberFormat="1" applyFont="1" applyFill="1" applyBorder="1" applyAlignment="1" applyProtection="1"/>
    <xf numFmtId="0" fontId="8" fillId="3" borderId="0" xfId="0" applyNumberFormat="1" applyFont="1" applyFill="1" applyBorder="1" applyProtection="1"/>
    <xf numFmtId="167" fontId="0" fillId="3" borderId="0" xfId="0" applyNumberFormat="1" applyFill="1" applyBorder="1" applyProtection="1"/>
    <xf numFmtId="167" fontId="8" fillId="3" borderId="0" xfId="0" applyNumberFormat="1" applyFont="1" applyFill="1" applyBorder="1" applyProtection="1"/>
    <xf numFmtId="0" fontId="8" fillId="3" borderId="0" xfId="0" applyFont="1" applyFill="1" applyBorder="1" applyProtection="1"/>
    <xf numFmtId="2" fontId="8" fillId="3" borderId="0" xfId="0" applyNumberFormat="1" applyFont="1" applyFill="1" applyBorder="1" applyProtection="1"/>
    <xf numFmtId="165" fontId="8" fillId="3" borderId="0" xfId="0" applyNumberFormat="1" applyFont="1" applyFill="1" applyBorder="1" applyAlignment="1" applyProtection="1">
      <alignment horizontal="left"/>
    </xf>
    <xf numFmtId="0" fontId="16" fillId="3" borderId="0" xfId="0" applyFont="1" applyFill="1" applyBorder="1" applyAlignment="1" applyProtection="1">
      <alignment horizontal="center"/>
      <protection locked="0"/>
    </xf>
    <xf numFmtId="165" fontId="17" fillId="3" borderId="0" xfId="0" applyNumberFormat="1" applyFont="1" applyFill="1" applyBorder="1" applyAlignment="1" applyProtection="1">
      <alignment horizontal="center"/>
      <protection locked="0"/>
    </xf>
    <xf numFmtId="164" fontId="0" fillId="6" borderId="14" xfId="0" applyNumberFormat="1" applyFill="1" applyBorder="1" applyProtection="1">
      <protection locked="0"/>
    </xf>
    <xf numFmtId="169" fontId="4" fillId="2" borderId="10" xfId="0" applyNumberFormat="1" applyFont="1" applyFill="1" applyBorder="1" applyProtection="1">
      <protection locked="0"/>
    </xf>
    <xf numFmtId="169" fontId="14" fillId="3" borderId="15" xfId="0" applyNumberFormat="1" applyFont="1" applyFill="1" applyBorder="1" applyAlignment="1" applyProtection="1">
      <alignment horizontal="center"/>
      <protection locked="0"/>
    </xf>
    <xf numFmtId="0" fontId="18" fillId="9" borderId="0" xfId="3" applyNumberFormat="1" applyFont="1" applyFill="1" applyBorder="1" applyAlignment="1" applyProtection="1"/>
    <xf numFmtId="0" fontId="19" fillId="9" borderId="0" xfId="0" applyNumberFormat="1" applyFont="1" applyFill="1" applyBorder="1" applyProtection="1"/>
    <xf numFmtId="167" fontId="19" fillId="9" borderId="0" xfId="0" applyNumberFormat="1" applyFont="1" applyFill="1" applyBorder="1" applyProtection="1"/>
    <xf numFmtId="0" fontId="19" fillId="9" borderId="0" xfId="0" applyFont="1" applyFill="1" applyBorder="1" applyProtection="1"/>
    <xf numFmtId="2" fontId="19" fillId="9" borderId="0" xfId="0" applyNumberFormat="1" applyFont="1" applyFill="1" applyBorder="1" applyProtection="1"/>
    <xf numFmtId="165" fontId="19" fillId="9" borderId="0" xfId="0" applyNumberFormat="1" applyFont="1" applyFill="1" applyBorder="1" applyAlignment="1" applyProtection="1">
      <alignment horizontal="center"/>
    </xf>
    <xf numFmtId="4" fontId="0" fillId="3" borderId="0" xfId="0" applyNumberFormat="1" applyFill="1" applyBorder="1" applyProtection="1">
      <protection locked="0"/>
    </xf>
    <xf numFmtId="4" fontId="0" fillId="6" borderId="14" xfId="0" applyNumberFormat="1" applyFill="1" applyBorder="1" applyProtection="1">
      <protection locked="0"/>
    </xf>
    <xf numFmtId="9" fontId="3" fillId="6" borderId="16" xfId="0" applyNumberFormat="1" applyFont="1" applyFill="1" applyBorder="1" applyProtection="1">
      <protection locked="0"/>
    </xf>
    <xf numFmtId="0" fontId="3" fillId="3" borderId="0" xfId="0" applyFont="1" applyFill="1" applyBorder="1" applyAlignment="1" applyProtection="1">
      <protection locked="0"/>
    </xf>
    <xf numFmtId="0" fontId="3" fillId="6" borderId="13" xfId="0" applyFont="1" applyFill="1" applyBorder="1" applyAlignment="1" applyProtection="1">
      <protection locked="0"/>
    </xf>
    <xf numFmtId="0" fontId="3" fillId="6" borderId="17" xfId="0" applyFont="1" applyFill="1" applyBorder="1" applyProtection="1">
      <protection locked="0"/>
    </xf>
    <xf numFmtId="168" fontId="0" fillId="6" borderId="18" xfId="3" applyNumberFormat="1" applyFont="1" applyFill="1" applyBorder="1" applyProtection="1">
      <protection locked="0"/>
    </xf>
    <xf numFmtId="9" fontId="3" fillId="6" borderId="1" xfId="0" applyNumberFormat="1" applyFont="1" applyFill="1" applyBorder="1" applyProtection="1">
      <protection locked="0"/>
    </xf>
    <xf numFmtId="170" fontId="4" fillId="2" borderId="4" xfId="3" applyNumberFormat="1" applyFont="1" applyFill="1" applyBorder="1" applyProtection="1">
      <protection locked="0"/>
    </xf>
    <xf numFmtId="0" fontId="10" fillId="3" borderId="0" xfId="0" applyFont="1" applyFill="1" applyBorder="1" applyAlignment="1" applyProtection="1">
      <alignment horizontal="center"/>
      <protection locked="0"/>
    </xf>
    <xf numFmtId="49" fontId="7" fillId="4" borderId="2" xfId="0" applyNumberFormat="1" applyFont="1" applyFill="1" applyBorder="1" applyAlignment="1" applyProtection="1">
      <alignment horizontal="left"/>
      <protection locked="0"/>
    </xf>
    <xf numFmtId="49" fontId="7" fillId="4" borderId="19" xfId="0" applyNumberFormat="1" applyFont="1" applyFill="1" applyBorder="1" applyAlignment="1" applyProtection="1">
      <alignment horizontal="left"/>
      <protection locked="0"/>
    </xf>
    <xf numFmtId="0" fontId="3" fillId="6" borderId="20" xfId="0" applyFont="1" applyFill="1" applyBorder="1" applyAlignment="1" applyProtection="1">
      <alignment horizontal="center"/>
      <protection locked="0"/>
    </xf>
    <xf numFmtId="0" fontId="3" fillId="6" borderId="21" xfId="0" applyFont="1" applyFill="1" applyBorder="1" applyAlignment="1" applyProtection="1">
      <alignment horizontal="center"/>
      <protection locked="0"/>
    </xf>
    <xf numFmtId="0" fontId="3" fillId="6" borderId="13" xfId="0" applyFont="1" applyFill="1" applyBorder="1" applyAlignment="1" applyProtection="1">
      <alignment horizontal="center"/>
      <protection locked="0"/>
    </xf>
    <xf numFmtId="0" fontId="3" fillId="6" borderId="14" xfId="0" applyFont="1" applyFill="1" applyBorder="1" applyAlignment="1" applyProtection="1">
      <alignment horizontal="center"/>
      <protection locked="0"/>
    </xf>
    <xf numFmtId="0" fontId="3" fillId="8" borderId="22" xfId="0" applyFont="1" applyFill="1" applyBorder="1" applyAlignment="1" applyProtection="1">
      <alignment horizontal="center"/>
      <protection locked="0"/>
    </xf>
    <xf numFmtId="0" fontId="3" fillId="8" borderId="23" xfId="0" applyFont="1" applyFill="1" applyBorder="1" applyAlignment="1" applyProtection="1">
      <alignment horizontal="center"/>
      <protection locked="0"/>
    </xf>
    <xf numFmtId="0" fontId="3" fillId="8" borderId="24" xfId="0" applyFont="1" applyFill="1" applyBorder="1" applyAlignment="1" applyProtection="1">
      <alignment horizontal="center"/>
      <protection locked="0"/>
    </xf>
    <xf numFmtId="14" fontId="18" fillId="9" borderId="0" xfId="0" applyNumberFormat="1" applyFont="1" applyFill="1" applyBorder="1" applyAlignment="1" applyProtection="1">
      <alignment horizontal="center"/>
      <protection locked="0"/>
    </xf>
    <xf numFmtId="0" fontId="20" fillId="3" borderId="0" xfId="1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center"/>
      <protection locked="0"/>
    </xf>
    <xf numFmtId="14" fontId="14" fillId="6" borderId="25" xfId="0" applyNumberFormat="1" applyFont="1" applyFill="1" applyBorder="1" applyAlignment="1" applyProtection="1">
      <alignment horizontal="center"/>
      <protection locked="0"/>
    </xf>
    <xf numFmtId="14" fontId="14" fillId="6" borderId="19" xfId="0" applyNumberFormat="1" applyFont="1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left"/>
      <protection locked="0"/>
    </xf>
    <xf numFmtId="0" fontId="6" fillId="3" borderId="0" xfId="0" applyFont="1" applyFill="1" applyBorder="1" applyAlignment="1" applyProtection="1">
      <alignment horizontal="center" vertical="center"/>
      <protection locked="0"/>
    </xf>
    <xf numFmtId="0" fontId="7" fillId="4" borderId="25" xfId="0" applyFont="1" applyFill="1" applyBorder="1" applyAlignment="1" applyProtection="1">
      <alignment horizontal="center"/>
      <protection locked="0"/>
    </xf>
    <xf numFmtId="0" fontId="7" fillId="4" borderId="2" xfId="0" applyFont="1" applyFill="1" applyBorder="1" applyAlignment="1" applyProtection="1">
      <alignment horizontal="center"/>
      <protection locked="0"/>
    </xf>
    <xf numFmtId="166" fontId="3" fillId="7" borderId="13" xfId="2" applyFont="1" applyFill="1" applyBorder="1" applyAlignment="1" applyProtection="1">
      <alignment horizontal="center"/>
      <protection locked="0"/>
    </xf>
    <xf numFmtId="166" fontId="3" fillId="7" borderId="26" xfId="2" applyFont="1" applyFill="1" applyBorder="1" applyAlignment="1" applyProtection="1">
      <alignment horizontal="center"/>
      <protection locked="0"/>
    </xf>
    <xf numFmtId="166" fontId="3" fillId="7" borderId="14" xfId="2" applyFont="1" applyFill="1" applyBorder="1" applyAlignment="1" applyProtection="1">
      <alignment horizontal="center"/>
      <protection locked="0"/>
    </xf>
    <xf numFmtId="0" fontId="3" fillId="2" borderId="13" xfId="0" applyFont="1" applyFill="1" applyBorder="1" applyAlignment="1" applyProtection="1">
      <alignment horizontal="center"/>
      <protection locked="0"/>
    </xf>
    <xf numFmtId="0" fontId="3" fillId="2" borderId="14" xfId="0" applyFont="1" applyFill="1" applyBorder="1" applyAlignment="1" applyProtection="1">
      <alignment horizontal="center"/>
      <protection locked="0"/>
    </xf>
    <xf numFmtId="169" fontId="3" fillId="4" borderId="2" xfId="0" applyNumberFormat="1" applyFont="1" applyFill="1" applyBorder="1" applyAlignment="1" applyProtection="1">
      <alignment horizontal="center"/>
      <protection locked="0"/>
    </xf>
    <xf numFmtId="169" fontId="3" fillId="4" borderId="19" xfId="0" applyNumberFormat="1" applyFont="1" applyFill="1" applyBorder="1" applyAlignment="1" applyProtection="1">
      <alignment horizontal="center"/>
      <protection locked="0"/>
    </xf>
  </cellXfs>
  <cellStyles count="4">
    <cellStyle name="Hiperlink" xfId="1" builtinId="8"/>
    <cellStyle name="Moeda" xfId="2" builtinId="4"/>
    <cellStyle name="Normal" xfId="0" builtinId="0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cursos@edfonte.com.br" TargetMode="External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55"/>
  <sheetViews>
    <sheetView tabSelected="1" zoomScaleNormal="100" workbookViewId="0" xr3:uid="{AEA406A1-0E4B-5B11-9CD5-51D6E497D94C}">
      <selection activeCell="F7" sqref="F7"/>
    </sheetView>
  </sheetViews>
  <sheetFormatPr defaultColWidth="9.16796875" defaultRowHeight="12.75" x14ac:dyDescent="0.15"/>
  <cols>
    <col min="1" max="1" width="11.73046875" style="8" customWidth="1"/>
    <col min="2" max="2" width="12.26953125" style="8" customWidth="1"/>
    <col min="3" max="3" width="8.62890625" style="8" customWidth="1"/>
    <col min="4" max="4" width="7.01171875" style="8" customWidth="1"/>
    <col min="5" max="5" width="8.08984375" style="8" customWidth="1"/>
    <col min="6" max="6" width="5.390625" style="8" customWidth="1"/>
    <col min="7" max="7" width="9.16796875" style="8"/>
    <col min="8" max="8" width="14.29296875" style="8" customWidth="1"/>
    <col min="9" max="9" width="11.19140625" style="8" customWidth="1"/>
    <col min="10" max="10" width="8.22265625" style="8" customWidth="1"/>
    <col min="11" max="11" width="8.08984375" style="8" customWidth="1"/>
    <col min="12" max="12" width="9.70703125" style="8" customWidth="1"/>
    <col min="13" max="13" width="10.78515625" style="8" customWidth="1"/>
    <col min="14" max="14" width="14.42578125" style="8" customWidth="1"/>
    <col min="15" max="15" width="11.8671875" style="8" customWidth="1"/>
    <col min="16" max="16" width="11.19140625" style="8" bestFit="1" customWidth="1"/>
    <col min="17" max="17" width="11.59375" style="8" bestFit="1" customWidth="1"/>
    <col min="18" max="16384" width="9.16796875" style="8"/>
  </cols>
  <sheetData>
    <row r="1" spans="1:53" x14ac:dyDescent="0.15">
      <c r="A1" s="3"/>
      <c r="B1" s="3"/>
      <c r="C1" s="3"/>
      <c r="D1" s="3"/>
      <c r="E1" s="3"/>
      <c r="F1" s="3"/>
      <c r="G1" s="126" t="s">
        <v>26</v>
      </c>
      <c r="H1" s="126"/>
      <c r="I1" s="126"/>
      <c r="J1" s="126"/>
      <c r="K1" s="126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ht="13.5" thickBot="1" x14ac:dyDescent="0.2">
      <c r="A2" s="3"/>
      <c r="B2" s="3"/>
      <c r="C2" s="3"/>
      <c r="D2" s="3"/>
      <c r="E2" s="3"/>
      <c r="F2" s="3"/>
      <c r="G2" s="126"/>
      <c r="H2" s="126"/>
      <c r="I2" s="126"/>
      <c r="J2" s="126"/>
      <c r="K2" s="12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15" thickBot="1" x14ac:dyDescent="0.2">
      <c r="A3" s="127" t="s">
        <v>27</v>
      </c>
      <c r="B3" s="128"/>
      <c r="C3" s="9" t="s">
        <v>32</v>
      </c>
      <c r="D3" s="9"/>
      <c r="E3" s="9"/>
      <c r="F3" s="9"/>
      <c r="G3" s="9"/>
      <c r="H3" s="9"/>
      <c r="I3" s="78"/>
      <c r="J3" s="134"/>
      <c r="K3" s="135"/>
      <c r="L3" s="67"/>
      <c r="M3" s="9" t="s">
        <v>28</v>
      </c>
      <c r="N3" s="111" t="s">
        <v>29</v>
      </c>
      <c r="O3" s="111"/>
      <c r="P3" s="111"/>
      <c r="Q3" s="112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53" x14ac:dyDescent="0.15">
      <c r="A4" s="115" t="s">
        <v>23</v>
      </c>
      <c r="B4" s="116"/>
      <c r="C4" s="115" t="s">
        <v>2</v>
      </c>
      <c r="D4" s="116"/>
      <c r="E4" s="115" t="s">
        <v>3</v>
      </c>
      <c r="F4" s="116"/>
      <c r="G4" s="132" t="s">
        <v>8</v>
      </c>
      <c r="H4" s="133"/>
      <c r="I4" s="129" t="s">
        <v>10</v>
      </c>
      <c r="J4" s="130"/>
      <c r="K4" s="130"/>
      <c r="L4" s="131"/>
      <c r="M4" s="117" t="s">
        <v>17</v>
      </c>
      <c r="N4" s="118"/>
      <c r="O4" s="118"/>
      <c r="P4" s="119"/>
      <c r="Q4" s="10" t="s">
        <v>25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53" ht="35.25" x14ac:dyDescent="0.15">
      <c r="A5" s="11" t="s">
        <v>6</v>
      </c>
      <c r="B5" s="12" t="s">
        <v>4</v>
      </c>
      <c r="C5" s="13" t="s">
        <v>0</v>
      </c>
      <c r="D5" s="12" t="s">
        <v>1</v>
      </c>
      <c r="E5" s="13" t="s">
        <v>0</v>
      </c>
      <c r="F5" s="12" t="s">
        <v>1</v>
      </c>
      <c r="G5" s="14" t="s">
        <v>9</v>
      </c>
      <c r="H5" s="15" t="s">
        <v>7</v>
      </c>
      <c r="I5" s="16" t="s">
        <v>5</v>
      </c>
      <c r="J5" s="17" t="s">
        <v>11</v>
      </c>
      <c r="K5" s="17" t="s">
        <v>12</v>
      </c>
      <c r="L5" s="18" t="s">
        <v>13</v>
      </c>
      <c r="M5" s="19" t="s">
        <v>14</v>
      </c>
      <c r="N5" s="20" t="s">
        <v>15</v>
      </c>
      <c r="O5" s="21" t="s">
        <v>16</v>
      </c>
      <c r="P5" s="22" t="s">
        <v>24</v>
      </c>
      <c r="Q5" s="23" t="s">
        <v>18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53" x14ac:dyDescent="0.15">
      <c r="A6" s="24">
        <v>39448</v>
      </c>
      <c r="B6" s="25">
        <v>0.33333333333333331</v>
      </c>
      <c r="C6" s="26">
        <v>0.33333333333333331</v>
      </c>
      <c r="D6" s="25">
        <v>0.5</v>
      </c>
      <c r="E6" s="26">
        <v>0.5625</v>
      </c>
      <c r="F6" s="25">
        <v>0.77083333333333337</v>
      </c>
      <c r="G6" s="1">
        <f t="shared" ref="G6:G15" si="0">IF(((F6-E6)+(D6-C6))&gt;B6,B6,(F6-E6)+(D6-C6))</f>
        <v>0.33333333333333331</v>
      </c>
      <c r="H6" s="45">
        <f>IF(((F6-E6)+(D6-C6))&gt;B6,((F6-E6)+(D6-C6))-B6,0)</f>
        <v>4.1666666666666741E-2</v>
      </c>
      <c r="I6" s="49" t="str">
        <f t="shared" ref="I6:I36" si="1">IF(G6&gt;=B6,"SIM","NÃO")</f>
        <v>SIM</v>
      </c>
      <c r="J6" s="50">
        <f t="shared" ref="J6:J13" si="2">G6+H6</f>
        <v>0.37500000000000006</v>
      </c>
      <c r="K6" s="51">
        <f t="shared" ref="K6:K35" si="3">J6*1440</f>
        <v>540.00000000000011</v>
      </c>
      <c r="L6" s="52">
        <f t="shared" ref="L6:L35" si="4">J6*86400</f>
        <v>32400.000000000004</v>
      </c>
      <c r="M6" s="53">
        <f t="shared" ref="M6:M35" si="5">L6/60</f>
        <v>540.00000000000011</v>
      </c>
      <c r="N6" s="54">
        <f t="shared" ref="N6:N35" si="6">M6/1440</f>
        <v>0.37500000000000006</v>
      </c>
      <c r="O6" s="55">
        <f t="shared" ref="O6:O35" si="7">M6*60</f>
        <v>32400.000000000007</v>
      </c>
      <c r="P6" s="56">
        <f t="shared" ref="P6:P35" si="8">HOUR(J6)+(MINUTE(J6)/60)</f>
        <v>9</v>
      </c>
      <c r="Q6" s="57">
        <f>(M6/60)*$C$39</f>
        <v>108.00000000000003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53" x14ac:dyDescent="0.15">
      <c r="A7" s="24">
        <v>39449</v>
      </c>
      <c r="B7" s="25">
        <v>0.33333333333333331</v>
      </c>
      <c r="C7" s="26"/>
      <c r="D7" s="25"/>
      <c r="E7" s="26"/>
      <c r="F7" s="25"/>
      <c r="G7" s="1">
        <f t="shared" si="0"/>
        <v>0</v>
      </c>
      <c r="H7" s="45">
        <f>IF(((F7-E7)+(D7-C7))&gt;B7,((F7-E7)+(D7-C7))-B7,0)</f>
        <v>0</v>
      </c>
      <c r="I7" s="49" t="str">
        <f t="shared" si="1"/>
        <v>NÃO</v>
      </c>
      <c r="J7" s="50">
        <f t="shared" si="2"/>
        <v>0</v>
      </c>
      <c r="K7" s="51">
        <f t="shared" si="3"/>
        <v>0</v>
      </c>
      <c r="L7" s="52">
        <f t="shared" si="4"/>
        <v>0</v>
      </c>
      <c r="M7" s="53">
        <f t="shared" si="5"/>
        <v>0</v>
      </c>
      <c r="N7" s="54">
        <f t="shared" si="6"/>
        <v>0</v>
      </c>
      <c r="O7" s="55">
        <f t="shared" si="7"/>
        <v>0</v>
      </c>
      <c r="P7" s="56">
        <f t="shared" si="8"/>
        <v>0</v>
      </c>
      <c r="Q7" s="57">
        <f t="shared" ref="Q7:Q36" si="9">(M7/60)*$C$39</f>
        <v>0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53" x14ac:dyDescent="0.15">
      <c r="A8" s="24">
        <v>39450</v>
      </c>
      <c r="B8" s="25">
        <v>0.33333333333333298</v>
      </c>
      <c r="C8" s="26"/>
      <c r="D8" s="25"/>
      <c r="E8" s="26"/>
      <c r="F8" s="25"/>
      <c r="G8" s="1">
        <f t="shared" si="0"/>
        <v>0</v>
      </c>
      <c r="H8" s="45">
        <f>IF(((F8-E8)+(D8-C8))&gt;B8,((F8-E8)+(D8-C8))-B8,0)</f>
        <v>0</v>
      </c>
      <c r="I8" s="49" t="str">
        <f t="shared" si="1"/>
        <v>NÃO</v>
      </c>
      <c r="J8" s="50">
        <f t="shared" si="2"/>
        <v>0</v>
      </c>
      <c r="K8" s="51">
        <f t="shared" si="3"/>
        <v>0</v>
      </c>
      <c r="L8" s="52">
        <f t="shared" si="4"/>
        <v>0</v>
      </c>
      <c r="M8" s="53">
        <f t="shared" si="5"/>
        <v>0</v>
      </c>
      <c r="N8" s="54">
        <f t="shared" si="6"/>
        <v>0</v>
      </c>
      <c r="O8" s="55">
        <f t="shared" si="7"/>
        <v>0</v>
      </c>
      <c r="P8" s="56">
        <f t="shared" si="8"/>
        <v>0</v>
      </c>
      <c r="Q8" s="57">
        <f t="shared" si="9"/>
        <v>0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53" x14ac:dyDescent="0.15">
      <c r="A9" s="24">
        <v>39451</v>
      </c>
      <c r="B9" s="25">
        <v>0.33333333333333298</v>
      </c>
      <c r="C9" s="26"/>
      <c r="D9" s="25"/>
      <c r="E9" s="26"/>
      <c r="F9" s="25"/>
      <c r="G9" s="1">
        <f t="shared" si="0"/>
        <v>0</v>
      </c>
      <c r="H9" s="45">
        <f>IF(((F9-E9)+(D9-C9))&gt;B9,((F9-E9)+(D9-C9))-B9,0)</f>
        <v>0</v>
      </c>
      <c r="I9" s="49" t="str">
        <f t="shared" si="1"/>
        <v>NÃO</v>
      </c>
      <c r="J9" s="50">
        <f t="shared" si="2"/>
        <v>0</v>
      </c>
      <c r="K9" s="51">
        <f t="shared" si="3"/>
        <v>0</v>
      </c>
      <c r="L9" s="52">
        <f t="shared" si="4"/>
        <v>0</v>
      </c>
      <c r="M9" s="53">
        <f t="shared" si="5"/>
        <v>0</v>
      </c>
      <c r="N9" s="54">
        <f t="shared" si="6"/>
        <v>0</v>
      </c>
      <c r="O9" s="55">
        <f t="shared" si="7"/>
        <v>0</v>
      </c>
      <c r="P9" s="56">
        <f t="shared" si="8"/>
        <v>0</v>
      </c>
      <c r="Q9" s="57">
        <f t="shared" si="9"/>
        <v>0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53" x14ac:dyDescent="0.15">
      <c r="A10" s="24">
        <v>39452</v>
      </c>
      <c r="B10" s="25">
        <v>0.33333333333333298</v>
      </c>
      <c r="C10" s="26"/>
      <c r="D10" s="25"/>
      <c r="E10" s="26"/>
      <c r="F10" s="25"/>
      <c r="G10" s="1">
        <f t="shared" si="0"/>
        <v>0</v>
      </c>
      <c r="H10" s="45">
        <f>IF(((F10-E10)+(D10-C10))&gt;B10,((F10-E10)+(D10-C10))-B10,0)</f>
        <v>0</v>
      </c>
      <c r="I10" s="49" t="str">
        <f t="shared" si="1"/>
        <v>NÃO</v>
      </c>
      <c r="J10" s="50">
        <f t="shared" si="2"/>
        <v>0</v>
      </c>
      <c r="K10" s="51">
        <f t="shared" si="3"/>
        <v>0</v>
      </c>
      <c r="L10" s="52">
        <f t="shared" si="4"/>
        <v>0</v>
      </c>
      <c r="M10" s="53">
        <f t="shared" si="5"/>
        <v>0</v>
      </c>
      <c r="N10" s="54">
        <f t="shared" si="6"/>
        <v>0</v>
      </c>
      <c r="O10" s="55">
        <f t="shared" si="7"/>
        <v>0</v>
      </c>
      <c r="P10" s="56">
        <f t="shared" si="8"/>
        <v>0</v>
      </c>
      <c r="Q10" s="57">
        <f t="shared" si="9"/>
        <v>0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53" x14ac:dyDescent="0.15">
      <c r="A11" s="24">
        <v>39453</v>
      </c>
      <c r="B11" s="25">
        <v>0.33333333333333298</v>
      </c>
      <c r="C11" s="26"/>
      <c r="D11" s="25"/>
      <c r="E11" s="26"/>
      <c r="F11" s="25"/>
      <c r="G11" s="1">
        <f t="shared" si="0"/>
        <v>0</v>
      </c>
      <c r="H11" s="45">
        <f>IF(((F11-E11)+(D11-C11))&gt;B13,((F11-E11)+(D11-C11))-B13,0)</f>
        <v>0</v>
      </c>
      <c r="I11" s="49" t="str">
        <f t="shared" si="1"/>
        <v>NÃO</v>
      </c>
      <c r="J11" s="50">
        <f t="shared" si="2"/>
        <v>0</v>
      </c>
      <c r="K11" s="51">
        <f t="shared" si="3"/>
        <v>0</v>
      </c>
      <c r="L11" s="52">
        <f t="shared" si="4"/>
        <v>0</v>
      </c>
      <c r="M11" s="53">
        <f t="shared" si="5"/>
        <v>0</v>
      </c>
      <c r="N11" s="54">
        <f t="shared" si="6"/>
        <v>0</v>
      </c>
      <c r="O11" s="55">
        <f t="shared" si="7"/>
        <v>0</v>
      </c>
      <c r="P11" s="56">
        <f t="shared" si="8"/>
        <v>0</v>
      </c>
      <c r="Q11" s="57">
        <f t="shared" si="9"/>
        <v>0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53" x14ac:dyDescent="0.15">
      <c r="A12" s="24">
        <v>39454</v>
      </c>
      <c r="B12" s="25">
        <v>0.33333333333333298</v>
      </c>
      <c r="C12" s="26"/>
      <c r="D12" s="25"/>
      <c r="E12" s="26"/>
      <c r="F12" s="25"/>
      <c r="G12" s="1">
        <f t="shared" si="0"/>
        <v>0</v>
      </c>
      <c r="H12" s="45">
        <f>IF(((F12-E12)+(D12-C12))&gt;B14,((F12-E12)+(D12-C12))-B14,0)</f>
        <v>0</v>
      </c>
      <c r="I12" s="49" t="str">
        <f t="shared" si="1"/>
        <v>NÃO</v>
      </c>
      <c r="J12" s="50">
        <f t="shared" si="2"/>
        <v>0</v>
      </c>
      <c r="K12" s="51">
        <f t="shared" si="3"/>
        <v>0</v>
      </c>
      <c r="L12" s="52">
        <f t="shared" si="4"/>
        <v>0</v>
      </c>
      <c r="M12" s="53">
        <f t="shared" si="5"/>
        <v>0</v>
      </c>
      <c r="N12" s="54">
        <f t="shared" si="6"/>
        <v>0</v>
      </c>
      <c r="O12" s="55">
        <f t="shared" si="7"/>
        <v>0</v>
      </c>
      <c r="P12" s="56">
        <f t="shared" si="8"/>
        <v>0</v>
      </c>
      <c r="Q12" s="57">
        <f t="shared" si="9"/>
        <v>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53" x14ac:dyDescent="0.15">
      <c r="A13" s="24">
        <v>39455</v>
      </c>
      <c r="B13" s="25">
        <v>0.33333333333333298</v>
      </c>
      <c r="C13" s="26"/>
      <c r="D13" s="25"/>
      <c r="E13" s="26"/>
      <c r="F13" s="25"/>
      <c r="G13" s="1">
        <f t="shared" si="0"/>
        <v>0</v>
      </c>
      <c r="H13" s="45">
        <f t="shared" ref="H13:H34" si="10">IF(((F13-E13)+(D13-C13))&gt;B15,((F13-E13)+(D13-C13))-B15,0)</f>
        <v>0</v>
      </c>
      <c r="I13" s="49" t="str">
        <f t="shared" si="1"/>
        <v>NÃO</v>
      </c>
      <c r="J13" s="50">
        <f t="shared" si="2"/>
        <v>0</v>
      </c>
      <c r="K13" s="51">
        <f t="shared" si="3"/>
        <v>0</v>
      </c>
      <c r="L13" s="52">
        <f t="shared" si="4"/>
        <v>0</v>
      </c>
      <c r="M13" s="53">
        <f t="shared" si="5"/>
        <v>0</v>
      </c>
      <c r="N13" s="54">
        <f t="shared" si="6"/>
        <v>0</v>
      </c>
      <c r="O13" s="55">
        <f t="shared" si="7"/>
        <v>0</v>
      </c>
      <c r="P13" s="56">
        <f t="shared" si="8"/>
        <v>0</v>
      </c>
      <c r="Q13" s="57">
        <f t="shared" si="9"/>
        <v>0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53" x14ac:dyDescent="0.15">
      <c r="A14" s="24">
        <v>39456</v>
      </c>
      <c r="B14" s="25">
        <v>0.33333333333333298</v>
      </c>
      <c r="C14" s="26"/>
      <c r="D14" s="25"/>
      <c r="E14" s="26"/>
      <c r="F14" s="25"/>
      <c r="G14" s="1">
        <f t="shared" si="0"/>
        <v>0</v>
      </c>
      <c r="H14" s="45">
        <f t="shared" si="10"/>
        <v>0</v>
      </c>
      <c r="I14" s="49" t="str">
        <f t="shared" si="1"/>
        <v>NÃO</v>
      </c>
      <c r="J14" s="50">
        <f t="shared" ref="J14:J35" si="11">G14+H14</f>
        <v>0</v>
      </c>
      <c r="K14" s="51">
        <f t="shared" si="3"/>
        <v>0</v>
      </c>
      <c r="L14" s="52">
        <f t="shared" si="4"/>
        <v>0</v>
      </c>
      <c r="M14" s="53">
        <f t="shared" si="5"/>
        <v>0</v>
      </c>
      <c r="N14" s="54">
        <f t="shared" si="6"/>
        <v>0</v>
      </c>
      <c r="O14" s="55">
        <f t="shared" si="7"/>
        <v>0</v>
      </c>
      <c r="P14" s="56">
        <f t="shared" si="8"/>
        <v>0</v>
      </c>
      <c r="Q14" s="57">
        <f t="shared" si="9"/>
        <v>0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53" x14ac:dyDescent="0.15">
      <c r="A15" s="24">
        <v>39457</v>
      </c>
      <c r="B15" s="25">
        <v>0.33333333333333298</v>
      </c>
      <c r="C15" s="26"/>
      <c r="D15" s="25"/>
      <c r="E15" s="26"/>
      <c r="F15" s="25"/>
      <c r="G15" s="1">
        <f t="shared" si="0"/>
        <v>0</v>
      </c>
      <c r="H15" s="45">
        <f t="shared" si="10"/>
        <v>0</v>
      </c>
      <c r="I15" s="49" t="str">
        <f t="shared" si="1"/>
        <v>NÃO</v>
      </c>
      <c r="J15" s="50">
        <f t="shared" si="11"/>
        <v>0</v>
      </c>
      <c r="K15" s="51">
        <f t="shared" si="3"/>
        <v>0</v>
      </c>
      <c r="L15" s="52">
        <f t="shared" si="4"/>
        <v>0</v>
      </c>
      <c r="M15" s="53">
        <f t="shared" si="5"/>
        <v>0</v>
      </c>
      <c r="N15" s="54">
        <f t="shared" si="6"/>
        <v>0</v>
      </c>
      <c r="O15" s="55">
        <f t="shared" si="7"/>
        <v>0</v>
      </c>
      <c r="P15" s="56">
        <f t="shared" si="8"/>
        <v>0</v>
      </c>
      <c r="Q15" s="57">
        <f t="shared" si="9"/>
        <v>0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53" x14ac:dyDescent="0.15">
      <c r="A16" s="24">
        <v>39458</v>
      </c>
      <c r="B16" s="25">
        <v>0.33333333333333298</v>
      </c>
      <c r="C16" s="26"/>
      <c r="D16" s="25"/>
      <c r="E16" s="26"/>
      <c r="F16" s="25"/>
      <c r="G16" s="1">
        <f t="shared" ref="G16:G35" si="12">IF(((F16-E16)+(D16-C16))&gt;B16,B16,(F16-E16)+(D16-C16))</f>
        <v>0</v>
      </c>
      <c r="H16" s="45">
        <f t="shared" si="10"/>
        <v>0</v>
      </c>
      <c r="I16" s="49" t="str">
        <f t="shared" si="1"/>
        <v>NÃO</v>
      </c>
      <c r="J16" s="50">
        <f t="shared" si="11"/>
        <v>0</v>
      </c>
      <c r="K16" s="51">
        <f t="shared" si="3"/>
        <v>0</v>
      </c>
      <c r="L16" s="52">
        <f t="shared" si="4"/>
        <v>0</v>
      </c>
      <c r="M16" s="53">
        <f t="shared" si="5"/>
        <v>0</v>
      </c>
      <c r="N16" s="54">
        <f t="shared" si="6"/>
        <v>0</v>
      </c>
      <c r="O16" s="55">
        <f t="shared" si="7"/>
        <v>0</v>
      </c>
      <c r="P16" s="56">
        <f t="shared" si="8"/>
        <v>0</v>
      </c>
      <c r="Q16" s="57">
        <f t="shared" si="9"/>
        <v>0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15">
      <c r="A17" s="24">
        <v>39459</v>
      </c>
      <c r="B17" s="25">
        <v>0.33333333333333298</v>
      </c>
      <c r="C17" s="26"/>
      <c r="D17" s="25"/>
      <c r="E17" s="26"/>
      <c r="F17" s="25"/>
      <c r="G17" s="1">
        <f t="shared" si="12"/>
        <v>0</v>
      </c>
      <c r="H17" s="45">
        <f t="shared" si="10"/>
        <v>0</v>
      </c>
      <c r="I17" s="49" t="str">
        <f t="shared" si="1"/>
        <v>NÃO</v>
      </c>
      <c r="J17" s="50">
        <f t="shared" si="11"/>
        <v>0</v>
      </c>
      <c r="K17" s="51">
        <f t="shared" si="3"/>
        <v>0</v>
      </c>
      <c r="L17" s="52">
        <f t="shared" si="4"/>
        <v>0</v>
      </c>
      <c r="M17" s="53">
        <f t="shared" si="5"/>
        <v>0</v>
      </c>
      <c r="N17" s="54">
        <f t="shared" si="6"/>
        <v>0</v>
      </c>
      <c r="O17" s="55">
        <f t="shared" si="7"/>
        <v>0</v>
      </c>
      <c r="P17" s="56">
        <f t="shared" si="8"/>
        <v>0</v>
      </c>
      <c r="Q17" s="57">
        <f t="shared" si="9"/>
        <v>0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x14ac:dyDescent="0.15">
      <c r="A18" s="24">
        <v>39460</v>
      </c>
      <c r="B18" s="25">
        <v>0.33333333333333298</v>
      </c>
      <c r="C18" s="26"/>
      <c r="D18" s="25"/>
      <c r="E18" s="26"/>
      <c r="F18" s="25"/>
      <c r="G18" s="1">
        <f t="shared" si="12"/>
        <v>0</v>
      </c>
      <c r="H18" s="45">
        <f t="shared" si="10"/>
        <v>0</v>
      </c>
      <c r="I18" s="49" t="str">
        <f t="shared" si="1"/>
        <v>NÃO</v>
      </c>
      <c r="J18" s="50">
        <f t="shared" si="11"/>
        <v>0</v>
      </c>
      <c r="K18" s="51">
        <f t="shared" si="3"/>
        <v>0</v>
      </c>
      <c r="L18" s="52">
        <f t="shared" si="4"/>
        <v>0</v>
      </c>
      <c r="M18" s="53">
        <f t="shared" si="5"/>
        <v>0</v>
      </c>
      <c r="N18" s="54">
        <f t="shared" si="6"/>
        <v>0</v>
      </c>
      <c r="O18" s="55">
        <f t="shared" si="7"/>
        <v>0</v>
      </c>
      <c r="P18" s="56">
        <f t="shared" si="8"/>
        <v>0</v>
      </c>
      <c r="Q18" s="57">
        <f t="shared" si="9"/>
        <v>0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x14ac:dyDescent="0.15">
      <c r="A19" s="24">
        <v>39461</v>
      </c>
      <c r="B19" s="25">
        <v>0.33333333333333298</v>
      </c>
      <c r="C19" s="26"/>
      <c r="D19" s="25"/>
      <c r="E19" s="26"/>
      <c r="F19" s="25"/>
      <c r="G19" s="1">
        <f t="shared" si="12"/>
        <v>0</v>
      </c>
      <c r="H19" s="45">
        <f t="shared" si="10"/>
        <v>0</v>
      </c>
      <c r="I19" s="49" t="str">
        <f t="shared" si="1"/>
        <v>NÃO</v>
      </c>
      <c r="J19" s="50">
        <f t="shared" si="11"/>
        <v>0</v>
      </c>
      <c r="K19" s="51">
        <f t="shared" si="3"/>
        <v>0</v>
      </c>
      <c r="L19" s="52">
        <f t="shared" si="4"/>
        <v>0</v>
      </c>
      <c r="M19" s="53">
        <f t="shared" si="5"/>
        <v>0</v>
      </c>
      <c r="N19" s="54">
        <f t="shared" si="6"/>
        <v>0</v>
      </c>
      <c r="O19" s="55">
        <f t="shared" si="7"/>
        <v>0</v>
      </c>
      <c r="P19" s="56">
        <f t="shared" si="8"/>
        <v>0</v>
      </c>
      <c r="Q19" s="57">
        <f t="shared" si="9"/>
        <v>0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15">
      <c r="A20" s="24">
        <v>39462</v>
      </c>
      <c r="B20" s="25">
        <v>0.33333333333333298</v>
      </c>
      <c r="C20" s="26"/>
      <c r="D20" s="25"/>
      <c r="E20" s="26"/>
      <c r="F20" s="25"/>
      <c r="G20" s="1">
        <f t="shared" si="12"/>
        <v>0</v>
      </c>
      <c r="H20" s="45">
        <f t="shared" si="10"/>
        <v>0</v>
      </c>
      <c r="I20" s="49" t="str">
        <f t="shared" si="1"/>
        <v>NÃO</v>
      </c>
      <c r="J20" s="50">
        <f t="shared" si="11"/>
        <v>0</v>
      </c>
      <c r="K20" s="51">
        <f t="shared" si="3"/>
        <v>0</v>
      </c>
      <c r="L20" s="52">
        <f t="shared" si="4"/>
        <v>0</v>
      </c>
      <c r="M20" s="53">
        <f t="shared" si="5"/>
        <v>0</v>
      </c>
      <c r="N20" s="54">
        <f t="shared" si="6"/>
        <v>0</v>
      </c>
      <c r="O20" s="55">
        <f t="shared" si="7"/>
        <v>0</v>
      </c>
      <c r="P20" s="56">
        <f t="shared" si="8"/>
        <v>0</v>
      </c>
      <c r="Q20" s="57">
        <f t="shared" si="9"/>
        <v>0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x14ac:dyDescent="0.15">
      <c r="A21" s="24">
        <v>39463</v>
      </c>
      <c r="B21" s="25">
        <v>0.33333333333333298</v>
      </c>
      <c r="C21" s="26"/>
      <c r="D21" s="25"/>
      <c r="E21" s="26"/>
      <c r="F21" s="25"/>
      <c r="G21" s="1">
        <f t="shared" si="12"/>
        <v>0</v>
      </c>
      <c r="H21" s="45">
        <f t="shared" si="10"/>
        <v>0</v>
      </c>
      <c r="I21" s="49" t="str">
        <f t="shared" si="1"/>
        <v>NÃO</v>
      </c>
      <c r="J21" s="50">
        <f t="shared" si="11"/>
        <v>0</v>
      </c>
      <c r="K21" s="51">
        <f t="shared" si="3"/>
        <v>0</v>
      </c>
      <c r="L21" s="52">
        <f t="shared" si="4"/>
        <v>0</v>
      </c>
      <c r="M21" s="53">
        <f t="shared" si="5"/>
        <v>0</v>
      </c>
      <c r="N21" s="54">
        <f t="shared" si="6"/>
        <v>0</v>
      </c>
      <c r="O21" s="55">
        <f t="shared" si="7"/>
        <v>0</v>
      </c>
      <c r="P21" s="56">
        <f t="shared" si="8"/>
        <v>0</v>
      </c>
      <c r="Q21" s="57">
        <f t="shared" si="9"/>
        <v>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15">
      <c r="A22" s="24">
        <v>39464</v>
      </c>
      <c r="B22" s="25">
        <v>0.33333333333333298</v>
      </c>
      <c r="C22" s="26"/>
      <c r="D22" s="25"/>
      <c r="E22" s="26"/>
      <c r="F22" s="25"/>
      <c r="G22" s="1">
        <f t="shared" si="12"/>
        <v>0</v>
      </c>
      <c r="H22" s="45">
        <f t="shared" si="10"/>
        <v>0</v>
      </c>
      <c r="I22" s="49" t="str">
        <f t="shared" si="1"/>
        <v>NÃO</v>
      </c>
      <c r="J22" s="50">
        <f t="shared" si="11"/>
        <v>0</v>
      </c>
      <c r="K22" s="51">
        <f t="shared" si="3"/>
        <v>0</v>
      </c>
      <c r="L22" s="52">
        <f t="shared" si="4"/>
        <v>0</v>
      </c>
      <c r="M22" s="53">
        <f t="shared" si="5"/>
        <v>0</v>
      </c>
      <c r="N22" s="54">
        <f t="shared" si="6"/>
        <v>0</v>
      </c>
      <c r="O22" s="55">
        <f t="shared" si="7"/>
        <v>0</v>
      </c>
      <c r="P22" s="56">
        <f t="shared" si="8"/>
        <v>0</v>
      </c>
      <c r="Q22" s="57">
        <f t="shared" si="9"/>
        <v>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15">
      <c r="A23" s="24">
        <v>39465</v>
      </c>
      <c r="B23" s="25">
        <v>0.33333333333333298</v>
      </c>
      <c r="C23" s="26"/>
      <c r="D23" s="25"/>
      <c r="E23" s="26"/>
      <c r="F23" s="25"/>
      <c r="G23" s="1">
        <f t="shared" si="12"/>
        <v>0</v>
      </c>
      <c r="H23" s="45">
        <f t="shared" si="10"/>
        <v>0</v>
      </c>
      <c r="I23" s="49" t="str">
        <f t="shared" si="1"/>
        <v>NÃO</v>
      </c>
      <c r="J23" s="50">
        <f t="shared" si="11"/>
        <v>0</v>
      </c>
      <c r="K23" s="51">
        <f t="shared" si="3"/>
        <v>0</v>
      </c>
      <c r="L23" s="52">
        <f t="shared" si="4"/>
        <v>0</v>
      </c>
      <c r="M23" s="53">
        <f t="shared" si="5"/>
        <v>0</v>
      </c>
      <c r="N23" s="54">
        <f t="shared" si="6"/>
        <v>0</v>
      </c>
      <c r="O23" s="55">
        <f t="shared" si="7"/>
        <v>0</v>
      </c>
      <c r="P23" s="56">
        <f t="shared" si="8"/>
        <v>0</v>
      </c>
      <c r="Q23" s="57">
        <f t="shared" si="9"/>
        <v>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15">
      <c r="A24" s="24">
        <v>39466</v>
      </c>
      <c r="B24" s="25">
        <v>0.33333333333333298</v>
      </c>
      <c r="C24" s="26"/>
      <c r="D24" s="25"/>
      <c r="E24" s="26"/>
      <c r="F24" s="25"/>
      <c r="G24" s="1">
        <f>IF(((F24-E24)+(D24-C24))&gt;B24,B24,(F24-E24)+(D24-C24))</f>
        <v>0</v>
      </c>
      <c r="H24" s="45">
        <f t="shared" si="10"/>
        <v>0</v>
      </c>
      <c r="I24" s="49" t="str">
        <f t="shared" si="1"/>
        <v>NÃO</v>
      </c>
      <c r="J24" s="50">
        <f>G24+H24</f>
        <v>0</v>
      </c>
      <c r="K24" s="51">
        <f>J24*1440</f>
        <v>0</v>
      </c>
      <c r="L24" s="52">
        <f>J24*86400</f>
        <v>0</v>
      </c>
      <c r="M24" s="53">
        <f>L24/60</f>
        <v>0</v>
      </c>
      <c r="N24" s="54">
        <f>M24/1440</f>
        <v>0</v>
      </c>
      <c r="O24" s="55">
        <f>M24*60</f>
        <v>0</v>
      </c>
      <c r="P24" s="56">
        <f>HOUR(J24)+(MINUTE(J24)/60)</f>
        <v>0</v>
      </c>
      <c r="Q24" s="57">
        <f t="shared" si="9"/>
        <v>0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15">
      <c r="A25" s="24">
        <v>39467</v>
      </c>
      <c r="B25" s="25">
        <v>0.33333333333333298</v>
      </c>
      <c r="C25" s="27"/>
      <c r="D25" s="28"/>
      <c r="E25" s="27"/>
      <c r="F25" s="28"/>
      <c r="G25" s="1">
        <f t="shared" si="12"/>
        <v>0</v>
      </c>
      <c r="H25" s="45">
        <f t="shared" si="10"/>
        <v>0</v>
      </c>
      <c r="I25" s="49" t="str">
        <f t="shared" si="1"/>
        <v>NÃO</v>
      </c>
      <c r="J25" s="50">
        <f t="shared" si="11"/>
        <v>0</v>
      </c>
      <c r="K25" s="51">
        <f t="shared" si="3"/>
        <v>0</v>
      </c>
      <c r="L25" s="52">
        <f t="shared" si="4"/>
        <v>0</v>
      </c>
      <c r="M25" s="53">
        <f t="shared" si="5"/>
        <v>0</v>
      </c>
      <c r="N25" s="54">
        <f t="shared" si="6"/>
        <v>0</v>
      </c>
      <c r="O25" s="55">
        <f t="shared" si="7"/>
        <v>0</v>
      </c>
      <c r="P25" s="56">
        <f t="shared" si="8"/>
        <v>0</v>
      </c>
      <c r="Q25" s="57">
        <f t="shared" si="9"/>
        <v>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x14ac:dyDescent="0.15">
      <c r="A26" s="24">
        <v>39468</v>
      </c>
      <c r="B26" s="25">
        <v>0.33333333333333298</v>
      </c>
      <c r="C26" s="27"/>
      <c r="D26" s="28"/>
      <c r="E26" s="26"/>
      <c r="F26" s="28"/>
      <c r="G26" s="1">
        <f t="shared" si="12"/>
        <v>0</v>
      </c>
      <c r="H26" s="45">
        <f t="shared" si="10"/>
        <v>0</v>
      </c>
      <c r="I26" s="49" t="str">
        <f t="shared" si="1"/>
        <v>NÃO</v>
      </c>
      <c r="J26" s="50">
        <f t="shared" si="11"/>
        <v>0</v>
      </c>
      <c r="K26" s="51">
        <f t="shared" si="3"/>
        <v>0</v>
      </c>
      <c r="L26" s="52">
        <f t="shared" si="4"/>
        <v>0</v>
      </c>
      <c r="M26" s="53">
        <f t="shared" si="5"/>
        <v>0</v>
      </c>
      <c r="N26" s="54">
        <f t="shared" si="6"/>
        <v>0</v>
      </c>
      <c r="O26" s="55">
        <f t="shared" si="7"/>
        <v>0</v>
      </c>
      <c r="P26" s="56">
        <f t="shared" si="8"/>
        <v>0</v>
      </c>
      <c r="Q26" s="57">
        <f t="shared" si="9"/>
        <v>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15">
      <c r="A27" s="24">
        <v>39469</v>
      </c>
      <c r="B27" s="25">
        <v>0.33333333333333298</v>
      </c>
      <c r="C27" s="27"/>
      <c r="D27" s="28"/>
      <c r="E27" s="27"/>
      <c r="F27" s="28"/>
      <c r="G27" s="1">
        <f t="shared" si="12"/>
        <v>0</v>
      </c>
      <c r="H27" s="45">
        <f t="shared" si="10"/>
        <v>0</v>
      </c>
      <c r="I27" s="49" t="str">
        <f t="shared" si="1"/>
        <v>NÃO</v>
      </c>
      <c r="J27" s="50">
        <f t="shared" si="11"/>
        <v>0</v>
      </c>
      <c r="K27" s="51">
        <f t="shared" si="3"/>
        <v>0</v>
      </c>
      <c r="L27" s="52">
        <f t="shared" si="4"/>
        <v>0</v>
      </c>
      <c r="M27" s="53">
        <f t="shared" si="5"/>
        <v>0</v>
      </c>
      <c r="N27" s="54">
        <f t="shared" si="6"/>
        <v>0</v>
      </c>
      <c r="O27" s="55">
        <f t="shared" si="7"/>
        <v>0</v>
      </c>
      <c r="P27" s="56">
        <f t="shared" si="8"/>
        <v>0</v>
      </c>
      <c r="Q27" s="57">
        <f t="shared" si="9"/>
        <v>0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15">
      <c r="A28" s="24">
        <v>39470</v>
      </c>
      <c r="B28" s="25">
        <v>0.33333333333333298</v>
      </c>
      <c r="C28" s="27"/>
      <c r="D28" s="28"/>
      <c r="E28" s="26"/>
      <c r="F28" s="28"/>
      <c r="G28" s="1">
        <f t="shared" si="12"/>
        <v>0</v>
      </c>
      <c r="H28" s="45">
        <f t="shared" si="10"/>
        <v>0</v>
      </c>
      <c r="I28" s="49" t="str">
        <f t="shared" si="1"/>
        <v>NÃO</v>
      </c>
      <c r="J28" s="50">
        <f t="shared" si="11"/>
        <v>0</v>
      </c>
      <c r="K28" s="51">
        <f t="shared" si="3"/>
        <v>0</v>
      </c>
      <c r="L28" s="52">
        <f t="shared" si="4"/>
        <v>0</v>
      </c>
      <c r="M28" s="53">
        <f t="shared" si="5"/>
        <v>0</v>
      </c>
      <c r="N28" s="54">
        <f t="shared" si="6"/>
        <v>0</v>
      </c>
      <c r="O28" s="55">
        <f t="shared" si="7"/>
        <v>0</v>
      </c>
      <c r="P28" s="56">
        <f t="shared" si="8"/>
        <v>0</v>
      </c>
      <c r="Q28" s="57">
        <f t="shared" si="9"/>
        <v>0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15">
      <c r="A29" s="24">
        <v>39471</v>
      </c>
      <c r="B29" s="25">
        <v>0.33333333333333298</v>
      </c>
      <c r="C29" s="27"/>
      <c r="D29" s="28"/>
      <c r="E29" s="27"/>
      <c r="F29" s="28"/>
      <c r="G29" s="1">
        <f t="shared" si="12"/>
        <v>0</v>
      </c>
      <c r="H29" s="45">
        <f t="shared" si="10"/>
        <v>0</v>
      </c>
      <c r="I29" s="49" t="str">
        <f t="shared" si="1"/>
        <v>NÃO</v>
      </c>
      <c r="J29" s="50">
        <f t="shared" si="11"/>
        <v>0</v>
      </c>
      <c r="K29" s="51">
        <f t="shared" si="3"/>
        <v>0</v>
      </c>
      <c r="L29" s="52">
        <f t="shared" si="4"/>
        <v>0</v>
      </c>
      <c r="M29" s="53">
        <f t="shared" si="5"/>
        <v>0</v>
      </c>
      <c r="N29" s="54">
        <f t="shared" si="6"/>
        <v>0</v>
      </c>
      <c r="O29" s="55">
        <f t="shared" si="7"/>
        <v>0</v>
      </c>
      <c r="P29" s="56">
        <f t="shared" si="8"/>
        <v>0</v>
      </c>
      <c r="Q29" s="57">
        <f t="shared" si="9"/>
        <v>0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15">
      <c r="A30" s="24">
        <v>39472</v>
      </c>
      <c r="B30" s="25">
        <v>0.33333333333333298</v>
      </c>
      <c r="C30" s="27"/>
      <c r="D30" s="28"/>
      <c r="E30" s="26"/>
      <c r="F30" s="28"/>
      <c r="G30" s="1">
        <f t="shared" si="12"/>
        <v>0</v>
      </c>
      <c r="H30" s="45">
        <f t="shared" si="10"/>
        <v>0</v>
      </c>
      <c r="I30" s="49" t="str">
        <f t="shared" si="1"/>
        <v>NÃO</v>
      </c>
      <c r="J30" s="50">
        <f t="shared" si="11"/>
        <v>0</v>
      </c>
      <c r="K30" s="51">
        <f t="shared" si="3"/>
        <v>0</v>
      </c>
      <c r="L30" s="52">
        <f t="shared" si="4"/>
        <v>0</v>
      </c>
      <c r="M30" s="53">
        <f t="shared" si="5"/>
        <v>0</v>
      </c>
      <c r="N30" s="54">
        <f t="shared" si="6"/>
        <v>0</v>
      </c>
      <c r="O30" s="55">
        <f t="shared" si="7"/>
        <v>0</v>
      </c>
      <c r="P30" s="56">
        <f t="shared" si="8"/>
        <v>0</v>
      </c>
      <c r="Q30" s="57">
        <f t="shared" si="9"/>
        <v>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15">
      <c r="A31" s="24">
        <v>39473</v>
      </c>
      <c r="B31" s="25">
        <v>0.33333333333333298</v>
      </c>
      <c r="C31" s="27"/>
      <c r="D31" s="28"/>
      <c r="E31" s="27"/>
      <c r="F31" s="28"/>
      <c r="G31" s="1">
        <f t="shared" si="12"/>
        <v>0</v>
      </c>
      <c r="H31" s="45">
        <f t="shared" si="10"/>
        <v>0</v>
      </c>
      <c r="I31" s="49" t="str">
        <f t="shared" si="1"/>
        <v>NÃO</v>
      </c>
      <c r="J31" s="50">
        <f t="shared" si="11"/>
        <v>0</v>
      </c>
      <c r="K31" s="51">
        <f t="shared" si="3"/>
        <v>0</v>
      </c>
      <c r="L31" s="52">
        <f t="shared" si="4"/>
        <v>0</v>
      </c>
      <c r="M31" s="53">
        <f t="shared" si="5"/>
        <v>0</v>
      </c>
      <c r="N31" s="54">
        <f t="shared" si="6"/>
        <v>0</v>
      </c>
      <c r="O31" s="55">
        <f t="shared" si="7"/>
        <v>0</v>
      </c>
      <c r="P31" s="56">
        <f t="shared" si="8"/>
        <v>0</v>
      </c>
      <c r="Q31" s="57">
        <f t="shared" si="9"/>
        <v>0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15">
      <c r="A32" s="24">
        <v>39474</v>
      </c>
      <c r="B32" s="25">
        <v>0.33333333333333298</v>
      </c>
      <c r="C32" s="27"/>
      <c r="D32" s="28"/>
      <c r="E32" s="26"/>
      <c r="F32" s="28"/>
      <c r="G32" s="1">
        <f t="shared" si="12"/>
        <v>0</v>
      </c>
      <c r="H32" s="45">
        <f t="shared" si="10"/>
        <v>0</v>
      </c>
      <c r="I32" s="49" t="str">
        <f t="shared" si="1"/>
        <v>NÃO</v>
      </c>
      <c r="J32" s="50">
        <f t="shared" si="11"/>
        <v>0</v>
      </c>
      <c r="K32" s="51">
        <f t="shared" si="3"/>
        <v>0</v>
      </c>
      <c r="L32" s="52">
        <f t="shared" si="4"/>
        <v>0</v>
      </c>
      <c r="M32" s="53">
        <f t="shared" si="5"/>
        <v>0</v>
      </c>
      <c r="N32" s="54">
        <f t="shared" si="6"/>
        <v>0</v>
      </c>
      <c r="O32" s="55">
        <f t="shared" si="7"/>
        <v>0</v>
      </c>
      <c r="P32" s="56">
        <f t="shared" si="8"/>
        <v>0</v>
      </c>
      <c r="Q32" s="57">
        <f t="shared" si="9"/>
        <v>0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15">
      <c r="A33" s="24">
        <v>39475</v>
      </c>
      <c r="B33" s="25">
        <v>0.33333333333333298</v>
      </c>
      <c r="C33" s="27"/>
      <c r="D33" s="28"/>
      <c r="E33" s="27"/>
      <c r="F33" s="28"/>
      <c r="G33" s="1">
        <f t="shared" si="12"/>
        <v>0</v>
      </c>
      <c r="H33" s="45">
        <f t="shared" si="10"/>
        <v>0</v>
      </c>
      <c r="I33" s="49" t="str">
        <f t="shared" si="1"/>
        <v>NÃO</v>
      </c>
      <c r="J33" s="50">
        <f t="shared" si="11"/>
        <v>0</v>
      </c>
      <c r="K33" s="51">
        <f t="shared" si="3"/>
        <v>0</v>
      </c>
      <c r="L33" s="52">
        <f t="shared" si="4"/>
        <v>0</v>
      </c>
      <c r="M33" s="53">
        <f t="shared" si="5"/>
        <v>0</v>
      </c>
      <c r="N33" s="54">
        <f t="shared" si="6"/>
        <v>0</v>
      </c>
      <c r="O33" s="55">
        <f t="shared" si="7"/>
        <v>0</v>
      </c>
      <c r="P33" s="56">
        <f t="shared" si="8"/>
        <v>0</v>
      </c>
      <c r="Q33" s="57">
        <f t="shared" si="9"/>
        <v>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15">
      <c r="A34" s="24">
        <v>39476</v>
      </c>
      <c r="B34" s="25">
        <v>0.33333333333333298</v>
      </c>
      <c r="C34" s="27"/>
      <c r="D34" s="28"/>
      <c r="E34" s="26"/>
      <c r="F34" s="28"/>
      <c r="G34" s="1">
        <f t="shared" si="12"/>
        <v>0</v>
      </c>
      <c r="H34" s="45">
        <f t="shared" si="10"/>
        <v>0</v>
      </c>
      <c r="I34" s="49" t="str">
        <f t="shared" si="1"/>
        <v>NÃO</v>
      </c>
      <c r="J34" s="50">
        <f t="shared" si="11"/>
        <v>0</v>
      </c>
      <c r="K34" s="51">
        <f t="shared" si="3"/>
        <v>0</v>
      </c>
      <c r="L34" s="52">
        <f t="shared" si="4"/>
        <v>0</v>
      </c>
      <c r="M34" s="53">
        <f t="shared" si="5"/>
        <v>0</v>
      </c>
      <c r="N34" s="54">
        <f t="shared" si="6"/>
        <v>0</v>
      </c>
      <c r="O34" s="55">
        <f t="shared" si="7"/>
        <v>0</v>
      </c>
      <c r="P34" s="56">
        <f t="shared" si="8"/>
        <v>0</v>
      </c>
      <c r="Q34" s="57">
        <f t="shared" si="9"/>
        <v>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15">
      <c r="A35" s="24">
        <v>39477</v>
      </c>
      <c r="B35" s="25">
        <v>0.33333333333333298</v>
      </c>
      <c r="C35" s="27"/>
      <c r="D35" s="28"/>
      <c r="E35" s="27"/>
      <c r="F35" s="28"/>
      <c r="G35" s="1">
        <f t="shared" si="12"/>
        <v>0</v>
      </c>
      <c r="H35" s="45">
        <f>IF(((F35-E35)+(D35-C35))&gt;B40,((F35-E35)+(D35-C35))-B40,0)</f>
        <v>0</v>
      </c>
      <c r="I35" s="49" t="str">
        <f t="shared" si="1"/>
        <v>NÃO</v>
      </c>
      <c r="J35" s="50">
        <f t="shared" si="11"/>
        <v>0</v>
      </c>
      <c r="K35" s="51">
        <f t="shared" si="3"/>
        <v>0</v>
      </c>
      <c r="L35" s="52">
        <f t="shared" si="4"/>
        <v>0</v>
      </c>
      <c r="M35" s="53">
        <f t="shared" si="5"/>
        <v>0</v>
      </c>
      <c r="N35" s="54">
        <f t="shared" si="6"/>
        <v>0</v>
      </c>
      <c r="O35" s="55">
        <f t="shared" si="7"/>
        <v>0</v>
      </c>
      <c r="P35" s="56">
        <f t="shared" si="8"/>
        <v>0</v>
      </c>
      <c r="Q35" s="57">
        <f t="shared" si="9"/>
        <v>0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ht="13.5" thickBot="1" x14ac:dyDescent="0.2">
      <c r="A36" s="24">
        <v>39478</v>
      </c>
      <c r="B36" s="25">
        <v>0.33333333333333298</v>
      </c>
      <c r="C36" s="29"/>
      <c r="D36" s="30"/>
      <c r="E36" s="29"/>
      <c r="F36" s="30"/>
      <c r="G36" s="46">
        <f>IF(((F36-E36)+(D36-C36))&gt;B36,B36,(F36-E36)+(D36-C36))</f>
        <v>0</v>
      </c>
      <c r="H36" s="47">
        <f>IF(((F36-E36)+(D36-C36))&gt;B36,((F36-E36)+(D36-C36))-B36,0)</f>
        <v>0</v>
      </c>
      <c r="I36" s="58" t="str">
        <f t="shared" si="1"/>
        <v>NÃO</v>
      </c>
      <c r="J36" s="59">
        <f>G36+H36</f>
        <v>0</v>
      </c>
      <c r="K36" s="60">
        <f>J36*1440</f>
        <v>0</v>
      </c>
      <c r="L36" s="61">
        <f>J36*86400</f>
        <v>0</v>
      </c>
      <c r="M36" s="62">
        <f>L36/60</f>
        <v>0</v>
      </c>
      <c r="N36" s="63">
        <f>M36/1440</f>
        <v>0</v>
      </c>
      <c r="O36" s="64">
        <f>M36*60</f>
        <v>0</v>
      </c>
      <c r="P36" s="65">
        <f>HOUR(J36)+(MINUTE(J36)/60)</f>
        <v>0</v>
      </c>
      <c r="Q36" s="57">
        <f t="shared" si="9"/>
        <v>0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15">
      <c r="A37" s="120" t="s">
        <v>30</v>
      </c>
      <c r="B37" s="120"/>
      <c r="C37" s="120"/>
      <c r="D37" s="120"/>
      <c r="E37" s="120"/>
      <c r="F37" s="31"/>
      <c r="G37" s="95">
        <f>SUM(G6:G36)*1440</f>
        <v>480</v>
      </c>
      <c r="H37" s="96">
        <f>SUM(H6:H36)*1440</f>
        <v>60.000000000000107</v>
      </c>
      <c r="I37" s="66"/>
      <c r="J37" s="97">
        <f>SUM(J6:J36)</f>
        <v>0.37500000000000006</v>
      </c>
      <c r="K37" s="96">
        <f>J37*1440</f>
        <v>540.00000000000011</v>
      </c>
      <c r="L37" s="96">
        <f>J37*86400</f>
        <v>32400.000000000004</v>
      </c>
      <c r="M37" s="98">
        <f>L37/60</f>
        <v>540.00000000000011</v>
      </c>
      <c r="N37" s="97">
        <f>M37/1440</f>
        <v>0.37500000000000006</v>
      </c>
      <c r="O37" s="96">
        <f>M37*60</f>
        <v>32400.000000000007</v>
      </c>
      <c r="P37" s="99">
        <f>HOUR(J37)+(MINUTE(J37)/60)</f>
        <v>9</v>
      </c>
      <c r="Q37" s="100">
        <f>(M37/60)*$C$39</f>
        <v>108.00000000000003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ht="13.5" thickBot="1" x14ac:dyDescent="0.2">
      <c r="A38" s="81"/>
      <c r="B38" s="81"/>
      <c r="C38" s="81"/>
      <c r="D38" s="81"/>
      <c r="E38" s="81"/>
      <c r="F38" s="82"/>
      <c r="G38" s="83"/>
      <c r="H38" s="84"/>
      <c r="I38" s="85"/>
      <c r="J38" s="86"/>
      <c r="K38" s="84"/>
      <c r="L38" s="84"/>
      <c r="M38" s="87"/>
      <c r="N38" s="86"/>
      <c r="O38" s="84"/>
      <c r="P38" s="88"/>
      <c r="Q38" s="89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13.5" thickBot="1" x14ac:dyDescent="0.2">
      <c r="A39" s="123" t="s">
        <v>35</v>
      </c>
      <c r="B39" s="124"/>
      <c r="C39" s="94">
        <v>12</v>
      </c>
      <c r="D39" s="81"/>
      <c r="E39" s="81"/>
      <c r="F39" s="82"/>
      <c r="G39" s="83"/>
      <c r="H39" s="84"/>
      <c r="I39" s="85"/>
      <c r="J39" s="86"/>
      <c r="K39" s="84"/>
      <c r="L39" s="84"/>
      <c r="M39" s="87"/>
      <c r="N39" s="86"/>
      <c r="O39" s="84"/>
      <c r="P39" s="88"/>
      <c r="Q39" s="89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13.5" thickBot="1" x14ac:dyDescent="0.2">
      <c r="A40" s="3"/>
      <c r="B40" s="3"/>
      <c r="C40" s="3"/>
      <c r="D40" s="3"/>
      <c r="E40" s="3"/>
      <c r="F40" s="3"/>
      <c r="G40" s="3"/>
      <c r="H40" s="3"/>
      <c r="I40" s="3"/>
      <c r="J40" s="7"/>
      <c r="K40" s="4"/>
      <c r="L40" s="4"/>
      <c r="M40" s="3"/>
      <c r="N40" s="7"/>
      <c r="O40" s="4"/>
      <c r="P40" s="4"/>
      <c r="Q40" s="32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ht="13.5" thickBot="1" x14ac:dyDescent="0.2">
      <c r="A41" s="113" t="s">
        <v>31</v>
      </c>
      <c r="B41" s="114"/>
      <c r="C41" s="3"/>
      <c r="D41" s="71"/>
      <c r="E41" s="71"/>
      <c r="F41" s="71"/>
      <c r="G41" s="113" t="s">
        <v>33</v>
      </c>
      <c r="H41" s="114"/>
      <c r="I41" s="3"/>
      <c r="J41" s="3"/>
      <c r="K41" s="3"/>
      <c r="L41" s="113" t="s">
        <v>34</v>
      </c>
      <c r="M41" s="114"/>
      <c r="N41" s="73"/>
      <c r="O41" s="4"/>
      <c r="P41" s="4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ht="13.5" thickBot="1" x14ac:dyDescent="0.2">
      <c r="A42" s="90"/>
      <c r="B42" s="91"/>
      <c r="C42" s="3"/>
      <c r="D42" s="69"/>
      <c r="E42" s="69"/>
      <c r="F42" s="68"/>
      <c r="G42" s="110"/>
      <c r="H42" s="110"/>
      <c r="I42" s="3"/>
      <c r="J42" s="5"/>
      <c r="K42" s="3"/>
      <c r="L42" s="110"/>
      <c r="M42" s="110"/>
      <c r="N42" s="74"/>
      <c r="O42" s="4"/>
      <c r="P42" s="4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15">
      <c r="A43" s="79" t="s">
        <v>20</v>
      </c>
      <c r="B43" s="92">
        <f>SUM(K6:K36)/60</f>
        <v>9.0000000000000018</v>
      </c>
      <c r="C43" s="4"/>
      <c r="D43" s="69"/>
      <c r="E43" s="69"/>
      <c r="F43" s="3"/>
      <c r="G43" s="79" t="s">
        <v>20</v>
      </c>
      <c r="H43" s="102">
        <f>SUM(K6:K36,-H37)/60</f>
        <v>8</v>
      </c>
      <c r="I43" s="3"/>
      <c r="J43" s="5"/>
      <c r="K43" s="104"/>
      <c r="L43" s="105" t="s">
        <v>20</v>
      </c>
      <c r="M43" s="80">
        <f>SUM(K6:K36)/60-(G37)/60</f>
        <v>1.0000000000000018</v>
      </c>
      <c r="N43" s="7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15">
      <c r="A44" s="33" t="s">
        <v>21</v>
      </c>
      <c r="B44" s="34">
        <f>SUM(K6:K36)</f>
        <v>540.00000000000011</v>
      </c>
      <c r="C44" s="35"/>
      <c r="D44" s="69"/>
      <c r="E44" s="69"/>
      <c r="F44" s="4"/>
      <c r="G44" s="106"/>
      <c r="H44" s="107"/>
      <c r="I44" s="4"/>
      <c r="J44" s="5"/>
      <c r="K44" s="3"/>
      <c r="L44" s="103" t="s">
        <v>38</v>
      </c>
      <c r="M44" s="109">
        <f>SUM(C39*M43)</f>
        <v>12.000000000000021</v>
      </c>
      <c r="N44" s="76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15">
      <c r="A45" s="33" t="s">
        <v>22</v>
      </c>
      <c r="B45" s="34">
        <f>SUM(L6:L36)</f>
        <v>32400.000000000004</v>
      </c>
      <c r="C45" s="3"/>
      <c r="D45" s="72"/>
      <c r="E45" s="72"/>
      <c r="F45" s="4"/>
      <c r="G45" s="106"/>
      <c r="H45" s="107"/>
      <c r="I45" s="4"/>
      <c r="J45" s="5"/>
      <c r="K45" s="73"/>
      <c r="L45" s="108">
        <v>1.5</v>
      </c>
      <c r="M45" s="34"/>
      <c r="N45" s="76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ht="13.5" thickBot="1" x14ac:dyDescent="0.2">
      <c r="A46" s="36" t="s">
        <v>19</v>
      </c>
      <c r="B46" s="37">
        <f>SUM(Q6:Q36)</f>
        <v>108.00000000000003</v>
      </c>
      <c r="C46" s="3"/>
      <c r="D46" s="70"/>
      <c r="E46" s="70"/>
      <c r="F46" s="3"/>
      <c r="G46" s="36" t="s">
        <v>19</v>
      </c>
      <c r="H46" s="37">
        <f>SUM(H43*C39)</f>
        <v>96</v>
      </c>
      <c r="I46" s="4"/>
      <c r="J46" s="5"/>
      <c r="K46" s="3"/>
      <c r="L46" s="36" t="s">
        <v>19</v>
      </c>
      <c r="M46" s="93">
        <f>SUM(C39*M43)*L45</f>
        <v>18.000000000000032</v>
      </c>
      <c r="N46" s="77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15">
      <c r="A47" s="3"/>
      <c r="B47" s="3"/>
      <c r="C47" s="3"/>
      <c r="D47" s="3"/>
      <c r="E47" s="3"/>
      <c r="F47" s="3"/>
      <c r="G47" s="3"/>
      <c r="H47" s="2"/>
      <c r="I47" s="4"/>
      <c r="J47" s="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15">
      <c r="A48" s="38"/>
      <c r="B48" s="38"/>
      <c r="C48" s="38"/>
      <c r="D48" s="38"/>
      <c r="E48" s="38"/>
      <c r="F48" s="38"/>
      <c r="G48" s="38"/>
      <c r="H48" s="39"/>
      <c r="I48" s="40"/>
      <c r="J48" s="41"/>
      <c r="K48" s="38"/>
      <c r="L48" s="38"/>
      <c r="M48" s="38"/>
      <c r="N48" s="38"/>
      <c r="O48" s="38"/>
      <c r="P48" s="42"/>
      <c r="Q48" s="42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15">
      <c r="A49" s="3"/>
      <c r="B49" s="3"/>
      <c r="C49" s="3"/>
      <c r="D49" s="3"/>
      <c r="E49" s="3"/>
      <c r="F49" s="3"/>
      <c r="G49" s="3"/>
      <c r="H49" s="4"/>
      <c r="I49" s="4"/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15">
      <c r="A50" s="4"/>
      <c r="B50" s="3"/>
      <c r="C50" s="3"/>
      <c r="D50" s="3"/>
      <c r="E50" s="3"/>
      <c r="F50" s="3"/>
      <c r="G50" s="3"/>
      <c r="H50" s="5"/>
      <c r="I50" s="43"/>
      <c r="J50" s="5"/>
      <c r="K50" s="5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15">
      <c r="A51" s="70"/>
      <c r="B51" s="70"/>
      <c r="C51" s="70"/>
      <c r="D51" s="70"/>
      <c r="E51" s="3"/>
      <c r="F51" s="3"/>
      <c r="G51" s="3"/>
      <c r="H51" s="2"/>
      <c r="I51" s="4"/>
      <c r="J51" s="5"/>
      <c r="K51" s="3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15">
      <c r="A52" s="125" t="s">
        <v>37</v>
      </c>
      <c r="B52" s="125"/>
      <c r="C52" s="125"/>
      <c r="D52" s="125"/>
      <c r="E52" s="125"/>
      <c r="F52" s="125"/>
      <c r="G52" s="125"/>
      <c r="H52" s="125"/>
      <c r="I52" s="125"/>
      <c r="J52" s="125"/>
      <c r="K52" s="3"/>
      <c r="L52" s="3"/>
      <c r="M52" s="10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15">
      <c r="A53" s="3"/>
      <c r="B53" s="3"/>
      <c r="C53" s="3"/>
      <c r="D53" s="44"/>
      <c r="E53" s="3"/>
      <c r="F53" s="3"/>
      <c r="G53" s="3"/>
      <c r="H53" s="48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x14ac:dyDescent="0.15">
      <c r="A54" s="3"/>
      <c r="B54" s="3"/>
      <c r="C54" s="121" t="s">
        <v>36</v>
      </c>
      <c r="D54" s="122"/>
      <c r="E54" s="122"/>
      <c r="F54" s="122"/>
      <c r="G54" s="3"/>
      <c r="H54" s="48"/>
      <c r="I54" s="4"/>
      <c r="J54" s="3"/>
      <c r="K54" s="3"/>
      <c r="L54" s="7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x14ac:dyDescent="0.15">
      <c r="A55" s="3"/>
      <c r="B55" s="3"/>
      <c r="C55" s="3"/>
      <c r="D55" s="3"/>
      <c r="E55" s="3"/>
      <c r="F55" s="3"/>
      <c r="G55" s="3"/>
      <c r="H55" s="48"/>
      <c r="I55" s="4"/>
      <c r="J55" s="3"/>
      <c r="K55" s="3"/>
      <c r="L55" s="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15">
      <c r="A56" s="3"/>
      <c r="B56" s="3"/>
      <c r="C56" s="3"/>
      <c r="D56" s="3"/>
      <c r="E56" s="3"/>
      <c r="F56" s="3"/>
      <c r="G56" s="3"/>
      <c r="H56" s="48"/>
      <c r="I56" s="4"/>
      <c r="J56" s="3"/>
      <c r="K56" s="3"/>
      <c r="L56" s="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15">
      <c r="A57" s="3"/>
      <c r="B57" s="3"/>
      <c r="C57" s="3"/>
      <c r="D57" s="3"/>
      <c r="E57" s="3"/>
      <c r="F57" s="3"/>
      <c r="G57" s="3"/>
      <c r="H57" s="48"/>
      <c r="I57" s="4"/>
      <c r="J57" s="3"/>
      <c r="K57" s="3"/>
      <c r="L57" s="7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15">
      <c r="A58" s="3"/>
      <c r="B58" s="3"/>
      <c r="C58" s="3"/>
      <c r="D58" s="3"/>
      <c r="E58" s="3"/>
      <c r="F58" s="3"/>
      <c r="G58" s="3"/>
      <c r="H58" s="48"/>
      <c r="I58" s="4"/>
      <c r="J58" s="3"/>
      <c r="K58" s="3"/>
      <c r="L58" s="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x14ac:dyDescent="0.15">
      <c r="A59" s="3"/>
      <c r="B59" s="3"/>
      <c r="C59" s="3"/>
      <c r="D59" s="3"/>
      <c r="E59" s="3"/>
      <c r="F59" s="3"/>
      <c r="G59" s="3"/>
      <c r="H59" s="2"/>
      <c r="I59" s="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15">
      <c r="A60" s="3"/>
      <c r="B60" s="3"/>
      <c r="C60" s="3"/>
      <c r="D60" s="3"/>
      <c r="E60" s="3"/>
      <c r="F60" s="3"/>
      <c r="G60" s="3"/>
      <c r="H60" s="2"/>
      <c r="I60" s="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15">
      <c r="A61" s="3"/>
      <c r="B61" s="3"/>
      <c r="C61" s="3"/>
      <c r="D61" s="3"/>
      <c r="E61" s="3"/>
      <c r="F61" s="3"/>
      <c r="G61" s="3"/>
      <c r="H61" s="2"/>
      <c r="I61" s="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15">
      <c r="A62" s="3"/>
      <c r="B62" s="3"/>
      <c r="C62" s="3"/>
      <c r="D62" s="3"/>
      <c r="E62" s="3"/>
      <c r="F62" s="3"/>
      <c r="G62" s="3"/>
      <c r="H62" s="2"/>
      <c r="I62" s="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15">
      <c r="A63" s="3"/>
      <c r="B63" s="3"/>
      <c r="C63" s="3"/>
      <c r="D63" s="3"/>
      <c r="E63" s="3"/>
      <c r="F63" s="3"/>
      <c r="G63" s="3"/>
      <c r="H63" s="2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15">
      <c r="A64" s="3"/>
      <c r="B64" s="3"/>
      <c r="C64" s="3"/>
      <c r="D64" s="3"/>
      <c r="E64" s="3"/>
      <c r="F64" s="3"/>
      <c r="G64" s="3"/>
      <c r="H64" s="2"/>
      <c r="I64" s="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x14ac:dyDescent="0.15">
      <c r="A65" s="3"/>
      <c r="B65" s="3"/>
      <c r="C65" s="3"/>
      <c r="D65" s="3"/>
      <c r="E65" s="3"/>
      <c r="F65" s="3"/>
      <c r="G65" s="3"/>
      <c r="H65" s="2"/>
      <c r="I65" s="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x14ac:dyDescent="0.15">
      <c r="A66" s="3"/>
      <c r="B66" s="3"/>
      <c r="C66" s="3"/>
      <c r="D66" s="3"/>
      <c r="E66" s="3"/>
      <c r="F66" s="3"/>
      <c r="G66" s="3"/>
      <c r="H66" s="2"/>
      <c r="I66" s="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x14ac:dyDescent="0.15">
      <c r="A67" s="3"/>
      <c r="B67" s="3"/>
      <c r="C67" s="3"/>
      <c r="D67" s="3"/>
      <c r="E67" s="3"/>
      <c r="F67" s="3"/>
      <c r="G67" s="3"/>
      <c r="H67" s="2"/>
      <c r="I67" s="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x14ac:dyDescent="0.15">
      <c r="A68" s="3"/>
      <c r="B68" s="3"/>
      <c r="C68" s="3"/>
      <c r="D68" s="3"/>
      <c r="E68" s="3"/>
      <c r="F68" s="3"/>
      <c r="G68" s="3"/>
      <c r="H68" s="2"/>
      <c r="I68" s="4"/>
      <c r="J68" s="6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1:45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45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</sheetData>
  <dataConsolidate/>
  <mergeCells count="19">
    <mergeCell ref="C54:F54"/>
    <mergeCell ref="A39:B39"/>
    <mergeCell ref="A52:J52"/>
    <mergeCell ref="G1:K2"/>
    <mergeCell ref="A3:B3"/>
    <mergeCell ref="I4:L4"/>
    <mergeCell ref="E4:F4"/>
    <mergeCell ref="G4:H4"/>
    <mergeCell ref="J3:K3"/>
    <mergeCell ref="G42:H42"/>
    <mergeCell ref="L42:M42"/>
    <mergeCell ref="N3:Q3"/>
    <mergeCell ref="A41:B41"/>
    <mergeCell ref="A4:B4"/>
    <mergeCell ref="M4:P4"/>
    <mergeCell ref="C4:D4"/>
    <mergeCell ref="A37:E37"/>
    <mergeCell ref="G41:H41"/>
    <mergeCell ref="L41:M41"/>
  </mergeCells>
  <phoneticPr fontId="2" type="noConversion"/>
  <hyperlinks>
    <hyperlink ref="C54" r:id="rId1" xr:uid="{00000000-0004-0000-0000-000000000000}"/>
  </hyperlink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6" orientation="landscape" verticalDpi="300" r:id="rId2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</dc:creator>
  <cp:lastModifiedBy>X</cp:lastModifiedBy>
  <cp:lastPrinted>2007-09-05T03:47:48Z</cp:lastPrinted>
  <dcterms:created xsi:type="dcterms:W3CDTF">2007-09-05T01:53:57Z</dcterms:created>
  <dcterms:modified xsi:type="dcterms:W3CDTF">2017-07-06T15:31:58Z</dcterms:modified>
</cp:coreProperties>
</file>