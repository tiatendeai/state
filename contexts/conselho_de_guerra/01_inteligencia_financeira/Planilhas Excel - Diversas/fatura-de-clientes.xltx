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026"/>
  <workbookPr codeName="ThisWorkbook"/>
  <mc:AlternateContent xmlns:mc="http://schemas.openxmlformats.org/markup-compatibility/2006">
    <mc:Choice Requires="x15">
      <x15ac:absPath xmlns:x15ac="http://schemas.microsoft.com/office/spreadsheetml/2010/11/ac" url="\\deli\projects\Office_Online\technicians\ZivYang\20190829\Bug 3590497\pt-BR\target\"/>
    </mc:Choice>
  </mc:AlternateContent>
  <xr:revisionPtr revIDLastSave="0" documentId="13_ncr:1_{EA8D30C2-D7BB-4F50-8F4A-A101B2D1AFF4}" xr6:coauthVersionLast="45" xr6:coauthVersionMax="45" xr10:uidLastSave="{00000000-0000-0000-0000-000000000000}"/>
  <bookViews>
    <workbookView xWindow="-120" yWindow="-120" windowWidth="24960" windowHeight="16215" xr2:uid="{00000000-000D-0000-FFFF-FFFF00000000}"/>
  </bookViews>
  <sheets>
    <sheet name="Fatura" sheetId="1" r:id="rId1"/>
    <sheet name="Clientes" sheetId="3" r:id="rId2"/>
    <sheet name="Faturas – Principal" sheetId="2" r:id="rId3"/>
    <sheet name="Detalhes da fatura" sheetId="4" r:id="rId4"/>
    <sheet name="Sobre o controlador de faturas" sheetId="6" r:id="rId5"/>
  </sheets>
  <definedNames>
    <definedName name="DetalhesNoFatura">"DetalhesDaFatura[Invoice No]"</definedName>
    <definedName name="No_Fatura">FaturasPrincipal[Nº da fatura]</definedName>
    <definedName name="NomeDaEmpresa">Fatura!$B$1</definedName>
    <definedName name="PesquisaCliente">ListaClientes[Pesquisar]</definedName>
    <definedName name="rngFatura">Fatura!$G$4</definedName>
    <definedName name="_xlnm.Print_Titles" localSheetId="1">Clientes!$1:$3</definedName>
    <definedName name="_xlnm.Print_Titles" localSheetId="3">'Detalhes da fatura'!$1:$3</definedName>
    <definedName name="_xlnm.Print_Titles" localSheetId="2">'Faturas – Principal'!$1:$3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0" i="1" l="1" a="1"/>
  <c r="F10" i="1" s="1"/>
  <c r="F11" i="1" a="1"/>
  <c r="F11" i="1" s="1"/>
  <c r="F12" i="1" a="1"/>
  <c r="F12" i="1" s="1"/>
  <c r="F13" i="1" a="1"/>
  <c r="F13" i="1" s="1"/>
  <c r="F14" i="1" a="1"/>
  <c r="F14" i="1" s="1"/>
  <c r="F15" i="1" a="1"/>
  <c r="F15" i="1" s="1"/>
  <c r="F16" i="1" a="1"/>
  <c r="F16" i="1" s="1"/>
  <c r="F17" i="1" a="1"/>
  <c r="F17" i="1" s="1"/>
  <c r="F18" i="1" a="1"/>
  <c r="F18" i="1" s="1"/>
  <c r="F19" i="1" a="1"/>
  <c r="F19" i="1" s="1"/>
  <c r="F20" i="1" a="1"/>
  <c r="F20" i="1" s="1"/>
  <c r="F21" i="1" a="1"/>
  <c r="F21" i="1" s="1"/>
  <c r="F22" i="1" a="1"/>
  <c r="F22" i="1" s="1"/>
  <c r="F23" i="1" a="1"/>
  <c r="F23" i="1" s="1"/>
  <c r="F24" i="1" a="1"/>
  <c r="F24" i="1" s="1"/>
  <c r="F25" i="1" a="1"/>
  <c r="F25" i="1" s="1"/>
  <c r="F26" i="1" a="1"/>
  <c r="F26" i="1" s="1"/>
  <c r="F27" i="1" a="1"/>
  <c r="F27" i="1" s="1"/>
  <c r="F28" i="1" a="1"/>
  <c r="F28" i="1" s="1"/>
  <c r="F29" i="1" a="1"/>
  <c r="F29" i="1" s="1"/>
  <c r="F30" i="1" a="1"/>
  <c r="F30" i="1" s="1"/>
  <c r="F31" i="1" a="1"/>
  <c r="F31" i="1" s="1"/>
  <c r="F32" i="1" a="1"/>
  <c r="F32" i="1" s="1"/>
  <c r="F33" i="1" a="1"/>
  <c r="F33" i="1" s="1"/>
  <c r="F9" i="1" a="1"/>
  <c r="F9" i="1" s="1"/>
  <c r="E10" i="1" a="1"/>
  <c r="E10" i="1" s="1"/>
  <c r="E11" i="1" a="1"/>
  <c r="E11" i="1" s="1"/>
  <c r="E12" i="1" a="1"/>
  <c r="E12" i="1" s="1"/>
  <c r="E13" i="1" a="1"/>
  <c r="E13" i="1" s="1"/>
  <c r="E14" i="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28" i="1" a="1"/>
  <c r="E28" i="1" s="1"/>
  <c r="E29" i="1" a="1"/>
  <c r="E29" i="1" s="1"/>
  <c r="E30" i="1" a="1"/>
  <c r="E30" i="1" s="1"/>
  <c r="E31" i="1" a="1"/>
  <c r="E31" i="1" s="1"/>
  <c r="E32" i="1" a="1"/>
  <c r="E32" i="1" s="1"/>
  <c r="E33" i="1" a="1"/>
  <c r="E33" i="1" s="1"/>
  <c r="E9" i="1" a="1"/>
  <c r="E9" i="1" s="1"/>
  <c r="D10" i="1" a="1"/>
  <c r="D10" i="1"/>
  <c r="D11" i="1" a="1"/>
  <c r="D11" i="1"/>
  <c r="D12" i="1" a="1"/>
  <c r="D12" i="1"/>
  <c r="D13" i="1" a="1"/>
  <c r="D13" i="1"/>
  <c r="D14" i="1" a="1"/>
  <c r="D14" i="1"/>
  <c r="D15" i="1" a="1"/>
  <c r="D15" i="1"/>
  <c r="D16" i="1" a="1"/>
  <c r="D16" i="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28" i="1" a="1"/>
  <c r="D28" i="1" s="1"/>
  <c r="D29" i="1" a="1"/>
  <c r="D29" i="1" s="1"/>
  <c r="D30" i="1" a="1"/>
  <c r="D30" i="1" s="1"/>
  <c r="D31" i="1" a="1"/>
  <c r="D31" i="1" s="1"/>
  <c r="D32" i="1" a="1"/>
  <c r="D32" i="1" s="1"/>
  <c r="D33" i="1" a="1"/>
  <c r="D33" i="1" s="1"/>
  <c r="D9" i="1" a="1"/>
  <c r="D9" i="1" s="1"/>
  <c r="C10" i="1" a="1"/>
  <c r="C10" i="1" s="1"/>
  <c r="C11" i="1" a="1"/>
  <c r="C11" i="1" s="1"/>
  <c r="C12" i="1" a="1"/>
  <c r="C12" i="1" s="1"/>
  <c r="C13" i="1" a="1"/>
  <c r="C13" i="1" s="1"/>
  <c r="C14" i="1" a="1"/>
  <c r="C14" i="1" s="1"/>
  <c r="C15" i="1" a="1"/>
  <c r="C15" i="1" s="1"/>
  <c r="C16" i="1" a="1"/>
  <c r="C16" i="1" s="1"/>
  <c r="C17" i="1" a="1"/>
  <c r="C17" i="1" s="1"/>
  <c r="C18" i="1" a="1"/>
  <c r="C18" i="1" s="1"/>
  <c r="C19" i="1" a="1"/>
  <c r="C19" i="1" s="1"/>
  <c r="C20" i="1" a="1"/>
  <c r="C20" i="1" s="1"/>
  <c r="C21" i="1" a="1"/>
  <c r="C21" i="1" s="1"/>
  <c r="C22" i="1" a="1"/>
  <c r="C22" i="1" s="1"/>
  <c r="C23" i="1" a="1"/>
  <c r="C23" i="1" s="1"/>
  <c r="C24" i="1" a="1"/>
  <c r="C24" i="1" s="1"/>
  <c r="C25" i="1" a="1"/>
  <c r="C25" i="1" s="1"/>
  <c r="C26" i="1" a="1"/>
  <c r="C26" i="1" s="1"/>
  <c r="C27" i="1" a="1"/>
  <c r="C27" i="1" s="1"/>
  <c r="C28" i="1" a="1"/>
  <c r="C28" i="1" s="1"/>
  <c r="C29" i="1" a="1"/>
  <c r="C29" i="1" s="1"/>
  <c r="C30" i="1" a="1"/>
  <c r="C30" i="1" s="1"/>
  <c r="C31" i="1" a="1"/>
  <c r="C31" i="1" s="1"/>
  <c r="C32" i="1" a="1"/>
  <c r="C32" i="1" s="1"/>
  <c r="C33" i="1" a="1"/>
  <c r="C33" i="1" s="1"/>
  <c r="C9" i="1" a="1"/>
  <c r="C9" i="1" s="1"/>
  <c r="B14" i="1" a="1"/>
  <c r="B14" i="1"/>
  <c r="B15" i="1" a="1"/>
  <c r="B15" i="1"/>
  <c r="B16" i="1" a="1"/>
  <c r="B16" i="1"/>
  <c r="B17" i="1" a="1"/>
  <c r="B17" i="1" s="1"/>
  <c r="B18" i="1" a="1"/>
  <c r="B18" i="1" s="1"/>
  <c r="B19" i="1" a="1"/>
  <c r="B19" i="1" s="1"/>
  <c r="B20" i="1" a="1"/>
  <c r="B20" i="1" s="1"/>
  <c r="B21" i="1" a="1"/>
  <c r="B21" i="1" s="1"/>
  <c r="B22" i="1" a="1"/>
  <c r="B22" i="1" s="1"/>
  <c r="B23" i="1" a="1"/>
  <c r="B23" i="1" s="1"/>
  <c r="B24" i="1" a="1"/>
  <c r="B24" i="1" s="1"/>
  <c r="B25" i="1" a="1"/>
  <c r="B25" i="1" s="1"/>
  <c r="B26" i="1" a="1"/>
  <c r="B26" i="1" s="1"/>
  <c r="B27" i="1" a="1"/>
  <c r="B27" i="1" s="1"/>
  <c r="B28" i="1" a="1"/>
  <c r="B28" i="1" s="1"/>
  <c r="B29" i="1" a="1"/>
  <c r="B29" i="1" s="1"/>
  <c r="B30" i="1" a="1"/>
  <c r="B30" i="1" s="1"/>
  <c r="B31" i="1" a="1"/>
  <c r="B31" i="1" s="1"/>
  <c r="B32" i="1" a="1"/>
  <c r="B32" i="1" s="1"/>
  <c r="B33" i="1" a="1"/>
  <c r="B33" i="1" s="1"/>
  <c r="B10" i="1" a="1"/>
  <c r="B10" i="1" s="1"/>
  <c r="B11" i="1" a="1"/>
  <c r="B11" i="1"/>
  <c r="B12" i="1" a="1"/>
  <c r="B12" i="1"/>
  <c r="B13" i="1" a="1"/>
  <c r="B13" i="1"/>
  <c r="B9" i="1" a="1"/>
  <c r="B9" i="1" s="1"/>
  <c r="B38" i="1"/>
  <c r="B7" i="1"/>
  <c r="C6" i="3"/>
  <c r="C6" i="2"/>
  <c r="G9" i="1" l="1"/>
  <c r="D5" i="2" l="1"/>
  <c r="D4" i="2"/>
  <c r="G37" i="1" l="1"/>
  <c r="G38" i="1"/>
  <c r="G5" i="1" l="1"/>
  <c r="G6" i="2" l="1"/>
  <c r="H6" i="2"/>
  <c r="H28" i="4" l="1"/>
  <c r="G35" i="1" l="1"/>
  <c r="H31" i="4"/>
  <c r="H32" i="4"/>
  <c r="H33" i="4"/>
  <c r="H34" i="4"/>
  <c r="H35" i="4"/>
  <c r="H36" i="4"/>
  <c r="H37" i="4"/>
  <c r="H38" i="4"/>
  <c r="H39" i="4"/>
  <c r="H40" i="4"/>
  <c r="H29" i="4"/>
  <c r="H4" i="4"/>
  <c r="H5" i="4"/>
  <c r="H6" i="4"/>
  <c r="H7" i="4"/>
  <c r="H8" i="4"/>
  <c r="H9" i="4"/>
  <c r="H10" i="4"/>
  <c r="H11" i="4"/>
  <c r="H12" i="4"/>
  <c r="H13" i="4"/>
  <c r="H14" i="4"/>
  <c r="H15" i="4"/>
  <c r="H16" i="4"/>
  <c r="H17" i="4"/>
  <c r="H18" i="4"/>
  <c r="H19" i="4"/>
  <c r="H20" i="4"/>
  <c r="H21" i="4"/>
  <c r="H22" i="4"/>
  <c r="H23" i="4"/>
  <c r="H24" i="4"/>
  <c r="H25" i="4"/>
  <c r="H26" i="4"/>
  <c r="H27" i="4"/>
  <c r="H30" i="4"/>
  <c r="I5" i="2" l="1"/>
  <c r="J5" i="2" s="1"/>
  <c r="I4" i="2"/>
  <c r="I6" i="2" l="1"/>
  <c r="J4" i="2"/>
  <c r="J6" i="2" s="1"/>
  <c r="G33" i="1" l="1"/>
  <c r="G31" i="1"/>
  <c r="G29" i="1"/>
  <c r="G32" i="1"/>
  <c r="G30" i="1"/>
  <c r="G14" i="1" l="1"/>
  <c r="G12" i="1"/>
  <c r="G10" i="1"/>
  <c r="G27" i="1"/>
  <c r="G25" i="1"/>
  <c r="G23" i="1"/>
  <c r="G21" i="1"/>
  <c r="G19" i="1"/>
  <c r="G15" i="1"/>
  <c r="G13" i="1"/>
  <c r="G11" i="1"/>
  <c r="G18" i="1"/>
  <c r="G17" i="1"/>
  <c r="G16" i="1"/>
  <c r="G28" i="1"/>
  <c r="G26" i="1"/>
  <c r="G24" i="1"/>
  <c r="G22" i="1"/>
  <c r="G20" i="1"/>
  <c r="G34" i="1" l="1"/>
  <c r="G36" i="1" s="1"/>
  <c r="B5" i="3" l="1"/>
  <c r="B4" i="3"/>
  <c r="D5" i="1" s="1"/>
  <c r="D6" i="1" l="1"/>
  <c r="C5" i="1"/>
  <c r="C4" i="1"/>
  <c r="D4" i="1"/>
  <c r="C6" i="1"/>
  <c r="G39" i="1"/>
</calcChain>
</file>

<file path=xl/sharedStrings.xml><?xml version="1.0" encoding="utf-8"?>
<sst xmlns="http://schemas.openxmlformats.org/spreadsheetml/2006/main" count="225" uniqueCount="161">
  <si>
    <t>Nome da Empresa</t>
  </si>
  <si>
    <t>Endereço</t>
  </si>
  <si>
    <t>Cidade, estado, CEP</t>
  </si>
  <si>
    <t>Cobrança para:</t>
  </si>
  <si>
    <t>Endereço:</t>
  </si>
  <si>
    <t>Nº do item</t>
  </si>
  <si>
    <t>Total devido em &lt;#&gt; dias. Contas em atraso devido a um encargo de serviço de &lt;#&gt;% por mês.</t>
  </si>
  <si>
    <t>Descrição</t>
  </si>
  <si>
    <t>Tel.: Número do telefone</t>
  </si>
  <si>
    <t>Fax: Número do fax</t>
  </si>
  <si>
    <t>Qtd.</t>
  </si>
  <si>
    <t>Preço unitário</t>
  </si>
  <si>
    <t>Email</t>
  </si>
  <si>
    <t>Site</t>
  </si>
  <si>
    <t>Nº da fatura:</t>
  </si>
  <si>
    <t>Data da fatura:</t>
  </si>
  <si>
    <t>Desconto</t>
  </si>
  <si>
    <t>Subtotal da fatura</t>
  </si>
  <si>
    <t>Alíquota de imposto</t>
  </si>
  <si>
    <t>Imposto</t>
  </si>
  <si>
    <t>Outros</t>
  </si>
  <si>
    <t>Depósito recebido</t>
  </si>
  <si>
    <t>TOTAL</t>
  </si>
  <si>
    <t>3-456-2</t>
  </si>
  <si>
    <t>Preço</t>
  </si>
  <si>
    <t>Pesquisar</t>
  </si>
  <si>
    <t>Totais</t>
  </si>
  <si>
    <t>Clientes</t>
  </si>
  <si>
    <t>Nº da empresa</t>
  </si>
  <si>
    <t>Nome da empresa</t>
  </si>
  <si>
    <t xml:space="preserve">Tailspin Toys </t>
  </si>
  <si>
    <t>Contoso, Ltd</t>
  </si>
  <si>
    <t>Nome de contato</t>
  </si>
  <si>
    <t>Pedro Gonçalves</t>
  </si>
  <si>
    <t>Brenda Fernandes</t>
  </si>
  <si>
    <t>Rua Ipê-amarelo, 111</t>
  </si>
  <si>
    <t>Rua Castanheira, 555</t>
  </si>
  <si>
    <t>Cidade</t>
  </si>
  <si>
    <t>São Paulo</t>
  </si>
  <si>
    <t>Campinas</t>
  </si>
  <si>
    <t>Estado</t>
  </si>
  <si>
    <t>SP</t>
  </si>
  <si>
    <t>CEP</t>
  </si>
  <si>
    <t>123456</t>
  </si>
  <si>
    <t>098765</t>
  </si>
  <si>
    <t>Telefone</t>
  </si>
  <si>
    <t>(55) 3555-0178</t>
  </si>
  <si>
    <t>(55) 3555-0189</t>
  </si>
  <si>
    <t>pessoa@example.com</t>
  </si>
  <si>
    <t>pessoa@exemplo.com</t>
  </si>
  <si>
    <t>Fax</t>
  </si>
  <si>
    <t>(55) 3693-9595</t>
  </si>
  <si>
    <t>(55) 3693-0123</t>
  </si>
  <si>
    <t>Faturas</t>
  </si>
  <si>
    <t>Nº da fatura</t>
  </si>
  <si>
    <t>3-456-1</t>
  </si>
  <si>
    <t>Empresa</t>
  </si>
  <si>
    <t xml:space="preserve">1 - Tailspin Toys </t>
  </si>
  <si>
    <t>2 - Contoso, Ltd</t>
  </si>
  <si>
    <t>Data da fatura</t>
  </si>
  <si>
    <t>Descrição do projeto</t>
  </si>
  <si>
    <t>Projeto 1</t>
  </si>
  <si>
    <t>Projeto 2</t>
  </si>
  <si>
    <t>Depósito</t>
  </si>
  <si>
    <t>Total de detalhes</t>
  </si>
  <si>
    <t>Total da fatura</t>
  </si>
  <si>
    <t>Anotações</t>
  </si>
  <si>
    <t>Detalhes da fatura</t>
  </si>
  <si>
    <t>Fatura 3-456-1 Dados 1</t>
  </si>
  <si>
    <t>Fatura 3-456-1 Dados 2</t>
  </si>
  <si>
    <t>Fatura 3-456-1 Dados 3</t>
  </si>
  <si>
    <t>Fatura 3-456-1 Dados 4</t>
  </si>
  <si>
    <t>Fatura 3-456-1 Dados 5</t>
  </si>
  <si>
    <t>Fatura 3-456-1 Dados 6</t>
  </si>
  <si>
    <t>Fatura 3-456-1 Dados 7</t>
  </si>
  <si>
    <t>Fatura 3-456-1 Dados 8</t>
  </si>
  <si>
    <t>Fatura 3-456-1 Dados 9</t>
  </si>
  <si>
    <t>Fatura 3-456-1 Dados 10</t>
  </si>
  <si>
    <t>Fatura 3-456-1 Dados 11</t>
  </si>
  <si>
    <t>Fatura 3-456-1 Dados 12</t>
  </si>
  <si>
    <t>Fatura 3-456-1 Dados 13</t>
  </si>
  <si>
    <t>Fatura 3-456-1 Dados 14</t>
  </si>
  <si>
    <t>Fatura 3-456-1 Dados 15</t>
  </si>
  <si>
    <t>Fatura 3-456-1 Dados 16</t>
  </si>
  <si>
    <t>Fatura 3-456-1 Dados 17</t>
  </si>
  <si>
    <t>Fatura 3-456-1 Dados 18</t>
  </si>
  <si>
    <t>Fatura 3-456-1 Dados 19</t>
  </si>
  <si>
    <t>Fatura 3-456-1 Dados 20</t>
  </si>
  <si>
    <t>Fatura 3-456-1 Dados 21</t>
  </si>
  <si>
    <t>Fatura 3-456-1 Dados 22</t>
  </si>
  <si>
    <t>Fatura 3-456-1 Dados 23</t>
  </si>
  <si>
    <t>Fatura 3-456-1 Dados 24</t>
  </si>
  <si>
    <t>Fatura 3-456-1 Dados 25</t>
  </si>
  <si>
    <t>Fatura 3-456-2 Dados 1</t>
  </si>
  <si>
    <t>Fatura 3-456-2 Dados 2</t>
  </si>
  <si>
    <t>Fatura 3-456-2 Dados 3</t>
  </si>
  <si>
    <t>Fatura 3-456-2 Dados 4</t>
  </si>
  <si>
    <t>Fatura 3-456-2 Dados 5</t>
  </si>
  <si>
    <t>Fatura 3-456-2 Dados 6</t>
  </si>
  <si>
    <t>Fatura 3-456-2 Dados 7</t>
  </si>
  <si>
    <t>Fatura 3-456-2 Dados 8</t>
  </si>
  <si>
    <t>Fatura 3-456-2 Dados 9</t>
  </si>
  <si>
    <t>Fatura 3-456-2 Dados 10</t>
  </si>
  <si>
    <t>Fatura 3-456-2 Dados 11</t>
  </si>
  <si>
    <t>Fatura 3-456-2 Dados 12</t>
  </si>
  <si>
    <t>Z4567</t>
  </si>
  <si>
    <t>Z4568</t>
  </si>
  <si>
    <t>Z4569</t>
  </si>
  <si>
    <t>Z4570</t>
  </si>
  <si>
    <t>Z4571</t>
  </si>
  <si>
    <t>Z4572</t>
  </si>
  <si>
    <t>Z4573</t>
  </si>
  <si>
    <t>Z4574</t>
  </si>
  <si>
    <t>Z4575</t>
  </si>
  <si>
    <t>Z4576</t>
  </si>
  <si>
    <t>Z4577</t>
  </si>
  <si>
    <t>Z4578</t>
  </si>
  <si>
    <t>Total</t>
  </si>
  <si>
    <t>Sobre o Controlador de Faturas</t>
  </si>
  <si>
    <t>O Controlador de Faturas é projetado para manter um histórico de clientes, de faturas e seus detalhes para que você possa armazenar várias faturas sem criar vários arquivos. Você também pode usar o Controlador de Faturas para analisar os dados faturados anteriormente. Por exemplo, você pode exibir todas as faturas de um cliente, de um projeto específico ou exibir todas as faturas do último mês ou ano e muito mais.</t>
  </si>
  <si>
    <t xml:space="preserve">Antes de começar, observe os dados de exemplo fornecidos. Na planilha Fatura, selecione a célula à direita de Nº da fatura (célula L8) para exibir uma lista suspensa. Selecione a seta do menu suspenso e depois selecione uma fatura de exemplo. Observe como todas as informações da fatura são automaticamente alteradas para corresponder à fatura selecionada. Agora observe as planilhas Clientes, Faturas - Principal e Detalhes da fatura. As informações presentes nessas planilhas são utilizadas na fatura, de modo que, quaisquer alterações feitas nelas serão atualizadas automaticamente. </t>
  </si>
  <si>
    <t>Como faço para começar?</t>
  </si>
  <si>
    <t>Use as etapas a seguir para modificar a planilha Fatura de modo que ela contenha as informações da sua empresa.</t>
  </si>
  <si>
    <t>1.</t>
  </si>
  <si>
    <t>2.</t>
  </si>
  <si>
    <t>3.</t>
  </si>
  <si>
    <r>
      <rPr>
        <b/>
        <sz val="11"/>
        <color theme="2" tint="-0.749961851863155"/>
        <rFont val="Calibri"/>
        <family val="2"/>
        <scheme val="minor"/>
      </rPr>
      <t>Dica:</t>
    </r>
    <r>
      <rPr>
        <sz val="11"/>
        <color theme="2" tint="-0.749961851863155"/>
        <rFont val="Calibri"/>
        <family val="2"/>
        <scheme val="minor"/>
      </rPr>
      <t xml:space="preserve"> Crie um conjunto de cores de tema personalizado que corresponda à identidade visual da sua empresa! Para fazer isso, na guia </t>
    </r>
    <r>
      <rPr>
        <b/>
        <sz val="11"/>
        <color theme="2" tint="-0.749961851863155"/>
        <rFont val="Calibri"/>
        <family val="2"/>
        <scheme val="minor"/>
      </rPr>
      <t>Layout da Página</t>
    </r>
    <r>
      <rPr>
        <sz val="11"/>
        <color theme="2" tint="-0.749961851863155"/>
        <rFont val="Calibri"/>
        <family val="2"/>
        <scheme val="minor"/>
      </rPr>
      <t xml:space="preserve">, no grupo </t>
    </r>
    <r>
      <rPr>
        <b/>
        <sz val="11"/>
        <color theme="2" tint="-0.749961851863155"/>
        <rFont val="Calibri"/>
        <family val="2"/>
        <scheme val="minor"/>
      </rPr>
      <t>Temas</t>
    </r>
    <r>
      <rPr>
        <sz val="11"/>
        <color theme="2" tint="-0.749961851863155"/>
        <rFont val="Calibri"/>
        <family val="2"/>
        <scheme val="minor"/>
      </rPr>
      <t xml:space="preserve">, selecione </t>
    </r>
    <r>
      <rPr>
        <b/>
        <sz val="11"/>
        <color theme="2" tint="-0.749961851863155"/>
        <rFont val="Calibri"/>
        <family val="2"/>
        <scheme val="minor"/>
      </rPr>
      <t>Cores</t>
    </r>
    <r>
      <rPr>
        <sz val="11"/>
        <color theme="2" tint="-0.749961851863155"/>
        <rFont val="Calibri"/>
        <family val="2"/>
        <scheme val="minor"/>
      </rPr>
      <t xml:space="preserve"> e depois</t>
    </r>
    <r>
      <rPr>
        <b/>
        <sz val="11"/>
        <color theme="2" tint="-0.749961851863155"/>
        <rFont val="Calibri"/>
        <family val="2"/>
        <scheme val="minor"/>
      </rPr>
      <t xml:space="preserve"> Personalizar Cores</t>
    </r>
    <r>
      <rPr>
        <sz val="11"/>
        <color theme="2" tint="-0.749961851863155"/>
        <rFont val="Calibri"/>
        <family val="2"/>
        <scheme val="minor"/>
      </rPr>
      <t xml:space="preserve">. Para obter mais informações sobre como criar um conjunto de cores personalizado, consulte o tópico de Ajuda a seguir. </t>
    </r>
  </si>
  <si>
    <t>4.</t>
  </si>
  <si>
    <t>Como faço para criar uma fatura?</t>
  </si>
  <si>
    <t>Como faço para adicionar mais clientes, faturas e detalhes da fatura?</t>
  </si>
  <si>
    <t>Os dados de clientes, faturas e os detalhes da fatura são armazenados em tabelas do Excel. Ao adicionar uma nova linha a uma tabela, a linha recém-adicionada será formatada automaticamente e todos os cálculos serão copiados. Para adicionar novas linhas de tabela, siga um destes procedimentos:</t>
  </si>
  <si>
    <t xml:space="preserve">● </t>
  </si>
  <si>
    <t>Como faço para analisar os detalhes da fatura?</t>
  </si>
  <si>
    <t>Conforme observado na seção Sobre o Controlador de Faturas, depois de inserir várias faturas, você pode exibir uma lista com todas as faturas de um cliente, um projeto, um intervalo de datas especificado e muito mais. Esse tipo de análise é realizado usando um Filtro que permite limitar rapidamente uma lista de dados. Para acessar um filtro nas tabelas Clientes, Faturas ou Detalhes da fatura, selecione a seta do menu suspenso ao lado do nome de cada tabela. Um Painel de filtros será exibido, oferecendo várias opções de filtragem. Aqui estão alguns exemplos de filtragem que ajudam você a começar:</t>
  </si>
  <si>
    <t>Dicas de filtro</t>
  </si>
  <si>
    <r>
      <t xml:space="preserve">Navegue até a planilha </t>
    </r>
    <r>
      <rPr>
        <b/>
        <sz val="11"/>
        <color theme="2" tint="-0.749961851863155"/>
        <rFont val="Calibri"/>
        <family val="2"/>
        <scheme val="minor"/>
      </rPr>
      <t xml:space="preserve">Fatura </t>
    </r>
    <r>
      <rPr>
        <sz val="11"/>
        <color theme="2" tint="-0.749961851863155"/>
        <rFont val="Calibri"/>
        <family val="2"/>
        <scheme val="minor"/>
      </rPr>
      <t xml:space="preserve">e, na guia </t>
    </r>
    <r>
      <rPr>
        <b/>
        <sz val="11"/>
        <color theme="2" tint="-0.749961851863155"/>
        <rFont val="Calibri"/>
        <family val="2"/>
        <scheme val="minor"/>
      </rPr>
      <t>Revisão</t>
    </r>
    <r>
      <rPr>
        <sz val="11"/>
        <color theme="2" tint="-0.749961851863155"/>
        <rFont val="Calibri"/>
        <family val="2"/>
        <scheme val="minor"/>
      </rPr>
      <t xml:space="preserve">, no grupo </t>
    </r>
    <r>
      <rPr>
        <b/>
        <sz val="11"/>
        <color theme="2" tint="-0.749961851863155"/>
        <rFont val="Calibri"/>
        <family val="2"/>
        <scheme val="minor"/>
      </rPr>
      <t>Proteger</t>
    </r>
    <r>
      <rPr>
        <sz val="11"/>
        <color theme="2" tint="-0.749961851863155"/>
        <rFont val="Calibri"/>
        <family val="2"/>
        <scheme val="minor"/>
      </rPr>
      <t xml:space="preserve">, selecione </t>
    </r>
    <r>
      <rPr>
        <b/>
        <sz val="11"/>
        <color theme="2" tint="-0.749961851863155"/>
        <rFont val="Calibri"/>
        <family val="2"/>
        <scheme val="minor"/>
      </rPr>
      <t>Desproteger Planilha</t>
    </r>
    <r>
      <rPr>
        <sz val="11"/>
        <color theme="2" tint="-0.749961851863155"/>
        <rFont val="Calibri"/>
        <family val="2"/>
        <scheme val="minor"/>
      </rPr>
      <t xml:space="preserve">. </t>
    </r>
  </si>
  <si>
    <r>
      <rPr>
        <b/>
        <sz val="11"/>
        <color theme="2" tint="-0.749961851863155"/>
        <rFont val="Calibri"/>
        <family val="2"/>
        <scheme val="minor"/>
      </rPr>
      <t>Observação:</t>
    </r>
    <r>
      <rPr>
        <sz val="11"/>
        <color theme="2" tint="-0.749961851863155"/>
        <rFont val="Calibri"/>
        <family val="2"/>
        <scheme val="minor"/>
      </rPr>
      <t xml:space="preserve"> a planilha Fatura está protegida para evitar alterações não intencionais, uma vez que, como mencionado anteriormente, a maioria dos dados nesta planilha é extraída de todas as outras planilhas da pasta de trabalho. </t>
    </r>
  </si>
  <si>
    <t xml:space="preserve">Personalize o cabeçalho da fatura digitando o nome da sua empresa, endereço, cidade, estado, CEP, endereço de email, site e assim por diante. Na parte inferior da fatura (linha 43), modifique as instruções de pagamento. </t>
  </si>
  <si>
    <r>
      <rPr>
        <b/>
        <sz val="11"/>
        <color theme="2" tint="-0.749961851863155"/>
        <rFont val="Calibri"/>
        <family val="2"/>
        <scheme val="minor"/>
      </rPr>
      <t>Importante!</t>
    </r>
    <r>
      <rPr>
        <sz val="11"/>
        <color theme="2" tint="-0.749961851863155"/>
        <rFont val="Calibri"/>
        <family val="2"/>
        <scheme val="minor"/>
      </rPr>
      <t xml:space="preserve"> Não modifique as informações de cobrança ou de fatura. Todas essas células têm fórmulas que atualizarão a fatura automaticamente, conforme observado na</t>
    </r>
    <r>
      <rPr>
        <i/>
        <sz val="11"/>
        <color theme="2" tint="-0.749961851863155"/>
        <rFont val="Calibri"/>
        <family val="2"/>
        <scheme val="minor"/>
      </rPr>
      <t xml:space="preserve"> seção</t>
    </r>
    <r>
      <rPr>
        <sz val="11"/>
        <color theme="2" tint="-0.749961851863155"/>
        <rFont val="Calibri"/>
        <family val="2"/>
        <scheme val="minor"/>
      </rPr>
      <t xml:space="preserve"> Sobre o Controlador de Faturas.  </t>
    </r>
  </si>
  <si>
    <r>
      <rPr>
        <i/>
        <sz val="11"/>
        <color theme="2" tint="-0.749961851863155"/>
        <rFont val="Calibri"/>
        <family val="2"/>
        <scheme val="minor"/>
      </rPr>
      <t xml:space="preserve">(Opcional) </t>
    </r>
    <r>
      <rPr>
        <sz val="11"/>
        <color theme="2" tint="-0.749961851863155"/>
        <rFont val="Calibri"/>
        <family val="2"/>
        <scheme val="minor"/>
      </rPr>
      <t xml:space="preserve">Modifique as cores de toda a pasta de trabalho: Na guia </t>
    </r>
    <r>
      <rPr>
        <b/>
        <sz val="11"/>
        <color theme="2" tint="-0.749961851863155"/>
        <rFont val="Calibri"/>
        <family val="2"/>
        <scheme val="minor"/>
      </rPr>
      <t>Layout da Página</t>
    </r>
    <r>
      <rPr>
        <sz val="11"/>
        <color theme="2" tint="-0.749961851863155"/>
        <rFont val="Calibri"/>
        <family val="2"/>
        <scheme val="minor"/>
      </rPr>
      <t xml:space="preserve">, no grupo </t>
    </r>
    <r>
      <rPr>
        <b/>
        <sz val="11"/>
        <color theme="2" tint="-0.749961851863155"/>
        <rFont val="Calibri"/>
        <family val="2"/>
        <scheme val="minor"/>
      </rPr>
      <t>Temas</t>
    </r>
    <r>
      <rPr>
        <sz val="11"/>
        <color theme="2" tint="-0.749961851863155"/>
        <rFont val="Calibri"/>
        <family val="2"/>
        <scheme val="minor"/>
      </rPr>
      <t xml:space="preserve">, selecione </t>
    </r>
    <r>
      <rPr>
        <b/>
        <sz val="11"/>
        <color theme="2" tint="-0.749961851863155"/>
        <rFont val="Calibri"/>
        <family val="2"/>
        <scheme val="minor"/>
      </rPr>
      <t>Cores</t>
    </r>
    <r>
      <rPr>
        <sz val="11"/>
        <color theme="2" tint="-0.749961851863155"/>
        <rFont val="Calibri"/>
        <family val="2"/>
        <scheme val="minor"/>
      </rPr>
      <t xml:space="preserve"> e depois selecione outro conjunto de cores de tema na galeria de cores. </t>
    </r>
  </si>
  <si>
    <t>Personalizar um tema de documento.</t>
  </si>
  <si>
    <t>Depois de fazer as alterações desejadas, volte para a planilha Fatura e, na guia Revisão, no grupo Proteger, selecione Proteger Planilha e depois selecione OK. Quando a planilha Fatura estiver protegida, a única célula que é possível selecionar é a célula com o menu suspenso do Nº da fatura.</t>
  </si>
  <si>
    <t xml:space="preserve">Na planilha Clientes, insira as informações dos clientes, como o nome e o endereço da empresa. Observe que a informação Nº da empresa é uma entrada importante, pois fornece um identificador exclusivo para cada empresa, o qual será usado em todo o Controlador de Faturas. Observe também que você só precisa adicionar a empresa uma vez. Para faturas subsequentes da mesma empresa, essa etapa pode ser ignorada. </t>
  </si>
  <si>
    <r>
      <rPr>
        <b/>
        <sz val="11"/>
        <color theme="2" tint="-0.749961851863155"/>
        <rFont val="Calibri"/>
        <family val="2"/>
        <scheme val="minor"/>
      </rPr>
      <t>Observação:</t>
    </r>
    <r>
      <rPr>
        <sz val="11"/>
        <color theme="2" tint="-0.749961851863155"/>
        <rFont val="Calibri"/>
        <family val="2"/>
        <scheme val="minor"/>
      </rPr>
      <t xml:space="preserve">  se você atribuir o mesmo número para mais de uma empresa ou inserir o mesmo nome de empresa mais de uma vez, essas entradas ficarão vermelhas para alertar que ocorreu uma duplicação. </t>
    </r>
  </si>
  <si>
    <t>Na planilha Faturas - Principal, insira as informações principais da sua fatura, como Nº da fatura, Data da fatura e Descrição do projeto. Assim como a informação Nº da empresa, o Nº da fatura também é uma entrada importante, pois fornece um identificador exclusivo para cada fatura, o qual é usado em todo o Controlador de Faturas. Outra entrada importante é a Empresa. Ao selecionar uma empresa no menu suspenso fornecido, ele associa sua fatura a essa empresa. Depois disso, ao selecionar um Nº de fatura na planilha Fatura, as informações da empresa, como nome e endereço, serão automaticamente preenchidas na fatura.</t>
  </si>
  <si>
    <r>
      <rPr>
        <b/>
        <sz val="11"/>
        <color theme="2" tint="-0.749961851863155"/>
        <rFont val="Calibri"/>
        <family val="2"/>
        <scheme val="minor"/>
      </rPr>
      <t>Observação:</t>
    </r>
    <r>
      <rPr>
        <sz val="11"/>
        <color theme="2" tint="-0.749961851863155"/>
        <rFont val="Calibri"/>
        <family val="2"/>
        <scheme val="minor"/>
      </rPr>
      <t xml:space="preserve">  se você atribuir o mesmo número a mais de uma fatura, as entradas ficarão vermelhas para alertar que ocorreu uma duplicação. </t>
    </r>
  </si>
  <si>
    <t>Na planilha Detalhes da fatura, insira os detalhes da fatura, como Descrição do item, Nº do item, Quantidade e Preço unitário. O menu suspenso do Nº da fatura fornece uma lista com as faturas inseridas na planilha Faturas - Principal para facilitar a entrada de dados. De modo semelhante ao Nº da empresa na etapa anterior, o Nº da fatura associa esse item de detalhe a uma fatura específica. Na planilha Fatura, ao selecionar um dos números de fatura no menu suspenso Nº da fatura, serão exibidos os itens de detalhes relacionada a essa fatura.</t>
  </si>
  <si>
    <r>
      <rPr>
        <b/>
        <sz val="11"/>
        <color theme="2" tint="-0.749961851863155"/>
        <rFont val="Calibri"/>
        <family val="2"/>
        <scheme val="minor"/>
      </rPr>
      <t>Observação:</t>
    </r>
    <r>
      <rPr>
        <sz val="11"/>
        <color theme="2" tint="-0.749961851863155"/>
        <rFont val="Calibri"/>
        <family val="2"/>
        <scheme val="minor"/>
      </rPr>
      <t xml:space="preserve"> há um limite de 25 itens de detalhe por fatura. Se mais de 25 itens forem adicionados, todas as entradas correspondentes ficarão vermelhas para alertar quanto a essa limitação. Se você tiver mais de 25 itens para adicionar, será necessário criar uma segunda fatura. </t>
    </r>
  </si>
  <si>
    <t>Se a tabela não tiver uma linha de Total, comece a digitar abaixo da tabela, e ela será expandida automaticamente quando você pressionar as teclas Enter ou Tab.</t>
  </si>
  <si>
    <t>Coloque o ponteiro da célula na última célula acima da linha de Total, como na tabela Faturas na célula Observações da última fatura e pressione a tecla Tab.</t>
  </si>
  <si>
    <r>
      <t xml:space="preserve">Na guia </t>
    </r>
    <r>
      <rPr>
        <b/>
        <sz val="11"/>
        <color theme="2" tint="-0.749961851863155"/>
        <rFont val="Calibri"/>
        <family val="2"/>
        <scheme val="minor"/>
      </rPr>
      <t>Página Inserir</t>
    </r>
    <r>
      <rPr>
        <sz val="11"/>
        <color theme="2" tint="-0.749961851863155"/>
        <rFont val="Calibri"/>
        <family val="2"/>
        <scheme val="minor"/>
      </rPr>
      <t xml:space="preserve">, no grupo </t>
    </r>
    <r>
      <rPr>
        <b/>
        <sz val="11"/>
        <color theme="2" tint="-0.749961851863155"/>
        <rFont val="Calibri"/>
        <family val="2"/>
        <scheme val="minor"/>
      </rPr>
      <t>Células</t>
    </r>
    <r>
      <rPr>
        <sz val="11"/>
        <color theme="2" tint="-0.749961851863155"/>
        <rFont val="Calibri"/>
        <family val="2"/>
        <scheme val="minor"/>
      </rPr>
      <t xml:space="preserve">, selecione </t>
    </r>
    <r>
      <rPr>
        <b/>
        <sz val="11"/>
        <color theme="2" tint="-0.749961851863155"/>
        <rFont val="Calibri"/>
        <family val="2"/>
        <scheme val="minor"/>
      </rPr>
      <t>Inserir,</t>
    </r>
    <r>
      <rPr>
        <sz val="11"/>
        <color theme="2" tint="-0.749961851863155"/>
        <rFont val="Calibri"/>
        <family val="2"/>
        <scheme val="minor"/>
      </rPr>
      <t xml:space="preserve"> e depois selecione </t>
    </r>
    <r>
      <rPr>
        <b/>
        <sz val="11"/>
        <color theme="2" tint="-0.749961851863155"/>
        <rFont val="Calibri"/>
        <family val="2"/>
        <scheme val="minor"/>
      </rPr>
      <t>Linha de Tabela Acima</t>
    </r>
    <r>
      <rPr>
        <sz val="11"/>
        <color theme="2" tint="-0.749961851863155"/>
        <rFont val="Calibri"/>
        <family val="2"/>
        <scheme val="minor"/>
      </rPr>
      <t xml:space="preserve"> ou </t>
    </r>
    <r>
      <rPr>
        <b/>
        <sz val="11"/>
        <color theme="2" tint="-0.749961851863155"/>
        <rFont val="Calibri"/>
        <family val="2"/>
        <scheme val="minor"/>
      </rPr>
      <t>Linha de Tabela Abaixo</t>
    </r>
    <r>
      <rPr>
        <sz val="11"/>
        <color theme="2" tint="-0.749961851863155"/>
        <rFont val="Calibri"/>
        <family val="2"/>
        <scheme val="minor"/>
      </rPr>
      <t xml:space="preserve">. </t>
    </r>
  </si>
  <si>
    <t>No canto inferior direito da tabela, coloque o mouse sobre a alça de dimensionamento e arraste para baixo para aumentar o número de linhas de tabela disponíveis.</t>
  </si>
  <si>
    <r>
      <rPr>
        <b/>
        <sz val="11"/>
        <color theme="4"/>
        <rFont val="Calibri"/>
        <family val="2"/>
        <scheme val="minor"/>
      </rPr>
      <t>Para exibir o valor total da fatura de um cliente específico:</t>
    </r>
    <r>
      <rPr>
        <b/>
        <sz val="11"/>
        <color theme="2" tint="-0.749961851863155"/>
        <rFont val="Calibri"/>
        <family val="2"/>
        <scheme val="minor"/>
      </rPr>
      <t xml:space="preserve"> </t>
    </r>
    <r>
      <rPr>
        <sz val="11"/>
        <color theme="2" tint="-0.749961851863155"/>
        <rFont val="Calibri"/>
        <family val="2"/>
        <scheme val="minor"/>
      </rPr>
      <t xml:space="preserve">Na planilha Faturas - Principal, ao lado do campo Nº da empresa, selecione a seta do menu suspenso. No painel Filtro, clique em Selecionar Tudo para desmarcar todas as empresas, selecione a empresa desejada e depois selecione OK. </t>
    </r>
  </si>
  <si>
    <r>
      <rPr>
        <b/>
        <sz val="11"/>
        <color theme="2" tint="-0.749961851863155"/>
        <rFont val="Calibri"/>
        <family val="2"/>
        <scheme val="minor"/>
      </rPr>
      <t>Dica:</t>
    </r>
    <r>
      <rPr>
        <sz val="11"/>
        <color theme="2" tint="-0.749961851863155"/>
        <rFont val="Calibri"/>
        <family val="2"/>
        <scheme val="minor"/>
      </rPr>
      <t xml:space="preserve"> No painel </t>
    </r>
    <r>
      <rPr>
        <b/>
        <sz val="11"/>
        <color theme="2" tint="-0.749961851863155"/>
        <rFont val="Calibri"/>
        <family val="2"/>
        <scheme val="minor"/>
      </rPr>
      <t>Filtro</t>
    </r>
    <r>
      <rPr>
        <sz val="11"/>
        <color theme="2" tint="-0.749961851863155"/>
        <rFont val="Calibri"/>
        <family val="2"/>
        <scheme val="minor"/>
      </rPr>
      <t xml:space="preserve">, também é possível digitar o nome do cliente na caixa de texto </t>
    </r>
    <r>
      <rPr>
        <b/>
        <sz val="11"/>
        <color theme="2" tint="-0.749961851863155"/>
        <rFont val="Calibri"/>
        <family val="2"/>
        <scheme val="minor"/>
      </rPr>
      <t>Pesquisar</t>
    </r>
    <r>
      <rPr>
        <sz val="11"/>
        <color theme="2" tint="-0.749961851863155"/>
        <rFont val="Calibri"/>
        <family val="2"/>
        <scheme val="minor"/>
      </rPr>
      <t xml:space="preserve"> para pesquisar rapidamente a lista disponível.</t>
    </r>
  </si>
  <si>
    <r>
      <rPr>
        <b/>
        <sz val="11"/>
        <color theme="4"/>
        <rFont val="Calibri"/>
        <family val="2"/>
        <scheme val="minor"/>
      </rPr>
      <t>Para exibir todas as faturas de um cliente ou projeto específico:</t>
    </r>
    <r>
      <rPr>
        <sz val="11"/>
        <color theme="2" tint="-0.749961851863155"/>
        <rFont val="Calibri"/>
        <family val="2"/>
        <scheme val="minor"/>
      </rPr>
      <t xml:space="preserve"> Comece filtrando pelo cliente desejado usando as etapas fornecidas no exemplo anterior. Em seguida, à direita do Nº do projeto, selecione a seta do menu suspenso. No painel Filtro, selecione o projeto ou projetos desejados e depois selecione OK. </t>
    </r>
  </si>
  <si>
    <r>
      <rPr>
        <b/>
        <sz val="11"/>
        <color theme="4"/>
        <rFont val="Calibri"/>
        <family val="2"/>
        <scheme val="minor"/>
      </rPr>
      <t>Para exibir todas as faturas do mês anterior:</t>
    </r>
    <r>
      <rPr>
        <b/>
        <sz val="11"/>
        <color rgb="FF3DAFA7"/>
        <rFont val="Calibri"/>
        <family val="2"/>
        <scheme val="minor"/>
      </rPr>
      <t xml:space="preserve"> </t>
    </r>
    <r>
      <rPr>
        <sz val="11"/>
        <color theme="2" tint="-0.749961851863155"/>
        <rFont val="Calibri"/>
        <family val="2"/>
        <scheme val="minor"/>
      </rPr>
      <t>Na planilha Faturas - Principal, à direita do campo Data da fatura, selecione a seta do menu suspenso, posicione o mouse sobre Filtros de Data e selecione Mês Passado.</t>
    </r>
  </si>
  <si>
    <r>
      <rPr>
        <b/>
        <sz val="11"/>
        <color theme="4"/>
        <rFont val="Calibri"/>
        <family val="2"/>
        <scheme val="minor"/>
      </rPr>
      <t>Para exibir todos os clientes com o mesmo código de área:</t>
    </r>
    <r>
      <rPr>
        <sz val="11"/>
        <color rgb="FF3DAFA7"/>
        <rFont val="Calibri"/>
        <family val="2"/>
        <scheme val="minor"/>
      </rPr>
      <t xml:space="preserve"> </t>
    </r>
    <r>
      <rPr>
        <sz val="11"/>
        <color theme="2" tint="-0.749961851863155"/>
        <rFont val="Calibri"/>
        <family val="2"/>
        <scheme val="minor"/>
      </rPr>
      <t xml:space="preserve">Na planilha Clientes, à direita do campo Telefone, selecione a seta do menu suspenso. No painel Filtro, clique na caixa de texto Pesquisar, digite o código de área e selecione </t>
    </r>
    <r>
      <rPr>
        <b/>
        <sz val="11"/>
        <color theme="2" tint="-0.749961851863155"/>
        <rFont val="Calibri"/>
        <family val="2"/>
        <scheme val="minor"/>
      </rPr>
      <t>OK.</t>
    </r>
    <r>
      <rPr>
        <sz val="11"/>
        <color theme="2" tint="-0.749961851863155"/>
        <rFont val="Calibri"/>
        <family val="2"/>
        <scheme val="minor"/>
      </rPr>
      <t xml:space="preserve"> </t>
    </r>
  </si>
  <si>
    <t>Caso uma tabela tenha uma linha de total, como Clientes e Faturas, os totais calculados refletirão apenas a lista filtrada.</t>
  </si>
  <si>
    <t>Use vários filtros em um único campo ou em vários campos para ajustar os resultados.</t>
  </si>
  <si>
    <r>
      <t xml:space="preserve">Para limpar um único filtro, selecione a seta do menu suspenso de uma coluna filtrada anteriormente e depois selecione </t>
    </r>
    <r>
      <rPr>
        <b/>
        <sz val="11"/>
        <color theme="2" tint="-0.749961851863155"/>
        <rFont val="Calibri"/>
        <family val="2"/>
        <scheme val="minor"/>
      </rPr>
      <t xml:space="preserve">Limpar Filtro de </t>
    </r>
    <r>
      <rPr>
        <b/>
        <i/>
        <sz val="11"/>
        <color theme="2" tint="-0.749961851863155"/>
        <rFont val="Calibri"/>
        <family val="2"/>
        <scheme val="minor"/>
      </rPr>
      <t>&lt;nome do campo&gt;</t>
    </r>
    <r>
      <rPr>
        <sz val="11"/>
        <color theme="2" tint="-0.749961851863155"/>
        <rFont val="Calibri"/>
        <family val="2"/>
        <scheme val="minor"/>
      </rPr>
      <t>.</t>
    </r>
  </si>
  <si>
    <r>
      <t xml:space="preserve">Para limpar vários filtros ao mesmo tempo, posicione o ponteiro do mouse na tabela, na guia </t>
    </r>
    <r>
      <rPr>
        <b/>
        <sz val="11"/>
        <color theme="2" tint="-0.749961851863155"/>
        <rFont val="Calibri"/>
        <family val="2"/>
        <scheme val="minor"/>
      </rPr>
      <t>Página Inicial</t>
    </r>
    <r>
      <rPr>
        <sz val="11"/>
        <color theme="2" tint="-0.749961851863155"/>
        <rFont val="Calibri"/>
        <family val="2"/>
        <scheme val="minor"/>
      </rPr>
      <t xml:space="preserve">, no grupo </t>
    </r>
    <r>
      <rPr>
        <b/>
        <sz val="11"/>
        <color theme="2" tint="-0.749961851863155"/>
        <rFont val="Calibri"/>
        <family val="2"/>
        <scheme val="minor"/>
      </rPr>
      <t>Edição</t>
    </r>
    <r>
      <rPr>
        <sz val="11"/>
        <color theme="2" tint="-0.749961851863155"/>
        <rFont val="Calibri"/>
        <family val="2"/>
        <scheme val="minor"/>
      </rPr>
      <t xml:space="preserve">, selecione </t>
    </r>
    <r>
      <rPr>
        <b/>
        <sz val="11"/>
        <color theme="2" tint="-0.749961851863155"/>
        <rFont val="Calibri"/>
        <family val="2"/>
        <scheme val="minor"/>
      </rPr>
      <t>Classificar e Filtrar</t>
    </r>
    <r>
      <rPr>
        <sz val="11"/>
        <color theme="2" tint="-0.749961851863155"/>
        <rFont val="Calibri"/>
        <family val="2"/>
        <scheme val="minor"/>
      </rPr>
      <t xml:space="preserve"> e depois </t>
    </r>
    <r>
      <rPr>
        <b/>
        <sz val="11"/>
        <color theme="2" tint="-0.749961851863155"/>
        <rFont val="Calibri"/>
        <family val="2"/>
        <scheme val="minor"/>
      </rPr>
      <t>Limpar.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</si>
</sst>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7" formatCode="&quot;R$&quot;\ #,##0.00;\-&quot;R$&quot;\ #,##0.00"/>
    <numFmt numFmtId="42" formatCode="_-&quot;R$&quot;\ * #,##0_-;\-&quot;R$&quot;\ * #,##0_-;_-&quot;R$&quot;\ * &quot;-&quot;_-;_-@_-"/>
    <numFmt numFmtId="44" formatCode="_-&quot;R$&quot;\ * #,##0.00_-;\-&quot;R$&quot;\ * #,##0.00_-;_-&quot;R$&quot;\ * &quot;-&quot;??_-;_-@_-"/>
    <numFmt numFmtId="164" formatCode="_(* #,##0_);_(* \(#,##0\);_(* &quot;-&quot;_);_(@_)"/>
    <numFmt numFmtId="165" formatCode="_(* #,##0.00_);_(* \(#,##0.00\);_(* &quot;-&quot;??_);_(@_)"/>
    <numFmt numFmtId="166" formatCode="[&lt;=9999999]###\-####;\(###\)\ ###\-####"/>
    <numFmt numFmtId="167" formatCode="&quot;R$&quot;\ #,##0.00"/>
  </numFmts>
  <fonts count="42" x14ac:knownFonts="1">
    <font>
      <sz val="11"/>
      <color theme="2" tint="-0.749961851863155"/>
      <name val="Calibri"/>
      <family val="2"/>
      <scheme val="minor"/>
    </font>
    <font>
      <sz val="11"/>
      <color theme="1"/>
      <name val="Calibri"/>
      <family val="2"/>
      <scheme val="minor"/>
    </font>
    <font>
      <b/>
      <sz val="10"/>
      <name val="Arial"/>
      <family val="2"/>
    </font>
    <font>
      <sz val="10"/>
      <name val="Calibri"/>
      <family val="2"/>
      <scheme val="minor"/>
    </font>
    <font>
      <sz val="11"/>
      <name val="Calibri"/>
      <family val="1"/>
      <scheme val="minor"/>
    </font>
    <font>
      <sz val="9"/>
      <name val="Calibri"/>
      <family val="2"/>
      <scheme val="minor"/>
    </font>
    <font>
      <sz val="10"/>
      <color theme="2" tint="-0.249977111117893"/>
      <name val="Calibri"/>
      <family val="2"/>
      <scheme val="minor"/>
    </font>
    <font>
      <sz val="14"/>
      <color theme="4" tint="-0.24994659260841701"/>
      <name val="Calibri"/>
      <family val="2"/>
    </font>
    <font>
      <sz val="10"/>
      <color theme="4" tint="0.59999389629810485"/>
      <name val="Calibri"/>
      <family val="2"/>
    </font>
    <font>
      <sz val="10"/>
      <color theme="2" tint="-0.749961851863155"/>
      <name val="Calibri"/>
      <family val="2"/>
      <scheme val="minor"/>
    </font>
    <font>
      <sz val="12"/>
      <color theme="4" tint="-0.499984740745262"/>
      <name val="Calibri"/>
      <family val="2"/>
      <scheme val="minor"/>
    </font>
    <font>
      <sz val="16"/>
      <color theme="4" tint="-0.24994659260841701"/>
      <name val="Calibri"/>
      <family val="2"/>
      <scheme val="minor"/>
    </font>
    <font>
      <sz val="14"/>
      <color theme="4" tint="-0.24994659260841701"/>
      <name val="Calibri"/>
      <family val="2"/>
      <scheme val="minor"/>
    </font>
    <font>
      <b/>
      <sz val="25"/>
      <color theme="0"/>
      <name val="Arial"/>
      <family val="2"/>
      <scheme val="major"/>
    </font>
    <font>
      <sz val="11"/>
      <color theme="2" tint="-0.89996032593768116"/>
      <name val="Calibri"/>
      <family val="2"/>
      <scheme val="minor"/>
    </font>
    <font>
      <b/>
      <sz val="11"/>
      <color theme="1"/>
      <name val="Calibri"/>
      <family val="2"/>
      <scheme val="minor"/>
    </font>
    <font>
      <sz val="11"/>
      <color theme="5" tint="-0.24994659260841701"/>
      <name val="Calibri"/>
      <family val="2"/>
      <scheme val="minor"/>
    </font>
    <font>
      <sz val="14"/>
      <color theme="4" tint="-0.24994659260841701"/>
      <name val="Arial"/>
      <family val="2"/>
      <scheme val="major"/>
    </font>
    <font>
      <sz val="12"/>
      <color theme="4" tint="-0.499984740745262"/>
      <name val="Arial"/>
      <family val="2"/>
      <scheme val="major"/>
    </font>
    <font>
      <sz val="11"/>
      <color theme="4" tint="-0.24994659260841701"/>
      <name val="Calibri"/>
      <family val="2"/>
      <scheme val="minor"/>
    </font>
    <font>
      <sz val="11"/>
      <color theme="1" tint="0.14993743705557422"/>
      <name val="Calibri"/>
      <family val="2"/>
      <scheme val="minor"/>
    </font>
    <font>
      <sz val="11"/>
      <color theme="2" tint="-0.89989928891872917"/>
      <name val="Calibri"/>
      <family val="2"/>
      <scheme val="minor"/>
    </font>
    <font>
      <sz val="11"/>
      <color theme="4" tint="-0.24994659260841701"/>
      <name val="Arial"/>
      <family val="2"/>
      <scheme val="major"/>
    </font>
    <font>
      <sz val="11"/>
      <color theme="2" tint="-0.749992370372631"/>
      <name val="Calibri"/>
      <family val="2"/>
      <scheme val="minor"/>
    </font>
    <font>
      <sz val="11"/>
      <color theme="4" tint="-0.499984740745262"/>
      <name val="Arial"/>
      <family val="2"/>
      <scheme val="major"/>
    </font>
    <font>
      <sz val="11"/>
      <color theme="4" tint="-0.499984740745262"/>
      <name val="Calibri"/>
      <family val="2"/>
      <scheme val="minor"/>
    </font>
    <font>
      <b/>
      <sz val="11"/>
      <color theme="2" tint="-0.749961851863155"/>
      <name val="Calibri"/>
      <family val="2"/>
      <scheme val="minor"/>
    </font>
    <font>
      <i/>
      <sz val="11"/>
      <color theme="2" tint="-0.749961851863155"/>
      <name val="Calibri"/>
      <family val="2"/>
      <scheme val="minor"/>
    </font>
    <font>
      <b/>
      <sz val="11"/>
      <color rgb="FF3DAFA7"/>
      <name val="Calibri"/>
      <family val="2"/>
      <scheme val="minor"/>
    </font>
    <font>
      <sz val="11"/>
      <color rgb="FF3DAFA7"/>
      <name val="Calibri"/>
      <family val="2"/>
      <scheme val="minor"/>
    </font>
    <font>
      <b/>
      <sz val="11"/>
      <color theme="4"/>
      <name val="Calibri"/>
      <family val="2"/>
      <scheme val="minor"/>
    </font>
    <font>
      <b/>
      <i/>
      <sz val="11"/>
      <color theme="2" tint="-0.749961851863155"/>
      <name val="Calibri"/>
      <family val="2"/>
      <scheme val="minor"/>
    </font>
    <font>
      <sz val="11"/>
      <color theme="2" tint="-0.749961851863155"/>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theme="0"/>
      <name val="Calibri"/>
      <family val="2"/>
      <scheme val="minor"/>
    </font>
  </fonts>
  <fills count="36">
    <fill>
      <patternFill patternType="none"/>
    </fill>
    <fill>
      <patternFill patternType="gray125"/>
    </fill>
    <fill>
      <patternFill patternType="solid">
        <fgColor theme="0"/>
        <bgColor indexed="64"/>
      </patternFill>
    </fill>
    <fill>
      <patternFill patternType="solid">
        <fgColor theme="4" tint="0.39997558519241921"/>
        <bgColor indexed="64"/>
      </patternFill>
    </fill>
    <fill>
      <patternFill patternType="solid">
        <fgColor theme="4" tint="0.39997558519241921"/>
        <bgColor indexed="65"/>
      </patternFill>
    </fill>
    <fill>
      <patternFill patternType="solid">
        <fgColor theme="4" tint="-0.24994659260841701"/>
        <bgColor indexed="64"/>
      </patternFill>
    </fill>
    <fill>
      <patternFill patternType="solid">
        <fgColor theme="4" tint="0.79998168889431442"/>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59999389629810485"/>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3">
    <border>
      <left/>
      <right/>
      <top/>
      <bottom/>
      <diagonal/>
    </border>
    <border>
      <left style="thin">
        <color theme="4"/>
      </left>
      <right style="thin">
        <color theme="4"/>
      </right>
      <top style="thin">
        <color theme="4"/>
      </top>
      <bottom style="thin">
        <color theme="4"/>
      </bottom>
      <diagonal/>
    </border>
    <border>
      <left style="thin">
        <color theme="2" tint="-0.499984740745262"/>
      </left>
      <right style="thin">
        <color theme="4"/>
      </right>
      <top style="thin">
        <color theme="4"/>
      </top>
      <bottom style="thin">
        <color theme="4"/>
      </bottom>
      <diagonal/>
    </border>
    <border>
      <left/>
      <right/>
      <top style="thick">
        <color theme="2"/>
      </top>
      <bottom/>
      <diagonal/>
    </border>
    <border>
      <left/>
      <right style="thin">
        <color theme="4"/>
      </right>
      <top/>
      <bottom/>
      <diagonal/>
    </border>
    <border>
      <left/>
      <right style="thin">
        <color theme="2" tint="-0.499984740745262"/>
      </right>
      <top/>
      <bottom/>
      <diagonal/>
    </border>
    <border>
      <left style="thin">
        <color theme="4"/>
      </left>
      <right style="thin">
        <color theme="4"/>
      </right>
      <top style="double">
        <color theme="4"/>
      </top>
      <bottom style="thin">
        <color theme="4"/>
      </bottom>
      <diagonal/>
    </border>
    <border>
      <left/>
      <right/>
      <top/>
      <bottom style="thick">
        <color theme="4" tint="0.59996337778862885"/>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s>
  <cellStyleXfs count="49">
    <xf numFmtId="0" fontId="0" fillId="0" borderId="0" applyNumberFormat="0" applyFill="0" applyBorder="0">
      <alignment vertical="top" wrapText="1"/>
    </xf>
    <xf numFmtId="0" fontId="20" fillId="0" borderId="0" applyNumberFormat="0" applyFill="0" applyBorder="0" applyAlignment="0" applyProtection="0"/>
    <xf numFmtId="0" fontId="18" fillId="0" borderId="0" applyNumberFormat="0" applyFill="0" applyBorder="0" applyProtection="0">
      <alignment vertical="center"/>
    </xf>
    <xf numFmtId="0" fontId="7" fillId="0" borderId="0" applyNumberFormat="0" applyFill="0" applyBorder="0" applyAlignment="0" applyProtection="0"/>
    <xf numFmtId="10" fontId="3" fillId="0" borderId="0" applyFont="0" applyFill="0" applyBorder="0" applyProtection="0">
      <alignment horizontal="left"/>
    </xf>
    <xf numFmtId="0" fontId="19" fillId="0" borderId="0" applyNumberFormat="0" applyFill="0" applyBorder="0" applyAlignment="0" applyProtection="0">
      <alignment vertical="top" wrapText="1"/>
    </xf>
    <xf numFmtId="0" fontId="13" fillId="5" borderId="7" applyNumberFormat="0" applyAlignment="0" applyProtection="0"/>
    <xf numFmtId="0" fontId="14" fillId="4" borderId="0" applyNumberFormat="0" applyBorder="0" applyAlignment="0" applyProtection="0"/>
    <xf numFmtId="0" fontId="17" fillId="0" borderId="0" applyFill="0" applyBorder="0" applyProtection="0">
      <alignment horizontal="left" vertical="center"/>
    </xf>
    <xf numFmtId="0" fontId="16" fillId="0" borderId="0" applyNumberFormat="0" applyFill="0" applyBorder="0" applyAlignment="0" applyProtection="0"/>
    <xf numFmtId="0" fontId="21" fillId="0" borderId="0" applyNumberFormat="0" applyFill="0" applyBorder="0" applyAlignment="0" applyProtection="0"/>
    <xf numFmtId="0" fontId="15" fillId="0" borderId="6" applyNumberFormat="0" applyAlignment="0" applyProtection="0"/>
    <xf numFmtId="0" fontId="22" fillId="0" borderId="0" applyFill="0" applyBorder="0" applyProtection="0">
      <alignment horizontal="left" vertical="center"/>
    </xf>
    <xf numFmtId="165" fontId="32" fillId="0" borderId="0" applyFont="0" applyFill="0" applyBorder="0" applyAlignment="0" applyProtection="0"/>
    <xf numFmtId="164" fontId="32" fillId="0" borderId="0" applyFont="0" applyFill="0" applyBorder="0" applyAlignment="0" applyProtection="0"/>
    <xf numFmtId="44" fontId="32" fillId="0" borderId="0" applyFont="0" applyFill="0" applyBorder="0" applyAlignment="0" applyProtection="0"/>
    <xf numFmtId="42" fontId="32" fillId="0" borderId="0" applyFont="0" applyFill="0" applyBorder="0" applyAlignment="0" applyProtection="0"/>
    <xf numFmtId="0" fontId="33" fillId="7" borderId="0" applyNumberFormat="0" applyBorder="0" applyAlignment="0" applyProtection="0"/>
    <xf numFmtId="0" fontId="34" fillId="8" borderId="0" applyNumberFormat="0" applyBorder="0" applyAlignment="0" applyProtection="0"/>
    <xf numFmtId="0" fontId="35" fillId="9" borderId="0" applyNumberFormat="0" applyBorder="0" applyAlignment="0" applyProtection="0"/>
    <xf numFmtId="0" fontId="36" fillId="10" borderId="8" applyNumberFormat="0" applyAlignment="0" applyProtection="0"/>
    <xf numFmtId="0" fontId="37" fillId="11" borderId="9" applyNumberFormat="0" applyAlignment="0" applyProtection="0"/>
    <xf numFmtId="0" fontId="38" fillId="11" borderId="8" applyNumberFormat="0" applyAlignment="0" applyProtection="0"/>
    <xf numFmtId="0" fontId="39" fillId="0" borderId="10" applyNumberFormat="0" applyFill="0" applyAlignment="0" applyProtection="0"/>
    <xf numFmtId="0" fontId="40" fillId="12" borderId="11" applyNumberFormat="0" applyAlignment="0" applyProtection="0"/>
    <xf numFmtId="0" fontId="32" fillId="13" borderId="12" applyNumberFormat="0" applyFont="0" applyAlignment="0" applyProtection="0"/>
    <xf numFmtId="0" fontId="41" fillId="14" borderId="0" applyNumberFormat="0" applyBorder="0" applyAlignment="0" applyProtection="0"/>
    <xf numFmtId="0" fontId="1" fillId="6" borderId="0" applyNumberFormat="0" applyBorder="0" applyAlignment="0" applyProtection="0"/>
    <xf numFmtId="0" fontId="1" fillId="15" borderId="0" applyNumberFormat="0" applyBorder="0" applyAlignment="0" applyProtection="0"/>
    <xf numFmtId="0" fontId="4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4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4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4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4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cellStyleXfs>
  <cellXfs count="87">
    <xf numFmtId="0" fontId="0" fillId="0" borderId="0" xfId="0">
      <alignment vertical="top" wrapText="1"/>
    </xf>
    <xf numFmtId="0" fontId="0" fillId="0" borderId="0" xfId="0" applyFont="1" applyProtection="1">
      <alignment vertical="top" wrapText="1"/>
    </xf>
    <xf numFmtId="0" fontId="0" fillId="0" borderId="0" xfId="0" applyFont="1" applyProtection="1">
      <alignment vertical="top" wrapText="1"/>
    </xf>
    <xf numFmtId="0" fontId="18" fillId="0" borderId="0" xfId="2" applyProtection="1">
      <alignment vertical="center"/>
    </xf>
    <xf numFmtId="0" fontId="0" fillId="0" borderId="0" xfId="0" applyProtection="1">
      <alignment vertical="top" wrapText="1"/>
    </xf>
    <xf numFmtId="0" fontId="3" fillId="0" borderId="0" xfId="0" applyFont="1" applyProtection="1">
      <alignment vertical="top" wrapText="1"/>
    </xf>
    <xf numFmtId="0" fontId="3" fillId="0" borderId="0" xfId="0" applyFont="1" applyAlignment="1" applyProtection="1">
      <alignment vertical="center"/>
    </xf>
    <xf numFmtId="0" fontId="6" fillId="0" borderId="0" xfId="0" applyFont="1" applyAlignment="1">
      <alignment horizontal="right" vertical="top"/>
    </xf>
    <xf numFmtId="0" fontId="0" fillId="0" borderId="0" xfId="0" applyNumberFormat="1" applyFont="1" applyFill="1" applyBorder="1" applyAlignment="1" applyProtection="1">
      <alignment horizontal="left" vertical="center"/>
    </xf>
    <xf numFmtId="14" fontId="0" fillId="0" borderId="0" xfId="0" applyNumberFormat="1" applyFont="1" applyFill="1" applyBorder="1" applyAlignment="1" applyProtection="1">
      <alignment horizontal="center" vertical="center"/>
    </xf>
    <xf numFmtId="0" fontId="0" fillId="3" borderId="0" xfId="0" applyFill="1" applyProtection="1">
      <alignment vertical="top" wrapText="1"/>
    </xf>
    <xf numFmtId="0" fontId="8" fillId="3" borderId="0" xfId="0" applyFont="1" applyFill="1" applyProtection="1">
      <alignment vertical="top" wrapText="1"/>
    </xf>
    <xf numFmtId="0" fontId="3" fillId="0" borderId="0" xfId="0" applyFont="1" applyBorder="1" applyAlignment="1" applyProtection="1">
      <alignment horizontal="left" vertical="center"/>
    </xf>
    <xf numFmtId="0" fontId="3" fillId="0" borderId="0" xfId="0" applyFont="1" applyAlignment="1" applyProtection="1">
      <alignment horizontal="left" indent="7"/>
    </xf>
    <xf numFmtId="0" fontId="12" fillId="0" borderId="0" xfId="3" applyFont="1" applyAlignment="1">
      <alignment vertical="top"/>
    </xf>
    <xf numFmtId="0" fontId="9" fillId="0" borderId="0" xfId="0" applyFont="1">
      <alignment vertical="top" wrapText="1"/>
    </xf>
    <xf numFmtId="0" fontId="9" fillId="0" borderId="0" xfId="0" applyFont="1" applyAlignment="1">
      <alignment vertical="top"/>
    </xf>
    <xf numFmtId="0" fontId="3" fillId="0" borderId="0" xfId="0" applyFont="1" applyAlignment="1" applyProtection="1">
      <alignment wrapText="1"/>
    </xf>
    <xf numFmtId="0" fontId="5" fillId="0" borderId="0" xfId="0" applyFont="1" applyAlignment="1" applyProtection="1">
      <alignment wrapText="1"/>
    </xf>
    <xf numFmtId="0" fontId="13" fillId="5" borderId="7" xfId="6" applyAlignment="1" applyProtection="1">
      <alignment vertical="center"/>
    </xf>
    <xf numFmtId="0" fontId="13" fillId="5" borderId="7" xfId="6" applyAlignment="1" applyProtection="1">
      <alignment vertical="top" wrapText="1"/>
    </xf>
    <xf numFmtId="0" fontId="13" fillId="5" borderId="7" xfId="6" applyAlignment="1" applyProtection="1">
      <alignment horizontal="left" vertical="center" indent="2"/>
    </xf>
    <xf numFmtId="0" fontId="14" fillId="4" borderId="0" xfId="7" applyAlignment="1" applyProtection="1">
      <alignment vertical="top" wrapText="1"/>
    </xf>
    <xf numFmtId="0" fontId="4" fillId="0" borderId="0" xfId="0" applyNumberFormat="1" applyFont="1" applyAlignment="1" applyProtection="1">
      <alignment vertical="center"/>
    </xf>
    <xf numFmtId="0" fontId="0" fillId="0" borderId="0" xfId="0" applyNumberFormat="1" applyFont="1" applyFill="1" applyBorder="1" applyAlignment="1" applyProtection="1">
      <alignment vertical="center"/>
    </xf>
    <xf numFmtId="0" fontId="0" fillId="0" borderId="0" xfId="0" applyNumberFormat="1" applyFont="1" applyProtection="1">
      <alignment vertical="top" wrapText="1"/>
    </xf>
    <xf numFmtId="49" fontId="0" fillId="0" borderId="0" xfId="0" applyNumberFormat="1" applyFont="1" applyAlignment="1" applyProtection="1">
      <alignment vertical="top"/>
    </xf>
    <xf numFmtId="0" fontId="0" fillId="0" borderId="0" xfId="0" applyFont="1" applyAlignment="1" applyProtection="1">
      <alignment vertical="top"/>
    </xf>
    <xf numFmtId="0" fontId="0" fillId="0" borderId="0" xfId="0" applyNumberFormat="1" applyFont="1" applyAlignment="1" applyProtection="1">
      <alignment vertical="top"/>
    </xf>
    <xf numFmtId="0" fontId="22" fillId="0" borderId="0" xfId="12" applyFill="1" applyBorder="1" applyProtection="1">
      <alignment horizontal="left" vertical="center"/>
    </xf>
    <xf numFmtId="0" fontId="0" fillId="0" borderId="0" xfId="0" applyNumberFormat="1" applyFont="1" applyFill="1" applyBorder="1" applyAlignment="1" applyProtection="1">
      <alignment horizontal="left" vertical="center" wrapText="1"/>
    </xf>
    <xf numFmtId="0" fontId="0" fillId="0" borderId="0" xfId="0" applyNumberFormat="1" applyFont="1" applyFill="1" applyBorder="1" applyAlignment="1" applyProtection="1">
      <alignment vertical="center" wrapText="1"/>
    </xf>
    <xf numFmtId="10" fontId="0" fillId="0" borderId="0" xfId="4" applyNumberFormat="1" applyFont="1" applyFill="1" applyBorder="1" applyAlignment="1" applyProtection="1">
      <alignment vertical="center"/>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166" fontId="0" fillId="0" borderId="0" xfId="0" applyNumberFormat="1" applyFont="1" applyFill="1" applyBorder="1" applyAlignment="1">
      <alignment vertical="center"/>
    </xf>
    <xf numFmtId="49" fontId="0" fillId="0" borderId="0" xfId="0" applyNumberFormat="1" applyFill="1" applyBorder="1" applyAlignment="1">
      <alignment vertical="center" wrapText="1"/>
    </xf>
    <xf numFmtId="0" fontId="17" fillId="0" borderId="0" xfId="8" applyFill="1" applyBorder="1" applyProtection="1">
      <alignment horizontal="left" vertical="center"/>
    </xf>
    <xf numFmtId="0" fontId="22" fillId="0" borderId="0" xfId="12" applyFill="1" applyBorder="1">
      <alignment horizontal="left" vertical="center"/>
    </xf>
    <xf numFmtId="49" fontId="0" fillId="0" borderId="0" xfId="0" applyNumberFormat="1" applyFont="1" applyFill="1" applyBorder="1" applyAlignment="1" applyProtection="1">
      <alignment vertical="center"/>
    </xf>
    <xf numFmtId="0" fontId="13" fillId="5" borderId="7" xfId="6" applyAlignment="1" applyProtection="1">
      <alignment vertical="top"/>
    </xf>
    <xf numFmtId="0" fontId="14" fillId="4" borderId="0" xfId="7" applyAlignment="1" applyProtection="1">
      <alignment vertical="top"/>
    </xf>
    <xf numFmtId="0" fontId="3" fillId="0" borderId="0" xfId="0" applyFont="1" applyAlignment="1" applyProtection="1"/>
    <xf numFmtId="0" fontId="3" fillId="0" borderId="0" xfId="0" applyFont="1" applyAlignment="1" applyProtection="1">
      <alignment vertical="top"/>
    </xf>
    <xf numFmtId="0" fontId="22" fillId="0" borderId="0" xfId="12" applyNumberFormat="1" applyFill="1" applyBorder="1" applyProtection="1">
      <alignment horizontal="left" vertical="center"/>
    </xf>
    <xf numFmtId="0" fontId="0" fillId="0" borderId="0" xfId="0" applyNumberFormat="1" applyFont="1" applyFill="1" applyBorder="1" applyAlignment="1">
      <alignment horizontal="left" vertical="center"/>
    </xf>
    <xf numFmtId="0" fontId="23" fillId="0" borderId="0" xfId="0" applyNumberFormat="1" applyFont="1" applyAlignment="1" applyProtection="1">
      <alignment wrapText="1"/>
      <protection locked="0"/>
    </xf>
    <xf numFmtId="14" fontId="23" fillId="0" borderId="0" xfId="0" applyNumberFormat="1" applyFont="1" applyAlignment="1">
      <alignment horizontal="left" wrapText="1"/>
    </xf>
    <xf numFmtId="0" fontId="24" fillId="0" borderId="0" xfId="0" applyFont="1" applyAlignment="1" applyProtection="1">
      <alignment horizontal="left"/>
    </xf>
    <xf numFmtId="0" fontId="23" fillId="0" borderId="0" xfId="0" applyFont="1" applyAlignment="1">
      <alignment wrapText="1"/>
    </xf>
    <xf numFmtId="0" fontId="25" fillId="0" borderId="0" xfId="0" applyFont="1" applyAlignment="1" applyProtection="1">
      <alignment wrapText="1"/>
    </xf>
    <xf numFmtId="0" fontId="0" fillId="0" borderId="0" xfId="0" applyFont="1" applyFill="1" applyBorder="1" applyAlignment="1" applyProtection="1">
      <alignment vertical="center"/>
    </xf>
    <xf numFmtId="0" fontId="0" fillId="0" borderId="0" xfId="0" applyFont="1" applyFill="1" applyBorder="1" applyAlignment="1">
      <alignment horizontal="center" vertical="center"/>
    </xf>
    <xf numFmtId="0" fontId="0" fillId="0" borderId="0" xfId="0" applyFont="1" applyFill="1" applyBorder="1" applyAlignment="1">
      <alignment horizontal="left" vertical="center"/>
    </xf>
    <xf numFmtId="0" fontId="0" fillId="0" borderId="0" xfId="0" quotePrefix="1">
      <alignment vertical="top" wrapText="1"/>
    </xf>
    <xf numFmtId="0" fontId="0" fillId="0" borderId="1" xfId="0" applyNumberFormat="1" applyFill="1" applyBorder="1" applyAlignment="1">
      <alignment horizontal="right" vertical="top" wrapText="1"/>
    </xf>
    <xf numFmtId="0" fontId="0" fillId="0" borderId="2" xfId="0" applyNumberFormat="1" applyFill="1" applyBorder="1" applyAlignment="1">
      <alignment horizontal="right" vertical="top" wrapText="1"/>
    </xf>
    <xf numFmtId="0" fontId="15" fillId="3" borderId="6" xfId="11" applyNumberFormat="1" applyFill="1" applyAlignment="1" applyProtection="1">
      <alignment horizontal="right" vertical="center"/>
    </xf>
    <xf numFmtId="0" fontId="0" fillId="2" borderId="0" xfId="0" applyNumberFormat="1" applyFont="1" applyFill="1" applyBorder="1" applyAlignment="1" applyProtection="1">
      <alignment horizontal="left" vertical="center"/>
    </xf>
    <xf numFmtId="0" fontId="13" fillId="5" borderId="7" xfId="6" applyAlignment="1" applyProtection="1">
      <alignment horizontal="left" vertical="center"/>
    </xf>
    <xf numFmtId="0" fontId="0" fillId="0" borderId="0" xfId="0" applyNumberFormat="1" applyFont="1" applyFill="1" applyBorder="1" applyAlignment="1">
      <alignment horizontal="left" vertical="center" wrapText="1"/>
    </xf>
    <xf numFmtId="0" fontId="23" fillId="0" borderId="0" xfId="0" applyFont="1" applyFill="1" applyBorder="1" applyAlignment="1" applyProtection="1">
      <alignment vertical="center"/>
    </xf>
    <xf numFmtId="0" fontId="18" fillId="0" borderId="0" xfId="2" applyBorder="1" applyAlignment="1" applyProtection="1">
      <alignment horizontal="left" vertical="center"/>
    </xf>
    <xf numFmtId="0" fontId="10" fillId="0" borderId="0" xfId="0" applyFont="1" applyBorder="1" applyAlignment="1" applyProtection="1">
      <alignment horizontal="left" vertical="center"/>
    </xf>
    <xf numFmtId="0" fontId="0" fillId="0" borderId="0" xfId="0" applyFont="1" applyFill="1" applyBorder="1" applyAlignment="1">
      <alignment vertical="center" wrapText="1"/>
    </xf>
    <xf numFmtId="0" fontId="3" fillId="0" borderId="0" xfId="0" applyNumberFormat="1" applyFont="1" applyFill="1" applyBorder="1" applyAlignment="1" applyProtection="1">
      <alignment vertical="center" wrapText="1"/>
    </xf>
    <xf numFmtId="0" fontId="3" fillId="0" borderId="0" xfId="0" applyNumberFormat="1" applyFont="1" applyFill="1" applyBorder="1" applyAlignment="1" applyProtection="1">
      <alignment vertical="center"/>
    </xf>
    <xf numFmtId="0" fontId="3" fillId="0" borderId="0" xfId="0" applyFont="1" applyFill="1" applyBorder="1" applyAlignment="1" applyProtection="1">
      <alignment vertical="center"/>
    </xf>
    <xf numFmtId="0" fontId="3" fillId="0" borderId="0" xfId="0" applyFont="1" applyFill="1" applyBorder="1" applyAlignment="1" applyProtection="1">
      <alignment horizontal="left" vertical="center"/>
    </xf>
    <xf numFmtId="10" fontId="0" fillId="0" borderId="1" xfId="0" applyNumberFormat="1" applyFill="1" applyBorder="1">
      <alignment vertical="top" wrapText="1"/>
    </xf>
    <xf numFmtId="37" fontId="0" fillId="0" borderId="0" xfId="0" applyNumberFormat="1" applyFont="1" applyFill="1" applyBorder="1" applyAlignment="1" applyProtection="1">
      <alignment vertical="center" wrapText="1"/>
    </xf>
    <xf numFmtId="44" fontId="0" fillId="0" borderId="0" xfId="0" applyNumberFormat="1" applyFont="1" applyFill="1" applyBorder="1" applyAlignment="1" applyProtection="1">
      <alignment horizontal="right" vertical="center"/>
    </xf>
    <xf numFmtId="44" fontId="0" fillId="0" borderId="1" xfId="0" applyNumberFormat="1" applyFill="1" applyBorder="1">
      <alignment vertical="top" wrapText="1"/>
    </xf>
    <xf numFmtId="44" fontId="15" fillId="3" borderId="6" xfId="11" applyNumberFormat="1" applyFill="1" applyAlignment="1" applyProtection="1">
      <alignment horizontal="right" vertical="center"/>
    </xf>
    <xf numFmtId="167" fontId="0" fillId="0" borderId="0" xfId="0" applyNumberFormat="1" applyFont="1" applyFill="1" applyBorder="1" applyAlignment="1" applyProtection="1">
      <alignment vertical="center" wrapText="1"/>
    </xf>
    <xf numFmtId="7" fontId="0" fillId="0" borderId="0" xfId="0" applyNumberFormat="1" applyFont="1" applyFill="1" applyBorder="1" applyAlignment="1" applyProtection="1">
      <alignment vertical="center" wrapText="1"/>
    </xf>
    <xf numFmtId="44" fontId="0" fillId="2" borderId="0" xfId="0" applyNumberFormat="1" applyFont="1" applyFill="1" applyBorder="1" applyAlignment="1" applyProtection="1">
      <alignment horizontal="left" vertical="center"/>
    </xf>
    <xf numFmtId="0" fontId="14" fillId="4" borderId="3" xfId="7" applyBorder="1" applyAlignment="1">
      <alignment horizontal="left" wrapText="1"/>
    </xf>
    <xf numFmtId="0" fontId="14" fillId="4" borderId="0" xfId="7" applyAlignment="1">
      <alignment horizontal="left" vertical="top" wrapText="1"/>
    </xf>
    <xf numFmtId="0" fontId="21" fillId="6" borderId="0" xfId="10" applyFill="1" applyAlignment="1">
      <alignment horizontal="left" vertical="top" wrapText="1" indent="1"/>
    </xf>
    <xf numFmtId="0" fontId="21" fillId="6" borderId="4" xfId="10" applyFill="1" applyBorder="1" applyAlignment="1">
      <alignment horizontal="left" vertical="top" wrapText="1" indent="1"/>
    </xf>
    <xf numFmtId="0" fontId="21" fillId="0" borderId="0" xfId="10" applyFill="1" applyAlignment="1" applyProtection="1">
      <alignment horizontal="left" indent="1"/>
    </xf>
    <xf numFmtId="0" fontId="21" fillId="0" borderId="5" xfId="10" applyFill="1" applyBorder="1" applyAlignment="1" applyProtection="1">
      <alignment horizontal="left" indent="1"/>
    </xf>
    <xf numFmtId="0" fontId="24" fillId="0" borderId="0" xfId="0" applyFont="1" applyAlignment="1" applyProtection="1">
      <alignment horizontal="left"/>
    </xf>
    <xf numFmtId="0" fontId="0" fillId="0" borderId="0" xfId="0">
      <alignment vertical="top" wrapText="1"/>
    </xf>
    <xf numFmtId="0" fontId="11" fillId="0" borderId="0" xfId="2" applyFont="1">
      <alignment vertical="center"/>
    </xf>
    <xf numFmtId="0" fontId="0" fillId="0" borderId="0" xfId="0" quotePrefix="1">
      <alignment vertical="top" wrapText="1"/>
    </xf>
  </cellXfs>
  <cellStyles count="49">
    <cellStyle name="20% - Ênfase1" xfId="27" builtinId="30" customBuiltin="1"/>
    <cellStyle name="20% - Ênfase2" xfId="30" builtinId="34" customBuiltin="1"/>
    <cellStyle name="20% - Ênfase3" xfId="34" builtinId="38" customBuiltin="1"/>
    <cellStyle name="20% - Ênfase4" xfId="38" builtinId="42" customBuiltin="1"/>
    <cellStyle name="20% - Ênfase5" xfId="42" builtinId="46" customBuiltin="1"/>
    <cellStyle name="20% - Ênfase6" xfId="46" builtinId="50" customBuiltin="1"/>
    <cellStyle name="40% - Ênfase1" xfId="28" builtinId="31" customBuiltin="1"/>
    <cellStyle name="40% - Ênfase2" xfId="31" builtinId="35" customBuiltin="1"/>
    <cellStyle name="40% - Ênfase3" xfId="35" builtinId="39" customBuiltin="1"/>
    <cellStyle name="40% - Ênfase4" xfId="39" builtinId="43" customBuiltin="1"/>
    <cellStyle name="40% - Ênfase5" xfId="43" builtinId="47" customBuiltin="1"/>
    <cellStyle name="40% - Ênfase6" xfId="47" builtinId="51" customBuiltin="1"/>
    <cellStyle name="60% - Ênfase1" xfId="7" builtinId="32" customBuiltin="1"/>
    <cellStyle name="60% - Ênfase2" xfId="32" builtinId="36" customBuiltin="1"/>
    <cellStyle name="60% - Ênfase3" xfId="36" builtinId="40" customBuiltin="1"/>
    <cellStyle name="60% - Ênfase4" xfId="40" builtinId="44" customBuiltin="1"/>
    <cellStyle name="60% - Ênfase5" xfId="44" builtinId="48" customBuiltin="1"/>
    <cellStyle name="60% - Ênfase6" xfId="48" builtinId="52" customBuiltin="1"/>
    <cellStyle name="Bom" xfId="17" builtinId="26" customBuiltin="1"/>
    <cellStyle name="Cálculo" xfId="22" builtinId="22" customBuiltin="1"/>
    <cellStyle name="Célula de Verificação" xfId="24" builtinId="23" customBuiltin="1"/>
    <cellStyle name="Célula Vinculada" xfId="23" builtinId="24" customBuiltin="1"/>
    <cellStyle name="Ênfase1" xfId="26" builtinId="29" customBuiltin="1"/>
    <cellStyle name="Ênfase2" xfId="29" builtinId="33" customBuiltin="1"/>
    <cellStyle name="Ênfase3" xfId="33" builtinId="37" customBuiltin="1"/>
    <cellStyle name="Ênfase4" xfId="37" builtinId="41" customBuiltin="1"/>
    <cellStyle name="Ênfase5" xfId="41" builtinId="45" customBuiltin="1"/>
    <cellStyle name="Ênfase6" xfId="45" builtinId="49" customBuiltin="1"/>
    <cellStyle name="Entrada" xfId="20" builtinId="20" customBuiltin="1"/>
    <cellStyle name="Hiperlink" xfId="1" builtinId="8" customBuiltin="1"/>
    <cellStyle name="Hiperlink Visitado" xfId="5" builtinId="9" customBuiltin="1"/>
    <cellStyle name="Moeda" xfId="15" builtinId="4" customBuiltin="1"/>
    <cellStyle name="Moeda [0]" xfId="16" builtinId="7" customBuiltin="1"/>
    <cellStyle name="Neutro" xfId="19" builtinId="28" customBuiltin="1"/>
    <cellStyle name="Normal" xfId="0" builtinId="0" customBuiltin="1"/>
    <cellStyle name="Nota" xfId="25" builtinId="10" customBuiltin="1"/>
    <cellStyle name="Porcentagem" xfId="4" builtinId="5" customBuiltin="1"/>
    <cellStyle name="Ruim" xfId="18" builtinId="27" customBuiltin="1"/>
    <cellStyle name="Saída" xfId="21" builtinId="21" customBuiltin="1"/>
    <cellStyle name="Separador de milhares [0]" xfId="14" builtinId="6" customBuiltin="1"/>
    <cellStyle name="Texto de Aviso" xfId="9" builtinId="11" customBuiltin="1"/>
    <cellStyle name="Texto Explicativo" xfId="10" builtinId="53" customBuiltin="1"/>
    <cellStyle name="Título" xfId="6" builtinId="15" customBuiltin="1"/>
    <cellStyle name="Título 1" xfId="2" builtinId="16" customBuiltin="1"/>
    <cellStyle name="Título 2" xfId="3" builtinId="17" customBuiltin="1"/>
    <cellStyle name="Título 3" xfId="8" builtinId="18" customBuiltin="1"/>
    <cellStyle name="Título 4" xfId="12" builtinId="19" customBuiltin="1"/>
    <cellStyle name="Total" xfId="11" builtinId="25" customBuiltin="1"/>
    <cellStyle name="Vírgula" xfId="13" builtinId="3" customBuiltin="1"/>
  </cellStyles>
  <dxfs count="79">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Calibri"/>
        <family val="2"/>
        <scheme val="minor"/>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2" tint="-0.749961851863155"/>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2" tint="-0.749992370372631"/>
        <name val="Calibri"/>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bottom/>
      </border>
      <protection locked="1" hidden="0"/>
    </dxf>
    <dxf>
      <numFmt numFmtId="167" formatCode="&quot;R$&quot;\ #,##0.00"/>
      <alignment horizontal="general" vertical="center" textRotation="0" wrapText="1" indent="0" justifyLastLine="0" shrinkToFit="0" readingOrder="0"/>
    </dxf>
    <dxf>
      <numFmt numFmtId="167" formatCode="&quot;R$&quot;\ #,##0.00"/>
      <alignment horizontal="general" vertical="center" textRotation="0" indent="0" justifyLastLine="0" shrinkToFit="0" readingOrder="0"/>
    </dxf>
    <dxf>
      <alignment horizontal="general" vertical="center" textRotation="0" wrapText="1" indent="0" justifyLastLine="0" shrinkToFit="0" readingOrder="0"/>
    </dxf>
    <dxf>
      <numFmt numFmtId="167" formatCode="&quot;R$&quot;\ #,##0.00"/>
      <alignment horizontal="general" vertical="center" textRotation="0" indent="0" justifyLastLine="0" shrinkToFit="0" readingOrder="0"/>
    </dxf>
    <dxf>
      <alignment horizontal="general" vertical="center" textRotation="0" wrapText="1" indent="0" justifyLastLine="0" shrinkToFit="0" readingOrder="0"/>
    </dxf>
    <dxf>
      <numFmt numFmtId="167" formatCode="&quot;R$&quot;\ #,##0.00"/>
      <alignment horizontal="general" vertical="center" textRotation="0" indent="0" justifyLastLine="0" shrinkToFit="0" readingOrder="0"/>
    </dxf>
    <dxf>
      <alignment horizontal="general" vertical="center" textRotation="0" wrapText="1" indent="0" justifyLastLine="0" shrinkToFit="0" readingOrder="0"/>
    </dxf>
    <dxf>
      <numFmt numFmtId="168" formatCode="#,##0_);\(#,##0\)"/>
      <alignment horizontal="general" vertical="center" textRotation="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vertical="center" textRotation="0" indent="0" justifyLastLine="0" shrinkToFit="0" readingOrder="0"/>
    </dxf>
    <dxf>
      <font>
        <color rgb="FFFF0000"/>
      </font>
    </dxf>
    <dxf>
      <font>
        <b val="0"/>
        <i val="0"/>
        <strike val="0"/>
        <condense val="0"/>
        <extend val="0"/>
        <outline val="0"/>
        <shadow val="0"/>
        <u val="none"/>
        <vertAlign val="baseline"/>
        <sz val="11"/>
        <color theme="2" tint="-0.749961851863155"/>
        <name val="Calibri"/>
        <family val="2"/>
        <scheme val="minor"/>
      </font>
      <fill>
        <patternFill patternType="none">
          <fgColor indexed="64"/>
          <bgColor indexed="65"/>
        </patternFill>
      </fill>
      <alignment horizontal="general" vertical="center" textRotation="0" wrapText="1" indent="0" justifyLastLine="0" shrinkToFit="0" readingOrder="0"/>
      <border diagonalUp="0" diagonalDown="0" outline="0">
        <left/>
        <right/>
        <top/>
        <bottom/>
      </border>
    </dxf>
    <dxf>
      <alignment horizontal="general" vertical="center" textRotation="0" indent="0" justifyLastLine="0" shrinkToFit="0" readingOrder="0"/>
    </dxf>
    <dxf>
      <font>
        <b val="0"/>
        <i val="0"/>
        <strike val="0"/>
        <condense val="0"/>
        <extend val="0"/>
        <outline val="0"/>
        <shadow val="0"/>
        <u val="none"/>
        <vertAlign val="baseline"/>
        <sz val="11"/>
        <color theme="2" tint="-0.749961851863155"/>
        <name val="Calibri"/>
        <family val="2"/>
        <scheme val="minor"/>
      </font>
      <numFmt numFmtId="11" formatCode="&quot;R$&quot;\ #,##0.00;\-&quot;R$&quot;\ #,##0.00"/>
      <fill>
        <patternFill patternType="none">
          <fgColor indexed="64"/>
          <bgColor indexed="65"/>
        </patternFill>
      </fill>
      <alignment horizontal="general" vertical="center" textRotation="0" wrapText="1" indent="0" justifyLastLine="0" shrinkToFit="0" readingOrder="0"/>
      <border diagonalUp="0" diagonalDown="0" outline="0">
        <left/>
        <right/>
        <top/>
        <bottom/>
      </border>
      <protection locked="1" hidden="0"/>
    </dxf>
    <dxf>
      <numFmt numFmtId="167" formatCode="&quot;R$&quot;\ #,##0.00"/>
      <alignment horizontal="general" vertical="center" textRotation="0" indent="0" justifyLastLine="0" shrinkToFit="0" readingOrder="0"/>
    </dxf>
    <dxf>
      <font>
        <b val="0"/>
        <i val="0"/>
        <strike val="0"/>
        <condense val="0"/>
        <extend val="0"/>
        <outline val="0"/>
        <shadow val="0"/>
        <u val="none"/>
        <vertAlign val="baseline"/>
        <sz val="11"/>
        <color theme="2" tint="-0.749961851863155"/>
        <name val="Calibri"/>
        <family val="2"/>
        <scheme val="minor"/>
      </font>
      <numFmt numFmtId="11" formatCode="&quot;R$&quot;\ #,##0.00;\-&quot;R$&quot;\ #,##0.00"/>
      <fill>
        <patternFill patternType="none">
          <fgColor indexed="64"/>
          <bgColor indexed="65"/>
        </patternFill>
      </fill>
      <alignment horizontal="general" vertical="center" textRotation="0" wrapText="1" indent="0" justifyLastLine="0" shrinkToFit="0" readingOrder="0"/>
      <border diagonalUp="0" diagonalDown="0" outline="0">
        <left/>
        <right/>
        <top/>
        <bottom/>
      </border>
      <protection locked="1" hidden="0"/>
    </dxf>
    <dxf>
      <numFmt numFmtId="167" formatCode="&quot;R$&quot;\ #,##0.00"/>
      <alignment horizontal="general" vertical="center" textRotation="0" indent="0" justifyLastLine="0" shrinkToFit="0" readingOrder="0"/>
    </dxf>
    <dxf>
      <font>
        <b val="0"/>
        <i val="0"/>
        <strike val="0"/>
        <condense val="0"/>
        <extend val="0"/>
        <outline val="0"/>
        <shadow val="0"/>
        <u val="none"/>
        <vertAlign val="baseline"/>
        <sz val="11"/>
        <color theme="2" tint="-0.749961851863155"/>
        <name val="Calibri"/>
        <family val="2"/>
        <scheme val="minor"/>
      </font>
      <numFmt numFmtId="11" formatCode="&quot;R$&quot;\ #,##0.00;\-&quot;R$&quot;\ #,##0.00"/>
      <fill>
        <patternFill patternType="none">
          <fgColor indexed="64"/>
          <bgColor indexed="65"/>
        </patternFill>
      </fill>
      <alignment horizontal="general" vertical="center" textRotation="0" wrapText="1" indent="0" justifyLastLine="0" shrinkToFit="0" readingOrder="0"/>
      <border diagonalUp="0" diagonalDown="0" outline="0">
        <left/>
        <right/>
        <top/>
        <bottom/>
      </border>
      <protection locked="1" hidden="0"/>
    </dxf>
    <dxf>
      <numFmt numFmtId="167" formatCode="&quot;R$&quot;\ #,##0.00"/>
      <alignment horizontal="general" vertical="center" textRotation="0" indent="0" justifyLastLine="0" shrinkToFit="0" readingOrder="0"/>
    </dxf>
    <dxf>
      <font>
        <b val="0"/>
        <i val="0"/>
        <strike val="0"/>
        <condense val="0"/>
        <extend val="0"/>
        <outline val="0"/>
        <shadow val="0"/>
        <u val="none"/>
        <vertAlign val="baseline"/>
        <sz val="11"/>
        <color theme="2" tint="-0.749961851863155"/>
        <name val="Calibri"/>
        <family val="2"/>
        <scheme val="minor"/>
      </font>
      <numFmt numFmtId="11" formatCode="&quot;R$&quot;\ #,##0.00;\-&quot;R$&quot;\ #,##0.00"/>
      <fill>
        <patternFill patternType="none">
          <fgColor indexed="64"/>
          <bgColor indexed="65"/>
        </patternFill>
      </fill>
      <alignment horizontal="general" vertical="center" textRotation="0" wrapText="1" indent="0" justifyLastLine="0" shrinkToFit="0" readingOrder="0"/>
      <border diagonalUp="0" diagonalDown="0" outline="0">
        <left/>
        <right/>
        <top/>
        <bottom/>
      </border>
      <protection locked="1" hidden="0"/>
    </dxf>
    <dxf>
      <numFmt numFmtId="167" formatCode="&quot;R$&quot;\ #,##0.00"/>
      <alignment horizontal="general" vertical="center" textRotation="0" indent="0" justifyLastLine="0" shrinkToFit="0" readingOrder="0"/>
    </dxf>
    <dxf>
      <font>
        <b val="0"/>
        <i val="0"/>
        <strike val="0"/>
        <condense val="0"/>
        <extend val="0"/>
        <outline val="0"/>
        <shadow val="0"/>
        <u val="none"/>
        <vertAlign val="baseline"/>
        <sz val="11"/>
        <color theme="2" tint="-0.749961851863155"/>
        <name val="Calibri"/>
        <family val="2"/>
        <scheme val="minor"/>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right/>
        <top/>
        <bottom/>
      </border>
      <protection locked="1" hidden="0"/>
    </dxf>
    <dxf>
      <numFmt numFmtId="14" formatCode="0.00%"/>
      <alignment horizontal="general" vertical="center" textRotation="0" indent="0" justifyLastLine="0" shrinkToFit="0" readingOrder="0"/>
    </dxf>
    <dxf>
      <font>
        <b val="0"/>
        <i val="0"/>
        <strike val="0"/>
        <condense val="0"/>
        <extend val="0"/>
        <outline val="0"/>
        <shadow val="0"/>
        <u val="none"/>
        <vertAlign val="baseline"/>
        <sz val="11"/>
        <color theme="2" tint="-0.749961851863155"/>
        <name val="Calibri"/>
        <family val="2"/>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alignment vertical="center" textRotation="0" indent="0" justifyLastLine="0" shrinkToFit="0" readingOrder="0"/>
    </dxf>
    <dxf>
      <font>
        <b val="0"/>
        <i val="0"/>
        <strike val="0"/>
        <condense val="0"/>
        <extend val="0"/>
        <outline val="0"/>
        <shadow val="0"/>
        <u val="none"/>
        <vertAlign val="baseline"/>
        <sz val="11"/>
        <color theme="2" tint="-0.749961851863155"/>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numFmt numFmtId="19" formatCode="dd/mm/yyyy"/>
      <alignment horizontal="center" vertical="center" textRotation="0" indent="0" justifyLastLine="0" shrinkToFit="0" readingOrder="0"/>
    </dxf>
    <dxf>
      <font>
        <b val="0"/>
        <i val="0"/>
        <strike val="0"/>
        <condense val="0"/>
        <extend val="0"/>
        <outline val="0"/>
        <shadow val="0"/>
        <u val="none"/>
        <vertAlign val="baseline"/>
        <sz val="11"/>
        <color theme="2" tint="-0.749961851863155"/>
        <name val="Calibri"/>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bottom/>
      </border>
      <protection locked="1" hidden="0"/>
    </dxf>
    <dxf>
      <alignment vertical="center" textRotation="0" indent="0" justifyLastLine="0" shrinkToFit="0" readingOrder="0"/>
    </dxf>
    <dxf>
      <font>
        <b val="0"/>
        <i val="0"/>
        <strike val="0"/>
        <condense val="0"/>
        <extend val="0"/>
        <outline val="0"/>
        <shadow val="0"/>
        <u val="none"/>
        <vertAlign val="baseline"/>
        <sz val="11"/>
        <color theme="2" tint="-0.749961851863155"/>
        <name val="Calibri"/>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bottom/>
      </border>
      <protection locked="1" hidden="0"/>
    </dxf>
    <dxf>
      <numFmt numFmtId="30" formatCode="@"/>
      <alignment horizontal="general" vertical="center" textRotation="0" indent="0" justifyLastLine="0" shrinkToFit="0" readingOrder="0"/>
    </dxf>
    <dxf>
      <font>
        <strike val="0"/>
        <outline val="0"/>
        <shadow val="0"/>
        <u val="none"/>
        <vertAlign val="baseline"/>
        <sz val="11"/>
        <color theme="1" tint="4.9989318521683403E-2"/>
        <name val="Calibri"/>
        <scheme val="minor"/>
      </font>
    </dxf>
    <dxf>
      <font>
        <color rgb="FFFF0000"/>
      </font>
    </dxf>
    <dxf>
      <numFmt numFmtId="0" formatCode="General"/>
      <alignment horizontal="left" vertical="center" textRotation="0" wrapText="1" indent="0" justifyLastLine="0" shrinkToFit="0" readingOrder="0"/>
    </dxf>
    <dxf>
      <alignment horizontal="left" vertical="center" textRotation="0" wrapText="1" indent="0" justifyLastLine="0" shrinkToFit="0" readingOrder="0"/>
    </dxf>
    <dxf>
      <font>
        <color rgb="FFFF0000"/>
      </font>
    </dxf>
    <dxf>
      <font>
        <color rgb="FFFF0000"/>
      </font>
    </dxf>
    <dxf>
      <fill>
        <patternFill patternType="none">
          <fgColor indexed="64"/>
          <bgColor indexed="65"/>
        </patternFill>
      </fill>
      <alignment horizontal="general" vertical="center" textRotation="0" wrapText="1" indent="0" justifyLastLine="0" shrinkToFit="0" readingOrder="0"/>
    </dxf>
    <dxf>
      <numFmt numFmtId="34" formatCode="_-&quot;R$&quot;\ * #,##0.00_-;\-&quot;R$&quot;\ * #,##0.00_-;_-&quot;R$&quot;\ * &quot;-&quot;??_-;_-@_-"/>
      <fill>
        <patternFill patternType="none">
          <fgColor indexed="64"/>
          <bgColor auto="1"/>
        </patternFill>
      </fill>
    </dxf>
    <dxf>
      <fill>
        <patternFill patternType="solid">
          <fgColor indexed="64"/>
          <bgColor theme="0"/>
        </patternFill>
      </fill>
      <alignment horizontal="general" vertical="center" textRotation="0" wrapText="1" indent="0" justifyLastLine="0" shrinkToFit="0" readingOrder="0"/>
    </dxf>
    <dxf>
      <numFmt numFmtId="34" formatCode="_-&quot;R$&quot;\ * #,##0.00_-;\-&quot;R$&quot;\ * #,##0.00_-;_-&quot;R$&quot;\ * &quot;-&quot;??_-;_-@_-"/>
      <fill>
        <patternFill patternType="solid">
          <fgColor indexed="64"/>
          <bgColor theme="0"/>
        </patternFill>
      </fill>
    </dxf>
    <dxf>
      <fill>
        <patternFill patternType="solid">
          <fgColor indexed="64"/>
          <bgColor theme="0"/>
        </patternFill>
      </fill>
      <alignment horizontal="general" vertical="center" textRotation="0" wrapText="1" indent="0" justifyLastLine="0" shrinkToFit="0" readingOrder="0"/>
    </dxf>
    <dxf>
      <numFmt numFmtId="34" formatCode="_-&quot;R$&quot;\ * #,##0.00_-;\-&quot;R$&quot;\ * #,##0.00_-;_-&quot;R$&quot;\ * &quot;-&quot;??_-;_-@_-"/>
      <fill>
        <patternFill patternType="solid">
          <fgColor indexed="64"/>
          <bgColor theme="0"/>
        </patternFill>
      </fill>
    </dxf>
    <dxf>
      <fill>
        <patternFill patternType="solid">
          <fgColor indexed="64"/>
          <bgColor theme="0"/>
        </patternFill>
      </fill>
      <alignment horizontal="general" vertical="center" textRotation="0" wrapText="1" indent="0" justifyLastLine="0" shrinkToFit="0" readingOrder="0"/>
    </dxf>
    <dxf>
      <numFmt numFmtId="0" formatCode="General"/>
      <fill>
        <patternFill patternType="solid">
          <fgColor indexed="64"/>
          <bgColor theme="0"/>
        </patternFill>
      </fill>
    </dxf>
    <dxf>
      <fill>
        <patternFill patternType="solid">
          <fgColor indexed="64"/>
          <bgColor theme="0"/>
        </patternFill>
      </fill>
      <alignment horizontal="general" vertical="center" textRotation="0" wrapText="1" indent="0" justifyLastLine="0" shrinkToFit="0" readingOrder="0"/>
    </dxf>
    <dxf>
      <numFmt numFmtId="0" formatCode="General"/>
      <fill>
        <patternFill patternType="solid">
          <fgColor indexed="64"/>
          <bgColor theme="0"/>
        </patternFill>
      </fill>
    </dxf>
    <dxf>
      <fill>
        <patternFill patternType="solid">
          <fgColor indexed="64"/>
          <bgColor theme="0"/>
        </patternFill>
      </fill>
      <alignment horizontal="general" vertical="center" textRotation="0" wrapText="1" indent="0" justifyLastLine="0" shrinkToFit="0" readingOrder="0"/>
    </dxf>
    <dxf>
      <numFmt numFmtId="0" formatCode="General"/>
      <fill>
        <patternFill patternType="solid">
          <fgColor indexed="64"/>
          <bgColor theme="0"/>
        </patternFill>
      </fill>
    </dxf>
    <dxf>
      <alignment horizontal="general" vertical="center" textRotation="0" wrapText="1" indent="0" justifyLastLine="0" shrinkToFit="0" readingOrder="0"/>
    </dxf>
    <dxf>
      <fill>
        <patternFill patternType="solid">
          <fgColor indexed="64"/>
          <bgColor theme="0"/>
        </patternFill>
      </fill>
    </dxf>
    <dxf>
      <fill>
        <patternFill>
          <bgColor theme="4" tint="0.39994506668294322"/>
        </patternFill>
      </fill>
    </dxf>
    <dxf>
      <fill>
        <patternFill>
          <bgColor theme="4" tint="0.59996337778862885"/>
        </patternFill>
      </fill>
    </dxf>
    <dxf>
      <fill>
        <patternFill>
          <bgColor theme="4" tint="0.59996337778862885"/>
        </patternFill>
      </fill>
    </dxf>
    <dxf>
      <fill>
        <patternFill>
          <bgColor theme="4" tint="0.39994506668294322"/>
        </patternFill>
      </fill>
    </dxf>
    <dxf>
      <fill>
        <patternFill>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color theme="1" tint="4.9989318521683403E-2"/>
      </font>
    </dxf>
    <dxf>
      <font>
        <b/>
        <color theme="4" tint="-0.249977111117893"/>
      </font>
    </dxf>
    <dxf>
      <font>
        <b/>
        <i val="0"/>
        <color theme="4" tint="-0.499984740745262"/>
      </font>
      <border>
        <left style="thin">
          <color theme="4"/>
        </left>
        <right style="thin">
          <color theme="4"/>
        </right>
        <top style="double">
          <color theme="4"/>
        </top>
        <bottom style="thin">
          <color theme="4"/>
        </bottom>
      </border>
    </dxf>
    <dxf>
      <font>
        <b val="0"/>
        <i val="0"/>
        <color theme="4" tint="-0.24994659260841701"/>
      </font>
      <border>
        <left style="thin">
          <color theme="4"/>
        </left>
        <right style="thin">
          <color theme="4"/>
        </right>
        <top style="thin">
          <color theme="4"/>
        </top>
        <vertical/>
        <horizontal/>
      </border>
    </dxf>
    <dxf>
      <font>
        <b val="0"/>
        <i val="0"/>
        <color theme="3"/>
      </font>
      <border>
        <left style="thin">
          <color theme="4"/>
        </left>
        <right style="thin">
          <color theme="4"/>
        </right>
        <top style="thin">
          <color theme="4"/>
        </top>
        <bottom style="thin">
          <color theme="4"/>
        </bottom>
        <vertical style="thin">
          <color theme="4"/>
        </vertical>
        <horizontal style="thin">
          <color theme="4"/>
        </horizontal>
      </border>
    </dxf>
  </dxfs>
  <tableStyles count="1" defaultPivotStyle="PivotStyleLight16">
    <tableStyle name="Tabela de faturas de vendas" pivot="0" count="7" xr9:uid="{00000000-0011-0000-FFFF-FFFF00000000}">
      <tableStyleElement type="wholeTable" dxfId="78"/>
      <tableStyleElement type="headerRow" dxfId="77"/>
      <tableStyleElement type="totalRow" dxfId="76"/>
      <tableStyleElement type="firstColumn" dxfId="75"/>
      <tableStyleElement type="lastColumn" dxfId="74"/>
      <tableStyleElement type="firstRowStripe" dxfId="73"/>
      <tableStyleElement type="firstColumnStripe" dxfId="72"/>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D8E4E8"/>
      <rgbColor rgb="00CC99FF"/>
      <rgbColor rgb="00EAEAEA"/>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absolute">
    <xdr:from>
      <xdr:col>8</xdr:col>
      <xdr:colOff>600651</xdr:colOff>
      <xdr:row>3</xdr:row>
      <xdr:rowOff>32327</xdr:rowOff>
    </xdr:from>
    <xdr:to>
      <xdr:col>14</xdr:col>
      <xdr:colOff>333374</xdr:colOff>
      <xdr:row>5</xdr:row>
      <xdr:rowOff>208974</xdr:rowOff>
    </xdr:to>
    <xdr:sp macro="" textlink="">
      <xdr:nvSpPr>
        <xdr:cNvPr id="9" name="Observação de entrada de dados" descr="Observação de entrada de dados&#10;">
          <a:extLst>
            <a:ext uri="{FF2B5EF4-FFF2-40B4-BE49-F238E27FC236}">
              <a16:creationId xmlns:a16="http://schemas.microsoft.com/office/drawing/2014/main" id="{00000000-0008-0000-0000-000009000000}"/>
            </a:ext>
          </a:extLst>
        </xdr:cNvPr>
        <xdr:cNvSpPr/>
      </xdr:nvSpPr>
      <xdr:spPr bwMode="auto">
        <a:xfrm>
          <a:off x="8439726" y="1375352"/>
          <a:ext cx="3485573" cy="729097"/>
        </a:xfrm>
        <a:prstGeom prst="wedgeRectCallout">
          <a:avLst>
            <a:gd name="adj1" fmla="val -65185"/>
            <a:gd name="adj2" fmla="val -21916"/>
          </a:avLst>
        </a:prstGeom>
        <a:solidFill>
          <a:schemeClr val="accent1">
            <a:lumMod val="75000"/>
          </a:schemeClr>
        </a:solidFill>
        <a:ln>
          <a:solidFill>
            <a:schemeClr val="accent1">
              <a:lumMod val="75000"/>
            </a:schemeClr>
          </a:solidFill>
          <a:headEnd type="none" w="med" len="med"/>
          <a:tailEnd type="none" w="med" len="med"/>
        </a:ln>
      </xdr:spPr>
      <xdr:style>
        <a:lnRef idx="1">
          <a:schemeClr val="accent1"/>
        </a:lnRef>
        <a:fillRef idx="2">
          <a:schemeClr val="accent1"/>
        </a:fillRef>
        <a:effectRef idx="1">
          <a:schemeClr val="accent1"/>
        </a:effectRef>
        <a:fontRef idx="minor">
          <a:schemeClr val="dk1"/>
        </a:fontRef>
      </xdr:style>
      <xdr:txBody>
        <a:bodyPr vertOverflow="clip" horzOverflow="clip" wrap="square" lIns="91440" tIns="0" rIns="91440" bIns="0" rtlCol="0" anchor="ctr" upright="1"/>
        <a:lstStyle/>
        <a:p>
          <a:pPr algn="l" rtl="0"/>
          <a:r>
            <a:rPr lang="pt-br" sz="1100">
              <a:solidFill>
                <a:schemeClr val="bg1"/>
              </a:solidFill>
              <a:latin typeface="Arial" panose="020B0604020202020204" pitchFamily="34" charset="0"/>
            </a:rPr>
            <a:t>Clique aqui para selecionar um</a:t>
          </a:r>
          <a:r>
            <a:rPr lang="pt-br" sz="1100" baseline="0">
              <a:solidFill>
                <a:schemeClr val="bg1"/>
              </a:solidFill>
              <a:latin typeface="Arial" panose="020B0604020202020204" pitchFamily="34" charset="0"/>
            </a:rPr>
            <a:t> Nº da fatura da lista suspensa.</a:t>
          </a:r>
          <a:endParaRPr lang="en-US" sz="1100">
            <a:solidFill>
              <a:schemeClr val="bg1"/>
            </a:solidFill>
            <a:latin typeface="Arial" panose="020B0604020202020204" pitchFamily="34" charset="0"/>
          </a:endParaRPr>
        </a:p>
      </xdr:txBody>
    </xdr:sp>
    <xdr:clientData fPrintsWithSheet="0"/>
  </xdr:twoCellAnchor>
  <xdr:twoCellAnchor editAs="absolute">
    <xdr:from>
      <xdr:col>8</xdr:col>
      <xdr:colOff>570638</xdr:colOff>
      <xdr:row>6</xdr:row>
      <xdr:rowOff>546100</xdr:rowOff>
    </xdr:from>
    <xdr:to>
      <xdr:col>14</xdr:col>
      <xdr:colOff>307748</xdr:colOff>
      <xdr:row>12</xdr:row>
      <xdr:rowOff>136525</xdr:rowOff>
    </xdr:to>
    <xdr:sp macro="" textlink="">
      <xdr:nvSpPr>
        <xdr:cNvPr id="3" name="Observação de entrada de dados" descr="Texto da dica">
          <a:extLst>
            <a:ext uri="{FF2B5EF4-FFF2-40B4-BE49-F238E27FC236}">
              <a16:creationId xmlns:a16="http://schemas.microsoft.com/office/drawing/2014/main" id="{00000000-0008-0000-0000-000003000000}"/>
            </a:ext>
          </a:extLst>
        </xdr:cNvPr>
        <xdr:cNvSpPr/>
      </xdr:nvSpPr>
      <xdr:spPr bwMode="auto">
        <a:xfrm>
          <a:off x="8409713" y="2689225"/>
          <a:ext cx="3489960" cy="2286000"/>
        </a:xfrm>
        <a:prstGeom prst="wedgeRectCallout">
          <a:avLst>
            <a:gd name="adj1" fmla="val -49903"/>
            <a:gd name="adj2" fmla="val -21645"/>
          </a:avLst>
        </a:prstGeom>
        <a:solidFill>
          <a:schemeClr val="accent1">
            <a:lumMod val="75000"/>
          </a:schemeClr>
        </a:solidFill>
        <a:ln>
          <a:solidFill>
            <a:schemeClr val="accent1">
              <a:lumMod val="75000"/>
            </a:schemeClr>
          </a:solidFill>
          <a:headEnd type="none" w="med" len="med"/>
          <a:tailEnd type="none" w="med" len="med"/>
        </a:ln>
      </xdr:spPr>
      <xdr:style>
        <a:lnRef idx="1">
          <a:schemeClr val="accent1"/>
        </a:lnRef>
        <a:fillRef idx="2">
          <a:schemeClr val="accent1"/>
        </a:fillRef>
        <a:effectRef idx="1">
          <a:schemeClr val="accent1"/>
        </a:effectRef>
        <a:fontRef idx="minor">
          <a:schemeClr val="dk1"/>
        </a:fontRef>
      </xdr:style>
      <xdr:txBody>
        <a:bodyPr vertOverflow="clip" horzOverflow="clip" wrap="square" lIns="91440" tIns="0" rIns="91440" bIns="0" rtlCol="0" anchor="ctr" upright="1"/>
        <a:lstStyle/>
        <a:p>
          <a:pPr algn="l" rtl="0"/>
          <a:r>
            <a:rPr lang="pt-br" sz="1100" b="1">
              <a:solidFill>
                <a:schemeClr val="bg1"/>
              </a:solidFill>
              <a:latin typeface="Arial" panose="020B0604020202020204" pitchFamily="34" charset="0"/>
            </a:rPr>
            <a:t>DICA:</a:t>
          </a:r>
          <a:r>
            <a:rPr lang="pt-br" sz="1100">
              <a:solidFill>
                <a:schemeClr val="bg1"/>
              </a:solidFill>
              <a:latin typeface="Arial" panose="020B0604020202020204" pitchFamily="34" charset="0"/>
            </a:rPr>
            <a:t> Essa planilha está no modo protegido. Só é possível selecionar o “Nº da fatura</a:t>
          </a:r>
          <a:r>
            <a:rPr lang="pt-br" sz="1100" baseline="0">
              <a:solidFill>
                <a:schemeClr val="bg1"/>
              </a:solidFill>
              <a:latin typeface="Arial" panose="020B0604020202020204" pitchFamily="34" charset="0"/>
            </a:rPr>
            <a:t>”. Para desproteger essa planilha, confira a planilha “Sobre esse Controlador de Faturas”.</a:t>
          </a:r>
        </a:p>
        <a:p>
          <a:pPr algn="l" rtl="0"/>
          <a:endParaRPr lang="en-US" sz="1100" baseline="0">
            <a:solidFill>
              <a:schemeClr val="bg1"/>
            </a:solidFill>
            <a:latin typeface="Arial" panose="020B0604020202020204" pitchFamily="34" charset="0"/>
          </a:endParaRPr>
        </a:p>
        <a:p>
          <a:pPr algn="l" rtl="0"/>
          <a:r>
            <a:rPr lang="pt-br" sz="1100" baseline="0">
              <a:solidFill>
                <a:schemeClr val="bg1"/>
              </a:solidFill>
              <a:latin typeface="Arial" panose="020B0604020202020204" pitchFamily="34" charset="0"/>
            </a:rPr>
            <a:t>Depois de desproteger essa planilha, para excluir essa anotação, clique na borda para selecioná-la e pressione a tecla </a:t>
          </a:r>
          <a:r>
            <a:rPr lang="pt-br" sz="1100" b="1" baseline="0">
              <a:solidFill>
                <a:schemeClr val="bg1"/>
              </a:solidFill>
              <a:latin typeface="Arial" panose="020B0604020202020204" pitchFamily="34" charset="0"/>
            </a:rPr>
            <a:t>Excluir</a:t>
          </a:r>
          <a:r>
            <a:rPr lang="pt-br" sz="1100" baseline="0">
              <a:solidFill>
                <a:schemeClr val="bg1"/>
              </a:solidFill>
              <a:latin typeface="Arial" panose="020B0604020202020204" pitchFamily="34" charset="0"/>
            </a:rPr>
            <a:t>.</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95250</xdr:rowOff>
    </xdr:from>
    <xdr:to>
      <xdr:col>11</xdr:col>
      <xdr:colOff>1008461</xdr:colOff>
      <xdr:row>0</xdr:row>
      <xdr:rowOff>259715</xdr:rowOff>
    </xdr:to>
    <xdr:grpSp>
      <xdr:nvGrpSpPr>
        <xdr:cNvPr id="48" name="Grupo Arte do cabeçalho" descr="Arte do cabeçalho">
          <a:extLst>
            <a:ext uri="{FF2B5EF4-FFF2-40B4-BE49-F238E27FC236}">
              <a16:creationId xmlns:a16="http://schemas.microsoft.com/office/drawing/2014/main" id="{00000000-0008-0000-0100-000030000000}"/>
            </a:ext>
          </a:extLst>
        </xdr:cNvPr>
        <xdr:cNvGrpSpPr/>
      </xdr:nvGrpSpPr>
      <xdr:grpSpPr>
        <a:xfrm>
          <a:off x="190500" y="95250"/>
          <a:ext cx="13381436" cy="164465"/>
          <a:chOff x="171449" y="152400"/>
          <a:chExt cx="13657124" cy="164465"/>
        </a:xfrm>
      </xdr:grpSpPr>
      <xdr:sp macro="" textlink="">
        <xdr:nvSpPr>
          <xdr:cNvPr id="39" name="Retângulo 38" title="Gráfico de rodapé curto">
            <a:extLst>
              <a:ext uri="{FF2B5EF4-FFF2-40B4-BE49-F238E27FC236}">
                <a16:creationId xmlns:a16="http://schemas.microsoft.com/office/drawing/2014/main" id="{00000000-0008-0000-0100-000027000000}"/>
              </a:ext>
            </a:extLst>
          </xdr:cNvPr>
          <xdr:cNvSpPr/>
        </xdr:nvSpPr>
        <xdr:spPr>
          <a:xfrm>
            <a:off x="171449" y="152400"/>
            <a:ext cx="9875520"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rtl="0">
              <a:spcBef>
                <a:spcPts val="0"/>
              </a:spcBef>
              <a:spcAft>
                <a:spcPts val="0"/>
              </a:spcAft>
            </a:pPr>
            <a:r>
              <a:rPr lang="pt-br" sz="2500" b="1">
                <a:solidFill>
                  <a:srgbClr val="000000"/>
                </a:solidFill>
                <a:effectLst/>
                <a:latin typeface="Calibri" panose="020F0502020204030204" pitchFamily="34" charset="0"/>
                <a:ea typeface="Arial"/>
                <a:cs typeface="Times New Roman"/>
              </a:rPr>
              <a:t> </a:t>
            </a:r>
          </a:p>
        </xdr:txBody>
      </xdr:sp>
      <xdr:grpSp>
        <xdr:nvGrpSpPr>
          <xdr:cNvPr id="46" name="Grupo 45">
            <a:extLst>
              <a:ext uri="{FF2B5EF4-FFF2-40B4-BE49-F238E27FC236}">
                <a16:creationId xmlns:a16="http://schemas.microsoft.com/office/drawing/2014/main" id="{00000000-0008-0000-0100-00002E000000}"/>
              </a:ext>
            </a:extLst>
          </xdr:cNvPr>
          <xdr:cNvGrpSpPr/>
        </xdr:nvGrpSpPr>
        <xdr:grpSpPr>
          <a:xfrm>
            <a:off x="10079532" y="152400"/>
            <a:ext cx="3749041" cy="164465"/>
            <a:chOff x="10584357" y="200025"/>
            <a:chExt cx="3749041" cy="164465"/>
          </a:xfrm>
        </xdr:grpSpPr>
        <xdr:sp macro="" textlink="">
          <xdr:nvSpPr>
            <xdr:cNvPr id="40" name="Retângulo 39">
              <a:extLst>
                <a:ext uri="{FF2B5EF4-FFF2-40B4-BE49-F238E27FC236}">
                  <a16:creationId xmlns:a16="http://schemas.microsoft.com/office/drawing/2014/main" id="{00000000-0008-0000-0100-00002800000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41" name="Retângulo 40">
              <a:extLst>
                <a:ext uri="{FF2B5EF4-FFF2-40B4-BE49-F238E27FC236}">
                  <a16:creationId xmlns:a16="http://schemas.microsoft.com/office/drawing/2014/main" id="{00000000-0008-0000-0100-000029000000}"/>
                </a:ext>
              </a:extLst>
            </xdr:cNvPr>
            <xdr:cNvSpPr/>
          </xdr:nvSpPr>
          <xdr:spPr>
            <a:xfrm>
              <a:off x="10584357"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42" name="Retângulo 41">
              <a:extLst>
                <a:ext uri="{FF2B5EF4-FFF2-40B4-BE49-F238E27FC236}">
                  <a16:creationId xmlns:a16="http://schemas.microsoft.com/office/drawing/2014/main" id="{00000000-0008-0000-0100-00002A000000}"/>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43" name="Retângulo 42">
              <a:extLst>
                <a:ext uri="{FF2B5EF4-FFF2-40B4-BE49-F238E27FC236}">
                  <a16:creationId xmlns:a16="http://schemas.microsoft.com/office/drawing/2014/main" id="{00000000-0008-0000-0100-00002B00000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44" name="Retângulo 43">
              <a:extLst>
                <a:ext uri="{FF2B5EF4-FFF2-40B4-BE49-F238E27FC236}">
                  <a16:creationId xmlns:a16="http://schemas.microsoft.com/office/drawing/2014/main" id="{00000000-0008-0000-0100-00002C000000}"/>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grp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95250</xdr:rowOff>
    </xdr:from>
    <xdr:to>
      <xdr:col>11</xdr:col>
      <xdr:colOff>181</xdr:colOff>
      <xdr:row>0</xdr:row>
      <xdr:rowOff>259715</xdr:rowOff>
    </xdr:to>
    <xdr:grpSp>
      <xdr:nvGrpSpPr>
        <xdr:cNvPr id="11" name="Grupo Arte do cabeçalho" descr="Arte do cabeçalho">
          <a:extLst>
            <a:ext uri="{FF2B5EF4-FFF2-40B4-BE49-F238E27FC236}">
              <a16:creationId xmlns:a16="http://schemas.microsoft.com/office/drawing/2014/main" id="{00000000-0008-0000-0200-00000B000000}"/>
            </a:ext>
          </a:extLst>
        </xdr:cNvPr>
        <xdr:cNvGrpSpPr/>
      </xdr:nvGrpSpPr>
      <xdr:grpSpPr>
        <a:xfrm>
          <a:off x="190500" y="95250"/>
          <a:ext cx="12982756" cy="164465"/>
          <a:chOff x="142875" y="85725"/>
          <a:chExt cx="7705905" cy="164465"/>
        </a:xfrm>
      </xdr:grpSpPr>
      <xdr:sp macro="" textlink="">
        <xdr:nvSpPr>
          <xdr:cNvPr id="4" name="Retângulo 3" title="Gráfico de rodapé curto">
            <a:extLst>
              <a:ext uri="{FF2B5EF4-FFF2-40B4-BE49-F238E27FC236}">
                <a16:creationId xmlns:a16="http://schemas.microsoft.com/office/drawing/2014/main" id="{00000000-0008-0000-0200-000004000000}"/>
              </a:ext>
            </a:extLst>
          </xdr:cNvPr>
          <xdr:cNvSpPr/>
        </xdr:nvSpPr>
        <xdr:spPr>
          <a:xfrm>
            <a:off x="142875" y="85725"/>
            <a:ext cx="5120640"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rtl="0">
              <a:spcBef>
                <a:spcPts val="0"/>
              </a:spcBef>
              <a:spcAft>
                <a:spcPts val="0"/>
              </a:spcAft>
            </a:pPr>
            <a:r>
              <a:rPr lang="pt-br" sz="2500" b="1">
                <a:solidFill>
                  <a:srgbClr val="000000"/>
                </a:solidFill>
                <a:effectLst/>
                <a:latin typeface="Calibri" panose="020F0502020204030204" pitchFamily="34" charset="0"/>
                <a:ea typeface="Arial"/>
                <a:cs typeface="Times New Roman"/>
              </a:rPr>
              <a:t> </a:t>
            </a:r>
          </a:p>
        </xdr:txBody>
      </xdr:sp>
      <xdr:grpSp>
        <xdr:nvGrpSpPr>
          <xdr:cNvPr id="5" name="Grupo 4">
            <a:extLst>
              <a:ext uri="{FF2B5EF4-FFF2-40B4-BE49-F238E27FC236}">
                <a16:creationId xmlns:a16="http://schemas.microsoft.com/office/drawing/2014/main" id="{00000000-0008-0000-0200-000005000000}"/>
              </a:ext>
            </a:extLst>
          </xdr:cNvPr>
          <xdr:cNvGrpSpPr/>
        </xdr:nvGrpSpPr>
        <xdr:grpSpPr>
          <a:xfrm>
            <a:off x="5288459" y="85725"/>
            <a:ext cx="2560321" cy="164465"/>
            <a:chOff x="10584357" y="200025"/>
            <a:chExt cx="3749041" cy="164465"/>
          </a:xfrm>
        </xdr:grpSpPr>
        <xdr:sp macro="" textlink="">
          <xdr:nvSpPr>
            <xdr:cNvPr id="6" name="Retângulo 5">
              <a:extLst>
                <a:ext uri="{FF2B5EF4-FFF2-40B4-BE49-F238E27FC236}">
                  <a16:creationId xmlns:a16="http://schemas.microsoft.com/office/drawing/2014/main" id="{00000000-0008-0000-0200-00000600000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7" name="Retângulo 6">
              <a:extLst>
                <a:ext uri="{FF2B5EF4-FFF2-40B4-BE49-F238E27FC236}">
                  <a16:creationId xmlns:a16="http://schemas.microsoft.com/office/drawing/2014/main" id="{00000000-0008-0000-0200-000007000000}"/>
                </a:ext>
              </a:extLst>
            </xdr:cNvPr>
            <xdr:cNvSpPr/>
          </xdr:nvSpPr>
          <xdr:spPr>
            <a:xfrm>
              <a:off x="10584357"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8" name="Retângulo 7">
              <a:extLst>
                <a:ext uri="{FF2B5EF4-FFF2-40B4-BE49-F238E27FC236}">
                  <a16:creationId xmlns:a16="http://schemas.microsoft.com/office/drawing/2014/main" id="{00000000-0008-0000-0200-000008000000}"/>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9" name="Retângulo 8">
              <a:extLst>
                <a:ext uri="{FF2B5EF4-FFF2-40B4-BE49-F238E27FC236}">
                  <a16:creationId xmlns:a16="http://schemas.microsoft.com/office/drawing/2014/main" id="{00000000-0008-0000-0200-00000900000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0" name="Retângulo 9">
              <a:extLst>
                <a:ext uri="{FF2B5EF4-FFF2-40B4-BE49-F238E27FC236}">
                  <a16:creationId xmlns:a16="http://schemas.microsoft.com/office/drawing/2014/main" id="{00000000-0008-0000-0200-00000A000000}"/>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0</xdr:row>
      <xdr:rowOff>95251</xdr:rowOff>
    </xdr:from>
    <xdr:to>
      <xdr:col>8</xdr:col>
      <xdr:colOff>8763</xdr:colOff>
      <xdr:row>0</xdr:row>
      <xdr:rowOff>259843</xdr:rowOff>
    </xdr:to>
    <xdr:grpSp>
      <xdr:nvGrpSpPr>
        <xdr:cNvPr id="12" name="Grupo Arte do cabeçalho" descr="Arte do cabeçalho">
          <a:extLst>
            <a:ext uri="{FF2B5EF4-FFF2-40B4-BE49-F238E27FC236}">
              <a16:creationId xmlns:a16="http://schemas.microsoft.com/office/drawing/2014/main" id="{00000000-0008-0000-0300-00000C000000}"/>
            </a:ext>
          </a:extLst>
        </xdr:cNvPr>
        <xdr:cNvGrpSpPr/>
      </xdr:nvGrpSpPr>
      <xdr:grpSpPr>
        <a:xfrm>
          <a:off x="171450" y="95251"/>
          <a:ext cx="7790688" cy="164592"/>
          <a:chOff x="142875" y="104775"/>
          <a:chExt cx="6914767" cy="164465"/>
        </a:xfrm>
      </xdr:grpSpPr>
      <xdr:sp macro="" textlink="">
        <xdr:nvSpPr>
          <xdr:cNvPr id="4" name="Retângulo 3" title="Gráfico de rodapé curto">
            <a:extLst>
              <a:ext uri="{FF2B5EF4-FFF2-40B4-BE49-F238E27FC236}">
                <a16:creationId xmlns:a16="http://schemas.microsoft.com/office/drawing/2014/main" id="{00000000-0008-0000-0300-000004000000}"/>
              </a:ext>
            </a:extLst>
          </xdr:cNvPr>
          <xdr:cNvSpPr/>
        </xdr:nvSpPr>
        <xdr:spPr>
          <a:xfrm>
            <a:off x="142875" y="104775"/>
            <a:ext cx="4672306"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rtl="0">
              <a:spcBef>
                <a:spcPts val="0"/>
              </a:spcBef>
              <a:spcAft>
                <a:spcPts val="0"/>
              </a:spcAft>
            </a:pPr>
            <a:r>
              <a:rPr lang="pt-br" sz="2500" b="1">
                <a:solidFill>
                  <a:srgbClr val="000000"/>
                </a:solidFill>
                <a:effectLst/>
                <a:latin typeface="Calibri" panose="020F0502020204030204" pitchFamily="34" charset="0"/>
                <a:ea typeface="Arial"/>
                <a:cs typeface="Times New Roman"/>
              </a:rPr>
              <a:t> </a:t>
            </a:r>
          </a:p>
        </xdr:txBody>
      </xdr:sp>
      <xdr:grpSp>
        <xdr:nvGrpSpPr>
          <xdr:cNvPr id="5" name="Grupo 4">
            <a:extLst>
              <a:ext uri="{FF2B5EF4-FFF2-40B4-BE49-F238E27FC236}">
                <a16:creationId xmlns:a16="http://schemas.microsoft.com/office/drawing/2014/main" id="{00000000-0008-0000-0300-000005000000}"/>
              </a:ext>
            </a:extLst>
          </xdr:cNvPr>
          <xdr:cNvGrpSpPr/>
        </xdr:nvGrpSpPr>
        <xdr:grpSpPr>
          <a:xfrm>
            <a:off x="4848240" y="104775"/>
            <a:ext cx="2199877" cy="164465"/>
            <a:chOff x="10584358" y="200025"/>
            <a:chExt cx="3749040" cy="164465"/>
          </a:xfrm>
        </xdr:grpSpPr>
        <xdr:sp macro="" textlink="">
          <xdr:nvSpPr>
            <xdr:cNvPr id="6" name="Retângulo 5">
              <a:extLst>
                <a:ext uri="{FF2B5EF4-FFF2-40B4-BE49-F238E27FC236}">
                  <a16:creationId xmlns:a16="http://schemas.microsoft.com/office/drawing/2014/main" id="{00000000-0008-0000-0300-00000600000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7" name="Retângulo 6">
              <a:extLst>
                <a:ext uri="{FF2B5EF4-FFF2-40B4-BE49-F238E27FC236}">
                  <a16:creationId xmlns:a16="http://schemas.microsoft.com/office/drawing/2014/main" id="{00000000-0008-0000-0300-000007000000}"/>
                </a:ext>
              </a:extLst>
            </xdr:cNvPr>
            <xdr:cNvSpPr/>
          </xdr:nvSpPr>
          <xdr:spPr>
            <a:xfrm>
              <a:off x="10584358"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8" name="Retângulo 7">
              <a:extLst>
                <a:ext uri="{FF2B5EF4-FFF2-40B4-BE49-F238E27FC236}">
                  <a16:creationId xmlns:a16="http://schemas.microsoft.com/office/drawing/2014/main" id="{00000000-0008-0000-0300-000008000000}"/>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9" name="Retângulo 8">
              <a:extLst>
                <a:ext uri="{FF2B5EF4-FFF2-40B4-BE49-F238E27FC236}">
                  <a16:creationId xmlns:a16="http://schemas.microsoft.com/office/drawing/2014/main" id="{00000000-0008-0000-0300-00000900000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0" name="Retângulo 9">
              <a:extLst>
                <a:ext uri="{FF2B5EF4-FFF2-40B4-BE49-F238E27FC236}">
                  <a16:creationId xmlns:a16="http://schemas.microsoft.com/office/drawing/2014/main" id="{00000000-0008-0000-0300-00000A000000}"/>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152400</xdr:colOff>
      <xdr:row>40</xdr:row>
      <xdr:rowOff>161925</xdr:rowOff>
    </xdr:from>
    <xdr:to>
      <xdr:col>7</xdr:col>
      <xdr:colOff>1600200</xdr:colOff>
      <xdr:row>41</xdr:row>
      <xdr:rowOff>136017</xdr:rowOff>
    </xdr:to>
    <xdr:grpSp>
      <xdr:nvGrpSpPr>
        <xdr:cNvPr id="16" name="Grupo Arte do rodapé" descr="Arte do rodapé">
          <a:extLst>
            <a:ext uri="{FF2B5EF4-FFF2-40B4-BE49-F238E27FC236}">
              <a16:creationId xmlns:a16="http://schemas.microsoft.com/office/drawing/2014/main" id="{00000000-0008-0000-0400-000010000000}"/>
            </a:ext>
          </a:extLst>
        </xdr:cNvPr>
        <xdr:cNvGrpSpPr/>
      </xdr:nvGrpSpPr>
      <xdr:grpSpPr>
        <a:xfrm>
          <a:off x="152400" y="20269200"/>
          <a:ext cx="8229600" cy="164592"/>
          <a:chOff x="142875" y="104775"/>
          <a:chExt cx="6914767" cy="164465"/>
        </a:xfrm>
      </xdr:grpSpPr>
      <xdr:sp macro="" textlink="">
        <xdr:nvSpPr>
          <xdr:cNvPr id="17" name="Retângulo 16" title="Gráfico de rodapé curto">
            <a:extLst>
              <a:ext uri="{FF2B5EF4-FFF2-40B4-BE49-F238E27FC236}">
                <a16:creationId xmlns:a16="http://schemas.microsoft.com/office/drawing/2014/main" id="{00000000-0008-0000-0400-000011000000}"/>
              </a:ext>
            </a:extLst>
          </xdr:cNvPr>
          <xdr:cNvSpPr/>
        </xdr:nvSpPr>
        <xdr:spPr>
          <a:xfrm>
            <a:off x="142875" y="104775"/>
            <a:ext cx="4672306"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rtl="0">
              <a:spcBef>
                <a:spcPts val="0"/>
              </a:spcBef>
              <a:spcAft>
                <a:spcPts val="0"/>
              </a:spcAft>
            </a:pPr>
            <a:r>
              <a:rPr lang="pt-br" sz="2500" b="1">
                <a:solidFill>
                  <a:srgbClr val="000000"/>
                </a:solidFill>
                <a:effectLst/>
                <a:latin typeface="Calibri" panose="020F0502020204030204" pitchFamily="34" charset="0"/>
                <a:ea typeface="Arial"/>
                <a:cs typeface="Times New Roman"/>
              </a:rPr>
              <a:t> </a:t>
            </a:r>
          </a:p>
        </xdr:txBody>
      </xdr:sp>
      <xdr:grpSp>
        <xdr:nvGrpSpPr>
          <xdr:cNvPr id="18" name="Grupo 17">
            <a:extLst>
              <a:ext uri="{FF2B5EF4-FFF2-40B4-BE49-F238E27FC236}">
                <a16:creationId xmlns:a16="http://schemas.microsoft.com/office/drawing/2014/main" id="{00000000-0008-0000-0400-000012000000}"/>
              </a:ext>
            </a:extLst>
          </xdr:cNvPr>
          <xdr:cNvGrpSpPr/>
        </xdr:nvGrpSpPr>
        <xdr:grpSpPr>
          <a:xfrm>
            <a:off x="4848240" y="104775"/>
            <a:ext cx="2199877" cy="164465"/>
            <a:chOff x="10584358" y="200025"/>
            <a:chExt cx="3749040" cy="164465"/>
          </a:xfrm>
        </xdr:grpSpPr>
        <xdr:sp macro="" textlink="">
          <xdr:nvSpPr>
            <xdr:cNvPr id="19" name="Retângulo 18">
              <a:extLst>
                <a:ext uri="{FF2B5EF4-FFF2-40B4-BE49-F238E27FC236}">
                  <a16:creationId xmlns:a16="http://schemas.microsoft.com/office/drawing/2014/main" id="{00000000-0008-0000-0400-00001300000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0" name="Retângulo 19">
              <a:extLst>
                <a:ext uri="{FF2B5EF4-FFF2-40B4-BE49-F238E27FC236}">
                  <a16:creationId xmlns:a16="http://schemas.microsoft.com/office/drawing/2014/main" id="{00000000-0008-0000-0400-000014000000}"/>
                </a:ext>
              </a:extLst>
            </xdr:cNvPr>
            <xdr:cNvSpPr/>
          </xdr:nvSpPr>
          <xdr:spPr>
            <a:xfrm>
              <a:off x="10584358"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1" name="Retângulo 20">
              <a:extLst>
                <a:ext uri="{FF2B5EF4-FFF2-40B4-BE49-F238E27FC236}">
                  <a16:creationId xmlns:a16="http://schemas.microsoft.com/office/drawing/2014/main" id="{00000000-0008-0000-0400-000015000000}"/>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2" name="Retângulo 21">
              <a:extLst>
                <a:ext uri="{FF2B5EF4-FFF2-40B4-BE49-F238E27FC236}">
                  <a16:creationId xmlns:a16="http://schemas.microsoft.com/office/drawing/2014/main" id="{00000000-0008-0000-0400-00001600000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3" name="Retângulo 22">
              <a:extLst>
                <a:ext uri="{FF2B5EF4-FFF2-40B4-BE49-F238E27FC236}">
                  <a16:creationId xmlns:a16="http://schemas.microsoft.com/office/drawing/2014/main" id="{00000000-0008-0000-0400-000017000000}"/>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grpSp>
    </xdr:grp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FaturaProjeto" displayName="FaturaProjeto" ref="B8:G33" dataDxfId="66" totalsRowDxfId="65">
  <autoFilter ref="B8:G33" xr:uid="{00000000-0009-0000-0100-000004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Nº do item" totalsRowLabel="Total" dataDxfId="64" totalsRowDxfId="63">
      <calculatedColumnFormula array="1">IFERROR(INDEX(DetalhesDaFatura[],SMALL(IF(DetalhesDaFatura[Nº da fatura]=rngFatura,ROW(DetalhesDaFatura[])-ROW(DetalhesDaFatura[#Headers])), ROW(1:1)), MATCH($B$8, DetalhesDaFatura[#Headers], 0)),"")</calculatedColumnFormula>
    </tableColumn>
    <tableColumn id="2" xr3:uid="{00000000-0010-0000-0000-000002000000}" name="Descrição" dataDxfId="62" totalsRowDxfId="61">
      <calculatedColumnFormula array="1">IFERROR(INDEX(DetalhesDaFatura[],SMALL(IF(DetalhesDaFatura[Nº da fatura]=rngFatura,ROW(DetalhesDaFatura[])-ROW(DetalhesDaFatura[#Headers])), ROW(1:1)), MATCH($C$8, DetalhesDaFatura[#Headers], 0)),"")</calculatedColumnFormula>
    </tableColumn>
    <tableColumn id="7" xr3:uid="{00000000-0010-0000-0000-000007000000}" name="Qtd." dataDxfId="60" totalsRowDxfId="59">
      <calculatedColumnFormula array="1">IFERROR(INDEX(DetalhesDaFatura[],SMALL(IF(DetalhesDaFatura[Nº da fatura]=rngFatura,ROW(DetalhesDaFatura[])-ROW(DetalhesDaFatura[#Headers])), ROW(1:1)), MATCH($D$8, DetalhesDaFatura[#Headers], 0)),"")</calculatedColumnFormula>
    </tableColumn>
    <tableColumn id="8" xr3:uid="{00000000-0010-0000-0000-000008000000}" name="Preço unitário" dataDxfId="58" totalsRowDxfId="57">
      <calculatedColumnFormula array="1">IFERROR(INDEX(DetalhesDaFatura[],SMALL(IF(DetalhesDaFatura[Nº da fatura]=rngFatura,ROW(DetalhesDaFatura[])-ROW(DetalhesDaFatura[#Headers])), ROW(1:1)), MATCH($E$8, DetalhesDaFatura[#Headers], 0)),"")</calculatedColumnFormula>
    </tableColumn>
    <tableColumn id="10" xr3:uid="{00000000-0010-0000-0000-00000A000000}" name="Desconto" dataDxfId="56" totalsRowDxfId="55">
      <calculatedColumnFormula array="1">IFERROR(INDEX(DetalhesDaFatura[],SMALL(IF(DetalhesDaFatura[Nº da fatura]=rngFatura,ROW(DetalhesDaFatura[])-ROW(DetalhesDaFatura[#Headers])), ROW(1:1)), MATCH($F$8, DetalhesDaFatura[#Headers], 0)),"")</calculatedColumnFormula>
    </tableColumn>
    <tableColumn id="11" xr3:uid="{00000000-0010-0000-0000-00000B000000}" name="Preço" totalsRowFunction="count" dataDxfId="54" totalsRowDxfId="53">
      <calculatedColumnFormula>IFERROR((D9*E9)-F9,"")</calculatedColumnFormula>
    </tableColumn>
  </tableColumns>
  <tableStyleInfo name="Tabela de faturas de vendas" showFirstColumn="0" showLastColumn="1" showRowStripes="1" showColumnStripes="0"/>
  <extLst>
    <ext xmlns:x14="http://schemas.microsoft.com/office/spreadsheetml/2009/9/main" uri="{504A1905-F514-4f6f-8877-14C23A59335A}">
      <x14:table altTextSummary="Lista de faturas com número, descrição, quantidade, preço unitário, desconto e preço do item."/>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ListaClientes" displayName="ListaClientes" ref="B3:L6" totalsRowCount="1">
  <autoFilter ref="B3:L5" xr:uid="{00000000-0009-0000-0100-000001000000}"/>
  <tableColumns count="11">
    <tableColumn id="9" xr3:uid="{00000000-0010-0000-0100-000009000000}" name="Pesquisar" totalsRowLabel="Totais" dataDxfId="50" totalsRowDxfId="10">
      <calculatedColumnFormula>C4&amp; " - "&amp;D4</calculatedColumnFormula>
    </tableColumn>
    <tableColumn id="1" xr3:uid="{00000000-0010-0000-0100-000001000000}" name="Nº da empresa" totalsRowFunction="custom" dataDxfId="49" totalsRowDxfId="9">
      <totalsRowFormula>"Número total de clientes: "&amp;SUBTOTAL(103,ListaClientes[Nº da empresa])</totalsRowFormula>
    </tableColumn>
    <tableColumn id="2" xr3:uid="{00000000-0010-0000-0100-000002000000}" name="Nome da empresa" totalsRowDxfId="8"/>
    <tableColumn id="3" xr3:uid="{00000000-0010-0000-0100-000003000000}" name="Nome de contato" totalsRowDxfId="7"/>
    <tableColumn id="4" xr3:uid="{00000000-0010-0000-0100-000004000000}" name="Endereço" totalsRowDxfId="6"/>
    <tableColumn id="5" xr3:uid="{00000000-0010-0000-0100-000005000000}" name="Cidade" totalsRowDxfId="5"/>
    <tableColumn id="6" xr3:uid="{00000000-0010-0000-0100-000006000000}" name="Estado" totalsRowDxfId="4"/>
    <tableColumn id="7" xr3:uid="{00000000-0010-0000-0100-000007000000}" name="CEP" totalsRowDxfId="3"/>
    <tableColumn id="8" xr3:uid="{00000000-0010-0000-0100-000008000000}" name="Telefone" totalsRowDxfId="2"/>
    <tableColumn id="10" xr3:uid="{00000000-0010-0000-0100-00000A000000}" name="Email" totalsRowDxfId="1"/>
    <tableColumn id="11" xr3:uid="{00000000-0010-0000-0100-00000B000000}" name="Fax" totalsRowDxfId="0"/>
  </tableColumns>
  <tableStyleInfo name="Tabela de faturas de vendas" showFirstColumn="0" showLastColumn="0" showRowStripes="1" showColumnStripes="0"/>
  <extLst>
    <ext xmlns:x14="http://schemas.microsoft.com/office/spreadsheetml/2009/9/main" uri="{504A1905-F514-4f6f-8877-14C23A59335A}">
      <x14:table altTextSummary="Lista de clientes com número da empresa, nome da empresa, nome do contato, endereço, cidade, estado, CEP, telefone, email e fax"/>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FaturasPrincipal" displayName="FaturasPrincipal" ref="B3:K6" totalsRowCount="1" totalsRowDxfId="47">
  <autoFilter ref="B3:K5" xr:uid="{00000000-0009-0000-0100-000003000000}"/>
  <tableColumns count="10">
    <tableColumn id="1" xr3:uid="{00000000-0010-0000-0200-000001000000}" name="Nº da fatura" totalsRowLabel="Totais" dataDxfId="46" totalsRowDxfId="45"/>
    <tableColumn id="2" xr3:uid="{00000000-0010-0000-0200-000002000000}" name="Empresa" totalsRowFunction="custom" dataDxfId="44" totalsRowDxfId="43">
      <totalsRowFormula>"Total de faturas: "&amp;SUBTOTAL(103,FaturasPrincipal[Nº da fatura])</totalsRowFormula>
    </tableColumn>
    <tableColumn id="3" xr3:uid="{00000000-0010-0000-0200-000003000000}" name="Data da fatura" dataDxfId="42" totalsRowDxfId="41"/>
    <tableColumn id="4" xr3:uid="{00000000-0010-0000-0200-000004000000}" name="Descrição do projeto" dataDxfId="40" totalsRowDxfId="39"/>
    <tableColumn id="8" xr3:uid="{00000000-0010-0000-0200-000008000000}" name="Alíquota de imposto" dataDxfId="38" totalsRowDxfId="37"/>
    <tableColumn id="9" xr3:uid="{00000000-0010-0000-0200-000009000000}" name="Outros" totalsRowFunction="sum" dataDxfId="36" totalsRowDxfId="35"/>
    <tableColumn id="6" xr3:uid="{00000000-0010-0000-0200-000006000000}" name="Depósito" totalsRowFunction="sum" dataDxfId="34" totalsRowDxfId="33"/>
    <tableColumn id="7" xr3:uid="{00000000-0010-0000-0200-000007000000}" name="Total de detalhes" totalsRowFunction="sum" dataDxfId="32" totalsRowDxfId="31">
      <calculatedColumnFormula>SUMIF(DetalhesDaFatura[Nº da fatura],"="&amp;FaturasPrincipal[[#This Row],[Nº da fatura]],DetalhesDaFatura[Total])</calculatedColumnFormula>
    </tableColumn>
    <tableColumn id="10" xr3:uid="{00000000-0010-0000-0200-00000A000000}" name="Total da fatura" totalsRowFunction="sum" dataDxfId="30" totalsRowDxfId="29">
      <calculatedColumnFormula>(FaturasPrincipal[[#This Row],[Total de detalhes]]*(1+FaturasPrincipal[[#This Row],[Alíquota de imposto]]))+FaturasPrincipal[[#This Row],[Outros]]-FaturasPrincipal[[#This Row],[Depósito]]</calculatedColumnFormula>
    </tableColumn>
    <tableColumn id="5" xr3:uid="{00000000-0010-0000-0200-000005000000}" name="Anotações" dataDxfId="28" totalsRowDxfId="27"/>
  </tableColumns>
  <tableStyleInfo name="Tabela de faturas de vendas" showFirstColumn="0" showLastColumn="0" showRowStripes="1" showColumnStripes="0"/>
  <extLst>
    <ext xmlns:x14="http://schemas.microsoft.com/office/spreadsheetml/2009/9/main" uri="{504A1905-F514-4f6f-8877-14C23A59335A}">
      <x14:table altTextSummary="Lista de faturas com número da fatura, empresa, data da fatura, descrição do projeto, taxa de imposto, outros, depósito, total de detalhes, total da fatura e observações"/>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DetalhesDaFatura" displayName="DetalhesDaFatura" ref="B3:H40" dataDxfId="25">
  <autoFilter ref="B3:H40" xr:uid="{00000000-0009-0000-0100-000002000000}"/>
  <sortState xmlns:xlrd2="http://schemas.microsoft.com/office/spreadsheetml/2017/richdata2" ref="B4:H40">
    <sortCondition ref="C3:C40"/>
  </sortState>
  <tableColumns count="7">
    <tableColumn id="2" xr3:uid="{00000000-0010-0000-0300-000002000000}" name="Descrição" totalsRowLabel="Total" dataDxfId="24" totalsRowDxfId="23"/>
    <tableColumn id="1" xr3:uid="{00000000-0010-0000-0300-000001000000}" name="Nº da fatura" dataDxfId="22" totalsRowDxfId="21"/>
    <tableColumn id="4" xr3:uid="{00000000-0010-0000-0300-000004000000}" name="Nº do item" dataDxfId="20" totalsRowDxfId="19"/>
    <tableColumn id="3" xr3:uid="{00000000-0010-0000-0300-000003000000}" name="Qtd." dataDxfId="18" totalsRowDxfId="17"/>
    <tableColumn id="6" xr3:uid="{00000000-0010-0000-0300-000006000000}" name="Preço unitário" dataDxfId="16" totalsRowDxfId="15"/>
    <tableColumn id="5" xr3:uid="{00000000-0010-0000-0300-000005000000}" name="Desconto" dataDxfId="14" totalsRowDxfId="13"/>
    <tableColumn id="10" xr3:uid="{00000000-0010-0000-0300-00000A000000}" name="Total" totalsRowFunction="sum" dataDxfId="12" totalsRowDxfId="11">
      <calculatedColumnFormula>(DetalhesDaFatura[[#This Row],[Qtd.]]*DetalhesDaFatura[[#This Row],[Preço unitário]])-DetalhesDaFatura[[#This Row],[Desconto]]</calculatedColumnFormula>
    </tableColumn>
  </tableColumns>
  <tableStyleInfo name="Tabela de faturas de vendas" showFirstColumn="0" showLastColumn="0" showRowStripes="1" showColumnStripes="0"/>
  <extLst>
    <ext xmlns:x14="http://schemas.microsoft.com/office/spreadsheetml/2009/9/main" uri="{504A1905-F514-4f6f-8877-14C23A59335A}">
      <x14:table altTextSummary="Detalhes da fatura com descrição, número da fatura, número do item, quantidade, preço unitário, desconto e total"/>
    </ext>
  </extLst>
</table>
</file>

<file path=xl/theme/theme1.xml><?xml version="1.0" encoding="utf-8"?>
<a:theme xmlns:a="http://schemas.openxmlformats.org/drawingml/2006/main" name="Office Theme">
  <a:themeElements>
    <a:clrScheme name="Concourse">
      <a:dk1>
        <a:sysClr val="windowText" lastClr="000000"/>
      </a:dk1>
      <a:lt1>
        <a:sysClr val="window" lastClr="FFFFFF"/>
      </a:lt1>
      <a:dk2>
        <a:srgbClr val="464646"/>
      </a:dk2>
      <a:lt2>
        <a:srgbClr val="DEF5FA"/>
      </a:lt2>
      <a:accent1>
        <a:srgbClr val="2DA2BF"/>
      </a:accent1>
      <a:accent2>
        <a:srgbClr val="DA1F28"/>
      </a:accent2>
      <a:accent3>
        <a:srgbClr val="EB641B"/>
      </a:accent3>
      <a:accent4>
        <a:srgbClr val="39639D"/>
      </a:accent4>
      <a:accent5>
        <a:srgbClr val="474B78"/>
      </a:accent5>
      <a:accent6>
        <a:srgbClr val="7D3C4A"/>
      </a:accent6>
      <a:hlink>
        <a:srgbClr val="FF8119"/>
      </a:hlink>
      <a:folHlink>
        <a:srgbClr val="44B9E8"/>
      </a:folHlink>
    </a:clrScheme>
    <a:fontScheme name="Sales Invoice">
      <a:majorFont>
        <a:latin typeface="Arial"/>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someone@example.com" TargetMode="External"/><Relationship Id="rId1" Type="http://schemas.openxmlformats.org/officeDocument/2006/relationships/hyperlink" Target="mailto:someone@example.com" TargetMode="External"/><Relationship Id="rId5" Type="http://schemas.openxmlformats.org/officeDocument/2006/relationships/table" Target="../tables/table2.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office.microsoft.com/client/helppreview14.aspx?AssetId=HA010354866&amp;lcid=1033&amp;NS=EXCEL&amp;Version=14&amp;tl=2&amp;respos=0&amp;CTT=1&amp;queryid=d38d00d08c94494fb55f055eb667c2c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499984740745262"/>
    <pageSetUpPr autoPageBreaks="0" fitToPage="1"/>
  </sheetPr>
  <dimension ref="A1:H39"/>
  <sheetViews>
    <sheetView showGridLines="0" tabSelected="1" zoomScaleNormal="100" workbookViewId="0">
      <selection activeCell="G4" sqref="G4"/>
    </sheetView>
  </sheetViews>
  <sheetFormatPr defaultColWidth="9" defaultRowHeight="33.950000000000003" customHeight="1" x14ac:dyDescent="0.25"/>
  <cols>
    <col min="1" max="1" width="2.85546875" style="43" customWidth="1"/>
    <col min="2" max="2" width="13.42578125" style="5" customWidth="1"/>
    <col min="3" max="3" width="30.5703125" style="5" customWidth="1"/>
    <col min="4" max="4" width="16.5703125" style="5" customWidth="1"/>
    <col min="5" max="5" width="18.140625" style="5" bestFit="1" customWidth="1"/>
    <col min="6" max="7" width="16.5703125" style="5" customWidth="1"/>
    <col min="8" max="8" width="2.85546875" style="5" customWidth="1"/>
    <col min="9" max="9" width="11.28515625" style="5" customWidth="1"/>
    <col min="10" max="16384" width="9" style="5"/>
  </cols>
  <sheetData>
    <row r="1" spans="1:8" ht="57.95" customHeight="1" thickBot="1" x14ac:dyDescent="0.3">
      <c r="A1" s="40"/>
      <c r="B1" s="59" t="s">
        <v>0</v>
      </c>
      <c r="C1" s="21"/>
      <c r="D1" s="21"/>
      <c r="E1" s="21"/>
      <c r="F1" s="19"/>
      <c r="G1" s="20"/>
      <c r="H1" s="20"/>
    </row>
    <row r="2" spans="1:8" ht="24" customHeight="1" thickTop="1" x14ac:dyDescent="0.25">
      <c r="A2" s="41"/>
      <c r="B2" s="77" t="s">
        <v>1</v>
      </c>
      <c r="C2" s="77"/>
      <c r="D2" s="77" t="s">
        <v>8</v>
      </c>
      <c r="E2" s="77"/>
      <c r="F2" s="77" t="s">
        <v>12</v>
      </c>
      <c r="G2" s="77"/>
      <c r="H2" s="22"/>
    </row>
    <row r="3" spans="1:8" ht="24" customHeight="1" x14ac:dyDescent="0.25">
      <c r="A3" s="41"/>
      <c r="B3" s="78" t="s">
        <v>2</v>
      </c>
      <c r="C3" s="78"/>
      <c r="D3" s="78" t="s">
        <v>9</v>
      </c>
      <c r="E3" s="78"/>
      <c r="F3" s="78" t="s">
        <v>13</v>
      </c>
      <c r="G3" s="78"/>
      <c r="H3" s="22"/>
    </row>
    <row r="4" spans="1:8" s="17" customFormat="1" ht="24" customHeight="1" x14ac:dyDescent="0.25">
      <c r="A4" s="42"/>
      <c r="B4" s="48" t="s">
        <v>3</v>
      </c>
      <c r="C4" s="49" t="str">
        <f>IFERROR(VLOOKUP(VLOOKUP(rngFatura,FaturasPrincipal[],2,FALSE),ListaClientes[],3,TRUE),"")</f>
        <v>Contoso, Ltd</v>
      </c>
      <c r="D4" s="83" t="str">
        <f>"Telefone: "&amp;IFERROR(VLOOKUP(VLOOKUP(rngFatura,FaturasPrincipal[],2,FALSE),ListaClientes[],9,FALSE),"")</f>
        <v>Telefone: (55) 3555-0189</v>
      </c>
      <c r="E4" s="83"/>
      <c r="F4" s="48" t="s">
        <v>14</v>
      </c>
      <c r="G4" s="46" t="s">
        <v>23</v>
      </c>
    </row>
    <row r="5" spans="1:8" s="17" customFormat="1" ht="20.100000000000001" customHeight="1" x14ac:dyDescent="0.25">
      <c r="A5" s="42"/>
      <c r="B5" s="48" t="s">
        <v>4</v>
      </c>
      <c r="C5" s="49" t="str">
        <f>IFERROR(IF((VLOOKUP(VLOOKUP(rngFatura,FaturasPrincipal[],2,FALSE),ListaClientes[],5,FALSE))="","",(VLOOKUP(VLOOKUP(rngFatura,FaturasPrincipal[],2,FALSE),ListaClientes[],5,FALSE))),"")</f>
        <v>Rua Castanheira, 555</v>
      </c>
      <c r="D5" s="83" t="str">
        <f>"Fax:         "&amp;IFERROR(VLOOKUP(VLOOKUP(rngFatura,FaturasPrincipal[],2,FALSE),ListaClientes[],11,FALSE),"")</f>
        <v>Fax:         (55) 3693-0123</v>
      </c>
      <c r="E5" s="83"/>
      <c r="F5" s="48" t="s">
        <v>15</v>
      </c>
      <c r="G5" s="47">
        <f ca="1">IFERROR(IF(VLOOKUP(rngFatura,FaturasPrincipal[],3,FALSE)="","",VLOOKUP(rngFatura,FaturasPrincipal[],3,FALSE)),"")</f>
        <v>43716</v>
      </c>
    </row>
    <row r="6" spans="1:8" s="17" customFormat="1" ht="20.100000000000001" customHeight="1" x14ac:dyDescent="0.25">
      <c r="A6" s="42"/>
      <c r="B6" s="50"/>
      <c r="C6" s="49" t="str">
        <f>IFERROR(VLOOKUP(VLOOKUP(rngFatura,FaturasPrincipal[],2,FALSE),ListaClientes[],6,FALSE)&amp;", "&amp; VLOOKUP(VLOOKUP(G4,FaturasPrincipal[],2,FALSE),ListaClientes[],7,FALSE)&amp;" "&amp;VLOOKUP(VLOOKUP(G4,FaturasPrincipal[],2,FALSE),ListaClientes[],8,FALSE),"")</f>
        <v>Campinas, SP 098765</v>
      </c>
      <c r="D6" s="83" t="str">
        <f>"Email: "&amp;IFERROR(VLOOKUP(VLOOKUP(rngFatura,FaturasPrincipal[],2,FALSE),ListaClientes[],10,FALSE),"")</f>
        <v>Email: pessoa@exemplo.com</v>
      </c>
      <c r="E6" s="83"/>
      <c r="F6" s="49"/>
      <c r="G6" s="18"/>
    </row>
    <row r="7" spans="1:8" ht="44.1" customHeight="1" x14ac:dyDescent="0.25">
      <c r="B7" s="62" t="str">
        <f>"Fatura de: "&amp;IFERROR(VLOOKUP(rngFatura,FaturasPrincipal[],4),"")</f>
        <v>Fatura de: Projeto 2</v>
      </c>
      <c r="C7" s="63"/>
      <c r="D7" s="63"/>
      <c r="E7" s="63"/>
      <c r="F7" s="63"/>
      <c r="G7" s="63"/>
    </row>
    <row r="8" spans="1:8" s="6" customFormat="1" ht="33.950000000000003" customHeight="1" x14ac:dyDescent="0.25">
      <c r="B8" s="37" t="s">
        <v>5</v>
      </c>
      <c r="C8" s="37" t="s">
        <v>7</v>
      </c>
      <c r="D8" s="37" t="s">
        <v>10</v>
      </c>
      <c r="E8" s="37" t="s">
        <v>11</v>
      </c>
      <c r="F8" s="37" t="s">
        <v>16</v>
      </c>
      <c r="G8" s="37" t="s">
        <v>24</v>
      </c>
    </row>
    <row r="9" spans="1:8" s="6" customFormat="1" ht="33.950000000000003" customHeight="1" x14ac:dyDescent="0.25">
      <c r="B9" s="58" t="str">
        <f t="array" ref="B9">IFERROR(INDEX(DetalhesDaFatura[],SMALL(IF(DetalhesDaFatura[Nº da fatura]=rngFatura,ROW(DetalhesDaFatura[])-ROW(DetalhesDaFatura[#Headers])), ROW(1:1)), MATCH($B$8, DetalhesDaFatura[#Headers], 0)),"")</f>
        <v>Z4567</v>
      </c>
      <c r="C9" s="58" t="str">
        <f t="array" ref="C9">IFERROR(INDEX(DetalhesDaFatura[],SMALL(IF(DetalhesDaFatura[Nº da fatura]=rngFatura,ROW(DetalhesDaFatura[])-ROW(DetalhesDaFatura[#Headers])), ROW(1:1)), MATCH($C$8, DetalhesDaFatura[#Headers], 0)),"")</f>
        <v>Fatura 3-456-2 Dados 1</v>
      </c>
      <c r="D9" s="58">
        <f t="array" ref="D9">IFERROR(INDEX(DetalhesDaFatura[],SMALL(IF(DetalhesDaFatura[Nº da fatura]=rngFatura,ROW(DetalhesDaFatura[])-ROW(DetalhesDaFatura[#Headers])), ROW(1:1)), MATCH($D$8, DetalhesDaFatura[#Headers], 0)),"")</f>
        <v>39</v>
      </c>
      <c r="E9" s="76">
        <f t="array" ref="E9">IFERROR(INDEX(DetalhesDaFatura[],SMALL(IF(DetalhesDaFatura[Nº da fatura]=rngFatura,ROW(DetalhesDaFatura[])-ROW(DetalhesDaFatura[#Headers])), ROW(1:1)), MATCH($E$8, DetalhesDaFatura[#Headers], 0)),"")</f>
        <v>5</v>
      </c>
      <c r="F9" s="76">
        <f t="array" ref="F9">IFERROR(INDEX(DetalhesDaFatura[],SMALL(IF(DetalhesDaFatura[Nº da fatura]=rngFatura,ROW(DetalhesDaFatura[])-ROW(DetalhesDaFatura[#Headers])), ROW(1:1)), MATCH($F$8, DetalhesDaFatura[#Headers], 0)),"")</f>
        <v>0</v>
      </c>
      <c r="G9" s="71">
        <f t="shared" ref="G9:G33" si="0">IFERROR((D9*E9)-F9,"")</f>
        <v>195</v>
      </c>
    </row>
    <row r="10" spans="1:8" s="6" customFormat="1" ht="33.950000000000003" customHeight="1" x14ac:dyDescent="0.25">
      <c r="B10" s="58" t="str">
        <f t="array" ref="B10">IFERROR(INDEX(DetalhesDaFatura[],SMALL(IF(DetalhesDaFatura[Nº da fatura]=rngFatura,ROW(DetalhesDaFatura[])-ROW(DetalhesDaFatura[#Headers])), ROW(2:2)), MATCH($B$8, DetalhesDaFatura[#Headers], 0)),"")</f>
        <v>Z4568</v>
      </c>
      <c r="C10" s="58" t="str">
        <f t="array" ref="C10">IFERROR(INDEX(DetalhesDaFatura[],SMALL(IF(DetalhesDaFatura[Nº da fatura]=rngFatura,ROW(DetalhesDaFatura[])-ROW(DetalhesDaFatura[#Headers])), ROW(2:2)), MATCH($C$8, DetalhesDaFatura[#Headers], 0)),"")</f>
        <v>Fatura 3-456-2 Dados 2</v>
      </c>
      <c r="D10" s="58">
        <f t="array" ref="D10">IFERROR(INDEX(DetalhesDaFatura[],SMALL(IF(DetalhesDaFatura[Nº da fatura]=rngFatura,ROW(DetalhesDaFatura[])-ROW(DetalhesDaFatura[#Headers])), ROW(2:2)), MATCH($D$8, DetalhesDaFatura[#Headers], 0)),"")</f>
        <v>40</v>
      </c>
      <c r="E10" s="76">
        <f t="array" ref="E10">IFERROR(INDEX(DetalhesDaFatura[],SMALL(IF(DetalhesDaFatura[Nº da fatura]=rngFatura,ROW(DetalhesDaFatura[])-ROW(DetalhesDaFatura[#Headers])), ROW(2:2)), MATCH($E$8, DetalhesDaFatura[#Headers], 0)),"")</f>
        <v>4</v>
      </c>
      <c r="F10" s="76">
        <f t="array" ref="F10">IFERROR(INDEX(DetalhesDaFatura[],SMALL(IF(DetalhesDaFatura[Nº da fatura]=rngFatura,ROW(DetalhesDaFatura[])-ROW(DetalhesDaFatura[#Headers])), ROW(2:2)), MATCH($F$8, DetalhesDaFatura[#Headers], 0)),"")</f>
        <v>5</v>
      </c>
      <c r="G10" s="71">
        <f t="shared" si="0"/>
        <v>155</v>
      </c>
    </row>
    <row r="11" spans="1:8" s="6" customFormat="1" ht="33.950000000000003" customHeight="1" x14ac:dyDescent="0.25">
      <c r="B11" s="58" t="str">
        <f t="array" ref="B11">IFERROR(INDEX(DetalhesDaFatura[],SMALL(IF(DetalhesDaFatura[Nº da fatura]=rngFatura,ROW(DetalhesDaFatura[])-ROW(DetalhesDaFatura[#Headers])), ROW(3:3)), MATCH($B$8, DetalhesDaFatura[#Headers], 0)),"")</f>
        <v>Z4569</v>
      </c>
      <c r="C11" s="58" t="str">
        <f t="array" ref="C11">IFERROR(INDEX(DetalhesDaFatura[],SMALL(IF(DetalhesDaFatura[Nº da fatura]=rngFatura,ROW(DetalhesDaFatura[])-ROW(DetalhesDaFatura[#Headers])), ROW(3:3)), MATCH($C$8, DetalhesDaFatura[#Headers], 0)),"")</f>
        <v>Fatura 3-456-2 Dados 3</v>
      </c>
      <c r="D11" s="58">
        <f t="array" ref="D11">IFERROR(INDEX(DetalhesDaFatura[],SMALL(IF(DetalhesDaFatura[Nº da fatura]=rngFatura,ROW(DetalhesDaFatura[])-ROW(DetalhesDaFatura[#Headers])), ROW(3:3)), MATCH($D$8, DetalhesDaFatura[#Headers], 0)),"")</f>
        <v>30</v>
      </c>
      <c r="E11" s="76">
        <f t="array" ref="E11">IFERROR(INDEX(DetalhesDaFatura[],SMALL(IF(DetalhesDaFatura[Nº da fatura]=rngFatura,ROW(DetalhesDaFatura[])-ROW(DetalhesDaFatura[#Headers])), ROW(3:3)), MATCH($E$8, DetalhesDaFatura[#Headers], 0)),"")</f>
        <v>6</v>
      </c>
      <c r="F11" s="76">
        <f t="array" ref="F11">IFERROR(INDEX(DetalhesDaFatura[],SMALL(IF(DetalhesDaFatura[Nº da fatura]=rngFatura,ROW(DetalhesDaFatura[])-ROW(DetalhesDaFatura[#Headers])), ROW(3:3)), MATCH($F$8, DetalhesDaFatura[#Headers], 0)),"")</f>
        <v>7</v>
      </c>
      <c r="G11" s="71">
        <f t="shared" si="0"/>
        <v>173</v>
      </c>
    </row>
    <row r="12" spans="1:8" s="6" customFormat="1" ht="33.950000000000003" customHeight="1" x14ac:dyDescent="0.25">
      <c r="B12" s="58" t="str">
        <f t="array" ref="B12">IFERROR(INDEX(DetalhesDaFatura[],SMALL(IF(DetalhesDaFatura[Nº da fatura]=rngFatura,ROW(DetalhesDaFatura[])-ROW(DetalhesDaFatura[#Headers])), ROW(4:4)), MATCH($B$8, DetalhesDaFatura[#Headers], 0)),"")</f>
        <v>Z4570</v>
      </c>
      <c r="C12" s="58" t="str">
        <f t="array" ref="C12">IFERROR(INDEX(DetalhesDaFatura[],SMALL(IF(DetalhesDaFatura[Nº da fatura]=rngFatura,ROW(DetalhesDaFatura[])-ROW(DetalhesDaFatura[#Headers])), ROW(4:4)), MATCH($C$8, DetalhesDaFatura[#Headers], 0)),"")</f>
        <v>Fatura 3-456-2 Dados 4</v>
      </c>
      <c r="D12" s="58">
        <f t="array" ref="D12">IFERROR(INDEX(DetalhesDaFatura[],SMALL(IF(DetalhesDaFatura[Nº da fatura]=rngFatura,ROW(DetalhesDaFatura[])-ROW(DetalhesDaFatura[#Headers])), ROW(4:4)), MATCH($D$8, DetalhesDaFatura[#Headers], 0)),"")</f>
        <v>40</v>
      </c>
      <c r="E12" s="76">
        <f t="array" ref="E12">IFERROR(INDEX(DetalhesDaFatura[],SMALL(IF(DetalhesDaFatura[Nº da fatura]=rngFatura,ROW(DetalhesDaFatura[])-ROW(DetalhesDaFatura[#Headers])), ROW(4:4)), MATCH($E$8, DetalhesDaFatura[#Headers], 0)),"")</f>
        <v>7</v>
      </c>
      <c r="F12" s="76">
        <f t="array" ref="F12">IFERROR(INDEX(DetalhesDaFatura[],SMALL(IF(DetalhesDaFatura[Nº da fatura]=rngFatura,ROW(DetalhesDaFatura[])-ROW(DetalhesDaFatura[#Headers])), ROW(4:4)), MATCH($F$8, DetalhesDaFatura[#Headers], 0)),"")</f>
        <v>0</v>
      </c>
      <c r="G12" s="71">
        <f t="shared" si="0"/>
        <v>280</v>
      </c>
    </row>
    <row r="13" spans="1:8" s="6" customFormat="1" ht="33.950000000000003" customHeight="1" x14ac:dyDescent="0.25">
      <c r="B13" s="58" t="str">
        <f t="array" ref="B13">IFERROR(INDEX(DetalhesDaFatura[],SMALL(IF(DetalhesDaFatura[Nº da fatura]=rngFatura,ROW(DetalhesDaFatura[])-ROW(DetalhesDaFatura[#Headers])), ROW(5:5)), MATCH($B$8, DetalhesDaFatura[#Headers], 0)),"")</f>
        <v>Z4571</v>
      </c>
      <c r="C13" s="58" t="str">
        <f t="array" ref="C13">IFERROR(INDEX(DetalhesDaFatura[],SMALL(IF(DetalhesDaFatura[Nº da fatura]=rngFatura,ROW(DetalhesDaFatura[])-ROW(DetalhesDaFatura[#Headers])), ROW(5:5)), MATCH($C$8, DetalhesDaFatura[#Headers], 0)),"")</f>
        <v>Fatura 3-456-2 Dados 5</v>
      </c>
      <c r="D13" s="58">
        <f t="array" ref="D13">IFERROR(INDEX(DetalhesDaFatura[],SMALL(IF(DetalhesDaFatura[Nº da fatura]=rngFatura,ROW(DetalhesDaFatura[])-ROW(DetalhesDaFatura[#Headers])), ROW(5:5)), MATCH($D$8, DetalhesDaFatura[#Headers], 0)),"")</f>
        <v>10</v>
      </c>
      <c r="E13" s="76">
        <f t="array" ref="E13">IFERROR(INDEX(DetalhesDaFatura[],SMALL(IF(DetalhesDaFatura[Nº da fatura]=rngFatura,ROW(DetalhesDaFatura[])-ROW(DetalhesDaFatura[#Headers])), ROW(5:5)), MATCH($E$8, DetalhesDaFatura[#Headers], 0)),"")</f>
        <v>4</v>
      </c>
      <c r="F13" s="76">
        <f t="array" ref="F13">IFERROR(INDEX(DetalhesDaFatura[],SMALL(IF(DetalhesDaFatura[Nº da fatura]=rngFatura,ROW(DetalhesDaFatura[])-ROW(DetalhesDaFatura[#Headers])), ROW(5:5)), MATCH($F$8, DetalhesDaFatura[#Headers], 0)),"")</f>
        <v>0</v>
      </c>
      <c r="G13" s="71">
        <f t="shared" si="0"/>
        <v>40</v>
      </c>
    </row>
    <row r="14" spans="1:8" s="6" customFormat="1" ht="33.950000000000003" customHeight="1" x14ac:dyDescent="0.25">
      <c r="B14" s="58" t="str">
        <f t="array" ref="B14">IFERROR(INDEX(DetalhesDaFatura[],SMALL(IF(DetalhesDaFatura[Nº da fatura]=rngFatura,ROW(DetalhesDaFatura[])-ROW(DetalhesDaFatura[#Headers])), ROW(6:6)), MATCH($B$8, DetalhesDaFatura[#Headers], 0)),"")</f>
        <v>Z4572</v>
      </c>
      <c r="C14" s="58" t="str">
        <f t="array" ref="C14">IFERROR(INDEX(DetalhesDaFatura[],SMALL(IF(DetalhesDaFatura[Nº da fatura]=rngFatura,ROW(DetalhesDaFatura[])-ROW(DetalhesDaFatura[#Headers])), ROW(6:6)), MATCH($C$8, DetalhesDaFatura[#Headers], 0)),"")</f>
        <v>Fatura 3-456-2 Dados 6</v>
      </c>
      <c r="D14" s="58">
        <f t="array" ref="D14">IFERROR(INDEX(DetalhesDaFatura[],SMALL(IF(DetalhesDaFatura[Nº da fatura]=rngFatura,ROW(DetalhesDaFatura[])-ROW(DetalhesDaFatura[#Headers])), ROW(6:6)), MATCH($D$8, DetalhesDaFatura[#Headers], 0)),"")</f>
        <v>5</v>
      </c>
      <c r="E14" s="76">
        <f t="array" ref="E14">IFERROR(INDEX(DetalhesDaFatura[],SMALL(IF(DetalhesDaFatura[Nº da fatura]=rngFatura,ROW(DetalhesDaFatura[])-ROW(DetalhesDaFatura[#Headers])), ROW(6:6)), MATCH($E$8, DetalhesDaFatura[#Headers], 0)),"")</f>
        <v>8</v>
      </c>
      <c r="F14" s="76">
        <f t="array" ref="F14">IFERROR(INDEX(DetalhesDaFatura[],SMALL(IF(DetalhesDaFatura[Nº da fatura]=rngFatura,ROW(DetalhesDaFatura[])-ROW(DetalhesDaFatura[#Headers])), ROW(6:6)), MATCH($F$8, DetalhesDaFatura[#Headers], 0)),"")</f>
        <v>0</v>
      </c>
      <c r="G14" s="71">
        <f t="shared" si="0"/>
        <v>40</v>
      </c>
    </row>
    <row r="15" spans="1:8" s="6" customFormat="1" ht="33.950000000000003" customHeight="1" x14ac:dyDescent="0.25">
      <c r="B15" s="58" t="str">
        <f t="array" ref="B15">IFERROR(INDEX(DetalhesDaFatura[],SMALL(IF(DetalhesDaFatura[Nº da fatura]=rngFatura,ROW(DetalhesDaFatura[])-ROW(DetalhesDaFatura[#Headers])), ROW(7:7)), MATCH($B$8, DetalhesDaFatura[#Headers], 0)),"")</f>
        <v>Z4573</v>
      </c>
      <c r="C15" s="58" t="str">
        <f t="array" ref="C15">IFERROR(INDEX(DetalhesDaFatura[],SMALL(IF(DetalhesDaFatura[Nº da fatura]=rngFatura,ROW(DetalhesDaFatura[])-ROW(DetalhesDaFatura[#Headers])), ROW(7:7)), MATCH($C$8, DetalhesDaFatura[#Headers], 0)),"")</f>
        <v>Fatura 3-456-2 Dados 7</v>
      </c>
      <c r="D15" s="58">
        <f t="array" ref="D15">IFERROR(INDEX(DetalhesDaFatura[],SMALL(IF(DetalhesDaFatura[Nº da fatura]=rngFatura,ROW(DetalhesDaFatura[])-ROW(DetalhesDaFatura[#Headers])), ROW(7:7)), MATCH($D$8, DetalhesDaFatura[#Headers], 0)),"")</f>
        <v>70</v>
      </c>
      <c r="E15" s="76">
        <f t="array" ref="E15">IFERROR(INDEX(DetalhesDaFatura[],SMALL(IF(DetalhesDaFatura[Nº da fatura]=rngFatura,ROW(DetalhesDaFatura[])-ROW(DetalhesDaFatura[#Headers])), ROW(7:7)), MATCH($E$8, DetalhesDaFatura[#Headers], 0)),"")</f>
        <v>6</v>
      </c>
      <c r="F15" s="76">
        <f t="array" ref="F15">IFERROR(INDEX(DetalhesDaFatura[],SMALL(IF(DetalhesDaFatura[Nº da fatura]=rngFatura,ROW(DetalhesDaFatura[])-ROW(DetalhesDaFatura[#Headers])), ROW(7:7)), MATCH($F$8, DetalhesDaFatura[#Headers], 0)),"")</f>
        <v>0</v>
      </c>
      <c r="G15" s="71">
        <f t="shared" si="0"/>
        <v>420</v>
      </c>
    </row>
    <row r="16" spans="1:8" s="6" customFormat="1" ht="33.950000000000003" customHeight="1" x14ac:dyDescent="0.25">
      <c r="B16" s="58" t="str">
        <f t="array" ref="B16">IFERROR(INDEX(DetalhesDaFatura[],SMALL(IF(DetalhesDaFatura[Nº da fatura]=rngFatura,ROW(DetalhesDaFatura[])-ROW(DetalhesDaFatura[#Headers])), ROW(8:8)), MATCH($B$8, DetalhesDaFatura[#Headers], 0)),"")</f>
        <v>Z4574</v>
      </c>
      <c r="C16" s="58" t="str">
        <f t="array" ref="C16">IFERROR(INDEX(DetalhesDaFatura[],SMALL(IF(DetalhesDaFatura[Nº da fatura]=rngFatura,ROW(DetalhesDaFatura[])-ROW(DetalhesDaFatura[#Headers])), ROW(8:8)), MATCH($C$8, DetalhesDaFatura[#Headers], 0)),"")</f>
        <v>Fatura 3-456-2 Dados 8</v>
      </c>
      <c r="D16" s="58">
        <f t="array" ref="D16">IFERROR(INDEX(DetalhesDaFatura[],SMALL(IF(DetalhesDaFatura[Nº da fatura]=rngFatura,ROW(DetalhesDaFatura[])-ROW(DetalhesDaFatura[#Headers])), ROW(8:8)), MATCH($D$8, DetalhesDaFatura[#Headers], 0)),"")</f>
        <v>25</v>
      </c>
      <c r="E16" s="76">
        <f t="array" ref="E16">IFERROR(INDEX(DetalhesDaFatura[],SMALL(IF(DetalhesDaFatura[Nº da fatura]=rngFatura,ROW(DetalhesDaFatura[])-ROW(DetalhesDaFatura[#Headers])), ROW(8:8)), MATCH($E$8, DetalhesDaFatura[#Headers], 0)),"")</f>
        <v>4</v>
      </c>
      <c r="F16" s="76">
        <f t="array" ref="F16">IFERROR(INDEX(DetalhesDaFatura[],SMALL(IF(DetalhesDaFatura[Nº da fatura]=rngFatura,ROW(DetalhesDaFatura[])-ROW(DetalhesDaFatura[#Headers])), ROW(8:8)), MATCH($F$8, DetalhesDaFatura[#Headers], 0)),"")</f>
        <v>0</v>
      </c>
      <c r="G16" s="71">
        <f t="shared" si="0"/>
        <v>100</v>
      </c>
    </row>
    <row r="17" spans="2:7" s="6" customFormat="1" ht="33.950000000000003" customHeight="1" x14ac:dyDescent="0.25">
      <c r="B17" s="58" t="str">
        <f t="array" ref="B17">IFERROR(INDEX(DetalhesDaFatura[],SMALL(IF(DetalhesDaFatura[Nº da fatura]=rngFatura,ROW(DetalhesDaFatura[])-ROW(DetalhesDaFatura[#Headers])), ROW(9:9)), MATCH($B$8, DetalhesDaFatura[#Headers], 0)),"")</f>
        <v>Z4575</v>
      </c>
      <c r="C17" s="58" t="str">
        <f t="array" ref="C17">IFERROR(INDEX(DetalhesDaFatura[],SMALL(IF(DetalhesDaFatura[Nº da fatura]=rngFatura,ROW(DetalhesDaFatura[])-ROW(DetalhesDaFatura[#Headers])), ROW(9:9)), MATCH($C$8, DetalhesDaFatura[#Headers], 0)),"")</f>
        <v>Fatura 3-456-2 Dados 9</v>
      </c>
      <c r="D17" s="58">
        <f t="array" ref="D17">IFERROR(INDEX(DetalhesDaFatura[],SMALL(IF(DetalhesDaFatura[Nº da fatura]=rngFatura,ROW(DetalhesDaFatura[])-ROW(DetalhesDaFatura[#Headers])), ROW(9:9)), MATCH($D$8, DetalhesDaFatura[#Headers], 0)),"")</f>
        <v>5</v>
      </c>
      <c r="E17" s="76">
        <f t="array" ref="E17">IFERROR(INDEX(DetalhesDaFatura[],SMALL(IF(DetalhesDaFatura[Nº da fatura]=rngFatura,ROW(DetalhesDaFatura[])-ROW(DetalhesDaFatura[#Headers])), ROW(9:9)), MATCH($E$8, DetalhesDaFatura[#Headers], 0)),"")</f>
        <v>7</v>
      </c>
      <c r="F17" s="76">
        <f t="array" ref="F17">IFERROR(INDEX(DetalhesDaFatura[],SMALL(IF(DetalhesDaFatura[Nº da fatura]=rngFatura,ROW(DetalhesDaFatura[])-ROW(DetalhesDaFatura[#Headers])), ROW(9:9)), MATCH($F$8, DetalhesDaFatura[#Headers], 0)),"")</f>
        <v>3</v>
      </c>
      <c r="G17" s="71">
        <f t="shared" si="0"/>
        <v>32</v>
      </c>
    </row>
    <row r="18" spans="2:7" s="6" customFormat="1" ht="33.950000000000003" customHeight="1" x14ac:dyDescent="0.25">
      <c r="B18" s="58" t="str">
        <f t="array" ref="B18">IFERROR(INDEX(DetalhesDaFatura[],SMALL(IF(DetalhesDaFatura[Nº da fatura]=rngFatura,ROW(DetalhesDaFatura[])-ROW(DetalhesDaFatura[#Headers])), ROW(10:10)), MATCH($B$8, DetalhesDaFatura[#Headers], 0)),"")</f>
        <v>Z4576</v>
      </c>
      <c r="C18" s="58" t="str">
        <f t="array" ref="C18">IFERROR(INDEX(DetalhesDaFatura[],SMALL(IF(DetalhesDaFatura[Nº da fatura]=rngFatura,ROW(DetalhesDaFatura[])-ROW(DetalhesDaFatura[#Headers])), ROW(10:10)), MATCH($C$8, DetalhesDaFatura[#Headers], 0)),"")</f>
        <v>Fatura 3-456-2 Dados 10</v>
      </c>
      <c r="D18" s="58">
        <f t="array" ref="D18">IFERROR(INDEX(DetalhesDaFatura[],SMALL(IF(DetalhesDaFatura[Nº da fatura]=rngFatura,ROW(DetalhesDaFatura[])-ROW(DetalhesDaFatura[#Headers])), ROW(10:10)), MATCH($D$8, DetalhesDaFatura[#Headers], 0)),"")</f>
        <v>80</v>
      </c>
      <c r="E18" s="76">
        <f t="array" ref="E18">IFERROR(INDEX(DetalhesDaFatura[],SMALL(IF(DetalhesDaFatura[Nº da fatura]=rngFatura,ROW(DetalhesDaFatura[])-ROW(DetalhesDaFatura[#Headers])), ROW(10:10)), MATCH($E$8, DetalhesDaFatura[#Headers], 0)),"")</f>
        <v>1</v>
      </c>
      <c r="F18" s="76">
        <f t="array" ref="F18">IFERROR(INDEX(DetalhesDaFatura[],SMALL(IF(DetalhesDaFatura[Nº da fatura]=rngFatura,ROW(DetalhesDaFatura[])-ROW(DetalhesDaFatura[#Headers])), ROW(10:10)), MATCH($F$8, DetalhesDaFatura[#Headers], 0)),"")</f>
        <v>0</v>
      </c>
      <c r="G18" s="71">
        <f t="shared" si="0"/>
        <v>80</v>
      </c>
    </row>
    <row r="19" spans="2:7" s="6" customFormat="1" ht="33.950000000000003" customHeight="1" x14ac:dyDescent="0.25">
      <c r="B19" s="58" t="str">
        <f t="array" ref="B19">IFERROR(INDEX(DetalhesDaFatura[],SMALL(IF(DetalhesDaFatura[Nº da fatura]=rngFatura,ROW(DetalhesDaFatura[])-ROW(DetalhesDaFatura[#Headers])), ROW(11:11)), MATCH($B$8, DetalhesDaFatura[#Headers], 0)),"")</f>
        <v>Z4577</v>
      </c>
      <c r="C19" s="58" t="str">
        <f t="array" ref="C19">IFERROR(INDEX(DetalhesDaFatura[],SMALL(IF(DetalhesDaFatura[Nº da fatura]=rngFatura,ROW(DetalhesDaFatura[])-ROW(DetalhesDaFatura[#Headers])), ROW(11:11)), MATCH($C$8, DetalhesDaFatura[#Headers], 0)),"")</f>
        <v>Fatura 3-456-2 Dados 11</v>
      </c>
      <c r="D19" s="58">
        <f t="array" ref="D19">IFERROR(INDEX(DetalhesDaFatura[],SMALL(IF(DetalhesDaFatura[Nº da fatura]=rngFatura,ROW(DetalhesDaFatura[])-ROW(DetalhesDaFatura[#Headers])), ROW(11:11)), MATCH($D$8, DetalhesDaFatura[#Headers], 0)),"")</f>
        <v>65</v>
      </c>
      <c r="E19" s="76">
        <f t="array" ref="E19">IFERROR(INDEX(DetalhesDaFatura[],SMALL(IF(DetalhesDaFatura[Nº da fatura]=rngFatura,ROW(DetalhesDaFatura[])-ROW(DetalhesDaFatura[#Headers])), ROW(11:11)), MATCH($E$8, DetalhesDaFatura[#Headers], 0)),"")</f>
        <v>7</v>
      </c>
      <c r="F19" s="76">
        <f t="array" ref="F19">IFERROR(INDEX(DetalhesDaFatura[],SMALL(IF(DetalhesDaFatura[Nº da fatura]=rngFatura,ROW(DetalhesDaFatura[])-ROW(DetalhesDaFatura[#Headers])), ROW(11:11)), MATCH($F$8, DetalhesDaFatura[#Headers], 0)),"")</f>
        <v>0</v>
      </c>
      <c r="G19" s="71">
        <f t="shared" si="0"/>
        <v>455</v>
      </c>
    </row>
    <row r="20" spans="2:7" s="6" customFormat="1" ht="33.950000000000003" customHeight="1" x14ac:dyDescent="0.25">
      <c r="B20" s="58" t="str">
        <f t="array" ref="B20">IFERROR(INDEX(DetalhesDaFatura[],SMALL(IF(DetalhesDaFatura[Nº da fatura]=rngFatura,ROW(DetalhesDaFatura[])-ROW(DetalhesDaFatura[#Headers])), ROW(12:12)), MATCH($B$8, DetalhesDaFatura[#Headers], 0)),"")</f>
        <v>Z4578</v>
      </c>
      <c r="C20" s="58" t="str">
        <f t="array" ref="C20">IFERROR(INDEX(DetalhesDaFatura[],SMALL(IF(DetalhesDaFatura[Nº da fatura]=rngFatura,ROW(DetalhesDaFatura[])-ROW(DetalhesDaFatura[#Headers])), ROW(12:12)), MATCH($C$8, DetalhesDaFatura[#Headers], 0)),"")</f>
        <v>Fatura 3-456-2 Dados 12</v>
      </c>
      <c r="D20" s="58">
        <f t="array" ref="D20">IFERROR(INDEX(DetalhesDaFatura[],SMALL(IF(DetalhesDaFatura[Nº da fatura]=rngFatura,ROW(DetalhesDaFatura[])-ROW(DetalhesDaFatura[#Headers])), ROW(12:12)), MATCH($D$8, DetalhesDaFatura[#Headers], 0)),"")</f>
        <v>44</v>
      </c>
      <c r="E20" s="76">
        <f t="array" ref="E20">IFERROR(INDEX(DetalhesDaFatura[],SMALL(IF(DetalhesDaFatura[Nº da fatura]=rngFatura,ROW(DetalhesDaFatura[])-ROW(DetalhesDaFatura[#Headers])), ROW(12:12)), MATCH($E$8, DetalhesDaFatura[#Headers], 0)),"")</f>
        <v>1</v>
      </c>
      <c r="F20" s="76">
        <f t="array" ref="F20">IFERROR(INDEX(DetalhesDaFatura[],SMALL(IF(DetalhesDaFatura[Nº da fatura]=rngFatura,ROW(DetalhesDaFatura[])-ROW(DetalhesDaFatura[#Headers])), ROW(12:12)), MATCH($F$8, DetalhesDaFatura[#Headers], 0)),"")</f>
        <v>0</v>
      </c>
      <c r="G20" s="71">
        <f t="shared" si="0"/>
        <v>44</v>
      </c>
    </row>
    <row r="21" spans="2:7" s="6" customFormat="1" ht="33.950000000000003" customHeight="1" x14ac:dyDescent="0.25">
      <c r="B21" s="58" t="str">
        <f t="array" ref="B21">IFERROR(INDEX(DetalhesDaFatura[],SMALL(IF(DetalhesDaFatura[Nº da fatura]=rngFatura,ROW(DetalhesDaFatura[])-ROW(DetalhesDaFatura[#Headers])), ROW(13:13)), MATCH($B$8, DetalhesDaFatura[#Headers], 0)),"")</f>
        <v/>
      </c>
      <c r="C21" s="58" t="str">
        <f t="array" ref="C21">IFERROR(INDEX(DetalhesDaFatura[],SMALL(IF(DetalhesDaFatura[Nº da fatura]=rngFatura,ROW(DetalhesDaFatura[])-ROW(DetalhesDaFatura[#Headers])), ROW(13:13)), MATCH($C$8, DetalhesDaFatura[#Headers], 0)),"")</f>
        <v/>
      </c>
      <c r="D21" s="58" t="str">
        <f t="array" ref="D21">IFERROR(INDEX(DetalhesDaFatura[],SMALL(IF(DetalhesDaFatura[Nº da fatura]=rngFatura,ROW(DetalhesDaFatura[])-ROW(DetalhesDaFatura[#Headers])), ROW(13:13)), MATCH($D$8, DetalhesDaFatura[#Headers], 0)),"")</f>
        <v/>
      </c>
      <c r="E21" s="76" t="str">
        <f t="array" ref="E21">IFERROR(INDEX(DetalhesDaFatura[],SMALL(IF(DetalhesDaFatura[Nº da fatura]=rngFatura,ROW(DetalhesDaFatura[])-ROW(DetalhesDaFatura[#Headers])), ROW(13:13)), MATCH($E$8, DetalhesDaFatura[#Headers], 0)),"")</f>
        <v/>
      </c>
      <c r="F21" s="76" t="str">
        <f t="array" ref="F21">IFERROR(INDEX(DetalhesDaFatura[],SMALL(IF(DetalhesDaFatura[Nº da fatura]=rngFatura,ROW(DetalhesDaFatura[])-ROW(DetalhesDaFatura[#Headers])), ROW(13:13)), MATCH($F$8, DetalhesDaFatura[#Headers], 0)),"")</f>
        <v/>
      </c>
      <c r="G21" s="71" t="str">
        <f t="shared" si="0"/>
        <v/>
      </c>
    </row>
    <row r="22" spans="2:7" s="6" customFormat="1" ht="33.950000000000003" customHeight="1" x14ac:dyDescent="0.25">
      <c r="B22" s="58" t="str">
        <f t="array" ref="B22">IFERROR(INDEX(DetalhesDaFatura[],SMALL(IF(DetalhesDaFatura[Nº da fatura]=rngFatura,ROW(DetalhesDaFatura[])-ROW(DetalhesDaFatura[#Headers])), ROW(14:14)), MATCH($B$8, DetalhesDaFatura[#Headers], 0)),"")</f>
        <v/>
      </c>
      <c r="C22" s="58" t="str">
        <f t="array" ref="C22">IFERROR(INDEX(DetalhesDaFatura[],SMALL(IF(DetalhesDaFatura[Nº da fatura]=rngFatura,ROW(DetalhesDaFatura[])-ROW(DetalhesDaFatura[#Headers])), ROW(14:14)), MATCH($C$8, DetalhesDaFatura[#Headers], 0)),"")</f>
        <v/>
      </c>
      <c r="D22" s="58" t="str">
        <f t="array" ref="D22">IFERROR(INDEX(DetalhesDaFatura[],SMALL(IF(DetalhesDaFatura[Nº da fatura]=rngFatura,ROW(DetalhesDaFatura[])-ROW(DetalhesDaFatura[#Headers])), ROW(14:14)), MATCH($D$8, DetalhesDaFatura[#Headers], 0)),"")</f>
        <v/>
      </c>
      <c r="E22" s="76" t="str">
        <f t="array" ref="E22">IFERROR(INDEX(DetalhesDaFatura[],SMALL(IF(DetalhesDaFatura[Nº da fatura]=rngFatura,ROW(DetalhesDaFatura[])-ROW(DetalhesDaFatura[#Headers])), ROW(14:14)), MATCH($E$8, DetalhesDaFatura[#Headers], 0)),"")</f>
        <v/>
      </c>
      <c r="F22" s="76" t="str">
        <f t="array" ref="F22">IFERROR(INDEX(DetalhesDaFatura[],SMALL(IF(DetalhesDaFatura[Nº da fatura]=rngFatura,ROW(DetalhesDaFatura[])-ROW(DetalhesDaFatura[#Headers])), ROW(14:14)), MATCH($F$8, DetalhesDaFatura[#Headers], 0)),"")</f>
        <v/>
      </c>
      <c r="G22" s="71" t="str">
        <f t="shared" si="0"/>
        <v/>
      </c>
    </row>
    <row r="23" spans="2:7" s="6" customFormat="1" ht="33.950000000000003" customHeight="1" x14ac:dyDescent="0.25">
      <c r="B23" s="58" t="str">
        <f t="array" ref="B23">IFERROR(INDEX(DetalhesDaFatura[],SMALL(IF(DetalhesDaFatura[Nº da fatura]=rngFatura,ROW(DetalhesDaFatura[])-ROW(DetalhesDaFatura[#Headers])), ROW(15:15)), MATCH($B$8, DetalhesDaFatura[#Headers], 0)),"")</f>
        <v/>
      </c>
      <c r="C23" s="58" t="str">
        <f t="array" ref="C23">IFERROR(INDEX(DetalhesDaFatura[],SMALL(IF(DetalhesDaFatura[Nº da fatura]=rngFatura,ROW(DetalhesDaFatura[])-ROW(DetalhesDaFatura[#Headers])), ROW(15:15)), MATCH($C$8, DetalhesDaFatura[#Headers], 0)),"")</f>
        <v/>
      </c>
      <c r="D23" s="58" t="str">
        <f t="array" ref="D23">IFERROR(INDEX(DetalhesDaFatura[],SMALL(IF(DetalhesDaFatura[Nº da fatura]=rngFatura,ROW(DetalhesDaFatura[])-ROW(DetalhesDaFatura[#Headers])), ROW(15:15)), MATCH($D$8, DetalhesDaFatura[#Headers], 0)),"")</f>
        <v/>
      </c>
      <c r="E23" s="76" t="str">
        <f t="array" ref="E23">IFERROR(INDEX(DetalhesDaFatura[],SMALL(IF(DetalhesDaFatura[Nº da fatura]=rngFatura,ROW(DetalhesDaFatura[])-ROW(DetalhesDaFatura[#Headers])), ROW(15:15)), MATCH($E$8, DetalhesDaFatura[#Headers], 0)),"")</f>
        <v/>
      </c>
      <c r="F23" s="76" t="str">
        <f t="array" ref="F23">IFERROR(INDEX(DetalhesDaFatura[],SMALL(IF(DetalhesDaFatura[Nº da fatura]=rngFatura,ROW(DetalhesDaFatura[])-ROW(DetalhesDaFatura[#Headers])), ROW(15:15)), MATCH($F$8, DetalhesDaFatura[#Headers], 0)),"")</f>
        <v/>
      </c>
      <c r="G23" s="71" t="str">
        <f t="shared" si="0"/>
        <v/>
      </c>
    </row>
    <row r="24" spans="2:7" s="6" customFormat="1" ht="33.950000000000003" customHeight="1" x14ac:dyDescent="0.25">
      <c r="B24" s="58" t="str">
        <f t="array" ref="B24">IFERROR(INDEX(DetalhesDaFatura[],SMALL(IF(DetalhesDaFatura[Nº da fatura]=rngFatura,ROW(DetalhesDaFatura[])-ROW(DetalhesDaFatura[#Headers])), ROW(16:16)), MATCH($B$8, DetalhesDaFatura[#Headers], 0)),"")</f>
        <v/>
      </c>
      <c r="C24" s="58" t="str">
        <f t="array" ref="C24">IFERROR(INDEX(DetalhesDaFatura[],SMALL(IF(DetalhesDaFatura[Nº da fatura]=rngFatura,ROW(DetalhesDaFatura[])-ROW(DetalhesDaFatura[#Headers])), ROW(16:16)), MATCH($C$8, DetalhesDaFatura[#Headers], 0)),"")</f>
        <v/>
      </c>
      <c r="D24" s="58" t="str">
        <f t="array" ref="D24">IFERROR(INDEX(DetalhesDaFatura[],SMALL(IF(DetalhesDaFatura[Nº da fatura]=rngFatura,ROW(DetalhesDaFatura[])-ROW(DetalhesDaFatura[#Headers])), ROW(16:16)), MATCH($D$8, DetalhesDaFatura[#Headers], 0)),"")</f>
        <v/>
      </c>
      <c r="E24" s="76" t="str">
        <f t="array" ref="E24">IFERROR(INDEX(DetalhesDaFatura[],SMALL(IF(DetalhesDaFatura[Nº da fatura]=rngFatura,ROW(DetalhesDaFatura[])-ROW(DetalhesDaFatura[#Headers])), ROW(16:16)), MATCH($E$8, DetalhesDaFatura[#Headers], 0)),"")</f>
        <v/>
      </c>
      <c r="F24" s="76" t="str">
        <f t="array" ref="F24">IFERROR(INDEX(DetalhesDaFatura[],SMALL(IF(DetalhesDaFatura[Nº da fatura]=rngFatura,ROW(DetalhesDaFatura[])-ROW(DetalhesDaFatura[#Headers])), ROW(16:16)), MATCH($F$8, DetalhesDaFatura[#Headers], 0)),"")</f>
        <v/>
      </c>
      <c r="G24" s="71" t="str">
        <f t="shared" si="0"/>
        <v/>
      </c>
    </row>
    <row r="25" spans="2:7" s="6" customFormat="1" ht="33.950000000000003" customHeight="1" x14ac:dyDescent="0.25">
      <c r="B25" s="58" t="str">
        <f t="array" ref="B25">IFERROR(INDEX(DetalhesDaFatura[],SMALL(IF(DetalhesDaFatura[Nº da fatura]=rngFatura,ROW(DetalhesDaFatura[])-ROW(DetalhesDaFatura[#Headers])), ROW(17:17)), MATCH($B$8, DetalhesDaFatura[#Headers], 0)),"")</f>
        <v/>
      </c>
      <c r="C25" s="58" t="str">
        <f t="array" ref="C25">IFERROR(INDEX(DetalhesDaFatura[],SMALL(IF(DetalhesDaFatura[Nº da fatura]=rngFatura,ROW(DetalhesDaFatura[])-ROW(DetalhesDaFatura[#Headers])), ROW(17:17)), MATCH($C$8, DetalhesDaFatura[#Headers], 0)),"")</f>
        <v/>
      </c>
      <c r="D25" s="58" t="str">
        <f t="array" ref="D25">IFERROR(INDEX(DetalhesDaFatura[],SMALL(IF(DetalhesDaFatura[Nº da fatura]=rngFatura,ROW(DetalhesDaFatura[])-ROW(DetalhesDaFatura[#Headers])), ROW(17:17)), MATCH($D$8, DetalhesDaFatura[#Headers], 0)),"")</f>
        <v/>
      </c>
      <c r="E25" s="76" t="str">
        <f t="array" ref="E25">IFERROR(INDEX(DetalhesDaFatura[],SMALL(IF(DetalhesDaFatura[Nº da fatura]=rngFatura,ROW(DetalhesDaFatura[])-ROW(DetalhesDaFatura[#Headers])), ROW(17:17)), MATCH($E$8, DetalhesDaFatura[#Headers], 0)),"")</f>
        <v/>
      </c>
      <c r="F25" s="76" t="str">
        <f t="array" ref="F25">IFERROR(INDEX(DetalhesDaFatura[],SMALL(IF(DetalhesDaFatura[Nº da fatura]=rngFatura,ROW(DetalhesDaFatura[])-ROW(DetalhesDaFatura[#Headers])), ROW(17:17)), MATCH($F$8, DetalhesDaFatura[#Headers], 0)),"")</f>
        <v/>
      </c>
      <c r="G25" s="71" t="str">
        <f t="shared" si="0"/>
        <v/>
      </c>
    </row>
    <row r="26" spans="2:7" s="6" customFormat="1" ht="33.950000000000003" customHeight="1" x14ac:dyDescent="0.25">
      <c r="B26" s="58" t="str">
        <f t="array" ref="B26">IFERROR(INDEX(DetalhesDaFatura[],SMALL(IF(DetalhesDaFatura[Nº da fatura]=rngFatura,ROW(DetalhesDaFatura[])-ROW(DetalhesDaFatura[#Headers])), ROW(18:18)), MATCH($B$8, DetalhesDaFatura[#Headers], 0)),"")</f>
        <v/>
      </c>
      <c r="C26" s="58" t="str">
        <f t="array" ref="C26">IFERROR(INDEX(DetalhesDaFatura[],SMALL(IF(DetalhesDaFatura[Nº da fatura]=rngFatura,ROW(DetalhesDaFatura[])-ROW(DetalhesDaFatura[#Headers])), ROW(18:18)), MATCH($C$8, DetalhesDaFatura[#Headers], 0)),"")</f>
        <v/>
      </c>
      <c r="D26" s="58" t="str">
        <f t="array" ref="D26">IFERROR(INDEX(DetalhesDaFatura[],SMALL(IF(DetalhesDaFatura[Nº da fatura]=rngFatura,ROW(DetalhesDaFatura[])-ROW(DetalhesDaFatura[#Headers])), ROW(18:18)), MATCH($D$8, DetalhesDaFatura[#Headers], 0)),"")</f>
        <v/>
      </c>
      <c r="E26" s="76" t="str">
        <f t="array" ref="E26">IFERROR(INDEX(DetalhesDaFatura[],SMALL(IF(DetalhesDaFatura[Nº da fatura]=rngFatura,ROW(DetalhesDaFatura[])-ROW(DetalhesDaFatura[#Headers])), ROW(18:18)), MATCH($E$8, DetalhesDaFatura[#Headers], 0)),"")</f>
        <v/>
      </c>
      <c r="F26" s="76" t="str">
        <f t="array" ref="F26">IFERROR(INDEX(DetalhesDaFatura[],SMALL(IF(DetalhesDaFatura[Nº da fatura]=rngFatura,ROW(DetalhesDaFatura[])-ROW(DetalhesDaFatura[#Headers])), ROW(18:18)), MATCH($F$8, DetalhesDaFatura[#Headers], 0)),"")</f>
        <v/>
      </c>
      <c r="G26" s="71" t="str">
        <f t="shared" si="0"/>
        <v/>
      </c>
    </row>
    <row r="27" spans="2:7" s="6" customFormat="1" ht="33.950000000000003" customHeight="1" x14ac:dyDescent="0.25">
      <c r="B27" s="58" t="str">
        <f t="array" ref="B27">IFERROR(INDEX(DetalhesDaFatura[],SMALL(IF(DetalhesDaFatura[Nº da fatura]=rngFatura,ROW(DetalhesDaFatura[])-ROW(DetalhesDaFatura[#Headers])), ROW(19:19)), MATCH($B$8, DetalhesDaFatura[#Headers], 0)),"")</f>
        <v/>
      </c>
      <c r="C27" s="58" t="str">
        <f t="array" ref="C27">IFERROR(INDEX(DetalhesDaFatura[],SMALL(IF(DetalhesDaFatura[Nº da fatura]=rngFatura,ROW(DetalhesDaFatura[])-ROW(DetalhesDaFatura[#Headers])), ROW(19:19)), MATCH($C$8, DetalhesDaFatura[#Headers], 0)),"")</f>
        <v/>
      </c>
      <c r="D27" s="58" t="str">
        <f t="array" ref="D27">IFERROR(INDEX(DetalhesDaFatura[],SMALL(IF(DetalhesDaFatura[Nº da fatura]=rngFatura,ROW(DetalhesDaFatura[])-ROW(DetalhesDaFatura[#Headers])), ROW(19:19)), MATCH($D$8, DetalhesDaFatura[#Headers], 0)),"")</f>
        <v/>
      </c>
      <c r="E27" s="76" t="str">
        <f t="array" ref="E27">IFERROR(INDEX(DetalhesDaFatura[],SMALL(IF(DetalhesDaFatura[Nº da fatura]=rngFatura,ROW(DetalhesDaFatura[])-ROW(DetalhesDaFatura[#Headers])), ROW(19:19)), MATCH($E$8, DetalhesDaFatura[#Headers], 0)),"")</f>
        <v/>
      </c>
      <c r="F27" s="76" t="str">
        <f t="array" ref="F27">IFERROR(INDEX(DetalhesDaFatura[],SMALL(IF(DetalhesDaFatura[Nº da fatura]=rngFatura,ROW(DetalhesDaFatura[])-ROW(DetalhesDaFatura[#Headers])), ROW(19:19)), MATCH($F$8, DetalhesDaFatura[#Headers], 0)),"")</f>
        <v/>
      </c>
      <c r="G27" s="71" t="str">
        <f t="shared" si="0"/>
        <v/>
      </c>
    </row>
    <row r="28" spans="2:7" s="6" customFormat="1" ht="33.950000000000003" customHeight="1" x14ac:dyDescent="0.25">
      <c r="B28" s="58" t="str">
        <f t="array" ref="B28">IFERROR(INDEX(DetalhesDaFatura[],SMALL(IF(DetalhesDaFatura[Nº da fatura]=rngFatura,ROW(DetalhesDaFatura[])-ROW(DetalhesDaFatura[#Headers])), ROW(20:20)), MATCH($B$8, DetalhesDaFatura[#Headers], 0)),"")</f>
        <v/>
      </c>
      <c r="C28" s="58" t="str">
        <f t="array" ref="C28">IFERROR(INDEX(DetalhesDaFatura[],SMALL(IF(DetalhesDaFatura[Nº da fatura]=rngFatura,ROW(DetalhesDaFatura[])-ROW(DetalhesDaFatura[#Headers])), ROW(20:20)), MATCH($C$8, DetalhesDaFatura[#Headers], 0)),"")</f>
        <v/>
      </c>
      <c r="D28" s="58" t="str">
        <f t="array" ref="D28">IFERROR(INDEX(DetalhesDaFatura[],SMALL(IF(DetalhesDaFatura[Nº da fatura]=rngFatura,ROW(DetalhesDaFatura[])-ROW(DetalhesDaFatura[#Headers])), ROW(20:20)), MATCH($D$8, DetalhesDaFatura[#Headers], 0)),"")</f>
        <v/>
      </c>
      <c r="E28" s="76" t="str">
        <f t="array" ref="E28">IFERROR(INDEX(DetalhesDaFatura[],SMALL(IF(DetalhesDaFatura[Nº da fatura]=rngFatura,ROW(DetalhesDaFatura[])-ROW(DetalhesDaFatura[#Headers])), ROW(20:20)), MATCH($E$8, DetalhesDaFatura[#Headers], 0)),"")</f>
        <v/>
      </c>
      <c r="F28" s="76" t="str">
        <f t="array" ref="F28">IFERROR(INDEX(DetalhesDaFatura[],SMALL(IF(DetalhesDaFatura[Nº da fatura]=rngFatura,ROW(DetalhesDaFatura[])-ROW(DetalhesDaFatura[#Headers])), ROW(20:20)), MATCH($F$8, DetalhesDaFatura[#Headers], 0)),"")</f>
        <v/>
      </c>
      <c r="G28" s="71" t="str">
        <f t="shared" si="0"/>
        <v/>
      </c>
    </row>
    <row r="29" spans="2:7" s="6" customFormat="1" ht="33.950000000000003" customHeight="1" x14ac:dyDescent="0.25">
      <c r="B29" s="58" t="str">
        <f t="array" ref="B29">IFERROR(INDEX(DetalhesDaFatura[],SMALL(IF(DetalhesDaFatura[Nº da fatura]=rngFatura,ROW(DetalhesDaFatura[])-ROW(DetalhesDaFatura[#Headers])), ROW(21:21)), MATCH($B$8, DetalhesDaFatura[#Headers], 0)),"")</f>
        <v/>
      </c>
      <c r="C29" s="58" t="str">
        <f t="array" ref="C29">IFERROR(INDEX(DetalhesDaFatura[],SMALL(IF(DetalhesDaFatura[Nº da fatura]=rngFatura,ROW(DetalhesDaFatura[])-ROW(DetalhesDaFatura[#Headers])), ROW(21:21)), MATCH($C$8, DetalhesDaFatura[#Headers], 0)),"")</f>
        <v/>
      </c>
      <c r="D29" s="58" t="str">
        <f t="array" ref="D29">IFERROR(INDEX(DetalhesDaFatura[],SMALL(IF(DetalhesDaFatura[Nº da fatura]=rngFatura,ROW(DetalhesDaFatura[])-ROW(DetalhesDaFatura[#Headers])), ROW(21:21)), MATCH($D$8, DetalhesDaFatura[#Headers], 0)),"")</f>
        <v/>
      </c>
      <c r="E29" s="76" t="str">
        <f t="array" ref="E29">IFERROR(INDEX(DetalhesDaFatura[],SMALL(IF(DetalhesDaFatura[Nº da fatura]=rngFatura,ROW(DetalhesDaFatura[])-ROW(DetalhesDaFatura[#Headers])), ROW(21:21)), MATCH($E$8, DetalhesDaFatura[#Headers], 0)),"")</f>
        <v/>
      </c>
      <c r="F29" s="76" t="str">
        <f t="array" ref="F29">IFERROR(INDEX(DetalhesDaFatura[],SMALL(IF(DetalhesDaFatura[Nº da fatura]=rngFatura,ROW(DetalhesDaFatura[])-ROW(DetalhesDaFatura[#Headers])), ROW(21:21)), MATCH($F$8, DetalhesDaFatura[#Headers], 0)),"")</f>
        <v/>
      </c>
      <c r="G29" s="71" t="str">
        <f t="shared" si="0"/>
        <v/>
      </c>
    </row>
    <row r="30" spans="2:7" s="6" customFormat="1" ht="33.950000000000003" customHeight="1" x14ac:dyDescent="0.25">
      <c r="B30" s="58" t="str">
        <f t="array" ref="B30">IFERROR(INDEX(DetalhesDaFatura[],SMALL(IF(DetalhesDaFatura[Nº da fatura]=rngFatura,ROW(DetalhesDaFatura[])-ROW(DetalhesDaFatura[#Headers])), ROW(22:22)), MATCH($B$8, DetalhesDaFatura[#Headers], 0)),"")</f>
        <v/>
      </c>
      <c r="C30" s="58" t="str">
        <f t="array" ref="C30">IFERROR(INDEX(DetalhesDaFatura[],SMALL(IF(DetalhesDaFatura[Nº da fatura]=rngFatura,ROW(DetalhesDaFatura[])-ROW(DetalhesDaFatura[#Headers])), ROW(22:22)), MATCH($C$8, DetalhesDaFatura[#Headers], 0)),"")</f>
        <v/>
      </c>
      <c r="D30" s="58" t="str">
        <f t="array" ref="D30">IFERROR(INDEX(DetalhesDaFatura[],SMALL(IF(DetalhesDaFatura[Nº da fatura]=rngFatura,ROW(DetalhesDaFatura[])-ROW(DetalhesDaFatura[#Headers])), ROW(22:22)), MATCH($D$8, DetalhesDaFatura[#Headers], 0)),"")</f>
        <v/>
      </c>
      <c r="E30" s="76" t="str">
        <f t="array" ref="E30">IFERROR(INDEX(DetalhesDaFatura[],SMALL(IF(DetalhesDaFatura[Nº da fatura]=rngFatura,ROW(DetalhesDaFatura[])-ROW(DetalhesDaFatura[#Headers])), ROW(22:22)), MATCH($E$8, DetalhesDaFatura[#Headers], 0)),"")</f>
        <v/>
      </c>
      <c r="F30" s="76" t="str">
        <f t="array" ref="F30">IFERROR(INDEX(DetalhesDaFatura[],SMALL(IF(DetalhesDaFatura[Nº da fatura]=rngFatura,ROW(DetalhesDaFatura[])-ROW(DetalhesDaFatura[#Headers])), ROW(22:22)), MATCH($F$8, DetalhesDaFatura[#Headers], 0)),"")</f>
        <v/>
      </c>
      <c r="G30" s="71" t="str">
        <f t="shared" si="0"/>
        <v/>
      </c>
    </row>
    <row r="31" spans="2:7" s="6" customFormat="1" ht="33.950000000000003" customHeight="1" x14ac:dyDescent="0.25">
      <c r="B31" s="58" t="str">
        <f t="array" ref="B31">IFERROR(INDEX(DetalhesDaFatura[],SMALL(IF(DetalhesDaFatura[Nº da fatura]=rngFatura,ROW(DetalhesDaFatura[])-ROW(DetalhesDaFatura[#Headers])), ROW(23:23)), MATCH($B$8, DetalhesDaFatura[#Headers], 0)),"")</f>
        <v/>
      </c>
      <c r="C31" s="58" t="str">
        <f t="array" ref="C31">IFERROR(INDEX(DetalhesDaFatura[],SMALL(IF(DetalhesDaFatura[Nº da fatura]=rngFatura,ROW(DetalhesDaFatura[])-ROW(DetalhesDaFatura[#Headers])), ROW(23:23)), MATCH($C$8, DetalhesDaFatura[#Headers], 0)),"")</f>
        <v/>
      </c>
      <c r="D31" s="58" t="str">
        <f t="array" ref="D31">IFERROR(INDEX(DetalhesDaFatura[],SMALL(IF(DetalhesDaFatura[Nº da fatura]=rngFatura,ROW(DetalhesDaFatura[])-ROW(DetalhesDaFatura[#Headers])), ROW(23:23)), MATCH($D$8, DetalhesDaFatura[#Headers], 0)),"")</f>
        <v/>
      </c>
      <c r="E31" s="76" t="str">
        <f t="array" ref="E31">IFERROR(INDEX(DetalhesDaFatura[],SMALL(IF(DetalhesDaFatura[Nº da fatura]=rngFatura,ROW(DetalhesDaFatura[])-ROW(DetalhesDaFatura[#Headers])), ROW(23:23)), MATCH($E$8, DetalhesDaFatura[#Headers], 0)),"")</f>
        <v/>
      </c>
      <c r="F31" s="76" t="str">
        <f t="array" ref="F31">IFERROR(INDEX(DetalhesDaFatura[],SMALL(IF(DetalhesDaFatura[Nº da fatura]=rngFatura,ROW(DetalhesDaFatura[])-ROW(DetalhesDaFatura[#Headers])), ROW(23:23)), MATCH($F$8, DetalhesDaFatura[#Headers], 0)),"")</f>
        <v/>
      </c>
      <c r="G31" s="71" t="str">
        <f t="shared" si="0"/>
        <v/>
      </c>
    </row>
    <row r="32" spans="2:7" s="6" customFormat="1" ht="33.950000000000003" customHeight="1" x14ac:dyDescent="0.25">
      <c r="B32" s="58" t="str">
        <f t="array" ref="B32">IFERROR(INDEX(DetalhesDaFatura[],SMALL(IF(DetalhesDaFatura[Nº da fatura]=rngFatura,ROW(DetalhesDaFatura[])-ROW(DetalhesDaFatura[#Headers])), ROW(24:24)), MATCH($B$8, DetalhesDaFatura[#Headers], 0)),"")</f>
        <v/>
      </c>
      <c r="C32" s="58" t="str">
        <f t="array" ref="C32">IFERROR(INDEX(DetalhesDaFatura[],SMALL(IF(DetalhesDaFatura[Nº da fatura]=rngFatura,ROW(DetalhesDaFatura[])-ROW(DetalhesDaFatura[#Headers])), ROW(24:24)), MATCH($C$8, DetalhesDaFatura[#Headers], 0)),"")</f>
        <v/>
      </c>
      <c r="D32" s="58" t="str">
        <f t="array" ref="D32">IFERROR(INDEX(DetalhesDaFatura[],SMALL(IF(DetalhesDaFatura[Nº da fatura]=rngFatura,ROW(DetalhesDaFatura[])-ROW(DetalhesDaFatura[#Headers])), ROW(24:24)), MATCH($D$8, DetalhesDaFatura[#Headers], 0)),"")</f>
        <v/>
      </c>
      <c r="E32" s="76" t="str">
        <f t="array" ref="E32">IFERROR(INDEX(DetalhesDaFatura[],SMALL(IF(DetalhesDaFatura[Nº da fatura]=rngFatura,ROW(DetalhesDaFatura[])-ROW(DetalhesDaFatura[#Headers])), ROW(24:24)), MATCH($E$8, DetalhesDaFatura[#Headers], 0)),"")</f>
        <v/>
      </c>
      <c r="F32" s="76" t="str">
        <f t="array" ref="F32">IFERROR(INDEX(DetalhesDaFatura[],SMALL(IF(DetalhesDaFatura[Nº da fatura]=rngFatura,ROW(DetalhesDaFatura[])-ROW(DetalhesDaFatura[#Headers])), ROW(24:24)), MATCH($F$8, DetalhesDaFatura[#Headers], 0)),"")</f>
        <v/>
      </c>
      <c r="G32" s="71" t="str">
        <f t="shared" si="0"/>
        <v/>
      </c>
    </row>
    <row r="33" spans="2:7" s="6" customFormat="1" ht="33.950000000000003" customHeight="1" x14ac:dyDescent="0.25">
      <c r="B33" s="58" t="str">
        <f t="array" ref="B33">IFERROR(INDEX(DetalhesDaFatura[],SMALL(IF(DetalhesDaFatura[Nº da fatura]=rngFatura,ROW(DetalhesDaFatura[])-ROW(DetalhesDaFatura[#Headers])), ROW(25:25)), MATCH($B$8, DetalhesDaFatura[#Headers], 0)),"")</f>
        <v/>
      </c>
      <c r="C33" s="58" t="str">
        <f t="array" ref="C33">IFERROR(INDEX(DetalhesDaFatura[],SMALL(IF(DetalhesDaFatura[Nº da fatura]=rngFatura,ROW(DetalhesDaFatura[])-ROW(DetalhesDaFatura[#Headers])), ROW(25:25)), MATCH($C$8, DetalhesDaFatura[#Headers], 0)),"")</f>
        <v/>
      </c>
      <c r="D33" s="58" t="str">
        <f t="array" ref="D33">IFERROR(INDEX(DetalhesDaFatura[],SMALL(IF(DetalhesDaFatura[Nº da fatura]=rngFatura,ROW(DetalhesDaFatura[])-ROW(DetalhesDaFatura[#Headers])), ROW(25:25)), MATCH($D$8, DetalhesDaFatura[#Headers], 0)),"")</f>
        <v/>
      </c>
      <c r="E33" s="76" t="str">
        <f t="array" ref="E33">IFERROR(INDEX(DetalhesDaFatura[],SMALL(IF(DetalhesDaFatura[Nº da fatura]=rngFatura,ROW(DetalhesDaFatura[])-ROW(DetalhesDaFatura[#Headers])), ROW(25:25)), MATCH($E$8, DetalhesDaFatura[#Headers], 0)),"")</f>
        <v/>
      </c>
      <c r="F33" s="76" t="str">
        <f t="array" ref="F33">IFERROR(INDEX(DetalhesDaFatura[],SMALL(IF(DetalhesDaFatura[Nº da fatura]=rngFatura,ROW(DetalhesDaFatura[])-ROW(DetalhesDaFatura[#Headers])), ROW(25:25)), MATCH($F$8, DetalhesDaFatura[#Headers], 0)),"")</f>
        <v/>
      </c>
      <c r="G33" s="71" t="str">
        <f t="shared" si="0"/>
        <v/>
      </c>
    </row>
    <row r="34" spans="2:7" s="6" customFormat="1" ht="33.950000000000003" customHeight="1" x14ac:dyDescent="0.25">
      <c r="D34" s="12"/>
      <c r="E34" s="12"/>
      <c r="F34" s="55" t="s">
        <v>17</v>
      </c>
      <c r="G34" s="72">
        <f>SUM(FaturaProjeto[Preço])</f>
        <v>2014</v>
      </c>
    </row>
    <row r="35" spans="2:7" s="6" customFormat="1" ht="33.950000000000003" customHeight="1" x14ac:dyDescent="0.25">
      <c r="D35" s="12"/>
      <c r="E35" s="12"/>
      <c r="F35" s="55" t="s">
        <v>18</v>
      </c>
      <c r="G35" s="69">
        <f>VLOOKUP(rngFatura,FaturasPrincipal[],5)</f>
        <v>8.7499999999999994E-2</v>
      </c>
    </row>
    <row r="36" spans="2:7" s="6" customFormat="1" ht="33.950000000000003" customHeight="1" x14ac:dyDescent="0.25">
      <c r="D36" s="12"/>
      <c r="E36" s="12"/>
      <c r="F36" s="55" t="s">
        <v>19</v>
      </c>
      <c r="G36" s="72">
        <f>G34*G35</f>
        <v>176.22499999999999</v>
      </c>
    </row>
    <row r="37" spans="2:7" s="6" customFormat="1" ht="33.950000000000003" customHeight="1" x14ac:dyDescent="0.2">
      <c r="C37" s="13"/>
      <c r="F37" s="55" t="s">
        <v>20</v>
      </c>
      <c r="G37" s="72">
        <f>VLOOKUP(rngFatura,FaturasPrincipal[],6)</f>
        <v>0</v>
      </c>
    </row>
    <row r="38" spans="2:7" s="6" customFormat="1" ht="33.950000000000003" customHeight="1" thickBot="1" x14ac:dyDescent="0.3">
      <c r="B38" s="81" t="str">
        <f>"Emitir todos os cheques nominais à ordem de "&amp;NomeDaEmpresa&amp;"."</f>
        <v>Emitir todos os cheques nominais à ordem de Nome da Empresa.</v>
      </c>
      <c r="C38" s="81"/>
      <c r="D38" s="81"/>
      <c r="E38" s="82"/>
      <c r="F38" s="56" t="s">
        <v>21</v>
      </c>
      <c r="G38" s="72">
        <f>VLOOKUP(rngFatura,FaturasPrincipal[],7)</f>
        <v>0</v>
      </c>
    </row>
    <row r="39" spans="2:7" ht="33.950000000000003" customHeight="1" thickTop="1" x14ac:dyDescent="0.25">
      <c r="B39" s="79" t="s">
        <v>6</v>
      </c>
      <c r="C39" s="79"/>
      <c r="D39" s="79"/>
      <c r="E39" s="80"/>
      <c r="F39" s="57" t="s">
        <v>22</v>
      </c>
      <c r="G39" s="73">
        <f>(G34+G36+G37)-G38</f>
        <v>2190.2249999999999</v>
      </c>
    </row>
  </sheetData>
  <sheetProtection sheet="1" objects="1" scenarios="1" selectLockedCells="1"/>
  <mergeCells count="11">
    <mergeCell ref="B39:E39"/>
    <mergeCell ref="B38:E38"/>
    <mergeCell ref="D4:E4"/>
    <mergeCell ref="D5:E5"/>
    <mergeCell ref="D6:E6"/>
    <mergeCell ref="D2:E2"/>
    <mergeCell ref="D3:E3"/>
    <mergeCell ref="F2:G2"/>
    <mergeCell ref="F3:G3"/>
    <mergeCell ref="B2:C2"/>
    <mergeCell ref="B3:C3"/>
  </mergeCells>
  <phoneticPr fontId="2" type="noConversion"/>
  <conditionalFormatting sqref="F34:F38 B9:F33">
    <cfRule type="expression" dxfId="71" priority="7">
      <formula>MOD(ROW(),2)=0</formula>
    </cfRule>
  </conditionalFormatting>
  <conditionalFormatting sqref="G9:G33">
    <cfRule type="expression" dxfId="70" priority="4">
      <formula>MOD(ROW(),2)=0</formula>
    </cfRule>
    <cfRule type="expression" dxfId="69" priority="5">
      <formula>MOD(ROW(),2)=1</formula>
    </cfRule>
  </conditionalFormatting>
  <conditionalFormatting sqref="G34:G38">
    <cfRule type="expression" dxfId="68" priority="1">
      <formula>MOD(ROW(),2)=1</formula>
    </cfRule>
    <cfRule type="expression" dxfId="67" priority="2">
      <formula>MOD(ROW(),2)=0</formula>
    </cfRule>
  </conditionalFormatting>
  <dataValidations count="1">
    <dataValidation type="list" allowBlank="1" showInputMessage="1" showErrorMessage="1" errorTitle="Dados Inválidos" error="Selecione o número da fatura nesta lista. Se ele não aparecer aqui, verifique a planilha Faturas – Principal." sqref="G4" xr:uid="{00000000-0002-0000-0000-000000000000}">
      <formula1>No_Fatura</formula1>
    </dataValidation>
  </dataValidations>
  <printOptions horizontalCentered="1"/>
  <pageMargins left="0.7" right="0.7" top="1" bottom="1" header="0.3" footer="0.3"/>
  <pageSetup paperSize="9" orientation="portrait" horizontalDpi="300" verticalDpi="300" r:id="rId1"/>
  <headerFooter differentFirst="1" alignWithMargins="0">
    <oddFooter>Page &amp;P of &amp;N</oddFooter>
  </headerFooter>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4" tint="-0.249977111117893"/>
    <pageSetUpPr autoPageBreaks="0" fitToPage="1"/>
  </sheetPr>
  <dimension ref="A1:L6"/>
  <sheetViews>
    <sheetView showGridLines="0" zoomScaleNormal="100" workbookViewId="0"/>
  </sheetViews>
  <sheetFormatPr defaultColWidth="9" defaultRowHeight="33.950000000000003" customHeight="1" x14ac:dyDescent="0.25"/>
  <cols>
    <col min="1" max="1" width="2.85546875" style="27" customWidth="1"/>
    <col min="2" max="2" width="16.5703125" style="1" hidden="1" customWidth="1"/>
    <col min="3" max="3" width="25.5703125" style="1" bestFit="1" customWidth="1"/>
    <col min="4" max="4" width="24.7109375" style="25" customWidth="1"/>
    <col min="5" max="5" width="22.28515625" style="25" customWidth="1"/>
    <col min="6" max="6" width="26.5703125" style="25" customWidth="1"/>
    <col min="7" max="7" width="17.28515625" style="25" customWidth="1"/>
    <col min="8" max="8" width="11.85546875" style="28" customWidth="1"/>
    <col min="9" max="9" width="15.7109375" style="26" customWidth="1"/>
    <col min="10" max="10" width="14.7109375" style="27" customWidth="1"/>
    <col min="11" max="11" width="26.85546875" style="27" customWidth="1"/>
    <col min="12" max="12" width="15.28515625" style="28" customWidth="1"/>
    <col min="13" max="13" width="2.85546875" style="1" customWidth="1"/>
    <col min="14" max="16384" width="9" style="1"/>
  </cols>
  <sheetData>
    <row r="1" spans="2:12" ht="30.95" customHeight="1" x14ac:dyDescent="0.25"/>
    <row r="2" spans="2:12" ht="29.1" customHeight="1" x14ac:dyDescent="0.25">
      <c r="C2" s="3" t="s">
        <v>27</v>
      </c>
    </row>
    <row r="3" spans="2:12" s="23" customFormat="1" ht="24" customHeight="1" x14ac:dyDescent="0.25">
      <c r="B3" s="29" t="s">
        <v>25</v>
      </c>
      <c r="C3" s="29" t="s">
        <v>28</v>
      </c>
      <c r="D3" s="29" t="s">
        <v>29</v>
      </c>
      <c r="E3" s="29" t="s">
        <v>32</v>
      </c>
      <c r="F3" s="29" t="s">
        <v>1</v>
      </c>
      <c r="G3" s="29" t="s">
        <v>37</v>
      </c>
      <c r="H3" s="29" t="s">
        <v>40</v>
      </c>
      <c r="I3" s="44" t="s">
        <v>42</v>
      </c>
      <c r="J3" s="29" t="s">
        <v>45</v>
      </c>
      <c r="K3" s="38" t="s">
        <v>12</v>
      </c>
      <c r="L3" s="29" t="s">
        <v>50</v>
      </c>
    </row>
    <row r="4" spans="2:12" ht="33.950000000000003" customHeight="1" x14ac:dyDescent="0.25">
      <c r="B4" s="30" t="str">
        <f t="shared" ref="B4:B5" si="0">C4&amp; " - "&amp;D4</f>
        <v xml:space="preserve">1 - Tailspin Toys </v>
      </c>
      <c r="C4" s="60">
        <v>1</v>
      </c>
      <c r="D4" s="33" t="s">
        <v>30</v>
      </c>
      <c r="E4" s="33" t="s">
        <v>33</v>
      </c>
      <c r="F4" s="33" t="s">
        <v>35</v>
      </c>
      <c r="G4" s="33" t="s">
        <v>38</v>
      </c>
      <c r="H4" s="34" t="s">
        <v>41</v>
      </c>
      <c r="I4" s="45" t="s">
        <v>43</v>
      </c>
      <c r="J4" s="35" t="s">
        <v>46</v>
      </c>
      <c r="K4" s="36" t="s">
        <v>48</v>
      </c>
      <c r="L4" s="35" t="s">
        <v>51</v>
      </c>
    </row>
    <row r="5" spans="2:12" ht="33.950000000000003" customHeight="1" x14ac:dyDescent="0.25">
      <c r="B5" s="30" t="str">
        <f t="shared" si="0"/>
        <v>2 - Contoso, Ltd</v>
      </c>
      <c r="C5" s="60">
        <v>2</v>
      </c>
      <c r="D5" s="33" t="s">
        <v>31</v>
      </c>
      <c r="E5" s="33" t="s">
        <v>34</v>
      </c>
      <c r="F5" s="33" t="s">
        <v>36</v>
      </c>
      <c r="G5" s="33" t="s">
        <v>39</v>
      </c>
      <c r="H5" s="34" t="s">
        <v>41</v>
      </c>
      <c r="I5" s="45" t="s">
        <v>44</v>
      </c>
      <c r="J5" s="35" t="s">
        <v>47</v>
      </c>
      <c r="K5" s="36" t="s">
        <v>49</v>
      </c>
      <c r="L5" s="35" t="s">
        <v>52</v>
      </c>
    </row>
    <row r="6" spans="2:12" ht="33.950000000000003" customHeight="1" x14ac:dyDescent="0.25">
      <c r="B6" s="61" t="s">
        <v>26</v>
      </c>
      <c r="C6" s="24" t="str">
        <f>"Número total de clientes: "&amp;SUBTOTAL(103,ListaClientes[Nº da empresa])</f>
        <v>Número total de clientes: 2</v>
      </c>
      <c r="D6" s="65"/>
      <c r="E6" s="65"/>
      <c r="F6" s="65"/>
      <c r="G6" s="65"/>
      <c r="H6" s="66"/>
      <c r="I6" s="67"/>
      <c r="J6" s="68"/>
      <c r="K6" s="67"/>
      <c r="L6" s="68"/>
    </row>
  </sheetData>
  <sheetProtection formatCells="0" formatColumns="0" formatRows="0" insertColumns="0" insertRows="0" insertHyperlinks="0" deleteColumns="0" deleteRows="0" selectLockedCells="1" sort="0" autoFilter="0" pivotTables="0"/>
  <conditionalFormatting sqref="C4:C5">
    <cfRule type="duplicateValues" dxfId="52" priority="47"/>
  </conditionalFormatting>
  <conditionalFormatting sqref="D4:D5">
    <cfRule type="duplicateValues" dxfId="51" priority="48"/>
  </conditionalFormatting>
  <hyperlinks>
    <hyperlink ref="K4" r:id="rId1" xr:uid="{00000000-0004-0000-0100-000000000000}"/>
    <hyperlink ref="K5" r:id="rId2" xr:uid="{00000000-0004-0000-0100-000001000000}"/>
  </hyperlinks>
  <printOptions horizontalCentered="1"/>
  <pageMargins left="0.25" right="0.25" top="0.75" bottom="0.75" header="0.3" footer="0.3"/>
  <pageSetup paperSize="9" fitToHeight="0" orientation="landscape" r:id="rId3"/>
  <headerFooter differentFirst="1">
    <oddFooter>Page &amp;P of &amp;N</oddFooter>
  </headerFooter>
  <ignoredErrors>
    <ignoredError sqref="I4:I5" numberStoredAsText="1"/>
  </ignoredErrors>
  <drawing r:id="rId4"/>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4"/>
    <pageSetUpPr autoPageBreaks="0" fitToPage="1"/>
  </sheetPr>
  <dimension ref="A1:K6"/>
  <sheetViews>
    <sheetView showGridLines="0" zoomScaleNormal="100" workbookViewId="0"/>
  </sheetViews>
  <sheetFormatPr defaultColWidth="9" defaultRowHeight="33.950000000000003" customHeight="1" x14ac:dyDescent="0.25"/>
  <cols>
    <col min="1" max="1" width="2.85546875" style="1" customWidth="1"/>
    <col min="2" max="2" width="14.85546875" style="1" customWidth="1"/>
    <col min="3" max="3" width="20.7109375" style="1" customWidth="1"/>
    <col min="4" max="4" width="18.85546875" style="1" customWidth="1"/>
    <col min="5" max="5" width="25.85546875" style="1" customWidth="1"/>
    <col min="6" max="6" width="21.7109375" style="25" bestFit="1" customWidth="1"/>
    <col min="7" max="7" width="11.42578125" style="25" customWidth="1"/>
    <col min="8" max="8" width="13.5703125" style="25" customWidth="1"/>
    <col min="9" max="9" width="19.28515625" style="25" bestFit="1" customWidth="1"/>
    <col min="10" max="10" width="18.5703125" style="25" customWidth="1"/>
    <col min="11" max="11" width="29.85546875" style="1" customWidth="1"/>
    <col min="12" max="12" width="2.85546875" style="1" customWidth="1"/>
    <col min="13" max="16384" width="9" style="1"/>
  </cols>
  <sheetData>
    <row r="1" spans="1:11" ht="30.95" customHeight="1" x14ac:dyDescent="0.25">
      <c r="A1" s="27"/>
    </row>
    <row r="2" spans="1:11" ht="29.1" customHeight="1" x14ac:dyDescent="0.25">
      <c r="B2" s="3" t="s">
        <v>53</v>
      </c>
    </row>
    <row r="3" spans="1:11" ht="24" customHeight="1" x14ac:dyDescent="0.25">
      <c r="B3" s="29" t="s">
        <v>54</v>
      </c>
      <c r="C3" s="29" t="s">
        <v>56</v>
      </c>
      <c r="D3" s="29" t="s">
        <v>59</v>
      </c>
      <c r="E3" s="29" t="s">
        <v>60</v>
      </c>
      <c r="F3" s="29" t="s">
        <v>18</v>
      </c>
      <c r="G3" s="29" t="s">
        <v>20</v>
      </c>
      <c r="H3" s="29" t="s">
        <v>63</v>
      </c>
      <c r="I3" s="29" t="s">
        <v>64</v>
      </c>
      <c r="J3" s="29" t="s">
        <v>65</v>
      </c>
      <c r="K3" s="29" t="s">
        <v>66</v>
      </c>
    </row>
    <row r="4" spans="1:11" ht="33.950000000000003" customHeight="1" x14ac:dyDescent="0.25">
      <c r="B4" s="39" t="s">
        <v>55</v>
      </c>
      <c r="C4" s="30" t="s">
        <v>57</v>
      </c>
      <c r="D4" s="9">
        <f ca="1">TODAY()</f>
        <v>43706</v>
      </c>
      <c r="E4" s="8" t="s">
        <v>61</v>
      </c>
      <c r="F4" s="32">
        <v>8.7499999999999994E-2</v>
      </c>
      <c r="G4" s="74">
        <v>100</v>
      </c>
      <c r="H4" s="74">
        <v>100</v>
      </c>
      <c r="I4" s="74">
        <f>SUMIF(DetalhesDaFatura[Nº da fatura],"="&amp;FaturasPrincipal[[#This Row],[Nº da fatura]],DetalhesDaFatura[Total])</f>
        <v>5200</v>
      </c>
      <c r="J4" s="74">
        <f>(FaturasPrincipal[[#This Row],[Total de detalhes]]*(1+FaturasPrincipal[[#This Row],[Alíquota de imposto]]))+FaturasPrincipal[[#This Row],[Outros]]-FaturasPrincipal[[#This Row],[Depósito]]</f>
        <v>5654.9999999999991</v>
      </c>
      <c r="K4" s="31"/>
    </row>
    <row r="5" spans="1:11" ht="33.950000000000003" customHeight="1" x14ac:dyDescent="0.25">
      <c r="B5" s="39" t="s">
        <v>23</v>
      </c>
      <c r="C5" s="30" t="s">
        <v>58</v>
      </c>
      <c r="D5" s="9">
        <f ca="1">TODAY()+10</f>
        <v>43716</v>
      </c>
      <c r="E5" s="8" t="s">
        <v>62</v>
      </c>
      <c r="F5" s="32">
        <v>8.7499999999999994E-2</v>
      </c>
      <c r="G5" s="74"/>
      <c r="H5" s="74"/>
      <c r="I5" s="74">
        <f>SUMIF(DetalhesDaFatura[Nº da fatura],"="&amp;FaturasPrincipal[[#This Row],[Nº da fatura]],DetalhesDaFatura[Total])</f>
        <v>2014</v>
      </c>
      <c r="J5" s="74">
        <f>(FaturasPrincipal[[#This Row],[Total de detalhes]]*(1+FaturasPrincipal[[#This Row],[Alíquota de imposto]]))+FaturasPrincipal[[#This Row],[Outros]]-FaturasPrincipal[[#This Row],[Depósito]]</f>
        <v>2190.2249999999999</v>
      </c>
      <c r="K5" s="31"/>
    </row>
    <row r="6" spans="1:11" ht="33.950000000000003" customHeight="1" x14ac:dyDescent="0.25">
      <c r="B6" s="51" t="s">
        <v>26</v>
      </c>
      <c r="C6" s="51" t="str">
        <f>"Total de faturas: "&amp;SUBTOTAL(103,FaturasPrincipal[Nº da fatura])</f>
        <v>Total de faturas: 2</v>
      </c>
      <c r="D6" s="52"/>
      <c r="E6" s="53"/>
      <c r="F6" s="31"/>
      <c r="G6" s="75">
        <f>SUBTOTAL(109,FaturasPrincipal[Outros])</f>
        <v>100</v>
      </c>
      <c r="H6" s="75">
        <f>SUBTOTAL(109,FaturasPrincipal[Depósito])</f>
        <v>100</v>
      </c>
      <c r="I6" s="75">
        <f>SUBTOTAL(109,FaturasPrincipal[Total de detalhes])</f>
        <v>7214</v>
      </c>
      <c r="J6" s="75">
        <f>SUBTOTAL(109,FaturasPrincipal[Total da fatura])</f>
        <v>7845.2249999999985</v>
      </c>
      <c r="K6" s="64"/>
    </row>
  </sheetData>
  <sheetProtection formatCells="0" formatColumns="0" formatRows="0" insertRows="0" insertHyperlinks="0" deleteRows="0" selectLockedCells="1" sort="0" autoFilter="0" pivotTables="0"/>
  <conditionalFormatting sqref="B4:B5">
    <cfRule type="duplicateValues" dxfId="48" priority="51"/>
  </conditionalFormatting>
  <dataValidations count="1">
    <dataValidation type="list" allowBlank="1" showInputMessage="1" showErrorMessage="1" sqref="C4:C5" xr:uid="{00000000-0002-0000-0200-000000000000}">
      <formula1>PesquisaCliente</formula1>
    </dataValidation>
  </dataValidations>
  <printOptions horizontalCentered="1"/>
  <pageMargins left="0.25" right="0.25" top="0.75" bottom="0.75" header="0.3" footer="0.3"/>
  <pageSetup paperSize="9" fitToHeight="0" orientation="landscape" r:id="rId1"/>
  <headerFooter differentFirst="1">
    <oddFooter>Page &amp;P of &amp;N</oddFooter>
  </headerFooter>
  <ignoredErrors>
    <ignoredError sqref="J5" emptyCellReference="1"/>
  </ignoredErrors>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tint="0.39997558519241921"/>
    <pageSetUpPr autoPageBreaks="0" fitToPage="1"/>
  </sheetPr>
  <dimension ref="B1:H40"/>
  <sheetViews>
    <sheetView showGridLines="0" zoomScaleNormal="100" workbookViewId="0">
      <pane ySplit="3" topLeftCell="A4" activePane="bottomLeft" state="frozen"/>
      <selection pane="bottomLeft"/>
    </sheetView>
  </sheetViews>
  <sheetFormatPr defaultColWidth="9" defaultRowHeight="33.950000000000003" customHeight="1" x14ac:dyDescent="0.25"/>
  <cols>
    <col min="1" max="1" width="2.5703125" style="1" customWidth="1"/>
    <col min="2" max="2" width="24.7109375" style="1" customWidth="1"/>
    <col min="3" max="3" width="15.7109375" style="1" customWidth="1"/>
    <col min="4" max="4" width="15.42578125" style="1" customWidth="1"/>
    <col min="5" max="5" width="16" style="1" customWidth="1"/>
    <col min="6" max="6" width="16.28515625" style="1" bestFit="1" customWidth="1"/>
    <col min="7" max="7" width="15.7109375" style="1" customWidth="1"/>
    <col min="8" max="8" width="12.85546875" style="1" customWidth="1"/>
    <col min="9" max="9" width="2.85546875" style="1" customWidth="1"/>
    <col min="10" max="16384" width="9" style="1"/>
  </cols>
  <sheetData>
    <row r="1" spans="2:8" ht="30.95" customHeight="1" x14ac:dyDescent="0.25"/>
    <row r="2" spans="2:8" ht="29.1" customHeight="1" x14ac:dyDescent="0.25">
      <c r="B2" s="3" t="s">
        <v>67</v>
      </c>
    </row>
    <row r="3" spans="2:8" ht="24" customHeight="1" x14ac:dyDescent="0.25">
      <c r="B3" s="29" t="s">
        <v>7</v>
      </c>
      <c r="C3" s="29" t="s">
        <v>54</v>
      </c>
      <c r="D3" s="29" t="s">
        <v>5</v>
      </c>
      <c r="E3" s="29" t="s">
        <v>10</v>
      </c>
      <c r="F3" s="29" t="s">
        <v>11</v>
      </c>
      <c r="G3" s="29" t="s">
        <v>16</v>
      </c>
      <c r="H3" s="29" t="s">
        <v>117</v>
      </c>
    </row>
    <row r="4" spans="2:8" ht="33.950000000000003" customHeight="1" x14ac:dyDescent="0.25">
      <c r="B4" s="8" t="s">
        <v>68</v>
      </c>
      <c r="C4" s="8" t="s">
        <v>55</v>
      </c>
      <c r="D4" s="8">
        <v>1</v>
      </c>
      <c r="E4" s="70">
        <v>1</v>
      </c>
      <c r="F4" s="74">
        <v>1</v>
      </c>
      <c r="G4" s="74">
        <v>1</v>
      </c>
      <c r="H4" s="74">
        <f>(DetalhesDaFatura[[#This Row],[Qtd.]]*DetalhesDaFatura[[#This Row],[Preço unitário]])-DetalhesDaFatura[[#This Row],[Desconto]]</f>
        <v>0</v>
      </c>
    </row>
    <row r="5" spans="2:8" ht="33.950000000000003" customHeight="1" x14ac:dyDescent="0.25">
      <c r="B5" s="8" t="s">
        <v>69</v>
      </c>
      <c r="C5" s="8" t="s">
        <v>55</v>
      </c>
      <c r="D5" s="8">
        <v>2</v>
      </c>
      <c r="E5" s="70">
        <v>2</v>
      </c>
      <c r="F5" s="74">
        <v>2</v>
      </c>
      <c r="G5" s="74">
        <v>2</v>
      </c>
      <c r="H5" s="74">
        <f>(DetalhesDaFatura[[#This Row],[Qtd.]]*DetalhesDaFatura[[#This Row],[Preço unitário]])-DetalhesDaFatura[[#This Row],[Desconto]]</f>
        <v>2</v>
      </c>
    </row>
    <row r="6" spans="2:8" ht="33.950000000000003" customHeight="1" x14ac:dyDescent="0.25">
      <c r="B6" s="8" t="s">
        <v>70</v>
      </c>
      <c r="C6" s="8" t="s">
        <v>55</v>
      </c>
      <c r="D6" s="8">
        <v>3</v>
      </c>
      <c r="E6" s="70">
        <v>3</v>
      </c>
      <c r="F6" s="74">
        <v>3</v>
      </c>
      <c r="G6" s="74">
        <v>3</v>
      </c>
      <c r="H6" s="74">
        <f>(DetalhesDaFatura[[#This Row],[Qtd.]]*DetalhesDaFatura[[#This Row],[Preço unitário]])-DetalhesDaFatura[[#This Row],[Desconto]]</f>
        <v>6</v>
      </c>
    </row>
    <row r="7" spans="2:8" ht="33.950000000000003" customHeight="1" x14ac:dyDescent="0.25">
      <c r="B7" s="8" t="s">
        <v>71</v>
      </c>
      <c r="C7" s="8" t="s">
        <v>55</v>
      </c>
      <c r="D7" s="8">
        <v>4</v>
      </c>
      <c r="E7" s="70">
        <v>4</v>
      </c>
      <c r="F7" s="74">
        <v>4</v>
      </c>
      <c r="G7" s="74">
        <v>4</v>
      </c>
      <c r="H7" s="74">
        <f>(DetalhesDaFatura[[#This Row],[Qtd.]]*DetalhesDaFatura[[#This Row],[Preço unitário]])-DetalhesDaFatura[[#This Row],[Desconto]]</f>
        <v>12</v>
      </c>
    </row>
    <row r="8" spans="2:8" ht="33.950000000000003" customHeight="1" x14ac:dyDescent="0.25">
      <c r="B8" s="8" t="s">
        <v>72</v>
      </c>
      <c r="C8" s="8" t="s">
        <v>55</v>
      </c>
      <c r="D8" s="8">
        <v>5</v>
      </c>
      <c r="E8" s="70">
        <v>5</v>
      </c>
      <c r="F8" s="74">
        <v>5</v>
      </c>
      <c r="G8" s="74">
        <v>5</v>
      </c>
      <c r="H8" s="74">
        <f>(DetalhesDaFatura[[#This Row],[Qtd.]]*DetalhesDaFatura[[#This Row],[Preço unitário]])-DetalhesDaFatura[[#This Row],[Desconto]]</f>
        <v>20</v>
      </c>
    </row>
    <row r="9" spans="2:8" ht="33.950000000000003" customHeight="1" x14ac:dyDescent="0.25">
      <c r="B9" s="8" t="s">
        <v>73</v>
      </c>
      <c r="C9" s="8" t="s">
        <v>55</v>
      </c>
      <c r="D9" s="8">
        <v>6</v>
      </c>
      <c r="E9" s="70">
        <v>6</v>
      </c>
      <c r="F9" s="74">
        <v>6</v>
      </c>
      <c r="G9" s="74">
        <v>6</v>
      </c>
      <c r="H9" s="74">
        <f>(DetalhesDaFatura[[#This Row],[Qtd.]]*DetalhesDaFatura[[#This Row],[Preço unitário]])-DetalhesDaFatura[[#This Row],[Desconto]]</f>
        <v>30</v>
      </c>
    </row>
    <row r="10" spans="2:8" ht="33.950000000000003" customHeight="1" x14ac:dyDescent="0.25">
      <c r="B10" s="8" t="s">
        <v>74</v>
      </c>
      <c r="C10" s="8" t="s">
        <v>55</v>
      </c>
      <c r="D10" s="8">
        <v>7</v>
      </c>
      <c r="E10" s="70">
        <v>7</v>
      </c>
      <c r="F10" s="74">
        <v>7</v>
      </c>
      <c r="G10" s="74">
        <v>7</v>
      </c>
      <c r="H10" s="74">
        <f>(DetalhesDaFatura[[#This Row],[Qtd.]]*DetalhesDaFatura[[#This Row],[Preço unitário]])-DetalhesDaFatura[[#This Row],[Desconto]]</f>
        <v>42</v>
      </c>
    </row>
    <row r="11" spans="2:8" ht="33.950000000000003" customHeight="1" x14ac:dyDescent="0.25">
      <c r="B11" s="8" t="s">
        <v>75</v>
      </c>
      <c r="C11" s="8" t="s">
        <v>55</v>
      </c>
      <c r="D11" s="8">
        <v>8</v>
      </c>
      <c r="E11" s="70">
        <v>8</v>
      </c>
      <c r="F11" s="74">
        <v>8</v>
      </c>
      <c r="G11" s="74">
        <v>8</v>
      </c>
      <c r="H11" s="74">
        <f>(DetalhesDaFatura[[#This Row],[Qtd.]]*DetalhesDaFatura[[#This Row],[Preço unitário]])-DetalhesDaFatura[[#This Row],[Desconto]]</f>
        <v>56</v>
      </c>
    </row>
    <row r="12" spans="2:8" ht="33.950000000000003" customHeight="1" x14ac:dyDescent="0.25">
      <c r="B12" s="8" t="s">
        <v>76</v>
      </c>
      <c r="C12" s="8" t="s">
        <v>55</v>
      </c>
      <c r="D12" s="8">
        <v>9</v>
      </c>
      <c r="E12" s="70">
        <v>9</v>
      </c>
      <c r="F12" s="74">
        <v>9</v>
      </c>
      <c r="G12" s="74">
        <v>9</v>
      </c>
      <c r="H12" s="74">
        <f>(DetalhesDaFatura[[#This Row],[Qtd.]]*DetalhesDaFatura[[#This Row],[Preço unitário]])-DetalhesDaFatura[[#This Row],[Desconto]]</f>
        <v>72</v>
      </c>
    </row>
    <row r="13" spans="2:8" ht="33.950000000000003" customHeight="1" x14ac:dyDescent="0.25">
      <c r="B13" s="8" t="s">
        <v>77</v>
      </c>
      <c r="C13" s="8" t="s">
        <v>55</v>
      </c>
      <c r="D13" s="8">
        <v>10</v>
      </c>
      <c r="E13" s="70">
        <v>10</v>
      </c>
      <c r="F13" s="74">
        <v>10</v>
      </c>
      <c r="G13" s="74">
        <v>10</v>
      </c>
      <c r="H13" s="74">
        <f>(DetalhesDaFatura[[#This Row],[Qtd.]]*DetalhesDaFatura[[#This Row],[Preço unitário]])-DetalhesDaFatura[[#This Row],[Desconto]]</f>
        <v>90</v>
      </c>
    </row>
    <row r="14" spans="2:8" ht="33.950000000000003" customHeight="1" x14ac:dyDescent="0.25">
      <c r="B14" s="8" t="s">
        <v>78</v>
      </c>
      <c r="C14" s="8" t="s">
        <v>55</v>
      </c>
      <c r="D14" s="8">
        <v>11</v>
      </c>
      <c r="E14" s="70">
        <v>11</v>
      </c>
      <c r="F14" s="74">
        <v>11</v>
      </c>
      <c r="G14" s="74">
        <v>11</v>
      </c>
      <c r="H14" s="74">
        <f>(DetalhesDaFatura[[#This Row],[Qtd.]]*DetalhesDaFatura[[#This Row],[Preço unitário]])-DetalhesDaFatura[[#This Row],[Desconto]]</f>
        <v>110</v>
      </c>
    </row>
    <row r="15" spans="2:8" ht="33.950000000000003" customHeight="1" x14ac:dyDescent="0.25">
      <c r="B15" s="8" t="s">
        <v>79</v>
      </c>
      <c r="C15" s="8" t="s">
        <v>55</v>
      </c>
      <c r="D15" s="8">
        <v>12</v>
      </c>
      <c r="E15" s="70">
        <v>12</v>
      </c>
      <c r="F15" s="74">
        <v>12</v>
      </c>
      <c r="G15" s="74">
        <v>12</v>
      </c>
      <c r="H15" s="74">
        <f>(DetalhesDaFatura[[#This Row],[Qtd.]]*DetalhesDaFatura[[#This Row],[Preço unitário]])-DetalhesDaFatura[[#This Row],[Desconto]]</f>
        <v>132</v>
      </c>
    </row>
    <row r="16" spans="2:8" ht="33.950000000000003" customHeight="1" x14ac:dyDescent="0.25">
      <c r="B16" s="8" t="s">
        <v>80</v>
      </c>
      <c r="C16" s="8" t="s">
        <v>55</v>
      </c>
      <c r="D16" s="8">
        <v>13</v>
      </c>
      <c r="E16" s="70">
        <v>13</v>
      </c>
      <c r="F16" s="74">
        <v>13</v>
      </c>
      <c r="G16" s="74">
        <v>13</v>
      </c>
      <c r="H16" s="74">
        <f>(DetalhesDaFatura[[#This Row],[Qtd.]]*DetalhesDaFatura[[#This Row],[Preço unitário]])-DetalhesDaFatura[[#This Row],[Desconto]]</f>
        <v>156</v>
      </c>
    </row>
    <row r="17" spans="2:8" ht="33.950000000000003" customHeight="1" x14ac:dyDescent="0.25">
      <c r="B17" s="8" t="s">
        <v>81</v>
      </c>
      <c r="C17" s="8" t="s">
        <v>55</v>
      </c>
      <c r="D17" s="8">
        <v>14</v>
      </c>
      <c r="E17" s="70">
        <v>14</v>
      </c>
      <c r="F17" s="74">
        <v>14</v>
      </c>
      <c r="G17" s="74">
        <v>14</v>
      </c>
      <c r="H17" s="74">
        <f>(DetalhesDaFatura[[#This Row],[Qtd.]]*DetalhesDaFatura[[#This Row],[Preço unitário]])-DetalhesDaFatura[[#This Row],[Desconto]]</f>
        <v>182</v>
      </c>
    </row>
    <row r="18" spans="2:8" ht="33.950000000000003" customHeight="1" x14ac:dyDescent="0.25">
      <c r="B18" s="8" t="s">
        <v>82</v>
      </c>
      <c r="C18" s="8" t="s">
        <v>55</v>
      </c>
      <c r="D18" s="8">
        <v>15</v>
      </c>
      <c r="E18" s="70">
        <v>15</v>
      </c>
      <c r="F18" s="74">
        <v>15</v>
      </c>
      <c r="G18" s="74">
        <v>15</v>
      </c>
      <c r="H18" s="74">
        <f>(DetalhesDaFatura[[#This Row],[Qtd.]]*DetalhesDaFatura[[#This Row],[Preço unitário]])-DetalhesDaFatura[[#This Row],[Desconto]]</f>
        <v>210</v>
      </c>
    </row>
    <row r="19" spans="2:8" ht="33.950000000000003" customHeight="1" x14ac:dyDescent="0.25">
      <c r="B19" s="8" t="s">
        <v>83</v>
      </c>
      <c r="C19" s="8" t="s">
        <v>55</v>
      </c>
      <c r="D19" s="8">
        <v>16</v>
      </c>
      <c r="E19" s="70">
        <v>16</v>
      </c>
      <c r="F19" s="74">
        <v>16</v>
      </c>
      <c r="G19" s="74">
        <v>16</v>
      </c>
      <c r="H19" s="74">
        <f>(DetalhesDaFatura[[#This Row],[Qtd.]]*DetalhesDaFatura[[#This Row],[Preço unitário]])-DetalhesDaFatura[[#This Row],[Desconto]]</f>
        <v>240</v>
      </c>
    </row>
    <row r="20" spans="2:8" ht="33.950000000000003" customHeight="1" x14ac:dyDescent="0.25">
      <c r="B20" s="8" t="s">
        <v>84</v>
      </c>
      <c r="C20" s="8" t="s">
        <v>55</v>
      </c>
      <c r="D20" s="8">
        <v>17</v>
      </c>
      <c r="E20" s="70">
        <v>17</v>
      </c>
      <c r="F20" s="74">
        <v>17</v>
      </c>
      <c r="G20" s="74">
        <v>17</v>
      </c>
      <c r="H20" s="74">
        <f>(DetalhesDaFatura[[#This Row],[Qtd.]]*DetalhesDaFatura[[#This Row],[Preço unitário]])-DetalhesDaFatura[[#This Row],[Desconto]]</f>
        <v>272</v>
      </c>
    </row>
    <row r="21" spans="2:8" ht="33.950000000000003" customHeight="1" x14ac:dyDescent="0.25">
      <c r="B21" s="8" t="s">
        <v>85</v>
      </c>
      <c r="C21" s="8" t="s">
        <v>55</v>
      </c>
      <c r="D21" s="8">
        <v>18</v>
      </c>
      <c r="E21" s="70">
        <v>18</v>
      </c>
      <c r="F21" s="74">
        <v>18</v>
      </c>
      <c r="G21" s="74">
        <v>18</v>
      </c>
      <c r="H21" s="74">
        <f>(DetalhesDaFatura[[#This Row],[Qtd.]]*DetalhesDaFatura[[#This Row],[Preço unitário]])-DetalhesDaFatura[[#This Row],[Desconto]]</f>
        <v>306</v>
      </c>
    </row>
    <row r="22" spans="2:8" ht="33.950000000000003" customHeight="1" x14ac:dyDescent="0.25">
      <c r="B22" s="8" t="s">
        <v>86</v>
      </c>
      <c r="C22" s="8" t="s">
        <v>55</v>
      </c>
      <c r="D22" s="8">
        <v>19</v>
      </c>
      <c r="E22" s="70">
        <v>19</v>
      </c>
      <c r="F22" s="74">
        <v>19</v>
      </c>
      <c r="G22" s="74">
        <v>19</v>
      </c>
      <c r="H22" s="74">
        <f>(DetalhesDaFatura[[#This Row],[Qtd.]]*DetalhesDaFatura[[#This Row],[Preço unitário]])-DetalhesDaFatura[[#This Row],[Desconto]]</f>
        <v>342</v>
      </c>
    </row>
    <row r="23" spans="2:8" ht="33.950000000000003" customHeight="1" x14ac:dyDescent="0.25">
      <c r="B23" s="8" t="s">
        <v>87</v>
      </c>
      <c r="C23" s="8" t="s">
        <v>55</v>
      </c>
      <c r="D23" s="8">
        <v>20</v>
      </c>
      <c r="E23" s="70">
        <v>20</v>
      </c>
      <c r="F23" s="74">
        <v>20</v>
      </c>
      <c r="G23" s="74">
        <v>20</v>
      </c>
      <c r="H23" s="74">
        <f>(DetalhesDaFatura[[#This Row],[Qtd.]]*DetalhesDaFatura[[#This Row],[Preço unitário]])-DetalhesDaFatura[[#This Row],[Desconto]]</f>
        <v>380</v>
      </c>
    </row>
    <row r="24" spans="2:8" ht="33.950000000000003" customHeight="1" x14ac:dyDescent="0.25">
      <c r="B24" s="8" t="s">
        <v>88</v>
      </c>
      <c r="C24" s="8" t="s">
        <v>55</v>
      </c>
      <c r="D24" s="8">
        <v>21</v>
      </c>
      <c r="E24" s="70">
        <v>21</v>
      </c>
      <c r="F24" s="74">
        <v>21</v>
      </c>
      <c r="G24" s="74">
        <v>21</v>
      </c>
      <c r="H24" s="74">
        <f>(DetalhesDaFatura[[#This Row],[Qtd.]]*DetalhesDaFatura[[#This Row],[Preço unitário]])-DetalhesDaFatura[[#This Row],[Desconto]]</f>
        <v>420</v>
      </c>
    </row>
    <row r="25" spans="2:8" ht="33.950000000000003" customHeight="1" x14ac:dyDescent="0.25">
      <c r="B25" s="8" t="s">
        <v>89</v>
      </c>
      <c r="C25" s="8" t="s">
        <v>55</v>
      </c>
      <c r="D25" s="8">
        <v>22</v>
      </c>
      <c r="E25" s="70">
        <v>22</v>
      </c>
      <c r="F25" s="74">
        <v>22</v>
      </c>
      <c r="G25" s="74">
        <v>22</v>
      </c>
      <c r="H25" s="74">
        <f>(DetalhesDaFatura[[#This Row],[Qtd.]]*DetalhesDaFatura[[#This Row],[Preço unitário]])-DetalhesDaFatura[[#This Row],[Desconto]]</f>
        <v>462</v>
      </c>
    </row>
    <row r="26" spans="2:8" ht="33.950000000000003" customHeight="1" x14ac:dyDescent="0.25">
      <c r="B26" s="8" t="s">
        <v>90</v>
      </c>
      <c r="C26" s="8" t="s">
        <v>55</v>
      </c>
      <c r="D26" s="8">
        <v>23</v>
      </c>
      <c r="E26" s="70">
        <v>23</v>
      </c>
      <c r="F26" s="74">
        <v>23</v>
      </c>
      <c r="G26" s="74">
        <v>23</v>
      </c>
      <c r="H26" s="74">
        <f>(DetalhesDaFatura[[#This Row],[Qtd.]]*DetalhesDaFatura[[#This Row],[Preço unitário]])-DetalhesDaFatura[[#This Row],[Desconto]]</f>
        <v>506</v>
      </c>
    </row>
    <row r="27" spans="2:8" ht="33.950000000000003" customHeight="1" x14ac:dyDescent="0.25">
      <c r="B27" s="8" t="s">
        <v>91</v>
      </c>
      <c r="C27" s="8" t="s">
        <v>55</v>
      </c>
      <c r="D27" s="8">
        <v>24</v>
      </c>
      <c r="E27" s="70">
        <v>24</v>
      </c>
      <c r="F27" s="74">
        <v>24</v>
      </c>
      <c r="G27" s="74">
        <v>24</v>
      </c>
      <c r="H27" s="74">
        <f>(DetalhesDaFatura[[#This Row],[Qtd.]]*DetalhesDaFatura[[#This Row],[Preço unitário]])-DetalhesDaFatura[[#This Row],[Desconto]]</f>
        <v>552</v>
      </c>
    </row>
    <row r="28" spans="2:8" s="2" customFormat="1" ht="33.950000000000003" customHeight="1" x14ac:dyDescent="0.25">
      <c r="B28" s="8" t="s">
        <v>92</v>
      </c>
      <c r="C28" s="8" t="s">
        <v>55</v>
      </c>
      <c r="D28" s="8">
        <v>25</v>
      </c>
      <c r="E28" s="70">
        <v>25</v>
      </c>
      <c r="F28" s="74">
        <v>25</v>
      </c>
      <c r="G28" s="74">
        <v>25</v>
      </c>
      <c r="H28" s="74">
        <f>(DetalhesDaFatura[[#This Row],[Qtd.]]*DetalhesDaFatura[[#This Row],[Preço unitário]])-DetalhesDaFatura[[#This Row],[Desconto]]</f>
        <v>600</v>
      </c>
    </row>
    <row r="29" spans="2:8" ht="33.950000000000003" customHeight="1" x14ac:dyDescent="0.25">
      <c r="B29" s="8" t="s">
        <v>93</v>
      </c>
      <c r="C29" s="8" t="s">
        <v>23</v>
      </c>
      <c r="D29" s="8" t="s">
        <v>105</v>
      </c>
      <c r="E29" s="70">
        <v>39</v>
      </c>
      <c r="F29" s="74">
        <v>5</v>
      </c>
      <c r="G29" s="74"/>
      <c r="H29" s="74">
        <f>(DetalhesDaFatura[[#This Row],[Qtd.]]*DetalhesDaFatura[[#This Row],[Preço unitário]])-DetalhesDaFatura[[#This Row],[Desconto]]</f>
        <v>195</v>
      </c>
    </row>
    <row r="30" spans="2:8" ht="33.950000000000003" customHeight="1" x14ac:dyDescent="0.25">
      <c r="B30" s="8" t="s">
        <v>94</v>
      </c>
      <c r="C30" s="8" t="s">
        <v>23</v>
      </c>
      <c r="D30" s="8" t="s">
        <v>106</v>
      </c>
      <c r="E30" s="70">
        <v>40</v>
      </c>
      <c r="F30" s="74">
        <v>4</v>
      </c>
      <c r="G30" s="74">
        <v>5</v>
      </c>
      <c r="H30" s="74">
        <f>(DetalhesDaFatura[[#This Row],[Qtd.]]*DetalhesDaFatura[[#This Row],[Preço unitário]])-DetalhesDaFatura[[#This Row],[Desconto]]</f>
        <v>155</v>
      </c>
    </row>
    <row r="31" spans="2:8" ht="33.950000000000003" customHeight="1" x14ac:dyDescent="0.25">
      <c r="B31" s="8" t="s">
        <v>95</v>
      </c>
      <c r="C31" s="8" t="s">
        <v>23</v>
      </c>
      <c r="D31" s="8" t="s">
        <v>107</v>
      </c>
      <c r="E31" s="70">
        <v>30</v>
      </c>
      <c r="F31" s="74">
        <v>6</v>
      </c>
      <c r="G31" s="74">
        <v>7</v>
      </c>
      <c r="H31" s="74">
        <f>(DetalhesDaFatura[[#This Row],[Qtd.]]*DetalhesDaFatura[[#This Row],[Preço unitário]])-DetalhesDaFatura[[#This Row],[Desconto]]</f>
        <v>173</v>
      </c>
    </row>
    <row r="32" spans="2:8" ht="33.950000000000003" customHeight="1" x14ac:dyDescent="0.25">
      <c r="B32" s="8" t="s">
        <v>96</v>
      </c>
      <c r="C32" s="8" t="s">
        <v>23</v>
      </c>
      <c r="D32" s="8" t="s">
        <v>108</v>
      </c>
      <c r="E32" s="70">
        <v>40</v>
      </c>
      <c r="F32" s="74">
        <v>7</v>
      </c>
      <c r="G32" s="74"/>
      <c r="H32" s="74">
        <f>(DetalhesDaFatura[[#This Row],[Qtd.]]*DetalhesDaFatura[[#This Row],[Preço unitário]])-DetalhesDaFatura[[#This Row],[Desconto]]</f>
        <v>280</v>
      </c>
    </row>
    <row r="33" spans="2:8" ht="33.950000000000003" customHeight="1" x14ac:dyDescent="0.25">
      <c r="B33" s="8" t="s">
        <v>97</v>
      </c>
      <c r="C33" s="8" t="s">
        <v>23</v>
      </c>
      <c r="D33" s="8" t="s">
        <v>109</v>
      </c>
      <c r="E33" s="70">
        <v>10</v>
      </c>
      <c r="F33" s="74">
        <v>4</v>
      </c>
      <c r="G33" s="74"/>
      <c r="H33" s="74">
        <f>(DetalhesDaFatura[[#This Row],[Qtd.]]*DetalhesDaFatura[[#This Row],[Preço unitário]])-DetalhesDaFatura[[#This Row],[Desconto]]</f>
        <v>40</v>
      </c>
    </row>
    <row r="34" spans="2:8" ht="33.950000000000003" customHeight="1" x14ac:dyDescent="0.25">
      <c r="B34" s="8" t="s">
        <v>98</v>
      </c>
      <c r="C34" s="8" t="s">
        <v>23</v>
      </c>
      <c r="D34" s="8" t="s">
        <v>110</v>
      </c>
      <c r="E34" s="70">
        <v>5</v>
      </c>
      <c r="F34" s="74">
        <v>8</v>
      </c>
      <c r="G34" s="74"/>
      <c r="H34" s="74">
        <f>(DetalhesDaFatura[[#This Row],[Qtd.]]*DetalhesDaFatura[[#This Row],[Preço unitário]])-DetalhesDaFatura[[#This Row],[Desconto]]</f>
        <v>40</v>
      </c>
    </row>
    <row r="35" spans="2:8" ht="33.950000000000003" customHeight="1" x14ac:dyDescent="0.25">
      <c r="B35" s="8" t="s">
        <v>99</v>
      </c>
      <c r="C35" s="8" t="s">
        <v>23</v>
      </c>
      <c r="D35" s="8" t="s">
        <v>111</v>
      </c>
      <c r="E35" s="70">
        <v>70</v>
      </c>
      <c r="F35" s="74">
        <v>6</v>
      </c>
      <c r="G35" s="74"/>
      <c r="H35" s="74">
        <f>(DetalhesDaFatura[[#This Row],[Qtd.]]*DetalhesDaFatura[[#This Row],[Preço unitário]])-DetalhesDaFatura[[#This Row],[Desconto]]</f>
        <v>420</v>
      </c>
    </row>
    <row r="36" spans="2:8" ht="33.950000000000003" customHeight="1" x14ac:dyDescent="0.25">
      <c r="B36" s="8" t="s">
        <v>100</v>
      </c>
      <c r="C36" s="8" t="s">
        <v>23</v>
      </c>
      <c r="D36" s="8" t="s">
        <v>112</v>
      </c>
      <c r="E36" s="70">
        <v>25</v>
      </c>
      <c r="F36" s="74">
        <v>4</v>
      </c>
      <c r="G36" s="74"/>
      <c r="H36" s="74">
        <f>(DetalhesDaFatura[[#This Row],[Qtd.]]*DetalhesDaFatura[[#This Row],[Preço unitário]])-DetalhesDaFatura[[#This Row],[Desconto]]</f>
        <v>100</v>
      </c>
    </row>
    <row r="37" spans="2:8" ht="33.950000000000003" customHeight="1" x14ac:dyDescent="0.25">
      <c r="B37" s="8" t="s">
        <v>101</v>
      </c>
      <c r="C37" s="8" t="s">
        <v>23</v>
      </c>
      <c r="D37" s="8" t="s">
        <v>113</v>
      </c>
      <c r="E37" s="70">
        <v>5</v>
      </c>
      <c r="F37" s="74">
        <v>7</v>
      </c>
      <c r="G37" s="74">
        <v>3</v>
      </c>
      <c r="H37" s="74">
        <f>(DetalhesDaFatura[[#This Row],[Qtd.]]*DetalhesDaFatura[[#This Row],[Preço unitário]])-DetalhesDaFatura[[#This Row],[Desconto]]</f>
        <v>32</v>
      </c>
    </row>
    <row r="38" spans="2:8" ht="33.950000000000003" customHeight="1" x14ac:dyDescent="0.25">
      <c r="B38" s="8" t="s">
        <v>102</v>
      </c>
      <c r="C38" s="8" t="s">
        <v>23</v>
      </c>
      <c r="D38" s="8" t="s">
        <v>114</v>
      </c>
      <c r="E38" s="70">
        <v>80</v>
      </c>
      <c r="F38" s="74">
        <v>1</v>
      </c>
      <c r="G38" s="74"/>
      <c r="H38" s="74">
        <f>(DetalhesDaFatura[[#This Row],[Qtd.]]*DetalhesDaFatura[[#This Row],[Preço unitário]])-DetalhesDaFatura[[#This Row],[Desconto]]</f>
        <v>80</v>
      </c>
    </row>
    <row r="39" spans="2:8" ht="33.950000000000003" customHeight="1" x14ac:dyDescent="0.25">
      <c r="B39" s="8" t="s">
        <v>103</v>
      </c>
      <c r="C39" s="8" t="s">
        <v>23</v>
      </c>
      <c r="D39" s="8" t="s">
        <v>115</v>
      </c>
      <c r="E39" s="70">
        <v>65</v>
      </c>
      <c r="F39" s="74">
        <v>7</v>
      </c>
      <c r="G39" s="74"/>
      <c r="H39" s="74">
        <f>(DetalhesDaFatura[[#This Row],[Qtd.]]*DetalhesDaFatura[[#This Row],[Preço unitário]])-DetalhesDaFatura[[#This Row],[Desconto]]</f>
        <v>455</v>
      </c>
    </row>
    <row r="40" spans="2:8" ht="33.950000000000003" customHeight="1" x14ac:dyDescent="0.25">
      <c r="B40" s="8" t="s">
        <v>104</v>
      </c>
      <c r="C40" s="8" t="s">
        <v>23</v>
      </c>
      <c r="D40" s="8" t="s">
        <v>116</v>
      </c>
      <c r="E40" s="70">
        <v>44</v>
      </c>
      <c r="F40" s="74">
        <v>1</v>
      </c>
      <c r="G40" s="74"/>
      <c r="H40" s="74">
        <f>(DetalhesDaFatura[[#This Row],[Qtd.]]*DetalhesDaFatura[[#This Row],[Preço unitário]])-DetalhesDaFatura[[#This Row],[Desconto]]</f>
        <v>44</v>
      </c>
    </row>
  </sheetData>
  <sheetProtection formatCells="0" formatColumns="0" formatRows="0" insertRows="0" deleteRows="0" selectLockedCells="1" sort="0" autoFilter="0" pivotTables="0"/>
  <conditionalFormatting sqref="C4:C40">
    <cfRule type="expression" dxfId="26" priority="52">
      <formula>COUNTIF($C$4:$C$40,C4)&gt;25</formula>
    </cfRule>
  </conditionalFormatting>
  <dataValidations count="1">
    <dataValidation type="list" allowBlank="1" showInputMessage="1" showErrorMessage="1" errorTitle="Dados Inválidos" error="Selecione a fatura nesta lista. Se o número dela não aparecer aqui, verifique a planilha Faturas – Principal." sqref="C4:C40" xr:uid="{00000000-0002-0000-0300-000000000000}">
      <formula1>No_Fatura</formula1>
    </dataValidation>
  </dataValidations>
  <printOptions horizontalCentered="1"/>
  <pageMargins left="0.25" right="0.25" top="0.75" bottom="0.75" header="0.3" footer="0.3"/>
  <pageSetup paperSize="9" fitToHeight="0" orientation="landscape" r:id="rId1"/>
  <headerFooter differentFirst="1">
    <oddFooter>Page &amp;P of &amp;N</oddFooter>
  </headerFooter>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4" tint="0.59999389629810485"/>
    <pageSetUpPr autoPageBreaks="0" fitToPage="1"/>
  </sheetPr>
  <dimension ref="A1:H40"/>
  <sheetViews>
    <sheetView showGridLines="0" zoomScaleNormal="100" workbookViewId="0"/>
  </sheetViews>
  <sheetFormatPr defaultRowHeight="15" x14ac:dyDescent="0.25"/>
  <cols>
    <col min="1" max="1" width="2.85546875" customWidth="1"/>
    <col min="2" max="2" width="5.28515625" customWidth="1"/>
    <col min="3" max="3" width="13.28515625" customWidth="1"/>
    <col min="4" max="4" width="44.7109375" customWidth="1"/>
    <col min="5" max="5" width="13.42578125" customWidth="1"/>
    <col min="6" max="6" width="1.140625" customWidth="1"/>
    <col min="7" max="7" width="21" customWidth="1"/>
    <col min="8" max="8" width="24.7109375" customWidth="1"/>
    <col min="9" max="9" width="2.85546875" customWidth="1"/>
  </cols>
  <sheetData>
    <row r="1" spans="1:8" s="5" customFormat="1" ht="58.5" customHeight="1" thickBot="1" x14ac:dyDescent="0.3">
      <c r="A1" s="4"/>
      <c r="B1" s="21" t="s">
        <v>118</v>
      </c>
      <c r="C1" s="21"/>
      <c r="D1" s="21"/>
      <c r="E1" s="21"/>
      <c r="F1" s="19"/>
      <c r="G1" s="19"/>
      <c r="H1" s="19"/>
    </row>
    <row r="2" spans="1:8" s="4" customFormat="1" ht="35.25" customHeight="1" thickTop="1" x14ac:dyDescent="0.25">
      <c r="B2" s="10"/>
      <c r="C2" s="10"/>
      <c r="D2" s="10"/>
      <c r="E2" s="10"/>
      <c r="F2" s="11"/>
      <c r="G2" s="11"/>
      <c r="H2" s="11"/>
    </row>
    <row r="3" spans="1:8" ht="9.75" customHeight="1" x14ac:dyDescent="0.25"/>
    <row r="4" spans="1:8" ht="69.75" customHeight="1" x14ac:dyDescent="0.25">
      <c r="B4" s="84" t="s">
        <v>119</v>
      </c>
      <c r="C4" s="84"/>
      <c r="D4" s="84"/>
      <c r="E4" s="84"/>
      <c r="F4" s="84"/>
      <c r="G4" s="84"/>
      <c r="H4" s="84"/>
    </row>
    <row r="5" spans="1:8" ht="85.5" customHeight="1" x14ac:dyDescent="0.25">
      <c r="B5" s="84" t="s">
        <v>120</v>
      </c>
      <c r="C5" s="84"/>
      <c r="D5" s="84"/>
      <c r="E5" s="84"/>
      <c r="F5" s="84"/>
      <c r="G5" s="84"/>
      <c r="H5" s="84"/>
    </row>
    <row r="6" spans="1:8" ht="23.25" customHeight="1" x14ac:dyDescent="0.25">
      <c r="B6" s="85" t="s">
        <v>121</v>
      </c>
      <c r="C6" s="85"/>
      <c r="D6" s="85"/>
      <c r="E6" s="85"/>
      <c r="F6" s="85"/>
      <c r="G6" s="85"/>
      <c r="H6" s="85"/>
    </row>
    <row r="7" spans="1:8" ht="19.5" customHeight="1" x14ac:dyDescent="0.25">
      <c r="B7" s="84" t="s">
        <v>122</v>
      </c>
      <c r="C7" s="84"/>
      <c r="D7" s="84"/>
      <c r="E7" s="84"/>
      <c r="F7" s="84"/>
      <c r="G7" s="84"/>
      <c r="H7" s="84"/>
    </row>
    <row r="8" spans="1:8" ht="22.5" customHeight="1" x14ac:dyDescent="0.25">
      <c r="B8" s="54" t="s">
        <v>123</v>
      </c>
      <c r="C8" s="84" t="s">
        <v>135</v>
      </c>
      <c r="D8" s="84"/>
      <c r="E8" s="84"/>
      <c r="F8" s="84"/>
      <c r="G8" s="84"/>
      <c r="H8" s="84"/>
    </row>
    <row r="9" spans="1:8" ht="33.75" customHeight="1" x14ac:dyDescent="0.25">
      <c r="B9" s="54"/>
      <c r="C9" s="84" t="s">
        <v>136</v>
      </c>
      <c r="D9" s="84"/>
      <c r="E9" s="84"/>
      <c r="F9" s="84"/>
      <c r="G9" s="84"/>
      <c r="H9" s="84"/>
    </row>
    <row r="10" spans="1:8" ht="37.5" customHeight="1" x14ac:dyDescent="0.25">
      <c r="B10" s="54" t="s">
        <v>124</v>
      </c>
      <c r="C10" s="84" t="s">
        <v>137</v>
      </c>
      <c r="D10" s="84"/>
      <c r="E10" s="84"/>
      <c r="F10" s="84"/>
      <c r="G10" s="84"/>
      <c r="H10" s="84"/>
    </row>
    <row r="11" spans="1:8" ht="33" customHeight="1" x14ac:dyDescent="0.25">
      <c r="B11" s="54"/>
      <c r="C11" s="84" t="s">
        <v>138</v>
      </c>
      <c r="D11" s="84"/>
      <c r="E11" s="84"/>
      <c r="F11" s="84"/>
      <c r="G11" s="84"/>
      <c r="H11" s="84"/>
    </row>
    <row r="12" spans="1:8" ht="36.75" customHeight="1" x14ac:dyDescent="0.25">
      <c r="B12" s="54" t="s">
        <v>125</v>
      </c>
      <c r="C12" s="84" t="s">
        <v>139</v>
      </c>
      <c r="D12" s="84"/>
      <c r="E12" s="84"/>
      <c r="F12" s="84"/>
      <c r="G12" s="84"/>
      <c r="H12" s="84"/>
    </row>
    <row r="13" spans="1:8" ht="52.5" customHeight="1" x14ac:dyDescent="0.25">
      <c r="B13" s="86" t="s">
        <v>126</v>
      </c>
      <c r="C13" s="86"/>
      <c r="D13" s="86"/>
      <c r="E13" s="86"/>
      <c r="F13" s="86"/>
      <c r="G13" s="86"/>
      <c r="H13" s="86"/>
    </row>
    <row r="14" spans="1:8" ht="23.25" customHeight="1" x14ac:dyDescent="0.25">
      <c r="B14" s="54"/>
      <c r="C14" s="86" t="s">
        <v>140</v>
      </c>
      <c r="D14" s="86"/>
      <c r="E14" s="54"/>
      <c r="F14" s="54"/>
      <c r="G14" s="54"/>
      <c r="H14" s="54"/>
    </row>
    <row r="15" spans="1:8" ht="56.25" customHeight="1" x14ac:dyDescent="0.25">
      <c r="B15" s="54" t="s">
        <v>127</v>
      </c>
      <c r="C15" s="84" t="s">
        <v>141</v>
      </c>
      <c r="D15" s="84"/>
      <c r="E15" s="84"/>
      <c r="F15" s="84"/>
      <c r="G15" s="84"/>
      <c r="H15" s="84"/>
    </row>
    <row r="16" spans="1:8" ht="27.75" customHeight="1" x14ac:dyDescent="0.25">
      <c r="B16" s="85" t="s">
        <v>128</v>
      </c>
      <c r="C16" s="85"/>
      <c r="D16" s="85"/>
      <c r="E16" s="85"/>
      <c r="F16" s="85"/>
      <c r="G16" s="85"/>
      <c r="H16" s="85"/>
    </row>
    <row r="17" spans="2:8" ht="66" customHeight="1" x14ac:dyDescent="0.25">
      <c r="B17" s="54" t="s">
        <v>123</v>
      </c>
      <c r="C17" s="84" t="s">
        <v>142</v>
      </c>
      <c r="D17" s="84"/>
      <c r="E17" s="84"/>
      <c r="F17" s="84"/>
      <c r="G17" s="84"/>
      <c r="H17" s="84"/>
    </row>
    <row r="18" spans="2:8" ht="37.5" customHeight="1" x14ac:dyDescent="0.25">
      <c r="B18" s="54"/>
      <c r="C18" s="84" t="s">
        <v>143</v>
      </c>
      <c r="D18" s="84"/>
      <c r="E18" s="84"/>
      <c r="F18" s="84"/>
      <c r="G18" s="84"/>
      <c r="H18" s="84"/>
    </row>
    <row r="19" spans="2:8" ht="82.5" customHeight="1" x14ac:dyDescent="0.25">
      <c r="B19" s="54" t="s">
        <v>124</v>
      </c>
      <c r="C19" s="84" t="s">
        <v>144</v>
      </c>
      <c r="D19" s="84"/>
      <c r="E19" s="84"/>
      <c r="F19" s="84"/>
      <c r="G19" s="84"/>
      <c r="H19" s="84"/>
    </row>
    <row r="20" spans="2:8" ht="36.75" customHeight="1" x14ac:dyDescent="0.25">
      <c r="B20" s="54"/>
      <c r="C20" s="84" t="s">
        <v>145</v>
      </c>
      <c r="D20" s="84"/>
      <c r="E20" s="84"/>
      <c r="F20" s="84"/>
      <c r="G20" s="84"/>
      <c r="H20" s="84"/>
    </row>
    <row r="21" spans="2:8" ht="79.5" customHeight="1" x14ac:dyDescent="0.25">
      <c r="B21" s="54" t="s">
        <v>125</v>
      </c>
      <c r="C21" s="84" t="s">
        <v>146</v>
      </c>
      <c r="D21" s="84"/>
      <c r="E21" s="84"/>
      <c r="F21" s="84"/>
      <c r="G21" s="84"/>
      <c r="H21" s="84"/>
    </row>
    <row r="22" spans="2:8" ht="53.25" customHeight="1" x14ac:dyDescent="0.25">
      <c r="C22" s="84" t="s">
        <v>147</v>
      </c>
      <c r="D22" s="84"/>
      <c r="E22" s="84"/>
      <c r="F22" s="84"/>
      <c r="G22" s="84"/>
      <c r="H22" s="84"/>
    </row>
    <row r="23" spans="2:8" ht="23.25" customHeight="1" x14ac:dyDescent="0.25">
      <c r="B23" s="85" t="s">
        <v>129</v>
      </c>
      <c r="C23" s="85"/>
      <c r="D23" s="85"/>
      <c r="E23" s="85"/>
      <c r="F23" s="85"/>
      <c r="G23" s="85"/>
      <c r="H23" s="85"/>
    </row>
    <row r="24" spans="2:8" ht="49.5" customHeight="1" x14ac:dyDescent="0.25">
      <c r="B24" s="84" t="s">
        <v>130</v>
      </c>
      <c r="C24" s="84"/>
      <c r="D24" s="84"/>
      <c r="E24" s="84"/>
      <c r="F24" s="84"/>
      <c r="G24" s="84"/>
      <c r="H24" s="84"/>
    </row>
    <row r="25" spans="2:8" ht="19.5" customHeight="1" x14ac:dyDescent="0.25">
      <c r="B25" t="s">
        <v>131</v>
      </c>
      <c r="C25" s="84" t="s">
        <v>148</v>
      </c>
      <c r="D25" s="84"/>
      <c r="E25" s="84"/>
      <c r="F25" s="84"/>
      <c r="G25" s="84"/>
      <c r="H25" s="84"/>
    </row>
    <row r="26" spans="2:8" ht="19.5" customHeight="1" x14ac:dyDescent="0.25">
      <c r="B26" t="s">
        <v>131</v>
      </c>
      <c r="C26" s="84" t="s">
        <v>149</v>
      </c>
      <c r="D26" s="84"/>
      <c r="E26" s="84"/>
      <c r="F26" s="84"/>
      <c r="G26" s="84"/>
      <c r="H26" s="84"/>
    </row>
    <row r="27" spans="2:8" ht="20.25" customHeight="1" x14ac:dyDescent="0.25">
      <c r="B27" t="s">
        <v>131</v>
      </c>
      <c r="C27" s="84" t="s">
        <v>150</v>
      </c>
      <c r="D27" s="84"/>
      <c r="E27" s="84"/>
      <c r="F27" s="84"/>
      <c r="G27" s="84"/>
      <c r="H27" s="84"/>
    </row>
    <row r="28" spans="2:8" ht="39.75" customHeight="1" x14ac:dyDescent="0.25">
      <c r="B28" t="s">
        <v>131</v>
      </c>
      <c r="C28" s="84" t="s">
        <v>151</v>
      </c>
      <c r="D28" s="84"/>
      <c r="E28" s="84"/>
      <c r="F28" s="84"/>
      <c r="G28" s="84"/>
      <c r="H28" s="84"/>
    </row>
    <row r="29" spans="2:8" ht="23.25" customHeight="1" x14ac:dyDescent="0.25">
      <c r="B29" s="85" t="s">
        <v>132</v>
      </c>
      <c r="C29" s="85"/>
      <c r="D29" s="85"/>
      <c r="E29" s="85"/>
      <c r="F29" s="85"/>
      <c r="G29" s="85"/>
      <c r="H29" s="85"/>
    </row>
    <row r="30" spans="2:8" ht="79.5" customHeight="1" x14ac:dyDescent="0.25">
      <c r="B30" s="84" t="s">
        <v>133</v>
      </c>
      <c r="C30" s="84"/>
      <c r="D30" s="84"/>
      <c r="E30" s="84"/>
      <c r="F30" s="84"/>
      <c r="G30" s="84"/>
      <c r="H30" s="84"/>
    </row>
    <row r="31" spans="2:8" ht="55.5" customHeight="1" x14ac:dyDescent="0.25">
      <c r="B31" t="s">
        <v>131</v>
      </c>
      <c r="C31" s="84" t="s">
        <v>152</v>
      </c>
      <c r="D31" s="84"/>
      <c r="E31" s="84"/>
      <c r="F31" s="84"/>
      <c r="G31" s="84"/>
      <c r="H31" s="84"/>
    </row>
    <row r="32" spans="2:8" ht="34.5" customHeight="1" x14ac:dyDescent="0.25">
      <c r="C32" s="84" t="s">
        <v>153</v>
      </c>
      <c r="D32" s="84"/>
      <c r="E32" s="84"/>
      <c r="F32" s="84"/>
      <c r="G32" s="84"/>
      <c r="H32" s="84"/>
    </row>
    <row r="33" spans="2:8" ht="46.5" customHeight="1" x14ac:dyDescent="0.25">
      <c r="B33" t="s">
        <v>131</v>
      </c>
      <c r="C33" s="84" t="s">
        <v>154</v>
      </c>
      <c r="D33" s="84"/>
      <c r="E33" s="84"/>
      <c r="F33" s="84"/>
      <c r="G33" s="84"/>
      <c r="H33" s="84"/>
    </row>
    <row r="34" spans="2:8" ht="33" customHeight="1" x14ac:dyDescent="0.25">
      <c r="B34" t="s">
        <v>131</v>
      </c>
      <c r="C34" s="84" t="s">
        <v>155</v>
      </c>
      <c r="D34" s="84"/>
      <c r="E34" s="84"/>
      <c r="F34" s="84"/>
      <c r="G34" s="84"/>
      <c r="H34" s="84"/>
    </row>
    <row r="35" spans="2:8" ht="39" customHeight="1" x14ac:dyDescent="0.25">
      <c r="B35" t="s">
        <v>131</v>
      </c>
      <c r="C35" s="84" t="s">
        <v>156</v>
      </c>
      <c r="D35" s="84"/>
      <c r="E35" s="84"/>
      <c r="F35" s="84"/>
      <c r="G35" s="84"/>
      <c r="H35" s="84"/>
    </row>
    <row r="36" spans="2:8" ht="21.75" customHeight="1" x14ac:dyDescent="0.25">
      <c r="B36" s="14" t="s">
        <v>134</v>
      </c>
      <c r="C36" s="15"/>
      <c r="D36" s="16"/>
      <c r="E36" s="16"/>
      <c r="F36" s="16"/>
      <c r="G36" s="16"/>
      <c r="H36" s="16"/>
    </row>
    <row r="37" spans="2:8" ht="19.5" customHeight="1" x14ac:dyDescent="0.25">
      <c r="B37" s="7" t="s">
        <v>131</v>
      </c>
      <c r="C37" s="84" t="s">
        <v>157</v>
      </c>
      <c r="D37" s="84"/>
      <c r="E37" s="84"/>
      <c r="F37" s="84"/>
      <c r="G37" s="84"/>
      <c r="H37" s="84"/>
    </row>
    <row r="38" spans="2:8" ht="19.5" customHeight="1" x14ac:dyDescent="0.25">
      <c r="B38" s="7" t="s">
        <v>131</v>
      </c>
      <c r="C38" s="84" t="s">
        <v>158</v>
      </c>
      <c r="D38" s="84"/>
      <c r="E38" s="84"/>
      <c r="F38" s="84"/>
      <c r="G38" s="84"/>
      <c r="H38" s="84"/>
    </row>
    <row r="39" spans="2:8" ht="30.75" customHeight="1" x14ac:dyDescent="0.25">
      <c r="B39" s="7" t="s">
        <v>131</v>
      </c>
      <c r="C39" s="84" t="s">
        <v>159</v>
      </c>
      <c r="D39" s="84"/>
      <c r="E39" s="84"/>
      <c r="F39" s="84"/>
      <c r="G39" s="84"/>
      <c r="H39" s="84"/>
    </row>
    <row r="40" spans="2:8" ht="28.5" customHeight="1" x14ac:dyDescent="0.25">
      <c r="B40" s="7" t="s">
        <v>131</v>
      </c>
      <c r="C40" s="84" t="s">
        <v>160</v>
      </c>
      <c r="D40" s="84"/>
      <c r="E40" s="84"/>
      <c r="F40" s="84"/>
      <c r="G40" s="84"/>
      <c r="H40" s="84"/>
    </row>
  </sheetData>
  <mergeCells count="36">
    <mergeCell ref="B4:H4"/>
    <mergeCell ref="B5:H5"/>
    <mergeCell ref="B16:H16"/>
    <mergeCell ref="C25:H25"/>
    <mergeCell ref="B6:H6"/>
    <mergeCell ref="B7:H7"/>
    <mergeCell ref="C8:H8"/>
    <mergeCell ref="C10:H10"/>
    <mergeCell ref="C12:H12"/>
    <mergeCell ref="C15:H15"/>
    <mergeCell ref="C11:H11"/>
    <mergeCell ref="C14:D14"/>
    <mergeCell ref="C17:H17"/>
    <mergeCell ref="B13:H13"/>
    <mergeCell ref="C9:H9"/>
    <mergeCell ref="C26:H26"/>
    <mergeCell ref="C27:H27"/>
    <mergeCell ref="C28:H28"/>
    <mergeCell ref="C18:H18"/>
    <mergeCell ref="C20:H20"/>
    <mergeCell ref="B23:H23"/>
    <mergeCell ref="B24:H24"/>
    <mergeCell ref="C19:H19"/>
    <mergeCell ref="C21:H21"/>
    <mergeCell ref="C22:H22"/>
    <mergeCell ref="C35:H35"/>
    <mergeCell ref="C40:H40"/>
    <mergeCell ref="C33:H33"/>
    <mergeCell ref="C39:H39"/>
    <mergeCell ref="B29:H29"/>
    <mergeCell ref="B30:H30"/>
    <mergeCell ref="C31:H31"/>
    <mergeCell ref="C34:H34"/>
    <mergeCell ref="C32:H32"/>
    <mergeCell ref="C38:H38"/>
    <mergeCell ref="C37:H37"/>
  </mergeCells>
  <hyperlinks>
    <hyperlink ref="C14:D14" r:id="rId1" location="_Toc261352312" display="Customize a document theme." xr:uid="{00000000-0004-0000-0400-000000000000}"/>
  </hyperlinks>
  <pageMargins left="0.7" right="0.7" top="0.75" bottom="0.75" header="0.3" footer="0.3"/>
  <pageSetup paperSize="9" fitToHeight="0" orientation="portrait" r:id="rId2"/>
  <ignoredErrors>
    <ignoredError sqref="B12 B15 B17 B19 B21 B10 B8" numberStoredAsText="1"/>
  </ignoredErrors>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7</vt:i4>
      </vt:variant>
    </vt:vector>
  </HeadingPairs>
  <TitlesOfParts>
    <vt:vector size="12" baseType="lpstr">
      <vt:lpstr>Fatura</vt:lpstr>
      <vt:lpstr>Clientes</vt:lpstr>
      <vt:lpstr>Faturas – Principal</vt:lpstr>
      <vt:lpstr>Detalhes da fatura</vt:lpstr>
      <vt:lpstr>Sobre o controlador de faturas</vt:lpstr>
      <vt:lpstr>No_Fatura</vt:lpstr>
      <vt:lpstr>NomeDaEmpresa</vt:lpstr>
      <vt:lpstr>PesquisaCliente</vt:lpstr>
      <vt:lpstr>rngFatura</vt:lpstr>
      <vt:lpstr>Clientes!Titulos_de_impressao</vt:lpstr>
      <vt:lpstr>'Detalhes da fatura'!Titulos_de_impressao</vt:lpstr>
      <vt:lpstr>'Faturas – Principal'!Titulos_de_impressao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admin</cp:lastModifiedBy>
  <dcterms:created xsi:type="dcterms:W3CDTF">2016-11-01T03:33:07Z</dcterms:created>
  <dcterms:modified xsi:type="dcterms:W3CDTF">2019-08-29T06:58:00Z</dcterms:modified>
</cp:coreProperties>
</file>