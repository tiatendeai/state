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lberto\Documents\Gilberto\Curso - Giba a distância\Planilhas enviadas para o Grupo ou outras pessoas\"/>
    </mc:Choice>
  </mc:AlternateContent>
  <workbookProtection workbookPassword="CFCD" lockStructure="1"/>
  <bookViews>
    <workbookView xWindow="0" yWindow="0" windowWidth="19200" windowHeight="7935"/>
  </bookViews>
  <sheets>
    <sheet name="Orientações" sheetId="4" r:id="rId1"/>
    <sheet name="Controle Vencimento Férias" sheetId="1" r:id="rId2"/>
    <sheet name="Parâmetros" sheetId="3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6" i="1"/>
  <c r="N6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G9" i="1"/>
  <c r="E7" i="1"/>
  <c r="E8" i="1"/>
  <c r="I8" i="1" s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6" i="1"/>
  <c r="K10" i="1"/>
  <c r="B10" i="3" l="1"/>
  <c r="H6" i="1" l="1"/>
  <c r="H8" i="1"/>
  <c r="H7" i="1"/>
  <c r="O7" i="1"/>
  <c r="O8" i="1"/>
  <c r="O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1" i="1"/>
  <c r="K55" i="1"/>
  <c r="G55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G46" i="1"/>
  <c r="K45" i="1"/>
  <c r="G45" i="1"/>
  <c r="K44" i="1"/>
  <c r="G44" i="1"/>
  <c r="K43" i="1"/>
  <c r="G43" i="1"/>
  <c r="K42" i="1"/>
  <c r="G42" i="1"/>
  <c r="K41" i="1"/>
  <c r="G41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M32" i="1" s="1"/>
  <c r="K31" i="1"/>
  <c r="G31" i="1"/>
  <c r="K23" i="1" l="1"/>
  <c r="K24" i="1"/>
  <c r="K25" i="1"/>
  <c r="K26" i="1"/>
  <c r="K27" i="1"/>
  <c r="K28" i="1"/>
  <c r="K29" i="1"/>
  <c r="K30" i="1"/>
  <c r="G23" i="1"/>
  <c r="G24" i="1"/>
  <c r="G25" i="1"/>
  <c r="G26" i="1"/>
  <c r="G27" i="1"/>
  <c r="G28" i="1"/>
  <c r="G29" i="1"/>
  <c r="G30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2" i="1"/>
  <c r="M11" i="1"/>
  <c r="M10" i="1"/>
  <c r="K11" i="1"/>
  <c r="K12" i="1"/>
  <c r="K13" i="1"/>
  <c r="K14" i="1"/>
  <c r="K15" i="1"/>
  <c r="K16" i="1"/>
  <c r="K17" i="1"/>
  <c r="K18" i="1"/>
  <c r="K19" i="1"/>
  <c r="K20" i="1"/>
  <c r="K21" i="1"/>
  <c r="K22" i="1"/>
  <c r="M8" i="1"/>
  <c r="M7" i="1"/>
  <c r="G7" i="1"/>
  <c r="G8" i="1"/>
  <c r="M9" i="1"/>
  <c r="K9" i="1" s="1"/>
  <c r="G10" i="1"/>
  <c r="G11" i="1"/>
  <c r="G12" i="1"/>
  <c r="G13" i="1"/>
  <c r="M13" i="1" s="1"/>
  <c r="G14" i="1"/>
  <c r="G15" i="1"/>
  <c r="G16" i="1"/>
  <c r="G17" i="1"/>
  <c r="G18" i="1"/>
  <c r="G19" i="1"/>
  <c r="G20" i="1"/>
  <c r="G21" i="1"/>
  <c r="G22" i="1"/>
  <c r="G6" i="1"/>
  <c r="M6" i="1" s="1"/>
  <c r="K6" i="1" s="1"/>
  <c r="B16" i="3"/>
  <c r="K8" i="1" l="1"/>
  <c r="K7" i="1"/>
</calcChain>
</file>

<file path=xl/sharedStrings.xml><?xml version="1.0" encoding="utf-8"?>
<sst xmlns="http://schemas.openxmlformats.org/spreadsheetml/2006/main" count="211" uniqueCount="51">
  <si>
    <t>Período aquisitivo</t>
  </si>
  <si>
    <t>Situação</t>
  </si>
  <si>
    <t>Periodo de gozo</t>
  </si>
  <si>
    <t>data atual</t>
  </si>
  <si>
    <t>Nome</t>
  </si>
  <si>
    <t>Chapa</t>
  </si>
  <si>
    <t>Fim</t>
  </si>
  <si>
    <t>Beltrano de Tal Jr</t>
  </si>
  <si>
    <t>Fulano de Tal</t>
  </si>
  <si>
    <t>Sicrano de Tal e Tal</t>
  </si>
  <si>
    <t>Faltas sem</t>
  </si>
  <si>
    <t>justificativa</t>
  </si>
  <si>
    <t>Faltas no período aquisitivo</t>
  </si>
  <si>
    <t>Dias</t>
  </si>
  <si>
    <t>de</t>
  </si>
  <si>
    <t>a</t>
  </si>
  <si>
    <t>Abono</t>
  </si>
  <si>
    <t>SIM</t>
  </si>
  <si>
    <t>NÃO</t>
  </si>
  <si>
    <t>cálculo dias abono</t>
  </si>
  <si>
    <t>Dias de</t>
  </si>
  <si>
    <t>direito</t>
  </si>
  <si>
    <t>abono</t>
  </si>
  <si>
    <t>Pecuniário</t>
  </si>
  <si>
    <t>após programação</t>
  </si>
  <si>
    <t>de gozo</t>
  </si>
  <si>
    <t xml:space="preserve">Data Limite </t>
  </si>
  <si>
    <t>* ORIENTAÇÕES *</t>
  </si>
  <si>
    <t>Qtde dias para</t>
  </si>
  <si>
    <t>Acima de 65 dias  :                       Também será mostrado a quantidade de dias, mas sem destaque</t>
  </si>
  <si>
    <r>
      <rPr>
        <b/>
        <sz val="12"/>
        <rFont val="Calibri"/>
        <family val="2"/>
        <scheme val="minor"/>
      </rPr>
      <t>*</t>
    </r>
    <r>
      <rPr>
        <b/>
        <sz val="11"/>
        <rFont val="Calibri"/>
        <family val="2"/>
        <scheme val="minor"/>
      </rPr>
      <t xml:space="preserve"> PLANILHA PARA CONTROLE VENCIMENTO DE FÉRIAS </t>
    </r>
    <r>
      <rPr>
        <b/>
        <sz val="12"/>
        <rFont val="Calibri"/>
        <family val="2"/>
        <scheme val="minor"/>
      </rPr>
      <t>*</t>
    </r>
    <r>
      <rPr>
        <b/>
        <sz val="11"/>
        <rFont val="Calibri"/>
        <family val="2"/>
        <scheme val="minor"/>
      </rPr>
      <t xml:space="preserve">  </t>
    </r>
  </si>
  <si>
    <t>Digitar somente nos campos abaixo:</t>
  </si>
  <si>
    <t>Início</t>
  </si>
  <si>
    <r>
      <t>Nome :</t>
    </r>
    <r>
      <rPr>
        <sz val="11"/>
        <color theme="1"/>
        <rFont val="Calibri"/>
        <family val="2"/>
        <scheme val="minor"/>
      </rPr>
      <t xml:space="preserve"> Informar o nome do funcionário. Obs: Deixei a coluna pequena para poder visualisar toda a planilha, mas procure abreviar</t>
    </r>
  </si>
  <si>
    <r>
      <rPr>
        <b/>
        <sz val="11"/>
        <color theme="1"/>
        <rFont val="Calibri"/>
        <family val="2"/>
        <scheme val="minor"/>
      </rPr>
      <t>Faltas sem justificativas</t>
    </r>
    <r>
      <rPr>
        <sz val="11"/>
        <color theme="1"/>
        <rFont val="Calibri"/>
        <family val="2"/>
        <scheme val="minor"/>
      </rPr>
      <t xml:space="preserve"> : Quando for lançar/programar o INíCIO DE GOZO, digite a quantidade de faltas sem justificativas</t>
    </r>
  </si>
  <si>
    <r>
      <rPr>
        <b/>
        <sz val="11"/>
        <color theme="1"/>
        <rFont val="Calibri"/>
        <family val="2"/>
        <scheme val="minor"/>
      </rPr>
      <t>Periodo de gozo</t>
    </r>
    <r>
      <rPr>
        <sz val="11"/>
        <color theme="1"/>
        <rFont val="Calibri"/>
        <family val="2"/>
        <scheme val="minor"/>
      </rPr>
      <t xml:space="preserve"> - DIGITAR SOMENTE A DATA INÍCIO</t>
    </r>
  </si>
  <si>
    <r>
      <rPr>
        <b/>
        <sz val="11"/>
        <color theme="1"/>
        <rFont val="Calibri"/>
        <family val="2"/>
        <scheme val="minor"/>
      </rPr>
      <t>Abono Pecuniário</t>
    </r>
    <r>
      <rPr>
        <sz val="11"/>
        <color theme="1"/>
        <rFont val="Calibri"/>
        <family val="2"/>
        <scheme val="minor"/>
      </rPr>
      <t xml:space="preserve"> - Selecionar "SIM" ou "NÃO"</t>
    </r>
  </si>
  <si>
    <r>
      <rPr>
        <b/>
        <sz val="11"/>
        <color theme="1"/>
        <rFont val="Calibri"/>
        <family val="2"/>
        <scheme val="minor"/>
      </rPr>
      <t>Obs</t>
    </r>
    <r>
      <rPr>
        <sz val="11"/>
        <color theme="1"/>
        <rFont val="Calibri"/>
        <family val="2"/>
        <scheme val="minor"/>
      </rPr>
      <t>: Resolvi deixar como parâmetro 65 dias, porque dará tempo de preparar o aviso de férias com 30 dias de antecedência e já programar.</t>
    </r>
  </si>
  <si>
    <r>
      <rPr>
        <b/>
        <sz val="11"/>
        <color theme="1"/>
        <rFont val="Calibri"/>
        <family val="2"/>
        <scheme val="minor"/>
      </rPr>
      <t>Periodo aquisitivo</t>
    </r>
    <r>
      <rPr>
        <sz val="11"/>
        <color theme="1"/>
        <rFont val="Calibri"/>
        <family val="2"/>
        <scheme val="minor"/>
      </rPr>
      <t xml:space="preserve"> - DIGITAR SOMENTE A DATA INíCIO, do período aquisitivo que esta em aberto</t>
    </r>
  </si>
  <si>
    <t>limite de gozo</t>
  </si>
  <si>
    <r>
      <rPr>
        <b/>
        <sz val="11"/>
        <color theme="1"/>
        <rFont val="Calibri"/>
        <family val="2"/>
        <scheme val="minor"/>
      </rPr>
      <t>Qtde dias para limite de gozo</t>
    </r>
    <r>
      <rPr>
        <sz val="11"/>
        <color theme="1"/>
        <rFont val="Calibri"/>
        <family val="2"/>
        <scheme val="minor"/>
      </rPr>
      <t xml:space="preserve"> - Este campo é</t>
    </r>
    <r>
      <rPr>
        <b/>
        <sz val="11"/>
        <color theme="1"/>
        <rFont val="Calibri"/>
        <family val="2"/>
        <scheme val="minor"/>
      </rPr>
      <t xml:space="preserve"> super importante</t>
    </r>
    <r>
      <rPr>
        <sz val="11"/>
        <color theme="1"/>
        <rFont val="Calibri"/>
        <family val="2"/>
        <scheme val="minor"/>
      </rPr>
      <t xml:space="preserve">, pois irá </t>
    </r>
    <r>
      <rPr>
        <b/>
        <sz val="11"/>
        <color theme="1"/>
        <rFont val="Calibri"/>
        <family val="2"/>
        <scheme val="minor"/>
      </rPr>
      <t>ALERTAR</t>
    </r>
    <r>
      <rPr>
        <sz val="11"/>
        <color theme="1"/>
        <rFont val="Calibri"/>
        <family val="2"/>
        <scheme val="minor"/>
      </rPr>
      <t xml:space="preserve"> quando </t>
    </r>
    <r>
      <rPr>
        <b/>
        <sz val="11"/>
        <color theme="1"/>
        <rFont val="Calibri"/>
        <family val="2"/>
        <scheme val="minor"/>
      </rPr>
      <t>faltarem menos de 66 dias para o funcionário sair de férias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sob pena</t>
    </r>
  </si>
  <si>
    <t>de vencer o segundo período aquistivo. Será ALERTADO conforme abaixo:</t>
  </si>
  <si>
    <t>limite (02/05/2018) menos a data atual e informará quantos dias faltam.</t>
  </si>
  <si>
    <r>
      <t xml:space="preserve">65 dias ou menos  :                       A  cor de preenchimento da célula ficará </t>
    </r>
    <r>
      <rPr>
        <b/>
        <sz val="11"/>
        <rFont val="Calibri"/>
        <family val="2"/>
        <scheme val="minor"/>
      </rPr>
      <t>vermelha</t>
    </r>
    <r>
      <rPr>
        <sz val="11"/>
        <color theme="1"/>
        <rFont val="Calibri"/>
        <family val="2"/>
        <scheme val="minor"/>
      </rPr>
      <t xml:space="preserve"> e a cor da fonte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amarela</t>
    </r>
  </si>
  <si>
    <r>
      <t xml:space="preserve">Chapa: </t>
    </r>
    <r>
      <rPr>
        <sz val="11"/>
        <color theme="1"/>
        <rFont val="Calibri"/>
        <family val="2"/>
        <scheme val="minor"/>
      </rPr>
      <t>Digitar o número da chapa ou registro do funcionário.</t>
    </r>
  </si>
  <si>
    <r>
      <rPr>
        <b/>
        <sz val="11"/>
        <color theme="1"/>
        <rFont val="Calibri"/>
        <family val="2"/>
        <scheme val="minor"/>
      </rPr>
      <t>Data limite de gozo</t>
    </r>
    <r>
      <rPr>
        <sz val="11"/>
        <color theme="1"/>
        <rFont val="Calibri"/>
        <family val="2"/>
        <scheme val="minor"/>
      </rPr>
      <t xml:space="preserve"> - </t>
    </r>
    <r>
      <rPr>
        <u/>
        <sz val="11"/>
        <color theme="1"/>
        <rFont val="Calibri"/>
        <family val="2"/>
        <scheme val="minor"/>
      </rPr>
      <t>Ficar atento para esta data</t>
    </r>
    <r>
      <rPr>
        <sz val="11"/>
        <color theme="1"/>
        <rFont val="Calibri"/>
        <family val="2"/>
        <scheme val="minor"/>
      </rPr>
      <t xml:space="preserve">, ela informa </t>
    </r>
    <r>
      <rPr>
        <u/>
        <sz val="11"/>
        <color theme="1"/>
        <rFont val="Calibri"/>
        <family val="2"/>
        <scheme val="minor"/>
      </rPr>
      <t>o dia limite de gozo</t>
    </r>
    <r>
      <rPr>
        <sz val="11"/>
        <color theme="1"/>
        <rFont val="Calibri"/>
        <family val="2"/>
        <scheme val="minor"/>
      </rPr>
      <t xml:space="preserve">,  para </t>
    </r>
    <r>
      <rPr>
        <b/>
        <sz val="11"/>
        <color theme="1"/>
        <rFont val="Calibri"/>
        <family val="2"/>
        <scheme val="minor"/>
      </rPr>
      <t>não vencer o segundo periodo aquisitivo</t>
    </r>
  </si>
  <si>
    <t>* ATENÇÃO * - CAMPOS ABAIXO MUITO IMPORTANTES - * ANALISAR SEMPRE *</t>
  </si>
  <si>
    <r>
      <rPr>
        <b/>
        <sz val="11"/>
        <color theme="1"/>
        <rFont val="Calibri"/>
        <family val="2"/>
        <scheme val="minor"/>
      </rPr>
      <t>Situação após programação</t>
    </r>
    <r>
      <rPr>
        <sz val="11"/>
        <color theme="1"/>
        <rFont val="Calibri"/>
        <family val="2"/>
        <scheme val="minor"/>
      </rPr>
      <t xml:space="preserve"> - Caso o início de gozo já estiver excedido o 2º período aqusitivo, a planilha dará um alerta em vermelho "</t>
    </r>
    <r>
      <rPr>
        <b/>
        <sz val="11"/>
        <color rgb="FFFF0000"/>
        <rFont val="Calibri"/>
        <family val="2"/>
        <scheme val="minor"/>
      </rPr>
      <t>Férias em dobro</t>
    </r>
    <r>
      <rPr>
        <sz val="11"/>
        <color theme="1"/>
        <rFont val="Calibri"/>
        <family val="2"/>
        <scheme val="minor"/>
      </rPr>
      <t>"</t>
    </r>
  </si>
  <si>
    <r>
      <rPr>
        <b/>
        <sz val="11"/>
        <color rgb="FFFF0000"/>
        <rFont val="Calibri"/>
        <family val="2"/>
        <scheme val="minor"/>
      </rPr>
      <t>Exemplo</t>
    </r>
    <r>
      <rPr>
        <sz val="11"/>
        <color theme="1"/>
        <rFont val="Calibri"/>
        <family val="2"/>
        <scheme val="minor"/>
      </rPr>
      <t xml:space="preserve"> : As 2ª férias do funcionário irá vencer em 31/05/2018, neste caso a data limite para sair será 02/05/2018, desta forma a planilha irá utilizar a data </t>
    </r>
  </si>
  <si>
    <t>feriado ou dia de repouso semanal remunerado.</t>
  </si>
  <si>
    <r>
      <t xml:space="preserve">IMPORTANTE : </t>
    </r>
    <r>
      <rPr>
        <sz val="11"/>
        <rFont val="Calibri"/>
        <family val="2"/>
        <scheme val="minor"/>
      </rPr>
      <t xml:space="preserve">Só fique antento para o inicio da </t>
    </r>
    <r>
      <rPr>
        <u/>
        <sz val="11"/>
        <rFont val="Calibri"/>
        <family val="2"/>
        <scheme val="minor"/>
      </rPr>
      <t>data limite de gozo</t>
    </r>
    <r>
      <rPr>
        <sz val="11"/>
        <rFont val="Calibri"/>
        <family val="2"/>
        <scheme val="minor"/>
      </rPr>
      <t xml:space="preserve">, se é dia útil ou o início esta conforme Reforma Trabalhista, que são dois dias que antecede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</si>
</sst>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FF00"/>
      <name val="Verdana"/>
      <family val="2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.5"/>
      <color rgb="FF2F2F2F"/>
      <name val="Calibri"/>
      <family val="2"/>
    </font>
    <font>
      <b/>
      <sz val="7.5"/>
      <color rgb="FFFFFF00"/>
      <name val="Arial"/>
      <family val="2"/>
    </font>
    <font>
      <sz val="11"/>
      <color rgb="FFFFFF00"/>
      <name val="Calibri"/>
      <family val="2"/>
      <scheme val="minor"/>
    </font>
    <font>
      <b/>
      <sz val="8"/>
      <color rgb="FFFFFF00"/>
      <name val="Verdana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gradientFill degree="9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auto="1"/>
      </patternFill>
    </fill>
    <fill>
      <patternFill patternType="solid">
        <fgColor theme="0" tint="-0.14999847407452621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13" borderId="0" xfId="0" applyFill="1" applyProtection="1">
      <protection hidden="1"/>
    </xf>
    <xf numFmtId="0" fontId="0" fillId="13" borderId="0" xfId="0" applyFill="1" applyAlignment="1" applyProtection="1">
      <alignment vertical="center"/>
      <protection hidden="1"/>
    </xf>
    <xf numFmtId="0" fontId="1" fillId="16" borderId="29" xfId="0" applyFont="1" applyFill="1" applyBorder="1" applyAlignment="1" applyProtection="1">
      <alignment vertical="center"/>
      <protection hidden="1"/>
    </xf>
    <xf numFmtId="0" fontId="0" fillId="16" borderId="30" xfId="0" applyFill="1" applyBorder="1" applyAlignment="1" applyProtection="1">
      <alignment vertical="center"/>
      <protection hidden="1"/>
    </xf>
    <xf numFmtId="0" fontId="0" fillId="16" borderId="31" xfId="0" applyFill="1" applyBorder="1" applyAlignment="1" applyProtection="1">
      <alignment vertical="center"/>
      <protection hidden="1"/>
    </xf>
    <xf numFmtId="0" fontId="1" fillId="16" borderId="23" xfId="0" applyFont="1" applyFill="1" applyBorder="1" applyAlignment="1" applyProtection="1">
      <alignment vertical="center"/>
      <protection hidden="1"/>
    </xf>
    <xf numFmtId="0" fontId="0" fillId="16" borderId="24" xfId="0" applyFill="1" applyBorder="1" applyAlignment="1" applyProtection="1">
      <alignment vertical="center"/>
      <protection hidden="1"/>
    </xf>
    <xf numFmtId="0" fontId="0" fillId="16" borderId="25" xfId="0" applyFill="1" applyBorder="1" applyAlignment="1" applyProtection="1">
      <alignment vertical="center"/>
      <protection hidden="1"/>
    </xf>
    <xf numFmtId="0" fontId="0" fillId="16" borderId="23" xfId="0" applyFill="1" applyBorder="1" applyAlignment="1" applyProtection="1">
      <alignment vertical="center"/>
      <protection hidden="1"/>
    </xf>
    <xf numFmtId="0" fontId="0" fillId="4" borderId="23" xfId="0" applyFill="1" applyBorder="1" applyAlignment="1" applyProtection="1">
      <alignment vertical="center"/>
      <protection hidden="1"/>
    </xf>
    <xf numFmtId="0" fontId="0" fillId="4" borderId="24" xfId="0" applyFill="1" applyBorder="1" applyAlignment="1" applyProtection="1">
      <alignment vertical="center"/>
      <protection hidden="1"/>
    </xf>
    <xf numFmtId="0" fontId="0" fillId="4" borderId="25" xfId="0" applyFill="1" applyBorder="1" applyAlignment="1" applyProtection="1">
      <alignment vertical="center"/>
      <protection hidden="1"/>
    </xf>
    <xf numFmtId="0" fontId="0" fillId="4" borderId="26" xfId="0" applyFill="1" applyBorder="1" applyAlignment="1" applyProtection="1">
      <alignment vertical="center"/>
      <protection hidden="1"/>
    </xf>
    <xf numFmtId="0" fontId="0" fillId="4" borderId="27" xfId="0" applyFill="1" applyBorder="1" applyAlignment="1" applyProtection="1">
      <alignment vertical="center"/>
      <protection hidden="1"/>
    </xf>
    <xf numFmtId="0" fontId="0" fillId="4" borderId="28" xfId="0" applyFill="1" applyBorder="1" applyAlignment="1" applyProtection="1">
      <alignment vertical="center"/>
      <protection hidden="1"/>
    </xf>
    <xf numFmtId="0" fontId="0" fillId="4" borderId="32" xfId="0" applyFill="1" applyBorder="1" applyAlignment="1" applyProtection="1">
      <alignment vertical="center"/>
      <protection hidden="1"/>
    </xf>
    <xf numFmtId="0" fontId="0" fillId="4" borderId="0" xfId="0" applyFill="1" applyBorder="1" applyAlignment="1" applyProtection="1">
      <alignment vertical="center"/>
      <protection hidden="1"/>
    </xf>
    <xf numFmtId="0" fontId="0" fillId="4" borderId="33" xfId="0" applyFill="1" applyBorder="1" applyAlignment="1" applyProtection="1">
      <alignment vertical="center"/>
      <protection hidden="1"/>
    </xf>
    <xf numFmtId="0" fontId="0" fillId="4" borderId="32" xfId="0" applyFill="1" applyBorder="1" applyProtection="1">
      <protection hidden="1"/>
    </xf>
    <xf numFmtId="0" fontId="0" fillId="4" borderId="0" xfId="0" applyFill="1" applyBorder="1" applyProtection="1">
      <protection hidden="1"/>
    </xf>
    <xf numFmtId="0" fontId="0" fillId="4" borderId="33" xfId="0" applyFill="1" applyBorder="1" applyProtection="1">
      <protection hidden="1"/>
    </xf>
    <xf numFmtId="0" fontId="0" fillId="4" borderId="29" xfId="0" applyFill="1" applyBorder="1" applyAlignment="1" applyProtection="1">
      <alignment vertical="center"/>
      <protection hidden="1"/>
    </xf>
    <xf numFmtId="0" fontId="0" fillId="4" borderId="30" xfId="0" applyFill="1" applyBorder="1" applyAlignment="1" applyProtection="1">
      <alignment vertical="center"/>
      <protection hidden="1"/>
    </xf>
    <xf numFmtId="0" fontId="0" fillId="4" borderId="31" xfId="0" applyFill="1" applyBorder="1" applyAlignment="1" applyProtection="1">
      <alignment vertical="center"/>
      <protection hidden="1"/>
    </xf>
    <xf numFmtId="0" fontId="0" fillId="3" borderId="0" xfId="0" applyFill="1" applyProtection="1">
      <protection hidden="1"/>
    </xf>
    <xf numFmtId="0" fontId="0" fillId="0" borderId="0" xfId="0" applyProtection="1">
      <protection hidden="1"/>
    </xf>
    <xf numFmtId="0" fontId="3" fillId="5" borderId="7" xfId="0" applyFont="1" applyFill="1" applyBorder="1" applyAlignment="1" applyProtection="1">
      <alignment horizontal="center" vertical="center"/>
      <protection hidden="1"/>
    </xf>
    <xf numFmtId="0" fontId="1" fillId="3" borderId="13" xfId="0" applyFont="1" applyFill="1" applyBorder="1" applyAlignment="1" applyProtection="1">
      <alignment horizontal="center" vertical="center"/>
      <protection hidden="1"/>
    </xf>
    <xf numFmtId="0" fontId="0" fillId="3" borderId="9" xfId="0" applyFill="1" applyBorder="1" applyProtection="1">
      <protection hidden="1"/>
    </xf>
    <xf numFmtId="0" fontId="2" fillId="2" borderId="15" xfId="0" applyFont="1" applyFill="1" applyBorder="1" applyAlignment="1" applyProtection="1">
      <alignment horizontal="center"/>
      <protection hidden="1"/>
    </xf>
    <xf numFmtId="0" fontId="1" fillId="3" borderId="13" xfId="0" applyFont="1" applyFill="1" applyBorder="1" applyProtection="1">
      <protection hidden="1"/>
    </xf>
    <xf numFmtId="0" fontId="0" fillId="4" borderId="2" xfId="0" applyFill="1" applyBorder="1" applyAlignment="1" applyProtection="1">
      <alignment horizontal="center"/>
      <protection hidden="1"/>
    </xf>
    <xf numFmtId="0" fontId="1" fillId="4" borderId="2" xfId="0" applyFont="1" applyFill="1" applyBorder="1" applyAlignment="1" applyProtection="1">
      <alignment horizontal="center"/>
      <protection hidden="1"/>
    </xf>
    <xf numFmtId="0" fontId="1" fillId="3" borderId="16" xfId="0" applyFont="1" applyFill="1" applyBorder="1" applyAlignment="1" applyProtection="1">
      <alignment horizontal="center" vertical="center"/>
      <protection hidden="1"/>
    </xf>
    <xf numFmtId="0" fontId="0" fillId="3" borderId="0" xfId="0" applyFill="1" applyBorder="1" applyProtection="1">
      <protection hidden="1"/>
    </xf>
    <xf numFmtId="0" fontId="1" fillId="4" borderId="8" xfId="0" applyFont="1" applyFill="1" applyBorder="1" applyAlignment="1" applyProtection="1">
      <alignment horizontal="center"/>
      <protection hidden="1"/>
    </xf>
    <xf numFmtId="0" fontId="1" fillId="3" borderId="16" xfId="0" applyFont="1" applyFill="1" applyBorder="1" applyProtection="1">
      <protection hidden="1"/>
    </xf>
    <xf numFmtId="0" fontId="0" fillId="4" borderId="1" xfId="0" applyFill="1" applyBorder="1" applyAlignment="1" applyProtection="1">
      <alignment horizontal="center"/>
      <protection hidden="1"/>
    </xf>
    <xf numFmtId="0" fontId="1" fillId="4" borderId="1" xfId="0" applyFont="1" applyFill="1" applyBorder="1" applyAlignment="1" applyProtection="1">
      <alignment horizontal="center"/>
      <protection hidden="1"/>
    </xf>
    <xf numFmtId="0" fontId="1" fillId="3" borderId="17" xfId="0" applyFont="1" applyFill="1" applyBorder="1" applyAlignment="1" applyProtection="1">
      <alignment horizontal="center" vertical="center"/>
      <protection hidden="1"/>
    </xf>
    <xf numFmtId="0" fontId="0" fillId="3" borderId="18" xfId="0" applyFill="1" applyBorder="1" applyProtection="1">
      <protection hidden="1"/>
    </xf>
    <xf numFmtId="0" fontId="1" fillId="4" borderId="11" xfId="0" applyFont="1" applyFill="1" applyBorder="1" applyAlignment="1" applyProtection="1">
      <alignment horizontal="center"/>
      <protection hidden="1"/>
    </xf>
    <xf numFmtId="0" fontId="1" fillId="3" borderId="17" xfId="0" applyFont="1" applyFill="1" applyBorder="1" applyProtection="1">
      <protection hidden="1"/>
    </xf>
    <xf numFmtId="0" fontId="4" fillId="3" borderId="13" xfId="0" applyFont="1" applyFill="1" applyBorder="1" applyProtection="1">
      <protection hidden="1"/>
    </xf>
    <xf numFmtId="1" fontId="0" fillId="4" borderId="1" xfId="0" applyNumberFormat="1" applyFill="1" applyBorder="1" applyAlignment="1" applyProtection="1">
      <alignment horizontal="center"/>
      <protection hidden="1"/>
    </xf>
    <xf numFmtId="0" fontId="14" fillId="9" borderId="19" xfId="0" applyFont="1" applyFill="1" applyBorder="1" applyAlignment="1" applyProtection="1">
      <alignment horizontal="center" vertical="center"/>
      <protection hidden="1"/>
    </xf>
    <xf numFmtId="14" fontId="1" fillId="3" borderId="20" xfId="0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6" fillId="10" borderId="14" xfId="0" applyFont="1" applyFill="1" applyBorder="1" applyAlignment="1" applyProtection="1">
      <alignment horizontal="center" vertical="center"/>
      <protection hidden="1"/>
    </xf>
    <xf numFmtId="0" fontId="15" fillId="10" borderId="14" xfId="0" applyFont="1" applyFill="1" applyBorder="1" applyAlignment="1" applyProtection="1">
      <alignment horizontal="center" vertical="center"/>
      <protection hidden="1"/>
    </xf>
    <xf numFmtId="0" fontId="13" fillId="10" borderId="14" xfId="0" applyFont="1" applyFill="1" applyBorder="1" applyAlignment="1" applyProtection="1">
      <alignment horizontal="center" vertical="center"/>
      <protection hidden="1"/>
    </xf>
    <xf numFmtId="0" fontId="3" fillId="10" borderId="14" xfId="0" applyFont="1" applyFill="1" applyBorder="1" applyAlignment="1" applyProtection="1">
      <alignment horizontal="center" vertical="center"/>
      <protection hidden="1"/>
    </xf>
    <xf numFmtId="0" fontId="6" fillId="10" borderId="10" xfId="0" applyFont="1" applyFill="1" applyBorder="1" applyAlignment="1" applyProtection="1">
      <alignment horizontal="center" vertical="center"/>
      <protection hidden="1"/>
    </xf>
    <xf numFmtId="0" fontId="6" fillId="10" borderId="11" xfId="0" applyFont="1" applyFill="1" applyBorder="1" applyAlignment="1" applyProtection="1">
      <alignment horizontal="center" vertical="center"/>
      <protection hidden="1"/>
    </xf>
    <xf numFmtId="0" fontId="6" fillId="10" borderId="6" xfId="0" applyFont="1" applyFill="1" applyBorder="1" applyAlignment="1" applyProtection="1">
      <alignment horizontal="center" vertical="center"/>
      <protection hidden="1"/>
    </xf>
    <xf numFmtId="0" fontId="15" fillId="10" borderId="6" xfId="0" applyFont="1" applyFill="1" applyBorder="1" applyAlignment="1" applyProtection="1">
      <alignment horizontal="center" vertical="center"/>
      <protection hidden="1"/>
    </xf>
    <xf numFmtId="0" fontId="13" fillId="10" borderId="6" xfId="0" applyFont="1" applyFill="1" applyBorder="1" applyAlignment="1" applyProtection="1">
      <alignment horizontal="center" vertical="center"/>
      <protection hidden="1"/>
    </xf>
    <xf numFmtId="0" fontId="3" fillId="10" borderId="6" xfId="0" applyFont="1" applyFill="1" applyBorder="1" applyAlignment="1" applyProtection="1">
      <alignment horizontal="center" vertical="center"/>
      <protection hidden="1"/>
    </xf>
    <xf numFmtId="14" fontId="0" fillId="3" borderId="0" xfId="0" applyNumberFormat="1" applyFill="1" applyProtection="1">
      <protection hidden="1"/>
    </xf>
    <xf numFmtId="14" fontId="12" fillId="8" borderId="2" xfId="0" applyNumberFormat="1" applyFont="1" applyFill="1" applyBorder="1" applyAlignment="1" applyProtection="1">
      <alignment horizontal="center" vertical="center"/>
      <protection hidden="1"/>
    </xf>
    <xf numFmtId="0" fontId="0" fillId="8" borderId="2" xfId="0" applyFill="1" applyBorder="1" applyAlignment="1" applyProtection="1">
      <alignment horizontal="center" vertical="center"/>
      <protection hidden="1"/>
    </xf>
    <xf numFmtId="0" fontId="0" fillId="8" borderId="2" xfId="0" applyNumberFormat="1" applyFont="1" applyFill="1" applyBorder="1" applyAlignment="1" applyProtection="1">
      <alignment horizontal="center" vertical="center"/>
      <protection hidden="1"/>
    </xf>
    <xf numFmtId="14" fontId="1" fillId="8" borderId="2" xfId="0" applyNumberFormat="1" applyFont="1" applyFill="1" applyBorder="1" applyAlignment="1" applyProtection="1">
      <alignment horizontal="center" vertical="center"/>
      <protection hidden="1"/>
    </xf>
    <xf numFmtId="14" fontId="11" fillId="8" borderId="2" xfId="0" applyNumberFormat="1" applyFont="1" applyFill="1" applyBorder="1" applyAlignment="1" applyProtection="1">
      <alignment horizontal="center" vertical="center"/>
      <protection hidden="1"/>
    </xf>
    <xf numFmtId="0" fontId="0" fillId="8" borderId="2" xfId="0" applyFill="1" applyBorder="1" applyProtection="1">
      <protection hidden="1"/>
    </xf>
    <xf numFmtId="1" fontId="1" fillId="8" borderId="2" xfId="0" applyNumberFormat="1" applyFont="1" applyFill="1" applyBorder="1" applyAlignment="1" applyProtection="1">
      <alignment horizontal="center" vertical="center"/>
      <protection hidden="1"/>
    </xf>
    <xf numFmtId="14" fontId="12" fillId="11" borderId="2" xfId="0" applyNumberFormat="1" applyFont="1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0" fillId="12" borderId="2" xfId="0" applyNumberFormat="1" applyFont="1" applyFill="1" applyBorder="1" applyAlignment="1" applyProtection="1">
      <alignment horizontal="center" vertical="center"/>
      <protection hidden="1"/>
    </xf>
    <xf numFmtId="14" fontId="11" fillId="6" borderId="2" xfId="0" applyNumberFormat="1" applyFont="1" applyFill="1" applyBorder="1" applyAlignment="1" applyProtection="1">
      <alignment horizontal="center" vertical="center"/>
      <protection hidden="1"/>
    </xf>
    <xf numFmtId="0" fontId="0" fillId="6" borderId="1" xfId="0" applyFill="1" applyBorder="1" applyProtection="1">
      <protection hidden="1"/>
    </xf>
    <xf numFmtId="0" fontId="0" fillId="12" borderId="2" xfId="0" applyFill="1" applyBorder="1" applyAlignment="1" applyProtection="1">
      <alignment horizontal="center" vertical="center"/>
      <protection hidden="1"/>
    </xf>
    <xf numFmtId="1" fontId="1" fillId="11" borderId="2" xfId="0" applyNumberFormat="1" applyFont="1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Protection="1">
      <protection hidden="1"/>
    </xf>
    <xf numFmtId="0" fontId="0" fillId="11" borderId="2" xfId="0" applyNumberFormat="1" applyFont="1" applyFill="1" applyBorder="1" applyAlignment="1" applyProtection="1">
      <alignment horizontal="center" vertical="center"/>
      <protection hidden="1"/>
    </xf>
    <xf numFmtId="14" fontId="1" fillId="12" borderId="2" xfId="0" applyNumberFormat="1" applyFont="1" applyFill="1" applyBorder="1" applyAlignment="1" applyProtection="1">
      <alignment horizontal="center" vertical="center"/>
      <protection hidden="1"/>
    </xf>
    <xf numFmtId="0" fontId="0" fillId="11" borderId="2" xfId="0" applyFill="1" applyBorder="1" applyAlignment="1" applyProtection="1">
      <alignment horizontal="center" vertical="center"/>
      <protection hidden="1"/>
    </xf>
    <xf numFmtId="14" fontId="1" fillId="6" borderId="2" xfId="0" applyNumberFormat="1" applyFont="1" applyFill="1" applyBorder="1" applyAlignment="1" applyProtection="1">
      <alignment horizontal="center" vertic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164" fontId="9" fillId="8" borderId="2" xfId="0" applyNumberFormat="1" applyFont="1" applyFill="1" applyBorder="1" applyAlignment="1" applyProtection="1">
      <alignment horizontal="center" vertical="center"/>
      <protection locked="0"/>
    </xf>
    <xf numFmtId="0" fontId="0" fillId="8" borderId="2" xfId="0" applyFill="1" applyBorder="1" applyAlignment="1" applyProtection="1">
      <alignment vertical="center"/>
      <protection locked="0"/>
    </xf>
    <xf numFmtId="14" fontId="10" fillId="8" borderId="2" xfId="0" applyNumberFormat="1" applyFont="1" applyFill="1" applyBorder="1" applyAlignment="1" applyProtection="1">
      <alignment horizontal="center" vertical="center"/>
      <protection locked="0"/>
    </xf>
    <xf numFmtId="164" fontId="9" fillId="6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vertical="center"/>
      <protection locked="0"/>
    </xf>
    <xf numFmtId="14" fontId="10" fillId="6" borderId="1" xfId="0" applyNumberFormat="1" applyFont="1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vertical="center"/>
      <protection locked="0"/>
    </xf>
    <xf numFmtId="14" fontId="10" fillId="8" borderId="1" xfId="0" applyNumberFormat="1" applyFont="1" applyFill="1" applyBorder="1" applyAlignment="1" applyProtection="1">
      <alignment horizontal="center"/>
      <protection locked="0"/>
    </xf>
    <xf numFmtId="14" fontId="8" fillId="6" borderId="1" xfId="0" applyNumberFormat="1" applyFont="1" applyFill="1" applyBorder="1" applyAlignment="1" applyProtection="1">
      <alignment horizontal="center"/>
      <protection locked="0"/>
    </xf>
    <xf numFmtId="0" fontId="0" fillId="8" borderId="2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14" fontId="0" fillId="8" borderId="1" xfId="0" applyNumberFormat="1" applyFill="1" applyBorder="1" applyAlignment="1" applyProtection="1">
      <alignment horizontal="center"/>
      <protection locked="0"/>
    </xf>
    <xf numFmtId="14" fontId="0" fillId="6" borderId="1" xfId="0" applyNumberFormat="1" applyFill="1" applyBorder="1" applyAlignment="1" applyProtection="1">
      <alignment horizontal="center"/>
      <protection locked="0"/>
    </xf>
    <xf numFmtId="0" fontId="4" fillId="7" borderId="13" xfId="0" applyFont="1" applyFill="1" applyBorder="1" applyProtection="1">
      <protection hidden="1"/>
    </xf>
    <xf numFmtId="0" fontId="19" fillId="7" borderId="9" xfId="0" applyFont="1" applyFill="1" applyBorder="1" applyProtection="1">
      <protection hidden="1"/>
    </xf>
    <xf numFmtId="0" fontId="0" fillId="7" borderId="9" xfId="0" applyFill="1" applyBorder="1" applyProtection="1">
      <protection hidden="1"/>
    </xf>
    <xf numFmtId="0" fontId="0" fillId="7" borderId="34" xfId="0" applyFill="1" applyBorder="1" applyProtection="1">
      <protection hidden="1"/>
    </xf>
    <xf numFmtId="0" fontId="0" fillId="7" borderId="17" xfId="0" applyFill="1" applyBorder="1" applyProtection="1">
      <protection hidden="1"/>
    </xf>
    <xf numFmtId="0" fontId="0" fillId="7" borderId="18" xfId="0" applyFill="1" applyBorder="1" applyProtection="1">
      <protection hidden="1"/>
    </xf>
    <xf numFmtId="0" fontId="0" fillId="7" borderId="35" xfId="0" applyFill="1" applyBorder="1" applyProtection="1">
      <protection hidden="1"/>
    </xf>
    <xf numFmtId="0" fontId="3" fillId="14" borderId="13" xfId="0" applyFont="1" applyFill="1" applyBorder="1" applyAlignment="1" applyProtection="1">
      <alignment horizontal="center" vertical="center"/>
      <protection hidden="1"/>
    </xf>
    <xf numFmtId="0" fontId="3" fillId="14" borderId="9" xfId="0" applyFont="1" applyFill="1" applyBorder="1" applyAlignment="1" applyProtection="1">
      <alignment horizontal="center" vertical="center"/>
      <protection hidden="1"/>
    </xf>
    <xf numFmtId="0" fontId="3" fillId="14" borderId="34" xfId="0" applyFont="1" applyFill="1" applyBorder="1" applyAlignment="1" applyProtection="1">
      <alignment horizontal="center" vertical="center"/>
      <protection hidden="1"/>
    </xf>
    <xf numFmtId="0" fontId="18" fillId="15" borderId="3" xfId="0" applyFont="1" applyFill="1" applyBorder="1" applyAlignment="1" applyProtection="1">
      <alignment horizontal="center" vertical="center"/>
      <protection hidden="1"/>
    </xf>
    <xf numFmtId="0" fontId="18" fillId="15" borderId="4" xfId="0" applyFont="1" applyFill="1" applyBorder="1" applyAlignment="1" applyProtection="1">
      <alignment horizontal="center" vertical="center"/>
      <protection hidden="1"/>
    </xf>
    <xf numFmtId="0" fontId="18" fillId="15" borderId="5" xfId="0" applyFont="1" applyFill="1" applyBorder="1" applyAlignment="1" applyProtection="1">
      <alignment horizontal="center" vertical="center"/>
      <protection hidden="1"/>
    </xf>
    <xf numFmtId="0" fontId="3" fillId="10" borderId="3" xfId="0" applyFont="1" applyFill="1" applyBorder="1" applyAlignment="1" applyProtection="1">
      <alignment horizontal="center" vertical="center"/>
      <protection hidden="1"/>
    </xf>
    <xf numFmtId="0" fontId="3" fillId="10" borderId="4" xfId="0" applyFont="1" applyFill="1" applyBorder="1" applyAlignment="1" applyProtection="1">
      <alignment horizontal="center" vertical="center"/>
      <protection hidden="1"/>
    </xf>
    <xf numFmtId="0" fontId="3" fillId="10" borderId="5" xfId="0" applyFont="1" applyFill="1" applyBorder="1" applyAlignment="1" applyProtection="1">
      <alignment horizontal="center" vertical="center"/>
      <protection hidden="1"/>
    </xf>
    <xf numFmtId="0" fontId="5" fillId="7" borderId="3" xfId="0" applyFont="1" applyFill="1" applyBorder="1" applyAlignment="1" applyProtection="1">
      <alignment horizontal="center" vertical="center"/>
      <protection hidden="1"/>
    </xf>
    <xf numFmtId="0" fontId="5" fillId="7" borderId="4" xfId="0" applyFont="1" applyFill="1" applyBorder="1" applyAlignment="1" applyProtection="1">
      <alignment horizontal="center" vertical="center"/>
      <protection hidden="1"/>
    </xf>
    <xf numFmtId="0" fontId="5" fillId="7" borderId="5" xfId="0" applyFont="1" applyFill="1" applyBorder="1" applyAlignment="1" applyProtection="1">
      <alignment horizontal="center" vertical="center"/>
      <protection hidden="1"/>
    </xf>
    <xf numFmtId="0" fontId="6" fillId="10" borderId="21" xfId="0" applyFont="1" applyFill="1" applyBorder="1" applyAlignment="1" applyProtection="1">
      <alignment horizontal="center" vertical="center"/>
      <protection hidden="1"/>
    </xf>
    <xf numFmtId="0" fontId="6" fillId="10" borderId="15" xfId="0" applyFont="1" applyFill="1" applyBorder="1" applyAlignment="1" applyProtection="1">
      <alignment horizontal="center" vertical="center"/>
      <protection hidden="1"/>
    </xf>
    <xf numFmtId="0" fontId="6" fillId="10" borderId="19" xfId="0" applyFont="1" applyFill="1" applyBorder="1" applyAlignment="1" applyProtection="1">
      <alignment horizontal="center" vertical="center"/>
      <protection hidden="1"/>
    </xf>
    <xf numFmtId="0" fontId="6" fillId="10" borderId="20" xfId="0" applyFont="1" applyFill="1" applyBorder="1" applyAlignment="1" applyProtection="1">
      <alignment horizontal="center" vertical="center"/>
      <protection hidden="1"/>
    </xf>
    <xf numFmtId="0" fontId="6" fillId="10" borderId="19" xfId="0" applyFont="1" applyFill="1" applyBorder="1" applyAlignment="1" applyProtection="1">
      <alignment horizontal="left" vertical="center"/>
      <protection hidden="1"/>
    </xf>
    <xf numFmtId="0" fontId="6" fillId="10" borderId="20" xfId="0" applyFont="1" applyFill="1" applyBorder="1" applyAlignment="1" applyProtection="1">
      <alignment horizontal="left" vertical="center"/>
      <protection hidden="1"/>
    </xf>
    <xf numFmtId="0" fontId="6" fillId="10" borderId="22" xfId="0" applyFont="1" applyFill="1" applyBorder="1" applyAlignment="1" applyProtection="1">
      <alignment horizontal="center" vertical="center"/>
      <protection hidden="1"/>
    </xf>
    <xf numFmtId="0" fontId="6" fillId="10" borderId="12" xfId="0" applyFont="1" applyFill="1" applyBorder="1" applyAlignment="1" applyProtection="1">
      <alignment horizontal="center" vertical="center"/>
      <protection hidden="1"/>
    </xf>
    <xf numFmtId="0" fontId="3" fillId="5" borderId="3" xfId="0" applyFont="1" applyFill="1" applyBorder="1" applyAlignment="1" applyProtection="1">
      <alignment horizontal="center" vertical="center"/>
      <protection hidden="1"/>
    </xf>
    <xf numFmtId="0" fontId="3" fillId="5" borderId="4" xfId="0" applyFont="1" applyFill="1" applyBorder="1" applyAlignment="1" applyProtection="1">
      <alignment horizontal="center" vertical="center"/>
      <protection hidden="1"/>
    </xf>
    <xf numFmtId="0" fontId="3" fillId="5" borderId="5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/>
      <protection hidden="1"/>
    </xf>
    <xf numFmtId="0" fontId="2" fillId="2" borderId="5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12">
    <dxf>
      <font>
        <b/>
        <i/>
        <color rgb="FFFFFF00"/>
      </font>
      <fill>
        <patternFill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  <vertical/>
        <horizontal/>
      </border>
    </dxf>
    <dxf>
      <font>
        <b/>
        <i/>
        <color theme="8" tint="-0.499984740745262"/>
      </font>
    </dxf>
    <dxf>
      <font>
        <b/>
        <i/>
        <color rgb="FFEBE600"/>
      </font>
    </dxf>
    <dxf>
      <font>
        <b/>
        <i/>
      </font>
      <fill>
        <gradientFill degree="90">
          <stop position="0">
            <color rgb="FFFF0000"/>
          </stop>
          <stop position="1">
            <color rgb="FFFFFF00"/>
          </stop>
        </gradient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gradientFill degree="90">
          <stop position="0">
            <color rgb="FFFF0000"/>
          </stop>
          <stop position="1">
            <color rgb="FFFF0000"/>
          </stop>
        </gradientFill>
      </fill>
    </dxf>
    <dxf>
      <font>
        <color theme="3" tint="-0.499984740745262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/>
        <color theme="9" tint="-0.499984740745262"/>
      </font>
    </dxf>
    <dxf>
      <font>
        <b/>
        <i/>
        <color theme="8" tint="-0.499984740745262"/>
      </font>
    </dxf>
    <dxf>
      <font>
        <b/>
        <i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EB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16" fmlaLink="Parâmetros!$I$4" fmlaRange="Parâmetros!$J$3:$J$4" noThreeD="1" sel="2" val="0"/>
</file>

<file path=xl/ctrlProps/ctrlProp2.xml><?xml version="1.0" encoding="utf-8"?>
<formControlPr xmlns="http://schemas.microsoft.com/office/spreadsheetml/2009/9/main" objectType="Drop" dropStyle="combo" dx="16" fmlaLink="Parâmetros!$I$7" fmlaRange="Parâmetros!$J$6:$J$7" noThreeD="1" sel="2" val="0"/>
</file>

<file path=xl/ctrlProps/ctrlProp3.xml><?xml version="1.0" encoding="utf-8"?>
<formControlPr xmlns="http://schemas.microsoft.com/office/spreadsheetml/2009/9/main" objectType="Drop" dropStyle="combo" dx="16" fmlaLink="Parâmetros!$I$10" fmlaRange="Parâmetros!$J$9:$J$10" noThreeD="1" sel="2" val="0"/>
</file>

<file path=xl/ctrlProps/ctrlProp4.xml><?xml version="1.0" encoding="utf-8"?>
<formControlPr xmlns="http://schemas.microsoft.com/office/spreadsheetml/2009/9/main" objectType="Drop" dropStyle="combo" dx="16" fmlaLink="Parâmetros!$I$13" fmlaRange="Parâmetros!$J$12:$J$13" noThreeD="1" sel="2" val="0"/>
</file>

<file path=xl/ctrlProps/ctrlProp5.xml><?xml version="1.0" encoding="utf-8"?>
<formControlPr xmlns="http://schemas.microsoft.com/office/spreadsheetml/2009/9/main" objectType="Drop" dropStyle="combo" dx="16" fmlaLink="Parâmetros!$I$16" fmlaRange="Parâmetros!$J$15:$J$16" noThreeD="1" sel="2" val="0"/>
</file>

<file path=xl/ctrlProps/ctrlProp6.xml><?xml version="1.0" encoding="utf-8"?>
<formControlPr xmlns="http://schemas.microsoft.com/office/spreadsheetml/2009/9/main" objectType="Drop" dropStyle="combo" dx="16" fmlaLink="Parâmetros!$I$19" fmlaRange="Parâmetros!$J$18:$J$19" noThreeD="1" sel="2" val="0"/>
</file>

<file path=xl/ctrlProps/ctrlProp7.xml><?xml version="1.0" encoding="utf-8"?>
<formControlPr xmlns="http://schemas.microsoft.com/office/spreadsheetml/2009/9/main" objectType="Drop" dropStyle="combo" dx="16" fmlaLink="Parâmetros!$I$22" fmlaRange="Parâmetros!$J$21:$J$22" noThreeD="1" sel="2" val="0"/>
</file>

<file path=xl/ctrlProps/ctrlProp8.xml><?xml version="1.0" encoding="utf-8"?>
<formControlPr xmlns="http://schemas.microsoft.com/office/spreadsheetml/2009/9/main" objectType="Drop" dropStyle="combo" dx="16" fmlaLink="Parâmetros!$I$25" fmlaRange="Parâmetros!$J$24:$J$25" noThreeD="1" sel="2" val="0"/>
</file>

<file path=xl/ctrlProps/ctrlProp9.xml><?xml version="1.0" encoding="utf-8"?>
<formControlPr xmlns="http://schemas.microsoft.com/office/spreadsheetml/2009/9/main" objectType="Drop" dropStyle="combo" dx="16" fmlaLink="Parâmetros!$L$4" fmlaRange="Parâmetros!$M$3:$M$4" noThreeD="1" sel="2" val="0"/>
</file>

<file path=xl/ctrlProps/ctrlProp10.xml><?xml version="1.0" encoding="utf-8"?>
<formControlPr xmlns="http://schemas.microsoft.com/office/spreadsheetml/2009/9/main" objectType="Drop" dropStyle="combo" dx="16" fmlaLink="Parâmetros!$L$7" fmlaRange="Parâmetros!$M$6:$M$7" noThreeD="1" sel="2" val="0"/>
</file>

<file path=xl/ctrlProps/ctrlProp11.xml><?xml version="1.0" encoding="utf-8"?>
<formControlPr xmlns="http://schemas.microsoft.com/office/spreadsheetml/2009/9/main" objectType="Drop" dropStyle="combo" dx="16" fmlaLink="Parâmetros!$L$10" fmlaRange="Parâmetros!$M$9:$M$10" noThreeD="1" sel="2" val="0"/>
</file>

<file path=xl/ctrlProps/ctrlProp12.xml><?xml version="1.0" encoding="utf-8"?>
<formControlPr xmlns="http://schemas.microsoft.com/office/spreadsheetml/2009/9/main" objectType="Drop" dropStyle="combo" dx="16" fmlaLink="Parâmetros!$L$13" fmlaRange="Parâmetros!$M$12:$M$13" noThreeD="1" sel="2" val="0"/>
</file>

<file path=xl/ctrlProps/ctrlProp13.xml><?xml version="1.0" encoding="utf-8"?>
<formControlPr xmlns="http://schemas.microsoft.com/office/spreadsheetml/2009/9/main" objectType="Drop" dropStyle="combo" dx="16" fmlaLink="Parâmetros!$L$16" fmlaRange="Parâmetros!$M$15:$M$16" noThreeD="1" sel="2" val="0"/>
</file>

<file path=xl/ctrlProps/ctrlProp14.xml><?xml version="1.0" encoding="utf-8"?>
<formControlPr xmlns="http://schemas.microsoft.com/office/spreadsheetml/2009/9/main" objectType="Drop" dropStyle="combo" dx="16" fmlaLink="Parâmetros!$L$19" fmlaRange="Parâmetros!$M$18:$M$19" noThreeD="1" sel="2" val="0"/>
</file>

<file path=xl/ctrlProps/ctrlProp15.xml><?xml version="1.0" encoding="utf-8"?>
<formControlPr xmlns="http://schemas.microsoft.com/office/spreadsheetml/2009/9/main" objectType="Drop" dropStyle="combo" dx="16" fmlaLink="Parâmetros!$L$22" fmlaRange="Parâmetros!$M$21:$M$22" noThreeD="1" sel="2" val="0"/>
</file>

<file path=xl/ctrlProps/ctrlProp16.xml><?xml version="1.0" encoding="utf-8"?>
<formControlPr xmlns="http://schemas.microsoft.com/office/spreadsheetml/2009/9/main" objectType="Drop" dropStyle="combo" dx="16" fmlaLink="Parâmetros!$L$25" fmlaRange="Parâmetros!$M$24:$M$25" noThreeD="1" sel="2" val="0"/>
</file>

<file path=xl/ctrlProps/ctrlProp17.xml><?xml version="1.0" encoding="utf-8"?>
<formControlPr xmlns="http://schemas.microsoft.com/office/spreadsheetml/2009/9/main" objectType="Drop" dropStyle="combo" dx="16" fmlaLink="Parâmetros!$O$4" fmlaRange="Parâmetros!$P$3:$P$4" noThreeD="1" sel="2" val="0"/>
</file>

<file path=xl/ctrlProps/ctrlProp18.xml><?xml version="1.0" encoding="utf-8"?>
<formControlPr xmlns="http://schemas.microsoft.com/office/spreadsheetml/2009/9/main" objectType="Drop" dropStyle="combo" dx="16" fmlaLink="Parâmetros!$O$7" fmlaRange="Parâmetros!$P$6:$P$7" noThreeD="1" sel="2" val="0"/>
</file>

<file path=xl/ctrlProps/ctrlProp19.xml><?xml version="1.0" encoding="utf-8"?>
<formControlPr xmlns="http://schemas.microsoft.com/office/spreadsheetml/2009/9/main" objectType="Drop" dropStyle="combo" dx="16" fmlaLink="Parâmetros!$O$10" fmlaRange="Parâmetros!$P$9:$P$10" noThreeD="1" sel="2" val="0"/>
</file>

<file path=xl/ctrlProps/ctrlProp20.xml><?xml version="1.0" encoding="utf-8"?>
<formControlPr xmlns="http://schemas.microsoft.com/office/spreadsheetml/2009/9/main" objectType="Drop" dropStyle="combo" dx="16" fmlaLink="Parâmetros!$O$13" fmlaRange="Parâmetros!$P$12:$P$13" noThreeD="1" sel="2" val="0"/>
</file>

<file path=xl/ctrlProps/ctrlProp21.xml><?xml version="1.0" encoding="utf-8"?>
<formControlPr xmlns="http://schemas.microsoft.com/office/spreadsheetml/2009/9/main" objectType="Drop" dropStyle="combo" dx="16" fmlaLink="Parâmetros!$O$16" fmlaRange="Parâmetros!$P$15:$P$16" noThreeD="1" sel="2" val="0"/>
</file>

<file path=xl/ctrlProps/ctrlProp22.xml><?xml version="1.0" encoding="utf-8"?>
<formControlPr xmlns="http://schemas.microsoft.com/office/spreadsheetml/2009/9/main" objectType="Drop" dropStyle="combo" dx="16" fmlaLink="Parâmetros!$O$19" fmlaRange="Parâmetros!$P$18:$P$19" noThreeD="1" sel="2" val="0"/>
</file>

<file path=xl/ctrlProps/ctrlProp23.xml><?xml version="1.0" encoding="utf-8"?>
<formControlPr xmlns="http://schemas.microsoft.com/office/spreadsheetml/2009/9/main" objectType="Drop" dropStyle="combo" dx="16" fmlaLink="Parâmetros!$O$22" fmlaRange="Parâmetros!$P$21:$P$22" noThreeD="1" sel="2" val="0"/>
</file>

<file path=xl/ctrlProps/ctrlProp24.xml><?xml version="1.0" encoding="utf-8"?>
<formControlPr xmlns="http://schemas.microsoft.com/office/spreadsheetml/2009/9/main" objectType="Drop" dropStyle="combo" dx="16" fmlaLink="Parâmetros!$O$25" fmlaRange="Parâmetros!$P$24:$P$25" noThreeD="1" sel="2" val="0"/>
</file>

<file path=xl/ctrlProps/ctrlProp25.xml><?xml version="1.0" encoding="utf-8"?>
<formControlPr xmlns="http://schemas.microsoft.com/office/spreadsheetml/2009/9/main" objectType="Drop" dropStyle="combo" dx="16" fmlaLink="Parâmetros!$R$4" fmlaRange="Parâmetros!$S$3:$S$4" noThreeD="1" sel="2" val="0"/>
</file>

<file path=xl/ctrlProps/ctrlProp26.xml><?xml version="1.0" encoding="utf-8"?>
<formControlPr xmlns="http://schemas.microsoft.com/office/spreadsheetml/2009/9/main" objectType="Drop" dropStyle="combo" dx="16" fmlaLink="Parâmetros!$R$7" fmlaRange="Parâmetros!$S$6:$S$7" noThreeD="1" sel="2" val="0"/>
</file>

<file path=xl/ctrlProps/ctrlProp27.xml><?xml version="1.0" encoding="utf-8"?>
<formControlPr xmlns="http://schemas.microsoft.com/office/spreadsheetml/2009/9/main" objectType="Drop" dropStyle="combo" dx="16" fmlaLink="Parâmetros!$R$10" fmlaRange="Parâmetros!$S$9:$S$10" noThreeD="1" sel="2" val="0"/>
</file>

<file path=xl/ctrlProps/ctrlProp28.xml><?xml version="1.0" encoding="utf-8"?>
<formControlPr xmlns="http://schemas.microsoft.com/office/spreadsheetml/2009/9/main" objectType="Drop" dropStyle="combo" dx="16" fmlaLink="Parâmetros!$R$13" fmlaRange="Parâmetros!$S$12:$S$13" noThreeD="1" sel="2" val="0"/>
</file>

<file path=xl/ctrlProps/ctrlProp29.xml><?xml version="1.0" encoding="utf-8"?>
<formControlPr xmlns="http://schemas.microsoft.com/office/spreadsheetml/2009/9/main" objectType="Drop" dropStyle="combo" dx="16" fmlaLink="Parâmetros!$R$16" fmlaRange="Parâmetros!$S$15:$S$16" noThreeD="1" sel="2" val="0"/>
</file>

<file path=xl/ctrlProps/ctrlProp30.xml><?xml version="1.0" encoding="utf-8"?>
<formControlPr xmlns="http://schemas.microsoft.com/office/spreadsheetml/2009/9/main" objectType="Drop" dropStyle="combo" dx="16" fmlaLink="Parâmetros!$R$19" fmlaRange="Parâmetros!$S$18:$S$19" noThreeD="1" sel="2" val="0"/>
</file>

<file path=xl/ctrlProps/ctrlProp31.xml><?xml version="1.0" encoding="utf-8"?>
<formControlPr xmlns="http://schemas.microsoft.com/office/spreadsheetml/2009/9/main" objectType="Drop" dropStyle="combo" dx="16" fmlaLink="Parâmetros!$R$22" fmlaRange="Parâmetros!$S$21:$S$22" noThreeD="1" sel="2" val="0"/>
</file>

<file path=xl/ctrlProps/ctrlProp32.xml><?xml version="1.0" encoding="utf-8"?>
<formControlPr xmlns="http://schemas.microsoft.com/office/spreadsheetml/2009/9/main" objectType="Drop" dropStyle="combo" dx="16" fmlaLink="Parâmetros!$R$25" fmlaRange="Parâmetros!$S$24:$S$25" noThreeD="1" sel="2" val="0"/>
</file>

<file path=xl/ctrlProps/ctrlProp33.xml><?xml version="1.0" encoding="utf-8"?>
<formControlPr xmlns="http://schemas.microsoft.com/office/spreadsheetml/2009/9/main" objectType="Drop" dropStyle="combo" dx="16" fmlaLink="Parâmetros!$U$4" fmlaRange="Parâmetros!$V$3:$V$4" noThreeD="1" sel="2" val="0"/>
</file>

<file path=xl/ctrlProps/ctrlProp34.xml><?xml version="1.0" encoding="utf-8"?>
<formControlPr xmlns="http://schemas.microsoft.com/office/spreadsheetml/2009/9/main" objectType="Drop" dropStyle="combo" dx="16" fmlaLink="Parâmetros!$U$7" fmlaRange="Parâmetros!$V$6:$V$7" noThreeD="1" sel="2" val="0"/>
</file>

<file path=xl/ctrlProps/ctrlProp35.xml><?xml version="1.0" encoding="utf-8"?>
<formControlPr xmlns="http://schemas.microsoft.com/office/spreadsheetml/2009/9/main" objectType="Drop" dropStyle="combo" dx="16" fmlaLink="Parâmetros!$U$10" fmlaRange="Parâmetros!$V$9:$V$10" noThreeD="1" sel="2" val="0"/>
</file>

<file path=xl/ctrlProps/ctrlProp36.xml><?xml version="1.0" encoding="utf-8"?>
<formControlPr xmlns="http://schemas.microsoft.com/office/spreadsheetml/2009/9/main" objectType="Drop" dropStyle="combo" dx="16" fmlaLink="Parâmetros!$U$13" fmlaRange="Parâmetros!$V$12:$V$13" noThreeD="1" sel="2" val="0"/>
</file>

<file path=xl/ctrlProps/ctrlProp37.xml><?xml version="1.0" encoding="utf-8"?>
<formControlPr xmlns="http://schemas.microsoft.com/office/spreadsheetml/2009/9/main" objectType="Drop" dropStyle="combo" dx="16" fmlaLink="Parâmetros!$U$16" fmlaRange="Parâmetros!$V$15:$V$16" noThreeD="1" sel="2" val="0"/>
</file>

<file path=xl/ctrlProps/ctrlProp38.xml><?xml version="1.0" encoding="utf-8"?>
<formControlPr xmlns="http://schemas.microsoft.com/office/spreadsheetml/2009/9/main" objectType="Drop" dropStyle="combo" dx="16" fmlaLink="Parâmetros!$U$19" fmlaRange="Parâmetros!$V$18:$V$19" noThreeD="1" sel="2" val="0"/>
</file>

<file path=xl/ctrlProps/ctrlProp39.xml><?xml version="1.0" encoding="utf-8"?>
<formControlPr xmlns="http://schemas.microsoft.com/office/spreadsheetml/2009/9/main" objectType="Drop" dropStyle="combo" dx="16" fmlaLink="Parâmetros!$U$22" fmlaRange="Parâmetros!$V$21:$V$22" noThreeD="1" sel="2" val="0"/>
</file>

<file path=xl/ctrlProps/ctrlProp40.xml><?xml version="1.0" encoding="utf-8"?>
<formControlPr xmlns="http://schemas.microsoft.com/office/spreadsheetml/2009/9/main" objectType="Drop" dropStyle="combo" dx="16" fmlaLink="Parâmetros!$U$25" fmlaRange="Parâmetros!$V$24:$V$25" noThreeD="1" sel="2" val="0"/>
</file>

<file path=xl/ctrlProps/ctrlProp41.xml><?xml version="1.0" encoding="utf-8"?>
<formControlPr xmlns="http://schemas.microsoft.com/office/spreadsheetml/2009/9/main" objectType="Drop" dropStyle="combo" dx="16" fmlaLink="Parâmetros!$X$4" fmlaRange="Parâmetros!$Y$3:$Y$4" noThreeD="1" sel="2" val="0"/>
</file>

<file path=xl/ctrlProps/ctrlProp42.xml><?xml version="1.0" encoding="utf-8"?>
<formControlPr xmlns="http://schemas.microsoft.com/office/spreadsheetml/2009/9/main" objectType="Drop" dropStyle="combo" dx="16" fmlaLink="Parâmetros!$X$7" fmlaRange="Parâmetros!$Y$6:$Y$7" noThreeD="1" sel="2" val="0"/>
</file>

<file path=xl/ctrlProps/ctrlProp43.xml><?xml version="1.0" encoding="utf-8"?>
<formControlPr xmlns="http://schemas.microsoft.com/office/spreadsheetml/2009/9/main" objectType="Drop" dropStyle="combo" dx="16" fmlaLink="Parâmetros!$X$10" fmlaRange="Parâmetros!$Y$9:$Y$10" noThreeD="1" sel="2" val="0"/>
</file>

<file path=xl/ctrlProps/ctrlProp44.xml><?xml version="1.0" encoding="utf-8"?>
<formControlPr xmlns="http://schemas.microsoft.com/office/spreadsheetml/2009/9/main" objectType="Drop" dropStyle="combo" dx="16" fmlaLink="Parâmetros!$X$13" fmlaRange="Parâmetros!$Y$12:$Y$13" noThreeD="1" sel="2" val="0"/>
</file>

<file path=xl/ctrlProps/ctrlProp45.xml><?xml version="1.0" encoding="utf-8"?>
<formControlPr xmlns="http://schemas.microsoft.com/office/spreadsheetml/2009/9/main" objectType="Drop" dropStyle="combo" dx="16" fmlaLink="Parâmetros!$X$16" fmlaRange="Parâmetros!$Y$15:$Y$16" noThreeD="1" sel="2" val="0"/>
</file>

<file path=xl/ctrlProps/ctrlProp46.xml><?xml version="1.0" encoding="utf-8"?>
<formControlPr xmlns="http://schemas.microsoft.com/office/spreadsheetml/2009/9/main" objectType="Drop" dropStyle="combo" dx="16" fmlaLink="Parâmetros!$X$19" fmlaRange="Parâmetros!$Y$18:$Y$19" noThreeD="1" sel="2" val="0"/>
</file>

<file path=xl/ctrlProps/ctrlProp47.xml><?xml version="1.0" encoding="utf-8"?>
<formControlPr xmlns="http://schemas.microsoft.com/office/spreadsheetml/2009/9/main" objectType="Drop" dropStyle="combo" dx="16" fmlaLink="Parâmetros!$X$22" fmlaRange="Parâmetros!$Y$21:$Y$22" noThreeD="1" sel="2" val="0"/>
</file>

<file path=xl/ctrlProps/ctrlProp48.xml><?xml version="1.0" encoding="utf-8"?>
<formControlPr xmlns="http://schemas.microsoft.com/office/spreadsheetml/2009/9/main" objectType="Drop" dropStyle="combo" dx="16" fmlaLink="Parâmetros!$X$25" fmlaRange="Parâmetros!$Y$24:$Y$25" noThreeD="1" sel="2" val="0"/>
</file>

<file path=xl/ctrlProps/ctrlProp49.xml><?xml version="1.0" encoding="utf-8"?>
<formControlPr xmlns="http://schemas.microsoft.com/office/spreadsheetml/2009/9/main" objectType="Drop" dropStyle="combo" dx="16" fmlaLink="Parâmetros!$AA$4" fmlaRange="Parâmetros!$AB$3:$AB$4" noThreeD="1" sel="2" val="0"/>
</file>

<file path=xl/ctrlProps/ctrlProp50.xml><?xml version="1.0" encoding="utf-8"?>
<formControlPr xmlns="http://schemas.microsoft.com/office/spreadsheetml/2009/9/main" objectType="Drop" dropStyle="combo" dx="16" fmlaLink="Parâmetros!$AA$7" fmlaRange="Parâmetros!$AB$6:$AB$7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Controle Vencimento F&#233;rias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Orienta&#231;&#245;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17</xdr:row>
      <xdr:rowOff>49711</xdr:rowOff>
    </xdr:from>
    <xdr:to>
      <xdr:col>4</xdr:col>
      <xdr:colOff>368808</xdr:colOff>
      <xdr:row>17</xdr:row>
      <xdr:rowOff>140790</xdr:rowOff>
    </xdr:to>
    <xdr:sp macro="" textlink="">
      <xdr:nvSpPr>
        <xdr:cNvPr id="2" name="Seta para a direita 1"/>
        <xdr:cNvSpPr/>
      </xdr:nvSpPr>
      <xdr:spPr>
        <a:xfrm>
          <a:off x="2419350" y="3345361"/>
          <a:ext cx="387858" cy="91079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590550</xdr:colOff>
      <xdr:row>16</xdr:row>
      <xdr:rowOff>68761</xdr:rowOff>
    </xdr:from>
    <xdr:to>
      <xdr:col>4</xdr:col>
      <xdr:colOff>368808</xdr:colOff>
      <xdr:row>16</xdr:row>
      <xdr:rowOff>159840</xdr:rowOff>
    </xdr:to>
    <xdr:sp macro="" textlink="">
      <xdr:nvSpPr>
        <xdr:cNvPr id="3" name="Seta para a direita 2"/>
        <xdr:cNvSpPr/>
      </xdr:nvSpPr>
      <xdr:spPr>
        <a:xfrm>
          <a:off x="2419350" y="3173911"/>
          <a:ext cx="387858" cy="91079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123824</xdr:colOff>
      <xdr:row>0</xdr:row>
      <xdr:rowOff>95249</xdr:rowOff>
    </xdr:from>
    <xdr:to>
      <xdr:col>19</xdr:col>
      <xdr:colOff>57149</xdr:colOff>
      <xdr:row>5</xdr:row>
      <xdr:rowOff>123824</xdr:rowOff>
    </xdr:to>
    <xdr:sp macro="" textlink="">
      <xdr:nvSpPr>
        <xdr:cNvPr id="5" name="Bisel 4">
          <a:hlinkClick xmlns:r="http://schemas.openxmlformats.org/officeDocument/2006/relationships" r:id="rId1"/>
        </xdr:cNvPr>
        <xdr:cNvSpPr/>
      </xdr:nvSpPr>
      <xdr:spPr>
        <a:xfrm>
          <a:off x="10039349" y="95249"/>
          <a:ext cx="1152525" cy="885825"/>
        </a:xfrm>
        <a:prstGeom prst="bevel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FF00"/>
              </a:solidFill>
            </a:rPr>
            <a:t>Controle</a:t>
          </a:r>
          <a:r>
            <a:rPr lang="pt-BR" sz="1100" b="1" baseline="0">
              <a:solidFill>
                <a:srgbClr val="FFFF00"/>
              </a:solidFill>
            </a:rPr>
            <a:t> Vencimento de Férias</a:t>
          </a:r>
          <a:endParaRPr lang="pt-BR" sz="11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5</xdr:row>
          <xdr:rowOff>19050</xdr:rowOff>
        </xdr:from>
        <xdr:to>
          <xdr:col>11</xdr:col>
          <xdr:colOff>685800</xdr:colOff>
          <xdr:row>5</xdr:row>
          <xdr:rowOff>171450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6</xdr:row>
          <xdr:rowOff>9525</xdr:rowOff>
        </xdr:from>
        <xdr:to>
          <xdr:col>11</xdr:col>
          <xdr:colOff>685800</xdr:colOff>
          <xdr:row>6</xdr:row>
          <xdr:rowOff>161925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7</xdr:row>
          <xdr:rowOff>9525</xdr:rowOff>
        </xdr:from>
        <xdr:to>
          <xdr:col>11</xdr:col>
          <xdr:colOff>685800</xdr:colOff>
          <xdr:row>7</xdr:row>
          <xdr:rowOff>161925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8</xdr:row>
          <xdr:rowOff>9525</xdr:rowOff>
        </xdr:from>
        <xdr:to>
          <xdr:col>11</xdr:col>
          <xdr:colOff>685800</xdr:colOff>
          <xdr:row>8</xdr:row>
          <xdr:rowOff>161925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9</xdr:row>
          <xdr:rowOff>19050</xdr:rowOff>
        </xdr:from>
        <xdr:to>
          <xdr:col>11</xdr:col>
          <xdr:colOff>685800</xdr:colOff>
          <xdr:row>9</xdr:row>
          <xdr:rowOff>171450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10</xdr:row>
          <xdr:rowOff>19050</xdr:rowOff>
        </xdr:from>
        <xdr:to>
          <xdr:col>11</xdr:col>
          <xdr:colOff>685800</xdr:colOff>
          <xdr:row>10</xdr:row>
          <xdr:rowOff>171450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11</xdr:row>
          <xdr:rowOff>19050</xdr:rowOff>
        </xdr:from>
        <xdr:to>
          <xdr:col>11</xdr:col>
          <xdr:colOff>685800</xdr:colOff>
          <xdr:row>11</xdr:row>
          <xdr:rowOff>171450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12</xdr:row>
          <xdr:rowOff>19050</xdr:rowOff>
        </xdr:from>
        <xdr:to>
          <xdr:col>11</xdr:col>
          <xdr:colOff>685800</xdr:colOff>
          <xdr:row>12</xdr:row>
          <xdr:rowOff>171450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13</xdr:row>
          <xdr:rowOff>19050</xdr:rowOff>
        </xdr:from>
        <xdr:to>
          <xdr:col>11</xdr:col>
          <xdr:colOff>685800</xdr:colOff>
          <xdr:row>13</xdr:row>
          <xdr:rowOff>171450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14</xdr:row>
          <xdr:rowOff>19050</xdr:rowOff>
        </xdr:from>
        <xdr:to>
          <xdr:col>11</xdr:col>
          <xdr:colOff>685800</xdr:colOff>
          <xdr:row>14</xdr:row>
          <xdr:rowOff>171450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15</xdr:row>
          <xdr:rowOff>19050</xdr:rowOff>
        </xdr:from>
        <xdr:to>
          <xdr:col>11</xdr:col>
          <xdr:colOff>685800</xdr:colOff>
          <xdr:row>15</xdr:row>
          <xdr:rowOff>171450</xdr:rowOff>
        </xdr:to>
        <xdr:sp macro="" textlink="">
          <xdr:nvSpPr>
            <xdr:cNvPr id="1035" name="Drop Down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16</xdr:row>
          <xdr:rowOff>19050</xdr:rowOff>
        </xdr:from>
        <xdr:to>
          <xdr:col>11</xdr:col>
          <xdr:colOff>685800</xdr:colOff>
          <xdr:row>16</xdr:row>
          <xdr:rowOff>171450</xdr:rowOff>
        </xdr:to>
        <xdr:sp macro="" textlink="">
          <xdr:nvSpPr>
            <xdr:cNvPr id="1036" name="Drop Down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17</xdr:row>
          <xdr:rowOff>19050</xdr:rowOff>
        </xdr:from>
        <xdr:to>
          <xdr:col>11</xdr:col>
          <xdr:colOff>685800</xdr:colOff>
          <xdr:row>17</xdr:row>
          <xdr:rowOff>171450</xdr:rowOff>
        </xdr:to>
        <xdr:sp macro="" textlink="">
          <xdr:nvSpPr>
            <xdr:cNvPr id="1037" name="Drop Down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18</xdr:row>
          <xdr:rowOff>19050</xdr:rowOff>
        </xdr:from>
        <xdr:to>
          <xdr:col>11</xdr:col>
          <xdr:colOff>685800</xdr:colOff>
          <xdr:row>18</xdr:row>
          <xdr:rowOff>171450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19</xdr:row>
          <xdr:rowOff>19050</xdr:rowOff>
        </xdr:from>
        <xdr:to>
          <xdr:col>11</xdr:col>
          <xdr:colOff>685800</xdr:colOff>
          <xdr:row>19</xdr:row>
          <xdr:rowOff>171450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20</xdr:row>
          <xdr:rowOff>19050</xdr:rowOff>
        </xdr:from>
        <xdr:to>
          <xdr:col>11</xdr:col>
          <xdr:colOff>685800</xdr:colOff>
          <xdr:row>20</xdr:row>
          <xdr:rowOff>171450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21</xdr:row>
          <xdr:rowOff>19050</xdr:rowOff>
        </xdr:from>
        <xdr:to>
          <xdr:col>11</xdr:col>
          <xdr:colOff>685800</xdr:colOff>
          <xdr:row>21</xdr:row>
          <xdr:rowOff>171450</xdr:rowOff>
        </xdr:to>
        <xdr:sp macro="" textlink="">
          <xdr:nvSpPr>
            <xdr:cNvPr id="1041" name="Drop Down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22</xdr:row>
          <xdr:rowOff>19050</xdr:rowOff>
        </xdr:from>
        <xdr:to>
          <xdr:col>11</xdr:col>
          <xdr:colOff>685800</xdr:colOff>
          <xdr:row>22</xdr:row>
          <xdr:rowOff>171450</xdr:rowOff>
        </xdr:to>
        <xdr:sp macro="" textlink="">
          <xdr:nvSpPr>
            <xdr:cNvPr id="1042" name="Drop Down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23</xdr:row>
          <xdr:rowOff>19050</xdr:rowOff>
        </xdr:from>
        <xdr:to>
          <xdr:col>11</xdr:col>
          <xdr:colOff>685800</xdr:colOff>
          <xdr:row>23</xdr:row>
          <xdr:rowOff>171450</xdr:rowOff>
        </xdr:to>
        <xdr:sp macro="" textlink="">
          <xdr:nvSpPr>
            <xdr:cNvPr id="1043" name="Drop Down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24</xdr:row>
          <xdr:rowOff>19050</xdr:rowOff>
        </xdr:from>
        <xdr:to>
          <xdr:col>11</xdr:col>
          <xdr:colOff>685800</xdr:colOff>
          <xdr:row>24</xdr:row>
          <xdr:rowOff>171450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25</xdr:row>
          <xdr:rowOff>19050</xdr:rowOff>
        </xdr:from>
        <xdr:to>
          <xdr:col>11</xdr:col>
          <xdr:colOff>685800</xdr:colOff>
          <xdr:row>25</xdr:row>
          <xdr:rowOff>171450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26</xdr:row>
          <xdr:rowOff>19050</xdr:rowOff>
        </xdr:from>
        <xdr:to>
          <xdr:col>11</xdr:col>
          <xdr:colOff>685800</xdr:colOff>
          <xdr:row>26</xdr:row>
          <xdr:rowOff>171450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27</xdr:row>
          <xdr:rowOff>19050</xdr:rowOff>
        </xdr:from>
        <xdr:to>
          <xdr:col>11</xdr:col>
          <xdr:colOff>685800</xdr:colOff>
          <xdr:row>27</xdr:row>
          <xdr:rowOff>171450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28</xdr:row>
          <xdr:rowOff>19050</xdr:rowOff>
        </xdr:from>
        <xdr:to>
          <xdr:col>11</xdr:col>
          <xdr:colOff>685800</xdr:colOff>
          <xdr:row>28</xdr:row>
          <xdr:rowOff>171450</xdr:rowOff>
        </xdr:to>
        <xdr:sp macro="" textlink="">
          <xdr:nvSpPr>
            <xdr:cNvPr id="1048" name="Drop Down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29</xdr:row>
          <xdr:rowOff>19050</xdr:rowOff>
        </xdr:from>
        <xdr:to>
          <xdr:col>11</xdr:col>
          <xdr:colOff>685800</xdr:colOff>
          <xdr:row>29</xdr:row>
          <xdr:rowOff>171450</xdr:rowOff>
        </xdr:to>
        <xdr:sp macro="" textlink="">
          <xdr:nvSpPr>
            <xdr:cNvPr id="1049" name="Drop Down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30</xdr:row>
          <xdr:rowOff>19050</xdr:rowOff>
        </xdr:from>
        <xdr:to>
          <xdr:col>11</xdr:col>
          <xdr:colOff>685800</xdr:colOff>
          <xdr:row>30</xdr:row>
          <xdr:rowOff>171450</xdr:rowOff>
        </xdr:to>
        <xdr:sp macro="" textlink="">
          <xdr:nvSpPr>
            <xdr:cNvPr id="1050" name="Drop Down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31</xdr:row>
          <xdr:rowOff>19050</xdr:rowOff>
        </xdr:from>
        <xdr:to>
          <xdr:col>11</xdr:col>
          <xdr:colOff>685800</xdr:colOff>
          <xdr:row>31</xdr:row>
          <xdr:rowOff>171450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32</xdr:row>
          <xdr:rowOff>19050</xdr:rowOff>
        </xdr:from>
        <xdr:to>
          <xdr:col>11</xdr:col>
          <xdr:colOff>685800</xdr:colOff>
          <xdr:row>32</xdr:row>
          <xdr:rowOff>171450</xdr:rowOff>
        </xdr:to>
        <xdr:sp macro="" textlink="">
          <xdr:nvSpPr>
            <xdr:cNvPr id="1052" name="Drop Down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33</xdr:row>
          <xdr:rowOff>19050</xdr:rowOff>
        </xdr:from>
        <xdr:to>
          <xdr:col>11</xdr:col>
          <xdr:colOff>685800</xdr:colOff>
          <xdr:row>33</xdr:row>
          <xdr:rowOff>171450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34</xdr:row>
          <xdr:rowOff>19050</xdr:rowOff>
        </xdr:from>
        <xdr:to>
          <xdr:col>11</xdr:col>
          <xdr:colOff>685800</xdr:colOff>
          <xdr:row>34</xdr:row>
          <xdr:rowOff>171450</xdr:rowOff>
        </xdr:to>
        <xdr:sp macro="" textlink="">
          <xdr:nvSpPr>
            <xdr:cNvPr id="1054" name="Drop Down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35</xdr:row>
          <xdr:rowOff>19050</xdr:rowOff>
        </xdr:from>
        <xdr:to>
          <xdr:col>11</xdr:col>
          <xdr:colOff>685800</xdr:colOff>
          <xdr:row>35</xdr:row>
          <xdr:rowOff>171450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36</xdr:row>
          <xdr:rowOff>19050</xdr:rowOff>
        </xdr:from>
        <xdr:to>
          <xdr:col>11</xdr:col>
          <xdr:colOff>685800</xdr:colOff>
          <xdr:row>36</xdr:row>
          <xdr:rowOff>171450</xdr:rowOff>
        </xdr:to>
        <xdr:sp macro="" textlink="">
          <xdr:nvSpPr>
            <xdr:cNvPr id="1056" name="Drop Down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37</xdr:row>
          <xdr:rowOff>19050</xdr:rowOff>
        </xdr:from>
        <xdr:to>
          <xdr:col>11</xdr:col>
          <xdr:colOff>685800</xdr:colOff>
          <xdr:row>37</xdr:row>
          <xdr:rowOff>171450</xdr:rowOff>
        </xdr:to>
        <xdr:sp macro="" textlink="">
          <xdr:nvSpPr>
            <xdr:cNvPr id="1057" name="Drop Down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38</xdr:row>
          <xdr:rowOff>19050</xdr:rowOff>
        </xdr:from>
        <xdr:to>
          <xdr:col>11</xdr:col>
          <xdr:colOff>685800</xdr:colOff>
          <xdr:row>38</xdr:row>
          <xdr:rowOff>171450</xdr:rowOff>
        </xdr:to>
        <xdr:sp macro="" textlink="">
          <xdr:nvSpPr>
            <xdr:cNvPr id="1058" name="Drop Down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39</xdr:row>
          <xdr:rowOff>19050</xdr:rowOff>
        </xdr:from>
        <xdr:to>
          <xdr:col>11</xdr:col>
          <xdr:colOff>685800</xdr:colOff>
          <xdr:row>39</xdr:row>
          <xdr:rowOff>171450</xdr:rowOff>
        </xdr:to>
        <xdr:sp macro="" textlink="">
          <xdr:nvSpPr>
            <xdr:cNvPr id="1076" name="Drop Down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40</xdr:row>
          <xdr:rowOff>19050</xdr:rowOff>
        </xdr:from>
        <xdr:to>
          <xdr:col>11</xdr:col>
          <xdr:colOff>685800</xdr:colOff>
          <xdr:row>40</xdr:row>
          <xdr:rowOff>171450</xdr:rowOff>
        </xdr:to>
        <xdr:sp macro="" textlink="">
          <xdr:nvSpPr>
            <xdr:cNvPr id="1077" name="Drop Down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41</xdr:row>
          <xdr:rowOff>19050</xdr:rowOff>
        </xdr:from>
        <xdr:to>
          <xdr:col>11</xdr:col>
          <xdr:colOff>685800</xdr:colOff>
          <xdr:row>41</xdr:row>
          <xdr:rowOff>171450</xdr:rowOff>
        </xdr:to>
        <xdr:sp macro="" textlink="">
          <xdr:nvSpPr>
            <xdr:cNvPr id="1078" name="Drop Down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42</xdr:row>
          <xdr:rowOff>19050</xdr:rowOff>
        </xdr:from>
        <xdr:to>
          <xdr:col>11</xdr:col>
          <xdr:colOff>685800</xdr:colOff>
          <xdr:row>42</xdr:row>
          <xdr:rowOff>171450</xdr:rowOff>
        </xdr:to>
        <xdr:sp macro="" textlink="">
          <xdr:nvSpPr>
            <xdr:cNvPr id="1079" name="Drop Down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43</xdr:row>
          <xdr:rowOff>19050</xdr:rowOff>
        </xdr:from>
        <xdr:to>
          <xdr:col>11</xdr:col>
          <xdr:colOff>685800</xdr:colOff>
          <xdr:row>43</xdr:row>
          <xdr:rowOff>171450</xdr:rowOff>
        </xdr:to>
        <xdr:sp macro="" textlink="">
          <xdr:nvSpPr>
            <xdr:cNvPr id="1080" name="Drop Down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44</xdr:row>
          <xdr:rowOff>19050</xdr:rowOff>
        </xdr:from>
        <xdr:to>
          <xdr:col>11</xdr:col>
          <xdr:colOff>685800</xdr:colOff>
          <xdr:row>44</xdr:row>
          <xdr:rowOff>171450</xdr:rowOff>
        </xdr:to>
        <xdr:sp macro="" textlink="">
          <xdr:nvSpPr>
            <xdr:cNvPr id="1081" name="Drop Down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45</xdr:row>
          <xdr:rowOff>19050</xdr:rowOff>
        </xdr:from>
        <xdr:to>
          <xdr:col>11</xdr:col>
          <xdr:colOff>685800</xdr:colOff>
          <xdr:row>45</xdr:row>
          <xdr:rowOff>171450</xdr:rowOff>
        </xdr:to>
        <xdr:sp macro="" textlink="">
          <xdr:nvSpPr>
            <xdr:cNvPr id="1082" name="Drop Down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46</xdr:row>
          <xdr:rowOff>19050</xdr:rowOff>
        </xdr:from>
        <xdr:to>
          <xdr:col>11</xdr:col>
          <xdr:colOff>685800</xdr:colOff>
          <xdr:row>46</xdr:row>
          <xdr:rowOff>171450</xdr:rowOff>
        </xdr:to>
        <xdr:sp macro="" textlink="">
          <xdr:nvSpPr>
            <xdr:cNvPr id="1093" name="Drop Down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47</xdr:row>
          <xdr:rowOff>19050</xdr:rowOff>
        </xdr:from>
        <xdr:to>
          <xdr:col>11</xdr:col>
          <xdr:colOff>685800</xdr:colOff>
          <xdr:row>47</xdr:row>
          <xdr:rowOff>171450</xdr:rowOff>
        </xdr:to>
        <xdr:sp macro="" textlink="">
          <xdr:nvSpPr>
            <xdr:cNvPr id="1095" name="Drop Down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48</xdr:row>
          <xdr:rowOff>19050</xdr:rowOff>
        </xdr:from>
        <xdr:to>
          <xdr:col>11</xdr:col>
          <xdr:colOff>685800</xdr:colOff>
          <xdr:row>48</xdr:row>
          <xdr:rowOff>171450</xdr:rowOff>
        </xdr:to>
        <xdr:sp macro="" textlink="">
          <xdr:nvSpPr>
            <xdr:cNvPr id="1097" name="Drop Down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49</xdr:row>
          <xdr:rowOff>19050</xdr:rowOff>
        </xdr:from>
        <xdr:to>
          <xdr:col>11</xdr:col>
          <xdr:colOff>685800</xdr:colOff>
          <xdr:row>49</xdr:row>
          <xdr:rowOff>171450</xdr:rowOff>
        </xdr:to>
        <xdr:sp macro="" textlink="">
          <xdr:nvSpPr>
            <xdr:cNvPr id="1099" name="Drop Down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50</xdr:row>
          <xdr:rowOff>19050</xdr:rowOff>
        </xdr:from>
        <xdr:to>
          <xdr:col>11</xdr:col>
          <xdr:colOff>685800</xdr:colOff>
          <xdr:row>50</xdr:row>
          <xdr:rowOff>171450</xdr:rowOff>
        </xdr:to>
        <xdr:sp macro="" textlink="">
          <xdr:nvSpPr>
            <xdr:cNvPr id="1101" name="Drop Down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51</xdr:row>
          <xdr:rowOff>19050</xdr:rowOff>
        </xdr:from>
        <xdr:to>
          <xdr:col>11</xdr:col>
          <xdr:colOff>685800</xdr:colOff>
          <xdr:row>51</xdr:row>
          <xdr:rowOff>171450</xdr:rowOff>
        </xdr:to>
        <xdr:sp macro="" textlink="">
          <xdr:nvSpPr>
            <xdr:cNvPr id="1103" name="Drop Down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52</xdr:row>
          <xdr:rowOff>19050</xdr:rowOff>
        </xdr:from>
        <xdr:to>
          <xdr:col>11</xdr:col>
          <xdr:colOff>685800</xdr:colOff>
          <xdr:row>52</xdr:row>
          <xdr:rowOff>171450</xdr:rowOff>
        </xdr:to>
        <xdr:sp macro="" textlink="">
          <xdr:nvSpPr>
            <xdr:cNvPr id="1105" name="Drop Down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53</xdr:row>
          <xdr:rowOff>19050</xdr:rowOff>
        </xdr:from>
        <xdr:to>
          <xdr:col>11</xdr:col>
          <xdr:colOff>685800</xdr:colOff>
          <xdr:row>53</xdr:row>
          <xdr:rowOff>171450</xdr:rowOff>
        </xdr:to>
        <xdr:sp macro="" textlink="">
          <xdr:nvSpPr>
            <xdr:cNvPr id="1107" name="Drop Down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54</xdr:row>
          <xdr:rowOff>19050</xdr:rowOff>
        </xdr:from>
        <xdr:to>
          <xdr:col>11</xdr:col>
          <xdr:colOff>685800</xdr:colOff>
          <xdr:row>54</xdr:row>
          <xdr:rowOff>171450</xdr:rowOff>
        </xdr:to>
        <xdr:sp macro="" textlink="">
          <xdr:nvSpPr>
            <xdr:cNvPr id="1109" name="Drop Down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619125</xdr:colOff>
      <xdr:row>0</xdr:row>
      <xdr:rowOff>66675</xdr:rowOff>
    </xdr:from>
    <xdr:to>
      <xdr:col>15</xdr:col>
      <xdr:colOff>0</xdr:colOff>
      <xdr:row>2</xdr:row>
      <xdr:rowOff>19050</xdr:rowOff>
    </xdr:to>
    <xdr:sp macro="" textlink="">
      <xdr:nvSpPr>
        <xdr:cNvPr id="2" name="Bisel 1">
          <a:hlinkClick xmlns:r="http://schemas.openxmlformats.org/officeDocument/2006/relationships" r:id="rId1"/>
        </xdr:cNvPr>
        <xdr:cNvSpPr/>
      </xdr:nvSpPr>
      <xdr:spPr>
        <a:xfrm>
          <a:off x="9953625" y="66675"/>
          <a:ext cx="1638300" cy="257175"/>
        </a:xfrm>
        <a:prstGeom prst="bevel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Voltar</a:t>
          </a:r>
          <a:r>
            <a:rPr lang="pt-BR" sz="1100" b="1" baseline="0">
              <a:solidFill>
                <a:schemeClr val="bg1"/>
              </a:solidFill>
            </a:rPr>
            <a:t> para Orientações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24"/>
  <sheetViews>
    <sheetView tabSelected="1" workbookViewId="0"/>
  </sheetViews>
  <sheetFormatPr defaultRowHeight="15" x14ac:dyDescent="0.25"/>
  <cols>
    <col min="1" max="2" width="4.7109375" style="1" customWidth="1"/>
    <col min="3" max="16" width="9.140625" style="1"/>
    <col min="17" max="17" width="12.5703125" style="1" customWidth="1"/>
    <col min="18" max="16384" width="9.140625" style="1"/>
  </cols>
  <sheetData>
    <row r="1" spans="3:17" ht="8.1" customHeight="1" thickBot="1" x14ac:dyDescent="0.3"/>
    <row r="2" spans="3:17" ht="15.75" thickBot="1" x14ac:dyDescent="0.3">
      <c r="C2" s="109" t="s">
        <v>27</v>
      </c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1"/>
    </row>
    <row r="3" spans="3:17" ht="9.9499999999999993" customHeight="1" thickBot="1" x14ac:dyDescent="0.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3:17" ht="19.5" thickBot="1" x14ac:dyDescent="0.3">
      <c r="C4" s="106" t="s">
        <v>31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8"/>
    </row>
    <row r="5" spans="3:17" x14ac:dyDescent="0.25">
      <c r="C5" s="3" t="s">
        <v>44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 spans="3:17" x14ac:dyDescent="0.25">
      <c r="C6" s="6" t="s">
        <v>33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</row>
    <row r="7" spans="3:17" x14ac:dyDescent="0.25">
      <c r="C7" s="9" t="s">
        <v>38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8"/>
    </row>
    <row r="8" spans="3:17" x14ac:dyDescent="0.25">
      <c r="C8" s="9" t="s">
        <v>34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</row>
    <row r="9" spans="3:17" x14ac:dyDescent="0.25">
      <c r="C9" s="9" t="s">
        <v>35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8"/>
    </row>
    <row r="10" spans="3:17" x14ac:dyDescent="0.25">
      <c r="C10" s="9" t="s">
        <v>36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</row>
    <row r="11" spans="3:17" ht="9.9499999999999993" customHeight="1" thickBot="1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3:17" x14ac:dyDescent="0.25">
      <c r="C12" s="103" t="s">
        <v>46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5"/>
    </row>
    <row r="13" spans="3:17" x14ac:dyDescent="0.25">
      <c r="C13" s="10" t="s">
        <v>45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</row>
    <row r="14" spans="3:17" x14ac:dyDescent="0.25">
      <c r="C14" s="13" t="s">
        <v>47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/>
    </row>
    <row r="15" spans="3:17" x14ac:dyDescent="0.25">
      <c r="C15" s="13" t="s">
        <v>40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5"/>
    </row>
    <row r="16" spans="3:17" x14ac:dyDescent="0.25">
      <c r="C16" s="16" t="s">
        <v>41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/>
    </row>
    <row r="17" spans="3:17" x14ac:dyDescent="0.25">
      <c r="C17" s="16" t="s">
        <v>43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</row>
    <row r="18" spans="3:17" x14ac:dyDescent="0.25">
      <c r="C18" s="16" t="s">
        <v>29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8"/>
    </row>
    <row r="19" spans="3:17" x14ac:dyDescent="0.25">
      <c r="C19" s="19" t="s">
        <v>48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</row>
    <row r="20" spans="3:17" x14ac:dyDescent="0.25">
      <c r="C20" s="19" t="s">
        <v>42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1"/>
    </row>
    <row r="21" spans="3:17" x14ac:dyDescent="0.25">
      <c r="C21" s="22" t="s">
        <v>37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</row>
    <row r="22" spans="3:17" ht="9.9499999999999993" customHeight="1" thickBot="1" x14ac:dyDescent="0.3"/>
    <row r="23" spans="3:17" x14ac:dyDescent="0.25">
      <c r="C23" s="96" t="s">
        <v>50</v>
      </c>
      <c r="D23" s="97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9"/>
    </row>
    <row r="24" spans="3:17" ht="15.75" thickBot="1" x14ac:dyDescent="0.3">
      <c r="C24" s="100" t="s">
        <v>49</v>
      </c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2"/>
    </row>
  </sheetData>
  <sheetProtection password="CFCD" sheet="1" objects="1" scenarios="1"/>
  <mergeCells count="3">
    <mergeCell ref="C12:Q12"/>
    <mergeCell ref="C4:Q4"/>
    <mergeCell ref="C2:Q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55"/>
  <sheetViews>
    <sheetView workbookViewId="0"/>
  </sheetViews>
  <sheetFormatPr defaultRowHeight="15" x14ac:dyDescent="0.25"/>
  <cols>
    <col min="1" max="1" width="1.7109375" style="25" customWidth="1"/>
    <col min="2" max="2" width="7.28515625" style="25" customWidth="1"/>
    <col min="3" max="3" width="23" style="25" customWidth="1"/>
    <col min="4" max="5" width="10.85546875" style="25" customWidth="1"/>
    <col min="6" max="6" width="12.42578125" style="25" bestFit="1" customWidth="1"/>
    <col min="7" max="7" width="8.28515625" style="25" bestFit="1" customWidth="1"/>
    <col min="8" max="8" width="13.140625" style="25" customWidth="1"/>
    <col min="9" max="9" width="12.7109375" style="25" bestFit="1" customWidth="1"/>
    <col min="10" max="11" width="10.85546875" style="25" customWidth="1"/>
    <col min="12" max="12" width="10.5703125" style="25" customWidth="1"/>
    <col min="13" max="13" width="7.42578125" style="25" customWidth="1"/>
    <col min="14" max="14" width="19" style="25" bestFit="1" customWidth="1"/>
    <col min="15" max="15" width="14.85546875" style="25" bestFit="1" customWidth="1"/>
    <col min="16" max="16" width="10.7109375" style="25" customWidth="1"/>
    <col min="17" max="17" width="21.140625" style="25" bestFit="1" customWidth="1"/>
    <col min="18" max="16384" width="9.140625" style="25"/>
  </cols>
  <sheetData>
    <row r="1" spans="2:17" ht="8.1" customHeight="1" thickBot="1" x14ac:dyDescent="0.3"/>
    <row r="2" spans="2:17" ht="16.5" thickBot="1" x14ac:dyDescent="0.3">
      <c r="B2" s="112" t="s">
        <v>30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4"/>
    </row>
    <row r="3" spans="2:17" ht="8.1" customHeight="1" thickBot="1" x14ac:dyDescent="0.3"/>
    <row r="4" spans="2:17" x14ac:dyDescent="0.25">
      <c r="B4" s="117" t="s">
        <v>5</v>
      </c>
      <c r="C4" s="119" t="s">
        <v>4</v>
      </c>
      <c r="D4" s="115" t="s">
        <v>0</v>
      </c>
      <c r="E4" s="116"/>
      <c r="F4" s="50" t="s">
        <v>10</v>
      </c>
      <c r="G4" s="50" t="s">
        <v>20</v>
      </c>
      <c r="H4" s="117" t="s">
        <v>1</v>
      </c>
      <c r="I4" s="50" t="s">
        <v>26</v>
      </c>
      <c r="J4" s="121" t="s">
        <v>2</v>
      </c>
      <c r="K4" s="122"/>
      <c r="L4" s="51" t="s">
        <v>16</v>
      </c>
      <c r="M4" s="52" t="s">
        <v>20</v>
      </c>
      <c r="N4" s="50" t="s">
        <v>1</v>
      </c>
      <c r="O4" s="53" t="s">
        <v>28</v>
      </c>
    </row>
    <row r="5" spans="2:17" ht="15.75" thickBot="1" x14ac:dyDescent="0.3">
      <c r="B5" s="118"/>
      <c r="C5" s="120"/>
      <c r="D5" s="54" t="s">
        <v>32</v>
      </c>
      <c r="E5" s="55" t="s">
        <v>6</v>
      </c>
      <c r="F5" s="56" t="s">
        <v>11</v>
      </c>
      <c r="G5" s="56" t="s">
        <v>21</v>
      </c>
      <c r="H5" s="118"/>
      <c r="I5" s="56" t="s">
        <v>25</v>
      </c>
      <c r="J5" s="54" t="s">
        <v>32</v>
      </c>
      <c r="K5" s="55" t="s">
        <v>6</v>
      </c>
      <c r="L5" s="57" t="s">
        <v>23</v>
      </c>
      <c r="M5" s="58" t="s">
        <v>22</v>
      </c>
      <c r="N5" s="56" t="s">
        <v>24</v>
      </c>
      <c r="O5" s="59" t="s">
        <v>39</v>
      </c>
      <c r="Q5" s="60"/>
    </row>
    <row r="6" spans="2:17" x14ac:dyDescent="0.25">
      <c r="B6" s="82">
        <v>1</v>
      </c>
      <c r="C6" s="83" t="s">
        <v>7</v>
      </c>
      <c r="D6" s="84">
        <v>42522</v>
      </c>
      <c r="E6" s="61">
        <f>IF(ISBLANK(D6),"",DATE(YEAR(D6)+1,MONTH(D6),DAY(D6))-1)</f>
        <v>42886</v>
      </c>
      <c r="F6" s="91">
        <v>0</v>
      </c>
      <c r="G6" s="62">
        <f>IF(F6&lt;Parâmetros!$E$3,Parâmetros!$F$3,VLOOKUP('Controle Vencimento Férias'!F6,Parâmetros!$C$3:$F$7,4,1))</f>
        <v>30</v>
      </c>
      <c r="H6" s="63" t="str">
        <f ca="1">IF(ISBLANK(D6),"",IF(E6&lt;=Parâmetros!$B$10,"Vencidas",IF(E6&gt;Parâmetros!$B$10,"Não vencidas")))</f>
        <v>Vencidas</v>
      </c>
      <c r="I6" s="64">
        <f>IF(ISBLANK(D6),"",E6+336)</f>
        <v>43222</v>
      </c>
      <c r="J6" s="84">
        <v>42126</v>
      </c>
      <c r="K6" s="65">
        <f>IF(ISBLANK(J6),"",(J6+G6-1)-M6)</f>
        <v>42155</v>
      </c>
      <c r="L6" s="66"/>
      <c r="M6" s="62">
        <f>IF(Parâmetros!I4=1,G6/3,IF(Parâmetros!I4=2,0))</f>
        <v>0</v>
      </c>
      <c r="N6" s="62" t="str">
        <f>IF(ISBLANK(J6),"",IF(J6&lt;=I6,"No prazo",IF(J6&gt;I6,"Férias em dobro")))</f>
        <v>No prazo</v>
      </c>
      <c r="O6" s="67">
        <f ca="1">IF(ISBLANK(D6),"",IF(I6-Parâmetros!$B$10&lt;=65,I6-Parâmetros!$B$10,IF(I6-Parâmetros!$B$10&gt;65,I6-Parâmetros!$B$10)))</f>
        <v>30.523910763891763</v>
      </c>
    </row>
    <row r="7" spans="2:17" x14ac:dyDescent="0.25">
      <c r="B7" s="85">
        <v>2</v>
      </c>
      <c r="C7" s="86" t="s">
        <v>8</v>
      </c>
      <c r="D7" s="87">
        <v>42557</v>
      </c>
      <c r="E7" s="68">
        <f t="shared" ref="E7:E55" si="0">IF(ISBLANK(D7),"",DATE(YEAR(D7)+1,MONTH(D7),DAY(D7))-1)</f>
        <v>42921</v>
      </c>
      <c r="F7" s="92">
        <v>0</v>
      </c>
      <c r="G7" s="69">
        <f>IF(F7&lt;Parâmetros!$E$3,Parâmetros!$F$3,VLOOKUP('Controle Vencimento Férias'!F7,Parâmetros!$C$3:$F$7,4,1))</f>
        <v>30</v>
      </c>
      <c r="H7" s="70" t="str">
        <f ca="1">IF(ISBLANK(D7),"",IF(E7&lt;=Parâmetros!$B$10,"Vencidas",IF(E7&gt;Parâmetros!$B$10,"Não vencidas")))</f>
        <v>Vencidas</v>
      </c>
      <c r="I7" s="64">
        <f t="shared" ref="I7:I55" si="1">IF(ISBLANK(D7),"",E7+336)</f>
        <v>43257</v>
      </c>
      <c r="J7" s="87">
        <v>43215</v>
      </c>
      <c r="K7" s="71">
        <f t="shared" ref="K7:K30" si="2">IF(ISBLANK(J7),"",(J7+G7-1)-M7)</f>
        <v>43244</v>
      </c>
      <c r="L7" s="72"/>
      <c r="M7" s="69">
        <f>IF(Parâmetros!I7=1,G7/3,IF(Parâmetros!I7=2,0))</f>
        <v>0</v>
      </c>
      <c r="N7" s="73" t="str">
        <f t="shared" ref="N7:N55" si="3">IF(ISBLANK(J7),"",IF(J7&lt;=I7,"No prazo",IF(J7&gt;I7,"Férias em dobro")))</f>
        <v>No prazo</v>
      </c>
      <c r="O7" s="74">
        <f ca="1">IF(ISBLANK(D7),"",IF(I7-Parâmetros!$B$10&lt;=65,I7-Parâmetros!$B$10,IF(I7-Parâmetros!$B$10&gt;65,I7-Parâmetros!$B$10)))</f>
        <v>65.523910763891763</v>
      </c>
      <c r="P7" s="60"/>
    </row>
    <row r="8" spans="2:17" x14ac:dyDescent="0.25">
      <c r="B8" s="82">
        <v>3</v>
      </c>
      <c r="C8" s="88" t="s">
        <v>9</v>
      </c>
      <c r="D8" s="89">
        <v>42949</v>
      </c>
      <c r="E8" s="61">
        <f t="shared" si="0"/>
        <v>43313</v>
      </c>
      <c r="F8" s="93">
        <v>0</v>
      </c>
      <c r="G8" s="75">
        <f>IF(F8&lt;Parâmetros!$E$3,Parâmetros!$F$3,VLOOKUP('Controle Vencimento Férias'!F8,Parâmetros!$C$3:$F$7,4,1))</f>
        <v>30</v>
      </c>
      <c r="H8" s="63" t="str">
        <f ca="1">IF(ISBLANK(D8),"",IF(E8&lt;=Parâmetros!$B$10,"Vencidas",IF(E8&gt;Parâmetros!$B$10,"Não vencidas")))</f>
        <v>Não vencidas</v>
      </c>
      <c r="I8" s="64">
        <f t="shared" si="1"/>
        <v>43649</v>
      </c>
      <c r="J8" s="89"/>
      <c r="K8" s="65" t="str">
        <f t="shared" si="2"/>
        <v/>
      </c>
      <c r="L8" s="76"/>
      <c r="M8" s="75">
        <f>IF(Parâmetros!I10=1,G8/3,IF(Parâmetros!I10=2,0))</f>
        <v>0</v>
      </c>
      <c r="N8" s="62" t="str">
        <f t="shared" si="3"/>
        <v/>
      </c>
      <c r="O8" s="67">
        <f ca="1">IF(ISBLANK(D8),"",IF(I8-Parâmetros!$B$10&lt;=65,I8-Parâmetros!$B$10,IF(I8-Parâmetros!$B$10&gt;65,I8-Parâmetros!$B$10)))</f>
        <v>457.52391076389176</v>
      </c>
      <c r="P8" s="60"/>
    </row>
    <row r="9" spans="2:17" x14ac:dyDescent="0.25">
      <c r="B9" s="85">
        <v>4</v>
      </c>
      <c r="C9" s="86"/>
      <c r="D9" s="87"/>
      <c r="E9" s="68" t="str">
        <f t="shared" si="0"/>
        <v/>
      </c>
      <c r="F9" s="92">
        <v>0</v>
      </c>
      <c r="G9" s="69">
        <f>IF(F9&lt;Parâmetros!$E$3,Parâmetros!$F$3,VLOOKUP('Controle Vencimento Férias'!F9,Parâmetros!$C$3:$F$7,4,1))</f>
        <v>30</v>
      </c>
      <c r="H9" s="77" t="str">
        <f>IF(ISBLANK(D9),"",IF(E9&lt;=Parâmetros!$B$10,"Vencidas",IF(E9&gt;Parâmetros!$B$10,"Não vencidas")))</f>
        <v/>
      </c>
      <c r="I9" s="78" t="str">
        <f t="shared" si="1"/>
        <v/>
      </c>
      <c r="J9" s="87"/>
      <c r="K9" s="71" t="str">
        <f t="shared" si="2"/>
        <v/>
      </c>
      <c r="L9" s="72"/>
      <c r="M9" s="69">
        <f>IF(Parâmetros!I13=1,G9/3,IF(Parâmetros!I13=2,0))</f>
        <v>0</v>
      </c>
      <c r="N9" s="79" t="str">
        <f t="shared" si="3"/>
        <v/>
      </c>
      <c r="O9" s="74" t="str">
        <f>IF(ISBLANK(D9),"",IF(I9-Parâmetros!$B$10&lt;=65,I9-Parâmetros!$B$10,IF(I9-Parâmetros!$B$10&gt;65,I9-Parâmetros!$B$10)))</f>
        <v/>
      </c>
      <c r="Q9" s="60"/>
    </row>
    <row r="10" spans="2:17" x14ac:dyDescent="0.25">
      <c r="B10" s="82">
        <v>5</v>
      </c>
      <c r="C10" s="88"/>
      <c r="D10" s="89"/>
      <c r="E10" s="61" t="str">
        <f t="shared" si="0"/>
        <v/>
      </c>
      <c r="F10" s="93">
        <v>0</v>
      </c>
      <c r="G10" s="75">
        <f>IF(F10&lt;Parâmetros!$E$3,Parâmetros!$F$3,VLOOKUP('Controle Vencimento Férias'!F10,Parâmetros!$C$3:$F$7,4,1))</f>
        <v>30</v>
      </c>
      <c r="H10" s="63" t="str">
        <f>IF(ISBLANK(D10),"",IF(E10&lt;=Parâmetros!$B$10,"Vencidas",IF(E10&gt;Parâmetros!$B$10,"Não vencidas")))</f>
        <v/>
      </c>
      <c r="I10" s="64" t="str">
        <f t="shared" si="1"/>
        <v/>
      </c>
      <c r="J10" s="94"/>
      <c r="K10" s="64" t="str">
        <f t="shared" si="2"/>
        <v/>
      </c>
      <c r="L10" s="76"/>
      <c r="M10" s="75">
        <f>IF(Parâmetros!I16=1,G10/3,IF(Parâmetros!I16=2,0))</f>
        <v>0</v>
      </c>
      <c r="N10" s="62" t="str">
        <f t="shared" si="3"/>
        <v/>
      </c>
      <c r="O10" s="67" t="str">
        <f>IF(ISBLANK(D10),"",IF(I10-Parâmetros!$B$10&lt;=65,I10-Parâmetros!$B$10,IF(I10-Parâmetros!$B$10&gt;65,I10-Parâmetros!$B$10)))</f>
        <v/>
      </c>
      <c r="Q10" s="60"/>
    </row>
    <row r="11" spans="2:17" x14ac:dyDescent="0.25">
      <c r="B11" s="85">
        <v>6</v>
      </c>
      <c r="C11" s="86"/>
      <c r="D11" s="87"/>
      <c r="E11" s="68" t="str">
        <f t="shared" si="0"/>
        <v/>
      </c>
      <c r="F11" s="92">
        <v>0</v>
      </c>
      <c r="G11" s="69">
        <f>IF(F11&lt;Parâmetros!$E$3,Parâmetros!$F$3,VLOOKUP('Controle Vencimento Férias'!F11,Parâmetros!$C$3:$F$7,4,1))</f>
        <v>30</v>
      </c>
      <c r="H11" s="77" t="str">
        <f>IF(ISBLANK(D11),"",IF(E11&lt;=Parâmetros!$B$10,"Vencidas",IF(E11&gt;Parâmetros!$B$10,"Não vencidas")))</f>
        <v/>
      </c>
      <c r="I11" s="78" t="str">
        <f t="shared" si="1"/>
        <v/>
      </c>
      <c r="J11" s="95"/>
      <c r="K11" s="80" t="str">
        <f t="shared" si="2"/>
        <v/>
      </c>
      <c r="L11" s="72"/>
      <c r="M11" s="69">
        <f>IF(Parâmetros!I19=1,G11/3,IF(Parâmetros!I19=2,0))</f>
        <v>0</v>
      </c>
      <c r="N11" s="79" t="str">
        <f t="shared" si="3"/>
        <v/>
      </c>
      <c r="O11" s="74" t="str">
        <f>IF(ISBLANK(D11),"",IF(I11-Parâmetros!$B$10&lt;=65,I11-Parâmetros!$B$10,IF(I11-Parâmetros!$B$10&gt;65,I11-Parâmetros!$B$10)))</f>
        <v/>
      </c>
      <c r="Q11" s="81"/>
    </row>
    <row r="12" spans="2:17" x14ac:dyDescent="0.25">
      <c r="B12" s="82">
        <v>7</v>
      </c>
      <c r="C12" s="88"/>
      <c r="D12" s="89"/>
      <c r="E12" s="61" t="str">
        <f t="shared" si="0"/>
        <v/>
      </c>
      <c r="F12" s="93">
        <v>0</v>
      </c>
      <c r="G12" s="75">
        <f>IF(F12&lt;Parâmetros!$E$3,Parâmetros!$F$3,VLOOKUP('Controle Vencimento Férias'!F12,Parâmetros!$C$3:$F$7,4,1))</f>
        <v>30</v>
      </c>
      <c r="H12" s="63" t="str">
        <f>IF(ISBLANK(D12),"",IF(E12&lt;=Parâmetros!$B$10,"Vencidas",IF(E12&gt;Parâmetros!$B$10,"Não vencidas")))</f>
        <v/>
      </c>
      <c r="I12" s="64" t="str">
        <f t="shared" si="1"/>
        <v/>
      </c>
      <c r="J12" s="94"/>
      <c r="K12" s="64" t="str">
        <f t="shared" si="2"/>
        <v/>
      </c>
      <c r="L12" s="76"/>
      <c r="M12" s="75">
        <f>IF(Parâmetros!I22=1,G12/3,IF(Parâmetros!I22=2,0))</f>
        <v>0</v>
      </c>
      <c r="N12" s="62" t="str">
        <f t="shared" si="3"/>
        <v/>
      </c>
      <c r="O12" s="67" t="str">
        <f>IF(ISBLANK(D12),"",IF(I12-Parâmetros!$B$10&lt;=65,I12-Parâmetros!$B$10,IF(I12-Parâmetros!$B$10&gt;65,I12-Parâmetros!$B$10)))</f>
        <v/>
      </c>
    </row>
    <row r="13" spans="2:17" x14ac:dyDescent="0.25">
      <c r="B13" s="85">
        <v>8</v>
      </c>
      <c r="C13" s="86"/>
      <c r="D13" s="87"/>
      <c r="E13" s="68" t="str">
        <f t="shared" si="0"/>
        <v/>
      </c>
      <c r="F13" s="92">
        <v>0</v>
      </c>
      <c r="G13" s="69">
        <f>IF(F13&lt;Parâmetros!$E$3,Parâmetros!$F$3,VLOOKUP('Controle Vencimento Férias'!F13,Parâmetros!$C$3:$F$7,4,1))</f>
        <v>30</v>
      </c>
      <c r="H13" s="77" t="str">
        <f>IF(ISBLANK(D13),"",IF(E13&lt;=Parâmetros!$B$10,"Vencidas",IF(E13&gt;Parâmetros!$B$10,"Não vencidas")))</f>
        <v/>
      </c>
      <c r="I13" s="78" t="str">
        <f t="shared" si="1"/>
        <v/>
      </c>
      <c r="J13" s="95"/>
      <c r="K13" s="80" t="str">
        <f t="shared" si="2"/>
        <v/>
      </c>
      <c r="L13" s="72"/>
      <c r="M13" s="69">
        <f>IF(Parâmetros!I25=1,G13/3,IF(Parâmetros!I25=2,0))</f>
        <v>0</v>
      </c>
      <c r="N13" s="79" t="str">
        <f t="shared" si="3"/>
        <v/>
      </c>
      <c r="O13" s="74" t="str">
        <f>IF(ISBLANK(D13),"",IF(I13-Parâmetros!$B$10&lt;=65,I13-Parâmetros!$B$10,IF(I13-Parâmetros!$B$10&gt;65,I13-Parâmetros!$B$10)))</f>
        <v/>
      </c>
      <c r="Q13" s="60"/>
    </row>
    <row r="14" spans="2:17" x14ac:dyDescent="0.25">
      <c r="B14" s="82">
        <v>9</v>
      </c>
      <c r="C14" s="88"/>
      <c r="D14" s="89"/>
      <c r="E14" s="61" t="str">
        <f t="shared" si="0"/>
        <v/>
      </c>
      <c r="F14" s="93">
        <v>0</v>
      </c>
      <c r="G14" s="75">
        <f>IF(F14&lt;Parâmetros!$E$3,Parâmetros!$F$3,VLOOKUP('Controle Vencimento Férias'!F14,Parâmetros!$C$3:$F$7,4,1))</f>
        <v>30</v>
      </c>
      <c r="H14" s="63" t="str">
        <f>IF(ISBLANK(D14),"",IF(E14&lt;=Parâmetros!$B$10,"Vencidas",IF(E14&gt;Parâmetros!$B$10,"Não vencidas")))</f>
        <v/>
      </c>
      <c r="I14" s="64" t="str">
        <f t="shared" si="1"/>
        <v/>
      </c>
      <c r="J14" s="94"/>
      <c r="K14" s="64" t="str">
        <f t="shared" si="2"/>
        <v/>
      </c>
      <c r="L14" s="76"/>
      <c r="M14" s="75">
        <f>IF(Parâmetros!L4=1,G14/3,IF(Parâmetros!L4=2,0))</f>
        <v>0</v>
      </c>
      <c r="N14" s="62" t="str">
        <f t="shared" si="3"/>
        <v/>
      </c>
      <c r="O14" s="67" t="str">
        <f>IF(ISBLANK(D14),"",IF(I14-Parâmetros!$B$10&lt;=65,I14-Parâmetros!$B$10,IF(I14-Parâmetros!$B$10&gt;65,I14-Parâmetros!$B$10)))</f>
        <v/>
      </c>
      <c r="Q14" s="60"/>
    </row>
    <row r="15" spans="2:17" x14ac:dyDescent="0.25">
      <c r="B15" s="85">
        <v>10</v>
      </c>
      <c r="C15" s="86"/>
      <c r="D15" s="87"/>
      <c r="E15" s="68" t="str">
        <f t="shared" si="0"/>
        <v/>
      </c>
      <c r="F15" s="92">
        <v>0</v>
      </c>
      <c r="G15" s="69">
        <f>IF(F15&lt;Parâmetros!$E$3,Parâmetros!$F$3,VLOOKUP('Controle Vencimento Férias'!F15,Parâmetros!$C$3:$F$7,4,1))</f>
        <v>30</v>
      </c>
      <c r="H15" s="77" t="str">
        <f>IF(ISBLANK(D15),"",IF(E15&lt;=Parâmetros!$B$10,"Vencidas",IF(E15&gt;Parâmetros!$B$10,"Não vencidas")))</f>
        <v/>
      </c>
      <c r="I15" s="78" t="str">
        <f t="shared" si="1"/>
        <v/>
      </c>
      <c r="J15" s="95"/>
      <c r="K15" s="80" t="str">
        <f t="shared" si="2"/>
        <v/>
      </c>
      <c r="L15" s="72"/>
      <c r="M15" s="69">
        <f>IF(Parâmetros!L7=1,G15/3,IF(Parâmetros!L7=2,0))</f>
        <v>0</v>
      </c>
      <c r="N15" s="79" t="str">
        <f t="shared" si="3"/>
        <v/>
      </c>
      <c r="O15" s="74" t="str">
        <f>IF(ISBLANK(D15),"",IF(I15-Parâmetros!$B$10&lt;=65,I15-Parâmetros!$B$10,IF(I15-Parâmetros!$B$10&gt;65,I15-Parâmetros!$B$10)))</f>
        <v/>
      </c>
    </row>
    <row r="16" spans="2:17" x14ac:dyDescent="0.25">
      <c r="B16" s="82">
        <v>11</v>
      </c>
      <c r="C16" s="88"/>
      <c r="D16" s="89"/>
      <c r="E16" s="61" t="str">
        <f t="shared" si="0"/>
        <v/>
      </c>
      <c r="F16" s="93">
        <v>0</v>
      </c>
      <c r="G16" s="75">
        <f>IF(F16&lt;Parâmetros!$E$3,Parâmetros!$F$3,VLOOKUP('Controle Vencimento Férias'!F16,Parâmetros!$C$3:$F$7,4,1))</f>
        <v>30</v>
      </c>
      <c r="H16" s="63" t="str">
        <f>IF(ISBLANK(D16),"",IF(E16&lt;=Parâmetros!$B$10,"Vencidas",IF(E16&gt;Parâmetros!$B$10,"Não vencidas")))</f>
        <v/>
      </c>
      <c r="I16" s="64" t="str">
        <f t="shared" si="1"/>
        <v/>
      </c>
      <c r="J16" s="94"/>
      <c r="K16" s="64" t="str">
        <f t="shared" si="2"/>
        <v/>
      </c>
      <c r="L16" s="76"/>
      <c r="M16" s="75">
        <f>IF(Parâmetros!L10=1,G16/3,IF(Parâmetros!L10=2,0))</f>
        <v>0</v>
      </c>
      <c r="N16" s="62" t="str">
        <f t="shared" si="3"/>
        <v/>
      </c>
      <c r="O16" s="67" t="str">
        <f>IF(ISBLANK(D16),"",IF(I16-Parâmetros!$B$10&lt;=65,I16-Parâmetros!$B$10,IF(I16-Parâmetros!$B$10&gt;65,I16-Parâmetros!$B$10)))</f>
        <v/>
      </c>
    </row>
    <row r="17" spans="2:15" x14ac:dyDescent="0.25">
      <c r="B17" s="85">
        <v>12</v>
      </c>
      <c r="C17" s="86"/>
      <c r="D17" s="87"/>
      <c r="E17" s="68" t="str">
        <f t="shared" si="0"/>
        <v/>
      </c>
      <c r="F17" s="92">
        <v>0</v>
      </c>
      <c r="G17" s="69">
        <f>IF(F17&lt;Parâmetros!$E$3,Parâmetros!$F$3,VLOOKUP('Controle Vencimento Férias'!F17,Parâmetros!$C$3:$F$7,4,1))</f>
        <v>30</v>
      </c>
      <c r="H17" s="77" t="str">
        <f>IF(ISBLANK(D17),"",IF(E17&lt;=Parâmetros!$B$10,"Vencidas",IF(E17&gt;Parâmetros!$B$10,"Não vencidas")))</f>
        <v/>
      </c>
      <c r="I17" s="78" t="str">
        <f t="shared" si="1"/>
        <v/>
      </c>
      <c r="J17" s="95"/>
      <c r="K17" s="80" t="str">
        <f t="shared" si="2"/>
        <v/>
      </c>
      <c r="L17" s="72"/>
      <c r="M17" s="69">
        <f>IF(Parâmetros!L13=1,G17/3,IF(Parâmetros!L13=2,0))</f>
        <v>0</v>
      </c>
      <c r="N17" s="79" t="str">
        <f t="shared" si="3"/>
        <v/>
      </c>
      <c r="O17" s="74" t="str">
        <f>IF(ISBLANK(D17),"",IF(I17-Parâmetros!$B$10&lt;=65,I17-Parâmetros!$B$10,IF(I17-Parâmetros!$B$10&gt;65,I17-Parâmetros!$B$10)))</f>
        <v/>
      </c>
    </row>
    <row r="18" spans="2:15" x14ac:dyDescent="0.25">
      <c r="B18" s="82">
        <v>13</v>
      </c>
      <c r="C18" s="88"/>
      <c r="D18" s="89"/>
      <c r="E18" s="61" t="str">
        <f t="shared" si="0"/>
        <v/>
      </c>
      <c r="F18" s="93">
        <v>0</v>
      </c>
      <c r="G18" s="75">
        <f>IF(F18&lt;Parâmetros!$E$3,Parâmetros!$F$3,VLOOKUP('Controle Vencimento Férias'!F18,Parâmetros!$C$3:$F$7,4,1))</f>
        <v>30</v>
      </c>
      <c r="H18" s="63" t="str">
        <f>IF(ISBLANK(D18),"",IF(E18&lt;=Parâmetros!$B$10,"Vencidas",IF(E18&gt;Parâmetros!$B$10,"Não vencidas")))</f>
        <v/>
      </c>
      <c r="I18" s="64" t="str">
        <f t="shared" si="1"/>
        <v/>
      </c>
      <c r="J18" s="94"/>
      <c r="K18" s="64" t="str">
        <f t="shared" si="2"/>
        <v/>
      </c>
      <c r="L18" s="76"/>
      <c r="M18" s="75">
        <f>IF(Parâmetros!L16=1,G18/3,IF(Parâmetros!L16=2,0))</f>
        <v>0</v>
      </c>
      <c r="N18" s="62" t="str">
        <f t="shared" si="3"/>
        <v/>
      </c>
      <c r="O18" s="67" t="str">
        <f>IF(ISBLANK(D18),"",IF(I18-Parâmetros!$B$10&lt;=65,I18-Parâmetros!$B$10,IF(I18-Parâmetros!$B$10&gt;65,I18-Parâmetros!$B$10)))</f>
        <v/>
      </c>
    </row>
    <row r="19" spans="2:15" x14ac:dyDescent="0.25">
      <c r="B19" s="85">
        <v>14</v>
      </c>
      <c r="C19" s="86"/>
      <c r="D19" s="87"/>
      <c r="E19" s="68" t="str">
        <f t="shared" si="0"/>
        <v/>
      </c>
      <c r="F19" s="92">
        <v>0</v>
      </c>
      <c r="G19" s="69">
        <f>IF(F19&lt;Parâmetros!$E$3,Parâmetros!$F$3,VLOOKUP('Controle Vencimento Férias'!F19,Parâmetros!$C$3:$F$7,4,1))</f>
        <v>30</v>
      </c>
      <c r="H19" s="77" t="str">
        <f>IF(ISBLANK(D19),"",IF(E19&lt;=Parâmetros!$B$10,"Vencidas",IF(E19&gt;Parâmetros!$B$10,"Não vencidas")))</f>
        <v/>
      </c>
      <c r="I19" s="78" t="str">
        <f t="shared" si="1"/>
        <v/>
      </c>
      <c r="J19" s="95"/>
      <c r="K19" s="80" t="str">
        <f t="shared" si="2"/>
        <v/>
      </c>
      <c r="L19" s="72"/>
      <c r="M19" s="69">
        <f>IF(Parâmetros!L19=1,G19/3,IF(Parâmetros!L19=2,0))</f>
        <v>0</v>
      </c>
      <c r="N19" s="79" t="str">
        <f t="shared" si="3"/>
        <v/>
      </c>
      <c r="O19" s="74" t="str">
        <f>IF(ISBLANK(D19),"",IF(I19-Parâmetros!$B$10&lt;=65,I19-Parâmetros!$B$10,IF(I19-Parâmetros!$B$10&gt;65,I19-Parâmetros!$B$10)))</f>
        <v/>
      </c>
    </row>
    <row r="20" spans="2:15" x14ac:dyDescent="0.25">
      <c r="B20" s="82">
        <v>15</v>
      </c>
      <c r="C20" s="88"/>
      <c r="D20" s="89"/>
      <c r="E20" s="61" t="str">
        <f t="shared" si="0"/>
        <v/>
      </c>
      <c r="F20" s="93">
        <v>0</v>
      </c>
      <c r="G20" s="75">
        <f>IF(F20&lt;Parâmetros!$E$3,Parâmetros!$F$3,VLOOKUP('Controle Vencimento Férias'!F20,Parâmetros!$C$3:$F$7,4,1))</f>
        <v>30</v>
      </c>
      <c r="H20" s="63" t="str">
        <f>IF(ISBLANK(D20),"",IF(E20&lt;=Parâmetros!$B$10,"Vencidas",IF(E20&gt;Parâmetros!$B$10,"Não vencidas")))</f>
        <v/>
      </c>
      <c r="I20" s="64" t="str">
        <f t="shared" si="1"/>
        <v/>
      </c>
      <c r="J20" s="94"/>
      <c r="K20" s="64" t="str">
        <f t="shared" si="2"/>
        <v/>
      </c>
      <c r="L20" s="76"/>
      <c r="M20" s="75">
        <f>IF(Parâmetros!L22=1,G20/3,IF(Parâmetros!L22=2,0))</f>
        <v>0</v>
      </c>
      <c r="N20" s="62" t="str">
        <f t="shared" si="3"/>
        <v/>
      </c>
      <c r="O20" s="67" t="str">
        <f>IF(ISBLANK(D20),"",IF(I20-Parâmetros!$B$10&lt;=65,I20-Parâmetros!$B$10,IF(I20-Parâmetros!$B$10&gt;65,I20-Parâmetros!$B$10)))</f>
        <v/>
      </c>
    </row>
    <row r="21" spans="2:15" x14ac:dyDescent="0.25">
      <c r="B21" s="85">
        <v>16</v>
      </c>
      <c r="C21" s="86"/>
      <c r="D21" s="87"/>
      <c r="E21" s="68" t="str">
        <f t="shared" si="0"/>
        <v/>
      </c>
      <c r="F21" s="92">
        <v>0</v>
      </c>
      <c r="G21" s="69">
        <f>IF(F21&lt;Parâmetros!$E$3,Parâmetros!$F$3,VLOOKUP('Controle Vencimento Férias'!F21,Parâmetros!$C$3:$F$7,4,1))</f>
        <v>30</v>
      </c>
      <c r="H21" s="77" t="str">
        <f>IF(ISBLANK(D21),"",IF(E21&lt;=Parâmetros!$B$10,"Vencidas",IF(E21&gt;Parâmetros!$B$10,"Não vencidas")))</f>
        <v/>
      </c>
      <c r="I21" s="78" t="str">
        <f t="shared" si="1"/>
        <v/>
      </c>
      <c r="J21" s="95"/>
      <c r="K21" s="80" t="str">
        <f t="shared" si="2"/>
        <v/>
      </c>
      <c r="L21" s="72"/>
      <c r="M21" s="69">
        <f>IF(Parâmetros!L25=1,G21/3,IF(Parâmetros!L25=2,0))</f>
        <v>0</v>
      </c>
      <c r="N21" s="79" t="str">
        <f t="shared" si="3"/>
        <v/>
      </c>
      <c r="O21" s="74" t="str">
        <f>IF(ISBLANK(D21),"",IF(I21-Parâmetros!$B$10&lt;=65,I21-Parâmetros!$B$10,IF(I21-Parâmetros!$B$10&gt;65,I21-Parâmetros!$B$10)))</f>
        <v/>
      </c>
    </row>
    <row r="22" spans="2:15" x14ac:dyDescent="0.25">
      <c r="B22" s="82">
        <v>17</v>
      </c>
      <c r="C22" s="88"/>
      <c r="D22" s="89"/>
      <c r="E22" s="61" t="str">
        <f t="shared" si="0"/>
        <v/>
      </c>
      <c r="F22" s="93">
        <v>0</v>
      </c>
      <c r="G22" s="75">
        <f>IF(F22&lt;Parâmetros!$E$3,Parâmetros!$F$3,VLOOKUP('Controle Vencimento Férias'!F22,Parâmetros!$C$3:$F$7,4,1))</f>
        <v>30</v>
      </c>
      <c r="H22" s="63" t="str">
        <f>IF(ISBLANK(D22),"",IF(E22&lt;=Parâmetros!$B$10,"Vencidas",IF(E22&gt;Parâmetros!$B$10,"Não vencidas")))</f>
        <v/>
      </c>
      <c r="I22" s="64" t="str">
        <f t="shared" si="1"/>
        <v/>
      </c>
      <c r="J22" s="94"/>
      <c r="K22" s="64" t="str">
        <f t="shared" si="2"/>
        <v/>
      </c>
      <c r="L22" s="76"/>
      <c r="M22" s="75">
        <f>IF(Parâmetros!O4=1,G22/3,IF(Parâmetros!O4=2,0))</f>
        <v>0</v>
      </c>
      <c r="N22" s="62" t="str">
        <f t="shared" si="3"/>
        <v/>
      </c>
      <c r="O22" s="67" t="str">
        <f>IF(ISBLANK(D22),"",IF(I22-Parâmetros!$B$10&lt;=65,I22-Parâmetros!$B$10,IF(I22-Parâmetros!$B$10&gt;65,I22-Parâmetros!$B$10)))</f>
        <v/>
      </c>
    </row>
    <row r="23" spans="2:15" x14ac:dyDescent="0.25">
      <c r="B23" s="85">
        <v>18</v>
      </c>
      <c r="C23" s="86"/>
      <c r="D23" s="87"/>
      <c r="E23" s="68" t="str">
        <f t="shared" si="0"/>
        <v/>
      </c>
      <c r="F23" s="92">
        <v>0</v>
      </c>
      <c r="G23" s="69">
        <f>IF(F23&lt;Parâmetros!$E$3,Parâmetros!$F$3,VLOOKUP('Controle Vencimento Férias'!F23,Parâmetros!$C$3:$F$7,4,1))</f>
        <v>30</v>
      </c>
      <c r="H23" s="77" t="str">
        <f>IF(ISBLANK(D23),"",IF(E23&lt;=Parâmetros!$B$10,"Vencidas",IF(E23&gt;Parâmetros!$B$10,"Não vencidas")))</f>
        <v/>
      </c>
      <c r="I23" s="78" t="str">
        <f t="shared" si="1"/>
        <v/>
      </c>
      <c r="J23" s="95"/>
      <c r="K23" s="80" t="str">
        <f t="shared" si="2"/>
        <v/>
      </c>
      <c r="L23" s="72"/>
      <c r="M23" s="69">
        <f>IF(Parâmetros!O7=1,G23/3,IF(Parâmetros!O7=2,0))</f>
        <v>0</v>
      </c>
      <c r="N23" s="79" t="str">
        <f t="shared" si="3"/>
        <v/>
      </c>
      <c r="O23" s="74" t="str">
        <f>IF(ISBLANK(D23),"",IF(I23-Parâmetros!$B$10&lt;=65,I23-Parâmetros!$B$10,IF(I23-Parâmetros!$B$10&gt;65,I23-Parâmetros!$B$10)))</f>
        <v/>
      </c>
    </row>
    <row r="24" spans="2:15" x14ac:dyDescent="0.25">
      <c r="B24" s="82">
        <v>19</v>
      </c>
      <c r="C24" s="88"/>
      <c r="D24" s="89"/>
      <c r="E24" s="61" t="str">
        <f t="shared" si="0"/>
        <v/>
      </c>
      <c r="F24" s="93">
        <v>0</v>
      </c>
      <c r="G24" s="75">
        <f>IF(F24&lt;Parâmetros!$E$3,Parâmetros!$F$3,VLOOKUP('Controle Vencimento Férias'!F24,Parâmetros!$C$3:$F$7,4,1))</f>
        <v>30</v>
      </c>
      <c r="H24" s="63" t="str">
        <f>IF(ISBLANK(D24),"",IF(E24&lt;=Parâmetros!$B$10,"Vencidas",IF(E24&gt;Parâmetros!$B$10,"Não vencidas")))</f>
        <v/>
      </c>
      <c r="I24" s="64" t="str">
        <f t="shared" si="1"/>
        <v/>
      </c>
      <c r="J24" s="94"/>
      <c r="K24" s="64" t="str">
        <f t="shared" si="2"/>
        <v/>
      </c>
      <c r="L24" s="76"/>
      <c r="M24" s="75">
        <f>IF(Parâmetros!O10=1,G24/3,IF(Parâmetros!O10=2,0))</f>
        <v>0</v>
      </c>
      <c r="N24" s="62" t="str">
        <f t="shared" si="3"/>
        <v/>
      </c>
      <c r="O24" s="67" t="str">
        <f>IF(ISBLANK(D24),"",IF(I24-Parâmetros!$B$10&lt;=65,I24-Parâmetros!$B$10,IF(I24-Parâmetros!$B$10&gt;65,I24-Parâmetros!$B$10)))</f>
        <v/>
      </c>
    </row>
    <row r="25" spans="2:15" x14ac:dyDescent="0.25">
      <c r="B25" s="85">
        <v>20</v>
      </c>
      <c r="C25" s="86"/>
      <c r="D25" s="87"/>
      <c r="E25" s="68" t="str">
        <f t="shared" si="0"/>
        <v/>
      </c>
      <c r="F25" s="92">
        <v>0</v>
      </c>
      <c r="G25" s="69">
        <f>IF(F25&lt;Parâmetros!$E$3,Parâmetros!$F$3,VLOOKUP('Controle Vencimento Férias'!F25,Parâmetros!$C$3:$F$7,4,1))</f>
        <v>30</v>
      </c>
      <c r="H25" s="77" t="str">
        <f>IF(ISBLANK(D25),"",IF(E25&lt;=Parâmetros!$B$10,"Vencidas",IF(E25&gt;Parâmetros!$B$10,"Não vencidas")))</f>
        <v/>
      </c>
      <c r="I25" s="78" t="str">
        <f t="shared" si="1"/>
        <v/>
      </c>
      <c r="J25" s="95"/>
      <c r="K25" s="80" t="str">
        <f t="shared" si="2"/>
        <v/>
      </c>
      <c r="L25" s="72"/>
      <c r="M25" s="69">
        <f>IF(Parâmetros!O13=1,G25/3,IF(Parâmetros!O13=2,0))</f>
        <v>0</v>
      </c>
      <c r="N25" s="79" t="str">
        <f t="shared" si="3"/>
        <v/>
      </c>
      <c r="O25" s="74" t="str">
        <f>IF(ISBLANK(D25),"",IF(I25-Parâmetros!$B$10&lt;=65,I25-Parâmetros!$B$10,IF(I25-Parâmetros!$B$10&gt;65,I25-Parâmetros!$B$10)))</f>
        <v/>
      </c>
    </row>
    <row r="26" spans="2:15" x14ac:dyDescent="0.25">
      <c r="B26" s="82">
        <v>21</v>
      </c>
      <c r="C26" s="88"/>
      <c r="D26" s="89"/>
      <c r="E26" s="61" t="str">
        <f t="shared" si="0"/>
        <v/>
      </c>
      <c r="F26" s="93">
        <v>0</v>
      </c>
      <c r="G26" s="75">
        <f>IF(F26&lt;Parâmetros!$E$3,Parâmetros!$F$3,VLOOKUP('Controle Vencimento Férias'!F26,Parâmetros!$C$3:$F$7,4,1))</f>
        <v>30</v>
      </c>
      <c r="H26" s="63" t="str">
        <f>IF(ISBLANK(D26),"",IF(E26&lt;=Parâmetros!$B$10,"Vencidas",IF(E26&gt;Parâmetros!$B$10,"Não vencidas")))</f>
        <v/>
      </c>
      <c r="I26" s="64" t="str">
        <f t="shared" si="1"/>
        <v/>
      </c>
      <c r="J26" s="94"/>
      <c r="K26" s="64" t="str">
        <f t="shared" si="2"/>
        <v/>
      </c>
      <c r="L26" s="76"/>
      <c r="M26" s="75">
        <f>IF(Parâmetros!O16=1,G26/3,IF(Parâmetros!O16=2,0))</f>
        <v>0</v>
      </c>
      <c r="N26" s="62" t="str">
        <f t="shared" si="3"/>
        <v/>
      </c>
      <c r="O26" s="67" t="str">
        <f>IF(ISBLANK(D26),"",IF(I26-Parâmetros!$B$10&lt;=65,I26-Parâmetros!$B$10,IF(I26-Parâmetros!$B$10&gt;65,I26-Parâmetros!$B$10)))</f>
        <v/>
      </c>
    </row>
    <row r="27" spans="2:15" x14ac:dyDescent="0.25">
      <c r="B27" s="85">
        <v>22</v>
      </c>
      <c r="C27" s="86"/>
      <c r="D27" s="87"/>
      <c r="E27" s="68" t="str">
        <f t="shared" si="0"/>
        <v/>
      </c>
      <c r="F27" s="92">
        <v>0</v>
      </c>
      <c r="G27" s="69">
        <f>IF(F27&lt;Parâmetros!$E$3,Parâmetros!$F$3,VLOOKUP('Controle Vencimento Férias'!F27,Parâmetros!$C$3:$F$7,4,1))</f>
        <v>30</v>
      </c>
      <c r="H27" s="77" t="str">
        <f>IF(ISBLANK(D27),"",IF(E27&lt;=Parâmetros!$B$10,"Vencidas",IF(E27&gt;Parâmetros!$B$10,"Não vencidas")))</f>
        <v/>
      </c>
      <c r="I27" s="78" t="str">
        <f t="shared" si="1"/>
        <v/>
      </c>
      <c r="J27" s="95"/>
      <c r="K27" s="80" t="str">
        <f t="shared" si="2"/>
        <v/>
      </c>
      <c r="L27" s="72"/>
      <c r="M27" s="69">
        <f>IF(Parâmetros!O19=1,G27/3,IF(Parâmetros!O19=2,0))</f>
        <v>0</v>
      </c>
      <c r="N27" s="79" t="str">
        <f t="shared" si="3"/>
        <v/>
      </c>
      <c r="O27" s="74" t="str">
        <f>IF(ISBLANK(D27),"",IF(I27-Parâmetros!$B$10&lt;=65,I27-Parâmetros!$B$10,IF(I27-Parâmetros!$B$10&gt;65,I27-Parâmetros!$B$10)))</f>
        <v/>
      </c>
    </row>
    <row r="28" spans="2:15" x14ac:dyDescent="0.25">
      <c r="B28" s="82">
        <v>23</v>
      </c>
      <c r="C28" s="88"/>
      <c r="D28" s="89"/>
      <c r="E28" s="61" t="str">
        <f t="shared" si="0"/>
        <v/>
      </c>
      <c r="F28" s="93">
        <v>0</v>
      </c>
      <c r="G28" s="75">
        <f>IF(F28&lt;Parâmetros!$E$3,Parâmetros!$F$3,VLOOKUP('Controle Vencimento Férias'!F28,Parâmetros!$C$3:$F$7,4,1))</f>
        <v>30</v>
      </c>
      <c r="H28" s="63" t="str">
        <f>IF(ISBLANK(D28),"",IF(E28&lt;=Parâmetros!$B$10,"Vencidas",IF(E28&gt;Parâmetros!$B$10,"Não vencidas")))</f>
        <v/>
      </c>
      <c r="I28" s="64" t="str">
        <f t="shared" si="1"/>
        <v/>
      </c>
      <c r="J28" s="94"/>
      <c r="K28" s="64" t="str">
        <f t="shared" si="2"/>
        <v/>
      </c>
      <c r="L28" s="76"/>
      <c r="M28" s="75">
        <f>IF(Parâmetros!O22=1,G28/3,IF(Parâmetros!O22=2,0))</f>
        <v>0</v>
      </c>
      <c r="N28" s="62" t="str">
        <f t="shared" si="3"/>
        <v/>
      </c>
      <c r="O28" s="67" t="str">
        <f>IF(ISBLANK(D28),"",IF(I28-Parâmetros!$B$10&lt;=65,I28-Parâmetros!$B$10,IF(I28-Parâmetros!$B$10&gt;65,I28-Parâmetros!$B$10)))</f>
        <v/>
      </c>
    </row>
    <row r="29" spans="2:15" x14ac:dyDescent="0.25">
      <c r="B29" s="85">
        <v>24</v>
      </c>
      <c r="C29" s="86"/>
      <c r="D29" s="87"/>
      <c r="E29" s="68" t="str">
        <f t="shared" si="0"/>
        <v/>
      </c>
      <c r="F29" s="92">
        <v>0</v>
      </c>
      <c r="G29" s="69">
        <f>IF(F29&lt;Parâmetros!$E$3,Parâmetros!$F$3,VLOOKUP('Controle Vencimento Férias'!F29,Parâmetros!$C$3:$F$7,4,1))</f>
        <v>30</v>
      </c>
      <c r="H29" s="77" t="str">
        <f>IF(ISBLANK(D29),"",IF(E29&lt;=Parâmetros!$B$10,"Vencidas",IF(E29&gt;Parâmetros!$B$10,"Não vencidas")))</f>
        <v/>
      </c>
      <c r="I29" s="78" t="str">
        <f t="shared" si="1"/>
        <v/>
      </c>
      <c r="J29" s="95"/>
      <c r="K29" s="80" t="str">
        <f t="shared" si="2"/>
        <v/>
      </c>
      <c r="L29" s="72"/>
      <c r="M29" s="69">
        <f>IF(Parâmetros!O25=1,G29/3,IF(Parâmetros!O25=2,0))</f>
        <v>0</v>
      </c>
      <c r="N29" s="79" t="str">
        <f t="shared" si="3"/>
        <v/>
      </c>
      <c r="O29" s="74" t="str">
        <f>IF(ISBLANK(D29),"",IF(I29-Parâmetros!$B$10&lt;=65,I29-Parâmetros!$B$10,IF(I29-Parâmetros!$B$10&gt;65,I29-Parâmetros!$B$10)))</f>
        <v/>
      </c>
    </row>
    <row r="30" spans="2:15" x14ac:dyDescent="0.25">
      <c r="B30" s="82">
        <v>25</v>
      </c>
      <c r="C30" s="88"/>
      <c r="D30" s="89"/>
      <c r="E30" s="61" t="str">
        <f t="shared" si="0"/>
        <v/>
      </c>
      <c r="F30" s="93">
        <v>0</v>
      </c>
      <c r="G30" s="75">
        <f>IF(F30&lt;Parâmetros!$E$3,Parâmetros!$F$3,VLOOKUP('Controle Vencimento Férias'!F30,Parâmetros!$C$3:$F$7,4,1))</f>
        <v>30</v>
      </c>
      <c r="H30" s="63" t="str">
        <f>IF(ISBLANK(D30),"",IF(E30&lt;=Parâmetros!$B$10,"Vencidas",IF(E30&gt;Parâmetros!$B$10,"Não vencidas")))</f>
        <v/>
      </c>
      <c r="I30" s="64" t="str">
        <f t="shared" si="1"/>
        <v/>
      </c>
      <c r="J30" s="94"/>
      <c r="K30" s="64" t="str">
        <f t="shared" si="2"/>
        <v/>
      </c>
      <c r="L30" s="76"/>
      <c r="M30" s="75">
        <f>IF(Parâmetros!R4=1,G30/3,IF(Parâmetros!R4=2,0))</f>
        <v>0</v>
      </c>
      <c r="N30" s="62" t="str">
        <f t="shared" si="3"/>
        <v/>
      </c>
      <c r="O30" s="67" t="str">
        <f>IF(ISBLANK(D30),"",IF(I30-Parâmetros!$B$10&lt;=65,I30-Parâmetros!$B$10,IF(I30-Parâmetros!$B$10&gt;65,I30-Parâmetros!$B$10)))</f>
        <v/>
      </c>
    </row>
    <row r="31" spans="2:15" x14ac:dyDescent="0.25">
      <c r="B31" s="85">
        <v>26</v>
      </c>
      <c r="C31" s="86"/>
      <c r="D31" s="87"/>
      <c r="E31" s="68" t="str">
        <f t="shared" si="0"/>
        <v/>
      </c>
      <c r="F31" s="92">
        <v>0</v>
      </c>
      <c r="G31" s="69">
        <f>IF(F31&lt;Parâmetros!$E$3,Parâmetros!$F$3,VLOOKUP('Controle Vencimento Férias'!F31,Parâmetros!$C$3:$F$7,4,1))</f>
        <v>30</v>
      </c>
      <c r="H31" s="77" t="str">
        <f>IF(ISBLANK(D31),"",IF(E31&lt;=Parâmetros!$B$10,"Vencidas",IF(E31&gt;Parâmetros!$B$10,"Não vencidas")))</f>
        <v/>
      </c>
      <c r="I31" s="78" t="str">
        <f t="shared" si="1"/>
        <v/>
      </c>
      <c r="J31" s="95"/>
      <c r="K31" s="80" t="str">
        <f t="shared" ref="K31:K55" si="4">IF(ISBLANK(J31),"",(J31+G31-1)-M31)</f>
        <v/>
      </c>
      <c r="L31" s="72"/>
      <c r="M31" s="69">
        <f>IF(Parâmetros!R7=1,G31/3,IF(Parâmetros!R7=2,0))</f>
        <v>0</v>
      </c>
      <c r="N31" s="79" t="str">
        <f t="shared" si="3"/>
        <v/>
      </c>
      <c r="O31" s="74" t="str">
        <f>IF(ISBLANK(D31),"",IF(I31-Parâmetros!$B$10&lt;=65,I31-Parâmetros!$B$10,IF(I31-Parâmetros!$B$10&gt;65,I31-Parâmetros!$B$10)))</f>
        <v/>
      </c>
    </row>
    <row r="32" spans="2:15" x14ac:dyDescent="0.25">
      <c r="B32" s="82">
        <v>27</v>
      </c>
      <c r="C32" s="88"/>
      <c r="D32" s="89"/>
      <c r="E32" s="61" t="str">
        <f t="shared" si="0"/>
        <v/>
      </c>
      <c r="F32" s="93">
        <v>0</v>
      </c>
      <c r="G32" s="75">
        <f>IF(F32&lt;Parâmetros!$E$3,Parâmetros!$F$3,VLOOKUP('Controle Vencimento Férias'!F32,Parâmetros!$C$3:$F$7,4,1))</f>
        <v>30</v>
      </c>
      <c r="H32" s="63" t="str">
        <f>IF(ISBLANK(D32),"",IF(E32&lt;=Parâmetros!$B$10,"Vencidas",IF(E32&gt;Parâmetros!$B$10,"Não vencidas")))</f>
        <v/>
      </c>
      <c r="I32" s="64" t="str">
        <f t="shared" si="1"/>
        <v/>
      </c>
      <c r="J32" s="94"/>
      <c r="K32" s="64" t="str">
        <f t="shared" si="4"/>
        <v/>
      </c>
      <c r="L32" s="76"/>
      <c r="M32" s="75">
        <f>IF(Parâmetros!R10=1,G32/3,IF(Parâmetros!R10=2,0))</f>
        <v>0</v>
      </c>
      <c r="N32" s="62" t="str">
        <f t="shared" si="3"/>
        <v/>
      </c>
      <c r="O32" s="67" t="str">
        <f>IF(ISBLANK(D32),"",IF(I32-Parâmetros!$B$10&lt;=65,I32-Parâmetros!$B$10,IF(I32-Parâmetros!$B$10&gt;65,I32-Parâmetros!$B$10)))</f>
        <v/>
      </c>
    </row>
    <row r="33" spans="2:15" x14ac:dyDescent="0.25">
      <c r="B33" s="85">
        <v>28</v>
      </c>
      <c r="C33" s="86"/>
      <c r="D33" s="87"/>
      <c r="E33" s="68" t="str">
        <f t="shared" si="0"/>
        <v/>
      </c>
      <c r="F33" s="92">
        <v>0</v>
      </c>
      <c r="G33" s="69">
        <f>IF(F33&lt;Parâmetros!$E$3,Parâmetros!$F$3,VLOOKUP('Controle Vencimento Férias'!F33,Parâmetros!$C$3:$F$7,4,1))</f>
        <v>30</v>
      </c>
      <c r="H33" s="77" t="str">
        <f>IF(ISBLANK(D33),"",IF(E33&lt;=Parâmetros!$B$10,"Vencidas",IF(E33&gt;Parâmetros!$B$10,"Não vencidas")))</f>
        <v/>
      </c>
      <c r="I33" s="78" t="str">
        <f t="shared" si="1"/>
        <v/>
      </c>
      <c r="J33" s="95"/>
      <c r="K33" s="80" t="str">
        <f t="shared" si="4"/>
        <v/>
      </c>
      <c r="L33" s="72"/>
      <c r="M33" s="69">
        <f>IF(Parâmetros!R13=1,G33/3,IF(Parâmetros!R13=2,0))</f>
        <v>0</v>
      </c>
      <c r="N33" s="79" t="str">
        <f t="shared" si="3"/>
        <v/>
      </c>
      <c r="O33" s="74" t="str">
        <f>IF(ISBLANK(D33),"",IF(I33-Parâmetros!$B$10&lt;=65,I33-Parâmetros!$B$10,IF(I33-Parâmetros!$B$10&gt;65,I33-Parâmetros!$B$10)))</f>
        <v/>
      </c>
    </row>
    <row r="34" spans="2:15" x14ac:dyDescent="0.25">
      <c r="B34" s="82">
        <v>29</v>
      </c>
      <c r="C34" s="88"/>
      <c r="D34" s="89"/>
      <c r="E34" s="61" t="str">
        <f t="shared" si="0"/>
        <v/>
      </c>
      <c r="F34" s="93">
        <v>0</v>
      </c>
      <c r="G34" s="75">
        <f>IF(F34&lt;Parâmetros!$E$3,Parâmetros!$F$3,VLOOKUP('Controle Vencimento Férias'!F34,Parâmetros!$C$3:$F$7,4,1))</f>
        <v>30</v>
      </c>
      <c r="H34" s="63" t="str">
        <f>IF(ISBLANK(D34),"",IF(E34&lt;=Parâmetros!$B$10,"Vencidas",IF(E34&gt;Parâmetros!$B$10,"Não vencidas")))</f>
        <v/>
      </c>
      <c r="I34" s="64" t="str">
        <f t="shared" si="1"/>
        <v/>
      </c>
      <c r="J34" s="94"/>
      <c r="K34" s="64" t="str">
        <f t="shared" si="4"/>
        <v/>
      </c>
      <c r="L34" s="76"/>
      <c r="M34" s="75">
        <f>IF(Parâmetros!R16=1,G34/3,IF(Parâmetros!R16=2,0))</f>
        <v>0</v>
      </c>
      <c r="N34" s="62" t="str">
        <f t="shared" si="3"/>
        <v/>
      </c>
      <c r="O34" s="67" t="str">
        <f>IF(ISBLANK(D34),"",IF(I34-Parâmetros!$B$10&lt;=65,I34-Parâmetros!$B$10,IF(I34-Parâmetros!$B$10&gt;65,I34-Parâmetros!$B$10)))</f>
        <v/>
      </c>
    </row>
    <row r="35" spans="2:15" x14ac:dyDescent="0.25">
      <c r="B35" s="85">
        <v>30</v>
      </c>
      <c r="C35" s="86"/>
      <c r="D35" s="87"/>
      <c r="E35" s="68" t="str">
        <f t="shared" si="0"/>
        <v/>
      </c>
      <c r="F35" s="92">
        <v>0</v>
      </c>
      <c r="G35" s="69">
        <f>IF(F35&lt;Parâmetros!$E$3,Parâmetros!$F$3,VLOOKUP('Controle Vencimento Férias'!F35,Parâmetros!$C$3:$F$7,4,1))</f>
        <v>30</v>
      </c>
      <c r="H35" s="77" t="str">
        <f>IF(ISBLANK(D35),"",IF(E35&lt;=Parâmetros!$B$10,"Vencidas",IF(E35&gt;Parâmetros!$B$10,"Não vencidas")))</f>
        <v/>
      </c>
      <c r="I35" s="78" t="str">
        <f t="shared" si="1"/>
        <v/>
      </c>
      <c r="J35" s="95"/>
      <c r="K35" s="80" t="str">
        <f t="shared" si="4"/>
        <v/>
      </c>
      <c r="L35" s="72"/>
      <c r="M35" s="69">
        <f>IF(Parâmetros!R19=1,G35/3,IF(Parâmetros!R19=2,0))</f>
        <v>0</v>
      </c>
      <c r="N35" s="79" t="str">
        <f t="shared" si="3"/>
        <v/>
      </c>
      <c r="O35" s="74" t="str">
        <f>IF(ISBLANK(D35),"",IF(I35-Parâmetros!$B$10&lt;=65,I35-Parâmetros!$B$10,IF(I35-Parâmetros!$B$10&gt;65,I35-Parâmetros!$B$10)))</f>
        <v/>
      </c>
    </row>
    <row r="36" spans="2:15" x14ac:dyDescent="0.25">
      <c r="B36" s="82">
        <v>31</v>
      </c>
      <c r="C36" s="88"/>
      <c r="D36" s="89"/>
      <c r="E36" s="61" t="str">
        <f t="shared" si="0"/>
        <v/>
      </c>
      <c r="F36" s="93">
        <v>0</v>
      </c>
      <c r="G36" s="75">
        <f>IF(F36&lt;Parâmetros!$E$3,Parâmetros!$F$3,VLOOKUP('Controle Vencimento Férias'!F36,Parâmetros!$C$3:$F$7,4,1))</f>
        <v>30</v>
      </c>
      <c r="H36" s="63" t="str">
        <f>IF(ISBLANK(D36),"",IF(E36&lt;=Parâmetros!$B$10,"Vencidas",IF(E36&gt;Parâmetros!$B$10,"Não vencidas")))</f>
        <v/>
      </c>
      <c r="I36" s="64" t="str">
        <f t="shared" si="1"/>
        <v/>
      </c>
      <c r="J36" s="94"/>
      <c r="K36" s="64" t="str">
        <f t="shared" si="4"/>
        <v/>
      </c>
      <c r="L36" s="76"/>
      <c r="M36" s="75">
        <f>IF(Parâmetros!R22=1,G36/3,IF(Parâmetros!R22=2,0))</f>
        <v>0</v>
      </c>
      <c r="N36" s="62" t="str">
        <f t="shared" si="3"/>
        <v/>
      </c>
      <c r="O36" s="67" t="str">
        <f>IF(ISBLANK(D36),"",IF(I36-Parâmetros!$B$10&lt;=65,I36-Parâmetros!$B$10,IF(I36-Parâmetros!$B$10&gt;65,I36-Parâmetros!$B$10)))</f>
        <v/>
      </c>
    </row>
    <row r="37" spans="2:15" x14ac:dyDescent="0.25">
      <c r="B37" s="85">
        <v>32</v>
      </c>
      <c r="C37" s="86"/>
      <c r="D37" s="87"/>
      <c r="E37" s="68" t="str">
        <f t="shared" si="0"/>
        <v/>
      </c>
      <c r="F37" s="92">
        <v>0</v>
      </c>
      <c r="G37" s="69">
        <f>IF(F37&lt;Parâmetros!$E$3,Parâmetros!$F$3,VLOOKUP('Controle Vencimento Férias'!F37,Parâmetros!$C$3:$F$7,4,1))</f>
        <v>30</v>
      </c>
      <c r="H37" s="77" t="str">
        <f>IF(ISBLANK(D37),"",IF(E37&lt;=Parâmetros!$B$10,"Vencidas",IF(E37&gt;Parâmetros!$B$10,"Não vencidas")))</f>
        <v/>
      </c>
      <c r="I37" s="78" t="str">
        <f t="shared" si="1"/>
        <v/>
      </c>
      <c r="J37" s="95"/>
      <c r="K37" s="80" t="str">
        <f t="shared" si="4"/>
        <v/>
      </c>
      <c r="L37" s="72"/>
      <c r="M37" s="69">
        <f>IF(Parâmetros!R25=1,G37/3,IF(Parâmetros!R25=2,0))</f>
        <v>0</v>
      </c>
      <c r="N37" s="79" t="str">
        <f t="shared" si="3"/>
        <v/>
      </c>
      <c r="O37" s="74" t="str">
        <f>IF(ISBLANK(D37),"",IF(I37-Parâmetros!$B$10&lt;=65,I37-Parâmetros!$B$10,IF(I37-Parâmetros!$B$10&gt;65,I37-Parâmetros!$B$10)))</f>
        <v/>
      </c>
    </row>
    <row r="38" spans="2:15" x14ac:dyDescent="0.25">
      <c r="B38" s="82">
        <v>33</v>
      </c>
      <c r="C38" s="88"/>
      <c r="D38" s="89"/>
      <c r="E38" s="61" t="str">
        <f t="shared" si="0"/>
        <v/>
      </c>
      <c r="F38" s="93">
        <v>0</v>
      </c>
      <c r="G38" s="75">
        <f>IF(F38&lt;Parâmetros!$E$3,Parâmetros!$F$3,VLOOKUP('Controle Vencimento Férias'!F38,Parâmetros!$C$3:$F$7,4,1))</f>
        <v>30</v>
      </c>
      <c r="H38" s="63" t="str">
        <f>IF(ISBLANK(D38),"",IF(E38&lt;=Parâmetros!$B$10,"Vencidas",IF(E38&gt;Parâmetros!$B$10,"Não vencidas")))</f>
        <v/>
      </c>
      <c r="I38" s="64" t="str">
        <f t="shared" si="1"/>
        <v/>
      </c>
      <c r="J38" s="94"/>
      <c r="K38" s="64" t="str">
        <f t="shared" si="4"/>
        <v/>
      </c>
      <c r="L38" s="76"/>
      <c r="M38" s="75">
        <f>IF(Parâmetros!U4=1,G38/3,IF(Parâmetros!U4=2,0))</f>
        <v>0</v>
      </c>
      <c r="N38" s="62" t="str">
        <f t="shared" si="3"/>
        <v/>
      </c>
      <c r="O38" s="67" t="str">
        <f>IF(ISBLANK(D38),"",IF(I38-Parâmetros!$B$10&lt;=65,I38-Parâmetros!$B$10,IF(I38-Parâmetros!$B$10&gt;65,I38-Parâmetros!$B$10)))</f>
        <v/>
      </c>
    </row>
    <row r="39" spans="2:15" x14ac:dyDescent="0.25">
      <c r="B39" s="85">
        <v>34</v>
      </c>
      <c r="C39" s="86"/>
      <c r="D39" s="87"/>
      <c r="E39" s="68" t="str">
        <f t="shared" si="0"/>
        <v/>
      </c>
      <c r="F39" s="92">
        <v>0</v>
      </c>
      <c r="G39" s="69">
        <f>IF(F39&lt;Parâmetros!$E$3,Parâmetros!$F$3,VLOOKUP('Controle Vencimento Férias'!F39,Parâmetros!$C$3:$F$7,4,1))</f>
        <v>30</v>
      </c>
      <c r="H39" s="77" t="str">
        <f>IF(ISBLANK(D39),"",IF(E39&lt;=Parâmetros!$B$10,"Vencidas",IF(E39&gt;Parâmetros!$B$10,"Não vencidas")))</f>
        <v/>
      </c>
      <c r="I39" s="78" t="str">
        <f t="shared" si="1"/>
        <v/>
      </c>
      <c r="J39" s="95"/>
      <c r="K39" s="80" t="str">
        <f t="shared" si="4"/>
        <v/>
      </c>
      <c r="L39" s="72"/>
      <c r="M39" s="69">
        <f>IF(Parâmetros!U7=1,G39/3,IF(Parâmetros!U7=2,0))</f>
        <v>0</v>
      </c>
      <c r="N39" s="79" t="str">
        <f t="shared" si="3"/>
        <v/>
      </c>
      <c r="O39" s="74" t="str">
        <f>IF(ISBLANK(D39),"",IF(I39-Parâmetros!$B$10&lt;=65,I39-Parâmetros!$B$10,IF(I39-Parâmetros!$B$10&gt;65,I39-Parâmetros!$B$10)))</f>
        <v/>
      </c>
    </row>
    <row r="40" spans="2:15" x14ac:dyDescent="0.25">
      <c r="B40" s="82">
        <v>35</v>
      </c>
      <c r="C40" s="88"/>
      <c r="D40" s="89"/>
      <c r="E40" s="61" t="str">
        <f t="shared" si="0"/>
        <v/>
      </c>
      <c r="F40" s="93">
        <v>0</v>
      </c>
      <c r="G40" s="75">
        <f>IF(F40&lt;Parâmetros!$E$3,Parâmetros!$F$3,VLOOKUP('Controle Vencimento Férias'!F40,Parâmetros!$C$3:$F$7,4,1))</f>
        <v>30</v>
      </c>
      <c r="H40" s="63" t="str">
        <f>IF(ISBLANK(D40),"",IF(E40&lt;=Parâmetros!$B$10,"Vencidas",IF(E40&gt;Parâmetros!$B$10,"Não vencidas")))</f>
        <v/>
      </c>
      <c r="I40" s="64" t="str">
        <f t="shared" si="1"/>
        <v/>
      </c>
      <c r="J40" s="94"/>
      <c r="K40" s="64" t="str">
        <f t="shared" si="4"/>
        <v/>
      </c>
      <c r="L40" s="76"/>
      <c r="M40" s="75">
        <f>IF(Parâmetros!U10=1,G40/3,IF(Parâmetros!U10=2,0))</f>
        <v>0</v>
      </c>
      <c r="N40" s="62" t="str">
        <f t="shared" si="3"/>
        <v/>
      </c>
      <c r="O40" s="67" t="str">
        <f>IF(ISBLANK(D40),"",IF(I40-Parâmetros!$B$10&lt;=65,I40-Parâmetros!$B$10,IF(I40-Parâmetros!$B$10&gt;65,I40-Parâmetros!$B$10)))</f>
        <v/>
      </c>
    </row>
    <row r="41" spans="2:15" x14ac:dyDescent="0.25">
      <c r="B41" s="85">
        <v>36</v>
      </c>
      <c r="C41" s="86"/>
      <c r="D41" s="87"/>
      <c r="E41" s="68" t="str">
        <f t="shared" si="0"/>
        <v/>
      </c>
      <c r="F41" s="92">
        <v>0</v>
      </c>
      <c r="G41" s="69">
        <f>IF(F41&lt;Parâmetros!$E$3,Parâmetros!$F$3,VLOOKUP('Controle Vencimento Férias'!F41,Parâmetros!$C$3:$F$7,4,1))</f>
        <v>30</v>
      </c>
      <c r="H41" s="77" t="str">
        <f>IF(ISBLANK(D41),"",IF(E41&lt;=Parâmetros!$B$10,"Vencidas",IF(E41&gt;Parâmetros!$B$10,"Não vencidas")))</f>
        <v/>
      </c>
      <c r="I41" s="78" t="str">
        <f t="shared" si="1"/>
        <v/>
      </c>
      <c r="J41" s="95"/>
      <c r="K41" s="80" t="str">
        <f t="shared" si="4"/>
        <v/>
      </c>
      <c r="L41" s="72"/>
      <c r="M41" s="69">
        <f>IF(Parâmetros!U13=1,G41/3,IF(Parâmetros!U13=2,0))</f>
        <v>0</v>
      </c>
      <c r="N41" s="79" t="str">
        <f t="shared" si="3"/>
        <v/>
      </c>
      <c r="O41" s="74" t="str">
        <f>IF(ISBLANK(D41),"",IF(I41-Parâmetros!$B$10&lt;=65,I41-Parâmetros!$B$10,IF(I41-Parâmetros!$B$10&gt;65,I41-Parâmetros!$B$10)))</f>
        <v/>
      </c>
    </row>
    <row r="42" spans="2:15" x14ac:dyDescent="0.25">
      <c r="B42" s="82">
        <v>37</v>
      </c>
      <c r="C42" s="88"/>
      <c r="D42" s="89"/>
      <c r="E42" s="61" t="str">
        <f t="shared" si="0"/>
        <v/>
      </c>
      <c r="F42" s="93">
        <v>0</v>
      </c>
      <c r="G42" s="75">
        <f>IF(F42&lt;Parâmetros!$E$3,Parâmetros!$F$3,VLOOKUP('Controle Vencimento Férias'!F42,Parâmetros!$C$3:$F$7,4,1))</f>
        <v>30</v>
      </c>
      <c r="H42" s="63" t="str">
        <f>IF(ISBLANK(D42),"",IF(E42&lt;=Parâmetros!$B$10,"Vencidas",IF(E42&gt;Parâmetros!$B$10,"Não vencidas")))</f>
        <v/>
      </c>
      <c r="I42" s="64" t="str">
        <f t="shared" si="1"/>
        <v/>
      </c>
      <c r="J42" s="94"/>
      <c r="K42" s="64" t="str">
        <f t="shared" si="4"/>
        <v/>
      </c>
      <c r="L42" s="76"/>
      <c r="M42" s="75">
        <f>IF(Parâmetros!U16=1,G42/3,IF(Parâmetros!U16=2,0))</f>
        <v>0</v>
      </c>
      <c r="N42" s="62" t="str">
        <f t="shared" si="3"/>
        <v/>
      </c>
      <c r="O42" s="67" t="str">
        <f>IF(ISBLANK(D42),"",IF(I42-Parâmetros!$B$10&lt;=65,I42-Parâmetros!$B$10,IF(I42-Parâmetros!$B$10&gt;65,I42-Parâmetros!$B$10)))</f>
        <v/>
      </c>
    </row>
    <row r="43" spans="2:15" x14ac:dyDescent="0.25">
      <c r="B43" s="85">
        <v>38</v>
      </c>
      <c r="C43" s="86"/>
      <c r="D43" s="87"/>
      <c r="E43" s="68" t="str">
        <f t="shared" si="0"/>
        <v/>
      </c>
      <c r="F43" s="92">
        <v>0</v>
      </c>
      <c r="G43" s="69">
        <f>IF(F43&lt;Parâmetros!$E$3,Parâmetros!$F$3,VLOOKUP('Controle Vencimento Férias'!F43,Parâmetros!$C$3:$F$7,4,1))</f>
        <v>30</v>
      </c>
      <c r="H43" s="77" t="str">
        <f>IF(ISBLANK(D43),"",IF(E43&lt;=Parâmetros!$B$10,"Vencidas",IF(E43&gt;Parâmetros!$B$10,"Não vencidas")))</f>
        <v/>
      </c>
      <c r="I43" s="78" t="str">
        <f t="shared" si="1"/>
        <v/>
      </c>
      <c r="J43" s="95"/>
      <c r="K43" s="80" t="str">
        <f t="shared" si="4"/>
        <v/>
      </c>
      <c r="L43" s="72"/>
      <c r="M43" s="69">
        <f>IF(Parâmetros!U19=1,G43/3,IF(Parâmetros!U19=2,0))</f>
        <v>0</v>
      </c>
      <c r="N43" s="79" t="str">
        <f t="shared" si="3"/>
        <v/>
      </c>
      <c r="O43" s="74" t="str">
        <f>IF(ISBLANK(D43),"",IF(I43-Parâmetros!$B$10&lt;=65,I43-Parâmetros!$B$10,IF(I43-Parâmetros!$B$10&gt;65,I43-Parâmetros!$B$10)))</f>
        <v/>
      </c>
    </row>
    <row r="44" spans="2:15" x14ac:dyDescent="0.25">
      <c r="B44" s="82">
        <v>39</v>
      </c>
      <c r="C44" s="88"/>
      <c r="D44" s="89"/>
      <c r="E44" s="61" t="str">
        <f t="shared" si="0"/>
        <v/>
      </c>
      <c r="F44" s="93">
        <v>0</v>
      </c>
      <c r="G44" s="75">
        <f>IF(F44&lt;Parâmetros!$E$3,Parâmetros!$F$3,VLOOKUP('Controle Vencimento Férias'!F44,Parâmetros!$C$3:$F$7,4,1))</f>
        <v>30</v>
      </c>
      <c r="H44" s="63" t="str">
        <f>IF(ISBLANK(D44),"",IF(E44&lt;=Parâmetros!$B$10,"Vencidas",IF(E44&gt;Parâmetros!$B$10,"Não vencidas")))</f>
        <v/>
      </c>
      <c r="I44" s="64" t="str">
        <f t="shared" si="1"/>
        <v/>
      </c>
      <c r="J44" s="94"/>
      <c r="K44" s="64" t="str">
        <f t="shared" si="4"/>
        <v/>
      </c>
      <c r="L44" s="76"/>
      <c r="M44" s="75">
        <f>IF(Parâmetros!U22=1,G44/3,IF(Parâmetros!U22=2,0))</f>
        <v>0</v>
      </c>
      <c r="N44" s="62" t="str">
        <f t="shared" si="3"/>
        <v/>
      </c>
      <c r="O44" s="67" t="str">
        <f>IF(ISBLANK(D44),"",IF(I44-Parâmetros!$B$10&lt;=65,I44-Parâmetros!$B$10,IF(I44-Parâmetros!$B$10&gt;65,I44-Parâmetros!$B$10)))</f>
        <v/>
      </c>
    </row>
    <row r="45" spans="2:15" x14ac:dyDescent="0.25">
      <c r="B45" s="85">
        <v>40</v>
      </c>
      <c r="C45" s="86"/>
      <c r="D45" s="87"/>
      <c r="E45" s="68" t="str">
        <f t="shared" si="0"/>
        <v/>
      </c>
      <c r="F45" s="92">
        <v>0</v>
      </c>
      <c r="G45" s="69">
        <f>IF(F45&lt;Parâmetros!$E$3,Parâmetros!$F$3,VLOOKUP('Controle Vencimento Férias'!F45,Parâmetros!$C$3:$F$7,4,1))</f>
        <v>30</v>
      </c>
      <c r="H45" s="77" t="str">
        <f>IF(ISBLANK(D45),"",IF(E45&lt;=Parâmetros!$B$10,"Vencidas",IF(E45&gt;Parâmetros!$B$10,"Não vencidas")))</f>
        <v/>
      </c>
      <c r="I45" s="78" t="str">
        <f t="shared" si="1"/>
        <v/>
      </c>
      <c r="J45" s="95"/>
      <c r="K45" s="80" t="str">
        <f t="shared" si="4"/>
        <v/>
      </c>
      <c r="L45" s="72"/>
      <c r="M45" s="69">
        <f>IF(Parâmetros!U25=1,G45/3,IF(Parâmetros!U25=2,0))</f>
        <v>0</v>
      </c>
      <c r="N45" s="79" t="str">
        <f t="shared" si="3"/>
        <v/>
      </c>
      <c r="O45" s="74" t="str">
        <f>IF(ISBLANK(D45),"",IF(I45-Parâmetros!$B$10&lt;=65,I45-Parâmetros!$B$10,IF(I45-Parâmetros!$B$10&gt;65,I45-Parâmetros!$B$10)))</f>
        <v/>
      </c>
    </row>
    <row r="46" spans="2:15" x14ac:dyDescent="0.25">
      <c r="B46" s="82">
        <v>41</v>
      </c>
      <c r="C46" s="88"/>
      <c r="D46" s="89"/>
      <c r="E46" s="61" t="str">
        <f t="shared" si="0"/>
        <v/>
      </c>
      <c r="F46" s="93">
        <v>0</v>
      </c>
      <c r="G46" s="75">
        <f>IF(F46&lt;Parâmetros!$E$3,Parâmetros!$F$3,VLOOKUP('Controle Vencimento Férias'!F46,Parâmetros!$C$3:$F$7,4,1))</f>
        <v>30</v>
      </c>
      <c r="H46" s="63" t="str">
        <f>IF(ISBLANK(D46),"",IF(E46&lt;=Parâmetros!$B$10,"Vencidas",IF(E46&gt;Parâmetros!$B$10,"Não vencidas")))</f>
        <v/>
      </c>
      <c r="I46" s="64" t="str">
        <f t="shared" si="1"/>
        <v/>
      </c>
      <c r="J46" s="94"/>
      <c r="K46" s="64" t="str">
        <f t="shared" si="4"/>
        <v/>
      </c>
      <c r="L46" s="76"/>
      <c r="M46" s="75">
        <f>IF(Parâmetros!X4=1,G46/3,IF(Parâmetros!X4=2,0))</f>
        <v>0</v>
      </c>
      <c r="N46" s="62" t="str">
        <f t="shared" si="3"/>
        <v/>
      </c>
      <c r="O46" s="67" t="str">
        <f>IF(ISBLANK(D46),"",IF(I46-Parâmetros!$B$10&lt;=65,I46-Parâmetros!$B$10,IF(I46-Parâmetros!$B$10&gt;65,I46-Parâmetros!$B$10)))</f>
        <v/>
      </c>
    </row>
    <row r="47" spans="2:15" x14ac:dyDescent="0.25">
      <c r="B47" s="85">
        <v>42</v>
      </c>
      <c r="C47" s="86"/>
      <c r="D47" s="87"/>
      <c r="E47" s="68" t="str">
        <f t="shared" si="0"/>
        <v/>
      </c>
      <c r="F47" s="92">
        <v>0</v>
      </c>
      <c r="G47" s="69">
        <f>IF(F47&lt;Parâmetros!$E$3,Parâmetros!$F$3,VLOOKUP('Controle Vencimento Férias'!F47,Parâmetros!$C$3:$F$7,4,1))</f>
        <v>30</v>
      </c>
      <c r="H47" s="77" t="str">
        <f>IF(ISBLANK(D47),"",IF(E47&lt;=Parâmetros!$B$10,"Vencidas",IF(E47&gt;Parâmetros!$B$10,"Não vencidas")))</f>
        <v/>
      </c>
      <c r="I47" s="78" t="str">
        <f t="shared" si="1"/>
        <v/>
      </c>
      <c r="J47" s="95"/>
      <c r="K47" s="80" t="str">
        <f t="shared" si="4"/>
        <v/>
      </c>
      <c r="L47" s="72"/>
      <c r="M47" s="69">
        <f>IF(Parâmetros!X7=1,G47/3,IF(Parâmetros!X7=2,0))</f>
        <v>0</v>
      </c>
      <c r="N47" s="79" t="str">
        <f t="shared" si="3"/>
        <v/>
      </c>
      <c r="O47" s="74" t="str">
        <f>IF(ISBLANK(D47),"",IF(I47-Parâmetros!$B$10&lt;=65,I47-Parâmetros!$B$10,IF(I47-Parâmetros!$B$10&gt;65,I47-Parâmetros!$B$10)))</f>
        <v/>
      </c>
    </row>
    <row r="48" spans="2:15" x14ac:dyDescent="0.25">
      <c r="B48" s="82">
        <v>43</v>
      </c>
      <c r="C48" s="88"/>
      <c r="D48" s="89"/>
      <c r="E48" s="61" t="str">
        <f t="shared" si="0"/>
        <v/>
      </c>
      <c r="F48" s="93">
        <v>0</v>
      </c>
      <c r="G48" s="75">
        <f>IF(F48&lt;Parâmetros!$E$3,Parâmetros!$F$3,VLOOKUP('Controle Vencimento Férias'!F48,Parâmetros!$C$3:$F$7,4,1))</f>
        <v>30</v>
      </c>
      <c r="H48" s="63" t="str">
        <f>IF(ISBLANK(D48),"",IF(E48&lt;=Parâmetros!$B$10,"Vencidas",IF(E48&gt;Parâmetros!$B$10,"Não vencidas")))</f>
        <v/>
      </c>
      <c r="I48" s="64" t="str">
        <f t="shared" si="1"/>
        <v/>
      </c>
      <c r="J48" s="94"/>
      <c r="K48" s="64" t="str">
        <f t="shared" si="4"/>
        <v/>
      </c>
      <c r="L48" s="76"/>
      <c r="M48" s="75">
        <f>IF(Parâmetros!X10=1,G48/3,IF(Parâmetros!X10=2,0))</f>
        <v>0</v>
      </c>
      <c r="N48" s="62" t="str">
        <f t="shared" si="3"/>
        <v/>
      </c>
      <c r="O48" s="67" t="str">
        <f>IF(ISBLANK(D48),"",IF(I48-Parâmetros!$B$10&lt;=65,I48-Parâmetros!$B$10,IF(I48-Parâmetros!$B$10&gt;65,I48-Parâmetros!$B$10)))</f>
        <v/>
      </c>
    </row>
    <row r="49" spans="2:15" x14ac:dyDescent="0.25">
      <c r="B49" s="85">
        <v>44</v>
      </c>
      <c r="C49" s="86"/>
      <c r="D49" s="87"/>
      <c r="E49" s="68" t="str">
        <f t="shared" si="0"/>
        <v/>
      </c>
      <c r="F49" s="92">
        <v>0</v>
      </c>
      <c r="G49" s="69">
        <f>IF(F49&lt;Parâmetros!$E$3,Parâmetros!$F$3,VLOOKUP('Controle Vencimento Férias'!F49,Parâmetros!$C$3:$F$7,4,1))</f>
        <v>30</v>
      </c>
      <c r="H49" s="77" t="str">
        <f>IF(ISBLANK(D49),"",IF(E49&lt;=Parâmetros!$B$10,"Vencidas",IF(E49&gt;Parâmetros!$B$10,"Não vencidas")))</f>
        <v/>
      </c>
      <c r="I49" s="78" t="str">
        <f t="shared" si="1"/>
        <v/>
      </c>
      <c r="J49" s="95"/>
      <c r="K49" s="80" t="str">
        <f t="shared" si="4"/>
        <v/>
      </c>
      <c r="L49" s="72"/>
      <c r="M49" s="69">
        <f>IF(Parâmetros!X13=1,G49/3,IF(Parâmetros!X13=2,0))</f>
        <v>0</v>
      </c>
      <c r="N49" s="79" t="str">
        <f t="shared" si="3"/>
        <v/>
      </c>
      <c r="O49" s="74" t="str">
        <f>IF(ISBLANK(D49),"",IF(I49-Parâmetros!$B$10&lt;=65,I49-Parâmetros!$B$10,IF(I49-Parâmetros!$B$10&gt;65,I49-Parâmetros!$B$10)))</f>
        <v/>
      </c>
    </row>
    <row r="50" spans="2:15" x14ac:dyDescent="0.25">
      <c r="B50" s="82">
        <v>45</v>
      </c>
      <c r="C50" s="88"/>
      <c r="D50" s="89"/>
      <c r="E50" s="61" t="str">
        <f t="shared" si="0"/>
        <v/>
      </c>
      <c r="F50" s="93">
        <v>0</v>
      </c>
      <c r="G50" s="75">
        <f>IF(F50&lt;Parâmetros!$E$3,Parâmetros!$F$3,VLOOKUP('Controle Vencimento Férias'!F50,Parâmetros!$C$3:$F$7,4,1))</f>
        <v>30</v>
      </c>
      <c r="H50" s="63" t="str">
        <f>IF(ISBLANK(D50),"",IF(E50&lt;=Parâmetros!$B$10,"Vencidas",IF(E50&gt;Parâmetros!$B$10,"Não vencidas")))</f>
        <v/>
      </c>
      <c r="I50" s="64" t="str">
        <f t="shared" si="1"/>
        <v/>
      </c>
      <c r="J50" s="94"/>
      <c r="K50" s="64" t="str">
        <f t="shared" si="4"/>
        <v/>
      </c>
      <c r="L50" s="76"/>
      <c r="M50" s="75">
        <f>IF(Parâmetros!X16=1,G50/3,IF(Parâmetros!X16=2,0))</f>
        <v>0</v>
      </c>
      <c r="N50" s="62" t="str">
        <f t="shared" si="3"/>
        <v/>
      </c>
      <c r="O50" s="67" t="str">
        <f>IF(ISBLANK(D50),"",IF(I50-Parâmetros!$B$10&lt;=65,I50-Parâmetros!$B$10,IF(I50-Parâmetros!$B$10&gt;65,I50-Parâmetros!$B$10)))</f>
        <v/>
      </c>
    </row>
    <row r="51" spans="2:15" x14ac:dyDescent="0.25">
      <c r="B51" s="85">
        <v>46</v>
      </c>
      <c r="C51" s="86"/>
      <c r="D51" s="87"/>
      <c r="E51" s="68" t="str">
        <f t="shared" si="0"/>
        <v/>
      </c>
      <c r="F51" s="92">
        <v>0</v>
      </c>
      <c r="G51" s="69">
        <f>IF(F51&lt;Parâmetros!$E$3,Parâmetros!$F$3,VLOOKUP('Controle Vencimento Férias'!F51,Parâmetros!$C$3:$F$7,4,1))</f>
        <v>30</v>
      </c>
      <c r="H51" s="77" t="str">
        <f>IF(ISBLANK(D51),"",IF(E51&lt;=Parâmetros!$B$10,"Vencidas",IF(E51&gt;Parâmetros!$B$10,"Não vencidas")))</f>
        <v/>
      </c>
      <c r="I51" s="78" t="str">
        <f t="shared" si="1"/>
        <v/>
      </c>
      <c r="J51" s="95"/>
      <c r="K51" s="80" t="str">
        <f t="shared" si="4"/>
        <v/>
      </c>
      <c r="L51" s="72"/>
      <c r="M51" s="69">
        <f>IF(Parâmetros!X19=1,G51/3,IF(Parâmetros!X19=2,0))</f>
        <v>0</v>
      </c>
      <c r="N51" s="79" t="str">
        <f t="shared" si="3"/>
        <v/>
      </c>
      <c r="O51" s="74" t="str">
        <f>IF(ISBLANK(D51),"",IF(I51-Parâmetros!$B$10&lt;=65,I51-Parâmetros!$B$10,IF(I51-Parâmetros!$B$10&gt;65,I51-Parâmetros!$B$10)))</f>
        <v/>
      </c>
    </row>
    <row r="52" spans="2:15" x14ac:dyDescent="0.25">
      <c r="B52" s="82">
        <v>47</v>
      </c>
      <c r="C52" s="88"/>
      <c r="D52" s="89"/>
      <c r="E52" s="61" t="str">
        <f t="shared" si="0"/>
        <v/>
      </c>
      <c r="F52" s="93">
        <v>0</v>
      </c>
      <c r="G52" s="75">
        <f>IF(F52&lt;Parâmetros!$E$3,Parâmetros!$F$3,VLOOKUP('Controle Vencimento Férias'!F52,Parâmetros!$C$3:$F$7,4,1))</f>
        <v>30</v>
      </c>
      <c r="H52" s="63" t="str">
        <f>IF(ISBLANK(D52),"",IF(E52&lt;=Parâmetros!$B$10,"Vencidas",IF(E52&gt;Parâmetros!$B$10,"Não vencidas")))</f>
        <v/>
      </c>
      <c r="I52" s="64" t="str">
        <f t="shared" si="1"/>
        <v/>
      </c>
      <c r="J52" s="94"/>
      <c r="K52" s="64" t="str">
        <f t="shared" si="4"/>
        <v/>
      </c>
      <c r="L52" s="76"/>
      <c r="M52" s="75">
        <f>IF(Parâmetros!X22=1,G52/3,IF(Parâmetros!X22=2,0))</f>
        <v>0</v>
      </c>
      <c r="N52" s="62" t="str">
        <f t="shared" si="3"/>
        <v/>
      </c>
      <c r="O52" s="67" t="str">
        <f>IF(ISBLANK(D52),"",IF(I52-Parâmetros!$B$10&lt;=65,I52-Parâmetros!$B$10,IF(I52-Parâmetros!$B$10&gt;65,I52-Parâmetros!$B$10)))</f>
        <v/>
      </c>
    </row>
    <row r="53" spans="2:15" x14ac:dyDescent="0.25">
      <c r="B53" s="85">
        <v>48</v>
      </c>
      <c r="C53" s="86"/>
      <c r="D53" s="87"/>
      <c r="E53" s="68" t="str">
        <f t="shared" si="0"/>
        <v/>
      </c>
      <c r="F53" s="92">
        <v>0</v>
      </c>
      <c r="G53" s="69">
        <f>IF(F53&lt;Parâmetros!$E$3,Parâmetros!$F$3,VLOOKUP('Controle Vencimento Férias'!F53,Parâmetros!$C$3:$F$7,4,1))</f>
        <v>30</v>
      </c>
      <c r="H53" s="77" t="str">
        <f>IF(ISBLANK(D53),"",IF(E53&lt;=Parâmetros!$B$10,"Vencidas",IF(E53&gt;Parâmetros!$B$10,"Não vencidas")))</f>
        <v/>
      </c>
      <c r="I53" s="78" t="str">
        <f t="shared" si="1"/>
        <v/>
      </c>
      <c r="J53" s="95"/>
      <c r="K53" s="80" t="str">
        <f t="shared" si="4"/>
        <v/>
      </c>
      <c r="L53" s="72"/>
      <c r="M53" s="69">
        <f>IF(Parâmetros!X25=1,G53/3,IF(Parâmetros!X25=2,0))</f>
        <v>0</v>
      </c>
      <c r="N53" s="79" t="str">
        <f t="shared" si="3"/>
        <v/>
      </c>
      <c r="O53" s="74" t="str">
        <f>IF(ISBLANK(D53),"",IF(I53-Parâmetros!$B$10&lt;=65,I53-Parâmetros!$B$10,IF(I53-Parâmetros!$B$10&gt;65,I53-Parâmetros!$B$10)))</f>
        <v/>
      </c>
    </row>
    <row r="54" spans="2:15" x14ac:dyDescent="0.25">
      <c r="B54" s="82">
        <v>49</v>
      </c>
      <c r="C54" s="88"/>
      <c r="D54" s="89"/>
      <c r="E54" s="61" t="str">
        <f t="shared" si="0"/>
        <v/>
      </c>
      <c r="F54" s="93">
        <v>0</v>
      </c>
      <c r="G54" s="75">
        <f>IF(F54&lt;Parâmetros!$E$3,Parâmetros!$F$3,VLOOKUP('Controle Vencimento Férias'!F54,Parâmetros!$C$3:$F$7,4,1))</f>
        <v>30</v>
      </c>
      <c r="H54" s="63" t="str">
        <f>IF(ISBLANK(D54),"",IF(E54&lt;=Parâmetros!$B$10,"Vencidas",IF(E54&gt;Parâmetros!$B$10,"Não vencidas")))</f>
        <v/>
      </c>
      <c r="I54" s="64" t="str">
        <f t="shared" si="1"/>
        <v/>
      </c>
      <c r="J54" s="94"/>
      <c r="K54" s="64" t="str">
        <f t="shared" si="4"/>
        <v/>
      </c>
      <c r="L54" s="76"/>
      <c r="M54" s="75">
        <f>IF(Parâmetros!AA4=1,G54/3,IF(Parâmetros!AA4=2,0))</f>
        <v>0</v>
      </c>
      <c r="N54" s="62" t="str">
        <f t="shared" si="3"/>
        <v/>
      </c>
      <c r="O54" s="67" t="str">
        <f>IF(ISBLANK(D54),"",IF(I54-Parâmetros!$B$10&lt;=65,I54-Parâmetros!$B$10,IF(I54-Parâmetros!$B$10&gt;65,I54-Parâmetros!$B$10)))</f>
        <v/>
      </c>
    </row>
    <row r="55" spans="2:15" x14ac:dyDescent="0.25">
      <c r="B55" s="85">
        <v>50</v>
      </c>
      <c r="C55" s="86"/>
      <c r="D55" s="90"/>
      <c r="E55" s="68" t="str">
        <f t="shared" si="0"/>
        <v/>
      </c>
      <c r="F55" s="92">
        <v>0</v>
      </c>
      <c r="G55" s="69">
        <f>IF(F55&lt;Parâmetros!$E$3,Parâmetros!$F$3,VLOOKUP('Controle Vencimento Férias'!F55,Parâmetros!$C$3:$F$7,4,1))</f>
        <v>30</v>
      </c>
      <c r="H55" s="77" t="str">
        <f>IF(ISBLANK(D55),"",IF(E55&lt;=Parâmetros!$B$10,"Vencidas",IF(E55&gt;Parâmetros!$B$10,"Não vencidas")))</f>
        <v/>
      </c>
      <c r="I55" s="78" t="str">
        <f t="shared" si="1"/>
        <v/>
      </c>
      <c r="J55" s="95"/>
      <c r="K55" s="80" t="str">
        <f t="shared" si="4"/>
        <v/>
      </c>
      <c r="L55" s="72"/>
      <c r="M55" s="69">
        <f>IF(Parâmetros!AA7=1,G55/3,IF(Parâmetros!AA7=2,0))</f>
        <v>0</v>
      </c>
      <c r="N55" s="79" t="str">
        <f t="shared" si="3"/>
        <v/>
      </c>
      <c r="O55" s="74" t="str">
        <f>IF(ISBLANK(D55),"",IF(I55-Parâmetros!$B$10&lt;=65,I55-Parâmetros!$B$10,IF(I55-Parâmetros!$B$10&gt;65,I55-Parâmetros!$B$10)))</f>
        <v/>
      </c>
    </row>
  </sheetData>
  <sheetProtection password="CFCD" sheet="1" objects="1" scenarios="1"/>
  <mergeCells count="6">
    <mergeCell ref="B2:O2"/>
    <mergeCell ref="D4:E4"/>
    <mergeCell ref="B4:B5"/>
    <mergeCell ref="C4:C5"/>
    <mergeCell ref="H4:H5"/>
    <mergeCell ref="J4:K4"/>
  </mergeCells>
  <conditionalFormatting sqref="H6:H55">
    <cfRule type="cellIs" dxfId="11" priority="36" operator="equal">
      <formula>"Não vencidas"</formula>
    </cfRule>
    <cfRule type="cellIs" dxfId="10" priority="37" operator="equal">
      <formula>"Vencidas"</formula>
    </cfRule>
  </conditionalFormatting>
  <conditionalFormatting sqref="N6:N55">
    <cfRule type="cellIs" dxfId="9" priority="34" operator="equal">
      <formula>"Férias Em dobro"</formula>
    </cfRule>
    <cfRule type="cellIs" dxfId="8" priority="35" operator="equal">
      <formula>"No prazo"</formula>
    </cfRule>
  </conditionalFormatting>
  <conditionalFormatting sqref="N6:N55">
    <cfRule type="cellIs" dxfId="7" priority="25" operator="equal">
      <formula>"Aguardar programação"</formula>
    </cfRule>
  </conditionalFormatting>
  <conditionalFormatting sqref="Q11">
    <cfRule type="cellIs" dxfId="6" priority="10" operator="equal">
      <formula>"ALERTA"</formula>
    </cfRule>
    <cfRule type="cellIs" dxfId="5" priority="11" operator="equal">
      <formula>"ALERTA"</formula>
    </cfRule>
    <cfRule type="cellIs" dxfId="4" priority="12" operator="equal">
      <formula>"ALERTA"</formula>
    </cfRule>
    <cfRule type="cellIs" dxfId="3" priority="13" operator="equal">
      <formula>"ALERTA"</formula>
    </cfRule>
    <cfRule type="cellIs" dxfId="2" priority="14" operator="equal">
      <formula>"ALERTA"</formula>
    </cfRule>
  </conditionalFormatting>
  <conditionalFormatting sqref="O6:O55">
    <cfRule type="cellIs" dxfId="1" priority="1" operator="greaterThan">
      <formula>65</formula>
    </cfRule>
    <cfRule type="cellIs" dxfId="0" priority="2" operator="lessThan">
      <formula>65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locked="0" defaultSize="0" autoLine="0" autoPict="0">
                <anchor moveWithCells="1">
                  <from>
                    <xdr:col>11</xdr:col>
                    <xdr:colOff>38100</xdr:colOff>
                    <xdr:row>5</xdr:row>
                    <xdr:rowOff>19050</xdr:rowOff>
                  </from>
                  <to>
                    <xdr:col>11</xdr:col>
                    <xdr:colOff>685800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11</xdr:col>
                    <xdr:colOff>38100</xdr:colOff>
                    <xdr:row>6</xdr:row>
                    <xdr:rowOff>9525</xdr:rowOff>
                  </from>
                  <to>
                    <xdr:col>11</xdr:col>
                    <xdr:colOff>685800</xdr:colOff>
                    <xdr:row>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Drop Down 3">
              <controlPr defaultSize="0" autoLine="0" autoPict="0">
                <anchor moveWithCells="1">
                  <from>
                    <xdr:col>11</xdr:col>
                    <xdr:colOff>38100</xdr:colOff>
                    <xdr:row>7</xdr:row>
                    <xdr:rowOff>9525</xdr:rowOff>
                  </from>
                  <to>
                    <xdr:col>11</xdr:col>
                    <xdr:colOff>685800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Drop Down 4">
              <controlPr defaultSize="0" autoLine="0" autoPict="0">
                <anchor moveWithCells="1">
                  <from>
                    <xdr:col>11</xdr:col>
                    <xdr:colOff>38100</xdr:colOff>
                    <xdr:row>8</xdr:row>
                    <xdr:rowOff>9525</xdr:rowOff>
                  </from>
                  <to>
                    <xdr:col>11</xdr:col>
                    <xdr:colOff>685800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Drop Down 5">
              <controlPr defaultSize="0" autoLine="0" autoPict="0">
                <anchor moveWithCells="1">
                  <from>
                    <xdr:col>11</xdr:col>
                    <xdr:colOff>38100</xdr:colOff>
                    <xdr:row>9</xdr:row>
                    <xdr:rowOff>19050</xdr:rowOff>
                  </from>
                  <to>
                    <xdr:col>11</xdr:col>
                    <xdr:colOff>685800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Drop Down 6">
              <controlPr defaultSize="0" autoLine="0" autoPict="0">
                <anchor moveWithCells="1">
                  <from>
                    <xdr:col>11</xdr:col>
                    <xdr:colOff>38100</xdr:colOff>
                    <xdr:row>10</xdr:row>
                    <xdr:rowOff>19050</xdr:rowOff>
                  </from>
                  <to>
                    <xdr:col>11</xdr:col>
                    <xdr:colOff>685800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Drop Down 7">
              <controlPr defaultSize="0" autoLine="0" autoPict="0">
                <anchor moveWithCells="1">
                  <from>
                    <xdr:col>11</xdr:col>
                    <xdr:colOff>38100</xdr:colOff>
                    <xdr:row>11</xdr:row>
                    <xdr:rowOff>19050</xdr:rowOff>
                  </from>
                  <to>
                    <xdr:col>11</xdr:col>
                    <xdr:colOff>685800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Drop Down 8">
              <controlPr defaultSize="0" autoLine="0" autoPict="0">
                <anchor moveWithCells="1">
                  <from>
                    <xdr:col>11</xdr:col>
                    <xdr:colOff>38100</xdr:colOff>
                    <xdr:row>12</xdr:row>
                    <xdr:rowOff>19050</xdr:rowOff>
                  </from>
                  <to>
                    <xdr:col>11</xdr:col>
                    <xdr:colOff>685800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Drop Down 9">
              <controlPr defaultSize="0" autoLine="0" autoPict="0">
                <anchor moveWithCells="1">
                  <from>
                    <xdr:col>11</xdr:col>
                    <xdr:colOff>38100</xdr:colOff>
                    <xdr:row>13</xdr:row>
                    <xdr:rowOff>19050</xdr:rowOff>
                  </from>
                  <to>
                    <xdr:col>11</xdr:col>
                    <xdr:colOff>685800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Drop Down 10">
              <controlPr defaultSize="0" autoLine="0" autoPict="0">
                <anchor moveWithCells="1">
                  <from>
                    <xdr:col>11</xdr:col>
                    <xdr:colOff>38100</xdr:colOff>
                    <xdr:row>14</xdr:row>
                    <xdr:rowOff>19050</xdr:rowOff>
                  </from>
                  <to>
                    <xdr:col>11</xdr:col>
                    <xdr:colOff>685800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Drop Down 11">
              <controlPr defaultSize="0" autoLine="0" autoPict="0">
                <anchor moveWithCells="1">
                  <from>
                    <xdr:col>11</xdr:col>
                    <xdr:colOff>38100</xdr:colOff>
                    <xdr:row>15</xdr:row>
                    <xdr:rowOff>19050</xdr:rowOff>
                  </from>
                  <to>
                    <xdr:col>11</xdr:col>
                    <xdr:colOff>685800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Drop Down 12">
              <controlPr defaultSize="0" autoLine="0" autoPict="0">
                <anchor moveWithCells="1">
                  <from>
                    <xdr:col>11</xdr:col>
                    <xdr:colOff>38100</xdr:colOff>
                    <xdr:row>16</xdr:row>
                    <xdr:rowOff>19050</xdr:rowOff>
                  </from>
                  <to>
                    <xdr:col>11</xdr:col>
                    <xdr:colOff>685800</xdr:colOff>
                    <xdr:row>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Drop Down 13">
              <controlPr defaultSize="0" autoLine="0" autoPict="0">
                <anchor moveWithCells="1">
                  <from>
                    <xdr:col>11</xdr:col>
                    <xdr:colOff>38100</xdr:colOff>
                    <xdr:row>17</xdr:row>
                    <xdr:rowOff>19050</xdr:rowOff>
                  </from>
                  <to>
                    <xdr:col>11</xdr:col>
                    <xdr:colOff>685800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Drop Down 14">
              <controlPr defaultSize="0" autoLine="0" autoPict="0">
                <anchor moveWithCells="1">
                  <from>
                    <xdr:col>11</xdr:col>
                    <xdr:colOff>38100</xdr:colOff>
                    <xdr:row>18</xdr:row>
                    <xdr:rowOff>19050</xdr:rowOff>
                  </from>
                  <to>
                    <xdr:col>11</xdr:col>
                    <xdr:colOff>685800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Drop Down 15">
              <controlPr defaultSize="0" autoLine="0" autoPict="0">
                <anchor moveWithCells="1">
                  <from>
                    <xdr:col>11</xdr:col>
                    <xdr:colOff>38100</xdr:colOff>
                    <xdr:row>19</xdr:row>
                    <xdr:rowOff>19050</xdr:rowOff>
                  </from>
                  <to>
                    <xdr:col>11</xdr:col>
                    <xdr:colOff>685800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Drop Down 16">
              <controlPr defaultSize="0" autoLine="0" autoPict="0">
                <anchor moveWithCells="1">
                  <from>
                    <xdr:col>11</xdr:col>
                    <xdr:colOff>38100</xdr:colOff>
                    <xdr:row>20</xdr:row>
                    <xdr:rowOff>19050</xdr:rowOff>
                  </from>
                  <to>
                    <xdr:col>11</xdr:col>
                    <xdr:colOff>685800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Drop Down 17">
              <controlPr defaultSize="0" autoLine="0" autoPict="0">
                <anchor moveWithCells="1">
                  <from>
                    <xdr:col>11</xdr:col>
                    <xdr:colOff>38100</xdr:colOff>
                    <xdr:row>21</xdr:row>
                    <xdr:rowOff>19050</xdr:rowOff>
                  </from>
                  <to>
                    <xdr:col>11</xdr:col>
                    <xdr:colOff>685800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Drop Down 18">
              <controlPr defaultSize="0" autoLine="0" autoPict="0">
                <anchor moveWithCells="1">
                  <from>
                    <xdr:col>11</xdr:col>
                    <xdr:colOff>38100</xdr:colOff>
                    <xdr:row>22</xdr:row>
                    <xdr:rowOff>19050</xdr:rowOff>
                  </from>
                  <to>
                    <xdr:col>11</xdr:col>
                    <xdr:colOff>685800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Drop Down 19">
              <controlPr defaultSize="0" autoLine="0" autoPict="0">
                <anchor moveWithCells="1">
                  <from>
                    <xdr:col>11</xdr:col>
                    <xdr:colOff>38100</xdr:colOff>
                    <xdr:row>23</xdr:row>
                    <xdr:rowOff>19050</xdr:rowOff>
                  </from>
                  <to>
                    <xdr:col>11</xdr:col>
                    <xdr:colOff>685800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Drop Down 20">
              <controlPr defaultSize="0" autoLine="0" autoPict="0">
                <anchor moveWithCells="1">
                  <from>
                    <xdr:col>11</xdr:col>
                    <xdr:colOff>38100</xdr:colOff>
                    <xdr:row>24</xdr:row>
                    <xdr:rowOff>19050</xdr:rowOff>
                  </from>
                  <to>
                    <xdr:col>11</xdr:col>
                    <xdr:colOff>685800</xdr:colOff>
                    <xdr:row>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Drop Down 21">
              <controlPr defaultSize="0" autoLine="0" autoPict="0">
                <anchor moveWithCells="1">
                  <from>
                    <xdr:col>11</xdr:col>
                    <xdr:colOff>38100</xdr:colOff>
                    <xdr:row>25</xdr:row>
                    <xdr:rowOff>19050</xdr:rowOff>
                  </from>
                  <to>
                    <xdr:col>11</xdr:col>
                    <xdr:colOff>685800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Drop Down 22">
              <controlPr defaultSize="0" autoLine="0" autoPict="0">
                <anchor moveWithCells="1">
                  <from>
                    <xdr:col>11</xdr:col>
                    <xdr:colOff>38100</xdr:colOff>
                    <xdr:row>26</xdr:row>
                    <xdr:rowOff>19050</xdr:rowOff>
                  </from>
                  <to>
                    <xdr:col>11</xdr:col>
                    <xdr:colOff>685800</xdr:colOff>
                    <xdr:row>26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Drop Down 23">
              <controlPr defaultSize="0" autoLine="0" autoPict="0">
                <anchor moveWithCells="1">
                  <from>
                    <xdr:col>11</xdr:col>
                    <xdr:colOff>38100</xdr:colOff>
                    <xdr:row>27</xdr:row>
                    <xdr:rowOff>19050</xdr:rowOff>
                  </from>
                  <to>
                    <xdr:col>11</xdr:col>
                    <xdr:colOff>685800</xdr:colOff>
                    <xdr:row>27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Drop Down 24">
              <controlPr defaultSize="0" autoLine="0" autoPict="0">
                <anchor moveWithCells="1">
                  <from>
                    <xdr:col>11</xdr:col>
                    <xdr:colOff>38100</xdr:colOff>
                    <xdr:row>28</xdr:row>
                    <xdr:rowOff>19050</xdr:rowOff>
                  </from>
                  <to>
                    <xdr:col>11</xdr:col>
                    <xdr:colOff>685800</xdr:colOff>
                    <xdr:row>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Drop Down 25">
              <controlPr defaultSize="0" autoLine="0" autoPict="0">
                <anchor moveWithCells="1">
                  <from>
                    <xdr:col>11</xdr:col>
                    <xdr:colOff>38100</xdr:colOff>
                    <xdr:row>29</xdr:row>
                    <xdr:rowOff>19050</xdr:rowOff>
                  </from>
                  <to>
                    <xdr:col>11</xdr:col>
                    <xdr:colOff>685800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Drop Down 26">
              <controlPr defaultSize="0" autoLine="0" autoPict="0">
                <anchor moveWithCells="1">
                  <from>
                    <xdr:col>11</xdr:col>
                    <xdr:colOff>38100</xdr:colOff>
                    <xdr:row>30</xdr:row>
                    <xdr:rowOff>19050</xdr:rowOff>
                  </from>
                  <to>
                    <xdr:col>11</xdr:col>
                    <xdr:colOff>685800</xdr:colOff>
                    <xdr:row>30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Drop Down 27">
              <controlPr defaultSize="0" autoLine="0" autoPict="0">
                <anchor moveWithCells="1">
                  <from>
                    <xdr:col>11</xdr:col>
                    <xdr:colOff>38100</xdr:colOff>
                    <xdr:row>31</xdr:row>
                    <xdr:rowOff>19050</xdr:rowOff>
                  </from>
                  <to>
                    <xdr:col>11</xdr:col>
                    <xdr:colOff>685800</xdr:colOff>
                    <xdr:row>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Drop Down 28">
              <controlPr defaultSize="0" autoLine="0" autoPict="0">
                <anchor moveWithCells="1">
                  <from>
                    <xdr:col>11</xdr:col>
                    <xdr:colOff>38100</xdr:colOff>
                    <xdr:row>32</xdr:row>
                    <xdr:rowOff>19050</xdr:rowOff>
                  </from>
                  <to>
                    <xdr:col>11</xdr:col>
                    <xdr:colOff>685800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Drop Down 29">
              <controlPr defaultSize="0" autoLine="0" autoPict="0">
                <anchor moveWithCells="1">
                  <from>
                    <xdr:col>11</xdr:col>
                    <xdr:colOff>38100</xdr:colOff>
                    <xdr:row>33</xdr:row>
                    <xdr:rowOff>19050</xdr:rowOff>
                  </from>
                  <to>
                    <xdr:col>11</xdr:col>
                    <xdr:colOff>685800</xdr:colOff>
                    <xdr:row>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Drop Down 30">
              <controlPr defaultSize="0" autoLine="0" autoPict="0">
                <anchor moveWithCells="1">
                  <from>
                    <xdr:col>11</xdr:col>
                    <xdr:colOff>38100</xdr:colOff>
                    <xdr:row>34</xdr:row>
                    <xdr:rowOff>19050</xdr:rowOff>
                  </from>
                  <to>
                    <xdr:col>11</xdr:col>
                    <xdr:colOff>685800</xdr:colOff>
                    <xdr:row>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Drop Down 31">
              <controlPr defaultSize="0" autoLine="0" autoPict="0">
                <anchor moveWithCells="1">
                  <from>
                    <xdr:col>11</xdr:col>
                    <xdr:colOff>38100</xdr:colOff>
                    <xdr:row>35</xdr:row>
                    <xdr:rowOff>19050</xdr:rowOff>
                  </from>
                  <to>
                    <xdr:col>11</xdr:col>
                    <xdr:colOff>685800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Drop Down 32">
              <controlPr defaultSize="0" autoLine="0" autoPict="0">
                <anchor moveWithCells="1">
                  <from>
                    <xdr:col>11</xdr:col>
                    <xdr:colOff>38100</xdr:colOff>
                    <xdr:row>36</xdr:row>
                    <xdr:rowOff>19050</xdr:rowOff>
                  </from>
                  <to>
                    <xdr:col>11</xdr:col>
                    <xdr:colOff>685800</xdr:colOff>
                    <xdr:row>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Drop Down 33">
              <controlPr defaultSize="0" autoLine="0" autoPict="0">
                <anchor moveWithCells="1">
                  <from>
                    <xdr:col>11</xdr:col>
                    <xdr:colOff>38100</xdr:colOff>
                    <xdr:row>37</xdr:row>
                    <xdr:rowOff>19050</xdr:rowOff>
                  </from>
                  <to>
                    <xdr:col>11</xdr:col>
                    <xdr:colOff>685800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Drop Down 34">
              <controlPr defaultSize="0" autoLine="0" autoPict="0">
                <anchor moveWithCells="1">
                  <from>
                    <xdr:col>11</xdr:col>
                    <xdr:colOff>38100</xdr:colOff>
                    <xdr:row>38</xdr:row>
                    <xdr:rowOff>19050</xdr:rowOff>
                  </from>
                  <to>
                    <xdr:col>11</xdr:col>
                    <xdr:colOff>685800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8" name="Drop Down 52">
              <controlPr defaultSize="0" autoLine="0" autoPict="0">
                <anchor moveWithCells="1">
                  <from>
                    <xdr:col>11</xdr:col>
                    <xdr:colOff>38100</xdr:colOff>
                    <xdr:row>39</xdr:row>
                    <xdr:rowOff>19050</xdr:rowOff>
                  </from>
                  <to>
                    <xdr:col>11</xdr:col>
                    <xdr:colOff>685800</xdr:colOff>
                    <xdr:row>39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9" name="Drop Down 53">
              <controlPr defaultSize="0" autoLine="0" autoPict="0">
                <anchor moveWithCells="1">
                  <from>
                    <xdr:col>11</xdr:col>
                    <xdr:colOff>38100</xdr:colOff>
                    <xdr:row>40</xdr:row>
                    <xdr:rowOff>19050</xdr:rowOff>
                  </from>
                  <to>
                    <xdr:col>11</xdr:col>
                    <xdr:colOff>685800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0" name="Drop Down 54">
              <controlPr defaultSize="0" autoLine="0" autoPict="0">
                <anchor moveWithCells="1">
                  <from>
                    <xdr:col>11</xdr:col>
                    <xdr:colOff>38100</xdr:colOff>
                    <xdr:row>41</xdr:row>
                    <xdr:rowOff>19050</xdr:rowOff>
                  </from>
                  <to>
                    <xdr:col>11</xdr:col>
                    <xdr:colOff>685800</xdr:colOff>
                    <xdr:row>41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1" name="Drop Down 55">
              <controlPr defaultSize="0" autoLine="0" autoPict="0">
                <anchor moveWithCells="1">
                  <from>
                    <xdr:col>11</xdr:col>
                    <xdr:colOff>38100</xdr:colOff>
                    <xdr:row>42</xdr:row>
                    <xdr:rowOff>19050</xdr:rowOff>
                  </from>
                  <to>
                    <xdr:col>11</xdr:col>
                    <xdr:colOff>685800</xdr:colOff>
                    <xdr:row>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2" name="Drop Down 56">
              <controlPr defaultSize="0" autoLine="0" autoPict="0">
                <anchor moveWithCells="1">
                  <from>
                    <xdr:col>11</xdr:col>
                    <xdr:colOff>38100</xdr:colOff>
                    <xdr:row>43</xdr:row>
                    <xdr:rowOff>19050</xdr:rowOff>
                  </from>
                  <to>
                    <xdr:col>11</xdr:col>
                    <xdr:colOff>685800</xdr:colOff>
                    <xdr:row>43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3" name="Drop Down 57">
              <controlPr defaultSize="0" autoLine="0" autoPict="0">
                <anchor moveWithCells="1">
                  <from>
                    <xdr:col>11</xdr:col>
                    <xdr:colOff>38100</xdr:colOff>
                    <xdr:row>44</xdr:row>
                    <xdr:rowOff>19050</xdr:rowOff>
                  </from>
                  <to>
                    <xdr:col>11</xdr:col>
                    <xdr:colOff>685800</xdr:colOff>
                    <xdr:row>44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4" name="Drop Down 58">
              <controlPr defaultSize="0" autoLine="0" autoPict="0">
                <anchor moveWithCells="1">
                  <from>
                    <xdr:col>11</xdr:col>
                    <xdr:colOff>38100</xdr:colOff>
                    <xdr:row>45</xdr:row>
                    <xdr:rowOff>19050</xdr:rowOff>
                  </from>
                  <to>
                    <xdr:col>11</xdr:col>
                    <xdr:colOff>685800</xdr:colOff>
                    <xdr:row>45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45" name="Drop Down 69">
              <controlPr defaultSize="0" autoLine="0" autoPict="0">
                <anchor moveWithCells="1">
                  <from>
                    <xdr:col>11</xdr:col>
                    <xdr:colOff>38100</xdr:colOff>
                    <xdr:row>46</xdr:row>
                    <xdr:rowOff>19050</xdr:rowOff>
                  </from>
                  <to>
                    <xdr:col>11</xdr:col>
                    <xdr:colOff>685800</xdr:colOff>
                    <xdr:row>46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46" name="Drop Down 71">
              <controlPr defaultSize="0" autoLine="0" autoPict="0">
                <anchor moveWithCells="1">
                  <from>
                    <xdr:col>11</xdr:col>
                    <xdr:colOff>38100</xdr:colOff>
                    <xdr:row>47</xdr:row>
                    <xdr:rowOff>19050</xdr:rowOff>
                  </from>
                  <to>
                    <xdr:col>11</xdr:col>
                    <xdr:colOff>685800</xdr:colOff>
                    <xdr:row>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7" name="Drop Down 73">
              <controlPr defaultSize="0" autoLine="0" autoPict="0">
                <anchor moveWithCells="1">
                  <from>
                    <xdr:col>11</xdr:col>
                    <xdr:colOff>38100</xdr:colOff>
                    <xdr:row>48</xdr:row>
                    <xdr:rowOff>19050</xdr:rowOff>
                  </from>
                  <to>
                    <xdr:col>11</xdr:col>
                    <xdr:colOff>685800</xdr:colOff>
                    <xdr:row>48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8" name="Drop Down 75">
              <controlPr defaultSize="0" autoLine="0" autoPict="0">
                <anchor moveWithCells="1">
                  <from>
                    <xdr:col>11</xdr:col>
                    <xdr:colOff>38100</xdr:colOff>
                    <xdr:row>49</xdr:row>
                    <xdr:rowOff>19050</xdr:rowOff>
                  </from>
                  <to>
                    <xdr:col>11</xdr:col>
                    <xdr:colOff>685800</xdr:colOff>
                    <xdr:row>49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9" name="Drop Down 77">
              <controlPr defaultSize="0" autoLine="0" autoPict="0">
                <anchor moveWithCells="1">
                  <from>
                    <xdr:col>11</xdr:col>
                    <xdr:colOff>38100</xdr:colOff>
                    <xdr:row>50</xdr:row>
                    <xdr:rowOff>19050</xdr:rowOff>
                  </from>
                  <to>
                    <xdr:col>11</xdr:col>
                    <xdr:colOff>685800</xdr:colOff>
                    <xdr:row>50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0" name="Drop Down 79">
              <controlPr defaultSize="0" autoLine="0" autoPict="0">
                <anchor moveWithCells="1">
                  <from>
                    <xdr:col>11</xdr:col>
                    <xdr:colOff>38100</xdr:colOff>
                    <xdr:row>51</xdr:row>
                    <xdr:rowOff>19050</xdr:rowOff>
                  </from>
                  <to>
                    <xdr:col>11</xdr:col>
                    <xdr:colOff>685800</xdr:colOff>
                    <xdr:row>51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1" name="Drop Down 81">
              <controlPr defaultSize="0" autoLine="0" autoPict="0">
                <anchor moveWithCells="1">
                  <from>
                    <xdr:col>11</xdr:col>
                    <xdr:colOff>38100</xdr:colOff>
                    <xdr:row>52</xdr:row>
                    <xdr:rowOff>19050</xdr:rowOff>
                  </from>
                  <to>
                    <xdr:col>11</xdr:col>
                    <xdr:colOff>685800</xdr:colOff>
                    <xdr:row>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52" name="Drop Down 83">
              <controlPr defaultSize="0" autoLine="0" autoPict="0">
                <anchor moveWithCells="1">
                  <from>
                    <xdr:col>11</xdr:col>
                    <xdr:colOff>38100</xdr:colOff>
                    <xdr:row>53</xdr:row>
                    <xdr:rowOff>19050</xdr:rowOff>
                  </from>
                  <to>
                    <xdr:col>11</xdr:col>
                    <xdr:colOff>685800</xdr:colOff>
                    <xdr:row>53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53" name="Drop Down 85">
              <controlPr defaultSize="0" autoLine="0" autoPict="0">
                <anchor moveWithCells="1">
                  <from>
                    <xdr:col>11</xdr:col>
                    <xdr:colOff>38100</xdr:colOff>
                    <xdr:row>54</xdr:row>
                    <xdr:rowOff>19050</xdr:rowOff>
                  </from>
                  <to>
                    <xdr:col>11</xdr:col>
                    <xdr:colOff>685800</xdr:colOff>
                    <xdr:row>54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"/>
  <sheetViews>
    <sheetView workbookViewId="0">
      <selection activeCell="E10" sqref="E10"/>
    </sheetView>
  </sheetViews>
  <sheetFormatPr defaultRowHeight="15" x14ac:dyDescent="0.25"/>
  <cols>
    <col min="1" max="1" width="5.7109375" style="26" customWidth="1"/>
    <col min="2" max="2" width="10.7109375" style="26" bestFit="1" customWidth="1"/>
    <col min="3" max="3" width="10.28515625" style="26" customWidth="1"/>
    <col min="4" max="4" width="4.85546875" style="26" customWidth="1"/>
    <col min="5" max="6" width="9.140625" style="26"/>
    <col min="7" max="7" width="5.7109375" style="26" customWidth="1"/>
    <col min="8" max="9" width="2" style="26" bestFit="1" customWidth="1"/>
    <col min="10" max="10" width="6.85546875" style="26" bestFit="1" customWidth="1"/>
    <col min="11" max="11" width="3" style="26" bestFit="1" customWidth="1"/>
    <col min="12" max="12" width="2" style="26" bestFit="1" customWidth="1"/>
    <col min="13" max="13" width="6.85546875" style="26" bestFit="1" customWidth="1"/>
    <col min="14" max="14" width="3" style="26" bestFit="1" customWidth="1"/>
    <col min="15" max="15" width="2" style="26" bestFit="1" customWidth="1"/>
    <col min="16" max="16" width="6.85546875" style="26" bestFit="1" customWidth="1"/>
    <col min="17" max="17" width="3" style="26" bestFit="1" customWidth="1"/>
    <col min="18" max="18" width="2" style="26" bestFit="1" customWidth="1"/>
    <col min="19" max="19" width="6.85546875" style="26" bestFit="1" customWidth="1"/>
    <col min="20" max="20" width="3" style="26" bestFit="1" customWidth="1"/>
    <col min="21" max="21" width="2" style="26" bestFit="1" customWidth="1"/>
    <col min="22" max="22" width="6.85546875" style="26" bestFit="1" customWidth="1"/>
    <col min="23" max="23" width="3" style="26" bestFit="1" customWidth="1"/>
    <col min="24" max="24" width="2" style="26" bestFit="1" customWidth="1"/>
    <col min="25" max="25" width="6.85546875" style="26" bestFit="1" customWidth="1"/>
    <col min="26" max="26" width="3" style="26" bestFit="1" customWidth="1"/>
    <col min="27" max="27" width="2" style="26" bestFit="1" customWidth="1"/>
    <col min="28" max="28" width="6.85546875" style="26" bestFit="1" customWidth="1"/>
    <col min="29" max="16384" width="9.140625" style="26"/>
  </cols>
  <sheetData>
    <row r="1" spans="1:28" ht="9.9499999999999993" customHeight="1" thickBot="1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8" ht="14.1" customHeight="1" thickBot="1" x14ac:dyDescent="0.3">
      <c r="A2" s="25"/>
      <c r="B2" s="123" t="s">
        <v>12</v>
      </c>
      <c r="C2" s="124"/>
      <c r="D2" s="124"/>
      <c r="E2" s="125"/>
      <c r="F2" s="27" t="s">
        <v>13</v>
      </c>
      <c r="G2" s="25"/>
      <c r="H2" s="28">
        <v>1</v>
      </c>
      <c r="I2" s="29"/>
      <c r="J2" s="30" t="s">
        <v>16</v>
      </c>
      <c r="K2" s="28">
        <v>9</v>
      </c>
      <c r="L2" s="29"/>
      <c r="M2" s="30" t="s">
        <v>16</v>
      </c>
      <c r="N2" s="31">
        <v>17</v>
      </c>
      <c r="O2" s="29"/>
      <c r="P2" s="30" t="s">
        <v>16</v>
      </c>
      <c r="Q2" s="31">
        <v>25</v>
      </c>
      <c r="R2" s="29"/>
      <c r="S2" s="30" t="s">
        <v>16</v>
      </c>
      <c r="T2" s="28">
        <v>33</v>
      </c>
      <c r="U2" s="29"/>
      <c r="V2" s="30" t="s">
        <v>16</v>
      </c>
      <c r="W2" s="28">
        <v>41</v>
      </c>
      <c r="X2" s="29"/>
      <c r="Y2" s="30" t="s">
        <v>16</v>
      </c>
      <c r="Z2" s="28">
        <v>49</v>
      </c>
      <c r="AA2" s="29"/>
      <c r="AB2" s="30" t="s">
        <v>16</v>
      </c>
    </row>
    <row r="3" spans="1:28" ht="14.1" customHeight="1" x14ac:dyDescent="0.25">
      <c r="A3" s="25"/>
      <c r="B3" s="32" t="s">
        <v>14</v>
      </c>
      <c r="C3" s="32">
        <v>0</v>
      </c>
      <c r="D3" s="32" t="s">
        <v>15</v>
      </c>
      <c r="E3" s="32">
        <v>5</v>
      </c>
      <c r="F3" s="33">
        <v>30</v>
      </c>
      <c r="G3" s="25"/>
      <c r="H3" s="34"/>
      <c r="I3" s="35"/>
      <c r="J3" s="36" t="s">
        <v>17</v>
      </c>
      <c r="K3" s="34"/>
      <c r="L3" s="35"/>
      <c r="M3" s="36" t="s">
        <v>17</v>
      </c>
      <c r="N3" s="37"/>
      <c r="O3" s="35"/>
      <c r="P3" s="36" t="s">
        <v>17</v>
      </c>
      <c r="Q3" s="37"/>
      <c r="R3" s="35"/>
      <c r="S3" s="36" t="s">
        <v>17</v>
      </c>
      <c r="T3" s="34"/>
      <c r="U3" s="35"/>
      <c r="V3" s="36" t="s">
        <v>17</v>
      </c>
      <c r="W3" s="34"/>
      <c r="X3" s="35"/>
      <c r="Y3" s="36" t="s">
        <v>17</v>
      </c>
      <c r="Z3" s="34"/>
      <c r="AA3" s="35"/>
      <c r="AB3" s="36" t="s">
        <v>17</v>
      </c>
    </row>
    <row r="4" spans="1:28" ht="14.1" customHeight="1" thickBot="1" x14ac:dyDescent="0.3">
      <c r="A4" s="25"/>
      <c r="B4" s="38" t="s">
        <v>14</v>
      </c>
      <c r="C4" s="38">
        <v>6</v>
      </c>
      <c r="D4" s="38" t="s">
        <v>15</v>
      </c>
      <c r="E4" s="38">
        <v>14</v>
      </c>
      <c r="F4" s="39">
        <v>24</v>
      </c>
      <c r="G4" s="25"/>
      <c r="H4" s="40"/>
      <c r="I4" s="41">
        <v>2</v>
      </c>
      <c r="J4" s="42" t="s">
        <v>18</v>
      </c>
      <c r="K4" s="40"/>
      <c r="L4" s="41">
        <v>2</v>
      </c>
      <c r="M4" s="42" t="s">
        <v>18</v>
      </c>
      <c r="N4" s="43"/>
      <c r="O4" s="41">
        <v>2</v>
      </c>
      <c r="P4" s="42" t="s">
        <v>18</v>
      </c>
      <c r="Q4" s="43"/>
      <c r="R4" s="41">
        <v>2</v>
      </c>
      <c r="S4" s="42" t="s">
        <v>18</v>
      </c>
      <c r="T4" s="40"/>
      <c r="U4" s="41">
        <v>2</v>
      </c>
      <c r="V4" s="42" t="s">
        <v>18</v>
      </c>
      <c r="W4" s="40"/>
      <c r="X4" s="41">
        <v>2</v>
      </c>
      <c r="Y4" s="42" t="s">
        <v>18</v>
      </c>
      <c r="Z4" s="40"/>
      <c r="AA4" s="41">
        <v>2</v>
      </c>
      <c r="AB4" s="42" t="s">
        <v>18</v>
      </c>
    </row>
    <row r="5" spans="1:28" ht="14.1" customHeight="1" x14ac:dyDescent="0.25">
      <c r="A5" s="25"/>
      <c r="B5" s="38" t="s">
        <v>14</v>
      </c>
      <c r="C5" s="38">
        <v>15</v>
      </c>
      <c r="D5" s="38" t="s">
        <v>15</v>
      </c>
      <c r="E5" s="38">
        <v>23</v>
      </c>
      <c r="F5" s="39">
        <v>18</v>
      </c>
      <c r="G5" s="25"/>
      <c r="H5" s="28">
        <v>2</v>
      </c>
      <c r="I5" s="29"/>
      <c r="J5" s="30" t="s">
        <v>16</v>
      </c>
      <c r="K5" s="28">
        <v>10</v>
      </c>
      <c r="L5" s="29"/>
      <c r="M5" s="30" t="s">
        <v>16</v>
      </c>
      <c r="N5" s="31">
        <v>18</v>
      </c>
      <c r="O5" s="29"/>
      <c r="P5" s="30" t="s">
        <v>16</v>
      </c>
      <c r="Q5" s="44">
        <v>26</v>
      </c>
      <c r="R5" s="29"/>
      <c r="S5" s="30" t="s">
        <v>16</v>
      </c>
      <c r="T5" s="28">
        <v>34</v>
      </c>
      <c r="U5" s="29"/>
      <c r="V5" s="30" t="s">
        <v>16</v>
      </c>
      <c r="W5" s="28">
        <v>42</v>
      </c>
      <c r="X5" s="29"/>
      <c r="Y5" s="30" t="s">
        <v>16</v>
      </c>
      <c r="Z5" s="28">
        <v>50</v>
      </c>
      <c r="AA5" s="29"/>
      <c r="AB5" s="30" t="s">
        <v>16</v>
      </c>
    </row>
    <row r="6" spans="1:28" ht="14.1" customHeight="1" x14ac:dyDescent="0.25">
      <c r="A6" s="25"/>
      <c r="B6" s="38" t="s">
        <v>14</v>
      </c>
      <c r="C6" s="45">
        <v>24</v>
      </c>
      <c r="D6" s="45" t="s">
        <v>15</v>
      </c>
      <c r="E6" s="45">
        <v>32</v>
      </c>
      <c r="F6" s="39">
        <v>12</v>
      </c>
      <c r="G6" s="25"/>
      <c r="H6" s="34"/>
      <c r="I6" s="35"/>
      <c r="J6" s="36" t="s">
        <v>17</v>
      </c>
      <c r="K6" s="34"/>
      <c r="L6" s="35"/>
      <c r="M6" s="36" t="s">
        <v>17</v>
      </c>
      <c r="N6" s="37"/>
      <c r="O6" s="35"/>
      <c r="P6" s="36" t="s">
        <v>17</v>
      </c>
      <c r="Q6" s="37"/>
      <c r="R6" s="35"/>
      <c r="S6" s="36" t="s">
        <v>17</v>
      </c>
      <c r="T6" s="34"/>
      <c r="U6" s="35"/>
      <c r="V6" s="36" t="s">
        <v>17</v>
      </c>
      <c r="W6" s="34"/>
      <c r="X6" s="35"/>
      <c r="Y6" s="36" t="s">
        <v>17</v>
      </c>
      <c r="Z6" s="34"/>
      <c r="AA6" s="35"/>
      <c r="AB6" s="36" t="s">
        <v>17</v>
      </c>
    </row>
    <row r="7" spans="1:28" ht="14.1" customHeight="1" thickBot="1" x14ac:dyDescent="0.3">
      <c r="A7" s="25"/>
      <c r="B7" s="38" t="s">
        <v>14</v>
      </c>
      <c r="C7" s="45">
        <v>33</v>
      </c>
      <c r="D7" s="45" t="s">
        <v>15</v>
      </c>
      <c r="E7" s="45">
        <v>99</v>
      </c>
      <c r="F7" s="39">
        <v>0</v>
      </c>
      <c r="G7" s="25"/>
      <c r="H7" s="40"/>
      <c r="I7" s="41">
        <v>2</v>
      </c>
      <c r="J7" s="42" t="s">
        <v>18</v>
      </c>
      <c r="K7" s="40"/>
      <c r="L7" s="41">
        <v>2</v>
      </c>
      <c r="M7" s="42" t="s">
        <v>18</v>
      </c>
      <c r="N7" s="43"/>
      <c r="O7" s="41">
        <v>2</v>
      </c>
      <c r="P7" s="42" t="s">
        <v>18</v>
      </c>
      <c r="Q7" s="43"/>
      <c r="R7" s="41">
        <v>2</v>
      </c>
      <c r="S7" s="42" t="s">
        <v>18</v>
      </c>
      <c r="T7" s="40"/>
      <c r="U7" s="41">
        <v>2</v>
      </c>
      <c r="V7" s="42" t="s">
        <v>18</v>
      </c>
      <c r="W7" s="40"/>
      <c r="X7" s="41">
        <v>2</v>
      </c>
      <c r="Y7" s="42" t="s">
        <v>18</v>
      </c>
      <c r="Z7" s="40"/>
      <c r="AA7" s="41">
        <v>2</v>
      </c>
      <c r="AB7" s="42" t="s">
        <v>18</v>
      </c>
    </row>
    <row r="8" spans="1:28" ht="14.1" customHeight="1" thickBot="1" x14ac:dyDescent="0.3">
      <c r="A8" s="25"/>
      <c r="B8" s="25"/>
      <c r="C8" s="25"/>
      <c r="D8" s="25"/>
      <c r="E8" s="25"/>
      <c r="F8" s="25"/>
      <c r="G8" s="25"/>
      <c r="H8" s="28">
        <v>3</v>
      </c>
      <c r="I8" s="29"/>
      <c r="J8" s="30" t="s">
        <v>16</v>
      </c>
      <c r="K8" s="28">
        <v>11</v>
      </c>
      <c r="L8" s="29"/>
      <c r="M8" s="30" t="s">
        <v>16</v>
      </c>
      <c r="N8" s="31">
        <v>19</v>
      </c>
      <c r="O8" s="29"/>
      <c r="P8" s="30" t="s">
        <v>16</v>
      </c>
      <c r="Q8" s="44">
        <v>27</v>
      </c>
      <c r="R8" s="29"/>
      <c r="S8" s="30" t="s">
        <v>16</v>
      </c>
      <c r="T8" s="28">
        <v>35</v>
      </c>
      <c r="U8" s="29"/>
      <c r="V8" s="30" t="s">
        <v>16</v>
      </c>
      <c r="W8" s="28">
        <v>43</v>
      </c>
      <c r="X8" s="29"/>
      <c r="Y8" s="30" t="s">
        <v>16</v>
      </c>
      <c r="Z8" s="25"/>
    </row>
    <row r="9" spans="1:28" ht="14.1" customHeight="1" x14ac:dyDescent="0.25">
      <c r="A9" s="25"/>
      <c r="B9" s="46" t="s">
        <v>3</v>
      </c>
      <c r="C9" s="25"/>
      <c r="D9" s="25"/>
      <c r="E9" s="25"/>
      <c r="F9" s="25"/>
      <c r="G9" s="25"/>
      <c r="H9" s="34"/>
      <c r="I9" s="35"/>
      <c r="J9" s="36" t="s">
        <v>17</v>
      </c>
      <c r="K9" s="34"/>
      <c r="L9" s="35"/>
      <c r="M9" s="36" t="s">
        <v>17</v>
      </c>
      <c r="N9" s="37"/>
      <c r="O9" s="35"/>
      <c r="P9" s="36" t="s">
        <v>17</v>
      </c>
      <c r="Q9" s="37"/>
      <c r="R9" s="35"/>
      <c r="S9" s="36" t="s">
        <v>17</v>
      </c>
      <c r="T9" s="34"/>
      <c r="U9" s="35"/>
      <c r="V9" s="36" t="s">
        <v>17</v>
      </c>
      <c r="W9" s="34"/>
      <c r="X9" s="35"/>
      <c r="Y9" s="36" t="s">
        <v>17</v>
      </c>
      <c r="Z9" s="25"/>
    </row>
    <row r="10" spans="1:28" ht="14.1" customHeight="1" thickBot="1" x14ac:dyDescent="0.3">
      <c r="A10" s="25"/>
      <c r="B10" s="47">
        <f ca="1">NOW()</f>
        <v>43191.476089236108</v>
      </c>
      <c r="C10" s="25"/>
      <c r="D10" s="25"/>
      <c r="E10" s="25"/>
      <c r="F10" s="25"/>
      <c r="G10" s="25"/>
      <c r="H10" s="40"/>
      <c r="I10" s="41">
        <v>2</v>
      </c>
      <c r="J10" s="42" t="s">
        <v>18</v>
      </c>
      <c r="K10" s="40"/>
      <c r="L10" s="41">
        <v>2</v>
      </c>
      <c r="M10" s="42" t="s">
        <v>18</v>
      </c>
      <c r="N10" s="43"/>
      <c r="O10" s="41">
        <v>2</v>
      </c>
      <c r="P10" s="42" t="s">
        <v>18</v>
      </c>
      <c r="Q10" s="43"/>
      <c r="R10" s="41">
        <v>2</v>
      </c>
      <c r="S10" s="42" t="s">
        <v>18</v>
      </c>
      <c r="T10" s="40"/>
      <c r="U10" s="41">
        <v>2</v>
      </c>
      <c r="V10" s="42" t="s">
        <v>18</v>
      </c>
      <c r="W10" s="40"/>
      <c r="X10" s="41">
        <v>2</v>
      </c>
      <c r="Y10" s="42" t="s">
        <v>18</v>
      </c>
      <c r="Z10" s="25"/>
    </row>
    <row r="11" spans="1:28" ht="14.1" customHeight="1" x14ac:dyDescent="0.25">
      <c r="A11" s="25"/>
      <c r="B11" s="25"/>
      <c r="C11" s="25"/>
      <c r="D11" s="25"/>
      <c r="E11" s="25"/>
      <c r="F11" s="25"/>
      <c r="G11" s="25"/>
      <c r="H11" s="28">
        <v>4</v>
      </c>
      <c r="I11" s="29"/>
      <c r="J11" s="30" t="s">
        <v>16</v>
      </c>
      <c r="K11" s="28">
        <v>12</v>
      </c>
      <c r="L11" s="29"/>
      <c r="M11" s="30" t="s">
        <v>16</v>
      </c>
      <c r="N11" s="31">
        <v>20</v>
      </c>
      <c r="O11" s="29"/>
      <c r="P11" s="30" t="s">
        <v>16</v>
      </c>
      <c r="Q11" s="31">
        <v>28</v>
      </c>
      <c r="R11" s="29"/>
      <c r="S11" s="30" t="s">
        <v>16</v>
      </c>
      <c r="T11" s="28">
        <v>36</v>
      </c>
      <c r="U11" s="29"/>
      <c r="V11" s="30" t="s">
        <v>16</v>
      </c>
      <c r="W11" s="28">
        <v>44</v>
      </c>
      <c r="X11" s="29"/>
      <c r="Y11" s="30" t="s">
        <v>16</v>
      </c>
      <c r="Z11" s="25"/>
    </row>
    <row r="12" spans="1:28" ht="14.1" customHeight="1" x14ac:dyDescent="0.25">
      <c r="A12" s="25"/>
      <c r="B12" s="25"/>
      <c r="C12" s="25"/>
      <c r="D12" s="25"/>
      <c r="E12" s="25"/>
      <c r="F12" s="25"/>
      <c r="G12" s="25"/>
      <c r="H12" s="34"/>
      <c r="I12" s="35"/>
      <c r="J12" s="36" t="s">
        <v>17</v>
      </c>
      <c r="K12" s="34"/>
      <c r="L12" s="35"/>
      <c r="M12" s="36" t="s">
        <v>17</v>
      </c>
      <c r="N12" s="37"/>
      <c r="O12" s="35"/>
      <c r="P12" s="36" t="s">
        <v>17</v>
      </c>
      <c r="Q12" s="37"/>
      <c r="R12" s="35"/>
      <c r="S12" s="36" t="s">
        <v>17</v>
      </c>
      <c r="T12" s="34"/>
      <c r="U12" s="35"/>
      <c r="V12" s="36" t="s">
        <v>17</v>
      </c>
      <c r="W12" s="34"/>
      <c r="X12" s="35"/>
      <c r="Y12" s="36" t="s">
        <v>17</v>
      </c>
      <c r="Z12" s="25"/>
    </row>
    <row r="13" spans="1:28" ht="14.1" customHeight="1" thickBot="1" x14ac:dyDescent="0.3">
      <c r="A13" s="25"/>
      <c r="B13" s="25"/>
      <c r="C13" s="25"/>
      <c r="D13" s="25"/>
      <c r="E13" s="25"/>
      <c r="F13" s="25"/>
      <c r="G13" s="25"/>
      <c r="H13" s="40"/>
      <c r="I13" s="41">
        <v>2</v>
      </c>
      <c r="J13" s="42" t="s">
        <v>18</v>
      </c>
      <c r="K13" s="40"/>
      <c r="L13" s="41">
        <v>2</v>
      </c>
      <c r="M13" s="42" t="s">
        <v>18</v>
      </c>
      <c r="N13" s="43"/>
      <c r="O13" s="41">
        <v>2</v>
      </c>
      <c r="P13" s="42" t="s">
        <v>18</v>
      </c>
      <c r="Q13" s="43"/>
      <c r="R13" s="41">
        <v>2</v>
      </c>
      <c r="S13" s="42" t="s">
        <v>18</v>
      </c>
      <c r="T13" s="40"/>
      <c r="U13" s="41">
        <v>2</v>
      </c>
      <c r="V13" s="42" t="s">
        <v>18</v>
      </c>
      <c r="W13" s="40"/>
      <c r="X13" s="41">
        <v>2</v>
      </c>
      <c r="Y13" s="42" t="s">
        <v>18</v>
      </c>
      <c r="Z13" s="25"/>
    </row>
    <row r="14" spans="1:28" ht="14.1" customHeight="1" thickBot="1" x14ac:dyDescent="0.3">
      <c r="A14" s="25"/>
      <c r="B14" s="25"/>
      <c r="C14" s="25"/>
      <c r="D14" s="25"/>
      <c r="E14" s="25"/>
      <c r="F14" s="25"/>
      <c r="G14" s="25"/>
      <c r="H14" s="28">
        <v>5</v>
      </c>
      <c r="I14" s="29"/>
      <c r="J14" s="30" t="s">
        <v>16</v>
      </c>
      <c r="K14" s="28">
        <v>13</v>
      </c>
      <c r="L14" s="29"/>
      <c r="M14" s="30" t="s">
        <v>16</v>
      </c>
      <c r="N14" s="31">
        <v>21</v>
      </c>
      <c r="O14" s="29"/>
      <c r="P14" s="30" t="s">
        <v>16</v>
      </c>
      <c r="Q14" s="31">
        <v>29</v>
      </c>
      <c r="R14" s="29"/>
      <c r="S14" s="30" t="s">
        <v>16</v>
      </c>
      <c r="T14" s="28">
        <v>37</v>
      </c>
      <c r="U14" s="29"/>
      <c r="V14" s="30" t="s">
        <v>16</v>
      </c>
      <c r="W14" s="28">
        <v>45</v>
      </c>
      <c r="X14" s="29"/>
      <c r="Y14" s="30" t="s">
        <v>16</v>
      </c>
      <c r="Z14" s="25"/>
    </row>
    <row r="15" spans="1:28" ht="14.1" customHeight="1" thickBot="1" x14ac:dyDescent="0.3">
      <c r="A15" s="25"/>
      <c r="B15" s="126" t="s">
        <v>19</v>
      </c>
      <c r="C15" s="127"/>
      <c r="D15" s="25"/>
      <c r="E15" s="25"/>
      <c r="F15" s="25"/>
      <c r="G15" s="25"/>
      <c r="H15" s="34"/>
      <c r="I15" s="35"/>
      <c r="J15" s="36" t="s">
        <v>17</v>
      </c>
      <c r="K15" s="34"/>
      <c r="L15" s="35"/>
      <c r="M15" s="36" t="s">
        <v>17</v>
      </c>
      <c r="N15" s="37"/>
      <c r="O15" s="35"/>
      <c r="P15" s="36" t="s">
        <v>17</v>
      </c>
      <c r="Q15" s="37"/>
      <c r="R15" s="35"/>
      <c r="S15" s="36" t="s">
        <v>17</v>
      </c>
      <c r="T15" s="34"/>
      <c r="U15" s="35"/>
      <c r="V15" s="36" t="s">
        <v>17</v>
      </c>
      <c r="W15" s="34"/>
      <c r="X15" s="35"/>
      <c r="Y15" s="36" t="s">
        <v>17</v>
      </c>
      <c r="Z15" s="25"/>
    </row>
    <row r="16" spans="1:28" ht="14.1" customHeight="1" thickBot="1" x14ac:dyDescent="0.3">
      <c r="A16" s="25"/>
      <c r="B16" s="48">
        <f>IF('Controle Vencimento Férias'!F6&lt;=Parâmetros!E3,Parâmetros!F3,VLOOKUP('Controle Vencimento Férias'!F6,Parâmetros!C3:F7,4,1))</f>
        <v>30</v>
      </c>
      <c r="C16" s="32">
        <v>24</v>
      </c>
      <c r="D16" s="25"/>
      <c r="E16" s="25"/>
      <c r="F16" s="25"/>
      <c r="G16" s="25"/>
      <c r="H16" s="40"/>
      <c r="I16" s="41">
        <v>2</v>
      </c>
      <c r="J16" s="42" t="s">
        <v>18</v>
      </c>
      <c r="K16" s="40"/>
      <c r="L16" s="41">
        <v>2</v>
      </c>
      <c r="M16" s="42" t="s">
        <v>18</v>
      </c>
      <c r="N16" s="43"/>
      <c r="O16" s="41">
        <v>2</v>
      </c>
      <c r="P16" s="42" t="s">
        <v>18</v>
      </c>
      <c r="Q16" s="43"/>
      <c r="R16" s="41">
        <v>2</v>
      </c>
      <c r="S16" s="42" t="s">
        <v>18</v>
      </c>
      <c r="T16" s="40"/>
      <c r="U16" s="41">
        <v>2</v>
      </c>
      <c r="V16" s="42" t="s">
        <v>18</v>
      </c>
      <c r="W16" s="40"/>
      <c r="X16" s="41">
        <v>2</v>
      </c>
      <c r="Y16" s="42" t="s">
        <v>18</v>
      </c>
      <c r="Z16" s="25"/>
    </row>
    <row r="17" spans="1:26" ht="14.1" customHeight="1" x14ac:dyDescent="0.25">
      <c r="A17" s="25"/>
      <c r="B17" s="38">
        <v>8</v>
      </c>
      <c r="C17" s="49"/>
      <c r="D17" s="25"/>
      <c r="E17" s="25"/>
      <c r="F17" s="25"/>
      <c r="G17" s="25"/>
      <c r="H17" s="28">
        <v>6</v>
      </c>
      <c r="I17" s="29"/>
      <c r="J17" s="30" t="s">
        <v>16</v>
      </c>
      <c r="K17" s="28">
        <v>14</v>
      </c>
      <c r="L17" s="29"/>
      <c r="M17" s="30" t="s">
        <v>16</v>
      </c>
      <c r="N17" s="31">
        <v>22</v>
      </c>
      <c r="O17" s="29"/>
      <c r="P17" s="30" t="s">
        <v>16</v>
      </c>
      <c r="Q17" s="31">
        <v>30</v>
      </c>
      <c r="R17" s="29"/>
      <c r="S17" s="30" t="s">
        <v>16</v>
      </c>
      <c r="T17" s="28">
        <v>38</v>
      </c>
      <c r="U17" s="29"/>
      <c r="V17" s="30" t="s">
        <v>16</v>
      </c>
      <c r="W17" s="28">
        <v>46</v>
      </c>
      <c r="X17" s="29"/>
      <c r="Y17" s="30" t="s">
        <v>16</v>
      </c>
      <c r="Z17" s="25"/>
    </row>
    <row r="18" spans="1:26" ht="14.1" customHeight="1" x14ac:dyDescent="0.25">
      <c r="A18" s="25"/>
      <c r="B18" s="25"/>
      <c r="C18" s="25"/>
      <c r="D18" s="25"/>
      <c r="E18" s="25"/>
      <c r="F18" s="25"/>
      <c r="G18" s="25"/>
      <c r="H18" s="34"/>
      <c r="I18" s="35"/>
      <c r="J18" s="36" t="s">
        <v>17</v>
      </c>
      <c r="K18" s="34"/>
      <c r="L18" s="35"/>
      <c r="M18" s="36" t="s">
        <v>17</v>
      </c>
      <c r="N18" s="37"/>
      <c r="O18" s="35"/>
      <c r="P18" s="36" t="s">
        <v>17</v>
      </c>
      <c r="Q18" s="37"/>
      <c r="R18" s="35"/>
      <c r="S18" s="36" t="s">
        <v>17</v>
      </c>
      <c r="T18" s="34"/>
      <c r="U18" s="35"/>
      <c r="V18" s="36" t="s">
        <v>17</v>
      </c>
      <c r="W18" s="34"/>
      <c r="X18" s="35"/>
      <c r="Y18" s="36" t="s">
        <v>17</v>
      </c>
      <c r="Z18" s="25"/>
    </row>
    <row r="19" spans="1:26" ht="14.1" customHeight="1" thickBot="1" x14ac:dyDescent="0.3">
      <c r="A19" s="25"/>
      <c r="B19" s="25"/>
      <c r="C19" s="25"/>
      <c r="D19" s="25"/>
      <c r="E19" s="25"/>
      <c r="F19" s="25"/>
      <c r="G19" s="25"/>
      <c r="H19" s="40"/>
      <c r="I19" s="41">
        <v>2</v>
      </c>
      <c r="J19" s="42" t="s">
        <v>18</v>
      </c>
      <c r="K19" s="40"/>
      <c r="L19" s="41">
        <v>2</v>
      </c>
      <c r="M19" s="42" t="s">
        <v>18</v>
      </c>
      <c r="N19" s="43"/>
      <c r="O19" s="41">
        <v>2</v>
      </c>
      <c r="P19" s="42" t="s">
        <v>18</v>
      </c>
      <c r="Q19" s="43"/>
      <c r="R19" s="41">
        <v>2</v>
      </c>
      <c r="S19" s="42" t="s">
        <v>18</v>
      </c>
      <c r="T19" s="40"/>
      <c r="U19" s="41">
        <v>2</v>
      </c>
      <c r="V19" s="42" t="s">
        <v>18</v>
      </c>
      <c r="W19" s="40"/>
      <c r="X19" s="41">
        <v>2</v>
      </c>
      <c r="Y19" s="42" t="s">
        <v>18</v>
      </c>
      <c r="Z19" s="25"/>
    </row>
    <row r="20" spans="1:26" ht="14.1" customHeight="1" x14ac:dyDescent="0.25">
      <c r="A20" s="25"/>
      <c r="B20" s="25"/>
      <c r="C20" s="25"/>
      <c r="D20" s="25"/>
      <c r="E20" s="25"/>
      <c r="F20" s="25"/>
      <c r="G20" s="25"/>
      <c r="H20" s="28">
        <v>7</v>
      </c>
      <c r="I20" s="29"/>
      <c r="J20" s="30" t="s">
        <v>16</v>
      </c>
      <c r="K20" s="28">
        <v>15</v>
      </c>
      <c r="L20" s="29"/>
      <c r="M20" s="30" t="s">
        <v>16</v>
      </c>
      <c r="N20" s="31">
        <v>23</v>
      </c>
      <c r="O20" s="29"/>
      <c r="P20" s="30" t="s">
        <v>16</v>
      </c>
      <c r="Q20" s="31">
        <v>31</v>
      </c>
      <c r="R20" s="29"/>
      <c r="S20" s="30" t="s">
        <v>16</v>
      </c>
      <c r="T20" s="28">
        <v>39</v>
      </c>
      <c r="U20" s="29"/>
      <c r="V20" s="30" t="s">
        <v>16</v>
      </c>
      <c r="W20" s="28">
        <v>47</v>
      </c>
      <c r="X20" s="29"/>
      <c r="Y20" s="30" t="s">
        <v>16</v>
      </c>
      <c r="Z20" s="25"/>
    </row>
    <row r="21" spans="1:26" ht="14.1" customHeight="1" x14ac:dyDescent="0.25">
      <c r="A21" s="25"/>
      <c r="B21" s="25"/>
      <c r="C21" s="25"/>
      <c r="D21" s="25"/>
      <c r="E21" s="25"/>
      <c r="F21" s="25"/>
      <c r="G21" s="25"/>
      <c r="H21" s="34"/>
      <c r="I21" s="35"/>
      <c r="J21" s="36" t="s">
        <v>17</v>
      </c>
      <c r="K21" s="34"/>
      <c r="L21" s="35"/>
      <c r="M21" s="36" t="s">
        <v>17</v>
      </c>
      <c r="N21" s="37"/>
      <c r="O21" s="35"/>
      <c r="P21" s="36" t="s">
        <v>17</v>
      </c>
      <c r="Q21" s="37"/>
      <c r="R21" s="35"/>
      <c r="S21" s="36" t="s">
        <v>17</v>
      </c>
      <c r="T21" s="34"/>
      <c r="U21" s="35"/>
      <c r="V21" s="36" t="s">
        <v>17</v>
      </c>
      <c r="W21" s="34"/>
      <c r="X21" s="35"/>
      <c r="Y21" s="36" t="s">
        <v>17</v>
      </c>
      <c r="Z21" s="25"/>
    </row>
    <row r="22" spans="1:26" ht="14.1" customHeight="1" thickBot="1" x14ac:dyDescent="0.3">
      <c r="A22" s="25"/>
      <c r="B22" s="25"/>
      <c r="C22" s="25"/>
      <c r="D22" s="25"/>
      <c r="E22" s="25"/>
      <c r="F22" s="25"/>
      <c r="G22" s="25"/>
      <c r="H22" s="40"/>
      <c r="I22" s="41">
        <v>2</v>
      </c>
      <c r="J22" s="42" t="s">
        <v>18</v>
      </c>
      <c r="K22" s="40"/>
      <c r="L22" s="41">
        <v>2</v>
      </c>
      <c r="M22" s="42" t="s">
        <v>18</v>
      </c>
      <c r="N22" s="43"/>
      <c r="O22" s="41">
        <v>2</v>
      </c>
      <c r="P22" s="42" t="s">
        <v>18</v>
      </c>
      <c r="Q22" s="43"/>
      <c r="R22" s="41">
        <v>2</v>
      </c>
      <c r="S22" s="42" t="s">
        <v>18</v>
      </c>
      <c r="T22" s="40"/>
      <c r="U22" s="41">
        <v>2</v>
      </c>
      <c r="V22" s="42" t="s">
        <v>18</v>
      </c>
      <c r="W22" s="40"/>
      <c r="X22" s="41">
        <v>2</v>
      </c>
      <c r="Y22" s="42" t="s">
        <v>18</v>
      </c>
      <c r="Z22" s="25"/>
    </row>
    <row r="23" spans="1:26" ht="14.1" customHeight="1" x14ac:dyDescent="0.25">
      <c r="A23" s="25"/>
      <c r="B23" s="25"/>
      <c r="C23" s="25"/>
      <c r="D23" s="25"/>
      <c r="E23" s="25"/>
      <c r="F23" s="25"/>
      <c r="G23" s="25"/>
      <c r="H23" s="28">
        <v>8</v>
      </c>
      <c r="I23" s="29"/>
      <c r="J23" s="30" t="s">
        <v>16</v>
      </c>
      <c r="K23" s="28">
        <v>16</v>
      </c>
      <c r="L23" s="29"/>
      <c r="M23" s="30" t="s">
        <v>16</v>
      </c>
      <c r="N23" s="31">
        <v>24</v>
      </c>
      <c r="O23" s="29"/>
      <c r="P23" s="30" t="s">
        <v>16</v>
      </c>
      <c r="Q23" s="31">
        <v>32</v>
      </c>
      <c r="R23" s="29"/>
      <c r="S23" s="30" t="s">
        <v>16</v>
      </c>
      <c r="T23" s="28">
        <v>40</v>
      </c>
      <c r="U23" s="29"/>
      <c r="V23" s="30" t="s">
        <v>16</v>
      </c>
      <c r="W23" s="28">
        <v>48</v>
      </c>
      <c r="X23" s="29"/>
      <c r="Y23" s="30" t="s">
        <v>16</v>
      </c>
      <c r="Z23" s="25"/>
    </row>
    <row r="24" spans="1:26" ht="14.1" customHeight="1" x14ac:dyDescent="0.25">
      <c r="A24" s="25"/>
      <c r="B24" s="25"/>
      <c r="C24" s="25"/>
      <c r="D24" s="25"/>
      <c r="E24" s="25"/>
      <c r="F24" s="25"/>
      <c r="G24" s="25"/>
      <c r="H24" s="34"/>
      <c r="I24" s="35"/>
      <c r="J24" s="36" t="s">
        <v>17</v>
      </c>
      <c r="K24" s="34"/>
      <c r="L24" s="35"/>
      <c r="M24" s="36" t="s">
        <v>17</v>
      </c>
      <c r="N24" s="37"/>
      <c r="O24" s="35"/>
      <c r="P24" s="36" t="s">
        <v>17</v>
      </c>
      <c r="Q24" s="37"/>
      <c r="R24" s="35"/>
      <c r="S24" s="36" t="s">
        <v>17</v>
      </c>
      <c r="T24" s="34"/>
      <c r="U24" s="35"/>
      <c r="V24" s="36" t="s">
        <v>17</v>
      </c>
      <c r="W24" s="34"/>
      <c r="X24" s="35"/>
      <c r="Y24" s="36" t="s">
        <v>17</v>
      </c>
      <c r="Z24" s="25"/>
    </row>
    <row r="25" spans="1:26" ht="14.1" customHeight="1" thickBot="1" x14ac:dyDescent="0.3">
      <c r="A25" s="25"/>
      <c r="B25" s="25"/>
      <c r="C25" s="25"/>
      <c r="D25" s="25"/>
      <c r="E25" s="25"/>
      <c r="F25" s="25"/>
      <c r="G25" s="25"/>
      <c r="H25" s="40"/>
      <c r="I25" s="41">
        <v>2</v>
      </c>
      <c r="J25" s="42" t="s">
        <v>18</v>
      </c>
      <c r="K25" s="40"/>
      <c r="L25" s="41">
        <v>2</v>
      </c>
      <c r="M25" s="42" t="s">
        <v>18</v>
      </c>
      <c r="N25" s="43"/>
      <c r="O25" s="41">
        <v>2</v>
      </c>
      <c r="P25" s="42" t="s">
        <v>18</v>
      </c>
      <c r="Q25" s="43"/>
      <c r="R25" s="41">
        <v>2</v>
      </c>
      <c r="S25" s="42" t="s">
        <v>18</v>
      </c>
      <c r="T25" s="40"/>
      <c r="U25" s="41">
        <v>2</v>
      </c>
      <c r="V25" s="42" t="s">
        <v>18</v>
      </c>
      <c r="W25" s="40"/>
      <c r="X25" s="41">
        <v>2</v>
      </c>
      <c r="Y25" s="42" t="s">
        <v>18</v>
      </c>
      <c r="Z25" s="25"/>
    </row>
    <row r="26" spans="1:26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</sheetData>
  <mergeCells count="2">
    <mergeCell ref="B2:E2"/>
    <mergeCell ref="B15:C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Orientações</vt:lpstr>
      <vt:lpstr>Controle Vencimento Férias</vt:lpstr>
      <vt:lpstr>Parâmetros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2018-03-29T17:50:59Z</dcterms:created>
  <dcterms:modified xsi:type="dcterms:W3CDTF">2018-04-01T14:25:51Z</dcterms:modified>
</cp:coreProperties>
</file>