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c_Infor_Adm\Desktop\Particular\F\2016\2º Semestre\Ciências Contábeis\"/>
    </mc:Choice>
  </mc:AlternateContent>
  <bookViews>
    <workbookView xWindow="0" yWindow="0" windowWidth="24000" windowHeight="9135"/>
  </bookViews>
  <sheets>
    <sheet name="BORDERÔ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B48" i="4"/>
  <c r="A6" i="4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E9" i="4"/>
  <c r="F9" i="4" s="1"/>
  <c r="E8" i="4"/>
  <c r="F8" i="4" s="1"/>
  <c r="E7" i="4"/>
  <c r="E6" i="4"/>
  <c r="E5" i="4"/>
  <c r="G6" i="4" l="1"/>
  <c r="H6" i="4" s="1"/>
  <c r="G5" i="4"/>
  <c r="H5" i="4" s="1"/>
  <c r="G7" i="4"/>
  <c r="H7" i="4" s="1"/>
  <c r="F5" i="4"/>
  <c r="F6" i="4"/>
  <c r="F7" i="4"/>
  <c r="G9" i="4"/>
  <c r="H9" i="4" s="1"/>
  <c r="G8" i="4"/>
  <c r="H8" i="4" s="1"/>
  <c r="D40" i="4"/>
  <c r="D41" i="4"/>
  <c r="E41" i="4" s="1"/>
  <c r="D42" i="4"/>
  <c r="E42" i="4" s="1"/>
  <c r="G42" i="4" s="1"/>
  <c r="H42" i="4" s="1"/>
  <c r="D43" i="4"/>
  <c r="E43" i="4" s="1"/>
  <c r="D44" i="4"/>
  <c r="E44" i="4" s="1"/>
  <c r="D45" i="4"/>
  <c r="E45" i="4" s="1"/>
  <c r="D46" i="4"/>
  <c r="E46" i="4" s="1"/>
  <c r="G46" i="4" s="1"/>
  <c r="H46" i="4" s="1"/>
  <c r="D47" i="4"/>
  <c r="E47" i="4" s="1"/>
  <c r="E40" i="4"/>
  <c r="F40" i="4" s="1"/>
  <c r="F48" i="4" l="1"/>
  <c r="E48" i="4" s="1"/>
  <c r="J5" i="4" s="1"/>
  <c r="H48" i="4"/>
  <c r="J13" i="4" s="1"/>
  <c r="J17" i="4" s="1"/>
  <c r="G48" i="4"/>
  <c r="J9" i="4" s="1"/>
  <c r="G40" i="4"/>
  <c r="H40" i="4" s="1"/>
  <c r="G44" i="4"/>
  <c r="H44" i="4" s="1"/>
  <c r="F44" i="4"/>
  <c r="F46" i="4"/>
  <c r="F42" i="4"/>
  <c r="F47" i="4"/>
  <c r="G47" i="4"/>
  <c r="H47" i="4" s="1"/>
  <c r="F45" i="4"/>
  <c r="G45" i="4"/>
  <c r="H45" i="4" s="1"/>
  <c r="F43" i="4"/>
  <c r="G43" i="4"/>
  <c r="H43" i="4" s="1"/>
  <c r="G41" i="4"/>
  <c r="H41" i="4" s="1"/>
  <c r="F41" i="4"/>
  <c r="A40" i="4" l="1"/>
  <c r="A41" i="4" s="1"/>
  <c r="A42" i="4" s="1"/>
  <c r="A43" i="4" s="1"/>
  <c r="A44" i="4" s="1"/>
  <c r="A45" i="4" s="1"/>
  <c r="A46" i="4" s="1"/>
  <c r="A47" i="4" s="1"/>
</calcChain>
</file>

<file path=xl/sharedStrings.xml><?xml version="1.0" encoding="utf-8"?>
<sst xmlns="http://schemas.openxmlformats.org/spreadsheetml/2006/main" count="17" uniqueCount="17">
  <si>
    <t>TOTAL</t>
  </si>
  <si>
    <t>Data de Vencimento</t>
  </si>
  <si>
    <t>Data para Negociação</t>
  </si>
  <si>
    <t>Dias</t>
  </si>
  <si>
    <t>Valor Ponderado</t>
  </si>
  <si>
    <t>Desconto</t>
  </si>
  <si>
    <t>Valor Nominal</t>
  </si>
  <si>
    <t>Valor Antecipado</t>
  </si>
  <si>
    <t>Documento Nr</t>
  </si>
  <si>
    <t>BORDERÔ DE CHEQUES E DUPLICATAS</t>
  </si>
  <si>
    <t>Taxa de Desconto ao dia (em %)</t>
  </si>
  <si>
    <t>dias</t>
  </si>
  <si>
    <t>Custo do Borderô</t>
  </si>
  <si>
    <t>Prazo Médio (PM)</t>
  </si>
  <si>
    <t>Valor do Desconto (VD)</t>
  </si>
  <si>
    <t>Valor da Antecipação (VA)</t>
  </si>
  <si>
    <t>Valor Total da Antecipação (VTA)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</si>
</sst>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7" formatCode="0.00000000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FF00"/>
      <name val="Times New Roman"/>
      <family val="1"/>
    </font>
    <font>
      <b/>
      <sz val="36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4" fontId="2" fillId="0" borderId="1" xfId="1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44" fontId="2" fillId="6" borderId="1" xfId="1" applyFont="1" applyFill="1" applyBorder="1" applyAlignment="1">
      <alignment horizontal="center" vertical="center"/>
    </xf>
    <xf numFmtId="14" fontId="2" fillId="6" borderId="1" xfId="1" applyNumberFormat="1" applyFont="1" applyFill="1" applyBorder="1" applyAlignment="1">
      <alignment horizontal="center" vertical="center"/>
    </xf>
    <xf numFmtId="0" fontId="2" fillId="6" borderId="1" xfId="1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4" fontId="2" fillId="0" borderId="2" xfId="1" applyFont="1" applyBorder="1" applyAlignment="1">
      <alignment horizontal="center" vertical="center"/>
    </xf>
    <xf numFmtId="14" fontId="2" fillId="0" borderId="2" xfId="1" applyNumberFormat="1" applyFont="1" applyBorder="1" applyAlignment="1">
      <alignment horizontal="center" vertical="center"/>
    </xf>
    <xf numFmtId="14" fontId="2" fillId="6" borderId="2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44" fontId="2" fillId="6" borderId="2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7" fontId="3" fillId="0" borderId="1" xfId="2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4" fontId="3" fillId="5" borderId="1" xfId="0" applyNumberFormat="1" applyFont="1" applyFill="1" applyBorder="1" applyAlignment="1">
      <alignment horizontal="center" vertical="center"/>
    </xf>
    <xf numFmtId="43" fontId="7" fillId="5" borderId="3" xfId="3" applyFont="1" applyFill="1" applyBorder="1" applyAlignment="1">
      <alignment horizontal="right" vertical="center"/>
    </xf>
    <xf numFmtId="0" fontId="7" fillId="5" borderId="4" xfId="0" applyFont="1" applyFill="1" applyBorder="1" applyAlignment="1">
      <alignment horizontal="left" vertical="center"/>
    </xf>
    <xf numFmtId="44" fontId="7" fillId="5" borderId="0" xfId="0" applyNumberFormat="1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2" fillId="7" borderId="1" xfId="1" applyNumberFormat="1" applyFont="1" applyFill="1" applyBorder="1" applyAlignment="1">
      <alignment horizontal="center" vertical="center"/>
    </xf>
    <xf numFmtId="4" fontId="2" fillId="7" borderId="1" xfId="1" applyNumberFormat="1" applyFont="1" applyFill="1" applyBorder="1" applyAlignment="1">
      <alignment horizontal="center" vertical="center"/>
    </xf>
    <xf numFmtId="44" fontId="2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" fontId="3" fillId="7" borderId="1" xfId="0" applyNumberFormat="1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 vertical="center"/>
    </xf>
    <xf numFmtId="43" fontId="3" fillId="7" borderId="1" xfId="3" applyFont="1" applyFill="1" applyBorder="1" applyAlignment="1">
      <alignment horizontal="center" vertical="center"/>
    </xf>
    <xf numFmtId="44" fontId="3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67" fontId="3" fillId="8" borderId="2" xfId="2" applyNumberFormat="1" applyFont="1" applyFill="1" applyBorder="1" applyAlignment="1" applyProtection="1">
      <alignment horizontal="center" vertical="center"/>
      <protection locked="0"/>
    </xf>
    <xf numFmtId="44" fontId="6" fillId="8" borderId="1" xfId="1" applyFont="1" applyFill="1" applyBorder="1" applyAlignment="1" applyProtection="1">
      <alignment horizontal="center" vertical="center" wrapText="1"/>
      <protection locked="0"/>
    </xf>
    <xf numFmtId="14" fontId="6" fillId="8" borderId="1" xfId="0" applyNumberFormat="1" applyFont="1" applyFill="1" applyBorder="1" applyAlignment="1" applyProtection="1">
      <alignment horizontal="center" vertical="center" wrapText="1"/>
      <protection locked="0"/>
    </xf>
    <xf numFmtId="14" fontId="2" fillId="8" borderId="1" xfId="1" applyNumberFormat="1" applyFont="1" applyFill="1" applyBorder="1" applyAlignment="1" applyProtection="1">
      <alignment horizontal="center" vertical="center"/>
      <protection locked="0"/>
    </xf>
    <xf numFmtId="44" fontId="3" fillId="8" borderId="1" xfId="1" applyFont="1" applyFill="1" applyBorder="1" applyAlignment="1" applyProtection="1">
      <alignment horizontal="center" vertical="center"/>
      <protection locked="0"/>
    </xf>
    <xf numFmtId="44" fontId="3" fillId="8" borderId="5" xfId="1" applyFont="1" applyFill="1" applyBorder="1" applyAlignment="1" applyProtection="1">
      <alignment horizontal="center" vertical="center"/>
      <protection locked="0"/>
    </xf>
    <xf numFmtId="44" fontId="3" fillId="8" borderId="6" xfId="1" applyFont="1" applyFill="1" applyBorder="1" applyAlignment="1" applyProtection="1">
      <alignment horizontal="center" vertical="center"/>
      <protection locked="0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8"/>
  <sheetViews>
    <sheetView tabSelected="1" workbookViewId="0">
      <selection activeCell="G2" sqref="G2:H2"/>
    </sheetView>
  </sheetViews>
  <sheetFormatPr defaultRowHeight="15.75" x14ac:dyDescent="0.25"/>
  <cols>
    <col min="1" max="1" width="12.140625" style="1" customWidth="1"/>
    <col min="2" max="2" width="23.5703125" style="1" customWidth="1"/>
    <col min="3" max="3" width="20.7109375" style="1" bestFit="1" customWidth="1"/>
    <col min="4" max="4" width="22.7109375" style="1" bestFit="1" customWidth="1"/>
    <col min="5" max="5" width="12.140625" style="1" bestFit="1" customWidth="1"/>
    <col min="6" max="6" width="18.140625" style="1" bestFit="1" customWidth="1"/>
    <col min="7" max="7" width="18.5703125" style="1" customWidth="1"/>
    <col min="8" max="8" width="22.140625" style="1" customWidth="1"/>
    <col min="9" max="9" width="11.42578125" style="1" bestFit="1" customWidth="1"/>
    <col min="10" max="10" width="11.5703125" style="1" bestFit="1" customWidth="1"/>
    <col min="11" max="11" width="21.42578125" style="1" customWidth="1"/>
    <col min="12" max="16384" width="9.140625" style="1"/>
  </cols>
  <sheetData>
    <row r="1" spans="1:11" ht="52.5" customHeight="1" x14ac:dyDescent="0.25">
      <c r="A1" s="21" t="s">
        <v>9</v>
      </c>
      <c r="B1" s="21"/>
      <c r="C1" s="21"/>
      <c r="D1" s="21"/>
      <c r="E1" s="21"/>
      <c r="F1" s="21"/>
      <c r="G1" s="21"/>
      <c r="H1" s="21"/>
    </row>
    <row r="2" spans="1:11" ht="44.25" customHeight="1" x14ac:dyDescent="0.25">
      <c r="A2" s="30" t="s">
        <v>10</v>
      </c>
      <c r="B2" s="30"/>
      <c r="C2" s="42">
        <f>12%/30</f>
        <v>4.0000000000000001E-3</v>
      </c>
      <c r="D2" s="29"/>
      <c r="E2" s="31" t="s">
        <v>12</v>
      </c>
      <c r="F2" s="32"/>
      <c r="G2" s="47">
        <v>400</v>
      </c>
      <c r="H2" s="48"/>
      <c r="J2" s="17"/>
      <c r="K2" s="17"/>
    </row>
    <row r="3" spans="1:11" ht="9" customHeight="1" x14ac:dyDescent="0.25">
      <c r="A3" s="18"/>
      <c r="B3" s="18"/>
      <c r="C3" s="19"/>
      <c r="D3" s="4"/>
      <c r="E3" s="20"/>
      <c r="F3" s="20"/>
      <c r="G3" s="20"/>
      <c r="H3" s="20"/>
    </row>
    <row r="4" spans="1:11" s="16" customFormat="1" ht="36.75" customHeight="1" x14ac:dyDescent="0.25">
      <c r="A4" s="15" t="s">
        <v>8</v>
      </c>
      <c r="B4" s="15" t="s">
        <v>6</v>
      </c>
      <c r="C4" s="15" t="s">
        <v>1</v>
      </c>
      <c r="D4" s="15" t="s">
        <v>2</v>
      </c>
      <c r="E4" s="15" t="s">
        <v>3</v>
      </c>
      <c r="F4" s="15" t="s">
        <v>4</v>
      </c>
      <c r="G4" s="15" t="s">
        <v>5</v>
      </c>
      <c r="H4" s="15" t="s">
        <v>7</v>
      </c>
      <c r="J4" s="27" t="s">
        <v>13</v>
      </c>
      <c r="K4" s="27"/>
    </row>
    <row r="5" spans="1:11" x14ac:dyDescent="0.25">
      <c r="A5" s="41">
        <v>1</v>
      </c>
      <c r="B5" s="43">
        <v>4000</v>
      </c>
      <c r="C5" s="44">
        <v>42654</v>
      </c>
      <c r="D5" s="45">
        <v>42623</v>
      </c>
      <c r="E5" s="33">
        <f>C5-D5</f>
        <v>31</v>
      </c>
      <c r="F5" s="34">
        <f>E5*B5</f>
        <v>124000</v>
      </c>
      <c r="G5" s="35">
        <f>B5*$C$2*E5</f>
        <v>496</v>
      </c>
      <c r="H5" s="35">
        <f>B5-G5</f>
        <v>3504</v>
      </c>
      <c r="J5" s="23">
        <f>E48</f>
        <v>54.755953350747099</v>
      </c>
      <c r="K5" s="24" t="s">
        <v>11</v>
      </c>
    </row>
    <row r="6" spans="1:11" x14ac:dyDescent="0.25">
      <c r="A6" s="41">
        <f>A5+1</f>
        <v>2</v>
      </c>
      <c r="B6" s="43">
        <v>17550</v>
      </c>
      <c r="C6" s="44">
        <v>42570</v>
      </c>
      <c r="D6" s="45">
        <v>42566</v>
      </c>
      <c r="E6" s="33">
        <f t="shared" ref="E6:E9" si="0">C6-D6</f>
        <v>4</v>
      </c>
      <c r="F6" s="34">
        <f t="shared" ref="F6:F9" si="1">E6*B6</f>
        <v>70200</v>
      </c>
      <c r="G6" s="35">
        <f t="shared" ref="G6:G9" si="2">B6*$C$2*E6</f>
        <v>280.8</v>
      </c>
      <c r="H6" s="35">
        <f t="shared" ref="H6:H9" si="3">B6-G6</f>
        <v>17269.2</v>
      </c>
    </row>
    <row r="7" spans="1:11" x14ac:dyDescent="0.25">
      <c r="A7" s="41">
        <f t="shared" ref="A7:A39" si="4">A6+1</f>
        <v>3</v>
      </c>
      <c r="B7" s="43">
        <v>25260</v>
      </c>
      <c r="C7" s="44">
        <v>42668</v>
      </c>
      <c r="D7" s="45">
        <v>42623</v>
      </c>
      <c r="E7" s="33">
        <f t="shared" si="0"/>
        <v>45</v>
      </c>
      <c r="F7" s="34">
        <f t="shared" si="1"/>
        <v>1136700</v>
      </c>
      <c r="G7" s="35">
        <f t="shared" si="2"/>
        <v>4546.8</v>
      </c>
      <c r="H7" s="35">
        <f t="shared" si="3"/>
        <v>20713.2</v>
      </c>
      <c r="J7" s="28" t="s">
        <v>14</v>
      </c>
      <c r="K7" s="28"/>
    </row>
    <row r="8" spans="1:11" x14ac:dyDescent="0.25">
      <c r="A8" s="41">
        <f t="shared" si="4"/>
        <v>4</v>
      </c>
      <c r="B8" s="43">
        <v>9658.4</v>
      </c>
      <c r="C8" s="44">
        <v>42693</v>
      </c>
      <c r="D8" s="45">
        <v>42623</v>
      </c>
      <c r="E8" s="33">
        <f t="shared" si="0"/>
        <v>70</v>
      </c>
      <c r="F8" s="34">
        <f t="shared" si="1"/>
        <v>676088</v>
      </c>
      <c r="G8" s="35">
        <f t="shared" si="2"/>
        <v>2704.3519999999999</v>
      </c>
      <c r="H8" s="35">
        <f t="shared" si="3"/>
        <v>6954.0479999999998</v>
      </c>
      <c r="J8" s="28"/>
      <c r="K8" s="28"/>
    </row>
    <row r="9" spans="1:11" x14ac:dyDescent="0.25">
      <c r="A9" s="41">
        <f t="shared" si="4"/>
        <v>5</v>
      </c>
      <c r="B9" s="43">
        <v>19640</v>
      </c>
      <c r="C9" s="44">
        <v>42733</v>
      </c>
      <c r="D9" s="45">
        <v>42623</v>
      </c>
      <c r="E9" s="33">
        <f t="shared" si="0"/>
        <v>110</v>
      </c>
      <c r="F9" s="34">
        <f t="shared" si="1"/>
        <v>2160400</v>
      </c>
      <c r="G9" s="35">
        <f t="shared" si="2"/>
        <v>8641.6</v>
      </c>
      <c r="H9" s="35">
        <f t="shared" si="3"/>
        <v>10998.4</v>
      </c>
      <c r="J9" s="25">
        <f>G48</f>
        <v>16669.552</v>
      </c>
      <c r="K9" s="26"/>
    </row>
    <row r="10" spans="1:11" x14ac:dyDescent="0.25">
      <c r="A10" s="41">
        <f t="shared" si="4"/>
        <v>6</v>
      </c>
      <c r="B10" s="46"/>
      <c r="C10" s="44"/>
      <c r="D10" s="44"/>
      <c r="E10" s="36"/>
      <c r="F10" s="37"/>
      <c r="G10" s="38"/>
      <c r="H10" s="38"/>
    </row>
    <row r="11" spans="1:11" x14ac:dyDescent="0.25">
      <c r="A11" s="41">
        <f t="shared" si="4"/>
        <v>7</v>
      </c>
      <c r="B11" s="46"/>
      <c r="C11" s="44"/>
      <c r="D11" s="44"/>
      <c r="E11" s="36"/>
      <c r="F11" s="37"/>
      <c r="G11" s="38"/>
      <c r="H11" s="38"/>
      <c r="J11" s="28" t="s">
        <v>15</v>
      </c>
      <c r="K11" s="28"/>
    </row>
    <row r="12" spans="1:11" x14ac:dyDescent="0.25">
      <c r="A12" s="41">
        <f t="shared" si="4"/>
        <v>8</v>
      </c>
      <c r="B12" s="46"/>
      <c r="C12" s="44"/>
      <c r="D12" s="44"/>
      <c r="E12" s="36"/>
      <c r="F12" s="37"/>
      <c r="G12" s="38"/>
      <c r="H12" s="38"/>
      <c r="J12" s="28"/>
      <c r="K12" s="28"/>
    </row>
    <row r="13" spans="1:11" x14ac:dyDescent="0.25">
      <c r="A13" s="41">
        <f t="shared" si="4"/>
        <v>9</v>
      </c>
      <c r="B13" s="46"/>
      <c r="C13" s="44"/>
      <c r="D13" s="44"/>
      <c r="E13" s="36"/>
      <c r="F13" s="37"/>
      <c r="G13" s="38"/>
      <c r="H13" s="38"/>
      <c r="J13" s="25">
        <f>H48</f>
        <v>59438.848000000005</v>
      </c>
      <c r="K13" s="26"/>
    </row>
    <row r="14" spans="1:11" x14ac:dyDescent="0.25">
      <c r="A14" s="41">
        <f t="shared" si="4"/>
        <v>10</v>
      </c>
      <c r="B14" s="46"/>
      <c r="C14" s="44"/>
      <c r="D14" s="44"/>
      <c r="E14" s="36"/>
      <c r="F14" s="37"/>
      <c r="G14" s="38"/>
      <c r="H14" s="38"/>
    </row>
    <row r="15" spans="1:11" x14ac:dyDescent="0.25">
      <c r="A15" s="41">
        <f t="shared" si="4"/>
        <v>11</v>
      </c>
      <c r="B15" s="46"/>
      <c r="C15" s="44"/>
      <c r="D15" s="44"/>
      <c r="E15" s="36"/>
      <c r="F15" s="37"/>
      <c r="G15" s="38"/>
      <c r="H15" s="38"/>
      <c r="J15" s="27" t="s">
        <v>16</v>
      </c>
      <c r="K15" s="27"/>
    </row>
    <row r="16" spans="1:11" x14ac:dyDescent="0.25">
      <c r="A16" s="41">
        <f t="shared" si="4"/>
        <v>12</v>
      </c>
      <c r="B16" s="46"/>
      <c r="C16" s="44"/>
      <c r="D16" s="44"/>
      <c r="E16" s="36"/>
      <c r="F16" s="37"/>
      <c r="G16" s="38"/>
      <c r="H16" s="38"/>
      <c r="J16" s="27"/>
      <c r="K16" s="27"/>
    </row>
    <row r="17" spans="1:11" x14ac:dyDescent="0.25">
      <c r="A17" s="41">
        <f t="shared" si="4"/>
        <v>13</v>
      </c>
      <c r="B17" s="46"/>
      <c r="C17" s="44"/>
      <c r="D17" s="44"/>
      <c r="E17" s="36"/>
      <c r="F17" s="37"/>
      <c r="G17" s="38"/>
      <c r="H17" s="38"/>
      <c r="J17" s="25">
        <f>J13-G2</f>
        <v>59038.848000000005</v>
      </c>
      <c r="K17" s="26"/>
    </row>
    <row r="18" spans="1:11" x14ac:dyDescent="0.25">
      <c r="A18" s="41">
        <f t="shared" si="4"/>
        <v>14</v>
      </c>
      <c r="B18" s="46"/>
      <c r="C18" s="44"/>
      <c r="D18" s="44"/>
      <c r="E18" s="36"/>
      <c r="F18" s="37"/>
      <c r="G18" s="38"/>
      <c r="H18" s="38"/>
    </row>
    <row r="19" spans="1:11" x14ac:dyDescent="0.25">
      <c r="A19" s="41">
        <f t="shared" si="4"/>
        <v>15</v>
      </c>
      <c r="B19" s="46"/>
      <c r="C19" s="44"/>
      <c r="D19" s="44"/>
      <c r="E19" s="36"/>
      <c r="F19" s="37"/>
      <c r="G19" s="38"/>
      <c r="H19" s="38"/>
    </row>
    <row r="20" spans="1:11" x14ac:dyDescent="0.25">
      <c r="A20" s="41">
        <f t="shared" si="4"/>
        <v>16</v>
      </c>
      <c r="B20" s="46"/>
      <c r="C20" s="44"/>
      <c r="D20" s="44"/>
      <c r="E20" s="36"/>
      <c r="F20" s="37"/>
      <c r="G20" s="38"/>
      <c r="H20" s="38"/>
    </row>
    <row r="21" spans="1:11" x14ac:dyDescent="0.25">
      <c r="A21" s="41">
        <f t="shared" si="4"/>
        <v>17</v>
      </c>
      <c r="B21" s="46"/>
      <c r="C21" s="44"/>
      <c r="D21" s="44"/>
      <c r="E21" s="36"/>
      <c r="F21" s="37"/>
      <c r="G21" s="38"/>
      <c r="H21" s="38"/>
    </row>
    <row r="22" spans="1:11" x14ac:dyDescent="0.25">
      <c r="A22" s="41">
        <f t="shared" si="4"/>
        <v>18</v>
      </c>
      <c r="B22" s="46"/>
      <c r="C22" s="44"/>
      <c r="D22" s="44"/>
      <c r="E22" s="36"/>
      <c r="F22" s="37"/>
      <c r="G22" s="38"/>
      <c r="H22" s="38"/>
    </row>
    <row r="23" spans="1:11" x14ac:dyDescent="0.25">
      <c r="A23" s="41">
        <f t="shared" si="4"/>
        <v>19</v>
      </c>
      <c r="B23" s="46"/>
      <c r="C23" s="44"/>
      <c r="D23" s="44"/>
      <c r="E23" s="36"/>
      <c r="F23" s="37"/>
      <c r="G23" s="38"/>
      <c r="H23" s="38"/>
    </row>
    <row r="24" spans="1:11" x14ac:dyDescent="0.25">
      <c r="A24" s="41">
        <f t="shared" si="4"/>
        <v>20</v>
      </c>
      <c r="B24" s="46"/>
      <c r="C24" s="44"/>
      <c r="D24" s="44"/>
      <c r="E24" s="36"/>
      <c r="F24" s="37"/>
      <c r="G24" s="38"/>
      <c r="H24" s="38"/>
    </row>
    <row r="25" spans="1:11" x14ac:dyDescent="0.25">
      <c r="A25" s="41">
        <f t="shared" si="4"/>
        <v>21</v>
      </c>
      <c r="B25" s="46"/>
      <c r="C25" s="44"/>
      <c r="D25" s="44"/>
      <c r="E25" s="36"/>
      <c r="F25" s="37"/>
      <c r="G25" s="38"/>
      <c r="H25" s="38"/>
    </row>
    <row r="26" spans="1:11" x14ac:dyDescent="0.25">
      <c r="A26" s="41">
        <f t="shared" si="4"/>
        <v>22</v>
      </c>
      <c r="B26" s="46"/>
      <c r="C26" s="44"/>
      <c r="D26" s="44"/>
      <c r="E26" s="36"/>
      <c r="F26" s="37"/>
      <c r="G26" s="38"/>
      <c r="H26" s="38"/>
    </row>
    <row r="27" spans="1:11" x14ac:dyDescent="0.25">
      <c r="A27" s="41">
        <f t="shared" si="4"/>
        <v>23</v>
      </c>
      <c r="B27" s="46"/>
      <c r="C27" s="44"/>
      <c r="D27" s="44"/>
      <c r="E27" s="36"/>
      <c r="F27" s="37"/>
      <c r="G27" s="38"/>
      <c r="H27" s="38"/>
    </row>
    <row r="28" spans="1:11" x14ac:dyDescent="0.25">
      <c r="A28" s="41">
        <f t="shared" si="4"/>
        <v>24</v>
      </c>
      <c r="B28" s="46"/>
      <c r="C28" s="44"/>
      <c r="D28" s="44"/>
      <c r="E28" s="36"/>
      <c r="F28" s="37"/>
      <c r="G28" s="38"/>
      <c r="H28" s="38"/>
    </row>
    <row r="29" spans="1:11" x14ac:dyDescent="0.25">
      <c r="A29" s="41">
        <f t="shared" si="4"/>
        <v>25</v>
      </c>
      <c r="B29" s="46"/>
      <c r="C29" s="44"/>
      <c r="D29" s="44"/>
      <c r="E29" s="36"/>
      <c r="F29" s="37"/>
      <c r="G29" s="38"/>
      <c r="H29" s="38"/>
    </row>
    <row r="30" spans="1:11" x14ac:dyDescent="0.25">
      <c r="A30" s="41">
        <f t="shared" si="4"/>
        <v>26</v>
      </c>
      <c r="B30" s="46"/>
      <c r="C30" s="44"/>
      <c r="D30" s="44"/>
      <c r="E30" s="36"/>
      <c r="F30" s="37"/>
      <c r="G30" s="38"/>
      <c r="H30" s="38"/>
    </row>
    <row r="31" spans="1:11" x14ac:dyDescent="0.25">
      <c r="A31" s="41">
        <f t="shared" si="4"/>
        <v>27</v>
      </c>
      <c r="B31" s="46"/>
      <c r="C31" s="44"/>
      <c r="D31" s="44"/>
      <c r="E31" s="36"/>
      <c r="F31" s="37"/>
      <c r="G31" s="38"/>
      <c r="H31" s="38"/>
    </row>
    <row r="32" spans="1:11" x14ac:dyDescent="0.25">
      <c r="A32" s="41">
        <f t="shared" si="4"/>
        <v>28</v>
      </c>
      <c r="B32" s="46"/>
      <c r="C32" s="44"/>
      <c r="D32" s="44"/>
      <c r="E32" s="36"/>
      <c r="F32" s="37"/>
      <c r="G32" s="38"/>
      <c r="H32" s="38"/>
    </row>
    <row r="33" spans="1:8" x14ac:dyDescent="0.25">
      <c r="A33" s="41">
        <f t="shared" si="4"/>
        <v>29</v>
      </c>
      <c r="B33" s="46"/>
      <c r="C33" s="44"/>
      <c r="D33" s="44"/>
      <c r="E33" s="36"/>
      <c r="F33" s="37"/>
      <c r="G33" s="38"/>
      <c r="H33" s="38"/>
    </row>
    <row r="34" spans="1:8" x14ac:dyDescent="0.25">
      <c r="A34" s="41">
        <f t="shared" si="4"/>
        <v>30</v>
      </c>
      <c r="B34" s="46"/>
      <c r="C34" s="44"/>
      <c r="D34" s="44"/>
      <c r="E34" s="36"/>
      <c r="F34" s="37"/>
      <c r="G34" s="38"/>
      <c r="H34" s="38"/>
    </row>
    <row r="35" spans="1:8" x14ac:dyDescent="0.25">
      <c r="A35" s="41">
        <f t="shared" si="4"/>
        <v>31</v>
      </c>
      <c r="B35" s="46"/>
      <c r="C35" s="44"/>
      <c r="D35" s="44"/>
      <c r="E35" s="36"/>
      <c r="F35" s="37"/>
      <c r="G35" s="38"/>
      <c r="H35" s="38"/>
    </row>
    <row r="36" spans="1:8" x14ac:dyDescent="0.25">
      <c r="A36" s="41">
        <f t="shared" si="4"/>
        <v>32</v>
      </c>
      <c r="B36" s="46"/>
      <c r="C36" s="44"/>
      <c r="D36" s="44"/>
      <c r="E36" s="36"/>
      <c r="F36" s="37"/>
      <c r="G36" s="38"/>
      <c r="H36" s="38"/>
    </row>
    <row r="37" spans="1:8" x14ac:dyDescent="0.25">
      <c r="A37" s="41">
        <f t="shared" si="4"/>
        <v>33</v>
      </c>
      <c r="B37" s="46"/>
      <c r="C37" s="44"/>
      <c r="D37" s="44"/>
      <c r="E37" s="36"/>
      <c r="F37" s="37"/>
      <c r="G37" s="38"/>
      <c r="H37" s="38"/>
    </row>
    <row r="38" spans="1:8" x14ac:dyDescent="0.25">
      <c r="A38" s="41">
        <f t="shared" si="4"/>
        <v>34</v>
      </c>
      <c r="B38" s="46"/>
      <c r="C38" s="44"/>
      <c r="D38" s="44"/>
      <c r="E38" s="36"/>
      <c r="F38" s="37"/>
      <c r="G38" s="38"/>
      <c r="H38" s="38"/>
    </row>
    <row r="39" spans="1:8" x14ac:dyDescent="0.25">
      <c r="A39" s="41">
        <f t="shared" si="4"/>
        <v>35</v>
      </c>
      <c r="B39" s="46"/>
      <c r="C39" s="44"/>
      <c r="D39" s="44"/>
      <c r="E39" s="36"/>
      <c r="F39" s="37"/>
      <c r="G39" s="38"/>
      <c r="H39" s="38"/>
    </row>
    <row r="40" spans="1:8" hidden="1" x14ac:dyDescent="0.25">
      <c r="A40" s="9" t="e">
        <f>#REF!+1</f>
        <v>#REF!</v>
      </c>
      <c r="B40" s="10"/>
      <c r="C40" s="11"/>
      <c r="D40" s="12">
        <f t="shared" ref="D40:D47" ca="1" si="5">TODAY()</f>
        <v>42593</v>
      </c>
      <c r="E40" s="13">
        <f t="shared" ref="E40:E47" ca="1" si="6">C40-D40</f>
        <v>-42593</v>
      </c>
      <c r="F40" s="14">
        <f t="shared" ref="F40:F47" ca="1" si="7">E40*B40</f>
        <v>0</v>
      </c>
      <c r="G40" s="14">
        <f t="shared" ref="G40:G47" ca="1" si="8">B40*$C$2*E40</f>
        <v>0</v>
      </c>
      <c r="H40" s="14">
        <f t="shared" ref="H40:H47" ca="1" si="9">B40-G40</f>
        <v>0</v>
      </c>
    </row>
    <row r="41" spans="1:8" hidden="1" x14ac:dyDescent="0.25">
      <c r="A41" s="2" t="e">
        <f t="shared" ref="A41:A47" si="10">A40+1</f>
        <v>#REF!</v>
      </c>
      <c r="B41" s="3"/>
      <c r="C41" s="5"/>
      <c r="D41" s="7">
        <f t="shared" ca="1" si="5"/>
        <v>42593</v>
      </c>
      <c r="E41" s="8">
        <f t="shared" ca="1" si="6"/>
        <v>-42593</v>
      </c>
      <c r="F41" s="6">
        <f t="shared" ca="1" si="7"/>
        <v>0</v>
      </c>
      <c r="G41" s="6">
        <f t="shared" ca="1" si="8"/>
        <v>0</v>
      </c>
      <c r="H41" s="6">
        <f t="shared" ca="1" si="9"/>
        <v>0</v>
      </c>
    </row>
    <row r="42" spans="1:8" hidden="1" x14ac:dyDescent="0.25">
      <c r="A42" s="2" t="e">
        <f t="shared" si="10"/>
        <v>#REF!</v>
      </c>
      <c r="B42" s="3"/>
      <c r="C42" s="5"/>
      <c r="D42" s="7">
        <f t="shared" ca="1" si="5"/>
        <v>42593</v>
      </c>
      <c r="E42" s="8">
        <f t="shared" ca="1" si="6"/>
        <v>-42593</v>
      </c>
      <c r="F42" s="6">
        <f t="shared" ca="1" si="7"/>
        <v>0</v>
      </c>
      <c r="G42" s="6">
        <f t="shared" ca="1" si="8"/>
        <v>0</v>
      </c>
      <c r="H42" s="6">
        <f t="shared" ca="1" si="9"/>
        <v>0</v>
      </c>
    </row>
    <row r="43" spans="1:8" hidden="1" x14ac:dyDescent="0.25">
      <c r="A43" s="2" t="e">
        <f t="shared" si="10"/>
        <v>#REF!</v>
      </c>
      <c r="B43" s="3"/>
      <c r="C43" s="5"/>
      <c r="D43" s="7">
        <f t="shared" ca="1" si="5"/>
        <v>42593</v>
      </c>
      <c r="E43" s="8">
        <f t="shared" ca="1" si="6"/>
        <v>-42593</v>
      </c>
      <c r="F43" s="6">
        <f t="shared" ca="1" si="7"/>
        <v>0</v>
      </c>
      <c r="G43" s="6">
        <f t="shared" ca="1" si="8"/>
        <v>0</v>
      </c>
      <c r="H43" s="6">
        <f t="shared" ca="1" si="9"/>
        <v>0</v>
      </c>
    </row>
    <row r="44" spans="1:8" hidden="1" x14ac:dyDescent="0.25">
      <c r="A44" s="2" t="e">
        <f t="shared" si="10"/>
        <v>#REF!</v>
      </c>
      <c r="B44" s="3"/>
      <c r="C44" s="5"/>
      <c r="D44" s="7">
        <f t="shared" ca="1" si="5"/>
        <v>42593</v>
      </c>
      <c r="E44" s="8">
        <f t="shared" ca="1" si="6"/>
        <v>-42593</v>
      </c>
      <c r="F44" s="6">
        <f t="shared" ca="1" si="7"/>
        <v>0</v>
      </c>
      <c r="G44" s="6">
        <f t="shared" ca="1" si="8"/>
        <v>0</v>
      </c>
      <c r="H44" s="6">
        <f t="shared" ca="1" si="9"/>
        <v>0</v>
      </c>
    </row>
    <row r="45" spans="1:8" hidden="1" x14ac:dyDescent="0.25">
      <c r="A45" s="2" t="e">
        <f t="shared" si="10"/>
        <v>#REF!</v>
      </c>
      <c r="B45" s="3"/>
      <c r="C45" s="5"/>
      <c r="D45" s="7">
        <f t="shared" ca="1" si="5"/>
        <v>42593</v>
      </c>
      <c r="E45" s="8">
        <f t="shared" ca="1" si="6"/>
        <v>-42593</v>
      </c>
      <c r="F45" s="6">
        <f t="shared" ca="1" si="7"/>
        <v>0</v>
      </c>
      <c r="G45" s="6">
        <f t="shared" ca="1" si="8"/>
        <v>0</v>
      </c>
      <c r="H45" s="6">
        <f t="shared" ca="1" si="9"/>
        <v>0</v>
      </c>
    </row>
    <row r="46" spans="1:8" hidden="1" x14ac:dyDescent="0.25">
      <c r="A46" s="2" t="e">
        <f t="shared" si="10"/>
        <v>#REF!</v>
      </c>
      <c r="B46" s="3"/>
      <c r="C46" s="5"/>
      <c r="D46" s="7">
        <f t="shared" ca="1" si="5"/>
        <v>42593</v>
      </c>
      <c r="E46" s="8">
        <f t="shared" ca="1" si="6"/>
        <v>-42593</v>
      </c>
      <c r="F46" s="6">
        <f t="shared" ca="1" si="7"/>
        <v>0</v>
      </c>
      <c r="G46" s="6">
        <f t="shared" ca="1" si="8"/>
        <v>0</v>
      </c>
      <c r="H46" s="6">
        <f t="shared" ca="1" si="9"/>
        <v>0</v>
      </c>
    </row>
    <row r="47" spans="1:8" hidden="1" x14ac:dyDescent="0.25">
      <c r="A47" s="2" t="e">
        <f t="shared" si="10"/>
        <v>#REF!</v>
      </c>
      <c r="B47" s="3"/>
      <c r="C47" s="5"/>
      <c r="D47" s="7">
        <f t="shared" ca="1" si="5"/>
        <v>42593</v>
      </c>
      <c r="E47" s="8">
        <f t="shared" ca="1" si="6"/>
        <v>-42593</v>
      </c>
      <c r="F47" s="6">
        <f t="shared" ca="1" si="7"/>
        <v>0</v>
      </c>
      <c r="G47" s="6">
        <f t="shared" ca="1" si="8"/>
        <v>0</v>
      </c>
      <c r="H47" s="6">
        <f t="shared" ca="1" si="9"/>
        <v>0</v>
      </c>
    </row>
    <row r="48" spans="1:8" x14ac:dyDescent="0.25">
      <c r="A48" s="36" t="s">
        <v>0</v>
      </c>
      <c r="B48" s="40">
        <f>SUM(B5:B39)</f>
        <v>76108.399999999994</v>
      </c>
      <c r="C48" s="22"/>
      <c r="D48" s="22"/>
      <c r="E48" s="39">
        <f>F48/B48</f>
        <v>54.755953350747099</v>
      </c>
      <c r="F48" s="39">
        <f t="shared" ref="F48:H48" si="11">SUM(F5:F39)</f>
        <v>4167388</v>
      </c>
      <c r="G48" s="40">
        <f t="shared" si="11"/>
        <v>16669.552</v>
      </c>
      <c r="H48" s="40">
        <f t="shared" si="11"/>
        <v>59438.848000000005</v>
      </c>
    </row>
  </sheetData>
  <sheetProtection algorithmName="SHA-512" hashValue="MczDd/9KAR2lSmjlGGXJJyzBXjIB+SHFdTQFLicw8IsjtShTrY9erClYfE0W9eV5xE8ObGRn3TW3GNVm3pKxeQ==" saltValue="bBk8dCsLr4YhxDhyWn/cuA==" spinCount="100000" sheet="1" objects="1" scenarios="1"/>
  <mergeCells count="12">
    <mergeCell ref="J15:K16"/>
    <mergeCell ref="J17:K17"/>
    <mergeCell ref="G2:H2"/>
    <mergeCell ref="J9:K9"/>
    <mergeCell ref="J11:K12"/>
    <mergeCell ref="J13:K13"/>
    <mergeCell ref="J2:K2"/>
    <mergeCell ref="E2:F2"/>
    <mergeCell ref="A2:B2"/>
    <mergeCell ref="A1:H1"/>
    <mergeCell ref="J4:K4"/>
    <mergeCell ref="J7:K8"/>
  </mergeCells>
  <conditionalFormatting sqref="E40:E47">
    <cfRule type="cellIs" dxfId="1" priority="2" operator="lessThan">
      <formula>0</formula>
    </cfRule>
  </conditionalFormatting>
  <conditionalFormatting sqref="E5:E9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BORDERÔ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Sec_Infor_Adm</dc:creator>
  <cp:lastModifiedBy>Sec_Infor_Adm</cp:lastModifiedBy>
  <cp:lastPrinted>2016-03-23T19:18:58Z</cp:lastPrinted>
  <dcterms:created xsi:type="dcterms:W3CDTF">2016-03-18T10:57:34Z</dcterms:created>
  <dcterms:modified xsi:type="dcterms:W3CDTF">2016-08-11T16:05:53Z</dcterms:modified>
</cp:coreProperties>
</file>