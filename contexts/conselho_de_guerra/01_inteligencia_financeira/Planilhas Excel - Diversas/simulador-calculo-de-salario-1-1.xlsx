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showHorizontalScroll="0" showVerticalScroll="0" showSheetTabs="0" xWindow="0" yWindow="0" windowWidth="20490" windowHeight="7620" firstSheet="1" activeTab="1"/>
  </bookViews>
  <sheets>
    <sheet name="Tabelas" sheetId="1" r:id="rId1"/>
    <sheet name="Simulador" sheetId="2" r:id="rId2"/>
  </sheets>
  <definedNames>
    <definedName name="_xlnm.Print_Area" localSheetId="1">Simulador!$B$3:$G$33</definedName>
  </definedNames>
  <calcPr calcId="171026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K23" i="2"/>
  <c r="J23" i="2"/>
  <c r="K21" i="2"/>
  <c r="K20" i="2"/>
  <c r="K19" i="2"/>
  <c r="B6" i="1"/>
  <c r="I11" i="2"/>
  <c r="J11" i="2"/>
  <c r="K11" i="2"/>
  <c r="L11" i="2"/>
  <c r="J12" i="2"/>
  <c r="K12" i="2"/>
  <c r="L12" i="2"/>
  <c r="B8" i="1"/>
  <c r="I13" i="2"/>
  <c r="J13" i="2"/>
  <c r="K13" i="2"/>
  <c r="L13" i="2"/>
  <c r="B9" i="1"/>
  <c r="I14" i="2"/>
  <c r="J14" i="2"/>
  <c r="K14" i="2"/>
  <c r="L14" i="2"/>
  <c r="M10" i="2"/>
  <c r="L10" i="2"/>
  <c r="K10" i="2"/>
  <c r="J10" i="2"/>
  <c r="I10" i="2"/>
  <c r="J21" i="2"/>
  <c r="J20" i="2"/>
  <c r="J19" i="2"/>
  <c r="B15" i="1"/>
  <c r="I21" i="2"/>
  <c r="B14" i="1"/>
  <c r="I20" i="2"/>
  <c r="I19" i="2"/>
  <c r="B7" i="1"/>
  <c r="I12" i="2"/>
  <c r="E24" i="2"/>
  <c r="C16" i="2"/>
  <c r="G8" i="2"/>
  <c r="G16" i="2"/>
  <c r="G29" i="2"/>
  <c r="C19" i="2"/>
  <c r="C20" i="2"/>
  <c r="G28" i="2"/>
  <c r="D24" i="2"/>
  <c r="F30" i="2"/>
  <c r="C24" i="2"/>
  <c r="G30" i="2"/>
  <c r="C21" i="2"/>
  <c r="D25" i="2"/>
  <c r="C25" i="2"/>
  <c r="F31" i="2"/>
  <c r="E25" i="2"/>
  <c r="G31" i="2"/>
  <c r="G32" i="2"/>
</calcChain>
</file>

<file path=xl/sharedStrings.xml><?xml version="1.0" encoding="utf-8"?>
<sst xmlns="http://schemas.openxmlformats.org/spreadsheetml/2006/main" count="57" uniqueCount="45">
  <si>
    <t>Tabelas Imposto de Renda e INSS</t>
  </si>
  <si>
    <t>Imposto de Renda da Pessoa Física</t>
  </si>
  <si>
    <t>Início</t>
  </si>
  <si>
    <t>Término</t>
  </si>
  <si>
    <t>Alíquota</t>
  </si>
  <si>
    <t>Dedução</t>
  </si>
  <si>
    <t>Dependentes</t>
  </si>
  <si>
    <t>Contribuição Previdenciária</t>
  </si>
  <si>
    <t>Versão: 05/11/2017</t>
  </si>
  <si>
    <t xml:space="preserve">Valor máximo para desconto a 11%: </t>
  </si>
  <si>
    <t>SIMULAÇÃO DE CÁLCULO DA FOLHA DE PAGAMENTO INDIVIDUAL</t>
  </si>
  <si>
    <t>COMPETÊNCIA</t>
  </si>
  <si>
    <t>DSR S/ VARIÁVEIS</t>
  </si>
  <si>
    <t>DESCONTOS MENSAIS</t>
  </si>
  <si>
    <t>SALÁRIO BASE</t>
  </si>
  <si>
    <t>VALE-TRANSPORTE</t>
  </si>
  <si>
    <t>Tabela do Imposto de Renda da Pessoa Física</t>
  </si>
  <si>
    <t>VALOR ADICIONAIS</t>
  </si>
  <si>
    <t>ALIMENTAÇÃO</t>
  </si>
  <si>
    <t>FAIXA</t>
  </si>
  <si>
    <t>VALOR HORAS EXTRAS</t>
  </si>
  <si>
    <t>CONV. FARMÁCIA</t>
  </si>
  <si>
    <t>COMISSÕES</t>
  </si>
  <si>
    <t>CONV. ODONTOLÓGICO</t>
  </si>
  <si>
    <t>PLANO DE SAÚDE</t>
  </si>
  <si>
    <t>FALTAS + ATRASOS + RSR</t>
  </si>
  <si>
    <t>REMUNERAÇÃO BRUTA</t>
  </si>
  <si>
    <t>TOTAL DE DESCONTOS</t>
  </si>
  <si>
    <t>Tabela Contribuição Previdenciária</t>
  </si>
  <si>
    <t>Resumo da Base de Cálculo para INSS e IR</t>
  </si>
  <si>
    <t>INFORMAÇÕES COMPLEMENTARES</t>
  </si>
  <si>
    <t>Base Cálc. INSS - Inicial</t>
  </si>
  <si>
    <t>Base Cálc. INSS Outras Fontes</t>
  </si>
  <si>
    <t>Base Cálc. INSS - Final</t>
  </si>
  <si>
    <t>Outras Deduções Base IRRF</t>
  </si>
  <si>
    <t>Base de Cálculo I.R.R.F.</t>
  </si>
  <si>
    <t>Nº Dependentes para IRRF</t>
  </si>
  <si>
    <t>DESCONTO DO INSS E IRRF</t>
  </si>
  <si>
    <t>I.N.S.S.</t>
  </si>
  <si>
    <t>I.R.R.F</t>
  </si>
  <si>
    <t>RESUMO DE CÁLCULO</t>
  </si>
  <si>
    <t>DESC. I.N.S.S</t>
  </si>
  <si>
    <t>Fagner C. Aguiar</t>
  </si>
  <si>
    <t>DESC. I.R.R.F.</t>
  </si>
  <si>
    <t>VALOR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</si>
</sst>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_(&quot;R$ &quot;* #,##0.00_);_(&quot;R$ &quot;* \(#,##0.00\);_(&quot;R$ &quot;* &quot;-&quot;??_);_(@_)"/>
    <numFmt numFmtId="167" formatCode="mm/yyyy"/>
    <numFmt numFmtId="168" formatCode="00"/>
    <numFmt numFmtId="169" formatCode="0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sz val="8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b/>
      <i/>
      <sz val="13"/>
      <color rgb="FFFF0000"/>
      <name val="Arial"/>
      <family val="2"/>
    </font>
    <font>
      <b/>
      <sz val="9"/>
      <name val="Arial Unicode MS"/>
      <family val="2"/>
    </font>
    <font>
      <sz val="9"/>
      <name val="Arial"/>
      <family val="2"/>
    </font>
    <font>
      <i/>
      <sz val="9"/>
      <color theme="1" tint="0.249977111117893"/>
      <name val="Calibri"/>
      <family val="2"/>
      <scheme val="minor"/>
    </font>
    <font>
      <sz val="9"/>
      <name val="Arial Unicode MS"/>
      <family val="2"/>
    </font>
    <font>
      <b/>
      <sz val="8"/>
      <name val="Arial Unicode MS"/>
    </font>
    <font>
      <i/>
      <sz val="8"/>
      <name val="Arial"/>
      <family val="2"/>
    </font>
    <font>
      <i/>
      <sz val="8"/>
      <name val="Arial Unicode MS"/>
      <family val="2"/>
    </font>
    <font>
      <i/>
      <sz val="8"/>
      <color rgb="FFFF0000"/>
      <name val="Calibri"/>
      <family val="2"/>
      <scheme val="minor"/>
    </font>
    <font>
      <i/>
      <u/>
      <sz val="8"/>
      <color theme="10"/>
      <name val="Calibri"/>
      <family val="2"/>
      <scheme val="minor"/>
    </font>
    <font>
      <sz val="7"/>
      <name val="Arial Unicode MS"/>
      <family val="2"/>
    </font>
    <font>
      <sz val="7"/>
      <color theme="1"/>
      <name val="Calibri"/>
      <family val="2"/>
      <scheme val="minor"/>
    </font>
    <font>
      <sz val="7"/>
      <name val="Arial"/>
      <family val="2"/>
    </font>
    <font>
      <b/>
      <sz val="7"/>
      <color theme="3"/>
      <name val="Arial"/>
      <family val="2"/>
    </font>
    <font>
      <sz val="7"/>
      <color theme="1" tint="0.249977111117893"/>
      <name val="Calibri"/>
      <family val="2"/>
      <scheme val="minor"/>
    </font>
    <font>
      <sz val="7"/>
      <name val="Arial Unicode MS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9">
    <xf numFmtId="0" fontId="0" fillId="0" borderId="0" xfId="0"/>
    <xf numFmtId="166" fontId="3" fillId="0" borderId="0" xfId="0" applyNumberFormat="1" applyFont="1" applyProtection="1"/>
    <xf numFmtId="165" fontId="5" fillId="0" borderId="0" xfId="0" applyNumberFormat="1" applyFont="1" applyBorder="1" applyAlignment="1" applyProtection="1"/>
    <xf numFmtId="167" fontId="6" fillId="0" borderId="1" xfId="0" applyNumberFormat="1" applyFont="1" applyBorder="1" applyAlignment="1" applyProtection="1">
      <alignment horizontal="center"/>
      <protection locked="0"/>
    </xf>
    <xf numFmtId="165" fontId="7" fillId="0" borderId="0" xfId="0" applyNumberFormat="1" applyFont="1" applyBorder="1" applyAlignment="1" applyProtection="1"/>
    <xf numFmtId="0" fontId="7" fillId="0" borderId="0" xfId="0" applyFont="1" applyBorder="1" applyAlignment="1" applyProtection="1"/>
    <xf numFmtId="44" fontId="6" fillId="0" borderId="1" xfId="0" applyNumberFormat="1" applyFont="1" applyBorder="1" applyAlignment="1" applyProtection="1">
      <alignment vertical="center"/>
      <protection locked="0"/>
    </xf>
    <xf numFmtId="0" fontId="7" fillId="0" borderId="0" xfId="0" applyFont="1" applyBorder="1" applyAlignment="1" applyProtection="1">
      <alignment vertical="center"/>
    </xf>
    <xf numFmtId="10" fontId="8" fillId="0" borderId="1" xfId="1" applyNumberFormat="1" applyFont="1" applyFill="1" applyBorder="1" applyAlignment="1" applyProtection="1">
      <alignment horizontal="center" vertical="center"/>
      <protection locked="0"/>
    </xf>
    <xf numFmtId="44" fontId="7" fillId="4" borderId="1" xfId="0" applyNumberFormat="1" applyFont="1" applyFill="1" applyBorder="1" applyAlignment="1" applyProtection="1">
      <alignment vertical="center"/>
    </xf>
    <xf numFmtId="44" fontId="7" fillId="0" borderId="1" xfId="0" applyNumberFormat="1" applyFont="1" applyBorder="1" applyAlignment="1" applyProtection="1">
      <alignment vertical="center"/>
      <protection locked="0"/>
    </xf>
    <xf numFmtId="165" fontId="8" fillId="0" borderId="1" xfId="0" applyNumberFormat="1" applyFont="1" applyFill="1" applyBorder="1" applyAlignment="1" applyProtection="1">
      <alignment vertical="center"/>
      <protection locked="0"/>
    </xf>
    <xf numFmtId="165" fontId="7" fillId="3" borderId="1" xfId="0" applyNumberFormat="1" applyFont="1" applyFill="1" applyBorder="1" applyAlignment="1" applyProtection="1">
      <alignment horizontal="left" vertical="center"/>
    </xf>
    <xf numFmtId="164" fontId="7" fillId="3" borderId="1" xfId="0" applyNumberFormat="1" applyFont="1" applyFill="1" applyBorder="1" applyAlignment="1" applyProtection="1">
      <alignment vertical="center"/>
    </xf>
    <xf numFmtId="0" fontId="8" fillId="4" borderId="1" xfId="0" applyFont="1" applyFill="1" applyBorder="1" applyAlignment="1" applyProtection="1">
      <alignment vertical="center"/>
    </xf>
    <xf numFmtId="168" fontId="7" fillId="0" borderId="1" xfId="0" applyNumberFormat="1" applyFont="1" applyBorder="1" applyAlignment="1" applyProtection="1">
      <alignment horizontal="center" vertical="center"/>
      <protection locked="0"/>
    </xf>
    <xf numFmtId="44" fontId="8" fillId="4" borderId="1" xfId="0" applyNumberFormat="1" applyFont="1" applyFill="1" applyBorder="1" applyAlignment="1" applyProtection="1">
      <alignment vertical="center"/>
    </xf>
    <xf numFmtId="169" fontId="7" fillId="4" borderId="1" xfId="1" applyNumberFormat="1" applyFont="1" applyFill="1" applyBorder="1" applyAlignment="1" applyProtection="1">
      <alignment horizontal="center" vertical="center"/>
    </xf>
    <xf numFmtId="166" fontId="7" fillId="0" borderId="0" xfId="0" applyNumberFormat="1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166" fontId="7" fillId="0" borderId="0" xfId="0" applyNumberFormat="1" applyFont="1" applyProtection="1"/>
    <xf numFmtId="0" fontId="6" fillId="0" borderId="0" xfId="0" applyFont="1" applyProtection="1"/>
    <xf numFmtId="166" fontId="9" fillId="0" borderId="0" xfId="0" applyNumberFormat="1" applyFont="1" applyProtection="1"/>
    <xf numFmtId="166" fontId="11" fillId="0" borderId="0" xfId="0" applyNumberFormat="1" applyFont="1" applyProtection="1"/>
    <xf numFmtId="167" fontId="12" fillId="0" borderId="0" xfId="0" applyNumberFormat="1" applyFont="1" applyBorder="1" applyAlignment="1" applyProtection="1">
      <alignment horizontal="left" vertical="center"/>
    </xf>
    <xf numFmtId="0" fontId="13" fillId="0" borderId="0" xfId="0" applyFont="1" applyFill="1" applyAlignment="1" applyProtection="1">
      <alignment vertical="center"/>
    </xf>
    <xf numFmtId="0" fontId="0" fillId="0" borderId="0" xfId="0" applyFill="1"/>
    <xf numFmtId="0" fontId="15" fillId="0" borderId="0" xfId="0" applyFont="1" applyFill="1" applyProtection="1"/>
    <xf numFmtId="0" fontId="0" fillId="0" borderId="0" xfId="0" applyFill="1" applyProtection="1"/>
    <xf numFmtId="0" fontId="16" fillId="0" borderId="0" xfId="0" applyFont="1" applyFill="1" applyAlignment="1" applyProtection="1">
      <alignment horizontal="center"/>
    </xf>
    <xf numFmtId="165" fontId="0" fillId="0" borderId="0" xfId="0" applyNumberFormat="1" applyFill="1" applyAlignment="1" applyProtection="1">
      <alignment horizontal="center" vertical="center"/>
    </xf>
    <xf numFmtId="10" fontId="0" fillId="0" borderId="0" xfId="0" applyNumberFormat="1" applyFill="1" applyProtection="1"/>
    <xf numFmtId="165" fontId="0" fillId="0" borderId="0" xfId="0" applyNumberFormat="1" applyFill="1" applyAlignment="1" applyProtection="1"/>
    <xf numFmtId="0" fontId="16" fillId="0" borderId="0" xfId="0" applyFont="1" applyFill="1" applyAlignment="1" applyProtection="1">
      <alignment horizontal="right"/>
    </xf>
    <xf numFmtId="164" fontId="17" fillId="0" borderId="1" xfId="0" applyNumberFormat="1" applyFont="1" applyFill="1" applyBorder="1" applyAlignment="1" applyProtection="1">
      <alignment horizontal="center" vertical="center"/>
    </xf>
    <xf numFmtId="164" fontId="17" fillId="0" borderId="1" xfId="0" applyNumberFormat="1" applyFont="1" applyFill="1" applyBorder="1" applyAlignment="1" applyProtection="1">
      <alignment horizontal="center" vertical="center"/>
      <protection locked="0"/>
    </xf>
    <xf numFmtId="10" fontId="17" fillId="0" borderId="1" xfId="0" applyNumberFormat="1" applyFont="1" applyFill="1" applyBorder="1" applyAlignment="1" applyProtection="1">
      <alignment horizontal="center"/>
      <protection locked="0"/>
    </xf>
    <xf numFmtId="164" fontId="17" fillId="0" borderId="1" xfId="0" applyNumberFormat="1" applyFont="1" applyFill="1" applyBorder="1" applyAlignment="1" applyProtection="1">
      <protection locked="0"/>
    </xf>
    <xf numFmtId="165" fontId="18" fillId="0" borderId="1" xfId="0" applyNumberFormat="1" applyFont="1" applyFill="1" applyBorder="1" applyAlignment="1" applyProtection="1">
      <alignment horizontal="center"/>
    </xf>
    <xf numFmtId="0" fontId="18" fillId="0" borderId="1" xfId="0" applyFont="1" applyFill="1" applyBorder="1" applyAlignment="1" applyProtection="1">
      <alignment horizontal="center"/>
    </xf>
    <xf numFmtId="164" fontId="18" fillId="0" borderId="1" xfId="0" applyNumberFormat="1" applyFont="1" applyFill="1" applyBorder="1" applyAlignment="1" applyProtection="1">
      <alignment horizontal="center"/>
    </xf>
    <xf numFmtId="164" fontId="20" fillId="0" borderId="0" xfId="0" applyNumberFormat="1" applyFont="1" applyFill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0" fontId="19" fillId="0" borderId="0" xfId="0" applyFont="1" applyFill="1" applyAlignment="1" applyProtection="1">
      <alignment horizontal="right"/>
    </xf>
    <xf numFmtId="164" fontId="23" fillId="0" borderId="1" xfId="0" applyNumberFormat="1" applyFont="1" applyFill="1" applyBorder="1" applyAlignment="1" applyProtection="1">
      <alignment horizontal="center" vertical="center"/>
    </xf>
    <xf numFmtId="165" fontId="24" fillId="0" borderId="0" xfId="0" applyNumberFormat="1" applyFont="1" applyFill="1" applyAlignment="1" applyProtection="1">
      <alignment horizontal="center" vertical="center"/>
    </xf>
    <xf numFmtId="10" fontId="24" fillId="0" borderId="0" xfId="0" applyNumberFormat="1" applyFont="1" applyFill="1" applyProtection="1"/>
    <xf numFmtId="165" fontId="24" fillId="0" borderId="0" xfId="0" applyNumberFormat="1" applyFont="1" applyFill="1" applyAlignment="1" applyProtection="1"/>
    <xf numFmtId="0" fontId="24" fillId="0" borderId="0" xfId="0" applyFont="1" applyFill="1" applyProtection="1"/>
    <xf numFmtId="0" fontId="25" fillId="0" borderId="0" xfId="0" applyFont="1" applyFill="1" applyProtection="1"/>
    <xf numFmtId="0" fontId="27" fillId="0" borderId="0" xfId="0" applyFont="1" applyFill="1" applyAlignment="1" applyProtection="1">
      <alignment horizontal="right"/>
    </xf>
    <xf numFmtId="0" fontId="25" fillId="0" borderId="0" xfId="0" applyFont="1" applyFill="1" applyAlignment="1" applyProtection="1">
      <alignment horizontal="right"/>
    </xf>
    <xf numFmtId="164" fontId="23" fillId="0" borderId="0" xfId="0" applyNumberFormat="1" applyFont="1" applyFill="1" applyBorder="1" applyAlignment="1" applyProtection="1">
      <alignment horizontal="center" vertical="center"/>
    </xf>
    <xf numFmtId="165" fontId="28" fillId="0" borderId="1" xfId="0" applyNumberFormat="1" applyFont="1" applyFill="1" applyBorder="1" applyAlignment="1" applyProtection="1">
      <alignment horizontal="center"/>
    </xf>
    <xf numFmtId="0" fontId="28" fillId="0" borderId="1" xfId="0" applyFont="1" applyFill="1" applyBorder="1" applyAlignment="1" applyProtection="1">
      <alignment horizontal="center"/>
    </xf>
    <xf numFmtId="10" fontId="23" fillId="0" borderId="1" xfId="0" applyNumberFormat="1" applyFont="1" applyFill="1" applyBorder="1" applyAlignment="1" applyProtection="1">
      <alignment horizontal="center"/>
    </xf>
    <xf numFmtId="164" fontId="23" fillId="0" borderId="1" xfId="0" applyNumberFormat="1" applyFont="1" applyFill="1" applyBorder="1" applyAlignment="1" applyProtection="1"/>
    <xf numFmtId="0" fontId="0" fillId="0" borderId="0" xfId="0" applyProtection="1"/>
    <xf numFmtId="165" fontId="7" fillId="4" borderId="1" xfId="0" applyNumberFormat="1" applyFont="1" applyFill="1" applyBorder="1" applyAlignment="1" applyProtection="1">
      <alignment horizontal="left" vertical="center"/>
    </xf>
    <xf numFmtId="165" fontId="8" fillId="4" borderId="1" xfId="0" applyNumberFormat="1" applyFont="1" applyFill="1" applyBorder="1" applyAlignment="1" applyProtection="1">
      <alignment horizontal="left" vertical="center"/>
    </xf>
    <xf numFmtId="165" fontId="5" fillId="3" borderId="1" xfId="0" applyNumberFormat="1" applyFont="1" applyFill="1" applyBorder="1" applyAlignment="1" applyProtection="1">
      <alignment horizontal="center" vertical="center"/>
    </xf>
    <xf numFmtId="0" fontId="29" fillId="0" borderId="2" xfId="0" applyFont="1" applyFill="1" applyBorder="1" applyAlignment="1" applyProtection="1">
      <alignment horizontal="center" vertical="center"/>
    </xf>
    <xf numFmtId="0" fontId="14" fillId="5" borderId="1" xfId="0" applyFont="1" applyFill="1" applyBorder="1" applyAlignment="1" applyProtection="1">
      <alignment horizontal="center"/>
    </xf>
    <xf numFmtId="164" fontId="17" fillId="0" borderId="3" xfId="0" applyNumberFormat="1" applyFont="1" applyFill="1" applyBorder="1" applyAlignment="1" applyProtection="1">
      <alignment horizontal="center" vertical="center"/>
      <protection locked="0"/>
    </xf>
    <xf numFmtId="164" fontId="17" fillId="0" borderId="4" xfId="0" applyNumberFormat="1" applyFont="1" applyFill="1" applyBorder="1" applyAlignment="1" applyProtection="1">
      <alignment horizontal="center" vertical="center"/>
      <protection locked="0"/>
    </xf>
    <xf numFmtId="164" fontId="17" fillId="0" borderId="5" xfId="0" applyNumberFormat="1" applyFont="1" applyFill="1" applyBorder="1" applyAlignment="1" applyProtection="1">
      <alignment horizontal="center" vertical="center"/>
      <protection locked="0"/>
    </xf>
    <xf numFmtId="0" fontId="14" fillId="5" borderId="6" xfId="0" applyFont="1" applyFill="1" applyBorder="1" applyAlignment="1" applyProtection="1">
      <alignment horizontal="center"/>
    </xf>
    <xf numFmtId="0" fontId="14" fillId="5" borderId="7" xfId="0" applyFont="1" applyFill="1" applyBorder="1" applyAlignment="1" applyProtection="1">
      <alignment horizontal="center"/>
    </xf>
    <xf numFmtId="0" fontId="14" fillId="5" borderId="8" xfId="0" applyFont="1" applyFill="1" applyBorder="1" applyAlignment="1" applyProtection="1">
      <alignment horizontal="center"/>
    </xf>
    <xf numFmtId="0" fontId="28" fillId="5" borderId="6" xfId="0" applyFont="1" applyFill="1" applyBorder="1" applyAlignment="1" applyProtection="1">
      <alignment horizontal="center"/>
    </xf>
    <xf numFmtId="0" fontId="28" fillId="5" borderId="7" xfId="0" applyFont="1" applyFill="1" applyBorder="1" applyAlignment="1" applyProtection="1">
      <alignment horizontal="center"/>
    </xf>
    <xf numFmtId="0" fontId="28" fillId="5" borderId="8" xfId="0" applyFont="1" applyFill="1" applyBorder="1" applyAlignment="1" applyProtection="1">
      <alignment horizontal="center"/>
    </xf>
    <xf numFmtId="165" fontId="28" fillId="0" borderId="6" xfId="0" applyNumberFormat="1" applyFont="1" applyFill="1" applyBorder="1" applyAlignment="1" applyProtection="1">
      <alignment horizontal="center"/>
    </xf>
    <xf numFmtId="165" fontId="28" fillId="0" borderId="8" xfId="0" applyNumberFormat="1" applyFont="1" applyFill="1" applyBorder="1" applyAlignment="1" applyProtection="1">
      <alignment horizontal="center"/>
    </xf>
    <xf numFmtId="0" fontId="26" fillId="0" borderId="2" xfId="0" applyFont="1" applyFill="1" applyBorder="1" applyAlignment="1" applyProtection="1">
      <alignment horizontal="center" vertical="center"/>
    </xf>
    <xf numFmtId="0" fontId="28" fillId="5" borderId="1" xfId="0" applyFont="1" applyFill="1" applyBorder="1" applyAlignment="1" applyProtection="1">
      <alignment horizontal="center"/>
    </xf>
    <xf numFmtId="164" fontId="23" fillId="0" borderId="3" xfId="0" applyNumberFormat="1" applyFont="1" applyFill="1" applyBorder="1" applyAlignment="1" applyProtection="1">
      <alignment horizontal="center" vertical="center"/>
    </xf>
    <xf numFmtId="164" fontId="23" fillId="0" borderId="4" xfId="0" applyNumberFormat="1" applyFont="1" applyFill="1" applyBorder="1" applyAlignment="1" applyProtection="1">
      <alignment horizontal="center" vertical="center"/>
    </xf>
    <xf numFmtId="164" fontId="23" fillId="0" borderId="5" xfId="0" applyNumberFormat="1" applyFont="1" applyFill="1" applyBorder="1" applyAlignment="1" applyProtection="1">
      <alignment horizontal="center" vertical="center"/>
    </xf>
    <xf numFmtId="165" fontId="7" fillId="4" borderId="1" xfId="0" applyNumberFormat="1" applyFont="1" applyFill="1" applyBorder="1" applyAlignment="1" applyProtection="1">
      <alignment horizontal="left" vertical="center"/>
    </xf>
    <xf numFmtId="0" fontId="2" fillId="0" borderId="0" xfId="2" applyAlignment="1" applyProtection="1">
      <alignment horizontal="left"/>
    </xf>
    <xf numFmtId="0" fontId="22" fillId="0" borderId="0" xfId="2" applyFont="1" applyAlignment="1" applyProtection="1">
      <alignment horizontal="left"/>
    </xf>
    <xf numFmtId="165" fontId="7" fillId="4" borderId="1" xfId="0" applyNumberFormat="1" applyFont="1" applyFill="1" applyBorder="1" applyAlignment="1" applyProtection="1">
      <alignment horizontal="center" vertical="center"/>
    </xf>
    <xf numFmtId="165" fontId="8" fillId="4" borderId="1" xfId="0" applyNumberFormat="1" applyFont="1" applyFill="1" applyBorder="1" applyAlignment="1" applyProtection="1">
      <alignment horizontal="left" vertical="center"/>
    </xf>
    <xf numFmtId="0" fontId="5" fillId="3" borderId="1" xfId="0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165" fontId="8" fillId="0" borderId="1" xfId="0" applyNumberFormat="1" applyFont="1" applyFill="1" applyBorder="1" applyAlignment="1" applyProtection="1">
      <alignment horizontal="left" vertical="center"/>
      <protection locked="0"/>
    </xf>
    <xf numFmtId="165" fontId="7" fillId="3" borderId="1" xfId="0" applyNumberFormat="1" applyFont="1" applyFill="1" applyBorder="1" applyAlignment="1" applyProtection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imulador!C8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praticasdepessoal.com.br/" TargetMode="External"/><Relationship Id="rId1" Type="http://schemas.openxmlformats.org/officeDocument/2006/relationships/hyperlink" Target="#Tabelas!D15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556682</xdr:colOff>
      <xdr:row>10</xdr:row>
      <xdr:rowOff>174625</xdr:rowOff>
    </xdr:from>
    <xdr:to>
      <xdr:col>6</xdr:col>
      <xdr:colOff>0</xdr:colOff>
      <xdr:row>12</xdr:row>
      <xdr:rowOff>25978</xdr:rowOff>
    </xdr:to>
    <xdr:sp macro="" textlink="">
      <xdr:nvSpPr>
        <xdr:cNvPr id="4" name="Retâ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F967D5-741A-4B92-8C15-E2C8EA24DF6D}"/>
            </a:ext>
          </a:extLst>
        </xdr:cNvPr>
        <xdr:cNvSpPr/>
      </xdr:nvSpPr>
      <xdr:spPr>
        <a:xfrm>
          <a:off x="3769205" y="2209511"/>
          <a:ext cx="1175136" cy="232353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 prstMaterial="dkEdg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900" b="0">
              <a:solidFill>
                <a:schemeClr val="tx1"/>
              </a:solidFill>
              <a:latin typeface="+mn-lt"/>
            </a:rPr>
            <a:t>Simulação</a:t>
          </a:r>
          <a:r>
            <a:rPr lang="pt-BR" sz="900" b="0" baseline="0">
              <a:solidFill>
                <a:schemeClr val="tx1"/>
              </a:solidFill>
              <a:latin typeface="+mn-lt"/>
            </a:rPr>
            <a:t> Cálculo</a:t>
          </a:r>
          <a:endParaRPr lang="pt-BR" sz="900" b="0">
            <a:solidFill>
              <a:schemeClr val="tx1"/>
            </a:solidFill>
            <a:latin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4</xdr:row>
      <xdr:rowOff>43296</xdr:rowOff>
    </xdr:from>
    <xdr:to>
      <xdr:col>9</xdr:col>
      <xdr:colOff>303070</xdr:colOff>
      <xdr:row>6</xdr:row>
      <xdr:rowOff>69274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790C118-0178-4BEC-B94B-D483C6E13A42}"/>
            </a:ext>
          </a:extLst>
        </xdr:cNvPr>
        <xdr:cNvSpPr/>
      </xdr:nvSpPr>
      <xdr:spPr>
        <a:xfrm>
          <a:off x="6147956" y="978478"/>
          <a:ext cx="987137" cy="251114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 prstMaterial="dkEdg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900" b="0">
              <a:solidFill>
                <a:schemeClr val="tx1"/>
              </a:solidFill>
              <a:latin typeface="+mn-lt"/>
            </a:rPr>
            <a:t>Editar Tabelas</a:t>
          </a:r>
        </a:p>
      </xdr:txBody>
    </xdr:sp>
    <xdr:clientData/>
  </xdr:twoCellAnchor>
  <xdr:twoCellAnchor>
    <xdr:from>
      <xdr:col>0</xdr:col>
      <xdr:colOff>207818</xdr:colOff>
      <xdr:row>28</xdr:row>
      <xdr:rowOff>77930</xdr:rowOff>
    </xdr:from>
    <xdr:to>
      <xdr:col>2</xdr:col>
      <xdr:colOff>554181</xdr:colOff>
      <xdr:row>30</xdr:row>
      <xdr:rowOff>8658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F276A27F-6FC6-4D04-A58F-51DB7C7AD76D}"/>
            </a:ext>
          </a:extLst>
        </xdr:cNvPr>
        <xdr:cNvSpPr/>
      </xdr:nvSpPr>
      <xdr:spPr>
        <a:xfrm>
          <a:off x="207818" y="3983180"/>
          <a:ext cx="2034886" cy="190501"/>
        </a:xfrm>
        <a:prstGeom prst="rect">
          <a:avLst/>
        </a:prstGeom>
        <a:noFill/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 prstMaterial="dkEdg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900" b="0" i="0">
              <a:solidFill>
                <a:srgbClr val="7030A0"/>
              </a:solidFill>
              <a:latin typeface="+mj-lt"/>
            </a:rPr>
            <a:t>http://www.praticasdepessoal.com.br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showGridLines="0" showRowColHeaders="0" zoomScaleNormal="100" workbookViewId="0">
      <pane xSplit="196" ySplit="256" topLeftCell="GO257" activePane="bottomRight" state="frozen"/>
      <selection pane="topRight" activeCell="GO1" sqref="GO1"/>
      <selection pane="bottomLeft" activeCell="A257" sqref="A257"/>
      <selection pane="bottomRight" activeCell="D15" sqref="D15"/>
    </sheetView>
  </sheetViews>
  <sheetFormatPr defaultColWidth="9.140625" defaultRowHeight="15" x14ac:dyDescent="0.25"/>
  <cols>
    <col min="1" max="1" width="9.140625" style="26"/>
    <col min="2" max="3" width="15" style="26" customWidth="1"/>
    <col min="4" max="4" width="9" style="26" customWidth="1"/>
    <col min="5" max="5" width="13.140625" style="26" customWidth="1"/>
    <col min="6" max="6" width="12.85546875" style="26" bestFit="1" customWidth="1"/>
    <col min="7" max="16384" width="9.140625" style="26"/>
  </cols>
  <sheetData>
    <row r="2" spans="2:7" ht="25.5" customHeight="1" x14ac:dyDescent="0.2">
      <c r="B2" s="61" t="s">
        <v>0</v>
      </c>
      <c r="C2" s="61"/>
      <c r="D2" s="61"/>
      <c r="E2" s="61"/>
      <c r="F2" s="61"/>
      <c r="G2" s="25"/>
    </row>
    <row r="3" spans="2:7" x14ac:dyDescent="0.25">
      <c r="B3" s="62" t="s">
        <v>1</v>
      </c>
      <c r="C3" s="62"/>
      <c r="D3" s="62"/>
      <c r="E3" s="62"/>
      <c r="F3" s="62"/>
      <c r="G3" s="27"/>
    </row>
    <row r="4" spans="2:7" x14ac:dyDescent="0.25">
      <c r="B4" s="38" t="s">
        <v>2</v>
      </c>
      <c r="C4" s="38" t="s">
        <v>3</v>
      </c>
      <c r="D4" s="39" t="s">
        <v>4</v>
      </c>
      <c r="E4" s="38" t="s">
        <v>5</v>
      </c>
      <c r="F4" s="38" t="s">
        <v>6</v>
      </c>
      <c r="G4" s="27"/>
    </row>
    <row r="5" spans="2:7" x14ac:dyDescent="0.25">
      <c r="B5" s="34">
        <v>0</v>
      </c>
      <c r="C5" s="35">
        <v>1903.98</v>
      </c>
      <c r="D5" s="36">
        <v>0</v>
      </c>
      <c r="E5" s="37">
        <v>0</v>
      </c>
      <c r="F5" s="63">
        <v>189.59</v>
      </c>
      <c r="G5" s="28"/>
    </row>
    <row r="6" spans="2:7" x14ac:dyDescent="0.25">
      <c r="B6" s="34">
        <f>C5+0.01</f>
        <v>1903.99</v>
      </c>
      <c r="C6" s="35">
        <v>2826.65</v>
      </c>
      <c r="D6" s="36">
        <v>7.4999999999999997E-2</v>
      </c>
      <c r="E6" s="37">
        <v>142.80000000000001</v>
      </c>
      <c r="F6" s="64"/>
      <c r="G6" s="29"/>
    </row>
    <row r="7" spans="2:7" x14ac:dyDescent="0.25">
      <c r="B7" s="34">
        <f>C6+0.01</f>
        <v>2826.6600000000003</v>
      </c>
      <c r="C7" s="35">
        <v>3751.05</v>
      </c>
      <c r="D7" s="36">
        <v>0.15</v>
      </c>
      <c r="E7" s="37">
        <v>354.8</v>
      </c>
      <c r="F7" s="64"/>
      <c r="G7" s="28"/>
    </row>
    <row r="8" spans="2:7" x14ac:dyDescent="0.25">
      <c r="B8" s="34">
        <f>C7+0.01</f>
        <v>3751.0600000000004</v>
      </c>
      <c r="C8" s="35">
        <v>4664.68</v>
      </c>
      <c r="D8" s="36">
        <v>0.22500000000000001</v>
      </c>
      <c r="E8" s="37">
        <v>636.13</v>
      </c>
      <c r="F8" s="64"/>
      <c r="G8" s="28"/>
    </row>
    <row r="9" spans="2:7" x14ac:dyDescent="0.25">
      <c r="B9" s="34">
        <f>C8+0.01</f>
        <v>4664.6900000000005</v>
      </c>
      <c r="C9" s="35"/>
      <c r="D9" s="36">
        <v>0.27500000000000002</v>
      </c>
      <c r="E9" s="37">
        <v>869.36</v>
      </c>
      <c r="F9" s="65"/>
      <c r="G9" s="28"/>
    </row>
    <row r="10" spans="2:7" x14ac:dyDescent="0.2">
      <c r="B10" s="30"/>
      <c r="C10" s="30"/>
      <c r="D10" s="31"/>
      <c r="E10" s="32"/>
      <c r="F10" s="28"/>
      <c r="G10" s="28"/>
    </row>
    <row r="11" spans="2:7" x14ac:dyDescent="0.25">
      <c r="B11" s="66" t="s">
        <v>7</v>
      </c>
      <c r="C11" s="67"/>
      <c r="D11" s="68"/>
      <c r="E11" s="27"/>
      <c r="F11" s="27"/>
      <c r="G11" s="27"/>
    </row>
    <row r="12" spans="2:7" x14ac:dyDescent="0.25">
      <c r="B12" s="38" t="s">
        <v>2</v>
      </c>
      <c r="C12" s="40" t="s">
        <v>3</v>
      </c>
      <c r="D12" s="39" t="s">
        <v>4</v>
      </c>
      <c r="E12" s="28"/>
      <c r="F12" s="28"/>
      <c r="G12" s="28"/>
    </row>
    <row r="13" spans="2:7" x14ac:dyDescent="0.2">
      <c r="B13" s="34">
        <v>0</v>
      </c>
      <c r="C13" s="35">
        <v>1659.38</v>
      </c>
      <c r="D13" s="36">
        <v>0.08</v>
      </c>
      <c r="E13" s="28"/>
      <c r="F13" s="28"/>
      <c r="G13" s="28"/>
    </row>
    <row r="14" spans="2:7" x14ac:dyDescent="0.2">
      <c r="B14" s="34">
        <f>C13+0.01</f>
        <v>1659.39</v>
      </c>
      <c r="C14" s="35">
        <v>2765.66</v>
      </c>
      <c r="D14" s="36">
        <v>0.09</v>
      </c>
      <c r="E14" s="28"/>
      <c r="F14" s="28"/>
      <c r="G14" s="28"/>
    </row>
    <row r="15" spans="2:7" x14ac:dyDescent="0.25">
      <c r="B15" s="34">
        <f>C14+0.01</f>
        <v>2765.67</v>
      </c>
      <c r="C15" s="35">
        <v>5531.31</v>
      </c>
      <c r="D15" s="36">
        <v>0.11</v>
      </c>
      <c r="E15" s="28"/>
      <c r="F15" s="33" t="s">
        <v>8</v>
      </c>
      <c r="G15" s="28"/>
    </row>
    <row r="16" spans="2:7" x14ac:dyDescent="0.25">
      <c r="C16" s="43" t="s">
        <v>9</v>
      </c>
      <c r="D16" s="41">
        <f>C15*D15</f>
        <v>608.44410000000005</v>
      </c>
      <c r="E16" s="28"/>
      <c r="F16" s="28"/>
      <c r="G16" s="28"/>
    </row>
  </sheetData>
  <sheetProtection algorithmName="SHA-512" hashValue="3ptnjtKd7wrwws9eUdWqpwTYhzkkCkJgWgkjPQxu3MhxPKqm9RD6uIpiivGPUzaJuutKjkGHFdhlqjD2FUxoxA==" saltValue="hY1LoujIFqLPW2uRS1rKBg==" spinCount="100000" sheet="1" objects="1" scenarios="1" selectLockedCells="1"/>
  <mergeCells count="4">
    <mergeCell ref="B2:F2"/>
    <mergeCell ref="B3:F3"/>
    <mergeCell ref="F5:F9"/>
    <mergeCell ref="B11:D1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5"/>
  <sheetViews>
    <sheetView showGridLines="0" showRowColHeaders="0" tabSelected="1" zoomScaleNormal="100" workbookViewId="0">
      <pane xSplit="96" ySplit="149" topLeftCell="CS160" activePane="bottomRight" state="frozen"/>
      <selection pane="topRight" activeCell="CS1" sqref="CS1"/>
      <selection pane="bottomLeft" activeCell="A150" sqref="A150"/>
      <selection pane="bottomRight" activeCell="B13" sqref="B13"/>
    </sheetView>
  </sheetViews>
  <sheetFormatPr defaultRowHeight="15" x14ac:dyDescent="0.25"/>
  <cols>
    <col min="1" max="1" width="4.85546875" customWidth="1"/>
    <col min="2" max="2" width="20.5703125" customWidth="1"/>
    <col min="3" max="3" width="14.5703125" customWidth="1"/>
    <col min="4" max="4" width="7" customWidth="1"/>
    <col min="5" max="5" width="16" customWidth="1"/>
    <col min="6" max="6" width="9.140625" customWidth="1"/>
    <col min="7" max="7" width="15.85546875" customWidth="1"/>
    <col min="8" max="8" width="4.42578125" customWidth="1"/>
    <col min="9" max="9" width="10.28515625" bestFit="1" customWidth="1"/>
    <col min="10" max="10" width="12.85546875" customWidth="1"/>
    <col min="11" max="11" width="9.42578125" bestFit="1" customWidth="1"/>
    <col min="12" max="13" width="9.28515625" bestFit="1" customWidth="1"/>
  </cols>
  <sheetData>
    <row r="2" spans="2:13" x14ac:dyDescent="0.2">
      <c r="B2" s="1"/>
      <c r="C2" s="1"/>
      <c r="D2" s="1"/>
      <c r="E2" s="1"/>
    </row>
    <row r="3" spans="2:13" ht="28.5" customHeight="1" x14ac:dyDescent="0.25">
      <c r="B3" s="86" t="s">
        <v>10</v>
      </c>
      <c r="C3" s="86"/>
      <c r="D3" s="86"/>
      <c r="E3" s="86"/>
      <c r="F3" s="86"/>
      <c r="G3" s="86"/>
    </row>
    <row r="4" spans="2:13" x14ac:dyDescent="0.2">
      <c r="B4" s="2"/>
      <c r="C4" s="2"/>
      <c r="D4" s="2"/>
      <c r="E4" s="2"/>
      <c r="F4" s="2"/>
      <c r="G4" s="2"/>
    </row>
    <row r="5" spans="2:13" ht="12" customHeight="1" x14ac:dyDescent="0.25">
      <c r="B5" s="60" t="s">
        <v>11</v>
      </c>
      <c r="C5" s="3">
        <v>43009</v>
      </c>
      <c r="D5" s="4"/>
      <c r="E5" s="4"/>
      <c r="F5" s="4"/>
      <c r="G5" s="4"/>
    </row>
    <row r="6" spans="2:13" ht="5.25" customHeight="1" x14ac:dyDescent="0.2">
      <c r="B6" s="4"/>
      <c r="C6" s="4"/>
      <c r="D6" s="4"/>
      <c r="E6" s="4"/>
      <c r="F6" s="4"/>
      <c r="G6" s="4"/>
    </row>
    <row r="7" spans="2:13" ht="11.1" customHeight="1" x14ac:dyDescent="0.25">
      <c r="B7" s="84" t="s">
        <v>12</v>
      </c>
      <c r="C7" s="84"/>
      <c r="D7" s="5"/>
      <c r="E7" s="84" t="s">
        <v>13</v>
      </c>
      <c r="F7" s="84"/>
      <c r="G7" s="84"/>
      <c r="I7" s="74"/>
      <c r="J7" s="74"/>
      <c r="K7" s="74"/>
      <c r="L7" s="74"/>
      <c r="M7" s="74"/>
    </row>
    <row r="8" spans="2:13" ht="11.1" customHeight="1" x14ac:dyDescent="0.25">
      <c r="B8" s="59" t="s">
        <v>14</v>
      </c>
      <c r="C8" s="6">
        <v>2000</v>
      </c>
      <c r="D8" s="7"/>
      <c r="E8" s="59" t="s">
        <v>15</v>
      </c>
      <c r="F8" s="8">
        <v>0</v>
      </c>
      <c r="G8" s="9">
        <f>F8*C8</f>
        <v>0</v>
      </c>
      <c r="I8" s="75" t="s">
        <v>16</v>
      </c>
      <c r="J8" s="75"/>
      <c r="K8" s="75"/>
      <c r="L8" s="75"/>
      <c r="M8" s="75"/>
    </row>
    <row r="9" spans="2:13" ht="11.1" customHeight="1" x14ac:dyDescent="0.25">
      <c r="B9" s="59" t="s">
        <v>17</v>
      </c>
      <c r="C9" s="10">
        <v>0</v>
      </c>
      <c r="D9" s="7"/>
      <c r="E9" s="83" t="s">
        <v>18</v>
      </c>
      <c r="F9" s="83"/>
      <c r="G9" s="10">
        <v>0</v>
      </c>
      <c r="I9" s="72" t="s">
        <v>19</v>
      </c>
      <c r="J9" s="73"/>
      <c r="K9" s="54" t="s">
        <v>4</v>
      </c>
      <c r="L9" s="53" t="s">
        <v>5</v>
      </c>
      <c r="M9" s="53" t="s">
        <v>6</v>
      </c>
    </row>
    <row r="10" spans="2:13" ht="11.1" customHeight="1" x14ac:dyDescent="0.25">
      <c r="B10" s="59" t="s">
        <v>20</v>
      </c>
      <c r="C10" s="10">
        <v>0</v>
      </c>
      <c r="D10" s="7"/>
      <c r="E10" s="83" t="s">
        <v>21</v>
      </c>
      <c r="F10" s="83"/>
      <c r="G10" s="10">
        <v>0</v>
      </c>
      <c r="I10" s="44">
        <f>Tabelas!B5</f>
        <v>0</v>
      </c>
      <c r="J10" s="44">
        <f>Tabelas!C5</f>
        <v>1903.98</v>
      </c>
      <c r="K10" s="55">
        <f>Tabelas!D5</f>
        <v>0</v>
      </c>
      <c r="L10" s="56">
        <f>Tabelas!E5</f>
        <v>0</v>
      </c>
      <c r="M10" s="76">
        <f>Tabelas!F5</f>
        <v>189.59</v>
      </c>
    </row>
    <row r="11" spans="2:13" ht="11.1" customHeight="1" x14ac:dyDescent="0.25">
      <c r="B11" s="59" t="s">
        <v>22</v>
      </c>
      <c r="C11" s="10">
        <v>0</v>
      </c>
      <c r="D11" s="7"/>
      <c r="E11" s="83" t="s">
        <v>23</v>
      </c>
      <c r="F11" s="83"/>
      <c r="G11" s="10">
        <v>0</v>
      </c>
      <c r="I11" s="44">
        <f>Tabelas!B6</f>
        <v>1903.99</v>
      </c>
      <c r="J11" s="44">
        <f>Tabelas!C6</f>
        <v>2826.65</v>
      </c>
      <c r="K11" s="55">
        <f>Tabelas!D6</f>
        <v>7.4999999999999997E-2</v>
      </c>
      <c r="L11" s="56">
        <f>Tabelas!E6</f>
        <v>142.80000000000001</v>
      </c>
      <c r="M11" s="77"/>
    </row>
    <row r="12" spans="2:13" ht="11.1" customHeight="1" x14ac:dyDescent="0.25">
      <c r="B12" s="59" t="s">
        <v>12</v>
      </c>
      <c r="C12" s="10">
        <v>0</v>
      </c>
      <c r="D12" s="7"/>
      <c r="E12" s="83" t="s">
        <v>24</v>
      </c>
      <c r="F12" s="83"/>
      <c r="G12" s="10">
        <v>0</v>
      </c>
      <c r="I12" s="44">
        <f>Tabelas!B7</f>
        <v>2826.6600000000003</v>
      </c>
      <c r="J12" s="44">
        <f>Tabelas!C7</f>
        <v>3751.05</v>
      </c>
      <c r="K12" s="55">
        <f>Tabelas!D7</f>
        <v>0.15</v>
      </c>
      <c r="L12" s="56">
        <f>Tabelas!E7</f>
        <v>354.8</v>
      </c>
      <c r="M12" s="77"/>
    </row>
    <row r="13" spans="2:13" ht="11.1" customHeight="1" x14ac:dyDescent="0.25">
      <c r="B13" s="11"/>
      <c r="C13" s="10">
        <v>0</v>
      </c>
      <c r="D13" s="7"/>
      <c r="E13" s="83" t="s">
        <v>25</v>
      </c>
      <c r="F13" s="83"/>
      <c r="G13" s="10">
        <v>0</v>
      </c>
      <c r="I13" s="44">
        <f>Tabelas!B8</f>
        <v>3751.0600000000004</v>
      </c>
      <c r="J13" s="44">
        <f>Tabelas!C8</f>
        <v>4664.68</v>
      </c>
      <c r="K13" s="55">
        <f>Tabelas!D8</f>
        <v>0.22500000000000001</v>
      </c>
      <c r="L13" s="56">
        <f>Tabelas!E8</f>
        <v>636.13</v>
      </c>
      <c r="M13" s="77"/>
    </row>
    <row r="14" spans="2:13" ht="11.1" customHeight="1" x14ac:dyDescent="0.25">
      <c r="B14" s="11"/>
      <c r="C14" s="10">
        <v>0</v>
      </c>
      <c r="D14" s="7"/>
      <c r="E14" s="87"/>
      <c r="F14" s="87"/>
      <c r="G14" s="10">
        <v>0</v>
      </c>
      <c r="I14" s="44">
        <f>Tabelas!B9</f>
        <v>4664.6900000000005</v>
      </c>
      <c r="J14" s="44">
        <f>Tabelas!C9</f>
        <v>0</v>
      </c>
      <c r="K14" s="55">
        <f>Tabelas!D9</f>
        <v>0.27500000000000002</v>
      </c>
      <c r="L14" s="56">
        <f>Tabelas!E9</f>
        <v>869.36</v>
      </c>
      <c r="M14" s="78"/>
    </row>
    <row r="15" spans="2:13" ht="11.1" customHeight="1" x14ac:dyDescent="0.2">
      <c r="B15" s="11"/>
      <c r="C15" s="10">
        <v>0</v>
      </c>
      <c r="D15" s="7"/>
      <c r="E15" s="87"/>
      <c r="F15" s="87"/>
      <c r="G15" s="10">
        <v>0</v>
      </c>
      <c r="I15" s="45"/>
      <c r="J15" s="45"/>
      <c r="K15" s="46"/>
      <c r="L15" s="47"/>
      <c r="M15" s="48"/>
    </row>
    <row r="16" spans="2:13" ht="11.1" customHeight="1" x14ac:dyDescent="0.25">
      <c r="B16" s="12" t="s">
        <v>26</v>
      </c>
      <c r="C16" s="13">
        <f>SUM(C8:C15)</f>
        <v>2000</v>
      </c>
      <c r="D16" s="7"/>
      <c r="E16" s="88" t="s">
        <v>27</v>
      </c>
      <c r="F16" s="88"/>
      <c r="G16" s="13">
        <f>SUM(G8:G15)</f>
        <v>0</v>
      </c>
      <c r="I16" s="69" t="s">
        <v>28</v>
      </c>
      <c r="J16" s="70"/>
      <c r="K16" s="71"/>
      <c r="L16" s="49"/>
      <c r="M16" s="49"/>
    </row>
    <row r="17" spans="2:13" ht="5.25" customHeight="1" x14ac:dyDescent="0.2">
      <c r="B17" s="7"/>
      <c r="C17" s="7"/>
      <c r="D17" s="7"/>
      <c r="E17" s="7"/>
      <c r="F17" s="7"/>
      <c r="G17" s="7"/>
      <c r="I17" s="57"/>
      <c r="J17" s="57"/>
      <c r="K17" s="57"/>
      <c r="L17" s="57"/>
      <c r="M17" s="48"/>
    </row>
    <row r="18" spans="2:13" ht="11.1" customHeight="1" x14ac:dyDescent="0.25">
      <c r="B18" s="84" t="s">
        <v>29</v>
      </c>
      <c r="C18" s="84"/>
      <c r="D18" s="7"/>
      <c r="E18" s="84" t="s">
        <v>30</v>
      </c>
      <c r="F18" s="84"/>
      <c r="G18" s="84"/>
      <c r="I18" s="72" t="s">
        <v>19</v>
      </c>
      <c r="J18" s="73"/>
      <c r="K18" s="54" t="s">
        <v>4</v>
      </c>
      <c r="L18" s="48"/>
      <c r="M18" s="48"/>
    </row>
    <row r="19" spans="2:13" ht="11.1" customHeight="1" x14ac:dyDescent="0.25">
      <c r="B19" s="14" t="s">
        <v>31</v>
      </c>
      <c r="C19" s="9">
        <f>IF(C16-G13&lt;=J21,C16-G13,J21)</f>
        <v>2000</v>
      </c>
      <c r="D19" s="7"/>
      <c r="E19" s="83" t="s">
        <v>32</v>
      </c>
      <c r="F19" s="83"/>
      <c r="G19" s="10">
        <v>0</v>
      </c>
      <c r="I19" s="44">
        <f>Tabelas!B13</f>
        <v>0</v>
      </c>
      <c r="J19" s="44">
        <f>Tabelas!C13</f>
        <v>1659.38</v>
      </c>
      <c r="K19" s="55">
        <f>Tabelas!D13</f>
        <v>0.08</v>
      </c>
      <c r="L19" s="48"/>
      <c r="M19" s="48"/>
    </row>
    <row r="20" spans="2:13" ht="11.1" customHeight="1" x14ac:dyDescent="0.25">
      <c r="B20" s="14" t="s">
        <v>33</v>
      </c>
      <c r="C20" s="9">
        <f>IF(C19+G19&lt;=J21,C19,J21-G19)</f>
        <v>2000</v>
      </c>
      <c r="D20" s="7"/>
      <c r="E20" s="83" t="s">
        <v>34</v>
      </c>
      <c r="F20" s="83"/>
      <c r="G20" s="10">
        <v>0</v>
      </c>
      <c r="I20" s="44">
        <f>Tabelas!B14</f>
        <v>1659.39</v>
      </c>
      <c r="J20" s="44">
        <f>Tabelas!C14</f>
        <v>2765.66</v>
      </c>
      <c r="K20" s="55">
        <f>Tabelas!D14</f>
        <v>0.09</v>
      </c>
      <c r="L20" s="48"/>
      <c r="M20" s="50"/>
    </row>
    <row r="21" spans="2:13" ht="11.1" customHeight="1" x14ac:dyDescent="0.25">
      <c r="B21" s="14" t="s">
        <v>35</v>
      </c>
      <c r="C21" s="9">
        <f>IF(C16,(C16-G13-C24-G20-(G21*M10)),0)</f>
        <v>1630.41</v>
      </c>
      <c r="D21" s="7"/>
      <c r="E21" s="83" t="s">
        <v>36</v>
      </c>
      <c r="F21" s="83"/>
      <c r="G21" s="15">
        <v>1</v>
      </c>
      <c r="I21" s="44">
        <f>Tabelas!B15</f>
        <v>2765.67</v>
      </c>
      <c r="J21" s="44">
        <f>Tabelas!C15</f>
        <v>5531.31</v>
      </c>
      <c r="K21" s="55">
        <f>Tabelas!D15</f>
        <v>0.11</v>
      </c>
      <c r="L21" s="48"/>
      <c r="M21" s="48"/>
    </row>
    <row r="22" spans="2:13" ht="6" customHeight="1" x14ac:dyDescent="0.2">
      <c r="B22" s="7"/>
      <c r="C22" s="7"/>
      <c r="D22" s="7"/>
      <c r="E22" s="7"/>
      <c r="F22" s="7"/>
      <c r="G22" s="7"/>
      <c r="I22" s="48"/>
      <c r="J22" s="57"/>
      <c r="K22" s="57"/>
      <c r="L22" s="48"/>
      <c r="M22" s="57"/>
    </row>
    <row r="23" spans="2:13" ht="11.1" customHeight="1" x14ac:dyDescent="0.2">
      <c r="B23" s="84" t="s">
        <v>37</v>
      </c>
      <c r="C23" s="84"/>
      <c r="D23" s="84"/>
      <c r="E23" s="7"/>
      <c r="F23" s="7"/>
      <c r="G23" s="7"/>
      <c r="I23" s="57"/>
      <c r="J23" s="51" t="str">
        <f>Tabelas!C16</f>
        <v xml:space="preserve">Valor máximo para desconto a 11%: </v>
      </c>
      <c r="K23" s="52">
        <f>Tabelas!D16</f>
        <v>608.44410000000005</v>
      </c>
      <c r="L23" s="57"/>
      <c r="M23" s="57"/>
    </row>
    <row r="24" spans="2:13" ht="11.1" customHeight="1" x14ac:dyDescent="0.2">
      <c r="B24" s="59" t="s">
        <v>38</v>
      </c>
      <c r="C24" s="16">
        <f>C20*D24</f>
        <v>180</v>
      </c>
      <c r="D24" s="17">
        <f>IF(C20,VLOOKUP((C20+G19),I19:K21,3,TRUE),0)</f>
        <v>0.09</v>
      </c>
      <c r="E24" s="42" t="str">
        <f>IF(G19, " Alíquota definida considerando Outras Fontes R$ "&amp;G19,"")</f>
        <v/>
      </c>
      <c r="F24" s="7"/>
      <c r="G24" s="7"/>
      <c r="I24" s="57"/>
      <c r="J24" s="57"/>
      <c r="K24" s="57"/>
      <c r="L24" s="57"/>
      <c r="M24" s="57"/>
    </row>
    <row r="25" spans="2:13" ht="11.1" customHeight="1" x14ac:dyDescent="0.2">
      <c r="B25" s="59" t="s">
        <v>39</v>
      </c>
      <c r="C25" s="16">
        <f>IF(C21,(C21*D25)-VLOOKUP(D25,K10:L14,2,FALSE),0)</f>
        <v>0</v>
      </c>
      <c r="D25" s="17">
        <f>IF(C21,VLOOKUP(C21,I10:K14,3,TRUE),0)</f>
        <v>0</v>
      </c>
      <c r="E25" s="42" t="str">
        <f>IF(C25&lt;10," O valor do I.R. é inferior ao limite para recohimento em DARF","")</f>
        <v xml:space="preserve"> O valor do I.R. é inferior ao limite para recohimento em DARF</v>
      </c>
      <c r="F25" s="18"/>
      <c r="G25" s="19"/>
      <c r="I25" s="57"/>
      <c r="J25" s="57"/>
      <c r="K25" s="57"/>
      <c r="L25" s="57"/>
      <c r="M25" s="57"/>
    </row>
    <row r="26" spans="2:13" ht="11.1" customHeight="1" x14ac:dyDescent="0.2">
      <c r="B26" s="20"/>
      <c r="C26" s="20"/>
      <c r="D26" s="20"/>
      <c r="E26" s="20"/>
      <c r="F26" s="20"/>
      <c r="G26" s="21"/>
      <c r="I26" s="57"/>
      <c r="J26" s="57"/>
      <c r="K26" s="57"/>
      <c r="L26" s="57"/>
      <c r="M26" s="57"/>
    </row>
    <row r="27" spans="2:13" ht="11.1" customHeight="1" x14ac:dyDescent="0.25">
      <c r="B27" s="22"/>
      <c r="C27" s="22"/>
      <c r="D27" s="22"/>
      <c r="E27" s="85" t="s">
        <v>40</v>
      </c>
      <c r="F27" s="85"/>
      <c r="G27" s="85"/>
    </row>
    <row r="28" spans="2:13" ht="11.1" customHeight="1" x14ac:dyDescent="0.25">
      <c r="B28" s="22"/>
      <c r="C28" s="22"/>
      <c r="D28" s="22"/>
      <c r="E28" s="79" t="s">
        <v>26</v>
      </c>
      <c r="F28" s="79"/>
      <c r="G28" s="9">
        <f>C16</f>
        <v>2000</v>
      </c>
    </row>
    <row r="29" spans="2:13" ht="11.1" customHeight="1" x14ac:dyDescent="0.2">
      <c r="B29" s="23"/>
      <c r="C29" s="23"/>
      <c r="D29" s="1"/>
      <c r="E29" s="79" t="s">
        <v>13</v>
      </c>
      <c r="F29" s="79"/>
      <c r="G29" s="9">
        <f>G16</f>
        <v>0</v>
      </c>
    </row>
    <row r="30" spans="2:13" ht="11.1" customHeight="1" x14ac:dyDescent="0.2">
      <c r="B30" s="80"/>
      <c r="C30" s="81"/>
      <c r="D30" s="1"/>
      <c r="E30" s="58" t="s">
        <v>41</v>
      </c>
      <c r="F30" s="17">
        <f>D24</f>
        <v>0.09</v>
      </c>
      <c r="G30" s="9">
        <f>C24</f>
        <v>180</v>
      </c>
    </row>
    <row r="31" spans="2:13" ht="11.1" customHeight="1" x14ac:dyDescent="0.2">
      <c r="B31" s="24" t="s">
        <v>42</v>
      </c>
      <c r="C31" s="23"/>
      <c r="D31" s="1"/>
      <c r="E31" s="58" t="s">
        <v>43</v>
      </c>
      <c r="F31" s="17">
        <f>D25</f>
        <v>0</v>
      </c>
      <c r="G31" s="9">
        <f>C25</f>
        <v>0</v>
      </c>
    </row>
    <row r="32" spans="2:13" ht="11.1" customHeight="1" x14ac:dyDescent="0.25">
      <c r="B32" s="24" t="s">
        <v>8</v>
      </c>
      <c r="C32" s="23"/>
      <c r="D32" s="1"/>
      <c r="E32" s="82" t="s">
        <v>44</v>
      </c>
      <c r="F32" s="82"/>
      <c r="G32" s="9">
        <f>G28-G29-G30-G31</f>
        <v>1820</v>
      </c>
    </row>
    <row r="33" spans="2:7" ht="12" customHeight="1" x14ac:dyDescent="0.2">
      <c r="B33" s="1"/>
      <c r="C33" s="1"/>
      <c r="D33" s="1"/>
      <c r="E33" s="1"/>
      <c r="F33" s="1"/>
      <c r="G33" s="1"/>
    </row>
    <row r="34" spans="2:7" ht="12" customHeight="1" x14ac:dyDescent="0.2"/>
    <row r="35" spans="2:7" ht="12.95" customHeight="1" x14ac:dyDescent="0.2"/>
  </sheetData>
  <sheetProtection algorithmName="SHA-512" hashValue="VwWBRbhuI9mDs7R3rGXP6ZpRvsfc2kd/WEciVFXlXr4i/2KT3BZfbAKS1Ajlc1kLIT3N76Pk+cyqs6dh/Fxd6g==" saltValue="Ry6gS0CUOC+6ip+56F5+zQ==" spinCount="100000" sheet="1" objects="1" scenarios="1" selectLockedCells="1"/>
  <mergeCells count="28">
    <mergeCell ref="B18:C18"/>
    <mergeCell ref="E18:G18"/>
    <mergeCell ref="B3:G3"/>
    <mergeCell ref="B7:C7"/>
    <mergeCell ref="E7:G7"/>
    <mergeCell ref="E9:F9"/>
    <mergeCell ref="E10:F10"/>
    <mergeCell ref="E11:F11"/>
    <mergeCell ref="E12:F12"/>
    <mergeCell ref="E13:F13"/>
    <mergeCell ref="E14:F14"/>
    <mergeCell ref="E15:F15"/>
    <mergeCell ref="E16:F16"/>
    <mergeCell ref="E29:F29"/>
    <mergeCell ref="B30:C30"/>
    <mergeCell ref="E32:F32"/>
    <mergeCell ref="E19:F19"/>
    <mergeCell ref="E20:F20"/>
    <mergeCell ref="E21:F21"/>
    <mergeCell ref="B23:D23"/>
    <mergeCell ref="E27:G27"/>
    <mergeCell ref="E28:F28"/>
    <mergeCell ref="I16:K16"/>
    <mergeCell ref="I9:J9"/>
    <mergeCell ref="I18:J18"/>
    <mergeCell ref="I7:M7"/>
    <mergeCell ref="I8:M8"/>
    <mergeCell ref="M10:M1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J10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Tabelas</vt:lpstr>
      <vt:lpstr>Simulador</vt:lpstr>
      <vt:lpstr>Simulador!Area_de_impressao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Praticas de Pessoal (Fagner C. Aguiar)</dc:creator>
  <cp:lastModifiedBy>Vander</cp:lastModifiedBy>
  <cp:revision/>
  <dcterms:created xsi:type="dcterms:W3CDTF">2017-10-25T03:10:30Z</dcterms:created>
  <dcterms:modified xsi:type="dcterms:W3CDTF">2018-04-04T17:29:00Z</dcterms:modified>
</cp:coreProperties>
</file>