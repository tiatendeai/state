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620" windowHeight="11760"/>
  </bookViews>
  <sheets>
    <sheet name="Controle de Estoque" sheetId="1" r:id="rId1"/>
  </sheets>
  <calcPr calcId="145621"/>
</workbook>
</file>

<file path=xl/calcChain.xml><?xml version="1.0" encoding="utf-8"?>
<calcChain xmlns="http://schemas.openxmlformats.org/spreadsheetml/2006/main">
  <c r="T11" i="1" l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M10" i="1" l="1"/>
  <c r="X111" i="1"/>
  <c r="W110" i="1"/>
  <c r="M112" i="1"/>
  <c r="N112" i="1"/>
  <c r="X112" i="1" s="1"/>
  <c r="M111" i="1"/>
  <c r="W111" i="1" s="1"/>
  <c r="N111" i="1"/>
  <c r="O111" i="1"/>
  <c r="P111" i="1" s="1"/>
  <c r="M110" i="1"/>
  <c r="N110" i="1"/>
  <c r="X110" i="1" s="1"/>
  <c r="O110" i="1" l="1"/>
  <c r="O112" i="1"/>
  <c r="P112" i="1" s="1"/>
  <c r="W112" i="1"/>
  <c r="V111" i="1"/>
  <c r="Q111" i="1"/>
  <c r="Q110" i="1"/>
  <c r="N11" i="1"/>
  <c r="X11" i="1" s="1"/>
  <c r="N12" i="1"/>
  <c r="X12" i="1" s="1"/>
  <c r="N13" i="1"/>
  <c r="X13" i="1" s="1"/>
  <c r="N14" i="1"/>
  <c r="X14" i="1" s="1"/>
  <c r="N15" i="1"/>
  <c r="X15" i="1" s="1"/>
  <c r="N16" i="1"/>
  <c r="X16" i="1" s="1"/>
  <c r="N17" i="1"/>
  <c r="X17" i="1" s="1"/>
  <c r="N18" i="1"/>
  <c r="X18" i="1" s="1"/>
  <c r="N19" i="1"/>
  <c r="X19" i="1" s="1"/>
  <c r="N20" i="1"/>
  <c r="X20" i="1" s="1"/>
  <c r="N21" i="1"/>
  <c r="X21" i="1" s="1"/>
  <c r="N22" i="1"/>
  <c r="X22" i="1" s="1"/>
  <c r="N23" i="1"/>
  <c r="X23" i="1" s="1"/>
  <c r="N24" i="1"/>
  <c r="X24" i="1" s="1"/>
  <c r="N25" i="1"/>
  <c r="X25" i="1" s="1"/>
  <c r="N26" i="1"/>
  <c r="X26" i="1" s="1"/>
  <c r="N27" i="1"/>
  <c r="X27" i="1" s="1"/>
  <c r="N28" i="1"/>
  <c r="X28" i="1" s="1"/>
  <c r="N29" i="1"/>
  <c r="X29" i="1" s="1"/>
  <c r="N30" i="1"/>
  <c r="X30" i="1" s="1"/>
  <c r="N31" i="1"/>
  <c r="X31" i="1" s="1"/>
  <c r="N32" i="1"/>
  <c r="X32" i="1" s="1"/>
  <c r="N33" i="1"/>
  <c r="X33" i="1" s="1"/>
  <c r="N34" i="1"/>
  <c r="X34" i="1" s="1"/>
  <c r="N35" i="1"/>
  <c r="X35" i="1" s="1"/>
  <c r="N36" i="1"/>
  <c r="X36" i="1" s="1"/>
  <c r="N37" i="1"/>
  <c r="X37" i="1" s="1"/>
  <c r="N38" i="1"/>
  <c r="X38" i="1" s="1"/>
  <c r="N39" i="1"/>
  <c r="X39" i="1" s="1"/>
  <c r="N40" i="1"/>
  <c r="X40" i="1" s="1"/>
  <c r="N41" i="1"/>
  <c r="X41" i="1" s="1"/>
  <c r="N42" i="1"/>
  <c r="X42" i="1" s="1"/>
  <c r="N43" i="1"/>
  <c r="X43" i="1" s="1"/>
  <c r="N44" i="1"/>
  <c r="X44" i="1" s="1"/>
  <c r="N45" i="1"/>
  <c r="X45" i="1" s="1"/>
  <c r="N46" i="1"/>
  <c r="X46" i="1" s="1"/>
  <c r="N47" i="1"/>
  <c r="X47" i="1" s="1"/>
  <c r="N48" i="1"/>
  <c r="X48" i="1" s="1"/>
  <c r="N49" i="1"/>
  <c r="X49" i="1" s="1"/>
  <c r="N50" i="1"/>
  <c r="X50" i="1" s="1"/>
  <c r="N51" i="1"/>
  <c r="X51" i="1" s="1"/>
  <c r="N52" i="1"/>
  <c r="X52" i="1" s="1"/>
  <c r="N53" i="1"/>
  <c r="X53" i="1" s="1"/>
  <c r="N54" i="1"/>
  <c r="X54" i="1" s="1"/>
  <c r="N55" i="1"/>
  <c r="X55" i="1" s="1"/>
  <c r="N56" i="1"/>
  <c r="X56" i="1" s="1"/>
  <c r="N57" i="1"/>
  <c r="X57" i="1" s="1"/>
  <c r="N58" i="1"/>
  <c r="X58" i="1" s="1"/>
  <c r="N59" i="1"/>
  <c r="X59" i="1" s="1"/>
  <c r="N60" i="1"/>
  <c r="X60" i="1" s="1"/>
  <c r="N61" i="1"/>
  <c r="X61" i="1" s="1"/>
  <c r="N62" i="1"/>
  <c r="X62" i="1" s="1"/>
  <c r="N63" i="1"/>
  <c r="X63" i="1" s="1"/>
  <c r="N64" i="1"/>
  <c r="X64" i="1" s="1"/>
  <c r="N65" i="1"/>
  <c r="X65" i="1" s="1"/>
  <c r="N66" i="1"/>
  <c r="X66" i="1" s="1"/>
  <c r="N67" i="1"/>
  <c r="X67" i="1" s="1"/>
  <c r="N68" i="1"/>
  <c r="X68" i="1" s="1"/>
  <c r="N69" i="1"/>
  <c r="X69" i="1" s="1"/>
  <c r="N70" i="1"/>
  <c r="X70" i="1" s="1"/>
  <c r="N71" i="1"/>
  <c r="X71" i="1" s="1"/>
  <c r="N72" i="1"/>
  <c r="X72" i="1" s="1"/>
  <c r="N73" i="1"/>
  <c r="X73" i="1" s="1"/>
  <c r="N74" i="1"/>
  <c r="X74" i="1" s="1"/>
  <c r="N75" i="1"/>
  <c r="X75" i="1" s="1"/>
  <c r="N76" i="1"/>
  <c r="X76" i="1" s="1"/>
  <c r="N77" i="1"/>
  <c r="X77" i="1" s="1"/>
  <c r="N78" i="1"/>
  <c r="X78" i="1" s="1"/>
  <c r="N79" i="1"/>
  <c r="X79" i="1" s="1"/>
  <c r="N80" i="1"/>
  <c r="X80" i="1" s="1"/>
  <c r="N81" i="1"/>
  <c r="X81" i="1" s="1"/>
  <c r="N82" i="1"/>
  <c r="X82" i="1" s="1"/>
  <c r="N83" i="1"/>
  <c r="X83" i="1" s="1"/>
  <c r="N84" i="1"/>
  <c r="X84" i="1" s="1"/>
  <c r="N85" i="1"/>
  <c r="X85" i="1" s="1"/>
  <c r="N86" i="1"/>
  <c r="X86" i="1" s="1"/>
  <c r="N87" i="1"/>
  <c r="X87" i="1" s="1"/>
  <c r="N88" i="1"/>
  <c r="X88" i="1" s="1"/>
  <c r="N89" i="1"/>
  <c r="X89" i="1" s="1"/>
  <c r="N90" i="1"/>
  <c r="X90" i="1" s="1"/>
  <c r="N91" i="1"/>
  <c r="X91" i="1" s="1"/>
  <c r="N92" i="1"/>
  <c r="X92" i="1" s="1"/>
  <c r="N93" i="1"/>
  <c r="X93" i="1" s="1"/>
  <c r="N94" i="1"/>
  <c r="X94" i="1" s="1"/>
  <c r="N95" i="1"/>
  <c r="X95" i="1" s="1"/>
  <c r="N96" i="1"/>
  <c r="X96" i="1" s="1"/>
  <c r="N97" i="1"/>
  <c r="X97" i="1" s="1"/>
  <c r="N98" i="1"/>
  <c r="X98" i="1" s="1"/>
  <c r="N99" i="1"/>
  <c r="X99" i="1" s="1"/>
  <c r="N100" i="1"/>
  <c r="X100" i="1" s="1"/>
  <c r="N101" i="1"/>
  <c r="X101" i="1" s="1"/>
  <c r="N102" i="1"/>
  <c r="X102" i="1" s="1"/>
  <c r="N103" i="1"/>
  <c r="X103" i="1" s="1"/>
  <c r="N104" i="1"/>
  <c r="X104" i="1" s="1"/>
  <c r="N105" i="1"/>
  <c r="X105" i="1" s="1"/>
  <c r="N106" i="1"/>
  <c r="X106" i="1" s="1"/>
  <c r="N107" i="1"/>
  <c r="X107" i="1" s="1"/>
  <c r="N108" i="1"/>
  <c r="X108" i="1" s="1"/>
  <c r="N109" i="1"/>
  <c r="X109" i="1" s="1"/>
  <c r="M11" i="1"/>
  <c r="W11" i="1" s="1"/>
  <c r="M12" i="1"/>
  <c r="W12" i="1" s="1"/>
  <c r="M13" i="1"/>
  <c r="W13" i="1" s="1"/>
  <c r="M14" i="1"/>
  <c r="W14" i="1" s="1"/>
  <c r="M15" i="1"/>
  <c r="W15" i="1" s="1"/>
  <c r="M16" i="1"/>
  <c r="W16" i="1" s="1"/>
  <c r="M17" i="1"/>
  <c r="W17" i="1" s="1"/>
  <c r="M18" i="1"/>
  <c r="W18" i="1" s="1"/>
  <c r="M19" i="1"/>
  <c r="W19" i="1" s="1"/>
  <c r="M20" i="1"/>
  <c r="W20" i="1" s="1"/>
  <c r="M21" i="1"/>
  <c r="W21" i="1" s="1"/>
  <c r="M22" i="1"/>
  <c r="W22" i="1" s="1"/>
  <c r="M23" i="1"/>
  <c r="W23" i="1" s="1"/>
  <c r="M24" i="1"/>
  <c r="W24" i="1" s="1"/>
  <c r="M25" i="1"/>
  <c r="W25" i="1" s="1"/>
  <c r="M26" i="1"/>
  <c r="W26" i="1" s="1"/>
  <c r="M27" i="1"/>
  <c r="W27" i="1" s="1"/>
  <c r="M28" i="1"/>
  <c r="W28" i="1" s="1"/>
  <c r="M29" i="1"/>
  <c r="W29" i="1" s="1"/>
  <c r="M30" i="1"/>
  <c r="W30" i="1" s="1"/>
  <c r="M31" i="1"/>
  <c r="W31" i="1" s="1"/>
  <c r="M32" i="1"/>
  <c r="W32" i="1" s="1"/>
  <c r="M33" i="1"/>
  <c r="W33" i="1" s="1"/>
  <c r="M34" i="1"/>
  <c r="W34" i="1" s="1"/>
  <c r="M35" i="1"/>
  <c r="W35" i="1" s="1"/>
  <c r="M36" i="1"/>
  <c r="W36" i="1" s="1"/>
  <c r="M37" i="1"/>
  <c r="W37" i="1" s="1"/>
  <c r="M38" i="1"/>
  <c r="W38" i="1" s="1"/>
  <c r="M39" i="1"/>
  <c r="W39" i="1" s="1"/>
  <c r="M40" i="1"/>
  <c r="W40" i="1" s="1"/>
  <c r="M41" i="1"/>
  <c r="W41" i="1" s="1"/>
  <c r="M42" i="1"/>
  <c r="W42" i="1" s="1"/>
  <c r="M43" i="1"/>
  <c r="W43" i="1" s="1"/>
  <c r="M44" i="1"/>
  <c r="W44" i="1" s="1"/>
  <c r="M45" i="1"/>
  <c r="W45" i="1" s="1"/>
  <c r="M46" i="1"/>
  <c r="W46" i="1" s="1"/>
  <c r="M47" i="1"/>
  <c r="W47" i="1" s="1"/>
  <c r="M48" i="1"/>
  <c r="W48" i="1" s="1"/>
  <c r="M49" i="1"/>
  <c r="W49" i="1" s="1"/>
  <c r="M50" i="1"/>
  <c r="W50" i="1" s="1"/>
  <c r="M51" i="1"/>
  <c r="W51" i="1" s="1"/>
  <c r="M52" i="1"/>
  <c r="W52" i="1" s="1"/>
  <c r="M53" i="1"/>
  <c r="W53" i="1" s="1"/>
  <c r="M54" i="1"/>
  <c r="W54" i="1" s="1"/>
  <c r="M55" i="1"/>
  <c r="W55" i="1" s="1"/>
  <c r="M56" i="1"/>
  <c r="W56" i="1" s="1"/>
  <c r="M57" i="1"/>
  <c r="W57" i="1" s="1"/>
  <c r="M58" i="1"/>
  <c r="W58" i="1" s="1"/>
  <c r="M59" i="1"/>
  <c r="W59" i="1" s="1"/>
  <c r="M60" i="1"/>
  <c r="W60" i="1" s="1"/>
  <c r="M61" i="1"/>
  <c r="W61" i="1" s="1"/>
  <c r="M62" i="1"/>
  <c r="W62" i="1" s="1"/>
  <c r="M63" i="1"/>
  <c r="W63" i="1" s="1"/>
  <c r="M64" i="1"/>
  <c r="W64" i="1" s="1"/>
  <c r="M65" i="1"/>
  <c r="W65" i="1" s="1"/>
  <c r="M66" i="1"/>
  <c r="W66" i="1" s="1"/>
  <c r="M67" i="1"/>
  <c r="W67" i="1" s="1"/>
  <c r="M68" i="1"/>
  <c r="W68" i="1" s="1"/>
  <c r="M69" i="1"/>
  <c r="W69" i="1" s="1"/>
  <c r="M70" i="1"/>
  <c r="W70" i="1" s="1"/>
  <c r="M71" i="1"/>
  <c r="W71" i="1" s="1"/>
  <c r="M72" i="1"/>
  <c r="W72" i="1" s="1"/>
  <c r="M73" i="1"/>
  <c r="W73" i="1" s="1"/>
  <c r="M74" i="1"/>
  <c r="W74" i="1" s="1"/>
  <c r="M75" i="1"/>
  <c r="W75" i="1" s="1"/>
  <c r="M76" i="1"/>
  <c r="W76" i="1" s="1"/>
  <c r="M77" i="1"/>
  <c r="W77" i="1" s="1"/>
  <c r="M78" i="1"/>
  <c r="M79" i="1"/>
  <c r="W79" i="1" s="1"/>
  <c r="M80" i="1"/>
  <c r="W80" i="1" s="1"/>
  <c r="M81" i="1"/>
  <c r="W81" i="1" s="1"/>
  <c r="M82" i="1"/>
  <c r="M83" i="1"/>
  <c r="W83" i="1" s="1"/>
  <c r="M84" i="1"/>
  <c r="W84" i="1" s="1"/>
  <c r="M85" i="1"/>
  <c r="W85" i="1" s="1"/>
  <c r="M86" i="1"/>
  <c r="M87" i="1"/>
  <c r="W87" i="1" s="1"/>
  <c r="M88" i="1"/>
  <c r="W88" i="1" s="1"/>
  <c r="M89" i="1"/>
  <c r="W89" i="1" s="1"/>
  <c r="M90" i="1"/>
  <c r="M91" i="1"/>
  <c r="W91" i="1" s="1"/>
  <c r="M92" i="1"/>
  <c r="W92" i="1" s="1"/>
  <c r="M93" i="1"/>
  <c r="W93" i="1" s="1"/>
  <c r="M94" i="1"/>
  <c r="M95" i="1"/>
  <c r="W95" i="1" s="1"/>
  <c r="M96" i="1"/>
  <c r="W96" i="1" s="1"/>
  <c r="M97" i="1"/>
  <c r="W97" i="1" s="1"/>
  <c r="M98" i="1"/>
  <c r="M99" i="1"/>
  <c r="W99" i="1" s="1"/>
  <c r="M100" i="1"/>
  <c r="W100" i="1" s="1"/>
  <c r="M101" i="1"/>
  <c r="W101" i="1" s="1"/>
  <c r="M102" i="1"/>
  <c r="M103" i="1"/>
  <c r="W103" i="1" s="1"/>
  <c r="M104" i="1"/>
  <c r="W104" i="1" s="1"/>
  <c r="M105" i="1"/>
  <c r="W105" i="1" s="1"/>
  <c r="M106" i="1"/>
  <c r="M107" i="1"/>
  <c r="W107" i="1" s="1"/>
  <c r="M108" i="1"/>
  <c r="W108" i="1" s="1"/>
  <c r="M109" i="1"/>
  <c r="W109" i="1" s="1"/>
  <c r="N10" i="1"/>
  <c r="X10" i="1" s="1"/>
  <c r="X113" i="1" l="1"/>
  <c r="E5" i="1" s="1"/>
  <c r="O102" i="1"/>
  <c r="Q102" i="1" s="1"/>
  <c r="W102" i="1"/>
  <c r="O94" i="1"/>
  <c r="W94" i="1"/>
  <c r="O86" i="1"/>
  <c r="P86" i="1" s="1"/>
  <c r="W86" i="1"/>
  <c r="O106" i="1"/>
  <c r="V106" i="1" s="1"/>
  <c r="W106" i="1"/>
  <c r="O98" i="1"/>
  <c r="P98" i="1" s="1"/>
  <c r="W98" i="1"/>
  <c r="O90" i="1"/>
  <c r="W90" i="1"/>
  <c r="O82" i="1"/>
  <c r="Q82" i="1" s="1"/>
  <c r="W82" i="1"/>
  <c r="O78" i="1"/>
  <c r="P78" i="1" s="1"/>
  <c r="W78" i="1"/>
  <c r="P110" i="1"/>
  <c r="V110" i="1"/>
  <c r="Q112" i="1"/>
  <c r="V112" i="1"/>
  <c r="O10" i="1"/>
  <c r="S10" i="1" s="1"/>
  <c r="T10" i="1" s="1"/>
  <c r="W10" i="1"/>
  <c r="O103" i="1"/>
  <c r="Q103" i="1" s="1"/>
  <c r="O95" i="1"/>
  <c r="V95" i="1" s="1"/>
  <c r="O91" i="1"/>
  <c r="P91" i="1" s="1"/>
  <c r="O83" i="1"/>
  <c r="P83" i="1" s="1"/>
  <c r="O75" i="1"/>
  <c r="P75" i="1" s="1"/>
  <c r="O67" i="1"/>
  <c r="V67" i="1" s="1"/>
  <c r="O55" i="1"/>
  <c r="V55" i="1" s="1"/>
  <c r="O74" i="1"/>
  <c r="P74" i="1" s="1"/>
  <c r="O70" i="1"/>
  <c r="P70" i="1" s="1"/>
  <c r="O66" i="1"/>
  <c r="V66" i="1" s="1"/>
  <c r="O62" i="1"/>
  <c r="P62" i="1" s="1"/>
  <c r="O58" i="1"/>
  <c r="Q58" i="1" s="1"/>
  <c r="O54" i="1"/>
  <c r="P54" i="1" s="1"/>
  <c r="O50" i="1"/>
  <c r="P50" i="1" s="1"/>
  <c r="O46" i="1"/>
  <c r="P46" i="1" s="1"/>
  <c r="O42" i="1"/>
  <c r="V42" i="1" s="1"/>
  <c r="O38" i="1"/>
  <c r="P38" i="1" s="1"/>
  <c r="O34" i="1"/>
  <c r="V34" i="1" s="1"/>
  <c r="O30" i="1"/>
  <c r="P30" i="1" s="1"/>
  <c r="O26" i="1"/>
  <c r="V26" i="1" s="1"/>
  <c r="O22" i="1"/>
  <c r="P22" i="1" s="1"/>
  <c r="O18" i="1"/>
  <c r="P18" i="1" s="1"/>
  <c r="O14" i="1"/>
  <c r="P14" i="1" s="1"/>
  <c r="O107" i="1"/>
  <c r="V107" i="1" s="1"/>
  <c r="O99" i="1"/>
  <c r="V99" i="1" s="1"/>
  <c r="O87" i="1"/>
  <c r="P87" i="1" s="1"/>
  <c r="O79" i="1"/>
  <c r="P79" i="1" s="1"/>
  <c r="O71" i="1"/>
  <c r="P71" i="1" s="1"/>
  <c r="O63" i="1"/>
  <c r="O59" i="1"/>
  <c r="P59" i="1" s="1"/>
  <c r="O51" i="1"/>
  <c r="Q51" i="1" s="1"/>
  <c r="O47" i="1"/>
  <c r="V47" i="1" s="1"/>
  <c r="O43" i="1"/>
  <c r="P43" i="1" s="1"/>
  <c r="O39" i="1"/>
  <c r="Q39" i="1" s="1"/>
  <c r="O35" i="1"/>
  <c r="V35" i="1" s="1"/>
  <c r="O31" i="1"/>
  <c r="Q31" i="1" s="1"/>
  <c r="O27" i="1"/>
  <c r="Q27" i="1" s="1"/>
  <c r="O23" i="1"/>
  <c r="Q23" i="1" s="1"/>
  <c r="O19" i="1"/>
  <c r="V19" i="1" s="1"/>
  <c r="O15" i="1"/>
  <c r="V15" i="1" s="1"/>
  <c r="O11" i="1"/>
  <c r="Q11" i="1" s="1"/>
  <c r="O109" i="1"/>
  <c r="Q109" i="1" s="1"/>
  <c r="O101" i="1"/>
  <c r="Q101" i="1" s="1"/>
  <c r="O93" i="1"/>
  <c r="O85" i="1"/>
  <c r="O77" i="1"/>
  <c r="Q77" i="1" s="1"/>
  <c r="O69" i="1"/>
  <c r="Q69" i="1" s="1"/>
  <c r="O61" i="1"/>
  <c r="Q61" i="1" s="1"/>
  <c r="O53" i="1"/>
  <c r="O45" i="1"/>
  <c r="Q45" i="1" s="1"/>
  <c r="O37" i="1"/>
  <c r="O29" i="1"/>
  <c r="Q29" i="1" s="1"/>
  <c r="O21" i="1"/>
  <c r="O13" i="1"/>
  <c r="Q13" i="1" s="1"/>
  <c r="O108" i="1"/>
  <c r="Q108" i="1" s="1"/>
  <c r="O100" i="1"/>
  <c r="P100" i="1" s="1"/>
  <c r="O92" i="1"/>
  <c r="V92" i="1" s="1"/>
  <c r="O84" i="1"/>
  <c r="V84" i="1" s="1"/>
  <c r="O76" i="1"/>
  <c r="P76" i="1" s="1"/>
  <c r="O68" i="1"/>
  <c r="P68" i="1" s="1"/>
  <c r="O60" i="1"/>
  <c r="V60" i="1" s="1"/>
  <c r="O56" i="1"/>
  <c r="Q56" i="1" s="1"/>
  <c r="O52" i="1"/>
  <c r="V52" i="1" s="1"/>
  <c r="O48" i="1"/>
  <c r="Q48" i="1" s="1"/>
  <c r="O44" i="1"/>
  <c r="Q44" i="1" s="1"/>
  <c r="O40" i="1"/>
  <c r="V40" i="1" s="1"/>
  <c r="O36" i="1"/>
  <c r="P36" i="1" s="1"/>
  <c r="O32" i="1"/>
  <c r="P32" i="1" s="1"/>
  <c r="O28" i="1"/>
  <c r="Q28" i="1" s="1"/>
  <c r="O24" i="1"/>
  <c r="V24" i="1" s="1"/>
  <c r="O20" i="1"/>
  <c r="V20" i="1" s="1"/>
  <c r="O16" i="1"/>
  <c r="P16" i="1" s="1"/>
  <c r="O12" i="1"/>
  <c r="Q12" i="1" s="1"/>
  <c r="O105" i="1"/>
  <c r="P105" i="1" s="1"/>
  <c r="O97" i="1"/>
  <c r="O89" i="1"/>
  <c r="O81" i="1"/>
  <c r="O73" i="1"/>
  <c r="P73" i="1" s="1"/>
  <c r="O65" i="1"/>
  <c r="P65" i="1" s="1"/>
  <c r="O57" i="1"/>
  <c r="P57" i="1" s="1"/>
  <c r="O49" i="1"/>
  <c r="O41" i="1"/>
  <c r="V41" i="1" s="1"/>
  <c r="O33" i="1"/>
  <c r="O25" i="1"/>
  <c r="V25" i="1" s="1"/>
  <c r="O17" i="1"/>
  <c r="O104" i="1"/>
  <c r="Q104" i="1" s="1"/>
  <c r="O96" i="1"/>
  <c r="Q96" i="1" s="1"/>
  <c r="O88" i="1"/>
  <c r="Q88" i="1" s="1"/>
  <c r="O80" i="1"/>
  <c r="Q80" i="1" s="1"/>
  <c r="O72" i="1"/>
  <c r="Q72" i="1" s="1"/>
  <c r="O64" i="1"/>
  <c r="Q64" i="1" s="1"/>
  <c r="Q106" i="1"/>
  <c r="P106" i="1"/>
  <c r="V102" i="1"/>
  <c r="Q98" i="1"/>
  <c r="V94" i="1"/>
  <c r="Q94" i="1"/>
  <c r="P94" i="1"/>
  <c r="Q107" i="1"/>
  <c r="V83" i="1"/>
  <c r="Q67" i="1"/>
  <c r="V59" i="1"/>
  <c r="V43" i="1"/>
  <c r="Q43" i="1"/>
  <c r="P27" i="1"/>
  <c r="V11" i="1"/>
  <c r="P11" i="1"/>
  <c r="V90" i="1"/>
  <c r="Q90" i="1"/>
  <c r="V82" i="1"/>
  <c r="Q66" i="1"/>
  <c r="V58" i="1"/>
  <c r="V103" i="1"/>
  <c r="P103" i="1"/>
  <c r="Q95" i="1"/>
  <c r="V87" i="1"/>
  <c r="Q79" i="1"/>
  <c r="V71" i="1"/>
  <c r="V63" i="1"/>
  <c r="P63" i="1"/>
  <c r="Q63" i="1"/>
  <c r="V39" i="1"/>
  <c r="P39" i="1"/>
  <c r="P31" i="1"/>
  <c r="V23" i="1"/>
  <c r="P23" i="1"/>
  <c r="P90" i="1"/>
  <c r="P66" i="1"/>
  <c r="P42" i="1"/>
  <c r="Q93" i="1"/>
  <c r="P99" i="1"/>
  <c r="Q99" i="1"/>
  <c r="Q75" i="1"/>
  <c r="P51" i="1"/>
  <c r="P19" i="1"/>
  <c r="Q50" i="1"/>
  <c r="V18" i="1"/>
  <c r="V104" i="1"/>
  <c r="V100" i="1"/>
  <c r="P92" i="1"/>
  <c r="P72" i="1"/>
  <c r="V68" i="1"/>
  <c r="P60" i="1"/>
  <c r="V56" i="1"/>
  <c r="P52" i="1"/>
  <c r="Q40" i="1"/>
  <c r="V36" i="1"/>
  <c r="P28" i="1"/>
  <c r="P24" i="1"/>
  <c r="V86" i="1"/>
  <c r="V78" i="1"/>
  <c r="Q78" i="1"/>
  <c r="V70" i="1"/>
  <c r="V54" i="1"/>
  <c r="Q54" i="1"/>
  <c r="V38" i="1"/>
  <c r="Q38" i="1"/>
  <c r="V30" i="1"/>
  <c r="Q22" i="1"/>
  <c r="P97" i="1"/>
  <c r="P89" i="1"/>
  <c r="P41" i="1"/>
  <c r="P33" i="1"/>
  <c r="Q60" i="1"/>
  <c r="Q52" i="1"/>
  <c r="E7" i="1" l="1"/>
  <c r="V10" i="1"/>
  <c r="E6" i="1" s="1"/>
  <c r="Q10" i="1"/>
  <c r="V96" i="1"/>
  <c r="P108" i="1"/>
  <c r="Q35" i="1"/>
  <c r="V51" i="1"/>
  <c r="V79" i="1"/>
  <c r="Q91" i="1"/>
  <c r="V98" i="1"/>
  <c r="V62" i="1"/>
  <c r="V108" i="1"/>
  <c r="P35" i="1"/>
  <c r="Q55" i="1"/>
  <c r="Q87" i="1"/>
  <c r="Q34" i="1"/>
  <c r="P67" i="1"/>
  <c r="V14" i="1"/>
  <c r="Q20" i="1"/>
  <c r="P82" i="1"/>
  <c r="Q76" i="1"/>
  <c r="P20" i="1"/>
  <c r="Q36" i="1"/>
  <c r="P40" i="1"/>
  <c r="V76" i="1"/>
  <c r="V50" i="1"/>
  <c r="P34" i="1"/>
  <c r="P95" i="1"/>
  <c r="Q59" i="1"/>
  <c r="V91" i="1"/>
  <c r="P102" i="1"/>
  <c r="Q41" i="1"/>
  <c r="Q92" i="1"/>
  <c r="V22" i="1"/>
  <c r="V46" i="1"/>
  <c r="Q70" i="1"/>
  <c r="Q86" i="1"/>
  <c r="Q24" i="1"/>
  <c r="P44" i="1"/>
  <c r="P64" i="1"/>
  <c r="P84" i="1"/>
  <c r="P104" i="1"/>
  <c r="Q18" i="1"/>
  <c r="Q19" i="1"/>
  <c r="V75" i="1"/>
  <c r="P55" i="1"/>
  <c r="V27" i="1"/>
  <c r="W113" i="1"/>
  <c r="E4" i="1" s="1"/>
  <c r="P10" i="1"/>
  <c r="Q100" i="1"/>
  <c r="Q74" i="1"/>
  <c r="P58" i="1"/>
  <c r="Q15" i="1"/>
  <c r="V31" i="1"/>
  <c r="Q47" i="1"/>
  <c r="Q26" i="1"/>
  <c r="Q42" i="1"/>
  <c r="P107" i="1"/>
  <c r="Q25" i="1"/>
  <c r="Q68" i="1"/>
  <c r="Q14" i="1"/>
  <c r="Q30" i="1"/>
  <c r="Q46" i="1"/>
  <c r="Q62" i="1"/>
  <c r="P12" i="1"/>
  <c r="V32" i="1"/>
  <c r="V64" i="1"/>
  <c r="P96" i="1"/>
  <c r="V74" i="1"/>
  <c r="P26" i="1"/>
  <c r="P15" i="1"/>
  <c r="P47" i="1"/>
  <c r="Q71" i="1"/>
  <c r="Q83" i="1"/>
  <c r="V16" i="1"/>
  <c r="Q84" i="1"/>
  <c r="P25" i="1"/>
  <c r="P56" i="1"/>
  <c r="V72" i="1"/>
  <c r="V17" i="1"/>
  <c r="Q17" i="1"/>
  <c r="V81" i="1"/>
  <c r="Q81" i="1"/>
  <c r="V53" i="1"/>
  <c r="P53" i="1"/>
  <c r="V12" i="1"/>
  <c r="V57" i="1"/>
  <c r="Q57" i="1"/>
  <c r="V29" i="1"/>
  <c r="P29" i="1"/>
  <c r="V61" i="1"/>
  <c r="P61" i="1"/>
  <c r="Q16" i="1"/>
  <c r="Q32" i="1"/>
  <c r="P48" i="1"/>
  <c r="P80" i="1"/>
  <c r="P88" i="1"/>
  <c r="V33" i="1"/>
  <c r="Q33" i="1"/>
  <c r="V65" i="1"/>
  <c r="Q65" i="1"/>
  <c r="V97" i="1"/>
  <c r="Q97" i="1"/>
  <c r="V37" i="1"/>
  <c r="Q37" i="1"/>
  <c r="P37" i="1"/>
  <c r="V69" i="1"/>
  <c r="P69" i="1"/>
  <c r="V101" i="1"/>
  <c r="P101" i="1"/>
  <c r="V49" i="1"/>
  <c r="Q49" i="1"/>
  <c r="V21" i="1"/>
  <c r="Q21" i="1"/>
  <c r="P21" i="1"/>
  <c r="V85" i="1"/>
  <c r="P85" i="1"/>
  <c r="V28" i="1"/>
  <c r="V44" i="1"/>
  <c r="V89" i="1"/>
  <c r="Q89" i="1"/>
  <c r="V93" i="1"/>
  <c r="P93" i="1"/>
  <c r="P17" i="1"/>
  <c r="P49" i="1"/>
  <c r="P81" i="1"/>
  <c r="V48" i="1"/>
  <c r="V80" i="1"/>
  <c r="V88" i="1"/>
  <c r="Q53" i="1"/>
  <c r="Q85" i="1"/>
  <c r="V73" i="1"/>
  <c r="Q73" i="1"/>
  <c r="V105" i="1"/>
  <c r="Q105" i="1"/>
  <c r="V13" i="1"/>
  <c r="P13" i="1"/>
  <c r="V45" i="1"/>
  <c r="P45" i="1"/>
  <c r="V77" i="1"/>
  <c r="P77" i="1"/>
  <c r="V109" i="1"/>
  <c r="P109" i="1"/>
  <c r="E3" i="1" l="1"/>
</calcChain>
</file>

<file path=xl/comments1.xml><?xml version="1.0" encoding="utf-8"?>
<comments xmlns="http://schemas.openxmlformats.org/spreadsheetml/2006/main">
  <authors>
    <author>Leonardo</author>
  </authors>
  <commentList>
    <comment ref="C8" authorId="0">
      <text>
        <r>
          <rPr>
            <b/>
            <sz val="8"/>
            <color indexed="81"/>
            <rFont val="Tahoma"/>
            <charset val="1"/>
          </rPr>
          <t>Prometal: esta célula contém link para o site do Ministério do Trabalho e Emprego, onde pode-se consultar a validade do C.A. inserida nas células abaixo.</t>
        </r>
      </text>
    </comment>
    <comment ref="D8" authorId="0">
      <text>
        <r>
          <rPr>
            <b/>
            <sz val="8"/>
            <color indexed="81"/>
            <rFont val="Tahoma"/>
            <charset val="1"/>
          </rPr>
          <t>Prometal: está célula é referente ao saldo do mês anterior, que são os equipamentos que não foram consumidos e serão somados aos novos epis.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M8" authorId="0">
      <text>
        <r>
          <rPr>
            <b/>
            <sz val="8"/>
            <color indexed="81"/>
            <rFont val="Tahoma"/>
            <family val="2"/>
          </rPr>
          <t>Prometal: esta célula contém a soma de todas as entradas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8" authorId="0">
      <text>
        <r>
          <rPr>
            <b/>
            <sz val="8"/>
            <color indexed="81"/>
            <rFont val="Tahoma"/>
            <family val="2"/>
          </rPr>
          <t>Prometal: esta célula contém as saídas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8" authorId="0">
      <text>
        <r>
          <rPr>
            <b/>
            <sz val="8"/>
            <color indexed="81"/>
            <rFont val="Tahoma"/>
            <family val="2"/>
          </rPr>
          <t>Prometal: esta célula contém a soma de todas as entradas do mês vigente, mais os itens de saldo do mês anterior, subtraindo as saídas dos itens fornecidos no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8" authorId="0">
      <text>
        <r>
          <rPr>
            <b/>
            <sz val="8"/>
            <color indexed="81"/>
            <rFont val="Tahoma"/>
            <family val="2"/>
          </rPr>
          <t>Prometal: esta célula indica se o estoque esta em um nível abaixo, ideal ou acima do necessário.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8" authorId="0">
      <text>
        <r>
          <rPr>
            <b/>
            <sz val="8"/>
            <color indexed="81"/>
            <rFont val="Tahoma"/>
            <family val="2"/>
          </rPr>
          <t>Prometal: esta célula indica a porcentagem, negativa ou positiva, que o estoque está no momento.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8" authorId="0">
      <text>
        <r>
          <rPr>
            <b/>
            <sz val="8"/>
            <color indexed="81"/>
            <rFont val="Tahoma"/>
            <family val="2"/>
          </rPr>
          <t>Prometal: esta célula deve ser preenchida com a estimativa de estoque ideal do mês, podendo ser alterada de acordo com as demandas.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8" authorId="0">
      <text>
        <r>
          <rPr>
            <b/>
            <sz val="8"/>
            <color indexed="81"/>
            <rFont val="Tahoma"/>
            <charset val="1"/>
          </rPr>
          <t>Prometal: esta célula contém as informações de projeção de compra, sendo a diferença entre o saldo atual e o estoque ideal.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T8" authorId="0">
      <text>
        <r>
          <rPr>
            <b/>
            <sz val="8"/>
            <color indexed="81"/>
            <rFont val="Tahoma"/>
            <family val="2"/>
          </rPr>
          <t>Prometal: esta célula contém a projeção de custo baseada no valor do item vezes a projeção de compra.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9" authorId="0">
      <text>
        <r>
          <rPr>
            <b/>
            <sz val="8"/>
            <color indexed="81"/>
            <rFont val="Tahoma"/>
            <family val="2"/>
          </rPr>
          <t>Prometal: esta célula é referente aos epis adquiridos na primeira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" authorId="0">
      <text>
        <r>
          <rPr>
            <b/>
            <sz val="8"/>
            <color indexed="81"/>
            <rFont val="Tahoma"/>
            <family val="2"/>
          </rPr>
          <t>Prometal: esta célula é referente aos epis fornecidos na primeira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9" authorId="0">
      <text>
        <r>
          <rPr>
            <b/>
            <sz val="8"/>
            <color indexed="81"/>
            <rFont val="Tahoma"/>
            <family val="2"/>
          </rPr>
          <t>Prometal: esta célula é referente aos epis adquiridos na segunda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" authorId="0">
      <text>
        <r>
          <rPr>
            <b/>
            <sz val="8"/>
            <color indexed="81"/>
            <rFont val="Tahoma"/>
            <family val="2"/>
          </rPr>
          <t>Prometal: esta célula é referente aos epis fornecidos na segunda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9" authorId="0">
      <text>
        <r>
          <rPr>
            <b/>
            <sz val="8"/>
            <color indexed="81"/>
            <rFont val="Tahoma"/>
            <family val="2"/>
          </rPr>
          <t>Prometal: esta célula é referente aos epis adquiridos na terceira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9" authorId="0">
      <text>
        <r>
          <rPr>
            <b/>
            <sz val="8"/>
            <color indexed="81"/>
            <rFont val="Tahoma"/>
            <family val="2"/>
          </rPr>
          <t>Prometal: esta célula é referente aos epis fornecidos na terceira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9" authorId="0">
      <text>
        <r>
          <rPr>
            <b/>
            <sz val="8"/>
            <color indexed="81"/>
            <rFont val="Tahoma"/>
            <family val="2"/>
          </rPr>
          <t>Prometal: esta célula é referente aos epis adquiridos na quarta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9" authorId="0">
      <text>
        <r>
          <rPr>
            <b/>
            <sz val="8"/>
            <color indexed="81"/>
            <rFont val="Tahoma"/>
            <family val="2"/>
          </rPr>
          <t>Prometal: esta célula é referente aos epis fornecidos na quarta semana do mês vigente.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<sst xmlns="http://schemas.openxmlformats.org/spreadsheetml/2006/main" count="96" uniqueCount="89">
  <si>
    <t>CONTROLE DE ESTOQUE DE EQUIPAMENTO DE PROTEÇÃO INDIVIDUAL</t>
  </si>
  <si>
    <t>Valor Total em Estoque (Anterior)</t>
  </si>
  <si>
    <t>Valor Gasto em Compras (Entradas)</t>
  </si>
  <si>
    <t>Valor Gasto em Consumo  (Saídas)</t>
  </si>
  <si>
    <t>Valor Total em Estoque (Disponível)</t>
  </si>
  <si>
    <t>DESCRIÇÃO DO EPI</t>
  </si>
  <si>
    <t>CA</t>
  </si>
  <si>
    <t>1º Semana</t>
  </si>
  <si>
    <t>2º Semana</t>
  </si>
  <si>
    <t>3º Semana</t>
  </si>
  <si>
    <t>4º Semana</t>
  </si>
  <si>
    <t>MÊS:</t>
  </si>
  <si>
    <t>Indicador de Estoque</t>
  </si>
  <si>
    <t>%</t>
  </si>
  <si>
    <t>Estoque Ideal</t>
  </si>
  <si>
    <t>Valor Unitário</t>
  </si>
  <si>
    <t>E</t>
  </si>
  <si>
    <t>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</si>
  <si>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</si>
  <si>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</si>
  <si>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</si>
  <si>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</si>
  <si>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</si>
  <si>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</si>
  <si>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</si>
  <si>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</si>
  <si>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</si>
  <si>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</si>
  <si>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</si>
  <si>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</si>
  <si>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</si>
  <si>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</si>
  <si>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</si>
  <si>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</si>
  <si>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</si>
  <si>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</si>
  <si>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</si>
  <si>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</si>
  <si>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</si>
  <si>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</si>
  <si>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</si>
  <si>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</si>
  <si>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</si>
  <si>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</si>
  <si>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</si>
  <si>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</si>
  <si>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</si>
  <si>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</si>
  <si>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</si>
  <si>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</si>
  <si>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</si>
  <si>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</si>
  <si>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</si>
  <si>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</si>
  <si>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</si>
  <si>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</si>
  <si>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</si>
  <si>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</si>
  <si>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</si>
  <si>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</si>
  <si>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</si>
  <si>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</si>
  <si>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</si>
  <si>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</si>
  <si>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</si>
  <si>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</si>
  <si>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</si>
  <si>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</si>
  <si>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</si>
  <si>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</si>
  <si>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</si>
  <si>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</si>
  <si>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</si>
  <si>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</si>
  <si>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</si>
  <si>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</si>
  <si>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Saldo
Atual</t>
  </si>
  <si>
    <t>Comprado</t>
  </si>
  <si>
    <t>Unitário</t>
  </si>
  <si>
    <t>Entregue</t>
  </si>
  <si>
    <t>Saldo Mês Anterior</t>
  </si>
  <si>
    <t>Entradas
Total</t>
  </si>
  <si>
    <t>Saídas
Total</t>
  </si>
  <si>
    <t>Projeção de Compra</t>
  </si>
  <si>
    <t>Projeção de Custo</t>
  </si>
  <si>
    <t>Valor Projetado de Compras Futuras</t>
  </si>
  <si>
    <t>Valor Total em Estoque</t>
  </si>
  <si>
    <t>TÉCNICO   RESPONSAVEL:</t>
  </si>
  <si>
    <t>DATA DE        ATUALIZAÇÃO: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</si>
</sst>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00"/>
    <numFmt numFmtId="167" formatCode="_(* #,##0_);_(* \(#,##0\);_(* &quot;-&quot;??_);_(@_)"/>
    <numFmt numFmtId="168" formatCode="_-[$R$-416]\ * #,##0.00_-;\-[$R$-416]\ * #,##0.00_-;_-[$R$-416]\ * &quot;-&quot;??_-;_-@_-"/>
    <numFmt numFmtId="169" formatCode="&quot;R$&quot;\ #,##0.00"/>
  </numFmts>
  <fonts count="3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8"/>
      <color indexed="17"/>
      <name val="Arial"/>
      <family val="2"/>
    </font>
    <font>
      <b/>
      <sz val="8"/>
      <color indexed="10"/>
      <name val="Arial"/>
      <family val="2"/>
    </font>
    <font>
      <b/>
      <sz val="10"/>
      <color indexed="17"/>
      <name val="Arial"/>
      <family val="2"/>
    </font>
    <font>
      <sz val="10"/>
      <name val="Arial"/>
      <family val="2"/>
    </font>
    <font>
      <sz val="16"/>
      <color theme="8" tint="-0.249977111117893"/>
      <name val="Arial Black"/>
      <family val="2"/>
    </font>
    <font>
      <b/>
      <sz val="12"/>
      <color rgb="FFFFFF00"/>
      <name val="Arial"/>
      <family val="2"/>
    </font>
    <font>
      <b/>
      <sz val="10"/>
      <color rgb="FFFFFF00"/>
      <name val="Arial"/>
      <family val="2"/>
    </font>
    <font>
      <b/>
      <sz val="12"/>
      <color theme="9"/>
      <name val="Arial"/>
      <family val="2"/>
    </font>
    <font>
      <b/>
      <sz val="20"/>
      <color rgb="FFFFFF00"/>
      <name val="Arial"/>
      <family val="2"/>
    </font>
    <font>
      <b/>
      <sz val="16"/>
      <color theme="0"/>
      <name val="Arial Narrow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7"/>
      <color rgb="FFFFFF00"/>
      <name val="Arial"/>
      <family val="2"/>
    </font>
    <font>
      <sz val="10"/>
      <color theme="9"/>
      <name val="Arial"/>
      <family val="2"/>
    </font>
    <font>
      <b/>
      <sz val="8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0"/>
      <color theme="1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/>
      <top style="double">
        <color rgb="FFFF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/>
      <top/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/>
      <bottom style="double">
        <color rgb="FFFF0000"/>
      </bottom>
      <diagonal/>
    </border>
    <border>
      <left/>
      <right style="thin">
        <color indexed="64"/>
      </right>
      <top style="double">
        <color rgb="FFFF0000"/>
      </top>
      <bottom/>
      <diagonal/>
    </border>
    <border>
      <left style="double">
        <color rgb="FFFF0000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55">
    <xf numFmtId="0" fontId="0" fillId="0" borderId="0" xfId="0"/>
    <xf numFmtId="0" fontId="1" fillId="0" borderId="0" xfId="1" applyBorder="1" applyAlignment="1">
      <alignment vertical="center"/>
    </xf>
    <xf numFmtId="0" fontId="8" fillId="0" borderId="1" xfId="1" applyFont="1" applyBorder="1" applyAlignment="1" applyProtection="1">
      <alignment horizontal="center" vertic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166" fontId="2" fillId="0" borderId="2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>
      <alignment vertical="center"/>
    </xf>
    <xf numFmtId="0" fontId="3" fillId="0" borderId="3" xfId="1" applyFont="1" applyBorder="1" applyAlignment="1" applyProtection="1">
      <alignment horizontal="center" vertical="center"/>
      <protection locked="0"/>
    </xf>
    <xf numFmtId="166" fontId="2" fillId="0" borderId="4" xfId="1" applyNumberFormat="1" applyFont="1" applyFill="1" applyBorder="1" applyAlignment="1" applyProtection="1">
      <alignment horizontal="center" vertical="center"/>
      <protection locked="0"/>
    </xf>
    <xf numFmtId="166" fontId="2" fillId="0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0" fontId="2" fillId="0" borderId="0" xfId="1" applyFont="1" applyBorder="1" applyAlignment="1">
      <alignment vertical="center"/>
    </xf>
    <xf numFmtId="166" fontId="2" fillId="0" borderId="5" xfId="1" applyNumberFormat="1" applyFont="1" applyFill="1" applyBorder="1" applyAlignment="1" applyProtection="1">
      <alignment horizontal="center" vertical="center"/>
      <protection locked="0"/>
    </xf>
    <xf numFmtId="0" fontId="8" fillId="0" borderId="8" xfId="1" applyFont="1" applyBorder="1" applyAlignment="1" applyProtection="1">
      <alignment horizontal="center" vertical="center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center" vertical="center"/>
      <protection locked="0"/>
    </xf>
    <xf numFmtId="169" fontId="1" fillId="0" borderId="0" xfId="1" applyNumberFormat="1" applyBorder="1" applyAlignment="1">
      <alignment vertical="center"/>
    </xf>
    <xf numFmtId="0" fontId="6" fillId="4" borderId="9" xfId="1" applyFont="1" applyFill="1" applyBorder="1" applyAlignment="1" applyProtection="1">
      <alignment horizontal="center" vertical="center"/>
    </xf>
    <xf numFmtId="0" fontId="7" fillId="4" borderId="9" xfId="1" applyFont="1" applyFill="1" applyBorder="1" applyAlignment="1" applyProtection="1">
      <alignment horizontal="center" vertical="center"/>
    </xf>
    <xf numFmtId="49" fontId="9" fillId="0" borderId="10" xfId="1" applyNumberFormat="1" applyFont="1" applyBorder="1" applyAlignment="1" applyProtection="1">
      <alignment horizontal="center" vertical="center"/>
    </xf>
    <xf numFmtId="49" fontId="9" fillId="0" borderId="11" xfId="1" applyNumberFormat="1" applyFont="1" applyBorder="1" applyAlignment="1" applyProtection="1">
      <alignment horizontal="center" vertical="center"/>
    </xf>
    <xf numFmtId="0" fontId="9" fillId="0" borderId="10" xfId="1" applyFont="1" applyFill="1" applyBorder="1" applyAlignment="1" applyProtection="1">
      <alignment horizontal="center" vertical="center"/>
    </xf>
    <xf numFmtId="166" fontId="17" fillId="8" borderId="6" xfId="1" applyNumberFormat="1" applyFont="1" applyFill="1" applyBorder="1" applyAlignment="1" applyProtection="1">
      <alignment horizontal="center" vertical="center"/>
    </xf>
    <xf numFmtId="166" fontId="17" fillId="9" borderId="5" xfId="1" applyNumberFormat="1" applyFont="1" applyFill="1" applyBorder="1" applyAlignment="1" applyProtection="1">
      <alignment horizontal="center" vertical="center"/>
    </xf>
    <xf numFmtId="166" fontId="15" fillId="6" borderId="5" xfId="1" applyNumberFormat="1" applyFont="1" applyFill="1" applyBorder="1" applyAlignment="1" applyProtection="1">
      <alignment horizontal="center" vertical="center"/>
    </xf>
    <xf numFmtId="166" fontId="2" fillId="2" borderId="5" xfId="1" applyNumberFormat="1" applyFont="1" applyFill="1" applyBorder="1" applyAlignment="1" applyProtection="1">
      <alignment horizontal="center" vertical="center"/>
    </xf>
    <xf numFmtId="9" fontId="2" fillId="0" borderId="5" xfId="1" applyNumberFormat="1" applyFont="1" applyFill="1" applyBorder="1" applyAlignment="1" applyProtection="1">
      <alignment horizontal="center" vertical="center"/>
    </xf>
    <xf numFmtId="166" fontId="2" fillId="0" borderId="8" xfId="1" applyNumberFormat="1" applyFont="1" applyFill="1" applyBorder="1" applyAlignment="1" applyProtection="1">
      <alignment horizontal="center" vertical="center"/>
      <protection locked="0"/>
    </xf>
    <xf numFmtId="0" fontId="6" fillId="4" borderId="14" xfId="1" applyFont="1" applyFill="1" applyBorder="1" applyAlignment="1" applyProtection="1">
      <alignment horizontal="center" vertical="center"/>
    </xf>
    <xf numFmtId="49" fontId="9" fillId="0" borderId="22" xfId="1" applyNumberFormat="1" applyFont="1" applyBorder="1" applyAlignment="1" applyProtection="1">
      <alignment horizontal="center" vertical="center"/>
    </xf>
    <xf numFmtId="166" fontId="2" fillId="0" borderId="23" xfId="1" applyNumberFormat="1" applyFont="1" applyFill="1" applyBorder="1" applyAlignment="1" applyProtection="1">
      <alignment horizontal="center" vertical="center"/>
      <protection locked="0"/>
    </xf>
    <xf numFmtId="49" fontId="9" fillId="0" borderId="24" xfId="1" applyNumberFormat="1" applyFont="1" applyBorder="1" applyAlignment="1" applyProtection="1">
      <alignment horizontal="center" vertical="center"/>
    </xf>
    <xf numFmtId="0" fontId="8" fillId="0" borderId="25" xfId="1" applyFont="1" applyBorder="1" applyAlignment="1" applyProtection="1">
      <alignment horizontal="center" vertical="center"/>
      <protection locked="0"/>
    </xf>
    <xf numFmtId="0" fontId="3" fillId="0" borderId="25" xfId="1" applyFont="1" applyBorder="1" applyAlignment="1" applyProtection="1">
      <alignment horizontal="center" vertical="center"/>
      <protection locked="0"/>
    </xf>
    <xf numFmtId="166" fontId="2" fillId="0" borderId="26" xfId="1" applyNumberFormat="1" applyFont="1" applyFill="1" applyBorder="1" applyAlignment="1" applyProtection="1">
      <alignment horizontal="center" vertical="center"/>
      <protection locked="0"/>
    </xf>
    <xf numFmtId="166" fontId="2" fillId="0" borderId="25" xfId="1" applyNumberFormat="1" applyFont="1" applyFill="1" applyBorder="1" applyAlignment="1" applyProtection="1">
      <alignment horizontal="center" vertical="center"/>
      <protection locked="0"/>
    </xf>
    <xf numFmtId="0" fontId="9" fillId="0" borderId="10" xfId="1" applyFont="1" applyBorder="1" applyAlignment="1" applyProtection="1">
      <alignment horizontal="center" vertical="center"/>
    </xf>
    <xf numFmtId="0" fontId="9" fillId="0" borderId="22" xfId="1" applyFont="1" applyBorder="1" applyAlignment="1" applyProtection="1">
      <alignment horizontal="center" vertical="center"/>
    </xf>
    <xf numFmtId="0" fontId="9" fillId="0" borderId="24" xfId="1" applyFont="1" applyBorder="1" applyAlignment="1" applyProtection="1">
      <alignment horizontal="center" vertical="center"/>
    </xf>
    <xf numFmtId="0" fontId="18" fillId="0" borderId="6" xfId="1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horizontal="center" vertical="center"/>
      <protection locked="0"/>
    </xf>
    <xf numFmtId="0" fontId="18" fillId="0" borderId="8" xfId="1" applyFont="1" applyBorder="1" applyAlignment="1" applyProtection="1">
      <alignment horizontal="center" vertical="center"/>
      <protection locked="0"/>
    </xf>
    <xf numFmtId="0" fontId="18" fillId="0" borderId="25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19" fillId="0" borderId="1" xfId="1" applyFont="1" applyBorder="1" applyAlignment="1" applyProtection="1">
      <alignment horizontal="center" vertical="center"/>
      <protection locked="0"/>
    </xf>
    <xf numFmtId="0" fontId="18" fillId="0" borderId="3" xfId="1" applyFont="1" applyBorder="1" applyAlignment="1" applyProtection="1">
      <alignment horizontal="center" vertic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19" fillId="0" borderId="3" xfId="1" applyFont="1" applyBorder="1" applyAlignment="1" applyProtection="1">
      <alignment horizontal="center" vertical="center"/>
      <protection locked="0"/>
    </xf>
    <xf numFmtId="166" fontId="17" fillId="8" borderId="8" xfId="1" applyNumberFormat="1" applyFont="1" applyFill="1" applyBorder="1" applyAlignment="1" applyProtection="1">
      <alignment horizontal="center" vertical="center"/>
    </xf>
    <xf numFmtId="166" fontId="17" fillId="9" borderId="23" xfId="1" applyNumberFormat="1" applyFont="1" applyFill="1" applyBorder="1" applyAlignment="1" applyProtection="1">
      <alignment horizontal="center" vertical="center"/>
    </xf>
    <xf numFmtId="166" fontId="15" fillId="6" borderId="23" xfId="1" applyNumberFormat="1" applyFont="1" applyFill="1" applyBorder="1" applyAlignment="1" applyProtection="1">
      <alignment horizontal="center" vertical="center"/>
    </xf>
    <xf numFmtId="166" fontId="2" fillId="2" borderId="23" xfId="1" applyNumberFormat="1" applyFont="1" applyFill="1" applyBorder="1" applyAlignment="1" applyProtection="1">
      <alignment horizontal="center" vertical="center"/>
    </xf>
    <xf numFmtId="9" fontId="2" fillId="0" borderId="23" xfId="1" applyNumberFormat="1" applyFont="1" applyFill="1" applyBorder="1" applyAlignment="1" applyProtection="1">
      <alignment horizontal="center" vertical="center"/>
    </xf>
    <xf numFmtId="167" fontId="15" fillId="7" borderId="6" xfId="2" applyNumberFormat="1" applyFont="1" applyFill="1" applyBorder="1" applyAlignment="1" applyProtection="1">
      <alignment horizontal="center" vertical="center"/>
      <protection locked="0"/>
    </xf>
    <xf numFmtId="167" fontId="15" fillId="7" borderId="1" xfId="2" applyNumberFormat="1" applyFont="1" applyFill="1" applyBorder="1" applyAlignment="1" applyProtection="1">
      <alignment horizontal="center" vertical="center"/>
      <protection locked="0"/>
    </xf>
    <xf numFmtId="167" fontId="15" fillId="7" borderId="8" xfId="2" applyNumberFormat="1" applyFont="1" applyFill="1" applyBorder="1" applyAlignment="1" applyProtection="1">
      <alignment horizontal="center" vertical="center"/>
      <protection locked="0"/>
    </xf>
    <xf numFmtId="167" fontId="15" fillId="7" borderId="25" xfId="2" applyNumberFormat="1" applyFont="1" applyFill="1" applyBorder="1" applyAlignment="1" applyProtection="1">
      <alignment horizontal="center" vertical="center"/>
      <protection locked="0"/>
    </xf>
    <xf numFmtId="167" fontId="15" fillId="7" borderId="3" xfId="2" applyNumberFormat="1" applyFont="1" applyFill="1" applyBorder="1" applyAlignment="1" applyProtection="1">
      <alignment horizontal="center" vertical="center"/>
      <protection locked="0"/>
    </xf>
    <xf numFmtId="166" fontId="17" fillId="8" borderId="1" xfId="1" applyNumberFormat="1" applyFont="1" applyFill="1" applyBorder="1" applyAlignment="1" applyProtection="1">
      <alignment horizontal="center" vertical="center"/>
    </xf>
    <xf numFmtId="166" fontId="17" fillId="9" borderId="1" xfId="1" applyNumberFormat="1" applyFont="1" applyFill="1" applyBorder="1" applyAlignment="1" applyProtection="1">
      <alignment horizontal="center" vertical="center"/>
    </xf>
    <xf numFmtId="166" fontId="15" fillId="6" borderId="1" xfId="1" applyNumberFormat="1" applyFont="1" applyFill="1" applyBorder="1" applyAlignment="1" applyProtection="1">
      <alignment horizontal="center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9" fontId="2" fillId="0" borderId="1" xfId="1" applyNumberFormat="1" applyFont="1" applyFill="1" applyBorder="1" applyAlignment="1" applyProtection="1">
      <alignment horizontal="center" vertical="center"/>
    </xf>
    <xf numFmtId="166" fontId="17" fillId="8" borderId="25" xfId="1" applyNumberFormat="1" applyFont="1" applyFill="1" applyBorder="1" applyAlignment="1" applyProtection="1">
      <alignment horizontal="center" vertical="center"/>
    </xf>
    <xf numFmtId="166" fontId="17" fillId="9" borderId="26" xfId="1" applyNumberFormat="1" applyFont="1" applyFill="1" applyBorder="1" applyAlignment="1" applyProtection="1">
      <alignment horizontal="center" vertical="center"/>
    </xf>
    <xf numFmtId="166" fontId="15" fillId="6" borderId="26" xfId="1" applyNumberFormat="1" applyFont="1" applyFill="1" applyBorder="1" applyAlignment="1" applyProtection="1">
      <alignment horizontal="center" vertical="center"/>
    </xf>
    <xf numFmtId="166" fontId="2" fillId="2" borderId="26" xfId="1" applyNumberFormat="1" applyFont="1" applyFill="1" applyBorder="1" applyAlignment="1" applyProtection="1">
      <alignment horizontal="center" vertical="center"/>
    </xf>
    <xf numFmtId="9" fontId="2" fillId="0" borderId="26" xfId="1" applyNumberFormat="1" applyFont="1" applyFill="1" applyBorder="1" applyAlignment="1" applyProtection="1">
      <alignment horizontal="center" vertical="center"/>
    </xf>
    <xf numFmtId="0" fontId="9" fillId="0" borderId="32" xfId="1" applyFont="1" applyBorder="1" applyAlignment="1" applyProtection="1">
      <alignment horizontal="center" vertical="center"/>
    </xf>
    <xf numFmtId="0" fontId="18" fillId="0" borderId="33" xfId="1" applyFont="1" applyBorder="1" applyAlignment="1" applyProtection="1">
      <alignment horizontal="center" vertical="center"/>
      <protection locked="0"/>
    </xf>
    <xf numFmtId="167" fontId="15" fillId="7" borderId="33" xfId="2" applyNumberFormat="1" applyFont="1" applyFill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0" fontId="3" fillId="0" borderId="33" xfId="1" applyFont="1" applyBorder="1" applyAlignment="1" applyProtection="1">
      <alignment horizontal="center" vertical="center"/>
      <protection locked="0"/>
    </xf>
    <xf numFmtId="166" fontId="17" fillId="8" borderId="33" xfId="1" applyNumberFormat="1" applyFont="1" applyFill="1" applyBorder="1" applyAlignment="1" applyProtection="1">
      <alignment horizontal="center" vertical="center"/>
    </xf>
    <xf numFmtId="166" fontId="17" fillId="9" borderId="34" xfId="1" applyNumberFormat="1" applyFont="1" applyFill="1" applyBorder="1" applyAlignment="1" applyProtection="1">
      <alignment horizontal="center" vertical="center"/>
    </xf>
    <xf numFmtId="166" fontId="15" fillId="6" borderId="34" xfId="1" applyNumberFormat="1" applyFont="1" applyFill="1" applyBorder="1" applyAlignment="1" applyProtection="1">
      <alignment horizontal="center" vertical="center"/>
    </xf>
    <xf numFmtId="166" fontId="2" fillId="2" borderId="34" xfId="1" applyNumberFormat="1" applyFont="1" applyFill="1" applyBorder="1" applyAlignment="1" applyProtection="1">
      <alignment horizontal="center" vertical="center"/>
    </xf>
    <xf numFmtId="9" fontId="2" fillId="0" borderId="34" xfId="1" applyNumberFormat="1" applyFont="1" applyFill="1" applyBorder="1" applyAlignment="1" applyProtection="1">
      <alignment horizontal="center" vertical="center"/>
    </xf>
    <xf numFmtId="166" fontId="2" fillId="0" borderId="33" xfId="1" applyNumberFormat="1" applyFont="1" applyFill="1" applyBorder="1" applyAlignment="1" applyProtection="1">
      <alignment horizontal="center" vertical="center"/>
      <protection locked="0"/>
    </xf>
    <xf numFmtId="166" fontId="17" fillId="9" borderId="2" xfId="1" applyNumberFormat="1" applyFont="1" applyFill="1" applyBorder="1" applyAlignment="1" applyProtection="1">
      <alignment horizontal="center" vertical="center"/>
    </xf>
    <xf numFmtId="166" fontId="15" fillId="6" borderId="2" xfId="1" applyNumberFormat="1" applyFont="1" applyFill="1" applyBorder="1" applyAlignment="1" applyProtection="1">
      <alignment horizontal="center" vertical="center"/>
    </xf>
    <xf numFmtId="166" fontId="2" fillId="2" borderId="2" xfId="1" applyNumberFormat="1" applyFont="1" applyFill="1" applyBorder="1" applyAlignment="1" applyProtection="1">
      <alignment horizontal="center" vertical="center"/>
    </xf>
    <xf numFmtId="9" fontId="2" fillId="0" borderId="2" xfId="1" applyNumberFormat="1" applyFont="1" applyFill="1" applyBorder="1" applyAlignment="1" applyProtection="1">
      <alignment horizontal="center" vertical="center"/>
    </xf>
    <xf numFmtId="168" fontId="2" fillId="0" borderId="0" xfId="1" applyNumberFormat="1" applyFont="1" applyFill="1" applyBorder="1" applyAlignment="1">
      <alignment vertical="center"/>
    </xf>
    <xf numFmtId="168" fontId="0" fillId="0" borderId="0" xfId="0" applyNumberFormat="1"/>
    <xf numFmtId="49" fontId="9" fillId="0" borderId="37" xfId="1" applyNumberFormat="1" applyFont="1" applyBorder="1" applyAlignment="1" applyProtection="1">
      <alignment horizontal="center" vertical="center"/>
    </xf>
    <xf numFmtId="169" fontId="2" fillId="0" borderId="5" xfId="1" applyNumberFormat="1" applyFont="1" applyBorder="1" applyAlignment="1" applyProtection="1">
      <alignment horizontal="center" vertical="center"/>
      <protection locked="0"/>
    </xf>
    <xf numFmtId="169" fontId="2" fillId="0" borderId="2" xfId="1" applyNumberFormat="1" applyFont="1" applyBorder="1" applyAlignment="1" applyProtection="1">
      <alignment horizontal="center" vertical="center"/>
      <protection locked="0"/>
    </xf>
    <xf numFmtId="169" fontId="2" fillId="0" borderId="23" xfId="1" applyNumberFormat="1" applyFont="1" applyBorder="1" applyAlignment="1" applyProtection="1">
      <alignment horizontal="center" vertical="center"/>
      <protection locked="0"/>
    </xf>
    <xf numFmtId="169" fontId="2" fillId="0" borderId="26" xfId="1" applyNumberFormat="1" applyFont="1" applyBorder="1" applyAlignment="1" applyProtection="1">
      <alignment horizontal="center" vertical="center"/>
      <protection locked="0"/>
    </xf>
    <xf numFmtId="169" fontId="2" fillId="0" borderId="4" xfId="1" applyNumberFormat="1" applyFont="1" applyBorder="1" applyAlignment="1" applyProtection="1">
      <alignment horizontal="center" vertical="center"/>
      <protection locked="0"/>
    </xf>
    <xf numFmtId="169" fontId="2" fillId="0" borderId="1" xfId="1" applyNumberFormat="1" applyFont="1" applyBorder="1" applyAlignment="1" applyProtection="1">
      <alignment horizontal="center" vertical="center"/>
      <protection locked="0"/>
    </xf>
    <xf numFmtId="169" fontId="2" fillId="0" borderId="8" xfId="1" applyNumberFormat="1" applyFont="1" applyBorder="1" applyAlignment="1" applyProtection="1">
      <alignment horizontal="center" vertical="center"/>
      <protection locked="0"/>
    </xf>
    <xf numFmtId="169" fontId="2" fillId="0" borderId="25" xfId="1" applyNumberFormat="1" applyFont="1" applyBorder="1" applyAlignment="1" applyProtection="1">
      <alignment horizontal="center" vertical="center"/>
      <protection locked="0"/>
    </xf>
    <xf numFmtId="169" fontId="2" fillId="0" borderId="33" xfId="1" applyNumberFormat="1" applyFont="1" applyBorder="1" applyAlignment="1" applyProtection="1">
      <alignment horizontal="center" vertical="center"/>
      <protection locked="0"/>
    </xf>
    <xf numFmtId="169" fontId="2" fillId="0" borderId="0" xfId="1" applyNumberFormat="1" applyFont="1" applyBorder="1" applyAlignment="1">
      <alignment horizontal="right" vertical="center"/>
    </xf>
    <xf numFmtId="169" fontId="2" fillId="0" borderId="29" xfId="1" applyNumberFormat="1" applyFont="1" applyBorder="1" applyAlignment="1" applyProtection="1">
      <alignment horizontal="center" vertical="center"/>
    </xf>
    <xf numFmtId="169" fontId="2" fillId="0" borderId="12" xfId="1" applyNumberFormat="1" applyFont="1" applyBorder="1" applyAlignment="1" applyProtection="1">
      <alignment horizontal="center" vertical="center"/>
    </xf>
    <xf numFmtId="169" fontId="2" fillId="0" borderId="30" xfId="1" applyNumberFormat="1" applyFont="1" applyBorder="1" applyAlignment="1" applyProtection="1">
      <alignment horizontal="center" vertical="center"/>
    </xf>
    <xf numFmtId="169" fontId="2" fillId="0" borderId="28" xfId="1" applyNumberFormat="1" applyFont="1" applyBorder="1" applyAlignment="1" applyProtection="1">
      <alignment horizontal="center" vertical="center"/>
    </xf>
    <xf numFmtId="169" fontId="2" fillId="0" borderId="35" xfId="1" applyNumberFormat="1" applyFont="1" applyBorder="1" applyAlignment="1" applyProtection="1">
      <alignment horizontal="center" vertical="center"/>
    </xf>
    <xf numFmtId="169" fontId="0" fillId="0" borderId="0" xfId="0" applyNumberFormat="1"/>
    <xf numFmtId="169" fontId="0" fillId="0" borderId="7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169" fontId="24" fillId="10" borderId="27" xfId="0" applyNumberFormat="1" applyFont="1" applyFill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9" fontId="24" fillId="10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6" fontId="2" fillId="0" borderId="5" xfId="1" applyNumberFormat="1" applyFont="1" applyFill="1" applyBorder="1" applyAlignment="1" applyProtection="1">
      <alignment horizontal="center" vertical="center"/>
    </xf>
    <xf numFmtId="169" fontId="2" fillId="0" borderId="5" xfId="1" applyNumberFormat="1" applyFont="1" applyFill="1" applyBorder="1" applyAlignment="1" applyProtection="1">
      <alignment horizontal="center" vertical="center"/>
    </xf>
    <xf numFmtId="0" fontId="21" fillId="5" borderId="9" xfId="1" applyFont="1" applyFill="1" applyBorder="1" applyAlignment="1" applyProtection="1">
      <alignment horizontal="center" vertical="center"/>
      <protection locked="0"/>
    </xf>
    <xf numFmtId="0" fontId="10" fillId="5" borderId="9" xfId="1" applyFont="1" applyFill="1" applyBorder="1" applyAlignment="1" applyProtection="1">
      <alignment horizontal="center" vertical="center"/>
    </xf>
    <xf numFmtId="0" fontId="11" fillId="6" borderId="13" xfId="1" applyFont="1" applyFill="1" applyBorder="1" applyAlignment="1" applyProtection="1">
      <alignment horizontal="center" vertical="center"/>
    </xf>
    <xf numFmtId="0" fontId="11" fillId="6" borderId="7" xfId="1" applyFont="1" applyFill="1" applyBorder="1" applyAlignment="1" applyProtection="1">
      <alignment horizontal="center" vertical="center"/>
    </xf>
    <xf numFmtId="0" fontId="11" fillId="6" borderId="14" xfId="1" applyFont="1" applyFill="1" applyBorder="1" applyAlignment="1" applyProtection="1">
      <alignment horizontal="center" vertical="center"/>
    </xf>
    <xf numFmtId="0" fontId="13" fillId="5" borderId="9" xfId="1" applyFont="1" applyFill="1" applyBorder="1" applyAlignment="1" applyProtection="1">
      <alignment horizontal="center" vertical="center"/>
    </xf>
    <xf numFmtId="0" fontId="11" fillId="6" borderId="9" xfId="1" applyFont="1" applyFill="1" applyBorder="1" applyAlignment="1" applyProtection="1">
      <alignment horizontal="center" vertical="center"/>
    </xf>
    <xf numFmtId="0" fontId="13" fillId="5" borderId="21" xfId="1" applyFont="1" applyFill="1" applyBorder="1" applyAlignment="1" applyProtection="1">
      <alignment horizontal="center" vertical="center"/>
    </xf>
    <xf numFmtId="0" fontId="12" fillId="6" borderId="19" xfId="1" applyFont="1" applyFill="1" applyBorder="1" applyAlignment="1" applyProtection="1">
      <alignment horizontal="center" vertical="center" wrapText="1"/>
    </xf>
    <xf numFmtId="0" fontId="12" fillId="6" borderId="15" xfId="1" applyFont="1" applyFill="1" applyBorder="1" applyAlignment="1" applyProtection="1">
      <alignment horizontal="center" vertical="center" wrapText="1"/>
    </xf>
    <xf numFmtId="0" fontId="12" fillId="6" borderId="17" xfId="1" applyFont="1" applyFill="1" applyBorder="1" applyAlignment="1" applyProtection="1">
      <alignment horizontal="center" vertical="center" wrapText="1"/>
    </xf>
    <xf numFmtId="0" fontId="12" fillId="6" borderId="20" xfId="1" applyFont="1" applyFill="1" applyBorder="1" applyAlignment="1" applyProtection="1">
      <alignment horizontal="center" vertical="center" wrapText="1"/>
    </xf>
    <xf numFmtId="0" fontId="12" fillId="6" borderId="16" xfId="1" applyFont="1" applyFill="1" applyBorder="1" applyAlignment="1" applyProtection="1">
      <alignment horizontal="center" vertical="center" wrapText="1"/>
    </xf>
    <xf numFmtId="0" fontId="12" fillId="6" borderId="18" xfId="1" applyFont="1" applyFill="1" applyBorder="1" applyAlignment="1" applyProtection="1">
      <alignment horizontal="center" vertical="center" wrapText="1"/>
    </xf>
    <xf numFmtId="164" fontId="11" fillId="6" borderId="9" xfId="1" applyNumberFormat="1" applyFont="1" applyFill="1" applyBorder="1" applyAlignment="1" applyProtection="1">
      <alignment horizontal="center" vertical="center"/>
    </xf>
    <xf numFmtId="164" fontId="13" fillId="5" borderId="9" xfId="1" applyNumberFormat="1" applyFont="1" applyFill="1" applyBorder="1" applyAlignment="1" applyProtection="1">
      <alignment horizontal="center" vertical="center"/>
    </xf>
    <xf numFmtId="44" fontId="13" fillId="5" borderId="9" xfId="1" applyNumberFormat="1" applyFont="1" applyFill="1" applyBorder="1" applyAlignment="1" applyProtection="1">
      <alignment horizontal="center" vertical="center"/>
    </xf>
    <xf numFmtId="0" fontId="5" fillId="3" borderId="9" xfId="1" applyFont="1" applyFill="1" applyBorder="1" applyAlignment="1" applyProtection="1">
      <alignment horizontal="center" vertical="center" wrapText="1"/>
    </xf>
    <xf numFmtId="0" fontId="4" fillId="3" borderId="9" xfId="1" applyFont="1" applyFill="1" applyBorder="1" applyAlignment="1" applyProtection="1">
      <alignment horizontal="center" vertical="center" wrapText="1"/>
    </xf>
    <xf numFmtId="0" fontId="22" fillId="6" borderId="9" xfId="1" applyFont="1" applyFill="1" applyBorder="1" applyAlignment="1" applyProtection="1">
      <alignment horizontal="center" vertical="center" wrapText="1"/>
    </xf>
    <xf numFmtId="0" fontId="22" fillId="6" borderId="9" xfId="1" applyFont="1" applyFill="1" applyBorder="1" applyAlignment="1" applyProtection="1">
      <alignment horizontal="center" vertical="center"/>
    </xf>
    <xf numFmtId="0" fontId="20" fillId="5" borderId="7" xfId="1" applyFont="1" applyFill="1" applyBorder="1" applyAlignment="1" applyProtection="1">
      <alignment horizontal="center" vertical="center"/>
      <protection locked="0"/>
    </xf>
    <xf numFmtId="0" fontId="20" fillId="5" borderId="14" xfId="1" applyFont="1" applyFill="1" applyBorder="1" applyAlignment="1" applyProtection="1">
      <alignment horizontal="center" vertical="center"/>
      <protection locked="0"/>
    </xf>
    <xf numFmtId="0" fontId="12" fillId="6" borderId="13" xfId="1" applyFont="1" applyFill="1" applyBorder="1" applyAlignment="1" applyProtection="1">
      <alignment horizontal="center" vertical="center"/>
    </xf>
    <xf numFmtId="0" fontId="12" fillId="6" borderId="7" xfId="1" applyFont="1" applyFill="1" applyBorder="1" applyAlignment="1" applyProtection="1">
      <alignment horizontal="center" vertical="center"/>
    </xf>
    <xf numFmtId="0" fontId="12" fillId="6" borderId="14" xfId="1" applyFont="1" applyFill="1" applyBorder="1" applyAlignment="1" applyProtection="1">
      <alignment horizontal="center" vertical="center"/>
    </xf>
    <xf numFmtId="0" fontId="16" fillId="8" borderId="21" xfId="1" applyFont="1" applyFill="1" applyBorder="1" applyAlignment="1" applyProtection="1">
      <alignment horizontal="center" vertical="center" wrapText="1"/>
    </xf>
    <xf numFmtId="0" fontId="16" fillId="8" borderId="31" xfId="1" applyFont="1" applyFill="1" applyBorder="1" applyAlignment="1" applyProtection="1">
      <alignment horizontal="center" vertical="center"/>
    </xf>
    <xf numFmtId="0" fontId="16" fillId="9" borderId="21" xfId="1" applyFont="1" applyFill="1" applyBorder="1" applyAlignment="1" applyProtection="1">
      <alignment horizontal="center" vertical="center" wrapText="1"/>
    </xf>
    <xf numFmtId="0" fontId="16" fillId="9" borderId="31" xfId="1" applyFont="1" applyFill="1" applyBorder="1" applyAlignment="1" applyProtection="1">
      <alignment horizontal="center" vertical="center"/>
    </xf>
    <xf numFmtId="0" fontId="5" fillId="3" borderId="21" xfId="1" applyFont="1" applyFill="1" applyBorder="1" applyAlignment="1" applyProtection="1">
      <alignment horizontal="center" vertical="center" wrapText="1"/>
    </xf>
    <xf numFmtId="0" fontId="5" fillId="3" borderId="31" xfId="1" applyFont="1" applyFill="1" applyBorder="1" applyAlignment="1" applyProtection="1">
      <alignment horizontal="center" vertical="center" wrapText="1"/>
    </xf>
    <xf numFmtId="168" fontId="5" fillId="3" borderId="21" xfId="1" applyNumberFormat="1" applyFont="1" applyFill="1" applyBorder="1" applyAlignment="1" applyProtection="1">
      <alignment horizontal="center" vertical="center" wrapText="1"/>
    </xf>
    <xf numFmtId="168" fontId="5" fillId="3" borderId="31" xfId="1" applyNumberFormat="1" applyFont="1" applyFill="1" applyBorder="1" applyAlignment="1" applyProtection="1">
      <alignment horizontal="center" vertical="center" wrapText="1"/>
    </xf>
    <xf numFmtId="169" fontId="5" fillId="3" borderId="9" xfId="1" applyNumberFormat="1" applyFont="1" applyFill="1" applyBorder="1" applyAlignment="1" applyProtection="1">
      <alignment horizontal="center" vertical="center" wrapText="1"/>
    </xf>
    <xf numFmtId="0" fontId="5" fillId="2" borderId="9" xfId="1" applyFont="1" applyFill="1" applyBorder="1" applyAlignment="1" applyProtection="1">
      <alignment horizontal="center" vertical="center"/>
    </xf>
    <xf numFmtId="0" fontId="14" fillId="6" borderId="21" xfId="1" applyFont="1" applyFill="1" applyBorder="1" applyAlignment="1" applyProtection="1">
      <alignment horizontal="center" vertical="center"/>
    </xf>
    <xf numFmtId="0" fontId="14" fillId="6" borderId="31" xfId="1" applyFont="1" applyFill="1" applyBorder="1" applyAlignment="1" applyProtection="1">
      <alignment horizontal="center" vertical="center"/>
    </xf>
    <xf numFmtId="0" fontId="27" fillId="6" borderId="21" xfId="3" applyFont="1" applyFill="1" applyBorder="1" applyAlignment="1" applyProtection="1">
      <alignment horizontal="center" vertical="center"/>
    </xf>
    <xf numFmtId="0" fontId="27" fillId="6" borderId="31" xfId="3" applyFont="1" applyFill="1" applyBorder="1" applyAlignment="1" applyProtection="1">
      <alignment horizontal="center" vertical="center"/>
    </xf>
    <xf numFmtId="0" fontId="30" fillId="7" borderId="21" xfId="1" applyFont="1" applyFill="1" applyBorder="1" applyAlignment="1" applyProtection="1">
      <alignment horizontal="center" vertical="center" wrapText="1"/>
    </xf>
    <xf numFmtId="0" fontId="30" fillId="7" borderId="31" xfId="1" applyFont="1" applyFill="1" applyBorder="1" applyAlignment="1" applyProtection="1">
      <alignment horizontal="center" vertical="center" wrapText="1"/>
    </xf>
    <xf numFmtId="0" fontId="11" fillId="6" borderId="19" xfId="1" applyFont="1" applyFill="1" applyBorder="1" applyAlignment="1" applyProtection="1">
      <alignment horizontal="center" vertical="center"/>
    </xf>
    <xf numFmtId="0" fontId="14" fillId="6" borderId="15" xfId="1" applyFont="1" applyFill="1" applyBorder="1" applyAlignment="1" applyProtection="1">
      <alignment horizontal="center" vertical="center"/>
    </xf>
    <xf numFmtId="0" fontId="14" fillId="6" borderId="36" xfId="1" applyFont="1" applyFill="1" applyBorder="1" applyAlignment="1" applyProtection="1">
      <alignment horizontal="center" vertical="center"/>
    </xf>
  </cellXfs>
  <cellStyles count="4">
    <cellStyle name="Hiperlink" xfId="3" builtinId="8"/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aepi.mte.gov.br/internet/ConsultaCAInternet.asp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3"/>
  <sheetViews>
    <sheetView tabSelected="1" view="pageBreakPreview" topLeftCell="A2" zoomScale="123" zoomScaleNormal="123" zoomScaleSheetLayoutView="123" workbookViewId="0">
      <pane xSplit="2" ySplit="8" topLeftCell="C10" activePane="bottomRight" state="frozen"/>
      <selection activeCell="A2" sqref="A2"/>
      <selection pane="topRight" activeCell="C2" sqref="C2"/>
      <selection pane="bottomLeft" activeCell="A10" sqref="A10"/>
      <selection pane="bottomRight" activeCell="C13" sqref="C13"/>
    </sheetView>
  </sheetViews>
  <sheetFormatPr defaultRowHeight="15" x14ac:dyDescent="0.25"/>
  <cols>
    <col min="1" max="1" width="4" customWidth="1"/>
    <col min="2" max="2" width="54" customWidth="1"/>
    <col min="3" max="3" width="7.140625" bestFit="1" customWidth="1"/>
    <col min="4" max="4" width="9.5703125" customWidth="1"/>
    <col min="5" max="6" width="5.140625" bestFit="1" customWidth="1"/>
    <col min="7" max="7" width="5.28515625" customWidth="1"/>
    <col min="8" max="8" width="5.140625" customWidth="1"/>
    <col min="9" max="12" width="5.28515625" customWidth="1"/>
    <col min="13" max="13" width="8" customWidth="1"/>
    <col min="14" max="14" width="7.140625" customWidth="1"/>
    <col min="15" max="15" width="8.7109375" customWidth="1"/>
    <col min="16" max="16" width="10.28515625" customWidth="1"/>
    <col min="17" max="17" width="9.140625" customWidth="1"/>
    <col min="18" max="19" width="8.85546875" customWidth="1"/>
    <col min="20" max="20" width="13.140625" style="84" customWidth="1"/>
    <col min="21" max="21" width="13.28515625" customWidth="1"/>
    <col min="22" max="22" width="12.140625" style="101" customWidth="1"/>
    <col min="23" max="23" width="17.5703125" style="103" hidden="1" customWidth="1"/>
    <col min="24" max="24" width="17" style="103" hidden="1" customWidth="1"/>
  </cols>
  <sheetData>
    <row r="1" spans="1:24" ht="13.5" hidden="1" customHeight="1" thickTop="1" thickBot="1" x14ac:dyDescent="0.3">
      <c r="A1" s="1"/>
      <c r="B1" s="10"/>
      <c r="C1" s="1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  <c r="P1" s="5"/>
      <c r="Q1" s="5"/>
      <c r="R1" s="5"/>
      <c r="S1" s="5"/>
      <c r="T1" s="83"/>
      <c r="U1" s="16"/>
      <c r="V1" s="95"/>
      <c r="W1" s="102"/>
      <c r="X1" s="102"/>
    </row>
    <row r="2" spans="1:24" ht="26.25" thickTop="1" thickBot="1" x14ac:dyDescent="0.3">
      <c r="A2" s="111" t="s">
        <v>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 spans="1:24" ht="17.25" thickTop="1" thickBot="1" x14ac:dyDescent="0.3">
      <c r="A3" s="112" t="s">
        <v>1</v>
      </c>
      <c r="B3" s="113"/>
      <c r="C3" s="113"/>
      <c r="D3" s="114"/>
      <c r="E3" s="124">
        <f>E6-E4+E5</f>
        <v>0</v>
      </c>
      <c r="F3" s="124"/>
      <c r="G3" s="124"/>
      <c r="H3" s="124"/>
      <c r="I3" s="124"/>
      <c r="J3" s="124"/>
      <c r="K3" s="124"/>
      <c r="L3" s="124"/>
      <c r="M3" s="118" t="s">
        <v>87</v>
      </c>
      <c r="N3" s="119"/>
      <c r="O3" s="120"/>
      <c r="P3" s="110"/>
      <c r="Q3" s="110"/>
      <c r="R3" s="110"/>
      <c r="S3" s="110"/>
      <c r="T3" s="110"/>
      <c r="U3" s="110"/>
      <c r="V3" s="110"/>
    </row>
    <row r="4" spans="1:24" ht="17.25" thickTop="1" thickBot="1" x14ac:dyDescent="0.3">
      <c r="A4" s="115" t="s">
        <v>2</v>
      </c>
      <c r="B4" s="115"/>
      <c r="C4" s="115"/>
      <c r="D4" s="115"/>
      <c r="E4" s="125">
        <f>W113</f>
        <v>0</v>
      </c>
      <c r="F4" s="125"/>
      <c r="G4" s="125"/>
      <c r="H4" s="125"/>
      <c r="I4" s="125"/>
      <c r="J4" s="125"/>
      <c r="K4" s="125"/>
      <c r="L4" s="125"/>
      <c r="M4" s="121"/>
      <c r="N4" s="122"/>
      <c r="O4" s="123"/>
      <c r="P4" s="110"/>
      <c r="Q4" s="110"/>
      <c r="R4" s="110"/>
      <c r="S4" s="110"/>
      <c r="T4" s="110"/>
      <c r="U4" s="110"/>
      <c r="V4" s="110"/>
    </row>
    <row r="5" spans="1:24" ht="17.25" thickTop="1" thickBot="1" x14ac:dyDescent="0.3">
      <c r="A5" s="116" t="s">
        <v>3</v>
      </c>
      <c r="B5" s="116"/>
      <c r="C5" s="116"/>
      <c r="D5" s="116"/>
      <c r="E5" s="124">
        <f>X113</f>
        <v>0</v>
      </c>
      <c r="F5" s="124"/>
      <c r="G5" s="124"/>
      <c r="H5" s="124"/>
      <c r="I5" s="124"/>
      <c r="J5" s="124"/>
      <c r="K5" s="124"/>
      <c r="L5" s="124"/>
      <c r="M5" s="118" t="s">
        <v>88</v>
      </c>
      <c r="N5" s="119"/>
      <c r="O5" s="120"/>
      <c r="P5" s="110"/>
      <c r="Q5" s="110"/>
      <c r="R5" s="110"/>
      <c r="S5" s="110"/>
      <c r="T5" s="110"/>
      <c r="U5" s="110"/>
      <c r="V5" s="110"/>
    </row>
    <row r="6" spans="1:24" ht="17.25" thickTop="1" thickBot="1" x14ac:dyDescent="0.3">
      <c r="A6" s="115" t="s">
        <v>4</v>
      </c>
      <c r="B6" s="115"/>
      <c r="C6" s="115"/>
      <c r="D6" s="117"/>
      <c r="E6" s="126">
        <f>SUM(V10:V100)</f>
        <v>0</v>
      </c>
      <c r="F6" s="126"/>
      <c r="G6" s="126"/>
      <c r="H6" s="126"/>
      <c r="I6" s="126"/>
      <c r="J6" s="126"/>
      <c r="K6" s="126"/>
      <c r="L6" s="126"/>
      <c r="M6" s="121"/>
      <c r="N6" s="122"/>
      <c r="O6" s="123"/>
      <c r="P6" s="110"/>
      <c r="Q6" s="110"/>
      <c r="R6" s="110"/>
      <c r="S6" s="110"/>
      <c r="T6" s="110"/>
      <c r="U6" s="110"/>
      <c r="V6" s="110"/>
    </row>
    <row r="7" spans="1:24" ht="17.25" customHeight="1" thickTop="1" thickBot="1" x14ac:dyDescent="0.3">
      <c r="A7" s="152" t="s">
        <v>85</v>
      </c>
      <c r="B7" s="153"/>
      <c r="C7" s="153"/>
      <c r="D7" s="154"/>
      <c r="E7" s="126">
        <f>SUM(T10:T112)</f>
        <v>0</v>
      </c>
      <c r="F7" s="126"/>
      <c r="G7" s="126"/>
      <c r="H7" s="126"/>
      <c r="I7" s="126"/>
      <c r="J7" s="126"/>
      <c r="K7" s="126"/>
      <c r="L7" s="126"/>
      <c r="M7" s="133" t="s">
        <v>11</v>
      </c>
      <c r="N7" s="134"/>
      <c r="O7" s="135"/>
      <c r="P7" s="131"/>
      <c r="Q7" s="131"/>
      <c r="R7" s="131"/>
      <c r="S7" s="131"/>
      <c r="T7" s="131"/>
      <c r="U7" s="131"/>
      <c r="V7" s="132"/>
    </row>
    <row r="8" spans="1:24" ht="16.5" customHeight="1" thickTop="1" thickBot="1" x14ac:dyDescent="0.3">
      <c r="A8" s="146" t="s">
        <v>5</v>
      </c>
      <c r="B8" s="146"/>
      <c r="C8" s="148" t="s">
        <v>6</v>
      </c>
      <c r="D8" s="150" t="s">
        <v>80</v>
      </c>
      <c r="E8" s="145" t="s">
        <v>7</v>
      </c>
      <c r="F8" s="145"/>
      <c r="G8" s="145" t="s">
        <v>8</v>
      </c>
      <c r="H8" s="145"/>
      <c r="I8" s="145" t="s">
        <v>9</v>
      </c>
      <c r="J8" s="145"/>
      <c r="K8" s="145" t="s">
        <v>10</v>
      </c>
      <c r="L8" s="145"/>
      <c r="M8" s="136" t="s">
        <v>81</v>
      </c>
      <c r="N8" s="138" t="s">
        <v>82</v>
      </c>
      <c r="O8" s="129" t="s">
        <v>76</v>
      </c>
      <c r="P8" s="127" t="s">
        <v>12</v>
      </c>
      <c r="Q8" s="128" t="s">
        <v>13</v>
      </c>
      <c r="R8" s="127" t="s">
        <v>14</v>
      </c>
      <c r="S8" s="140" t="s">
        <v>83</v>
      </c>
      <c r="T8" s="142" t="s">
        <v>84</v>
      </c>
      <c r="U8" s="144" t="s">
        <v>15</v>
      </c>
      <c r="V8" s="144" t="s">
        <v>86</v>
      </c>
      <c r="W8" s="104" t="s">
        <v>77</v>
      </c>
      <c r="X8" s="106" t="s">
        <v>79</v>
      </c>
    </row>
    <row r="9" spans="1:24" ht="16.5" customHeight="1" thickTop="1" thickBot="1" x14ac:dyDescent="0.3">
      <c r="A9" s="147"/>
      <c r="B9" s="147"/>
      <c r="C9" s="149"/>
      <c r="D9" s="151"/>
      <c r="E9" s="28" t="s">
        <v>16</v>
      </c>
      <c r="F9" s="18" t="s">
        <v>17</v>
      </c>
      <c r="G9" s="17" t="s">
        <v>16</v>
      </c>
      <c r="H9" s="18" t="s">
        <v>17</v>
      </c>
      <c r="I9" s="17" t="s">
        <v>16</v>
      </c>
      <c r="J9" s="18" t="s">
        <v>17</v>
      </c>
      <c r="K9" s="17" t="s">
        <v>16</v>
      </c>
      <c r="L9" s="18" t="s">
        <v>17</v>
      </c>
      <c r="M9" s="137"/>
      <c r="N9" s="139"/>
      <c r="O9" s="130"/>
      <c r="P9" s="127"/>
      <c r="Q9" s="128"/>
      <c r="R9" s="127"/>
      <c r="S9" s="141"/>
      <c r="T9" s="143"/>
      <c r="U9" s="144"/>
      <c r="V9" s="144"/>
      <c r="W9" s="104" t="s">
        <v>78</v>
      </c>
      <c r="X9" s="106" t="s">
        <v>78</v>
      </c>
    </row>
    <row r="10" spans="1:24" ht="20.25" customHeight="1" thickTop="1" x14ac:dyDescent="0.25">
      <c r="A10" s="85" t="s">
        <v>18</v>
      </c>
      <c r="B10" s="39"/>
      <c r="C10" s="39"/>
      <c r="D10" s="53">
        <v>0</v>
      </c>
      <c r="E10" s="14">
        <v>0</v>
      </c>
      <c r="F10" s="15">
        <v>0</v>
      </c>
      <c r="G10" s="14">
        <v>0</v>
      </c>
      <c r="H10" s="15">
        <v>0</v>
      </c>
      <c r="I10" s="14">
        <v>0</v>
      </c>
      <c r="J10" s="15">
        <v>0</v>
      </c>
      <c r="K10" s="14">
        <v>0</v>
      </c>
      <c r="L10" s="15">
        <v>0</v>
      </c>
      <c r="M10" s="22">
        <f>IF(D10="","",E10+G10+I10+K10)</f>
        <v>0</v>
      </c>
      <c r="N10" s="23">
        <f t="shared" ref="N10:N41" si="0">IF(D10="","",F10+H10+J10+L10)</f>
        <v>0</v>
      </c>
      <c r="O10" s="24">
        <f t="shared" ref="O10:O41" si="1">IF(M10="","",IF(N10="","",D10+M10-N10))</f>
        <v>0</v>
      </c>
      <c r="P10" s="25" t="str">
        <f t="shared" ref="P10:P41" si="2">IF(O10="","",IF(O10&lt;R10,"COMPRAR",IF(O10&gt;R10,"ACIMA","IDEAL")))</f>
        <v>IDEAL</v>
      </c>
      <c r="Q10" s="26" t="e">
        <f t="shared" ref="Q10:Q41" si="3">IF(O10="","",O10/R10-100%)</f>
        <v>#DIV/0!</v>
      </c>
      <c r="R10" s="11">
        <v>0</v>
      </c>
      <c r="S10" s="108">
        <f>R10-O10</f>
        <v>0</v>
      </c>
      <c r="T10" s="109">
        <f>S10*U10</f>
        <v>0</v>
      </c>
      <c r="U10" s="86">
        <v>0</v>
      </c>
      <c r="V10" s="96">
        <f t="shared" ref="V10:V41" si="4">IF(U10="","",U10*O10)</f>
        <v>0</v>
      </c>
      <c r="W10" s="105">
        <f t="shared" ref="W10:W41" si="5">U10*M10</f>
        <v>0</v>
      </c>
      <c r="X10" s="107">
        <f t="shared" ref="X10:X41" si="6">U10*N10</f>
        <v>0</v>
      </c>
    </row>
    <row r="11" spans="1:24" ht="20.25" customHeight="1" x14ac:dyDescent="0.25">
      <c r="A11" s="19" t="s">
        <v>19</v>
      </c>
      <c r="B11" s="40"/>
      <c r="C11" s="40"/>
      <c r="D11" s="54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2">
        <f t="shared" ref="M11:M41" si="7">IF(D11="","",E11+G11+I11+K11)</f>
        <v>0</v>
      </c>
      <c r="N11" s="23">
        <f t="shared" si="0"/>
        <v>0</v>
      </c>
      <c r="O11" s="24">
        <f t="shared" si="1"/>
        <v>0</v>
      </c>
      <c r="P11" s="25" t="str">
        <f t="shared" si="2"/>
        <v>IDEAL</v>
      </c>
      <c r="Q11" s="26" t="e">
        <f t="shared" si="3"/>
        <v>#DIV/0!</v>
      </c>
      <c r="R11" s="4">
        <v>0</v>
      </c>
      <c r="S11" s="108">
        <v>0</v>
      </c>
      <c r="T11" s="109">
        <f t="shared" ref="T11:T74" si="8">S11*U11</f>
        <v>0</v>
      </c>
      <c r="U11" s="87">
        <v>0</v>
      </c>
      <c r="V11" s="97">
        <f t="shared" si="4"/>
        <v>0</v>
      </c>
      <c r="W11" s="105">
        <f t="shared" si="5"/>
        <v>0</v>
      </c>
      <c r="X11" s="107">
        <f t="shared" si="6"/>
        <v>0</v>
      </c>
    </row>
    <row r="12" spans="1:24" ht="20.25" customHeight="1" x14ac:dyDescent="0.25">
      <c r="A12" s="19" t="s">
        <v>20</v>
      </c>
      <c r="B12" s="40"/>
      <c r="C12" s="40"/>
      <c r="D12" s="54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  <c r="J12" s="3">
        <v>0</v>
      </c>
      <c r="K12" s="2">
        <v>0</v>
      </c>
      <c r="L12" s="3">
        <v>0</v>
      </c>
      <c r="M12" s="22">
        <f t="shared" si="7"/>
        <v>0</v>
      </c>
      <c r="N12" s="23">
        <f t="shared" si="0"/>
        <v>0</v>
      </c>
      <c r="O12" s="24">
        <f t="shared" si="1"/>
        <v>0</v>
      </c>
      <c r="P12" s="25" t="str">
        <f t="shared" si="2"/>
        <v>IDEAL</v>
      </c>
      <c r="Q12" s="26" t="e">
        <f t="shared" si="3"/>
        <v>#DIV/0!</v>
      </c>
      <c r="R12" s="4">
        <v>0</v>
      </c>
      <c r="S12" s="108">
        <v>0</v>
      </c>
      <c r="T12" s="109">
        <f t="shared" si="8"/>
        <v>0</v>
      </c>
      <c r="U12" s="87">
        <v>0</v>
      </c>
      <c r="V12" s="97">
        <f t="shared" si="4"/>
        <v>0</v>
      </c>
      <c r="W12" s="105">
        <f t="shared" si="5"/>
        <v>0</v>
      </c>
      <c r="X12" s="107">
        <f t="shared" si="6"/>
        <v>0</v>
      </c>
    </row>
    <row r="13" spans="1:24" ht="20.25" customHeight="1" x14ac:dyDescent="0.25">
      <c r="A13" s="19" t="s">
        <v>21</v>
      </c>
      <c r="B13" s="40"/>
      <c r="C13" s="40"/>
      <c r="D13" s="54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22">
        <f t="shared" si="7"/>
        <v>0</v>
      </c>
      <c r="N13" s="23">
        <f t="shared" si="0"/>
        <v>0</v>
      </c>
      <c r="O13" s="24">
        <f t="shared" si="1"/>
        <v>0</v>
      </c>
      <c r="P13" s="25" t="str">
        <f t="shared" si="2"/>
        <v>IDEAL</v>
      </c>
      <c r="Q13" s="26" t="e">
        <f t="shared" si="3"/>
        <v>#DIV/0!</v>
      </c>
      <c r="R13" s="4">
        <v>0</v>
      </c>
      <c r="S13" s="108">
        <v>0</v>
      </c>
      <c r="T13" s="109">
        <f t="shared" si="8"/>
        <v>0</v>
      </c>
      <c r="U13" s="87">
        <v>0</v>
      </c>
      <c r="V13" s="97">
        <f t="shared" si="4"/>
        <v>0</v>
      </c>
      <c r="W13" s="105">
        <f t="shared" si="5"/>
        <v>0</v>
      </c>
      <c r="X13" s="107">
        <f t="shared" si="6"/>
        <v>0</v>
      </c>
    </row>
    <row r="14" spans="1:24" ht="20.25" customHeight="1" x14ac:dyDescent="0.25">
      <c r="A14" s="19" t="s">
        <v>22</v>
      </c>
      <c r="B14" s="40"/>
      <c r="C14" s="40"/>
      <c r="D14" s="54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22">
        <f t="shared" si="7"/>
        <v>0</v>
      </c>
      <c r="N14" s="23">
        <f t="shared" si="0"/>
        <v>0</v>
      </c>
      <c r="O14" s="24">
        <f t="shared" si="1"/>
        <v>0</v>
      </c>
      <c r="P14" s="25" t="str">
        <f t="shared" si="2"/>
        <v>IDEAL</v>
      </c>
      <c r="Q14" s="26" t="e">
        <f t="shared" si="3"/>
        <v>#DIV/0!</v>
      </c>
      <c r="R14" s="4">
        <v>0</v>
      </c>
      <c r="S14" s="108">
        <v>0</v>
      </c>
      <c r="T14" s="109">
        <f t="shared" si="8"/>
        <v>0</v>
      </c>
      <c r="U14" s="87">
        <v>0</v>
      </c>
      <c r="V14" s="97">
        <f t="shared" si="4"/>
        <v>0</v>
      </c>
      <c r="W14" s="105">
        <f t="shared" si="5"/>
        <v>0</v>
      </c>
      <c r="X14" s="107">
        <f t="shared" si="6"/>
        <v>0</v>
      </c>
    </row>
    <row r="15" spans="1:24" ht="20.25" customHeight="1" x14ac:dyDescent="0.25">
      <c r="A15" s="19" t="s">
        <v>23</v>
      </c>
      <c r="B15" s="40"/>
      <c r="C15" s="40"/>
      <c r="D15" s="54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</v>
      </c>
      <c r="M15" s="22">
        <f t="shared" si="7"/>
        <v>0</v>
      </c>
      <c r="N15" s="23">
        <f t="shared" si="0"/>
        <v>0</v>
      </c>
      <c r="O15" s="24">
        <f t="shared" si="1"/>
        <v>0</v>
      </c>
      <c r="P15" s="25" t="str">
        <f t="shared" si="2"/>
        <v>IDEAL</v>
      </c>
      <c r="Q15" s="26" t="e">
        <f t="shared" si="3"/>
        <v>#DIV/0!</v>
      </c>
      <c r="R15" s="4">
        <v>0</v>
      </c>
      <c r="S15" s="108">
        <v>0</v>
      </c>
      <c r="T15" s="109">
        <f t="shared" si="8"/>
        <v>0</v>
      </c>
      <c r="U15" s="87">
        <v>0</v>
      </c>
      <c r="V15" s="97">
        <f t="shared" si="4"/>
        <v>0</v>
      </c>
      <c r="W15" s="105">
        <f t="shared" si="5"/>
        <v>0</v>
      </c>
      <c r="X15" s="107">
        <f t="shared" si="6"/>
        <v>0</v>
      </c>
    </row>
    <row r="16" spans="1:24" ht="20.25" customHeight="1" x14ac:dyDescent="0.25">
      <c r="A16" s="19" t="s">
        <v>24</v>
      </c>
      <c r="B16" s="40"/>
      <c r="C16" s="40"/>
      <c r="D16" s="54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22">
        <f t="shared" si="7"/>
        <v>0</v>
      </c>
      <c r="N16" s="23">
        <f t="shared" si="0"/>
        <v>0</v>
      </c>
      <c r="O16" s="24">
        <f t="shared" si="1"/>
        <v>0</v>
      </c>
      <c r="P16" s="25" t="str">
        <f t="shared" si="2"/>
        <v>IDEAL</v>
      </c>
      <c r="Q16" s="26" t="e">
        <f t="shared" si="3"/>
        <v>#DIV/0!</v>
      </c>
      <c r="R16" s="4">
        <v>0</v>
      </c>
      <c r="S16" s="108">
        <v>0</v>
      </c>
      <c r="T16" s="109">
        <f t="shared" si="8"/>
        <v>0</v>
      </c>
      <c r="U16" s="87">
        <v>0</v>
      </c>
      <c r="V16" s="97">
        <f t="shared" si="4"/>
        <v>0</v>
      </c>
      <c r="W16" s="105">
        <f t="shared" si="5"/>
        <v>0</v>
      </c>
      <c r="X16" s="107">
        <f t="shared" si="6"/>
        <v>0</v>
      </c>
    </row>
    <row r="17" spans="1:24" ht="20.25" customHeight="1" x14ac:dyDescent="0.25">
      <c r="A17" s="19" t="s">
        <v>25</v>
      </c>
      <c r="B17" s="40"/>
      <c r="C17" s="40"/>
      <c r="D17" s="54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  <c r="J17" s="3">
        <v>0</v>
      </c>
      <c r="K17" s="2">
        <v>0</v>
      </c>
      <c r="L17" s="3">
        <v>0</v>
      </c>
      <c r="M17" s="22">
        <f t="shared" si="7"/>
        <v>0</v>
      </c>
      <c r="N17" s="23">
        <f t="shared" si="0"/>
        <v>0</v>
      </c>
      <c r="O17" s="24">
        <f t="shared" si="1"/>
        <v>0</v>
      </c>
      <c r="P17" s="25" t="str">
        <f t="shared" si="2"/>
        <v>IDEAL</v>
      </c>
      <c r="Q17" s="26" t="e">
        <f t="shared" si="3"/>
        <v>#DIV/0!</v>
      </c>
      <c r="R17" s="4">
        <v>0</v>
      </c>
      <c r="S17" s="108">
        <v>0</v>
      </c>
      <c r="T17" s="109">
        <f t="shared" si="8"/>
        <v>0</v>
      </c>
      <c r="U17" s="87">
        <v>0</v>
      </c>
      <c r="V17" s="97">
        <f t="shared" si="4"/>
        <v>0</v>
      </c>
      <c r="W17" s="105">
        <f t="shared" si="5"/>
        <v>0</v>
      </c>
      <c r="X17" s="107">
        <f t="shared" si="6"/>
        <v>0</v>
      </c>
    </row>
    <row r="18" spans="1:24" ht="20.25" customHeight="1" x14ac:dyDescent="0.25">
      <c r="A18" s="19" t="s">
        <v>26</v>
      </c>
      <c r="B18" s="40"/>
      <c r="C18" s="40"/>
      <c r="D18" s="54">
        <v>0</v>
      </c>
      <c r="E18" s="9">
        <v>0</v>
      </c>
      <c r="F18" s="6">
        <v>0</v>
      </c>
      <c r="G18" s="9">
        <v>0</v>
      </c>
      <c r="H18" s="6">
        <v>0</v>
      </c>
      <c r="I18" s="9">
        <v>0</v>
      </c>
      <c r="J18" s="6">
        <v>0</v>
      </c>
      <c r="K18" s="9">
        <v>0</v>
      </c>
      <c r="L18" s="6">
        <v>0</v>
      </c>
      <c r="M18" s="22">
        <f t="shared" si="7"/>
        <v>0</v>
      </c>
      <c r="N18" s="23">
        <f t="shared" si="0"/>
        <v>0</v>
      </c>
      <c r="O18" s="24">
        <f t="shared" si="1"/>
        <v>0</v>
      </c>
      <c r="P18" s="25" t="str">
        <f t="shared" si="2"/>
        <v>IDEAL</v>
      </c>
      <c r="Q18" s="26" t="e">
        <f t="shared" si="3"/>
        <v>#DIV/0!</v>
      </c>
      <c r="R18" s="4">
        <v>0</v>
      </c>
      <c r="S18" s="108">
        <v>0</v>
      </c>
      <c r="T18" s="109">
        <f t="shared" si="8"/>
        <v>0</v>
      </c>
      <c r="U18" s="87">
        <v>0</v>
      </c>
      <c r="V18" s="97">
        <f t="shared" si="4"/>
        <v>0</v>
      </c>
      <c r="W18" s="105">
        <f t="shared" si="5"/>
        <v>0</v>
      </c>
      <c r="X18" s="107">
        <f t="shared" si="6"/>
        <v>0</v>
      </c>
    </row>
    <row r="19" spans="1:24" ht="20.25" customHeight="1" x14ac:dyDescent="0.25">
      <c r="A19" s="19" t="s">
        <v>27</v>
      </c>
      <c r="B19" s="40"/>
      <c r="C19" s="40"/>
      <c r="D19" s="54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  <c r="J19" s="3">
        <v>0</v>
      </c>
      <c r="K19" s="2">
        <v>0</v>
      </c>
      <c r="L19" s="3">
        <v>0</v>
      </c>
      <c r="M19" s="22">
        <f t="shared" si="7"/>
        <v>0</v>
      </c>
      <c r="N19" s="23">
        <f t="shared" si="0"/>
        <v>0</v>
      </c>
      <c r="O19" s="24">
        <f t="shared" si="1"/>
        <v>0</v>
      </c>
      <c r="P19" s="25" t="str">
        <f t="shared" si="2"/>
        <v>IDEAL</v>
      </c>
      <c r="Q19" s="26" t="e">
        <f t="shared" si="3"/>
        <v>#DIV/0!</v>
      </c>
      <c r="R19" s="4">
        <v>0</v>
      </c>
      <c r="S19" s="108">
        <v>0</v>
      </c>
      <c r="T19" s="109">
        <f t="shared" si="8"/>
        <v>0</v>
      </c>
      <c r="U19" s="87">
        <v>0</v>
      </c>
      <c r="V19" s="97">
        <f t="shared" si="4"/>
        <v>0</v>
      </c>
      <c r="W19" s="105">
        <f t="shared" si="5"/>
        <v>0</v>
      </c>
      <c r="X19" s="107">
        <f t="shared" si="6"/>
        <v>0</v>
      </c>
    </row>
    <row r="20" spans="1:24" ht="20.25" customHeight="1" x14ac:dyDescent="0.25">
      <c r="A20" s="19" t="s">
        <v>28</v>
      </c>
      <c r="B20" s="40"/>
      <c r="C20" s="40"/>
      <c r="D20" s="54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  <c r="J20" s="3">
        <v>0</v>
      </c>
      <c r="K20" s="2">
        <v>0</v>
      </c>
      <c r="L20" s="3">
        <v>0</v>
      </c>
      <c r="M20" s="22">
        <f t="shared" si="7"/>
        <v>0</v>
      </c>
      <c r="N20" s="23">
        <f t="shared" si="0"/>
        <v>0</v>
      </c>
      <c r="O20" s="24">
        <f t="shared" si="1"/>
        <v>0</v>
      </c>
      <c r="P20" s="25" t="str">
        <f t="shared" si="2"/>
        <v>IDEAL</v>
      </c>
      <c r="Q20" s="26" t="e">
        <f t="shared" si="3"/>
        <v>#DIV/0!</v>
      </c>
      <c r="R20" s="4">
        <v>0</v>
      </c>
      <c r="S20" s="108">
        <v>0</v>
      </c>
      <c r="T20" s="109">
        <f t="shared" si="8"/>
        <v>0</v>
      </c>
      <c r="U20" s="87">
        <v>0</v>
      </c>
      <c r="V20" s="97">
        <f t="shared" si="4"/>
        <v>0</v>
      </c>
      <c r="W20" s="105">
        <f t="shared" si="5"/>
        <v>0</v>
      </c>
      <c r="X20" s="107">
        <f t="shared" si="6"/>
        <v>0</v>
      </c>
    </row>
    <row r="21" spans="1:24" ht="20.25" customHeight="1" x14ac:dyDescent="0.25">
      <c r="A21" s="19" t="s">
        <v>29</v>
      </c>
      <c r="B21" s="40"/>
      <c r="C21" s="40"/>
      <c r="D21" s="54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  <c r="J21" s="3">
        <v>0</v>
      </c>
      <c r="K21" s="2">
        <v>0</v>
      </c>
      <c r="L21" s="3">
        <v>0</v>
      </c>
      <c r="M21" s="22">
        <f t="shared" si="7"/>
        <v>0</v>
      </c>
      <c r="N21" s="23">
        <f t="shared" si="0"/>
        <v>0</v>
      </c>
      <c r="O21" s="24">
        <f t="shared" si="1"/>
        <v>0</v>
      </c>
      <c r="P21" s="25" t="str">
        <f t="shared" si="2"/>
        <v>IDEAL</v>
      </c>
      <c r="Q21" s="26" t="e">
        <f t="shared" si="3"/>
        <v>#DIV/0!</v>
      </c>
      <c r="R21" s="4">
        <v>0</v>
      </c>
      <c r="S21" s="108">
        <v>0</v>
      </c>
      <c r="T21" s="109">
        <f t="shared" si="8"/>
        <v>0</v>
      </c>
      <c r="U21" s="87">
        <v>0</v>
      </c>
      <c r="V21" s="97">
        <f t="shared" si="4"/>
        <v>0</v>
      </c>
      <c r="W21" s="105">
        <f t="shared" si="5"/>
        <v>0</v>
      </c>
      <c r="X21" s="107">
        <f t="shared" si="6"/>
        <v>0</v>
      </c>
    </row>
    <row r="22" spans="1:24" ht="20.25" customHeight="1" x14ac:dyDescent="0.25">
      <c r="A22" s="19" t="s">
        <v>30</v>
      </c>
      <c r="B22" s="40"/>
      <c r="C22" s="40"/>
      <c r="D22" s="54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  <c r="J22" s="3">
        <v>0</v>
      </c>
      <c r="K22" s="2">
        <v>0</v>
      </c>
      <c r="L22" s="3">
        <v>0</v>
      </c>
      <c r="M22" s="22">
        <f t="shared" si="7"/>
        <v>0</v>
      </c>
      <c r="N22" s="23">
        <f t="shared" si="0"/>
        <v>0</v>
      </c>
      <c r="O22" s="24">
        <f t="shared" si="1"/>
        <v>0</v>
      </c>
      <c r="P22" s="25" t="str">
        <f t="shared" si="2"/>
        <v>IDEAL</v>
      </c>
      <c r="Q22" s="26" t="e">
        <f t="shared" si="3"/>
        <v>#DIV/0!</v>
      </c>
      <c r="R22" s="4">
        <v>0</v>
      </c>
      <c r="S22" s="108">
        <v>0</v>
      </c>
      <c r="T22" s="109">
        <f t="shared" si="8"/>
        <v>0</v>
      </c>
      <c r="U22" s="87">
        <v>0</v>
      </c>
      <c r="V22" s="97">
        <f t="shared" si="4"/>
        <v>0</v>
      </c>
      <c r="W22" s="105">
        <f t="shared" si="5"/>
        <v>0</v>
      </c>
      <c r="X22" s="107">
        <f t="shared" si="6"/>
        <v>0</v>
      </c>
    </row>
    <row r="23" spans="1:24" ht="20.25" customHeight="1" x14ac:dyDescent="0.25">
      <c r="A23" s="19" t="s">
        <v>31</v>
      </c>
      <c r="B23" s="40"/>
      <c r="C23" s="40"/>
      <c r="D23" s="54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0</v>
      </c>
      <c r="M23" s="22">
        <f t="shared" si="7"/>
        <v>0</v>
      </c>
      <c r="N23" s="23">
        <f t="shared" si="0"/>
        <v>0</v>
      </c>
      <c r="O23" s="24">
        <f t="shared" si="1"/>
        <v>0</v>
      </c>
      <c r="P23" s="25" t="str">
        <f t="shared" si="2"/>
        <v>IDEAL</v>
      </c>
      <c r="Q23" s="26" t="e">
        <f t="shared" si="3"/>
        <v>#DIV/0!</v>
      </c>
      <c r="R23" s="4">
        <v>0</v>
      </c>
      <c r="S23" s="108">
        <v>0</v>
      </c>
      <c r="T23" s="109">
        <f t="shared" si="8"/>
        <v>0</v>
      </c>
      <c r="U23" s="87">
        <v>0</v>
      </c>
      <c r="V23" s="97">
        <f t="shared" si="4"/>
        <v>0</v>
      </c>
      <c r="W23" s="105">
        <f t="shared" si="5"/>
        <v>0</v>
      </c>
      <c r="X23" s="107">
        <f t="shared" si="6"/>
        <v>0</v>
      </c>
    </row>
    <row r="24" spans="1:24" ht="20.25" customHeight="1" x14ac:dyDescent="0.25">
      <c r="A24" s="19" t="s">
        <v>32</v>
      </c>
      <c r="B24" s="40"/>
      <c r="C24" s="40"/>
      <c r="D24" s="54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0</v>
      </c>
      <c r="M24" s="22">
        <f t="shared" si="7"/>
        <v>0</v>
      </c>
      <c r="N24" s="23">
        <f t="shared" si="0"/>
        <v>0</v>
      </c>
      <c r="O24" s="24">
        <f t="shared" si="1"/>
        <v>0</v>
      </c>
      <c r="P24" s="25" t="str">
        <f t="shared" si="2"/>
        <v>IDEAL</v>
      </c>
      <c r="Q24" s="26" t="e">
        <f t="shared" si="3"/>
        <v>#DIV/0!</v>
      </c>
      <c r="R24" s="4">
        <v>0</v>
      </c>
      <c r="S24" s="108">
        <v>0</v>
      </c>
      <c r="T24" s="109">
        <f t="shared" si="8"/>
        <v>0</v>
      </c>
      <c r="U24" s="87">
        <v>0</v>
      </c>
      <c r="V24" s="97">
        <f t="shared" si="4"/>
        <v>0</v>
      </c>
      <c r="W24" s="105">
        <f t="shared" si="5"/>
        <v>0</v>
      </c>
      <c r="X24" s="107">
        <f t="shared" si="6"/>
        <v>0</v>
      </c>
    </row>
    <row r="25" spans="1:24" ht="20.25" customHeight="1" x14ac:dyDescent="0.25">
      <c r="A25" s="19" t="s">
        <v>33</v>
      </c>
      <c r="B25" s="40"/>
      <c r="C25" s="40"/>
      <c r="D25" s="54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0</v>
      </c>
      <c r="M25" s="22">
        <f t="shared" si="7"/>
        <v>0</v>
      </c>
      <c r="N25" s="23">
        <f t="shared" si="0"/>
        <v>0</v>
      </c>
      <c r="O25" s="24">
        <f t="shared" si="1"/>
        <v>0</v>
      </c>
      <c r="P25" s="25" t="str">
        <f t="shared" si="2"/>
        <v>IDEAL</v>
      </c>
      <c r="Q25" s="26" t="e">
        <f t="shared" si="3"/>
        <v>#DIV/0!</v>
      </c>
      <c r="R25" s="4">
        <v>0</v>
      </c>
      <c r="S25" s="108">
        <v>0</v>
      </c>
      <c r="T25" s="109">
        <f t="shared" si="8"/>
        <v>0</v>
      </c>
      <c r="U25" s="87">
        <v>0</v>
      </c>
      <c r="V25" s="97">
        <f t="shared" si="4"/>
        <v>0</v>
      </c>
      <c r="W25" s="105">
        <f t="shared" si="5"/>
        <v>0</v>
      </c>
      <c r="X25" s="107">
        <f t="shared" si="6"/>
        <v>0</v>
      </c>
    </row>
    <row r="26" spans="1:24" ht="20.25" customHeight="1" x14ac:dyDescent="0.25">
      <c r="A26" s="19" t="s">
        <v>34</v>
      </c>
      <c r="B26" s="40"/>
      <c r="C26" s="40"/>
      <c r="D26" s="54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  <c r="J26" s="3">
        <v>0</v>
      </c>
      <c r="K26" s="2">
        <v>0</v>
      </c>
      <c r="L26" s="3">
        <v>0</v>
      </c>
      <c r="M26" s="22">
        <f t="shared" si="7"/>
        <v>0</v>
      </c>
      <c r="N26" s="23">
        <f t="shared" si="0"/>
        <v>0</v>
      </c>
      <c r="O26" s="24">
        <f t="shared" si="1"/>
        <v>0</v>
      </c>
      <c r="P26" s="25" t="str">
        <f t="shared" si="2"/>
        <v>IDEAL</v>
      </c>
      <c r="Q26" s="26" t="e">
        <f t="shared" si="3"/>
        <v>#DIV/0!</v>
      </c>
      <c r="R26" s="4">
        <v>0</v>
      </c>
      <c r="S26" s="108">
        <v>0</v>
      </c>
      <c r="T26" s="109">
        <f t="shared" si="8"/>
        <v>0</v>
      </c>
      <c r="U26" s="87">
        <v>0</v>
      </c>
      <c r="V26" s="97">
        <f t="shared" si="4"/>
        <v>0</v>
      </c>
      <c r="W26" s="105">
        <f t="shared" si="5"/>
        <v>0</v>
      </c>
      <c r="X26" s="107">
        <f t="shared" si="6"/>
        <v>0</v>
      </c>
    </row>
    <row r="27" spans="1:24" ht="20.25" customHeight="1" x14ac:dyDescent="0.25">
      <c r="A27" s="19" t="s">
        <v>35</v>
      </c>
      <c r="B27" s="40"/>
      <c r="C27" s="40"/>
      <c r="D27" s="54">
        <v>0</v>
      </c>
      <c r="E27" s="2">
        <v>0</v>
      </c>
      <c r="F27" s="6">
        <v>0</v>
      </c>
      <c r="G27" s="2">
        <v>0</v>
      </c>
      <c r="H27" s="3">
        <v>0</v>
      </c>
      <c r="I27" s="2">
        <v>0</v>
      </c>
      <c r="J27" s="3">
        <v>0</v>
      </c>
      <c r="K27" s="2">
        <v>0</v>
      </c>
      <c r="L27" s="3">
        <v>0</v>
      </c>
      <c r="M27" s="22">
        <f t="shared" si="7"/>
        <v>0</v>
      </c>
      <c r="N27" s="23">
        <f t="shared" si="0"/>
        <v>0</v>
      </c>
      <c r="O27" s="24">
        <f t="shared" si="1"/>
        <v>0</v>
      </c>
      <c r="P27" s="25" t="str">
        <f t="shared" si="2"/>
        <v>IDEAL</v>
      </c>
      <c r="Q27" s="26" t="e">
        <f t="shared" si="3"/>
        <v>#DIV/0!</v>
      </c>
      <c r="R27" s="4">
        <v>0</v>
      </c>
      <c r="S27" s="108">
        <v>0</v>
      </c>
      <c r="T27" s="109">
        <f t="shared" si="8"/>
        <v>0</v>
      </c>
      <c r="U27" s="87">
        <v>0</v>
      </c>
      <c r="V27" s="97">
        <f t="shared" si="4"/>
        <v>0</v>
      </c>
      <c r="W27" s="105">
        <f t="shared" si="5"/>
        <v>0</v>
      </c>
      <c r="X27" s="107">
        <f t="shared" si="6"/>
        <v>0</v>
      </c>
    </row>
    <row r="28" spans="1:24" ht="20.25" customHeight="1" x14ac:dyDescent="0.25">
      <c r="A28" s="19" t="s">
        <v>36</v>
      </c>
      <c r="B28" s="40"/>
      <c r="C28" s="40"/>
      <c r="D28" s="54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  <c r="J28" s="3">
        <v>0</v>
      </c>
      <c r="K28" s="2">
        <v>0</v>
      </c>
      <c r="L28" s="3">
        <v>0</v>
      </c>
      <c r="M28" s="22">
        <f t="shared" si="7"/>
        <v>0</v>
      </c>
      <c r="N28" s="23">
        <f t="shared" si="0"/>
        <v>0</v>
      </c>
      <c r="O28" s="24">
        <f t="shared" si="1"/>
        <v>0</v>
      </c>
      <c r="P28" s="25" t="str">
        <f t="shared" si="2"/>
        <v>IDEAL</v>
      </c>
      <c r="Q28" s="26" t="e">
        <f t="shared" si="3"/>
        <v>#DIV/0!</v>
      </c>
      <c r="R28" s="4">
        <v>0</v>
      </c>
      <c r="S28" s="108">
        <v>0</v>
      </c>
      <c r="T28" s="109">
        <f t="shared" si="8"/>
        <v>0</v>
      </c>
      <c r="U28" s="87">
        <v>0</v>
      </c>
      <c r="V28" s="97">
        <f t="shared" si="4"/>
        <v>0</v>
      </c>
      <c r="W28" s="105">
        <f t="shared" si="5"/>
        <v>0</v>
      </c>
      <c r="X28" s="107">
        <f t="shared" si="6"/>
        <v>0</v>
      </c>
    </row>
    <row r="29" spans="1:24" ht="20.25" customHeight="1" x14ac:dyDescent="0.25">
      <c r="A29" s="19" t="s">
        <v>37</v>
      </c>
      <c r="B29" s="40"/>
      <c r="C29" s="40"/>
      <c r="D29" s="54">
        <v>0</v>
      </c>
      <c r="E29" s="14">
        <v>0</v>
      </c>
      <c r="F29" s="15">
        <v>0</v>
      </c>
      <c r="G29" s="14">
        <v>0</v>
      </c>
      <c r="H29" s="15">
        <v>0</v>
      </c>
      <c r="I29" s="14">
        <v>0</v>
      </c>
      <c r="J29" s="15">
        <v>0</v>
      </c>
      <c r="K29" s="14">
        <v>0</v>
      </c>
      <c r="L29" s="15">
        <v>0</v>
      </c>
      <c r="M29" s="22">
        <f t="shared" si="7"/>
        <v>0</v>
      </c>
      <c r="N29" s="23">
        <f t="shared" si="0"/>
        <v>0</v>
      </c>
      <c r="O29" s="24">
        <f t="shared" si="1"/>
        <v>0</v>
      </c>
      <c r="P29" s="25" t="str">
        <f t="shared" si="2"/>
        <v>IDEAL</v>
      </c>
      <c r="Q29" s="26" t="e">
        <f t="shared" si="3"/>
        <v>#DIV/0!</v>
      </c>
      <c r="R29" s="4">
        <v>0</v>
      </c>
      <c r="S29" s="108">
        <v>0</v>
      </c>
      <c r="T29" s="109">
        <f t="shared" si="8"/>
        <v>0</v>
      </c>
      <c r="U29" s="87">
        <v>0</v>
      </c>
      <c r="V29" s="97">
        <f t="shared" si="4"/>
        <v>0</v>
      </c>
      <c r="W29" s="105">
        <f t="shared" si="5"/>
        <v>0</v>
      </c>
      <c r="X29" s="107">
        <f t="shared" si="6"/>
        <v>0</v>
      </c>
    </row>
    <row r="30" spans="1:24" ht="20.25" customHeight="1" x14ac:dyDescent="0.25">
      <c r="A30" s="19" t="s">
        <v>38</v>
      </c>
      <c r="B30" s="40"/>
      <c r="C30" s="40"/>
      <c r="D30" s="54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0</v>
      </c>
      <c r="M30" s="22">
        <f t="shared" si="7"/>
        <v>0</v>
      </c>
      <c r="N30" s="23">
        <f t="shared" si="0"/>
        <v>0</v>
      </c>
      <c r="O30" s="24">
        <f t="shared" si="1"/>
        <v>0</v>
      </c>
      <c r="P30" s="25" t="str">
        <f t="shared" si="2"/>
        <v>IDEAL</v>
      </c>
      <c r="Q30" s="26" t="e">
        <f t="shared" si="3"/>
        <v>#DIV/0!</v>
      </c>
      <c r="R30" s="4">
        <v>0</v>
      </c>
      <c r="S30" s="108">
        <v>0</v>
      </c>
      <c r="T30" s="109">
        <f t="shared" si="8"/>
        <v>0</v>
      </c>
      <c r="U30" s="87">
        <v>0</v>
      </c>
      <c r="V30" s="97">
        <f t="shared" si="4"/>
        <v>0</v>
      </c>
      <c r="W30" s="105">
        <f t="shared" si="5"/>
        <v>0</v>
      </c>
      <c r="X30" s="107">
        <f t="shared" si="6"/>
        <v>0</v>
      </c>
    </row>
    <row r="31" spans="1:24" ht="20.25" customHeight="1" x14ac:dyDescent="0.25">
      <c r="A31" s="19" t="s">
        <v>39</v>
      </c>
      <c r="B31" s="40"/>
      <c r="C31" s="40"/>
      <c r="D31" s="54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  <c r="J31" s="3">
        <v>0</v>
      </c>
      <c r="K31" s="2">
        <v>0</v>
      </c>
      <c r="L31" s="3">
        <v>0</v>
      </c>
      <c r="M31" s="22">
        <f t="shared" si="7"/>
        <v>0</v>
      </c>
      <c r="N31" s="23">
        <f t="shared" si="0"/>
        <v>0</v>
      </c>
      <c r="O31" s="24">
        <f t="shared" si="1"/>
        <v>0</v>
      </c>
      <c r="P31" s="25" t="str">
        <f t="shared" si="2"/>
        <v>IDEAL</v>
      </c>
      <c r="Q31" s="26" t="e">
        <f t="shared" si="3"/>
        <v>#DIV/0!</v>
      </c>
      <c r="R31" s="4">
        <v>0</v>
      </c>
      <c r="S31" s="108">
        <v>0</v>
      </c>
      <c r="T31" s="109">
        <f t="shared" si="8"/>
        <v>0</v>
      </c>
      <c r="U31" s="87">
        <v>0</v>
      </c>
      <c r="V31" s="97">
        <f t="shared" si="4"/>
        <v>0</v>
      </c>
      <c r="W31" s="105">
        <f t="shared" si="5"/>
        <v>0</v>
      </c>
      <c r="X31" s="107">
        <f t="shared" si="6"/>
        <v>0</v>
      </c>
    </row>
    <row r="32" spans="1:24" ht="20.25" customHeight="1" x14ac:dyDescent="0.25">
      <c r="A32" s="19" t="s">
        <v>40</v>
      </c>
      <c r="B32" s="40"/>
      <c r="C32" s="40"/>
      <c r="D32" s="54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  <c r="J32" s="3">
        <v>0</v>
      </c>
      <c r="K32" s="2">
        <v>0</v>
      </c>
      <c r="L32" s="3">
        <v>0</v>
      </c>
      <c r="M32" s="22">
        <f t="shared" si="7"/>
        <v>0</v>
      </c>
      <c r="N32" s="23">
        <f t="shared" si="0"/>
        <v>0</v>
      </c>
      <c r="O32" s="24">
        <f t="shared" si="1"/>
        <v>0</v>
      </c>
      <c r="P32" s="25" t="str">
        <f t="shared" si="2"/>
        <v>IDEAL</v>
      </c>
      <c r="Q32" s="26" t="e">
        <f t="shared" si="3"/>
        <v>#DIV/0!</v>
      </c>
      <c r="R32" s="4">
        <v>0</v>
      </c>
      <c r="S32" s="108">
        <v>0</v>
      </c>
      <c r="T32" s="109">
        <f t="shared" si="8"/>
        <v>0</v>
      </c>
      <c r="U32" s="87">
        <v>0</v>
      </c>
      <c r="V32" s="97">
        <f t="shared" si="4"/>
        <v>0</v>
      </c>
      <c r="W32" s="105">
        <f t="shared" si="5"/>
        <v>0</v>
      </c>
      <c r="X32" s="107">
        <f t="shared" si="6"/>
        <v>0</v>
      </c>
    </row>
    <row r="33" spans="1:24" ht="20.25" customHeight="1" x14ac:dyDescent="0.25">
      <c r="A33" s="19" t="s">
        <v>41</v>
      </c>
      <c r="B33" s="40"/>
      <c r="C33" s="40"/>
      <c r="D33" s="54">
        <v>0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  <c r="L33" s="3">
        <v>0</v>
      </c>
      <c r="M33" s="22">
        <f t="shared" si="7"/>
        <v>0</v>
      </c>
      <c r="N33" s="23">
        <f t="shared" si="0"/>
        <v>0</v>
      </c>
      <c r="O33" s="24">
        <f t="shared" si="1"/>
        <v>0</v>
      </c>
      <c r="P33" s="25" t="str">
        <f t="shared" si="2"/>
        <v>IDEAL</v>
      </c>
      <c r="Q33" s="26" t="e">
        <f t="shared" si="3"/>
        <v>#DIV/0!</v>
      </c>
      <c r="R33" s="4">
        <v>0</v>
      </c>
      <c r="S33" s="108">
        <v>0</v>
      </c>
      <c r="T33" s="109">
        <f t="shared" si="8"/>
        <v>0</v>
      </c>
      <c r="U33" s="87">
        <v>0</v>
      </c>
      <c r="V33" s="97">
        <f t="shared" si="4"/>
        <v>0</v>
      </c>
      <c r="W33" s="105">
        <f t="shared" si="5"/>
        <v>0</v>
      </c>
      <c r="X33" s="107">
        <f t="shared" si="6"/>
        <v>0</v>
      </c>
    </row>
    <row r="34" spans="1:24" ht="20.25" customHeight="1" x14ac:dyDescent="0.25">
      <c r="A34" s="19" t="s">
        <v>42</v>
      </c>
      <c r="B34" s="40"/>
      <c r="C34" s="40"/>
      <c r="D34" s="54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22">
        <f t="shared" si="7"/>
        <v>0</v>
      </c>
      <c r="N34" s="23">
        <f t="shared" si="0"/>
        <v>0</v>
      </c>
      <c r="O34" s="24">
        <f t="shared" si="1"/>
        <v>0</v>
      </c>
      <c r="P34" s="25" t="str">
        <f t="shared" si="2"/>
        <v>IDEAL</v>
      </c>
      <c r="Q34" s="26" t="e">
        <f t="shared" si="3"/>
        <v>#DIV/0!</v>
      </c>
      <c r="R34" s="4">
        <v>0</v>
      </c>
      <c r="S34" s="108">
        <v>0</v>
      </c>
      <c r="T34" s="109">
        <f t="shared" si="8"/>
        <v>0</v>
      </c>
      <c r="U34" s="87">
        <v>0</v>
      </c>
      <c r="V34" s="97">
        <f t="shared" si="4"/>
        <v>0</v>
      </c>
      <c r="W34" s="105">
        <f t="shared" si="5"/>
        <v>0</v>
      </c>
      <c r="X34" s="107">
        <f t="shared" si="6"/>
        <v>0</v>
      </c>
    </row>
    <row r="35" spans="1:24" ht="20.25" customHeight="1" x14ac:dyDescent="0.25">
      <c r="A35" s="19" t="s">
        <v>43</v>
      </c>
      <c r="B35" s="40"/>
      <c r="C35" s="40"/>
      <c r="D35" s="54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0</v>
      </c>
      <c r="M35" s="22">
        <f t="shared" si="7"/>
        <v>0</v>
      </c>
      <c r="N35" s="23">
        <f t="shared" si="0"/>
        <v>0</v>
      </c>
      <c r="O35" s="24">
        <f t="shared" si="1"/>
        <v>0</v>
      </c>
      <c r="P35" s="25" t="str">
        <f t="shared" si="2"/>
        <v>IDEAL</v>
      </c>
      <c r="Q35" s="26" t="e">
        <f t="shared" si="3"/>
        <v>#DIV/0!</v>
      </c>
      <c r="R35" s="4">
        <v>0</v>
      </c>
      <c r="S35" s="108">
        <v>0</v>
      </c>
      <c r="T35" s="109">
        <f t="shared" si="8"/>
        <v>0</v>
      </c>
      <c r="U35" s="87">
        <v>0</v>
      </c>
      <c r="V35" s="97">
        <f t="shared" si="4"/>
        <v>0</v>
      </c>
      <c r="W35" s="105">
        <f t="shared" si="5"/>
        <v>0</v>
      </c>
      <c r="X35" s="107">
        <f t="shared" si="6"/>
        <v>0</v>
      </c>
    </row>
    <row r="36" spans="1:24" ht="20.25" customHeight="1" x14ac:dyDescent="0.25">
      <c r="A36" s="19" t="s">
        <v>44</v>
      </c>
      <c r="B36" s="40"/>
      <c r="C36" s="40"/>
      <c r="D36" s="54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0</v>
      </c>
      <c r="M36" s="22">
        <f t="shared" si="7"/>
        <v>0</v>
      </c>
      <c r="N36" s="23">
        <f t="shared" si="0"/>
        <v>0</v>
      </c>
      <c r="O36" s="24">
        <f t="shared" si="1"/>
        <v>0</v>
      </c>
      <c r="P36" s="25" t="str">
        <f t="shared" si="2"/>
        <v>IDEAL</v>
      </c>
      <c r="Q36" s="26" t="e">
        <f t="shared" si="3"/>
        <v>#DIV/0!</v>
      </c>
      <c r="R36" s="4">
        <v>0</v>
      </c>
      <c r="S36" s="108">
        <v>0</v>
      </c>
      <c r="T36" s="109">
        <f t="shared" si="8"/>
        <v>0</v>
      </c>
      <c r="U36" s="87">
        <v>0</v>
      </c>
      <c r="V36" s="97">
        <f t="shared" si="4"/>
        <v>0</v>
      </c>
      <c r="W36" s="105">
        <f t="shared" si="5"/>
        <v>0</v>
      </c>
      <c r="X36" s="107">
        <f t="shared" si="6"/>
        <v>0</v>
      </c>
    </row>
    <row r="37" spans="1:24" ht="20.25" customHeight="1" x14ac:dyDescent="0.25">
      <c r="A37" s="19" t="s">
        <v>45</v>
      </c>
      <c r="B37" s="40"/>
      <c r="C37" s="40"/>
      <c r="D37" s="54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58">
        <f t="shared" si="7"/>
        <v>0</v>
      </c>
      <c r="N37" s="79">
        <f t="shared" si="0"/>
        <v>0</v>
      </c>
      <c r="O37" s="80">
        <f t="shared" si="1"/>
        <v>0</v>
      </c>
      <c r="P37" s="81" t="str">
        <f t="shared" si="2"/>
        <v>IDEAL</v>
      </c>
      <c r="Q37" s="82" t="e">
        <f t="shared" si="3"/>
        <v>#DIV/0!</v>
      </c>
      <c r="R37" s="4">
        <v>0</v>
      </c>
      <c r="S37" s="108">
        <v>0</v>
      </c>
      <c r="T37" s="109">
        <f t="shared" si="8"/>
        <v>0</v>
      </c>
      <c r="U37" s="87">
        <v>0</v>
      </c>
      <c r="V37" s="98">
        <f t="shared" si="4"/>
        <v>0</v>
      </c>
      <c r="W37" s="105">
        <f t="shared" si="5"/>
        <v>0</v>
      </c>
      <c r="X37" s="107">
        <f t="shared" si="6"/>
        <v>0</v>
      </c>
    </row>
    <row r="38" spans="1:24" ht="20.25" customHeight="1" thickBot="1" x14ac:dyDescent="0.3">
      <c r="A38" s="29" t="s">
        <v>46</v>
      </c>
      <c r="B38" s="41"/>
      <c r="C38" s="41"/>
      <c r="D38" s="55">
        <v>0</v>
      </c>
      <c r="E38" s="12">
        <v>0</v>
      </c>
      <c r="F38" s="13">
        <v>0</v>
      </c>
      <c r="G38" s="12">
        <v>0</v>
      </c>
      <c r="H38" s="13">
        <v>0</v>
      </c>
      <c r="I38" s="12">
        <v>0</v>
      </c>
      <c r="J38" s="13">
        <v>0</v>
      </c>
      <c r="K38" s="12">
        <v>0</v>
      </c>
      <c r="L38" s="13">
        <v>0</v>
      </c>
      <c r="M38" s="48">
        <f t="shared" si="7"/>
        <v>0</v>
      </c>
      <c r="N38" s="49">
        <f t="shared" si="0"/>
        <v>0</v>
      </c>
      <c r="O38" s="50">
        <f t="shared" si="1"/>
        <v>0</v>
      </c>
      <c r="P38" s="51" t="str">
        <f t="shared" si="2"/>
        <v>IDEAL</v>
      </c>
      <c r="Q38" s="52" t="e">
        <f t="shared" si="3"/>
        <v>#DIV/0!</v>
      </c>
      <c r="R38" s="30">
        <v>0</v>
      </c>
      <c r="S38" s="108">
        <v>0</v>
      </c>
      <c r="T38" s="109">
        <f t="shared" si="8"/>
        <v>0</v>
      </c>
      <c r="U38" s="88">
        <v>0</v>
      </c>
      <c r="V38" s="99">
        <f t="shared" si="4"/>
        <v>0</v>
      </c>
      <c r="W38" s="105">
        <f t="shared" si="5"/>
        <v>0</v>
      </c>
      <c r="X38" s="107">
        <f t="shared" si="6"/>
        <v>0</v>
      </c>
    </row>
    <row r="39" spans="1:24" ht="20.25" customHeight="1" thickTop="1" x14ac:dyDescent="0.25">
      <c r="A39" s="31" t="s">
        <v>47</v>
      </c>
      <c r="B39" s="42"/>
      <c r="C39" s="42"/>
      <c r="D39" s="56">
        <v>0</v>
      </c>
      <c r="E39" s="32">
        <v>0</v>
      </c>
      <c r="F39" s="33">
        <v>0</v>
      </c>
      <c r="G39" s="32">
        <v>0</v>
      </c>
      <c r="H39" s="33">
        <v>0</v>
      </c>
      <c r="I39" s="32">
        <v>0</v>
      </c>
      <c r="J39" s="33">
        <v>0</v>
      </c>
      <c r="K39" s="32">
        <v>0</v>
      </c>
      <c r="L39" s="33">
        <v>0</v>
      </c>
      <c r="M39" s="63">
        <f t="shared" si="7"/>
        <v>0</v>
      </c>
      <c r="N39" s="64">
        <f t="shared" si="0"/>
        <v>0</v>
      </c>
      <c r="O39" s="65">
        <f t="shared" si="1"/>
        <v>0</v>
      </c>
      <c r="P39" s="66" t="str">
        <f t="shared" si="2"/>
        <v>IDEAL</v>
      </c>
      <c r="Q39" s="67" t="e">
        <f t="shared" si="3"/>
        <v>#DIV/0!</v>
      </c>
      <c r="R39" s="34">
        <v>0</v>
      </c>
      <c r="S39" s="108">
        <v>0</v>
      </c>
      <c r="T39" s="109">
        <f t="shared" si="8"/>
        <v>0</v>
      </c>
      <c r="U39" s="89">
        <v>0</v>
      </c>
      <c r="V39" s="96">
        <f t="shared" si="4"/>
        <v>0</v>
      </c>
      <c r="W39" s="105">
        <f t="shared" si="5"/>
        <v>0</v>
      </c>
      <c r="X39" s="107">
        <f t="shared" si="6"/>
        <v>0</v>
      </c>
    </row>
    <row r="40" spans="1:24" ht="20.25" customHeight="1" x14ac:dyDescent="0.25">
      <c r="A40" s="19" t="s">
        <v>48</v>
      </c>
      <c r="B40" s="40"/>
      <c r="C40" s="40"/>
      <c r="D40" s="54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0</v>
      </c>
      <c r="M40" s="22">
        <f t="shared" si="7"/>
        <v>0</v>
      </c>
      <c r="N40" s="23">
        <f t="shared" si="0"/>
        <v>0</v>
      </c>
      <c r="O40" s="24">
        <f t="shared" si="1"/>
        <v>0</v>
      </c>
      <c r="P40" s="25" t="str">
        <f t="shared" si="2"/>
        <v>IDEAL</v>
      </c>
      <c r="Q40" s="26" t="e">
        <f t="shared" si="3"/>
        <v>#DIV/0!</v>
      </c>
      <c r="R40" s="4">
        <v>0</v>
      </c>
      <c r="S40" s="108">
        <v>0</v>
      </c>
      <c r="T40" s="109">
        <f t="shared" si="8"/>
        <v>0</v>
      </c>
      <c r="U40" s="87">
        <v>0</v>
      </c>
      <c r="V40" s="97">
        <f t="shared" si="4"/>
        <v>0</v>
      </c>
      <c r="W40" s="105">
        <f t="shared" si="5"/>
        <v>0</v>
      </c>
      <c r="X40" s="107">
        <f t="shared" si="6"/>
        <v>0</v>
      </c>
    </row>
    <row r="41" spans="1:24" ht="20.25" customHeight="1" x14ac:dyDescent="0.25">
      <c r="A41" s="19" t="s">
        <v>49</v>
      </c>
      <c r="B41" s="40"/>
      <c r="C41" s="40"/>
      <c r="D41" s="54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0</v>
      </c>
      <c r="M41" s="22">
        <f t="shared" si="7"/>
        <v>0</v>
      </c>
      <c r="N41" s="23">
        <f t="shared" si="0"/>
        <v>0</v>
      </c>
      <c r="O41" s="24">
        <f t="shared" si="1"/>
        <v>0</v>
      </c>
      <c r="P41" s="25" t="str">
        <f t="shared" si="2"/>
        <v>IDEAL</v>
      </c>
      <c r="Q41" s="26" t="e">
        <f t="shared" si="3"/>
        <v>#DIV/0!</v>
      </c>
      <c r="R41" s="4">
        <v>0</v>
      </c>
      <c r="S41" s="108">
        <v>0</v>
      </c>
      <c r="T41" s="109">
        <f t="shared" si="8"/>
        <v>0</v>
      </c>
      <c r="U41" s="87">
        <v>0</v>
      </c>
      <c r="V41" s="97">
        <f t="shared" si="4"/>
        <v>0</v>
      </c>
      <c r="W41" s="105">
        <f t="shared" si="5"/>
        <v>0</v>
      </c>
      <c r="X41" s="107">
        <f t="shared" si="6"/>
        <v>0</v>
      </c>
    </row>
    <row r="42" spans="1:24" ht="20.25" customHeight="1" x14ac:dyDescent="0.25">
      <c r="A42" s="19" t="s">
        <v>50</v>
      </c>
      <c r="B42" s="40"/>
      <c r="C42" s="40"/>
      <c r="D42" s="54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  <c r="J42" s="3">
        <v>0</v>
      </c>
      <c r="K42" s="2">
        <v>0</v>
      </c>
      <c r="L42" s="3">
        <v>0</v>
      </c>
      <c r="M42" s="22">
        <f t="shared" ref="M42:M73" si="9">IF(D42="","",E42+G42+I42+K42)</f>
        <v>0</v>
      </c>
      <c r="N42" s="23">
        <f t="shared" ref="N42:N73" si="10">IF(D42="","",F42+H42+J42+L42)</f>
        <v>0</v>
      </c>
      <c r="O42" s="24">
        <f t="shared" ref="O42:O73" si="11">IF(M42="","",IF(N42="","",D42+M42-N42))</f>
        <v>0</v>
      </c>
      <c r="P42" s="25" t="str">
        <f t="shared" ref="P42:P73" si="12">IF(O42="","",IF(O42&lt;R42,"COMPRAR",IF(O42&gt;R42,"ACIMA","IDEAL")))</f>
        <v>IDEAL</v>
      </c>
      <c r="Q42" s="26" t="e">
        <f t="shared" ref="Q42:Q73" si="13">IF(O42="","",O42/R42-100%)</f>
        <v>#DIV/0!</v>
      </c>
      <c r="R42" s="4">
        <v>0</v>
      </c>
      <c r="S42" s="108">
        <v>0</v>
      </c>
      <c r="T42" s="109">
        <f t="shared" si="8"/>
        <v>0</v>
      </c>
      <c r="U42" s="87">
        <v>0</v>
      </c>
      <c r="V42" s="97">
        <f t="shared" ref="V42:V73" si="14">IF(U42="","",U42*O42)</f>
        <v>0</v>
      </c>
      <c r="W42" s="105">
        <f t="shared" ref="W42:W73" si="15">U42*M42</f>
        <v>0</v>
      </c>
      <c r="X42" s="107">
        <f t="shared" ref="X42:X73" si="16">U42*N42</f>
        <v>0</v>
      </c>
    </row>
    <row r="43" spans="1:24" ht="20.25" customHeight="1" x14ac:dyDescent="0.25">
      <c r="A43" s="19" t="s">
        <v>51</v>
      </c>
      <c r="B43" s="40"/>
      <c r="C43" s="40"/>
      <c r="D43" s="54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  <c r="J43" s="3">
        <v>0</v>
      </c>
      <c r="K43" s="2">
        <v>0</v>
      </c>
      <c r="L43" s="3">
        <v>0</v>
      </c>
      <c r="M43" s="22">
        <f t="shared" si="9"/>
        <v>0</v>
      </c>
      <c r="N43" s="23">
        <f t="shared" si="10"/>
        <v>0</v>
      </c>
      <c r="O43" s="24">
        <f t="shared" si="11"/>
        <v>0</v>
      </c>
      <c r="P43" s="25" t="str">
        <f t="shared" si="12"/>
        <v>IDEAL</v>
      </c>
      <c r="Q43" s="26" t="e">
        <f t="shared" si="13"/>
        <v>#DIV/0!</v>
      </c>
      <c r="R43" s="4">
        <v>0</v>
      </c>
      <c r="S43" s="108">
        <v>0</v>
      </c>
      <c r="T43" s="109">
        <f t="shared" si="8"/>
        <v>0</v>
      </c>
      <c r="U43" s="87">
        <v>0</v>
      </c>
      <c r="V43" s="97">
        <f t="shared" si="14"/>
        <v>0</v>
      </c>
      <c r="W43" s="105">
        <f t="shared" si="15"/>
        <v>0</v>
      </c>
      <c r="X43" s="107">
        <f t="shared" si="16"/>
        <v>0</v>
      </c>
    </row>
    <row r="44" spans="1:24" ht="20.25" customHeight="1" x14ac:dyDescent="0.25">
      <c r="A44" s="19" t="s">
        <v>52</v>
      </c>
      <c r="B44" s="40"/>
      <c r="C44" s="40"/>
      <c r="D44" s="54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</v>
      </c>
      <c r="M44" s="22">
        <f t="shared" si="9"/>
        <v>0</v>
      </c>
      <c r="N44" s="23">
        <f t="shared" si="10"/>
        <v>0</v>
      </c>
      <c r="O44" s="24">
        <f t="shared" si="11"/>
        <v>0</v>
      </c>
      <c r="P44" s="25" t="str">
        <f t="shared" si="12"/>
        <v>IDEAL</v>
      </c>
      <c r="Q44" s="26" t="e">
        <f t="shared" si="13"/>
        <v>#DIV/0!</v>
      </c>
      <c r="R44" s="4">
        <v>0</v>
      </c>
      <c r="S44" s="108">
        <v>0</v>
      </c>
      <c r="T44" s="109">
        <f t="shared" si="8"/>
        <v>0</v>
      </c>
      <c r="U44" s="87">
        <v>0</v>
      </c>
      <c r="V44" s="97">
        <f t="shared" si="14"/>
        <v>0</v>
      </c>
      <c r="W44" s="105">
        <f t="shared" si="15"/>
        <v>0</v>
      </c>
      <c r="X44" s="107">
        <f t="shared" si="16"/>
        <v>0</v>
      </c>
    </row>
    <row r="45" spans="1:24" ht="20.25" customHeight="1" x14ac:dyDescent="0.25">
      <c r="A45" s="19" t="s">
        <v>53</v>
      </c>
      <c r="B45" s="40"/>
      <c r="C45" s="40"/>
      <c r="D45" s="54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  <c r="J45" s="3">
        <v>0</v>
      </c>
      <c r="K45" s="2">
        <v>0</v>
      </c>
      <c r="L45" s="3">
        <v>0</v>
      </c>
      <c r="M45" s="22">
        <f t="shared" si="9"/>
        <v>0</v>
      </c>
      <c r="N45" s="23">
        <f t="shared" si="10"/>
        <v>0</v>
      </c>
      <c r="O45" s="24">
        <f t="shared" si="11"/>
        <v>0</v>
      </c>
      <c r="P45" s="25" t="str">
        <f t="shared" si="12"/>
        <v>IDEAL</v>
      </c>
      <c r="Q45" s="26" t="e">
        <f t="shared" si="13"/>
        <v>#DIV/0!</v>
      </c>
      <c r="R45" s="4">
        <v>0</v>
      </c>
      <c r="S45" s="108">
        <v>0</v>
      </c>
      <c r="T45" s="109">
        <f t="shared" si="8"/>
        <v>0</v>
      </c>
      <c r="U45" s="87">
        <v>0</v>
      </c>
      <c r="V45" s="97">
        <f t="shared" si="14"/>
        <v>0</v>
      </c>
      <c r="W45" s="105">
        <f t="shared" si="15"/>
        <v>0</v>
      </c>
      <c r="X45" s="107">
        <f t="shared" si="16"/>
        <v>0</v>
      </c>
    </row>
    <row r="46" spans="1:24" ht="20.25" customHeight="1" x14ac:dyDescent="0.25">
      <c r="A46" s="19" t="s">
        <v>54</v>
      </c>
      <c r="B46" s="40"/>
      <c r="C46" s="40"/>
      <c r="D46" s="54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  <c r="J46" s="3">
        <v>0</v>
      </c>
      <c r="K46" s="2">
        <v>0</v>
      </c>
      <c r="L46" s="3">
        <v>0</v>
      </c>
      <c r="M46" s="22">
        <f t="shared" si="9"/>
        <v>0</v>
      </c>
      <c r="N46" s="23">
        <f t="shared" si="10"/>
        <v>0</v>
      </c>
      <c r="O46" s="24">
        <f t="shared" si="11"/>
        <v>0</v>
      </c>
      <c r="P46" s="25" t="str">
        <f t="shared" si="12"/>
        <v>IDEAL</v>
      </c>
      <c r="Q46" s="26" t="e">
        <f t="shared" si="13"/>
        <v>#DIV/0!</v>
      </c>
      <c r="R46" s="4">
        <v>0</v>
      </c>
      <c r="S46" s="108">
        <v>0</v>
      </c>
      <c r="T46" s="109">
        <f t="shared" si="8"/>
        <v>0</v>
      </c>
      <c r="U46" s="87">
        <v>0</v>
      </c>
      <c r="V46" s="97">
        <f t="shared" si="14"/>
        <v>0</v>
      </c>
      <c r="W46" s="105">
        <f t="shared" si="15"/>
        <v>0</v>
      </c>
      <c r="X46" s="107">
        <f t="shared" si="16"/>
        <v>0</v>
      </c>
    </row>
    <row r="47" spans="1:24" ht="20.25" customHeight="1" x14ac:dyDescent="0.25">
      <c r="A47" s="19" t="s">
        <v>55</v>
      </c>
      <c r="B47" s="40"/>
      <c r="C47" s="40"/>
      <c r="D47" s="54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0</v>
      </c>
      <c r="M47" s="22">
        <f t="shared" si="9"/>
        <v>0</v>
      </c>
      <c r="N47" s="23">
        <f t="shared" si="10"/>
        <v>0</v>
      </c>
      <c r="O47" s="24">
        <f t="shared" si="11"/>
        <v>0</v>
      </c>
      <c r="P47" s="25" t="str">
        <f t="shared" si="12"/>
        <v>IDEAL</v>
      </c>
      <c r="Q47" s="26" t="e">
        <f t="shared" si="13"/>
        <v>#DIV/0!</v>
      </c>
      <c r="R47" s="4">
        <v>0</v>
      </c>
      <c r="S47" s="108">
        <v>0</v>
      </c>
      <c r="T47" s="109">
        <f t="shared" si="8"/>
        <v>0</v>
      </c>
      <c r="U47" s="87">
        <v>0</v>
      </c>
      <c r="V47" s="97">
        <f t="shared" si="14"/>
        <v>0</v>
      </c>
      <c r="W47" s="105">
        <f t="shared" si="15"/>
        <v>0</v>
      </c>
      <c r="X47" s="107">
        <f t="shared" si="16"/>
        <v>0</v>
      </c>
    </row>
    <row r="48" spans="1:24" ht="20.25" customHeight="1" x14ac:dyDescent="0.25">
      <c r="A48" s="19" t="s">
        <v>56</v>
      </c>
      <c r="B48" s="40"/>
      <c r="C48" s="40"/>
      <c r="D48" s="54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  <c r="J48" s="3">
        <v>0</v>
      </c>
      <c r="K48" s="2">
        <v>0</v>
      </c>
      <c r="L48" s="3">
        <v>0</v>
      </c>
      <c r="M48" s="22">
        <f t="shared" si="9"/>
        <v>0</v>
      </c>
      <c r="N48" s="23">
        <f t="shared" si="10"/>
        <v>0</v>
      </c>
      <c r="O48" s="24">
        <f t="shared" si="11"/>
        <v>0</v>
      </c>
      <c r="P48" s="25" t="str">
        <f t="shared" si="12"/>
        <v>IDEAL</v>
      </c>
      <c r="Q48" s="26" t="e">
        <f t="shared" si="13"/>
        <v>#DIV/0!</v>
      </c>
      <c r="R48" s="4">
        <v>0</v>
      </c>
      <c r="S48" s="108">
        <v>0</v>
      </c>
      <c r="T48" s="109">
        <f t="shared" si="8"/>
        <v>0</v>
      </c>
      <c r="U48" s="87">
        <v>0</v>
      </c>
      <c r="V48" s="97">
        <f t="shared" si="14"/>
        <v>0</v>
      </c>
      <c r="W48" s="105">
        <f t="shared" si="15"/>
        <v>0</v>
      </c>
      <c r="X48" s="107">
        <f t="shared" si="16"/>
        <v>0</v>
      </c>
    </row>
    <row r="49" spans="1:24" ht="20.25" customHeight="1" x14ac:dyDescent="0.25">
      <c r="A49" s="19" t="s">
        <v>57</v>
      </c>
      <c r="B49" s="40"/>
      <c r="C49" s="40"/>
      <c r="D49" s="54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  <c r="J49" s="3">
        <v>0</v>
      </c>
      <c r="K49" s="2">
        <v>0</v>
      </c>
      <c r="L49" s="3">
        <v>0</v>
      </c>
      <c r="M49" s="22">
        <f t="shared" si="9"/>
        <v>0</v>
      </c>
      <c r="N49" s="23">
        <f t="shared" si="10"/>
        <v>0</v>
      </c>
      <c r="O49" s="24">
        <f t="shared" si="11"/>
        <v>0</v>
      </c>
      <c r="P49" s="25" t="str">
        <f t="shared" si="12"/>
        <v>IDEAL</v>
      </c>
      <c r="Q49" s="26" t="e">
        <f t="shared" si="13"/>
        <v>#DIV/0!</v>
      </c>
      <c r="R49" s="4">
        <v>0</v>
      </c>
      <c r="S49" s="108">
        <v>0</v>
      </c>
      <c r="T49" s="109">
        <f t="shared" si="8"/>
        <v>0</v>
      </c>
      <c r="U49" s="87">
        <v>0</v>
      </c>
      <c r="V49" s="97">
        <f t="shared" si="14"/>
        <v>0</v>
      </c>
      <c r="W49" s="105">
        <f t="shared" si="15"/>
        <v>0</v>
      </c>
      <c r="X49" s="107">
        <f t="shared" si="16"/>
        <v>0</v>
      </c>
    </row>
    <row r="50" spans="1:24" ht="20.25" customHeight="1" x14ac:dyDescent="0.25">
      <c r="A50" s="19" t="s">
        <v>58</v>
      </c>
      <c r="B50" s="40"/>
      <c r="C50" s="40"/>
      <c r="D50" s="54">
        <v>0</v>
      </c>
      <c r="E50" s="9">
        <v>0</v>
      </c>
      <c r="F50" s="6">
        <v>0</v>
      </c>
      <c r="G50" s="2">
        <v>0</v>
      </c>
      <c r="H50" s="3">
        <v>0</v>
      </c>
      <c r="I50" s="2">
        <v>0</v>
      </c>
      <c r="J50" s="3">
        <v>0</v>
      </c>
      <c r="K50" s="2">
        <v>0</v>
      </c>
      <c r="L50" s="3">
        <v>0</v>
      </c>
      <c r="M50" s="22">
        <f t="shared" si="9"/>
        <v>0</v>
      </c>
      <c r="N50" s="23">
        <f t="shared" si="10"/>
        <v>0</v>
      </c>
      <c r="O50" s="24">
        <f t="shared" si="11"/>
        <v>0</v>
      </c>
      <c r="P50" s="25" t="str">
        <f t="shared" si="12"/>
        <v>IDEAL</v>
      </c>
      <c r="Q50" s="26" t="e">
        <f t="shared" si="13"/>
        <v>#DIV/0!</v>
      </c>
      <c r="R50" s="4">
        <v>0</v>
      </c>
      <c r="S50" s="108">
        <v>0</v>
      </c>
      <c r="T50" s="109">
        <f t="shared" si="8"/>
        <v>0</v>
      </c>
      <c r="U50" s="87">
        <v>0</v>
      </c>
      <c r="V50" s="97">
        <f t="shared" si="14"/>
        <v>0</v>
      </c>
      <c r="W50" s="105">
        <f t="shared" si="15"/>
        <v>0</v>
      </c>
      <c r="X50" s="107">
        <f t="shared" si="16"/>
        <v>0</v>
      </c>
    </row>
    <row r="51" spans="1:24" ht="20.25" customHeight="1" x14ac:dyDescent="0.25">
      <c r="A51" s="19" t="s">
        <v>59</v>
      </c>
      <c r="B51" s="43"/>
      <c r="C51" s="43"/>
      <c r="D51" s="54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0</v>
      </c>
      <c r="M51" s="22">
        <f t="shared" si="9"/>
        <v>0</v>
      </c>
      <c r="N51" s="23">
        <f t="shared" si="10"/>
        <v>0</v>
      </c>
      <c r="O51" s="24">
        <f t="shared" si="11"/>
        <v>0</v>
      </c>
      <c r="P51" s="25" t="str">
        <f t="shared" si="12"/>
        <v>IDEAL</v>
      </c>
      <c r="Q51" s="26" t="e">
        <f t="shared" si="13"/>
        <v>#DIV/0!</v>
      </c>
      <c r="R51" s="4">
        <v>0</v>
      </c>
      <c r="S51" s="108">
        <v>0</v>
      </c>
      <c r="T51" s="109">
        <f t="shared" si="8"/>
        <v>0</v>
      </c>
      <c r="U51" s="87">
        <v>0</v>
      </c>
      <c r="V51" s="97">
        <f t="shared" si="14"/>
        <v>0</v>
      </c>
      <c r="W51" s="105">
        <f t="shared" si="15"/>
        <v>0</v>
      </c>
      <c r="X51" s="107">
        <f t="shared" si="16"/>
        <v>0</v>
      </c>
    </row>
    <row r="52" spans="1:24" ht="20.25" customHeight="1" x14ac:dyDescent="0.25">
      <c r="A52" s="19" t="s">
        <v>60</v>
      </c>
      <c r="B52" s="43"/>
      <c r="C52" s="43"/>
      <c r="D52" s="54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  <c r="J52" s="3">
        <v>0</v>
      </c>
      <c r="K52" s="2">
        <v>0</v>
      </c>
      <c r="L52" s="3">
        <v>0</v>
      </c>
      <c r="M52" s="22">
        <f t="shared" si="9"/>
        <v>0</v>
      </c>
      <c r="N52" s="23">
        <f t="shared" si="10"/>
        <v>0</v>
      </c>
      <c r="O52" s="24">
        <f t="shared" si="11"/>
        <v>0</v>
      </c>
      <c r="P52" s="25" t="str">
        <f t="shared" si="12"/>
        <v>IDEAL</v>
      </c>
      <c r="Q52" s="26" t="e">
        <f t="shared" si="13"/>
        <v>#DIV/0!</v>
      </c>
      <c r="R52" s="4">
        <v>0</v>
      </c>
      <c r="S52" s="108">
        <v>0</v>
      </c>
      <c r="T52" s="109">
        <f t="shared" si="8"/>
        <v>0</v>
      </c>
      <c r="U52" s="87">
        <v>0</v>
      </c>
      <c r="V52" s="97">
        <f t="shared" si="14"/>
        <v>0</v>
      </c>
      <c r="W52" s="105">
        <f t="shared" si="15"/>
        <v>0</v>
      </c>
      <c r="X52" s="107">
        <f t="shared" si="16"/>
        <v>0</v>
      </c>
    </row>
    <row r="53" spans="1:24" ht="20.25" customHeight="1" x14ac:dyDescent="0.25">
      <c r="A53" s="19" t="s">
        <v>61</v>
      </c>
      <c r="B53" s="43"/>
      <c r="C53" s="43"/>
      <c r="D53" s="54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0</v>
      </c>
      <c r="M53" s="22">
        <f t="shared" si="9"/>
        <v>0</v>
      </c>
      <c r="N53" s="23">
        <f t="shared" si="10"/>
        <v>0</v>
      </c>
      <c r="O53" s="24">
        <f t="shared" si="11"/>
        <v>0</v>
      </c>
      <c r="P53" s="25" t="str">
        <f t="shared" si="12"/>
        <v>IDEAL</v>
      </c>
      <c r="Q53" s="26" t="e">
        <f t="shared" si="13"/>
        <v>#DIV/0!</v>
      </c>
      <c r="R53" s="4">
        <v>0</v>
      </c>
      <c r="S53" s="108">
        <v>0</v>
      </c>
      <c r="T53" s="109">
        <f t="shared" si="8"/>
        <v>0</v>
      </c>
      <c r="U53" s="87">
        <v>0</v>
      </c>
      <c r="V53" s="97">
        <f t="shared" si="14"/>
        <v>0</v>
      </c>
      <c r="W53" s="105">
        <f t="shared" si="15"/>
        <v>0</v>
      </c>
      <c r="X53" s="107">
        <f t="shared" si="16"/>
        <v>0</v>
      </c>
    </row>
    <row r="54" spans="1:24" ht="20.25" customHeight="1" x14ac:dyDescent="0.25">
      <c r="A54" s="19" t="s">
        <v>62</v>
      </c>
      <c r="B54" s="43"/>
      <c r="C54" s="43"/>
      <c r="D54" s="54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</v>
      </c>
      <c r="M54" s="22">
        <f t="shared" si="9"/>
        <v>0</v>
      </c>
      <c r="N54" s="23">
        <f t="shared" si="10"/>
        <v>0</v>
      </c>
      <c r="O54" s="24">
        <f t="shared" si="11"/>
        <v>0</v>
      </c>
      <c r="P54" s="25" t="str">
        <f t="shared" si="12"/>
        <v>IDEAL</v>
      </c>
      <c r="Q54" s="26" t="e">
        <f t="shared" si="13"/>
        <v>#DIV/0!</v>
      </c>
      <c r="R54" s="4">
        <v>0</v>
      </c>
      <c r="S54" s="108">
        <v>0</v>
      </c>
      <c r="T54" s="109">
        <f t="shared" si="8"/>
        <v>0</v>
      </c>
      <c r="U54" s="87">
        <v>0</v>
      </c>
      <c r="V54" s="97">
        <f t="shared" si="14"/>
        <v>0</v>
      </c>
      <c r="W54" s="105">
        <f t="shared" si="15"/>
        <v>0</v>
      </c>
      <c r="X54" s="107">
        <f t="shared" si="16"/>
        <v>0</v>
      </c>
    </row>
    <row r="55" spans="1:24" ht="20.25" customHeight="1" x14ac:dyDescent="0.25">
      <c r="A55" s="19" t="s">
        <v>63</v>
      </c>
      <c r="B55" s="43"/>
      <c r="C55" s="43"/>
      <c r="D55" s="54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</v>
      </c>
      <c r="M55" s="22">
        <f t="shared" si="9"/>
        <v>0</v>
      </c>
      <c r="N55" s="23">
        <f t="shared" si="10"/>
        <v>0</v>
      </c>
      <c r="O55" s="24">
        <f t="shared" si="11"/>
        <v>0</v>
      </c>
      <c r="P55" s="25" t="str">
        <f t="shared" si="12"/>
        <v>IDEAL</v>
      </c>
      <c r="Q55" s="26" t="e">
        <f t="shared" si="13"/>
        <v>#DIV/0!</v>
      </c>
      <c r="R55" s="4">
        <v>0</v>
      </c>
      <c r="S55" s="108">
        <v>0</v>
      </c>
      <c r="T55" s="109">
        <f t="shared" si="8"/>
        <v>0</v>
      </c>
      <c r="U55" s="87">
        <v>0</v>
      </c>
      <c r="V55" s="97">
        <f t="shared" si="14"/>
        <v>0</v>
      </c>
      <c r="W55" s="105">
        <f t="shared" si="15"/>
        <v>0</v>
      </c>
      <c r="X55" s="107">
        <f t="shared" si="16"/>
        <v>0</v>
      </c>
    </row>
    <row r="56" spans="1:24" ht="20.25" customHeight="1" x14ac:dyDescent="0.25">
      <c r="A56" s="19" t="s">
        <v>64</v>
      </c>
      <c r="B56" s="43"/>
      <c r="C56" s="46"/>
      <c r="D56" s="57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  <c r="J56" s="3">
        <v>0</v>
      </c>
      <c r="K56" s="2">
        <v>0</v>
      </c>
      <c r="L56" s="3">
        <v>0</v>
      </c>
      <c r="M56" s="22">
        <f t="shared" si="9"/>
        <v>0</v>
      </c>
      <c r="N56" s="23">
        <f t="shared" si="10"/>
        <v>0</v>
      </c>
      <c r="O56" s="24">
        <f t="shared" si="11"/>
        <v>0</v>
      </c>
      <c r="P56" s="25" t="str">
        <f t="shared" si="12"/>
        <v>IDEAL</v>
      </c>
      <c r="Q56" s="26" t="e">
        <f t="shared" si="13"/>
        <v>#DIV/0!</v>
      </c>
      <c r="R56" s="7">
        <v>0</v>
      </c>
      <c r="S56" s="108">
        <v>0</v>
      </c>
      <c r="T56" s="109">
        <f t="shared" si="8"/>
        <v>0</v>
      </c>
      <c r="U56" s="90">
        <v>0</v>
      </c>
      <c r="V56" s="97">
        <f t="shared" si="14"/>
        <v>0</v>
      </c>
      <c r="W56" s="105">
        <f t="shared" si="15"/>
        <v>0</v>
      </c>
      <c r="X56" s="107">
        <f t="shared" si="16"/>
        <v>0</v>
      </c>
    </row>
    <row r="57" spans="1:24" ht="20.25" customHeight="1" x14ac:dyDescent="0.25">
      <c r="A57" s="19" t="s">
        <v>65</v>
      </c>
      <c r="B57" s="43"/>
      <c r="C57" s="43"/>
      <c r="D57" s="54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  <c r="J57" s="3">
        <v>0</v>
      </c>
      <c r="K57" s="2">
        <v>0</v>
      </c>
      <c r="L57" s="3">
        <v>0</v>
      </c>
      <c r="M57" s="22">
        <f t="shared" si="9"/>
        <v>0</v>
      </c>
      <c r="N57" s="23">
        <f t="shared" si="10"/>
        <v>0</v>
      </c>
      <c r="O57" s="24">
        <f t="shared" si="11"/>
        <v>0</v>
      </c>
      <c r="P57" s="25" t="str">
        <f t="shared" si="12"/>
        <v>IDEAL</v>
      </c>
      <c r="Q57" s="26" t="e">
        <f t="shared" si="13"/>
        <v>#DIV/0!</v>
      </c>
      <c r="R57" s="8">
        <v>0</v>
      </c>
      <c r="S57" s="108">
        <v>0</v>
      </c>
      <c r="T57" s="109">
        <f t="shared" si="8"/>
        <v>0</v>
      </c>
      <c r="U57" s="91">
        <v>0</v>
      </c>
      <c r="V57" s="97">
        <f t="shared" si="14"/>
        <v>0</v>
      </c>
      <c r="W57" s="105">
        <f t="shared" si="15"/>
        <v>0</v>
      </c>
      <c r="X57" s="107">
        <f t="shared" si="16"/>
        <v>0</v>
      </c>
    </row>
    <row r="58" spans="1:24" ht="20.25" customHeight="1" x14ac:dyDescent="0.25">
      <c r="A58" s="19" t="s">
        <v>66</v>
      </c>
      <c r="B58" s="43"/>
      <c r="C58" s="43"/>
      <c r="D58" s="54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  <c r="J58" s="3">
        <v>0</v>
      </c>
      <c r="K58" s="2">
        <v>0</v>
      </c>
      <c r="L58" s="3">
        <v>0</v>
      </c>
      <c r="M58" s="22">
        <f t="shared" si="9"/>
        <v>0</v>
      </c>
      <c r="N58" s="23">
        <f t="shared" si="10"/>
        <v>0</v>
      </c>
      <c r="O58" s="24">
        <f t="shared" si="11"/>
        <v>0</v>
      </c>
      <c r="P58" s="25" t="str">
        <f t="shared" si="12"/>
        <v>IDEAL</v>
      </c>
      <c r="Q58" s="26" t="e">
        <f t="shared" si="13"/>
        <v>#DIV/0!</v>
      </c>
      <c r="R58" s="8">
        <v>0</v>
      </c>
      <c r="S58" s="108">
        <v>0</v>
      </c>
      <c r="T58" s="109">
        <f t="shared" si="8"/>
        <v>0</v>
      </c>
      <c r="U58" s="91">
        <v>0</v>
      </c>
      <c r="V58" s="97">
        <f t="shared" si="14"/>
        <v>0</v>
      </c>
      <c r="W58" s="105">
        <f t="shared" si="15"/>
        <v>0</v>
      </c>
      <c r="X58" s="107">
        <f t="shared" si="16"/>
        <v>0</v>
      </c>
    </row>
    <row r="59" spans="1:24" ht="20.25" customHeight="1" x14ac:dyDescent="0.25">
      <c r="A59" s="19" t="s">
        <v>67</v>
      </c>
      <c r="B59" s="43"/>
      <c r="C59" s="43"/>
      <c r="D59" s="54">
        <v>0</v>
      </c>
      <c r="E59" s="2">
        <v>0</v>
      </c>
      <c r="F59" s="2">
        <v>0</v>
      </c>
      <c r="G59" s="3">
        <v>0</v>
      </c>
      <c r="H59" s="2">
        <v>0</v>
      </c>
      <c r="I59" s="2">
        <v>0</v>
      </c>
      <c r="J59" s="2">
        <v>0</v>
      </c>
      <c r="K59" s="3">
        <v>0</v>
      </c>
      <c r="L59" s="2">
        <v>0</v>
      </c>
      <c r="M59" s="22">
        <f t="shared" si="9"/>
        <v>0</v>
      </c>
      <c r="N59" s="23">
        <f t="shared" si="10"/>
        <v>0</v>
      </c>
      <c r="O59" s="24">
        <f t="shared" si="11"/>
        <v>0</v>
      </c>
      <c r="P59" s="25" t="str">
        <f t="shared" si="12"/>
        <v>IDEAL</v>
      </c>
      <c r="Q59" s="26" t="e">
        <f t="shared" si="13"/>
        <v>#DIV/0!</v>
      </c>
      <c r="R59" s="8">
        <v>0</v>
      </c>
      <c r="S59" s="108">
        <v>0</v>
      </c>
      <c r="T59" s="109">
        <f t="shared" si="8"/>
        <v>0</v>
      </c>
      <c r="U59" s="91">
        <v>0</v>
      </c>
      <c r="V59" s="97">
        <f t="shared" si="14"/>
        <v>0</v>
      </c>
      <c r="W59" s="105">
        <f t="shared" si="15"/>
        <v>0</v>
      </c>
      <c r="X59" s="107">
        <f t="shared" si="16"/>
        <v>0</v>
      </c>
    </row>
    <row r="60" spans="1:24" ht="20.25" customHeight="1" x14ac:dyDescent="0.25">
      <c r="A60" s="19" t="s">
        <v>68</v>
      </c>
      <c r="B60" s="43"/>
      <c r="C60" s="43"/>
      <c r="D60" s="54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  <c r="J60" s="3">
        <v>0</v>
      </c>
      <c r="K60" s="2">
        <v>0</v>
      </c>
      <c r="L60" s="3">
        <v>0</v>
      </c>
      <c r="M60" s="22">
        <f t="shared" si="9"/>
        <v>0</v>
      </c>
      <c r="N60" s="23">
        <f t="shared" si="10"/>
        <v>0</v>
      </c>
      <c r="O60" s="24">
        <f t="shared" si="11"/>
        <v>0</v>
      </c>
      <c r="P60" s="25" t="str">
        <f t="shared" si="12"/>
        <v>IDEAL</v>
      </c>
      <c r="Q60" s="26" t="e">
        <f t="shared" si="13"/>
        <v>#DIV/0!</v>
      </c>
      <c r="R60" s="8">
        <v>0</v>
      </c>
      <c r="S60" s="108">
        <v>0</v>
      </c>
      <c r="T60" s="109">
        <f t="shared" si="8"/>
        <v>0</v>
      </c>
      <c r="U60" s="91">
        <v>0</v>
      </c>
      <c r="V60" s="97">
        <f t="shared" si="14"/>
        <v>0</v>
      </c>
      <c r="W60" s="105">
        <f t="shared" si="15"/>
        <v>0</v>
      </c>
      <c r="X60" s="107">
        <f t="shared" si="16"/>
        <v>0</v>
      </c>
    </row>
    <row r="61" spans="1:24" ht="20.25" customHeight="1" x14ac:dyDescent="0.25">
      <c r="A61" s="19" t="s">
        <v>69</v>
      </c>
      <c r="B61" s="44"/>
      <c r="C61" s="44"/>
      <c r="D61" s="54">
        <v>0</v>
      </c>
      <c r="E61" s="2">
        <v>0</v>
      </c>
      <c r="F61" s="2">
        <v>0</v>
      </c>
      <c r="G61" s="3">
        <v>0</v>
      </c>
      <c r="H61" s="2">
        <v>0</v>
      </c>
      <c r="I61" s="2">
        <v>0</v>
      </c>
      <c r="J61" s="2">
        <v>0</v>
      </c>
      <c r="K61" s="3">
        <v>0</v>
      </c>
      <c r="L61" s="2">
        <v>0</v>
      </c>
      <c r="M61" s="22">
        <f t="shared" si="9"/>
        <v>0</v>
      </c>
      <c r="N61" s="23">
        <f t="shared" si="10"/>
        <v>0</v>
      </c>
      <c r="O61" s="24">
        <f t="shared" si="11"/>
        <v>0</v>
      </c>
      <c r="P61" s="25" t="str">
        <f t="shared" si="12"/>
        <v>IDEAL</v>
      </c>
      <c r="Q61" s="26" t="e">
        <f t="shared" si="13"/>
        <v>#DIV/0!</v>
      </c>
      <c r="R61" s="8">
        <v>0</v>
      </c>
      <c r="S61" s="108">
        <v>0</v>
      </c>
      <c r="T61" s="109">
        <f t="shared" si="8"/>
        <v>0</v>
      </c>
      <c r="U61" s="91">
        <v>0</v>
      </c>
      <c r="V61" s="97">
        <f t="shared" si="14"/>
        <v>0</v>
      </c>
      <c r="W61" s="105">
        <f t="shared" si="15"/>
        <v>0</v>
      </c>
      <c r="X61" s="107">
        <f t="shared" si="16"/>
        <v>0</v>
      </c>
    </row>
    <row r="62" spans="1:24" ht="20.25" customHeight="1" x14ac:dyDescent="0.25">
      <c r="A62" s="19" t="s">
        <v>70</v>
      </c>
      <c r="B62" s="44"/>
      <c r="C62" s="47"/>
      <c r="D62" s="57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  <c r="J62" s="3">
        <v>0</v>
      </c>
      <c r="K62" s="2">
        <v>0</v>
      </c>
      <c r="L62" s="3">
        <v>0</v>
      </c>
      <c r="M62" s="22">
        <f t="shared" si="9"/>
        <v>0</v>
      </c>
      <c r="N62" s="23">
        <f t="shared" si="10"/>
        <v>0</v>
      </c>
      <c r="O62" s="24">
        <f t="shared" si="11"/>
        <v>0</v>
      </c>
      <c r="P62" s="25" t="str">
        <f t="shared" si="12"/>
        <v>IDEAL</v>
      </c>
      <c r="Q62" s="26" t="e">
        <f t="shared" si="13"/>
        <v>#DIV/0!</v>
      </c>
      <c r="R62" s="4">
        <v>0</v>
      </c>
      <c r="S62" s="108">
        <v>0</v>
      </c>
      <c r="T62" s="109">
        <f t="shared" si="8"/>
        <v>0</v>
      </c>
      <c r="U62" s="91">
        <v>0</v>
      </c>
      <c r="V62" s="97">
        <f t="shared" si="14"/>
        <v>0</v>
      </c>
      <c r="W62" s="105">
        <f t="shared" si="15"/>
        <v>0</v>
      </c>
      <c r="X62" s="107">
        <f t="shared" si="16"/>
        <v>0</v>
      </c>
    </row>
    <row r="63" spans="1:24" ht="20.25" customHeight="1" x14ac:dyDescent="0.25">
      <c r="A63" s="19" t="s">
        <v>71</v>
      </c>
      <c r="B63" s="44"/>
      <c r="C63" s="44"/>
      <c r="D63" s="54">
        <v>0</v>
      </c>
      <c r="E63" s="2">
        <v>0</v>
      </c>
      <c r="F63" s="3">
        <v>0</v>
      </c>
      <c r="G63" s="2">
        <v>0</v>
      </c>
      <c r="H63" s="3">
        <v>0</v>
      </c>
      <c r="I63" s="2">
        <v>0</v>
      </c>
      <c r="J63" s="3">
        <v>0</v>
      </c>
      <c r="K63" s="2">
        <v>0</v>
      </c>
      <c r="L63" s="3">
        <v>0</v>
      </c>
      <c r="M63" s="22">
        <f t="shared" si="9"/>
        <v>0</v>
      </c>
      <c r="N63" s="23">
        <f t="shared" si="10"/>
        <v>0</v>
      </c>
      <c r="O63" s="24">
        <f t="shared" si="11"/>
        <v>0</v>
      </c>
      <c r="P63" s="25" t="str">
        <f t="shared" si="12"/>
        <v>IDEAL</v>
      </c>
      <c r="Q63" s="26" t="e">
        <f t="shared" si="13"/>
        <v>#DIV/0!</v>
      </c>
      <c r="R63" s="11">
        <v>0</v>
      </c>
      <c r="S63" s="108">
        <v>0</v>
      </c>
      <c r="T63" s="109">
        <f t="shared" si="8"/>
        <v>0</v>
      </c>
      <c r="U63" s="86">
        <v>0</v>
      </c>
      <c r="V63" s="97">
        <f t="shared" si="14"/>
        <v>0</v>
      </c>
      <c r="W63" s="105">
        <f t="shared" si="15"/>
        <v>0</v>
      </c>
      <c r="X63" s="107">
        <f t="shared" si="16"/>
        <v>0</v>
      </c>
    </row>
    <row r="64" spans="1:24" ht="20.25" customHeight="1" x14ac:dyDescent="0.25">
      <c r="A64" s="19" t="s">
        <v>72</v>
      </c>
      <c r="B64" s="44"/>
      <c r="C64" s="44"/>
      <c r="D64" s="54">
        <v>0</v>
      </c>
      <c r="E64" s="2">
        <v>0</v>
      </c>
      <c r="F64" s="3">
        <v>0</v>
      </c>
      <c r="G64" s="2">
        <v>0</v>
      </c>
      <c r="H64" s="3">
        <v>0</v>
      </c>
      <c r="I64" s="2">
        <v>0</v>
      </c>
      <c r="J64" s="3">
        <v>0</v>
      </c>
      <c r="K64" s="2">
        <v>0</v>
      </c>
      <c r="L64" s="3">
        <v>0</v>
      </c>
      <c r="M64" s="22">
        <f t="shared" si="9"/>
        <v>0</v>
      </c>
      <c r="N64" s="23">
        <f t="shared" si="10"/>
        <v>0</v>
      </c>
      <c r="O64" s="24">
        <f t="shared" si="11"/>
        <v>0</v>
      </c>
      <c r="P64" s="25" t="str">
        <f t="shared" si="12"/>
        <v>IDEAL</v>
      </c>
      <c r="Q64" s="26" t="e">
        <f t="shared" si="13"/>
        <v>#DIV/0!</v>
      </c>
      <c r="R64" s="4">
        <v>0</v>
      </c>
      <c r="S64" s="108">
        <v>0</v>
      </c>
      <c r="T64" s="109">
        <f t="shared" si="8"/>
        <v>0</v>
      </c>
      <c r="U64" s="87">
        <v>0</v>
      </c>
      <c r="V64" s="97">
        <f t="shared" si="14"/>
        <v>0</v>
      </c>
      <c r="W64" s="105">
        <f t="shared" si="15"/>
        <v>0</v>
      </c>
      <c r="X64" s="107">
        <f t="shared" si="16"/>
        <v>0</v>
      </c>
    </row>
    <row r="65" spans="1:24" ht="20.25" customHeight="1" x14ac:dyDescent="0.25">
      <c r="A65" s="19" t="s">
        <v>73</v>
      </c>
      <c r="B65" s="44"/>
      <c r="C65" s="44"/>
      <c r="D65" s="54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  <c r="J65" s="3">
        <v>0</v>
      </c>
      <c r="K65" s="2">
        <v>0</v>
      </c>
      <c r="L65" s="3">
        <v>0</v>
      </c>
      <c r="M65" s="22">
        <f t="shared" si="9"/>
        <v>0</v>
      </c>
      <c r="N65" s="23">
        <f t="shared" si="10"/>
        <v>0</v>
      </c>
      <c r="O65" s="24">
        <f t="shared" si="11"/>
        <v>0</v>
      </c>
      <c r="P65" s="25" t="str">
        <f t="shared" si="12"/>
        <v>IDEAL</v>
      </c>
      <c r="Q65" s="26" t="e">
        <f t="shared" si="13"/>
        <v>#DIV/0!</v>
      </c>
      <c r="R65" s="4">
        <v>0</v>
      </c>
      <c r="S65" s="108">
        <v>0</v>
      </c>
      <c r="T65" s="109">
        <f t="shared" si="8"/>
        <v>0</v>
      </c>
      <c r="U65" s="87">
        <v>0</v>
      </c>
      <c r="V65" s="97">
        <f t="shared" si="14"/>
        <v>0</v>
      </c>
      <c r="W65" s="105">
        <f t="shared" si="15"/>
        <v>0</v>
      </c>
      <c r="X65" s="107">
        <f t="shared" si="16"/>
        <v>0</v>
      </c>
    </row>
    <row r="66" spans="1:24" ht="20.25" customHeight="1" x14ac:dyDescent="0.25">
      <c r="A66" s="19" t="s">
        <v>74</v>
      </c>
      <c r="B66" s="40"/>
      <c r="C66" s="40"/>
      <c r="D66" s="54">
        <v>0</v>
      </c>
      <c r="E66" s="2">
        <v>0</v>
      </c>
      <c r="F66" s="3">
        <v>0</v>
      </c>
      <c r="G66" s="2">
        <v>0</v>
      </c>
      <c r="H66" s="3">
        <v>0</v>
      </c>
      <c r="I66" s="2">
        <v>0</v>
      </c>
      <c r="J66" s="3">
        <v>0</v>
      </c>
      <c r="K66" s="2">
        <v>0</v>
      </c>
      <c r="L66" s="3">
        <v>0</v>
      </c>
      <c r="M66" s="22">
        <f t="shared" si="9"/>
        <v>0</v>
      </c>
      <c r="N66" s="23">
        <f t="shared" si="10"/>
        <v>0</v>
      </c>
      <c r="O66" s="24">
        <f t="shared" si="11"/>
        <v>0</v>
      </c>
      <c r="P66" s="25" t="str">
        <f t="shared" si="12"/>
        <v>IDEAL</v>
      </c>
      <c r="Q66" s="26" t="e">
        <f t="shared" si="13"/>
        <v>#DIV/0!</v>
      </c>
      <c r="R66" s="4">
        <v>0</v>
      </c>
      <c r="S66" s="108">
        <v>0</v>
      </c>
      <c r="T66" s="109">
        <f t="shared" si="8"/>
        <v>0</v>
      </c>
      <c r="U66" s="87">
        <v>0</v>
      </c>
      <c r="V66" s="97">
        <f t="shared" si="14"/>
        <v>0</v>
      </c>
      <c r="W66" s="105">
        <f t="shared" si="15"/>
        <v>0</v>
      </c>
      <c r="X66" s="107">
        <f t="shared" si="16"/>
        <v>0</v>
      </c>
    </row>
    <row r="67" spans="1:24" ht="20.25" customHeight="1" x14ac:dyDescent="0.25">
      <c r="A67" s="20" t="s">
        <v>75</v>
      </c>
      <c r="B67" s="45"/>
      <c r="C67" s="45"/>
      <c r="D67" s="57">
        <v>0</v>
      </c>
      <c r="E67" s="2">
        <v>0</v>
      </c>
      <c r="F67" s="3">
        <v>0</v>
      </c>
      <c r="G67" s="2">
        <v>0</v>
      </c>
      <c r="H67" s="3">
        <v>0</v>
      </c>
      <c r="I67" s="2">
        <v>0</v>
      </c>
      <c r="J67" s="3">
        <v>0</v>
      </c>
      <c r="K67" s="2">
        <v>0</v>
      </c>
      <c r="L67" s="3">
        <v>0</v>
      </c>
      <c r="M67" s="22">
        <f t="shared" si="9"/>
        <v>0</v>
      </c>
      <c r="N67" s="23">
        <f t="shared" si="10"/>
        <v>0</v>
      </c>
      <c r="O67" s="24">
        <f t="shared" si="11"/>
        <v>0</v>
      </c>
      <c r="P67" s="25" t="str">
        <f t="shared" si="12"/>
        <v>IDEAL</v>
      </c>
      <c r="Q67" s="26" t="e">
        <f t="shared" si="13"/>
        <v>#DIV/0!</v>
      </c>
      <c r="R67" s="7">
        <v>0</v>
      </c>
      <c r="S67" s="108">
        <v>0</v>
      </c>
      <c r="T67" s="109">
        <f t="shared" si="8"/>
        <v>0</v>
      </c>
      <c r="U67" s="90">
        <v>0</v>
      </c>
      <c r="V67" s="97">
        <f t="shared" si="14"/>
        <v>0</v>
      </c>
      <c r="W67" s="105">
        <f t="shared" si="15"/>
        <v>0</v>
      </c>
      <c r="X67" s="107">
        <f t="shared" si="16"/>
        <v>0</v>
      </c>
    </row>
    <row r="68" spans="1:24" ht="20.25" customHeight="1" x14ac:dyDescent="0.25">
      <c r="A68" s="21">
        <v>59</v>
      </c>
      <c r="B68" s="40"/>
      <c r="C68" s="40"/>
      <c r="D68" s="54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  <c r="J68" s="3">
        <v>0</v>
      </c>
      <c r="K68" s="2">
        <v>0</v>
      </c>
      <c r="L68" s="3">
        <v>0</v>
      </c>
      <c r="M68" s="22">
        <f t="shared" si="9"/>
        <v>0</v>
      </c>
      <c r="N68" s="23">
        <f t="shared" si="10"/>
        <v>0</v>
      </c>
      <c r="O68" s="24">
        <f t="shared" si="11"/>
        <v>0</v>
      </c>
      <c r="P68" s="25" t="str">
        <f t="shared" si="12"/>
        <v>IDEAL</v>
      </c>
      <c r="Q68" s="26" t="e">
        <f t="shared" si="13"/>
        <v>#DIV/0!</v>
      </c>
      <c r="R68" s="8">
        <v>0</v>
      </c>
      <c r="S68" s="108">
        <v>0</v>
      </c>
      <c r="T68" s="109">
        <f t="shared" si="8"/>
        <v>0</v>
      </c>
      <c r="U68" s="91">
        <v>0</v>
      </c>
      <c r="V68" s="97">
        <f t="shared" si="14"/>
        <v>0</v>
      </c>
      <c r="W68" s="105">
        <f t="shared" si="15"/>
        <v>0</v>
      </c>
      <c r="X68" s="107">
        <f t="shared" si="16"/>
        <v>0</v>
      </c>
    </row>
    <row r="69" spans="1:24" ht="20.25" customHeight="1" x14ac:dyDescent="0.25">
      <c r="A69" s="36">
        <v>60</v>
      </c>
      <c r="B69" s="40"/>
      <c r="C69" s="40"/>
      <c r="D69" s="54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0</v>
      </c>
      <c r="M69" s="22">
        <f t="shared" si="9"/>
        <v>0</v>
      </c>
      <c r="N69" s="23">
        <f t="shared" si="10"/>
        <v>0</v>
      </c>
      <c r="O69" s="24">
        <f t="shared" si="11"/>
        <v>0</v>
      </c>
      <c r="P69" s="25" t="str">
        <f t="shared" si="12"/>
        <v>IDEAL</v>
      </c>
      <c r="Q69" s="26" t="e">
        <f t="shared" si="13"/>
        <v>#DIV/0!</v>
      </c>
      <c r="R69" s="8">
        <v>0</v>
      </c>
      <c r="S69" s="108">
        <v>0</v>
      </c>
      <c r="T69" s="109">
        <f t="shared" si="8"/>
        <v>0</v>
      </c>
      <c r="U69" s="91">
        <v>0</v>
      </c>
      <c r="V69" s="97">
        <f t="shared" si="14"/>
        <v>0</v>
      </c>
      <c r="W69" s="105">
        <f t="shared" si="15"/>
        <v>0</v>
      </c>
      <c r="X69" s="107">
        <f t="shared" si="16"/>
        <v>0</v>
      </c>
    </row>
    <row r="70" spans="1:24" ht="20.25" customHeight="1" x14ac:dyDescent="0.25">
      <c r="A70" s="36">
        <v>61</v>
      </c>
      <c r="B70" s="40"/>
      <c r="C70" s="40"/>
      <c r="D70" s="54">
        <v>0</v>
      </c>
      <c r="E70" s="2">
        <v>0</v>
      </c>
      <c r="F70" s="3">
        <v>0</v>
      </c>
      <c r="G70" s="2">
        <v>0</v>
      </c>
      <c r="H70" s="3">
        <v>0</v>
      </c>
      <c r="I70" s="2">
        <v>0</v>
      </c>
      <c r="J70" s="3">
        <v>0</v>
      </c>
      <c r="K70" s="2">
        <v>0</v>
      </c>
      <c r="L70" s="3">
        <v>0</v>
      </c>
      <c r="M70" s="22">
        <f t="shared" si="9"/>
        <v>0</v>
      </c>
      <c r="N70" s="23">
        <f t="shared" si="10"/>
        <v>0</v>
      </c>
      <c r="O70" s="24">
        <f t="shared" si="11"/>
        <v>0</v>
      </c>
      <c r="P70" s="25" t="str">
        <f t="shared" si="12"/>
        <v>IDEAL</v>
      </c>
      <c r="Q70" s="26" t="e">
        <f t="shared" si="13"/>
        <v>#DIV/0!</v>
      </c>
      <c r="R70" s="8">
        <v>0</v>
      </c>
      <c r="S70" s="108">
        <v>0</v>
      </c>
      <c r="T70" s="109">
        <f t="shared" si="8"/>
        <v>0</v>
      </c>
      <c r="U70" s="91">
        <v>0</v>
      </c>
      <c r="V70" s="97">
        <f t="shared" si="14"/>
        <v>0</v>
      </c>
      <c r="W70" s="105">
        <f t="shared" si="15"/>
        <v>0</v>
      </c>
      <c r="X70" s="107">
        <f t="shared" si="16"/>
        <v>0</v>
      </c>
    </row>
    <row r="71" spans="1:24" ht="20.25" customHeight="1" x14ac:dyDescent="0.25">
      <c r="A71" s="36">
        <v>62</v>
      </c>
      <c r="B71" s="43"/>
      <c r="C71" s="43"/>
      <c r="D71" s="54">
        <v>0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0</v>
      </c>
      <c r="M71" s="22">
        <f t="shared" si="9"/>
        <v>0</v>
      </c>
      <c r="N71" s="23">
        <f t="shared" si="10"/>
        <v>0</v>
      </c>
      <c r="O71" s="24">
        <f t="shared" si="11"/>
        <v>0</v>
      </c>
      <c r="P71" s="25" t="str">
        <f t="shared" si="12"/>
        <v>IDEAL</v>
      </c>
      <c r="Q71" s="26" t="e">
        <f t="shared" si="13"/>
        <v>#DIV/0!</v>
      </c>
      <c r="R71" s="8">
        <v>0</v>
      </c>
      <c r="S71" s="108">
        <v>0</v>
      </c>
      <c r="T71" s="109">
        <f t="shared" si="8"/>
        <v>0</v>
      </c>
      <c r="U71" s="91">
        <v>0</v>
      </c>
      <c r="V71" s="97">
        <f t="shared" si="14"/>
        <v>0</v>
      </c>
      <c r="W71" s="105">
        <f t="shared" si="15"/>
        <v>0</v>
      </c>
      <c r="X71" s="107">
        <f t="shared" si="16"/>
        <v>0</v>
      </c>
    </row>
    <row r="72" spans="1:24" ht="20.25" customHeight="1" x14ac:dyDescent="0.25">
      <c r="A72" s="36">
        <v>63</v>
      </c>
      <c r="B72" s="40"/>
      <c r="C72" s="40"/>
      <c r="D72" s="54">
        <v>0</v>
      </c>
      <c r="E72" s="2">
        <v>0</v>
      </c>
      <c r="F72" s="3">
        <v>0</v>
      </c>
      <c r="G72" s="2">
        <v>0</v>
      </c>
      <c r="H72" s="3">
        <v>0</v>
      </c>
      <c r="I72" s="2">
        <v>0</v>
      </c>
      <c r="J72" s="3">
        <v>0</v>
      </c>
      <c r="K72" s="2">
        <v>0</v>
      </c>
      <c r="L72" s="3">
        <v>0</v>
      </c>
      <c r="M72" s="22">
        <f t="shared" si="9"/>
        <v>0</v>
      </c>
      <c r="N72" s="23">
        <f t="shared" si="10"/>
        <v>0</v>
      </c>
      <c r="O72" s="24">
        <f t="shared" si="11"/>
        <v>0</v>
      </c>
      <c r="P72" s="25" t="str">
        <f t="shared" si="12"/>
        <v>IDEAL</v>
      </c>
      <c r="Q72" s="26" t="e">
        <f t="shared" si="13"/>
        <v>#DIV/0!</v>
      </c>
      <c r="R72" s="8">
        <v>0</v>
      </c>
      <c r="S72" s="108">
        <v>0</v>
      </c>
      <c r="T72" s="109">
        <f t="shared" si="8"/>
        <v>0</v>
      </c>
      <c r="U72" s="91">
        <v>0</v>
      </c>
      <c r="V72" s="97">
        <f t="shared" si="14"/>
        <v>0</v>
      </c>
      <c r="W72" s="105">
        <f t="shared" si="15"/>
        <v>0</v>
      </c>
      <c r="X72" s="107">
        <f t="shared" si="16"/>
        <v>0</v>
      </c>
    </row>
    <row r="73" spans="1:24" ht="20.25" customHeight="1" x14ac:dyDescent="0.25">
      <c r="A73" s="36">
        <v>64</v>
      </c>
      <c r="B73" s="40"/>
      <c r="C73" s="40"/>
      <c r="D73" s="54">
        <v>0</v>
      </c>
      <c r="E73" s="2">
        <v>0</v>
      </c>
      <c r="F73" s="3">
        <v>0</v>
      </c>
      <c r="G73" s="2">
        <v>0</v>
      </c>
      <c r="H73" s="3">
        <v>0</v>
      </c>
      <c r="I73" s="2">
        <v>0</v>
      </c>
      <c r="J73" s="3">
        <v>0</v>
      </c>
      <c r="K73" s="2">
        <v>0</v>
      </c>
      <c r="L73" s="3">
        <v>0</v>
      </c>
      <c r="M73" s="58">
        <f t="shared" si="9"/>
        <v>0</v>
      </c>
      <c r="N73" s="59">
        <f t="shared" si="10"/>
        <v>0</v>
      </c>
      <c r="O73" s="60">
        <f t="shared" si="11"/>
        <v>0</v>
      </c>
      <c r="P73" s="61" t="str">
        <f t="shared" si="12"/>
        <v>IDEAL</v>
      </c>
      <c r="Q73" s="62" t="e">
        <f t="shared" si="13"/>
        <v>#DIV/0!</v>
      </c>
      <c r="R73" s="8">
        <v>0</v>
      </c>
      <c r="S73" s="108">
        <v>0</v>
      </c>
      <c r="T73" s="109">
        <f t="shared" si="8"/>
        <v>0</v>
      </c>
      <c r="U73" s="91">
        <v>0</v>
      </c>
      <c r="V73" s="98">
        <f t="shared" si="14"/>
        <v>0</v>
      </c>
      <c r="W73" s="105">
        <f t="shared" si="15"/>
        <v>0</v>
      </c>
      <c r="X73" s="107">
        <f t="shared" si="16"/>
        <v>0</v>
      </c>
    </row>
    <row r="74" spans="1:24" ht="20.25" customHeight="1" x14ac:dyDescent="0.25">
      <c r="A74" s="36">
        <v>65</v>
      </c>
      <c r="B74" s="43"/>
      <c r="C74" s="43"/>
      <c r="D74" s="54">
        <v>0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0</v>
      </c>
      <c r="M74" s="58">
        <f t="shared" ref="M74:M109" si="17">IF(D74="","",E74+G74+I74+K74)</f>
        <v>0</v>
      </c>
      <c r="N74" s="79">
        <f t="shared" ref="N74:N109" si="18">IF(D74="","",F74+H74+J74+L74)</f>
        <v>0</v>
      </c>
      <c r="O74" s="80">
        <f t="shared" ref="O74:O105" si="19">IF(M74="","",IF(N74="","",D74+M74-N74))</f>
        <v>0</v>
      </c>
      <c r="P74" s="81" t="str">
        <f t="shared" ref="P74:P105" si="20">IF(O74="","",IF(O74&lt;R74,"COMPRAR",IF(O74&gt;R74,"ACIMA","IDEAL")))</f>
        <v>IDEAL</v>
      </c>
      <c r="Q74" s="82" t="e">
        <f t="shared" ref="Q74:Q105" si="21">IF(O74="","",O74/R74-100%)</f>
        <v>#DIV/0!</v>
      </c>
      <c r="R74" s="8">
        <v>0</v>
      </c>
      <c r="S74" s="108">
        <v>0</v>
      </c>
      <c r="T74" s="109">
        <f t="shared" si="8"/>
        <v>0</v>
      </c>
      <c r="U74" s="91">
        <v>0</v>
      </c>
      <c r="V74" s="98">
        <f t="shared" ref="V74:V105" si="22">IF(U74="","",U74*O74)</f>
        <v>0</v>
      </c>
      <c r="W74" s="105">
        <f t="shared" ref="W74:W105" si="23">U74*M74</f>
        <v>0</v>
      </c>
      <c r="X74" s="107">
        <f t="shared" ref="X74:X105" si="24">U74*N74</f>
        <v>0</v>
      </c>
    </row>
    <row r="75" spans="1:24" ht="20.25" customHeight="1" thickBot="1" x14ac:dyDescent="0.3">
      <c r="A75" s="37">
        <v>66</v>
      </c>
      <c r="B75" s="41"/>
      <c r="C75" s="41"/>
      <c r="D75" s="55">
        <v>0</v>
      </c>
      <c r="E75" s="12">
        <v>0</v>
      </c>
      <c r="F75" s="13">
        <v>0</v>
      </c>
      <c r="G75" s="12">
        <v>0</v>
      </c>
      <c r="H75" s="13">
        <v>0</v>
      </c>
      <c r="I75" s="12">
        <v>0</v>
      </c>
      <c r="J75" s="13">
        <v>0</v>
      </c>
      <c r="K75" s="12">
        <v>0</v>
      </c>
      <c r="L75" s="13">
        <v>0</v>
      </c>
      <c r="M75" s="48">
        <f t="shared" si="17"/>
        <v>0</v>
      </c>
      <c r="N75" s="49">
        <f t="shared" si="18"/>
        <v>0</v>
      </c>
      <c r="O75" s="50">
        <f t="shared" si="19"/>
        <v>0</v>
      </c>
      <c r="P75" s="51" t="str">
        <f t="shared" si="20"/>
        <v>IDEAL</v>
      </c>
      <c r="Q75" s="52" t="e">
        <f t="shared" si="21"/>
        <v>#DIV/0!</v>
      </c>
      <c r="R75" s="27">
        <v>0</v>
      </c>
      <c r="S75" s="108">
        <v>0</v>
      </c>
      <c r="T75" s="109">
        <f t="shared" ref="T75:T112" si="25">S75*U75</f>
        <v>0</v>
      </c>
      <c r="U75" s="92">
        <v>0</v>
      </c>
      <c r="V75" s="99">
        <f t="shared" si="22"/>
        <v>0</v>
      </c>
      <c r="W75" s="105">
        <f t="shared" si="23"/>
        <v>0</v>
      </c>
      <c r="X75" s="107">
        <f t="shared" si="24"/>
        <v>0</v>
      </c>
    </row>
    <row r="76" spans="1:24" ht="20.25" customHeight="1" thickTop="1" x14ac:dyDescent="0.25">
      <c r="A76" s="38">
        <v>67</v>
      </c>
      <c r="B76" s="42"/>
      <c r="C76" s="42"/>
      <c r="D76" s="56">
        <v>0</v>
      </c>
      <c r="E76" s="32">
        <v>0</v>
      </c>
      <c r="F76" s="33">
        <v>0</v>
      </c>
      <c r="G76" s="32">
        <v>0</v>
      </c>
      <c r="H76" s="33">
        <v>0</v>
      </c>
      <c r="I76" s="32">
        <v>0</v>
      </c>
      <c r="J76" s="33">
        <v>0</v>
      </c>
      <c r="K76" s="32">
        <v>0</v>
      </c>
      <c r="L76" s="33">
        <v>0</v>
      </c>
      <c r="M76" s="63">
        <f t="shared" si="17"/>
        <v>0</v>
      </c>
      <c r="N76" s="64">
        <f t="shared" si="18"/>
        <v>0</v>
      </c>
      <c r="O76" s="65">
        <f t="shared" si="19"/>
        <v>0</v>
      </c>
      <c r="P76" s="66" t="str">
        <f t="shared" si="20"/>
        <v>IDEAL</v>
      </c>
      <c r="Q76" s="67" t="e">
        <f t="shared" si="21"/>
        <v>#DIV/0!</v>
      </c>
      <c r="R76" s="35">
        <v>0</v>
      </c>
      <c r="S76" s="108">
        <v>0</v>
      </c>
      <c r="T76" s="109">
        <f t="shared" si="25"/>
        <v>0</v>
      </c>
      <c r="U76" s="93">
        <v>0</v>
      </c>
      <c r="V76" s="96">
        <f t="shared" si="22"/>
        <v>0</v>
      </c>
      <c r="W76" s="105">
        <f t="shared" si="23"/>
        <v>0</v>
      </c>
      <c r="X76" s="107">
        <f t="shared" si="24"/>
        <v>0</v>
      </c>
    </row>
    <row r="77" spans="1:24" ht="20.25" customHeight="1" x14ac:dyDescent="0.25">
      <c r="A77" s="36">
        <v>68</v>
      </c>
      <c r="B77" s="43"/>
      <c r="C77" s="43"/>
      <c r="D77" s="54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0</v>
      </c>
      <c r="M77" s="22">
        <f t="shared" si="17"/>
        <v>0</v>
      </c>
      <c r="N77" s="23">
        <f t="shared" si="18"/>
        <v>0</v>
      </c>
      <c r="O77" s="24">
        <f t="shared" si="19"/>
        <v>0</v>
      </c>
      <c r="P77" s="25" t="str">
        <f t="shared" si="20"/>
        <v>IDEAL</v>
      </c>
      <c r="Q77" s="26" t="e">
        <f t="shared" si="21"/>
        <v>#DIV/0!</v>
      </c>
      <c r="R77" s="8">
        <v>0</v>
      </c>
      <c r="S77" s="108">
        <v>0</v>
      </c>
      <c r="T77" s="109">
        <f t="shared" si="25"/>
        <v>0</v>
      </c>
      <c r="U77" s="91">
        <v>0</v>
      </c>
      <c r="V77" s="97">
        <f t="shared" si="22"/>
        <v>0</v>
      </c>
      <c r="W77" s="105">
        <f t="shared" si="23"/>
        <v>0</v>
      </c>
      <c r="X77" s="107">
        <f t="shared" si="24"/>
        <v>0</v>
      </c>
    </row>
    <row r="78" spans="1:24" ht="20.25" customHeight="1" x14ac:dyDescent="0.25">
      <c r="A78" s="36">
        <v>69</v>
      </c>
      <c r="B78" s="40"/>
      <c r="C78" s="40"/>
      <c r="D78" s="54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  <c r="J78" s="3">
        <v>0</v>
      </c>
      <c r="K78" s="2">
        <v>0</v>
      </c>
      <c r="L78" s="3">
        <v>0</v>
      </c>
      <c r="M78" s="22">
        <f t="shared" si="17"/>
        <v>0</v>
      </c>
      <c r="N78" s="23">
        <f t="shared" si="18"/>
        <v>0</v>
      </c>
      <c r="O78" s="24">
        <f t="shared" si="19"/>
        <v>0</v>
      </c>
      <c r="P78" s="25" t="str">
        <f t="shared" si="20"/>
        <v>IDEAL</v>
      </c>
      <c r="Q78" s="26" t="e">
        <f t="shared" si="21"/>
        <v>#DIV/0!</v>
      </c>
      <c r="R78" s="8">
        <v>0</v>
      </c>
      <c r="S78" s="108">
        <v>0</v>
      </c>
      <c r="T78" s="109">
        <f t="shared" si="25"/>
        <v>0</v>
      </c>
      <c r="U78" s="91">
        <v>0</v>
      </c>
      <c r="V78" s="97">
        <f t="shared" si="22"/>
        <v>0</v>
      </c>
      <c r="W78" s="105">
        <f t="shared" si="23"/>
        <v>0</v>
      </c>
      <c r="X78" s="107">
        <f t="shared" si="24"/>
        <v>0</v>
      </c>
    </row>
    <row r="79" spans="1:24" ht="20.25" customHeight="1" x14ac:dyDescent="0.25">
      <c r="A79" s="36">
        <v>70</v>
      </c>
      <c r="B79" s="40"/>
      <c r="C79" s="40"/>
      <c r="D79" s="54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  <c r="J79" s="3">
        <v>0</v>
      </c>
      <c r="K79" s="2">
        <v>0</v>
      </c>
      <c r="L79" s="3">
        <v>0</v>
      </c>
      <c r="M79" s="22">
        <f t="shared" si="17"/>
        <v>0</v>
      </c>
      <c r="N79" s="23">
        <f t="shared" si="18"/>
        <v>0</v>
      </c>
      <c r="O79" s="24">
        <f t="shared" si="19"/>
        <v>0</v>
      </c>
      <c r="P79" s="25" t="str">
        <f t="shared" si="20"/>
        <v>IDEAL</v>
      </c>
      <c r="Q79" s="26" t="e">
        <f t="shared" si="21"/>
        <v>#DIV/0!</v>
      </c>
      <c r="R79" s="8">
        <v>0</v>
      </c>
      <c r="S79" s="108">
        <v>0</v>
      </c>
      <c r="T79" s="109">
        <f t="shared" si="25"/>
        <v>0</v>
      </c>
      <c r="U79" s="91">
        <v>0</v>
      </c>
      <c r="V79" s="97">
        <f t="shared" si="22"/>
        <v>0</v>
      </c>
      <c r="W79" s="105">
        <f t="shared" si="23"/>
        <v>0</v>
      </c>
      <c r="X79" s="107">
        <f t="shared" si="24"/>
        <v>0</v>
      </c>
    </row>
    <row r="80" spans="1:24" ht="20.25" customHeight="1" x14ac:dyDescent="0.25">
      <c r="A80" s="36">
        <v>71</v>
      </c>
      <c r="B80" s="43"/>
      <c r="C80" s="43"/>
      <c r="D80" s="54">
        <v>0</v>
      </c>
      <c r="E80" s="2">
        <v>0</v>
      </c>
      <c r="F80" s="3">
        <v>0</v>
      </c>
      <c r="G80" s="2">
        <v>0</v>
      </c>
      <c r="H80" s="3">
        <v>0</v>
      </c>
      <c r="I80" s="2">
        <v>0</v>
      </c>
      <c r="J80" s="3">
        <v>0</v>
      </c>
      <c r="K80" s="2">
        <v>0</v>
      </c>
      <c r="L80" s="3">
        <v>0</v>
      </c>
      <c r="M80" s="22">
        <f t="shared" si="17"/>
        <v>0</v>
      </c>
      <c r="N80" s="23">
        <f t="shared" si="18"/>
        <v>0</v>
      </c>
      <c r="O80" s="24">
        <f t="shared" si="19"/>
        <v>0</v>
      </c>
      <c r="P80" s="25" t="str">
        <f t="shared" si="20"/>
        <v>IDEAL</v>
      </c>
      <c r="Q80" s="26" t="e">
        <f t="shared" si="21"/>
        <v>#DIV/0!</v>
      </c>
      <c r="R80" s="8">
        <v>0</v>
      </c>
      <c r="S80" s="108">
        <v>0</v>
      </c>
      <c r="T80" s="109">
        <f t="shared" si="25"/>
        <v>0</v>
      </c>
      <c r="U80" s="91">
        <v>0</v>
      </c>
      <c r="V80" s="97">
        <f t="shared" si="22"/>
        <v>0</v>
      </c>
      <c r="W80" s="105">
        <f t="shared" si="23"/>
        <v>0</v>
      </c>
      <c r="X80" s="107">
        <f t="shared" si="24"/>
        <v>0</v>
      </c>
    </row>
    <row r="81" spans="1:24" ht="20.25" customHeight="1" x14ac:dyDescent="0.25">
      <c r="A81" s="36">
        <v>72</v>
      </c>
      <c r="B81" s="40"/>
      <c r="C81" s="40"/>
      <c r="D81" s="54">
        <v>0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  <c r="J81" s="3">
        <v>0</v>
      </c>
      <c r="K81" s="2">
        <v>0</v>
      </c>
      <c r="L81" s="3">
        <v>0</v>
      </c>
      <c r="M81" s="22">
        <f t="shared" si="17"/>
        <v>0</v>
      </c>
      <c r="N81" s="23">
        <f t="shared" si="18"/>
        <v>0</v>
      </c>
      <c r="O81" s="24">
        <f t="shared" si="19"/>
        <v>0</v>
      </c>
      <c r="P81" s="25" t="str">
        <f t="shared" si="20"/>
        <v>IDEAL</v>
      </c>
      <c r="Q81" s="26" t="e">
        <f t="shared" si="21"/>
        <v>#DIV/0!</v>
      </c>
      <c r="R81" s="8">
        <v>0</v>
      </c>
      <c r="S81" s="108">
        <v>0</v>
      </c>
      <c r="T81" s="109">
        <f t="shared" si="25"/>
        <v>0</v>
      </c>
      <c r="U81" s="91">
        <v>0</v>
      </c>
      <c r="V81" s="97">
        <f t="shared" si="22"/>
        <v>0</v>
      </c>
      <c r="W81" s="105">
        <f t="shared" si="23"/>
        <v>0</v>
      </c>
      <c r="X81" s="107">
        <f t="shared" si="24"/>
        <v>0</v>
      </c>
    </row>
    <row r="82" spans="1:24" ht="20.25" customHeight="1" x14ac:dyDescent="0.25">
      <c r="A82" s="36">
        <v>73</v>
      </c>
      <c r="B82" s="40"/>
      <c r="C82" s="40"/>
      <c r="D82" s="54">
        <v>0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0</v>
      </c>
      <c r="M82" s="22">
        <f t="shared" si="17"/>
        <v>0</v>
      </c>
      <c r="N82" s="23">
        <f t="shared" si="18"/>
        <v>0</v>
      </c>
      <c r="O82" s="24">
        <f t="shared" si="19"/>
        <v>0</v>
      </c>
      <c r="P82" s="25" t="str">
        <f t="shared" si="20"/>
        <v>IDEAL</v>
      </c>
      <c r="Q82" s="26" t="e">
        <f t="shared" si="21"/>
        <v>#DIV/0!</v>
      </c>
      <c r="R82" s="8">
        <v>0</v>
      </c>
      <c r="S82" s="108">
        <v>0</v>
      </c>
      <c r="T82" s="109">
        <f t="shared" si="25"/>
        <v>0</v>
      </c>
      <c r="U82" s="91">
        <v>0</v>
      </c>
      <c r="V82" s="97">
        <f t="shared" si="22"/>
        <v>0</v>
      </c>
      <c r="W82" s="105">
        <f t="shared" si="23"/>
        <v>0</v>
      </c>
      <c r="X82" s="107">
        <f t="shared" si="24"/>
        <v>0</v>
      </c>
    </row>
    <row r="83" spans="1:24" ht="20.25" customHeight="1" x14ac:dyDescent="0.25">
      <c r="A83" s="36">
        <v>74</v>
      </c>
      <c r="B83" s="43"/>
      <c r="C83" s="43"/>
      <c r="D83" s="54">
        <v>0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  <c r="J83" s="3">
        <v>0</v>
      </c>
      <c r="K83" s="2">
        <v>0</v>
      </c>
      <c r="L83" s="3">
        <v>0</v>
      </c>
      <c r="M83" s="22">
        <f t="shared" si="17"/>
        <v>0</v>
      </c>
      <c r="N83" s="23">
        <f t="shared" si="18"/>
        <v>0</v>
      </c>
      <c r="O83" s="24">
        <f t="shared" si="19"/>
        <v>0</v>
      </c>
      <c r="P83" s="25" t="str">
        <f t="shared" si="20"/>
        <v>IDEAL</v>
      </c>
      <c r="Q83" s="26" t="e">
        <f t="shared" si="21"/>
        <v>#DIV/0!</v>
      </c>
      <c r="R83" s="8">
        <v>0</v>
      </c>
      <c r="S83" s="108">
        <v>0</v>
      </c>
      <c r="T83" s="109">
        <f t="shared" si="25"/>
        <v>0</v>
      </c>
      <c r="U83" s="91">
        <v>0</v>
      </c>
      <c r="V83" s="97">
        <f t="shared" si="22"/>
        <v>0</v>
      </c>
      <c r="W83" s="105">
        <f t="shared" si="23"/>
        <v>0</v>
      </c>
      <c r="X83" s="107">
        <f t="shared" si="24"/>
        <v>0</v>
      </c>
    </row>
    <row r="84" spans="1:24" ht="20.25" customHeight="1" x14ac:dyDescent="0.25">
      <c r="A84" s="36">
        <v>75</v>
      </c>
      <c r="B84" s="40"/>
      <c r="C84" s="40"/>
      <c r="D84" s="54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  <c r="J84" s="3">
        <v>0</v>
      </c>
      <c r="K84" s="2">
        <v>0</v>
      </c>
      <c r="L84" s="3">
        <v>0</v>
      </c>
      <c r="M84" s="22">
        <f t="shared" si="17"/>
        <v>0</v>
      </c>
      <c r="N84" s="23">
        <f t="shared" si="18"/>
        <v>0</v>
      </c>
      <c r="O84" s="24">
        <f t="shared" si="19"/>
        <v>0</v>
      </c>
      <c r="P84" s="25" t="str">
        <f t="shared" si="20"/>
        <v>IDEAL</v>
      </c>
      <c r="Q84" s="26" t="e">
        <f t="shared" si="21"/>
        <v>#DIV/0!</v>
      </c>
      <c r="R84" s="8">
        <v>0</v>
      </c>
      <c r="S84" s="108">
        <v>0</v>
      </c>
      <c r="T84" s="109">
        <f t="shared" si="25"/>
        <v>0</v>
      </c>
      <c r="U84" s="91">
        <v>0</v>
      </c>
      <c r="V84" s="97">
        <f t="shared" si="22"/>
        <v>0</v>
      </c>
      <c r="W84" s="105">
        <f t="shared" si="23"/>
        <v>0</v>
      </c>
      <c r="X84" s="107">
        <f t="shared" si="24"/>
        <v>0</v>
      </c>
    </row>
    <row r="85" spans="1:24" ht="20.25" customHeight="1" x14ac:dyDescent="0.25">
      <c r="A85" s="36">
        <v>76</v>
      </c>
      <c r="B85" s="40"/>
      <c r="C85" s="40"/>
      <c r="D85" s="54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</v>
      </c>
      <c r="M85" s="22">
        <f t="shared" si="17"/>
        <v>0</v>
      </c>
      <c r="N85" s="23">
        <f t="shared" si="18"/>
        <v>0</v>
      </c>
      <c r="O85" s="24">
        <f t="shared" si="19"/>
        <v>0</v>
      </c>
      <c r="P85" s="25" t="str">
        <f t="shared" si="20"/>
        <v>IDEAL</v>
      </c>
      <c r="Q85" s="26" t="e">
        <f t="shared" si="21"/>
        <v>#DIV/0!</v>
      </c>
      <c r="R85" s="8">
        <v>0</v>
      </c>
      <c r="S85" s="108">
        <v>0</v>
      </c>
      <c r="T85" s="109">
        <f t="shared" si="25"/>
        <v>0</v>
      </c>
      <c r="U85" s="91">
        <v>0</v>
      </c>
      <c r="V85" s="97">
        <f t="shared" si="22"/>
        <v>0</v>
      </c>
      <c r="W85" s="105">
        <f t="shared" si="23"/>
        <v>0</v>
      </c>
      <c r="X85" s="107">
        <f t="shared" si="24"/>
        <v>0</v>
      </c>
    </row>
    <row r="86" spans="1:24" ht="20.25" customHeight="1" x14ac:dyDescent="0.25">
      <c r="A86" s="36">
        <v>77</v>
      </c>
      <c r="B86" s="43"/>
      <c r="C86" s="43"/>
      <c r="D86" s="54">
        <v>0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</v>
      </c>
      <c r="M86" s="22">
        <f t="shared" si="17"/>
        <v>0</v>
      </c>
      <c r="N86" s="23">
        <f t="shared" si="18"/>
        <v>0</v>
      </c>
      <c r="O86" s="24">
        <f t="shared" si="19"/>
        <v>0</v>
      </c>
      <c r="P86" s="25" t="str">
        <f t="shared" si="20"/>
        <v>IDEAL</v>
      </c>
      <c r="Q86" s="26" t="e">
        <f t="shared" si="21"/>
        <v>#DIV/0!</v>
      </c>
      <c r="R86" s="8">
        <v>0</v>
      </c>
      <c r="S86" s="108">
        <v>0</v>
      </c>
      <c r="T86" s="109">
        <f t="shared" si="25"/>
        <v>0</v>
      </c>
      <c r="U86" s="91">
        <v>0</v>
      </c>
      <c r="V86" s="97">
        <f t="shared" si="22"/>
        <v>0</v>
      </c>
      <c r="W86" s="105">
        <f t="shared" si="23"/>
        <v>0</v>
      </c>
      <c r="X86" s="107">
        <f t="shared" si="24"/>
        <v>0</v>
      </c>
    </row>
    <row r="87" spans="1:24" ht="20.25" customHeight="1" x14ac:dyDescent="0.25">
      <c r="A87" s="36">
        <v>78</v>
      </c>
      <c r="B87" s="40"/>
      <c r="C87" s="40"/>
      <c r="D87" s="54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0</v>
      </c>
      <c r="M87" s="22">
        <f t="shared" si="17"/>
        <v>0</v>
      </c>
      <c r="N87" s="23">
        <f t="shared" si="18"/>
        <v>0</v>
      </c>
      <c r="O87" s="24">
        <f t="shared" si="19"/>
        <v>0</v>
      </c>
      <c r="P87" s="25" t="str">
        <f t="shared" si="20"/>
        <v>IDEAL</v>
      </c>
      <c r="Q87" s="26" t="e">
        <f t="shared" si="21"/>
        <v>#DIV/0!</v>
      </c>
      <c r="R87" s="8">
        <v>0</v>
      </c>
      <c r="S87" s="108">
        <v>0</v>
      </c>
      <c r="T87" s="109">
        <f t="shared" si="25"/>
        <v>0</v>
      </c>
      <c r="U87" s="91">
        <v>0</v>
      </c>
      <c r="V87" s="97">
        <f t="shared" si="22"/>
        <v>0</v>
      </c>
      <c r="W87" s="105">
        <f t="shared" si="23"/>
        <v>0</v>
      </c>
      <c r="X87" s="107">
        <f t="shared" si="24"/>
        <v>0</v>
      </c>
    </row>
    <row r="88" spans="1:24" ht="20.25" customHeight="1" x14ac:dyDescent="0.25">
      <c r="A88" s="36">
        <v>79</v>
      </c>
      <c r="B88" s="40"/>
      <c r="C88" s="40"/>
      <c r="D88" s="54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  <c r="J88" s="3">
        <v>0</v>
      </c>
      <c r="K88" s="2">
        <v>0</v>
      </c>
      <c r="L88" s="3">
        <v>0</v>
      </c>
      <c r="M88" s="22">
        <f t="shared" si="17"/>
        <v>0</v>
      </c>
      <c r="N88" s="23">
        <f t="shared" si="18"/>
        <v>0</v>
      </c>
      <c r="O88" s="24">
        <f t="shared" si="19"/>
        <v>0</v>
      </c>
      <c r="P88" s="25" t="str">
        <f t="shared" si="20"/>
        <v>IDEAL</v>
      </c>
      <c r="Q88" s="26" t="e">
        <f t="shared" si="21"/>
        <v>#DIV/0!</v>
      </c>
      <c r="R88" s="8">
        <v>0</v>
      </c>
      <c r="S88" s="108">
        <v>0</v>
      </c>
      <c r="T88" s="109">
        <f t="shared" si="25"/>
        <v>0</v>
      </c>
      <c r="U88" s="91">
        <v>0</v>
      </c>
      <c r="V88" s="97">
        <f t="shared" si="22"/>
        <v>0</v>
      </c>
      <c r="W88" s="105">
        <f t="shared" si="23"/>
        <v>0</v>
      </c>
      <c r="X88" s="107">
        <f t="shared" si="24"/>
        <v>0</v>
      </c>
    </row>
    <row r="89" spans="1:24" ht="20.25" customHeight="1" x14ac:dyDescent="0.25">
      <c r="A89" s="36">
        <v>80</v>
      </c>
      <c r="B89" s="43"/>
      <c r="C89" s="43"/>
      <c r="D89" s="54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  <c r="J89" s="3">
        <v>0</v>
      </c>
      <c r="K89" s="2">
        <v>0</v>
      </c>
      <c r="L89" s="3">
        <v>0</v>
      </c>
      <c r="M89" s="22">
        <f t="shared" si="17"/>
        <v>0</v>
      </c>
      <c r="N89" s="23">
        <f t="shared" si="18"/>
        <v>0</v>
      </c>
      <c r="O89" s="24">
        <f t="shared" si="19"/>
        <v>0</v>
      </c>
      <c r="P89" s="25" t="str">
        <f t="shared" si="20"/>
        <v>IDEAL</v>
      </c>
      <c r="Q89" s="26" t="e">
        <f t="shared" si="21"/>
        <v>#DIV/0!</v>
      </c>
      <c r="R89" s="8">
        <v>0</v>
      </c>
      <c r="S89" s="108">
        <v>0</v>
      </c>
      <c r="T89" s="109">
        <f t="shared" si="25"/>
        <v>0</v>
      </c>
      <c r="U89" s="91">
        <v>0</v>
      </c>
      <c r="V89" s="97">
        <f t="shared" si="22"/>
        <v>0</v>
      </c>
      <c r="W89" s="105">
        <f t="shared" si="23"/>
        <v>0</v>
      </c>
      <c r="X89" s="107">
        <f t="shared" si="24"/>
        <v>0</v>
      </c>
    </row>
    <row r="90" spans="1:24" ht="20.25" customHeight="1" x14ac:dyDescent="0.25">
      <c r="A90" s="36">
        <v>81</v>
      </c>
      <c r="B90" s="40"/>
      <c r="C90" s="40"/>
      <c r="D90" s="54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  <c r="J90" s="3">
        <v>0</v>
      </c>
      <c r="K90" s="2">
        <v>0</v>
      </c>
      <c r="L90" s="3">
        <v>0</v>
      </c>
      <c r="M90" s="22">
        <f t="shared" si="17"/>
        <v>0</v>
      </c>
      <c r="N90" s="23">
        <f t="shared" si="18"/>
        <v>0</v>
      </c>
      <c r="O90" s="24">
        <f t="shared" si="19"/>
        <v>0</v>
      </c>
      <c r="P90" s="25" t="str">
        <f t="shared" si="20"/>
        <v>IDEAL</v>
      </c>
      <c r="Q90" s="26" t="e">
        <f t="shared" si="21"/>
        <v>#DIV/0!</v>
      </c>
      <c r="R90" s="8">
        <v>0</v>
      </c>
      <c r="S90" s="108">
        <v>0</v>
      </c>
      <c r="T90" s="109">
        <f t="shared" si="25"/>
        <v>0</v>
      </c>
      <c r="U90" s="91">
        <v>0</v>
      </c>
      <c r="V90" s="97">
        <f t="shared" si="22"/>
        <v>0</v>
      </c>
      <c r="W90" s="105">
        <f t="shared" si="23"/>
        <v>0</v>
      </c>
      <c r="X90" s="107">
        <f t="shared" si="24"/>
        <v>0</v>
      </c>
    </row>
    <row r="91" spans="1:24" ht="20.25" customHeight="1" x14ac:dyDescent="0.25">
      <c r="A91" s="36">
        <v>82</v>
      </c>
      <c r="B91" s="40"/>
      <c r="C91" s="40"/>
      <c r="D91" s="54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  <c r="J91" s="3">
        <v>0</v>
      </c>
      <c r="K91" s="2">
        <v>0</v>
      </c>
      <c r="L91" s="3">
        <v>0</v>
      </c>
      <c r="M91" s="22">
        <f t="shared" si="17"/>
        <v>0</v>
      </c>
      <c r="N91" s="23">
        <f t="shared" si="18"/>
        <v>0</v>
      </c>
      <c r="O91" s="24">
        <f t="shared" si="19"/>
        <v>0</v>
      </c>
      <c r="P91" s="25" t="str">
        <f t="shared" si="20"/>
        <v>IDEAL</v>
      </c>
      <c r="Q91" s="26" t="e">
        <f t="shared" si="21"/>
        <v>#DIV/0!</v>
      </c>
      <c r="R91" s="8">
        <v>0</v>
      </c>
      <c r="S91" s="108">
        <v>0</v>
      </c>
      <c r="T91" s="109">
        <f t="shared" si="25"/>
        <v>0</v>
      </c>
      <c r="U91" s="91">
        <v>0</v>
      </c>
      <c r="V91" s="97">
        <f t="shared" si="22"/>
        <v>0</v>
      </c>
      <c r="W91" s="105">
        <f t="shared" si="23"/>
        <v>0</v>
      </c>
      <c r="X91" s="107">
        <f t="shared" si="24"/>
        <v>0</v>
      </c>
    </row>
    <row r="92" spans="1:24" ht="20.25" customHeight="1" x14ac:dyDescent="0.25">
      <c r="A92" s="36">
        <v>83</v>
      </c>
      <c r="B92" s="43"/>
      <c r="C92" s="43"/>
      <c r="D92" s="54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  <c r="J92" s="3">
        <v>0</v>
      </c>
      <c r="K92" s="2">
        <v>0</v>
      </c>
      <c r="L92" s="3">
        <v>0</v>
      </c>
      <c r="M92" s="22">
        <f t="shared" si="17"/>
        <v>0</v>
      </c>
      <c r="N92" s="23">
        <f t="shared" si="18"/>
        <v>0</v>
      </c>
      <c r="O92" s="24">
        <f t="shared" si="19"/>
        <v>0</v>
      </c>
      <c r="P92" s="25" t="str">
        <f t="shared" si="20"/>
        <v>IDEAL</v>
      </c>
      <c r="Q92" s="26" t="e">
        <f t="shared" si="21"/>
        <v>#DIV/0!</v>
      </c>
      <c r="R92" s="8">
        <v>0</v>
      </c>
      <c r="S92" s="108">
        <v>0</v>
      </c>
      <c r="T92" s="109">
        <f t="shared" si="25"/>
        <v>0</v>
      </c>
      <c r="U92" s="91">
        <v>0</v>
      </c>
      <c r="V92" s="97">
        <f t="shared" si="22"/>
        <v>0</v>
      </c>
      <c r="W92" s="105">
        <f t="shared" si="23"/>
        <v>0</v>
      </c>
      <c r="X92" s="107">
        <f t="shared" si="24"/>
        <v>0</v>
      </c>
    </row>
    <row r="93" spans="1:24" ht="20.25" customHeight="1" x14ac:dyDescent="0.25">
      <c r="A93" s="36">
        <v>84</v>
      </c>
      <c r="B93" s="40"/>
      <c r="C93" s="40"/>
      <c r="D93" s="54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  <c r="J93" s="3">
        <v>0</v>
      </c>
      <c r="K93" s="2">
        <v>0</v>
      </c>
      <c r="L93" s="3">
        <v>0</v>
      </c>
      <c r="M93" s="22">
        <f t="shared" si="17"/>
        <v>0</v>
      </c>
      <c r="N93" s="23">
        <f t="shared" si="18"/>
        <v>0</v>
      </c>
      <c r="O93" s="24">
        <f t="shared" si="19"/>
        <v>0</v>
      </c>
      <c r="P93" s="25" t="str">
        <f t="shared" si="20"/>
        <v>IDEAL</v>
      </c>
      <c r="Q93" s="26" t="e">
        <f t="shared" si="21"/>
        <v>#DIV/0!</v>
      </c>
      <c r="R93" s="8">
        <v>0</v>
      </c>
      <c r="S93" s="108">
        <v>0</v>
      </c>
      <c r="T93" s="109">
        <f t="shared" si="25"/>
        <v>0</v>
      </c>
      <c r="U93" s="91">
        <v>0</v>
      </c>
      <c r="V93" s="97">
        <f t="shared" si="22"/>
        <v>0</v>
      </c>
      <c r="W93" s="105">
        <f t="shared" si="23"/>
        <v>0</v>
      </c>
      <c r="X93" s="107">
        <f t="shared" si="24"/>
        <v>0</v>
      </c>
    </row>
    <row r="94" spans="1:24" ht="20.25" customHeight="1" x14ac:dyDescent="0.25">
      <c r="A94" s="36">
        <v>85</v>
      </c>
      <c r="B94" s="40"/>
      <c r="C94" s="40"/>
      <c r="D94" s="54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  <c r="J94" s="3">
        <v>0</v>
      </c>
      <c r="K94" s="2">
        <v>0</v>
      </c>
      <c r="L94" s="3">
        <v>0</v>
      </c>
      <c r="M94" s="22">
        <f t="shared" si="17"/>
        <v>0</v>
      </c>
      <c r="N94" s="23">
        <f t="shared" si="18"/>
        <v>0</v>
      </c>
      <c r="O94" s="24">
        <f t="shared" si="19"/>
        <v>0</v>
      </c>
      <c r="P94" s="25" t="str">
        <f t="shared" si="20"/>
        <v>IDEAL</v>
      </c>
      <c r="Q94" s="26" t="e">
        <f t="shared" si="21"/>
        <v>#DIV/0!</v>
      </c>
      <c r="R94" s="8">
        <v>0</v>
      </c>
      <c r="S94" s="108">
        <v>0</v>
      </c>
      <c r="T94" s="109">
        <f t="shared" si="25"/>
        <v>0</v>
      </c>
      <c r="U94" s="91">
        <v>0</v>
      </c>
      <c r="V94" s="97">
        <f t="shared" si="22"/>
        <v>0</v>
      </c>
      <c r="W94" s="105">
        <f t="shared" si="23"/>
        <v>0</v>
      </c>
      <c r="X94" s="107">
        <f t="shared" si="24"/>
        <v>0</v>
      </c>
    </row>
    <row r="95" spans="1:24" ht="20.25" customHeight="1" x14ac:dyDescent="0.25">
      <c r="A95" s="36">
        <v>86</v>
      </c>
      <c r="B95" s="43"/>
      <c r="C95" s="43"/>
      <c r="D95" s="54">
        <v>0</v>
      </c>
      <c r="E95" s="2">
        <v>0</v>
      </c>
      <c r="F95" s="3">
        <v>0</v>
      </c>
      <c r="G95" s="2">
        <v>0</v>
      </c>
      <c r="H95" s="3">
        <v>0</v>
      </c>
      <c r="I95" s="2">
        <v>0</v>
      </c>
      <c r="J95" s="3">
        <v>0</v>
      </c>
      <c r="K95" s="2">
        <v>0</v>
      </c>
      <c r="L95" s="3">
        <v>0</v>
      </c>
      <c r="M95" s="22">
        <f t="shared" si="17"/>
        <v>0</v>
      </c>
      <c r="N95" s="23">
        <f t="shared" si="18"/>
        <v>0</v>
      </c>
      <c r="O95" s="24">
        <f t="shared" si="19"/>
        <v>0</v>
      </c>
      <c r="P95" s="25" t="str">
        <f t="shared" si="20"/>
        <v>IDEAL</v>
      </c>
      <c r="Q95" s="26" t="e">
        <f t="shared" si="21"/>
        <v>#DIV/0!</v>
      </c>
      <c r="R95" s="8">
        <v>0</v>
      </c>
      <c r="S95" s="108">
        <v>0</v>
      </c>
      <c r="T95" s="109">
        <f t="shared" si="25"/>
        <v>0</v>
      </c>
      <c r="U95" s="91">
        <v>0</v>
      </c>
      <c r="V95" s="97">
        <f t="shared" si="22"/>
        <v>0</v>
      </c>
      <c r="W95" s="105">
        <f t="shared" si="23"/>
        <v>0</v>
      </c>
      <c r="X95" s="107">
        <f t="shared" si="24"/>
        <v>0</v>
      </c>
    </row>
    <row r="96" spans="1:24" ht="20.25" customHeight="1" x14ac:dyDescent="0.25">
      <c r="A96" s="36">
        <v>87</v>
      </c>
      <c r="B96" s="40"/>
      <c r="C96" s="40"/>
      <c r="D96" s="54">
        <v>0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  <c r="J96" s="3">
        <v>0</v>
      </c>
      <c r="K96" s="2">
        <v>0</v>
      </c>
      <c r="L96" s="3">
        <v>0</v>
      </c>
      <c r="M96" s="22">
        <f t="shared" si="17"/>
        <v>0</v>
      </c>
      <c r="N96" s="23">
        <f t="shared" si="18"/>
        <v>0</v>
      </c>
      <c r="O96" s="24">
        <f t="shared" si="19"/>
        <v>0</v>
      </c>
      <c r="P96" s="25" t="str">
        <f t="shared" si="20"/>
        <v>IDEAL</v>
      </c>
      <c r="Q96" s="26" t="e">
        <f t="shared" si="21"/>
        <v>#DIV/0!</v>
      </c>
      <c r="R96" s="8">
        <v>0</v>
      </c>
      <c r="S96" s="108">
        <v>0</v>
      </c>
      <c r="T96" s="109">
        <f t="shared" si="25"/>
        <v>0</v>
      </c>
      <c r="U96" s="91">
        <v>0</v>
      </c>
      <c r="V96" s="97">
        <f t="shared" si="22"/>
        <v>0</v>
      </c>
      <c r="W96" s="105">
        <f t="shared" si="23"/>
        <v>0</v>
      </c>
      <c r="X96" s="107">
        <f t="shared" si="24"/>
        <v>0</v>
      </c>
    </row>
    <row r="97" spans="1:24" ht="20.25" customHeight="1" x14ac:dyDescent="0.25">
      <c r="A97" s="36">
        <v>88</v>
      </c>
      <c r="B97" s="40"/>
      <c r="C97" s="40"/>
      <c r="D97" s="54">
        <v>0</v>
      </c>
      <c r="E97" s="2">
        <v>0</v>
      </c>
      <c r="F97" s="3">
        <v>0</v>
      </c>
      <c r="G97" s="2">
        <v>0</v>
      </c>
      <c r="H97" s="3">
        <v>0</v>
      </c>
      <c r="I97" s="2">
        <v>0</v>
      </c>
      <c r="J97" s="3">
        <v>0</v>
      </c>
      <c r="K97" s="2">
        <v>0</v>
      </c>
      <c r="L97" s="3">
        <v>0</v>
      </c>
      <c r="M97" s="22">
        <f t="shared" si="17"/>
        <v>0</v>
      </c>
      <c r="N97" s="23">
        <f t="shared" si="18"/>
        <v>0</v>
      </c>
      <c r="O97" s="24">
        <f t="shared" si="19"/>
        <v>0</v>
      </c>
      <c r="P97" s="25" t="str">
        <f t="shared" si="20"/>
        <v>IDEAL</v>
      </c>
      <c r="Q97" s="26" t="e">
        <f t="shared" si="21"/>
        <v>#DIV/0!</v>
      </c>
      <c r="R97" s="8">
        <v>0</v>
      </c>
      <c r="S97" s="108">
        <v>0</v>
      </c>
      <c r="T97" s="109">
        <f t="shared" si="25"/>
        <v>0</v>
      </c>
      <c r="U97" s="91">
        <v>0</v>
      </c>
      <c r="V97" s="97">
        <f t="shared" si="22"/>
        <v>0</v>
      </c>
      <c r="W97" s="105">
        <f t="shared" si="23"/>
        <v>0</v>
      </c>
      <c r="X97" s="107">
        <f t="shared" si="24"/>
        <v>0</v>
      </c>
    </row>
    <row r="98" spans="1:24" ht="20.25" customHeight="1" x14ac:dyDescent="0.25">
      <c r="A98" s="36">
        <v>89</v>
      </c>
      <c r="B98" s="43"/>
      <c r="C98" s="43"/>
      <c r="D98" s="54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0</v>
      </c>
      <c r="M98" s="22">
        <f t="shared" si="17"/>
        <v>0</v>
      </c>
      <c r="N98" s="23">
        <f t="shared" si="18"/>
        <v>0</v>
      </c>
      <c r="O98" s="24">
        <f t="shared" si="19"/>
        <v>0</v>
      </c>
      <c r="P98" s="25" t="str">
        <f t="shared" si="20"/>
        <v>IDEAL</v>
      </c>
      <c r="Q98" s="26" t="e">
        <f t="shared" si="21"/>
        <v>#DIV/0!</v>
      </c>
      <c r="R98" s="8">
        <v>0</v>
      </c>
      <c r="S98" s="108">
        <v>0</v>
      </c>
      <c r="T98" s="109">
        <f t="shared" si="25"/>
        <v>0</v>
      </c>
      <c r="U98" s="91">
        <v>0</v>
      </c>
      <c r="V98" s="97">
        <f t="shared" si="22"/>
        <v>0</v>
      </c>
      <c r="W98" s="105">
        <f t="shared" si="23"/>
        <v>0</v>
      </c>
      <c r="X98" s="107">
        <f t="shared" si="24"/>
        <v>0</v>
      </c>
    </row>
    <row r="99" spans="1:24" ht="20.25" customHeight="1" x14ac:dyDescent="0.25">
      <c r="A99" s="36">
        <v>90</v>
      </c>
      <c r="B99" s="40"/>
      <c r="C99" s="40"/>
      <c r="D99" s="54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</v>
      </c>
      <c r="M99" s="22">
        <f t="shared" si="17"/>
        <v>0</v>
      </c>
      <c r="N99" s="23">
        <f t="shared" si="18"/>
        <v>0</v>
      </c>
      <c r="O99" s="24">
        <f t="shared" si="19"/>
        <v>0</v>
      </c>
      <c r="P99" s="25" t="str">
        <f t="shared" si="20"/>
        <v>IDEAL</v>
      </c>
      <c r="Q99" s="26" t="e">
        <f t="shared" si="21"/>
        <v>#DIV/0!</v>
      </c>
      <c r="R99" s="8">
        <v>0</v>
      </c>
      <c r="S99" s="108">
        <v>0</v>
      </c>
      <c r="T99" s="109">
        <f t="shared" si="25"/>
        <v>0</v>
      </c>
      <c r="U99" s="91">
        <v>0</v>
      </c>
      <c r="V99" s="97">
        <f t="shared" si="22"/>
        <v>0</v>
      </c>
      <c r="W99" s="105">
        <f t="shared" si="23"/>
        <v>0</v>
      </c>
      <c r="X99" s="107">
        <f t="shared" si="24"/>
        <v>0</v>
      </c>
    </row>
    <row r="100" spans="1:24" ht="20.25" customHeight="1" x14ac:dyDescent="0.25">
      <c r="A100" s="36">
        <v>91</v>
      </c>
      <c r="B100" s="40"/>
      <c r="C100" s="40"/>
      <c r="D100" s="54">
        <v>0</v>
      </c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0</v>
      </c>
      <c r="M100" s="22">
        <f t="shared" si="17"/>
        <v>0</v>
      </c>
      <c r="N100" s="23">
        <f t="shared" si="18"/>
        <v>0</v>
      </c>
      <c r="O100" s="24">
        <f t="shared" si="19"/>
        <v>0</v>
      </c>
      <c r="P100" s="25" t="str">
        <f t="shared" si="20"/>
        <v>IDEAL</v>
      </c>
      <c r="Q100" s="26" t="e">
        <f t="shared" si="21"/>
        <v>#DIV/0!</v>
      </c>
      <c r="R100" s="8">
        <v>0</v>
      </c>
      <c r="S100" s="108">
        <v>0</v>
      </c>
      <c r="T100" s="109">
        <f t="shared" si="25"/>
        <v>0</v>
      </c>
      <c r="U100" s="91">
        <v>0</v>
      </c>
      <c r="V100" s="97">
        <f t="shared" si="22"/>
        <v>0</v>
      </c>
      <c r="W100" s="105">
        <f t="shared" si="23"/>
        <v>0</v>
      </c>
      <c r="X100" s="107">
        <f t="shared" si="24"/>
        <v>0</v>
      </c>
    </row>
    <row r="101" spans="1:24" ht="20.25" customHeight="1" x14ac:dyDescent="0.25">
      <c r="A101" s="36">
        <v>92</v>
      </c>
      <c r="B101" s="43"/>
      <c r="C101" s="43"/>
      <c r="D101" s="54">
        <v>0</v>
      </c>
      <c r="E101" s="2">
        <v>0</v>
      </c>
      <c r="F101" s="3">
        <v>0</v>
      </c>
      <c r="G101" s="2">
        <v>0</v>
      </c>
      <c r="H101" s="3">
        <v>0</v>
      </c>
      <c r="I101" s="2">
        <v>0</v>
      </c>
      <c r="J101" s="3">
        <v>0</v>
      </c>
      <c r="K101" s="2">
        <v>0</v>
      </c>
      <c r="L101" s="3">
        <v>0</v>
      </c>
      <c r="M101" s="22">
        <f t="shared" si="17"/>
        <v>0</v>
      </c>
      <c r="N101" s="23">
        <f t="shared" si="18"/>
        <v>0</v>
      </c>
      <c r="O101" s="24">
        <f t="shared" si="19"/>
        <v>0</v>
      </c>
      <c r="P101" s="25" t="str">
        <f t="shared" si="20"/>
        <v>IDEAL</v>
      </c>
      <c r="Q101" s="26" t="e">
        <f t="shared" si="21"/>
        <v>#DIV/0!</v>
      </c>
      <c r="R101" s="8">
        <v>0</v>
      </c>
      <c r="S101" s="108">
        <v>0</v>
      </c>
      <c r="T101" s="109">
        <f t="shared" si="25"/>
        <v>0</v>
      </c>
      <c r="U101" s="91">
        <v>0</v>
      </c>
      <c r="V101" s="97">
        <f t="shared" si="22"/>
        <v>0</v>
      </c>
      <c r="W101" s="105">
        <f t="shared" si="23"/>
        <v>0</v>
      </c>
      <c r="X101" s="107">
        <f t="shared" si="24"/>
        <v>0</v>
      </c>
    </row>
    <row r="102" spans="1:24" ht="20.25" customHeight="1" x14ac:dyDescent="0.25">
      <c r="A102" s="36">
        <v>93</v>
      </c>
      <c r="B102" s="40"/>
      <c r="C102" s="40"/>
      <c r="D102" s="54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  <c r="L102" s="3">
        <v>0</v>
      </c>
      <c r="M102" s="22">
        <f t="shared" si="17"/>
        <v>0</v>
      </c>
      <c r="N102" s="23">
        <f t="shared" si="18"/>
        <v>0</v>
      </c>
      <c r="O102" s="24">
        <f t="shared" si="19"/>
        <v>0</v>
      </c>
      <c r="P102" s="25" t="str">
        <f t="shared" si="20"/>
        <v>IDEAL</v>
      </c>
      <c r="Q102" s="26" t="e">
        <f t="shared" si="21"/>
        <v>#DIV/0!</v>
      </c>
      <c r="R102" s="8">
        <v>0</v>
      </c>
      <c r="S102" s="108">
        <v>0</v>
      </c>
      <c r="T102" s="109">
        <f t="shared" si="25"/>
        <v>0</v>
      </c>
      <c r="U102" s="91">
        <v>0</v>
      </c>
      <c r="V102" s="97">
        <f t="shared" si="22"/>
        <v>0</v>
      </c>
      <c r="W102" s="105">
        <f t="shared" si="23"/>
        <v>0</v>
      </c>
      <c r="X102" s="107">
        <f t="shared" si="24"/>
        <v>0</v>
      </c>
    </row>
    <row r="103" spans="1:24" ht="20.25" customHeight="1" x14ac:dyDescent="0.25">
      <c r="A103" s="36">
        <v>94</v>
      </c>
      <c r="B103" s="40"/>
      <c r="C103" s="40"/>
      <c r="D103" s="54">
        <v>0</v>
      </c>
      <c r="E103" s="2">
        <v>0</v>
      </c>
      <c r="F103" s="3">
        <v>0</v>
      </c>
      <c r="G103" s="2">
        <v>0</v>
      </c>
      <c r="H103" s="3">
        <v>0</v>
      </c>
      <c r="I103" s="2">
        <v>0</v>
      </c>
      <c r="J103" s="3">
        <v>0</v>
      </c>
      <c r="K103" s="2">
        <v>0</v>
      </c>
      <c r="L103" s="3">
        <v>0</v>
      </c>
      <c r="M103" s="22">
        <f t="shared" si="17"/>
        <v>0</v>
      </c>
      <c r="N103" s="23">
        <f t="shared" si="18"/>
        <v>0</v>
      </c>
      <c r="O103" s="24">
        <f t="shared" si="19"/>
        <v>0</v>
      </c>
      <c r="P103" s="25" t="str">
        <f t="shared" si="20"/>
        <v>IDEAL</v>
      </c>
      <c r="Q103" s="26" t="e">
        <f t="shared" si="21"/>
        <v>#DIV/0!</v>
      </c>
      <c r="R103" s="8">
        <v>0</v>
      </c>
      <c r="S103" s="108">
        <v>0</v>
      </c>
      <c r="T103" s="109">
        <f t="shared" si="25"/>
        <v>0</v>
      </c>
      <c r="U103" s="91">
        <v>0</v>
      </c>
      <c r="V103" s="97">
        <f t="shared" si="22"/>
        <v>0</v>
      </c>
      <c r="W103" s="105">
        <f t="shared" si="23"/>
        <v>0</v>
      </c>
      <c r="X103" s="107">
        <f t="shared" si="24"/>
        <v>0</v>
      </c>
    </row>
    <row r="104" spans="1:24" ht="20.25" customHeight="1" x14ac:dyDescent="0.25">
      <c r="A104" s="36">
        <v>95</v>
      </c>
      <c r="B104" s="43"/>
      <c r="C104" s="43"/>
      <c r="D104" s="54">
        <v>0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0</v>
      </c>
      <c r="M104" s="22">
        <f t="shared" si="17"/>
        <v>0</v>
      </c>
      <c r="N104" s="23">
        <f t="shared" si="18"/>
        <v>0</v>
      </c>
      <c r="O104" s="24">
        <f t="shared" si="19"/>
        <v>0</v>
      </c>
      <c r="P104" s="25" t="str">
        <f t="shared" si="20"/>
        <v>IDEAL</v>
      </c>
      <c r="Q104" s="26" t="e">
        <f t="shared" si="21"/>
        <v>#DIV/0!</v>
      </c>
      <c r="R104" s="8">
        <v>0</v>
      </c>
      <c r="S104" s="108">
        <v>0</v>
      </c>
      <c r="T104" s="109">
        <f t="shared" si="25"/>
        <v>0</v>
      </c>
      <c r="U104" s="91">
        <v>0</v>
      </c>
      <c r="V104" s="97">
        <f t="shared" si="22"/>
        <v>0</v>
      </c>
      <c r="W104" s="105">
        <f t="shared" si="23"/>
        <v>0</v>
      </c>
      <c r="X104" s="107">
        <f t="shared" si="24"/>
        <v>0</v>
      </c>
    </row>
    <row r="105" spans="1:24" ht="20.25" customHeight="1" x14ac:dyDescent="0.25">
      <c r="A105" s="36">
        <v>96</v>
      </c>
      <c r="B105" s="40"/>
      <c r="C105" s="40"/>
      <c r="D105" s="54">
        <v>0</v>
      </c>
      <c r="E105" s="2">
        <v>0</v>
      </c>
      <c r="F105" s="3">
        <v>0</v>
      </c>
      <c r="G105" s="2">
        <v>0</v>
      </c>
      <c r="H105" s="3">
        <v>0</v>
      </c>
      <c r="I105" s="2">
        <v>0</v>
      </c>
      <c r="J105" s="3">
        <v>0</v>
      </c>
      <c r="K105" s="2">
        <v>0</v>
      </c>
      <c r="L105" s="3">
        <v>0</v>
      </c>
      <c r="M105" s="22">
        <f t="shared" si="17"/>
        <v>0</v>
      </c>
      <c r="N105" s="23">
        <f t="shared" si="18"/>
        <v>0</v>
      </c>
      <c r="O105" s="24">
        <f t="shared" si="19"/>
        <v>0</v>
      </c>
      <c r="P105" s="25" t="str">
        <f t="shared" si="20"/>
        <v>IDEAL</v>
      </c>
      <c r="Q105" s="26" t="e">
        <f t="shared" si="21"/>
        <v>#DIV/0!</v>
      </c>
      <c r="R105" s="8">
        <v>0</v>
      </c>
      <c r="S105" s="108">
        <v>0</v>
      </c>
      <c r="T105" s="109">
        <f t="shared" si="25"/>
        <v>0</v>
      </c>
      <c r="U105" s="91">
        <v>0</v>
      </c>
      <c r="V105" s="97">
        <f t="shared" si="22"/>
        <v>0</v>
      </c>
      <c r="W105" s="105">
        <f t="shared" si="23"/>
        <v>0</v>
      </c>
      <c r="X105" s="107">
        <f t="shared" si="24"/>
        <v>0</v>
      </c>
    </row>
    <row r="106" spans="1:24" ht="20.25" customHeight="1" x14ac:dyDescent="0.25">
      <c r="A106" s="36">
        <v>97</v>
      </c>
      <c r="B106" s="40"/>
      <c r="C106" s="40"/>
      <c r="D106" s="54">
        <v>0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0</v>
      </c>
      <c r="M106" s="22">
        <f t="shared" si="17"/>
        <v>0</v>
      </c>
      <c r="N106" s="23">
        <f t="shared" si="18"/>
        <v>0</v>
      </c>
      <c r="O106" s="24">
        <f t="shared" ref="O106:O109" si="26">IF(M106="","",IF(N106="","",D106+M106-N106))</f>
        <v>0</v>
      </c>
      <c r="P106" s="25" t="str">
        <f t="shared" ref="P106:P112" si="27">IF(O106="","",IF(O106&lt;R106,"COMPRAR",IF(O106&gt;R106,"ACIMA","IDEAL")))</f>
        <v>IDEAL</v>
      </c>
      <c r="Q106" s="26" t="e">
        <f t="shared" ref="Q106:Q112" si="28">IF(O106="","",O106/R106-100%)</f>
        <v>#DIV/0!</v>
      </c>
      <c r="R106" s="8">
        <v>0</v>
      </c>
      <c r="S106" s="108">
        <v>0</v>
      </c>
      <c r="T106" s="109">
        <f t="shared" si="25"/>
        <v>0</v>
      </c>
      <c r="U106" s="91">
        <v>0</v>
      </c>
      <c r="V106" s="97">
        <f t="shared" ref="V106:V112" si="29">IF(U106="","",U106*O106)</f>
        <v>0</v>
      </c>
      <c r="W106" s="105">
        <f t="shared" ref="W106:W112" si="30">U106*M106</f>
        <v>0</v>
      </c>
      <c r="X106" s="107">
        <f t="shared" ref="X106:X112" si="31">U106*N106</f>
        <v>0</v>
      </c>
    </row>
    <row r="107" spans="1:24" ht="20.25" customHeight="1" x14ac:dyDescent="0.25">
      <c r="A107" s="36">
        <v>98</v>
      </c>
      <c r="B107" s="43"/>
      <c r="C107" s="43"/>
      <c r="D107" s="54">
        <v>0</v>
      </c>
      <c r="E107" s="2">
        <v>0</v>
      </c>
      <c r="F107" s="3">
        <v>0</v>
      </c>
      <c r="G107" s="2">
        <v>0</v>
      </c>
      <c r="H107" s="3">
        <v>0</v>
      </c>
      <c r="I107" s="2">
        <v>0</v>
      </c>
      <c r="J107" s="3">
        <v>0</v>
      </c>
      <c r="K107" s="2">
        <v>0</v>
      </c>
      <c r="L107" s="3">
        <v>0</v>
      </c>
      <c r="M107" s="22">
        <f t="shared" si="17"/>
        <v>0</v>
      </c>
      <c r="N107" s="23">
        <f t="shared" si="18"/>
        <v>0</v>
      </c>
      <c r="O107" s="24">
        <f t="shared" si="26"/>
        <v>0</v>
      </c>
      <c r="P107" s="25" t="str">
        <f t="shared" si="27"/>
        <v>IDEAL</v>
      </c>
      <c r="Q107" s="26" t="e">
        <f t="shared" si="28"/>
        <v>#DIV/0!</v>
      </c>
      <c r="R107" s="8">
        <v>0</v>
      </c>
      <c r="S107" s="108">
        <v>0</v>
      </c>
      <c r="T107" s="109">
        <f t="shared" si="25"/>
        <v>0</v>
      </c>
      <c r="U107" s="91">
        <v>0</v>
      </c>
      <c r="V107" s="97">
        <f t="shared" si="29"/>
        <v>0</v>
      </c>
      <c r="W107" s="105">
        <f t="shared" si="30"/>
        <v>0</v>
      </c>
      <c r="X107" s="107">
        <f t="shared" si="31"/>
        <v>0</v>
      </c>
    </row>
    <row r="108" spans="1:24" ht="20.25" customHeight="1" x14ac:dyDescent="0.25">
      <c r="A108" s="36">
        <v>99</v>
      </c>
      <c r="B108" s="40"/>
      <c r="C108" s="40"/>
      <c r="D108" s="54">
        <v>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0</v>
      </c>
      <c r="M108" s="22">
        <f t="shared" si="17"/>
        <v>0</v>
      </c>
      <c r="N108" s="23">
        <f t="shared" si="18"/>
        <v>0</v>
      </c>
      <c r="O108" s="24">
        <f t="shared" si="26"/>
        <v>0</v>
      </c>
      <c r="P108" s="25" t="str">
        <f t="shared" si="27"/>
        <v>IDEAL</v>
      </c>
      <c r="Q108" s="26" t="e">
        <f t="shared" si="28"/>
        <v>#DIV/0!</v>
      </c>
      <c r="R108" s="8">
        <v>0</v>
      </c>
      <c r="S108" s="108">
        <v>0</v>
      </c>
      <c r="T108" s="109">
        <f t="shared" si="25"/>
        <v>0</v>
      </c>
      <c r="U108" s="91">
        <v>0</v>
      </c>
      <c r="V108" s="97">
        <f t="shared" si="29"/>
        <v>0</v>
      </c>
      <c r="W108" s="105">
        <f t="shared" si="30"/>
        <v>0</v>
      </c>
      <c r="X108" s="107">
        <f t="shared" si="31"/>
        <v>0</v>
      </c>
    </row>
    <row r="109" spans="1:24" ht="20.25" customHeight="1" x14ac:dyDescent="0.25">
      <c r="A109" s="36">
        <v>100</v>
      </c>
      <c r="B109" s="40"/>
      <c r="C109" s="40"/>
      <c r="D109" s="54">
        <v>0</v>
      </c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0</v>
      </c>
      <c r="M109" s="58">
        <f t="shared" si="17"/>
        <v>0</v>
      </c>
      <c r="N109" s="79">
        <f t="shared" si="18"/>
        <v>0</v>
      </c>
      <c r="O109" s="80">
        <f t="shared" si="26"/>
        <v>0</v>
      </c>
      <c r="P109" s="81" t="str">
        <f t="shared" si="27"/>
        <v>IDEAL</v>
      </c>
      <c r="Q109" s="82" t="e">
        <f t="shared" si="28"/>
        <v>#DIV/0!</v>
      </c>
      <c r="R109" s="8">
        <v>0</v>
      </c>
      <c r="S109" s="108">
        <v>0</v>
      </c>
      <c r="T109" s="109">
        <f t="shared" si="25"/>
        <v>0</v>
      </c>
      <c r="U109" s="91">
        <v>0</v>
      </c>
      <c r="V109" s="98">
        <f t="shared" si="29"/>
        <v>0</v>
      </c>
      <c r="W109" s="105">
        <f t="shared" si="30"/>
        <v>0</v>
      </c>
      <c r="X109" s="107">
        <f t="shared" si="31"/>
        <v>0</v>
      </c>
    </row>
    <row r="110" spans="1:24" ht="20.25" customHeight="1" x14ac:dyDescent="0.25">
      <c r="A110" s="36">
        <v>101</v>
      </c>
      <c r="B110" s="40"/>
      <c r="C110" s="40"/>
      <c r="D110" s="54">
        <v>0</v>
      </c>
      <c r="E110" s="2">
        <v>0</v>
      </c>
      <c r="F110" s="3">
        <v>0</v>
      </c>
      <c r="G110" s="2">
        <v>0</v>
      </c>
      <c r="H110" s="3">
        <v>0</v>
      </c>
      <c r="I110" s="2">
        <v>0</v>
      </c>
      <c r="J110" s="3">
        <v>0</v>
      </c>
      <c r="K110" s="2">
        <v>0</v>
      </c>
      <c r="L110" s="3">
        <v>0</v>
      </c>
      <c r="M110" s="58">
        <f t="shared" ref="M110" si="32">IF(D110="","",E110+G110+I110+K110)</f>
        <v>0</v>
      </c>
      <c r="N110" s="79">
        <f t="shared" ref="N110" si="33">IF(D110="","",F110+H110+J110+L110)</f>
        <v>0</v>
      </c>
      <c r="O110" s="80">
        <f t="shared" ref="O110" si="34">IF(M110="","",IF(N110="","",D110+M110-N110))</f>
        <v>0</v>
      </c>
      <c r="P110" s="81" t="str">
        <f t="shared" si="27"/>
        <v>IDEAL</v>
      </c>
      <c r="Q110" s="82" t="e">
        <f t="shared" si="28"/>
        <v>#DIV/0!</v>
      </c>
      <c r="R110" s="8">
        <v>0</v>
      </c>
      <c r="S110" s="108">
        <v>0</v>
      </c>
      <c r="T110" s="109">
        <f t="shared" si="25"/>
        <v>0</v>
      </c>
      <c r="U110" s="91">
        <v>0</v>
      </c>
      <c r="V110" s="98">
        <f t="shared" si="29"/>
        <v>0</v>
      </c>
      <c r="W110" s="105">
        <f t="shared" si="30"/>
        <v>0</v>
      </c>
      <c r="X110" s="107">
        <f t="shared" si="31"/>
        <v>0</v>
      </c>
    </row>
    <row r="111" spans="1:24" ht="20.25" customHeight="1" x14ac:dyDescent="0.25">
      <c r="A111" s="36">
        <v>102</v>
      </c>
      <c r="B111" s="40"/>
      <c r="C111" s="40"/>
      <c r="D111" s="54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  <c r="J111" s="3">
        <v>0</v>
      </c>
      <c r="K111" s="2">
        <v>0</v>
      </c>
      <c r="L111" s="3">
        <v>0</v>
      </c>
      <c r="M111" s="58">
        <f t="shared" ref="M111" si="35">IF(D111="","",E111+G111+I111+K111)</f>
        <v>0</v>
      </c>
      <c r="N111" s="79">
        <f t="shared" ref="N111" si="36">IF(D111="","",F111+H111+J111+L111)</f>
        <v>0</v>
      </c>
      <c r="O111" s="80">
        <f t="shared" ref="O111" si="37">IF(M111="","",IF(N111="","",D111+M111-N111))</f>
        <v>0</v>
      </c>
      <c r="P111" s="81" t="str">
        <f t="shared" si="27"/>
        <v>IDEAL</v>
      </c>
      <c r="Q111" s="82" t="e">
        <f t="shared" si="28"/>
        <v>#DIV/0!</v>
      </c>
      <c r="R111" s="8">
        <v>0</v>
      </c>
      <c r="S111" s="108">
        <v>0</v>
      </c>
      <c r="T111" s="109">
        <f t="shared" si="25"/>
        <v>0</v>
      </c>
      <c r="U111" s="91">
        <v>0</v>
      </c>
      <c r="V111" s="98">
        <f t="shared" si="29"/>
        <v>0</v>
      </c>
      <c r="W111" s="105">
        <f t="shared" si="30"/>
        <v>0</v>
      </c>
      <c r="X111" s="107">
        <f t="shared" si="31"/>
        <v>0</v>
      </c>
    </row>
    <row r="112" spans="1:24" ht="20.25" customHeight="1" thickBot="1" x14ac:dyDescent="0.3">
      <c r="A112" s="68">
        <v>103</v>
      </c>
      <c r="B112" s="69"/>
      <c r="C112" s="69"/>
      <c r="D112" s="70">
        <v>0</v>
      </c>
      <c r="E112" s="71">
        <v>0</v>
      </c>
      <c r="F112" s="72">
        <v>0</v>
      </c>
      <c r="G112" s="71">
        <v>0</v>
      </c>
      <c r="H112" s="72">
        <v>0</v>
      </c>
      <c r="I112" s="71">
        <v>0</v>
      </c>
      <c r="J112" s="72">
        <v>0</v>
      </c>
      <c r="K112" s="71">
        <v>0</v>
      </c>
      <c r="L112" s="72">
        <v>0</v>
      </c>
      <c r="M112" s="73">
        <f t="shared" ref="M112" si="38">IF(D112="","",E112+G112+I112+K112)</f>
        <v>0</v>
      </c>
      <c r="N112" s="74">
        <f t="shared" ref="N112" si="39">IF(D112="","",F112+H112+J112+L112)</f>
        <v>0</v>
      </c>
      <c r="O112" s="75">
        <f t="shared" ref="O112" si="40">IF(M112="","",IF(N112="","",D112+M112-N112))</f>
        <v>0</v>
      </c>
      <c r="P112" s="76" t="str">
        <f t="shared" si="27"/>
        <v>IDEAL</v>
      </c>
      <c r="Q112" s="77" t="e">
        <f t="shared" si="28"/>
        <v>#DIV/0!</v>
      </c>
      <c r="R112" s="78">
        <v>0</v>
      </c>
      <c r="S112" s="108">
        <v>0</v>
      </c>
      <c r="T112" s="109">
        <f t="shared" si="25"/>
        <v>0</v>
      </c>
      <c r="U112" s="94">
        <v>0</v>
      </c>
      <c r="V112" s="100">
        <f t="shared" si="29"/>
        <v>0</v>
      </c>
      <c r="W112" s="105">
        <f t="shared" si="30"/>
        <v>0</v>
      </c>
      <c r="X112" s="107">
        <f t="shared" si="31"/>
        <v>0</v>
      </c>
    </row>
    <row r="113" spans="23:24" ht="15.75" thickTop="1" x14ac:dyDescent="0.25">
      <c r="W113" s="103">
        <f>SUM(W10:W112)</f>
        <v>0</v>
      </c>
      <c r="X113" s="103">
        <f>SUM(X10:X112)</f>
        <v>0</v>
      </c>
    </row>
  </sheetData>
  <sheetProtection password="C455" sheet="1" objects="1" scenarios="1" formatCells="0" formatColumns="0" formatRows="0" insertColumns="0" insertRows="0" insertHyperlinks="0" deleteColumns="0" deleteRows="0" sort="0" autoFilter="0" pivotTables="0"/>
  <mergeCells count="34">
    <mergeCell ref="G8:H8"/>
    <mergeCell ref="I8:J8"/>
    <mergeCell ref="K8:L8"/>
    <mergeCell ref="E7:L7"/>
    <mergeCell ref="A8:B9"/>
    <mergeCell ref="C8:C9"/>
    <mergeCell ref="D8:D9"/>
    <mergeCell ref="A7:D7"/>
    <mergeCell ref="E8:F8"/>
    <mergeCell ref="R8:R9"/>
    <mergeCell ref="P8:P9"/>
    <mergeCell ref="Q8:Q9"/>
    <mergeCell ref="O8:O9"/>
    <mergeCell ref="P7:V7"/>
    <mergeCell ref="M7:O7"/>
    <mergeCell ref="M8:M9"/>
    <mergeCell ref="N8:N9"/>
    <mergeCell ref="S8:S9"/>
    <mergeCell ref="T8:T9"/>
    <mergeCell ref="U8:U9"/>
    <mergeCell ref="V8:V9"/>
    <mergeCell ref="P3:V4"/>
    <mergeCell ref="P5:V6"/>
    <mergeCell ref="A2:V2"/>
    <mergeCell ref="A3:D3"/>
    <mergeCell ref="A4:D4"/>
    <mergeCell ref="A5:D5"/>
    <mergeCell ref="A6:D6"/>
    <mergeCell ref="M3:O4"/>
    <mergeCell ref="E3:L3"/>
    <mergeCell ref="E4:L4"/>
    <mergeCell ref="E5:L5"/>
    <mergeCell ref="E6:L6"/>
    <mergeCell ref="M5:O6"/>
  </mergeCells>
  <hyperlinks>
    <hyperlink ref="C8:C9" r:id="rId1" display="CA"/>
  </hyperlinks>
  <pageMargins left="0.25" right="0.25" top="0.75" bottom="0.75" header="0.3" footer="0.3"/>
  <pageSetup paperSize="9" scale="68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Estoque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Vander</cp:lastModifiedBy>
  <cp:lastPrinted>2016-09-17T13:42:35Z</cp:lastPrinted>
  <dcterms:created xsi:type="dcterms:W3CDTF">2016-09-12T12:50:26Z</dcterms:created>
  <dcterms:modified xsi:type="dcterms:W3CDTF">2016-10-31T20:30:48Z</dcterms:modified>
</cp:coreProperties>
</file>